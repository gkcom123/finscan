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isil-my.sharepoint.com/personal/lokeshk_ad_crisil_com/Documents/1_Team_Fixed Income (Credit)/Bara Model Work/Bara - Model Update/WIP/May 2026 - Xiaomi/1Q26/"/>
    </mc:Choice>
  </mc:AlternateContent>
  <xr:revisionPtr revIDLastSave="0" documentId="8_{15AB8537-C192-46EF-8C8E-7BA75E15B4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pitalisation" sheetId="22" r:id="rId1"/>
    <sheet name="Model" sheetId="23" r:id="rId2"/>
    <sheet name="KPIs" sheetId="2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2">MonthlyOpStats</definedName>
    <definedName name="_01_30_04">MonthlyOpStats</definedName>
    <definedName name="_1_30_01" localSheetId="2">MonthlyOpStats</definedName>
    <definedName name="_1_30_01">MonthlyOpStats</definedName>
    <definedName name="_1_30_02" localSheetId="2">MonthlyOpStats</definedName>
    <definedName name="_1_30_02">MonthlyOpStats</definedName>
    <definedName name="_1_31_01" localSheetId="2">MonthlyOpStats</definedName>
    <definedName name="_1_31_01">MonthlyOpStats</definedName>
    <definedName name="_1_31_02" localSheetId="2">MonthlyOpStats</definedName>
    <definedName name="_1_31_02">MonthlyOpStats</definedName>
    <definedName name="_12_31_05" localSheetId="2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hidden="1">[2]FxdChg!#REF!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>#REF!</definedName>
    <definedName name="AllBH">#REF!</definedName>
    <definedName name="allProjects">#REF!</definedName>
    <definedName name="amort">[5]Inputs!#REF!</definedName>
    <definedName name="AP_Sales">'[4]Tanning Assumptions'!#REF!</definedName>
    <definedName name="AR_Other_Sales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>#REF!</definedName>
    <definedName name="Cash_Sales">'[4]Tanning Assumptions'!#REF!</definedName>
    <definedName name="CASHBUDGET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>#REF!</definedName>
    <definedName name="cashint___0">#REF!</definedName>
    <definedName name="CBHC">#REF!</definedName>
    <definedName name="cfl">#REF!</definedName>
    <definedName name="ChartDataRange">#REF!</definedName>
    <definedName name="CINC">#REF!</definedName>
    <definedName name="CIQWBGuid" hidden="1">"a8ce2156-b5bf-4ee3-830d-6b3237f21d17"</definedName>
    <definedName name="CIQWBInfo" hidden="1">"{ ""CIQVersion"":""9.45.614.5792"" }"</definedName>
    <definedName name="circ">[5]Inputs!#REF!</definedName>
    <definedName name="CircRev">#REF!</definedName>
    <definedName name="Class_3_Agg_Cash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>#REF!</definedName>
    <definedName name="closing_date">#REF!</definedName>
    <definedName name="closingttmrevenue">#REF!</definedName>
    <definedName name="CMBSIG">#REF!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localSheetId="2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2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>'[14]Portfolio Input'!#REF!</definedName>
    <definedName name="counter2">'[14]Portfolio Input'!#REF!</definedName>
    <definedName name="Coupon">[15]Inputs!$J$30</definedName>
    <definedName name="CSEnd">#REF!</definedName>
    <definedName name="CSHO">#REF!</definedName>
    <definedName name="CSHPRI">#REF!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>#REF!</definedName>
    <definedName name="Default_Timing">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">#REF!</definedName>
    <definedName name="EBITDA">#REF!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>[17]Consolidated!#REF!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[18]Preliminary!$A$1:$D$65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2" hidden="1">{"BS",#N/A,FALSE,"USA"}</definedName>
    <definedName name="FSoPacific" hidden="1">{"BS",#N/A,FALSE,"USA"}</definedName>
    <definedName name="Fund">[6]Selections!$A$1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[19]_01_05_v_Wicks_xls__01_05_v_Wic!$N$1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>'[20]LBO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44297.3725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>'[9]S&amp;U'!#REF!</definedName>
    <definedName name="left">#REF!</definedName>
    <definedName name="lett">#REF!</definedName>
    <definedName name="LIBOR">[21]Portfolio!$E$2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>[10]Revolver!#REF!</definedName>
    <definedName name="Libor_Minus_2SD">[10]Revolver!#REF!</definedName>
    <definedName name="Libor_Plus_0SD">[10]Revolver!#REF!</definedName>
    <definedName name="Libor_Plus_1SD">[10]Revolver!#REF!</definedName>
    <definedName name="Libor_Plus_2SD">[10]Revolver!#REF!</definedName>
    <definedName name="Libor_Scenario">#REF!</definedName>
    <definedName name="Libor_Up">#REF!</definedName>
    <definedName name="longterm">[5]Inputs!#REF!</definedName>
    <definedName name="LTM_DATE">#REF!</definedName>
    <definedName name="Marketable_securities">'[22]Fly-by-night - problem 5'!#REF!</definedName>
    <definedName name="MaxMarkDate">[7]SaleData!$M$3</definedName>
    <definedName name="mcs03g.ReqArray" localSheetId="2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>#REF!</definedName>
    <definedName name="MONTHLYSALES">#REF!</definedName>
    <definedName name="MONTHLYSALES___0">#REF!</definedName>
    <definedName name="moodys">#REF!</definedName>
    <definedName name="mu">'[23]LBO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>#REF!</definedName>
    <definedName name="NDYWGT">#REF!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#REF!</definedName>
    <definedName name="Other_assets">'[22]Fly-by-night - problem 5'!#REF!</definedName>
    <definedName name="Other_current_liabilities_Sales">'[4]Tanning Assumptions'!#REF!</definedName>
    <definedName name="Other_long_term_liabilities">'[4]Tanning Assumptions'!#REF!</definedName>
    <definedName name="OtherRev">#REF!</definedName>
    <definedName name="P_L">#REF!</definedName>
    <definedName name="PCV">[6]Calcs!$B$1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>#REF!</definedName>
    <definedName name="PERSONAL_FINANCIAL___0">#REF!</definedName>
    <definedName name="PFLTM">'[24]VeCTOR Import'!#REF!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>'[4]Tanning Assumptions'!#REF!</definedName>
    <definedName name="PRICES">#REF!</definedName>
    <definedName name="PRICES___0">#REF!</definedName>
    <definedName name="_xlnm.Print_Area">#REF!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>#REF!</definedName>
    <definedName name="purchase">[25]TRANSACTION!$Q$2</definedName>
    <definedName name="PURCHASE_PRICE">[26]Sheet5:D!$A$1:$H$23</definedName>
    <definedName name="qryWSO_Positions_ByFunds_CrossTab">#REF!</definedName>
    <definedName name="quarterly">#REF!</definedName>
    <definedName name="rate">#REF!</definedName>
    <definedName name="RateTable">[27]MASTER!#REF!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'[28]OBS - REFI'!$AP$5</definedName>
    <definedName name="REPORT">#REF!</definedName>
    <definedName name="REPORT___0">#REF!</definedName>
    <definedName name="ReprintRev">#REF!</definedName>
    <definedName name="ret">#REF!</definedName>
    <definedName name="rhl">'[20]LBO Summary'!#REF!</definedName>
    <definedName name="RoyaltyRev">#REF!</definedName>
    <definedName name="rptData">#REF!</definedName>
    <definedName name="rr">'[20]LBO Summary'!#REF!</definedName>
    <definedName name="s">#REF!</definedName>
    <definedName name="s.outstand">[5]Inputs!#REF!</definedName>
    <definedName name="SALES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>#REF!</definedName>
    <definedName name="Scenario_41">#REF!</definedName>
    <definedName name="Scenario_42">#REF!</definedName>
    <definedName name="Scenario_43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>[5]Inputs!#REF!</definedName>
    <definedName name="sl">'[20]LBO Summary'!#REF!</definedName>
    <definedName name="snapshotdate">#REF!</definedName>
    <definedName name="sort_range">#REF!</definedName>
    <definedName name="sponsor">'[9]S&amp;U'!$J$21</definedName>
    <definedName name="Start">#REF!</definedName>
    <definedName name="Start_Date">[6]Selections!$C$1</definedName>
    <definedName name="StartDay">[6]Selections!$P$3</definedName>
    <definedName name="StartMonth">[6]Selections!$P$2</definedName>
    <definedName name="StartRefresh">'[14]Portfolio Input'!#REF!</definedName>
    <definedName name="StartYear">[6]Selections!$P$1</definedName>
    <definedName name="Strip_Amount">#REF!</definedName>
    <definedName name="Strip_PV">#REF!</definedName>
    <definedName name="stub">#REF!</definedName>
    <definedName name="stubmonths">'[29]D&amp;A'!$C$5</definedName>
    <definedName name="sub">'[20]LBO Summary'!#REF!</definedName>
    <definedName name="subdebtamount">[15]Inputs!$J$26</definedName>
    <definedName name="subdebtdate">[15]Inputs!$J$28</definedName>
    <definedName name="Subhead1">[19]_01_05_v_Wicks_xls__01_05_v_Wic!$N$2</definedName>
    <definedName name="subHeading">#REF!</definedName>
    <definedName name="summary">#REF!</definedName>
    <definedName name="support">#REF!</definedName>
    <definedName name="sweep___9">[30]COVS_ACTUAL!#REF!</definedName>
    <definedName name="target">#REF!</definedName>
    <definedName name="tax">[31]ISCF!#REF!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[28]SUM!$A$2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[28]SUM!$AE$2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>'[14]Portfolio Input'!#REF!</definedName>
    <definedName name="WHAT_IF">#REF!</definedName>
    <definedName name="WHAT_IF___0">#REF!</definedName>
    <definedName name="whec">[28]WHEC!$AX$2</definedName>
    <definedName name="wicksequity">[15]Inputs!$E$35</definedName>
    <definedName name="WORKING_CAPITAL">#REF!</definedName>
    <definedName name="WORKING_CAPITAL___0">#REF!</definedName>
    <definedName name="wrn.Alloutput." localSheetId="2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2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2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2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2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2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2" hidden="1">{#N/A,#N/A,FALSE,"Integration Systems"}</definedName>
    <definedName name="wrn.Sales._.Activity." hidden="1">{#N/A,#N/A,FALSE,"Integration Systems"}</definedName>
    <definedName name="wrn.Summary." localSheetId="2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2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2" hidden="1">{#N/A,#N/A,FALSE,"Combo"}</definedName>
    <definedName name="wrn.Weekly._.Inventory._.Report." hidden="1">{#N/A,#N/A,FALSE,"Combo"}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2" l="1"/>
  <c r="C39" i="22" s="1"/>
  <c r="D37" i="22"/>
  <c r="D36" i="22"/>
  <c r="D35" i="22"/>
  <c r="D34" i="22"/>
  <c r="C46" i="22"/>
  <c r="C29" i="22"/>
  <c r="C27" i="22"/>
  <c r="C25" i="22"/>
  <c r="C22" i="22"/>
  <c r="C21" i="22"/>
  <c r="C47" i="22"/>
  <c r="D43" i="22"/>
  <c r="C14" i="22"/>
  <c r="C8" i="22"/>
  <c r="J4" i="22"/>
  <c r="J3" i="22"/>
  <c r="E11" i="22" s="1"/>
  <c r="K66" i="25"/>
  <c r="K65" i="25"/>
  <c r="K64" i="25"/>
  <c r="K63" i="25"/>
  <c r="K62" i="25"/>
  <c r="K57" i="25"/>
  <c r="K56" i="25"/>
  <c r="K55" i="25"/>
  <c r="K54" i="25"/>
  <c r="K53" i="25"/>
  <c r="K37" i="25"/>
  <c r="K36" i="25"/>
  <c r="K13" i="25"/>
  <c r="K12" i="25"/>
  <c r="K11" i="25"/>
  <c r="K10" i="25"/>
  <c r="K9" i="25"/>
  <c r="K3" i="25"/>
  <c r="AK75" i="25"/>
  <c r="AK74" i="25"/>
  <c r="AK73" i="25"/>
  <c r="AK72" i="25"/>
  <c r="AK71" i="25"/>
  <c r="AK67" i="25"/>
  <c r="AK76" i="25" s="1"/>
  <c r="AK58" i="25"/>
  <c r="AK59" i="25" s="1"/>
  <c r="AK48" i="25"/>
  <c r="AK47" i="25"/>
  <c r="AK38" i="25"/>
  <c r="AK49" i="25" s="1"/>
  <c r="AK30" i="25"/>
  <c r="AK29" i="25"/>
  <c r="AK28" i="25"/>
  <c r="AK27" i="25"/>
  <c r="AK26" i="25"/>
  <c r="AK14" i="25"/>
  <c r="AK22" i="25" s="1"/>
  <c r="AJ270" i="23"/>
  <c r="AJ269" i="23"/>
  <c r="AK206" i="23"/>
  <c r="AJ206" i="23"/>
  <c r="AI206" i="23"/>
  <c r="AH206" i="23"/>
  <c r="AG206" i="23"/>
  <c r="AF206" i="23"/>
  <c r="AE206" i="23"/>
  <c r="AD206" i="23"/>
  <c r="AC206" i="23"/>
  <c r="AB206" i="23"/>
  <c r="AA206" i="23"/>
  <c r="Z206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K206" i="23"/>
  <c r="J206" i="23"/>
  <c r="I206" i="23"/>
  <c r="H206" i="23"/>
  <c r="G206" i="23"/>
  <c r="F206" i="23"/>
  <c r="E206" i="23"/>
  <c r="D206" i="23"/>
  <c r="C206" i="23"/>
  <c r="AK203" i="23"/>
  <c r="AK204" i="23"/>
  <c r="K204" i="23" s="1"/>
  <c r="AJ88" i="23"/>
  <c r="AK120" i="23"/>
  <c r="K120" i="23" s="1"/>
  <c r="K124" i="23"/>
  <c r="K113" i="23"/>
  <c r="K112" i="23"/>
  <c r="AJ113" i="23"/>
  <c r="AJ112" i="23"/>
  <c r="AJ114" i="23" s="1"/>
  <c r="K108" i="23"/>
  <c r="K107" i="23"/>
  <c r="AJ76" i="23"/>
  <c r="AJ73" i="23"/>
  <c r="AJ177" i="23" s="1"/>
  <c r="AJ71" i="23"/>
  <c r="AJ67" i="23"/>
  <c r="AJ171" i="23" s="1"/>
  <c r="AJ66" i="23"/>
  <c r="AJ170" i="23" s="1"/>
  <c r="AJ65" i="23"/>
  <c r="AJ90" i="23" s="1"/>
  <c r="AJ63" i="23"/>
  <c r="AJ62" i="23"/>
  <c r="K98" i="23"/>
  <c r="K97" i="23"/>
  <c r="K96" i="23"/>
  <c r="K95" i="23"/>
  <c r="J73" i="23"/>
  <c r="I72" i="23"/>
  <c r="J72" i="23"/>
  <c r="AJ72" i="23" s="1"/>
  <c r="J70" i="23"/>
  <c r="AJ70" i="23" s="1"/>
  <c r="AJ174" i="23" s="1"/>
  <c r="J69" i="23"/>
  <c r="J67" i="23"/>
  <c r="J65" i="23"/>
  <c r="J61" i="23"/>
  <c r="AJ61" i="23" s="1"/>
  <c r="AJ165" i="23" s="1"/>
  <c r="AK45" i="23"/>
  <c r="K17" i="23"/>
  <c r="AK18" i="23"/>
  <c r="AK8" i="23"/>
  <c r="K3" i="23"/>
  <c r="AK259" i="23"/>
  <c r="AK222" i="23"/>
  <c r="AK219" i="23"/>
  <c r="AK208" i="23"/>
  <c r="AK157" i="23"/>
  <c r="AK154" i="23"/>
  <c r="AK143" i="23"/>
  <c r="AK127" i="23"/>
  <c r="AK184" i="23"/>
  <c r="AK118" i="23"/>
  <c r="AK117" i="23"/>
  <c r="AK119" i="23" s="1"/>
  <c r="AK114" i="23"/>
  <c r="AK109" i="23"/>
  <c r="AK104" i="23"/>
  <c r="AK103" i="23"/>
  <c r="AK102" i="23"/>
  <c r="AK99" i="23"/>
  <c r="AK93" i="23"/>
  <c r="AK83" i="23"/>
  <c r="AK59" i="23"/>
  <c r="AK43" i="23"/>
  <c r="AK41" i="23"/>
  <c r="AK40" i="23"/>
  <c r="AK35" i="23"/>
  <c r="AK34" i="23"/>
  <c r="AK33" i="23"/>
  <c r="AK32" i="23"/>
  <c r="AK31" i="23"/>
  <c r="AK22" i="23"/>
  <c r="AK10" i="23"/>
  <c r="AK19" i="23" s="1"/>
  <c r="AK44" i="23" s="1"/>
  <c r="C86" i="22"/>
  <c r="C94" i="22"/>
  <c r="C62" i="22"/>
  <c r="C56" i="22"/>
  <c r="D71" i="25"/>
  <c r="E71" i="25"/>
  <c r="F71" i="25"/>
  <c r="G71" i="25"/>
  <c r="H71" i="25"/>
  <c r="I71" i="25"/>
  <c r="J71" i="25"/>
  <c r="M71" i="25"/>
  <c r="N71" i="25"/>
  <c r="O71" i="25"/>
  <c r="Q71" i="25"/>
  <c r="R71" i="25"/>
  <c r="S71" i="25"/>
  <c r="U71" i="25"/>
  <c r="V71" i="25"/>
  <c r="Y71" i="25"/>
  <c r="Z71" i="25"/>
  <c r="AC71" i="25"/>
  <c r="AD71" i="25"/>
  <c r="AE71" i="25"/>
  <c r="AG71" i="25"/>
  <c r="AH71" i="25"/>
  <c r="AI71" i="25"/>
  <c r="D72" i="25"/>
  <c r="E72" i="25"/>
  <c r="F72" i="25"/>
  <c r="G72" i="25"/>
  <c r="H72" i="25"/>
  <c r="I72" i="25"/>
  <c r="J72" i="25"/>
  <c r="M72" i="25"/>
  <c r="N72" i="25"/>
  <c r="O72" i="25"/>
  <c r="Q72" i="25"/>
  <c r="R72" i="25"/>
  <c r="S72" i="25"/>
  <c r="U72" i="25"/>
  <c r="V72" i="25"/>
  <c r="Y72" i="25"/>
  <c r="Z72" i="25"/>
  <c r="AC72" i="25"/>
  <c r="AD72" i="25"/>
  <c r="AE72" i="25"/>
  <c r="AG72" i="25"/>
  <c r="AH72" i="25"/>
  <c r="AI72" i="25"/>
  <c r="D73" i="25"/>
  <c r="E73" i="25"/>
  <c r="F73" i="25"/>
  <c r="G73" i="25"/>
  <c r="H73" i="25"/>
  <c r="I73" i="25"/>
  <c r="J73" i="25"/>
  <c r="M73" i="25"/>
  <c r="N73" i="25"/>
  <c r="O73" i="25"/>
  <c r="Q73" i="25"/>
  <c r="R73" i="25"/>
  <c r="S73" i="25"/>
  <c r="U73" i="25"/>
  <c r="V73" i="25"/>
  <c r="Y73" i="25"/>
  <c r="Z73" i="25"/>
  <c r="AC73" i="25"/>
  <c r="AD73" i="25"/>
  <c r="AE73" i="25"/>
  <c r="AG73" i="25"/>
  <c r="AH73" i="25"/>
  <c r="AI73" i="25"/>
  <c r="D74" i="25"/>
  <c r="E74" i="25"/>
  <c r="F74" i="25"/>
  <c r="G74" i="25"/>
  <c r="H74" i="25"/>
  <c r="I74" i="25"/>
  <c r="J74" i="25"/>
  <c r="M74" i="25"/>
  <c r="N74" i="25"/>
  <c r="O74" i="25"/>
  <c r="P74" i="25"/>
  <c r="Q74" i="25"/>
  <c r="R74" i="25"/>
  <c r="S74" i="25"/>
  <c r="T74" i="25"/>
  <c r="U74" i="25"/>
  <c r="V74" i="25"/>
  <c r="W74" i="25"/>
  <c r="X74" i="25"/>
  <c r="Y74" i="25"/>
  <c r="Z74" i="25"/>
  <c r="AA74" i="25"/>
  <c r="AB74" i="25"/>
  <c r="AC74" i="25"/>
  <c r="AD74" i="25"/>
  <c r="AE74" i="25"/>
  <c r="AG74" i="25"/>
  <c r="AH74" i="25"/>
  <c r="AI74" i="25"/>
  <c r="D75" i="25"/>
  <c r="E75" i="25"/>
  <c r="F75" i="25"/>
  <c r="G75" i="25"/>
  <c r="H75" i="25"/>
  <c r="I75" i="25"/>
  <c r="J75" i="25"/>
  <c r="M75" i="25"/>
  <c r="N75" i="25"/>
  <c r="O75" i="25"/>
  <c r="Q75" i="25"/>
  <c r="R75" i="25"/>
  <c r="S75" i="25"/>
  <c r="U75" i="25"/>
  <c r="V75" i="25"/>
  <c r="Y75" i="25"/>
  <c r="Z75" i="25"/>
  <c r="AC75" i="25"/>
  <c r="AG75" i="25"/>
  <c r="AH75" i="25"/>
  <c r="AI75" i="25"/>
  <c r="AG76" i="25"/>
  <c r="AH76" i="25"/>
  <c r="AI76" i="25"/>
  <c r="C72" i="25"/>
  <c r="C73" i="25"/>
  <c r="C74" i="25"/>
  <c r="C75" i="25"/>
  <c r="C71" i="25"/>
  <c r="AI48" i="25"/>
  <c r="AH48" i="25"/>
  <c r="AG48" i="25"/>
  <c r="AE48" i="25"/>
  <c r="AD48" i="25"/>
  <c r="AC48" i="25"/>
  <c r="AA48" i="25"/>
  <c r="Z48" i="25"/>
  <c r="Y48" i="25"/>
  <c r="W48" i="25"/>
  <c r="V48" i="25"/>
  <c r="U48" i="25"/>
  <c r="S48" i="25"/>
  <c r="R48" i="25"/>
  <c r="AI47" i="25"/>
  <c r="AH47" i="25"/>
  <c r="AG47" i="25"/>
  <c r="AE47" i="25"/>
  <c r="AD47" i="25"/>
  <c r="AC47" i="25"/>
  <c r="AA47" i="25"/>
  <c r="Z47" i="25"/>
  <c r="Y47" i="25"/>
  <c r="W47" i="25"/>
  <c r="V47" i="25"/>
  <c r="U47" i="25"/>
  <c r="S47" i="25"/>
  <c r="R47" i="25"/>
  <c r="Q48" i="25"/>
  <c r="Q47" i="25"/>
  <c r="E47" i="25"/>
  <c r="F47" i="25"/>
  <c r="G47" i="25"/>
  <c r="H47" i="25"/>
  <c r="I47" i="25"/>
  <c r="J47" i="25"/>
  <c r="E48" i="25"/>
  <c r="F48" i="25"/>
  <c r="G48" i="25"/>
  <c r="H48" i="25"/>
  <c r="I48" i="25"/>
  <c r="J48" i="25"/>
  <c r="D48" i="25"/>
  <c r="D47" i="25"/>
  <c r="AG30" i="25"/>
  <c r="AC30" i="25"/>
  <c r="AA30" i="25"/>
  <c r="Z30" i="25"/>
  <c r="Y30" i="25"/>
  <c r="W30" i="25"/>
  <c r="V30" i="25"/>
  <c r="U30" i="25"/>
  <c r="S30" i="25"/>
  <c r="R30" i="25"/>
  <c r="AI29" i="25"/>
  <c r="AH29" i="25"/>
  <c r="AG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AI28" i="25"/>
  <c r="AH28" i="25"/>
  <c r="AG28" i="25"/>
  <c r="AE28" i="25"/>
  <c r="AD28" i="25"/>
  <c r="AC28" i="25"/>
  <c r="AA28" i="25"/>
  <c r="Z28" i="25"/>
  <c r="Y28" i="25"/>
  <c r="W28" i="25"/>
  <c r="V28" i="25"/>
  <c r="U28" i="25"/>
  <c r="S28" i="25"/>
  <c r="R28" i="25"/>
  <c r="AI27" i="25"/>
  <c r="AH27" i="25"/>
  <c r="AG27" i="25"/>
  <c r="AE27" i="25"/>
  <c r="AD27" i="25"/>
  <c r="AC27" i="25"/>
  <c r="AA27" i="25"/>
  <c r="Z27" i="25"/>
  <c r="Y27" i="25"/>
  <c r="W27" i="25"/>
  <c r="V27" i="25"/>
  <c r="U27" i="25"/>
  <c r="S27" i="25"/>
  <c r="R27" i="25"/>
  <c r="AI26" i="25"/>
  <c r="AH26" i="25"/>
  <c r="AG26" i="25"/>
  <c r="AE26" i="25"/>
  <c r="AD26" i="25"/>
  <c r="AC26" i="25"/>
  <c r="AA26" i="25"/>
  <c r="Z26" i="25"/>
  <c r="Y26" i="25"/>
  <c r="W26" i="25"/>
  <c r="V26" i="25"/>
  <c r="U26" i="25"/>
  <c r="S26" i="25"/>
  <c r="R26" i="25"/>
  <c r="Q30" i="25"/>
  <c r="Q29" i="25"/>
  <c r="Q28" i="25"/>
  <c r="Q27" i="25"/>
  <c r="Q26" i="25"/>
  <c r="E26" i="25"/>
  <c r="F26" i="25"/>
  <c r="G26" i="25"/>
  <c r="H26" i="25"/>
  <c r="I26" i="25"/>
  <c r="J26" i="25"/>
  <c r="E27" i="25"/>
  <c r="F27" i="25"/>
  <c r="G27" i="25"/>
  <c r="H27" i="25"/>
  <c r="I27" i="25"/>
  <c r="J27" i="25"/>
  <c r="E28" i="25"/>
  <c r="F28" i="25"/>
  <c r="G28" i="25"/>
  <c r="H28" i="25"/>
  <c r="I28" i="25"/>
  <c r="J28" i="25"/>
  <c r="E29" i="25"/>
  <c r="F29" i="25"/>
  <c r="G29" i="25"/>
  <c r="H29" i="25"/>
  <c r="I29" i="25"/>
  <c r="J29" i="25"/>
  <c r="E30" i="25"/>
  <c r="F30" i="25"/>
  <c r="G30" i="25"/>
  <c r="H30" i="25"/>
  <c r="I30" i="25"/>
  <c r="J30" i="25"/>
  <c r="D27" i="25"/>
  <c r="D28" i="25"/>
  <c r="D29" i="25"/>
  <c r="D30" i="25"/>
  <c r="D26" i="25"/>
  <c r="AD66" i="25"/>
  <c r="AD75" i="25" s="1"/>
  <c r="AH66" i="25"/>
  <c r="AH67" i="25" s="1"/>
  <c r="AD57" i="25"/>
  <c r="AH57" i="25"/>
  <c r="AH58" i="25" s="1"/>
  <c r="AH59" i="25" s="1"/>
  <c r="AH13" i="25"/>
  <c r="AH14" i="25" s="1"/>
  <c r="AD13" i="25"/>
  <c r="AD30" i="25" s="1"/>
  <c r="AE66" i="25"/>
  <c r="AE75" i="25" s="1"/>
  <c r="AI66" i="25"/>
  <c r="AI67" i="25" s="1"/>
  <c r="AE57" i="25"/>
  <c r="AI57" i="25"/>
  <c r="AI58" i="25" s="1"/>
  <c r="AI59" i="25" s="1"/>
  <c r="AE13" i="25"/>
  <c r="AE30" i="25" s="1"/>
  <c r="AI13" i="25"/>
  <c r="AJ65" i="25"/>
  <c r="AJ64" i="25"/>
  <c r="AJ63" i="25"/>
  <c r="AJ62" i="25"/>
  <c r="AJ56" i="25"/>
  <c r="AJ55" i="25"/>
  <c r="AJ54" i="25"/>
  <c r="AJ53" i="25"/>
  <c r="AJ37" i="25"/>
  <c r="AJ36" i="25"/>
  <c r="AJ12" i="25"/>
  <c r="AJ11" i="25"/>
  <c r="AJ10" i="25"/>
  <c r="AJ9" i="25"/>
  <c r="J67" i="25"/>
  <c r="J58" i="25"/>
  <c r="J59" i="25" s="1"/>
  <c r="J38" i="25"/>
  <c r="J39" i="25" s="1"/>
  <c r="J14" i="25"/>
  <c r="J15" i="25" s="1"/>
  <c r="AJ203" i="23"/>
  <c r="AJ204" i="23"/>
  <c r="AJ124" i="23"/>
  <c r="C75" i="22" s="1"/>
  <c r="J120" i="23"/>
  <c r="J148" i="23" s="1"/>
  <c r="AJ108" i="23"/>
  <c r="AJ107" i="23"/>
  <c r="AJ109" i="23" s="1"/>
  <c r="AJ98" i="23"/>
  <c r="AJ97" i="23"/>
  <c r="AJ96" i="23"/>
  <c r="AJ95" i="23"/>
  <c r="AJ175" i="23"/>
  <c r="J45" i="23"/>
  <c r="AJ27" i="23"/>
  <c r="K27" i="23" s="1"/>
  <c r="AJ24" i="23"/>
  <c r="K24" i="23" s="1"/>
  <c r="AJ21" i="23"/>
  <c r="K21" i="23" s="1"/>
  <c r="AJ20" i="23"/>
  <c r="K20" i="23" s="1"/>
  <c r="AJ17" i="23"/>
  <c r="AJ16" i="23"/>
  <c r="K16" i="23" s="1"/>
  <c r="AJ15" i="23"/>
  <c r="K15" i="23" s="1"/>
  <c r="AJ14" i="23"/>
  <c r="K14" i="23" s="1"/>
  <c r="AJ13" i="23"/>
  <c r="K13" i="23" s="1"/>
  <c r="AJ9" i="23"/>
  <c r="K9" i="23" s="1"/>
  <c r="AJ7" i="23"/>
  <c r="AJ84" i="23" s="1"/>
  <c r="AJ144" i="23" s="1"/>
  <c r="J18" i="23"/>
  <c r="AJ256" i="23"/>
  <c r="AJ255" i="23"/>
  <c r="AJ219" i="23"/>
  <c r="AJ208" i="23"/>
  <c r="AJ154" i="23"/>
  <c r="AJ143" i="23"/>
  <c r="AJ127" i="23"/>
  <c r="AJ93" i="23"/>
  <c r="AJ83" i="23"/>
  <c r="AJ59" i="23"/>
  <c r="AJ43" i="23"/>
  <c r="J219" i="23"/>
  <c r="J208" i="23"/>
  <c r="J180" i="23"/>
  <c r="J175" i="23"/>
  <c r="J174" i="23"/>
  <c r="J170" i="23"/>
  <c r="J167" i="23"/>
  <c r="J166" i="23"/>
  <c r="J157" i="23"/>
  <c r="J154" i="23"/>
  <c r="J143" i="23"/>
  <c r="J127" i="23"/>
  <c r="J118" i="23"/>
  <c r="J117" i="23"/>
  <c r="J114" i="23"/>
  <c r="J109" i="23"/>
  <c r="J36" i="23" s="1"/>
  <c r="J104" i="23"/>
  <c r="J103" i="23"/>
  <c r="J102" i="23"/>
  <c r="J99" i="23"/>
  <c r="J93" i="23"/>
  <c r="J88" i="23"/>
  <c r="J84" i="23"/>
  <c r="J144" i="23" s="1"/>
  <c r="J83" i="23"/>
  <c r="J59" i="23"/>
  <c r="J43" i="23"/>
  <c r="J35" i="23"/>
  <c r="J34" i="23"/>
  <c r="J33" i="23"/>
  <c r="J32" i="23"/>
  <c r="J31" i="23"/>
  <c r="J22" i="23"/>
  <c r="J10" i="23"/>
  <c r="J11" i="23" s="1"/>
  <c r="J8" i="23"/>
  <c r="J104" i="22"/>
  <c r="J105" i="22" s="1"/>
  <c r="C123" i="22"/>
  <c r="C118" i="22"/>
  <c r="C117" i="22"/>
  <c r="C138" i="22"/>
  <c r="C110" i="22"/>
  <c r="C104" i="22"/>
  <c r="AI14" i="25"/>
  <c r="AI15" i="25" s="1"/>
  <c r="AI38" i="25"/>
  <c r="AI39" i="25" s="1"/>
  <c r="AI203" i="23"/>
  <c r="K203" i="23" s="1"/>
  <c r="AI204" i="23"/>
  <c r="AI120" i="23"/>
  <c r="AI45" i="23"/>
  <c r="AI18" i="23"/>
  <c r="AI22" i="23"/>
  <c r="AH22" i="23"/>
  <c r="AG22" i="23"/>
  <c r="AE22" i="23"/>
  <c r="AD22" i="23"/>
  <c r="AC22" i="23"/>
  <c r="AA22" i="23"/>
  <c r="Z22" i="23"/>
  <c r="Y22" i="23"/>
  <c r="W22" i="23"/>
  <c r="V22" i="23"/>
  <c r="U22" i="23"/>
  <c r="S22" i="23"/>
  <c r="R22" i="23"/>
  <c r="Q22" i="23"/>
  <c r="O22" i="23"/>
  <c r="N22" i="23"/>
  <c r="M22" i="23"/>
  <c r="I22" i="23"/>
  <c r="G22" i="23"/>
  <c r="F22" i="23"/>
  <c r="E22" i="23"/>
  <c r="D22" i="23"/>
  <c r="AH72" i="23"/>
  <c r="AH73" i="23" s="1"/>
  <c r="AH65" i="23"/>
  <c r="AH55" i="23" s="1"/>
  <c r="AI219" i="23"/>
  <c r="AI208" i="23"/>
  <c r="AI157" i="23"/>
  <c r="AI154" i="23"/>
  <c r="AI143" i="23"/>
  <c r="AI127" i="23"/>
  <c r="AI118" i="23"/>
  <c r="AI117" i="23"/>
  <c r="AI114" i="23"/>
  <c r="AI109" i="23"/>
  <c r="AI104" i="23"/>
  <c r="AI103" i="23"/>
  <c r="AI102" i="23"/>
  <c r="AI99" i="23"/>
  <c r="AI93" i="23"/>
  <c r="AI83" i="23"/>
  <c r="AI59" i="23"/>
  <c r="AI43" i="23"/>
  <c r="AI41" i="23"/>
  <c r="AI40" i="23"/>
  <c r="AI35" i="23"/>
  <c r="AI34" i="23"/>
  <c r="AI33" i="23"/>
  <c r="AI32" i="23"/>
  <c r="AI31" i="23"/>
  <c r="AI10" i="23"/>
  <c r="AI11" i="23" s="1"/>
  <c r="AI8" i="23"/>
  <c r="AH120" i="23"/>
  <c r="J147" i="22"/>
  <c r="J148" i="22" s="1"/>
  <c r="C166" i="22"/>
  <c r="C161" i="22"/>
  <c r="C160" i="22"/>
  <c r="J142" i="22"/>
  <c r="E149" i="22" s="1"/>
  <c r="C182" i="22"/>
  <c r="C153" i="22"/>
  <c r="C147" i="22"/>
  <c r="AH38" i="25"/>
  <c r="AH39" i="25" s="1"/>
  <c r="AH239" i="23"/>
  <c r="AH118" i="23"/>
  <c r="AH117" i="23"/>
  <c r="AH114" i="23"/>
  <c r="AH109" i="23"/>
  <c r="AH45" i="23"/>
  <c r="AH18" i="23"/>
  <c r="AH219" i="23"/>
  <c r="AH208" i="23"/>
  <c r="AH259" i="23"/>
  <c r="AH180" i="23"/>
  <c r="AH175" i="23"/>
  <c r="AH174" i="23"/>
  <c r="AH171" i="23"/>
  <c r="AH170" i="23"/>
  <c r="AH167" i="23"/>
  <c r="AH166" i="23"/>
  <c r="AH165" i="23"/>
  <c r="AH157" i="23"/>
  <c r="AH154" i="23"/>
  <c r="AH143" i="23"/>
  <c r="AH127" i="23"/>
  <c r="AH104" i="23"/>
  <c r="AH103" i="23"/>
  <c r="AH102" i="23"/>
  <c r="AH99" i="23"/>
  <c r="AH93" i="23"/>
  <c r="AH83" i="23"/>
  <c r="AH59" i="23"/>
  <c r="AH56" i="23"/>
  <c r="AH43" i="23"/>
  <c r="AH40" i="23"/>
  <c r="AH35" i="23"/>
  <c r="AH34" i="23"/>
  <c r="AH33" i="23"/>
  <c r="AH32" i="23"/>
  <c r="AH31" i="23"/>
  <c r="AH10" i="23"/>
  <c r="AH8" i="23"/>
  <c r="J189" i="22"/>
  <c r="J190" i="22" s="1"/>
  <c r="C208" i="22"/>
  <c r="C203" i="22"/>
  <c r="C202" i="22"/>
  <c r="J184" i="22"/>
  <c r="E198" i="22" s="1"/>
  <c r="C195" i="22"/>
  <c r="C189" i="22"/>
  <c r="AG67" i="25"/>
  <c r="AG58" i="25"/>
  <c r="AG59" i="25" s="1"/>
  <c r="AG38" i="25"/>
  <c r="AG39" i="25" s="1"/>
  <c r="AG14" i="25"/>
  <c r="AG15" i="25" s="1"/>
  <c r="AG120" i="23"/>
  <c r="AG45" i="23"/>
  <c r="AG18" i="23"/>
  <c r="D38" i="22" l="1"/>
  <c r="E22" i="22"/>
  <c r="E12" i="22"/>
  <c r="E29" i="22"/>
  <c r="E9" i="22"/>
  <c r="E15" i="22"/>
  <c r="C20" i="22"/>
  <c r="E27" i="22"/>
  <c r="C24" i="22"/>
  <c r="C30" i="22" s="1"/>
  <c r="E21" i="22"/>
  <c r="E20" i="22" s="1"/>
  <c r="E25" i="22"/>
  <c r="D44" i="22"/>
  <c r="E16" i="22"/>
  <c r="D45" i="22"/>
  <c r="E10" i="22"/>
  <c r="E17" i="22"/>
  <c r="D46" i="22"/>
  <c r="E18" i="22"/>
  <c r="K71" i="25"/>
  <c r="K72" i="25"/>
  <c r="K73" i="25"/>
  <c r="K74" i="25"/>
  <c r="AK39" i="25"/>
  <c r="AK42" i="25"/>
  <c r="AK43" i="25"/>
  <c r="AK15" i="25"/>
  <c r="AK68" i="25"/>
  <c r="AG42" i="25"/>
  <c r="AK19" i="25"/>
  <c r="AK20" i="25"/>
  <c r="AK18" i="25"/>
  <c r="AK21" i="25"/>
  <c r="AK31" i="25"/>
  <c r="AJ74" i="25"/>
  <c r="AJ73" i="25"/>
  <c r="AJ72" i="25"/>
  <c r="AJ71" i="25"/>
  <c r="J76" i="25"/>
  <c r="C69" i="22"/>
  <c r="AJ257" i="23"/>
  <c r="AK11" i="23"/>
  <c r="J51" i="22"/>
  <c r="D85" i="22" s="1"/>
  <c r="C70" i="22"/>
  <c r="J56" i="23"/>
  <c r="J41" i="23"/>
  <c r="AJ120" i="23"/>
  <c r="C73" i="22" s="1"/>
  <c r="J68" i="25"/>
  <c r="K7" i="23"/>
  <c r="AK205" i="23"/>
  <c r="AK36" i="23"/>
  <c r="AK249" i="23"/>
  <c r="AK46" i="23"/>
  <c r="AK51" i="23" s="1"/>
  <c r="AK23" i="23"/>
  <c r="AK25" i="23" s="1"/>
  <c r="AK248" i="23"/>
  <c r="AK125" i="23"/>
  <c r="AK183" i="23"/>
  <c r="AK147" i="23"/>
  <c r="AK121" i="23"/>
  <c r="AJ36" i="23"/>
  <c r="AK37" i="23"/>
  <c r="AK84" i="23"/>
  <c r="AK144" i="23" s="1"/>
  <c r="AJ22" i="23"/>
  <c r="AJ33" i="23"/>
  <c r="J99" i="22"/>
  <c r="E107" i="22" s="1"/>
  <c r="AJ35" i="23"/>
  <c r="J204" i="23"/>
  <c r="J259" i="23" s="1"/>
  <c r="AK148" i="23"/>
  <c r="AK213" i="23" s="1"/>
  <c r="J100" i="23"/>
  <c r="AJ259" i="23"/>
  <c r="AJ45" i="23"/>
  <c r="K45" i="23" s="1"/>
  <c r="J203" i="23"/>
  <c r="AJ18" i="23"/>
  <c r="K18" i="23" s="1"/>
  <c r="J42" i="25"/>
  <c r="AH42" i="25"/>
  <c r="AH44" i="25" s="1"/>
  <c r="AG43" i="25"/>
  <c r="AG44" i="25" s="1"/>
  <c r="AI42" i="25"/>
  <c r="J43" i="25"/>
  <c r="AH43" i="25"/>
  <c r="AI43" i="25"/>
  <c r="AI22" i="25"/>
  <c r="AH15" i="25"/>
  <c r="AH21" i="25"/>
  <c r="AI21" i="25"/>
  <c r="J22" i="25"/>
  <c r="AH30" i="25"/>
  <c r="AG22" i="25"/>
  <c r="AH22" i="25"/>
  <c r="AI30" i="25"/>
  <c r="AI20" i="25"/>
  <c r="J21" i="25"/>
  <c r="AG18" i="25"/>
  <c r="J18" i="25"/>
  <c r="AH18" i="25"/>
  <c r="AG19" i="25"/>
  <c r="AI18" i="25"/>
  <c r="J19" i="25"/>
  <c r="AH19" i="25"/>
  <c r="AG20" i="25"/>
  <c r="AI19" i="25"/>
  <c r="J20" i="25"/>
  <c r="AH20" i="25"/>
  <c r="AG21" i="25"/>
  <c r="AJ66" i="25"/>
  <c r="AJ38" i="25"/>
  <c r="AJ42" i="25" s="1"/>
  <c r="AJ57" i="25"/>
  <c r="AJ13" i="25"/>
  <c r="J119" i="23"/>
  <c r="J165" i="23"/>
  <c r="J249" i="23"/>
  <c r="AJ118" i="23"/>
  <c r="AJ166" i="23"/>
  <c r="AJ40" i="23"/>
  <c r="AI68" i="25"/>
  <c r="J40" i="23"/>
  <c r="AJ117" i="23"/>
  <c r="AJ180" i="23"/>
  <c r="AJ236" i="23"/>
  <c r="AJ102" i="23"/>
  <c r="AJ104" i="23"/>
  <c r="AJ34" i="23"/>
  <c r="AJ103" i="23"/>
  <c r="AJ10" i="23"/>
  <c r="AJ11" i="23" s="1"/>
  <c r="AJ31" i="23"/>
  <c r="AJ32" i="23"/>
  <c r="J176" i="23"/>
  <c r="AJ56" i="23"/>
  <c r="AJ240" i="23"/>
  <c r="AJ157" i="23"/>
  <c r="AJ167" i="23"/>
  <c r="J55" i="23"/>
  <c r="J19" i="23"/>
  <c r="J44" i="23" s="1"/>
  <c r="J46" i="23" s="1"/>
  <c r="J86" i="23" s="1"/>
  <c r="J169" i="23"/>
  <c r="AJ99" i="23"/>
  <c r="AJ100" i="23" s="1"/>
  <c r="AJ169" i="23"/>
  <c r="J177" i="23"/>
  <c r="J171" i="23"/>
  <c r="J90" i="23"/>
  <c r="J256" i="23"/>
  <c r="J37" i="23"/>
  <c r="C121" i="22"/>
  <c r="C130" i="22" s="1"/>
  <c r="C131" i="22" s="1"/>
  <c r="AI259" i="23"/>
  <c r="J184" i="23"/>
  <c r="C116" i="22"/>
  <c r="C120" i="22" s="1"/>
  <c r="AI222" i="23"/>
  <c r="AI249" i="23"/>
  <c r="E191" i="22"/>
  <c r="AI119" i="23"/>
  <c r="AI121" i="23" s="1"/>
  <c r="AH176" i="23"/>
  <c r="E178" i="22"/>
  <c r="AI148" i="23"/>
  <c r="AI213" i="23" s="1"/>
  <c r="AH69" i="23"/>
  <c r="AJ69" i="23" s="1"/>
  <c r="E223" i="22"/>
  <c r="C159" i="22"/>
  <c r="C163" i="22" s="1"/>
  <c r="AI19" i="23"/>
  <c r="AI23" i="23" s="1"/>
  <c r="AH148" i="23"/>
  <c r="AH213" i="23" s="1"/>
  <c r="AH68" i="25"/>
  <c r="AI184" i="23"/>
  <c r="E203" i="22"/>
  <c r="C164" i="22"/>
  <c r="C173" i="22" s="1"/>
  <c r="C175" i="22" s="1"/>
  <c r="E179" i="22"/>
  <c r="E180" i="22"/>
  <c r="AH177" i="23"/>
  <c r="E181" i="22"/>
  <c r="AH19" i="23"/>
  <c r="E161" i="22"/>
  <c r="AH41" i="23"/>
  <c r="AH119" i="23"/>
  <c r="AH125" i="23" s="1"/>
  <c r="E150" i="22"/>
  <c r="E157" i="22"/>
  <c r="E156" i="22"/>
  <c r="E151" i="22"/>
  <c r="E166" i="22"/>
  <c r="E148" i="22"/>
  <c r="E154" i="22"/>
  <c r="E155" i="22"/>
  <c r="E160" i="22"/>
  <c r="AH241" i="23"/>
  <c r="AH230" i="23"/>
  <c r="AH231" i="23"/>
  <c r="E193" i="22"/>
  <c r="C206" i="22"/>
  <c r="C215" i="22" s="1"/>
  <c r="C217" i="22" s="1"/>
  <c r="AH184" i="23"/>
  <c r="AH222" i="23"/>
  <c r="AH232" i="23"/>
  <c r="AH240" i="23"/>
  <c r="AH249" i="23"/>
  <c r="AH169" i="23"/>
  <c r="AH234" i="23"/>
  <c r="AH11" i="23"/>
  <c r="AH235" i="23"/>
  <c r="AH255" i="23"/>
  <c r="E220" i="22"/>
  <c r="AH236" i="23"/>
  <c r="AH256" i="23"/>
  <c r="E221" i="22"/>
  <c r="AH245" i="23"/>
  <c r="E222" i="22"/>
  <c r="C201" i="22"/>
  <c r="C205" i="22" s="1"/>
  <c r="E208" i="22"/>
  <c r="C224" i="22"/>
  <c r="E197" i="22"/>
  <c r="E202" i="22"/>
  <c r="E190" i="22"/>
  <c r="E196" i="22"/>
  <c r="E199" i="22"/>
  <c r="E192" i="22"/>
  <c r="I88" i="23"/>
  <c r="AF76" i="23"/>
  <c r="AF71" i="23"/>
  <c r="AF70" i="23"/>
  <c r="AF66" i="23"/>
  <c r="AF170" i="23" s="1"/>
  <c r="AF63" i="23"/>
  <c r="AH88" i="23" s="1"/>
  <c r="AF62" i="23"/>
  <c r="I73" i="23"/>
  <c r="I67" i="23"/>
  <c r="AF67" i="23" s="1"/>
  <c r="I65" i="23"/>
  <c r="I90" i="23" s="1"/>
  <c r="I61" i="23"/>
  <c r="AF61" i="23" s="1"/>
  <c r="AG259" i="23"/>
  <c r="AG222" i="23"/>
  <c r="AK223" i="23" s="1"/>
  <c r="AG219" i="23"/>
  <c r="AG208" i="23"/>
  <c r="AG157" i="23"/>
  <c r="AK158" i="23" s="1"/>
  <c r="AG154" i="23"/>
  <c r="AG143" i="23"/>
  <c r="AG127" i="23"/>
  <c r="AG249" i="23"/>
  <c r="AG118" i="23"/>
  <c r="AG117" i="23"/>
  <c r="AG114" i="23"/>
  <c r="AG109" i="23"/>
  <c r="AG104" i="23"/>
  <c r="AG103" i="23"/>
  <c r="AG102" i="23"/>
  <c r="AG99" i="23"/>
  <c r="AG93" i="23"/>
  <c r="AG83" i="23"/>
  <c r="AG59" i="23"/>
  <c r="AG43" i="23"/>
  <c r="AG41" i="23"/>
  <c r="AG40" i="23"/>
  <c r="AG35" i="23"/>
  <c r="AG34" i="23"/>
  <c r="AG33" i="23"/>
  <c r="AG32" i="23"/>
  <c r="AG31" i="23"/>
  <c r="AG10" i="23"/>
  <c r="AG19" i="23" s="1"/>
  <c r="AG8" i="23"/>
  <c r="C256" i="23"/>
  <c r="C255" i="23"/>
  <c r="V256" i="23"/>
  <c r="F256" i="23"/>
  <c r="E256" i="23"/>
  <c r="D256" i="23"/>
  <c r="V255" i="23"/>
  <c r="F255" i="23"/>
  <c r="E255" i="23"/>
  <c r="D255" i="23"/>
  <c r="AE259" i="23"/>
  <c r="AC259" i="23"/>
  <c r="AA259" i="23"/>
  <c r="W259" i="23"/>
  <c r="V259" i="23"/>
  <c r="U259" i="23"/>
  <c r="S259" i="23"/>
  <c r="R259" i="23"/>
  <c r="Q259" i="23"/>
  <c r="O259" i="23"/>
  <c r="N259" i="23"/>
  <c r="M259" i="23"/>
  <c r="F259" i="23"/>
  <c r="E259" i="23"/>
  <c r="D259" i="23"/>
  <c r="C259" i="23"/>
  <c r="C265" i="22"/>
  <c r="C264" i="22"/>
  <c r="J231" i="22"/>
  <c r="J232" i="22" s="1"/>
  <c r="C245" i="22"/>
  <c r="C244" i="22"/>
  <c r="J226" i="22"/>
  <c r="C237" i="22"/>
  <c r="C231" i="22"/>
  <c r="AF65" i="25"/>
  <c r="AF74" i="25" s="1"/>
  <c r="AF64" i="25"/>
  <c r="AF73" i="25" s="1"/>
  <c r="AF63" i="25"/>
  <c r="AF62" i="25"/>
  <c r="AF71" i="25" s="1"/>
  <c r="AF56" i="25"/>
  <c r="AF55" i="25"/>
  <c r="AF54" i="25"/>
  <c r="AF53" i="25"/>
  <c r="AF37" i="25"/>
  <c r="AF36" i="25"/>
  <c r="AF12" i="25"/>
  <c r="AF11" i="25"/>
  <c r="AJ28" i="25" s="1"/>
  <c r="AF10" i="25"/>
  <c r="AF9" i="25"/>
  <c r="I67" i="25"/>
  <c r="I58" i="25"/>
  <c r="I59" i="25" s="1"/>
  <c r="I38" i="25"/>
  <c r="I14" i="25"/>
  <c r="I204" i="23"/>
  <c r="AF124" i="23"/>
  <c r="K259" i="23" s="1"/>
  <c r="AF113" i="23"/>
  <c r="AF112" i="23"/>
  <c r="AF108" i="23"/>
  <c r="AF107" i="23"/>
  <c r="AF98" i="23"/>
  <c r="AF97" i="23"/>
  <c r="AF96" i="23"/>
  <c r="AF95" i="23"/>
  <c r="AF27" i="23"/>
  <c r="AF24" i="23"/>
  <c r="AF21" i="23"/>
  <c r="AF20" i="23"/>
  <c r="AF17" i="23"/>
  <c r="AF16" i="23"/>
  <c r="AF15" i="23"/>
  <c r="AF14" i="23"/>
  <c r="AF13" i="23"/>
  <c r="AF9" i="23"/>
  <c r="AF7" i="23"/>
  <c r="AJ8" i="23" s="1"/>
  <c r="AF219" i="23"/>
  <c r="AF208" i="23"/>
  <c r="AF203" i="23"/>
  <c r="AI205" i="23" s="1"/>
  <c r="AF154" i="23"/>
  <c r="AF143" i="23"/>
  <c r="AF127" i="23"/>
  <c r="AF93" i="23"/>
  <c r="AF83" i="23"/>
  <c r="AF59" i="23"/>
  <c r="AF43" i="23"/>
  <c r="I120" i="23"/>
  <c r="I37" i="23" s="1"/>
  <c r="I45" i="23"/>
  <c r="I18" i="23"/>
  <c r="I219" i="23"/>
  <c r="I208" i="23"/>
  <c r="I180" i="23"/>
  <c r="I175" i="23"/>
  <c r="I174" i="23"/>
  <c r="I170" i="23"/>
  <c r="I167" i="23"/>
  <c r="I166" i="23"/>
  <c r="I157" i="23"/>
  <c r="J158" i="23" s="1"/>
  <c r="I154" i="23"/>
  <c r="I143" i="23"/>
  <c r="I127" i="23"/>
  <c r="I118" i="23"/>
  <c r="I117" i="23"/>
  <c r="I114" i="23"/>
  <c r="I109" i="23"/>
  <c r="I36" i="23" s="1"/>
  <c r="I104" i="23"/>
  <c r="I103" i="23"/>
  <c r="I102" i="23"/>
  <c r="I99" i="23"/>
  <c r="I93" i="23"/>
  <c r="I84" i="23"/>
  <c r="I144" i="23" s="1"/>
  <c r="I83" i="23"/>
  <c r="I59" i="23"/>
  <c r="I43" i="23"/>
  <c r="I35" i="23"/>
  <c r="I34" i="23"/>
  <c r="I33" i="23"/>
  <c r="I32" i="23"/>
  <c r="I31" i="23"/>
  <c r="I10" i="23"/>
  <c r="I11" i="23" s="1"/>
  <c r="I8" i="23"/>
  <c r="C308" i="22"/>
  <c r="E8" i="22" l="1"/>
  <c r="E75" i="22"/>
  <c r="E59" i="22"/>
  <c r="E64" i="22"/>
  <c r="D47" i="22"/>
  <c r="D91" i="22"/>
  <c r="D82" i="22"/>
  <c r="E14" i="22"/>
  <c r="E24" i="22" s="1"/>
  <c r="C68" i="22"/>
  <c r="C72" i="22" s="1"/>
  <c r="C74" i="22" s="1"/>
  <c r="D24" i="22"/>
  <c r="C26" i="22"/>
  <c r="AK44" i="25"/>
  <c r="AK23" i="25"/>
  <c r="I76" i="25"/>
  <c r="AJ75" i="25"/>
  <c r="AJ43" i="25"/>
  <c r="AJ44" i="25" s="1"/>
  <c r="AI44" i="25"/>
  <c r="AF72" i="25"/>
  <c r="E58" i="22"/>
  <c r="E57" i="22"/>
  <c r="E70" i="22"/>
  <c r="E114" i="22"/>
  <c r="D90" i="22"/>
  <c r="E69" i="22"/>
  <c r="D84" i="22"/>
  <c r="E111" i="22"/>
  <c r="E60" i="22"/>
  <c r="E66" i="22"/>
  <c r="E73" i="22"/>
  <c r="E118" i="22"/>
  <c r="E65" i="22"/>
  <c r="D83" i="22"/>
  <c r="E63" i="22"/>
  <c r="D92" i="22"/>
  <c r="D93" i="22"/>
  <c r="AK209" i="23"/>
  <c r="E123" i="22"/>
  <c r="E113" i="22"/>
  <c r="E106" i="22"/>
  <c r="E136" i="22"/>
  <c r="E134" i="22"/>
  <c r="E137" i="22"/>
  <c r="E112" i="22"/>
  <c r="E105" i="22"/>
  <c r="E117" i="22"/>
  <c r="E108" i="22"/>
  <c r="E135" i="22"/>
  <c r="AK48" i="23"/>
  <c r="AK38" i="23"/>
  <c r="J255" i="23"/>
  <c r="J257" i="23" s="1"/>
  <c r="AK250" i="23"/>
  <c r="J213" i="23"/>
  <c r="AK53" i="23"/>
  <c r="AK162" i="23" s="1"/>
  <c r="AK50" i="23"/>
  <c r="AK160" i="23"/>
  <c r="AK225" i="23"/>
  <c r="J248" i="23"/>
  <c r="J250" i="23" s="1"/>
  <c r="J272" i="23" s="1"/>
  <c r="AK185" i="23"/>
  <c r="AK129" i="23"/>
  <c r="AK189" i="23" s="1"/>
  <c r="AK140" i="23"/>
  <c r="AK200" i="23" s="1"/>
  <c r="AK123" i="23"/>
  <c r="K123" i="23" s="1"/>
  <c r="AK132" i="23"/>
  <c r="AH23" i="23"/>
  <c r="AH38" i="23" s="1"/>
  <c r="AK212" i="23"/>
  <c r="AK149" i="23"/>
  <c r="AK214" i="23" s="1"/>
  <c r="AK100" i="23"/>
  <c r="AK26" i="23"/>
  <c r="AK28" i="23"/>
  <c r="I39" i="25"/>
  <c r="I42" i="25"/>
  <c r="I43" i="25"/>
  <c r="J49" i="25"/>
  <c r="J44" i="25"/>
  <c r="AJ48" i="25"/>
  <c r="AJ47" i="25"/>
  <c r="AJ39" i="25"/>
  <c r="AG23" i="25"/>
  <c r="AJ27" i="25"/>
  <c r="AI23" i="25"/>
  <c r="AJ26" i="25"/>
  <c r="AF29" i="25"/>
  <c r="AJ29" i="25"/>
  <c r="J23" i="25"/>
  <c r="J31" i="25"/>
  <c r="I15" i="25"/>
  <c r="I21" i="25"/>
  <c r="I20" i="25"/>
  <c r="I19" i="25"/>
  <c r="I18" i="25"/>
  <c r="I22" i="25"/>
  <c r="AH23" i="25"/>
  <c r="AJ67" i="25"/>
  <c r="AJ58" i="25"/>
  <c r="AJ59" i="25" s="1"/>
  <c r="AJ14" i="25"/>
  <c r="J121" i="23"/>
  <c r="J183" i="23"/>
  <c r="J147" i="23"/>
  <c r="J149" i="23" s="1"/>
  <c r="J214" i="23" s="1"/>
  <c r="J125" i="23"/>
  <c r="AJ119" i="23"/>
  <c r="AJ183" i="23" s="1"/>
  <c r="AJ232" i="23"/>
  <c r="AJ55" i="23"/>
  <c r="AJ222" i="23"/>
  <c r="AJ230" i="23"/>
  <c r="AJ235" i="23"/>
  <c r="AJ245" i="23"/>
  <c r="AJ41" i="23"/>
  <c r="AJ231" i="23"/>
  <c r="AJ239" i="23"/>
  <c r="AJ205" i="23"/>
  <c r="AJ209" i="23" s="1"/>
  <c r="AJ242" i="23"/>
  <c r="AJ234" i="23"/>
  <c r="J106" i="22"/>
  <c r="E121" i="22"/>
  <c r="E130" i="22" s="1"/>
  <c r="E131" i="22" s="1"/>
  <c r="J23" i="23"/>
  <c r="J25" i="23" s="1"/>
  <c r="J85" i="23"/>
  <c r="J48" i="23"/>
  <c r="J51" i="23"/>
  <c r="J53" i="23" s="1"/>
  <c r="J162" i="23" s="1"/>
  <c r="AJ173" i="23"/>
  <c r="AJ238" i="23"/>
  <c r="AG23" i="23"/>
  <c r="AJ176" i="23"/>
  <c r="AJ241" i="23"/>
  <c r="J173" i="23"/>
  <c r="C126" i="22"/>
  <c r="C122" i="22"/>
  <c r="AI125" i="23"/>
  <c r="AI147" i="23"/>
  <c r="AI149" i="23" s="1"/>
  <c r="AI214" i="23" s="1"/>
  <c r="AI183" i="23"/>
  <c r="AI248" i="23"/>
  <c r="AI250" i="23" s="1"/>
  <c r="I40" i="23"/>
  <c r="AF88" i="23"/>
  <c r="E201" i="22"/>
  <c r="J149" i="22"/>
  <c r="E159" i="22"/>
  <c r="K37" i="23"/>
  <c r="AI37" i="23"/>
  <c r="AG37" i="23"/>
  <c r="AH37" i="23"/>
  <c r="I56" i="23"/>
  <c r="AF22" i="23"/>
  <c r="AH36" i="23"/>
  <c r="AG36" i="23"/>
  <c r="AI36" i="23"/>
  <c r="AI84" i="23"/>
  <c r="AI144" i="23" s="1"/>
  <c r="AI209" i="23" s="1"/>
  <c r="E206" i="22"/>
  <c r="E215" i="22" s="1"/>
  <c r="E217" i="22" s="1"/>
  <c r="F257" i="23"/>
  <c r="AI44" i="23"/>
  <c r="AI46" i="23" s="1"/>
  <c r="AH242" i="23"/>
  <c r="E164" i="22"/>
  <c r="E173" i="22" s="1"/>
  <c r="E175" i="22" s="1"/>
  <c r="D257" i="23"/>
  <c r="AH44" i="23"/>
  <c r="AH46" i="23" s="1"/>
  <c r="E257" i="23"/>
  <c r="AI129" i="23"/>
  <c r="AI189" i="23" s="1"/>
  <c r="AI185" i="23"/>
  <c r="AI140" i="23"/>
  <c r="AI200" i="23" s="1"/>
  <c r="AI123" i="23"/>
  <c r="AI132" i="23"/>
  <c r="AG84" i="23"/>
  <c r="AG144" i="23" s="1"/>
  <c r="AH183" i="23"/>
  <c r="AH248" i="23"/>
  <c r="AH250" i="23" s="1"/>
  <c r="AH147" i="23"/>
  <c r="AH149" i="23" s="1"/>
  <c r="AH214" i="23" s="1"/>
  <c r="C169" i="22"/>
  <c r="V257" i="23"/>
  <c r="AH121" i="23"/>
  <c r="AH123" i="23" s="1"/>
  <c r="AH205" i="23"/>
  <c r="J143" i="22" s="1"/>
  <c r="E182" i="22"/>
  <c r="E147" i="22"/>
  <c r="C165" i="22"/>
  <c r="C167" i="22" s="1"/>
  <c r="E153" i="22"/>
  <c r="J191" i="22"/>
  <c r="AH257" i="23"/>
  <c r="AH238" i="23"/>
  <c r="AH173" i="23"/>
  <c r="AG68" i="25"/>
  <c r="I259" i="23"/>
  <c r="I256" i="23"/>
  <c r="I255" i="23"/>
  <c r="AF255" i="23" s="1"/>
  <c r="I69" i="23"/>
  <c r="AH84" i="23"/>
  <c r="E189" i="22"/>
  <c r="E195" i="22"/>
  <c r="C207" i="22"/>
  <c r="C209" i="22" s="1"/>
  <c r="C266" i="22"/>
  <c r="E239" i="22"/>
  <c r="AF38" i="25"/>
  <c r="AG119" i="23"/>
  <c r="C211" i="22" s="1"/>
  <c r="AG44" i="23"/>
  <c r="AG46" i="23" s="1"/>
  <c r="AK47" i="23" s="1"/>
  <c r="AG11" i="23"/>
  <c r="AG184" i="23"/>
  <c r="AG148" i="23"/>
  <c r="AG213" i="23" s="1"/>
  <c r="AF259" i="23"/>
  <c r="C257" i="23"/>
  <c r="AF102" i="23"/>
  <c r="E262" i="22"/>
  <c r="E263" i="22"/>
  <c r="E265" i="22"/>
  <c r="C243" i="22"/>
  <c r="C247" i="22" s="1"/>
  <c r="AF109" i="23"/>
  <c r="AF36" i="23" s="1"/>
  <c r="E264" i="22"/>
  <c r="I249" i="23"/>
  <c r="AF120" i="23"/>
  <c r="AF249" i="23" s="1"/>
  <c r="AF114" i="23"/>
  <c r="AF117" i="23"/>
  <c r="AF245" i="23"/>
  <c r="AF230" i="23"/>
  <c r="C250" i="22"/>
  <c r="E250" i="22" s="1"/>
  <c r="AF99" i="23"/>
  <c r="I68" i="25"/>
  <c r="I119" i="23"/>
  <c r="I183" i="23" s="1"/>
  <c r="AF236" i="23"/>
  <c r="AF240" i="23"/>
  <c r="AF118" i="23"/>
  <c r="AF165" i="23"/>
  <c r="E237" i="22"/>
  <c r="E245" i="22"/>
  <c r="E238" i="22"/>
  <c r="E240" i="22"/>
  <c r="E232" i="22"/>
  <c r="E233" i="22"/>
  <c r="E231" i="22"/>
  <c r="E241" i="22"/>
  <c r="E234" i="22"/>
  <c r="E235" i="22"/>
  <c r="E244" i="22"/>
  <c r="AF231" i="23"/>
  <c r="AF239" i="23"/>
  <c r="AF56" i="23"/>
  <c r="AF222" i="23"/>
  <c r="AJ223" i="23" s="1"/>
  <c r="AF157" i="23"/>
  <c r="AJ158" i="23" s="1"/>
  <c r="AF32" i="23"/>
  <c r="AF33" i="23"/>
  <c r="AF10" i="23"/>
  <c r="AF103" i="23"/>
  <c r="AF31" i="23"/>
  <c r="AF35" i="23"/>
  <c r="AF34" i="23"/>
  <c r="AF40" i="23"/>
  <c r="AF235" i="23"/>
  <c r="AF171" i="23"/>
  <c r="AF84" i="23"/>
  <c r="AF144" i="23" s="1"/>
  <c r="AF180" i="23"/>
  <c r="AF104" i="23"/>
  <c r="AF166" i="23"/>
  <c r="AF174" i="23"/>
  <c r="AF167" i="23"/>
  <c r="AF175" i="23"/>
  <c r="AF232" i="23"/>
  <c r="I19" i="23"/>
  <c r="I23" i="23" s="1"/>
  <c r="I100" i="23"/>
  <c r="I148" i="23"/>
  <c r="I213" i="23" s="1"/>
  <c r="I171" i="23"/>
  <c r="I55" i="23"/>
  <c r="I165" i="23"/>
  <c r="I41" i="23"/>
  <c r="I184" i="23"/>
  <c r="I176" i="23"/>
  <c r="I169" i="23"/>
  <c r="I177" i="23"/>
  <c r="J274" i="22"/>
  <c r="J275" i="22" s="1"/>
  <c r="J269" i="22"/>
  <c r="E305" i="22" s="1"/>
  <c r="C293" i="22"/>
  <c r="C309" i="22"/>
  <c r="C286" i="22"/>
  <c r="C280" i="22"/>
  <c r="C274" i="22"/>
  <c r="AE38" i="25"/>
  <c r="AE120" i="23"/>
  <c r="AE249" i="23" s="1"/>
  <c r="AE45" i="23"/>
  <c r="AE18" i="23"/>
  <c r="AD203" i="23"/>
  <c r="AD204" i="23"/>
  <c r="AD120" i="23"/>
  <c r="AD72" i="23"/>
  <c r="AD65" i="23"/>
  <c r="AD69" i="23" s="1"/>
  <c r="AE219" i="23"/>
  <c r="AE208" i="23"/>
  <c r="AE157" i="23"/>
  <c r="AI158" i="23" s="1"/>
  <c r="AE154" i="23"/>
  <c r="AE143" i="23"/>
  <c r="AE127" i="23"/>
  <c r="AE118" i="23"/>
  <c r="AE117" i="23"/>
  <c r="AE114" i="23"/>
  <c r="AE109" i="23"/>
  <c r="AE104" i="23"/>
  <c r="AE103" i="23"/>
  <c r="AE102" i="23"/>
  <c r="AE99" i="23"/>
  <c r="AE93" i="23"/>
  <c r="AE83" i="23"/>
  <c r="AE59" i="23"/>
  <c r="AE43" i="23"/>
  <c r="AE41" i="23"/>
  <c r="AE40" i="23"/>
  <c r="AE35" i="23"/>
  <c r="AE34" i="23"/>
  <c r="AE33" i="23"/>
  <c r="AE32" i="23"/>
  <c r="AE31" i="23"/>
  <c r="AE10" i="23"/>
  <c r="AE11" i="23" s="1"/>
  <c r="AE8" i="23"/>
  <c r="C413" i="22"/>
  <c r="C412" i="22"/>
  <c r="C351" i="22"/>
  <c r="E62" i="22" l="1"/>
  <c r="D94" i="22"/>
  <c r="E56" i="22"/>
  <c r="D86" i="22"/>
  <c r="D26" i="22"/>
  <c r="C28" i="22"/>
  <c r="E68" i="22"/>
  <c r="E72" i="22" s="1"/>
  <c r="E26" i="22"/>
  <c r="F24" i="22"/>
  <c r="AJ68" i="25"/>
  <c r="AJ76" i="25"/>
  <c r="K75" i="25"/>
  <c r="AH25" i="23"/>
  <c r="E138" i="22"/>
  <c r="E116" i="22"/>
  <c r="E104" i="22"/>
  <c r="E110" i="22"/>
  <c r="C78" i="22"/>
  <c r="AJ125" i="23"/>
  <c r="AI212" i="23"/>
  <c r="AK151" i="23"/>
  <c r="AK192" i="23"/>
  <c r="AK252" i="23"/>
  <c r="AK187" i="23"/>
  <c r="J123" i="23"/>
  <c r="J129" i="23"/>
  <c r="J189" i="23" s="1"/>
  <c r="AK272" i="23"/>
  <c r="AH51" i="23"/>
  <c r="AK227" i="23"/>
  <c r="C76" i="22"/>
  <c r="AF39" i="25"/>
  <c r="AJ49" i="25"/>
  <c r="AF43" i="25"/>
  <c r="AF42" i="25"/>
  <c r="I44" i="25"/>
  <c r="AE39" i="25"/>
  <c r="AE43" i="25"/>
  <c r="AE42" i="25"/>
  <c r="AI49" i="25"/>
  <c r="AJ22" i="25"/>
  <c r="I23" i="25"/>
  <c r="AJ15" i="25"/>
  <c r="AJ21" i="25"/>
  <c r="AJ19" i="25"/>
  <c r="AJ20" i="25"/>
  <c r="AJ18" i="25"/>
  <c r="AJ147" i="23"/>
  <c r="AJ212" i="23" s="1"/>
  <c r="AJ248" i="23"/>
  <c r="J252" i="23"/>
  <c r="J212" i="23"/>
  <c r="J185" i="23"/>
  <c r="J132" i="23"/>
  <c r="J151" i="23" s="1"/>
  <c r="J140" i="23"/>
  <c r="J200" i="23" s="1"/>
  <c r="J60" i="23"/>
  <c r="J225" i="23"/>
  <c r="J265" i="23" s="1"/>
  <c r="J87" i="23"/>
  <c r="J145" i="23" s="1"/>
  <c r="J50" i="23"/>
  <c r="J38" i="23"/>
  <c r="J160" i="23"/>
  <c r="J89" i="23"/>
  <c r="J28" i="23"/>
  <c r="J26" i="23"/>
  <c r="J238" i="23"/>
  <c r="J241" i="23"/>
  <c r="J240" i="23"/>
  <c r="J232" i="23"/>
  <c r="J222" i="23"/>
  <c r="J239" i="23"/>
  <c r="J231" i="23"/>
  <c r="J230" i="23"/>
  <c r="J245" i="23"/>
  <c r="J205" i="23"/>
  <c r="J235" i="23"/>
  <c r="J234" i="23"/>
  <c r="J242" i="23"/>
  <c r="J209" i="23"/>
  <c r="J236" i="23"/>
  <c r="J164" i="23"/>
  <c r="C124" i="22"/>
  <c r="AH60" i="23"/>
  <c r="AH229" i="23" s="1"/>
  <c r="AG248" i="23"/>
  <c r="AG250" i="23" s="1"/>
  <c r="AH48" i="23"/>
  <c r="AI100" i="23"/>
  <c r="K22" i="23"/>
  <c r="AH140" i="23"/>
  <c r="AH200" i="23" s="1"/>
  <c r="AF37" i="23"/>
  <c r="AG125" i="23"/>
  <c r="E163" i="22"/>
  <c r="E165" i="22" s="1"/>
  <c r="AI38" i="23"/>
  <c r="AI25" i="23"/>
  <c r="AI51" i="23"/>
  <c r="AI48" i="23"/>
  <c r="AI151" i="23"/>
  <c r="AI192" i="23"/>
  <c r="AI187" i="23"/>
  <c r="AI252" i="23"/>
  <c r="AG100" i="23"/>
  <c r="AI272" i="23"/>
  <c r="AE14" i="25"/>
  <c r="AE58" i="25"/>
  <c r="AE59" i="25" s="1"/>
  <c r="AH185" i="23"/>
  <c r="AH129" i="23"/>
  <c r="AH189" i="23" s="1"/>
  <c r="AH212" i="23"/>
  <c r="AG121" i="23"/>
  <c r="AG132" i="23" s="1"/>
  <c r="AG183" i="23"/>
  <c r="AH132" i="23"/>
  <c r="AH192" i="23" s="1"/>
  <c r="E205" i="22"/>
  <c r="E207" i="22" s="1"/>
  <c r="E209" i="22" s="1"/>
  <c r="AG205" i="23"/>
  <c r="AH28" i="23"/>
  <c r="AH26" i="23"/>
  <c r="AF69" i="23"/>
  <c r="AG147" i="23"/>
  <c r="AG149" i="23" s="1"/>
  <c r="AG214" i="23" s="1"/>
  <c r="AH252" i="23"/>
  <c r="AH187" i="23"/>
  <c r="AH272" i="23"/>
  <c r="AH144" i="23"/>
  <c r="AH209" i="23" s="1"/>
  <c r="AH100" i="23"/>
  <c r="I257" i="23"/>
  <c r="AF256" i="23"/>
  <c r="AF257" i="23" s="1"/>
  <c r="AD73" i="23"/>
  <c r="AF73" i="23" s="1"/>
  <c r="AF72" i="23"/>
  <c r="AF65" i="23"/>
  <c r="AF90" i="23" s="1"/>
  <c r="E224" i="22"/>
  <c r="I121" i="23"/>
  <c r="I185" i="23" s="1"/>
  <c r="AD255" i="23"/>
  <c r="AD259" i="23"/>
  <c r="AD256" i="23"/>
  <c r="AF148" i="23"/>
  <c r="AF213" i="23" s="1"/>
  <c r="AG51" i="23"/>
  <c r="AK52" i="23" s="1"/>
  <c r="AK161" i="23" s="1"/>
  <c r="AG48" i="23"/>
  <c r="AG25" i="23"/>
  <c r="AG38" i="23"/>
  <c r="I248" i="23"/>
  <c r="I250" i="23" s="1"/>
  <c r="I272" i="23" s="1"/>
  <c r="I125" i="23"/>
  <c r="I147" i="23"/>
  <c r="I149" i="23" s="1"/>
  <c r="I214" i="23" s="1"/>
  <c r="C248" i="22"/>
  <c r="C257" i="22" s="1"/>
  <c r="C259" i="22" s="1"/>
  <c r="AF184" i="23"/>
  <c r="AF119" i="23"/>
  <c r="C253" i="22" s="1"/>
  <c r="E293" i="22"/>
  <c r="AF11" i="23"/>
  <c r="E243" i="22"/>
  <c r="E247" i="22" s="1"/>
  <c r="E277" i="22"/>
  <c r="E278" i="22"/>
  <c r="AF100" i="23"/>
  <c r="I85" i="23"/>
  <c r="I44" i="23"/>
  <c r="I46" i="23" s="1"/>
  <c r="J47" i="23" s="1"/>
  <c r="I25" i="23"/>
  <c r="I38" i="23"/>
  <c r="C291" i="22"/>
  <c r="E291" i="22" s="1"/>
  <c r="E300" i="22" s="1"/>
  <c r="E302" i="22" s="1"/>
  <c r="I173" i="23"/>
  <c r="E283" i="22"/>
  <c r="E307" i="22"/>
  <c r="E306" i="22"/>
  <c r="E284" i="22"/>
  <c r="E287" i="22"/>
  <c r="E274" i="22"/>
  <c r="E276" i="22"/>
  <c r="E308" i="22"/>
  <c r="C290" i="22"/>
  <c r="E280" i="22"/>
  <c r="E288" i="22"/>
  <c r="E275" i="22"/>
  <c r="E281" i="22"/>
  <c r="E282" i="22"/>
  <c r="AE67" i="25"/>
  <c r="AE184" i="23"/>
  <c r="AE148" i="23"/>
  <c r="AE213" i="23" s="1"/>
  <c r="AE119" i="23"/>
  <c r="AE121" i="23" s="1"/>
  <c r="AE19" i="23"/>
  <c r="AE23" i="23" s="1"/>
  <c r="C336" i="22"/>
  <c r="AE222" i="23"/>
  <c r="AI223" i="23" s="1"/>
  <c r="AD38" i="25"/>
  <c r="J317" i="22"/>
  <c r="J318" i="22" s="1"/>
  <c r="C352" i="22"/>
  <c r="C329" i="22"/>
  <c r="C323" i="22"/>
  <c r="C317" i="22"/>
  <c r="AD45" i="23"/>
  <c r="AD18" i="23"/>
  <c r="AD219" i="23"/>
  <c r="AD208" i="23"/>
  <c r="AD240" i="23"/>
  <c r="AD180" i="23"/>
  <c r="AD176" i="23"/>
  <c r="AD175" i="23"/>
  <c r="AD174" i="23"/>
  <c r="AD171" i="23"/>
  <c r="AD170" i="23"/>
  <c r="AD169" i="23"/>
  <c r="AD167" i="23"/>
  <c r="AD166" i="23"/>
  <c r="AD165" i="23"/>
  <c r="AD157" i="23"/>
  <c r="AH158" i="23" s="1"/>
  <c r="AD154" i="23"/>
  <c r="AD143" i="23"/>
  <c r="AD127" i="23"/>
  <c r="AD249" i="23"/>
  <c r="AD118" i="23"/>
  <c r="AD117" i="23"/>
  <c r="AD114" i="23"/>
  <c r="AD109" i="23"/>
  <c r="AD104" i="23"/>
  <c r="AD103" i="23"/>
  <c r="AD102" i="23"/>
  <c r="AD99" i="23"/>
  <c r="AD93" i="23"/>
  <c r="AD83" i="23"/>
  <c r="AD55" i="23"/>
  <c r="AD59" i="23"/>
  <c r="AD56" i="23"/>
  <c r="AD43" i="23"/>
  <c r="AD41" i="23"/>
  <c r="AD40" i="23"/>
  <c r="AD35" i="23"/>
  <c r="AD34" i="23"/>
  <c r="AD33" i="23"/>
  <c r="AD32" i="23"/>
  <c r="AD31" i="23"/>
  <c r="AD10" i="23"/>
  <c r="AD8" i="23"/>
  <c r="E120" i="22" l="1"/>
  <c r="E122" i="22" s="1"/>
  <c r="E124" i="22" s="1"/>
  <c r="F26" i="22"/>
  <c r="E28" i="22"/>
  <c r="AE68" i="25"/>
  <c r="AE76" i="25"/>
  <c r="AH50" i="23"/>
  <c r="AH160" i="23"/>
  <c r="AH225" i="23"/>
  <c r="AH227" i="23" s="1"/>
  <c r="AH53" i="23"/>
  <c r="AH162" i="23" s="1"/>
  <c r="J229" i="23"/>
  <c r="J64" i="23"/>
  <c r="J233" i="23" s="1"/>
  <c r="J135" i="23"/>
  <c r="J195" i="23" s="1"/>
  <c r="J261" i="23"/>
  <c r="J138" i="23"/>
  <c r="J198" i="23" s="1"/>
  <c r="J270" i="23" s="1"/>
  <c r="J187" i="23"/>
  <c r="AJ123" i="23"/>
  <c r="E74" i="22"/>
  <c r="AE44" i="25"/>
  <c r="AF44" i="25"/>
  <c r="AD39" i="25"/>
  <c r="AD42" i="25"/>
  <c r="AD43" i="25"/>
  <c r="AH49" i="25"/>
  <c r="AJ23" i="25"/>
  <c r="AI31" i="25"/>
  <c r="AE15" i="25"/>
  <c r="AE18" i="25"/>
  <c r="AE21" i="25"/>
  <c r="AE19" i="25"/>
  <c r="AE20" i="25"/>
  <c r="AE22" i="25"/>
  <c r="J192" i="23"/>
  <c r="J264" i="23"/>
  <c r="J267" i="23"/>
  <c r="J262" i="23"/>
  <c r="J130" i="23"/>
  <c r="J190" i="23" s="1"/>
  <c r="J137" i="23"/>
  <c r="J197" i="23" s="1"/>
  <c r="J269" i="23" s="1"/>
  <c r="J133" i="23"/>
  <c r="J150" i="23" s="1"/>
  <c r="J146" i="23"/>
  <c r="J210" i="23"/>
  <c r="J227" i="23"/>
  <c r="AH164" i="23"/>
  <c r="AH64" i="23"/>
  <c r="I212" i="23"/>
  <c r="AG212" i="23"/>
  <c r="AG123" i="23"/>
  <c r="AG252" i="23" s="1"/>
  <c r="AI225" i="23"/>
  <c r="AI227" i="23" s="1"/>
  <c r="AI53" i="23"/>
  <c r="AI162" i="23" s="1"/>
  <c r="AI160" i="23"/>
  <c r="AI50" i="23"/>
  <c r="AI28" i="23"/>
  <c r="AI26" i="23"/>
  <c r="AH151" i="23"/>
  <c r="AG185" i="23"/>
  <c r="I140" i="23"/>
  <c r="I200" i="23" s="1"/>
  <c r="AG140" i="23"/>
  <c r="AG200" i="23" s="1"/>
  <c r="I123" i="23"/>
  <c r="AF123" i="23" s="1"/>
  <c r="AF252" i="23" s="1"/>
  <c r="AG129" i="23"/>
  <c r="AG189" i="23" s="1"/>
  <c r="I132" i="23"/>
  <c r="I151" i="23" s="1"/>
  <c r="E167" i="22"/>
  <c r="AD67" i="25"/>
  <c r="AG209" i="23"/>
  <c r="J185" i="22"/>
  <c r="AF241" i="23"/>
  <c r="AF176" i="23"/>
  <c r="AF177" i="23"/>
  <c r="AF242" i="23"/>
  <c r="AH68" i="23"/>
  <c r="AH233" i="23"/>
  <c r="AH168" i="23"/>
  <c r="AF173" i="23"/>
  <c r="AF238" i="23"/>
  <c r="I129" i="23"/>
  <c r="I189" i="23" s="1"/>
  <c r="AE44" i="23"/>
  <c r="AE46" i="23" s="1"/>
  <c r="AH90" i="23"/>
  <c r="AF41" i="23"/>
  <c r="AF169" i="23"/>
  <c r="AF55" i="23"/>
  <c r="AF234" i="23"/>
  <c r="C249" i="22"/>
  <c r="C251" i="22" s="1"/>
  <c r="AD58" i="25"/>
  <c r="AD59" i="25" s="1"/>
  <c r="AF57" i="25"/>
  <c r="AD14" i="25"/>
  <c r="AF13" i="25"/>
  <c r="AF66" i="25"/>
  <c r="AF75" i="25" s="1"/>
  <c r="AG26" i="23"/>
  <c r="AG28" i="23"/>
  <c r="AG272" i="23"/>
  <c r="AG192" i="23"/>
  <c r="AG151" i="23"/>
  <c r="AG160" i="23"/>
  <c r="AG53" i="23"/>
  <c r="AG162" i="23" s="1"/>
  <c r="AG225" i="23"/>
  <c r="AK226" i="23" s="1"/>
  <c r="AG50" i="23"/>
  <c r="AD257" i="23"/>
  <c r="AF248" i="23"/>
  <c r="AF183" i="23"/>
  <c r="AF121" i="23"/>
  <c r="AF185" i="23" s="1"/>
  <c r="AF125" i="23"/>
  <c r="E248" i="22"/>
  <c r="E257" i="22" s="1"/>
  <c r="E259" i="22" s="1"/>
  <c r="J233" i="22"/>
  <c r="AF147" i="23"/>
  <c r="AF212" i="23" s="1"/>
  <c r="J276" i="22"/>
  <c r="C300" i="22"/>
  <c r="C302" i="22" s="1"/>
  <c r="AD19" i="23"/>
  <c r="AD23" i="23" s="1"/>
  <c r="E266" i="22"/>
  <c r="I51" i="23"/>
  <c r="I48" i="23"/>
  <c r="I86" i="23"/>
  <c r="AE248" i="23"/>
  <c r="AE125" i="23"/>
  <c r="AE147" i="23"/>
  <c r="AE149" i="23" s="1"/>
  <c r="AE214" i="23" s="1"/>
  <c r="AE183" i="23"/>
  <c r="I89" i="23"/>
  <c r="I28" i="23"/>
  <c r="I26" i="23"/>
  <c r="E286" i="22"/>
  <c r="E290" i="22" s="1"/>
  <c r="C296" i="22"/>
  <c r="C292" i="22"/>
  <c r="C294" i="22" s="1"/>
  <c r="AE25" i="23"/>
  <c r="AD119" i="23"/>
  <c r="AE140" i="23"/>
  <c r="AE200" i="23" s="1"/>
  <c r="AE123" i="23"/>
  <c r="AE132" i="23"/>
  <c r="AE129" i="23"/>
  <c r="AE189" i="23" s="1"/>
  <c r="AE185" i="23"/>
  <c r="C334" i="22"/>
  <c r="C343" i="22" s="1"/>
  <c r="C345" i="22" s="1"/>
  <c r="J312" i="22"/>
  <c r="AD234" i="23"/>
  <c r="AD241" i="23"/>
  <c r="C333" i="22"/>
  <c r="AD242" i="23"/>
  <c r="AD177" i="23"/>
  <c r="AD245" i="23"/>
  <c r="AD11" i="23"/>
  <c r="AD230" i="23"/>
  <c r="AD148" i="23"/>
  <c r="AD213" i="23" s="1"/>
  <c r="AD235" i="23"/>
  <c r="AD231" i="23"/>
  <c r="AD239" i="23"/>
  <c r="AD236" i="23"/>
  <c r="AD184" i="23"/>
  <c r="AD222" i="23"/>
  <c r="AH223" i="23" s="1"/>
  <c r="AD232" i="23"/>
  <c r="C392" i="22"/>
  <c r="AD68" i="25" l="1"/>
  <c r="AD76" i="25"/>
  <c r="J168" i="23"/>
  <c r="J68" i="23"/>
  <c r="J74" i="23" s="1"/>
  <c r="E76" i="22"/>
  <c r="AD44" i="25"/>
  <c r="AH31" i="25"/>
  <c r="AJ30" i="25"/>
  <c r="AD15" i="25"/>
  <c r="AD19" i="25"/>
  <c r="AD20" i="25"/>
  <c r="AD18" i="25"/>
  <c r="AD21" i="25"/>
  <c r="AD22" i="25"/>
  <c r="AE23" i="25"/>
  <c r="J193" i="23"/>
  <c r="AG187" i="23"/>
  <c r="I60" i="23"/>
  <c r="I64" i="23" s="1"/>
  <c r="I68" i="23" s="1"/>
  <c r="J52" i="23"/>
  <c r="J161" i="23" s="1"/>
  <c r="J211" i="23"/>
  <c r="J215" i="23"/>
  <c r="J216" i="23"/>
  <c r="J237" i="23"/>
  <c r="J172" i="23"/>
  <c r="J91" i="23"/>
  <c r="I187" i="23"/>
  <c r="AE48" i="23"/>
  <c r="AI47" i="23"/>
  <c r="I252" i="23"/>
  <c r="AF58" i="25"/>
  <c r="AF59" i="25" s="1"/>
  <c r="AF67" i="25"/>
  <c r="AF14" i="25"/>
  <c r="AE51" i="23"/>
  <c r="AI52" i="23" s="1"/>
  <c r="AI161" i="23" s="1"/>
  <c r="I192" i="23"/>
  <c r="AH237" i="23"/>
  <c r="AH172" i="23"/>
  <c r="AH74" i="23"/>
  <c r="AH75" i="23" s="1"/>
  <c r="AF140" i="23"/>
  <c r="AF200" i="23" s="1"/>
  <c r="AD25" i="23"/>
  <c r="AF250" i="23"/>
  <c r="AG227" i="23"/>
  <c r="AE250" i="23"/>
  <c r="E249" i="22"/>
  <c r="E251" i="22" s="1"/>
  <c r="AF129" i="23"/>
  <c r="AF189" i="23" s="1"/>
  <c r="AF132" i="23"/>
  <c r="AD44" i="23"/>
  <c r="AD46" i="23" s="1"/>
  <c r="AH47" i="23" s="1"/>
  <c r="AF149" i="23"/>
  <c r="AF214" i="23" s="1"/>
  <c r="AF187" i="23"/>
  <c r="AE212" i="23"/>
  <c r="I87" i="23"/>
  <c r="I135" i="23" s="1"/>
  <c r="I195" i="23" s="1"/>
  <c r="I50" i="23"/>
  <c r="I160" i="23"/>
  <c r="I53" i="23"/>
  <c r="I162" i="23" s="1"/>
  <c r="C339" i="22"/>
  <c r="E330" i="22"/>
  <c r="E292" i="22"/>
  <c r="AE38" i="23"/>
  <c r="E318" i="22"/>
  <c r="E324" i="22"/>
  <c r="E331" i="22"/>
  <c r="E336" i="22"/>
  <c r="E323" i="22"/>
  <c r="E327" i="22"/>
  <c r="E334" i="22"/>
  <c r="E343" i="22" s="1"/>
  <c r="E345" i="22" s="1"/>
  <c r="E320" i="22"/>
  <c r="E325" i="22"/>
  <c r="E321" i="22"/>
  <c r="E319" i="22"/>
  <c r="E317" i="22"/>
  <c r="C335" i="22"/>
  <c r="C337" i="22" s="1"/>
  <c r="AD147" i="23"/>
  <c r="AD212" i="23" s="1"/>
  <c r="AD183" i="23"/>
  <c r="AD121" i="23"/>
  <c r="AD132" i="23" s="1"/>
  <c r="AD125" i="23"/>
  <c r="AD248" i="23"/>
  <c r="AE28" i="23"/>
  <c r="AE26" i="23"/>
  <c r="AE252" i="23"/>
  <c r="AE187" i="23"/>
  <c r="AE192" i="23"/>
  <c r="AE151" i="23"/>
  <c r="E326" i="22"/>
  <c r="E349" i="22"/>
  <c r="E351" i="22"/>
  <c r="E350" i="22"/>
  <c r="E348" i="22"/>
  <c r="J319" i="22"/>
  <c r="AD173" i="23"/>
  <c r="AD238" i="23"/>
  <c r="J353" i="22"/>
  <c r="J358" i="22"/>
  <c r="J359" i="22" s="1"/>
  <c r="AC120" i="23"/>
  <c r="K184" i="23" s="1"/>
  <c r="C377" i="22"/>
  <c r="C393" i="22"/>
  <c r="C370" i="22"/>
  <c r="C364" i="22"/>
  <c r="C358" i="22"/>
  <c r="AC67" i="25"/>
  <c r="AC58" i="25"/>
  <c r="AC59" i="25" s="1"/>
  <c r="AC38" i="25"/>
  <c r="AC14" i="25"/>
  <c r="K219" i="23"/>
  <c r="K208" i="23"/>
  <c r="K154" i="23"/>
  <c r="K143" i="23"/>
  <c r="K127" i="23"/>
  <c r="K114" i="23"/>
  <c r="K93" i="23"/>
  <c r="K83" i="23"/>
  <c r="K59" i="23"/>
  <c r="K43" i="23"/>
  <c r="H120" i="23"/>
  <c r="AB120" i="23" s="1"/>
  <c r="H72" i="23"/>
  <c r="H73" i="23" s="1"/>
  <c r="H67" i="23"/>
  <c r="H171" i="23" s="1"/>
  <c r="H65" i="23"/>
  <c r="H61" i="23"/>
  <c r="AB61" i="23" s="1"/>
  <c r="AC45" i="23"/>
  <c r="AC18" i="23"/>
  <c r="AC219" i="23"/>
  <c r="AC208" i="23"/>
  <c r="AC157" i="23"/>
  <c r="AG158" i="23" s="1"/>
  <c r="AC154" i="23"/>
  <c r="AC143" i="23"/>
  <c r="AC127" i="23"/>
  <c r="AC118" i="23"/>
  <c r="AC117" i="23"/>
  <c r="AC114" i="23"/>
  <c r="AC109" i="23"/>
  <c r="AC104" i="23"/>
  <c r="AC103" i="23"/>
  <c r="AC102" i="23"/>
  <c r="AC99" i="23"/>
  <c r="AC93" i="23"/>
  <c r="AC83" i="23"/>
  <c r="AC59" i="23"/>
  <c r="AC43" i="23"/>
  <c r="AC41" i="23"/>
  <c r="AC40" i="23"/>
  <c r="AC35" i="23"/>
  <c r="AC34" i="23"/>
  <c r="AC33" i="23"/>
  <c r="AC32" i="23"/>
  <c r="AC31" i="23"/>
  <c r="AC10" i="23"/>
  <c r="AC8" i="23"/>
  <c r="C433" i="22"/>
  <c r="C434" i="22" s="1"/>
  <c r="J399" i="22"/>
  <c r="J400" i="22" s="1"/>
  <c r="C411" i="22"/>
  <c r="C405" i="22"/>
  <c r="C399" i="22"/>
  <c r="AB57" i="25"/>
  <c r="AB55" i="25"/>
  <c r="AB54" i="25"/>
  <c r="AB53" i="25"/>
  <c r="AB37" i="25"/>
  <c r="AB36" i="25"/>
  <c r="AB13" i="25"/>
  <c r="AF30" i="25" s="1"/>
  <c r="AB11" i="25"/>
  <c r="AB10" i="25"/>
  <c r="AB9" i="25"/>
  <c r="H67" i="25"/>
  <c r="H58" i="25"/>
  <c r="H59" i="25" s="1"/>
  <c r="H38" i="25"/>
  <c r="H14" i="25"/>
  <c r="AB204" i="23"/>
  <c r="J394" i="22" s="1"/>
  <c r="H45" i="23"/>
  <c r="H21" i="23"/>
  <c r="H18" i="23"/>
  <c r="H8" i="23"/>
  <c r="AB7" i="23"/>
  <c r="AF8" i="23" s="1"/>
  <c r="AB219" i="23"/>
  <c r="AB208" i="23"/>
  <c r="AB154" i="23"/>
  <c r="AB143" i="23"/>
  <c r="AB127" i="23"/>
  <c r="AB124" i="23"/>
  <c r="AB113" i="23"/>
  <c r="AB112" i="23"/>
  <c r="AB108" i="23"/>
  <c r="AB107" i="23"/>
  <c r="AB98" i="23"/>
  <c r="AB97" i="23"/>
  <c r="AB96" i="23"/>
  <c r="AB95" i="23"/>
  <c r="AB93" i="23"/>
  <c r="AB83" i="23"/>
  <c r="AB76" i="23"/>
  <c r="AB71" i="23"/>
  <c r="AB70" i="23"/>
  <c r="AB66" i="23"/>
  <c r="AB170" i="23" s="1"/>
  <c r="AB63" i="23"/>
  <c r="AB62" i="23"/>
  <c r="AB59" i="23"/>
  <c r="AB43" i="23"/>
  <c r="AB27" i="23"/>
  <c r="AB24" i="23"/>
  <c r="AB20" i="23"/>
  <c r="AB17" i="23"/>
  <c r="AB16" i="23"/>
  <c r="AB15" i="23"/>
  <c r="AB14" i="23"/>
  <c r="AB13" i="23"/>
  <c r="AB9" i="23"/>
  <c r="H219" i="23"/>
  <c r="H208" i="23"/>
  <c r="H180" i="23"/>
  <c r="H175" i="23"/>
  <c r="H174" i="23"/>
  <c r="H170" i="23"/>
  <c r="H167" i="23"/>
  <c r="H166" i="23"/>
  <c r="H157" i="23"/>
  <c r="I158" i="23" s="1"/>
  <c r="H154" i="23"/>
  <c r="H143" i="23"/>
  <c r="H127" i="23"/>
  <c r="H118" i="23"/>
  <c r="AB118" i="23" s="1"/>
  <c r="H117" i="23"/>
  <c r="AB117" i="23" s="1"/>
  <c r="H114" i="23"/>
  <c r="H109" i="23"/>
  <c r="H36" i="23" s="1"/>
  <c r="H104" i="23"/>
  <c r="H103" i="23"/>
  <c r="H102" i="23"/>
  <c r="H99" i="23"/>
  <c r="H93" i="23"/>
  <c r="H88" i="23"/>
  <c r="H84" i="23"/>
  <c r="H144" i="23" s="1"/>
  <c r="H83" i="23"/>
  <c r="H59" i="23"/>
  <c r="H43" i="23"/>
  <c r="H35" i="23"/>
  <c r="H34" i="23"/>
  <c r="H33" i="23"/>
  <c r="H32" i="23"/>
  <c r="H31" i="23"/>
  <c r="H10" i="23"/>
  <c r="J440" i="22"/>
  <c r="J441" i="22" s="1"/>
  <c r="C459" i="22"/>
  <c r="J435" i="22"/>
  <c r="E444" i="22" s="1"/>
  <c r="C475" i="22"/>
  <c r="C452" i="22"/>
  <c r="C446" i="22"/>
  <c r="C440" i="22"/>
  <c r="AA66" i="25"/>
  <c r="AA75" i="25" s="1"/>
  <c r="AA64" i="25"/>
  <c r="AA73" i="25" s="1"/>
  <c r="AA63" i="25"/>
  <c r="AA72" i="25" s="1"/>
  <c r="AA62" i="25"/>
  <c r="AA71" i="25" s="1"/>
  <c r="AA58" i="25"/>
  <c r="AA59" i="25" s="1"/>
  <c r="AA38" i="25"/>
  <c r="AA14" i="25"/>
  <c r="AA120" i="23"/>
  <c r="AA45" i="23"/>
  <c r="AA18" i="23"/>
  <c r="AA219" i="23"/>
  <c r="AA208" i="23"/>
  <c r="AA157" i="23"/>
  <c r="AE158" i="23" s="1"/>
  <c r="AA154" i="23"/>
  <c r="AA143" i="23"/>
  <c r="AA127" i="23"/>
  <c r="AA118" i="23"/>
  <c r="AA117" i="23"/>
  <c r="AA114" i="23"/>
  <c r="AA109" i="23"/>
  <c r="AA104" i="23"/>
  <c r="AA103" i="23"/>
  <c r="AA102" i="23"/>
  <c r="AA99" i="23"/>
  <c r="AA93" i="23"/>
  <c r="AA83" i="23"/>
  <c r="AA59" i="23"/>
  <c r="AA43" i="23"/>
  <c r="AA41" i="23"/>
  <c r="AA40" i="23"/>
  <c r="AA35" i="23"/>
  <c r="AA34" i="23"/>
  <c r="AA33" i="23"/>
  <c r="AA32" i="23"/>
  <c r="AA31" i="23"/>
  <c r="AA10" i="23"/>
  <c r="AA11" i="23" s="1"/>
  <c r="AA8" i="23"/>
  <c r="J483" i="22"/>
  <c r="J484" i="22" s="1"/>
  <c r="C502" i="22"/>
  <c r="C518" i="22"/>
  <c r="C495" i="22"/>
  <c r="C489" i="22"/>
  <c r="C483" i="22"/>
  <c r="Z67" i="25"/>
  <c r="Z76" i="25" s="1"/>
  <c r="Z58" i="25"/>
  <c r="Z59" i="25" s="1"/>
  <c r="Z38" i="25"/>
  <c r="Z14" i="25"/>
  <c r="Z204" i="23"/>
  <c r="Z120" i="23"/>
  <c r="C500" i="22" s="1"/>
  <c r="C509" i="22" s="1"/>
  <c r="C511" i="22" s="1"/>
  <c r="Z72" i="23"/>
  <c r="Z73" i="23" s="1"/>
  <c r="Z65" i="23"/>
  <c r="Z69" i="23" s="1"/>
  <c r="V62" i="23"/>
  <c r="X62" i="23" s="1"/>
  <c r="Z45" i="23"/>
  <c r="Z18" i="23"/>
  <c r="Z219" i="23"/>
  <c r="Z208" i="23"/>
  <c r="Z180" i="23"/>
  <c r="Z175" i="23"/>
  <c r="Z174" i="23"/>
  <c r="Z171" i="23"/>
  <c r="Z170" i="23"/>
  <c r="Z167" i="23"/>
  <c r="Z166" i="23"/>
  <c r="Z165" i="23"/>
  <c r="Z157" i="23"/>
  <c r="AD158" i="23" s="1"/>
  <c r="Z154" i="23"/>
  <c r="Z143" i="23"/>
  <c r="Z127" i="23"/>
  <c r="Z118" i="23"/>
  <c r="Z117" i="23"/>
  <c r="Z114" i="23"/>
  <c r="Z109" i="23"/>
  <c r="Z104" i="23"/>
  <c r="Z103" i="23"/>
  <c r="Z102" i="23"/>
  <c r="Z99" i="23"/>
  <c r="Z93" i="23"/>
  <c r="Z83" i="23"/>
  <c r="Z59" i="23"/>
  <c r="Z56" i="23"/>
  <c r="Z43" i="23"/>
  <c r="Z40" i="23"/>
  <c r="Z35" i="23"/>
  <c r="Z34" i="23"/>
  <c r="Z33" i="23"/>
  <c r="Z32" i="23"/>
  <c r="Z31" i="23"/>
  <c r="Z10" i="23"/>
  <c r="Z8" i="23"/>
  <c r="C545" i="22"/>
  <c r="J526" i="22"/>
  <c r="J527" i="22" s="1"/>
  <c r="C561" i="22"/>
  <c r="C538" i="22"/>
  <c r="C532" i="22"/>
  <c r="C526" i="22"/>
  <c r="Y38" i="25"/>
  <c r="Y67" i="25"/>
  <c r="Y58" i="25"/>
  <c r="Y59" i="25" s="1"/>
  <c r="Y14" i="25"/>
  <c r="Y204" i="23"/>
  <c r="Y120" i="23"/>
  <c r="C543" i="22" s="1"/>
  <c r="C552" i="22" s="1"/>
  <c r="C554" i="22" s="1"/>
  <c r="Y8" i="23"/>
  <c r="Y45" i="23"/>
  <c r="Y18" i="23"/>
  <c r="Y219" i="23"/>
  <c r="Y208" i="23"/>
  <c r="Y157" i="23"/>
  <c r="Y154" i="23"/>
  <c r="Y143" i="23"/>
  <c r="Y127" i="23"/>
  <c r="Y118" i="23"/>
  <c r="Y117" i="23"/>
  <c r="Y114" i="23"/>
  <c r="Y109" i="23"/>
  <c r="Y104" i="23"/>
  <c r="Y103" i="23"/>
  <c r="Y102" i="23"/>
  <c r="Y99" i="23"/>
  <c r="Y93" i="23"/>
  <c r="Y83" i="23"/>
  <c r="Y59" i="23"/>
  <c r="Y43" i="23"/>
  <c r="Y41" i="23"/>
  <c r="Y40" i="23"/>
  <c r="Y35" i="23"/>
  <c r="Y34" i="23"/>
  <c r="Y33" i="23"/>
  <c r="Y32" i="23"/>
  <c r="Y31" i="23"/>
  <c r="Y10" i="23"/>
  <c r="G180" i="23"/>
  <c r="G175" i="23"/>
  <c r="G174" i="23"/>
  <c r="G171" i="23"/>
  <c r="G170" i="23"/>
  <c r="G167" i="23"/>
  <c r="G166" i="23"/>
  <c r="G88" i="23"/>
  <c r="F88" i="23"/>
  <c r="X113" i="23"/>
  <c r="X112" i="23"/>
  <c r="X76" i="23"/>
  <c r="X180" i="23" s="1"/>
  <c r="X71" i="23"/>
  <c r="X175" i="23" s="1"/>
  <c r="X70" i="23"/>
  <c r="X174" i="23" s="1"/>
  <c r="X67" i="23"/>
  <c r="X171" i="23" s="1"/>
  <c r="X66" i="23"/>
  <c r="X170" i="23" s="1"/>
  <c r="X63" i="23"/>
  <c r="C581" i="22"/>
  <c r="G72" i="23"/>
  <c r="G65" i="23"/>
  <c r="G169" i="23" s="1"/>
  <c r="G61" i="23"/>
  <c r="X61" i="23" s="1"/>
  <c r="C604" i="22"/>
  <c r="N102" i="23"/>
  <c r="O102" i="23"/>
  <c r="Q102" i="23"/>
  <c r="R102" i="23"/>
  <c r="S102" i="23"/>
  <c r="U102" i="23"/>
  <c r="V102" i="23"/>
  <c r="W102" i="23"/>
  <c r="N103" i="23"/>
  <c r="O103" i="23"/>
  <c r="Q103" i="23"/>
  <c r="R103" i="23"/>
  <c r="S103" i="23"/>
  <c r="U103" i="23"/>
  <c r="V103" i="23"/>
  <c r="W103" i="23"/>
  <c r="N104" i="23"/>
  <c r="O104" i="23"/>
  <c r="Q104" i="23"/>
  <c r="R104" i="23"/>
  <c r="S104" i="23"/>
  <c r="U104" i="23"/>
  <c r="V104" i="23"/>
  <c r="W104" i="23"/>
  <c r="M104" i="23"/>
  <c r="M103" i="23"/>
  <c r="M102" i="23"/>
  <c r="D102" i="23"/>
  <c r="E102" i="23"/>
  <c r="F102" i="23"/>
  <c r="G102" i="23"/>
  <c r="D103" i="23"/>
  <c r="E103" i="23"/>
  <c r="F103" i="23"/>
  <c r="G103" i="23"/>
  <c r="D104" i="23"/>
  <c r="E104" i="23"/>
  <c r="F104" i="23"/>
  <c r="G104" i="23"/>
  <c r="C103" i="23"/>
  <c r="C104" i="23"/>
  <c r="C102" i="23"/>
  <c r="AF68" i="25" l="1"/>
  <c r="AF76" i="25"/>
  <c r="Y76" i="25"/>
  <c r="AC76" i="25"/>
  <c r="H76" i="25"/>
  <c r="J75" i="23"/>
  <c r="J77" i="23" s="1"/>
  <c r="Y39" i="25"/>
  <c r="Y42" i="25"/>
  <c r="Y43" i="25"/>
  <c r="H39" i="25"/>
  <c r="H42" i="25"/>
  <c r="H44" i="25" s="1"/>
  <c r="H43" i="25"/>
  <c r="I49" i="25"/>
  <c r="AF47" i="25"/>
  <c r="Z39" i="25"/>
  <c r="Z43" i="25"/>
  <c r="Z42" i="25"/>
  <c r="AD49" i="25"/>
  <c r="AA39" i="25"/>
  <c r="AA43" i="25"/>
  <c r="AA42" i="25"/>
  <c r="AE49" i="25"/>
  <c r="AC39" i="25"/>
  <c r="AC43" i="25"/>
  <c r="AC42" i="25"/>
  <c r="AC49" i="25"/>
  <c r="AG49" i="25"/>
  <c r="AF48" i="25"/>
  <c r="AE31" i="25"/>
  <c r="AF26" i="25"/>
  <c r="AJ31" i="25"/>
  <c r="AF27" i="25"/>
  <c r="AF28" i="25"/>
  <c r="AF22" i="25"/>
  <c r="AC31" i="25"/>
  <c r="AG31" i="25"/>
  <c r="AD23" i="25"/>
  <c r="I31" i="25"/>
  <c r="AD31" i="25"/>
  <c r="AC15" i="25"/>
  <c r="AC20" i="25"/>
  <c r="AC19" i="25"/>
  <c r="AC22" i="25"/>
  <c r="AC21" i="25"/>
  <c r="AC18" i="25"/>
  <c r="H15" i="25"/>
  <c r="H22" i="25"/>
  <c r="H21" i="25"/>
  <c r="H18" i="25"/>
  <c r="H20" i="25"/>
  <c r="H19" i="25"/>
  <c r="Z15" i="25"/>
  <c r="Z20" i="25"/>
  <c r="Z19" i="25"/>
  <c r="Z21" i="25"/>
  <c r="Z18" i="25"/>
  <c r="Z22" i="25"/>
  <c r="AA15" i="25"/>
  <c r="AA19" i="25"/>
  <c r="AA22" i="25"/>
  <c r="AA20" i="25"/>
  <c r="AA18" i="25"/>
  <c r="AA21" i="25"/>
  <c r="Y15" i="25"/>
  <c r="Y21" i="25"/>
  <c r="Y20" i="25"/>
  <c r="Y19" i="25"/>
  <c r="Y22" i="25"/>
  <c r="Y18" i="25"/>
  <c r="AF15" i="25"/>
  <c r="AF18" i="25"/>
  <c r="AF20" i="25"/>
  <c r="AF19" i="25"/>
  <c r="AF21" i="25"/>
  <c r="AE225" i="23"/>
  <c r="AI226" i="23" s="1"/>
  <c r="J243" i="23"/>
  <c r="J178" i="23"/>
  <c r="AE53" i="23"/>
  <c r="AE162" i="23" s="1"/>
  <c r="AE160" i="23"/>
  <c r="AE50" i="23"/>
  <c r="H37" i="23"/>
  <c r="H22" i="23"/>
  <c r="AE36" i="23"/>
  <c r="AD36" i="23"/>
  <c r="AC36" i="23"/>
  <c r="AD38" i="23"/>
  <c r="AD149" i="23"/>
  <c r="AD214" i="23" s="1"/>
  <c r="I74" i="23"/>
  <c r="I91" i="23"/>
  <c r="AH77" i="23"/>
  <c r="AH243" i="23"/>
  <c r="AH178" i="23"/>
  <c r="AE272" i="23"/>
  <c r="AF272" i="23"/>
  <c r="J521" i="22"/>
  <c r="E472" i="22" s="1"/>
  <c r="Y259" i="23"/>
  <c r="AA203" i="23"/>
  <c r="AA222" i="23" s="1"/>
  <c r="AE223" i="23" s="1"/>
  <c r="Z255" i="23"/>
  <c r="Z256" i="23"/>
  <c r="Z259" i="23"/>
  <c r="AB255" i="23"/>
  <c r="AD250" i="23"/>
  <c r="AD48" i="23"/>
  <c r="AB256" i="23"/>
  <c r="C418" i="22"/>
  <c r="E418" i="22" s="1"/>
  <c r="AB259" i="23"/>
  <c r="AD51" i="23"/>
  <c r="AF151" i="23"/>
  <c r="AF192" i="23"/>
  <c r="E358" i="22"/>
  <c r="AF45" i="23"/>
  <c r="AF18" i="23"/>
  <c r="E329" i="22"/>
  <c r="E333" i="22" s="1"/>
  <c r="E335" i="22" s="1"/>
  <c r="I164" i="23"/>
  <c r="I133" i="23"/>
  <c r="I137" i="23"/>
  <c r="I197" i="23" s="1"/>
  <c r="I269" i="23" s="1"/>
  <c r="I145" i="23"/>
  <c r="I146" i="23" s="1"/>
  <c r="I138" i="23"/>
  <c r="I198" i="23" s="1"/>
  <c r="I270" i="23" s="1"/>
  <c r="I130" i="23"/>
  <c r="I190" i="23" s="1"/>
  <c r="C375" i="22"/>
  <c r="E375" i="22" s="1"/>
  <c r="E384" i="22" s="1"/>
  <c r="E386" i="22" s="1"/>
  <c r="X88" i="23"/>
  <c r="Z88" i="23"/>
  <c r="AB119" i="23"/>
  <c r="AB183" i="23" s="1"/>
  <c r="AB56" i="23"/>
  <c r="E294" i="22"/>
  <c r="E309" i="22"/>
  <c r="AB63" i="25"/>
  <c r="AB72" i="25" s="1"/>
  <c r="AB64" i="25"/>
  <c r="AB73" i="25" s="1"/>
  <c r="AB66" i="25"/>
  <c r="AB75" i="25" s="1"/>
  <c r="K38" i="25"/>
  <c r="K58" i="25"/>
  <c r="K59" i="25" s="1"/>
  <c r="AB62" i="25"/>
  <c r="AB71" i="25" s="1"/>
  <c r="AD140" i="23"/>
  <c r="AD200" i="23" s="1"/>
  <c r="AD129" i="23"/>
  <c r="AD189" i="23" s="1"/>
  <c r="AD123" i="23"/>
  <c r="AD187" i="23" s="1"/>
  <c r="AD185" i="23"/>
  <c r="AD84" i="23"/>
  <c r="AD100" i="23" s="1"/>
  <c r="AE84" i="23"/>
  <c r="AE227" i="23"/>
  <c r="K14" i="25"/>
  <c r="E365" i="22"/>
  <c r="E352" i="22"/>
  <c r="E359" i="22"/>
  <c r="E362" i="22"/>
  <c r="E360" i="22"/>
  <c r="AC68" i="25"/>
  <c r="E367" i="22"/>
  <c r="AB88" i="23"/>
  <c r="AD88" i="23"/>
  <c r="K99" i="23"/>
  <c r="E377" i="22"/>
  <c r="E368" i="22"/>
  <c r="AD151" i="23"/>
  <c r="AD192" i="23"/>
  <c r="E372" i="22"/>
  <c r="AD26" i="23"/>
  <c r="AD28" i="23"/>
  <c r="Y119" i="23"/>
  <c r="Y125" i="23" s="1"/>
  <c r="AC249" i="23"/>
  <c r="E361" i="22"/>
  <c r="K117" i="23"/>
  <c r="H69" i="23"/>
  <c r="AB69" i="23" s="1"/>
  <c r="E371" i="22"/>
  <c r="H68" i="25"/>
  <c r="E364" i="22"/>
  <c r="K109" i="23"/>
  <c r="K36" i="23" s="1"/>
  <c r="AC19" i="23"/>
  <c r="K41" i="23"/>
  <c r="E390" i="22"/>
  <c r="E389" i="22"/>
  <c r="E392" i="22"/>
  <c r="E391" i="22"/>
  <c r="E366" i="22"/>
  <c r="C374" i="22"/>
  <c r="E406" i="22"/>
  <c r="E433" i="22"/>
  <c r="E432" i="22"/>
  <c r="AB203" i="23"/>
  <c r="AB245" i="23" s="1"/>
  <c r="H19" i="23"/>
  <c r="H44" i="23" s="1"/>
  <c r="H46" i="23" s="1"/>
  <c r="H204" i="23"/>
  <c r="AC203" i="23"/>
  <c r="K249" i="23"/>
  <c r="K104" i="23"/>
  <c r="AB21" i="23"/>
  <c r="AB22" i="23" s="1"/>
  <c r="AC158" i="23"/>
  <c r="K102" i="23"/>
  <c r="Z19" i="23"/>
  <c r="Z148" i="23"/>
  <c r="Z213" i="23" s="1"/>
  <c r="AB31" i="23"/>
  <c r="AC84" i="23"/>
  <c r="AC144" i="23" s="1"/>
  <c r="K34" i="23"/>
  <c r="K118" i="23"/>
  <c r="K157" i="23"/>
  <c r="K148" i="23"/>
  <c r="K213" i="23" s="1"/>
  <c r="AC119" i="23"/>
  <c r="AC147" i="23" s="1"/>
  <c r="C416" i="22"/>
  <c r="C425" i="22" s="1"/>
  <c r="C427" i="22" s="1"/>
  <c r="AB73" i="23"/>
  <c r="AB67" i="23"/>
  <c r="AB171" i="23" s="1"/>
  <c r="AC148" i="23"/>
  <c r="AC213" i="23" s="1"/>
  <c r="AC11" i="23"/>
  <c r="AC184" i="23"/>
  <c r="C415" i="22"/>
  <c r="E430" i="22"/>
  <c r="E431" i="22"/>
  <c r="E405" i="22"/>
  <c r="E407" i="22"/>
  <c r="E409" i="22"/>
  <c r="E401" i="22"/>
  <c r="E408" i="22"/>
  <c r="E402" i="22"/>
  <c r="E403" i="22"/>
  <c r="E399" i="22"/>
  <c r="E412" i="22"/>
  <c r="E413" i="22"/>
  <c r="E400" i="22"/>
  <c r="AB38" i="25"/>
  <c r="AB43" i="25" s="1"/>
  <c r="AB58" i="25"/>
  <c r="AB59" i="25" s="1"/>
  <c r="AB14" i="25"/>
  <c r="AF31" i="25" s="1"/>
  <c r="AB10" i="23"/>
  <c r="AB11" i="23" s="1"/>
  <c r="AB32" i="23"/>
  <c r="AB33" i="23"/>
  <c r="AB34" i="23"/>
  <c r="AB84" i="23"/>
  <c r="AB144" i="23" s="1"/>
  <c r="AB35" i="23"/>
  <c r="AB180" i="23"/>
  <c r="AB18" i="23"/>
  <c r="AB109" i="23"/>
  <c r="AB36" i="23" s="1"/>
  <c r="AB45" i="23"/>
  <c r="H11" i="23"/>
  <c r="H100" i="23"/>
  <c r="AB65" i="23"/>
  <c r="AB99" i="23"/>
  <c r="AB249" i="23"/>
  <c r="AB148" i="23"/>
  <c r="AB213" i="23" s="1"/>
  <c r="AB40" i="23"/>
  <c r="AB72" i="23"/>
  <c r="AB114" i="23"/>
  <c r="H148" i="23"/>
  <c r="H40" i="23"/>
  <c r="AB104" i="23"/>
  <c r="AB102" i="23"/>
  <c r="H119" i="23"/>
  <c r="AB103" i="23"/>
  <c r="AB165" i="23"/>
  <c r="AB166" i="23"/>
  <c r="AB174" i="23"/>
  <c r="AB157" i="23"/>
  <c r="AF158" i="23" s="1"/>
  <c r="AB167" i="23"/>
  <c r="AB175" i="23"/>
  <c r="AB184" i="23"/>
  <c r="H55" i="23"/>
  <c r="H90" i="23"/>
  <c r="H56" i="23"/>
  <c r="H165" i="23"/>
  <c r="H184" i="23"/>
  <c r="H41" i="23"/>
  <c r="H176" i="23"/>
  <c r="H169" i="23"/>
  <c r="H177" i="23"/>
  <c r="Z184" i="23"/>
  <c r="Z119" i="23"/>
  <c r="Z248" i="23" s="1"/>
  <c r="E447" i="22"/>
  <c r="E440" i="22"/>
  <c r="C457" i="22"/>
  <c r="C466" i="22" s="1"/>
  <c r="C468" i="22" s="1"/>
  <c r="Z249" i="23"/>
  <c r="AA19" i="23"/>
  <c r="AA23" i="23" s="1"/>
  <c r="Y249" i="23"/>
  <c r="E448" i="22"/>
  <c r="G90" i="23"/>
  <c r="G69" i="23"/>
  <c r="G173" i="23" s="1"/>
  <c r="C456" i="22"/>
  <c r="E453" i="22"/>
  <c r="E449" i="22"/>
  <c r="E442" i="22"/>
  <c r="E443" i="22"/>
  <c r="E459" i="22"/>
  <c r="E450" i="22"/>
  <c r="E446" i="22"/>
  <c r="E454" i="22"/>
  <c r="E441" i="22"/>
  <c r="AA67" i="25"/>
  <c r="AA249" i="23"/>
  <c r="AA119" i="23"/>
  <c r="AA183" i="23" s="1"/>
  <c r="X165" i="23"/>
  <c r="G176" i="23"/>
  <c r="X167" i="23"/>
  <c r="AA148" i="23"/>
  <c r="AA213" i="23" s="1"/>
  <c r="G73" i="23"/>
  <c r="Z203" i="23"/>
  <c r="Z242" i="23" s="1"/>
  <c r="Z68" i="25"/>
  <c r="AA184" i="23"/>
  <c r="G165" i="23"/>
  <c r="Y68" i="25"/>
  <c r="J478" i="22"/>
  <c r="E502" i="22" s="1"/>
  <c r="J485" i="22"/>
  <c r="C499" i="22"/>
  <c r="C501" i="22" s="1"/>
  <c r="Z176" i="23"/>
  <c r="X166" i="23"/>
  <c r="Z11" i="23"/>
  <c r="Z41" i="23"/>
  <c r="Z169" i="23"/>
  <c r="Z177" i="23"/>
  <c r="Z55" i="23"/>
  <c r="J528" i="22"/>
  <c r="C542" i="22"/>
  <c r="Y19" i="23"/>
  <c r="Y23" i="23" s="1"/>
  <c r="Y11" i="23"/>
  <c r="Y184" i="23"/>
  <c r="Y148" i="23"/>
  <c r="Y213" i="23" s="1"/>
  <c r="J569" i="22"/>
  <c r="J570" i="22" s="1"/>
  <c r="G120" i="23"/>
  <c r="C575" i="22"/>
  <c r="C569" i="22"/>
  <c r="X54" i="25"/>
  <c r="X55" i="25"/>
  <c r="X57" i="25"/>
  <c r="X53" i="25"/>
  <c r="X37" i="25"/>
  <c r="AB48" i="25" s="1"/>
  <c r="X36" i="25"/>
  <c r="X10" i="25"/>
  <c r="AB27" i="25" s="1"/>
  <c r="X11" i="25"/>
  <c r="X13" i="25"/>
  <c r="X9" i="25"/>
  <c r="AB26" i="25" s="1"/>
  <c r="G67" i="25"/>
  <c r="G58" i="25"/>
  <c r="G59" i="25" s="1"/>
  <c r="G38" i="25"/>
  <c r="H49" i="25" s="1"/>
  <c r="G14" i="25"/>
  <c r="X204" i="23"/>
  <c r="X255" i="23" s="1"/>
  <c r="X124" i="23"/>
  <c r="X108" i="23"/>
  <c r="X107" i="23"/>
  <c r="X96" i="23"/>
  <c r="X97" i="23"/>
  <c r="X98" i="23"/>
  <c r="X95" i="23"/>
  <c r="X27" i="23"/>
  <c r="X24" i="23"/>
  <c r="X21" i="23"/>
  <c r="X20" i="23"/>
  <c r="X14" i="23"/>
  <c r="X15" i="23"/>
  <c r="X16" i="23"/>
  <c r="X17" i="23"/>
  <c r="X13" i="23"/>
  <c r="X9" i="23"/>
  <c r="X7" i="23"/>
  <c r="G45" i="23"/>
  <c r="G18" i="23"/>
  <c r="X219" i="23"/>
  <c r="X208" i="23"/>
  <c r="X154" i="23"/>
  <c r="X143" i="23"/>
  <c r="X127" i="23"/>
  <c r="X93" i="23"/>
  <c r="X83" i="23"/>
  <c r="X59" i="23"/>
  <c r="X43" i="23"/>
  <c r="G219" i="23"/>
  <c r="G208" i="23"/>
  <c r="G157" i="23"/>
  <c r="H158" i="23" s="1"/>
  <c r="G154" i="23"/>
  <c r="G143" i="23"/>
  <c r="G127" i="23"/>
  <c r="G118" i="23"/>
  <c r="X118" i="23" s="1"/>
  <c r="G117" i="23"/>
  <c r="X117" i="23" s="1"/>
  <c r="G114" i="23"/>
  <c r="G109" i="23"/>
  <c r="G36" i="23" s="1"/>
  <c r="G99" i="23"/>
  <c r="G93" i="23"/>
  <c r="G84" i="23"/>
  <c r="G144" i="23" s="1"/>
  <c r="G83" i="23"/>
  <c r="G41" i="23"/>
  <c r="G56" i="23"/>
  <c r="G59" i="23"/>
  <c r="G55" i="23"/>
  <c r="G43" i="23"/>
  <c r="G35" i="23"/>
  <c r="G34" i="23"/>
  <c r="G33" i="23"/>
  <c r="G32" i="23"/>
  <c r="G31" i="23"/>
  <c r="G10" i="23"/>
  <c r="G8" i="23"/>
  <c r="G76" i="25" l="1"/>
  <c r="AA68" i="25"/>
  <c r="AA76" i="25"/>
  <c r="AJ75" i="23"/>
  <c r="J81" i="23"/>
  <c r="Z44" i="25"/>
  <c r="K42" i="25"/>
  <c r="K43" i="25"/>
  <c r="AA44" i="25"/>
  <c r="AB39" i="25"/>
  <c r="AF49" i="25"/>
  <c r="AB47" i="25"/>
  <c r="AB42" i="25"/>
  <c r="AB44" i="25" s="1"/>
  <c r="Y44" i="25"/>
  <c r="G39" i="25"/>
  <c r="G42" i="25"/>
  <c r="G43" i="25"/>
  <c r="AC44" i="25"/>
  <c r="AB30" i="25"/>
  <c r="AB22" i="25"/>
  <c r="Y23" i="25"/>
  <c r="AC23" i="25"/>
  <c r="H31" i="25"/>
  <c r="AB28" i="25"/>
  <c r="AA23" i="25"/>
  <c r="G15" i="25"/>
  <c r="G22" i="25"/>
  <c r="G19" i="25"/>
  <c r="G21" i="25"/>
  <c r="G20" i="25"/>
  <c r="G18" i="25"/>
  <c r="AF23" i="25"/>
  <c r="AB15" i="25"/>
  <c r="AB21" i="25"/>
  <c r="H23" i="25"/>
  <c r="K21" i="25"/>
  <c r="K20" i="25"/>
  <c r="K19" i="25"/>
  <c r="K18" i="25"/>
  <c r="K22" i="25"/>
  <c r="AB20" i="25"/>
  <c r="AB18" i="25"/>
  <c r="AB19" i="25"/>
  <c r="Z23" i="25"/>
  <c r="J244" i="23"/>
  <c r="J179" i="23"/>
  <c r="Y37" i="23"/>
  <c r="Z37" i="23"/>
  <c r="AA37" i="23"/>
  <c r="Z44" i="23"/>
  <c r="Z46" i="23" s="1"/>
  <c r="Z51" i="23" s="1"/>
  <c r="AD52" i="23" s="1"/>
  <c r="AD161" i="23" s="1"/>
  <c r="Z23" i="23"/>
  <c r="Z38" i="23" s="1"/>
  <c r="X22" i="23"/>
  <c r="AA36" i="23"/>
  <c r="Z36" i="23"/>
  <c r="Y36" i="23"/>
  <c r="G184" i="23"/>
  <c r="G37" i="23"/>
  <c r="AE37" i="23"/>
  <c r="AD37" i="23"/>
  <c r="AC37" i="23"/>
  <c r="AB37" i="23"/>
  <c r="H23" i="23"/>
  <c r="H38" i="23" s="1"/>
  <c r="AC44" i="23"/>
  <c r="AC46" i="23" s="1"/>
  <c r="AG47" i="23" s="1"/>
  <c r="AC23" i="23"/>
  <c r="AC38" i="23" s="1"/>
  <c r="AB248" i="23"/>
  <c r="AB250" i="23" s="1"/>
  <c r="AH52" i="23"/>
  <c r="AH161" i="23" s="1"/>
  <c r="AD160" i="23"/>
  <c r="AD50" i="23"/>
  <c r="AH244" i="23"/>
  <c r="AH179" i="23"/>
  <c r="I75" i="23"/>
  <c r="I77" i="23" s="1"/>
  <c r="AH246" i="23"/>
  <c r="AH181" i="23"/>
  <c r="AD225" i="23"/>
  <c r="AH226" i="23" s="1"/>
  <c r="AF19" i="23"/>
  <c r="AD53" i="23"/>
  <c r="AD162" i="23" s="1"/>
  <c r="E534" i="22"/>
  <c r="E526" i="22"/>
  <c r="E527" i="22"/>
  <c r="E559" i="22"/>
  <c r="E540" i="22"/>
  <c r="E514" i="22"/>
  <c r="E545" i="22"/>
  <c r="E532" i="22"/>
  <c r="E557" i="22"/>
  <c r="E528" i="22"/>
  <c r="E539" i="22"/>
  <c r="E533" i="22"/>
  <c r="E558" i="22"/>
  <c r="E471" i="22"/>
  <c r="E475" i="22" s="1"/>
  <c r="E529" i="22"/>
  <c r="E515" i="22"/>
  <c r="E560" i="22"/>
  <c r="E543" i="22"/>
  <c r="E552" i="22" s="1"/>
  <c r="E554" i="22" s="1"/>
  <c r="E536" i="22"/>
  <c r="E530" i="22"/>
  <c r="E535" i="22"/>
  <c r="AB257" i="23"/>
  <c r="Z257" i="23"/>
  <c r="AC222" i="23"/>
  <c r="AG223" i="23" s="1"/>
  <c r="K205" i="23"/>
  <c r="I203" i="23"/>
  <c r="I209" i="23" s="1"/>
  <c r="AF205" i="23"/>
  <c r="H259" i="23"/>
  <c r="H255" i="23"/>
  <c r="H256" i="23"/>
  <c r="X256" i="23"/>
  <c r="X257" i="23" s="1"/>
  <c r="X259" i="23"/>
  <c r="AD272" i="23"/>
  <c r="AB121" i="23"/>
  <c r="AB132" i="23" s="1"/>
  <c r="AD252" i="23"/>
  <c r="J360" i="22"/>
  <c r="H125" i="23"/>
  <c r="H248" i="23"/>
  <c r="H249" i="23"/>
  <c r="C384" i="22"/>
  <c r="C386" i="22" s="1"/>
  <c r="K67" i="25"/>
  <c r="K76" i="25" s="1"/>
  <c r="AB67" i="25"/>
  <c r="I150" i="23"/>
  <c r="I193" i="23"/>
  <c r="I168" i="23"/>
  <c r="C548" i="22"/>
  <c r="AB125" i="23"/>
  <c r="AD144" i="23"/>
  <c r="H86" i="23"/>
  <c r="I47" i="23"/>
  <c r="AB147" i="23"/>
  <c r="AB149" i="23" s="1"/>
  <c r="AB214" i="23" s="1"/>
  <c r="H48" i="23"/>
  <c r="H51" i="23"/>
  <c r="I52" i="23" s="1"/>
  <c r="I161" i="23" s="1"/>
  <c r="C421" i="22"/>
  <c r="AB230" i="23"/>
  <c r="AB232" i="23"/>
  <c r="E370" i="22"/>
  <c r="E374" i="22" s="1"/>
  <c r="E376" i="22" s="1"/>
  <c r="E378" i="22" s="1"/>
  <c r="AB231" i="23"/>
  <c r="AE205" i="23"/>
  <c r="AD90" i="23"/>
  <c r="AB55" i="23"/>
  <c r="AB240" i="23"/>
  <c r="K39" i="25"/>
  <c r="K15" i="25"/>
  <c r="AE144" i="23"/>
  <c r="AE100" i="23"/>
  <c r="E337" i="22"/>
  <c r="K35" i="23"/>
  <c r="K103" i="23"/>
  <c r="K119" i="23"/>
  <c r="K183" i="23" s="1"/>
  <c r="K40" i="23"/>
  <c r="K33" i="23"/>
  <c r="AD205" i="23"/>
  <c r="J313" i="22" s="1"/>
  <c r="K31" i="23"/>
  <c r="K56" i="23"/>
  <c r="H85" i="23"/>
  <c r="AB242" i="23"/>
  <c r="AB238" i="23"/>
  <c r="AB239" i="23"/>
  <c r="AB234" i="23"/>
  <c r="AB241" i="23"/>
  <c r="AB235" i="23"/>
  <c r="H213" i="23"/>
  <c r="AC248" i="23"/>
  <c r="C380" i="22"/>
  <c r="AB19" i="23"/>
  <c r="AC100" i="23"/>
  <c r="K10" i="23"/>
  <c r="K84" i="23"/>
  <c r="AC183" i="23"/>
  <c r="AB222" i="23"/>
  <c r="AF223" i="23" s="1"/>
  <c r="AB236" i="23"/>
  <c r="K32" i="23"/>
  <c r="K55" i="23"/>
  <c r="AA38" i="23"/>
  <c r="C376" i="22"/>
  <c r="C378" i="22" s="1"/>
  <c r="E393" i="22"/>
  <c r="AB177" i="23"/>
  <c r="AC205" i="23"/>
  <c r="AB100" i="23"/>
  <c r="J401" i="22"/>
  <c r="AC125" i="23"/>
  <c r="AC121" i="23"/>
  <c r="AC140" i="23" s="1"/>
  <c r="AC200" i="23" s="1"/>
  <c r="C417" i="22"/>
  <c r="C419" i="22" s="1"/>
  <c r="E416" i="22"/>
  <c r="E425" i="22" s="1"/>
  <c r="E427" i="22" s="1"/>
  <c r="AC212" i="23"/>
  <c r="AC149" i="23"/>
  <c r="AC214" i="23" s="1"/>
  <c r="E434" i="22"/>
  <c r="E411" i="22"/>
  <c r="E415" i="22" s="1"/>
  <c r="H183" i="23"/>
  <c r="AB173" i="23"/>
  <c r="AB169" i="23"/>
  <c r="AB8" i="23"/>
  <c r="H121" i="23"/>
  <c r="H123" i="23" s="1"/>
  <c r="AB90" i="23"/>
  <c r="H147" i="23"/>
  <c r="H149" i="23" s="1"/>
  <c r="H214" i="23" s="1"/>
  <c r="AB41" i="23"/>
  <c r="Z147" i="23"/>
  <c r="Z212" i="23" s="1"/>
  <c r="AB176" i="23"/>
  <c r="Z183" i="23"/>
  <c r="H173" i="23"/>
  <c r="E486" i="22"/>
  <c r="J442" i="22"/>
  <c r="E491" i="22"/>
  <c r="X102" i="23"/>
  <c r="Z121" i="23"/>
  <c r="Z185" i="23" s="1"/>
  <c r="Z125" i="23"/>
  <c r="Z241" i="23"/>
  <c r="E485" i="22"/>
  <c r="Z245" i="23"/>
  <c r="E483" i="22"/>
  <c r="Z234" i="23"/>
  <c r="E490" i="22"/>
  <c r="Z239" i="23"/>
  <c r="Z231" i="23"/>
  <c r="X104" i="23"/>
  <c r="Z236" i="23"/>
  <c r="E492" i="22"/>
  <c r="Y44" i="23"/>
  <c r="Y46" i="23" s="1"/>
  <c r="Y51" i="23" s="1"/>
  <c r="Z235" i="23"/>
  <c r="E484" i="22"/>
  <c r="E487" i="22"/>
  <c r="E497" i="22"/>
  <c r="C462" i="22"/>
  <c r="Z230" i="23"/>
  <c r="Z222" i="23"/>
  <c r="AD223" i="23" s="1"/>
  <c r="Z240" i="23"/>
  <c r="E500" i="22"/>
  <c r="E509" i="22" s="1"/>
  <c r="E511" i="22" s="1"/>
  <c r="AA44" i="23"/>
  <c r="AA46" i="23" s="1"/>
  <c r="AE47" i="23" s="1"/>
  <c r="E493" i="22"/>
  <c r="E496" i="22"/>
  <c r="E457" i="22"/>
  <c r="E466" i="22" s="1"/>
  <c r="E468" i="22" s="1"/>
  <c r="C458" i="22"/>
  <c r="C460" i="22" s="1"/>
  <c r="E452" i="22"/>
  <c r="E456" i="22" s="1"/>
  <c r="C505" i="22"/>
  <c r="X38" i="25"/>
  <c r="AB49" i="25" s="1"/>
  <c r="AA121" i="23"/>
  <c r="AA185" i="23" s="1"/>
  <c r="AA147" i="23"/>
  <c r="AA212" i="23" s="1"/>
  <c r="AA125" i="23"/>
  <c r="AA248" i="23"/>
  <c r="Y84" i="23"/>
  <c r="Z84" i="23"/>
  <c r="AA84" i="23"/>
  <c r="G177" i="23"/>
  <c r="X203" i="23"/>
  <c r="X222" i="23" s="1"/>
  <c r="Y203" i="23"/>
  <c r="Y222" i="23" s="1"/>
  <c r="Z232" i="23"/>
  <c r="X103" i="23"/>
  <c r="E489" i="22"/>
  <c r="C503" i="22"/>
  <c r="Z173" i="23"/>
  <c r="Z238" i="23"/>
  <c r="Z250" i="23"/>
  <c r="C544" i="22"/>
  <c r="C546" i="22" s="1"/>
  <c r="Y121" i="23"/>
  <c r="Y129" i="23" s="1"/>
  <c r="Y189" i="23" s="1"/>
  <c r="Y147" i="23"/>
  <c r="Y212" i="23" s="1"/>
  <c r="Y183" i="23"/>
  <c r="Y248" i="23"/>
  <c r="Y38" i="23"/>
  <c r="Y25" i="23"/>
  <c r="X99" i="23"/>
  <c r="X120" i="23"/>
  <c r="C588" i="22" s="1"/>
  <c r="J564" i="22"/>
  <c r="G68" i="25"/>
  <c r="C585" i="22"/>
  <c r="X14" i="25"/>
  <c r="AB31" i="25" s="1"/>
  <c r="X58" i="25"/>
  <c r="X59" i="25" s="1"/>
  <c r="G204" i="23"/>
  <c r="X31" i="23"/>
  <c r="X109" i="23"/>
  <c r="X36" i="23" s="1"/>
  <c r="X32" i="23"/>
  <c r="G19" i="23"/>
  <c r="G23" i="23" s="1"/>
  <c r="G119" i="23"/>
  <c r="G183" i="23" s="1"/>
  <c r="X35" i="23"/>
  <c r="X10" i="23"/>
  <c r="G100" i="23"/>
  <c r="X33" i="23"/>
  <c r="X40" i="23"/>
  <c r="G40" i="23"/>
  <c r="X34" i="23"/>
  <c r="X114" i="23"/>
  <c r="X84" i="23"/>
  <c r="X144" i="23" s="1"/>
  <c r="X157" i="23"/>
  <c r="AB158" i="23" s="1"/>
  <c r="G148" i="23"/>
  <c r="G11" i="23"/>
  <c r="W114" i="23"/>
  <c r="W18" i="23"/>
  <c r="K44" i="25" l="1"/>
  <c r="AB68" i="25"/>
  <c r="AB76" i="25"/>
  <c r="AC48" i="23"/>
  <c r="AJ244" i="23"/>
  <c r="AJ179" i="23"/>
  <c r="J100" i="22"/>
  <c r="J52" i="22"/>
  <c r="G44" i="25"/>
  <c r="X39" i="25"/>
  <c r="X43" i="25"/>
  <c r="X42" i="25"/>
  <c r="X44" i="25" s="1"/>
  <c r="X19" i="25"/>
  <c r="AB23" i="25"/>
  <c r="X18" i="25"/>
  <c r="X15" i="25"/>
  <c r="X21" i="25"/>
  <c r="K23" i="25"/>
  <c r="G23" i="25"/>
  <c r="X20" i="25"/>
  <c r="X22" i="25"/>
  <c r="J246" i="23"/>
  <c r="J181" i="23"/>
  <c r="AD60" i="23"/>
  <c r="AD64" i="23" s="1"/>
  <c r="AD68" i="23" s="1"/>
  <c r="AD74" i="23" s="1"/>
  <c r="AD75" i="23" s="1"/>
  <c r="AD77" i="23" s="1"/>
  <c r="AC51" i="23"/>
  <c r="AG52" i="23" s="1"/>
  <c r="AG161" i="23" s="1"/>
  <c r="AD227" i="23"/>
  <c r="AD47" i="23"/>
  <c r="Z48" i="23"/>
  <c r="AF44" i="23"/>
  <c r="AF46" i="23" s="1"/>
  <c r="AI86" i="23" s="1"/>
  <c r="AF23" i="23"/>
  <c r="AF38" i="23" s="1"/>
  <c r="AB85" i="23"/>
  <c r="AB23" i="23"/>
  <c r="AB38" i="23" s="1"/>
  <c r="X37" i="23"/>
  <c r="AF85" i="23"/>
  <c r="AI85" i="23"/>
  <c r="I222" i="23"/>
  <c r="J223" i="23" s="1"/>
  <c r="AB140" i="23"/>
  <c r="AB200" i="23" s="1"/>
  <c r="Z25" i="23"/>
  <c r="Z28" i="23" s="1"/>
  <c r="I232" i="23"/>
  <c r="AG85" i="23"/>
  <c r="AH85" i="23"/>
  <c r="I210" i="23"/>
  <c r="I215" i="23" s="1"/>
  <c r="AB212" i="23"/>
  <c r="I81" i="23"/>
  <c r="AC223" i="23"/>
  <c r="AB185" i="23"/>
  <c r="E518" i="22"/>
  <c r="E538" i="22"/>
  <c r="E542" i="22" s="1"/>
  <c r="E544" i="22" s="1"/>
  <c r="E546" i="22" s="1"/>
  <c r="G255" i="23"/>
  <c r="G256" i="23"/>
  <c r="G259" i="23"/>
  <c r="Z272" i="23"/>
  <c r="AA250" i="23"/>
  <c r="Y250" i="23"/>
  <c r="AB272" i="23"/>
  <c r="AC250" i="23"/>
  <c r="AB129" i="23"/>
  <c r="AB189" i="23" s="1"/>
  <c r="I242" i="23"/>
  <c r="I240" i="23"/>
  <c r="I238" i="23"/>
  <c r="I235" i="23"/>
  <c r="I205" i="23"/>
  <c r="J227" i="22" s="1"/>
  <c r="I241" i="23"/>
  <c r="I245" i="23"/>
  <c r="I236" i="23"/>
  <c r="I231" i="23"/>
  <c r="I225" i="23"/>
  <c r="J226" i="23" s="1"/>
  <c r="I234" i="23"/>
  <c r="I239" i="23"/>
  <c r="I229" i="23"/>
  <c r="I233" i="23"/>
  <c r="I230" i="23"/>
  <c r="H250" i="23"/>
  <c r="AC25" i="23"/>
  <c r="AC28" i="23" s="1"/>
  <c r="Z60" i="23"/>
  <c r="AB123" i="23"/>
  <c r="AB187" i="23" s="1"/>
  <c r="H252" i="23"/>
  <c r="K68" i="25"/>
  <c r="I172" i="23"/>
  <c r="I237" i="23"/>
  <c r="H60" i="23"/>
  <c r="H64" i="23" s="1"/>
  <c r="H68" i="23" s="1"/>
  <c r="H74" i="23" s="1"/>
  <c r="H87" i="23"/>
  <c r="H145" i="23" s="1"/>
  <c r="E495" i="22"/>
  <c r="E499" i="22" s="1"/>
  <c r="E501" i="22" s="1"/>
  <c r="E503" i="22" s="1"/>
  <c r="H50" i="23"/>
  <c r="H160" i="23"/>
  <c r="H53" i="23"/>
  <c r="H162" i="23" s="1"/>
  <c r="J270" i="22"/>
  <c r="AE209" i="23"/>
  <c r="K121" i="23"/>
  <c r="K185" i="23" s="1"/>
  <c r="K125" i="23"/>
  <c r="AB44" i="23"/>
  <c r="AB46" i="23" s="1"/>
  <c r="AE86" i="23" s="1"/>
  <c r="AD209" i="23"/>
  <c r="AC85" i="23"/>
  <c r="AE85" i="23"/>
  <c r="K147" i="23"/>
  <c r="K212" i="23" s="1"/>
  <c r="K248" i="23"/>
  <c r="K250" i="23" s="1"/>
  <c r="K272" i="23" s="1"/>
  <c r="H25" i="23"/>
  <c r="H89" i="23" s="1"/>
  <c r="AC47" i="23"/>
  <c r="AD85" i="23"/>
  <c r="AC132" i="23"/>
  <c r="AC151" i="23" s="1"/>
  <c r="AB223" i="23"/>
  <c r="AA25" i="23"/>
  <c r="AA26" i="23" s="1"/>
  <c r="AA51" i="23"/>
  <c r="AA160" i="23" s="1"/>
  <c r="K144" i="23"/>
  <c r="K100" i="23"/>
  <c r="J354" i="22"/>
  <c r="K19" i="23"/>
  <c r="K23" i="23" s="1"/>
  <c r="K11" i="23"/>
  <c r="AC209" i="23"/>
  <c r="G203" i="23"/>
  <c r="G240" i="23" s="1"/>
  <c r="H203" i="23"/>
  <c r="AC185" i="23"/>
  <c r="AC123" i="23"/>
  <c r="AC129" i="23"/>
  <c r="AC189" i="23" s="1"/>
  <c r="E417" i="22"/>
  <c r="H212" i="23"/>
  <c r="AA48" i="23"/>
  <c r="H140" i="23"/>
  <c r="H200" i="23" s="1"/>
  <c r="H129" i="23"/>
  <c r="H189" i="23" s="1"/>
  <c r="Z140" i="23"/>
  <c r="Z200" i="23" s="1"/>
  <c r="H132" i="23"/>
  <c r="H151" i="23" s="1"/>
  <c r="Z129" i="23"/>
  <c r="Z189" i="23" s="1"/>
  <c r="H185" i="23"/>
  <c r="Z149" i="23"/>
  <c r="Z214" i="23" s="1"/>
  <c r="AB151" i="23"/>
  <c r="AB192" i="23"/>
  <c r="H187" i="23"/>
  <c r="Z123" i="23"/>
  <c r="Z187" i="23" s="1"/>
  <c r="Z132" i="23"/>
  <c r="Z192" i="23" s="1"/>
  <c r="Y48" i="23"/>
  <c r="AA132" i="23"/>
  <c r="AA151" i="23" s="1"/>
  <c r="E458" i="22"/>
  <c r="AA140" i="23"/>
  <c r="AA200" i="23" s="1"/>
  <c r="AA129" i="23"/>
  <c r="AA189" i="23" s="1"/>
  <c r="AA149" i="23"/>
  <c r="AA214" i="23" s="1"/>
  <c r="AA123" i="23"/>
  <c r="AA144" i="23"/>
  <c r="AA100" i="23"/>
  <c r="Z144" i="23"/>
  <c r="Z100" i="23"/>
  <c r="Y144" i="23"/>
  <c r="Y100" i="23"/>
  <c r="AA205" i="23"/>
  <c r="X235" i="23"/>
  <c r="X239" i="23"/>
  <c r="X245" i="23"/>
  <c r="X236" i="23"/>
  <c r="X240" i="23"/>
  <c r="X230" i="23"/>
  <c r="X232" i="23"/>
  <c r="X231" i="23"/>
  <c r="Y149" i="23"/>
  <c r="Y214" i="23" s="1"/>
  <c r="Z225" i="23"/>
  <c r="AD226" i="23" s="1"/>
  <c r="Z50" i="23"/>
  <c r="Z53" i="23"/>
  <c r="Z162" i="23" s="1"/>
  <c r="Z160" i="23"/>
  <c r="Y140" i="23"/>
  <c r="Y200" i="23" s="1"/>
  <c r="Y123" i="23"/>
  <c r="Y187" i="23" s="1"/>
  <c r="Y132" i="23"/>
  <c r="Y151" i="23" s="1"/>
  <c r="Y185" i="23"/>
  <c r="Y26" i="23"/>
  <c r="Y28" i="23"/>
  <c r="Y53" i="23"/>
  <c r="Y162" i="23" s="1"/>
  <c r="Y160" i="23"/>
  <c r="Y225" i="23"/>
  <c r="Y50" i="23"/>
  <c r="E603" i="22"/>
  <c r="E602" i="22"/>
  <c r="E601" i="22"/>
  <c r="E600" i="22"/>
  <c r="C586" i="22"/>
  <c r="G213" i="23"/>
  <c r="E582" i="22"/>
  <c r="E576" i="22"/>
  <c r="E575" i="22"/>
  <c r="E572" i="22"/>
  <c r="E573" i="22"/>
  <c r="E583" i="22"/>
  <c r="E571" i="22"/>
  <c r="E579" i="22"/>
  <c r="E569" i="22"/>
  <c r="E578" i="22"/>
  <c r="E570" i="22"/>
  <c r="E577" i="22"/>
  <c r="E588" i="22"/>
  <c r="G249" i="23"/>
  <c r="G121" i="23"/>
  <c r="G185" i="23" s="1"/>
  <c r="G248" i="23"/>
  <c r="G147" i="23"/>
  <c r="G149" i="23" s="1"/>
  <c r="G214" i="23" s="1"/>
  <c r="G125" i="23"/>
  <c r="G44" i="23"/>
  <c r="G46" i="23" s="1"/>
  <c r="G85" i="23"/>
  <c r="X11" i="23"/>
  <c r="X100" i="23"/>
  <c r="G25" i="23"/>
  <c r="G38" i="23"/>
  <c r="C665" i="22"/>
  <c r="C660" i="22"/>
  <c r="C659" i="22"/>
  <c r="W63" i="25"/>
  <c r="W72" i="25" s="1"/>
  <c r="W64" i="25"/>
  <c r="W73" i="25" s="1"/>
  <c r="W66" i="25"/>
  <c r="W75" i="25" s="1"/>
  <c r="W62" i="25"/>
  <c r="W71" i="25" s="1"/>
  <c r="W58" i="25"/>
  <c r="W59" i="25" s="1"/>
  <c r="W38" i="25"/>
  <c r="W14" i="25"/>
  <c r="J641" i="22"/>
  <c r="E655" i="22" s="1"/>
  <c r="C652" i="22"/>
  <c r="J646" i="22"/>
  <c r="J647" i="22" s="1"/>
  <c r="C646" i="22"/>
  <c r="AG86" i="23" l="1"/>
  <c r="AF48" i="23"/>
  <c r="W39" i="25"/>
  <c r="W43" i="25"/>
  <c r="W42" i="25"/>
  <c r="AA49" i="25"/>
  <c r="AA31" i="25"/>
  <c r="W15" i="25"/>
  <c r="W22" i="25"/>
  <c r="W21" i="25"/>
  <c r="W18" i="25"/>
  <c r="W20" i="25"/>
  <c r="W19" i="25"/>
  <c r="X23" i="25"/>
  <c r="AD168" i="23"/>
  <c r="AC53" i="23"/>
  <c r="AC162" i="23" s="1"/>
  <c r="AF60" i="23"/>
  <c r="AF64" i="23" s="1"/>
  <c r="AC50" i="23"/>
  <c r="AC225" i="23"/>
  <c r="AG226" i="23" s="1"/>
  <c r="AD229" i="23"/>
  <c r="AC52" i="23"/>
  <c r="AC161" i="23" s="1"/>
  <c r="AC160" i="23"/>
  <c r="AD233" i="23"/>
  <c r="AD164" i="23"/>
  <c r="AF86" i="23"/>
  <c r="AH86" i="23"/>
  <c r="AF25" i="23"/>
  <c r="AI89" i="23" s="1"/>
  <c r="Z26" i="23"/>
  <c r="AF51" i="23"/>
  <c r="I227" i="23"/>
  <c r="H26" i="23"/>
  <c r="I216" i="23"/>
  <c r="I211" i="23"/>
  <c r="AF75" i="23"/>
  <c r="AF179" i="23" s="1"/>
  <c r="H272" i="23"/>
  <c r="AA272" i="23"/>
  <c r="AC272" i="23"/>
  <c r="Y272" i="23"/>
  <c r="G257" i="23"/>
  <c r="I267" i="23"/>
  <c r="I261" i="23"/>
  <c r="I265" i="23"/>
  <c r="I264" i="23"/>
  <c r="I262" i="23"/>
  <c r="AF209" i="23"/>
  <c r="K209" i="23"/>
  <c r="H229" i="23"/>
  <c r="G245" i="23"/>
  <c r="AB51" i="23"/>
  <c r="AE87" i="23" s="1"/>
  <c r="AB86" i="23"/>
  <c r="H135" i="23"/>
  <c r="H195" i="23" s="1"/>
  <c r="AB60" i="23"/>
  <c r="AB164" i="23" s="1"/>
  <c r="H164" i="23"/>
  <c r="AB252" i="23"/>
  <c r="H133" i="23"/>
  <c r="H150" i="23" s="1"/>
  <c r="H130" i="23"/>
  <c r="H190" i="23" s="1"/>
  <c r="H138" i="23"/>
  <c r="H198" i="23" s="1"/>
  <c r="AC26" i="23"/>
  <c r="H137" i="23"/>
  <c r="H197" i="23" s="1"/>
  <c r="AF47" i="23"/>
  <c r="Z252" i="23"/>
  <c r="AC86" i="23"/>
  <c r="H28" i="23"/>
  <c r="K129" i="23"/>
  <c r="K189" i="23" s="1"/>
  <c r="K132" i="23"/>
  <c r="K151" i="23" s="1"/>
  <c r="K140" i="23"/>
  <c r="K200" i="23" s="1"/>
  <c r="I243" i="23"/>
  <c r="I178" i="23"/>
  <c r="AB48" i="23"/>
  <c r="AB25" i="23"/>
  <c r="AE89" i="23" s="1"/>
  <c r="AD86" i="23"/>
  <c r="AE52" i="23"/>
  <c r="AE161" i="23" s="1"/>
  <c r="K149" i="23"/>
  <c r="K214" i="23" s="1"/>
  <c r="AD172" i="23"/>
  <c r="AD237" i="23"/>
  <c r="AA28" i="23"/>
  <c r="AC192" i="23"/>
  <c r="G235" i="23"/>
  <c r="G222" i="23"/>
  <c r="AC252" i="23"/>
  <c r="G242" i="23"/>
  <c r="AC187" i="23"/>
  <c r="AA50" i="23"/>
  <c r="Z151" i="23"/>
  <c r="AA225" i="23"/>
  <c r="AA53" i="23"/>
  <c r="AA162" i="23" s="1"/>
  <c r="G209" i="23"/>
  <c r="K85" i="23"/>
  <c r="K44" i="23"/>
  <c r="G236" i="23"/>
  <c r="H234" i="23"/>
  <c r="H205" i="23"/>
  <c r="H257" i="23" s="1"/>
  <c r="H222" i="23"/>
  <c r="I223" i="23" s="1"/>
  <c r="H239" i="23"/>
  <c r="H240" i="23"/>
  <c r="H245" i="23"/>
  <c r="H232" i="23"/>
  <c r="H209" i="23"/>
  <c r="H241" i="23"/>
  <c r="H231" i="23"/>
  <c r="H230" i="23"/>
  <c r="H242" i="23"/>
  <c r="H236" i="23"/>
  <c r="H235" i="23"/>
  <c r="H238" i="23"/>
  <c r="H225" i="23"/>
  <c r="H267" i="23" s="1"/>
  <c r="G241" i="23"/>
  <c r="G205" i="23"/>
  <c r="G231" i="23"/>
  <c r="G51" i="23"/>
  <c r="G160" i="23" s="1"/>
  <c r="H47" i="23"/>
  <c r="G230" i="23"/>
  <c r="G239" i="23"/>
  <c r="G238" i="23"/>
  <c r="G232" i="23"/>
  <c r="H75" i="23"/>
  <c r="H81" i="23" s="1"/>
  <c r="G234" i="23"/>
  <c r="K187" i="23"/>
  <c r="K252" i="23"/>
  <c r="E419" i="22"/>
  <c r="H192" i="23"/>
  <c r="H146" i="23"/>
  <c r="H210" i="23"/>
  <c r="H233" i="23"/>
  <c r="H168" i="23"/>
  <c r="AA192" i="23"/>
  <c r="G212" i="23"/>
  <c r="J436" i="22"/>
  <c r="AA252" i="23"/>
  <c r="AA187" i="23"/>
  <c r="E460" i="22"/>
  <c r="X62" i="25"/>
  <c r="X71" i="25" s="1"/>
  <c r="X66" i="25"/>
  <c r="X75" i="25" s="1"/>
  <c r="X63" i="25"/>
  <c r="X72" i="25" s="1"/>
  <c r="X64" i="25"/>
  <c r="X73" i="25" s="1"/>
  <c r="E581" i="22"/>
  <c r="AA209" i="23"/>
  <c r="Y252" i="23"/>
  <c r="Y192" i="23"/>
  <c r="Z164" i="23"/>
  <c r="Z229" i="23"/>
  <c r="Z64" i="23"/>
  <c r="Z227" i="23"/>
  <c r="E561" i="22"/>
  <c r="Y227" i="23"/>
  <c r="E604" i="22"/>
  <c r="C595" i="22"/>
  <c r="C597" i="22" s="1"/>
  <c r="E586" i="22"/>
  <c r="J571" i="22"/>
  <c r="C587" i="22"/>
  <c r="C589" i="22" s="1"/>
  <c r="G250" i="23"/>
  <c r="G123" i="23"/>
  <c r="X123" i="23" s="1"/>
  <c r="G140" i="23"/>
  <c r="G200" i="23" s="1"/>
  <c r="G129" i="23"/>
  <c r="G189" i="23" s="1"/>
  <c r="G132" i="23"/>
  <c r="G151" i="23" s="1"/>
  <c r="G86" i="23"/>
  <c r="G48" i="23"/>
  <c r="E653" i="22"/>
  <c r="E648" i="22"/>
  <c r="E659" i="22"/>
  <c r="E652" i="22"/>
  <c r="E660" i="22"/>
  <c r="E649" i="22"/>
  <c r="E647" i="22"/>
  <c r="E650" i="22"/>
  <c r="E665" i="22"/>
  <c r="E657" i="22"/>
  <c r="E654" i="22"/>
  <c r="G28" i="23"/>
  <c r="G89" i="23"/>
  <c r="G26" i="23"/>
  <c r="E651" i="22"/>
  <c r="E656" i="22"/>
  <c r="E646" i="22"/>
  <c r="C658" i="22"/>
  <c r="W67" i="25"/>
  <c r="W76" i="25" s="1"/>
  <c r="W44" i="25" l="1"/>
  <c r="W23" i="25"/>
  <c r="AF164" i="23"/>
  <c r="AF229" i="23"/>
  <c r="AI87" i="23"/>
  <c r="AF53" i="23"/>
  <c r="AF162" i="23" s="1"/>
  <c r="AF160" i="23"/>
  <c r="AF89" i="23"/>
  <c r="AH89" i="23"/>
  <c r="AG89" i="23"/>
  <c r="AC226" i="23"/>
  <c r="AF26" i="23"/>
  <c r="AC227" i="23"/>
  <c r="AF28" i="23"/>
  <c r="AF225" i="23"/>
  <c r="AI267" i="23" s="1"/>
  <c r="AG87" i="23"/>
  <c r="C210" i="22" s="1"/>
  <c r="E210" i="22" s="1"/>
  <c r="AH87" i="23"/>
  <c r="C168" i="22" s="1"/>
  <c r="D165" i="22" s="1"/>
  <c r="AF87" i="23"/>
  <c r="AF133" i="23" s="1"/>
  <c r="AF193" i="23" s="1"/>
  <c r="AF244" i="23"/>
  <c r="AB87" i="23"/>
  <c r="C420" i="22" s="1"/>
  <c r="D415" i="22" s="1"/>
  <c r="AF68" i="23"/>
  <c r="AF233" i="23"/>
  <c r="AF168" i="23"/>
  <c r="H264" i="23"/>
  <c r="AB160" i="23"/>
  <c r="H269" i="23"/>
  <c r="G272" i="23"/>
  <c r="I226" i="23"/>
  <c r="H265" i="23"/>
  <c r="H262" i="23"/>
  <c r="H261" i="23"/>
  <c r="K222" i="23"/>
  <c r="AB53" i="23"/>
  <c r="AB162" i="23" s="1"/>
  <c r="H270" i="23"/>
  <c r="AB225" i="23"/>
  <c r="AD270" i="23" s="1"/>
  <c r="AD87" i="23"/>
  <c r="AD130" i="23" s="1"/>
  <c r="AD190" i="23" s="1"/>
  <c r="AF52" i="23"/>
  <c r="AF161" i="23" s="1"/>
  <c r="AC87" i="23"/>
  <c r="AC145" i="23" s="1"/>
  <c r="AC146" i="23" s="1"/>
  <c r="C295" i="22"/>
  <c r="D292" i="22" s="1"/>
  <c r="AE145" i="23"/>
  <c r="AE210" i="23" s="1"/>
  <c r="AB229" i="23"/>
  <c r="H193" i="23"/>
  <c r="K192" i="23"/>
  <c r="AE135" i="23"/>
  <c r="AE195" i="23" s="1"/>
  <c r="AB64" i="23"/>
  <c r="AB168" i="23" s="1"/>
  <c r="AE130" i="23"/>
  <c r="AE190" i="23" s="1"/>
  <c r="AE133" i="23"/>
  <c r="AE193" i="23" s="1"/>
  <c r="AC89" i="23"/>
  <c r="AB26" i="23"/>
  <c r="AD89" i="23"/>
  <c r="AB28" i="23"/>
  <c r="AB89" i="23"/>
  <c r="I179" i="23"/>
  <c r="I244" i="23"/>
  <c r="G50" i="23"/>
  <c r="K46" i="23"/>
  <c r="AA227" i="23"/>
  <c r="AE226" i="23"/>
  <c r="AD243" i="23"/>
  <c r="AD178" i="23"/>
  <c r="K25" i="23"/>
  <c r="K38" i="23"/>
  <c r="H223" i="23"/>
  <c r="H227" i="23"/>
  <c r="G60" i="23"/>
  <c r="H52" i="23"/>
  <c r="H161" i="23" s="1"/>
  <c r="G225" i="23"/>
  <c r="G262" i="23" s="1"/>
  <c r="H77" i="23"/>
  <c r="G87" i="23"/>
  <c r="G137" i="23" s="1"/>
  <c r="G197" i="23" s="1"/>
  <c r="G53" i="23"/>
  <c r="G162" i="23" s="1"/>
  <c r="H211" i="23"/>
  <c r="H215" i="23"/>
  <c r="H216" i="23"/>
  <c r="H237" i="23"/>
  <c r="H172" i="23"/>
  <c r="H91" i="23"/>
  <c r="Z168" i="23"/>
  <c r="Z233" i="23"/>
  <c r="Z68" i="23"/>
  <c r="G252" i="23"/>
  <c r="G187" i="23"/>
  <c r="X67" i="25"/>
  <c r="G192" i="23"/>
  <c r="E658" i="22"/>
  <c r="E662" i="22" s="1"/>
  <c r="C662" i="22"/>
  <c r="X68" i="25" l="1"/>
  <c r="X76" i="25"/>
  <c r="AF150" i="23"/>
  <c r="AH133" i="23"/>
  <c r="AF145" i="23"/>
  <c r="AF210" i="23" s="1"/>
  <c r="D207" i="22"/>
  <c r="AH145" i="23"/>
  <c r="C252" i="22"/>
  <c r="E252" i="22" s="1"/>
  <c r="F249" i="22" s="1"/>
  <c r="AI145" i="23"/>
  <c r="AI146" i="23" s="1"/>
  <c r="C125" i="22"/>
  <c r="AF130" i="23"/>
  <c r="AF190" i="23" s="1"/>
  <c r="AI264" i="23"/>
  <c r="AF137" i="23"/>
  <c r="AF197" i="23" s="1"/>
  <c r="AI135" i="23"/>
  <c r="AI195" i="23" s="1"/>
  <c r="AI133" i="23"/>
  <c r="AI150" i="23" s="1"/>
  <c r="AI130" i="23"/>
  <c r="AI190" i="23" s="1"/>
  <c r="AF135" i="23"/>
  <c r="AF195" i="23" s="1"/>
  <c r="AF138" i="23"/>
  <c r="AF198" i="23" s="1"/>
  <c r="AI262" i="23"/>
  <c r="AF262" i="23"/>
  <c r="AF265" i="23"/>
  <c r="AH264" i="23"/>
  <c r="AB138" i="23"/>
  <c r="AB198" i="23" s="1"/>
  <c r="AF261" i="23"/>
  <c r="AF227" i="23"/>
  <c r="AG264" i="23"/>
  <c r="AH267" i="23"/>
  <c r="AG267" i="23"/>
  <c r="AF267" i="23"/>
  <c r="AH261" i="23"/>
  <c r="AG262" i="23"/>
  <c r="AH269" i="23"/>
  <c r="AI261" i="23"/>
  <c r="AG135" i="23"/>
  <c r="AG195" i="23" s="1"/>
  <c r="AH137" i="23"/>
  <c r="AH197" i="23" s="1"/>
  <c r="D205" i="22"/>
  <c r="D163" i="22"/>
  <c r="AB135" i="23"/>
  <c r="AB195" i="23" s="1"/>
  <c r="AG261" i="23"/>
  <c r="AG130" i="23"/>
  <c r="AG190" i="23" s="1"/>
  <c r="AH138" i="23"/>
  <c r="AH198" i="23" s="1"/>
  <c r="AF269" i="23"/>
  <c r="AI265" i="23"/>
  <c r="AG133" i="23"/>
  <c r="AG193" i="23" s="1"/>
  <c r="AF264" i="23"/>
  <c r="AG265" i="23"/>
  <c r="AG145" i="23"/>
  <c r="AG210" i="23" s="1"/>
  <c r="AH270" i="23"/>
  <c r="E168" i="22"/>
  <c r="F163" i="22" s="1"/>
  <c r="AH135" i="23"/>
  <c r="AH195" i="23" s="1"/>
  <c r="AH262" i="23"/>
  <c r="AH130" i="23"/>
  <c r="AH190" i="23" s="1"/>
  <c r="AH265" i="23"/>
  <c r="AF270" i="23"/>
  <c r="AD265" i="23"/>
  <c r="AC267" i="23"/>
  <c r="AF146" i="23"/>
  <c r="AI193" i="23"/>
  <c r="D417" i="22"/>
  <c r="AB133" i="23"/>
  <c r="AB193" i="23" s="1"/>
  <c r="AB145" i="23"/>
  <c r="AB146" i="23" s="1"/>
  <c r="AB137" i="23"/>
  <c r="AB197" i="23" s="1"/>
  <c r="AB130" i="23"/>
  <c r="AB190" i="23" s="1"/>
  <c r="AH193" i="23"/>
  <c r="AH150" i="23"/>
  <c r="AH146" i="23"/>
  <c r="AH210" i="23"/>
  <c r="AF74" i="23"/>
  <c r="AH91" i="23"/>
  <c r="AF172" i="23"/>
  <c r="AF237" i="23"/>
  <c r="AF91" i="23"/>
  <c r="F205" i="22"/>
  <c r="F207" i="22"/>
  <c r="AD262" i="23"/>
  <c r="G261" i="23"/>
  <c r="AD267" i="23"/>
  <c r="G264" i="23"/>
  <c r="AD269" i="23"/>
  <c r="G267" i="23"/>
  <c r="AB265" i="23"/>
  <c r="AB267" i="23"/>
  <c r="H226" i="23"/>
  <c r="G265" i="23"/>
  <c r="AC210" i="23"/>
  <c r="AC216" i="23" s="1"/>
  <c r="AB227" i="23"/>
  <c r="AE262" i="23"/>
  <c r="AE265" i="23"/>
  <c r="AE267" i="23"/>
  <c r="AE261" i="23"/>
  <c r="AE264" i="23"/>
  <c r="AC261" i="23"/>
  <c r="AB261" i="23"/>
  <c r="AB264" i="23"/>
  <c r="AB269" i="23"/>
  <c r="AC265" i="23"/>
  <c r="AB270" i="23"/>
  <c r="AC262" i="23"/>
  <c r="AB262" i="23"/>
  <c r="C379" i="22"/>
  <c r="D376" i="22" s="1"/>
  <c r="AC130" i="23"/>
  <c r="AC190" i="23" s="1"/>
  <c r="AD261" i="23"/>
  <c r="AC135" i="23"/>
  <c r="AC195" i="23" s="1"/>
  <c r="AC133" i="23"/>
  <c r="AC193" i="23" s="1"/>
  <c r="AF226" i="23"/>
  <c r="AD264" i="23"/>
  <c r="AC264" i="23"/>
  <c r="D290" i="22"/>
  <c r="E295" i="22"/>
  <c r="F290" i="22" s="1"/>
  <c r="AD145" i="23"/>
  <c r="AD210" i="23" s="1"/>
  <c r="AD135" i="23"/>
  <c r="AD195" i="23" s="1"/>
  <c r="AD138" i="23"/>
  <c r="AD198" i="23" s="1"/>
  <c r="C338" i="22"/>
  <c r="D333" i="22" s="1"/>
  <c r="AD133" i="23"/>
  <c r="AD150" i="23" s="1"/>
  <c r="AD137" i="23"/>
  <c r="AD197" i="23" s="1"/>
  <c r="AE146" i="23"/>
  <c r="AE150" i="23"/>
  <c r="AB233" i="23"/>
  <c r="AB68" i="23"/>
  <c r="AD91" i="23" s="1"/>
  <c r="AF215" i="23"/>
  <c r="AF211" i="23"/>
  <c r="AF216" i="23"/>
  <c r="K86" i="23"/>
  <c r="I246" i="23"/>
  <c r="I181" i="23"/>
  <c r="K48" i="23"/>
  <c r="AE211" i="23"/>
  <c r="AE215" i="23"/>
  <c r="AE216" i="23"/>
  <c r="AD244" i="23"/>
  <c r="AD179" i="23"/>
  <c r="AD181" i="23"/>
  <c r="AD246" i="23"/>
  <c r="G133" i="23"/>
  <c r="G150" i="23" s="1"/>
  <c r="G138" i="23"/>
  <c r="G198" i="23" s="1"/>
  <c r="G135" i="23"/>
  <c r="G195" i="23" s="1"/>
  <c r="K28" i="23"/>
  <c r="K26" i="23"/>
  <c r="K89" i="23"/>
  <c r="G130" i="23"/>
  <c r="G190" i="23" s="1"/>
  <c r="G145" i="23"/>
  <c r="G210" i="23" s="1"/>
  <c r="G64" i="23"/>
  <c r="G229" i="23"/>
  <c r="G164" i="23"/>
  <c r="G227" i="23"/>
  <c r="H243" i="23"/>
  <c r="H178" i="23"/>
  <c r="Z74" i="23"/>
  <c r="Z172" i="23"/>
  <c r="Z237" i="23"/>
  <c r="J611" i="22"/>
  <c r="C630" i="22"/>
  <c r="W120" i="23"/>
  <c r="C628" i="22" s="1"/>
  <c r="J606" i="22"/>
  <c r="T112" i="23"/>
  <c r="T255" i="23" s="1"/>
  <c r="T62" i="23"/>
  <c r="W45" i="23"/>
  <c r="W219" i="23"/>
  <c r="W208" i="23"/>
  <c r="W203" i="23"/>
  <c r="Z205" i="23" s="1"/>
  <c r="W157" i="23"/>
  <c r="AA158" i="23" s="1"/>
  <c r="W154" i="23"/>
  <c r="W143" i="23"/>
  <c r="W127" i="23"/>
  <c r="W118" i="23"/>
  <c r="W117" i="23"/>
  <c r="W109" i="23"/>
  <c r="W99" i="23"/>
  <c r="W93" i="23"/>
  <c r="W83" i="23"/>
  <c r="W59" i="23"/>
  <c r="W43" i="23"/>
  <c r="W40" i="23"/>
  <c r="W35" i="23"/>
  <c r="W34" i="23"/>
  <c r="W33" i="23"/>
  <c r="W32" i="23"/>
  <c r="W31" i="23"/>
  <c r="W10" i="23"/>
  <c r="W68" i="25" s="1"/>
  <c r="W8" i="23"/>
  <c r="AG146" i="23" l="1"/>
  <c r="D247" i="22"/>
  <c r="F247" i="22"/>
  <c r="D249" i="22"/>
  <c r="AI210" i="23"/>
  <c r="AI216" i="23" s="1"/>
  <c r="E125" i="22"/>
  <c r="D120" i="22"/>
  <c r="D122" i="22"/>
  <c r="AG150" i="23"/>
  <c r="F165" i="22"/>
  <c r="AB150" i="23"/>
  <c r="AC211" i="23"/>
  <c r="AC215" i="23"/>
  <c r="AC150" i="23"/>
  <c r="AF77" i="23"/>
  <c r="AF243" i="23"/>
  <c r="AF178" i="23"/>
  <c r="AH211" i="23"/>
  <c r="AH215" i="23"/>
  <c r="AH216" i="23"/>
  <c r="AG211" i="23"/>
  <c r="AG215" i="23"/>
  <c r="AG216" i="23"/>
  <c r="D374" i="22"/>
  <c r="AD146" i="23"/>
  <c r="E379" i="22"/>
  <c r="F376" i="22" s="1"/>
  <c r="F292" i="22"/>
  <c r="AD193" i="23"/>
  <c r="D335" i="22"/>
  <c r="E338" i="22"/>
  <c r="F333" i="22" s="1"/>
  <c r="AB172" i="23"/>
  <c r="G193" i="23"/>
  <c r="G146" i="23"/>
  <c r="AB91" i="23"/>
  <c r="AB74" i="23"/>
  <c r="AB243" i="23" s="1"/>
  <c r="AB237" i="23"/>
  <c r="G270" i="23"/>
  <c r="G269" i="23"/>
  <c r="Z75" i="23"/>
  <c r="AB75" i="23" s="1"/>
  <c r="AD211" i="23"/>
  <c r="AD216" i="23"/>
  <c r="AD215" i="23"/>
  <c r="G68" i="23"/>
  <c r="G233" i="23"/>
  <c r="G168" i="23"/>
  <c r="H244" i="23"/>
  <c r="H179" i="23"/>
  <c r="Z209" i="23"/>
  <c r="J479" i="22"/>
  <c r="Z178" i="23"/>
  <c r="Z243" i="23"/>
  <c r="E595" i="22"/>
  <c r="E597" i="22" s="1"/>
  <c r="W119" i="23"/>
  <c r="W248" i="23" s="1"/>
  <c r="W184" i="23"/>
  <c r="G211" i="23"/>
  <c r="G215" i="23"/>
  <c r="G216" i="23"/>
  <c r="W148" i="23"/>
  <c r="W213" i="23" s="1"/>
  <c r="W249" i="23"/>
  <c r="W19" i="23"/>
  <c r="W23" i="23" s="1"/>
  <c r="W11" i="23"/>
  <c r="W41" i="23"/>
  <c r="W222" i="23"/>
  <c r="AA223" i="23" s="1"/>
  <c r="V120" i="23"/>
  <c r="C663" i="22" s="1"/>
  <c r="V72" i="23"/>
  <c r="X72" i="23" s="1"/>
  <c r="V65" i="23"/>
  <c r="AI215" i="23" l="1"/>
  <c r="AI211" i="23"/>
  <c r="F122" i="22"/>
  <c r="F120" i="22"/>
  <c r="AF246" i="23"/>
  <c r="AF181" i="23"/>
  <c r="F335" i="22"/>
  <c r="F374" i="22"/>
  <c r="AB77" i="23"/>
  <c r="AB246" i="23" s="1"/>
  <c r="AB178" i="23"/>
  <c r="Z77" i="23"/>
  <c r="G74" i="23"/>
  <c r="G91" i="23"/>
  <c r="G172" i="23"/>
  <c r="G237" i="23"/>
  <c r="AB179" i="23"/>
  <c r="AB244" i="23"/>
  <c r="H246" i="23"/>
  <c r="H181" i="23"/>
  <c r="X65" i="23"/>
  <c r="X241" i="23"/>
  <c r="X176" i="23"/>
  <c r="Z179" i="23"/>
  <c r="Z244" i="23"/>
  <c r="W147" i="23"/>
  <c r="W212" i="23" s="1"/>
  <c r="E585" i="22"/>
  <c r="W125" i="23"/>
  <c r="W183" i="23"/>
  <c r="W121" i="23"/>
  <c r="W185" i="23" s="1"/>
  <c r="V69" i="23"/>
  <c r="X69" i="23" s="1"/>
  <c r="V73" i="23"/>
  <c r="X73" i="23" s="1"/>
  <c r="E663" i="22"/>
  <c r="E664" i="22" s="1"/>
  <c r="J648" i="22"/>
  <c r="C664" i="22"/>
  <c r="W25" i="23"/>
  <c r="W44" i="23"/>
  <c r="W46" i="23" s="1"/>
  <c r="W250" i="23"/>
  <c r="C611" i="22"/>
  <c r="AB181" i="23" l="1"/>
  <c r="W272" i="23"/>
  <c r="G75" i="23"/>
  <c r="G243" i="23"/>
  <c r="G178" i="23"/>
  <c r="X173" i="23"/>
  <c r="X238" i="23"/>
  <c r="X169" i="23"/>
  <c r="X234" i="23"/>
  <c r="Z90" i="23"/>
  <c r="W140" i="23"/>
  <c r="W200" i="23" s="1"/>
  <c r="X90" i="23"/>
  <c r="X242" i="23"/>
  <c r="X177" i="23"/>
  <c r="W129" i="23"/>
  <c r="W189" i="23" s="1"/>
  <c r="AA47" i="23"/>
  <c r="Z181" i="23"/>
  <c r="Z246" i="23"/>
  <c r="W132" i="23"/>
  <c r="W151" i="23" s="1"/>
  <c r="W123" i="23"/>
  <c r="W252" i="23" s="1"/>
  <c r="W149" i="23"/>
  <c r="W214" i="23" s="1"/>
  <c r="E587" i="22"/>
  <c r="E589" i="22" s="1"/>
  <c r="X41" i="23"/>
  <c r="C666" i="22"/>
  <c r="E666" i="22" s="1"/>
  <c r="W38" i="23"/>
  <c r="W48" i="23"/>
  <c r="W51" i="23"/>
  <c r="W26" i="23"/>
  <c r="W28" i="23"/>
  <c r="V67" i="25"/>
  <c r="V76" i="25" s="1"/>
  <c r="V58" i="25"/>
  <c r="V59" i="25" s="1"/>
  <c r="V38" i="25"/>
  <c r="V14" i="25"/>
  <c r="J612" i="22"/>
  <c r="E620" i="22"/>
  <c r="E612" i="22"/>
  <c r="C617" i="22"/>
  <c r="V39" i="25" l="1"/>
  <c r="V42" i="25"/>
  <c r="V43" i="25"/>
  <c r="Z49" i="25"/>
  <c r="Z31" i="25"/>
  <c r="V15" i="25"/>
  <c r="V18" i="25"/>
  <c r="V22" i="25"/>
  <c r="V19" i="25"/>
  <c r="V21" i="25"/>
  <c r="V20" i="25"/>
  <c r="G77" i="23"/>
  <c r="G244" i="23"/>
  <c r="G81" i="23"/>
  <c r="G179" i="23"/>
  <c r="AA52" i="23"/>
  <c r="AA161" i="23" s="1"/>
  <c r="W192" i="23"/>
  <c r="W187" i="23"/>
  <c r="W225" i="23"/>
  <c r="W50" i="23"/>
  <c r="W53" i="23"/>
  <c r="W162" i="23" s="1"/>
  <c r="W160" i="23"/>
  <c r="C637" i="22"/>
  <c r="C639" i="22" s="1"/>
  <c r="E628" i="22"/>
  <c r="E637" i="22" s="1"/>
  <c r="E621" i="22"/>
  <c r="E613" i="22"/>
  <c r="E624" i="22"/>
  <c r="E614" i="22"/>
  <c r="E625" i="22"/>
  <c r="E611" i="22"/>
  <c r="E618" i="22"/>
  <c r="E615" i="22"/>
  <c r="E617" i="22"/>
  <c r="E619" i="22"/>
  <c r="E630" i="22"/>
  <c r="C627" i="22"/>
  <c r="C633" i="22" s="1"/>
  <c r="J613" i="22"/>
  <c r="V45" i="23"/>
  <c r="V18" i="23"/>
  <c r="V249" i="23"/>
  <c r="V219" i="23"/>
  <c r="V208" i="23"/>
  <c r="V203" i="23"/>
  <c r="Y205" i="23" s="1"/>
  <c r="V184" i="23"/>
  <c r="V180" i="23"/>
  <c r="V175" i="23"/>
  <c r="V174" i="23"/>
  <c r="V173" i="23"/>
  <c r="V171" i="23"/>
  <c r="V170" i="23"/>
  <c r="V167" i="23"/>
  <c r="V166" i="23"/>
  <c r="V165" i="23"/>
  <c r="V157" i="23"/>
  <c r="Z158" i="23" s="1"/>
  <c r="V154" i="23"/>
  <c r="V143" i="23"/>
  <c r="V127" i="23"/>
  <c r="V148" i="23"/>
  <c r="V213" i="23" s="1"/>
  <c r="V118" i="23"/>
  <c r="V117" i="23"/>
  <c r="V114" i="23"/>
  <c r="V109" i="23"/>
  <c r="V99" i="23"/>
  <c r="V93" i="23"/>
  <c r="V83" i="23"/>
  <c r="V169" i="23"/>
  <c r="V59" i="23"/>
  <c r="V56" i="23"/>
  <c r="V55" i="23"/>
  <c r="V43" i="23"/>
  <c r="V41" i="23"/>
  <c r="V40" i="23"/>
  <c r="V35" i="23"/>
  <c r="V34" i="23"/>
  <c r="V33" i="23"/>
  <c r="V32" i="23"/>
  <c r="V31" i="23"/>
  <c r="V10" i="23"/>
  <c r="V11" i="23" s="1"/>
  <c r="V8" i="23"/>
  <c r="V44" i="25" l="1"/>
  <c r="V23" i="25"/>
  <c r="AA226" i="23"/>
  <c r="G181" i="23"/>
  <c r="G246" i="23"/>
  <c r="J522" i="22"/>
  <c r="Y209" i="23"/>
  <c r="W227" i="23"/>
  <c r="V230" i="23"/>
  <c r="V119" i="23"/>
  <c r="V68" i="25"/>
  <c r="C629" i="22"/>
  <c r="C631" i="22" s="1"/>
  <c r="V234" i="23"/>
  <c r="V238" i="23"/>
  <c r="V241" i="23"/>
  <c r="V231" i="23"/>
  <c r="V232" i="23"/>
  <c r="V245" i="23"/>
  <c r="V239" i="23"/>
  <c r="V240" i="23"/>
  <c r="V222" i="23"/>
  <c r="Z223" i="23" s="1"/>
  <c r="V19" i="23"/>
  <c r="V23" i="23" s="1"/>
  <c r="V176" i="23"/>
  <c r="V235" i="23"/>
  <c r="V236" i="23"/>
  <c r="V38" i="23" l="1"/>
  <c r="V125" i="23"/>
  <c r="C668" i="22"/>
  <c r="V248" i="23"/>
  <c r="V121" i="23"/>
  <c r="V140" i="23" s="1"/>
  <c r="V200" i="23" s="1"/>
  <c r="V183" i="23"/>
  <c r="V147" i="23"/>
  <c r="V149" i="23" s="1"/>
  <c r="V214" i="23" s="1"/>
  <c r="V44" i="23"/>
  <c r="V46" i="23" s="1"/>
  <c r="V177" i="23"/>
  <c r="V242" i="23"/>
  <c r="U14" i="25"/>
  <c r="U67" i="25"/>
  <c r="U58" i="25"/>
  <c r="U59" i="25" s="1"/>
  <c r="U38" i="25"/>
  <c r="U120" i="23"/>
  <c r="U249" i="23" s="1"/>
  <c r="U45" i="23"/>
  <c r="X45" i="23" s="1"/>
  <c r="U18" i="23"/>
  <c r="U219" i="23"/>
  <c r="U208" i="23"/>
  <c r="U203" i="23"/>
  <c r="X205" i="23" s="1"/>
  <c r="U157" i="23"/>
  <c r="Y158" i="23" s="1"/>
  <c r="U154" i="23"/>
  <c r="U143" i="23"/>
  <c r="U127" i="23"/>
  <c r="U118" i="23"/>
  <c r="U117" i="23"/>
  <c r="U114" i="23"/>
  <c r="U109" i="23"/>
  <c r="U99" i="23"/>
  <c r="U93" i="23"/>
  <c r="U83" i="23"/>
  <c r="U59" i="23"/>
  <c r="U43" i="23"/>
  <c r="U41" i="23"/>
  <c r="U40" i="23"/>
  <c r="U35" i="23"/>
  <c r="U34" i="23"/>
  <c r="U33" i="23"/>
  <c r="U32" i="23"/>
  <c r="U31" i="23"/>
  <c r="U10" i="23"/>
  <c r="U11" i="23" s="1"/>
  <c r="U8" i="23"/>
  <c r="J682" i="22"/>
  <c r="J681" i="22"/>
  <c r="M120" i="23"/>
  <c r="N120" i="23"/>
  <c r="O120" i="23"/>
  <c r="Q120" i="23"/>
  <c r="R120" i="23"/>
  <c r="S120" i="23"/>
  <c r="C120" i="23"/>
  <c r="D120" i="23"/>
  <c r="D37" i="23" s="1"/>
  <c r="E120" i="23"/>
  <c r="E37" i="23" s="1"/>
  <c r="F120" i="23"/>
  <c r="C694" i="22"/>
  <c r="F72" i="23"/>
  <c r="F176" i="23" s="1"/>
  <c r="F174" i="23"/>
  <c r="F65" i="23"/>
  <c r="F69" i="23" s="1"/>
  <c r="F61" i="23"/>
  <c r="F40" i="23" s="1"/>
  <c r="F45" i="23"/>
  <c r="J677" i="22"/>
  <c r="E691" i="22" s="1"/>
  <c r="F18" i="23"/>
  <c r="C688" i="22"/>
  <c r="C682" i="22"/>
  <c r="T66" i="25"/>
  <c r="T64" i="25"/>
  <c r="T63" i="25"/>
  <c r="T62" i="25"/>
  <c r="T57" i="25"/>
  <c r="T55" i="25"/>
  <c r="T54" i="25"/>
  <c r="T53" i="25"/>
  <c r="T37" i="25"/>
  <c r="T36" i="25"/>
  <c r="T13" i="25"/>
  <c r="T11" i="25"/>
  <c r="T10" i="25"/>
  <c r="T9" i="25"/>
  <c r="F67" i="25"/>
  <c r="F76" i="25" s="1"/>
  <c r="F58" i="25"/>
  <c r="F59" i="25" s="1"/>
  <c r="F38" i="25"/>
  <c r="F14" i="25"/>
  <c r="T219" i="23"/>
  <c r="T208" i="23"/>
  <c r="T203" i="23"/>
  <c r="T154" i="23"/>
  <c r="T143" i="23"/>
  <c r="T127" i="23"/>
  <c r="T124" i="23"/>
  <c r="T259" i="23" s="1"/>
  <c r="T113" i="23"/>
  <c r="T256" i="23" s="1"/>
  <c r="T257" i="23" s="1"/>
  <c r="T108" i="23"/>
  <c r="T107" i="23"/>
  <c r="T98" i="23"/>
  <c r="T97" i="23"/>
  <c r="T96" i="23"/>
  <c r="T95" i="23"/>
  <c r="T93" i="23"/>
  <c r="T83" i="23"/>
  <c r="T76" i="23"/>
  <c r="T180" i="23" s="1"/>
  <c r="T71" i="23"/>
  <c r="T67" i="23"/>
  <c r="T171" i="23" s="1"/>
  <c r="T66" i="23"/>
  <c r="T170" i="23" s="1"/>
  <c r="T63" i="23"/>
  <c r="V88" i="23" s="1"/>
  <c r="T166" i="23"/>
  <c r="T59" i="23"/>
  <c r="T43" i="23"/>
  <c r="T27" i="23"/>
  <c r="T24" i="23"/>
  <c r="T21" i="23"/>
  <c r="T20" i="23"/>
  <c r="T17" i="23"/>
  <c r="T16" i="23"/>
  <c r="T15" i="23"/>
  <c r="T14" i="23"/>
  <c r="T13" i="23"/>
  <c r="T9" i="23"/>
  <c r="T7" i="23"/>
  <c r="F219" i="23"/>
  <c r="F208" i="23"/>
  <c r="F203" i="23"/>
  <c r="F240" i="23" s="1"/>
  <c r="F180" i="23"/>
  <c r="F175" i="23"/>
  <c r="F171" i="23"/>
  <c r="F170" i="23"/>
  <c r="F167" i="23"/>
  <c r="F166" i="23"/>
  <c r="F157" i="23"/>
  <c r="G158" i="23" s="1"/>
  <c r="F154" i="23"/>
  <c r="F143" i="23"/>
  <c r="F127" i="23"/>
  <c r="F118" i="23"/>
  <c r="T118" i="23" s="1"/>
  <c r="F117" i="23"/>
  <c r="T117" i="23" s="1"/>
  <c r="F114" i="23"/>
  <c r="F109" i="23"/>
  <c r="F36" i="23" s="1"/>
  <c r="F99" i="23"/>
  <c r="F93" i="23"/>
  <c r="F84" i="23"/>
  <c r="F144" i="23" s="1"/>
  <c r="F83" i="23"/>
  <c r="F59" i="23"/>
  <c r="F43" i="23"/>
  <c r="F35" i="23"/>
  <c r="F34" i="23"/>
  <c r="F33" i="23"/>
  <c r="F32" i="23"/>
  <c r="F31" i="23"/>
  <c r="F10" i="23"/>
  <c r="F11" i="23" s="1"/>
  <c r="F8" i="23"/>
  <c r="P27" i="23"/>
  <c r="P24" i="23"/>
  <c r="P21" i="23"/>
  <c r="C21" i="23"/>
  <c r="P20" i="23"/>
  <c r="S18" i="23"/>
  <c r="R18" i="23"/>
  <c r="Q18" i="23"/>
  <c r="O18" i="23"/>
  <c r="N18" i="23"/>
  <c r="M18" i="23"/>
  <c r="AJ19" i="23" s="1"/>
  <c r="AK85" i="23" s="1"/>
  <c r="E18" i="23"/>
  <c r="D18" i="23"/>
  <c r="C18" i="23"/>
  <c r="P17" i="23"/>
  <c r="P16" i="23"/>
  <c r="P15" i="23"/>
  <c r="P14" i="23"/>
  <c r="P13" i="23"/>
  <c r="S10" i="23"/>
  <c r="R10" i="23"/>
  <c r="Q10" i="23"/>
  <c r="Q11" i="23" s="1"/>
  <c r="O10" i="23"/>
  <c r="N10" i="23"/>
  <c r="M10" i="23"/>
  <c r="M11" i="23" s="1"/>
  <c r="E10" i="23"/>
  <c r="D10" i="23"/>
  <c r="C10" i="23"/>
  <c r="C11" i="23" s="1"/>
  <c r="P9" i="23"/>
  <c r="S8" i="23"/>
  <c r="R8" i="23"/>
  <c r="Q8" i="23"/>
  <c r="E8" i="23"/>
  <c r="D8" i="23"/>
  <c r="P7" i="23"/>
  <c r="T71" i="25" l="1"/>
  <c r="U76" i="25"/>
  <c r="T72" i="25"/>
  <c r="T73" i="25"/>
  <c r="T75" i="25"/>
  <c r="U39" i="25"/>
  <c r="U43" i="25"/>
  <c r="U42" i="25"/>
  <c r="U44" i="25" s="1"/>
  <c r="Y49" i="25"/>
  <c r="X47" i="25"/>
  <c r="F39" i="25"/>
  <c r="F42" i="25"/>
  <c r="F43" i="25"/>
  <c r="G49" i="25"/>
  <c r="X48" i="25"/>
  <c r="X27" i="25"/>
  <c r="X26" i="25"/>
  <c r="X28" i="25"/>
  <c r="X30" i="25"/>
  <c r="Y31" i="25"/>
  <c r="G31" i="25"/>
  <c r="U15" i="25"/>
  <c r="U18" i="25"/>
  <c r="U19" i="25"/>
  <c r="U21" i="25"/>
  <c r="U22" i="25"/>
  <c r="U20" i="25"/>
  <c r="F15" i="25"/>
  <c r="F20" i="25"/>
  <c r="F18" i="25"/>
  <c r="F22" i="25"/>
  <c r="F21" i="25"/>
  <c r="F19" i="25"/>
  <c r="AJ44" i="23"/>
  <c r="AJ23" i="23"/>
  <c r="AJ85" i="23"/>
  <c r="AJ148" i="23"/>
  <c r="AJ37" i="23"/>
  <c r="AJ249" i="23"/>
  <c r="AJ250" i="23" s="1"/>
  <c r="AJ184" i="23"/>
  <c r="AJ121" i="23"/>
  <c r="R37" i="23"/>
  <c r="Q37" i="23"/>
  <c r="S37" i="23"/>
  <c r="V36" i="23"/>
  <c r="U36" i="23"/>
  <c r="T22" i="23"/>
  <c r="W36" i="23"/>
  <c r="F249" i="23"/>
  <c r="F37" i="23"/>
  <c r="W37" i="23"/>
  <c r="V37" i="23"/>
  <c r="U37" i="23"/>
  <c r="P22" i="23"/>
  <c r="C37" i="23"/>
  <c r="C22" i="23"/>
  <c r="V250" i="23"/>
  <c r="V25" i="23"/>
  <c r="V26" i="23" s="1"/>
  <c r="T102" i="23"/>
  <c r="T103" i="23"/>
  <c r="T104" i="23"/>
  <c r="V51" i="23"/>
  <c r="V53" i="23" s="1"/>
  <c r="V162" i="23" s="1"/>
  <c r="Z47" i="23"/>
  <c r="F148" i="23"/>
  <c r="F213" i="23" s="1"/>
  <c r="X18" i="23"/>
  <c r="T8" i="23"/>
  <c r="X8" i="23"/>
  <c r="X249" i="23"/>
  <c r="X148" i="23"/>
  <c r="X213" i="23" s="1"/>
  <c r="X184" i="23"/>
  <c r="W84" i="23"/>
  <c r="J678" i="22"/>
  <c r="W205" i="23"/>
  <c r="U84" i="23"/>
  <c r="U144" i="23" s="1"/>
  <c r="V185" i="23"/>
  <c r="V212" i="23"/>
  <c r="V123" i="23"/>
  <c r="V187" i="23" s="1"/>
  <c r="V129" i="23"/>
  <c r="V189" i="23" s="1"/>
  <c r="V132" i="23"/>
  <c r="V151" i="23" s="1"/>
  <c r="T34" i="23"/>
  <c r="C673" i="22"/>
  <c r="C675" i="22" s="1"/>
  <c r="E694" i="22"/>
  <c r="V84" i="23"/>
  <c r="F100" i="23"/>
  <c r="E639" i="22"/>
  <c r="E627" i="22"/>
  <c r="V48" i="23"/>
  <c r="U68" i="25"/>
  <c r="E673" i="22"/>
  <c r="E675" i="22" s="1"/>
  <c r="J683" i="22"/>
  <c r="U222" i="23"/>
  <c r="Y223" i="23" s="1"/>
  <c r="U119" i="23"/>
  <c r="U121" i="23" s="1"/>
  <c r="U19" i="23"/>
  <c r="U23" i="23" s="1"/>
  <c r="U148" i="23"/>
  <c r="U213" i="23" s="1"/>
  <c r="U184" i="23"/>
  <c r="F73" i="23"/>
  <c r="T120" i="23"/>
  <c r="T249" i="23" s="1"/>
  <c r="F184" i="23"/>
  <c r="C698" i="22"/>
  <c r="E695" i="22"/>
  <c r="E696" i="22"/>
  <c r="T119" i="23"/>
  <c r="T183" i="23" s="1"/>
  <c r="E689" i="22"/>
  <c r="E682" i="22"/>
  <c r="E690" i="22"/>
  <c r="E683" i="22"/>
  <c r="E685" i="22"/>
  <c r="E688" i="22"/>
  <c r="F205" i="23"/>
  <c r="C701" i="22"/>
  <c r="E701" i="22" s="1"/>
  <c r="F68" i="25"/>
  <c r="T35" i="23"/>
  <c r="E684" i="22"/>
  <c r="E692" i="22"/>
  <c r="E686" i="22"/>
  <c r="T58" i="25"/>
  <c r="T59" i="25" s="1"/>
  <c r="T14" i="25"/>
  <c r="T20" i="25" s="1"/>
  <c r="T38" i="25"/>
  <c r="T42" i="25" s="1"/>
  <c r="T67" i="25"/>
  <c r="T76" i="25" s="1"/>
  <c r="T31" i="23"/>
  <c r="T32" i="23"/>
  <c r="T33" i="23"/>
  <c r="T240" i="23"/>
  <c r="T109" i="23"/>
  <c r="T36" i="23" s="1"/>
  <c r="T232" i="23"/>
  <c r="T99" i="23"/>
  <c r="T222" i="23"/>
  <c r="T18" i="23"/>
  <c r="T88" i="23"/>
  <c r="T114" i="23"/>
  <c r="T235" i="23"/>
  <c r="T231" i="23"/>
  <c r="T175" i="23"/>
  <c r="T236" i="23"/>
  <c r="T167" i="23"/>
  <c r="T84" i="23"/>
  <c r="T144" i="23" s="1"/>
  <c r="T157" i="23"/>
  <c r="X158" i="23" s="1"/>
  <c r="T245" i="23"/>
  <c r="T61" i="23"/>
  <c r="T10" i="23"/>
  <c r="T70" i="23"/>
  <c r="F119" i="23"/>
  <c r="F125" i="23" s="1"/>
  <c r="F234" i="23"/>
  <c r="N19" i="23"/>
  <c r="F169" i="23"/>
  <c r="F41" i="23"/>
  <c r="R19" i="23"/>
  <c r="O19" i="23"/>
  <c r="P18" i="23"/>
  <c r="F209" i="23"/>
  <c r="F235" i="23"/>
  <c r="F245" i="23"/>
  <c r="F230" i="23"/>
  <c r="Q19" i="23"/>
  <c r="Q23" i="23" s="1"/>
  <c r="F19" i="23"/>
  <c r="F23" i="23" s="1"/>
  <c r="F165" i="23"/>
  <c r="F231" i="23"/>
  <c r="F239" i="23"/>
  <c r="F236" i="23"/>
  <c r="S19" i="23"/>
  <c r="S23" i="23" s="1"/>
  <c r="D19" i="23"/>
  <c r="F55" i="23"/>
  <c r="F222" i="23"/>
  <c r="G223" i="23" s="1"/>
  <c r="F232" i="23"/>
  <c r="F56" i="23"/>
  <c r="F90" i="23"/>
  <c r="F241" i="23"/>
  <c r="C19" i="23"/>
  <c r="M19" i="23"/>
  <c r="E19" i="23"/>
  <c r="P10" i="23"/>
  <c r="D11" i="23"/>
  <c r="N11" i="23"/>
  <c r="R11" i="23"/>
  <c r="E11" i="23"/>
  <c r="O11" i="23"/>
  <c r="S11" i="23"/>
  <c r="R180" i="23"/>
  <c r="R175" i="23"/>
  <c r="R174" i="23"/>
  <c r="R171" i="23"/>
  <c r="R170" i="23"/>
  <c r="R167" i="23"/>
  <c r="R166" i="23"/>
  <c r="R165" i="23"/>
  <c r="N180" i="23"/>
  <c r="N175" i="23"/>
  <c r="N174" i="23"/>
  <c r="N171" i="23"/>
  <c r="N170" i="23"/>
  <c r="N167" i="23"/>
  <c r="N166" i="23"/>
  <c r="N165" i="23"/>
  <c r="S35" i="23"/>
  <c r="R35" i="23"/>
  <c r="Q35" i="23"/>
  <c r="P35" i="23"/>
  <c r="O35" i="23"/>
  <c r="N35" i="23"/>
  <c r="M35" i="23"/>
  <c r="S34" i="23"/>
  <c r="R34" i="23"/>
  <c r="Q34" i="23"/>
  <c r="P34" i="23"/>
  <c r="O34" i="23"/>
  <c r="N34" i="23"/>
  <c r="M34" i="23"/>
  <c r="E35" i="23"/>
  <c r="D35" i="23"/>
  <c r="E34" i="23"/>
  <c r="D34" i="23"/>
  <c r="C35" i="23"/>
  <c r="C34" i="23"/>
  <c r="B34" i="23"/>
  <c r="B35" i="23"/>
  <c r="C778" i="22"/>
  <c r="C765" i="22"/>
  <c r="C763" i="22"/>
  <c r="C785" i="22" s="1"/>
  <c r="C787" i="22" s="1"/>
  <c r="C758" i="22"/>
  <c r="J742" i="22"/>
  <c r="C752" i="22"/>
  <c r="C746" i="22"/>
  <c r="T43" i="25" l="1"/>
  <c r="T44" i="25" s="1"/>
  <c r="T39" i="25"/>
  <c r="X49" i="25"/>
  <c r="F44" i="25"/>
  <c r="X31" i="25"/>
  <c r="U23" i="25"/>
  <c r="T15" i="25"/>
  <c r="T21" i="25"/>
  <c r="T22" i="25"/>
  <c r="T18" i="25"/>
  <c r="F23" i="25"/>
  <c r="T19" i="25"/>
  <c r="AJ185" i="23"/>
  <c r="AJ132" i="23"/>
  <c r="AJ129" i="23"/>
  <c r="AJ189" i="23" s="1"/>
  <c r="AJ140" i="23"/>
  <c r="AJ200" i="23" s="1"/>
  <c r="AJ272" i="23"/>
  <c r="AJ213" i="23"/>
  <c r="AJ149" i="23"/>
  <c r="AJ214" i="23" s="1"/>
  <c r="AJ25" i="23"/>
  <c r="AK89" i="23" s="1"/>
  <c r="AJ38" i="23"/>
  <c r="D23" i="23"/>
  <c r="D25" i="23" s="1"/>
  <c r="E23" i="23"/>
  <c r="E25" i="23" s="1"/>
  <c r="M23" i="23"/>
  <c r="M25" i="23" s="1"/>
  <c r="T37" i="23"/>
  <c r="C23" i="23"/>
  <c r="C25" i="23" s="1"/>
  <c r="N23" i="23"/>
  <c r="N25" i="23" s="1"/>
  <c r="O23" i="23"/>
  <c r="O25" i="23" s="1"/>
  <c r="R23" i="23"/>
  <c r="R25" i="23" s="1"/>
  <c r="V272" i="23"/>
  <c r="V28" i="23"/>
  <c r="V50" i="23"/>
  <c r="V225" i="23"/>
  <c r="V160" i="23"/>
  <c r="X19" i="23"/>
  <c r="Z52" i="23"/>
  <c r="Z161" i="23" s="1"/>
  <c r="X223" i="23"/>
  <c r="U38" i="23"/>
  <c r="U100" i="23"/>
  <c r="J607" i="22"/>
  <c r="W144" i="23"/>
  <c r="W209" i="23" s="1"/>
  <c r="W100" i="23"/>
  <c r="V252" i="23"/>
  <c r="V192" i="23"/>
  <c r="U125" i="23"/>
  <c r="S25" i="23"/>
  <c r="S28" i="23" s="1"/>
  <c r="V100" i="23"/>
  <c r="V144" i="23"/>
  <c r="T121" i="23"/>
  <c r="T185" i="23" s="1"/>
  <c r="E629" i="22"/>
  <c r="T184" i="23"/>
  <c r="C699" i="22"/>
  <c r="E699" i="22" s="1"/>
  <c r="E708" i="22" s="1"/>
  <c r="E710" i="22" s="1"/>
  <c r="T148" i="23"/>
  <c r="T213" i="23" s="1"/>
  <c r="U248" i="23"/>
  <c r="U147" i="23"/>
  <c r="U212" i="23" s="1"/>
  <c r="U183" i="23"/>
  <c r="U44" i="23"/>
  <c r="U46" i="23" s="1"/>
  <c r="U185" i="23"/>
  <c r="U129" i="23"/>
  <c r="U189" i="23" s="1"/>
  <c r="U132" i="23"/>
  <c r="U140" i="23"/>
  <c r="U200" i="23" s="1"/>
  <c r="U123" i="23"/>
  <c r="E777" i="22"/>
  <c r="E698" i="22"/>
  <c r="C704" i="22"/>
  <c r="T125" i="23"/>
  <c r="T147" i="23"/>
  <c r="T248" i="23"/>
  <c r="T68" i="25"/>
  <c r="T19" i="23"/>
  <c r="T23" i="23" s="1"/>
  <c r="T11" i="23"/>
  <c r="F242" i="23"/>
  <c r="T165" i="23"/>
  <c r="T230" i="23"/>
  <c r="T56" i="23"/>
  <c r="T40" i="23"/>
  <c r="T174" i="23"/>
  <c r="T239" i="23"/>
  <c r="Q25" i="23"/>
  <c r="T100" i="23"/>
  <c r="F183" i="23"/>
  <c r="F121" i="23"/>
  <c r="F123" i="23" s="1"/>
  <c r="T123" i="23" s="1"/>
  <c r="F248" i="23"/>
  <c r="F147" i="23"/>
  <c r="F177" i="23"/>
  <c r="F85" i="23"/>
  <c r="F44" i="23"/>
  <c r="F46" i="23" s="1"/>
  <c r="G47" i="23" s="1"/>
  <c r="F173" i="23"/>
  <c r="F238" i="23"/>
  <c r="P19" i="23"/>
  <c r="P23" i="23" s="1"/>
  <c r="P11" i="23"/>
  <c r="E778" i="22"/>
  <c r="E773" i="22"/>
  <c r="E774" i="22"/>
  <c r="E775" i="22"/>
  <c r="E776" i="22"/>
  <c r="E752" i="22"/>
  <c r="C762" i="22"/>
  <c r="E753" i="22"/>
  <c r="E754" i="22"/>
  <c r="E759" i="22"/>
  <c r="E746" i="22"/>
  <c r="E755" i="22"/>
  <c r="E756" i="22"/>
  <c r="E758" i="22"/>
  <c r="E760" i="22"/>
  <c r="E765" i="22"/>
  <c r="E747" i="22"/>
  <c r="E763" i="22"/>
  <c r="E785" i="22" s="1"/>
  <c r="E787" i="22" s="1"/>
  <c r="E748" i="22"/>
  <c r="E749" i="22"/>
  <c r="E750" i="22"/>
  <c r="T23" i="25" l="1"/>
  <c r="AJ28" i="23"/>
  <c r="AJ26" i="23"/>
  <c r="AJ89" i="23"/>
  <c r="AJ151" i="23"/>
  <c r="AJ192" i="23"/>
  <c r="E26" i="23"/>
  <c r="E28" i="23"/>
  <c r="O28" i="23"/>
  <c r="O26" i="23"/>
  <c r="N26" i="23"/>
  <c r="N28" i="23"/>
  <c r="C26" i="23"/>
  <c r="C28" i="23"/>
  <c r="M28" i="23"/>
  <c r="M26" i="23"/>
  <c r="R28" i="23"/>
  <c r="R26" i="23"/>
  <c r="D26" i="23"/>
  <c r="D28" i="23"/>
  <c r="X23" i="23"/>
  <c r="X38" i="23" s="1"/>
  <c r="P25" i="23"/>
  <c r="P28" i="23" s="1"/>
  <c r="F250" i="23"/>
  <c r="U250" i="23"/>
  <c r="Z226" i="23"/>
  <c r="T250" i="23"/>
  <c r="V227" i="23"/>
  <c r="Y47" i="23"/>
  <c r="V60" i="23"/>
  <c r="V229" i="23" s="1"/>
  <c r="U25" i="23"/>
  <c r="X44" i="23"/>
  <c r="X85" i="23"/>
  <c r="AA85" i="23"/>
  <c r="Z85" i="23"/>
  <c r="Y85" i="23"/>
  <c r="T140" i="23"/>
  <c r="T200" i="23" s="1"/>
  <c r="U48" i="23"/>
  <c r="T85" i="23"/>
  <c r="W85" i="23"/>
  <c r="U149" i="23"/>
  <c r="U214" i="23" s="1"/>
  <c r="T149" i="23"/>
  <c r="T214" i="23" s="1"/>
  <c r="V85" i="23"/>
  <c r="S26" i="23"/>
  <c r="C708" i="22"/>
  <c r="C710" i="22" s="1"/>
  <c r="J684" i="22"/>
  <c r="E631" i="22"/>
  <c r="C700" i="22"/>
  <c r="C702" i="22" s="1"/>
  <c r="U85" i="23"/>
  <c r="E700" i="22"/>
  <c r="E702" i="22" s="1"/>
  <c r="U51" i="23"/>
  <c r="Y52" i="23" s="1"/>
  <c r="Y161" i="23" s="1"/>
  <c r="U151" i="23"/>
  <c r="U192" i="23"/>
  <c r="U187" i="23"/>
  <c r="U252" i="23"/>
  <c r="T212" i="23"/>
  <c r="T252" i="23"/>
  <c r="T187" i="23"/>
  <c r="F185" i="23"/>
  <c r="Q28" i="23"/>
  <c r="Q26" i="23"/>
  <c r="T44" i="23"/>
  <c r="F212" i="23"/>
  <c r="F149" i="23"/>
  <c r="F214" i="23" s="1"/>
  <c r="F140" i="23"/>
  <c r="F200" i="23" s="1"/>
  <c r="F252" i="23"/>
  <c r="F187" i="23"/>
  <c r="F51" i="23"/>
  <c r="G52" i="23" s="1"/>
  <c r="G161" i="23" s="1"/>
  <c r="F86" i="23"/>
  <c r="F48" i="23"/>
  <c r="F25" i="23"/>
  <c r="F38" i="23"/>
  <c r="C780" i="22"/>
  <c r="E772" i="22"/>
  <c r="C764" i="22"/>
  <c r="P26" i="23" l="1"/>
  <c r="X25" i="23"/>
  <c r="X89" i="23"/>
  <c r="U272" i="23"/>
  <c r="T272" i="23"/>
  <c r="F272" i="23"/>
  <c r="U28" i="23"/>
  <c r="V64" i="23"/>
  <c r="V68" i="23" s="1"/>
  <c r="V74" i="23" s="1"/>
  <c r="V164" i="23"/>
  <c r="X60" i="23"/>
  <c r="X229" i="23" s="1"/>
  <c r="U26" i="23"/>
  <c r="U53" i="23"/>
  <c r="U162" i="23" s="1"/>
  <c r="U50" i="23"/>
  <c r="X50" i="23" s="1"/>
  <c r="AJ50" i="23" s="1"/>
  <c r="U225" i="23"/>
  <c r="U160" i="23"/>
  <c r="T25" i="23"/>
  <c r="W89" i="23" s="1"/>
  <c r="T38" i="23"/>
  <c r="F225" i="23"/>
  <c r="F264" i="23" s="1"/>
  <c r="F50" i="23"/>
  <c r="F53" i="23"/>
  <c r="F162" i="23" s="1"/>
  <c r="F87" i="23"/>
  <c r="F160" i="23"/>
  <c r="F60" i="23"/>
  <c r="F26" i="23"/>
  <c r="F89" i="23"/>
  <c r="F28" i="23"/>
  <c r="E780" i="22"/>
  <c r="C766" i="22"/>
  <c r="AA89" i="23" l="1"/>
  <c r="X28" i="23"/>
  <c r="X26" i="23"/>
  <c r="Z89" i="23"/>
  <c r="Y89" i="23"/>
  <c r="V237" i="23"/>
  <c r="F261" i="23"/>
  <c r="V172" i="23"/>
  <c r="G226" i="23"/>
  <c r="F265" i="23"/>
  <c r="F262" i="23"/>
  <c r="F267" i="23"/>
  <c r="X164" i="23"/>
  <c r="V168" i="23"/>
  <c r="V233" i="23"/>
  <c r="X64" i="23"/>
  <c r="X168" i="23" s="1"/>
  <c r="U227" i="23"/>
  <c r="Y226" i="23"/>
  <c r="V75" i="23"/>
  <c r="X75" i="23" s="1"/>
  <c r="U89" i="23"/>
  <c r="V89" i="23"/>
  <c r="V178" i="23"/>
  <c r="V243" i="23"/>
  <c r="F129" i="23"/>
  <c r="F189" i="23" s="1"/>
  <c r="F132" i="23"/>
  <c r="T28" i="23"/>
  <c r="T26" i="23"/>
  <c r="T89" i="23"/>
  <c r="F164" i="23"/>
  <c r="F229" i="23"/>
  <c r="F64" i="23"/>
  <c r="F145" i="23"/>
  <c r="F137" i="23"/>
  <c r="F197" i="23" s="1"/>
  <c r="F138" i="23"/>
  <c r="F198" i="23" s="1"/>
  <c r="F130" i="23"/>
  <c r="F190" i="23" s="1"/>
  <c r="F133" i="23"/>
  <c r="F135" i="23"/>
  <c r="F195" i="23" s="1"/>
  <c r="F227" i="23"/>
  <c r="M45" i="23"/>
  <c r="AJ46" i="23" s="1"/>
  <c r="Q45" i="23"/>
  <c r="N45" i="23"/>
  <c r="R45" i="23"/>
  <c r="O45" i="23"/>
  <c r="S45" i="23"/>
  <c r="C45" i="23"/>
  <c r="D45" i="23"/>
  <c r="E45" i="23"/>
  <c r="C38" i="25"/>
  <c r="D38" i="25"/>
  <c r="AJ60" i="23" l="1"/>
  <c r="AJ64" i="23" s="1"/>
  <c r="AJ68" i="23" s="1"/>
  <c r="AK86" i="23"/>
  <c r="C42" i="25"/>
  <c r="C43" i="25"/>
  <c r="D43" i="25"/>
  <c r="D42" i="25"/>
  <c r="D44" i="25" s="1"/>
  <c r="D49" i="25"/>
  <c r="AJ51" i="23"/>
  <c r="K51" i="23" s="1"/>
  <c r="AJ48" i="23"/>
  <c r="AJ47" i="23"/>
  <c r="AJ86" i="23"/>
  <c r="X233" i="23"/>
  <c r="X68" i="23"/>
  <c r="Z91" i="23" s="1"/>
  <c r="F270" i="23"/>
  <c r="F269" i="23"/>
  <c r="V77" i="23"/>
  <c r="X179" i="23"/>
  <c r="X244" i="23"/>
  <c r="X46" i="23"/>
  <c r="X86" i="23" s="1"/>
  <c r="V179" i="23"/>
  <c r="V244" i="23"/>
  <c r="F151" i="23"/>
  <c r="F192" i="23"/>
  <c r="T45" i="23"/>
  <c r="F193" i="23"/>
  <c r="F150" i="23"/>
  <c r="F146" i="23"/>
  <c r="F210" i="23"/>
  <c r="F168" i="23"/>
  <c r="F233" i="23"/>
  <c r="F68" i="23"/>
  <c r="S67" i="25"/>
  <c r="R67" i="25"/>
  <c r="Q67" i="25"/>
  <c r="O67" i="25"/>
  <c r="N67" i="25"/>
  <c r="M67" i="25"/>
  <c r="E67" i="25"/>
  <c r="D67" i="25"/>
  <c r="C67" i="25"/>
  <c r="P66" i="25"/>
  <c r="P64" i="25"/>
  <c r="P63" i="25"/>
  <c r="P62" i="25"/>
  <c r="S58" i="25"/>
  <c r="S59" i="25" s="1"/>
  <c r="R58" i="25"/>
  <c r="R59" i="25" s="1"/>
  <c r="Q58" i="25"/>
  <c r="Q59" i="25" s="1"/>
  <c r="O58" i="25"/>
  <c r="O59" i="25" s="1"/>
  <c r="N58" i="25"/>
  <c r="N59" i="25" s="1"/>
  <c r="M58" i="25"/>
  <c r="M59" i="25" s="1"/>
  <c r="E58" i="25"/>
  <c r="E59" i="25" s="1"/>
  <c r="D58" i="25"/>
  <c r="D59" i="25" s="1"/>
  <c r="C58" i="25"/>
  <c r="C59" i="25" s="1"/>
  <c r="P57" i="25"/>
  <c r="P55" i="25"/>
  <c r="P54" i="25"/>
  <c r="P53" i="25"/>
  <c r="AJ74" i="23" l="1"/>
  <c r="AJ77" i="23" s="1"/>
  <c r="AJ91" i="23"/>
  <c r="K60" i="23"/>
  <c r="K229" i="23" s="1"/>
  <c r="AK87" i="23"/>
  <c r="C44" i="25"/>
  <c r="K87" i="23"/>
  <c r="K225" i="23"/>
  <c r="K53" i="23"/>
  <c r="K162" i="23" s="1"/>
  <c r="K160" i="23"/>
  <c r="K50" i="23"/>
  <c r="AJ229" i="23"/>
  <c r="AJ164" i="23"/>
  <c r="AJ53" i="23"/>
  <c r="AJ162" i="23" s="1"/>
  <c r="AJ52" i="23"/>
  <c r="AJ161" i="23" s="1"/>
  <c r="AJ160" i="23"/>
  <c r="AJ225" i="23"/>
  <c r="AJ87" i="23"/>
  <c r="X74" i="23"/>
  <c r="X77" i="23" s="1"/>
  <c r="X172" i="23"/>
  <c r="X237" i="23"/>
  <c r="X91" i="23"/>
  <c r="X51" i="23"/>
  <c r="X53" i="23" s="1"/>
  <c r="X162" i="23" s="1"/>
  <c r="AB47" i="23"/>
  <c r="X48" i="23"/>
  <c r="AA86" i="23"/>
  <c r="Z86" i="23"/>
  <c r="Y86" i="23"/>
  <c r="T46" i="23"/>
  <c r="X47" i="23" s="1"/>
  <c r="V246" i="23"/>
  <c r="V181" i="23"/>
  <c r="F211" i="23"/>
  <c r="F215" i="23"/>
  <c r="F216" i="23"/>
  <c r="F91" i="23"/>
  <c r="F74" i="23"/>
  <c r="F75" i="23" s="1"/>
  <c r="F172" i="23"/>
  <c r="F237" i="23"/>
  <c r="P67" i="25"/>
  <c r="P58" i="25"/>
  <c r="S38" i="25"/>
  <c r="R38" i="25"/>
  <c r="Q38" i="25"/>
  <c r="M38" i="25"/>
  <c r="N38" i="25"/>
  <c r="O38" i="25"/>
  <c r="P37" i="25"/>
  <c r="P36" i="25"/>
  <c r="D39" i="25"/>
  <c r="C39" i="25"/>
  <c r="E38" i="25"/>
  <c r="S14" i="25"/>
  <c r="S76" i="25" s="1"/>
  <c r="R14" i="25"/>
  <c r="R76" i="25" s="1"/>
  <c r="Q14" i="25"/>
  <c r="Q76" i="25" s="1"/>
  <c r="O14" i="25"/>
  <c r="O76" i="25" s="1"/>
  <c r="N14" i="25"/>
  <c r="N76" i="25" s="1"/>
  <c r="M14" i="25"/>
  <c r="M76" i="25" s="1"/>
  <c r="E14" i="25"/>
  <c r="E76" i="25" s="1"/>
  <c r="D14" i="25"/>
  <c r="D76" i="25" s="1"/>
  <c r="C14" i="25"/>
  <c r="C76" i="25" s="1"/>
  <c r="P13" i="25"/>
  <c r="T30" i="25" s="1"/>
  <c r="P11" i="25"/>
  <c r="T28" i="25" s="1"/>
  <c r="P10" i="25"/>
  <c r="T27" i="25" s="1"/>
  <c r="P9" i="25"/>
  <c r="T26" i="25" s="1"/>
  <c r="P72" i="25" l="1"/>
  <c r="P75" i="25"/>
  <c r="P71" i="25"/>
  <c r="P73" i="25"/>
  <c r="C77" i="22"/>
  <c r="D72" i="22" s="1"/>
  <c r="AJ138" i="23"/>
  <c r="AJ137" i="23"/>
  <c r="E77" i="22"/>
  <c r="AK267" i="23"/>
  <c r="AK264" i="23"/>
  <c r="AK262" i="23"/>
  <c r="AK265" i="23"/>
  <c r="AK261" i="23"/>
  <c r="X243" i="23"/>
  <c r="AK145" i="23"/>
  <c r="AK133" i="23"/>
  <c r="AK130" i="23"/>
  <c r="AK190" i="23" s="1"/>
  <c r="AK135" i="23"/>
  <c r="AK195" i="23" s="1"/>
  <c r="E39" i="25"/>
  <c r="E49" i="25"/>
  <c r="E43" i="25"/>
  <c r="E42" i="25"/>
  <c r="F49" i="25"/>
  <c r="R39" i="25"/>
  <c r="R49" i="25"/>
  <c r="R43" i="25"/>
  <c r="R42" i="25"/>
  <c r="V49" i="25"/>
  <c r="Q39" i="25"/>
  <c r="Q49" i="25"/>
  <c r="Q42" i="25"/>
  <c r="Q43" i="25"/>
  <c r="U49" i="25"/>
  <c r="S39" i="25"/>
  <c r="S49" i="25"/>
  <c r="S43" i="25"/>
  <c r="S42" i="25"/>
  <c r="W49" i="25"/>
  <c r="T47" i="25"/>
  <c r="M39" i="25"/>
  <c r="M43" i="25"/>
  <c r="M42" i="25"/>
  <c r="T48" i="25"/>
  <c r="O39" i="25"/>
  <c r="O43" i="25"/>
  <c r="O42" i="25"/>
  <c r="N39" i="25"/>
  <c r="N42" i="25"/>
  <c r="N43" i="25"/>
  <c r="R31" i="25"/>
  <c r="V31" i="25"/>
  <c r="S31" i="25"/>
  <c r="W31" i="25"/>
  <c r="D31" i="25"/>
  <c r="E31" i="25"/>
  <c r="F31" i="25"/>
  <c r="Q31" i="25"/>
  <c r="U31" i="25"/>
  <c r="Q15" i="25"/>
  <c r="Q21" i="25"/>
  <c r="Q22" i="25"/>
  <c r="Q20" i="25"/>
  <c r="Q19" i="25"/>
  <c r="Q18" i="25"/>
  <c r="D15" i="25"/>
  <c r="D18" i="25"/>
  <c r="D22" i="25"/>
  <c r="D21" i="25"/>
  <c r="D19" i="25"/>
  <c r="D20" i="25"/>
  <c r="R15" i="25"/>
  <c r="R20" i="25"/>
  <c r="R22" i="25"/>
  <c r="R21" i="25"/>
  <c r="R19" i="25"/>
  <c r="R18" i="25"/>
  <c r="E15" i="25"/>
  <c r="E21" i="25"/>
  <c r="E22" i="25"/>
  <c r="E20" i="25"/>
  <c r="E19" i="25"/>
  <c r="E18" i="25"/>
  <c r="N15" i="25"/>
  <c r="N19" i="25"/>
  <c r="N20" i="25"/>
  <c r="N22" i="25"/>
  <c r="N21" i="25"/>
  <c r="N18" i="25"/>
  <c r="C15" i="25"/>
  <c r="C22" i="25"/>
  <c r="C19" i="25"/>
  <c r="C21" i="25"/>
  <c r="C18" i="25"/>
  <c r="C20" i="25"/>
  <c r="S15" i="25"/>
  <c r="S19" i="25"/>
  <c r="S18" i="25"/>
  <c r="S20" i="25"/>
  <c r="S22" i="25"/>
  <c r="S21" i="25"/>
  <c r="M15" i="25"/>
  <c r="M20" i="25"/>
  <c r="M19" i="25"/>
  <c r="M21" i="25"/>
  <c r="M18" i="25"/>
  <c r="M22" i="25"/>
  <c r="O15" i="25"/>
  <c r="O19" i="25"/>
  <c r="O18" i="25"/>
  <c r="O22" i="25"/>
  <c r="O21" i="25"/>
  <c r="O20" i="25"/>
  <c r="K135" i="23"/>
  <c r="K195" i="23" s="1"/>
  <c r="K130" i="23"/>
  <c r="K190" i="23" s="1"/>
  <c r="K145" i="23"/>
  <c r="K133" i="23"/>
  <c r="K227" i="23"/>
  <c r="K267" i="23"/>
  <c r="K265" i="23"/>
  <c r="K261" i="23"/>
  <c r="K264" i="23"/>
  <c r="K262" i="23"/>
  <c r="X178" i="23"/>
  <c r="AJ198" i="23"/>
  <c r="AJ197" i="23"/>
  <c r="AJ145" i="23"/>
  <c r="AJ133" i="23"/>
  <c r="AJ130" i="23"/>
  <c r="AJ190" i="23" s="1"/>
  <c r="AJ227" i="23"/>
  <c r="AJ226" i="23"/>
  <c r="AJ262" i="23"/>
  <c r="AJ265" i="23"/>
  <c r="AJ264" i="23"/>
  <c r="AJ261" i="23"/>
  <c r="AJ168" i="23"/>
  <c r="AJ233" i="23"/>
  <c r="Y87" i="23"/>
  <c r="Y130" i="23" s="1"/>
  <c r="Y190" i="23" s="1"/>
  <c r="Z87" i="23"/>
  <c r="Z135" i="23" s="1"/>
  <c r="Z195" i="23" s="1"/>
  <c r="AA87" i="23"/>
  <c r="C461" i="22" s="1"/>
  <c r="E461" i="22" s="1"/>
  <c r="X160" i="23"/>
  <c r="X225" i="23"/>
  <c r="X87" i="23"/>
  <c r="X137" i="23" s="1"/>
  <c r="X197" i="23" s="1"/>
  <c r="AB52" i="23"/>
  <c r="AB161" i="23" s="1"/>
  <c r="X181" i="23"/>
  <c r="X246" i="23"/>
  <c r="T51" i="23"/>
  <c r="X52" i="23" s="1"/>
  <c r="X161" i="23" s="1"/>
  <c r="T48" i="23"/>
  <c r="W86" i="23"/>
  <c r="F81" i="23"/>
  <c r="P14" i="25"/>
  <c r="P76" i="25" s="1"/>
  <c r="F178" i="23"/>
  <c r="F243" i="23"/>
  <c r="P38" i="25"/>
  <c r="T49" i="25" s="1"/>
  <c r="C716" i="22"/>
  <c r="C722" i="22"/>
  <c r="J712" i="22"/>
  <c r="D74" i="22" l="1"/>
  <c r="N44" i="25"/>
  <c r="Q44" i="25"/>
  <c r="P42" i="25"/>
  <c r="O44" i="25"/>
  <c r="E44" i="25"/>
  <c r="AK150" i="23"/>
  <c r="AK193" i="23"/>
  <c r="AK210" i="23"/>
  <c r="AK146" i="23"/>
  <c r="F72" i="22"/>
  <c r="F74" i="22"/>
  <c r="P43" i="25"/>
  <c r="P44" i="25" s="1"/>
  <c r="S44" i="25"/>
  <c r="M44" i="25"/>
  <c r="R44" i="25"/>
  <c r="D23" i="25"/>
  <c r="Q23" i="25"/>
  <c r="P21" i="25"/>
  <c r="T31" i="25"/>
  <c r="R23" i="25"/>
  <c r="N23" i="25"/>
  <c r="P20" i="25"/>
  <c r="P22" i="25"/>
  <c r="P18" i="25"/>
  <c r="M23" i="25"/>
  <c r="S23" i="25"/>
  <c r="E23" i="25"/>
  <c r="O23" i="25"/>
  <c r="C23" i="25"/>
  <c r="P19" i="25"/>
  <c r="K150" i="23"/>
  <c r="K193" i="23"/>
  <c r="K146" i="23"/>
  <c r="K210" i="23"/>
  <c r="AJ237" i="23"/>
  <c r="AJ172" i="23"/>
  <c r="AJ193" i="23"/>
  <c r="AJ150" i="23"/>
  <c r="AJ146" i="23"/>
  <c r="AJ210" i="23"/>
  <c r="Z145" i="23"/>
  <c r="Z146" i="23" s="1"/>
  <c r="AB226" i="23"/>
  <c r="AA265" i="23"/>
  <c r="AA262" i="23"/>
  <c r="AA261" i="23"/>
  <c r="AA264" i="23"/>
  <c r="AA267" i="23"/>
  <c r="Z267" i="23"/>
  <c r="Z265" i="23"/>
  <c r="Z262" i="23"/>
  <c r="Z261" i="23"/>
  <c r="Z264" i="23"/>
  <c r="Z270" i="23"/>
  <c r="Z269" i="23"/>
  <c r="Y265" i="23"/>
  <c r="Y261" i="23"/>
  <c r="Y264" i="23"/>
  <c r="Y262" i="23"/>
  <c r="Y267" i="23"/>
  <c r="X270" i="23"/>
  <c r="X269" i="23"/>
  <c r="AA145" i="23"/>
  <c r="AA210" i="23" s="1"/>
  <c r="X227" i="23"/>
  <c r="C547" i="22"/>
  <c r="D542" i="22" s="1"/>
  <c r="Y135" i="23"/>
  <c r="Y195" i="23" s="1"/>
  <c r="Y145" i="23"/>
  <c r="Y146" i="23" s="1"/>
  <c r="Y133" i="23"/>
  <c r="Y150" i="23" s="1"/>
  <c r="AA130" i="23"/>
  <c r="AA190" i="23" s="1"/>
  <c r="Z133" i="23"/>
  <c r="Z150" i="23" s="1"/>
  <c r="X145" i="23"/>
  <c r="X146" i="23" s="1"/>
  <c r="X138" i="23"/>
  <c r="X198" i="23" s="1"/>
  <c r="AA135" i="23"/>
  <c r="AA195" i="23" s="1"/>
  <c r="D458" i="22"/>
  <c r="AA133" i="23"/>
  <c r="AA193" i="23" s="1"/>
  <c r="D456" i="22"/>
  <c r="C590" i="22"/>
  <c r="D585" i="22" s="1"/>
  <c r="Z130" i="23"/>
  <c r="Z190" i="23" s="1"/>
  <c r="Z138" i="23"/>
  <c r="Z198" i="23" s="1"/>
  <c r="Z137" i="23"/>
  <c r="Z197" i="23" s="1"/>
  <c r="C504" i="22"/>
  <c r="E504" i="22" s="1"/>
  <c r="F456" i="22"/>
  <c r="F458" i="22"/>
  <c r="T160" i="23"/>
  <c r="W87" i="23"/>
  <c r="W130" i="23" s="1"/>
  <c r="W190" i="23" s="1"/>
  <c r="T225" i="23"/>
  <c r="T53" i="23"/>
  <c r="T162" i="23" s="1"/>
  <c r="F244" i="23"/>
  <c r="F179" i="23"/>
  <c r="F77" i="23"/>
  <c r="E725" i="22"/>
  <c r="E762" i="22"/>
  <c r="E716" i="22"/>
  <c r="C728" i="22"/>
  <c r="E722" i="22"/>
  <c r="E724" i="22"/>
  <c r="E717" i="22"/>
  <c r="E718" i="22"/>
  <c r="E726" i="22"/>
  <c r="E723" i="22"/>
  <c r="E720" i="22"/>
  <c r="E719" i="22"/>
  <c r="P76" i="23"/>
  <c r="N65" i="23"/>
  <c r="N72" i="23"/>
  <c r="AK211" i="23" l="1"/>
  <c r="AK215" i="23"/>
  <c r="AK216" i="23"/>
  <c r="P23" i="25"/>
  <c r="K215" i="23"/>
  <c r="K211" i="23"/>
  <c r="K216" i="23"/>
  <c r="AJ178" i="23"/>
  <c r="AJ243" i="23"/>
  <c r="AJ211" i="23"/>
  <c r="AJ215" i="23"/>
  <c r="AJ216" i="23"/>
  <c r="Z210" i="23"/>
  <c r="Z215" i="23" s="1"/>
  <c r="X226" i="23"/>
  <c r="W265" i="23"/>
  <c r="W262" i="23"/>
  <c r="W261" i="23"/>
  <c r="W264" i="23"/>
  <c r="W267" i="23"/>
  <c r="Y193" i="23"/>
  <c r="AA146" i="23"/>
  <c r="E547" i="22"/>
  <c r="F542" i="22" s="1"/>
  <c r="Z193" i="23"/>
  <c r="D544" i="22"/>
  <c r="Y210" i="23"/>
  <c r="D501" i="22"/>
  <c r="D499" i="22"/>
  <c r="D587" i="22"/>
  <c r="AA150" i="23"/>
  <c r="C632" i="22"/>
  <c r="T227" i="23"/>
  <c r="W133" i="23"/>
  <c r="W193" i="23" s="1"/>
  <c r="W145" i="23"/>
  <c r="W146" i="23" s="1"/>
  <c r="AA211" i="23"/>
  <c r="AA216" i="23"/>
  <c r="AA215" i="23"/>
  <c r="W135" i="23"/>
  <c r="W195" i="23" s="1"/>
  <c r="F501" i="22"/>
  <c r="F499" i="22"/>
  <c r="F181" i="23"/>
  <c r="F246" i="23"/>
  <c r="N73" i="23"/>
  <c r="N176" i="23"/>
  <c r="N69" i="23"/>
  <c r="N169" i="23"/>
  <c r="P180" i="23"/>
  <c r="E764" i="22"/>
  <c r="R72" i="23"/>
  <c r="T72" i="23" s="1"/>
  <c r="R65" i="23"/>
  <c r="P71" i="23"/>
  <c r="P67" i="23"/>
  <c r="P66" i="23"/>
  <c r="P63" i="23"/>
  <c r="P62" i="23"/>
  <c r="Z211" i="23" l="1"/>
  <c r="Z216" i="23"/>
  <c r="AJ181" i="23"/>
  <c r="AJ246" i="23"/>
  <c r="F544" i="22"/>
  <c r="Y215" i="23"/>
  <c r="Y211" i="23"/>
  <c r="Y216" i="23"/>
  <c r="W150" i="23"/>
  <c r="W210" i="23"/>
  <c r="T65" i="23"/>
  <c r="V90" i="23" s="1"/>
  <c r="T241" i="23"/>
  <c r="T176" i="23"/>
  <c r="N173" i="23"/>
  <c r="P88" i="23"/>
  <c r="R88" i="23"/>
  <c r="P167" i="23"/>
  <c r="P170" i="23"/>
  <c r="P171" i="23"/>
  <c r="P175" i="23"/>
  <c r="R69" i="23"/>
  <c r="T69" i="23" s="1"/>
  <c r="R169" i="23"/>
  <c r="R73" i="23"/>
  <c r="T73" i="23" s="1"/>
  <c r="R176" i="23"/>
  <c r="P166" i="23"/>
  <c r="N177" i="23"/>
  <c r="E766" i="22"/>
  <c r="C61" i="23"/>
  <c r="D61" i="23"/>
  <c r="E61" i="23"/>
  <c r="P61" i="23" s="1"/>
  <c r="C72" i="23"/>
  <c r="C73" i="23" s="1"/>
  <c r="C65" i="23"/>
  <c r="C69" i="23" s="1"/>
  <c r="D72" i="23"/>
  <c r="D73" i="23" s="1"/>
  <c r="D65" i="23"/>
  <c r="D69" i="23" s="1"/>
  <c r="W216" i="23" l="1"/>
  <c r="W215" i="23"/>
  <c r="W211" i="23"/>
  <c r="T242" i="23"/>
  <c r="T177" i="23"/>
  <c r="T173" i="23"/>
  <c r="T238" i="23"/>
  <c r="T234" i="23"/>
  <c r="T169" i="23"/>
  <c r="T55" i="23"/>
  <c r="T41" i="23"/>
  <c r="T90" i="23"/>
  <c r="R173" i="23"/>
  <c r="R177" i="23"/>
  <c r="P165" i="23"/>
  <c r="E72" i="23"/>
  <c r="E70" i="23"/>
  <c r="P70" i="23" s="1"/>
  <c r="E65" i="23"/>
  <c r="P65" i="23" s="1"/>
  <c r="P174" i="23" l="1"/>
  <c r="P169" i="23"/>
  <c r="R90" i="23"/>
  <c r="P90" i="23"/>
  <c r="E69" i="23"/>
  <c r="P69" i="23" s="1"/>
  <c r="P72" i="23"/>
  <c r="E73" i="23"/>
  <c r="P73" i="23" s="1"/>
  <c r="E203" i="23"/>
  <c r="J743" i="22" s="1"/>
  <c r="D203" i="23"/>
  <c r="C203" i="23"/>
  <c r="S203" i="23"/>
  <c r="R203" i="23"/>
  <c r="Q203" i="23"/>
  <c r="P203" i="23"/>
  <c r="O203" i="23"/>
  <c r="N203" i="23"/>
  <c r="M203" i="23"/>
  <c r="U205" i="23" l="1"/>
  <c r="U209" i="23" s="1"/>
  <c r="J713" i="22"/>
  <c r="V205" i="23"/>
  <c r="J642" i="22" s="1"/>
  <c r="T205" i="23"/>
  <c r="P245" i="23"/>
  <c r="P240" i="23"/>
  <c r="P235" i="23"/>
  <c r="P236" i="23"/>
  <c r="P231" i="23"/>
  <c r="P232" i="23"/>
  <c r="P230" i="23"/>
  <c r="P234" i="23"/>
  <c r="P176" i="23"/>
  <c r="P241" i="23"/>
  <c r="R240" i="23"/>
  <c r="R230" i="23"/>
  <c r="R239" i="23"/>
  <c r="R236" i="23"/>
  <c r="R231" i="23"/>
  <c r="R235" i="23"/>
  <c r="R245" i="23"/>
  <c r="R232" i="23"/>
  <c r="R241" i="23"/>
  <c r="R234" i="23"/>
  <c r="R238" i="23"/>
  <c r="R242" i="23"/>
  <c r="P239" i="23"/>
  <c r="P173" i="23"/>
  <c r="P238" i="23"/>
  <c r="N240" i="23"/>
  <c r="N230" i="23"/>
  <c r="N239" i="23"/>
  <c r="N236" i="23"/>
  <c r="N235" i="23"/>
  <c r="N245" i="23"/>
  <c r="N231" i="23"/>
  <c r="N232" i="23"/>
  <c r="N241" i="23"/>
  <c r="N234" i="23"/>
  <c r="N238" i="23"/>
  <c r="N242" i="23"/>
  <c r="P242" i="23"/>
  <c r="P177" i="23"/>
  <c r="C95" i="23"/>
  <c r="V209" i="23" l="1"/>
  <c r="T209" i="23"/>
  <c r="P15" i="25"/>
  <c r="P39" i="25"/>
  <c r="S249" i="23"/>
  <c r="R249" i="23"/>
  <c r="Q249" i="23"/>
  <c r="O249" i="23"/>
  <c r="N249" i="23"/>
  <c r="M249" i="23"/>
  <c r="E249" i="23"/>
  <c r="D249" i="23"/>
  <c r="C249" i="23"/>
  <c r="S148" i="23"/>
  <c r="R148" i="23"/>
  <c r="Q148" i="23"/>
  <c r="O148" i="23"/>
  <c r="N148" i="23"/>
  <c r="M148" i="23"/>
  <c r="E148" i="23"/>
  <c r="D148" i="23"/>
  <c r="C148" i="23"/>
  <c r="C731" i="22" l="1"/>
  <c r="E731" i="22" s="1"/>
  <c r="C729" i="22"/>
  <c r="E729" i="22" l="1"/>
  <c r="E738" i="22" s="1"/>
  <c r="E740" i="22" s="1"/>
  <c r="C738" i="22"/>
  <c r="C740" i="22" s="1"/>
  <c r="P124" i="23"/>
  <c r="P259" i="23" s="1"/>
  <c r="P120" i="23"/>
  <c r="P37" i="23" s="1"/>
  <c r="S118" i="23"/>
  <c r="R118" i="23"/>
  <c r="D118" i="23"/>
  <c r="C118" i="23"/>
  <c r="S117" i="23"/>
  <c r="R117" i="23"/>
  <c r="Q117" i="23"/>
  <c r="O117" i="23"/>
  <c r="N117" i="23"/>
  <c r="M117" i="23"/>
  <c r="E117" i="23"/>
  <c r="P117" i="23" s="1"/>
  <c r="C117" i="23"/>
  <c r="S114" i="23"/>
  <c r="R114" i="23"/>
  <c r="Q114" i="23"/>
  <c r="O114" i="23"/>
  <c r="N114" i="23"/>
  <c r="M114" i="23"/>
  <c r="E114" i="23"/>
  <c r="C114" i="23"/>
  <c r="P113" i="23"/>
  <c r="P256" i="23" s="1"/>
  <c r="P112" i="23"/>
  <c r="P255" i="23" s="1"/>
  <c r="D117" i="23"/>
  <c r="S109" i="23"/>
  <c r="S36" i="23" s="1"/>
  <c r="E109" i="23"/>
  <c r="C109" i="23"/>
  <c r="C36" i="23" s="1"/>
  <c r="R109" i="23"/>
  <c r="R36" i="23" s="1"/>
  <c r="Q109" i="23"/>
  <c r="Q36" i="23" s="1"/>
  <c r="P108" i="23"/>
  <c r="O109" i="23"/>
  <c r="N118" i="23"/>
  <c r="M118" i="23"/>
  <c r="E118" i="23"/>
  <c r="P118" i="23" s="1"/>
  <c r="D109" i="23"/>
  <c r="D36" i="23" s="1"/>
  <c r="P107" i="23"/>
  <c r="S99" i="23"/>
  <c r="R99" i="23"/>
  <c r="Q99" i="23"/>
  <c r="O99" i="23"/>
  <c r="N99" i="23"/>
  <c r="M99" i="23"/>
  <c r="P98" i="23"/>
  <c r="P104" i="23" s="1"/>
  <c r="P97" i="23"/>
  <c r="P103" i="23" s="1"/>
  <c r="D99" i="23"/>
  <c r="C99" i="23"/>
  <c r="P96" i="23"/>
  <c r="P102" i="23" s="1"/>
  <c r="P95" i="23"/>
  <c r="P257" i="23" l="1"/>
  <c r="C781" i="22"/>
  <c r="E36" i="23"/>
  <c r="X119" i="23"/>
  <c r="C591" i="22" s="1"/>
  <c r="R119" i="23"/>
  <c r="R121" i="23" s="1"/>
  <c r="R123" i="23" s="1"/>
  <c r="P148" i="23"/>
  <c r="P249" i="23"/>
  <c r="P114" i="23"/>
  <c r="D119" i="23"/>
  <c r="M109" i="23"/>
  <c r="N109" i="23"/>
  <c r="C119" i="23"/>
  <c r="S119" i="23"/>
  <c r="S121" i="23" s="1"/>
  <c r="S123" i="23" s="1"/>
  <c r="P119" i="23"/>
  <c r="P121" i="23" s="1"/>
  <c r="P109" i="23"/>
  <c r="P36" i="23" s="1"/>
  <c r="N119" i="23"/>
  <c r="M119" i="23"/>
  <c r="M121" i="23" s="1"/>
  <c r="P99" i="23"/>
  <c r="O118" i="23"/>
  <c r="O119" i="23" s="1"/>
  <c r="O121" i="23" s="1"/>
  <c r="E119" i="23"/>
  <c r="Q118" i="23"/>
  <c r="Q119" i="23" s="1"/>
  <c r="Q121" i="23" s="1"/>
  <c r="D114" i="23"/>
  <c r="E99" i="23"/>
  <c r="X183" i="23" l="1"/>
  <c r="X125" i="23"/>
  <c r="X248" i="23"/>
  <c r="X147" i="23"/>
  <c r="X121" i="23"/>
  <c r="X130" i="23"/>
  <c r="X190" i="23" s="1"/>
  <c r="X133" i="23"/>
  <c r="R125" i="23"/>
  <c r="S125" i="23"/>
  <c r="E121" i="23"/>
  <c r="E123" i="23" s="1"/>
  <c r="C768" i="22"/>
  <c r="E728" i="22"/>
  <c r="N121" i="23"/>
  <c r="N123" i="23" s="1"/>
  <c r="D121" i="23"/>
  <c r="D123" i="23" s="1"/>
  <c r="P123" i="23" s="1"/>
  <c r="C125" i="23"/>
  <c r="C121" i="23"/>
  <c r="C123" i="23" s="1"/>
  <c r="D125" i="23"/>
  <c r="N125" i="23"/>
  <c r="C730" i="22"/>
  <c r="P125" i="23"/>
  <c r="O123" i="23"/>
  <c r="O125" i="23"/>
  <c r="Q125" i="23"/>
  <c r="Q123" i="23"/>
  <c r="E125" i="23"/>
  <c r="M123" i="23"/>
  <c r="M125" i="23"/>
  <c r="AJ187" i="23" l="1"/>
  <c r="AJ135" i="23"/>
  <c r="AJ195" i="23" s="1"/>
  <c r="AJ252" i="23"/>
  <c r="AJ267" i="23" s="1"/>
  <c r="X265" i="23"/>
  <c r="X262" i="23"/>
  <c r="X150" i="23"/>
  <c r="X193" i="23"/>
  <c r="X185" i="23"/>
  <c r="X129" i="23"/>
  <c r="X189" i="23" s="1"/>
  <c r="X132" i="23"/>
  <c r="X140" i="23"/>
  <c r="X200" i="23" s="1"/>
  <c r="X212" i="23"/>
  <c r="X149" i="23"/>
  <c r="X214" i="23" s="1"/>
  <c r="X250" i="23"/>
  <c r="X252" i="23"/>
  <c r="X267" i="23" s="1"/>
  <c r="X187" i="23"/>
  <c r="X135" i="23"/>
  <c r="X195" i="23" s="1"/>
  <c r="E730" i="22"/>
  <c r="C734" i="22"/>
  <c r="P45" i="23"/>
  <c r="S43" i="23"/>
  <c r="R43" i="23"/>
  <c r="Q43" i="23"/>
  <c r="P43" i="23"/>
  <c r="O43" i="23"/>
  <c r="N43" i="23"/>
  <c r="M43" i="23"/>
  <c r="E43" i="23"/>
  <c r="D43" i="23"/>
  <c r="C43" i="23"/>
  <c r="B33" i="23"/>
  <c r="B32" i="23"/>
  <c r="B31" i="23"/>
  <c r="R40" i="23"/>
  <c r="Q32" i="23"/>
  <c r="M41" i="23"/>
  <c r="E56" i="23"/>
  <c r="D40" i="23"/>
  <c r="C32" i="23"/>
  <c r="X272" i="23" l="1"/>
  <c r="X264" i="23"/>
  <c r="X261" i="23"/>
  <c r="X192" i="23"/>
  <c r="X151" i="23"/>
  <c r="P59" i="25"/>
  <c r="E732" i="22"/>
  <c r="C732" i="22"/>
  <c r="S68" i="25"/>
  <c r="S41" i="23"/>
  <c r="D31" i="23"/>
  <c r="S31" i="23"/>
  <c r="O40" i="23"/>
  <c r="S32" i="23"/>
  <c r="E32" i="23"/>
  <c r="O31" i="23"/>
  <c r="E31" i="23"/>
  <c r="M32" i="23"/>
  <c r="E40" i="23"/>
  <c r="N31" i="23"/>
  <c r="N32" i="23"/>
  <c r="N40" i="23"/>
  <c r="R32" i="23"/>
  <c r="R31" i="23"/>
  <c r="S40" i="23"/>
  <c r="M33" i="23"/>
  <c r="N41" i="23"/>
  <c r="E41" i="23"/>
  <c r="M68" i="25"/>
  <c r="D32" i="23"/>
  <c r="N33" i="23"/>
  <c r="O41" i="23"/>
  <c r="N56" i="23"/>
  <c r="P31" i="23"/>
  <c r="C55" i="23"/>
  <c r="D55" i="23"/>
  <c r="R55" i="23"/>
  <c r="C31" i="23"/>
  <c r="Q31" i="23"/>
  <c r="O33" i="23"/>
  <c r="M40" i="23"/>
  <c r="C41" i="23"/>
  <c r="Q41" i="23"/>
  <c r="E55" i="23"/>
  <c r="C33" i="23"/>
  <c r="O32" i="23"/>
  <c r="D33" i="23"/>
  <c r="R33" i="23"/>
  <c r="N55" i="23"/>
  <c r="D56" i="23"/>
  <c r="R56" i="23"/>
  <c r="D41" i="23"/>
  <c r="R41" i="23"/>
  <c r="Q33" i="23"/>
  <c r="C56" i="23"/>
  <c r="M31" i="23"/>
  <c r="E33" i="23"/>
  <c r="S33" i="23"/>
  <c r="C40" i="23"/>
  <c r="Q40" i="23"/>
  <c r="R68" i="25" l="1"/>
  <c r="C68" i="25"/>
  <c r="O68" i="25"/>
  <c r="D68" i="25"/>
  <c r="N68" i="25"/>
  <c r="Q68" i="25"/>
  <c r="E68" i="25"/>
  <c r="S44" i="23"/>
  <c r="S46" i="23" s="1"/>
  <c r="P41" i="23"/>
  <c r="P55" i="23"/>
  <c r="P56" i="23"/>
  <c r="P68" i="25"/>
  <c r="P40" i="23"/>
  <c r="P33" i="23"/>
  <c r="P32" i="23"/>
  <c r="V86" i="23" l="1"/>
  <c r="W47" i="23"/>
  <c r="P44" i="23"/>
  <c r="P46" i="23" s="1"/>
  <c r="T47" i="23" s="1"/>
  <c r="S48" i="23"/>
  <c r="S51" i="23"/>
  <c r="W52" i="23" s="1"/>
  <c r="W161" i="23" s="1"/>
  <c r="S38" i="23"/>
  <c r="M44" i="23"/>
  <c r="M46" i="23" s="1"/>
  <c r="E44" i="23"/>
  <c r="E46" i="23" s="1"/>
  <c r="O44" i="23"/>
  <c r="O46" i="23" s="1"/>
  <c r="O51" i="23" s="1"/>
  <c r="O53" i="23" s="1"/>
  <c r="C44" i="23"/>
  <c r="C46" i="23" s="1"/>
  <c r="C51" i="23" s="1"/>
  <c r="C53" i="23" s="1"/>
  <c r="M38" i="23"/>
  <c r="Q44" i="23"/>
  <c r="Q46" i="23" s="1"/>
  <c r="U47" i="23" s="1"/>
  <c r="R44" i="23"/>
  <c r="R46" i="23" s="1"/>
  <c r="N44" i="23"/>
  <c r="N46" i="23" s="1"/>
  <c r="D44" i="23"/>
  <c r="D46" i="23" s="1"/>
  <c r="D51" i="23" s="1"/>
  <c r="N51" i="23" l="1"/>
  <c r="N50" i="23" s="1"/>
  <c r="N60" i="23"/>
  <c r="V47" i="23"/>
  <c r="R60" i="23"/>
  <c r="S50" i="23"/>
  <c r="V87" i="23"/>
  <c r="C667" i="22" s="1"/>
  <c r="R51" i="23"/>
  <c r="V52" i="23" s="1"/>
  <c r="V161" i="23" s="1"/>
  <c r="U86" i="23"/>
  <c r="Q51" i="23"/>
  <c r="U52" i="23" s="1"/>
  <c r="U161" i="23" s="1"/>
  <c r="T86" i="23"/>
  <c r="E51" i="23"/>
  <c r="E52" i="23" s="1"/>
  <c r="F47" i="23"/>
  <c r="M51" i="23"/>
  <c r="M53" i="23" s="1"/>
  <c r="P48" i="23"/>
  <c r="P51" i="23"/>
  <c r="P53" i="23" s="1"/>
  <c r="S52" i="23"/>
  <c r="S53" i="23"/>
  <c r="D52" i="23"/>
  <c r="D53" i="23"/>
  <c r="M48" i="23"/>
  <c r="O38" i="23"/>
  <c r="S47" i="23"/>
  <c r="O50" i="23"/>
  <c r="O48" i="23"/>
  <c r="E38" i="23"/>
  <c r="E48" i="23"/>
  <c r="N48" i="23"/>
  <c r="Q47" i="23"/>
  <c r="Q48" i="23"/>
  <c r="Q38" i="23"/>
  <c r="D48" i="23"/>
  <c r="D47" i="23"/>
  <c r="D50" i="23"/>
  <c r="E47" i="23"/>
  <c r="D38" i="23"/>
  <c r="R38" i="23"/>
  <c r="R48" i="23"/>
  <c r="R47" i="23"/>
  <c r="C50" i="23"/>
  <c r="C48" i="23"/>
  <c r="N38" i="23"/>
  <c r="C38" i="23"/>
  <c r="N53" i="23" l="1"/>
  <c r="R53" i="23"/>
  <c r="R52" i="23"/>
  <c r="E667" i="22"/>
  <c r="D662" i="22"/>
  <c r="D664" i="22"/>
  <c r="R50" i="23"/>
  <c r="Q53" i="23"/>
  <c r="V138" i="23"/>
  <c r="V198" i="23" s="1"/>
  <c r="V137" i="23"/>
  <c r="V197" i="23" s="1"/>
  <c r="V130" i="23"/>
  <c r="V190" i="23" s="1"/>
  <c r="V135" i="23"/>
  <c r="V195" i="23" s="1"/>
  <c r="V145" i="23"/>
  <c r="V133" i="23"/>
  <c r="U87" i="23"/>
  <c r="T87" i="23"/>
  <c r="E50" i="23"/>
  <c r="Q50" i="23"/>
  <c r="E53" i="23"/>
  <c r="F52" i="23"/>
  <c r="F161" i="23" s="1"/>
  <c r="N64" i="23"/>
  <c r="N229" i="23"/>
  <c r="N164" i="23"/>
  <c r="P38" i="23"/>
  <c r="Q52" i="23"/>
  <c r="M50" i="23"/>
  <c r="P50" i="23" s="1"/>
  <c r="AB50" i="23" s="1"/>
  <c r="T50" i="23" l="1"/>
  <c r="AF50" i="23" s="1"/>
  <c r="F662" i="22"/>
  <c r="F664" i="22"/>
  <c r="V146" i="23"/>
  <c r="V210" i="23"/>
  <c r="E632" i="22"/>
  <c r="D627" i="22"/>
  <c r="D629" i="22"/>
  <c r="V193" i="23"/>
  <c r="V150" i="23"/>
  <c r="U130" i="23"/>
  <c r="U190" i="23" s="1"/>
  <c r="U145" i="23"/>
  <c r="U135" i="23"/>
  <c r="U195" i="23" s="1"/>
  <c r="U133" i="23"/>
  <c r="T60" i="23"/>
  <c r="R64" i="23"/>
  <c r="R164" i="23"/>
  <c r="R229" i="23"/>
  <c r="C703" i="22"/>
  <c r="D698" i="22" s="1"/>
  <c r="T129" i="23"/>
  <c r="T189" i="23" s="1"/>
  <c r="T132" i="23"/>
  <c r="T138" i="23"/>
  <c r="T198" i="23" s="1"/>
  <c r="T135" i="23"/>
  <c r="T195" i="23" s="1"/>
  <c r="T130" i="23"/>
  <c r="T190" i="23" s="1"/>
  <c r="T145" i="23"/>
  <c r="T210" i="23" s="1"/>
  <c r="T137" i="23"/>
  <c r="T197" i="23" s="1"/>
  <c r="T133" i="23"/>
  <c r="T193" i="23" s="1"/>
  <c r="N68" i="23"/>
  <c r="N233" i="23"/>
  <c r="N168" i="23"/>
  <c r="V211" i="23" l="1"/>
  <c r="V215" i="23"/>
  <c r="V216" i="23"/>
  <c r="F627" i="22"/>
  <c r="F629" i="22"/>
  <c r="R68" i="23"/>
  <c r="R233" i="23"/>
  <c r="R168" i="23"/>
  <c r="T164" i="23"/>
  <c r="T229" i="23"/>
  <c r="T64" i="23"/>
  <c r="U150" i="23"/>
  <c r="U193" i="23"/>
  <c r="U146" i="23"/>
  <c r="U210" i="23"/>
  <c r="E703" i="22"/>
  <c r="F700" i="22" s="1"/>
  <c r="D700" i="22"/>
  <c r="T151" i="23"/>
  <c r="T192" i="23"/>
  <c r="T150" i="23"/>
  <c r="T146" i="23"/>
  <c r="T211" i="23"/>
  <c r="T216" i="23"/>
  <c r="T215" i="23"/>
  <c r="N74" i="23"/>
  <c r="N237" i="23"/>
  <c r="N172" i="23"/>
  <c r="T168" i="23" l="1"/>
  <c r="T68" i="23"/>
  <c r="T91" i="23" s="1"/>
  <c r="T233" i="23"/>
  <c r="U211" i="23"/>
  <c r="U215" i="23"/>
  <c r="U216" i="23"/>
  <c r="R172" i="23"/>
  <c r="R74" i="23"/>
  <c r="R237" i="23"/>
  <c r="F698" i="22"/>
  <c r="N178" i="23"/>
  <c r="N243" i="23"/>
  <c r="N75" i="23"/>
  <c r="N77" i="23" s="1"/>
  <c r="V91" i="23" l="1"/>
  <c r="R75" i="23"/>
  <c r="R77" i="23" s="1"/>
  <c r="R178" i="23"/>
  <c r="R243" i="23"/>
  <c r="T172" i="23"/>
  <c r="T74" i="23"/>
  <c r="T237" i="23"/>
  <c r="N246" i="23"/>
  <c r="N181" i="23"/>
  <c r="N81" i="23"/>
  <c r="N244" i="23"/>
  <c r="N179" i="23"/>
  <c r="M205" i="23"/>
  <c r="N205" i="23"/>
  <c r="O205" i="23"/>
  <c r="AB205" i="23" s="1"/>
  <c r="J395" i="22" s="1"/>
  <c r="E420" i="22" s="1"/>
  <c r="S205" i="23"/>
  <c r="R205" i="23"/>
  <c r="Q205" i="23"/>
  <c r="P205" i="23"/>
  <c r="E205" i="23"/>
  <c r="D205" i="23"/>
  <c r="C205" i="23"/>
  <c r="F415" i="22" l="1"/>
  <c r="F417" i="22"/>
  <c r="AB209" i="23"/>
  <c r="AB210" i="23"/>
  <c r="T178" i="23"/>
  <c r="T243" i="23"/>
  <c r="R181" i="23"/>
  <c r="R246" i="23"/>
  <c r="T75" i="23"/>
  <c r="R81" i="23"/>
  <c r="R179" i="23"/>
  <c r="R244" i="23"/>
  <c r="E85" i="23"/>
  <c r="C85" i="23"/>
  <c r="D85" i="23"/>
  <c r="AB216" i="23" l="1"/>
  <c r="AB211" i="23"/>
  <c r="AB215" i="23"/>
  <c r="T244" i="23"/>
  <c r="T179" i="23"/>
  <c r="T77" i="23"/>
  <c r="C59" i="23"/>
  <c r="D59" i="23"/>
  <c r="E59" i="23"/>
  <c r="M59" i="23"/>
  <c r="N59" i="23"/>
  <c r="O59" i="23"/>
  <c r="P59" i="23"/>
  <c r="Q59" i="23"/>
  <c r="R59" i="23"/>
  <c r="S59" i="23"/>
  <c r="D176" i="23"/>
  <c r="D242" i="23"/>
  <c r="C83" i="23"/>
  <c r="D83" i="23"/>
  <c r="E83" i="23"/>
  <c r="M83" i="23"/>
  <c r="N83" i="23"/>
  <c r="O83" i="23"/>
  <c r="P83" i="23"/>
  <c r="Q83" i="23"/>
  <c r="R83" i="23"/>
  <c r="S83" i="23"/>
  <c r="B84" i="23"/>
  <c r="C84" i="23"/>
  <c r="E84" i="23"/>
  <c r="S84" i="23"/>
  <c r="C88" i="23"/>
  <c r="D88" i="23"/>
  <c r="E88" i="23"/>
  <c r="C93" i="23"/>
  <c r="D93" i="23"/>
  <c r="E93" i="23"/>
  <c r="M93" i="23"/>
  <c r="N93" i="23"/>
  <c r="O93" i="23"/>
  <c r="P93" i="23"/>
  <c r="Q93" i="23"/>
  <c r="R93" i="23"/>
  <c r="S93" i="23"/>
  <c r="C127" i="23"/>
  <c r="D127" i="23"/>
  <c r="E127" i="23"/>
  <c r="M127" i="23"/>
  <c r="N127" i="23"/>
  <c r="O127" i="23"/>
  <c r="P127" i="23"/>
  <c r="Q127" i="23"/>
  <c r="R127" i="23"/>
  <c r="S127" i="23"/>
  <c r="C143" i="23"/>
  <c r="D143" i="23"/>
  <c r="E143" i="23"/>
  <c r="M143" i="23"/>
  <c r="N143" i="23"/>
  <c r="O143" i="23"/>
  <c r="P143" i="23"/>
  <c r="Q143" i="23"/>
  <c r="R143" i="23"/>
  <c r="S143" i="23"/>
  <c r="C213" i="23"/>
  <c r="E213" i="23"/>
  <c r="M213" i="23"/>
  <c r="N213" i="23"/>
  <c r="O213" i="23"/>
  <c r="Q213" i="23"/>
  <c r="R213" i="23"/>
  <c r="S213" i="23"/>
  <c r="C154" i="23"/>
  <c r="D154" i="23"/>
  <c r="E154" i="23"/>
  <c r="M154" i="23"/>
  <c r="N154" i="23"/>
  <c r="O154" i="23"/>
  <c r="P154" i="23"/>
  <c r="Q154" i="23"/>
  <c r="R154" i="23"/>
  <c r="S154" i="23"/>
  <c r="B157" i="23"/>
  <c r="C157" i="23"/>
  <c r="E157" i="23"/>
  <c r="F158" i="23" s="1"/>
  <c r="M157" i="23"/>
  <c r="O157" i="23"/>
  <c r="P157" i="23"/>
  <c r="Q157" i="23"/>
  <c r="U158" i="23" s="1"/>
  <c r="S157" i="23"/>
  <c r="W158" i="23" s="1"/>
  <c r="B160" i="23"/>
  <c r="B161" i="23"/>
  <c r="B162" i="23"/>
  <c r="B164" i="23"/>
  <c r="B165" i="23"/>
  <c r="B166" i="23"/>
  <c r="C166" i="23"/>
  <c r="D166" i="23"/>
  <c r="E166" i="23"/>
  <c r="B167" i="23"/>
  <c r="C167" i="23"/>
  <c r="D167" i="23"/>
  <c r="E167" i="23"/>
  <c r="B168" i="23"/>
  <c r="B169" i="23"/>
  <c r="C169" i="23"/>
  <c r="B170" i="23"/>
  <c r="C170" i="23"/>
  <c r="D170" i="23"/>
  <c r="E170" i="23"/>
  <c r="B171" i="23"/>
  <c r="C171" i="23"/>
  <c r="D171" i="23"/>
  <c r="E171" i="23"/>
  <c r="B172" i="23"/>
  <c r="B173" i="23"/>
  <c r="C173" i="23"/>
  <c r="D173" i="23"/>
  <c r="E173" i="23"/>
  <c r="B174" i="23"/>
  <c r="C174" i="23"/>
  <c r="D174" i="23"/>
  <c r="B175" i="23"/>
  <c r="C175" i="23"/>
  <c r="D175" i="23"/>
  <c r="E175" i="23"/>
  <c r="B176" i="23"/>
  <c r="B177" i="23"/>
  <c r="C177" i="23"/>
  <c r="B178" i="23"/>
  <c r="B179" i="23"/>
  <c r="B180" i="23"/>
  <c r="C180" i="23"/>
  <c r="D180" i="23"/>
  <c r="E180" i="23"/>
  <c r="B181" i="23"/>
  <c r="B183" i="23"/>
  <c r="B184" i="23"/>
  <c r="C184" i="23"/>
  <c r="D184" i="23"/>
  <c r="E184" i="23"/>
  <c r="M184" i="23"/>
  <c r="N184" i="23"/>
  <c r="O184" i="23"/>
  <c r="Q184" i="23"/>
  <c r="R184" i="23"/>
  <c r="S184" i="23"/>
  <c r="B185" i="23"/>
  <c r="B187" i="23"/>
  <c r="B189" i="23"/>
  <c r="B190" i="23"/>
  <c r="B192" i="23"/>
  <c r="B193" i="23"/>
  <c r="B195" i="23"/>
  <c r="B197" i="23"/>
  <c r="B198" i="23"/>
  <c r="B200" i="23"/>
  <c r="C208" i="23"/>
  <c r="D208" i="23"/>
  <c r="E208" i="23"/>
  <c r="M208" i="23"/>
  <c r="N208" i="23"/>
  <c r="O208" i="23"/>
  <c r="P208" i="23"/>
  <c r="Q208" i="23"/>
  <c r="R208" i="23"/>
  <c r="S208" i="23"/>
  <c r="C219" i="23"/>
  <c r="D219" i="23"/>
  <c r="E219" i="23"/>
  <c r="M219" i="23"/>
  <c r="N219" i="23"/>
  <c r="O219" i="23"/>
  <c r="P219" i="23"/>
  <c r="Q219" i="23"/>
  <c r="R219" i="23"/>
  <c r="S219" i="23"/>
  <c r="B222" i="23"/>
  <c r="C222" i="23"/>
  <c r="E222" i="23"/>
  <c r="F223" i="23" s="1"/>
  <c r="M222" i="23"/>
  <c r="O222" i="23"/>
  <c r="P222" i="23"/>
  <c r="T223" i="23" s="1"/>
  <c r="Q222" i="23"/>
  <c r="U223" i="23" s="1"/>
  <c r="S222" i="23"/>
  <c r="W223" i="23" s="1"/>
  <c r="B225" i="23"/>
  <c r="B226" i="23"/>
  <c r="B227" i="23"/>
  <c r="B229" i="23"/>
  <c r="B230" i="23"/>
  <c r="E230" i="23"/>
  <c r="B231" i="23"/>
  <c r="C231" i="23"/>
  <c r="D231" i="23"/>
  <c r="E231" i="23"/>
  <c r="B232" i="23"/>
  <c r="C232" i="23"/>
  <c r="D232" i="23"/>
  <c r="E232" i="23"/>
  <c r="B233" i="23"/>
  <c r="B234" i="23"/>
  <c r="B235" i="23"/>
  <c r="C235" i="23"/>
  <c r="D235" i="23"/>
  <c r="E235" i="23"/>
  <c r="B236" i="23"/>
  <c r="C236" i="23"/>
  <c r="D236" i="23"/>
  <c r="E236" i="23"/>
  <c r="B237" i="23"/>
  <c r="B238" i="23"/>
  <c r="C238" i="23"/>
  <c r="D238" i="23"/>
  <c r="B239" i="23"/>
  <c r="C239" i="23"/>
  <c r="D239" i="23"/>
  <c r="B240" i="23"/>
  <c r="C240" i="23"/>
  <c r="D240" i="23"/>
  <c r="E240" i="23"/>
  <c r="B241" i="23"/>
  <c r="D241" i="23"/>
  <c r="B242" i="23"/>
  <c r="C242" i="23"/>
  <c r="B243" i="23"/>
  <c r="B244" i="23"/>
  <c r="B245" i="23"/>
  <c r="C245" i="23"/>
  <c r="D245" i="23"/>
  <c r="E245" i="23"/>
  <c r="B246" i="23"/>
  <c r="B248" i="23"/>
  <c r="B249" i="23"/>
  <c r="B250" i="23"/>
  <c r="B252" i="23"/>
  <c r="B261" i="23"/>
  <c r="B262" i="23"/>
  <c r="B264" i="23"/>
  <c r="B265" i="23"/>
  <c r="B267" i="23"/>
  <c r="B269" i="23"/>
  <c r="B270" i="23"/>
  <c r="B272" i="23"/>
  <c r="T246" i="23" l="1"/>
  <c r="T181" i="23"/>
  <c r="S144" i="23"/>
  <c r="S209" i="23" s="1"/>
  <c r="S100" i="23"/>
  <c r="E144" i="23"/>
  <c r="E209" i="23" s="1"/>
  <c r="E100" i="23"/>
  <c r="C144" i="23"/>
  <c r="C209" i="23" s="1"/>
  <c r="C100" i="23"/>
  <c r="C234" i="23"/>
  <c r="D177" i="23"/>
  <c r="C90" i="23"/>
  <c r="D230" i="23"/>
  <c r="E165" i="23"/>
  <c r="E241" i="23"/>
  <c r="E176" i="23"/>
  <c r="M147" i="23"/>
  <c r="E238" i="23"/>
  <c r="N147" i="23"/>
  <c r="D165" i="23"/>
  <c r="D234" i="23"/>
  <c r="C230" i="23"/>
  <c r="C165" i="23"/>
  <c r="Q223" i="23"/>
  <c r="E169" i="23"/>
  <c r="P213" i="23"/>
  <c r="P184" i="23"/>
  <c r="E174" i="23"/>
  <c r="E239" i="23"/>
  <c r="E242" i="23"/>
  <c r="E90" i="23"/>
  <c r="E234" i="23"/>
  <c r="E177" i="23"/>
  <c r="D169" i="23"/>
  <c r="D213" i="23"/>
  <c r="D90" i="23"/>
  <c r="C176" i="23"/>
  <c r="C241" i="23"/>
  <c r="S223" i="23"/>
  <c r="Q158" i="23"/>
  <c r="D84" i="23"/>
  <c r="D157" i="23"/>
  <c r="D158" i="23" s="1"/>
  <c r="D222" i="23"/>
  <c r="D223" i="23" s="1"/>
  <c r="R84" i="23"/>
  <c r="R100" i="23" s="1"/>
  <c r="R157" i="23"/>
  <c r="V158" i="23" s="1"/>
  <c r="R222" i="23"/>
  <c r="V223" i="23" s="1"/>
  <c r="Q84" i="23"/>
  <c r="Q100" i="23" s="1"/>
  <c r="P84" i="23"/>
  <c r="N157" i="23"/>
  <c r="N222" i="23"/>
  <c r="S158" i="23"/>
  <c r="D144" i="23" l="1"/>
  <c r="D209" i="23" s="1"/>
  <c r="D100" i="23"/>
  <c r="P144" i="23"/>
  <c r="P209" i="23" s="1"/>
  <c r="P100" i="23"/>
  <c r="E60" i="23"/>
  <c r="P248" i="23"/>
  <c r="S147" i="23"/>
  <c r="S149" i="23" s="1"/>
  <c r="S214" i="23" s="1"/>
  <c r="Q183" i="23"/>
  <c r="S85" i="23"/>
  <c r="Q85" i="23"/>
  <c r="R85" i="23"/>
  <c r="P85" i="23"/>
  <c r="M185" i="23"/>
  <c r="O248" i="23"/>
  <c r="O250" i="23" s="1"/>
  <c r="O183" i="23"/>
  <c r="O147" i="23"/>
  <c r="O149" i="23" s="1"/>
  <c r="O214" i="23" s="1"/>
  <c r="S183" i="23"/>
  <c r="R248" i="23"/>
  <c r="R183" i="23"/>
  <c r="R147" i="23"/>
  <c r="R149" i="23" s="1"/>
  <c r="R214" i="23" s="1"/>
  <c r="Q147" i="23"/>
  <c r="Q212" i="23" s="1"/>
  <c r="P147" i="23"/>
  <c r="P149" i="23" s="1"/>
  <c r="P214" i="23" s="1"/>
  <c r="C248" i="23"/>
  <c r="C140" i="23"/>
  <c r="C200" i="23" s="1"/>
  <c r="N248" i="23"/>
  <c r="N250" i="23" s="1"/>
  <c r="Q248" i="23"/>
  <c r="C183" i="23"/>
  <c r="C147" i="23"/>
  <c r="P183" i="23"/>
  <c r="N185" i="23"/>
  <c r="N183" i="23"/>
  <c r="S248" i="23"/>
  <c r="R187" i="23"/>
  <c r="R185" i="23"/>
  <c r="R140" i="23"/>
  <c r="R200" i="23" s="1"/>
  <c r="M183" i="23"/>
  <c r="M248" i="23"/>
  <c r="M250" i="23" s="1"/>
  <c r="M252" i="23"/>
  <c r="C185" i="23"/>
  <c r="C252" i="23"/>
  <c r="M212" i="23"/>
  <c r="M149" i="23"/>
  <c r="M214" i="23" s="1"/>
  <c r="E223" i="23"/>
  <c r="N212" i="23"/>
  <c r="N149" i="23"/>
  <c r="N214" i="23" s="1"/>
  <c r="D183" i="23"/>
  <c r="D248" i="23"/>
  <c r="D147" i="23"/>
  <c r="E86" i="23"/>
  <c r="E158" i="23"/>
  <c r="R223" i="23"/>
  <c r="Q144" i="23"/>
  <c r="Q209" i="23" s="1"/>
  <c r="R158" i="23"/>
  <c r="R144" i="23"/>
  <c r="R209" i="23" s="1"/>
  <c r="S250" i="23" l="1"/>
  <c r="D250" i="23"/>
  <c r="P250" i="23"/>
  <c r="C250" i="23"/>
  <c r="Q250" i="23"/>
  <c r="R250" i="23"/>
  <c r="E64" i="23"/>
  <c r="E68" i="23" s="1"/>
  <c r="E74" i="23" s="1"/>
  <c r="P60" i="23"/>
  <c r="C60" i="23"/>
  <c r="C64" i="23" s="1"/>
  <c r="S212" i="23"/>
  <c r="S185" i="23"/>
  <c r="Q140" i="23"/>
  <c r="Q200" i="23" s="1"/>
  <c r="P185" i="23"/>
  <c r="O212" i="23"/>
  <c r="P212" i="23"/>
  <c r="O185" i="23"/>
  <c r="P140" i="23"/>
  <c r="P200" i="23" s="1"/>
  <c r="R252" i="23"/>
  <c r="Q185" i="23"/>
  <c r="R212" i="23"/>
  <c r="Q187" i="23"/>
  <c r="M187" i="23"/>
  <c r="Q149" i="23"/>
  <c r="Q214" i="23" s="1"/>
  <c r="E248" i="23"/>
  <c r="C149" i="23"/>
  <c r="C214" i="23" s="1"/>
  <c r="C212" i="23"/>
  <c r="C187" i="23"/>
  <c r="S252" i="23"/>
  <c r="S140" i="23"/>
  <c r="S200" i="23" s="1"/>
  <c r="E183" i="23"/>
  <c r="E147" i="23"/>
  <c r="E87" i="23"/>
  <c r="E225" i="23"/>
  <c r="E162" i="23"/>
  <c r="E160" i="23"/>
  <c r="D185" i="23"/>
  <c r="D140" i="23"/>
  <c r="D200" i="23" s="1"/>
  <c r="D212" i="23"/>
  <c r="D149" i="23"/>
  <c r="D214" i="23" s="1"/>
  <c r="N252" i="23"/>
  <c r="N187" i="23"/>
  <c r="O187" i="23"/>
  <c r="O252" i="23"/>
  <c r="E187" i="23"/>
  <c r="E252" i="23"/>
  <c r="C86" i="23"/>
  <c r="P272" i="23" l="1"/>
  <c r="E250" i="23"/>
  <c r="E265" i="23"/>
  <c r="E262" i="23"/>
  <c r="C272" i="23"/>
  <c r="Q272" i="23"/>
  <c r="D272" i="23"/>
  <c r="E267" i="23"/>
  <c r="R272" i="23"/>
  <c r="S272" i="23"/>
  <c r="E227" i="23"/>
  <c r="F226" i="23"/>
  <c r="C767" i="22"/>
  <c r="E767" i="22" s="1"/>
  <c r="E138" i="23"/>
  <c r="E198" i="23" s="1"/>
  <c r="E137" i="23"/>
  <c r="E197" i="23" s="1"/>
  <c r="P64" i="23"/>
  <c r="P229" i="23"/>
  <c r="P164" i="23"/>
  <c r="E75" i="23"/>
  <c r="E77" i="23" s="1"/>
  <c r="C68" i="23"/>
  <c r="C74" i="23" s="1"/>
  <c r="C75" i="23" s="1"/>
  <c r="C81" i="23" s="1"/>
  <c r="D60" i="23"/>
  <c r="D64" i="23" s="1"/>
  <c r="E129" i="23"/>
  <c r="E189" i="23" s="1"/>
  <c r="E132" i="23"/>
  <c r="E140" i="23"/>
  <c r="E200" i="23" s="1"/>
  <c r="E185" i="23"/>
  <c r="C160" i="23"/>
  <c r="C87" i="23"/>
  <c r="C162" i="23"/>
  <c r="C225" i="23"/>
  <c r="C264" i="23" s="1"/>
  <c r="S225" i="23"/>
  <c r="S162" i="23"/>
  <c r="S160" i="23"/>
  <c r="C164" i="23"/>
  <c r="Q252" i="23"/>
  <c r="S187" i="23"/>
  <c r="E212" i="23"/>
  <c r="E149" i="23"/>
  <c r="E214" i="23" s="1"/>
  <c r="E145" i="23"/>
  <c r="E130" i="23"/>
  <c r="E190" i="23" s="1"/>
  <c r="E133" i="23"/>
  <c r="E229" i="23"/>
  <c r="E164" i="23"/>
  <c r="E135" i="23"/>
  <c r="D252" i="23"/>
  <c r="D187" i="23"/>
  <c r="S86" i="23"/>
  <c r="Q86" i="23"/>
  <c r="P86" i="23"/>
  <c r="D86" i="23"/>
  <c r="R86" i="23"/>
  <c r="V265" i="23" l="1"/>
  <c r="V262" i="23"/>
  <c r="V270" i="23"/>
  <c r="V264" i="23"/>
  <c r="V261" i="23"/>
  <c r="V267" i="23"/>
  <c r="V269" i="23"/>
  <c r="C265" i="23"/>
  <c r="C262" i="23"/>
  <c r="C267" i="23"/>
  <c r="E272" i="23"/>
  <c r="E264" i="23"/>
  <c r="E261" i="23"/>
  <c r="C261" i="23"/>
  <c r="E269" i="23"/>
  <c r="E270" i="23"/>
  <c r="S227" i="23"/>
  <c r="W226" i="23"/>
  <c r="D764" i="22"/>
  <c r="D762" i="22"/>
  <c r="C138" i="23"/>
  <c r="C198" i="23" s="1"/>
  <c r="C137" i="23"/>
  <c r="C197" i="23" s="1"/>
  <c r="P68" i="23"/>
  <c r="P168" i="23"/>
  <c r="P233" i="23"/>
  <c r="F762" i="22"/>
  <c r="F764" i="22"/>
  <c r="E81" i="23"/>
  <c r="P75" i="23"/>
  <c r="D68" i="23"/>
  <c r="D74" i="23" s="1"/>
  <c r="D75" i="23" s="1"/>
  <c r="D81" i="23" s="1"/>
  <c r="C129" i="23"/>
  <c r="C189" i="23" s="1"/>
  <c r="C132" i="23"/>
  <c r="C192" i="23" s="1"/>
  <c r="C130" i="23"/>
  <c r="C190" i="23" s="1"/>
  <c r="D225" i="23"/>
  <c r="D267" i="23" s="1"/>
  <c r="C227" i="23"/>
  <c r="C133" i="23"/>
  <c r="C150" i="23" s="1"/>
  <c r="C145" i="23"/>
  <c r="C146" i="23" s="1"/>
  <c r="C135" i="23"/>
  <c r="C195" i="23" s="1"/>
  <c r="D162" i="23"/>
  <c r="C229" i="23"/>
  <c r="D161" i="23"/>
  <c r="D160" i="23"/>
  <c r="D87" i="23"/>
  <c r="E161" i="23"/>
  <c r="E195" i="23"/>
  <c r="E168" i="23"/>
  <c r="E233" i="23"/>
  <c r="E151" i="23"/>
  <c r="E192" i="23"/>
  <c r="E146" i="23"/>
  <c r="E210" i="23"/>
  <c r="E193" i="23"/>
  <c r="E150" i="23"/>
  <c r="P187" i="23"/>
  <c r="P252" i="23"/>
  <c r="E226" i="23" l="1"/>
  <c r="D265" i="23"/>
  <c r="D262" i="23"/>
  <c r="D264" i="23"/>
  <c r="D261" i="23"/>
  <c r="C269" i="23"/>
  <c r="C270" i="23"/>
  <c r="D137" i="23"/>
  <c r="D197" i="23" s="1"/>
  <c r="D138" i="23"/>
  <c r="D198" i="23" s="1"/>
  <c r="P74" i="23"/>
  <c r="P77" i="23" s="1"/>
  <c r="R91" i="23"/>
  <c r="P237" i="23"/>
  <c r="P172" i="23"/>
  <c r="P91" i="23"/>
  <c r="P244" i="23"/>
  <c r="P179" i="23"/>
  <c r="C77" i="23"/>
  <c r="C78" i="23" s="1"/>
  <c r="D77" i="23"/>
  <c r="D129" i="23"/>
  <c r="D189" i="23" s="1"/>
  <c r="D132" i="23"/>
  <c r="D192" i="23" s="1"/>
  <c r="C168" i="23"/>
  <c r="C237" i="23"/>
  <c r="D145" i="23"/>
  <c r="D146" i="23" s="1"/>
  <c r="C233" i="23"/>
  <c r="D164" i="23"/>
  <c r="C151" i="23"/>
  <c r="D227" i="23"/>
  <c r="D226" i="23"/>
  <c r="C210" i="23"/>
  <c r="C193" i="23"/>
  <c r="D229" i="23"/>
  <c r="D133" i="23"/>
  <c r="D193" i="23" s="1"/>
  <c r="D130" i="23"/>
  <c r="D190" i="23" s="1"/>
  <c r="D135" i="23"/>
  <c r="D168" i="23"/>
  <c r="D233" i="23"/>
  <c r="E211" i="23"/>
  <c r="E215" i="23"/>
  <c r="E216" i="23"/>
  <c r="E237" i="23"/>
  <c r="E172" i="23"/>
  <c r="E91" i="23"/>
  <c r="C215" i="23" l="1"/>
  <c r="D269" i="23"/>
  <c r="D270" i="23"/>
  <c r="P246" i="23"/>
  <c r="P181" i="23"/>
  <c r="P243" i="23"/>
  <c r="P178" i="23"/>
  <c r="D78" i="23"/>
  <c r="C80" i="23"/>
  <c r="D210" i="23"/>
  <c r="C172" i="23"/>
  <c r="C91" i="23"/>
  <c r="C216" i="23"/>
  <c r="C211" i="23"/>
  <c r="D150" i="23"/>
  <c r="D151" i="23"/>
  <c r="D195" i="23"/>
  <c r="D91" i="23"/>
  <c r="D237" i="23"/>
  <c r="D172" i="23"/>
  <c r="E178" i="23"/>
  <c r="E243" i="23"/>
  <c r="D80" i="23" l="1"/>
  <c r="N78" i="23"/>
  <c r="E78" i="23"/>
  <c r="F78" i="23" s="1"/>
  <c r="G78" i="23" s="1"/>
  <c r="D216" i="23"/>
  <c r="D215" i="23"/>
  <c r="D211" i="23"/>
  <c r="C243" i="23"/>
  <c r="C178" i="23"/>
  <c r="E181" i="23"/>
  <c r="D178" i="23"/>
  <c r="D243" i="23"/>
  <c r="E179" i="23"/>
  <c r="E244" i="23"/>
  <c r="G80" i="23" l="1"/>
  <c r="H78" i="23"/>
  <c r="I78" i="23" s="1"/>
  <c r="J78" i="23" s="1"/>
  <c r="J80" i="23" s="1"/>
  <c r="V78" i="23"/>
  <c r="X78" i="23" s="1"/>
  <c r="F80" i="23"/>
  <c r="E80" i="23"/>
  <c r="R78" i="23"/>
  <c r="P78" i="23"/>
  <c r="P80" i="23" s="1"/>
  <c r="N80" i="23"/>
  <c r="C244" i="23"/>
  <c r="C179" i="23"/>
  <c r="E246" i="23"/>
  <c r="D244" i="23"/>
  <c r="D179" i="23"/>
  <c r="C181" i="23"/>
  <c r="C246" i="23"/>
  <c r="X80" i="23" l="1"/>
  <c r="Z78" i="23"/>
  <c r="H80" i="23"/>
  <c r="I80" i="23"/>
  <c r="V80" i="23"/>
  <c r="R80" i="23"/>
  <c r="T78" i="23"/>
  <c r="T80" i="23" s="1"/>
  <c r="D181" i="23"/>
  <c r="D246" i="23"/>
  <c r="AB78" i="23" l="1"/>
  <c r="Z80" i="23"/>
  <c r="P89" i="23"/>
  <c r="Q89" i="23"/>
  <c r="R89" i="23"/>
  <c r="S89" i="23"/>
  <c r="D89" i="23"/>
  <c r="AD78" i="23" l="1"/>
  <c r="AB80" i="23"/>
  <c r="C89" i="23"/>
  <c r="E89" i="23"/>
  <c r="AD80" i="23" l="1"/>
  <c r="AF78" i="23"/>
  <c r="M160" i="23"/>
  <c r="N160" i="23"/>
  <c r="O225" i="23"/>
  <c r="S161" i="23"/>
  <c r="M225" i="23"/>
  <c r="Q161" i="23"/>
  <c r="Q162" i="23"/>
  <c r="Q225" i="23"/>
  <c r="R160" i="23"/>
  <c r="R162" i="23"/>
  <c r="AH78" i="23" l="1"/>
  <c r="AJ78" i="23" s="1"/>
  <c r="AJ80" i="23" s="1"/>
  <c r="AF80" i="23"/>
  <c r="U226" i="23"/>
  <c r="M227" i="23"/>
  <c r="O227" i="23"/>
  <c r="S226" i="23"/>
  <c r="Q227" i="23"/>
  <c r="Q226" i="23"/>
  <c r="N162" i="23"/>
  <c r="N225" i="23"/>
  <c r="Q160" i="23"/>
  <c r="O162" i="23"/>
  <c r="M162" i="23"/>
  <c r="R225" i="23"/>
  <c r="T270" i="23" s="1"/>
  <c r="P87" i="23"/>
  <c r="R161" i="23"/>
  <c r="Q87" i="23"/>
  <c r="O160" i="23"/>
  <c r="AH80" i="23" l="1"/>
  <c r="T261" i="23"/>
  <c r="T264" i="23"/>
  <c r="T267" i="23"/>
  <c r="T265" i="23"/>
  <c r="T269" i="23"/>
  <c r="T262" i="23"/>
  <c r="N227" i="23"/>
  <c r="V226" i="23"/>
  <c r="U262" i="23"/>
  <c r="U265" i="23"/>
  <c r="U261" i="23"/>
  <c r="U267" i="23"/>
  <c r="U264" i="23"/>
  <c r="P138" i="23"/>
  <c r="P198" i="23" s="1"/>
  <c r="P137" i="23"/>
  <c r="P197" i="23" s="1"/>
  <c r="Q130" i="23"/>
  <c r="Q190" i="23" s="1"/>
  <c r="Q132" i="23"/>
  <c r="Q135" i="23"/>
  <c r="Q195" i="23" s="1"/>
  <c r="Q129" i="23"/>
  <c r="Q189" i="23" s="1"/>
  <c r="Q145" i="23"/>
  <c r="Q133" i="23"/>
  <c r="P130" i="23"/>
  <c r="P190" i="23" s="1"/>
  <c r="P133" i="23"/>
  <c r="P132" i="23"/>
  <c r="P145" i="23"/>
  <c r="P135" i="23"/>
  <c r="P195" i="23" s="1"/>
  <c r="P129" i="23"/>
  <c r="P189" i="23" s="1"/>
  <c r="R226" i="23"/>
  <c r="R227" i="23"/>
  <c r="P162" i="23"/>
  <c r="P160" i="23"/>
  <c r="P225" i="23"/>
  <c r="P265" i="23" s="1"/>
  <c r="S87" i="23"/>
  <c r="C733" i="22" s="1"/>
  <c r="E733" i="22" s="1"/>
  <c r="R87" i="23"/>
  <c r="Q264" i="23" l="1"/>
  <c r="P262" i="23"/>
  <c r="Q267" i="23"/>
  <c r="Q261" i="23"/>
  <c r="S262" i="23"/>
  <c r="S265" i="23"/>
  <c r="S267" i="23"/>
  <c r="S261" i="23"/>
  <c r="S264" i="23"/>
  <c r="R270" i="23"/>
  <c r="R269" i="23"/>
  <c r="R262" i="23"/>
  <c r="P264" i="23"/>
  <c r="P261" i="23"/>
  <c r="R265" i="23"/>
  <c r="R267" i="23"/>
  <c r="R264" i="23"/>
  <c r="R261" i="23"/>
  <c r="P267" i="23"/>
  <c r="Q265" i="23"/>
  <c r="Q262" i="23"/>
  <c r="P269" i="23"/>
  <c r="P270" i="23"/>
  <c r="P227" i="23"/>
  <c r="T226" i="23"/>
  <c r="R138" i="23"/>
  <c r="R198" i="23" s="1"/>
  <c r="R137" i="23"/>
  <c r="R197" i="23" s="1"/>
  <c r="F728" i="22"/>
  <c r="F730" i="22"/>
  <c r="D728" i="22"/>
  <c r="D730" i="22"/>
  <c r="Q193" i="23"/>
  <c r="Q150" i="23"/>
  <c r="Q210" i="23"/>
  <c r="Q146" i="23"/>
  <c r="P151" i="23"/>
  <c r="P192" i="23"/>
  <c r="S132" i="23"/>
  <c r="S129" i="23"/>
  <c r="S189" i="23" s="1"/>
  <c r="S145" i="23"/>
  <c r="S133" i="23"/>
  <c r="S130" i="23"/>
  <c r="S190" i="23" s="1"/>
  <c r="S135" i="23"/>
  <c r="S195" i="23" s="1"/>
  <c r="Q151" i="23"/>
  <c r="Q192" i="23"/>
  <c r="P193" i="23"/>
  <c r="P150" i="23"/>
  <c r="P210" i="23"/>
  <c r="P146" i="23"/>
  <c r="R133" i="23"/>
  <c r="R129" i="23"/>
  <c r="R189" i="23" s="1"/>
  <c r="R132" i="23"/>
  <c r="R145" i="23"/>
  <c r="R135" i="23"/>
  <c r="R195" i="23" s="1"/>
  <c r="R130" i="23"/>
  <c r="R190" i="23" s="1"/>
  <c r="R210" i="23" l="1"/>
  <c r="R146" i="23"/>
  <c r="R192" i="23"/>
  <c r="R151" i="23"/>
  <c r="S150" i="23"/>
  <c r="S193" i="23"/>
  <c r="Q215" i="23"/>
  <c r="Q211" i="23"/>
  <c r="Q216" i="23"/>
  <c r="S146" i="23"/>
  <c r="S210" i="23"/>
  <c r="P211" i="23"/>
  <c r="P215" i="23"/>
  <c r="P216" i="23"/>
  <c r="R193" i="23"/>
  <c r="R150" i="23"/>
  <c r="S151" i="23"/>
  <c r="S192" i="23"/>
  <c r="S215" i="23" l="1"/>
  <c r="S216" i="23"/>
  <c r="S211" i="23"/>
  <c r="R211" i="23"/>
  <c r="R216" i="23"/>
  <c r="R215" i="23"/>
  <c r="X210" i="23"/>
  <c r="J565" i="22"/>
  <c r="E590" i="22" s="1"/>
  <c r="X209" i="23"/>
  <c r="X216" i="23" l="1"/>
  <c r="X215" i="23"/>
  <c r="X211" i="23"/>
  <c r="F585" i="22"/>
  <c r="F58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GR&amp;RS</author>
    <author>CRISIL</author>
    <author>CRISIL GR&amp;A</author>
    <author>Crisil GR&amp;RS</author>
    <author>Pramod Vasant Doke</author>
  </authors>
  <commentList>
    <comment ref="B42" authorId="0" shapeId="0" xr:uid="{C5DD74AC-A0F7-4C8A-B932-928794B43A9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Data N/A in report</t>
        </r>
      </text>
    </comment>
    <comment ref="C69" authorId="1" shapeId="0" xr:uid="{5A419062-8D17-4FDC-9F78-3EA9ADB8235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to be updated once compelete report is released</t>
        </r>
      </text>
    </comment>
    <comment ref="B89" authorId="0" shapeId="0" xr:uid="{73FAF35F-B899-4DB7-8EA4-8A8F7AE61D5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Data N/A in report</t>
        </r>
      </text>
    </comment>
    <comment ref="B133" authorId="0" shapeId="0" xr:uid="{8F44F283-9C00-46B1-AFA4-6DDE35DC49F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Data N/A in report</t>
        </r>
      </text>
    </comment>
    <comment ref="B177" authorId="0" shapeId="0" xr:uid="{0036674C-A82E-4D26-B3A4-49966D795C3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BBG</t>
        </r>
      </text>
    </comment>
    <comment ref="B219" authorId="0" shapeId="0" xr:uid="{8F1BCCF6-BD7C-47AA-8015-305B753BA10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BBG</t>
        </r>
      </text>
    </comment>
    <comment ref="C243" authorId="1" shapeId="0" xr:uid="{63A9721E-C86A-4814-8A84-D8493D5B55F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Will be updated once full AR24 is released</t>
        </r>
      </text>
    </comment>
    <comment ref="D249" authorId="2" shapeId="0" xr:uid="{7DC72C45-2387-4299-A20A-0B62228F6771}">
      <text>
        <r>
          <rPr>
            <b/>
            <sz val="9"/>
            <color indexed="81"/>
            <rFont val="Tahoma"/>
            <family val="2"/>
          </rPr>
          <t>CRISIL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249" authorId="2" shapeId="0" xr:uid="{0011D185-DD29-413B-97E8-1C9FC5871FA3}">
      <text>
        <r>
          <rPr>
            <b/>
            <sz val="9"/>
            <color indexed="81"/>
            <rFont val="Tahoma"/>
            <family val="2"/>
          </rPr>
          <t>CRISIL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B261" authorId="0" shapeId="0" xr:uid="{1FA1CB2D-4B7C-4AF4-BE3C-16B1E7C6C6D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BBG</t>
        </r>
      </text>
    </comment>
    <comment ref="D292" authorId="2" shapeId="0" xr:uid="{A7013C3F-F13F-4C56-B71D-D2975FB94265}">
      <text>
        <r>
          <rPr>
            <b/>
            <sz val="9"/>
            <color indexed="81"/>
            <rFont val="Tahoma"/>
            <family val="2"/>
          </rPr>
          <t>CRISIL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292" authorId="2" shapeId="0" xr:uid="{298B1803-B492-4A39-B3AA-A747571AE53D}">
      <text>
        <r>
          <rPr>
            <b/>
            <sz val="9"/>
            <color indexed="81"/>
            <rFont val="Tahoma"/>
            <family val="2"/>
          </rPr>
          <t>CRISIL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B304" authorId="0" shapeId="0" xr:uid="{31E3E125-10AB-4242-B692-87AB95BCC05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BBG</t>
        </r>
      </text>
    </comment>
    <comment ref="D335" authorId="2" shapeId="0" xr:uid="{1F84F44C-C082-4350-94A7-462B024ABAB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335" authorId="2" shapeId="0" xr:uid="{2B0E3216-06C5-4AE4-A0FF-07D3B08DADF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B347" authorId="0" shapeId="0" xr:uid="{71CBAB6D-B80A-45E1-B253-C43ECD77F79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BBG</t>
        </r>
      </text>
    </comment>
    <comment ref="D376" authorId="2" shapeId="0" xr:uid="{FB508378-193E-4C76-90EA-6F92512571C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376" authorId="2" shapeId="0" xr:uid="{E8B247E7-9D98-48B0-A96C-99C60A20A52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B388" authorId="0" shapeId="0" xr:uid="{B7F0F0B9-94EC-4418-9F4A-9444734A99E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BBG</t>
        </r>
      </text>
    </comment>
    <comment ref="D417" authorId="2" shapeId="0" xr:uid="{321B5A51-EF53-4EB2-97C4-220CCB23656C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417" authorId="2" shapeId="0" xr:uid="{A9FF198B-54FB-4191-8929-ECC2FFD0DC8B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D458" authorId="2" shapeId="0" xr:uid="{3F56B614-9337-44FD-91FD-C072082D09D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458" authorId="2" shapeId="0" xr:uid="{1157E782-F672-45CD-8250-5E3AEDF43C9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D501" authorId="2" shapeId="0" xr:uid="{9D55A466-5CDA-4E1D-9084-CD048626F25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501" authorId="2" shapeId="0" xr:uid="{1102498A-A725-4C86-B6A3-32BA0B34D94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D544" authorId="2" shapeId="0" xr:uid="{2B17402F-0DE9-4821-BE36-1A013410BCE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544" authorId="2" shapeId="0" xr:uid="{46843913-CAA9-4EE7-A6D8-65C10F483CD4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D587" authorId="2" shapeId="0" xr:uid="{DE55DF18-E403-4D09-A71F-64BD1F61CEC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587" authorId="2" shapeId="0" xr:uid="{719C1AF9-88FA-48E2-9D18-BF01BC9AFCE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E599" authorId="3" shapeId="0" xr:uid="{AC330D0A-301A-4504-965F-6F0F177465B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To be updated once the Annual Report would be released</t>
        </r>
      </text>
    </comment>
    <comment ref="D629" authorId="2" shapeId="0" xr:uid="{00000000-0006-0000-0000-000002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629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D664" authorId="2" shapeId="0" xr:uid="{7F685F2E-1BED-47B9-B549-58CFFFA5302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664" authorId="2" shapeId="0" xr:uid="{378490E6-E8AA-4EA1-AA8D-DD529D74FF6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D700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700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D730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730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D764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F764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net cash</t>
        </r>
      </text>
    </comment>
    <comment ref="B772" authorId="4" shapeId="0" xr:uid="{00000000-0006-0000-0000-00000D000000}">
      <text>
        <r>
          <rPr>
            <b/>
            <sz val="9"/>
            <color indexed="81"/>
            <rFont val="Tahoma"/>
            <family val="2"/>
          </rPr>
          <t>Taken from AR 20 - Page 345 of 371</t>
        </r>
      </text>
    </comment>
    <comment ref="B773" authorId="4" shapeId="0" xr:uid="{00000000-0006-0000-0000-00000E000000}">
      <text>
        <r>
          <rPr>
            <b/>
            <sz val="9"/>
            <color indexed="81"/>
            <rFont val="Tahoma"/>
            <family val="2"/>
          </rPr>
          <t>Taken from AR 20 - Page 345 of 371</t>
        </r>
      </text>
    </comment>
    <comment ref="B774" authorId="4" shapeId="0" xr:uid="{00000000-0006-0000-0000-00000F000000}">
      <text>
        <r>
          <rPr>
            <b/>
            <sz val="9"/>
            <color indexed="81"/>
            <rFont val="Tahoma"/>
            <family val="2"/>
          </rPr>
          <t>Taken from AR 20 - Page 345 of 371</t>
        </r>
      </text>
    </comment>
    <comment ref="B775" authorId="4" shapeId="0" xr:uid="{00000000-0006-0000-0000-000010000000}">
      <text>
        <r>
          <rPr>
            <b/>
            <sz val="9"/>
            <color indexed="81"/>
            <rFont val="Tahoma"/>
            <family val="2"/>
          </rPr>
          <t>Taken from AR 20 - Page 345 of 371</t>
        </r>
      </text>
    </comment>
    <comment ref="B776" authorId="4" shapeId="0" xr:uid="{00000000-0006-0000-0000-000011000000}">
      <text>
        <r>
          <rPr>
            <b/>
            <sz val="9"/>
            <color indexed="81"/>
            <rFont val="Tahoma"/>
            <family val="2"/>
          </rPr>
          <t>Taken from AR 20 - Page 345 of 371</t>
        </r>
      </text>
    </comment>
    <comment ref="B777" authorId="4" shapeId="0" xr:uid="{00000000-0006-0000-0000-000012000000}">
      <text>
        <r>
          <rPr>
            <b/>
            <sz val="9"/>
            <color indexed="81"/>
            <rFont val="Tahoma"/>
            <family val="2"/>
          </rPr>
          <t>Taken from AR 20 - Page 345 of 371</t>
        </r>
      </text>
    </comment>
    <comment ref="B778" authorId="4" shapeId="0" xr:uid="{00000000-0006-0000-0000-000013000000}">
      <text>
        <r>
          <rPr>
            <b/>
            <sz val="9"/>
            <color indexed="81"/>
            <rFont val="Tahoma"/>
            <family val="2"/>
          </rPr>
          <t>Taken from AR 20 - Page 345 of 371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Bishu Gupta</author>
    <author>CRISIL</author>
    <author>Crisil GR&amp;RS</author>
    <author>Pramod Vasant Doke</author>
    <author>CRISIL GR&amp;RS</author>
    <author>Sushrut Bhushan Deo</author>
  </authors>
  <commentList>
    <comment ref="AC60" authorId="0" shapeId="0" xr:uid="{E1E158DE-C9A9-434A-8CCB-F8C13B1DEE33}">
      <text>
        <r>
          <rPr>
            <b/>
            <sz val="9"/>
            <color indexed="81"/>
            <rFont val="Tahoma"/>
            <family val="2"/>
          </rPr>
          <t>Data not available</t>
        </r>
      </text>
    </comment>
    <comment ref="AE60" authorId="0" shapeId="0" xr:uid="{09A1BCC9-EF82-452F-8932-D1522AF71008}">
      <text>
        <r>
          <rPr>
            <b/>
            <sz val="9"/>
            <color indexed="81"/>
            <rFont val="Tahoma"/>
            <family val="2"/>
          </rPr>
          <t>Data not available</t>
        </r>
      </text>
    </comment>
    <comment ref="AG60" authorId="0" shapeId="0" xr:uid="{6D2ADED7-F646-440A-A93D-A081B296859F}">
      <text>
        <r>
          <rPr>
            <b/>
            <sz val="9"/>
            <color indexed="81"/>
            <rFont val="Tahoma"/>
            <family val="2"/>
          </rPr>
          <t>Data not available</t>
        </r>
      </text>
    </comment>
    <comment ref="AI60" authorId="0" shapeId="0" xr:uid="{F0873434-AD2B-4D33-8AD5-773EA3C033B6}">
      <text>
        <r>
          <rPr>
            <b/>
            <sz val="9"/>
            <color indexed="81"/>
            <rFont val="Tahoma"/>
            <family val="2"/>
          </rPr>
          <t>Data not available</t>
        </r>
      </text>
    </comment>
    <comment ref="AK60" authorId="0" shapeId="0" xr:uid="{2145B493-0EF5-4229-8D80-35BCCC7BAE1B}">
      <text>
        <r>
          <rPr>
            <b/>
            <sz val="9"/>
            <color indexed="81"/>
            <rFont val="Tahoma"/>
            <family val="2"/>
          </rPr>
          <t>Data not available</t>
        </r>
      </text>
    </comment>
    <comment ref="B61" authorId="1" shapeId="0" xr:uid="{35398039-0D52-4949-84DC-6E31E419EF7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1. inventories
2. trade and notes receivables
3. trade payables</t>
        </r>
      </text>
    </comment>
    <comment ref="I69" authorId="1" shapeId="0" xr:uid="{EE31CA56-E4A2-41C7-B854-C3F6C120EA5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Majorly includes transactions realted to short and long-term investments</t>
        </r>
      </text>
    </comment>
    <comment ref="J69" authorId="1" shapeId="0" xr:uid="{1AFAEB96-69D4-4276-BF57-9C46973D9E1F}">
      <text>
        <r>
          <rPr>
            <b/>
            <sz val="9"/>
            <color indexed="81"/>
            <rFont val="Tahoma"/>
            <family val="2"/>
          </rPr>
          <t xml:space="preserve">CRISIL:
</t>
        </r>
        <r>
          <rPr>
            <sz val="9"/>
            <color indexed="81"/>
            <rFont val="Tahoma"/>
            <family val="2"/>
          </rPr>
          <t xml:space="preserve">
FY includes:
* Placement of term bank deposits: (119,200.696)
* Proceeds from maturity/disposal of term bank deposits: 71,259.333 
* Purchase of short-term investments measured at fair value through profit or loss: (58,562.541)
* Proceeds from maturity of short-term investments measured at fair value through profit or loss: 59,828.588 
* Purchase of short-term investments measured at fair value through other comprehensive income: (3,598.541)
* Proceeds from maturity of short-term investments measured at fair value through other comprehensive income: 3,477.296
* Purchase of long-term investments measured at amortized cost: (10,246.805)
* Purchase of short-term investments measured at amortized cost: (200.000)
* Proceeds from maturity of short-term investments measured at amortized cost: 700.000
* Interest income received: 3,276.391
* Investment income received: 301.171
* Purchase of long-term investments measured at fair value through profit or loss: (20,230.812)
* Proceeds from disposal of long-term investments measured at fair value through profit or loss: 13,734.318
* Purchase of investments accounted for using the equity method: (363.724)
* Proceeds from disposal of investments accounted for using the equity method: 545.159
* Dividends received: 370.632</t>
        </r>
      </text>
    </comment>
    <comment ref="AH69" authorId="1" shapeId="0" xr:uid="{932A084A-8822-4B6E-87AA-6F215765C23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6M includes transactions related to :
* bank deposits
*  short-term investments
* long-term investments
* Investment income
 * investments accounted for using  the equity method</t>
        </r>
      </text>
    </comment>
    <comment ref="I73" authorId="1" shapeId="0" xr:uid="{4FDD4863-CE2A-43FF-AD14-C90A1A93FF2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Marjoly Includes:
1.  transactions related to fund investors
2. Payments for shares repurchase: 4,047.876mn
3. Payments of lease liabilities: 2,476.524mn</t>
        </r>
      </text>
    </comment>
    <comment ref="J73" authorId="1" shapeId="0" xr:uid="{A0BF89D9-E55B-4EF6-814A-03545650197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FY Includes:
* Contribution from fund investors: 2,393.914
* Distribution to fund investors: (3,836.543)
* Payments for shares repurchase: (6,172.545) 
* Proceeds from financial assets sold under repurchase agreements: 367.840
* Payments for buyback of financial assets sold under repurchase agreements: (501.925)
* Payments of deferred consideration for acquisition of intangible assets: (2,499.913)</t>
        </r>
      </text>
    </comment>
    <comment ref="AH73" authorId="1" shapeId="0" xr:uid="{D24AD049-D468-4D57-AEC7-BC0E2592847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6M includes majorly:
* Contribution/ Distribution from fund investors</t>
        </r>
      </text>
    </comment>
    <comment ref="J75" authorId="1" shapeId="0" xr:uid="{E610BC0F-393B-4429-983B-61C505B6300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is due to use of EBITDA instead of PBT and other adjustments apart from working capital, majolry:
*  Provision for impairment of inventories: 6,848.003
* Impairment on investments accounted for using the equity method: 295.245
* Share of net profits of investments accounted for using the equity method: (326.127)
* Gains on disposal and deemed disposal of investments accounted for using the equity method: (2,089.122)
* Lose control of one subsidiary due to dilution: (73.729)
* Fair value changes on financial instruments measured at fair value through profit or loss: (13,311.733)
* Share-based compensation: 5,365.075
* Increase in prepayments and other receivables: (4,768.348)
* Increase in advance from customers: 2,691.526
* Increase in provisions: 2,185.457</t>
        </r>
      </text>
    </comment>
    <comment ref="I80" authorId="1" shapeId="0" xr:uid="{E2BA9D83-ABE7-4FC4-83B2-4A06B4AE123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This is sum of the following used iin Balance sheet cash and cash equivalents: 
1. Short-term investments measured at fair value through other
 comprehensive income
2. Short-term investments measured at amortized cost
3. Short-term investments measured at fair value through profit or loss
4. Term bank deposits</t>
        </r>
      </text>
    </comment>
    <comment ref="J80" authorId="1" shapeId="0" xr:uid="{82976DF8-32F7-45BA-919C-E64264BA1F9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This is sum of the following used iin Balance sheet cash and cash equivalents: 
1. Short-term investments measured at fair value through other
 comprehensive income
2. Short-term investments measured at amortized cost
3. Short-term investments measured at fair value through profit or loss
4. Term bank deposits</t>
        </r>
      </text>
    </comment>
    <comment ref="V80" authorId="2" shapeId="0" xr:uid="{76ABAD55-49E4-4A5B-A163-5404F982A32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 due to Cash &amp; Cash Equivalents in BS(cell R112) - includes Short term bank deposits,  Short-term investments measured at fair value through profit or loss, Short-term investments measured at fair value through other comrehensive income</t>
        </r>
      </text>
    </comment>
    <comment ref="Z80" authorId="2" shapeId="0" xr:uid="{71D82CA5-67F2-478B-B030-8A7859B3E11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 due to Cash &amp; Cash Equivalents in BS(cell R112) - includes Short term bank deposits,  Short-term investments measured at fair value through profit or loss, Short-term investments measured at fair value through other comrehensive income</t>
        </r>
      </text>
    </comment>
    <comment ref="AD80" authorId="2" shapeId="0" xr:uid="{A22482A6-EDC4-4E16-B01A-7B9E17E90F4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 due to Cash &amp; Cash Equivalents in BS(cell R112) - includes Short term bank deposits,  Short-term investments measured at fair value through profit or loss, Short-term investments measured at fair value through other comrehensive income</t>
        </r>
      </text>
    </comment>
    <comment ref="AF80" authorId="1" shapeId="0" xr:uid="{4A184D36-F163-4097-A7BF-C2B48799245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This is sum of the following used iin Balance sheet cash and cash equivalents: 
1. Short-term investments measured at fair value through other
 comprehensive income
2. Short-term investments measured at amortized cost
3. Short-term investments measured at fair value through profit or loss
4. Term bank deposits</t>
        </r>
      </text>
    </comment>
    <comment ref="AH80" authorId="2" shapeId="0" xr:uid="{96398FF9-D2D2-4D91-B8E7-DAFEE7DBEAB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Difference is  due to Cash &amp; Cash Equivalents in BS(cell R112) - includes Short term bank deposits,  Short-term investments measured at fair value through profit or loss, Short-term investments measured at fair value through other comrehensive income</t>
        </r>
      </text>
    </comment>
    <comment ref="AJ80" authorId="1" shapeId="0" xr:uid="{7B8093CF-4841-4975-BF24-9BFB26A3C74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This is sum of the following used iin Balance sheet cash and cash equivalents: 
1. Short-term investments measured at fair value through other
 comprehensive income
2. Short-term investments measured at amortized cost
3. Short-term investments measured at fair value through profit or loss
4. Term bank deposits</t>
        </r>
      </text>
    </comment>
    <comment ref="C95" authorId="3" shapeId="0" xr:uid="{00000000-0006-0000-0100-000001000000}">
      <text>
        <r>
          <rPr>
            <sz val="9"/>
            <color indexed="81"/>
            <rFont val="Tahoma"/>
            <family val="2"/>
          </rPr>
          <t xml:space="preserve">Includes Land use rights
</t>
        </r>
      </text>
    </comment>
    <comment ref="W112" authorId="4" shapeId="0" xr:uid="{41B1D94E-0C34-4A9A-9143-6B35DDA2E32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reported in quarterly reports</t>
        </r>
      </text>
    </comment>
    <comment ref="AA112" authorId="4" shapeId="0" xr:uid="{372FC21F-8363-4E5F-BFFA-104BC2757AB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reported in quarterly reports</t>
        </r>
      </text>
    </comment>
    <comment ref="AE112" authorId="4" shapeId="0" xr:uid="{D8D93A56-8595-408D-9EBB-A6F6BE136F4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reported in quarterly reports</t>
        </r>
      </text>
    </comment>
    <comment ref="AG112" authorId="4" shapeId="0" xr:uid="{70DDF80C-E5A7-4A3F-9131-09D424C29D12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reported in quarterly reports</t>
        </r>
      </text>
    </comment>
    <comment ref="AH112" authorId="4" shapeId="0" xr:uid="{7ED47721-9D72-4087-8AEA-33BED7BC42D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reported in quarterly reports</t>
        </r>
      </text>
    </comment>
    <comment ref="AI112" authorId="4" shapeId="0" xr:uid="{FB799372-D735-41B3-9712-FA5759CA726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reported in quarterly reports</t>
        </r>
      </text>
    </comment>
    <comment ref="AK112" authorId="4" shapeId="0" xr:uid="{B8BE3A0C-34E8-4640-A0D7-A76B863DC9F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not reported in quarterly reports</t>
        </r>
      </text>
    </comment>
    <comment ref="B120" authorId="1" shapeId="0" xr:uid="{F8016687-95EE-42F3-9D04-73F6767EB76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Short-term investments measured at fair value through other comprehensive income
* Short-term investments measured at amortized cost
* Short-term investments measured at fair value through profit or loss
* Term bank deposits
* Cash and cash equivalents</t>
        </r>
      </text>
    </comment>
    <comment ref="B204" authorId="3" shapeId="0" xr:uid="{00000000-0006-0000-0100-000003000000}">
      <text>
        <r>
          <rPr>
            <b/>
            <sz val="9"/>
            <color indexed="81"/>
            <rFont val="Tahoma"/>
            <family val="2"/>
          </rPr>
          <t>Source- Investing.Com</t>
        </r>
      </text>
    </comment>
    <comment ref="U204" authorId="5" shapeId="0" xr:uid="{00000000-0006-0000-0100-00000400000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Obtained from xe.com</t>
        </r>
      </text>
    </comment>
    <comment ref="Y204" authorId="5" shapeId="0" xr:uid="{076BD86F-C165-4CFE-B8B6-59003B177DB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Obtained from xe.com</t>
        </r>
      </text>
    </comment>
    <comment ref="AC204" authorId="5" shapeId="0" xr:uid="{E3EEDD80-C559-4D62-9604-723DFBD226BA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Obtained from investing.com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</authors>
  <commentList>
    <comment ref="B12" authorId="0" shapeId="0" xr:uid="{E50DB661-4035-49EE-AF6A-2D6D3BE1944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has reported this segment separately from 2024</t>
        </r>
      </text>
    </comment>
    <comment ref="B13" authorId="0" shapeId="0" xr:uid="{3A820B9C-76BB-40DF-84CA-F94A3BD61DE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Inlcudes Smart EV and
other new initiatives - till 2023
Starting 2024 - the company has reported this separately</t>
        </r>
      </text>
    </comment>
    <comment ref="B21" authorId="0" shapeId="0" xr:uid="{9627274A-D94F-404E-9B7F-A02E5F99651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has reported this segment separately from 2024</t>
        </r>
      </text>
    </comment>
    <comment ref="B22" authorId="0" shapeId="0" xr:uid="{0B4374A2-2AE6-4F48-B11E-302C555FA4C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Inlcudes Smart EV and
other new initiatives - till 2023
Starting 2024 - the company has reported this separately</t>
        </r>
      </text>
    </comment>
    <comment ref="B29" authorId="0" shapeId="0" xr:uid="{A450BA45-2A16-47AD-B8D8-463101F55DE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has reported this segment separately from 2024</t>
        </r>
      </text>
    </comment>
    <comment ref="B30" authorId="0" shapeId="0" xr:uid="{88046B69-C177-4822-9BA2-6E29946C1A5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Inlcudes Smart EV and
other new initiatives - till 2023
Starting 2024 - the company has reported this separately</t>
        </r>
      </text>
    </comment>
    <comment ref="B56" authorId="0" shapeId="0" xr:uid="{617054AE-CC18-4909-B798-DE9890E1A3D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has reported this segment separately from 2024</t>
        </r>
      </text>
    </comment>
    <comment ref="I56" authorId="0" shapeId="0" xr:uid="{3EB5BD98-80A4-43A9-9234-CCD0EE51F25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has reported separately the cost of revenues for this segment since 2024</t>
        </r>
      </text>
    </comment>
    <comment ref="J56" authorId="0" shapeId="0" xr:uid="{E694F298-B0FC-4CD0-82A9-8C0D6B4378E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has reported separately the cost of revenues for this segment since 2024</t>
        </r>
      </text>
    </comment>
    <comment ref="B57" authorId="0" shapeId="0" xr:uid="{F3B1C03F-4D49-4ED1-B6E0-3D664748624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Inlcudes Smart EV and
other new initiatives - till 2023
Starting 2024 - the company has reported this separately</t>
        </r>
      </text>
    </comment>
    <comment ref="B65" authorId="0" shapeId="0" xr:uid="{9157344D-74BC-48E2-8DA0-6104D4A70A9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has reported this segment separately from 2024</t>
        </r>
      </text>
    </comment>
    <comment ref="B66" authorId="0" shapeId="0" xr:uid="{46569533-0C52-41A3-A46E-1837BCDEE46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Inlcudes Smart EV and
other new initiatives - till 2023
Starting 2024 - the company has reported this separately</t>
        </r>
      </text>
    </comment>
    <comment ref="B74" authorId="0" shapeId="0" xr:uid="{5AD649B3-DE97-46A5-9A67-39D5E5737B0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Company has reported this segment separately from 2024</t>
        </r>
      </text>
    </comment>
    <comment ref="B75" authorId="0" shapeId="0" xr:uid="{EBC99F48-5459-4B62-BB7F-F621A7C231B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Inlcudes Smart EV and
other new initiatives - till 2023
Starting 2024 - the company has reported this separately</t>
        </r>
      </text>
    </comment>
  </commentList>
</comments>
</file>

<file path=xl/sharedStrings.xml><?xml version="1.0" encoding="utf-8"?>
<sst xmlns="http://schemas.openxmlformats.org/spreadsheetml/2006/main" count="1275" uniqueCount="288">
  <si>
    <t>1Q26</t>
  </si>
  <si>
    <t>Exchange rate as at end 1Q26</t>
  </si>
  <si>
    <t>LTM Average exchange rate 1Q26</t>
  </si>
  <si>
    <t>Debt Breakdown as on 31-Mar-2026</t>
  </si>
  <si>
    <t>RMB millions</t>
  </si>
  <si>
    <t xml:space="preserve">Leverage </t>
  </si>
  <si>
    <t>USD mn</t>
  </si>
  <si>
    <t>Included in non-current liabilities</t>
  </si>
  <si>
    <t>Asset-backed securities</t>
  </si>
  <si>
    <t>Secured borrowings</t>
  </si>
  <si>
    <t>Unsecured borrowings</t>
  </si>
  <si>
    <t>Convertible bonds</t>
  </si>
  <si>
    <t>Included in current liabilities</t>
  </si>
  <si>
    <t>Lease Obligations</t>
  </si>
  <si>
    <t>Short-term</t>
  </si>
  <si>
    <t>Long-term</t>
  </si>
  <si>
    <t>Total Loans &amp; Borrowings</t>
  </si>
  <si>
    <t>Cash and Cash Equivalents</t>
  </si>
  <si>
    <t>Net debt</t>
  </si>
  <si>
    <t>Equity</t>
  </si>
  <si>
    <t xml:space="preserve">Total Capitalisation </t>
  </si>
  <si>
    <t>LTM Adjusted EBITDA</t>
  </si>
  <si>
    <t>check</t>
  </si>
  <si>
    <t>Liquidity at 1Q26</t>
  </si>
  <si>
    <t>Short-term investments measured at amortized cost</t>
  </si>
  <si>
    <t>Short-term investments measured at fair value through profit or loss</t>
  </si>
  <si>
    <t>Term bank deposits</t>
  </si>
  <si>
    <t>Cash and cash equivalents</t>
  </si>
  <si>
    <t>Total liquidity</t>
  </si>
  <si>
    <r>
      <t xml:space="preserve">Debt Maturity </t>
    </r>
    <r>
      <rPr>
        <b/>
        <sz val="10"/>
        <color rgb="FFFF0000"/>
        <rFont val="Calibri"/>
        <family val="2"/>
        <scheme val="minor"/>
      </rPr>
      <t>(from BBG)</t>
    </r>
  </si>
  <si>
    <t>RMB mn</t>
  </si>
  <si>
    <t>2031+</t>
  </si>
  <si>
    <t>Total</t>
  </si>
  <si>
    <t>FY25</t>
  </si>
  <si>
    <t>Exchange rate as at end</t>
  </si>
  <si>
    <t>LTM Average exchange rate</t>
  </si>
  <si>
    <t>Debt Breakdown as on 31-Dec-2025</t>
  </si>
  <si>
    <t>Leverage (RMB)</t>
  </si>
  <si>
    <t>Leverage (USD)</t>
  </si>
  <si>
    <t>Liquidity at FY25</t>
  </si>
  <si>
    <t>2032+</t>
  </si>
  <si>
    <t>3Q25</t>
  </si>
  <si>
    <t>Exchange rate as at end 3Q25</t>
  </si>
  <si>
    <t>LTM Average exchange rate 3Q25</t>
  </si>
  <si>
    <t>Debt Breakdown as on 30-Sep-2025</t>
  </si>
  <si>
    <t>Cash Breakdown as on 30-Sep-2025</t>
  </si>
  <si>
    <t>Short-term Investments and bank deposits</t>
  </si>
  <si>
    <t>Check</t>
  </si>
  <si>
    <t>Liquidity at 3Q25</t>
  </si>
  <si>
    <t>2Q25</t>
  </si>
  <si>
    <t>Exchange rate as at end 2Q25</t>
  </si>
  <si>
    <t>LTM Average exchange rate 2Q25</t>
  </si>
  <si>
    <t>Debt Breakdown as on 30-June-2025</t>
  </si>
  <si>
    <t>Cash Breakdown as on 30-Jun-2025</t>
  </si>
  <si>
    <t>Short-term Investments</t>
  </si>
  <si>
    <t>Liquidity at 2Q25</t>
  </si>
  <si>
    <t>Debt Maturity</t>
  </si>
  <si>
    <t>1Q25</t>
  </si>
  <si>
    <t>Exchange rate as at end 1Q25</t>
  </si>
  <si>
    <t>LTM Average exchange rate 1Q25</t>
  </si>
  <si>
    <t>Debt Breakdown as on 31-Mar-2025</t>
  </si>
  <si>
    <t>Cash Breakdown as on 31-Mar-2025</t>
  </si>
  <si>
    <t>Liquidity at 1Q25</t>
  </si>
  <si>
    <t>FY24</t>
  </si>
  <si>
    <t>Exchange rate as at end FY24</t>
  </si>
  <si>
    <t>LTM Average exchange rate FY24</t>
  </si>
  <si>
    <t>Debt Breakdown as on 31-Dec-2024</t>
  </si>
  <si>
    <t>Cash Breakdown as on 31-Dec-2024</t>
  </si>
  <si>
    <t>Liquidity at FY24</t>
  </si>
  <si>
    <t>2030+</t>
  </si>
  <si>
    <t>3Q24</t>
  </si>
  <si>
    <t>Exchange rate as at end 3Q24</t>
  </si>
  <si>
    <t>LTM Average exchange rate 3Q24</t>
  </si>
  <si>
    <t>Debt Breakdown as on 30-Sep-2024</t>
  </si>
  <si>
    <t>Cash Breakdown as on 30-Sep-2024</t>
  </si>
  <si>
    <t>Liquidity at 3Q24</t>
  </si>
  <si>
    <t>2Q24</t>
  </si>
  <si>
    <t>Exchange rate as at end 2Q24</t>
  </si>
  <si>
    <t>LTM Average exchange rate 2Q24</t>
  </si>
  <si>
    <t>Debt Breakdown as on 30-June-2024</t>
  </si>
  <si>
    <t>Cash Breakdown as on 30-June-2024</t>
  </si>
  <si>
    <t>Liquidity at 2Q24</t>
  </si>
  <si>
    <t>2027+</t>
  </si>
  <si>
    <t>1Q24</t>
  </si>
  <si>
    <t>Exchange rate as at end 1Q24</t>
  </si>
  <si>
    <t>LTM Average exchange rate 1Q24</t>
  </si>
  <si>
    <t>Debt Breakdown as on 31-Mar-2024</t>
  </si>
  <si>
    <t>Cash Breakdown as on 31-Mar-2024</t>
  </si>
  <si>
    <t>Liquidity at 1Q24</t>
  </si>
  <si>
    <t>FY23</t>
  </si>
  <si>
    <t>Exchange rate as at end FY23</t>
  </si>
  <si>
    <t>LTM Average exchange rate FY23</t>
  </si>
  <si>
    <t>Debt Breakdown as on 31-Dec-2023</t>
  </si>
  <si>
    <t>Cash Breakdown as on 31-Dec-2023</t>
  </si>
  <si>
    <t>Liquidity at FY23</t>
  </si>
  <si>
    <t>3Q23</t>
  </si>
  <si>
    <t>Exchange rate as at end 3Q23</t>
  </si>
  <si>
    <t>LTM Average exchange rate 3Q23</t>
  </si>
  <si>
    <t>Debt Breakdown as on 30-Sep-2023</t>
  </si>
  <si>
    <t>Cash Breakdown as on 30-Sep-2023</t>
  </si>
  <si>
    <t>Liquidity at 3Q23</t>
  </si>
  <si>
    <t>2024 and thererafter</t>
  </si>
  <si>
    <t>2Q23</t>
  </si>
  <si>
    <t>Exchange rate as at end 2Q23</t>
  </si>
  <si>
    <t>LTM Average exchange rate 2Q23</t>
  </si>
  <si>
    <t>Debt Breakdown as on 30-Jun-2023</t>
  </si>
  <si>
    <t>Cash Breakdown as on 30-Jun-2023</t>
  </si>
  <si>
    <t>Liquidity at 2Q23</t>
  </si>
  <si>
    <t>1Q23</t>
  </si>
  <si>
    <t>Exchange rate as at end 1Q23</t>
  </si>
  <si>
    <t>LTM Average exchange rate 1Q23</t>
  </si>
  <si>
    <t>Debt Breakdown as on 31-Mar-2023</t>
  </si>
  <si>
    <t>Cash Breakdown as on 31-Mar-2023</t>
  </si>
  <si>
    <t>Liquidity at 1Q23</t>
  </si>
  <si>
    <t>FY22</t>
  </si>
  <si>
    <t>Exchange rate as at end FY22</t>
  </si>
  <si>
    <t>LTM Average exchange rate FY22</t>
  </si>
  <si>
    <t>Debt Breakdown as on 31-Dec-2022</t>
  </si>
  <si>
    <t>Cash Breakdown as on 31-Dec-2022</t>
  </si>
  <si>
    <t>Liquidity at FY22</t>
  </si>
  <si>
    <t>3Q22</t>
  </si>
  <si>
    <t>Exchange rate as at end 3Q22</t>
  </si>
  <si>
    <t>LTM Average exchange rate 3Q22</t>
  </si>
  <si>
    <t>Debt Breakdown as on 30-Sept-2022</t>
  </si>
  <si>
    <t>Cash Breakdown as on 30-Sept-2022</t>
  </si>
  <si>
    <t>Liquidity at 3Q22</t>
  </si>
  <si>
    <t>2Q22</t>
  </si>
  <si>
    <t>Exchange rate as at end 2Q22</t>
  </si>
  <si>
    <t>LTM Average exchange rate 2Q22</t>
  </si>
  <si>
    <t>Debt Breakdown as on 30-Jun-2022</t>
  </si>
  <si>
    <t>Cash Breakdown as on 30-Jun-2022</t>
  </si>
  <si>
    <t>Liquidity at 1Q22</t>
  </si>
  <si>
    <t>FY21</t>
  </si>
  <si>
    <t>Exchange rate as at end FY 2021</t>
  </si>
  <si>
    <t>LTM Average exchange rate FY 2021</t>
  </si>
  <si>
    <t>Debt Breakdown as on 31-Dec-2021</t>
  </si>
  <si>
    <t>Cash Breakdown as on 31-Dec-2021</t>
  </si>
  <si>
    <t>Liquidity at FY21</t>
  </si>
  <si>
    <t>3Q21</t>
  </si>
  <si>
    <t>Exchange rate as at end 3Q 2021</t>
  </si>
  <si>
    <t>LTM Average exchange rate 3Q 2021</t>
  </si>
  <si>
    <t>Debt Breakdown as on 31-Sep-2021</t>
  </si>
  <si>
    <t>Liquidity at 3Q21</t>
  </si>
  <si>
    <t>FY20</t>
  </si>
  <si>
    <t>Exchange rate as at end FY 2020</t>
  </si>
  <si>
    <t>LTM Average exchange rate FY 2020</t>
  </si>
  <si>
    <t>Debt Breakdown as on 31-Dec-2020</t>
  </si>
  <si>
    <t>Fund raised through trusts</t>
  </si>
  <si>
    <t>Debt Maturity Profile at end-FY20</t>
  </si>
  <si>
    <t>2027 and thereafter</t>
  </si>
  <si>
    <t>Total borrowings</t>
  </si>
  <si>
    <t>Liquidity at FY20</t>
  </si>
  <si>
    <t>Xiaomi Corporation</t>
  </si>
  <si>
    <t>Annual</t>
  </si>
  <si>
    <t>LTM</t>
  </si>
  <si>
    <t xml:space="preserve">Quarters </t>
  </si>
  <si>
    <t>(RMB millions)</t>
  </si>
  <si>
    <t>Act</t>
  </si>
  <si>
    <t>FY</t>
  </si>
  <si>
    <t>1Q</t>
  </si>
  <si>
    <t>2Q</t>
  </si>
  <si>
    <t>3Q</t>
  </si>
  <si>
    <t>4Q</t>
  </si>
  <si>
    <t>INCOME STATEMENT</t>
  </si>
  <si>
    <t>Revenue</t>
  </si>
  <si>
    <t xml:space="preserve">% of growth </t>
  </si>
  <si>
    <t>Cost of revenues</t>
  </si>
  <si>
    <t>Gross Profit</t>
  </si>
  <si>
    <t>Gross Profit margin</t>
  </si>
  <si>
    <t>Operating expenses:</t>
  </si>
  <si>
    <t>Selling and marketing expenses</t>
  </si>
  <si>
    <t>Administrative expenses</t>
  </si>
  <si>
    <t>Research and development expenses</t>
  </si>
  <si>
    <t>Fair value changes on investments</t>
  </si>
  <si>
    <t>Share of net profit /(loss) of investments</t>
  </si>
  <si>
    <t>Other operating income/(loss), net</t>
  </si>
  <si>
    <t xml:space="preserve">Operating profit </t>
  </si>
  <si>
    <t>Finance exps</t>
  </si>
  <si>
    <t>Finance income</t>
  </si>
  <si>
    <t xml:space="preserve">Finance (costs)/income, net </t>
  </si>
  <si>
    <t>Profit before tax</t>
  </si>
  <si>
    <t>Current and deferred income tax and social contribution</t>
  </si>
  <si>
    <t>Net profit/loss</t>
  </si>
  <si>
    <t>% margin</t>
  </si>
  <si>
    <t>Non-controlling interest</t>
  </si>
  <si>
    <t>% of sales or stated otherwise</t>
  </si>
  <si>
    <t>Finance exps as% of debt</t>
  </si>
  <si>
    <t>Finance income as% of cash and cash equivalents</t>
  </si>
  <si>
    <t>Tax %  of PBT</t>
  </si>
  <si>
    <t>Working capital /sales</t>
  </si>
  <si>
    <t>Capex/sales</t>
  </si>
  <si>
    <t xml:space="preserve">EBITDA </t>
  </si>
  <si>
    <t>Depreciation, depletion &amp; amortization</t>
  </si>
  <si>
    <t xml:space="preserve">% growth </t>
  </si>
  <si>
    <t>Adjustment</t>
  </si>
  <si>
    <t xml:space="preserve">Adj. EBITDA </t>
  </si>
  <si>
    <t>Capex sales</t>
  </si>
  <si>
    <t xml:space="preserve">WC SALES </t>
  </si>
  <si>
    <t>1H</t>
  </si>
  <si>
    <t>2H</t>
  </si>
  <si>
    <t>CASH FLOW</t>
  </si>
  <si>
    <t>Working Capital</t>
  </si>
  <si>
    <t>Taxes</t>
  </si>
  <si>
    <t>Cash interest paid</t>
  </si>
  <si>
    <t xml:space="preserve">Net cash from operations </t>
  </si>
  <si>
    <t>Net Capex</t>
  </si>
  <si>
    <t>Purchase of intangible assets</t>
  </si>
  <si>
    <t>Disposals/ Acquistion, of subsidiaries, businesses</t>
  </si>
  <si>
    <t xml:space="preserve">Free cash flow </t>
  </si>
  <si>
    <t xml:space="preserve">Other Investing </t>
  </si>
  <si>
    <t>Equity Issuance</t>
  </si>
  <si>
    <t>Dividends</t>
  </si>
  <si>
    <t>Net Change in debt</t>
  </si>
  <si>
    <t>Other financing activities</t>
  </si>
  <si>
    <t>Cash flow after financing activities</t>
  </si>
  <si>
    <t>Balancing figure</t>
  </si>
  <si>
    <t xml:space="preserve">FX </t>
  </si>
  <si>
    <t xml:space="preserve">Net change in cash </t>
  </si>
  <si>
    <t xml:space="preserve">LTM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</si>
  <si>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</si>
  <si>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</si>
  <si>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</si>
  <si>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</si>
  <si>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</si>
  <si>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</si>
  <si>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Inventory</t>
  </si>
  <si>
    <t>Trade accounts receivable</t>
  </si>
  <si>
    <t>Trade accounts payable</t>
  </si>
  <si>
    <t>Net working capital</t>
  </si>
  <si>
    <t>% of revenues</t>
  </si>
  <si>
    <t>Inventory Days</t>
  </si>
  <si>
    <t>Receivable Days</t>
  </si>
  <si>
    <t>Payable Days</t>
  </si>
  <si>
    <t xml:space="preserve">Debt  Breakdown </t>
  </si>
  <si>
    <t>Short-term debt</t>
  </si>
  <si>
    <t>Long-term debt</t>
  </si>
  <si>
    <t>Total Debt</t>
  </si>
  <si>
    <t>Total Lease</t>
  </si>
  <si>
    <t>Debt  Including Lease obligations</t>
  </si>
  <si>
    <t>Total debt</t>
  </si>
  <si>
    <t xml:space="preserve">Net debt </t>
  </si>
  <si>
    <t>Company reported net debt</t>
  </si>
  <si>
    <t>Equity (as reported on balance sheet)</t>
  </si>
  <si>
    <t>Total debt + Equity</t>
  </si>
  <si>
    <t>CREDIT RATIOS</t>
  </si>
  <si>
    <t>Net Leverage excluding lease obligations</t>
  </si>
  <si>
    <t>Gross Leverage  excluding lease obligations</t>
  </si>
  <si>
    <t>Net Leverage including lease obligations</t>
  </si>
  <si>
    <t>Gross Leverage  including lease obligations</t>
  </si>
  <si>
    <t>Company reported net leverage</t>
  </si>
  <si>
    <t>EBITDA - Capex / Interest</t>
  </si>
  <si>
    <t>EBITDA/Interest</t>
  </si>
  <si>
    <t xml:space="preserve">Gearing (Net debt / Equity) </t>
  </si>
  <si>
    <t>Key  Credit Metrics ($ millions)</t>
  </si>
  <si>
    <t xml:space="preserve">Revenues </t>
  </si>
  <si>
    <t>Adj. EBITDA</t>
  </si>
  <si>
    <t>Adj. EBITDA Margin</t>
  </si>
  <si>
    <t>Cash</t>
  </si>
  <si>
    <t>Net Debt</t>
  </si>
  <si>
    <t>Gross Leverage</t>
  </si>
  <si>
    <t xml:space="preserve">Net Leverage </t>
  </si>
  <si>
    <t>Summary Financials</t>
  </si>
  <si>
    <t>($ millions)</t>
  </si>
  <si>
    <t>% growth</t>
  </si>
  <si>
    <t>FX rate average - USD/RMB</t>
  </si>
  <si>
    <t>FX rate  - USD/RMB (as at end of period)</t>
  </si>
  <si>
    <t>LTM - USD/RMB</t>
  </si>
  <si>
    <t>USD to RMB (EOP)</t>
  </si>
  <si>
    <t>Key  Credit Metrics (USD millions where applicable)</t>
  </si>
  <si>
    <t>(USD millions)</t>
  </si>
  <si>
    <t>Revenue by segment</t>
  </si>
  <si>
    <t>Smartphones</t>
  </si>
  <si>
    <t>IoT and lifestyle products</t>
  </si>
  <si>
    <t>Internet services</t>
  </si>
  <si>
    <t>Smart EV and other new initiatives</t>
  </si>
  <si>
    <t>Others</t>
  </si>
  <si>
    <t>Net Revenue</t>
  </si>
  <si>
    <t>Revenue by segment (% Share)</t>
  </si>
  <si>
    <t>Revenue by segment (YoY % Growth)</t>
  </si>
  <si>
    <t>Revenue by geography</t>
  </si>
  <si>
    <t>Mainland China</t>
  </si>
  <si>
    <t>Rest of the world</t>
  </si>
  <si>
    <t>Revenue by geography (% Share)</t>
  </si>
  <si>
    <t>Revenue by geography (YoY % Growth)</t>
  </si>
  <si>
    <t>Cost of revenues by segment</t>
  </si>
  <si>
    <t>Net cost of revenues</t>
  </si>
  <si>
    <t>Gross profit by segment</t>
  </si>
  <si>
    <t>Gross profit margin by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</si>
</sst>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#,##0.0_);\(#,##0.0\)"/>
    <numFmt numFmtId="167" formatCode="#0.0%_);\(#0.0%\)"/>
    <numFmt numFmtId="168" formatCode="#0.00\x"/>
    <numFmt numFmtId="169" formatCode="mmm\ yyyy"/>
    <numFmt numFmtId="170" formatCode="0.0%"/>
    <numFmt numFmtId="171" formatCode="_(* #,##0.0_);_(* \(#,##0.0\);_(* &quot;-&quot;??_);_(@_)"/>
    <numFmt numFmtId="172" formatCode="_(* #,##0.000_);_(* \(#,##0.000\);_(* &quot;-&quot;??_);_(@_)"/>
    <numFmt numFmtId="173" formatCode="_(* #,##0_);_(* \(#,##0\);_(* &quot;-&quot;??_);_(@_)"/>
    <numFmt numFmtId="174" formatCode="#,##0.0\ ;\(#,##0.0\)"/>
    <numFmt numFmtId="175" formatCode="&quot;$&quot;#,##0.00_)&quot;per share&quot;;\(&quot;$&quot;#,##0.00\)&quot; per share&quot;"/>
    <numFmt numFmtId="176" formatCode="0.0_)\%;\(0.0\)\%;0.0_)\%;@_)_%"/>
    <numFmt numFmtId="177" formatCode="#,##0.0_)_%;\(#,##0.0\)_%;0.0_)_%;@_)_%"/>
    <numFmt numFmtId="178" formatCode="#,##0.0_);\(#,##0.0\);#,##0.0_);@_)"/>
    <numFmt numFmtId="179" formatCode="&quot;$&quot;_(#,##0.00_);&quot;$&quot;\(#,##0.00\);&quot;$&quot;_(0.00_);@_)"/>
    <numFmt numFmtId="180" formatCode="&quot;$&quot;_(#,##0.00_);&quot;$&quot;\(#,##0.00\)"/>
    <numFmt numFmtId="181" formatCode="#,##0.00_);\(#,##0.00\);0.00_);@_)"/>
    <numFmt numFmtId="182" formatCode="\€_(#,##0.00_);\€\(#,##0.00\);\€_(0.00_);@_)"/>
    <numFmt numFmtId="183" formatCode="#,##0_)\x;\(#,##0\)\x;0_)\x;@_)_x"/>
    <numFmt numFmtId="184" formatCode="#,##0.0_)\x;\(#,##0.0\)\x"/>
    <numFmt numFmtId="185" formatCode="#,##0_)_x;\(#,##0\)_x;0_)_x;@_)_x"/>
    <numFmt numFmtId="186" formatCode="#,##0.0_)_x;\(#,##0.0\)_x"/>
    <numFmt numFmtId="187" formatCode="0.0_)\%;\(0.0\)\%"/>
    <numFmt numFmtId="188" formatCode="#,##0.0_)_%;\(#,##0.0\)_%"/>
    <numFmt numFmtId="189" formatCode="_(\£* #,##0_);_(\£* \(#,##0\);_(\£* &quot;-&quot;_);_(@_)"/>
    <numFmt numFmtId="190" formatCode="_(\£* #,##0.0_);_(\£* \(#,##0.0\);_(\£* &quot;-&quot;_);_(@_)"/>
    <numFmt numFmtId="191" formatCode="_(\£* #,##0.00_);_(\£* \(#,##0.00\);_(\£* &quot;-&quot;_);_(@_)"/>
    <numFmt numFmtId="192" formatCode="_(* #,##0\p_);_(* \(#,##0\p\);_(* &quot;-&quot;\ \p_);_(@_)"/>
    <numFmt numFmtId="193" formatCode="_(* #,##0.00\p_);_(* \(#,##0.00\p\);_(* &quot;-&quot;\ \p_);_(@_)"/>
    <numFmt numFmtId="194" formatCode="\£#,##0.00"/>
    <numFmt numFmtId="195" formatCode="&quot;$&quot;&quot; &quot;#,##0_);\(&quot;$&quot;&quot; &quot;#,##0\);\-_)"/>
    <numFmt numFmtId="196" formatCode="#,##0_);\(#,##0\);\-_)"/>
    <numFmt numFmtId="197" formatCode="&quot;$&quot;#,##0_);[Red]\(&quot;$&quot;#,##0\);&quot;-&quot;"/>
    <numFmt numFmtId="198" formatCode="[Blue]0.0%;[Blue]\-0.0%"/>
    <numFmt numFmtId="199" formatCode="\£#,##0_);\(\£#,##0\)"/>
    <numFmt numFmtId="200" formatCode="&quot;fl&quot;#,##0_);\(&quot;fl&quot;#,##0\)"/>
    <numFmt numFmtId="201" formatCode="&quot;$&quot;\ #,##0_);\(&quot;$&quot;\ #,##0\)"/>
    <numFmt numFmtId="202" formatCode="_(&quot;R$&quot;* #,##0.00_);_(&quot;R$&quot;* \(#,##0.00\);_(&quot;R$&quot;* &quot;-&quot;??_);_(@_)"/>
    <numFmt numFmtId="203" formatCode="0.0\x;[Red]\(0.0\x\)"/>
    <numFmt numFmtId="204" formatCode="#,##0.0_);\(#,##0.0\);&quot;—&quot;_)"/>
    <numFmt numFmtId="205" formatCode="&quot;$&quot;#,##0.0_);\(&quot;$&quot;#,##0.0\);&quot;—&quot;_)"/>
    <numFmt numFmtId="206" formatCode="0.000000000%"/>
    <numFmt numFmtId="207" formatCode="#,##0.0000"/>
    <numFmt numFmtId="208" formatCode="mm/dd/yy"/>
    <numFmt numFmtId="209" formatCode="&quot;$&quot;#,##0.00"/>
    <numFmt numFmtId="210" formatCode="_([$€-2]* #,##0.00_);_([$€-2]* \(#,##0.00\);_([$€-2]* &quot;-&quot;??_)"/>
    <numFmt numFmtId="211" formatCode="#&quot; mon&quot;"/>
    <numFmt numFmtId="212" formatCode="#,##0\ &quot;F&quot;;[Red]\-#,##0\ &quot;F&quot;"/>
    <numFmt numFmtId="213" formatCode="#,##0.00\ &quot;F&quot;;[Red]\-#,##0.00\ &quot;F&quot;"/>
    <numFmt numFmtId="214" formatCode="#,##0.0\x_)_);\(#,##0.0\x\)_);#,##0.0\x_)_);@_%_)"/>
    <numFmt numFmtId="215" formatCode="_(* #,##0.00\ ___);_(* \(#,##0.00\ __\);_(* &quot;-&quot;??_);_(@_)"/>
    <numFmt numFmtId="216" formatCode="0%\);[Red]\(0%"/>
    <numFmt numFmtId="217" formatCode="_(* #,##0\ ___);_(* \(#,##0\ __\);_(* &quot;-&quot;??_);_(@_)"/>
    <numFmt numFmtId="218" formatCode="_(* #,##0\ \x_);_(* \(#,##0\ \x\);_(* &quot;-&quot;??_);_(@_)"/>
    <numFmt numFmtId="219" formatCode="0%_);[Red]\(0%\)"/>
    <numFmt numFmtId="220" formatCode="_(* #,##0.0\ ___);_(* \(#,##0.0\ __\);_(* &quot;-&quot;??_);_(@_)"/>
    <numFmt numFmtId="221" formatCode="_(* #,##0.0\ \x_);_(* \(#,##0.0\ \x\);_(* &quot;-&quot;??_);_(@_)"/>
    <numFmt numFmtId="222" formatCode="#,##0&quot; F&quot;_);\(#,##0&quot; F&quot;\)"/>
    <numFmt numFmtId="223" formatCode="_(* #,##0.00_);_(* \(\ #,##0.00\ \);_(* &quot;&quot;??_);_(\ @_ \)"/>
    <numFmt numFmtId="224" formatCode="0.00_)"/>
    <numFmt numFmtId="225" formatCode="_(* #,##0.0_);_(* \(#,##0.0\);_(* &quot;-&quot;?_);_(@_)"/>
    <numFmt numFmtId="226" formatCode="0.00%\ &quot;Ramped&quot;\ "/>
    <numFmt numFmtId="227" formatCode="0.00%\ &quot;Ramped&quot;"/>
    <numFmt numFmtId="228" formatCode="0.0000"/>
    <numFmt numFmtId="229" formatCode="0.000"/>
    <numFmt numFmtId="230" formatCode="&quot;Diversity =&quot;\ #.0"/>
    <numFmt numFmtId="231" formatCode="&quot;Ratings Factor =&quot;\ #"/>
    <numFmt numFmtId="232" formatCode="&quot;Page &quot;0"/>
    <numFmt numFmtId="233" formatCode="&quot;\&quot;#,##0.00;[Red]\-&quot;\&quot;#,##0.00"/>
    <numFmt numFmtId="234" formatCode="0.0_%"/>
    <numFmt numFmtId="235" formatCode="_(0.0%;_(* \(0.0\)%"/>
    <numFmt numFmtId="236" formatCode="_(* #,##0.0000_);_(* \(#,##0.0000\);_(* &quot;-&quot;??_);_(@_)"/>
    <numFmt numFmtId="237" formatCode="0&quot; bps&quot;"/>
    <numFmt numFmtId="238" formatCode="&quot;WAS =&quot;\ #.00"/>
    <numFmt numFmtId="239" formatCode="&quot;Avg. Px.=&quot;#.00"/>
    <numFmt numFmtId="240" formatCode="&quot;WAL=&quot;#.00"/>
    <numFmt numFmtId="241" formatCode="#.00\ &quot;years&quot;"/>
    <numFmt numFmtId="242" formatCode="&quot;2nd Lien=&quot;#"/>
    <numFmt numFmtId="243" formatCode="&quot;WAPP=&quot;#.00"/>
    <numFmt numFmtId="244" formatCode="&quot;WAS=&quot;#.00"/>
    <numFmt numFmtId="245" formatCode="&quot;WAC=&quot;#.00"/>
    <numFmt numFmtId="246" formatCode="&quot;$&quot;#,##0.0_);\(&quot;$&quot;#,##0.0\)"/>
    <numFmt numFmtId="247" formatCode="#,###,;\(#,###,\)"/>
    <numFmt numFmtId="248" formatCode="000\-00\-0000"/>
    <numFmt numFmtId="249" formatCode="&quot;$&quot;#,##0.0000"/>
    <numFmt numFmtId="250" formatCode="&quot;$&quot;#,##0.000000"/>
    <numFmt numFmtId="251" formatCode="&quot;$&quot;#,##0.000"/>
    <numFmt numFmtId="252" formatCode="000000000"/>
    <numFmt numFmtId="253" formatCode="000"/>
    <numFmt numFmtId="254" formatCode="hh:mm\ AM/PM_)"/>
    <numFmt numFmtId="255" formatCode="#.0&quot;x&quot;"/>
    <numFmt numFmtId="256" formatCode="yyyy"/>
    <numFmt numFmtId="257" formatCode="\¥#,##0_);\(\¥#,##0\)"/>
    <numFmt numFmtId="258" formatCode="#0.0\x"/>
    <numFmt numFmtId="259" formatCode="0.0\x"/>
    <numFmt numFmtId="260" formatCode="0.0"/>
    <numFmt numFmtId="261" formatCode="#,##0.000_);\(#,##0.000\)"/>
    <numFmt numFmtId="262" formatCode="#,##0.0"/>
    <numFmt numFmtId="263" formatCode="_ * #,##0.0_ ;_ * \-#,##0.0_ ;_ * &quot;-&quot;??_ ;_ @_ "/>
    <numFmt numFmtId="264" formatCode="_ * #,##0_ ;_ * \-#,##0_ ;_ * &quot;-&quot;??_ ;_ @_ "/>
    <numFmt numFmtId="265" formatCode="#,##0.000"/>
  </numFmts>
  <fonts count="13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imes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imes"/>
      <family val="1"/>
    </font>
    <font>
      <sz val="8"/>
      <name val="Helv"/>
    </font>
    <font>
      <sz val="12"/>
      <name val="Times"/>
      <family val="1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imes"/>
      <family val="1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b/>
      <sz val="11"/>
      <color indexed="9"/>
      <name val="Calibri"/>
      <family val="2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6"/>
      <name val="Calibri"/>
      <family val="2"/>
      <scheme val="minor"/>
    </font>
    <font>
      <b/>
      <sz val="9"/>
      <color indexed="81"/>
      <name val="Tahoma"/>
      <family val="2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26">
    <xf numFmtId="0" fontId="0" fillId="0" borderId="0"/>
    <xf numFmtId="174" fontId="29" fillId="0" borderId="0"/>
    <xf numFmtId="0" fontId="30" fillId="0" borderId="0">
      <alignment horizontal="right"/>
    </xf>
    <xf numFmtId="0" fontId="9" fillId="0" borderId="0"/>
    <xf numFmtId="175" fontId="25" fillId="0" borderId="0" applyFont="0" applyFill="0" applyBorder="0" applyAlignment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9" fillId="0" borderId="0" applyNumberFormat="0" applyFill="0" applyBorder="0" applyAlignment="0" applyProtection="0">
      <alignment horizontal="left" wrapText="1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vertical="top"/>
    </xf>
    <xf numFmtId="0" fontId="9" fillId="0" borderId="0" applyNumberFormat="0" applyFill="0" applyBorder="0" applyAlignment="0" applyProtection="0">
      <alignment horizontal="left" wrapText="1"/>
    </xf>
    <xf numFmtId="0" fontId="9" fillId="0" borderId="0">
      <alignment vertical="top"/>
    </xf>
    <xf numFmtId="17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39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" fillId="2" borderId="0" applyNumberFormat="0" applyFont="0" applyAlignment="0" applyProtection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 applyFont="0" applyFill="0" applyBorder="0" applyProtection="0">
      <alignment horizontal="right"/>
    </xf>
    <xf numFmtId="186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32" fillId="0" borderId="0" applyNumberFormat="0" applyFill="0" applyBorder="0" applyProtection="0">
      <alignment vertical="top"/>
    </xf>
    <xf numFmtId="0" fontId="32" fillId="0" borderId="0" applyNumberFormat="0" applyFill="0" applyBorder="0" applyProtection="0">
      <alignment vertical="top"/>
    </xf>
    <xf numFmtId="0" fontId="33" fillId="0" borderId="1" applyNumberFormat="0" applyFill="0" applyAlignment="0" applyProtection="0"/>
    <xf numFmtId="0" fontId="34" fillId="0" borderId="2" applyNumberFormat="0" applyFill="0" applyProtection="0">
      <alignment horizontal="center"/>
    </xf>
    <xf numFmtId="0" fontId="34" fillId="0" borderId="0" applyNumberFormat="0" applyFill="0" applyBorder="0" applyProtection="0">
      <alignment horizontal="left"/>
    </xf>
    <xf numFmtId="0" fontId="35" fillId="0" borderId="0" applyNumberFormat="0" applyFill="0" applyBorder="0" applyProtection="0">
      <alignment horizontal="centerContinuous"/>
    </xf>
    <xf numFmtId="189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1" fontId="36" fillId="0" borderId="0" applyFont="0" applyFill="0" applyBorder="0" applyAlignment="0" applyProtection="0"/>
    <xf numFmtId="192" fontId="36" fillId="0" borderId="0" applyFont="0" applyFill="0" applyBorder="0" applyAlignment="0" applyProtection="0"/>
    <xf numFmtId="193" fontId="36" fillId="0" borderId="0" applyFont="0" applyFill="0" applyBorder="0" applyAlignment="0" applyProtection="0"/>
    <xf numFmtId="194" fontId="37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38" fillId="0" borderId="0" applyNumberFormat="0" applyFont="0" applyFill="0" applyBorder="0" applyProtection="0">
      <alignment horizontal="centerContinuous"/>
    </xf>
    <xf numFmtId="0" fontId="6" fillId="0" borderId="0" applyNumberFormat="0" applyFill="0" applyBorder="0" applyAlignment="0">
      <protection locked="0"/>
    </xf>
    <xf numFmtId="0" fontId="39" fillId="0" borderId="0"/>
    <xf numFmtId="0" fontId="40" fillId="0" borderId="0"/>
    <xf numFmtId="0" fontId="30" fillId="0" borderId="0">
      <alignment horizontal="center" wrapText="1"/>
      <protection locked="0"/>
    </xf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5" fillId="3" borderId="0" applyNumberFormat="0" applyBorder="0" applyAlignment="0">
      <protection locked="0"/>
    </xf>
    <xf numFmtId="195" fontId="25" fillId="0" borderId="0" applyFont="0" applyFill="0" applyBorder="0" applyAlignment="0" applyProtection="0"/>
    <xf numFmtId="196" fontId="42" fillId="0" borderId="0" applyFont="0" applyFill="0" applyBorder="0" applyAlignment="0" applyProtection="0"/>
    <xf numFmtId="197" fontId="25" fillId="0" borderId="0" applyFont="0" applyFill="0" applyBorder="0" applyAlignment="0" applyProtection="0"/>
    <xf numFmtId="0" fontId="107" fillId="25" borderId="0"/>
    <xf numFmtId="0" fontId="43" fillId="0" borderId="0" applyNumberFormat="0" applyFill="0" applyBorder="0" applyAlignment="0" applyProtection="0"/>
    <xf numFmtId="198" fontId="44" fillId="0" borderId="0"/>
    <xf numFmtId="0" fontId="45" fillId="0" borderId="0" applyNumberFormat="0" applyFill="0" applyBorder="0" applyAlignment="0" applyProtection="0"/>
    <xf numFmtId="0" fontId="8" fillId="0" borderId="0"/>
    <xf numFmtId="0" fontId="46" fillId="0" borderId="0"/>
    <xf numFmtId="0" fontId="38" fillId="0" borderId="3" applyNumberFormat="0" applyFont="0" applyFill="0" applyAlignment="0" applyProtection="0"/>
    <xf numFmtId="0" fontId="47" fillId="0" borderId="4" applyFill="0" applyProtection="0">
      <alignment horizontal="right"/>
    </xf>
    <xf numFmtId="199" fontId="2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8" fillId="0" borderId="0"/>
    <xf numFmtId="0" fontId="29" fillId="0" borderId="0" applyFill="0" applyBorder="0" applyAlignment="0"/>
    <xf numFmtId="0" fontId="29" fillId="0" borderId="0" applyFill="0" applyBorder="0" applyAlignment="0"/>
    <xf numFmtId="200" fontId="29" fillId="0" borderId="0" applyFill="0" applyBorder="0" applyAlignment="0"/>
    <xf numFmtId="201" fontId="29" fillId="0" borderId="0" applyFill="0" applyBorder="0" applyAlignment="0"/>
    <xf numFmtId="202" fontId="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39" fontId="30" fillId="4" borderId="0" applyNumberFormat="0" applyFont="0" applyBorder="0" applyAlignment="0"/>
    <xf numFmtId="0" fontId="49" fillId="0" borderId="0"/>
    <xf numFmtId="0" fontId="38" fillId="0" borderId="0" applyNumberFormat="0" applyFont="0" applyFill="0" applyBorder="0" applyProtection="0">
      <alignment horizontal="center"/>
    </xf>
    <xf numFmtId="49" fontId="23" fillId="0" borderId="0" applyFill="0" applyBorder="0" applyProtection="0">
      <alignment horizontal="center"/>
    </xf>
    <xf numFmtId="49" fontId="50" fillId="0" borderId="0" applyFill="0" applyBorder="0" applyProtection="0">
      <alignment horizontal="center"/>
    </xf>
    <xf numFmtId="8" fontId="9" fillId="0" borderId="5" applyFont="0" applyFill="0" applyBorder="0" applyProtection="0">
      <alignment horizontal="right"/>
    </xf>
    <xf numFmtId="0" fontId="7" fillId="0" borderId="0"/>
    <xf numFmtId="0" fontId="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2" fillId="0" borderId="3" applyNumberFormat="0" applyFill="0" applyBorder="0" applyAlignment="0" applyProtection="0">
      <alignment horizontal="center"/>
    </xf>
    <xf numFmtId="0" fontId="11" fillId="5" borderId="0"/>
    <xf numFmtId="203" fontId="9" fillId="0" borderId="0"/>
    <xf numFmtId="203" fontId="9" fillId="0" borderId="0"/>
    <xf numFmtId="203" fontId="9" fillId="0" borderId="0"/>
    <xf numFmtId="203" fontId="9" fillId="0" borderId="0"/>
    <xf numFmtId="203" fontId="9" fillId="0" borderId="0"/>
    <xf numFmtId="203" fontId="9" fillId="0" borderId="0"/>
    <xf numFmtId="203" fontId="9" fillId="0" borderId="0"/>
    <xf numFmtId="203" fontId="9" fillId="0" borderId="0"/>
    <xf numFmtId="204" fontId="53" fillId="0" borderId="0"/>
    <xf numFmtId="0" fontId="29" fillId="0" borderId="0" applyFont="0" applyFill="0" applyBorder="0" applyAlignment="0" applyProtection="0"/>
    <xf numFmtId="171" fontId="54" fillId="0" borderId="0" applyFont="0" applyFill="0" applyBorder="0" applyAlignment="0" applyProtection="0"/>
    <xf numFmtId="40" fontId="9" fillId="0" borderId="0" applyFont="0" applyFill="0" applyBorder="0" applyProtection="0">
      <alignment horizontal="right"/>
    </xf>
    <xf numFmtId="3" fontId="9" fillId="0" borderId="0" applyFill="0" applyBorder="0" applyAlignment="0" applyProtection="0"/>
    <xf numFmtId="3" fontId="5" fillId="0" borderId="0" applyFont="0" applyFill="0" applyBorder="0" applyAlignment="0" applyProtection="0"/>
    <xf numFmtId="3" fontId="23" fillId="0" borderId="0" applyFill="0" applyBorder="0" applyAlignment="0" applyProtection="0"/>
    <xf numFmtId="38" fontId="55" fillId="0" borderId="0" applyNumberFormat="0" applyFill="0" applyBorder="0">
      <alignment vertical="center"/>
    </xf>
    <xf numFmtId="0" fontId="56" fillId="0" borderId="0" applyNumberFormat="0" applyAlignment="0">
      <alignment horizontal="left"/>
    </xf>
    <xf numFmtId="7" fontId="9" fillId="0" borderId="0" applyFont="0" applyFill="0" applyBorder="0" applyAlignment="0" applyProtection="0"/>
    <xf numFmtId="205" fontId="53" fillId="0" borderId="0"/>
    <xf numFmtId="0" fontId="29" fillId="0" borderId="0" applyFont="0" applyFill="0" applyBorder="0" applyAlignment="0" applyProtection="0"/>
    <xf numFmtId="206" fontId="25" fillId="0" borderId="0" applyFont="0" applyFill="0" applyBorder="0" applyAlignment="0" applyProtection="0"/>
    <xf numFmtId="8" fontId="38" fillId="0" borderId="0" applyBorder="0"/>
    <xf numFmtId="207" fontId="9" fillId="0" borderId="0" applyNumberFormat="0">
      <alignment horizontal="right"/>
    </xf>
    <xf numFmtId="15" fontId="9" fillId="0" borderId="0" applyFont="0" applyFill="0" applyBorder="0" applyProtection="0">
      <alignment horizontal="right"/>
    </xf>
    <xf numFmtId="14" fontId="7" fillId="0" borderId="0" applyFill="0" applyBorder="0" applyAlignment="0"/>
    <xf numFmtId="15" fontId="9" fillId="0" borderId="0" applyFont="0" applyFill="0" applyBorder="0" applyProtection="0">
      <alignment horizontal="right"/>
    </xf>
    <xf numFmtId="208" fontId="23" fillId="0" borderId="0" applyFill="0" applyBorder="0" applyProtection="0">
      <alignment horizontal="left"/>
    </xf>
    <xf numFmtId="0" fontId="9" fillId="0" borderId="0">
      <alignment horizontal="left"/>
    </xf>
    <xf numFmtId="38" fontId="57" fillId="0" borderId="6">
      <alignment vertical="center"/>
    </xf>
    <xf numFmtId="209" fontId="37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7" applyNumberFormat="0" applyFont="0" applyFill="0" applyAlignment="0" applyProtection="0"/>
    <xf numFmtId="42" fontId="59" fillId="0" borderId="0" applyFill="0" applyBorder="0" applyAlignment="0" applyProtection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60" fillId="0" borderId="0" applyNumberFormat="0" applyAlignment="0">
      <alignment horizontal="left"/>
    </xf>
    <xf numFmtId="210" fontId="9" fillId="0" borderId="0" applyFont="0" applyFill="0" applyBorder="0" applyAlignment="0" applyProtection="0"/>
    <xf numFmtId="170" fontId="38" fillId="0" borderId="0" applyNumberFormat="0" applyFont="0" applyAlignment="0">
      <alignment vertical="center"/>
    </xf>
    <xf numFmtId="0" fontId="61" fillId="0" borderId="0">
      <alignment horizontal="center"/>
    </xf>
    <xf numFmtId="0" fontId="62" fillId="0" borderId="0" applyNumberFormat="0" applyFill="0" applyBorder="0" applyAlignment="0" applyProtection="0"/>
    <xf numFmtId="38" fontId="5" fillId="6" borderId="0" applyNumberFormat="0" applyBorder="0" applyAlignment="0" applyProtection="0"/>
    <xf numFmtId="0" fontId="8" fillId="7" borderId="8" applyAlignment="0" applyProtection="0"/>
    <xf numFmtId="0" fontId="63" fillId="0" borderId="3" applyFill="0" applyProtection="0">
      <alignment horizontal="centerContinuous"/>
    </xf>
    <xf numFmtId="41" fontId="64" fillId="0" borderId="0">
      <alignment horizontal="center"/>
    </xf>
    <xf numFmtId="0" fontId="9" fillId="0" borderId="0">
      <alignment horizontal="center"/>
    </xf>
    <xf numFmtId="0" fontId="9" fillId="0" borderId="0">
      <alignment horizontal="left"/>
    </xf>
    <xf numFmtId="0" fontId="9" fillId="0" borderId="0">
      <alignment horizontal="right"/>
    </xf>
    <xf numFmtId="0" fontId="65" fillId="8" borderId="0"/>
    <xf numFmtId="0" fontId="66" fillId="0" borderId="0">
      <alignment horizontal="center" vertical="center"/>
    </xf>
    <xf numFmtId="0" fontId="67" fillId="0" borderId="9" applyNumberFormat="0" applyAlignment="0" applyProtection="0">
      <alignment horizontal="left" vertical="center"/>
    </xf>
    <xf numFmtId="0" fontId="67" fillId="0" borderId="8">
      <alignment horizontal="left" vertical="center"/>
    </xf>
    <xf numFmtId="0" fontId="68" fillId="0" borderId="0">
      <alignment horizontal="center"/>
    </xf>
    <xf numFmtId="0" fontId="69" fillId="0" borderId="0" applyFill="0" applyBorder="0" applyProtection="0">
      <alignment horizontal="right"/>
    </xf>
    <xf numFmtId="0" fontId="70" fillId="0" borderId="10">
      <alignment horizontal="center"/>
    </xf>
    <xf numFmtId="0" fontId="70" fillId="0" borderId="0">
      <alignment horizontal="center"/>
    </xf>
    <xf numFmtId="10" fontId="43" fillId="0" borderId="0" applyNumberFormat="0" applyFill="0" applyBorder="0" applyAlignment="0" applyProtection="0">
      <alignment horizontal="right"/>
    </xf>
    <xf numFmtId="10" fontId="5" fillId="9" borderId="11" applyNumberFormat="0" applyBorder="0" applyAlignment="0" applyProtection="0"/>
    <xf numFmtId="0" fontId="12" fillId="0" borderId="0"/>
    <xf numFmtId="0" fontId="71" fillId="0" borderId="0"/>
    <xf numFmtId="0" fontId="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9" fontId="5" fillId="0" borderId="0" applyFont="0" applyFill="0" applyBorder="0" applyProtection="0">
      <alignment horizontal="left"/>
    </xf>
    <xf numFmtId="49" fontId="23" fillId="0" borderId="0" applyFill="0" applyBorder="0" applyProtection="0">
      <alignment horizontal="left"/>
    </xf>
    <xf numFmtId="49" fontId="23" fillId="0" borderId="3" applyFill="0" applyProtection="0">
      <alignment horizontal="left"/>
    </xf>
    <xf numFmtId="49" fontId="23" fillId="0" borderId="12" applyFill="0" applyProtection="0">
      <alignment horizontal="left"/>
    </xf>
    <xf numFmtId="0" fontId="72" fillId="0" borderId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166" fontId="9" fillId="0" borderId="0" applyNumberFormat="0" applyFont="0" applyFill="0" applyBorder="0" applyAlignment="0"/>
    <xf numFmtId="17" fontId="25" fillId="0" borderId="0"/>
    <xf numFmtId="0" fontId="30" fillId="0" borderId="0" applyNumberFormat="0" applyFill="0" applyBorder="0" applyProtection="0"/>
    <xf numFmtId="0" fontId="25" fillId="0" borderId="0" applyNumberFormat="0" applyFill="0" applyBorder="0" applyProtection="0"/>
    <xf numFmtId="38" fontId="73" fillId="0" borderId="0" applyNumberFormat="0" applyFill="0" applyBorder="0">
      <alignment horizontal="left" vertical="center"/>
    </xf>
    <xf numFmtId="165" fontId="9" fillId="0" borderId="0" applyFont="0" applyFill="0" applyBorder="0" applyAlignment="0" applyProtection="0"/>
    <xf numFmtId="38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170" fontId="75" fillId="0" borderId="0" applyFill="0" applyBorder="0">
      <alignment vertical="center"/>
    </xf>
    <xf numFmtId="211" fontId="30" fillId="0" borderId="0">
      <alignment horizontal="center"/>
    </xf>
    <xf numFmtId="212" fontId="74" fillId="0" borderId="0" applyFont="0" applyFill="0" applyBorder="0" applyAlignment="0" applyProtection="0"/>
    <xf numFmtId="213" fontId="74" fillId="0" borderId="0" applyFont="0" applyFill="0" applyBorder="0" applyAlignment="0" applyProtection="0"/>
    <xf numFmtId="7" fontId="9" fillId="0" borderId="0"/>
    <xf numFmtId="214" fontId="76" fillId="0" borderId="0" applyFont="0" applyFill="0" applyBorder="0" applyProtection="0">
      <alignment horizontal="right"/>
    </xf>
    <xf numFmtId="215" fontId="58" fillId="0" borderId="0" applyFont="0" applyFill="0" applyBorder="0" applyAlignment="0" applyProtection="0"/>
    <xf numFmtId="216" fontId="25" fillId="0" borderId="0" applyFont="0" applyFill="0" applyBorder="0" applyAlignment="0" applyProtection="0"/>
    <xf numFmtId="217" fontId="58" fillId="0" borderId="0" applyFont="0" applyFill="0" applyBorder="0" applyAlignment="0" applyProtection="0"/>
    <xf numFmtId="218" fontId="30" fillId="0" borderId="0" applyFont="0" applyFill="0" applyBorder="0" applyAlignment="0" applyProtection="0"/>
    <xf numFmtId="219" fontId="25" fillId="0" borderId="0" applyFont="0" applyFill="0" applyBorder="0" applyAlignment="0" applyProtection="0"/>
    <xf numFmtId="220" fontId="58" fillId="0" borderId="0" applyFont="0" applyFill="0" applyBorder="0" applyAlignment="0" applyProtection="0"/>
    <xf numFmtId="221" fontId="58" fillId="0" borderId="0" applyFont="0" applyFill="0" applyBorder="0" applyAlignment="0" applyProtection="0"/>
    <xf numFmtId="222" fontId="25" fillId="0" borderId="0" applyFont="0" applyFill="0" applyBorder="0" applyAlignment="0" applyProtection="0"/>
    <xf numFmtId="223" fontId="9" fillId="0" borderId="0"/>
    <xf numFmtId="0" fontId="13" fillId="10" borderId="0"/>
    <xf numFmtId="0" fontId="14" fillId="11" borderId="0"/>
    <xf numFmtId="0" fontId="15" fillId="0" borderId="0"/>
    <xf numFmtId="224" fontId="77" fillId="0" borderId="0"/>
    <xf numFmtId="0" fontId="9" fillId="0" borderId="0"/>
    <xf numFmtId="0" fontId="9" fillId="0" borderId="0"/>
    <xf numFmtId="0" fontId="78" fillId="0" borderId="0">
      <alignment horizontal="center"/>
    </xf>
    <xf numFmtId="0" fontId="26" fillId="0" borderId="0">
      <alignment horizontal="center" vertical="center"/>
    </xf>
    <xf numFmtId="0" fontId="25" fillId="0" borderId="13"/>
    <xf numFmtId="0" fontId="25" fillId="0" borderId="14"/>
    <xf numFmtId="49" fontId="25" fillId="0" borderId="14">
      <alignment horizontal="left"/>
    </xf>
    <xf numFmtId="0" fontId="25" fillId="0" borderId="15"/>
    <xf numFmtId="0" fontId="25" fillId="0" borderId="3"/>
    <xf numFmtId="0" fontId="25" fillId="0" borderId="16"/>
    <xf numFmtId="0" fontId="25" fillId="6" borderId="17"/>
    <xf numFmtId="0" fontId="26" fillId="6" borderId="12">
      <alignment horizontal="left"/>
    </xf>
    <xf numFmtId="0" fontId="26" fillId="6" borderId="18">
      <alignment horizontal="left"/>
    </xf>
    <xf numFmtId="0" fontId="25" fillId="6" borderId="12"/>
    <xf numFmtId="0" fontId="25" fillId="0" borderId="0">
      <alignment horizontal="left"/>
    </xf>
    <xf numFmtId="0" fontId="26" fillId="6" borderId="12">
      <alignment horizontal="left"/>
    </xf>
    <xf numFmtId="0" fontId="42" fillId="6" borderId="12">
      <alignment horizontal="left"/>
    </xf>
    <xf numFmtId="0" fontId="25" fillId="6" borderId="18"/>
    <xf numFmtId="0" fontId="25" fillId="0" borderId="13">
      <alignment horizontal="left"/>
    </xf>
    <xf numFmtId="0" fontId="25" fillId="0" borderId="0">
      <alignment horizontal="left"/>
    </xf>
    <xf numFmtId="0" fontId="25" fillId="0" borderId="14">
      <alignment horizontal="center"/>
    </xf>
    <xf numFmtId="0" fontId="25" fillId="0" borderId="0">
      <alignment horizontal="left"/>
    </xf>
    <xf numFmtId="0" fontId="26" fillId="6" borderId="17">
      <alignment horizontal="left"/>
    </xf>
    <xf numFmtId="0" fontId="25" fillId="0" borderId="13">
      <alignment horizontal="left"/>
    </xf>
    <xf numFmtId="0" fontId="25" fillId="0" borderId="13">
      <alignment horizontal="right"/>
    </xf>
    <xf numFmtId="173" fontId="26" fillId="0" borderId="0"/>
    <xf numFmtId="0" fontId="25" fillId="0" borderId="13"/>
    <xf numFmtId="170" fontId="25" fillId="0" borderId="14"/>
    <xf numFmtId="0" fontId="25" fillId="0" borderId="13"/>
    <xf numFmtId="0" fontId="25" fillId="0" borderId="13">
      <alignment horizontal="left"/>
    </xf>
    <xf numFmtId="0" fontId="26" fillId="6" borderId="17"/>
    <xf numFmtId="0" fontId="79" fillId="6" borderId="13">
      <alignment horizontal="left"/>
    </xf>
    <xf numFmtId="0" fontId="25" fillId="6" borderId="14"/>
    <xf numFmtId="0" fontId="26" fillId="6" borderId="13">
      <alignment horizontal="left"/>
    </xf>
    <xf numFmtId="0" fontId="25" fillId="0" borderId="13">
      <alignment horizontal="left"/>
    </xf>
    <xf numFmtId="0" fontId="25" fillId="0" borderId="13">
      <alignment horizontal="left"/>
    </xf>
    <xf numFmtId="14" fontId="78" fillId="0" borderId="0">
      <alignment horizontal="center"/>
    </xf>
    <xf numFmtId="49" fontId="80" fillId="0" borderId="13">
      <alignment horizontal="left"/>
    </xf>
    <xf numFmtId="0" fontId="80" fillId="0" borderId="13"/>
    <xf numFmtId="0" fontId="26" fillId="6" borderId="13">
      <alignment horizontal="left"/>
    </xf>
    <xf numFmtId="0" fontId="26" fillId="6" borderId="13"/>
    <xf numFmtId="49" fontId="25" fillId="0" borderId="14">
      <alignment horizontal="left"/>
    </xf>
    <xf numFmtId="0" fontId="78" fillId="0" borderId="13"/>
    <xf numFmtId="0" fontId="78" fillId="0" borderId="0">
      <alignment horizontal="center"/>
    </xf>
    <xf numFmtId="14" fontId="78" fillId="0" borderId="0">
      <alignment horizontal="center"/>
    </xf>
    <xf numFmtId="0" fontId="78" fillId="0" borderId="15"/>
    <xf numFmtId="0" fontId="25" fillId="0" borderId="3">
      <alignment horizontal="center"/>
    </xf>
    <xf numFmtId="0" fontId="25" fillId="0" borderId="0"/>
    <xf numFmtId="0" fontId="78" fillId="0" borderId="3">
      <alignment horizontal="center"/>
    </xf>
    <xf numFmtId="14" fontId="78" fillId="0" borderId="3">
      <alignment horizontal="center"/>
    </xf>
    <xf numFmtId="0" fontId="26" fillId="0" borderId="0">
      <alignment horizontal="left" vertical="center" wrapText="1"/>
    </xf>
    <xf numFmtId="0" fontId="26" fillId="6" borderId="9">
      <alignment horizontal="left" wrapText="1"/>
    </xf>
    <xf numFmtId="0" fontId="26" fillId="0" borderId="0">
      <alignment horizontal="right" vertical="center"/>
    </xf>
    <xf numFmtId="173" fontId="26" fillId="0" borderId="0">
      <alignment horizontal="right"/>
    </xf>
    <xf numFmtId="14" fontId="81" fillId="0" borderId="0">
      <alignment horizontal="center"/>
    </xf>
    <xf numFmtId="0" fontId="26" fillId="6" borderId="19">
      <alignment horizontal="center" wrapText="1"/>
    </xf>
    <xf numFmtId="0" fontId="58" fillId="0" borderId="0">
      <alignment horizontal="center" vertical="center"/>
    </xf>
    <xf numFmtId="1" fontId="82" fillId="0" borderId="0">
      <alignment horizontal="center" wrapText="1"/>
    </xf>
    <xf numFmtId="0" fontId="26" fillId="6" borderId="9">
      <alignment horizontal="center" wrapText="1"/>
    </xf>
    <xf numFmtId="0" fontId="82" fillId="6" borderId="20">
      <alignment horizontal="center" wrapText="1"/>
    </xf>
    <xf numFmtId="0" fontId="82" fillId="6" borderId="19">
      <alignment horizontal="left" wrapText="1"/>
    </xf>
    <xf numFmtId="0" fontId="25" fillId="0" borderId="14">
      <alignment horizontal="left"/>
    </xf>
    <xf numFmtId="0" fontId="58" fillId="0" borderId="0">
      <alignment horizontal="center"/>
    </xf>
    <xf numFmtId="2" fontId="58" fillId="12" borderId="0">
      <alignment horizontal="center"/>
    </xf>
    <xf numFmtId="0" fontId="25" fillId="0" borderId="0">
      <alignment horizontal="left" vertical="top"/>
    </xf>
    <xf numFmtId="16" fontId="25" fillId="0" borderId="0"/>
    <xf numFmtId="0" fontId="25" fillId="12" borderId="0"/>
    <xf numFmtId="14" fontId="25" fillId="0" borderId="0">
      <alignment horizontal="center"/>
    </xf>
    <xf numFmtId="2" fontId="58" fillId="0" borderId="12">
      <alignment horizontal="center" vertical="center"/>
    </xf>
    <xf numFmtId="0" fontId="26" fillId="6" borderId="0">
      <alignment horizontal="center"/>
    </xf>
    <xf numFmtId="2" fontId="58" fillId="0" borderId="0">
      <alignment horizontal="center"/>
    </xf>
    <xf numFmtId="2" fontId="58" fillId="0" borderId="0">
      <alignment horizontal="center"/>
    </xf>
    <xf numFmtId="0" fontId="25" fillId="0" borderId="0">
      <alignment horizontal="left" vertical="top"/>
    </xf>
    <xf numFmtId="15" fontId="25" fillId="0" borderId="0">
      <alignment horizontal="left" vertical="top"/>
    </xf>
    <xf numFmtId="0" fontId="25" fillId="0" borderId="0">
      <alignment horizontal="left" vertical="top"/>
    </xf>
    <xf numFmtId="14" fontId="25" fillId="0" borderId="0">
      <alignment horizontal="center" vertical="top"/>
    </xf>
    <xf numFmtId="0" fontId="58" fillId="0" borderId="0"/>
    <xf numFmtId="0" fontId="82" fillId="0" borderId="3"/>
    <xf numFmtId="14" fontId="82" fillId="0" borderId="3"/>
    <xf numFmtId="2" fontId="58" fillId="0" borderId="3">
      <alignment horizontal="center"/>
    </xf>
    <xf numFmtId="0" fontId="25" fillId="0" borderId="0">
      <alignment horizontal="center"/>
    </xf>
    <xf numFmtId="2" fontId="58" fillId="0" borderId="3">
      <alignment horizontal="center"/>
    </xf>
    <xf numFmtId="0" fontId="58" fillId="0" borderId="3"/>
    <xf numFmtId="0" fontId="58" fillId="0" borderId="3">
      <alignment horizontal="center"/>
    </xf>
    <xf numFmtId="0" fontId="58" fillId="0" borderId="3">
      <alignment horizontal="center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5" fillId="0" borderId="0">
      <alignment horizontal="center" vertical="top"/>
    </xf>
    <xf numFmtId="43" fontId="58" fillId="0" borderId="0">
      <alignment horizontal="left"/>
    </xf>
    <xf numFmtId="173" fontId="25" fillId="0" borderId="0"/>
    <xf numFmtId="0" fontId="25" fillId="0" borderId="0">
      <alignment horizontal="center"/>
    </xf>
    <xf numFmtId="0" fontId="78" fillId="0" borderId="0"/>
    <xf numFmtId="43" fontId="25" fillId="0" borderId="0"/>
    <xf numFmtId="1" fontId="25" fillId="0" borderId="0"/>
    <xf numFmtId="0" fontId="26" fillId="0" borderId="0"/>
    <xf numFmtId="43" fontId="25" fillId="0" borderId="0">
      <alignment horizontal="center"/>
    </xf>
    <xf numFmtId="43" fontId="25" fillId="0" borderId="21"/>
    <xf numFmtId="43" fontId="25" fillId="0" borderId="22"/>
    <xf numFmtId="0" fontId="25" fillId="0" borderId="10"/>
    <xf numFmtId="43" fontId="25" fillId="0" borderId="0"/>
    <xf numFmtId="1" fontId="82" fillId="0" borderId="16">
      <alignment horizontal="center" wrapText="1"/>
    </xf>
    <xf numFmtId="0" fontId="58" fillId="0" borderId="0">
      <alignment horizontal="center"/>
    </xf>
    <xf numFmtId="0" fontId="25" fillId="0" borderId="0">
      <alignment horizontal="left"/>
    </xf>
    <xf numFmtId="0" fontId="58" fillId="0" borderId="0"/>
    <xf numFmtId="43" fontId="25" fillId="0" borderId="0">
      <alignment horizontal="center"/>
    </xf>
    <xf numFmtId="0" fontId="26" fillId="0" borderId="3">
      <alignment horizontal="left" vertical="top"/>
    </xf>
    <xf numFmtId="0" fontId="25" fillId="0" borderId="3">
      <alignment horizontal="center" vertical="top"/>
    </xf>
    <xf numFmtId="14" fontId="25" fillId="0" borderId="3">
      <alignment horizontal="center" vertical="top"/>
    </xf>
    <xf numFmtId="15" fontId="25" fillId="0" borderId="3">
      <alignment horizontal="left" vertical="top"/>
    </xf>
    <xf numFmtId="0" fontId="28" fillId="0" borderId="0"/>
    <xf numFmtId="225" fontId="25" fillId="0" borderId="0">
      <alignment vertical="top"/>
    </xf>
    <xf numFmtId="0" fontId="25" fillId="0" borderId="3">
      <alignment horizontal="left" vertical="top"/>
    </xf>
    <xf numFmtId="0" fontId="25" fillId="0" borderId="0">
      <alignment horizontal="center" wrapText="1"/>
    </xf>
    <xf numFmtId="0" fontId="25" fillId="0" borderId="0">
      <alignment horizontal="center"/>
    </xf>
    <xf numFmtId="0" fontId="25" fillId="0" borderId="0">
      <alignment horizontal="center" vertical="top"/>
    </xf>
    <xf numFmtId="0" fontId="26" fillId="0" borderId="0"/>
    <xf numFmtId="14" fontId="25" fillId="0" borderId="0">
      <alignment horizontal="center"/>
    </xf>
    <xf numFmtId="14" fontId="25" fillId="0" borderId="0">
      <alignment horizontal="left" vertical="top"/>
    </xf>
    <xf numFmtId="41" fontId="25" fillId="0" borderId="0"/>
    <xf numFmtId="3" fontId="26" fillId="0" borderId="23">
      <alignment horizontal="right" vertical="center"/>
    </xf>
    <xf numFmtId="173" fontId="26" fillId="0" borderId="22">
      <alignment horizontal="right"/>
    </xf>
    <xf numFmtId="226" fontId="82" fillId="0" borderId="0">
      <alignment wrapText="1"/>
    </xf>
    <xf numFmtId="0" fontId="25" fillId="0" borderId="0">
      <alignment horizontal="center"/>
    </xf>
    <xf numFmtId="227" fontId="26" fillId="0" borderId="10"/>
    <xf numFmtId="227" fontId="26" fillId="0" borderId="0"/>
    <xf numFmtId="0" fontId="25" fillId="0" borderId="0">
      <alignment vertical="top"/>
    </xf>
    <xf numFmtId="3" fontId="26" fillId="0" borderId="21">
      <alignment horizontal="right" vertical="center"/>
    </xf>
    <xf numFmtId="0" fontId="82" fillId="0" borderId="15">
      <alignment horizontal="center" wrapText="1"/>
    </xf>
    <xf numFmtId="3" fontId="26" fillId="0" borderId="24">
      <alignment horizontal="right" vertical="center"/>
    </xf>
    <xf numFmtId="3" fontId="26" fillId="0" borderId="0">
      <alignment horizontal="right" vertical="center"/>
    </xf>
    <xf numFmtId="173" fontId="26" fillId="0" borderId="10">
      <alignment horizontal="right"/>
    </xf>
    <xf numFmtId="0" fontId="7" fillId="0" borderId="25">
      <alignment wrapText="1"/>
    </xf>
    <xf numFmtId="228" fontId="7" fillId="0" borderId="25">
      <alignment horizontal="right" wrapText="1"/>
    </xf>
    <xf numFmtId="4" fontId="25" fillId="0" borderId="0">
      <alignment horizontal="center"/>
    </xf>
    <xf numFmtId="0" fontId="26" fillId="6" borderId="9">
      <alignment horizontal="center"/>
    </xf>
    <xf numFmtId="0" fontId="26" fillId="6" borderId="20">
      <alignment horizontal="center"/>
    </xf>
    <xf numFmtId="14" fontId="25" fillId="0" borderId="0">
      <alignment horizontal="center" vertical="top"/>
    </xf>
    <xf numFmtId="0" fontId="25" fillId="13" borderId="0">
      <alignment vertical="top"/>
    </xf>
    <xf numFmtId="0" fontId="25" fillId="13" borderId="0"/>
    <xf numFmtId="0" fontId="7" fillId="0" borderId="25">
      <alignment wrapText="1"/>
    </xf>
    <xf numFmtId="229" fontId="29" fillId="0" borderId="0">
      <alignment horizontal="right" vertical="center" wrapText="1"/>
    </xf>
    <xf numFmtId="0" fontId="29" fillId="0" borderId="0">
      <alignment horizontal="right" vertical="center" wrapText="1"/>
    </xf>
    <xf numFmtId="0" fontId="7" fillId="0" borderId="0">
      <alignment wrapText="1"/>
    </xf>
    <xf numFmtId="173" fontId="25" fillId="0" borderId="0"/>
    <xf numFmtId="0" fontId="25" fillId="13" borderId="0">
      <alignment horizontal="center"/>
    </xf>
    <xf numFmtId="0" fontId="26" fillId="13" borderId="0"/>
    <xf numFmtId="0" fontId="25" fillId="13" borderId="0">
      <alignment horizontal="center" vertical="top"/>
    </xf>
    <xf numFmtId="0" fontId="25" fillId="0" borderId="0">
      <alignment vertical="top"/>
    </xf>
    <xf numFmtId="14" fontId="25" fillId="13" borderId="0">
      <alignment horizontal="center" vertical="top"/>
    </xf>
    <xf numFmtId="15" fontId="25" fillId="13" borderId="0">
      <alignment horizontal="left" vertical="top"/>
    </xf>
    <xf numFmtId="0" fontId="25" fillId="13" borderId="0">
      <alignment horizontal="left" vertical="top"/>
    </xf>
    <xf numFmtId="14" fontId="25" fillId="13" borderId="0">
      <alignment horizontal="left" vertical="top"/>
    </xf>
    <xf numFmtId="0" fontId="25" fillId="14" borderId="0">
      <alignment horizontal="center"/>
    </xf>
    <xf numFmtId="0" fontId="26" fillId="14" borderId="0"/>
    <xf numFmtId="0" fontId="25" fillId="14" borderId="0">
      <alignment horizontal="center" vertical="top"/>
    </xf>
    <xf numFmtId="14" fontId="25" fillId="14" borderId="0">
      <alignment horizontal="center" vertical="top"/>
    </xf>
    <xf numFmtId="0" fontId="25" fillId="14" borderId="0">
      <alignment vertical="top"/>
    </xf>
    <xf numFmtId="15" fontId="25" fillId="14" borderId="0">
      <alignment horizontal="left" vertical="top"/>
    </xf>
    <xf numFmtId="15" fontId="78" fillId="0" borderId="0">
      <alignment horizontal="left"/>
    </xf>
    <xf numFmtId="0" fontId="25" fillId="14" borderId="0">
      <alignment horizontal="left" vertical="top"/>
    </xf>
    <xf numFmtId="173" fontId="25" fillId="14" borderId="0">
      <alignment vertical="top"/>
    </xf>
    <xf numFmtId="14" fontId="25" fillId="14" borderId="0">
      <alignment horizontal="left" vertical="top"/>
    </xf>
    <xf numFmtId="0" fontId="25" fillId="14" borderId="0">
      <alignment horizontal="center"/>
    </xf>
    <xf numFmtId="0" fontId="25" fillId="14" borderId="0"/>
    <xf numFmtId="0" fontId="26" fillId="14" borderId="0">
      <alignment horizontal="left" vertical="top"/>
    </xf>
    <xf numFmtId="14" fontId="25" fillId="14" borderId="0">
      <alignment horizontal="center" vertical="top"/>
    </xf>
    <xf numFmtId="0" fontId="58" fillId="14" borderId="0">
      <alignment horizontal="center"/>
    </xf>
    <xf numFmtId="0" fontId="78" fillId="14" borderId="0">
      <alignment horizontal="center"/>
    </xf>
    <xf numFmtId="0" fontId="25" fillId="14" borderId="0"/>
    <xf numFmtId="0" fontId="58" fillId="0" borderId="0"/>
    <xf numFmtId="0" fontId="26" fillId="0" borderId="0">
      <alignment horizontal="center"/>
    </xf>
    <xf numFmtId="0" fontId="26" fillId="0" borderId="0">
      <alignment horizontal="center"/>
    </xf>
    <xf numFmtId="173" fontId="26" fillId="6" borderId="23">
      <alignment horizontal="center"/>
    </xf>
    <xf numFmtId="173" fontId="26" fillId="6" borderId="24">
      <alignment horizontal="center"/>
    </xf>
    <xf numFmtId="2" fontId="58" fillId="0" borderId="0"/>
    <xf numFmtId="0" fontId="58" fillId="0" borderId="0"/>
    <xf numFmtId="2" fontId="58" fillId="0" borderId="0">
      <alignment horizontal="center"/>
    </xf>
    <xf numFmtId="0" fontId="58" fillId="0" borderId="0">
      <alignment horizontal="center"/>
    </xf>
    <xf numFmtId="0" fontId="78" fillId="0" borderId="0">
      <alignment wrapText="1"/>
    </xf>
    <xf numFmtId="0" fontId="58" fillId="0" borderId="0">
      <alignment horizontal="center"/>
    </xf>
    <xf numFmtId="0" fontId="82" fillId="0" borderId="0">
      <alignment horizontal="left" vertical="center"/>
    </xf>
    <xf numFmtId="2" fontId="58" fillId="0" borderId="12">
      <alignment horizontal="center" vertical="center"/>
    </xf>
    <xf numFmtId="0" fontId="58" fillId="0" borderId="12">
      <alignment horizontal="center" vertical="center"/>
    </xf>
    <xf numFmtId="0" fontId="58" fillId="0" borderId="18">
      <alignment horizontal="center" vertical="center"/>
    </xf>
    <xf numFmtId="0" fontId="58" fillId="0" borderId="0">
      <alignment horizontal="center" vertical="center"/>
    </xf>
    <xf numFmtId="0" fontId="58" fillId="0" borderId="0">
      <alignment horizontal="left" vertical="center"/>
    </xf>
    <xf numFmtId="0" fontId="82" fillId="0" borderId="0">
      <alignment horizontal="left"/>
    </xf>
    <xf numFmtId="0" fontId="82" fillId="0" borderId="0">
      <alignment horizontal="left"/>
    </xf>
    <xf numFmtId="0" fontId="82" fillId="0" borderId="0">
      <alignment horizontal="center"/>
    </xf>
    <xf numFmtId="0" fontId="25" fillId="0" borderId="0">
      <alignment horizontal="center" vertical="center" wrapText="1"/>
    </xf>
    <xf numFmtId="0" fontId="82" fillId="0" borderId="0">
      <alignment horizontal="center" wrapText="1"/>
    </xf>
    <xf numFmtId="0" fontId="82" fillId="0" borderId="13">
      <alignment horizontal="center" wrapText="1"/>
    </xf>
    <xf numFmtId="1" fontId="82" fillId="0" borderId="14">
      <alignment horizontal="center" wrapText="1"/>
    </xf>
    <xf numFmtId="0" fontId="82" fillId="0" borderId="0">
      <alignment horizontal="center"/>
    </xf>
    <xf numFmtId="230" fontId="82" fillId="0" borderId="0">
      <alignment horizontal="center" wrapText="1"/>
    </xf>
    <xf numFmtId="43" fontId="82" fillId="0" borderId="0"/>
    <xf numFmtId="0" fontId="82" fillId="0" borderId="0"/>
    <xf numFmtId="0" fontId="58" fillId="0" borderId="0">
      <alignment wrapText="1"/>
    </xf>
    <xf numFmtId="0" fontId="82" fillId="0" borderId="0">
      <alignment horizontal="center" wrapText="1"/>
    </xf>
    <xf numFmtId="0" fontId="82" fillId="0" borderId="0">
      <alignment horizontal="center" wrapText="1"/>
    </xf>
    <xf numFmtId="43" fontId="25" fillId="0" borderId="0">
      <alignment horizontal="center" vertical="center" wrapText="1"/>
    </xf>
    <xf numFmtId="0" fontId="82" fillId="0" borderId="0">
      <alignment horizontal="center" wrapText="1"/>
    </xf>
    <xf numFmtId="231" fontId="82" fillId="0" borderId="0">
      <alignment horizontal="center" wrapText="1"/>
    </xf>
    <xf numFmtId="0" fontId="82" fillId="6" borderId="9">
      <alignment horizontal="center" wrapText="1"/>
    </xf>
    <xf numFmtId="2" fontId="82" fillId="6" borderId="9">
      <alignment horizontal="center" wrapText="1"/>
    </xf>
    <xf numFmtId="0" fontId="82" fillId="6" borderId="9">
      <alignment horizontal="center" wrapText="1"/>
    </xf>
    <xf numFmtId="0" fontId="82" fillId="0" borderId="0">
      <alignment horizontal="center" wrapText="1"/>
    </xf>
    <xf numFmtId="0" fontId="25" fillId="0" borderId="0"/>
    <xf numFmtId="0" fontId="25" fillId="0" borderId="0"/>
    <xf numFmtId="0" fontId="83" fillId="0" borderId="0">
      <alignment horizontal="left" vertical="center"/>
    </xf>
    <xf numFmtId="173" fontId="83" fillId="0" borderId="0">
      <alignment horizontal="left" vertical="center"/>
    </xf>
    <xf numFmtId="0" fontId="26" fillId="0" borderId="0">
      <alignment horizontal="center" vertical="center" wrapText="1"/>
    </xf>
    <xf numFmtId="0" fontId="83" fillId="0" borderId="0">
      <alignment horizontal="center" vertical="center"/>
    </xf>
    <xf numFmtId="0" fontId="26" fillId="0" borderId="23">
      <alignment horizontal="left"/>
    </xf>
    <xf numFmtId="41" fontId="26" fillId="0" borderId="26"/>
    <xf numFmtId="0" fontId="26" fillId="0" borderId="23"/>
    <xf numFmtId="41" fontId="26" fillId="0" borderId="0"/>
    <xf numFmtId="0" fontId="26" fillId="0" borderId="21"/>
    <xf numFmtId="173" fontId="26" fillId="0" borderId="27"/>
    <xf numFmtId="173" fontId="26" fillId="0" borderId="0"/>
    <xf numFmtId="43" fontId="26" fillId="0" borderId="27"/>
    <xf numFmtId="43" fontId="26" fillId="0" borderId="0"/>
    <xf numFmtId="0" fontId="25" fillId="0" borderId="0">
      <alignment wrapText="1"/>
    </xf>
    <xf numFmtId="0" fontId="26" fillId="0" borderId="22"/>
    <xf numFmtId="43" fontId="26" fillId="0" borderId="28"/>
    <xf numFmtId="0" fontId="26" fillId="0" borderId="0">
      <alignment horizontal="center"/>
    </xf>
    <xf numFmtId="0" fontId="26" fillId="6" borderId="23">
      <alignment horizontal="center"/>
    </xf>
    <xf numFmtId="173" fontId="26" fillId="6" borderId="24">
      <alignment horizontal="center"/>
    </xf>
    <xf numFmtId="0" fontId="26" fillId="6" borderId="24">
      <alignment horizontal="center"/>
    </xf>
    <xf numFmtId="0" fontId="26" fillId="6" borderId="26">
      <alignment horizontal="center"/>
    </xf>
    <xf numFmtId="0" fontId="26" fillId="6" borderId="22">
      <alignment horizontal="center"/>
    </xf>
    <xf numFmtId="173" fontId="26" fillId="6" borderId="10">
      <alignment horizontal="right"/>
    </xf>
    <xf numFmtId="0" fontId="26" fillId="6" borderId="10">
      <alignment horizontal="center"/>
    </xf>
    <xf numFmtId="0" fontId="25" fillId="0" borderId="0">
      <alignment horizontal="left" vertical="center" wrapText="1"/>
    </xf>
    <xf numFmtId="0" fontId="26" fillId="6" borderId="28">
      <alignment horizontal="center"/>
    </xf>
    <xf numFmtId="0" fontId="26" fillId="15" borderId="0">
      <alignment horizontal="center"/>
    </xf>
    <xf numFmtId="173" fontId="26" fillId="6" borderId="22">
      <alignment horizontal="center"/>
    </xf>
    <xf numFmtId="173" fontId="26" fillId="6" borderId="10">
      <alignment horizontal="center"/>
    </xf>
    <xf numFmtId="0" fontId="26" fillId="6" borderId="10">
      <alignment horizontal="center"/>
    </xf>
    <xf numFmtId="173" fontId="26" fillId="6" borderId="28">
      <alignment horizontal="center"/>
    </xf>
    <xf numFmtId="0" fontId="26" fillId="6" borderId="29">
      <alignment horizontal="center"/>
    </xf>
    <xf numFmtId="0" fontId="26" fillId="6" borderId="3">
      <alignment horizontal="center"/>
    </xf>
    <xf numFmtId="0" fontId="26" fillId="6" borderId="3">
      <alignment horizontal="center"/>
    </xf>
    <xf numFmtId="0" fontId="26" fillId="6" borderId="30">
      <alignment horizontal="center"/>
    </xf>
    <xf numFmtId="0" fontId="25" fillId="0" borderId="0"/>
    <xf numFmtId="0" fontId="26" fillId="6" borderId="21">
      <alignment horizontal="center"/>
    </xf>
    <xf numFmtId="0" fontId="26" fillId="6" borderId="0">
      <alignment horizontal="center"/>
    </xf>
    <xf numFmtId="0" fontId="26" fillId="6" borderId="27">
      <alignment horizontal="center"/>
    </xf>
    <xf numFmtId="0" fontId="42" fillId="0" borderId="0">
      <alignment horizontal="left"/>
    </xf>
    <xf numFmtId="49" fontId="25" fillId="0" borderId="0">
      <alignment horizontal="left"/>
    </xf>
    <xf numFmtId="0" fontId="42" fillId="0" borderId="0">
      <alignment horizontal="left"/>
    </xf>
    <xf numFmtId="15" fontId="78" fillId="15" borderId="0">
      <alignment horizontal="left"/>
    </xf>
    <xf numFmtId="0" fontId="25" fillId="0" borderId="0">
      <alignment horizontal="right"/>
    </xf>
    <xf numFmtId="49" fontId="25" fillId="0" borderId="0">
      <alignment horizontal="left"/>
    </xf>
    <xf numFmtId="49" fontId="25" fillId="0" borderId="0">
      <alignment horizontal="left"/>
    </xf>
    <xf numFmtId="10" fontId="78" fillId="0" borderId="0"/>
    <xf numFmtId="0" fontId="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4" fillId="0" borderId="0">
      <alignment horizontal="left" vertical="top"/>
      <protection locked="0"/>
    </xf>
    <xf numFmtId="0" fontId="38" fillId="0" borderId="11" applyNumberFormat="0" applyFont="0" applyFill="0" applyAlignment="0" applyProtection="0"/>
    <xf numFmtId="40" fontId="85" fillId="15" borderId="0">
      <alignment horizontal="right"/>
    </xf>
    <xf numFmtId="0" fontId="86" fillId="15" borderId="0">
      <alignment horizontal="right"/>
    </xf>
    <xf numFmtId="0" fontId="87" fillId="15" borderId="14"/>
    <xf numFmtId="0" fontId="87" fillId="0" borderId="0" applyBorder="0">
      <alignment horizontal="centerContinuous"/>
    </xf>
    <xf numFmtId="232" fontId="88" fillId="0" borderId="0" applyFill="0">
      <alignment horizontal="center" vertical="center"/>
    </xf>
    <xf numFmtId="0" fontId="26" fillId="0" borderId="31" applyNumberFormat="0" applyAlignment="0" applyProtection="0"/>
    <xf numFmtId="0" fontId="25" fillId="16" borderId="0" applyNumberFormat="0" applyFont="0" applyBorder="0" applyAlignment="0" applyProtection="0"/>
    <xf numFmtId="0" fontId="5" fillId="17" borderId="32" applyNumberFormat="0" applyFont="0" applyBorder="0" applyAlignment="0" applyProtection="0">
      <alignment horizontal="center"/>
    </xf>
    <xf numFmtId="0" fontId="5" fillId="18" borderId="32" applyNumberFormat="0" applyFont="0" applyBorder="0" applyAlignment="0" applyProtection="0">
      <alignment horizontal="center"/>
    </xf>
    <xf numFmtId="0" fontId="25" fillId="0" borderId="33" applyNumberFormat="0" applyAlignment="0" applyProtection="0"/>
    <xf numFmtId="0" fontId="25" fillId="0" borderId="34" applyNumberFormat="0" applyAlignment="0" applyProtection="0"/>
    <xf numFmtId="0" fontId="26" fillId="0" borderId="35" applyNumberFormat="0" applyAlignment="0" applyProtection="0"/>
    <xf numFmtId="14" fontId="30" fillId="0" borderId="0">
      <alignment horizontal="center" wrapText="1"/>
      <protection locked="0"/>
    </xf>
    <xf numFmtId="9" fontId="58" fillId="0" borderId="0" applyFont="0" applyFill="0" applyBorder="0" applyAlignment="0" applyProtection="0"/>
    <xf numFmtId="233" fontId="89" fillId="0" borderId="0" applyFont="0" applyFill="0" applyBorder="0" applyAlignment="0" applyProtection="0"/>
    <xf numFmtId="170" fontId="58" fillId="0" borderId="0" applyFont="0" applyFill="0" applyBorder="0" applyAlignment="0" applyProtection="0"/>
    <xf numFmtId="234" fontId="58" fillId="0" borderId="0" applyFont="0" applyFill="0" applyBorder="0" applyAlignment="0" applyProtection="0"/>
    <xf numFmtId="235" fontId="58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9" fillId="0" borderId="0" applyFont="0" applyFill="0" applyBorder="0" applyProtection="0">
      <alignment horizontal="right"/>
    </xf>
    <xf numFmtId="173" fontId="78" fillId="0" borderId="0">
      <alignment horizontal="right"/>
    </xf>
    <xf numFmtId="173" fontId="26" fillId="0" borderId="0">
      <alignment horizontal="left" vertical="center"/>
    </xf>
    <xf numFmtId="172" fontId="5" fillId="0" borderId="0"/>
    <xf numFmtId="173" fontId="78" fillId="0" borderId="0">
      <alignment horizontal="right"/>
    </xf>
    <xf numFmtId="173" fontId="78" fillId="0" borderId="0">
      <alignment horizontal="center"/>
    </xf>
    <xf numFmtId="171" fontId="78" fillId="0" borderId="0">
      <alignment horizontal="right"/>
    </xf>
    <xf numFmtId="173" fontId="78" fillId="0" borderId="3">
      <alignment horizontal="right"/>
    </xf>
    <xf numFmtId="173" fontId="78" fillId="0" borderId="3">
      <alignment horizontal="center"/>
    </xf>
    <xf numFmtId="171" fontId="78" fillId="0" borderId="3">
      <alignment horizontal="right"/>
    </xf>
    <xf numFmtId="43" fontId="78" fillId="0" borderId="3">
      <alignment horizontal="center"/>
    </xf>
    <xf numFmtId="236" fontId="78" fillId="0" borderId="12"/>
    <xf numFmtId="237" fontId="78" fillId="0" borderId="12">
      <alignment horizontal="center"/>
    </xf>
    <xf numFmtId="173" fontId="26" fillId="0" borderId="0">
      <alignment horizontal="right" vertical="center"/>
    </xf>
    <xf numFmtId="237" fontId="78" fillId="0" borderId="18">
      <alignment horizontal="center" wrapText="1"/>
    </xf>
    <xf numFmtId="237" fontId="78" fillId="0" borderId="0">
      <alignment horizontal="center"/>
    </xf>
    <xf numFmtId="237" fontId="78" fillId="0" borderId="14">
      <alignment horizontal="center" wrapText="1"/>
    </xf>
    <xf numFmtId="236" fontId="78" fillId="0" borderId="14">
      <alignment wrapText="1"/>
    </xf>
    <xf numFmtId="236" fontId="78" fillId="0" borderId="3"/>
    <xf numFmtId="236" fontId="78" fillId="0" borderId="16">
      <alignment wrapText="1"/>
    </xf>
    <xf numFmtId="238" fontId="26" fillId="0" borderId="0">
      <alignment horizontal="left"/>
    </xf>
    <xf numFmtId="239" fontId="26" fillId="0" borderId="0">
      <alignment horizontal="left"/>
    </xf>
    <xf numFmtId="240" fontId="26" fillId="0" borderId="0">
      <alignment horizontal="left"/>
    </xf>
    <xf numFmtId="173" fontId="25" fillId="0" borderId="0">
      <alignment vertical="top"/>
    </xf>
    <xf numFmtId="241" fontId="26" fillId="0" borderId="0">
      <alignment horizontal="center"/>
    </xf>
    <xf numFmtId="236" fontId="81" fillId="0" borderId="0"/>
    <xf numFmtId="173" fontId="58" fillId="0" borderId="0">
      <alignment horizontal="right"/>
    </xf>
    <xf numFmtId="173" fontId="58" fillId="0" borderId="0">
      <alignment horizontal="center"/>
    </xf>
    <xf numFmtId="237" fontId="25" fillId="0" borderId="0">
      <alignment horizontal="center" vertical="top"/>
    </xf>
    <xf numFmtId="173" fontId="23" fillId="0" borderId="3">
      <alignment horizontal="centerContinuous"/>
    </xf>
    <xf numFmtId="173" fontId="5" fillId="0" borderId="3">
      <alignment horizontal="center"/>
    </xf>
    <xf numFmtId="173" fontId="5" fillId="0" borderId="0"/>
    <xf numFmtId="173" fontId="5" fillId="0" borderId="3"/>
    <xf numFmtId="43" fontId="5" fillId="0" borderId="3"/>
    <xf numFmtId="43" fontId="23" fillId="0" borderId="0">
      <alignment horizontal="right"/>
    </xf>
    <xf numFmtId="171" fontId="26" fillId="0" borderId="0">
      <alignment horizontal="right" vertical="center"/>
    </xf>
    <xf numFmtId="166" fontId="82" fillId="0" borderId="0">
      <alignment horizontal="center" wrapText="1"/>
    </xf>
    <xf numFmtId="2" fontId="82" fillId="0" borderId="0">
      <alignment horizontal="center"/>
    </xf>
    <xf numFmtId="43" fontId="58" fillId="0" borderId="0"/>
    <xf numFmtId="0" fontId="5" fillId="0" borderId="0">
      <alignment horizontal="center"/>
    </xf>
    <xf numFmtId="43" fontId="25" fillId="0" borderId="0">
      <alignment horizontal="center" vertical="top"/>
    </xf>
    <xf numFmtId="236" fontId="25" fillId="0" borderId="0">
      <alignment horizontal="center" vertical="top"/>
    </xf>
    <xf numFmtId="237" fontId="25" fillId="0" borderId="0">
      <alignment horizontal="center" vertical="top" wrapText="1"/>
    </xf>
    <xf numFmtId="43" fontId="25" fillId="0" borderId="0">
      <alignment horizontal="left" vertical="top"/>
    </xf>
    <xf numFmtId="173" fontId="25" fillId="0" borderId="0">
      <alignment horizontal="right" vertical="top"/>
    </xf>
    <xf numFmtId="43" fontId="25" fillId="0" borderId="0">
      <alignment horizontal="center" vertical="top"/>
    </xf>
    <xf numFmtId="43" fontId="26" fillId="0" borderId="0">
      <alignment horizontal="center"/>
    </xf>
    <xf numFmtId="236" fontId="25" fillId="0" borderId="0">
      <alignment horizontal="center" vertical="top"/>
    </xf>
    <xf numFmtId="237" fontId="25" fillId="0" borderId="0">
      <alignment horizontal="center" vertical="top" wrapText="1"/>
    </xf>
    <xf numFmtId="173" fontId="25" fillId="0" borderId="0">
      <alignment horizontal="left" vertical="top"/>
    </xf>
    <xf numFmtId="43" fontId="25" fillId="0" borderId="0">
      <alignment horizontal="left" vertical="top"/>
    </xf>
    <xf numFmtId="173" fontId="5" fillId="0" borderId="0">
      <alignment horizontal="left"/>
    </xf>
    <xf numFmtId="173" fontId="23" fillId="0" borderId="0">
      <alignment horizontal="centerContinuous"/>
    </xf>
    <xf numFmtId="173" fontId="23" fillId="0" borderId="0">
      <alignment horizontal="left"/>
    </xf>
    <xf numFmtId="173" fontId="23" fillId="0" borderId="3">
      <alignment horizontal="left"/>
    </xf>
    <xf numFmtId="43" fontId="58" fillId="0" borderId="0"/>
    <xf numFmtId="43" fontId="58" fillId="0" borderId="3">
      <alignment horizontal="center"/>
    </xf>
    <xf numFmtId="236" fontId="26" fillId="0" borderId="0">
      <alignment horizontal="center"/>
    </xf>
    <xf numFmtId="43" fontId="58" fillId="0" borderId="3"/>
    <xf numFmtId="43" fontId="23" fillId="0" borderId="0"/>
    <xf numFmtId="173" fontId="5" fillId="14" borderId="0">
      <alignment horizontal="center"/>
    </xf>
    <xf numFmtId="173" fontId="5" fillId="14" borderId="0">
      <alignment horizontal="center"/>
    </xf>
    <xf numFmtId="173" fontId="23" fillId="14" borderId="0">
      <alignment horizontal="centerContinuous"/>
    </xf>
    <xf numFmtId="173" fontId="23" fillId="14" borderId="3">
      <alignment horizontal="center" wrapText="1"/>
    </xf>
    <xf numFmtId="173" fontId="5" fillId="19" borderId="0">
      <alignment horizontal="center"/>
    </xf>
    <xf numFmtId="173" fontId="5" fillId="19" borderId="0">
      <alignment horizontal="center"/>
    </xf>
    <xf numFmtId="173" fontId="23" fillId="19" borderId="0">
      <alignment horizontal="centerContinuous"/>
    </xf>
    <xf numFmtId="173" fontId="23" fillId="19" borderId="3">
      <alignment horizontal="centerContinuous"/>
    </xf>
    <xf numFmtId="236" fontId="26" fillId="0" borderId="0">
      <alignment horizontal="center" wrapText="1"/>
    </xf>
    <xf numFmtId="173" fontId="25" fillId="0" borderId="0"/>
    <xf numFmtId="43" fontId="25" fillId="0" borderId="0"/>
    <xf numFmtId="43" fontId="25" fillId="0" borderId="0">
      <alignment horizontal="center"/>
    </xf>
    <xf numFmtId="173" fontId="25" fillId="0" borderId="0"/>
    <xf numFmtId="172" fontId="25" fillId="0" borderId="0"/>
    <xf numFmtId="43" fontId="25" fillId="0" borderId="27"/>
    <xf numFmtId="173" fontId="25" fillId="0" borderId="3"/>
    <xf numFmtId="43" fontId="25" fillId="0" borderId="28"/>
    <xf numFmtId="172" fontId="25" fillId="0" borderId="10"/>
    <xf numFmtId="10" fontId="25" fillId="0" borderId="0"/>
    <xf numFmtId="238" fontId="26" fillId="0" borderId="0">
      <alignment horizontal="center"/>
    </xf>
    <xf numFmtId="43" fontId="25" fillId="0" borderId="0"/>
    <xf numFmtId="242" fontId="26" fillId="0" borderId="0">
      <alignment horizontal="center" vertical="top"/>
    </xf>
    <xf numFmtId="14" fontId="23" fillId="0" borderId="0">
      <alignment horizontal="center"/>
    </xf>
    <xf numFmtId="4" fontId="58" fillId="0" borderId="0">
      <alignment horizontal="right" vertical="top"/>
    </xf>
    <xf numFmtId="173" fontId="58" fillId="0" borderId="0">
      <alignment horizontal="center" vertical="top"/>
    </xf>
    <xf numFmtId="173" fontId="25" fillId="0" borderId="3">
      <alignment horizontal="right" vertical="top"/>
    </xf>
    <xf numFmtId="171" fontId="25" fillId="0" borderId="3">
      <alignment horizontal="center" vertical="top"/>
    </xf>
    <xf numFmtId="43" fontId="25" fillId="0" borderId="3">
      <alignment horizontal="center" vertical="top"/>
    </xf>
    <xf numFmtId="236" fontId="25" fillId="0" borderId="3">
      <alignment horizontal="center" vertical="top"/>
    </xf>
    <xf numFmtId="237" fontId="25" fillId="0" borderId="3">
      <alignment horizontal="center" vertical="top" wrapText="1"/>
    </xf>
    <xf numFmtId="238" fontId="26" fillId="0" borderId="0">
      <alignment horizontal="center" wrapText="1"/>
    </xf>
    <xf numFmtId="173" fontId="25" fillId="0" borderId="3">
      <alignment horizontal="center" vertical="top"/>
    </xf>
    <xf numFmtId="173" fontId="25" fillId="0" borderId="3">
      <alignment horizontal="left" vertical="top"/>
    </xf>
    <xf numFmtId="173" fontId="25" fillId="0" borderId="3">
      <alignment vertical="top"/>
    </xf>
    <xf numFmtId="43" fontId="25" fillId="0" borderId="3">
      <alignment horizontal="left" vertical="top"/>
    </xf>
    <xf numFmtId="237" fontId="25" fillId="0" borderId="3">
      <alignment horizontal="center" vertical="top"/>
    </xf>
    <xf numFmtId="43" fontId="5" fillId="0" borderId="0">
      <alignment horizontal="center"/>
    </xf>
    <xf numFmtId="173" fontId="26" fillId="0" borderId="24">
      <alignment horizontal="right" vertical="center"/>
    </xf>
    <xf numFmtId="240" fontId="26" fillId="0" borderId="24">
      <alignment horizontal="left"/>
    </xf>
    <xf numFmtId="243" fontId="26" fillId="0" borderId="24">
      <alignment horizontal="left"/>
    </xf>
    <xf numFmtId="171" fontId="26" fillId="0" borderId="24">
      <alignment horizontal="right" vertical="center"/>
    </xf>
    <xf numFmtId="173" fontId="26" fillId="0" borderId="0">
      <alignment horizontal="left"/>
    </xf>
    <xf numFmtId="173" fontId="26" fillId="0" borderId="10">
      <alignment horizontal="right" vertical="center"/>
    </xf>
    <xf numFmtId="240" fontId="26" fillId="0" borderId="10">
      <alignment horizontal="left"/>
    </xf>
    <xf numFmtId="243" fontId="26" fillId="0" borderId="10">
      <alignment horizontal="left"/>
    </xf>
    <xf numFmtId="171" fontId="26" fillId="0" borderId="10">
      <alignment horizontal="right"/>
    </xf>
    <xf numFmtId="244" fontId="26" fillId="0" borderId="28">
      <alignment horizontal="left"/>
    </xf>
    <xf numFmtId="173" fontId="26" fillId="0" borderId="10">
      <alignment horizontal="left" vertical="center"/>
    </xf>
    <xf numFmtId="172" fontId="5" fillId="0" borderId="0">
      <alignment horizontal="center"/>
    </xf>
    <xf numFmtId="43" fontId="5" fillId="14" borderId="0">
      <alignment horizontal="center"/>
    </xf>
    <xf numFmtId="43" fontId="5" fillId="19" borderId="0">
      <alignment horizontal="center"/>
    </xf>
    <xf numFmtId="243" fontId="26" fillId="0" borderId="0">
      <alignment horizontal="left"/>
    </xf>
    <xf numFmtId="170" fontId="23" fillId="0" borderId="0" applyFill="0" applyBorder="0" applyAlignment="0" applyProtection="0"/>
    <xf numFmtId="173" fontId="78" fillId="0" borderId="0">
      <alignment horizontal="center"/>
    </xf>
    <xf numFmtId="173" fontId="26" fillId="0" borderId="0">
      <alignment horizontal="right"/>
    </xf>
    <xf numFmtId="244" fontId="26" fillId="0" borderId="27">
      <alignment horizontal="left"/>
    </xf>
    <xf numFmtId="43" fontId="25" fillId="0" borderId="26">
      <alignment horizontal="center"/>
    </xf>
    <xf numFmtId="173" fontId="26" fillId="0" borderId="3">
      <alignment horizontal="right" vertical="center"/>
    </xf>
    <xf numFmtId="245" fontId="26" fillId="0" borderId="27">
      <alignment horizontal="left"/>
    </xf>
    <xf numFmtId="173" fontId="25" fillId="13" borderId="0"/>
    <xf numFmtId="173" fontId="25" fillId="13" borderId="0">
      <alignment horizontal="center" vertical="top"/>
    </xf>
    <xf numFmtId="173" fontId="25" fillId="0" borderId="10"/>
    <xf numFmtId="173" fontId="25" fillId="13" borderId="0">
      <alignment horizontal="center" vertical="top"/>
    </xf>
    <xf numFmtId="173" fontId="25" fillId="13" borderId="0">
      <alignment horizontal="right" vertical="top"/>
    </xf>
    <xf numFmtId="171" fontId="25" fillId="13" borderId="0">
      <alignment horizontal="center" vertical="top"/>
    </xf>
    <xf numFmtId="171" fontId="26" fillId="0" borderId="0">
      <alignment horizontal="right"/>
    </xf>
    <xf numFmtId="43" fontId="25" fillId="13" borderId="0">
      <alignment horizontal="center" vertical="top"/>
    </xf>
    <xf numFmtId="236" fontId="25" fillId="13" borderId="0">
      <alignment horizontal="center" vertical="top"/>
    </xf>
    <xf numFmtId="237" fontId="25" fillId="13" borderId="0">
      <alignment horizontal="center" vertical="top"/>
    </xf>
    <xf numFmtId="237" fontId="25" fillId="13" borderId="0">
      <alignment horizontal="center" vertical="top" wrapText="1"/>
    </xf>
    <xf numFmtId="173" fontId="25" fillId="13" borderId="0">
      <alignment horizontal="left" vertical="top"/>
    </xf>
    <xf numFmtId="43" fontId="25" fillId="13" borderId="0">
      <alignment horizontal="left" vertical="top"/>
    </xf>
    <xf numFmtId="43" fontId="25" fillId="13" borderId="0"/>
    <xf numFmtId="173" fontId="25" fillId="14" borderId="0">
      <alignment horizontal="center" vertical="top"/>
    </xf>
    <xf numFmtId="173" fontId="25" fillId="14" borderId="0">
      <alignment horizontal="right" vertical="top"/>
    </xf>
    <xf numFmtId="171" fontId="25" fillId="14" borderId="0">
      <alignment horizontal="center" vertical="top"/>
    </xf>
    <xf numFmtId="173" fontId="25" fillId="0" borderId="0">
      <alignment horizontal="right"/>
    </xf>
    <xf numFmtId="43" fontId="25" fillId="14" borderId="0">
      <alignment horizontal="center" vertical="top"/>
    </xf>
    <xf numFmtId="236" fontId="25" fillId="14" borderId="0">
      <alignment horizontal="center" vertical="top"/>
    </xf>
    <xf numFmtId="237" fontId="25" fillId="14" borderId="0">
      <alignment horizontal="center" vertical="top"/>
    </xf>
    <xf numFmtId="237" fontId="25" fillId="14" borderId="0">
      <alignment horizontal="center" vertical="top" wrapText="1"/>
    </xf>
    <xf numFmtId="173" fontId="25" fillId="14" borderId="0">
      <alignment horizontal="center" vertical="top"/>
    </xf>
    <xf numFmtId="173" fontId="25" fillId="14" borderId="0">
      <alignment horizontal="left" vertical="top"/>
    </xf>
    <xf numFmtId="173" fontId="25" fillId="14" borderId="0"/>
    <xf numFmtId="43" fontId="25" fillId="14" borderId="0">
      <alignment horizontal="left" vertical="top"/>
    </xf>
    <xf numFmtId="236" fontId="25" fillId="14" borderId="0">
      <alignment horizontal="center" vertical="top"/>
    </xf>
    <xf numFmtId="237" fontId="78" fillId="14" borderId="0">
      <alignment horizontal="center" wrapText="1"/>
    </xf>
    <xf numFmtId="173" fontId="25" fillId="0" borderId="0"/>
    <xf numFmtId="173" fontId="25" fillId="14" borderId="0">
      <alignment horizontal="left" vertical="top"/>
    </xf>
    <xf numFmtId="173" fontId="25" fillId="14" borderId="0">
      <alignment horizontal="right"/>
    </xf>
    <xf numFmtId="173" fontId="25" fillId="14" borderId="0">
      <alignment horizontal="right"/>
    </xf>
    <xf numFmtId="4" fontId="58" fillId="14" borderId="0">
      <alignment horizontal="right" vertical="top"/>
    </xf>
    <xf numFmtId="43" fontId="25" fillId="14" borderId="0">
      <alignment horizontal="center" vertical="top"/>
    </xf>
    <xf numFmtId="237" fontId="25" fillId="14" borderId="0">
      <alignment horizontal="center" vertical="top" wrapText="1"/>
    </xf>
    <xf numFmtId="43" fontId="25" fillId="14" borderId="0">
      <alignment horizontal="left" vertical="top"/>
    </xf>
    <xf numFmtId="173" fontId="26" fillId="6" borderId="9">
      <alignment horizontal="right" wrapText="1"/>
    </xf>
    <xf numFmtId="173" fontId="26" fillId="6" borderId="9">
      <alignment horizontal="center" wrapText="1"/>
    </xf>
    <xf numFmtId="171" fontId="26" fillId="6" borderId="9">
      <alignment horizontal="right" wrapText="1"/>
    </xf>
    <xf numFmtId="43" fontId="26" fillId="6" borderId="9">
      <alignment horizontal="center" wrapText="1"/>
    </xf>
    <xf numFmtId="236" fontId="26" fillId="6" borderId="9">
      <alignment horizontal="center" wrapText="1"/>
    </xf>
    <xf numFmtId="236" fontId="26" fillId="6" borderId="9">
      <alignment horizontal="center" wrapText="1"/>
    </xf>
    <xf numFmtId="208" fontId="27" fillId="0" borderId="0">
      <alignment horizontal="left" vertical="center" wrapText="1"/>
    </xf>
    <xf numFmtId="173" fontId="25" fillId="0" borderId="0">
      <alignment horizontal="right"/>
    </xf>
    <xf numFmtId="173" fontId="25" fillId="0" borderId="0"/>
    <xf numFmtId="171" fontId="25" fillId="0" borderId="0">
      <alignment horizontal="right"/>
    </xf>
    <xf numFmtId="43" fontId="25" fillId="0" borderId="0">
      <alignment horizontal="center"/>
    </xf>
    <xf numFmtId="236" fontId="25" fillId="0" borderId="0"/>
    <xf numFmtId="236" fontId="25" fillId="0" borderId="0">
      <alignment wrapText="1"/>
    </xf>
    <xf numFmtId="171" fontId="25" fillId="0" borderId="0">
      <alignment horizontal="center" vertical="top"/>
    </xf>
    <xf numFmtId="173" fontId="25" fillId="0" borderId="0">
      <alignment horizontal="center" vertical="top"/>
    </xf>
    <xf numFmtId="173" fontId="25" fillId="0" borderId="0">
      <alignment horizontal="center" vertical="top"/>
    </xf>
    <xf numFmtId="173" fontId="25" fillId="0" borderId="0">
      <alignment horizontal="left" vertical="top"/>
    </xf>
    <xf numFmtId="173" fontId="25" fillId="0" borderId="0">
      <alignment horizontal="right" vertical="center" wrapText="1"/>
    </xf>
    <xf numFmtId="173" fontId="25" fillId="0" borderId="0">
      <alignment horizontal="right" vertical="top"/>
    </xf>
    <xf numFmtId="171" fontId="25" fillId="0" borderId="0">
      <alignment horizontal="center" vertical="top"/>
    </xf>
    <xf numFmtId="171" fontId="78" fillId="0" borderId="0">
      <alignment horizontal="right"/>
    </xf>
    <xf numFmtId="43" fontId="78" fillId="0" borderId="0">
      <alignment horizontal="center"/>
    </xf>
    <xf numFmtId="236" fontId="78" fillId="0" borderId="0"/>
    <xf numFmtId="237" fontId="78" fillId="0" borderId="0">
      <alignment horizontal="center"/>
    </xf>
    <xf numFmtId="237" fontId="78" fillId="0" borderId="0">
      <alignment horizontal="center" wrapText="1"/>
    </xf>
    <xf numFmtId="236" fontId="78" fillId="0" borderId="0">
      <alignment wrapText="1"/>
    </xf>
    <xf numFmtId="43" fontId="58" fillId="0" borderId="0">
      <alignment horizontal="center"/>
    </xf>
    <xf numFmtId="43" fontId="58" fillId="0" borderId="0"/>
    <xf numFmtId="173" fontId="25" fillId="0" borderId="0">
      <alignment horizontal="center" vertical="center" wrapText="1"/>
    </xf>
    <xf numFmtId="43" fontId="58" fillId="0" borderId="17">
      <alignment horizontal="center" vertical="center"/>
    </xf>
    <xf numFmtId="43" fontId="58" fillId="0" borderId="12">
      <alignment horizontal="center" vertical="center"/>
    </xf>
    <xf numFmtId="43" fontId="82" fillId="0" borderId="12">
      <alignment horizontal="center" vertical="center"/>
    </xf>
    <xf numFmtId="43" fontId="82" fillId="0" borderId="13">
      <alignment horizontal="center"/>
    </xf>
    <xf numFmtId="43" fontId="82" fillId="0" borderId="0">
      <alignment horizontal="center"/>
    </xf>
    <xf numFmtId="2" fontId="82" fillId="0" borderId="0">
      <alignment horizontal="center"/>
    </xf>
    <xf numFmtId="43" fontId="82" fillId="0" borderId="14">
      <alignment horizontal="center"/>
    </xf>
    <xf numFmtId="43" fontId="82" fillId="0" borderId="0">
      <alignment horizontal="center"/>
    </xf>
    <xf numFmtId="173" fontId="82" fillId="0" borderId="0">
      <alignment horizontal="center" wrapText="1"/>
    </xf>
    <xf numFmtId="173" fontId="82" fillId="0" borderId="3">
      <alignment horizontal="center" wrapText="1"/>
    </xf>
    <xf numFmtId="171" fontId="25" fillId="0" borderId="0">
      <alignment horizontal="right" vertical="center" wrapText="1"/>
    </xf>
    <xf numFmtId="166" fontId="82" fillId="0" borderId="3">
      <alignment horizontal="center" wrapText="1"/>
    </xf>
    <xf numFmtId="43" fontId="90" fillId="0" borderId="0">
      <alignment horizontal="left"/>
    </xf>
    <xf numFmtId="43" fontId="82" fillId="0" borderId="0">
      <alignment horizontal="center" wrapText="1"/>
    </xf>
    <xf numFmtId="43" fontId="82" fillId="0" borderId="0">
      <alignment wrapText="1"/>
    </xf>
    <xf numFmtId="43" fontId="82" fillId="6" borderId="9">
      <alignment horizontal="right" wrapText="1"/>
    </xf>
    <xf numFmtId="43" fontId="82" fillId="6" borderId="9">
      <alignment horizontal="center" wrapText="1"/>
    </xf>
    <xf numFmtId="173" fontId="5" fillId="0" borderId="0"/>
    <xf numFmtId="173" fontId="5" fillId="0" borderId="0">
      <alignment horizontal="center"/>
    </xf>
    <xf numFmtId="173" fontId="5" fillId="0" borderId="0">
      <alignment horizontal="left"/>
    </xf>
    <xf numFmtId="173" fontId="5" fillId="0" borderId="0">
      <alignment horizontal="center"/>
    </xf>
    <xf numFmtId="43" fontId="26" fillId="0" borderId="0">
      <alignment horizontal="center" vertical="center" wrapText="1"/>
    </xf>
    <xf numFmtId="173" fontId="23" fillId="0" borderId="0">
      <alignment horizontal="center"/>
    </xf>
    <xf numFmtId="173" fontId="5" fillId="0" borderId="0"/>
    <xf numFmtId="173" fontId="83" fillId="0" borderId="0">
      <alignment horizontal="left" vertical="center"/>
    </xf>
    <xf numFmtId="173" fontId="26" fillId="0" borderId="27"/>
    <xf numFmtId="173" fontId="26" fillId="0" borderId="0"/>
    <xf numFmtId="43" fontId="26" fillId="0" borderId="0"/>
    <xf numFmtId="43" fontId="26" fillId="0" borderId="0">
      <alignment horizontal="center"/>
    </xf>
    <xf numFmtId="173" fontId="26" fillId="0" borderId="0">
      <alignment horizontal="center"/>
    </xf>
    <xf numFmtId="173" fontId="26" fillId="6" borderId="24">
      <alignment horizontal="center"/>
    </xf>
    <xf numFmtId="49" fontId="25" fillId="0" borderId="0">
      <alignment horizontal="left"/>
    </xf>
    <xf numFmtId="236" fontId="26" fillId="0" borderId="0">
      <alignment horizontal="center" vertical="center" wrapText="1"/>
    </xf>
    <xf numFmtId="49" fontId="25" fillId="0" borderId="13">
      <alignment horizontal="left"/>
    </xf>
    <xf numFmtId="49" fontId="25" fillId="0" borderId="15">
      <alignment horizontal="left"/>
    </xf>
    <xf numFmtId="173" fontId="80" fillId="0" borderId="14"/>
    <xf numFmtId="49" fontId="25" fillId="0" borderId="14">
      <alignment horizontal="left"/>
    </xf>
    <xf numFmtId="173" fontId="5" fillId="0" borderId="0">
      <alignment horizontal="center"/>
    </xf>
    <xf numFmtId="173" fontId="5" fillId="0" borderId="0"/>
    <xf numFmtId="173" fontId="5" fillId="0" borderId="0"/>
    <xf numFmtId="173" fontId="23" fillId="0" borderId="0">
      <alignment horizontal="right"/>
    </xf>
    <xf numFmtId="173" fontId="23" fillId="0" borderId="0">
      <alignment horizontal="center"/>
    </xf>
    <xf numFmtId="173" fontId="23" fillId="0" borderId="3"/>
    <xf numFmtId="173" fontId="26" fillId="0" borderId="0">
      <alignment horizontal="left" vertical="center" wrapText="1"/>
    </xf>
    <xf numFmtId="173" fontId="23" fillId="0" borderId="3">
      <alignment horizontal="center"/>
    </xf>
    <xf numFmtId="173" fontId="23" fillId="0" borderId="3">
      <alignment horizontal="center" wrapText="1"/>
    </xf>
    <xf numFmtId="173" fontId="23" fillId="0" borderId="0"/>
    <xf numFmtId="173" fontId="23" fillId="0" borderId="3">
      <alignment horizontal="center" wrapText="1"/>
    </xf>
    <xf numFmtId="173" fontId="23" fillId="0" borderId="0">
      <alignment horizontal="center"/>
    </xf>
    <xf numFmtId="173" fontId="23" fillId="0" borderId="3">
      <alignment horizontal="center"/>
    </xf>
    <xf numFmtId="173" fontId="23" fillId="0" borderId="0"/>
    <xf numFmtId="173" fontId="23" fillId="0" borderId="3">
      <alignment horizontal="left" wrapText="1"/>
    </xf>
    <xf numFmtId="237" fontId="5" fillId="0" borderId="0">
      <alignment horizontal="center"/>
    </xf>
    <xf numFmtId="237" fontId="5" fillId="0" borderId="0">
      <alignment horizontal="left"/>
    </xf>
    <xf numFmtId="0" fontId="91" fillId="0" borderId="0"/>
    <xf numFmtId="10" fontId="9" fillId="0" borderId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228" fontId="9" fillId="0" borderId="0"/>
    <xf numFmtId="0" fontId="92" fillId="6" borderId="0"/>
    <xf numFmtId="0" fontId="57" fillId="0" borderId="0" applyNumberFormat="0" applyFont="0" applyFill="0" applyBorder="0" applyAlignment="0" applyProtection="0">
      <alignment horizontal="left"/>
    </xf>
    <xf numFmtId="15" fontId="57" fillId="0" borderId="0" applyFont="0" applyFill="0" applyBorder="0" applyAlignment="0" applyProtection="0"/>
    <xf numFmtId="4" fontId="57" fillId="0" borderId="0" applyFont="0" applyFill="0" applyBorder="0" applyAlignment="0" applyProtection="0"/>
    <xf numFmtId="0" fontId="93" fillId="0" borderId="10">
      <alignment horizontal="center"/>
    </xf>
    <xf numFmtId="3" fontId="57" fillId="0" borderId="0" applyFont="0" applyFill="0" applyBorder="0" applyAlignment="0" applyProtection="0"/>
    <xf numFmtId="0" fontId="57" fillId="20" borderId="0" applyNumberFormat="0" applyFont="0" applyBorder="0" applyAlignment="0" applyProtection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246" fontId="94" fillId="0" borderId="0"/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95" fillId="21" borderId="0" applyNumberFormat="0" applyFont="0" applyBorder="0" applyAlignment="0">
      <alignment horizontal="center"/>
    </xf>
    <xf numFmtId="14" fontId="44" fillId="0" borderId="0" applyNumberFormat="0" applyFill="0" applyBorder="0" applyAlignment="0" applyProtection="0">
      <alignment horizontal="left"/>
    </xf>
    <xf numFmtId="49" fontId="5" fillId="0" borderId="0" applyFont="0" applyFill="0" applyBorder="0" applyProtection="0">
      <alignment horizontal="right"/>
    </xf>
    <xf numFmtId="49" fontId="23" fillId="0" borderId="0" applyFill="0" applyBorder="0" applyProtection="0">
      <alignment horizontal="right"/>
    </xf>
    <xf numFmtId="49" fontId="23" fillId="0" borderId="3" applyFill="0" applyProtection="0">
      <alignment horizontal="right"/>
    </xf>
    <xf numFmtId="49" fontId="23" fillId="0" borderId="12" applyFill="0" applyProtection="0">
      <alignment horizontal="right"/>
    </xf>
    <xf numFmtId="0" fontId="67" fillId="0" borderId="0" applyFill="0" applyBorder="0" applyProtection="0">
      <alignment horizontal="left"/>
    </xf>
    <xf numFmtId="0" fontId="16" fillId="22" borderId="0"/>
    <xf numFmtId="0" fontId="95" fillId="1" borderId="8" applyNumberFormat="0" applyFont="0" applyAlignment="0">
      <alignment horizontal="center"/>
    </xf>
    <xf numFmtId="247" fontId="96" fillId="0" borderId="0" applyFont="0" applyFill="0" applyBorder="0" applyAlignment="0" applyProtection="0"/>
    <xf numFmtId="1" fontId="9" fillId="0" borderId="0"/>
    <xf numFmtId="0" fontId="5" fillId="0" borderId="0" applyFont="0" applyFill="0" applyBorder="0" applyAlignment="0" applyProtection="0"/>
    <xf numFmtId="0" fontId="23" fillId="0" borderId="0" applyFill="0" applyBorder="0" applyAlignment="0" applyProtection="0"/>
    <xf numFmtId="42" fontId="24" fillId="0" borderId="0" applyFill="0" applyBorder="0" applyAlignment="0" applyProtection="0"/>
    <xf numFmtId="0" fontId="97" fillId="0" borderId="0" applyNumberFormat="0" applyFill="0" applyBorder="0" applyAlignment="0">
      <alignment horizontal="center"/>
    </xf>
    <xf numFmtId="12" fontId="9" fillId="0" borderId="0" applyFont="0" applyFill="0" applyBorder="0" applyProtection="0">
      <alignment horizontal="right"/>
    </xf>
    <xf numFmtId="0" fontId="9" fillId="23" borderId="0" applyFont="0" applyFill="0" applyBorder="0" applyProtection="0">
      <alignment horizontal="right"/>
    </xf>
    <xf numFmtId="0" fontId="7" fillId="0" borderId="0">
      <alignment vertical="top"/>
    </xf>
    <xf numFmtId="0" fontId="82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Fill="0" applyBorder="0" applyProtection="0">
      <alignment horizontal="left" wrapText="1"/>
    </xf>
    <xf numFmtId="0" fontId="26" fillId="0" borderId="0" applyNumberFormat="0" applyFill="0" applyBorder="0" applyProtection="0">
      <alignment horizontal="right" wrapText="1"/>
    </xf>
    <xf numFmtId="1" fontId="25" fillId="0" borderId="0" applyFill="0" applyBorder="0" applyProtection="0">
      <alignment horizontal="left"/>
    </xf>
    <xf numFmtId="49" fontId="25" fillId="0" borderId="0" applyFill="0" applyBorder="0" applyProtection="0">
      <alignment horizontal="left"/>
    </xf>
    <xf numFmtId="1" fontId="25" fillId="0" borderId="0" applyFill="0" applyBorder="0" applyProtection="0">
      <alignment horizontal="center"/>
    </xf>
    <xf numFmtId="37" fontId="25" fillId="0" borderId="0" applyFill="0" applyBorder="0" applyProtection="0">
      <alignment horizontal="right"/>
    </xf>
    <xf numFmtId="7" fontId="25" fillId="0" borderId="0" applyFill="0" applyBorder="0" applyProtection="0">
      <alignment horizontal="right"/>
    </xf>
    <xf numFmtId="248" fontId="25" fillId="0" borderId="0" applyFill="0" applyBorder="0" applyProtection="0">
      <alignment horizontal="left"/>
    </xf>
    <xf numFmtId="37" fontId="26" fillId="0" borderId="0" applyFill="0" applyBorder="0" applyProtection="0">
      <alignment horizontal="right"/>
    </xf>
    <xf numFmtId="7" fontId="26" fillId="0" borderId="0" applyFill="0" applyBorder="0" applyProtection="0">
      <alignment horizontal="right"/>
    </xf>
    <xf numFmtId="249" fontId="25" fillId="0" borderId="0" applyFill="0" applyBorder="0" applyProtection="0">
      <alignment horizontal="right"/>
    </xf>
    <xf numFmtId="250" fontId="25" fillId="0" borderId="0" applyFill="0" applyBorder="0" applyProtection="0">
      <alignment horizontal="right"/>
    </xf>
    <xf numFmtId="251" fontId="25" fillId="0" borderId="0" applyFill="0" applyBorder="0" applyProtection="0">
      <alignment horizontal="right"/>
    </xf>
    <xf numFmtId="14" fontId="25" fillId="0" borderId="0" applyFill="0" applyBorder="0" applyProtection="0">
      <alignment horizontal="right"/>
    </xf>
    <xf numFmtId="14" fontId="25" fillId="0" borderId="0" applyFill="0" applyBorder="0" applyProtection="0">
      <alignment horizontal="right"/>
    </xf>
    <xf numFmtId="252" fontId="25" fillId="0" borderId="0" applyFill="0" applyBorder="0" applyProtection="0">
      <alignment horizontal="left"/>
    </xf>
    <xf numFmtId="253" fontId="25" fillId="0" borderId="0" applyFill="0" applyBorder="0" applyProtection="0">
      <alignment horizontal="left"/>
    </xf>
    <xf numFmtId="249" fontId="26" fillId="0" borderId="0" applyFill="0" applyBorder="0" applyProtection="0">
      <alignment horizontal="right"/>
    </xf>
    <xf numFmtId="1" fontId="26" fillId="0" borderId="0" applyFill="0" applyBorder="0" applyProtection="0">
      <alignment horizontal="left"/>
    </xf>
    <xf numFmtId="248" fontId="26" fillId="0" borderId="0" applyFill="0" applyBorder="0" applyProtection="0">
      <alignment horizontal="left"/>
    </xf>
    <xf numFmtId="37" fontId="26" fillId="0" borderId="0" applyFill="0" applyBorder="0" applyProtection="0">
      <alignment horizontal="right"/>
    </xf>
    <xf numFmtId="1" fontId="98" fillId="0" borderId="0" applyFill="0" applyBorder="0" applyProtection="0">
      <alignment horizontal="left"/>
    </xf>
    <xf numFmtId="49" fontId="25" fillId="0" borderId="0" applyFill="0" applyBorder="0" applyProtection="0">
      <alignment horizontal="left"/>
    </xf>
    <xf numFmtId="253" fontId="25" fillId="0" borderId="0" applyFill="0" applyBorder="0" applyProtection="0">
      <alignment horizontal="left"/>
    </xf>
    <xf numFmtId="0" fontId="7" fillId="0" borderId="0" applyNumberFormat="0" applyBorder="0" applyAlignment="0"/>
    <xf numFmtId="0" fontId="17" fillId="0" borderId="0"/>
    <xf numFmtId="40" fontId="99" fillId="0" borderId="0" applyBorder="0">
      <alignment horizontal="right"/>
    </xf>
    <xf numFmtId="6" fontId="73" fillId="0" borderId="36" applyFill="0">
      <alignment vertical="center"/>
    </xf>
    <xf numFmtId="0" fontId="18" fillId="0" borderId="0"/>
    <xf numFmtId="0" fontId="100" fillId="0" borderId="0"/>
    <xf numFmtId="0" fontId="5" fillId="0" borderId="0"/>
    <xf numFmtId="49" fontId="7" fillId="0" borderId="0" applyFill="0" applyBorder="0" applyAlignment="0"/>
    <xf numFmtId="0" fontId="29" fillId="0" borderId="0" applyFill="0" applyBorder="0" applyAlignment="0"/>
    <xf numFmtId="202" fontId="9" fillId="0" borderId="0" applyFill="0" applyBorder="0" applyAlignment="0"/>
    <xf numFmtId="0" fontId="19" fillId="0" borderId="0"/>
    <xf numFmtId="0" fontId="20" fillId="0" borderId="0"/>
    <xf numFmtId="0" fontId="21" fillId="0" borderId="0">
      <alignment vertical="top"/>
    </xf>
    <xf numFmtId="254" fontId="73" fillId="0" borderId="0" applyFill="0" applyBorder="0">
      <alignment vertical="center"/>
    </xf>
    <xf numFmtId="0" fontId="2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38" fontId="101" fillId="0" borderId="0" applyNumberFormat="0" applyFill="0" applyBorder="0">
      <alignment horizontal="left" vertical="center"/>
    </xf>
    <xf numFmtId="38" fontId="102" fillId="0" borderId="0" applyNumberFormat="0" applyFill="0" applyBorder="0">
      <alignment horizontal="centerContinuous" vertical="center"/>
    </xf>
    <xf numFmtId="0" fontId="22" fillId="0" borderId="0">
      <alignment vertical="top"/>
    </xf>
    <xf numFmtId="0" fontId="103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8" fillId="0" borderId="0" applyFill="0" applyBorder="0" applyAlignment="0" applyProtection="0"/>
    <xf numFmtId="0" fontId="19" fillId="0" borderId="0">
      <alignment wrapText="1"/>
    </xf>
    <xf numFmtId="0" fontId="104" fillId="0" borderId="0">
      <alignment horizontal="left"/>
      <protection locked="0"/>
    </xf>
    <xf numFmtId="5" fontId="89" fillId="0" borderId="0">
      <alignment vertical="center"/>
    </xf>
    <xf numFmtId="224" fontId="29" fillId="0" borderId="0"/>
    <xf numFmtId="255" fontId="30" fillId="0" borderId="0" applyFill="0" applyBorder="0" applyAlignment="0" applyProtection="0"/>
    <xf numFmtId="14" fontId="25" fillId="0" borderId="0" applyFont="0" applyFill="0" applyBorder="0" applyProtection="0"/>
    <xf numFmtId="256" fontId="105" fillId="0" borderId="0" applyFill="0" applyBorder="0">
      <alignment vertical="center"/>
    </xf>
    <xf numFmtId="0" fontId="73" fillId="24" borderId="37" applyNumberFormat="0" applyFont="0" applyBorder="0" applyAlignment="0" applyProtection="0">
      <alignment horizontal="right"/>
    </xf>
    <xf numFmtId="257" fontId="24" fillId="0" borderId="0" applyFont="0" applyFill="0" applyBorder="0" applyAlignment="0" applyProtection="0"/>
    <xf numFmtId="256" fontId="106" fillId="0" borderId="0">
      <alignment horizontal="center"/>
    </xf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 applyNumberFormat="0" applyFill="0" applyBorder="0" applyAlignment="0" applyProtection="0">
      <alignment horizontal="left" wrapText="1"/>
    </xf>
    <xf numFmtId="0" fontId="4" fillId="0" borderId="0" applyNumberFormat="0" applyFill="0" applyBorder="0" applyAlignment="0" applyProtection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vertical="top"/>
    </xf>
    <xf numFmtId="0" fontId="4" fillId="0" borderId="0" applyNumberFormat="0" applyFill="0" applyBorder="0" applyAlignment="0" applyProtection="0">
      <alignment horizontal="left" wrapText="1"/>
    </xf>
    <xf numFmtId="0" fontId="4" fillId="0" borderId="0">
      <alignment vertical="top"/>
    </xf>
    <xf numFmtId="17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39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2" borderId="0" applyNumberFormat="0" applyFont="0" applyAlignment="0" applyProtection="0"/>
    <xf numFmtId="0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4" fillId="0" borderId="0" applyFont="0" applyFill="0" applyBorder="0" applyProtection="0">
      <alignment horizontal="right"/>
    </xf>
    <xf numFmtId="186" fontId="4" fillId="0" borderId="0" applyFont="0" applyFill="0" applyBorder="0" applyAlignment="0" applyProtection="0"/>
    <xf numFmtId="0" fontId="4" fillId="0" borderId="0">
      <alignment horizontal="left" wrapText="1"/>
    </xf>
    <xf numFmtId="0" fontId="4" fillId="0" borderId="0">
      <alignment horizontal="left" wrapText="1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 applyFont="0" applyFill="0" applyBorder="0" applyAlignment="0" applyProtection="0"/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0" fontId="4" fillId="0" borderId="0">
      <alignment horizontal="left" wrapText="1"/>
    </xf>
    <xf numFmtId="42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202" fontId="4" fillId="0" borderId="0" applyFill="0" applyBorder="0" applyAlignment="0"/>
    <xf numFmtId="8" fontId="4" fillId="0" borderId="5" applyFont="0" applyFill="0" applyBorder="0" applyProtection="0">
      <alignment horizontal="right"/>
    </xf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40" fontId="4" fillId="0" borderId="0" applyFont="0" applyFill="0" applyBorder="0" applyProtection="0">
      <alignment horizontal="right"/>
    </xf>
    <xf numFmtId="3" fontId="4" fillId="0" borderId="0" applyFill="0" applyBorder="0" applyAlignment="0" applyProtection="0"/>
    <xf numFmtId="7" fontId="4" fillId="0" borderId="0" applyFont="0" applyFill="0" applyBorder="0" applyAlignment="0" applyProtection="0"/>
    <xf numFmtId="207" fontId="4" fillId="0" borderId="0" applyNumberFormat="0">
      <alignment horizontal="right"/>
    </xf>
    <xf numFmtId="15" fontId="4" fillId="0" borderId="0" applyFont="0" applyFill="0" applyBorder="0" applyProtection="0">
      <alignment horizontal="right"/>
    </xf>
    <xf numFmtId="0" fontId="4" fillId="0" borderId="0">
      <alignment horizontal="left"/>
    </xf>
    <xf numFmtId="210" fontId="4" fillId="0" borderId="0" applyFont="0" applyFill="0" applyBorder="0" applyAlignment="0" applyProtection="0"/>
    <xf numFmtId="0" fontId="4" fillId="0" borderId="0">
      <alignment horizontal="center"/>
    </xf>
    <xf numFmtId="0" fontId="4" fillId="0" borderId="0">
      <alignment horizontal="left"/>
    </xf>
    <xf numFmtId="0" fontId="4" fillId="0" borderId="0">
      <alignment horizontal="right"/>
    </xf>
    <xf numFmtId="166" fontId="4" fillId="0" borderId="0" applyNumberFormat="0" applyFont="0" applyFill="0" applyBorder="0" applyAlignment="0"/>
    <xf numFmtId="7" fontId="4" fillId="0" borderId="0"/>
    <xf numFmtId="223" fontId="4" fillId="0" borderId="0"/>
    <xf numFmtId="0" fontId="4" fillId="0" borderId="0" applyNumberFormat="0" applyFill="0" applyBorder="0" applyAlignment="0" applyProtection="0"/>
    <xf numFmtId="10" fontId="4" fillId="0" borderId="0" applyFont="0" applyFill="0" applyBorder="0" applyAlignment="0" applyProtection="0"/>
    <xf numFmtId="0" fontId="4" fillId="0" borderId="0" applyFont="0" applyFill="0" applyBorder="0" applyProtection="0">
      <alignment horizontal="right"/>
    </xf>
    <xf numFmtId="10" fontId="4" fillId="0" borderId="0"/>
    <xf numFmtId="228" fontId="4" fillId="0" borderId="0"/>
    <xf numFmtId="0" fontId="4" fillId="0" borderId="0" applyFont="0" applyFill="0" applyBorder="0" applyProtection="0">
      <alignment horizontal="right"/>
    </xf>
    <xf numFmtId="0" fontId="4" fillId="0" borderId="0" applyFont="0" applyFill="0" applyBorder="0" applyProtection="0">
      <alignment horizontal="right"/>
    </xf>
    <xf numFmtId="1" fontId="4" fillId="0" borderId="0"/>
    <xf numFmtId="12" fontId="4" fillId="0" borderId="0" applyFont="0" applyFill="0" applyBorder="0" applyProtection="0">
      <alignment horizontal="right"/>
    </xf>
    <xf numFmtId="0" fontId="4" fillId="23" borderId="0" applyFont="0" applyFill="0" applyBorder="0" applyProtection="0">
      <alignment horizontal="right"/>
    </xf>
    <xf numFmtId="202" fontId="4" fillId="0" borderId="0" applyFill="0" applyBorder="0" applyAlignment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90">
    <xf numFmtId="0" fontId="0" fillId="0" borderId="0" xfId="0"/>
    <xf numFmtId="0" fontId="3" fillId="0" borderId="0" xfId="894"/>
    <xf numFmtId="0" fontId="112" fillId="0" borderId="0" xfId="896" applyFont="1"/>
    <xf numFmtId="0" fontId="115" fillId="0" borderId="0" xfId="896" applyFont="1"/>
    <xf numFmtId="173" fontId="119" fillId="0" borderId="0" xfId="895" applyNumberFormat="1" applyFont="1" applyFill="1"/>
    <xf numFmtId="0" fontId="119" fillId="0" borderId="0" xfId="896" applyFont="1"/>
    <xf numFmtId="0" fontId="108" fillId="0" borderId="0" xfId="896" applyFont="1"/>
    <xf numFmtId="166" fontId="108" fillId="0" borderId="0" xfId="894" applyNumberFormat="1" applyFont="1"/>
    <xf numFmtId="259" fontId="112" fillId="0" borderId="0" xfId="896" applyNumberFormat="1" applyFont="1"/>
    <xf numFmtId="171" fontId="112" fillId="0" borderId="0" xfId="895" applyNumberFormat="1" applyFont="1" applyFill="1" applyBorder="1"/>
    <xf numFmtId="259" fontId="112" fillId="0" borderId="8" xfId="896" applyNumberFormat="1" applyFont="1" applyBorder="1"/>
    <xf numFmtId="171" fontId="112" fillId="0" borderId="8" xfId="895" applyNumberFormat="1" applyFont="1" applyFill="1" applyBorder="1"/>
    <xf numFmtId="171" fontId="108" fillId="0" borderId="0" xfId="895" applyNumberFormat="1" applyFont="1" applyFill="1"/>
    <xf numFmtId="0" fontId="108" fillId="0" borderId="0" xfId="896" applyFont="1" applyAlignment="1">
      <alignment horizontal="left" wrapText="1"/>
    </xf>
    <xf numFmtId="0" fontId="112" fillId="0" borderId="0" xfId="896" applyFont="1" applyAlignment="1">
      <alignment horizontal="right" wrapText="1"/>
    </xf>
    <xf numFmtId="0" fontId="112" fillId="0" borderId="0" xfId="896" applyFont="1" applyAlignment="1">
      <alignment wrapText="1"/>
    </xf>
    <xf numFmtId="0" fontId="108" fillId="0" borderId="0" xfId="894" applyFont="1"/>
    <xf numFmtId="170" fontId="108" fillId="0" borderId="0" xfId="897" applyNumberFormat="1" applyFont="1" applyFill="1" applyBorder="1"/>
    <xf numFmtId="0" fontId="108" fillId="0" borderId="0" xfId="894" applyFont="1" applyAlignment="1">
      <alignment horizontal="right"/>
    </xf>
    <xf numFmtId="0" fontId="112" fillId="0" borderId="0" xfId="894" applyFont="1"/>
    <xf numFmtId="259" fontId="112" fillId="0" borderId="0" xfId="894" applyNumberFormat="1" applyFont="1" applyAlignment="1">
      <alignment horizontal="right"/>
    </xf>
    <xf numFmtId="259" fontId="108" fillId="0" borderId="0" xfId="894" applyNumberFormat="1" applyFont="1" applyAlignment="1">
      <alignment horizontal="right"/>
    </xf>
    <xf numFmtId="171" fontId="108" fillId="0" borderId="0" xfId="895" applyNumberFormat="1" applyFont="1" applyFill="1" applyBorder="1" applyAlignment="1">
      <alignment horizontal="right"/>
    </xf>
    <xf numFmtId="171" fontId="112" fillId="0" borderId="39" xfId="895" applyNumberFormat="1" applyFont="1" applyFill="1" applyBorder="1" applyAlignment="1">
      <alignment horizontal="right"/>
    </xf>
    <xf numFmtId="0" fontId="112" fillId="0" borderId="39" xfId="894" applyFont="1" applyBorder="1"/>
    <xf numFmtId="171" fontId="112" fillId="0" borderId="0" xfId="895" applyNumberFormat="1" applyFont="1" applyFill="1" applyBorder="1" applyAlignment="1">
      <alignment horizontal="right"/>
    </xf>
    <xf numFmtId="171" fontId="108" fillId="0" borderId="0" xfId="895" applyNumberFormat="1" applyFont="1"/>
    <xf numFmtId="171" fontId="112" fillId="0" borderId="0" xfId="895" applyNumberFormat="1" applyFont="1" applyFill="1"/>
    <xf numFmtId="37" fontId="108" fillId="0" borderId="0" xfId="894" applyNumberFormat="1" applyFont="1" applyAlignment="1">
      <alignment horizontal="right"/>
    </xf>
    <xf numFmtId="0" fontId="113" fillId="0" borderId="0" xfId="894" applyFont="1"/>
    <xf numFmtId="9" fontId="113" fillId="27" borderId="0" xfId="897" applyFont="1" applyFill="1" applyAlignment="1">
      <alignment horizontal="right"/>
    </xf>
    <xf numFmtId="0" fontId="113" fillId="27" borderId="0" xfId="894" applyFont="1" applyFill="1"/>
    <xf numFmtId="166" fontId="112" fillId="0" borderId="39" xfId="894" applyNumberFormat="1" applyFont="1" applyBorder="1"/>
    <xf numFmtId="166" fontId="112" fillId="0" borderId="0" xfId="894" applyNumberFormat="1" applyFont="1" applyAlignment="1">
      <alignment horizontal="right"/>
    </xf>
    <xf numFmtId="0" fontId="113" fillId="27" borderId="0" xfId="894" applyFont="1" applyFill="1" applyAlignment="1">
      <alignment horizontal="left" indent="1"/>
    </xf>
    <xf numFmtId="169" fontId="112" fillId="26" borderId="0" xfId="894" applyNumberFormat="1" applyFont="1" applyFill="1" applyAlignment="1">
      <alignment horizontal="center"/>
    </xf>
    <xf numFmtId="0" fontId="112" fillId="26" borderId="0" xfId="894" applyFont="1" applyFill="1"/>
    <xf numFmtId="0" fontId="109" fillId="0" borderId="0" xfId="894" applyFont="1"/>
    <xf numFmtId="169" fontId="112" fillId="26" borderId="3" xfId="894" applyNumberFormat="1" applyFont="1" applyFill="1" applyBorder="1" applyAlignment="1">
      <alignment horizontal="centerContinuous"/>
    </xf>
    <xf numFmtId="0" fontId="112" fillId="26" borderId="3" xfId="894" applyFont="1" applyFill="1" applyBorder="1"/>
    <xf numFmtId="0" fontId="112" fillId="28" borderId="0" xfId="894" applyFont="1" applyFill="1"/>
    <xf numFmtId="171" fontId="112" fillId="0" borderId="0" xfId="895" applyNumberFormat="1" applyFont="1" applyAlignment="1">
      <alignment horizontal="right"/>
    </xf>
    <xf numFmtId="170" fontId="113" fillId="27" borderId="0" xfId="897" applyNumberFormat="1" applyFont="1" applyFill="1" applyAlignment="1">
      <alignment horizontal="right"/>
    </xf>
    <xf numFmtId="166" fontId="112" fillId="0" borderId="0" xfId="894" applyNumberFormat="1" applyFont="1"/>
    <xf numFmtId="169" fontId="112" fillId="26" borderId="3" xfId="894" applyNumberFormat="1" applyFont="1" applyFill="1" applyBorder="1" applyAlignment="1">
      <alignment horizontal="center"/>
    </xf>
    <xf numFmtId="167" fontId="112" fillId="0" borderId="0" xfId="894" applyNumberFormat="1" applyFont="1"/>
    <xf numFmtId="167" fontId="112" fillId="0" borderId="3" xfId="894" applyNumberFormat="1" applyFont="1" applyBorder="1" applyAlignment="1">
      <alignment horizontal="right"/>
    </xf>
    <xf numFmtId="0" fontId="112" fillId="0" borderId="3" xfId="894" applyFont="1" applyBorder="1"/>
    <xf numFmtId="168" fontId="108" fillId="0" borderId="0" xfId="894" applyNumberFormat="1" applyFont="1"/>
    <xf numFmtId="258" fontId="108" fillId="0" borderId="0" xfId="894" applyNumberFormat="1" applyFont="1"/>
    <xf numFmtId="258" fontId="112" fillId="0" borderId="0" xfId="894" applyNumberFormat="1" applyFont="1"/>
    <xf numFmtId="166" fontId="111" fillId="0" borderId="0" xfId="894" applyNumberFormat="1" applyFont="1"/>
    <xf numFmtId="37" fontId="111" fillId="0" borderId="0" xfId="897" applyNumberFormat="1" applyFont="1" applyFill="1" applyBorder="1"/>
    <xf numFmtId="37" fontId="108" fillId="0" borderId="0" xfId="897" applyNumberFormat="1" applyFont="1" applyFill="1" applyBorder="1"/>
    <xf numFmtId="170" fontId="114" fillId="0" borderId="0" xfId="897" applyNumberFormat="1" applyFont="1" applyFill="1"/>
    <xf numFmtId="170" fontId="114" fillId="0" borderId="0" xfId="897" applyNumberFormat="1" applyFont="1" applyFill="1" applyBorder="1"/>
    <xf numFmtId="0" fontId="113" fillId="27" borderId="0" xfId="894" applyFont="1" applyFill="1" applyAlignment="1">
      <alignment horizontal="left"/>
    </xf>
    <xf numFmtId="9" fontId="108" fillId="0" borderId="0" xfId="897" applyFont="1" applyFill="1" applyBorder="1"/>
    <xf numFmtId="9" fontId="108" fillId="0" borderId="0" xfId="897" applyFont="1" applyFill="1"/>
    <xf numFmtId="166" fontId="115" fillId="0" borderId="0" xfId="894" applyNumberFormat="1" applyFont="1"/>
    <xf numFmtId="0" fontId="112" fillId="0" borderId="0" xfId="894" applyFont="1" applyAlignment="1">
      <alignment horizontal="left"/>
    </xf>
    <xf numFmtId="0" fontId="119" fillId="0" borderId="0" xfId="894" applyFont="1"/>
    <xf numFmtId="0" fontId="108" fillId="0" borderId="0" xfId="894" applyFont="1" applyAlignment="1">
      <alignment horizontal="left"/>
    </xf>
    <xf numFmtId="166" fontId="116" fillId="0" borderId="0" xfId="894" applyNumberFormat="1" applyFont="1"/>
    <xf numFmtId="170" fontId="114" fillId="27" borderId="0" xfId="897" applyNumberFormat="1" applyFont="1" applyFill="1"/>
    <xf numFmtId="9" fontId="108" fillId="0" borderId="0" xfId="897" applyFont="1"/>
    <xf numFmtId="170" fontId="113" fillId="27" borderId="0" xfId="897" applyNumberFormat="1" applyFont="1" applyFill="1"/>
    <xf numFmtId="170" fontId="114" fillId="27" borderId="0" xfId="897" applyNumberFormat="1" applyFont="1" applyFill="1" applyBorder="1"/>
    <xf numFmtId="0" fontId="108" fillId="0" borderId="0" xfId="894" applyFont="1" applyAlignment="1">
      <alignment horizontal="left" indent="1"/>
    </xf>
    <xf numFmtId="0" fontId="108" fillId="26" borderId="0" xfId="894" applyFont="1" applyFill="1"/>
    <xf numFmtId="0" fontId="108" fillId="26" borderId="3" xfId="894" applyFont="1" applyFill="1" applyBorder="1"/>
    <xf numFmtId="0" fontId="110" fillId="0" borderId="0" xfId="894" applyFont="1"/>
    <xf numFmtId="43" fontId="110" fillId="0" borderId="0" xfId="895" applyFont="1" applyFill="1" applyBorder="1" applyAlignment="1">
      <alignment horizontal="center"/>
    </xf>
    <xf numFmtId="0" fontId="112" fillId="26" borderId="38" xfId="894" applyFont="1" applyFill="1" applyBorder="1" applyAlignment="1">
      <alignment horizontal="center"/>
    </xf>
    <xf numFmtId="0" fontId="108" fillId="0" borderId="0" xfId="898" applyFont="1"/>
    <xf numFmtId="173" fontId="108" fillId="0" borderId="0" xfId="899" applyNumberFormat="1" applyFont="1" applyFill="1" applyBorder="1"/>
    <xf numFmtId="0" fontId="110" fillId="0" borderId="0" xfId="898" applyFont="1"/>
    <xf numFmtId="43" fontId="110" fillId="0" borderId="0" xfId="899" applyFont="1" applyFill="1" applyBorder="1" applyAlignment="1">
      <alignment horizontal="center"/>
    </xf>
    <xf numFmtId="43" fontId="112" fillId="0" borderId="0" xfId="899" applyFont="1" applyFill="1" applyBorder="1" applyAlignment="1">
      <alignment horizontal="center"/>
    </xf>
    <xf numFmtId="262" fontId="112" fillId="0" borderId="0" xfId="899" applyNumberFormat="1" applyFont="1" applyFill="1" applyBorder="1" applyAlignment="1">
      <alignment horizontal="right"/>
    </xf>
    <xf numFmtId="0" fontId="112" fillId="0" borderId="0" xfId="898" applyFont="1"/>
    <xf numFmtId="169" fontId="112" fillId="26" borderId="0" xfId="898" applyNumberFormat="1" applyFont="1" applyFill="1" applyAlignment="1">
      <alignment horizontal="center"/>
    </xf>
    <xf numFmtId="0" fontId="109" fillId="0" borderId="0" xfId="898" applyFont="1"/>
    <xf numFmtId="0" fontId="112" fillId="26" borderId="0" xfId="898" applyFont="1" applyFill="1" applyAlignment="1">
      <alignment horizontal="center"/>
    </xf>
    <xf numFmtId="0" fontId="112" fillId="26" borderId="38" xfId="898" applyFont="1" applyFill="1" applyBorder="1" applyAlignment="1">
      <alignment horizontal="center"/>
    </xf>
    <xf numFmtId="258" fontId="112" fillId="0" borderId="0" xfId="894" applyNumberFormat="1" applyFont="1" applyAlignment="1">
      <alignment horizontal="center"/>
    </xf>
    <xf numFmtId="43" fontId="108" fillId="0" borderId="0" xfId="899" applyFont="1" applyFill="1" applyBorder="1" applyAlignment="1">
      <alignment horizontal="center"/>
    </xf>
    <xf numFmtId="166" fontId="108" fillId="27" borderId="0" xfId="894" applyNumberFormat="1" applyFont="1" applyFill="1"/>
    <xf numFmtId="258" fontId="112" fillId="27" borderId="0" xfId="894" applyNumberFormat="1" applyFont="1" applyFill="1"/>
    <xf numFmtId="258" fontId="108" fillId="27" borderId="0" xfId="894" applyNumberFormat="1" applyFont="1" applyFill="1"/>
    <xf numFmtId="258" fontId="112" fillId="27" borderId="0" xfId="896" applyNumberFormat="1" applyFont="1" applyFill="1"/>
    <xf numFmtId="167" fontId="112" fillId="27" borderId="3" xfId="894" applyNumberFormat="1" applyFont="1" applyFill="1" applyBorder="1" applyAlignment="1">
      <alignment horizontal="right"/>
    </xf>
    <xf numFmtId="170" fontId="108" fillId="27" borderId="0" xfId="897" applyNumberFormat="1" applyFont="1" applyFill="1" applyBorder="1"/>
    <xf numFmtId="259" fontId="108" fillId="27" borderId="0" xfId="894" applyNumberFormat="1" applyFont="1" applyFill="1"/>
    <xf numFmtId="259" fontId="108" fillId="27" borderId="0" xfId="894" applyNumberFormat="1" applyFont="1" applyFill="1" applyAlignment="1">
      <alignment horizontal="right"/>
    </xf>
    <xf numFmtId="171" fontId="112" fillId="27" borderId="0" xfId="895" applyNumberFormat="1" applyFont="1" applyFill="1"/>
    <xf numFmtId="171" fontId="108" fillId="27" borderId="0" xfId="895" applyNumberFormat="1" applyFont="1" applyFill="1"/>
    <xf numFmtId="171" fontId="112" fillId="27" borderId="39" xfId="895" applyNumberFormat="1" applyFont="1" applyFill="1" applyBorder="1" applyAlignment="1">
      <alignment horizontal="right"/>
    </xf>
    <xf numFmtId="259" fontId="112" fillId="27" borderId="0" xfId="894" applyNumberFormat="1" applyFont="1" applyFill="1" applyAlignment="1">
      <alignment horizontal="right"/>
    </xf>
    <xf numFmtId="260" fontId="108" fillId="27" borderId="0" xfId="894" applyNumberFormat="1" applyFont="1" applyFill="1" applyAlignment="1">
      <alignment horizontal="right"/>
    </xf>
    <xf numFmtId="260" fontId="112" fillId="27" borderId="0" xfId="894" applyNumberFormat="1" applyFont="1" applyFill="1" applyAlignment="1">
      <alignment horizontal="right"/>
    </xf>
    <xf numFmtId="37" fontId="108" fillId="0" borderId="0" xfId="894" applyNumberFormat="1" applyFont="1"/>
    <xf numFmtId="0" fontId="113" fillId="0" borderId="0" xfId="894" applyFont="1" applyAlignment="1">
      <alignment horizontal="left" indent="1"/>
    </xf>
    <xf numFmtId="3" fontId="108" fillId="0" borderId="0" xfId="898" applyNumberFormat="1" applyFont="1" applyAlignment="1">
      <alignment horizontal="center"/>
    </xf>
    <xf numFmtId="0" fontId="123" fillId="26" borderId="0" xfId="894" applyFont="1" applyFill="1" applyAlignment="1">
      <alignment horizontal="left"/>
    </xf>
    <xf numFmtId="171" fontId="111" fillId="0" borderId="0" xfId="899" applyNumberFormat="1" applyFont="1" applyFill="1" applyBorder="1" applyAlignment="1">
      <alignment horizontal="center"/>
    </xf>
    <xf numFmtId="171" fontId="108" fillId="0" borderId="0" xfId="895" applyNumberFormat="1" applyFont="1" applyFill="1" applyBorder="1" applyAlignment="1">
      <alignment horizontal="left" wrapText="1"/>
    </xf>
    <xf numFmtId="43" fontId="111" fillId="0" borderId="0" xfId="895" applyFont="1" applyFill="1" applyBorder="1" applyAlignment="1">
      <alignment horizontal="center"/>
    </xf>
    <xf numFmtId="171" fontId="112" fillId="0" borderId="0" xfId="895" applyNumberFormat="1" applyFont="1" applyFill="1" applyBorder="1" applyAlignment="1">
      <alignment horizontal="center"/>
    </xf>
    <xf numFmtId="166" fontId="111" fillId="29" borderId="0" xfId="894" applyNumberFormat="1" applyFont="1" applyFill="1"/>
    <xf numFmtId="171" fontId="108" fillId="0" borderId="0" xfId="895" applyNumberFormat="1" applyFont="1" applyFill="1" applyBorder="1" applyAlignment="1">
      <alignment horizontal="center" wrapText="1"/>
    </xf>
    <xf numFmtId="171" fontId="112" fillId="0" borderId="0" xfId="895" applyNumberFormat="1" applyFont="1" applyFill="1" applyBorder="1" applyAlignment="1">
      <alignment horizontal="left" wrapText="1"/>
    </xf>
    <xf numFmtId="171" fontId="112" fillId="0" borderId="0" xfId="895" applyNumberFormat="1" applyFont="1" applyFill="1" applyBorder="1" applyAlignment="1">
      <alignment horizontal="center" wrapText="1"/>
    </xf>
    <xf numFmtId="0" fontId="108" fillId="0" borderId="0" xfId="894" applyFont="1" applyAlignment="1">
      <alignment horizontal="left" wrapText="1"/>
    </xf>
    <xf numFmtId="171" fontId="118" fillId="0" borderId="0" xfId="895" applyNumberFormat="1" applyFont="1" applyFill="1" applyBorder="1" applyAlignment="1">
      <alignment horizontal="left" wrapText="1"/>
    </xf>
    <xf numFmtId="171" fontId="112" fillId="0" borderId="0" xfId="895" applyNumberFormat="1" applyFont="1" applyFill="1" applyBorder="1" applyAlignment="1">
      <alignment horizontal="right" wrapText="1"/>
    </xf>
    <xf numFmtId="0" fontId="112" fillId="0" borderId="40" xfId="896" applyFont="1" applyBorder="1" applyAlignment="1">
      <alignment horizontal="left" wrapText="1"/>
    </xf>
    <xf numFmtId="0" fontId="108" fillId="0" borderId="21" xfId="896" applyFont="1" applyBorder="1" applyAlignment="1">
      <alignment horizontal="left" wrapText="1"/>
    </xf>
    <xf numFmtId="16" fontId="108" fillId="0" borderId="21" xfId="896" applyNumberFormat="1" applyFont="1" applyBorder="1" applyAlignment="1">
      <alignment horizontal="left" wrapText="1"/>
    </xf>
    <xf numFmtId="0" fontId="112" fillId="0" borderId="43" xfId="896" applyFont="1" applyBorder="1"/>
    <xf numFmtId="171" fontId="108" fillId="0" borderId="27" xfId="895" applyNumberFormat="1" applyFont="1" applyFill="1" applyBorder="1" applyAlignment="1">
      <alignment horizontal="left" wrapText="1"/>
    </xf>
    <xf numFmtId="17" fontId="112" fillId="0" borderId="45" xfId="896" applyNumberFormat="1" applyFont="1" applyBorder="1" applyAlignment="1">
      <alignment horizontal="right" vertical="center" wrapText="1"/>
    </xf>
    <xf numFmtId="17" fontId="112" fillId="0" borderId="41" xfId="896" applyNumberFormat="1" applyFont="1" applyBorder="1" applyAlignment="1">
      <alignment horizontal="right" vertical="center" wrapText="1"/>
    </xf>
    <xf numFmtId="0" fontId="3" fillId="0" borderId="27" xfId="894" applyBorder="1"/>
    <xf numFmtId="0" fontId="3" fillId="0" borderId="28" xfId="894" applyBorder="1"/>
    <xf numFmtId="17" fontId="112" fillId="0" borderId="24" xfId="896" applyNumberFormat="1" applyFont="1" applyBorder="1" applyAlignment="1">
      <alignment horizontal="right" vertical="center" wrapText="1"/>
    </xf>
    <xf numFmtId="17" fontId="112" fillId="0" borderId="26" xfId="896" applyNumberFormat="1" applyFont="1" applyBorder="1" applyAlignment="1">
      <alignment horizontal="right" vertical="center" wrapText="1"/>
    </xf>
    <xf numFmtId="171" fontId="108" fillId="0" borderId="12" xfId="895" applyNumberFormat="1" applyFont="1" applyFill="1" applyBorder="1" applyAlignment="1">
      <alignment horizontal="left" wrapText="1"/>
    </xf>
    <xf numFmtId="171" fontId="112" fillId="0" borderId="46" xfId="895" applyNumberFormat="1" applyFont="1" applyFill="1" applyBorder="1" applyAlignment="1">
      <alignment horizontal="right" wrapText="1"/>
    </xf>
    <xf numFmtId="171" fontId="112" fillId="0" borderId="44" xfId="895" applyNumberFormat="1" applyFont="1" applyFill="1" applyBorder="1" applyAlignment="1">
      <alignment horizontal="left" wrapText="1"/>
    </xf>
    <xf numFmtId="171" fontId="108" fillId="0" borderId="42" xfId="895" applyNumberFormat="1" applyFont="1" applyFill="1" applyBorder="1" applyAlignment="1">
      <alignment horizontal="left" wrapText="1"/>
    </xf>
    <xf numFmtId="43" fontId="108" fillId="0" borderId="0" xfId="895" applyFont="1" applyFill="1" applyBorder="1" applyAlignment="1">
      <alignment horizontal="center" wrapText="1"/>
    </xf>
    <xf numFmtId="164" fontId="115" fillId="0" borderId="0" xfId="896" applyNumberFormat="1" applyFont="1"/>
    <xf numFmtId="0" fontId="112" fillId="0" borderId="22" xfId="896" applyFont="1" applyBorder="1"/>
    <xf numFmtId="171" fontId="112" fillId="0" borderId="10" xfId="895" applyNumberFormat="1" applyFont="1" applyFill="1" applyBorder="1" applyAlignment="1">
      <alignment horizontal="left" wrapText="1"/>
    </xf>
    <xf numFmtId="0" fontId="115" fillId="0" borderId="10" xfId="896" applyFont="1" applyBorder="1"/>
    <xf numFmtId="0" fontId="115" fillId="0" borderId="45" xfId="896" applyFont="1" applyBorder="1"/>
    <xf numFmtId="16" fontId="108" fillId="0" borderId="29" xfId="896" applyNumberFormat="1" applyFont="1" applyBorder="1" applyAlignment="1">
      <alignment horizontal="left" wrapText="1"/>
    </xf>
    <xf numFmtId="171" fontId="118" fillId="0" borderId="3" xfId="895" applyNumberFormat="1" applyFont="1" applyFill="1" applyBorder="1" applyAlignment="1">
      <alignment horizontal="left" wrapText="1"/>
    </xf>
    <xf numFmtId="0" fontId="115" fillId="0" borderId="3" xfId="896" applyFont="1" applyBorder="1"/>
    <xf numFmtId="0" fontId="3" fillId="0" borderId="30" xfId="894" applyBorder="1"/>
    <xf numFmtId="171" fontId="112" fillId="0" borderId="28" xfId="895" applyNumberFormat="1" applyFont="1" applyFill="1" applyBorder="1" applyAlignment="1">
      <alignment horizontal="left" wrapText="1"/>
    </xf>
    <xf numFmtId="17" fontId="112" fillId="0" borderId="40" xfId="896" applyNumberFormat="1" applyFont="1" applyBorder="1" applyAlignment="1">
      <alignment horizontal="left" vertical="center" wrapText="1"/>
    </xf>
    <xf numFmtId="0" fontId="112" fillId="0" borderId="21" xfId="896" applyFont="1" applyBorder="1" applyAlignment="1">
      <alignment horizontal="left" wrapText="1"/>
    </xf>
    <xf numFmtId="0" fontId="112" fillId="0" borderId="47" xfId="896" applyFont="1" applyBorder="1"/>
    <xf numFmtId="259" fontId="112" fillId="0" borderId="48" xfId="896" applyNumberFormat="1" applyFont="1" applyBorder="1"/>
    <xf numFmtId="0" fontId="108" fillId="0" borderId="21" xfId="896" applyFont="1" applyBorder="1"/>
    <xf numFmtId="171" fontId="108" fillId="0" borderId="0" xfId="895" applyNumberFormat="1" applyFont="1" applyFill="1" applyBorder="1"/>
    <xf numFmtId="259" fontId="108" fillId="0" borderId="0" xfId="896" applyNumberFormat="1" applyFont="1"/>
    <xf numFmtId="0" fontId="112" fillId="0" borderId="21" xfId="896" applyFont="1" applyBorder="1"/>
    <xf numFmtId="0" fontId="108" fillId="0" borderId="22" xfId="896" applyFont="1" applyBorder="1"/>
    <xf numFmtId="166" fontId="108" fillId="0" borderId="10" xfId="894" applyNumberFormat="1" applyFont="1" applyBorder="1"/>
    <xf numFmtId="0" fontId="108" fillId="0" borderId="10" xfId="896" applyFont="1" applyBorder="1"/>
    <xf numFmtId="171" fontId="108" fillId="0" borderId="10" xfId="895" applyNumberFormat="1" applyFont="1" applyFill="1" applyBorder="1" applyAlignment="1">
      <alignment horizontal="center" wrapText="1"/>
    </xf>
    <xf numFmtId="3" fontId="108" fillId="0" borderId="0" xfId="898" applyNumberFormat="1" applyFont="1" applyAlignment="1">
      <alignment horizontal="right"/>
    </xf>
    <xf numFmtId="166" fontId="111" fillId="0" borderId="27" xfId="894" applyNumberFormat="1" applyFont="1" applyBorder="1"/>
    <xf numFmtId="17" fontId="112" fillId="0" borderId="19" xfId="896" applyNumberFormat="1" applyFont="1" applyBorder="1" applyAlignment="1">
      <alignment horizontal="left" vertical="center" wrapText="1"/>
    </xf>
    <xf numFmtId="17" fontId="112" fillId="0" borderId="20" xfId="896" applyNumberFormat="1" applyFont="1" applyBorder="1" applyAlignment="1">
      <alignment horizontal="right" vertical="center" wrapText="1"/>
    </xf>
    <xf numFmtId="0" fontId="112" fillId="0" borderId="19" xfId="896" applyFont="1" applyBorder="1" applyAlignment="1">
      <alignment horizontal="left" wrapText="1"/>
    </xf>
    <xf numFmtId="166" fontId="112" fillId="0" borderId="20" xfId="894" applyNumberFormat="1" applyFont="1" applyBorder="1"/>
    <xf numFmtId="0" fontId="125" fillId="0" borderId="0" xfId="894" applyFont="1"/>
    <xf numFmtId="225" fontId="125" fillId="0" borderId="0" xfId="894" applyNumberFormat="1" applyFont="1"/>
    <xf numFmtId="166" fontId="108" fillId="29" borderId="0" xfId="894" applyNumberFormat="1" applyFont="1" applyFill="1"/>
    <xf numFmtId="166" fontId="116" fillId="29" borderId="0" xfId="894" applyNumberFormat="1" applyFont="1" applyFill="1"/>
    <xf numFmtId="166" fontId="112" fillId="29" borderId="0" xfId="894" applyNumberFormat="1" applyFont="1" applyFill="1"/>
    <xf numFmtId="17" fontId="112" fillId="0" borderId="40" xfId="896" applyNumberFormat="1" applyFont="1" applyBorder="1" applyAlignment="1">
      <alignment horizontal="right" vertical="center" wrapText="1"/>
    </xf>
    <xf numFmtId="171" fontId="108" fillId="0" borderId="27" xfId="1024" applyNumberFormat="1" applyFont="1" applyFill="1" applyBorder="1" applyAlignment="1">
      <alignment horizontal="left" wrapText="1"/>
    </xf>
    <xf numFmtId="0" fontId="112" fillId="0" borderId="41" xfId="896" applyFont="1" applyBorder="1" applyAlignment="1">
      <alignment horizontal="right" wrapText="1"/>
    </xf>
    <xf numFmtId="171" fontId="118" fillId="0" borderId="49" xfId="1025" applyNumberFormat="1" applyFont="1" applyFill="1" applyBorder="1" applyAlignment="1">
      <alignment horizontal="left" wrapText="1"/>
    </xf>
    <xf numFmtId="171" fontId="112" fillId="0" borderId="50" xfId="1025" applyNumberFormat="1" applyFont="1" applyFill="1" applyBorder="1" applyAlignment="1">
      <alignment horizontal="left" wrapText="1"/>
    </xf>
    <xf numFmtId="171" fontId="112" fillId="0" borderId="44" xfId="1025" applyNumberFormat="1" applyFont="1" applyFill="1" applyBorder="1" applyAlignment="1">
      <alignment horizontal="left" wrapText="1"/>
    </xf>
    <xf numFmtId="171" fontId="108" fillId="0" borderId="0" xfId="899" applyNumberFormat="1" applyFont="1" applyFill="1" applyBorder="1" applyAlignment="1">
      <alignment horizontal="center"/>
    </xf>
    <xf numFmtId="171" fontId="112" fillId="0" borderId="0" xfId="899" applyNumberFormat="1" applyFont="1" applyFill="1" applyBorder="1" applyAlignment="1">
      <alignment horizontal="right"/>
    </xf>
    <xf numFmtId="171" fontId="108" fillId="0" borderId="0" xfId="898" applyNumberFormat="1" applyFont="1"/>
    <xf numFmtId="164" fontId="115" fillId="0" borderId="0" xfId="900" applyFont="1" applyFill="1"/>
    <xf numFmtId="263" fontId="112" fillId="26" borderId="38" xfId="900" applyNumberFormat="1" applyFont="1" applyFill="1" applyBorder="1" applyAlignment="1">
      <alignment horizontal="center"/>
    </xf>
    <xf numFmtId="263" fontId="112" fillId="26" borderId="0" xfId="900" applyNumberFormat="1" applyFont="1" applyFill="1" applyBorder="1" applyAlignment="1">
      <alignment horizontal="center"/>
    </xf>
    <xf numFmtId="263" fontId="112" fillId="0" borderId="0" xfId="900" applyNumberFormat="1" applyFont="1" applyFill="1" applyBorder="1" applyAlignment="1">
      <alignment horizontal="center"/>
    </xf>
    <xf numFmtId="263" fontId="108" fillId="0" borderId="0" xfId="900" applyNumberFormat="1" applyFont="1" applyAlignment="1">
      <alignment horizontal="right"/>
    </xf>
    <xf numFmtId="263" fontId="112" fillId="0" borderId="0" xfId="900" applyNumberFormat="1" applyFont="1" applyFill="1" applyBorder="1" applyAlignment="1">
      <alignment horizontal="right"/>
    </xf>
    <xf numFmtId="263" fontId="108" fillId="0" borderId="0" xfId="900" applyNumberFormat="1" applyFont="1" applyFill="1"/>
    <xf numFmtId="263" fontId="108" fillId="0" borderId="0" xfId="900" applyNumberFormat="1" applyFont="1" applyFill="1" applyBorder="1" applyAlignment="1">
      <alignment horizontal="center"/>
    </xf>
    <xf numFmtId="166" fontId="112" fillId="0" borderId="0" xfId="894" applyNumberFormat="1" applyFont="1" applyAlignment="1">
      <alignment horizontal="center"/>
    </xf>
    <xf numFmtId="166" fontId="112" fillId="26" borderId="0" xfId="894" applyNumberFormat="1" applyFont="1" applyFill="1" applyAlignment="1">
      <alignment horizontal="center"/>
    </xf>
    <xf numFmtId="3" fontId="112" fillId="0" borderId="0" xfId="894" applyNumberFormat="1" applyFont="1"/>
    <xf numFmtId="3" fontId="113" fillId="0" borderId="0" xfId="894" applyNumberFormat="1" applyFont="1"/>
    <xf numFmtId="265" fontId="108" fillId="0" borderId="0" xfId="894" applyNumberFormat="1" applyFont="1"/>
    <xf numFmtId="265" fontId="112" fillId="0" borderId="0" xfId="894" applyNumberFormat="1" applyFont="1"/>
    <xf numFmtId="3" fontId="108" fillId="0" borderId="0" xfId="894" applyNumberFormat="1" applyFont="1"/>
    <xf numFmtId="171" fontId="112" fillId="0" borderId="0" xfId="1025" applyNumberFormat="1" applyFont="1" applyFill="1" applyBorder="1" applyAlignment="1">
      <alignment horizontal="left" wrapText="1"/>
    </xf>
    <xf numFmtId="171" fontId="112" fillId="29" borderId="0" xfId="895" applyNumberFormat="1" applyFont="1" applyFill="1" applyBorder="1" applyAlignment="1">
      <alignment horizontal="left" wrapText="1"/>
    </xf>
    <xf numFmtId="225" fontId="119" fillId="0" borderId="0" xfId="894" applyNumberFormat="1" applyFont="1"/>
    <xf numFmtId="166" fontId="126" fillId="0" borderId="0" xfId="894" applyNumberFormat="1" applyFont="1"/>
    <xf numFmtId="43" fontId="112" fillId="0" borderId="0" xfId="895" applyFont="1" applyFill="1" applyBorder="1" applyAlignment="1">
      <alignment horizontal="center"/>
    </xf>
    <xf numFmtId="0" fontId="110" fillId="26" borderId="0" xfId="898" applyFont="1" applyFill="1"/>
    <xf numFmtId="43" fontId="110" fillId="26" borderId="0" xfId="899" applyFont="1" applyFill="1" applyBorder="1" applyAlignment="1">
      <alignment horizontal="center"/>
    </xf>
    <xf numFmtId="43" fontId="112" fillId="26" borderId="0" xfId="899" applyFont="1" applyFill="1" applyBorder="1" applyAlignment="1">
      <alignment horizontal="center"/>
    </xf>
    <xf numFmtId="0" fontId="112" fillId="0" borderId="0" xfId="894" applyFont="1" applyAlignment="1">
      <alignment horizontal="left" indent="1"/>
    </xf>
    <xf numFmtId="0" fontId="127" fillId="0" borderId="0" xfId="894" applyFont="1"/>
    <xf numFmtId="17" fontId="112" fillId="26" borderId="40" xfId="896" applyNumberFormat="1" applyFont="1" applyFill="1" applyBorder="1" applyAlignment="1">
      <alignment horizontal="left" vertical="center" wrapText="1"/>
    </xf>
    <xf numFmtId="17" fontId="112" fillId="26" borderId="45" xfId="896" applyNumberFormat="1" applyFont="1" applyFill="1" applyBorder="1" applyAlignment="1">
      <alignment horizontal="center" vertical="center" wrapText="1"/>
    </xf>
    <xf numFmtId="17" fontId="112" fillId="26" borderId="41" xfId="896" applyNumberFormat="1" applyFont="1" applyFill="1" applyBorder="1" applyAlignment="1">
      <alignment horizontal="center" vertical="center" wrapText="1"/>
    </xf>
    <xf numFmtId="39" fontId="108" fillId="30" borderId="0" xfId="894" applyNumberFormat="1" applyFont="1" applyFill="1" applyAlignment="1">
      <alignment horizontal="right"/>
    </xf>
    <xf numFmtId="0" fontId="112" fillId="0" borderId="0" xfId="894" applyFont="1" applyAlignment="1">
      <alignment horizontal="center"/>
    </xf>
    <xf numFmtId="169" fontId="112" fillId="0" borderId="0" xfId="894" applyNumberFormat="1" applyFont="1" applyAlignment="1">
      <alignment horizontal="center"/>
    </xf>
    <xf numFmtId="262" fontId="108" fillId="0" borderId="0" xfId="894" applyNumberFormat="1" applyFont="1"/>
    <xf numFmtId="170" fontId="117" fillId="0" borderId="0" xfId="897" applyNumberFormat="1" applyFont="1" applyFill="1" applyBorder="1"/>
    <xf numFmtId="261" fontId="108" fillId="0" borderId="0" xfId="894" applyNumberFormat="1" applyFont="1"/>
    <xf numFmtId="166" fontId="121" fillId="0" borderId="0" xfId="894" applyNumberFormat="1" applyFont="1"/>
    <xf numFmtId="167" fontId="112" fillId="0" borderId="0" xfId="894" applyNumberFormat="1" applyFont="1" applyAlignment="1">
      <alignment horizontal="right"/>
    </xf>
    <xf numFmtId="169" fontId="112" fillId="0" borderId="0" xfId="894" applyNumberFormat="1" applyFont="1" applyAlignment="1">
      <alignment horizontal="centerContinuous"/>
    </xf>
    <xf numFmtId="170" fontId="113" fillId="0" borderId="0" xfId="897" applyNumberFormat="1" applyFont="1" applyFill="1" applyBorder="1" applyAlignment="1">
      <alignment horizontal="right"/>
    </xf>
    <xf numFmtId="9" fontId="113" fillId="0" borderId="0" xfId="897" applyFont="1" applyFill="1" applyBorder="1" applyAlignment="1">
      <alignment horizontal="right"/>
    </xf>
    <xf numFmtId="0" fontId="112" fillId="26" borderId="40" xfId="896" applyFont="1" applyFill="1" applyBorder="1" applyAlignment="1">
      <alignment horizontal="left" wrapText="1"/>
    </xf>
    <xf numFmtId="17" fontId="112" fillId="26" borderId="24" xfId="896" applyNumberFormat="1" applyFont="1" applyFill="1" applyBorder="1" applyAlignment="1">
      <alignment horizontal="right" vertical="center" wrapText="1"/>
    </xf>
    <xf numFmtId="17" fontId="112" fillId="26" borderId="26" xfId="896" applyNumberFormat="1" applyFont="1" applyFill="1" applyBorder="1" applyAlignment="1">
      <alignment horizontal="right" vertical="center" wrapText="1"/>
    </xf>
    <xf numFmtId="0" fontId="112" fillId="26" borderId="41" xfId="896" applyFont="1" applyFill="1" applyBorder="1" applyAlignment="1">
      <alignment horizontal="center" wrapText="1"/>
    </xf>
    <xf numFmtId="17" fontId="112" fillId="26" borderId="40" xfId="896" applyNumberFormat="1" applyFont="1" applyFill="1" applyBorder="1" applyAlignment="1">
      <alignment horizontal="center" vertical="center" wrapText="1"/>
    </xf>
    <xf numFmtId="17" fontId="112" fillId="26" borderId="19" xfId="896" applyNumberFormat="1" applyFont="1" applyFill="1" applyBorder="1" applyAlignment="1">
      <alignment horizontal="left" vertical="center" wrapText="1"/>
    </xf>
    <xf numFmtId="17" fontId="112" fillId="26" borderId="20" xfId="896" applyNumberFormat="1" applyFont="1" applyFill="1" applyBorder="1" applyAlignment="1">
      <alignment horizontal="center" vertical="center" wrapText="1"/>
    </xf>
    <xf numFmtId="166" fontId="110" fillId="0" borderId="0" xfId="894" applyNumberFormat="1" applyFont="1"/>
    <xf numFmtId="0" fontId="108" fillId="27" borderId="0" xfId="894" applyFont="1" applyFill="1" applyAlignment="1">
      <alignment horizontal="left" indent="1"/>
    </xf>
    <xf numFmtId="0" fontId="112" fillId="30" borderId="0" xfId="894" applyFont="1" applyFill="1" applyAlignment="1">
      <alignment horizontal="left"/>
    </xf>
    <xf numFmtId="166" fontId="111" fillId="30" borderId="0" xfId="894" applyNumberFormat="1" applyFont="1" applyFill="1"/>
    <xf numFmtId="166" fontId="108" fillId="30" borderId="0" xfId="894" applyNumberFormat="1" applyFont="1" applyFill="1"/>
    <xf numFmtId="37" fontId="108" fillId="30" borderId="0" xfId="894" applyNumberFormat="1" applyFont="1" applyFill="1"/>
    <xf numFmtId="166" fontId="112" fillId="30" borderId="0" xfId="894" applyNumberFormat="1" applyFont="1" applyFill="1" applyAlignment="1">
      <alignment horizontal="center"/>
    </xf>
    <xf numFmtId="166" fontId="112" fillId="27" borderId="0" xfId="894" applyNumberFormat="1" applyFont="1" applyFill="1"/>
    <xf numFmtId="166" fontId="116" fillId="27" borderId="0" xfId="894" applyNumberFormat="1" applyFont="1" applyFill="1"/>
    <xf numFmtId="166" fontId="111" fillId="27" borderId="0" xfId="894" applyNumberFormat="1" applyFont="1" applyFill="1"/>
    <xf numFmtId="0" fontId="113" fillId="0" borderId="0" xfId="0" applyFont="1"/>
    <xf numFmtId="166" fontId="129" fillId="0" borderId="0" xfId="0" applyNumberFormat="1" applyFont="1"/>
    <xf numFmtId="37" fontId="129" fillId="0" borderId="0" xfId="0" applyNumberFormat="1" applyFont="1"/>
    <xf numFmtId="166" fontId="113" fillId="0" borderId="0" xfId="894" applyNumberFormat="1" applyFont="1"/>
    <xf numFmtId="37" fontId="113" fillId="0" borderId="0" xfId="894" applyNumberFormat="1" applyFont="1"/>
    <xf numFmtId="258" fontId="112" fillId="27" borderId="0" xfId="894" applyNumberFormat="1" applyFont="1" applyFill="1" applyAlignment="1">
      <alignment horizontal="center"/>
    </xf>
    <xf numFmtId="0" fontId="108" fillId="30" borderId="0" xfId="894" applyFont="1" applyFill="1"/>
    <xf numFmtId="39" fontId="118" fillId="30" borderId="0" xfId="894" applyNumberFormat="1" applyFont="1" applyFill="1" applyAlignment="1">
      <alignment horizontal="right"/>
    </xf>
    <xf numFmtId="263" fontId="119" fillId="0" borderId="0" xfId="900" applyNumberFormat="1" applyFont="1" applyFill="1"/>
    <xf numFmtId="264" fontId="119" fillId="0" borderId="0" xfId="900" applyNumberFormat="1" applyFont="1" applyFill="1"/>
    <xf numFmtId="0" fontId="50" fillId="0" borderId="0" xfId="0" applyFont="1"/>
    <xf numFmtId="0" fontId="112" fillId="31" borderId="0" xfId="898" applyFont="1" applyFill="1"/>
    <xf numFmtId="43" fontId="110" fillId="31" borderId="0" xfId="899" applyFont="1" applyFill="1" applyBorder="1" applyAlignment="1">
      <alignment horizontal="center"/>
    </xf>
    <xf numFmtId="262" fontId="118" fillId="31" borderId="0" xfId="898" applyNumberFormat="1" applyFont="1" applyFill="1" applyAlignment="1">
      <alignment horizontal="right"/>
    </xf>
    <xf numFmtId="0" fontId="120" fillId="31" borderId="0" xfId="898" applyFont="1" applyFill="1" applyAlignment="1">
      <alignment horizontal="center"/>
    </xf>
    <xf numFmtId="263" fontId="120" fillId="31" borderId="0" xfId="900" applyNumberFormat="1" applyFont="1" applyFill="1" applyAlignment="1">
      <alignment horizontal="center"/>
    </xf>
    <xf numFmtId="171" fontId="111" fillId="31" borderId="0" xfId="899" applyNumberFormat="1" applyFont="1" applyFill="1" applyBorder="1" applyAlignment="1">
      <alignment horizontal="center"/>
    </xf>
    <xf numFmtId="170" fontId="130" fillId="0" borderId="0" xfId="897" applyNumberFormat="1" applyFont="1" applyFill="1"/>
    <xf numFmtId="170" fontId="116" fillId="0" borderId="0" xfId="897" applyNumberFormat="1" applyFont="1" applyFill="1"/>
    <xf numFmtId="263" fontId="119" fillId="27" borderId="0" xfId="900" applyNumberFormat="1" applyFont="1" applyFill="1"/>
    <xf numFmtId="0" fontId="108" fillId="31" borderId="0" xfId="898" applyFont="1" applyFill="1"/>
    <xf numFmtId="171" fontId="108" fillId="31" borderId="0" xfId="898" applyNumberFormat="1" applyFont="1" applyFill="1"/>
    <xf numFmtId="263" fontId="108" fillId="31" borderId="0" xfId="900" applyNumberFormat="1" applyFont="1" applyFill="1"/>
    <xf numFmtId="0" fontId="112" fillId="27" borderId="0" xfId="898" applyFont="1" applyFill="1"/>
    <xf numFmtId="0" fontId="112" fillId="0" borderId="0" xfId="896" applyFont="1" applyAlignment="1">
      <alignment horizontal="left" wrapText="1"/>
    </xf>
    <xf numFmtId="0" fontId="112" fillId="0" borderId="8" xfId="896" applyFont="1" applyBorder="1"/>
    <xf numFmtId="17" fontId="112" fillId="26" borderId="8" xfId="896" applyNumberFormat="1" applyFont="1" applyFill="1" applyBorder="1" applyAlignment="1">
      <alignment horizontal="left" vertical="center" wrapText="1"/>
    </xf>
    <xf numFmtId="17" fontId="112" fillId="26" borderId="8" xfId="896" applyNumberFormat="1" applyFont="1" applyFill="1" applyBorder="1" applyAlignment="1">
      <alignment horizontal="center" vertical="center" wrapText="1"/>
    </xf>
    <xf numFmtId="0" fontId="1" fillId="0" borderId="0" xfId="894" applyFont="1"/>
    <xf numFmtId="16" fontId="108" fillId="0" borderId="21" xfId="896" applyNumberFormat="1" applyFont="1" applyBorder="1" applyAlignment="1">
      <alignment horizontal="left"/>
    </xf>
    <xf numFmtId="171" fontId="118" fillId="0" borderId="12" xfId="895" applyNumberFormat="1" applyFont="1" applyFill="1" applyBorder="1" applyAlignment="1">
      <alignment horizontal="left" wrapText="1"/>
    </xf>
    <xf numFmtId="17" fontId="112" fillId="26" borderId="24" xfId="896" applyNumberFormat="1" applyFont="1" applyFill="1" applyBorder="1" applyAlignment="1">
      <alignment horizontal="center" vertical="center" wrapText="1"/>
    </xf>
    <xf numFmtId="171" fontId="108" fillId="0" borderId="27" xfId="895" applyNumberFormat="1" applyFont="1" applyFill="1" applyBorder="1" applyAlignment="1">
      <alignment horizontal="center" wrapText="1"/>
    </xf>
    <xf numFmtId="17" fontId="112" fillId="26" borderId="8" xfId="896" applyNumberFormat="1" applyFont="1" applyFill="1" applyBorder="1" applyAlignment="1">
      <alignment horizontal="center" vertical="center"/>
    </xf>
    <xf numFmtId="171" fontId="112" fillId="0" borderId="44" xfId="895" applyNumberFormat="1" applyFont="1" applyFill="1" applyBorder="1" applyAlignment="1">
      <alignment horizontal="right" wrapText="1"/>
    </xf>
    <xf numFmtId="0" fontId="108" fillId="27" borderId="0" xfId="894" applyFont="1" applyFill="1"/>
    <xf numFmtId="0" fontId="108" fillId="27" borderId="0" xfId="894" applyFont="1" applyFill="1" applyAlignment="1">
      <alignment horizontal="left"/>
    </xf>
    <xf numFmtId="170" fontId="113" fillId="0" borderId="0" xfId="897" applyNumberFormat="1" applyFont="1" applyFill="1"/>
    <xf numFmtId="170" fontId="108" fillId="27" borderId="0" xfId="897" applyNumberFormat="1" applyFont="1" applyFill="1" applyBorder="1" applyAlignment="1">
      <alignment horizontal="right"/>
    </xf>
    <xf numFmtId="166" fontId="118" fillId="0" borderId="0" xfId="894" applyNumberFormat="1" applyFont="1"/>
    <xf numFmtId="166" fontId="118" fillId="27" borderId="0" xfId="894" applyNumberFormat="1" applyFont="1" applyFill="1"/>
    <xf numFmtId="166" fontId="118" fillId="29" borderId="0" xfId="894" applyNumberFormat="1" applyFont="1" applyFill="1"/>
    <xf numFmtId="0" fontId="118" fillId="0" borderId="0" xfId="894" applyFont="1"/>
    <xf numFmtId="171" fontId="119" fillId="0" borderId="0" xfId="895" applyNumberFormat="1" applyFont="1" applyFill="1" applyBorder="1"/>
    <xf numFmtId="0" fontId="131" fillId="0" borderId="0" xfId="894" applyFont="1"/>
    <xf numFmtId="0" fontId="132" fillId="0" borderId="0" xfId="894" applyFont="1" applyAlignment="1">
      <alignment horizontal="left"/>
    </xf>
    <xf numFmtId="37" fontId="119" fillId="0" borderId="0" xfId="894" applyNumberFormat="1" applyFont="1"/>
    <xf numFmtId="166" fontId="119" fillId="0" borderId="0" xfId="894" applyNumberFormat="1" applyFont="1"/>
    <xf numFmtId="166" fontId="131" fillId="0" borderId="0" xfId="894" applyNumberFormat="1" applyFont="1"/>
    <xf numFmtId="39" fontId="108" fillId="27" borderId="0" xfId="894" applyNumberFormat="1" applyFont="1" applyFill="1" applyAlignment="1">
      <alignment horizontal="right"/>
    </xf>
    <xf numFmtId="170" fontId="112" fillId="0" borderId="3" xfId="897" applyNumberFormat="1" applyFont="1" applyFill="1" applyBorder="1"/>
    <xf numFmtId="170" fontId="112" fillId="0" borderId="0" xfId="897" applyNumberFormat="1" applyFont="1" applyFill="1" applyBorder="1"/>
    <xf numFmtId="170" fontId="112" fillId="27" borderId="3" xfId="897" applyNumberFormat="1" applyFont="1" applyFill="1" applyBorder="1"/>
    <xf numFmtId="173" fontId="119" fillId="0" borderId="0" xfId="895" applyNumberFormat="1" applyFont="1" applyFill="1" applyBorder="1"/>
    <xf numFmtId="171" fontId="112" fillId="0" borderId="0" xfId="899" applyNumberFormat="1" applyFont="1" applyFill="1" applyBorder="1" applyAlignment="1">
      <alignment horizontal="center"/>
    </xf>
    <xf numFmtId="0" fontId="133" fillId="0" borderId="0" xfId="894" applyFont="1"/>
    <xf numFmtId="0" fontId="112" fillId="26" borderId="51" xfId="896" applyFont="1" applyFill="1" applyBorder="1" applyAlignment="1">
      <alignment horizontal="center" vertical="center" wrapText="1"/>
    </xf>
    <xf numFmtId="0" fontId="112" fillId="26" borderId="41" xfId="896" applyFont="1" applyFill="1" applyBorder="1" applyAlignment="1">
      <alignment horizontal="center" vertical="center" wrapText="1"/>
    </xf>
    <xf numFmtId="0" fontId="112" fillId="26" borderId="40" xfId="896" applyFont="1" applyFill="1" applyBorder="1" applyAlignment="1">
      <alignment horizontal="left" vertical="center" wrapText="1"/>
    </xf>
    <xf numFmtId="164" fontId="1" fillId="0" borderId="0" xfId="900" applyFont="1"/>
  </cellXfs>
  <cellStyles count="1026">
    <cellStyle name="$" xfId="1" xr:uid="{00000000-0005-0000-0000-000000000000}"/>
    <cellStyle name="$_TSA Model - 1 8 06 - v2" xfId="2" xr:uid="{00000000-0005-0000-0000-000001000000}"/>
    <cellStyle name="%" xfId="3" xr:uid="{00000000-0005-0000-0000-000002000000}"/>
    <cellStyle name="% 2" xfId="901" xr:uid="{EB7233A1-2B01-4D17-8514-F29B1660404C}"/>
    <cellStyle name=";;;" xfId="4" xr:uid="{00000000-0005-0000-0000-000003000000}"/>
    <cellStyle name="_%(SignOnly)" xfId="5" xr:uid="{00000000-0005-0000-0000-000004000000}"/>
    <cellStyle name="_%(SignOnly) 2" xfId="902" xr:uid="{26319195-8F7F-4597-A885-BAD79767F457}"/>
    <cellStyle name="_%(SignSpaceOnly)" xfId="6" xr:uid="{00000000-0005-0000-0000-000005000000}"/>
    <cellStyle name="_%(SignSpaceOnly) 2" xfId="903" xr:uid="{EC4F4AC8-C1EA-45F4-B3E8-D024565228D1}"/>
    <cellStyle name="_0% CADR" xfId="7" xr:uid="{00000000-0005-0000-0000-000006000000}"/>
    <cellStyle name="_0% CADR 2" xfId="904" xr:uid="{A63667C8-059F-42AB-B26A-E1A2ED831819}"/>
    <cellStyle name="_0% IRR" xfId="8" xr:uid="{00000000-0005-0000-0000-000007000000}"/>
    <cellStyle name="_0% IRR 2" xfId="905" xr:uid="{5DB9E769-6671-4E53-BC1B-AFDBBD55073B}"/>
    <cellStyle name="_1% CADR" xfId="9" xr:uid="{00000000-0005-0000-0000-000008000000}"/>
    <cellStyle name="_1% CADR 2" xfId="906" xr:uid="{5207A901-28C6-4F6E-A6B2-5D38AB9E4176}"/>
    <cellStyle name="_10% CADR" xfId="10" xr:uid="{00000000-0005-0000-0000-000009000000}"/>
    <cellStyle name="_10% CADR 2" xfId="907" xr:uid="{A174C5B5-C5DC-4B47-8A6D-CEC3A32E8D02}"/>
    <cellStyle name="_10% CDR" xfId="11" xr:uid="{00000000-0005-0000-0000-00000A000000}"/>
    <cellStyle name="_10% CDR 2" xfId="908" xr:uid="{A0747DC8-99F8-4D4C-B3BE-DD38AB45B948}"/>
    <cellStyle name="_11% CADR" xfId="12" xr:uid="{00000000-0005-0000-0000-00000B000000}"/>
    <cellStyle name="_11% CADR 2" xfId="909" xr:uid="{2C662044-F4D4-4A30-A298-0A544AC10578}"/>
    <cellStyle name="_12% CADR" xfId="13" xr:uid="{00000000-0005-0000-0000-00000C000000}"/>
    <cellStyle name="_12% CADR 2" xfId="910" xr:uid="{6FAD94A5-0EC8-469C-B656-71DF4459328B}"/>
    <cellStyle name="_12% CDR" xfId="14" xr:uid="{00000000-0005-0000-0000-00000D000000}"/>
    <cellStyle name="_12% CDR 2" xfId="911" xr:uid="{E8922ED5-75FD-44B9-A1C2-351B659D334D}"/>
    <cellStyle name="_13% CADR" xfId="15" xr:uid="{00000000-0005-0000-0000-00000E000000}"/>
    <cellStyle name="_13% CADR 2" xfId="912" xr:uid="{53916047-8114-4AF8-99EF-B7EAF4D82209}"/>
    <cellStyle name="_14% CADR" xfId="16" xr:uid="{00000000-0005-0000-0000-00000F000000}"/>
    <cellStyle name="_14% CADR 2" xfId="913" xr:uid="{0292B982-B43F-43C4-A86E-2B6D4F456495}"/>
    <cellStyle name="_14% CDR" xfId="17" xr:uid="{00000000-0005-0000-0000-000010000000}"/>
    <cellStyle name="_14% CDR 2" xfId="914" xr:uid="{BBE256FE-7D54-4D2A-ACD7-200550F238D0}"/>
    <cellStyle name="_16% CDR" xfId="18" xr:uid="{00000000-0005-0000-0000-000011000000}"/>
    <cellStyle name="_16% CDR 2" xfId="915" xr:uid="{8D00A920-2339-4376-8D1D-804D1E63CE07}"/>
    <cellStyle name="_18% CDR" xfId="19" xr:uid="{00000000-0005-0000-0000-000012000000}"/>
    <cellStyle name="_18% CDR 2" xfId="916" xr:uid="{7077033D-53D3-4E83-BB12-8314927C170C}"/>
    <cellStyle name="_19.6% CDR BBB Break In Yield" xfId="20" xr:uid="{00000000-0005-0000-0000-000013000000}"/>
    <cellStyle name="_19.6% CDR BBB Break In Yield 2" xfId="917" xr:uid="{4CC826F9-BD5E-4B36-B7CC-2CDAB171BE21}"/>
    <cellStyle name="_2% CADR" xfId="21" xr:uid="{00000000-0005-0000-0000-000014000000}"/>
    <cellStyle name="_2% CADR 2" xfId="918" xr:uid="{3A63FDF4-7648-4AB7-8503-D403920B8C47}"/>
    <cellStyle name="_20% CDR" xfId="22" xr:uid="{00000000-0005-0000-0000-000015000000}"/>
    <cellStyle name="_20% CDR 2" xfId="919" xr:uid="{F0AE1E2A-DDD0-46B7-B369-48ED51B5AE5F}"/>
    <cellStyle name="_21.5% CDR BBB Break In Yield" xfId="23" xr:uid="{00000000-0005-0000-0000-000016000000}"/>
    <cellStyle name="_21.5% CDR BBB Break In Yield 2" xfId="920" xr:uid="{7B03902C-C380-465B-9B75-4987BAEF8585}"/>
    <cellStyle name="_3% CADR" xfId="24" xr:uid="{00000000-0005-0000-0000-000017000000}"/>
    <cellStyle name="_3% CADR 2" xfId="921" xr:uid="{F8A09E6D-0576-4A64-8E6D-3D5BFE4352CF}"/>
    <cellStyle name="_3% CDR" xfId="25" xr:uid="{00000000-0005-0000-0000-000018000000}"/>
    <cellStyle name="_3% CDR 2" xfId="922" xr:uid="{0E0FB71A-1223-465E-A99B-004539A2C6C5}"/>
    <cellStyle name="_4% CADR" xfId="26" xr:uid="{00000000-0005-0000-0000-000019000000}"/>
    <cellStyle name="_4% CADR 2" xfId="923" xr:uid="{5F02F156-F188-45E6-943B-A08D9D859FF0}"/>
    <cellStyle name="_5% CADR" xfId="27" xr:uid="{00000000-0005-0000-0000-00001A000000}"/>
    <cellStyle name="_5% CADR 2" xfId="924" xr:uid="{75E89DE0-20F2-4E73-AA97-DC5825F36104}"/>
    <cellStyle name="_5% CDR" xfId="28" xr:uid="{00000000-0005-0000-0000-00001B000000}"/>
    <cellStyle name="_5% CDR 2" xfId="925" xr:uid="{9D3F89D6-B7E0-4B89-B0F8-D51A920CFA14}"/>
    <cellStyle name="_6% CADR" xfId="29" xr:uid="{00000000-0005-0000-0000-00001C000000}"/>
    <cellStyle name="_6% CADR 2" xfId="926" xr:uid="{3319270A-81B2-4E08-A1E8-8C3227A9BB59}"/>
    <cellStyle name="_7% CADR" xfId="30" xr:uid="{00000000-0005-0000-0000-00001D000000}"/>
    <cellStyle name="_7% CADR 2" xfId="927" xr:uid="{618F822B-D6A3-4DED-8751-DED8497ABCF0}"/>
    <cellStyle name="_7% CDR" xfId="31" xr:uid="{00000000-0005-0000-0000-00001E000000}"/>
    <cellStyle name="_7% CDR 2" xfId="928" xr:uid="{B7D1A42E-242F-4393-87A2-D196BB51705E}"/>
    <cellStyle name="_8% CADR" xfId="32" xr:uid="{00000000-0005-0000-0000-00001F000000}"/>
    <cellStyle name="_8% CADR 2" xfId="929" xr:uid="{480CAAAE-AC84-49B5-A96F-0CD27E931F4A}"/>
    <cellStyle name="_8.0% CDR BB Break In Yield" xfId="33" xr:uid="{00000000-0005-0000-0000-000020000000}"/>
    <cellStyle name="_8.0% CDR BB Break In Yield 2" xfId="930" xr:uid="{954D5BC3-2027-4822-ACE3-9F22D8B3FD6B}"/>
    <cellStyle name="_8.1% CDR BB Break In Yield" xfId="34" xr:uid="{00000000-0005-0000-0000-000021000000}"/>
    <cellStyle name="_8.1% CDR BB Break In Yield 2" xfId="931" xr:uid="{A487E6F5-7176-4918-91D3-D66198C7326B}"/>
    <cellStyle name="_9% CADR" xfId="35" xr:uid="{00000000-0005-0000-0000-000022000000}"/>
    <cellStyle name="_9% CADR 2" xfId="932" xr:uid="{29D21256-12D1-49D4-8A8C-74F1A6A05C2F}"/>
    <cellStyle name="_Assets" xfId="36" xr:uid="{00000000-0005-0000-0000-000023000000}"/>
    <cellStyle name="_Assets 2" xfId="933" xr:uid="{52A93EE4-88CD-4067-9A37-CC756B972393}"/>
    <cellStyle name="_Assets_1" xfId="37" xr:uid="{00000000-0005-0000-0000-000024000000}"/>
    <cellStyle name="_Assets_1_COMPS - B2B Publishers" xfId="38" xr:uid="{00000000-0005-0000-0000-000025000000}"/>
    <cellStyle name="_Assets_1_COMPS - Directories" xfId="39" xr:uid="{00000000-0005-0000-0000-000026000000}"/>
    <cellStyle name="_Assets_1_F&amp;W Servicing Model" xfId="40" xr:uid="{00000000-0005-0000-0000-000027000000}"/>
    <cellStyle name="_Assets_1_F&amp;W Servicing Model v2" xfId="41" xr:uid="{00000000-0005-0000-0000-000028000000}"/>
    <cellStyle name="_Assets_1_S&amp;P Analysis" xfId="42" xr:uid="{00000000-0005-0000-0000-000029000000}"/>
    <cellStyle name="_Assets_1_S&amp;P Analysis 2" xfId="934" xr:uid="{3CA50B2F-7D9F-4F5A-9339-4DA8B46782F2}"/>
    <cellStyle name="_Assets_1_Univision Annual Model" xfId="43" xr:uid="{00000000-0005-0000-0000-00002A000000}"/>
    <cellStyle name="_Assets_1_Yell Servicing Model" xfId="44" xr:uid="{00000000-0005-0000-0000-00002B000000}"/>
    <cellStyle name="_Assets_S&amp;P Analysis" xfId="45" xr:uid="{00000000-0005-0000-0000-00002C000000}"/>
    <cellStyle name="_Assets_S&amp;P Analysis_COMPS - B2B Publishers" xfId="46" xr:uid="{00000000-0005-0000-0000-00002D000000}"/>
    <cellStyle name="_Assets_S&amp;P Analysis_COMPS - Directories" xfId="47" xr:uid="{00000000-0005-0000-0000-00002E000000}"/>
    <cellStyle name="_Assets_S&amp;P Analysis_F&amp;W Servicing Model" xfId="48" xr:uid="{00000000-0005-0000-0000-00002F000000}"/>
    <cellStyle name="_Assets_S&amp;P Analysis_F&amp;W Servicing Model v2" xfId="49" xr:uid="{00000000-0005-0000-0000-000030000000}"/>
    <cellStyle name="_Assets_S&amp;P Analysis_Univision Annual Model" xfId="50" xr:uid="{00000000-0005-0000-0000-000031000000}"/>
    <cellStyle name="_Assets_S&amp;P Analysis_Yell Servicing Model" xfId="51" xr:uid="{00000000-0005-0000-0000-000032000000}"/>
    <cellStyle name="_Assumptions" xfId="52" xr:uid="{00000000-0005-0000-0000-000033000000}"/>
    <cellStyle name="_Assumptions 2" xfId="935" xr:uid="{FDDD1671-0EFF-45D4-A9B4-219DCAB747F0}"/>
    <cellStyle name="_Assumptions_1" xfId="53" xr:uid="{00000000-0005-0000-0000-000034000000}"/>
    <cellStyle name="_Assumptions_1 2" xfId="936" xr:uid="{0C12A0B5-67F7-4E4A-A201-9492C7EF49AB}"/>
    <cellStyle name="_Assumptions_1_COMPS - B2B Publishers" xfId="54" xr:uid="{00000000-0005-0000-0000-000035000000}"/>
    <cellStyle name="_Assumptions_1_COMPS - B2B Publishers 2" xfId="937" xr:uid="{77B12242-6917-4E5E-9511-BA71DA18E49E}"/>
    <cellStyle name="_Assumptions_1_COMPS - Directories" xfId="55" xr:uid="{00000000-0005-0000-0000-000036000000}"/>
    <cellStyle name="_Assumptions_1_COMPS - Directories 2" xfId="938" xr:uid="{F704E6A4-8F29-4361-92A4-B5A9FACB8F07}"/>
    <cellStyle name="_Assumptions_1_F&amp;W Servicing Model" xfId="56" xr:uid="{00000000-0005-0000-0000-000037000000}"/>
    <cellStyle name="_Assumptions_1_F&amp;W Servicing Model 2" xfId="939" xr:uid="{55350F24-3E23-4BF8-8CC3-F040335C5F0E}"/>
    <cellStyle name="_Assumptions_1_F&amp;W Servicing Model v2" xfId="57" xr:uid="{00000000-0005-0000-0000-000038000000}"/>
    <cellStyle name="_Assumptions_1_F&amp;W Servicing Model v2 2" xfId="940" xr:uid="{59759686-9DFE-48C3-88CF-4D382AB0F07B}"/>
    <cellStyle name="_Assumptions_1_Univision Annual Model" xfId="58" xr:uid="{00000000-0005-0000-0000-000039000000}"/>
    <cellStyle name="_Assumptions_1_Univision Annual Model 2" xfId="941" xr:uid="{46F1AE65-0D8F-4937-84AD-E9EBE55FE3D9}"/>
    <cellStyle name="_Assumptions_1_Yell Servicing Model" xfId="59" xr:uid="{00000000-0005-0000-0000-00003A000000}"/>
    <cellStyle name="_Assumptions_1_Yell Servicing Model 2" xfId="942" xr:uid="{D6DAE500-F4C7-470E-A5CC-9DE105D97717}"/>
    <cellStyle name="_Blue Mountain TRS (7-5-05)" xfId="60" xr:uid="{00000000-0005-0000-0000-00003B000000}"/>
    <cellStyle name="_Blue Mountain TRS (7-5-05) 2" xfId="943" xr:uid="{E4430979-0030-4F4A-96E0-43C913B50A23}"/>
    <cellStyle name="_Book2" xfId="61" xr:uid="{00000000-0005-0000-0000-00003C000000}"/>
    <cellStyle name="_Book2 2" xfId="944" xr:uid="{93A1AC7C-D8A7-4623-B41D-09D9677A8EE2}"/>
    <cellStyle name="_CDO of CDO" xfId="62" xr:uid="{00000000-0005-0000-0000-00003D000000}"/>
    <cellStyle name="_CDO of CDO 2" xfId="945" xr:uid="{6DE9196C-CC3C-4E1C-80AE-DC8043736815}"/>
    <cellStyle name="_CLO Portfolio 10_07_2005" xfId="63" xr:uid="{00000000-0005-0000-0000-00003E000000}"/>
    <cellStyle name="_CLO Portfolio 10_07_2005 2" xfId="946" xr:uid="{174D939E-0598-44C4-B65D-E2D34BCE9811}"/>
    <cellStyle name="_Comma" xfId="64" xr:uid="{00000000-0005-0000-0000-00003F000000}"/>
    <cellStyle name="_Comma 2" xfId="947" xr:uid="{0DF1D4CD-2C40-4AC9-B97C-9DADD9B2246C}"/>
    <cellStyle name="_Comma_dcf" xfId="65" xr:uid="{00000000-0005-0000-0000-000040000000}"/>
    <cellStyle name="_Comma_dcf 2" xfId="948" xr:uid="{EEAAF852-7981-4BA5-B9E6-0A4C37798BD0}"/>
    <cellStyle name="_Currency" xfId="66" xr:uid="{00000000-0005-0000-0000-000041000000}"/>
    <cellStyle name="_Currency 2" xfId="949" xr:uid="{3FAA3F16-CE94-4DAF-AC1C-6CE3E61FC589}"/>
    <cellStyle name="_Currency_dcf" xfId="67" xr:uid="{00000000-0005-0000-0000-000042000000}"/>
    <cellStyle name="_Currency_dcf 2" xfId="950" xr:uid="{4D93D4C8-1A74-43E5-9D2A-A620EA6D06F2}"/>
    <cellStyle name="_CurrencySpace" xfId="68" xr:uid="{00000000-0005-0000-0000-000043000000}"/>
    <cellStyle name="_CurrencySpace 2" xfId="951" xr:uid="{8F070300-F9D4-43EB-9D80-0CB51007A156}"/>
    <cellStyle name="_CurrencySpace_dcf" xfId="69" xr:uid="{00000000-0005-0000-0000-000044000000}"/>
    <cellStyle name="_CurrencySpace_dcf 2" xfId="952" xr:uid="{4736BE2E-098F-4CF8-ABD2-2C9FEA628FDF}"/>
    <cellStyle name="_Euro" xfId="70" xr:uid="{00000000-0005-0000-0000-000045000000}"/>
    <cellStyle name="_Euro 2" xfId="953" xr:uid="{D64F50EE-D897-41EE-BED5-A3C8128359F1}"/>
    <cellStyle name="_EV8 Assumption List" xfId="71" xr:uid="{00000000-0005-0000-0000-000046000000}"/>
    <cellStyle name="_EV8 Assumption List 2" xfId="954" xr:uid="{FA4F579F-9EDC-4BC7-A8D5-95BAC711EA17}"/>
    <cellStyle name="_Exhibit I Babson Warehouse 2006-II CLO 8 18 06" xfId="72" xr:uid="{00000000-0005-0000-0000-000047000000}"/>
    <cellStyle name="_Exhibit I Babson Warehouse 2006-II CLO 8 18 06 2" xfId="955" xr:uid="{0B3253A2-96AA-451A-A30C-D14850CBECF4}"/>
    <cellStyle name="_First PIK" xfId="73" xr:uid="{00000000-0005-0000-0000-000048000000}"/>
    <cellStyle name="_First PIK 2" xfId="956" xr:uid="{2298B186-B6DB-4837-9A3A-83F0C3EC23C7}"/>
    <cellStyle name="_Galaxy VI CLO - WestLB Request" xfId="74" xr:uid="{00000000-0005-0000-0000-000049000000}"/>
    <cellStyle name="_Galaxy VI CLO - WestLB Request 2" xfId="957" xr:uid="{57FE8E69-0CFC-4D94-8BC5-8F55FAF48725}"/>
    <cellStyle name="_Heading" xfId="75" xr:uid="{00000000-0005-0000-0000-00004A000000}"/>
    <cellStyle name="_Heading_prestemp" xfId="76" xr:uid="{00000000-0005-0000-0000-00004B000000}"/>
    <cellStyle name="_Highlight" xfId="77" xr:uid="{00000000-0005-0000-0000-00004C000000}"/>
    <cellStyle name="_Highlight 2" xfId="958" xr:uid="{D6CABDF0-EC52-46AA-951E-9A503AEA99DF}"/>
    <cellStyle name="_Model FINAL (2)" xfId="78" xr:uid="{00000000-0005-0000-0000-00004D000000}"/>
    <cellStyle name="_Model FINAL (2) 2" xfId="959" xr:uid="{22691525-6197-4C14-B8EF-805599A37A75}"/>
    <cellStyle name="_Multiple" xfId="79" xr:uid="{00000000-0005-0000-0000-00004E000000}"/>
    <cellStyle name="_Multiple 2" xfId="960" xr:uid="{3EC81AD5-A9D1-4539-8A52-D25D90AEBB73}"/>
    <cellStyle name="_Multiple_dcf" xfId="80" xr:uid="{00000000-0005-0000-0000-00004F000000}"/>
    <cellStyle name="_Multiple_dcf 2" xfId="961" xr:uid="{A4CC31F9-370C-4CFB-8462-6122DCA59DE1}"/>
    <cellStyle name="_MultipleSpace" xfId="81" xr:uid="{00000000-0005-0000-0000-000050000000}"/>
    <cellStyle name="_MultipleSpace 2" xfId="962" xr:uid="{97EB87E0-F70E-4D3A-A996-B43B38EA5B5C}"/>
    <cellStyle name="_MultipleSpace_dcf" xfId="82" xr:uid="{00000000-0005-0000-0000-000051000000}"/>
    <cellStyle name="_MultipleSpace_dcf 2" xfId="963" xr:uid="{337B9FEA-0B53-4DFD-9219-6A16CF1971D7}"/>
    <cellStyle name="_Other Defafult Scenario 1" xfId="83" xr:uid="{00000000-0005-0000-0000-000052000000}"/>
    <cellStyle name="_Other Defafult Scenario 1 2" xfId="964" xr:uid="{AA7F4B7F-CB51-497B-9CA1-AC97089938BB}"/>
    <cellStyle name="_Other Default Scenario 2" xfId="84" xr:uid="{00000000-0005-0000-0000-000053000000}"/>
    <cellStyle name="_Other Default Scenario 2 2" xfId="965" xr:uid="{6F094662-01F1-4106-A26D-F148CA0AB898}"/>
    <cellStyle name="_Percent" xfId="85" xr:uid="{00000000-0005-0000-0000-000054000000}"/>
    <cellStyle name="_Percent 2" xfId="966" xr:uid="{2A35D8F4-FC92-40BF-8D73-1820DA1AEE05}"/>
    <cellStyle name="_PercentSpace" xfId="86" xr:uid="{00000000-0005-0000-0000-000055000000}"/>
    <cellStyle name="_PercentSpace 2" xfId="967" xr:uid="{F3AC9FB4-4AB2-4063-B495-D433905EEA17}"/>
    <cellStyle name="_Port" xfId="87" xr:uid="{00000000-0005-0000-0000-000056000000}"/>
    <cellStyle name="_Port 2" xfId="968" xr:uid="{9DDEE747-1AD9-4DB3-86CC-71F7C750B48E}"/>
    <cellStyle name="_Port For S&amp;P" xfId="88" xr:uid="{00000000-0005-0000-0000-000057000000}"/>
    <cellStyle name="_Port For S&amp;P 2" xfId="969" xr:uid="{A6DA1F25-9DCE-443E-B01E-07AFA4B378CF}"/>
    <cellStyle name="_Port_COMPS - B2B Publishers" xfId="89" xr:uid="{00000000-0005-0000-0000-000058000000}"/>
    <cellStyle name="_Port_COMPS - B2B Publishers 2" xfId="970" xr:uid="{2198A9F6-5E63-466E-A578-30BED51F0DC3}"/>
    <cellStyle name="_Port_COMPS - Directories" xfId="90" xr:uid="{00000000-0005-0000-0000-000059000000}"/>
    <cellStyle name="_Port_COMPS - Directories 2" xfId="971" xr:uid="{F9E86040-5429-45AD-9F9D-09C698999AE9}"/>
    <cellStyle name="_Port_F&amp;W Servicing Model" xfId="91" xr:uid="{00000000-0005-0000-0000-00005A000000}"/>
    <cellStyle name="_Port_F&amp;W Servicing Model 2" xfId="972" xr:uid="{03837419-9AA4-4916-A147-3EEB44768752}"/>
    <cellStyle name="_Port_F&amp;W Servicing Model v2" xfId="92" xr:uid="{00000000-0005-0000-0000-00005B000000}"/>
    <cellStyle name="_Port_F&amp;W Servicing Model v2 2" xfId="973" xr:uid="{C3DAD313-FD39-4CE3-92F6-DFCCA4608EEB}"/>
    <cellStyle name="_Port_Univision Annual Model" xfId="93" xr:uid="{00000000-0005-0000-0000-00005C000000}"/>
    <cellStyle name="_Port_Univision Annual Model 2" xfId="974" xr:uid="{6C03643A-15E1-4A69-9BAC-C2443351D6EC}"/>
    <cellStyle name="_Port_Yell Servicing Model" xfId="94" xr:uid="{00000000-0005-0000-0000-00005D000000}"/>
    <cellStyle name="_Port_Yell Servicing Model 2" xfId="975" xr:uid="{C950CE80-30A2-4937-8DB3-E80EA71FCFF8}"/>
    <cellStyle name="_Pro Forma TTM 9.30.07 (CW NEIRB Acquisition)" xfId="95" xr:uid="{00000000-0005-0000-0000-00005E000000}"/>
    <cellStyle name="_Pro Forma TTM 9.30.07 (CW NEIRB Acquisition) 2" xfId="976" xr:uid="{82E8398B-27E0-498C-9E94-AC5DB04537E6}"/>
    <cellStyle name="_S&amp;P Analysis" xfId="96" xr:uid="{00000000-0005-0000-0000-00005F000000}"/>
    <cellStyle name="_S&amp;P Analysis_COMPS - B2B Publishers" xfId="97" xr:uid="{00000000-0005-0000-0000-000060000000}"/>
    <cellStyle name="_S&amp;P Analysis_COMPS - Directories" xfId="98" xr:uid="{00000000-0005-0000-0000-000061000000}"/>
    <cellStyle name="_S&amp;P Analysis_F&amp;W Servicing Model" xfId="99" xr:uid="{00000000-0005-0000-0000-000062000000}"/>
    <cellStyle name="_S&amp;P Analysis_F&amp;W Servicing Model v2" xfId="100" xr:uid="{00000000-0005-0000-0000-000063000000}"/>
    <cellStyle name="_S&amp;P Analysis_Univision Annual Model" xfId="101" xr:uid="{00000000-0005-0000-0000-000064000000}"/>
    <cellStyle name="_S&amp;P Analysis_Yell Servicing Model" xfId="102" xr:uid="{00000000-0005-0000-0000-000065000000}"/>
    <cellStyle name="_S&amp;P Hypothetical Port Summary" xfId="103" xr:uid="{00000000-0005-0000-0000-000066000000}"/>
    <cellStyle name="_S&amp;P Hypothetical Port Summary 2" xfId="977" xr:uid="{E3F7BEF4-CCD2-4F67-8CF4-058EBD7489BB}"/>
    <cellStyle name="_S&amp;P Port 80Div_2099WARF" xfId="104" xr:uid="{00000000-0005-0000-0000-000067000000}"/>
    <cellStyle name="_S&amp;P Port 80Div_2099WARF 2" xfId="978" xr:uid="{3F23403D-8FEE-4150-939B-C5E154657284}"/>
    <cellStyle name="_S&amp;P Stress Scenarios" xfId="105" xr:uid="{00000000-0005-0000-0000-000068000000}"/>
    <cellStyle name="_S&amp;P Stress Scenarios 2" xfId="979" xr:uid="{075700F0-6699-4A28-8644-5ED47E8BBB07}"/>
    <cellStyle name="_Sources and Uses" xfId="106" xr:uid="{00000000-0005-0000-0000-000069000000}"/>
    <cellStyle name="_Sources and Uses 2" xfId="980" xr:uid="{6A593A65-D73C-4C65-B16F-A5ED64C7ADF8}"/>
    <cellStyle name="_SubHeading" xfId="107" xr:uid="{00000000-0005-0000-0000-00006A000000}"/>
    <cellStyle name="_SubHeading_prestemp" xfId="108" xr:uid="{00000000-0005-0000-0000-00006B000000}"/>
    <cellStyle name="_Table" xfId="109" xr:uid="{00000000-0005-0000-0000-00006C000000}"/>
    <cellStyle name="_TableHead" xfId="110" xr:uid="{00000000-0005-0000-0000-00006D000000}"/>
    <cellStyle name="_TableRowHead" xfId="111" xr:uid="{00000000-0005-0000-0000-00006E000000}"/>
    <cellStyle name="_TableSuperHead" xfId="112" xr:uid="{00000000-0005-0000-0000-00006F000000}"/>
    <cellStyle name="£Currency [0]" xfId="113" xr:uid="{00000000-0005-0000-0000-000070000000}"/>
    <cellStyle name="£Currency [1]" xfId="114" xr:uid="{00000000-0005-0000-0000-000071000000}"/>
    <cellStyle name="£Currency [2]" xfId="115" xr:uid="{00000000-0005-0000-0000-000072000000}"/>
    <cellStyle name="£Currency [p]" xfId="116" xr:uid="{00000000-0005-0000-0000-000073000000}"/>
    <cellStyle name="£Currency [p2]" xfId="117" xr:uid="{00000000-0005-0000-0000-000074000000}"/>
    <cellStyle name="£Pounds" xfId="118" xr:uid="{00000000-0005-0000-0000-000075000000}"/>
    <cellStyle name="Accounting $" xfId="119" xr:uid="{00000000-0005-0000-0000-000076000000}"/>
    <cellStyle name="Accounting $ 2" xfId="981" xr:uid="{9903969E-82ED-4D76-9472-2B6559748262}"/>
    <cellStyle name="Across" xfId="120" xr:uid="{00000000-0005-0000-0000-000077000000}"/>
    <cellStyle name="Adjustable" xfId="121" xr:uid="{00000000-0005-0000-0000-000078000000}"/>
    <cellStyle name="AFE" xfId="122" xr:uid="{00000000-0005-0000-0000-000079000000}"/>
    <cellStyle name="Andre's Title" xfId="123" xr:uid="{00000000-0005-0000-0000-00007A000000}"/>
    <cellStyle name="args.style" xfId="124" xr:uid="{00000000-0005-0000-0000-00007B000000}"/>
    <cellStyle name="Arial 10" xfId="125" xr:uid="{00000000-0005-0000-0000-00007C000000}"/>
    <cellStyle name="Arial 10 2" xfId="982" xr:uid="{41463C94-7FAD-4BE5-BC5C-79B09CD17219}"/>
    <cellStyle name="Arial 12" xfId="126" xr:uid="{00000000-0005-0000-0000-00007D000000}"/>
    <cellStyle name="Best" xfId="127" xr:uid="{00000000-0005-0000-0000-00007E000000}"/>
    <cellStyle name="Blank [$]" xfId="128" xr:uid="{00000000-0005-0000-0000-00007F000000}"/>
    <cellStyle name="Blank [,]" xfId="129" xr:uid="{00000000-0005-0000-0000-000080000000}"/>
    <cellStyle name="BlankedZeros" xfId="130" xr:uid="{00000000-0005-0000-0000-000081000000}"/>
    <cellStyle name="blp_column_header" xfId="131" xr:uid="{00000000-0005-0000-0000-000082000000}"/>
    <cellStyle name="Blue" xfId="132" xr:uid="{00000000-0005-0000-0000-000083000000}"/>
    <cellStyle name="bluepercent" xfId="133" xr:uid="{00000000-0005-0000-0000-000084000000}"/>
    <cellStyle name="Body" xfId="134" xr:uid="{00000000-0005-0000-0000-000085000000}"/>
    <cellStyle name="Bold" xfId="135" xr:uid="{00000000-0005-0000-0000-000086000000}"/>
    <cellStyle name="BoldItalic" xfId="136" xr:uid="{00000000-0005-0000-0000-000087000000}"/>
    <cellStyle name="Bottom" xfId="137" xr:uid="{00000000-0005-0000-0000-000088000000}"/>
    <cellStyle name="Bottom Edge" xfId="138" xr:uid="{00000000-0005-0000-0000-000089000000}"/>
    <cellStyle name="British Pound" xfId="139" xr:uid="{00000000-0005-0000-0000-00008A000000}"/>
    <cellStyle name="Business Description" xfId="140" xr:uid="{00000000-0005-0000-0000-00008B000000}"/>
    <cellStyle name="c" xfId="141" xr:uid="{00000000-0005-0000-0000-00008C000000}"/>
    <cellStyle name="Calc Currency (0)" xfId="142" xr:uid="{00000000-0005-0000-0000-00008D000000}"/>
    <cellStyle name="Calc Currency (2)" xfId="143" xr:uid="{00000000-0005-0000-0000-00008E000000}"/>
    <cellStyle name="Calc Percent (0)" xfId="144" xr:uid="{00000000-0005-0000-0000-00008F000000}"/>
    <cellStyle name="Calc Percent (1)" xfId="145" xr:uid="{00000000-0005-0000-0000-000090000000}"/>
    <cellStyle name="Calc Percent (2)" xfId="146" xr:uid="{00000000-0005-0000-0000-000091000000}"/>
    <cellStyle name="Calc Percent (2) 2" xfId="983" xr:uid="{96FA25E2-BDD0-4DB2-8EC2-9210E475957D}"/>
    <cellStyle name="Calc Units (0)" xfId="147" xr:uid="{00000000-0005-0000-0000-000092000000}"/>
    <cellStyle name="Calc Units (1)" xfId="148" xr:uid="{00000000-0005-0000-0000-000093000000}"/>
    <cellStyle name="Calc Units (2)" xfId="149" xr:uid="{00000000-0005-0000-0000-000094000000}"/>
    <cellStyle name="Case" xfId="150" xr:uid="{00000000-0005-0000-0000-000095000000}"/>
    <cellStyle name="cc" xfId="151" xr:uid="{00000000-0005-0000-0000-000096000000}"/>
    <cellStyle name="Center" xfId="152" xr:uid="{00000000-0005-0000-0000-000097000000}"/>
    <cellStyle name="CenterBold" xfId="153" xr:uid="{00000000-0005-0000-0000-000098000000}"/>
    <cellStyle name="CenterItalic" xfId="154" xr:uid="{00000000-0005-0000-0000-000099000000}"/>
    <cellStyle name="Cents" xfId="155" xr:uid="{00000000-0005-0000-0000-00009A000000}"/>
    <cellStyle name="Cents 2" xfId="984" xr:uid="{94413B5E-41F4-4B51-BBF9-287C09198190}"/>
    <cellStyle name="ChartingText" xfId="156" xr:uid="{00000000-0005-0000-0000-00009B000000}"/>
    <cellStyle name="Co. Names" xfId="157" xr:uid="{00000000-0005-0000-0000-00009C000000}"/>
    <cellStyle name="Co. Names - Bold" xfId="158" xr:uid="{00000000-0005-0000-0000-00009D000000}"/>
    <cellStyle name="Co. Names_Break-Up" xfId="159" xr:uid="{00000000-0005-0000-0000-00009E000000}"/>
    <cellStyle name="COL HEADINGS" xfId="160" xr:uid="{00000000-0005-0000-0000-00009F000000}"/>
    <cellStyle name="ColumnHeaderNormal" xfId="161" xr:uid="{00000000-0005-0000-0000-0000A0000000}"/>
    <cellStyle name="Comma" xfId="900" builtinId="3"/>
    <cellStyle name="Comma  - Style1" xfId="162" xr:uid="{00000000-0005-0000-0000-0000A2000000}"/>
    <cellStyle name="Comma  - Style1 2" xfId="985" xr:uid="{2F41EA86-4E8D-42E1-B945-C5B2A4412FDC}"/>
    <cellStyle name="Comma  - Style2" xfId="163" xr:uid="{00000000-0005-0000-0000-0000A3000000}"/>
    <cellStyle name="Comma  - Style2 2" xfId="986" xr:uid="{40756C10-D127-41A6-8D7D-FD8EDBCD78A5}"/>
    <cellStyle name="Comma  - Style3" xfId="164" xr:uid="{00000000-0005-0000-0000-0000A4000000}"/>
    <cellStyle name="Comma  - Style3 2" xfId="987" xr:uid="{ABEA61C9-A138-4298-A5ED-1526384760FE}"/>
    <cellStyle name="Comma  - Style4" xfId="165" xr:uid="{00000000-0005-0000-0000-0000A5000000}"/>
    <cellStyle name="Comma  - Style4 2" xfId="988" xr:uid="{4093F80A-9D6B-458D-BEAA-61DE7D84B5BC}"/>
    <cellStyle name="Comma  - Style5" xfId="166" xr:uid="{00000000-0005-0000-0000-0000A6000000}"/>
    <cellStyle name="Comma  - Style5 2" xfId="989" xr:uid="{5F8D21DC-A59E-49C3-A803-FE264F5E0D6F}"/>
    <cellStyle name="Comma  - Style6" xfId="167" xr:uid="{00000000-0005-0000-0000-0000A7000000}"/>
    <cellStyle name="Comma  - Style6 2" xfId="990" xr:uid="{9B4A32E2-F4BA-46F4-85DA-54C30E9605AD}"/>
    <cellStyle name="Comma  - Style7" xfId="168" xr:uid="{00000000-0005-0000-0000-0000A8000000}"/>
    <cellStyle name="Comma  - Style7 2" xfId="991" xr:uid="{2BDC33FA-4D57-4F26-8FEB-1565181055DA}"/>
    <cellStyle name="Comma  - Style8" xfId="169" xr:uid="{00000000-0005-0000-0000-0000A9000000}"/>
    <cellStyle name="Comma  - Style8 2" xfId="992" xr:uid="{09EBB131-E6D6-49BA-8B9C-A1FC2B65F55D}"/>
    <cellStyle name="Comma [0]; --" xfId="170" xr:uid="{00000000-0005-0000-0000-0000AA000000}"/>
    <cellStyle name="Comma [00]" xfId="171" xr:uid="{00000000-0005-0000-0000-0000AB000000}"/>
    <cellStyle name="Comma [1]" xfId="172" xr:uid="{00000000-0005-0000-0000-0000AC000000}"/>
    <cellStyle name="Comma 2" xfId="895" xr:uid="{00000000-0005-0000-0000-0000AD000000}"/>
    <cellStyle name="Comma 2 2" xfId="899" xr:uid="{00000000-0005-0000-0000-0000AE000000}"/>
    <cellStyle name="Comma 2 2 2" xfId="1024" xr:uid="{34BE0C57-9B3A-4FEA-B4ED-42705199740A}"/>
    <cellStyle name="Comma 2 3" xfId="1021" xr:uid="{64761DDD-8266-4FE1-AC12-C2999D08E7CB}"/>
    <cellStyle name="Comma 3" xfId="1025" xr:uid="{6C8CD44E-BAD6-4BDD-91F6-CD94DED1E3D0}"/>
    <cellStyle name="Comma Cents" xfId="173" xr:uid="{00000000-0005-0000-0000-0000AF000000}"/>
    <cellStyle name="Comma Cents 2" xfId="993" xr:uid="{40475A39-2011-4233-8D97-635A8DF2B206}"/>
    <cellStyle name="Comma0" xfId="174" xr:uid="{00000000-0005-0000-0000-0000B0000000}"/>
    <cellStyle name="Comma0 2" xfId="994" xr:uid="{8DD24E50-86AE-443C-B64A-752F583BF5A2}"/>
    <cellStyle name="Commas" xfId="175" xr:uid="{00000000-0005-0000-0000-0000B1000000}"/>
    <cellStyle name="CommasBold" xfId="176" xr:uid="{00000000-0005-0000-0000-0000B2000000}"/>
    <cellStyle name="CompanyTitle" xfId="177" xr:uid="{00000000-0005-0000-0000-0000B3000000}"/>
    <cellStyle name="Copied" xfId="178" xr:uid="{00000000-0005-0000-0000-0000B4000000}"/>
    <cellStyle name="Currency $" xfId="179" xr:uid="{00000000-0005-0000-0000-0000B5000000}"/>
    <cellStyle name="Currency $ 2" xfId="995" xr:uid="{BCDDCBFF-D762-4416-B9F7-1407B4A9CA0A}"/>
    <cellStyle name="Currency [0]; --" xfId="180" xr:uid="{00000000-0005-0000-0000-0000B6000000}"/>
    <cellStyle name="Currency [00]" xfId="181" xr:uid="{00000000-0005-0000-0000-0000B7000000}"/>
    <cellStyle name="Currency [1]" xfId="182" xr:uid="{00000000-0005-0000-0000-0000B8000000}"/>
    <cellStyle name="Currency [2]" xfId="183" xr:uid="{00000000-0005-0000-0000-0000B9000000}"/>
    <cellStyle name="data" xfId="184" xr:uid="{00000000-0005-0000-0000-0000BA000000}"/>
    <cellStyle name="data 2" xfId="996" xr:uid="{AFFCE6C2-FA0B-418B-8DBB-146BF9C93975}"/>
    <cellStyle name="Date" xfId="185" xr:uid="{00000000-0005-0000-0000-0000BB000000}"/>
    <cellStyle name="Date 2" xfId="997" xr:uid="{16B561FA-2165-49A7-B875-388F35BFBCB5}"/>
    <cellStyle name="Date Short" xfId="186" xr:uid="{00000000-0005-0000-0000-0000BC000000}"/>
    <cellStyle name="Date_COMPS - Directories" xfId="187" xr:uid="{00000000-0005-0000-0000-0000BD000000}"/>
    <cellStyle name="DateLeftBold" xfId="188" xr:uid="{00000000-0005-0000-0000-0000BE000000}"/>
    <cellStyle name="Default" xfId="189" xr:uid="{00000000-0005-0000-0000-0000BF000000}"/>
    <cellStyle name="Default 2" xfId="998" xr:uid="{70EAC48D-A6D3-4C7B-B20A-FF0D574F7A61}"/>
    <cellStyle name="DELTA" xfId="190" xr:uid="{00000000-0005-0000-0000-0000C0000000}"/>
    <cellStyle name="Dollars" xfId="191" xr:uid="{00000000-0005-0000-0000-0000C1000000}"/>
    <cellStyle name="Dollars []" xfId="192" xr:uid="{00000000-0005-0000-0000-0000C2000000}"/>
    <cellStyle name="Dollars_Pro Forma TTM 9.30.07 (CW NEIRB Acquisition)" xfId="193" xr:uid="{00000000-0005-0000-0000-0000C3000000}"/>
    <cellStyle name="Double" xfId="194" xr:uid="{00000000-0005-0000-0000-0000C4000000}"/>
    <cellStyle name="Double Accounting" xfId="195" xr:uid="{00000000-0005-0000-0000-0000C5000000}"/>
    <cellStyle name="Enter Currency (0)" xfId="196" xr:uid="{00000000-0005-0000-0000-0000C6000000}"/>
    <cellStyle name="Enter Currency (2)" xfId="197" xr:uid="{00000000-0005-0000-0000-0000C7000000}"/>
    <cellStyle name="Enter Units (0)" xfId="198" xr:uid="{00000000-0005-0000-0000-0000C8000000}"/>
    <cellStyle name="Enter Units (1)" xfId="199" xr:uid="{00000000-0005-0000-0000-0000C9000000}"/>
    <cellStyle name="Enter Units (2)" xfId="200" xr:uid="{00000000-0005-0000-0000-0000CA000000}"/>
    <cellStyle name="Entered" xfId="201" xr:uid="{00000000-0005-0000-0000-0000CB000000}"/>
    <cellStyle name="Euro" xfId="202" xr:uid="{00000000-0005-0000-0000-0000CC000000}"/>
    <cellStyle name="Euro 2" xfId="999" xr:uid="{3FD7DFF3-3778-42D8-91E3-EF8EC56A8746}"/>
    <cellStyle name="Fit" xfId="203" xr:uid="{00000000-0005-0000-0000-0000CD000000}"/>
    <cellStyle name="Footer" xfId="204" xr:uid="{00000000-0005-0000-0000-0000CE000000}"/>
    <cellStyle name="Footnotes" xfId="205" xr:uid="{00000000-0005-0000-0000-0000CF000000}"/>
    <cellStyle name="Grey" xfId="206" xr:uid="{00000000-0005-0000-0000-0000D0000000}"/>
    <cellStyle name="GreybarHeader" xfId="207" xr:uid="{00000000-0005-0000-0000-0000D1000000}"/>
    <cellStyle name="Grouped Head" xfId="208" xr:uid="{00000000-0005-0000-0000-0000D2000000}"/>
    <cellStyle name="h" xfId="209" xr:uid="{00000000-0005-0000-0000-0000D3000000}"/>
    <cellStyle name="HAlignCenter" xfId="210" xr:uid="{00000000-0005-0000-0000-0000D4000000}"/>
    <cellStyle name="HAlignCenter 2" xfId="1000" xr:uid="{40807B8E-9110-41A5-9E23-34DC9B91F72C}"/>
    <cellStyle name="HAlignLeft" xfId="211" xr:uid="{00000000-0005-0000-0000-0000D5000000}"/>
    <cellStyle name="HAlignLeft 2" xfId="1001" xr:uid="{4016105A-84B5-40AE-9FE4-E032BCC662FC}"/>
    <cellStyle name="HAlignRight" xfId="212" xr:uid="{00000000-0005-0000-0000-0000D6000000}"/>
    <cellStyle name="HAlignRight 2" xfId="1002" xr:uid="{396F4C85-D9DA-4438-9912-B29FF919DDA5}"/>
    <cellStyle name="Head 1" xfId="213" xr:uid="{00000000-0005-0000-0000-0000D7000000}"/>
    <cellStyle name="Header" xfId="214" xr:uid="{00000000-0005-0000-0000-0000D8000000}"/>
    <cellStyle name="Header1" xfId="215" xr:uid="{00000000-0005-0000-0000-0000D9000000}"/>
    <cellStyle name="Header2" xfId="216" xr:uid="{00000000-0005-0000-0000-0000DA000000}"/>
    <cellStyle name="headers" xfId="217" xr:uid="{00000000-0005-0000-0000-0000DB000000}"/>
    <cellStyle name="Heading" xfId="218" xr:uid="{00000000-0005-0000-0000-0000DC000000}"/>
    <cellStyle name="HEADINGS" xfId="219" xr:uid="{00000000-0005-0000-0000-0000DD000000}"/>
    <cellStyle name="HEADINGSTOP" xfId="220" xr:uid="{00000000-0005-0000-0000-0000DE000000}"/>
    <cellStyle name="imput" xfId="221" xr:uid="{00000000-0005-0000-0000-0000DF000000}"/>
    <cellStyle name="Input [yellow]" xfId="222" xr:uid="{00000000-0005-0000-0000-0000E0000000}"/>
    <cellStyle name="Invisible" xfId="223" xr:uid="{00000000-0005-0000-0000-0000E1000000}"/>
    <cellStyle name="ItalicHeader" xfId="224" xr:uid="{00000000-0005-0000-0000-0000E2000000}"/>
    <cellStyle name="Item Descriptions" xfId="225" xr:uid="{00000000-0005-0000-0000-0000E3000000}"/>
    <cellStyle name="Item Descriptions - Bold" xfId="226" xr:uid="{00000000-0005-0000-0000-0000E4000000}"/>
    <cellStyle name="Item Descriptions_6079BX" xfId="227" xr:uid="{00000000-0005-0000-0000-0000E5000000}"/>
    <cellStyle name="Left" xfId="228" xr:uid="{00000000-0005-0000-0000-0000E6000000}"/>
    <cellStyle name="LeftBold" xfId="229" xr:uid="{00000000-0005-0000-0000-0000E7000000}"/>
    <cellStyle name="LeftBoldBottomRule" xfId="230" xr:uid="{00000000-0005-0000-0000-0000E8000000}"/>
    <cellStyle name="LeftBoldCenterRule" xfId="231" xr:uid="{00000000-0005-0000-0000-0000E9000000}"/>
    <cellStyle name="Line" xfId="232" xr:uid="{00000000-0005-0000-0000-0000EA000000}"/>
    <cellStyle name="Link Currency (0)" xfId="233" xr:uid="{00000000-0005-0000-0000-0000EB000000}"/>
    <cellStyle name="Link Currency (2)" xfId="234" xr:uid="{00000000-0005-0000-0000-0000EC000000}"/>
    <cellStyle name="Link Units (0)" xfId="235" xr:uid="{00000000-0005-0000-0000-0000ED000000}"/>
    <cellStyle name="Link Units (1)" xfId="236" xr:uid="{00000000-0005-0000-0000-0000EE000000}"/>
    <cellStyle name="Link Units (2)" xfId="237" xr:uid="{00000000-0005-0000-0000-0000EF000000}"/>
    <cellStyle name="locked" xfId="238" xr:uid="{00000000-0005-0000-0000-0000F0000000}"/>
    <cellStyle name="locked 2" xfId="1003" xr:uid="{4D91B33B-1910-4D41-A13E-F803AC1232CF}"/>
    <cellStyle name="m&amp;a" xfId="239" xr:uid="{00000000-0005-0000-0000-0000F1000000}"/>
    <cellStyle name="Map Labels" xfId="240" xr:uid="{00000000-0005-0000-0000-0000F2000000}"/>
    <cellStyle name="Map Legend" xfId="241" xr:uid="{00000000-0005-0000-0000-0000F3000000}"/>
    <cellStyle name="Merrill" xfId="242" xr:uid="{00000000-0005-0000-0000-0000F4000000}"/>
    <cellStyle name="Millares_Inv Detail A7" xfId="243" xr:uid="{00000000-0005-0000-0000-0000F5000000}"/>
    <cellStyle name="Milliers [0]_r00SC" xfId="244" xr:uid="{00000000-0005-0000-0000-0000F6000000}"/>
    <cellStyle name="Milliers_r00SC" xfId="245" xr:uid="{00000000-0005-0000-0000-0000F7000000}"/>
    <cellStyle name="Mix" xfId="246" xr:uid="{00000000-0005-0000-0000-0000F8000000}"/>
    <cellStyle name="mon" xfId="247" xr:uid="{00000000-0005-0000-0000-0000F9000000}"/>
    <cellStyle name="Monétaire [0]_r00SC" xfId="248" xr:uid="{00000000-0005-0000-0000-0000FA000000}"/>
    <cellStyle name="Monétaire_r00SC" xfId="249" xr:uid="{00000000-0005-0000-0000-0000FB000000}"/>
    <cellStyle name="Money" xfId="250" xr:uid="{00000000-0005-0000-0000-0000FC000000}"/>
    <cellStyle name="Money 2" xfId="1004" xr:uid="{37C139F4-2B2D-4DCD-8B65-CB6EDA09860B}"/>
    <cellStyle name="Multiple" xfId="251" xr:uid="{00000000-0005-0000-0000-0000FD000000}"/>
    <cellStyle name="Multiple []" xfId="252" xr:uid="{00000000-0005-0000-0000-0000FE000000}"/>
    <cellStyle name="Multiple [0]" xfId="253" xr:uid="{00000000-0005-0000-0000-0000FF000000}"/>
    <cellStyle name="Multiple [0] []" xfId="254" xr:uid="{00000000-0005-0000-0000-000000010000}"/>
    <cellStyle name="Multiple [0]_New MA Public Comps and WACC Model" xfId="255" xr:uid="{00000000-0005-0000-0000-000001010000}"/>
    <cellStyle name="Multiple [1]" xfId="256" xr:uid="{00000000-0005-0000-0000-000002010000}"/>
    <cellStyle name="Multiple [1] []" xfId="257" xr:uid="{00000000-0005-0000-0000-000003010000}"/>
    <cellStyle name="Multiple [1]_New MA Public Comps and WACC Model" xfId="258" xr:uid="{00000000-0005-0000-0000-000004010000}"/>
    <cellStyle name="Multiple_CapitalSum" xfId="259" xr:uid="{00000000-0005-0000-0000-000005010000}"/>
    <cellStyle name="N2Style" xfId="260" xr:uid="{00000000-0005-0000-0000-000006010000}"/>
    <cellStyle name="N2Style 2" xfId="1005" xr:uid="{7747551A-6661-4EBA-9179-85EA4B38B771}"/>
    <cellStyle name="NewColumnHeaderNormal" xfId="261" xr:uid="{00000000-0005-0000-0000-000007010000}"/>
    <cellStyle name="NewSectionHeaderNormal" xfId="262" xr:uid="{00000000-0005-0000-0000-000008010000}"/>
    <cellStyle name="NewTitleNormal" xfId="263" xr:uid="{00000000-0005-0000-0000-000009010000}"/>
    <cellStyle name="Normal" xfId="0" builtinId="0"/>
    <cellStyle name="Normal - Style1" xfId="264" xr:uid="{00000000-0005-0000-0000-00000B010000}"/>
    <cellStyle name="Normal 2" xfId="265" xr:uid="{00000000-0005-0000-0000-00000C010000}"/>
    <cellStyle name="Normal 2 2" xfId="266" xr:uid="{00000000-0005-0000-0000-00000D010000}"/>
    <cellStyle name="Normal 2 2 2" xfId="896" xr:uid="{00000000-0005-0000-0000-00000E010000}"/>
    <cellStyle name="Normal 3" xfId="894" xr:uid="{00000000-0005-0000-0000-00000F010000}"/>
    <cellStyle name="Normal 3 2" xfId="898" xr:uid="{00000000-0005-0000-0000-000010010000}"/>
    <cellStyle name="Normal 3 2 2" xfId="1023" xr:uid="{DB38F288-F2E0-4CA4-B327-E66B80DEE5EC}"/>
    <cellStyle name="Normal 3 3" xfId="1020" xr:uid="{A260BAAE-774A-4893-A200-5F7C8F685502}"/>
    <cellStyle name="Normal1" xfId="267" xr:uid="{00000000-0005-0000-0000-000011010000}"/>
    <cellStyle name="Normal10" xfId="268" xr:uid="{00000000-0005-0000-0000-000012010000}"/>
    <cellStyle name="Normal100" xfId="269" xr:uid="{00000000-0005-0000-0000-000013010000}"/>
    <cellStyle name="Normal101" xfId="270" xr:uid="{00000000-0005-0000-0000-000014010000}"/>
    <cellStyle name="Normal102" xfId="271" xr:uid="{00000000-0005-0000-0000-000015010000}"/>
    <cellStyle name="Normal103" xfId="272" xr:uid="{00000000-0005-0000-0000-000016010000}"/>
    <cellStyle name="Normal104" xfId="273" xr:uid="{00000000-0005-0000-0000-000017010000}"/>
    <cellStyle name="Normal105" xfId="274" xr:uid="{00000000-0005-0000-0000-000018010000}"/>
    <cellStyle name="Normal106" xfId="275" xr:uid="{00000000-0005-0000-0000-000019010000}"/>
    <cellStyle name="Normal107" xfId="276" xr:uid="{00000000-0005-0000-0000-00001A010000}"/>
    <cellStyle name="Normal108" xfId="277" xr:uid="{00000000-0005-0000-0000-00001B010000}"/>
    <cellStyle name="Normal109" xfId="278" xr:uid="{00000000-0005-0000-0000-00001C010000}"/>
    <cellStyle name="Normal11" xfId="279" xr:uid="{00000000-0005-0000-0000-00001D010000}"/>
    <cellStyle name="Normal110" xfId="280" xr:uid="{00000000-0005-0000-0000-00001E010000}"/>
    <cellStyle name="Normal111" xfId="281" xr:uid="{00000000-0005-0000-0000-00001F010000}"/>
    <cellStyle name="Normal112" xfId="282" xr:uid="{00000000-0005-0000-0000-000020010000}"/>
    <cellStyle name="Normal113" xfId="283" xr:uid="{00000000-0005-0000-0000-000021010000}"/>
    <cellStyle name="Normal114" xfId="284" xr:uid="{00000000-0005-0000-0000-000022010000}"/>
    <cellStyle name="Normal115" xfId="285" xr:uid="{00000000-0005-0000-0000-000023010000}"/>
    <cellStyle name="Normal116" xfId="286" xr:uid="{00000000-0005-0000-0000-000024010000}"/>
    <cellStyle name="Normal117" xfId="287" xr:uid="{00000000-0005-0000-0000-000025010000}"/>
    <cellStyle name="Normal118" xfId="288" xr:uid="{00000000-0005-0000-0000-000026010000}"/>
    <cellStyle name="Normal119" xfId="289" xr:uid="{00000000-0005-0000-0000-000027010000}"/>
    <cellStyle name="Normal12" xfId="290" xr:uid="{00000000-0005-0000-0000-000028010000}"/>
    <cellStyle name="Normal120" xfId="291" xr:uid="{00000000-0005-0000-0000-000029010000}"/>
    <cellStyle name="Normal121" xfId="292" xr:uid="{00000000-0005-0000-0000-00002A010000}"/>
    <cellStyle name="Normal122" xfId="293" xr:uid="{00000000-0005-0000-0000-00002B010000}"/>
    <cellStyle name="Normal123" xfId="294" xr:uid="{00000000-0005-0000-0000-00002C010000}"/>
    <cellStyle name="Normal124" xfId="295" xr:uid="{00000000-0005-0000-0000-00002D010000}"/>
    <cellStyle name="Normal125" xfId="296" xr:uid="{00000000-0005-0000-0000-00002E010000}"/>
    <cellStyle name="Normal126" xfId="297" xr:uid="{00000000-0005-0000-0000-00002F010000}"/>
    <cellStyle name="Normal127" xfId="298" xr:uid="{00000000-0005-0000-0000-000030010000}"/>
    <cellStyle name="Normal128" xfId="299" xr:uid="{00000000-0005-0000-0000-000031010000}"/>
    <cellStyle name="Normal129" xfId="300" xr:uid="{00000000-0005-0000-0000-000032010000}"/>
    <cellStyle name="Normal13" xfId="301" xr:uid="{00000000-0005-0000-0000-000033010000}"/>
    <cellStyle name="Normal130" xfId="302" xr:uid="{00000000-0005-0000-0000-000034010000}"/>
    <cellStyle name="Normal131" xfId="303" xr:uid="{00000000-0005-0000-0000-000035010000}"/>
    <cellStyle name="Normal132" xfId="304" xr:uid="{00000000-0005-0000-0000-000036010000}"/>
    <cellStyle name="Normal133" xfId="305" xr:uid="{00000000-0005-0000-0000-000037010000}"/>
    <cellStyle name="Normal134" xfId="306" xr:uid="{00000000-0005-0000-0000-000038010000}"/>
    <cellStyle name="Normal135" xfId="307" xr:uid="{00000000-0005-0000-0000-000039010000}"/>
    <cellStyle name="Normal136" xfId="308" xr:uid="{00000000-0005-0000-0000-00003A010000}"/>
    <cellStyle name="Normal137" xfId="309" xr:uid="{00000000-0005-0000-0000-00003B010000}"/>
    <cellStyle name="Normal138" xfId="310" xr:uid="{00000000-0005-0000-0000-00003C010000}"/>
    <cellStyle name="Normal139" xfId="311" xr:uid="{00000000-0005-0000-0000-00003D010000}"/>
    <cellStyle name="Normal14" xfId="312" xr:uid="{00000000-0005-0000-0000-00003E010000}"/>
    <cellStyle name="Normal140" xfId="313" xr:uid="{00000000-0005-0000-0000-00003F010000}"/>
    <cellStyle name="Normal141" xfId="314" xr:uid="{00000000-0005-0000-0000-000040010000}"/>
    <cellStyle name="Normal142" xfId="315" xr:uid="{00000000-0005-0000-0000-000041010000}"/>
    <cellStyle name="Normal143" xfId="316" xr:uid="{00000000-0005-0000-0000-000042010000}"/>
    <cellStyle name="Normal144" xfId="317" xr:uid="{00000000-0005-0000-0000-000043010000}"/>
    <cellStyle name="Normal145" xfId="318" xr:uid="{00000000-0005-0000-0000-000044010000}"/>
    <cellStyle name="Normal146" xfId="319" xr:uid="{00000000-0005-0000-0000-000045010000}"/>
    <cellStyle name="Normal147" xfId="320" xr:uid="{00000000-0005-0000-0000-000046010000}"/>
    <cellStyle name="Normal148" xfId="321" xr:uid="{00000000-0005-0000-0000-000047010000}"/>
    <cellStyle name="Normal149" xfId="322" xr:uid="{00000000-0005-0000-0000-000048010000}"/>
    <cellStyle name="Normal15" xfId="323" xr:uid="{00000000-0005-0000-0000-000049010000}"/>
    <cellStyle name="Normal150" xfId="324" xr:uid="{00000000-0005-0000-0000-00004A010000}"/>
    <cellStyle name="Normal151" xfId="325" xr:uid="{00000000-0005-0000-0000-00004B010000}"/>
    <cellStyle name="Normal152" xfId="326" xr:uid="{00000000-0005-0000-0000-00004C010000}"/>
    <cellStyle name="Normal153" xfId="327" xr:uid="{00000000-0005-0000-0000-00004D010000}"/>
    <cellStyle name="Normal154" xfId="328" xr:uid="{00000000-0005-0000-0000-00004E010000}"/>
    <cellStyle name="Normal155" xfId="329" xr:uid="{00000000-0005-0000-0000-00004F010000}"/>
    <cellStyle name="Normal156" xfId="330" xr:uid="{00000000-0005-0000-0000-000050010000}"/>
    <cellStyle name="Normal157" xfId="331" xr:uid="{00000000-0005-0000-0000-000051010000}"/>
    <cellStyle name="Normal158" xfId="332" xr:uid="{00000000-0005-0000-0000-000052010000}"/>
    <cellStyle name="Normal159" xfId="333" xr:uid="{00000000-0005-0000-0000-000053010000}"/>
    <cellStyle name="Normal16" xfId="334" xr:uid="{00000000-0005-0000-0000-000054010000}"/>
    <cellStyle name="Normal160" xfId="335" xr:uid="{00000000-0005-0000-0000-000055010000}"/>
    <cellStyle name="Normal161" xfId="336" xr:uid="{00000000-0005-0000-0000-000056010000}"/>
    <cellStyle name="Normal162" xfId="337" xr:uid="{00000000-0005-0000-0000-000057010000}"/>
    <cellStyle name="Normal163" xfId="338" xr:uid="{00000000-0005-0000-0000-000058010000}"/>
    <cellStyle name="Normal164" xfId="339" xr:uid="{00000000-0005-0000-0000-000059010000}"/>
    <cellStyle name="Normal165" xfId="340" xr:uid="{00000000-0005-0000-0000-00005A010000}"/>
    <cellStyle name="Normal166" xfId="341" xr:uid="{00000000-0005-0000-0000-00005B010000}"/>
    <cellStyle name="Normal167" xfId="342" xr:uid="{00000000-0005-0000-0000-00005C010000}"/>
    <cellStyle name="Normal168" xfId="343" xr:uid="{00000000-0005-0000-0000-00005D010000}"/>
    <cellStyle name="Normal169" xfId="344" xr:uid="{00000000-0005-0000-0000-00005E010000}"/>
    <cellStyle name="Normal17" xfId="345" xr:uid="{00000000-0005-0000-0000-00005F010000}"/>
    <cellStyle name="Normal170" xfId="346" xr:uid="{00000000-0005-0000-0000-000060010000}"/>
    <cellStyle name="Normal171" xfId="347" xr:uid="{00000000-0005-0000-0000-000061010000}"/>
    <cellStyle name="Normal172" xfId="348" xr:uid="{00000000-0005-0000-0000-000062010000}"/>
    <cellStyle name="Normal173" xfId="349" xr:uid="{00000000-0005-0000-0000-000063010000}"/>
    <cellStyle name="Normal174" xfId="350" xr:uid="{00000000-0005-0000-0000-000064010000}"/>
    <cellStyle name="Normal175" xfId="351" xr:uid="{00000000-0005-0000-0000-000065010000}"/>
    <cellStyle name="Normal176" xfId="352" xr:uid="{00000000-0005-0000-0000-000066010000}"/>
    <cellStyle name="Normal177" xfId="353" xr:uid="{00000000-0005-0000-0000-000067010000}"/>
    <cellStyle name="Normal178" xfId="354" xr:uid="{00000000-0005-0000-0000-000068010000}"/>
    <cellStyle name="Normal179" xfId="355" xr:uid="{00000000-0005-0000-0000-000069010000}"/>
    <cellStyle name="Normal18" xfId="356" xr:uid="{00000000-0005-0000-0000-00006A010000}"/>
    <cellStyle name="Normal180" xfId="357" xr:uid="{00000000-0005-0000-0000-00006B010000}"/>
    <cellStyle name="Normal181" xfId="358" xr:uid="{00000000-0005-0000-0000-00006C010000}"/>
    <cellStyle name="Normal182" xfId="359" xr:uid="{00000000-0005-0000-0000-00006D010000}"/>
    <cellStyle name="Normal183" xfId="360" xr:uid="{00000000-0005-0000-0000-00006E010000}"/>
    <cellStyle name="Normal184" xfId="361" xr:uid="{00000000-0005-0000-0000-00006F010000}"/>
    <cellStyle name="Normal185" xfId="362" xr:uid="{00000000-0005-0000-0000-000070010000}"/>
    <cellStyle name="Normal186" xfId="363" xr:uid="{00000000-0005-0000-0000-000071010000}"/>
    <cellStyle name="Normal187" xfId="364" xr:uid="{00000000-0005-0000-0000-000072010000}"/>
    <cellStyle name="Normal188" xfId="365" xr:uid="{00000000-0005-0000-0000-000073010000}"/>
    <cellStyle name="Normal189" xfId="366" xr:uid="{00000000-0005-0000-0000-000074010000}"/>
    <cellStyle name="Normal19" xfId="367" xr:uid="{00000000-0005-0000-0000-000075010000}"/>
    <cellStyle name="Normal190" xfId="368" xr:uid="{00000000-0005-0000-0000-000076010000}"/>
    <cellStyle name="Normal191" xfId="369" xr:uid="{00000000-0005-0000-0000-000077010000}"/>
    <cellStyle name="Normal192" xfId="370" xr:uid="{00000000-0005-0000-0000-000078010000}"/>
    <cellStyle name="Normal193" xfId="371" xr:uid="{00000000-0005-0000-0000-000079010000}"/>
    <cellStyle name="Normal194" xfId="372" xr:uid="{00000000-0005-0000-0000-00007A010000}"/>
    <cellStyle name="Normal195" xfId="373" xr:uid="{00000000-0005-0000-0000-00007B010000}"/>
    <cellStyle name="Normal196" xfId="374" xr:uid="{00000000-0005-0000-0000-00007C010000}"/>
    <cellStyle name="Normal197" xfId="375" xr:uid="{00000000-0005-0000-0000-00007D010000}"/>
    <cellStyle name="Normal198" xfId="376" xr:uid="{00000000-0005-0000-0000-00007E010000}"/>
    <cellStyle name="Normal199" xfId="377" xr:uid="{00000000-0005-0000-0000-00007F010000}"/>
    <cellStyle name="Normal2" xfId="378" xr:uid="{00000000-0005-0000-0000-000080010000}"/>
    <cellStyle name="Normal20" xfId="379" xr:uid="{00000000-0005-0000-0000-000081010000}"/>
    <cellStyle name="Normal200" xfId="380" xr:uid="{00000000-0005-0000-0000-000082010000}"/>
    <cellStyle name="Normal201" xfId="381" xr:uid="{00000000-0005-0000-0000-000083010000}"/>
    <cellStyle name="Normal202" xfId="382" xr:uid="{00000000-0005-0000-0000-000084010000}"/>
    <cellStyle name="Normal203" xfId="383" xr:uid="{00000000-0005-0000-0000-000085010000}"/>
    <cellStyle name="Normal204" xfId="384" xr:uid="{00000000-0005-0000-0000-000086010000}"/>
    <cellStyle name="Normal205" xfId="385" xr:uid="{00000000-0005-0000-0000-000087010000}"/>
    <cellStyle name="Normal206" xfId="386" xr:uid="{00000000-0005-0000-0000-000088010000}"/>
    <cellStyle name="Normal207" xfId="387" xr:uid="{00000000-0005-0000-0000-000089010000}"/>
    <cellStyle name="Normal208" xfId="388" xr:uid="{00000000-0005-0000-0000-00008A010000}"/>
    <cellStyle name="Normal209" xfId="389" xr:uid="{00000000-0005-0000-0000-00008B010000}"/>
    <cellStyle name="Normal21" xfId="390" xr:uid="{00000000-0005-0000-0000-00008C010000}"/>
    <cellStyle name="Normal210" xfId="391" xr:uid="{00000000-0005-0000-0000-00008D010000}"/>
    <cellStyle name="Normal211" xfId="392" xr:uid="{00000000-0005-0000-0000-00008E010000}"/>
    <cellStyle name="Normal212" xfId="393" xr:uid="{00000000-0005-0000-0000-00008F010000}"/>
    <cellStyle name="Normal213" xfId="394" xr:uid="{00000000-0005-0000-0000-000090010000}"/>
    <cellStyle name="Normal214" xfId="395" xr:uid="{00000000-0005-0000-0000-000091010000}"/>
    <cellStyle name="Normal215" xfId="396" xr:uid="{00000000-0005-0000-0000-000092010000}"/>
    <cellStyle name="Normal216" xfId="397" xr:uid="{00000000-0005-0000-0000-000093010000}"/>
    <cellStyle name="Normal217" xfId="398" xr:uid="{00000000-0005-0000-0000-000094010000}"/>
    <cellStyle name="Normal218" xfId="399" xr:uid="{00000000-0005-0000-0000-000095010000}"/>
    <cellStyle name="Normal219" xfId="400" xr:uid="{00000000-0005-0000-0000-000096010000}"/>
    <cellStyle name="Normal22" xfId="401" xr:uid="{00000000-0005-0000-0000-000097010000}"/>
    <cellStyle name="Normal220" xfId="402" xr:uid="{00000000-0005-0000-0000-000098010000}"/>
    <cellStyle name="Normal221" xfId="403" xr:uid="{00000000-0005-0000-0000-000099010000}"/>
    <cellStyle name="Normal222" xfId="404" xr:uid="{00000000-0005-0000-0000-00009A010000}"/>
    <cellStyle name="Normal223" xfId="405" xr:uid="{00000000-0005-0000-0000-00009B010000}"/>
    <cellStyle name="Normal224" xfId="406" xr:uid="{00000000-0005-0000-0000-00009C010000}"/>
    <cellStyle name="Normal225" xfId="407" xr:uid="{00000000-0005-0000-0000-00009D010000}"/>
    <cellStyle name="Normal226" xfId="408" xr:uid="{00000000-0005-0000-0000-00009E010000}"/>
    <cellStyle name="Normal227" xfId="409" xr:uid="{00000000-0005-0000-0000-00009F010000}"/>
    <cellStyle name="Normal228" xfId="410" xr:uid="{00000000-0005-0000-0000-0000A0010000}"/>
    <cellStyle name="Normal229" xfId="411" xr:uid="{00000000-0005-0000-0000-0000A1010000}"/>
    <cellStyle name="Normal23" xfId="412" xr:uid="{00000000-0005-0000-0000-0000A2010000}"/>
    <cellStyle name="Normal230" xfId="413" xr:uid="{00000000-0005-0000-0000-0000A3010000}"/>
    <cellStyle name="Normal231" xfId="414" xr:uid="{00000000-0005-0000-0000-0000A4010000}"/>
    <cellStyle name="Normal232" xfId="415" xr:uid="{00000000-0005-0000-0000-0000A5010000}"/>
    <cellStyle name="Normal233" xfId="416" xr:uid="{00000000-0005-0000-0000-0000A6010000}"/>
    <cellStyle name="Normal234" xfId="417" xr:uid="{00000000-0005-0000-0000-0000A7010000}"/>
    <cellStyle name="Normal235" xfId="418" xr:uid="{00000000-0005-0000-0000-0000A8010000}"/>
    <cellStyle name="Normal236" xfId="419" xr:uid="{00000000-0005-0000-0000-0000A9010000}"/>
    <cellStyle name="Normal237" xfId="420" xr:uid="{00000000-0005-0000-0000-0000AA010000}"/>
    <cellStyle name="Normal238" xfId="421" xr:uid="{00000000-0005-0000-0000-0000AB010000}"/>
    <cellStyle name="Normal239" xfId="422" xr:uid="{00000000-0005-0000-0000-0000AC010000}"/>
    <cellStyle name="Normal24" xfId="423" xr:uid="{00000000-0005-0000-0000-0000AD010000}"/>
    <cellStyle name="Normal240" xfId="424" xr:uid="{00000000-0005-0000-0000-0000AE010000}"/>
    <cellStyle name="Normal241" xfId="425" xr:uid="{00000000-0005-0000-0000-0000AF010000}"/>
    <cellStyle name="Normal242" xfId="426" xr:uid="{00000000-0005-0000-0000-0000B0010000}"/>
    <cellStyle name="Normal243" xfId="427" xr:uid="{00000000-0005-0000-0000-0000B1010000}"/>
    <cellStyle name="Normal244" xfId="428" xr:uid="{00000000-0005-0000-0000-0000B2010000}"/>
    <cellStyle name="Normal245" xfId="429" xr:uid="{00000000-0005-0000-0000-0000B3010000}"/>
    <cellStyle name="Normal246" xfId="430" xr:uid="{00000000-0005-0000-0000-0000B4010000}"/>
    <cellStyle name="Normal247" xfId="431" xr:uid="{00000000-0005-0000-0000-0000B5010000}"/>
    <cellStyle name="Normal248" xfId="432" xr:uid="{00000000-0005-0000-0000-0000B6010000}"/>
    <cellStyle name="Normal249" xfId="433" xr:uid="{00000000-0005-0000-0000-0000B7010000}"/>
    <cellStyle name="Normal25" xfId="434" xr:uid="{00000000-0005-0000-0000-0000B8010000}"/>
    <cellStyle name="Normal250" xfId="435" xr:uid="{00000000-0005-0000-0000-0000B9010000}"/>
    <cellStyle name="Normal251" xfId="436" xr:uid="{00000000-0005-0000-0000-0000BA010000}"/>
    <cellStyle name="Normal252" xfId="437" xr:uid="{00000000-0005-0000-0000-0000BB010000}"/>
    <cellStyle name="Normal253" xfId="438" xr:uid="{00000000-0005-0000-0000-0000BC010000}"/>
    <cellStyle name="Normal26" xfId="439" xr:uid="{00000000-0005-0000-0000-0000BD010000}"/>
    <cellStyle name="Normal27" xfId="440" xr:uid="{00000000-0005-0000-0000-0000BE010000}"/>
    <cellStyle name="Normal28" xfId="441" xr:uid="{00000000-0005-0000-0000-0000BF010000}"/>
    <cellStyle name="Normal29" xfId="442" xr:uid="{00000000-0005-0000-0000-0000C0010000}"/>
    <cellStyle name="Normal3" xfId="443" xr:uid="{00000000-0005-0000-0000-0000C1010000}"/>
    <cellStyle name="Normal30" xfId="444" xr:uid="{00000000-0005-0000-0000-0000C2010000}"/>
    <cellStyle name="Normal31" xfId="445" xr:uid="{00000000-0005-0000-0000-0000C3010000}"/>
    <cellStyle name="Normal32" xfId="446" xr:uid="{00000000-0005-0000-0000-0000C4010000}"/>
    <cellStyle name="Normal33" xfId="447" xr:uid="{00000000-0005-0000-0000-0000C5010000}"/>
    <cellStyle name="Normal34" xfId="448" xr:uid="{00000000-0005-0000-0000-0000C6010000}"/>
    <cellStyle name="Normal35" xfId="449" xr:uid="{00000000-0005-0000-0000-0000C7010000}"/>
    <cellStyle name="Normal36" xfId="450" xr:uid="{00000000-0005-0000-0000-0000C8010000}"/>
    <cellStyle name="Normal37" xfId="451" xr:uid="{00000000-0005-0000-0000-0000C9010000}"/>
    <cellStyle name="Normal38" xfId="452" xr:uid="{00000000-0005-0000-0000-0000CA010000}"/>
    <cellStyle name="Normal39" xfId="453" xr:uid="{00000000-0005-0000-0000-0000CB010000}"/>
    <cellStyle name="Normal4" xfId="454" xr:uid="{00000000-0005-0000-0000-0000CC010000}"/>
    <cellStyle name="Normal40" xfId="455" xr:uid="{00000000-0005-0000-0000-0000CD010000}"/>
    <cellStyle name="Normal41" xfId="456" xr:uid="{00000000-0005-0000-0000-0000CE010000}"/>
    <cellStyle name="Normal42" xfId="457" xr:uid="{00000000-0005-0000-0000-0000CF010000}"/>
    <cellStyle name="Normal43" xfId="458" xr:uid="{00000000-0005-0000-0000-0000D0010000}"/>
    <cellStyle name="Normal44" xfId="459" xr:uid="{00000000-0005-0000-0000-0000D1010000}"/>
    <cellStyle name="Normal45" xfId="460" xr:uid="{00000000-0005-0000-0000-0000D2010000}"/>
    <cellStyle name="Normal46" xfId="461" xr:uid="{00000000-0005-0000-0000-0000D3010000}"/>
    <cellStyle name="Normal47" xfId="462" xr:uid="{00000000-0005-0000-0000-0000D4010000}"/>
    <cellStyle name="Normal48" xfId="463" xr:uid="{00000000-0005-0000-0000-0000D5010000}"/>
    <cellStyle name="Normal49" xfId="464" xr:uid="{00000000-0005-0000-0000-0000D6010000}"/>
    <cellStyle name="Normal5" xfId="465" xr:uid="{00000000-0005-0000-0000-0000D7010000}"/>
    <cellStyle name="Normal50" xfId="466" xr:uid="{00000000-0005-0000-0000-0000D8010000}"/>
    <cellStyle name="Normal51" xfId="467" xr:uid="{00000000-0005-0000-0000-0000D9010000}"/>
    <cellStyle name="Normal52" xfId="468" xr:uid="{00000000-0005-0000-0000-0000DA010000}"/>
    <cellStyle name="Normal53" xfId="469" xr:uid="{00000000-0005-0000-0000-0000DB010000}"/>
    <cellStyle name="Normal54" xfId="470" xr:uid="{00000000-0005-0000-0000-0000DC010000}"/>
    <cellStyle name="Normal55" xfId="471" xr:uid="{00000000-0005-0000-0000-0000DD010000}"/>
    <cellStyle name="Normal56" xfId="472" xr:uid="{00000000-0005-0000-0000-0000DE010000}"/>
    <cellStyle name="Normal57" xfId="473" xr:uid="{00000000-0005-0000-0000-0000DF010000}"/>
    <cellStyle name="Normal58" xfId="474" xr:uid="{00000000-0005-0000-0000-0000E0010000}"/>
    <cellStyle name="Normal59" xfId="475" xr:uid="{00000000-0005-0000-0000-0000E1010000}"/>
    <cellStyle name="Normal6" xfId="476" xr:uid="{00000000-0005-0000-0000-0000E2010000}"/>
    <cellStyle name="Normal60" xfId="477" xr:uid="{00000000-0005-0000-0000-0000E3010000}"/>
    <cellStyle name="Normal61" xfId="478" xr:uid="{00000000-0005-0000-0000-0000E4010000}"/>
    <cellStyle name="Normal62" xfId="479" xr:uid="{00000000-0005-0000-0000-0000E5010000}"/>
    <cellStyle name="Normal63" xfId="480" xr:uid="{00000000-0005-0000-0000-0000E6010000}"/>
    <cellStyle name="Normal64" xfId="481" xr:uid="{00000000-0005-0000-0000-0000E7010000}"/>
    <cellStyle name="Normal65" xfId="482" xr:uid="{00000000-0005-0000-0000-0000E8010000}"/>
    <cellStyle name="Normal66" xfId="483" xr:uid="{00000000-0005-0000-0000-0000E9010000}"/>
    <cellStyle name="Normal67" xfId="484" xr:uid="{00000000-0005-0000-0000-0000EA010000}"/>
    <cellStyle name="Normal68" xfId="485" xr:uid="{00000000-0005-0000-0000-0000EB010000}"/>
    <cellStyle name="Normal69" xfId="486" xr:uid="{00000000-0005-0000-0000-0000EC010000}"/>
    <cellStyle name="Normal7" xfId="487" xr:uid="{00000000-0005-0000-0000-0000ED010000}"/>
    <cellStyle name="Normal70" xfId="488" xr:uid="{00000000-0005-0000-0000-0000EE010000}"/>
    <cellStyle name="Normal71" xfId="489" xr:uid="{00000000-0005-0000-0000-0000EF010000}"/>
    <cellStyle name="Normal72" xfId="490" xr:uid="{00000000-0005-0000-0000-0000F0010000}"/>
    <cellStyle name="Normal73" xfId="491" xr:uid="{00000000-0005-0000-0000-0000F1010000}"/>
    <cellStyle name="Normal74" xfId="492" xr:uid="{00000000-0005-0000-0000-0000F2010000}"/>
    <cellStyle name="Normal75" xfId="493" xr:uid="{00000000-0005-0000-0000-0000F3010000}"/>
    <cellStyle name="Normal76" xfId="494" xr:uid="{00000000-0005-0000-0000-0000F4010000}"/>
    <cellStyle name="Normal77" xfId="495" xr:uid="{00000000-0005-0000-0000-0000F5010000}"/>
    <cellStyle name="Normal78" xfId="496" xr:uid="{00000000-0005-0000-0000-0000F6010000}"/>
    <cellStyle name="Normal79" xfId="497" xr:uid="{00000000-0005-0000-0000-0000F7010000}"/>
    <cellStyle name="Normal8" xfId="498" xr:uid="{00000000-0005-0000-0000-0000F8010000}"/>
    <cellStyle name="Normal80" xfId="499" xr:uid="{00000000-0005-0000-0000-0000F9010000}"/>
    <cellStyle name="Normal81" xfId="500" xr:uid="{00000000-0005-0000-0000-0000FA010000}"/>
    <cellStyle name="Normal82" xfId="501" xr:uid="{00000000-0005-0000-0000-0000FB010000}"/>
    <cellStyle name="Normal83" xfId="502" xr:uid="{00000000-0005-0000-0000-0000FC010000}"/>
    <cellStyle name="Normal84" xfId="503" xr:uid="{00000000-0005-0000-0000-0000FD010000}"/>
    <cellStyle name="Normal85" xfId="504" xr:uid="{00000000-0005-0000-0000-0000FE010000}"/>
    <cellStyle name="Normal86" xfId="505" xr:uid="{00000000-0005-0000-0000-0000FF010000}"/>
    <cellStyle name="Normal87" xfId="506" xr:uid="{00000000-0005-0000-0000-000000020000}"/>
    <cellStyle name="Normal88" xfId="507" xr:uid="{00000000-0005-0000-0000-000001020000}"/>
    <cellStyle name="Normal89" xfId="508" xr:uid="{00000000-0005-0000-0000-000002020000}"/>
    <cellStyle name="Normal9" xfId="509" xr:uid="{00000000-0005-0000-0000-000003020000}"/>
    <cellStyle name="Normal90" xfId="510" xr:uid="{00000000-0005-0000-0000-000004020000}"/>
    <cellStyle name="Normal91" xfId="511" xr:uid="{00000000-0005-0000-0000-000005020000}"/>
    <cellStyle name="Normal92" xfId="512" xr:uid="{00000000-0005-0000-0000-000006020000}"/>
    <cellStyle name="Normal93" xfId="513" xr:uid="{00000000-0005-0000-0000-000007020000}"/>
    <cellStyle name="Normal94" xfId="514" xr:uid="{00000000-0005-0000-0000-000008020000}"/>
    <cellStyle name="Normal95" xfId="515" xr:uid="{00000000-0005-0000-0000-000009020000}"/>
    <cellStyle name="Normal96" xfId="516" xr:uid="{00000000-0005-0000-0000-00000A020000}"/>
    <cellStyle name="Normal97" xfId="517" xr:uid="{00000000-0005-0000-0000-00000B020000}"/>
    <cellStyle name="Normal98" xfId="518" xr:uid="{00000000-0005-0000-0000-00000C020000}"/>
    <cellStyle name="Normal99" xfId="519" xr:uid="{00000000-0005-0000-0000-00000D020000}"/>
    <cellStyle name="NotDeclared_1" xfId="520" xr:uid="{00000000-0005-0000-0000-00000E020000}"/>
    <cellStyle name="Numbers" xfId="521" xr:uid="{00000000-0005-0000-0000-00000F020000}"/>
    <cellStyle name="Numbers - Bold" xfId="522" xr:uid="{00000000-0005-0000-0000-000010020000}"/>
    <cellStyle name="Numbers - Bold - Italic" xfId="523" xr:uid="{00000000-0005-0000-0000-000011020000}"/>
    <cellStyle name="Numbers - Bold 2" xfId="1006" xr:uid="{2F4C6432-D0F3-4520-9C2C-2ACD6F4759D6}"/>
    <cellStyle name="Numbers - Bold_6079BX" xfId="524" xr:uid="{00000000-0005-0000-0000-000012020000}"/>
    <cellStyle name="Numbers - Large" xfId="525" xr:uid="{00000000-0005-0000-0000-000013020000}"/>
    <cellStyle name="Numbers_6079BX" xfId="526" xr:uid="{00000000-0005-0000-0000-000014020000}"/>
    <cellStyle name="OSW_RowLabels" xfId="527" xr:uid="{00000000-0005-0000-0000-000015020000}"/>
    <cellStyle name="Outline" xfId="528" xr:uid="{00000000-0005-0000-0000-000016020000}"/>
    <cellStyle name="Output Amounts" xfId="529" xr:uid="{00000000-0005-0000-0000-000017020000}"/>
    <cellStyle name="Output Column Headings" xfId="530" xr:uid="{00000000-0005-0000-0000-000018020000}"/>
    <cellStyle name="Output Line Items" xfId="531" xr:uid="{00000000-0005-0000-0000-000019020000}"/>
    <cellStyle name="Output Report Heading" xfId="532" xr:uid="{00000000-0005-0000-0000-00001A020000}"/>
    <cellStyle name="Page" xfId="533" xr:uid="{00000000-0005-0000-0000-00001B020000}"/>
    <cellStyle name="PB Table Heading" xfId="534" xr:uid="{00000000-0005-0000-0000-00001C020000}"/>
    <cellStyle name="PB Table Highlight1" xfId="535" xr:uid="{00000000-0005-0000-0000-00001D020000}"/>
    <cellStyle name="PB Table Highlight2" xfId="536" xr:uid="{00000000-0005-0000-0000-00001E020000}"/>
    <cellStyle name="PB Table Highlight3" xfId="537" xr:uid="{00000000-0005-0000-0000-00001F020000}"/>
    <cellStyle name="PB Table Standard Row" xfId="538" xr:uid="{00000000-0005-0000-0000-000020020000}"/>
    <cellStyle name="PB Table Subtotal Row" xfId="539" xr:uid="{00000000-0005-0000-0000-000021020000}"/>
    <cellStyle name="PB Table Total Row" xfId="540" xr:uid="{00000000-0005-0000-0000-000022020000}"/>
    <cellStyle name="per.style" xfId="541" xr:uid="{00000000-0005-0000-0000-000023020000}"/>
    <cellStyle name="Percent [0]" xfId="542" xr:uid="{00000000-0005-0000-0000-000024020000}"/>
    <cellStyle name="Percent [00]" xfId="543" xr:uid="{00000000-0005-0000-0000-000025020000}"/>
    <cellStyle name="Percent [1]" xfId="544" xr:uid="{00000000-0005-0000-0000-000026020000}"/>
    <cellStyle name="Percent [1][]" xfId="545" xr:uid="{00000000-0005-0000-0000-000027020000}"/>
    <cellStyle name="Percent [1]_New MA Public Comps and WACC Model" xfId="546" xr:uid="{00000000-0005-0000-0000-000028020000}"/>
    <cellStyle name="Percent [2]" xfId="547" xr:uid="{00000000-0005-0000-0000-000029020000}"/>
    <cellStyle name="Percent [2] 2" xfId="1007" xr:uid="{A668818C-0CB7-4850-A2FD-43C1E49510C4}"/>
    <cellStyle name="Percent 2" xfId="897" xr:uid="{00000000-0005-0000-0000-00002A020000}"/>
    <cellStyle name="Percent 2 2" xfId="1022" xr:uid="{2ABFCE55-52B0-42B1-8CF2-8DEE992A0967}"/>
    <cellStyle name="Percent Comma" xfId="548" xr:uid="{00000000-0005-0000-0000-00002B020000}"/>
    <cellStyle name="Percent Comma 2" xfId="1008" xr:uid="{0CB198C5-336E-4CC4-ABC2-2114EED1E102}"/>
    <cellStyle name="Percent1" xfId="549" xr:uid="{00000000-0005-0000-0000-00002C020000}"/>
    <cellStyle name="Percent10" xfId="550" xr:uid="{00000000-0005-0000-0000-00002D020000}"/>
    <cellStyle name="Percent100" xfId="551" xr:uid="{00000000-0005-0000-0000-00002E020000}"/>
    <cellStyle name="Percent101" xfId="552" xr:uid="{00000000-0005-0000-0000-00002F020000}"/>
    <cellStyle name="Percent102" xfId="553" xr:uid="{00000000-0005-0000-0000-000030020000}"/>
    <cellStyle name="Percent103" xfId="554" xr:uid="{00000000-0005-0000-0000-000031020000}"/>
    <cellStyle name="Percent104" xfId="555" xr:uid="{00000000-0005-0000-0000-000032020000}"/>
    <cellStyle name="Percent105" xfId="556" xr:uid="{00000000-0005-0000-0000-000033020000}"/>
    <cellStyle name="Percent106" xfId="557" xr:uid="{00000000-0005-0000-0000-000034020000}"/>
    <cellStyle name="Percent107" xfId="558" xr:uid="{00000000-0005-0000-0000-000035020000}"/>
    <cellStyle name="Percent108" xfId="559" xr:uid="{00000000-0005-0000-0000-000036020000}"/>
    <cellStyle name="Percent109" xfId="560" xr:uid="{00000000-0005-0000-0000-000037020000}"/>
    <cellStyle name="Percent11" xfId="561" xr:uid="{00000000-0005-0000-0000-000038020000}"/>
    <cellStyle name="Percent110" xfId="562" xr:uid="{00000000-0005-0000-0000-000039020000}"/>
    <cellStyle name="Percent111" xfId="563" xr:uid="{00000000-0005-0000-0000-00003A020000}"/>
    <cellStyle name="Percent112" xfId="564" xr:uid="{00000000-0005-0000-0000-00003B020000}"/>
    <cellStyle name="Percent113" xfId="565" xr:uid="{00000000-0005-0000-0000-00003C020000}"/>
    <cellStyle name="Percent114" xfId="566" xr:uid="{00000000-0005-0000-0000-00003D020000}"/>
    <cellStyle name="Percent115" xfId="567" xr:uid="{00000000-0005-0000-0000-00003E020000}"/>
    <cellStyle name="Percent116" xfId="568" xr:uid="{00000000-0005-0000-0000-00003F020000}"/>
    <cellStyle name="Percent117" xfId="569" xr:uid="{00000000-0005-0000-0000-000040020000}"/>
    <cellStyle name="Percent118" xfId="570" xr:uid="{00000000-0005-0000-0000-000041020000}"/>
    <cellStyle name="Percent119" xfId="571" xr:uid="{00000000-0005-0000-0000-000042020000}"/>
    <cellStyle name="Percent12" xfId="572" xr:uid="{00000000-0005-0000-0000-000043020000}"/>
    <cellStyle name="Percent120" xfId="573" xr:uid="{00000000-0005-0000-0000-000044020000}"/>
    <cellStyle name="Percent121" xfId="574" xr:uid="{00000000-0005-0000-0000-000045020000}"/>
    <cellStyle name="Percent122" xfId="575" xr:uid="{00000000-0005-0000-0000-000046020000}"/>
    <cellStyle name="Percent123" xfId="576" xr:uid="{00000000-0005-0000-0000-000047020000}"/>
    <cellStyle name="Percent124" xfId="577" xr:uid="{00000000-0005-0000-0000-000048020000}"/>
    <cellStyle name="Percent125" xfId="578" xr:uid="{00000000-0005-0000-0000-000049020000}"/>
    <cellStyle name="Percent126" xfId="579" xr:uid="{00000000-0005-0000-0000-00004A020000}"/>
    <cellStyle name="Percent127" xfId="580" xr:uid="{00000000-0005-0000-0000-00004B020000}"/>
    <cellStyle name="Percent128" xfId="581" xr:uid="{00000000-0005-0000-0000-00004C020000}"/>
    <cellStyle name="Percent129" xfId="582" xr:uid="{00000000-0005-0000-0000-00004D020000}"/>
    <cellStyle name="Percent13" xfId="583" xr:uid="{00000000-0005-0000-0000-00004E020000}"/>
    <cellStyle name="Percent130" xfId="584" xr:uid="{00000000-0005-0000-0000-00004F020000}"/>
    <cellStyle name="Percent131" xfId="585" xr:uid="{00000000-0005-0000-0000-000050020000}"/>
    <cellStyle name="Percent132" xfId="586" xr:uid="{00000000-0005-0000-0000-000051020000}"/>
    <cellStyle name="Percent133" xfId="587" xr:uid="{00000000-0005-0000-0000-000052020000}"/>
    <cellStyle name="Percent134" xfId="588" xr:uid="{00000000-0005-0000-0000-000053020000}"/>
    <cellStyle name="Percent135" xfId="589" xr:uid="{00000000-0005-0000-0000-000054020000}"/>
    <cellStyle name="Percent136" xfId="590" xr:uid="{00000000-0005-0000-0000-000055020000}"/>
    <cellStyle name="Percent137" xfId="591" xr:uid="{00000000-0005-0000-0000-000056020000}"/>
    <cellStyle name="Percent138" xfId="592" xr:uid="{00000000-0005-0000-0000-000057020000}"/>
    <cellStyle name="Percent139" xfId="593" xr:uid="{00000000-0005-0000-0000-000058020000}"/>
    <cellStyle name="Percent14" xfId="594" xr:uid="{00000000-0005-0000-0000-000059020000}"/>
    <cellStyle name="Percent140" xfId="595" xr:uid="{00000000-0005-0000-0000-00005A020000}"/>
    <cellStyle name="Percent141" xfId="596" xr:uid="{00000000-0005-0000-0000-00005B020000}"/>
    <cellStyle name="Percent142" xfId="597" xr:uid="{00000000-0005-0000-0000-00005C020000}"/>
    <cellStyle name="Percent143" xfId="598" xr:uid="{00000000-0005-0000-0000-00005D020000}"/>
    <cellStyle name="Percent144" xfId="599" xr:uid="{00000000-0005-0000-0000-00005E020000}"/>
    <cellStyle name="Percent145" xfId="600" xr:uid="{00000000-0005-0000-0000-00005F020000}"/>
    <cellStyle name="Percent146" xfId="601" xr:uid="{00000000-0005-0000-0000-000060020000}"/>
    <cellStyle name="Percent147" xfId="602" xr:uid="{00000000-0005-0000-0000-000061020000}"/>
    <cellStyle name="Percent148" xfId="603" xr:uid="{00000000-0005-0000-0000-000062020000}"/>
    <cellStyle name="Percent149" xfId="604" xr:uid="{00000000-0005-0000-0000-000063020000}"/>
    <cellStyle name="Percent15" xfId="605" xr:uid="{00000000-0005-0000-0000-000064020000}"/>
    <cellStyle name="Percent150" xfId="606" xr:uid="{00000000-0005-0000-0000-000065020000}"/>
    <cellStyle name="Percent151" xfId="607" xr:uid="{00000000-0005-0000-0000-000066020000}"/>
    <cellStyle name="Percent152" xfId="608" xr:uid="{00000000-0005-0000-0000-000067020000}"/>
    <cellStyle name="Percent153" xfId="609" xr:uid="{00000000-0005-0000-0000-000068020000}"/>
    <cellStyle name="Percent154" xfId="610" xr:uid="{00000000-0005-0000-0000-000069020000}"/>
    <cellStyle name="Percent155" xfId="611" xr:uid="{00000000-0005-0000-0000-00006A020000}"/>
    <cellStyle name="Percent156" xfId="612" xr:uid="{00000000-0005-0000-0000-00006B020000}"/>
    <cellStyle name="Percent157" xfId="613" xr:uid="{00000000-0005-0000-0000-00006C020000}"/>
    <cellStyle name="Percent158" xfId="614" xr:uid="{00000000-0005-0000-0000-00006D020000}"/>
    <cellStyle name="Percent159" xfId="615" xr:uid="{00000000-0005-0000-0000-00006E020000}"/>
    <cellStyle name="Percent16" xfId="616" xr:uid="{00000000-0005-0000-0000-00006F020000}"/>
    <cellStyle name="Percent160" xfId="617" xr:uid="{00000000-0005-0000-0000-000070020000}"/>
    <cellStyle name="Percent161" xfId="618" xr:uid="{00000000-0005-0000-0000-000071020000}"/>
    <cellStyle name="Percent162" xfId="619" xr:uid="{00000000-0005-0000-0000-000072020000}"/>
    <cellStyle name="Percent163" xfId="620" xr:uid="{00000000-0005-0000-0000-000073020000}"/>
    <cellStyle name="Percent164" xfId="621" xr:uid="{00000000-0005-0000-0000-000074020000}"/>
    <cellStyle name="Percent165" xfId="622" xr:uid="{00000000-0005-0000-0000-000075020000}"/>
    <cellStyle name="Percent166" xfId="623" xr:uid="{00000000-0005-0000-0000-000076020000}"/>
    <cellStyle name="Percent167" xfId="624" xr:uid="{00000000-0005-0000-0000-000077020000}"/>
    <cellStyle name="Percent168" xfId="625" xr:uid="{00000000-0005-0000-0000-000078020000}"/>
    <cellStyle name="Percent169" xfId="626" xr:uid="{00000000-0005-0000-0000-000079020000}"/>
    <cellStyle name="Percent17" xfId="627" xr:uid="{00000000-0005-0000-0000-00007A020000}"/>
    <cellStyle name="Percent170" xfId="628" xr:uid="{00000000-0005-0000-0000-00007B020000}"/>
    <cellStyle name="Percent171" xfId="629" xr:uid="{00000000-0005-0000-0000-00007C020000}"/>
    <cellStyle name="Percent172" xfId="630" xr:uid="{00000000-0005-0000-0000-00007D020000}"/>
    <cellStyle name="Percent173" xfId="631" xr:uid="{00000000-0005-0000-0000-00007E020000}"/>
    <cellStyle name="Percent174" xfId="632" xr:uid="{00000000-0005-0000-0000-00007F020000}"/>
    <cellStyle name="Percent175" xfId="633" xr:uid="{00000000-0005-0000-0000-000080020000}"/>
    <cellStyle name="Percent176" xfId="634" xr:uid="{00000000-0005-0000-0000-000081020000}"/>
    <cellStyle name="Percent177" xfId="635" xr:uid="{00000000-0005-0000-0000-000082020000}"/>
    <cellStyle name="Percent178" xfId="636" xr:uid="{00000000-0005-0000-0000-000083020000}"/>
    <cellStyle name="Percent179" xfId="637" xr:uid="{00000000-0005-0000-0000-000084020000}"/>
    <cellStyle name="Percent18" xfId="638" xr:uid="{00000000-0005-0000-0000-000085020000}"/>
    <cellStyle name="Percent180" xfId="639" xr:uid="{00000000-0005-0000-0000-000086020000}"/>
    <cellStyle name="Percent181" xfId="640" xr:uid="{00000000-0005-0000-0000-000087020000}"/>
    <cellStyle name="Percent182" xfId="641" xr:uid="{00000000-0005-0000-0000-000088020000}"/>
    <cellStyle name="Percent183" xfId="642" xr:uid="{00000000-0005-0000-0000-000089020000}"/>
    <cellStyle name="Percent184" xfId="643" xr:uid="{00000000-0005-0000-0000-00008A020000}"/>
    <cellStyle name="Percent185" xfId="644" xr:uid="{00000000-0005-0000-0000-00008B020000}"/>
    <cellStyle name="Percent186" xfId="645" xr:uid="{00000000-0005-0000-0000-00008C020000}"/>
    <cellStyle name="Percent187" xfId="646" xr:uid="{00000000-0005-0000-0000-00008D020000}"/>
    <cellStyle name="Percent188" xfId="647" xr:uid="{00000000-0005-0000-0000-00008E020000}"/>
    <cellStyle name="Percent189" xfId="648" xr:uid="{00000000-0005-0000-0000-00008F020000}"/>
    <cellStyle name="Percent19" xfId="649" xr:uid="{00000000-0005-0000-0000-000090020000}"/>
    <cellStyle name="Percent190" xfId="650" xr:uid="{00000000-0005-0000-0000-000091020000}"/>
    <cellStyle name="Percent191" xfId="651" xr:uid="{00000000-0005-0000-0000-000092020000}"/>
    <cellStyle name="Percent192" xfId="652" xr:uid="{00000000-0005-0000-0000-000093020000}"/>
    <cellStyle name="Percent193" xfId="653" xr:uid="{00000000-0005-0000-0000-000094020000}"/>
    <cellStyle name="Percent194" xfId="654" xr:uid="{00000000-0005-0000-0000-000095020000}"/>
    <cellStyle name="Percent195" xfId="655" xr:uid="{00000000-0005-0000-0000-000096020000}"/>
    <cellStyle name="Percent196" xfId="656" xr:uid="{00000000-0005-0000-0000-000097020000}"/>
    <cellStyle name="Percent197" xfId="657" xr:uid="{00000000-0005-0000-0000-000098020000}"/>
    <cellStyle name="Percent198" xfId="658" xr:uid="{00000000-0005-0000-0000-000099020000}"/>
    <cellStyle name="Percent199" xfId="659" xr:uid="{00000000-0005-0000-0000-00009A020000}"/>
    <cellStyle name="Percent1Bold" xfId="660" xr:uid="{00000000-0005-0000-0000-00009B020000}"/>
    <cellStyle name="Percent2" xfId="661" xr:uid="{00000000-0005-0000-0000-00009C020000}"/>
    <cellStyle name="Percent20" xfId="662" xr:uid="{00000000-0005-0000-0000-00009D020000}"/>
    <cellStyle name="Percent200" xfId="663" xr:uid="{00000000-0005-0000-0000-00009E020000}"/>
    <cellStyle name="Percent201" xfId="664" xr:uid="{00000000-0005-0000-0000-00009F020000}"/>
    <cellStyle name="Percent202" xfId="665" xr:uid="{00000000-0005-0000-0000-0000A0020000}"/>
    <cellStyle name="Percent203" xfId="666" xr:uid="{00000000-0005-0000-0000-0000A1020000}"/>
    <cellStyle name="Percent204" xfId="667" xr:uid="{00000000-0005-0000-0000-0000A2020000}"/>
    <cellStyle name="Percent205" xfId="668" xr:uid="{00000000-0005-0000-0000-0000A3020000}"/>
    <cellStyle name="Percent206" xfId="669" xr:uid="{00000000-0005-0000-0000-0000A4020000}"/>
    <cellStyle name="Percent207" xfId="670" xr:uid="{00000000-0005-0000-0000-0000A5020000}"/>
    <cellStyle name="Percent208" xfId="671" xr:uid="{00000000-0005-0000-0000-0000A6020000}"/>
    <cellStyle name="Percent209" xfId="672" xr:uid="{00000000-0005-0000-0000-0000A7020000}"/>
    <cellStyle name="Percent21" xfId="673" xr:uid="{00000000-0005-0000-0000-0000A8020000}"/>
    <cellStyle name="Percent210" xfId="674" xr:uid="{00000000-0005-0000-0000-0000A9020000}"/>
    <cellStyle name="Percent211" xfId="675" xr:uid="{00000000-0005-0000-0000-0000AA020000}"/>
    <cellStyle name="Percent212" xfId="676" xr:uid="{00000000-0005-0000-0000-0000AB020000}"/>
    <cellStyle name="Percent213" xfId="677" xr:uid="{00000000-0005-0000-0000-0000AC020000}"/>
    <cellStyle name="Percent214" xfId="678" xr:uid="{00000000-0005-0000-0000-0000AD020000}"/>
    <cellStyle name="Percent215" xfId="679" xr:uid="{00000000-0005-0000-0000-0000AE020000}"/>
    <cellStyle name="Percent216" xfId="680" xr:uid="{00000000-0005-0000-0000-0000AF020000}"/>
    <cellStyle name="Percent217" xfId="681" xr:uid="{00000000-0005-0000-0000-0000B0020000}"/>
    <cellStyle name="Percent218" xfId="682" xr:uid="{00000000-0005-0000-0000-0000B1020000}"/>
    <cellStyle name="Percent219" xfId="683" xr:uid="{00000000-0005-0000-0000-0000B2020000}"/>
    <cellStyle name="Percent22" xfId="684" xr:uid="{00000000-0005-0000-0000-0000B3020000}"/>
    <cellStyle name="Percent220" xfId="685" xr:uid="{00000000-0005-0000-0000-0000B4020000}"/>
    <cellStyle name="Percent221" xfId="686" xr:uid="{00000000-0005-0000-0000-0000B5020000}"/>
    <cellStyle name="Percent222" xfId="687" xr:uid="{00000000-0005-0000-0000-0000B6020000}"/>
    <cellStyle name="Percent223" xfId="688" xr:uid="{00000000-0005-0000-0000-0000B7020000}"/>
    <cellStyle name="Percent224" xfId="689" xr:uid="{00000000-0005-0000-0000-0000B8020000}"/>
    <cellStyle name="Percent225" xfId="690" xr:uid="{00000000-0005-0000-0000-0000B9020000}"/>
    <cellStyle name="Percent226" xfId="691" xr:uid="{00000000-0005-0000-0000-0000BA020000}"/>
    <cellStyle name="Percent227" xfId="692" xr:uid="{00000000-0005-0000-0000-0000BB020000}"/>
    <cellStyle name="Percent228" xfId="693" xr:uid="{00000000-0005-0000-0000-0000BC020000}"/>
    <cellStyle name="Percent229" xfId="694" xr:uid="{00000000-0005-0000-0000-0000BD020000}"/>
    <cellStyle name="Percent23" xfId="695" xr:uid="{00000000-0005-0000-0000-0000BE020000}"/>
    <cellStyle name="Percent230" xfId="696" xr:uid="{00000000-0005-0000-0000-0000BF020000}"/>
    <cellStyle name="Percent231" xfId="697" xr:uid="{00000000-0005-0000-0000-0000C0020000}"/>
    <cellStyle name="Percent232" xfId="698" xr:uid="{00000000-0005-0000-0000-0000C1020000}"/>
    <cellStyle name="Percent233" xfId="699" xr:uid="{00000000-0005-0000-0000-0000C2020000}"/>
    <cellStyle name="Percent234" xfId="700" xr:uid="{00000000-0005-0000-0000-0000C3020000}"/>
    <cellStyle name="Percent235" xfId="701" xr:uid="{00000000-0005-0000-0000-0000C4020000}"/>
    <cellStyle name="Percent236" xfId="702" xr:uid="{00000000-0005-0000-0000-0000C5020000}"/>
    <cellStyle name="Percent24" xfId="703" xr:uid="{00000000-0005-0000-0000-0000C6020000}"/>
    <cellStyle name="Percent25" xfId="704" xr:uid="{00000000-0005-0000-0000-0000C7020000}"/>
    <cellStyle name="Percent26" xfId="705" xr:uid="{00000000-0005-0000-0000-0000C8020000}"/>
    <cellStyle name="Percent27" xfId="706" xr:uid="{00000000-0005-0000-0000-0000C9020000}"/>
    <cellStyle name="Percent28" xfId="707" xr:uid="{00000000-0005-0000-0000-0000CA020000}"/>
    <cellStyle name="Percent29" xfId="708" xr:uid="{00000000-0005-0000-0000-0000CB020000}"/>
    <cellStyle name="Percent3" xfId="709" xr:uid="{00000000-0005-0000-0000-0000CC020000}"/>
    <cellStyle name="Percent30" xfId="710" xr:uid="{00000000-0005-0000-0000-0000CD020000}"/>
    <cellStyle name="Percent31" xfId="711" xr:uid="{00000000-0005-0000-0000-0000CE020000}"/>
    <cellStyle name="Percent32" xfId="712" xr:uid="{00000000-0005-0000-0000-0000CF020000}"/>
    <cellStyle name="Percent33" xfId="713" xr:uid="{00000000-0005-0000-0000-0000D0020000}"/>
    <cellStyle name="Percent34" xfId="714" xr:uid="{00000000-0005-0000-0000-0000D1020000}"/>
    <cellStyle name="Percent35" xfId="715" xr:uid="{00000000-0005-0000-0000-0000D2020000}"/>
    <cellStyle name="Percent36" xfId="716" xr:uid="{00000000-0005-0000-0000-0000D3020000}"/>
    <cellStyle name="Percent37" xfId="717" xr:uid="{00000000-0005-0000-0000-0000D4020000}"/>
    <cellStyle name="Percent38" xfId="718" xr:uid="{00000000-0005-0000-0000-0000D5020000}"/>
    <cellStyle name="Percent39" xfId="719" xr:uid="{00000000-0005-0000-0000-0000D6020000}"/>
    <cellStyle name="Percent4" xfId="720" xr:uid="{00000000-0005-0000-0000-0000D7020000}"/>
    <cellStyle name="Percent40" xfId="721" xr:uid="{00000000-0005-0000-0000-0000D8020000}"/>
    <cellStyle name="Percent41" xfId="722" xr:uid="{00000000-0005-0000-0000-0000D9020000}"/>
    <cellStyle name="Percent42" xfId="723" xr:uid="{00000000-0005-0000-0000-0000DA020000}"/>
    <cellStyle name="Percent43" xfId="724" xr:uid="{00000000-0005-0000-0000-0000DB020000}"/>
    <cellStyle name="Percent44" xfId="725" xr:uid="{00000000-0005-0000-0000-0000DC020000}"/>
    <cellStyle name="Percent45" xfId="726" xr:uid="{00000000-0005-0000-0000-0000DD020000}"/>
    <cellStyle name="Percent46" xfId="727" xr:uid="{00000000-0005-0000-0000-0000DE020000}"/>
    <cellStyle name="Percent47" xfId="728" xr:uid="{00000000-0005-0000-0000-0000DF020000}"/>
    <cellStyle name="Percent48" xfId="729" xr:uid="{00000000-0005-0000-0000-0000E0020000}"/>
    <cellStyle name="Percent49" xfId="730" xr:uid="{00000000-0005-0000-0000-0000E1020000}"/>
    <cellStyle name="Percent5" xfId="731" xr:uid="{00000000-0005-0000-0000-0000E2020000}"/>
    <cellStyle name="Percent50" xfId="732" xr:uid="{00000000-0005-0000-0000-0000E3020000}"/>
    <cellStyle name="Percent51" xfId="733" xr:uid="{00000000-0005-0000-0000-0000E4020000}"/>
    <cellStyle name="Percent52" xfId="734" xr:uid="{00000000-0005-0000-0000-0000E5020000}"/>
    <cellStyle name="Percent53" xfId="735" xr:uid="{00000000-0005-0000-0000-0000E6020000}"/>
    <cellStyle name="Percent54" xfId="736" xr:uid="{00000000-0005-0000-0000-0000E7020000}"/>
    <cellStyle name="Percent55" xfId="737" xr:uid="{00000000-0005-0000-0000-0000E8020000}"/>
    <cellStyle name="Percent56" xfId="738" xr:uid="{00000000-0005-0000-0000-0000E9020000}"/>
    <cellStyle name="Percent57" xfId="739" xr:uid="{00000000-0005-0000-0000-0000EA020000}"/>
    <cellStyle name="Percent58" xfId="740" xr:uid="{00000000-0005-0000-0000-0000EB020000}"/>
    <cellStyle name="Percent59" xfId="741" xr:uid="{00000000-0005-0000-0000-0000EC020000}"/>
    <cellStyle name="Percent6" xfId="742" xr:uid="{00000000-0005-0000-0000-0000ED020000}"/>
    <cellStyle name="Percent60" xfId="743" xr:uid="{00000000-0005-0000-0000-0000EE020000}"/>
    <cellStyle name="Percent61" xfId="744" xr:uid="{00000000-0005-0000-0000-0000EF020000}"/>
    <cellStyle name="Percent62" xfId="745" xr:uid="{00000000-0005-0000-0000-0000F0020000}"/>
    <cellStyle name="Percent63" xfId="746" xr:uid="{00000000-0005-0000-0000-0000F1020000}"/>
    <cellStyle name="Percent64" xfId="747" xr:uid="{00000000-0005-0000-0000-0000F2020000}"/>
    <cellStyle name="Percent65" xfId="748" xr:uid="{00000000-0005-0000-0000-0000F3020000}"/>
    <cellStyle name="Percent66" xfId="749" xr:uid="{00000000-0005-0000-0000-0000F4020000}"/>
    <cellStyle name="Percent67" xfId="750" xr:uid="{00000000-0005-0000-0000-0000F5020000}"/>
    <cellStyle name="Percent68" xfId="751" xr:uid="{00000000-0005-0000-0000-0000F6020000}"/>
    <cellStyle name="Percent69" xfId="752" xr:uid="{00000000-0005-0000-0000-0000F7020000}"/>
    <cellStyle name="Percent7" xfId="753" xr:uid="{00000000-0005-0000-0000-0000F8020000}"/>
    <cellStyle name="Percent70" xfId="754" xr:uid="{00000000-0005-0000-0000-0000F9020000}"/>
    <cellStyle name="Percent71" xfId="755" xr:uid="{00000000-0005-0000-0000-0000FA020000}"/>
    <cellStyle name="Percent72" xfId="756" xr:uid="{00000000-0005-0000-0000-0000FB020000}"/>
    <cellStyle name="Percent73" xfId="757" xr:uid="{00000000-0005-0000-0000-0000FC020000}"/>
    <cellStyle name="Percent74" xfId="758" xr:uid="{00000000-0005-0000-0000-0000FD020000}"/>
    <cellStyle name="Percent75" xfId="759" xr:uid="{00000000-0005-0000-0000-0000FE020000}"/>
    <cellStyle name="Percent76" xfId="760" xr:uid="{00000000-0005-0000-0000-0000FF020000}"/>
    <cellStyle name="Percent77" xfId="761" xr:uid="{00000000-0005-0000-0000-000000030000}"/>
    <cellStyle name="Percent78" xfId="762" xr:uid="{00000000-0005-0000-0000-000001030000}"/>
    <cellStyle name="Percent79" xfId="763" xr:uid="{00000000-0005-0000-0000-000002030000}"/>
    <cellStyle name="Percent8" xfId="764" xr:uid="{00000000-0005-0000-0000-000003030000}"/>
    <cellStyle name="Percent80" xfId="765" xr:uid="{00000000-0005-0000-0000-000004030000}"/>
    <cellStyle name="Percent81" xfId="766" xr:uid="{00000000-0005-0000-0000-000005030000}"/>
    <cellStyle name="Percent82" xfId="767" xr:uid="{00000000-0005-0000-0000-000006030000}"/>
    <cellStyle name="Percent83" xfId="768" xr:uid="{00000000-0005-0000-0000-000007030000}"/>
    <cellStyle name="Percent84" xfId="769" xr:uid="{00000000-0005-0000-0000-000008030000}"/>
    <cellStyle name="Percent85" xfId="770" xr:uid="{00000000-0005-0000-0000-000009030000}"/>
    <cellStyle name="Percent86" xfId="771" xr:uid="{00000000-0005-0000-0000-00000A030000}"/>
    <cellStyle name="Percent87" xfId="772" xr:uid="{00000000-0005-0000-0000-00000B030000}"/>
    <cellStyle name="Percent88" xfId="773" xr:uid="{00000000-0005-0000-0000-00000C030000}"/>
    <cellStyle name="Percent89" xfId="774" xr:uid="{00000000-0005-0000-0000-00000D030000}"/>
    <cellStyle name="Percent9" xfId="775" xr:uid="{00000000-0005-0000-0000-00000E030000}"/>
    <cellStyle name="Percent90" xfId="776" xr:uid="{00000000-0005-0000-0000-00000F030000}"/>
    <cellStyle name="Percent91" xfId="777" xr:uid="{00000000-0005-0000-0000-000010030000}"/>
    <cellStyle name="Percent92" xfId="778" xr:uid="{00000000-0005-0000-0000-000011030000}"/>
    <cellStyle name="Percent93" xfId="779" xr:uid="{00000000-0005-0000-0000-000012030000}"/>
    <cellStyle name="Percent94" xfId="780" xr:uid="{00000000-0005-0000-0000-000013030000}"/>
    <cellStyle name="Percent95" xfId="781" xr:uid="{00000000-0005-0000-0000-000014030000}"/>
    <cellStyle name="Percent96" xfId="782" xr:uid="{00000000-0005-0000-0000-000015030000}"/>
    <cellStyle name="Percent97" xfId="783" xr:uid="{00000000-0005-0000-0000-000016030000}"/>
    <cellStyle name="Percent98" xfId="784" xr:uid="{00000000-0005-0000-0000-000017030000}"/>
    <cellStyle name="Percent99" xfId="785" xr:uid="{00000000-0005-0000-0000-000018030000}"/>
    <cellStyle name="Percentage" xfId="786" xr:uid="{00000000-0005-0000-0000-000019030000}"/>
    <cellStyle name="PercentStyle" xfId="787" xr:uid="{00000000-0005-0000-0000-00001A030000}"/>
    <cellStyle name="PercentStyle 2" xfId="1009" xr:uid="{D74E6E17-3713-46DA-8157-96929DD569B1}"/>
    <cellStyle name="PrePop Currency (0)" xfId="788" xr:uid="{00000000-0005-0000-0000-00001B030000}"/>
    <cellStyle name="PrePop Currency (2)" xfId="789" xr:uid="{00000000-0005-0000-0000-00001C030000}"/>
    <cellStyle name="PrePop Units (0)" xfId="790" xr:uid="{00000000-0005-0000-0000-00001D030000}"/>
    <cellStyle name="PrePop Units (1)" xfId="791" xr:uid="{00000000-0005-0000-0000-00001E030000}"/>
    <cellStyle name="PrePop Units (2)" xfId="792" xr:uid="{00000000-0005-0000-0000-00001F030000}"/>
    <cellStyle name="Price" xfId="793" xr:uid="{00000000-0005-0000-0000-000020030000}"/>
    <cellStyle name="Price 2" xfId="1010" xr:uid="{812FE1F9-AC3E-4CD9-84BA-756C40F7F818}"/>
    <cellStyle name="Product Header" xfId="794" xr:uid="{00000000-0005-0000-0000-000021030000}"/>
    <cellStyle name="PSChar" xfId="795" xr:uid="{00000000-0005-0000-0000-000022030000}"/>
    <cellStyle name="PSDate" xfId="796" xr:uid="{00000000-0005-0000-0000-000023030000}"/>
    <cellStyle name="PSDec" xfId="797" xr:uid="{00000000-0005-0000-0000-000024030000}"/>
    <cellStyle name="PSHeading" xfId="798" xr:uid="{00000000-0005-0000-0000-000025030000}"/>
    <cellStyle name="PSInt" xfId="799" xr:uid="{00000000-0005-0000-0000-000026030000}"/>
    <cellStyle name="PSSpacer" xfId="800" xr:uid="{00000000-0005-0000-0000-000027030000}"/>
    <cellStyle name="r" xfId="801" xr:uid="{00000000-0005-0000-0000-000028030000}"/>
    <cellStyle name="r_F&amp;W Servicing Model" xfId="802" xr:uid="{00000000-0005-0000-0000-000029030000}"/>
    <cellStyle name="r_F&amp;W Servicing Model v2" xfId="803" xr:uid="{00000000-0005-0000-0000-00002A030000}"/>
    <cellStyle name="r_Yell Servicing Model" xfId="804" xr:uid="{00000000-0005-0000-0000-00002B030000}"/>
    <cellStyle name="rate" xfId="805" xr:uid="{00000000-0005-0000-0000-00002C030000}"/>
    <cellStyle name="Ratio" xfId="806" xr:uid="{00000000-0005-0000-0000-00002D030000}"/>
    <cellStyle name="Ratio 2" xfId="1011" xr:uid="{CFBEA3E1-A2EF-45E7-A943-2B3A21ACCBC4}"/>
    <cellStyle name="Ratio Comma" xfId="807" xr:uid="{00000000-0005-0000-0000-00002E030000}"/>
    <cellStyle name="Ratio Comma 2" xfId="1012" xr:uid="{4249D9AC-1181-41C7-8D8D-4E11697C7D2F}"/>
    <cellStyle name="Ratio_Private" xfId="808" xr:uid="{00000000-0005-0000-0000-00002F030000}"/>
    <cellStyle name="regstoresfromspecstores" xfId="809" xr:uid="{00000000-0005-0000-0000-000030030000}"/>
    <cellStyle name="RevList" xfId="810" xr:uid="{00000000-0005-0000-0000-000031030000}"/>
    <cellStyle name="Right" xfId="811" xr:uid="{00000000-0005-0000-0000-000032030000}"/>
    <cellStyle name="RightBold" xfId="812" xr:uid="{00000000-0005-0000-0000-000033030000}"/>
    <cellStyle name="RightBoldBottomRule" xfId="813" xr:uid="{00000000-0005-0000-0000-000034030000}"/>
    <cellStyle name="RightBoldCenterRule" xfId="814" xr:uid="{00000000-0005-0000-0000-000035030000}"/>
    <cellStyle name="Section" xfId="815" xr:uid="{00000000-0005-0000-0000-000036030000}"/>
    <cellStyle name="SectionHeaderNormal" xfId="816" xr:uid="{00000000-0005-0000-0000-000037030000}"/>
    <cellStyle name="SHADEDSTORES" xfId="817" xr:uid="{00000000-0005-0000-0000-000038030000}"/>
    <cellStyle name="Short $" xfId="818" xr:uid="{00000000-0005-0000-0000-000039030000}"/>
    <cellStyle name="ShOut" xfId="819" xr:uid="{00000000-0005-0000-0000-00003A030000}"/>
    <cellStyle name="ShOut 2" xfId="1013" xr:uid="{3F100E7C-BE08-435F-ABB3-567650E63AEF}"/>
    <cellStyle name="Simple" xfId="820" xr:uid="{00000000-0005-0000-0000-00003B030000}"/>
    <cellStyle name="SimpleBold" xfId="821" xr:uid="{00000000-0005-0000-0000-00003C030000}"/>
    <cellStyle name="Single Accounting" xfId="822" xr:uid="{00000000-0005-0000-0000-00003D030000}"/>
    <cellStyle name="specstores" xfId="823" xr:uid="{00000000-0005-0000-0000-00003E030000}"/>
    <cellStyle name="Stock Comma" xfId="824" xr:uid="{00000000-0005-0000-0000-00003F030000}"/>
    <cellStyle name="Stock Comma 2" xfId="1014" xr:uid="{4E8FF90B-9ECD-4C00-9044-D9B282CB3A28}"/>
    <cellStyle name="Stock Price" xfId="825" xr:uid="{00000000-0005-0000-0000-000040030000}"/>
    <cellStyle name="Stock Price 2" xfId="1015" xr:uid="{5CD72EF5-C30C-4F52-A89A-A95D580499B7}"/>
    <cellStyle name="Style 1" xfId="826" xr:uid="{00000000-0005-0000-0000-000041030000}"/>
    <cellStyle name="Style 21" xfId="827" xr:uid="{00000000-0005-0000-0000-000042030000}"/>
    <cellStyle name="Style 22" xfId="828" xr:uid="{00000000-0005-0000-0000-000043030000}"/>
    <cellStyle name="Style 23" xfId="829" xr:uid="{00000000-0005-0000-0000-000044030000}"/>
    <cellStyle name="Style 24" xfId="830" xr:uid="{00000000-0005-0000-0000-000045030000}"/>
    <cellStyle name="Style 25" xfId="831" xr:uid="{00000000-0005-0000-0000-000046030000}"/>
    <cellStyle name="Style 26" xfId="832" xr:uid="{00000000-0005-0000-0000-000047030000}"/>
    <cellStyle name="Style 27" xfId="833" xr:uid="{00000000-0005-0000-0000-000048030000}"/>
    <cellStyle name="Style 28" xfId="834" xr:uid="{00000000-0005-0000-0000-000049030000}"/>
    <cellStyle name="Style 29" xfId="835" xr:uid="{00000000-0005-0000-0000-00004A030000}"/>
    <cellStyle name="Style 30" xfId="836" xr:uid="{00000000-0005-0000-0000-00004B030000}"/>
    <cellStyle name="Style 31" xfId="837" xr:uid="{00000000-0005-0000-0000-00004C030000}"/>
    <cellStyle name="Style 32" xfId="838" xr:uid="{00000000-0005-0000-0000-00004D030000}"/>
    <cellStyle name="Style 33" xfId="839" xr:uid="{00000000-0005-0000-0000-00004E030000}"/>
    <cellStyle name="Style 34" xfId="840" xr:uid="{00000000-0005-0000-0000-00004F030000}"/>
    <cellStyle name="Style 35" xfId="841" xr:uid="{00000000-0005-0000-0000-000050030000}"/>
    <cellStyle name="Style 36" xfId="842" xr:uid="{00000000-0005-0000-0000-000051030000}"/>
    <cellStyle name="Style 37" xfId="843" xr:uid="{00000000-0005-0000-0000-000052030000}"/>
    <cellStyle name="Style 38" xfId="844" xr:uid="{00000000-0005-0000-0000-000053030000}"/>
    <cellStyle name="Style 39" xfId="845" xr:uid="{00000000-0005-0000-0000-000054030000}"/>
    <cellStyle name="Style 40" xfId="846" xr:uid="{00000000-0005-0000-0000-000055030000}"/>
    <cellStyle name="Style 41" xfId="847" xr:uid="{00000000-0005-0000-0000-000056030000}"/>
    <cellStyle name="Style 42" xfId="848" xr:uid="{00000000-0005-0000-0000-000057030000}"/>
    <cellStyle name="Style 43" xfId="849" xr:uid="{00000000-0005-0000-0000-000058030000}"/>
    <cellStyle name="Style 44" xfId="850" xr:uid="{00000000-0005-0000-0000-000059030000}"/>
    <cellStyle name="Style 45" xfId="851" xr:uid="{00000000-0005-0000-0000-00005A030000}"/>
    <cellStyle name="Style 46" xfId="852" xr:uid="{00000000-0005-0000-0000-00005B030000}"/>
    <cellStyle name="Style 47" xfId="853" xr:uid="{00000000-0005-0000-0000-00005C030000}"/>
    <cellStyle name="Style 48" xfId="854" xr:uid="{00000000-0005-0000-0000-00005D030000}"/>
    <cellStyle name="STYLE1" xfId="855" xr:uid="{00000000-0005-0000-0000-00005E030000}"/>
    <cellStyle name="SubScript" xfId="856" xr:uid="{00000000-0005-0000-0000-00005F030000}"/>
    <cellStyle name="Subtotal" xfId="857" xr:uid="{00000000-0005-0000-0000-000060030000}"/>
    <cellStyle name="Sum" xfId="858" xr:uid="{00000000-0005-0000-0000-000061030000}"/>
    <cellStyle name="SuperScript" xfId="859" xr:uid="{00000000-0005-0000-0000-000062030000}"/>
    <cellStyle name="Table_Title" xfId="860" xr:uid="{00000000-0005-0000-0000-000063030000}"/>
    <cellStyle name="Test" xfId="861" xr:uid="{00000000-0005-0000-0000-000064030000}"/>
    <cellStyle name="Text Indent A" xfId="862" xr:uid="{00000000-0005-0000-0000-000065030000}"/>
    <cellStyle name="Text Indent B" xfId="863" xr:uid="{00000000-0005-0000-0000-000066030000}"/>
    <cellStyle name="Text Indent C" xfId="864" xr:uid="{00000000-0005-0000-0000-000067030000}"/>
    <cellStyle name="Text Indent C 2" xfId="1016" xr:uid="{147F5440-669E-4057-B18A-2246B78C5E96}"/>
    <cellStyle name="TextBold" xfId="865" xr:uid="{00000000-0005-0000-0000-000068030000}"/>
    <cellStyle name="TextItalic" xfId="866" xr:uid="{00000000-0005-0000-0000-000069030000}"/>
    <cellStyle name="TextNormal" xfId="867" xr:uid="{00000000-0005-0000-0000-00006A030000}"/>
    <cellStyle name="Time" xfId="868" xr:uid="{00000000-0005-0000-0000-00006B030000}"/>
    <cellStyle name="Times 10" xfId="869" xr:uid="{00000000-0005-0000-0000-00006C030000}"/>
    <cellStyle name="Times 12" xfId="870" xr:uid="{00000000-0005-0000-0000-00006D030000}"/>
    <cellStyle name="Title - PROJECT" xfId="871" xr:uid="{00000000-0005-0000-0000-00006E030000}"/>
    <cellStyle name="Title - PROJECT 2" xfId="1017" xr:uid="{D2FA2B1B-D51E-48B4-9D91-CC367F7541C3}"/>
    <cellStyle name="Title - Underline" xfId="872" xr:uid="{00000000-0005-0000-0000-00006F030000}"/>
    <cellStyle name="Title - Underline 2" xfId="1018" xr:uid="{1E8921FF-8F70-40B3-95CB-0043AE9118BE}"/>
    <cellStyle name="Title1" xfId="873" xr:uid="{00000000-0005-0000-0000-000070030000}"/>
    <cellStyle name="Title2" xfId="874" xr:uid="{00000000-0005-0000-0000-000071030000}"/>
    <cellStyle name="TitleNormal" xfId="875" xr:uid="{00000000-0005-0000-0000-000072030000}"/>
    <cellStyle name="Titles - Col. Headings" xfId="876" xr:uid="{00000000-0005-0000-0000-000073030000}"/>
    <cellStyle name="Titles - Other" xfId="877" xr:uid="{00000000-0005-0000-0000-000074030000}"/>
    <cellStyle name="Titles - Other 2" xfId="1019" xr:uid="{ECCFF43A-C5E2-4DA8-B7C3-0524889BFA49}"/>
    <cellStyle name="Top Edge" xfId="878" xr:uid="{00000000-0005-0000-0000-000075030000}"/>
    <cellStyle name="Total" xfId="879" builtinId="25" customBuiltin="1"/>
    <cellStyle name="ubordinated Debt" xfId="880" xr:uid="{00000000-0005-0000-0000-000077030000}"/>
    <cellStyle name="wheat merger's and acquisitions" xfId="881" xr:uid="{00000000-0005-0000-0000-000078030000}"/>
    <cellStyle name="x" xfId="882" xr:uid="{00000000-0005-0000-0000-000079030000}"/>
    <cellStyle name="x_TSA Model - 1 8 06 - v2" xfId="883" xr:uid="{00000000-0005-0000-0000-00007A030000}"/>
    <cellStyle name="Y2K Compliant Date Fmt" xfId="884" xr:uid="{00000000-0005-0000-0000-00007B030000}"/>
    <cellStyle name="Years" xfId="885" xr:uid="{00000000-0005-0000-0000-00007C030000}"/>
    <cellStyle name="yellow" xfId="886" xr:uid="{00000000-0005-0000-0000-00007D030000}"/>
    <cellStyle name="Yen" xfId="887" xr:uid="{00000000-0005-0000-0000-00007E030000}"/>
    <cellStyle name="YYYY" xfId="888" xr:uid="{00000000-0005-0000-0000-00007F030000}"/>
    <cellStyle name="桁区切り [0.00]_Appendix" xfId="889" xr:uid="{00000000-0005-0000-0000-000080030000}"/>
    <cellStyle name="桁区切り_Appendix" xfId="890" xr:uid="{00000000-0005-0000-0000-000081030000}"/>
    <cellStyle name="標準_Appendix" xfId="891" xr:uid="{00000000-0005-0000-0000-000082030000}"/>
    <cellStyle name="通貨 [0.00]_Appendix" xfId="892" xr:uid="{00000000-0005-0000-0000-000083030000}"/>
    <cellStyle name="通貨_Appendix" xfId="893" xr:uid="{00000000-0005-0000-0000-00008403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customXml" Target="../customXml/item4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osetta%20Stone%20Model%20(9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Company%20Materials\Company%20Materials\Bank%20Model_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Bank%20Model_2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EMcKee\Local%20Settings\Temporary%20Internet%20Files\OLK12\65%20UVN%207-Year%20Mod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eckett\Deals%20in%20process\UniFocus%20R6\Unifocus%20Model%204-02%20R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Rothbard\Local%20Settings\Temporary%20Internet%20Files\OLK146\JMI_WMI%20Financing%20Model%20(02-09-06)_vTD4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orr\Local%20Settings\Temporary%20Internet%20Files\OLK27\MC-DW-JOB%20Merger%20Model%20for%20Syndicate%20-%203.31.05%20rjf%205.03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1"/>
  <sheetViews>
    <sheetView showGridLines="0" zoomScaleNormal="100" workbookViewId="0">
      <selection activeCell="M1" sqref="M1"/>
    </sheetView>
  </sheetViews>
  <sheetFormatPr defaultColWidth="9.140625" defaultRowHeight="15"/>
  <cols>
    <col min="1" max="1" width="9.140625" style="1"/>
    <col min="2" max="2" width="50.7109375" style="1" customWidth="1"/>
    <col min="3" max="8" width="12.7109375" style="1" customWidth="1"/>
    <col min="9" max="9" width="50.7109375" style="1" customWidth="1"/>
    <col min="10" max="10" width="12.7109375" style="1" customWidth="1"/>
    <col min="11" max="11" width="24.28515625" style="1" customWidth="1"/>
    <col min="12" max="12" width="9.85546875" style="1" bestFit="1" customWidth="1"/>
    <col min="13" max="16384" width="9.140625" style="1"/>
  </cols>
  <sheetData>
    <row r="1" spans="1:12">
      <c r="B1" s="2"/>
      <c r="C1" s="189"/>
      <c r="D1" s="115"/>
      <c r="E1" s="189"/>
    </row>
    <row r="3" spans="1:12">
      <c r="A3" s="15" t="s">
        <v>0</v>
      </c>
      <c r="I3" s="6" t="s">
        <v>1</v>
      </c>
      <c r="J3" s="131">
        <f>Model!K$204</f>
        <v>0.14494854326714016</v>
      </c>
    </row>
    <row r="4" spans="1:12">
      <c r="I4" s="6" t="s">
        <v>2</v>
      </c>
      <c r="J4" s="131">
        <f>Model!K$205</f>
        <v>0.14097399145989342</v>
      </c>
    </row>
    <row r="5" spans="1:12">
      <c r="I5" s="2"/>
      <c r="J5" s="131"/>
    </row>
    <row r="6" spans="1:12">
      <c r="B6" s="256" t="s">
        <v>3</v>
      </c>
      <c r="C6" s="257" t="s">
        <v>4</v>
      </c>
      <c r="D6" s="257" t="s">
        <v>5</v>
      </c>
      <c r="E6" s="257" t="s">
        <v>6</v>
      </c>
      <c r="F6" s="257" t="s">
        <v>5</v>
      </c>
      <c r="I6" s="2"/>
      <c r="J6" s="131"/>
    </row>
    <row r="7" spans="1:12">
      <c r="B7" s="13"/>
      <c r="C7" s="106"/>
      <c r="D7" s="14"/>
      <c r="E7" s="110"/>
      <c r="I7" s="2"/>
      <c r="J7" s="131"/>
      <c r="K7" s="13"/>
      <c r="L7" s="106"/>
    </row>
    <row r="8" spans="1:12" ht="15" customHeight="1">
      <c r="B8" s="254" t="s">
        <v>7</v>
      </c>
      <c r="C8" s="111">
        <f>SUM(C9:C12)</f>
        <v>25006.732999999997</v>
      </c>
      <c r="D8" s="14"/>
      <c r="E8" s="111">
        <f>SUM(E9:E12)</f>
        <v>3624.6895202203214</v>
      </c>
      <c r="I8" s="2"/>
      <c r="J8" s="131"/>
      <c r="K8" s="13"/>
      <c r="L8" s="106"/>
    </row>
    <row r="9" spans="1:12">
      <c r="B9" s="13" t="s">
        <v>8</v>
      </c>
      <c r="C9" s="51">
        <v>0</v>
      </c>
      <c r="D9" s="14"/>
      <c r="E9" s="110">
        <f>C9*J3</f>
        <v>0</v>
      </c>
      <c r="I9" s="2"/>
      <c r="J9" s="131"/>
    </row>
    <row r="10" spans="1:12">
      <c r="B10" s="13" t="s">
        <v>9</v>
      </c>
      <c r="C10" s="51">
        <v>1718.799</v>
      </c>
      <c r="D10" s="14"/>
      <c r="E10" s="110">
        <f>C10*J3</f>
        <v>249.13741121901722</v>
      </c>
      <c r="I10" s="2"/>
      <c r="J10" s="131"/>
    </row>
    <row r="11" spans="1:12">
      <c r="B11" s="13" t="s">
        <v>10</v>
      </c>
      <c r="C11" s="51">
        <v>18188.171999999999</v>
      </c>
      <c r="D11" s="14"/>
      <c r="E11" s="110">
        <f>C11*J3</f>
        <v>2636.3490360921869</v>
      </c>
      <c r="I11" s="2"/>
      <c r="J11" s="131"/>
    </row>
    <row r="12" spans="1:12">
      <c r="B12" s="13" t="s">
        <v>11</v>
      </c>
      <c r="C12" s="51">
        <v>5099.7619999999997</v>
      </c>
      <c r="D12" s="14"/>
      <c r="E12" s="110">
        <f>C12*J3</f>
        <v>739.20307290911717</v>
      </c>
      <c r="I12" s="2"/>
      <c r="J12" s="131"/>
    </row>
    <row r="13" spans="1:12">
      <c r="B13" s="13"/>
      <c r="C13" s="106"/>
      <c r="D13" s="14"/>
      <c r="E13" s="110"/>
      <c r="I13" s="2"/>
      <c r="J13" s="131"/>
    </row>
    <row r="14" spans="1:12">
      <c r="B14" s="254" t="s">
        <v>12</v>
      </c>
      <c r="C14" s="111">
        <f>SUM(C15:C18)</f>
        <v>10360.504000000001</v>
      </c>
      <c r="D14" s="14"/>
      <c r="E14" s="111">
        <f>SUM(E15:E18)</f>
        <v>1501.7399623133788</v>
      </c>
      <c r="I14" s="2"/>
      <c r="J14" s="131"/>
    </row>
    <row r="15" spans="1:12">
      <c r="B15" s="13" t="s">
        <v>8</v>
      </c>
      <c r="C15" s="51">
        <v>0</v>
      </c>
      <c r="D15" s="14"/>
      <c r="E15" s="110">
        <f>C15*J3</f>
        <v>0</v>
      </c>
    </row>
    <row r="16" spans="1:12">
      <c r="B16" s="13" t="s">
        <v>9</v>
      </c>
      <c r="C16" s="51">
        <v>73.134</v>
      </c>
      <c r="D16" s="14"/>
      <c r="E16" s="110">
        <f>C16*J3</f>
        <v>10.600666763299028</v>
      </c>
    </row>
    <row r="17" spans="2:6">
      <c r="B17" s="13" t="s">
        <v>10</v>
      </c>
      <c r="C17" s="51">
        <v>10287.370000000001</v>
      </c>
      <c r="D17" s="14"/>
      <c r="E17" s="110">
        <f>C17*J3</f>
        <v>1491.1392955500799</v>
      </c>
    </row>
    <row r="18" spans="2:6">
      <c r="B18" s="13" t="s">
        <v>11</v>
      </c>
      <c r="C18" s="51">
        <v>0</v>
      </c>
      <c r="D18" s="14"/>
      <c r="E18" s="110">
        <f>C18*J3</f>
        <v>0</v>
      </c>
    </row>
    <row r="19" spans="2:6">
      <c r="B19" s="13"/>
      <c r="C19" s="51"/>
      <c r="D19" s="14"/>
      <c r="E19" s="110"/>
    </row>
    <row r="20" spans="2:6">
      <c r="B20" s="2" t="s">
        <v>13</v>
      </c>
      <c r="C20" s="111">
        <f>SUM(C21:C22)</f>
        <v>0</v>
      </c>
      <c r="D20" s="14"/>
      <c r="E20" s="14">
        <f>SUM(E21:E22)</f>
        <v>0</v>
      </c>
    </row>
    <row r="21" spans="2:6">
      <c r="B21" s="6" t="s">
        <v>14</v>
      </c>
      <c r="C21" s="51">
        <f>Model!AK$112</f>
        <v>0</v>
      </c>
      <c r="D21" s="14"/>
      <c r="E21" s="110">
        <f>C21*J3</f>
        <v>0</v>
      </c>
    </row>
    <row r="22" spans="2:6">
      <c r="B22" s="6" t="s">
        <v>15</v>
      </c>
      <c r="C22" s="51">
        <f>Model!AK$113</f>
        <v>0</v>
      </c>
      <c r="D22" s="14"/>
      <c r="E22" s="110">
        <f>C22*J3</f>
        <v>0</v>
      </c>
    </row>
    <row r="23" spans="2:6">
      <c r="B23" s="13"/>
      <c r="C23" s="106"/>
      <c r="D23" s="14"/>
      <c r="E23" s="110"/>
    </row>
    <row r="24" spans="2:6">
      <c r="B24" s="255" t="s">
        <v>16</v>
      </c>
      <c r="C24" s="11">
        <f>C14+C8+C20</f>
        <v>35367.236999999994</v>
      </c>
      <c r="D24" s="10">
        <f>C24/C29</f>
        <v>0.71487751879595651</v>
      </c>
      <c r="E24" s="11">
        <f>E14+E8+E20</f>
        <v>5126.4294825337001</v>
      </c>
      <c r="F24" s="10">
        <f>E24/E29</f>
        <v>0.73503242612933428</v>
      </c>
    </row>
    <row r="25" spans="2:6">
      <c r="B25" s="6" t="s">
        <v>17</v>
      </c>
      <c r="C25" s="147">
        <f>Model!AK$120</f>
        <v>98225.410999999993</v>
      </c>
      <c r="D25" s="148"/>
      <c r="E25" s="110">
        <f>C25*J3</f>
        <v>14237.630236266124</v>
      </c>
    </row>
    <row r="26" spans="2:6">
      <c r="B26" s="255" t="s">
        <v>18</v>
      </c>
      <c r="C26" s="11">
        <f>C24-C25</f>
        <v>-62858.173999999999</v>
      </c>
      <c r="D26" s="10">
        <f>C26/C29</f>
        <v>-1.2705514842780767</v>
      </c>
      <c r="E26" s="11">
        <f>E24-E25</f>
        <v>-9111.2007537324243</v>
      </c>
      <c r="F26" s="10">
        <f>E26/E29</f>
        <v>-1.3063727917812704</v>
      </c>
    </row>
    <row r="27" spans="2:6" s="258" customFormat="1">
      <c r="B27" s="6" t="s">
        <v>19</v>
      </c>
      <c r="C27" s="147">
        <f>Model!AK$124</f>
        <v>266033.924</v>
      </c>
      <c r="D27" s="148"/>
      <c r="E27" s="110">
        <f>C27*J3</f>
        <v>38561.229743441079</v>
      </c>
    </row>
    <row r="28" spans="2:6">
      <c r="B28" s="2" t="s">
        <v>20</v>
      </c>
      <c r="C28" s="9">
        <f>C26+C27</f>
        <v>203175.75</v>
      </c>
      <c r="D28" s="8"/>
      <c r="E28" s="9">
        <f>E26+E27</f>
        <v>29450.028989708655</v>
      </c>
    </row>
    <row r="29" spans="2:6" s="285" customFormat="1">
      <c r="B29" s="2" t="s">
        <v>21</v>
      </c>
      <c r="C29" s="43">
        <f>Model!AK$87</f>
        <v>49473.141999999956</v>
      </c>
      <c r="D29" s="2"/>
      <c r="E29" s="112">
        <f>C29*J4</f>
        <v>6974.4262978020888</v>
      </c>
    </row>
    <row r="30" spans="2:6">
      <c r="B30" s="5" t="s">
        <v>22</v>
      </c>
      <c r="C30" s="4">
        <f>+C24-Model!AK$119</f>
        <v>0</v>
      </c>
      <c r="D30" s="3"/>
    </row>
    <row r="32" spans="2:6" ht="15.75" thickBot="1">
      <c r="B32" s="2"/>
      <c r="C32" s="115"/>
    </row>
    <row r="33" spans="2:8">
      <c r="B33" s="213" t="s">
        <v>23</v>
      </c>
      <c r="C33" s="261" t="s">
        <v>4</v>
      </c>
      <c r="D33" s="201" t="s">
        <v>6</v>
      </c>
      <c r="H33"/>
    </row>
    <row r="34" spans="2:8">
      <c r="B34" s="118" t="s">
        <v>24</v>
      </c>
      <c r="C34" s="260">
        <v>200</v>
      </c>
      <c r="D34" s="262">
        <f>C34*J3</f>
        <v>28.989708653428032</v>
      </c>
    </row>
    <row r="35" spans="2:8">
      <c r="B35" s="259" t="s">
        <v>25</v>
      </c>
      <c r="C35" s="114">
        <v>18247.656999999999</v>
      </c>
      <c r="D35" s="262">
        <f>C35*J3</f>
        <v>2644.9713001884329</v>
      </c>
    </row>
    <row r="36" spans="2:8">
      <c r="B36" s="118" t="s">
        <v>26</v>
      </c>
      <c r="C36" s="114">
        <v>53443.271000000001</v>
      </c>
      <c r="D36" s="262">
        <f>C36*J3</f>
        <v>7746.5242788809965</v>
      </c>
      <c r="E36" s="111"/>
    </row>
    <row r="37" spans="2:8">
      <c r="B37" s="118" t="s">
        <v>27</v>
      </c>
      <c r="C37" s="114">
        <v>26334.483</v>
      </c>
      <c r="D37" s="262">
        <f>C37*J3</f>
        <v>3817.1449485432668</v>
      </c>
      <c r="E37" s="111"/>
    </row>
    <row r="38" spans="2:8" ht="15.75" thickBot="1">
      <c r="B38" s="119" t="s">
        <v>28</v>
      </c>
      <c r="C38" s="128">
        <f>SUM(C34:C37)</f>
        <v>98225.410999999993</v>
      </c>
      <c r="D38" s="264">
        <f>SUM(D34:D37)</f>
        <v>14237.630236266123</v>
      </c>
      <c r="E38" s="111"/>
    </row>
    <row r="39" spans="2:8">
      <c r="B39" s="5" t="s">
        <v>22</v>
      </c>
      <c r="C39" s="115">
        <f>C38-C25</f>
        <v>0</v>
      </c>
      <c r="D39" s="115"/>
      <c r="E39" s="111"/>
    </row>
    <row r="40" spans="2:8">
      <c r="B40" s="2"/>
      <c r="C40" s="115"/>
      <c r="D40" s="115"/>
      <c r="E40" s="111"/>
    </row>
    <row r="41" spans="2:8" ht="15.75" thickBot="1">
      <c r="B41" s="2"/>
      <c r="C41" s="115"/>
      <c r="D41" s="115"/>
      <c r="E41" s="111"/>
    </row>
    <row r="42" spans="2:8" ht="15.75" thickBot="1">
      <c r="B42" s="288" t="s">
        <v>29</v>
      </c>
      <c r="C42" s="286" t="s">
        <v>30</v>
      </c>
      <c r="D42" s="287" t="s">
        <v>6</v>
      </c>
    </row>
    <row r="43" spans="2:8">
      <c r="B43" s="117">
        <v>2027</v>
      </c>
      <c r="C43" s="168">
        <v>6419.95</v>
      </c>
      <c r="D43" s="166">
        <f>C43*J3</f>
        <v>930.56240034787641</v>
      </c>
    </row>
    <row r="44" spans="2:8">
      <c r="B44" s="117">
        <v>2029</v>
      </c>
      <c r="C44" s="168">
        <v>1000</v>
      </c>
      <c r="D44" s="166">
        <f>C44*J3</f>
        <v>144.94854326714017</v>
      </c>
    </row>
    <row r="45" spans="2:8">
      <c r="B45" s="117">
        <v>2030</v>
      </c>
      <c r="C45" s="168">
        <v>4077.19</v>
      </c>
      <c r="D45" s="166">
        <f>C45*J3</f>
        <v>590.98275112335114</v>
      </c>
    </row>
    <row r="46" spans="2:8">
      <c r="B46" s="117" t="s">
        <v>31</v>
      </c>
      <c r="C46" s="168">
        <f>5346.26+2718.13</f>
        <v>8064.39</v>
      </c>
      <c r="D46" s="166">
        <f>C46*J3</f>
        <v>1168.9215828380925</v>
      </c>
    </row>
    <row r="47" spans="2:8" ht="15.75" thickBot="1">
      <c r="B47" s="119" t="s">
        <v>32</v>
      </c>
      <c r="C47" s="169">
        <f>SUM(C43:C46)</f>
        <v>19561.53</v>
      </c>
      <c r="D47" s="170">
        <f>SUM(D43:D46)</f>
        <v>2835.4152775764601</v>
      </c>
    </row>
    <row r="48" spans="2:8">
      <c r="B48" s="2"/>
      <c r="C48" s="189"/>
      <c r="D48" s="115"/>
      <c r="E48" s="189"/>
    </row>
    <row r="49" spans="1:12">
      <c r="B49" s="2"/>
      <c r="C49" s="189"/>
      <c r="D49" s="115"/>
      <c r="E49" s="189"/>
    </row>
    <row r="51" spans="1:12">
      <c r="A51" s="15" t="s">
        <v>33</v>
      </c>
      <c r="I51" s="2" t="s">
        <v>34</v>
      </c>
      <c r="J51" s="131">
        <f>Model!$K$204</f>
        <v>0.14494854326714016</v>
      </c>
    </row>
    <row r="52" spans="1:12">
      <c r="I52" s="2" t="s">
        <v>35</v>
      </c>
      <c r="J52" s="131">
        <f>Model!K$205</f>
        <v>0.14097399145989342</v>
      </c>
    </row>
    <row r="53" spans="1:12">
      <c r="I53" s="2"/>
      <c r="J53" s="131"/>
    </row>
    <row r="54" spans="1:12">
      <c r="B54" s="256" t="s">
        <v>36</v>
      </c>
      <c r="C54" s="257" t="s">
        <v>4</v>
      </c>
      <c r="D54" s="263" t="s">
        <v>37</v>
      </c>
      <c r="E54" s="263" t="s">
        <v>6</v>
      </c>
      <c r="F54" s="263" t="s">
        <v>38</v>
      </c>
    </row>
    <row r="55" spans="1:12">
      <c r="B55" s="13"/>
      <c r="C55" s="106"/>
      <c r="D55" s="14"/>
      <c r="E55" s="110"/>
      <c r="K55" s="13"/>
      <c r="L55" s="106"/>
    </row>
    <row r="56" spans="1:12" ht="15" customHeight="1">
      <c r="B56" s="254" t="s">
        <v>7</v>
      </c>
      <c r="C56" s="111">
        <f>SUM(C57:C60)</f>
        <v>22921.433000000001</v>
      </c>
      <c r="D56" s="14"/>
      <c r="E56" s="111">
        <f>SUM(E57:E60)</f>
        <v>3322.428322945354</v>
      </c>
      <c r="K56" s="13"/>
      <c r="L56" s="106"/>
    </row>
    <row r="57" spans="1:12">
      <c r="B57" s="13" t="s">
        <v>8</v>
      </c>
      <c r="C57" s="51">
        <v>0</v>
      </c>
      <c r="D57" s="14"/>
      <c r="E57" s="110">
        <f>C57*J51</f>
        <v>0</v>
      </c>
    </row>
    <row r="58" spans="1:12">
      <c r="B58" s="13" t="s">
        <v>9</v>
      </c>
      <c r="C58" s="51">
        <v>1754.2550000000001</v>
      </c>
      <c r="D58" s="14"/>
      <c r="E58" s="110">
        <f>C58*J51</f>
        <v>254.27670676909696</v>
      </c>
    </row>
    <row r="59" spans="1:12">
      <c r="B59" s="13" t="s">
        <v>10</v>
      </c>
      <c r="C59" s="51">
        <v>16046.323</v>
      </c>
      <c r="D59" s="14"/>
      <c r="E59" s="110">
        <f>C59*J51</f>
        <v>2325.8911436440062</v>
      </c>
    </row>
    <row r="60" spans="1:12">
      <c r="B60" s="13" t="s">
        <v>11</v>
      </c>
      <c r="C60" s="51">
        <v>5120.8549999999996</v>
      </c>
      <c r="D60" s="14"/>
      <c r="E60" s="110">
        <f>C60*J51</f>
        <v>742.2604725322509</v>
      </c>
    </row>
    <row r="61" spans="1:12">
      <c r="B61" s="13"/>
      <c r="C61" s="106"/>
      <c r="D61" s="14"/>
      <c r="E61" s="110"/>
    </row>
    <row r="62" spans="1:12">
      <c r="B62" s="254" t="s">
        <v>12</v>
      </c>
      <c r="C62" s="111">
        <f>SUM(C63:C66)</f>
        <v>13202.225999999999</v>
      </c>
      <c r="D62" s="14"/>
      <c r="E62" s="111">
        <f>SUM(E63:E66)</f>
        <v>1913.6434265835626</v>
      </c>
    </row>
    <row r="63" spans="1:12">
      <c r="B63" s="13" t="s">
        <v>8</v>
      </c>
      <c r="C63" s="51">
        <v>0</v>
      </c>
      <c r="D63" s="14"/>
      <c r="E63" s="110">
        <f>C63*J51</f>
        <v>0</v>
      </c>
    </row>
    <row r="64" spans="1:12">
      <c r="B64" s="13" t="s">
        <v>9</v>
      </c>
      <c r="C64" s="51">
        <v>73.093999999999994</v>
      </c>
      <c r="D64" s="14"/>
      <c r="E64" s="110">
        <f>C64*J51</f>
        <v>10.594868821568342</v>
      </c>
    </row>
    <row r="65" spans="2:6">
      <c r="B65" s="13" t="s">
        <v>10</v>
      </c>
      <c r="C65" s="51">
        <v>13129.132</v>
      </c>
      <c r="D65" s="14"/>
      <c r="E65" s="110">
        <f>C65*J51</f>
        <v>1903.0485577619943</v>
      </c>
    </row>
    <row r="66" spans="2:6">
      <c r="B66" s="13" t="s">
        <v>11</v>
      </c>
      <c r="C66" s="51">
        <v>0</v>
      </c>
      <c r="D66" s="14"/>
      <c r="E66" s="110">
        <f>C66*J51</f>
        <v>0</v>
      </c>
    </row>
    <row r="67" spans="2:6">
      <c r="B67" s="13"/>
      <c r="C67" s="51"/>
      <c r="D67" s="14"/>
      <c r="E67" s="110"/>
    </row>
    <row r="68" spans="2:6">
      <c r="B68" s="2" t="s">
        <v>13</v>
      </c>
      <c r="C68" s="111">
        <f>SUM(C69:C70)</f>
        <v>5714.2370000000001</v>
      </c>
      <c r="D68" s="14"/>
      <c r="E68" s="111">
        <f>SUM(E69:E70)</f>
        <v>828.27032903319321</v>
      </c>
    </row>
    <row r="69" spans="2:6">
      <c r="B69" s="6" t="s">
        <v>14</v>
      </c>
      <c r="C69" s="51">
        <f>Model!AJ$112</f>
        <v>2079.3679999999999</v>
      </c>
      <c r="D69" s="14"/>
      <c r="E69" s="110">
        <f>C69*J51</f>
        <v>301.40136251630668</v>
      </c>
    </row>
    <row r="70" spans="2:6">
      <c r="B70" s="6" t="s">
        <v>15</v>
      </c>
      <c r="C70" s="51">
        <f>Model!AJ$113</f>
        <v>3634.8690000000001</v>
      </c>
      <c r="D70" s="14"/>
      <c r="E70" s="110">
        <f>C70*J51</f>
        <v>526.86896651688653</v>
      </c>
    </row>
    <row r="71" spans="2:6">
      <c r="B71" s="13"/>
      <c r="C71" s="106"/>
      <c r="D71" s="14"/>
      <c r="E71" s="110"/>
    </row>
    <row r="72" spans="2:6">
      <c r="B72" s="255" t="s">
        <v>16</v>
      </c>
      <c r="C72" s="11">
        <f>C62+C56+C68</f>
        <v>41837.896000000001</v>
      </c>
      <c r="D72" s="10">
        <f>C72/C77</f>
        <v>0.7384330879702482</v>
      </c>
      <c r="E72" s="11">
        <f>E62+E56+E68</f>
        <v>6064.3420785621092</v>
      </c>
      <c r="F72" s="10">
        <f>E72/E77</f>
        <v>0.75925210950698252</v>
      </c>
    </row>
    <row r="73" spans="2:6">
      <c r="B73" s="6" t="s">
        <v>17</v>
      </c>
      <c r="C73" s="147">
        <f>Model!AJ$120</f>
        <v>107696.58900000001</v>
      </c>
      <c r="D73" s="148"/>
      <c r="E73" s="110">
        <f>C73*J51</f>
        <v>15610.463690389912</v>
      </c>
    </row>
    <row r="74" spans="2:6">
      <c r="B74" s="255" t="s">
        <v>18</v>
      </c>
      <c r="C74" s="11">
        <f>C72-C73</f>
        <v>-65858.692999999999</v>
      </c>
      <c r="D74" s="10">
        <f>C74/C77</f>
        <v>-1.1623968385426113</v>
      </c>
      <c r="E74" s="11">
        <f>E72-E73</f>
        <v>-9546.1216118278026</v>
      </c>
      <c r="F74" s="10">
        <f>E74/E77</f>
        <v>-1.1951688868298433</v>
      </c>
    </row>
    <row r="75" spans="2:6" s="258" customFormat="1">
      <c r="B75" s="6" t="s">
        <v>19</v>
      </c>
      <c r="C75" s="147">
        <f>Model!AJ$124</f>
        <v>266323.26899999997</v>
      </c>
      <c r="D75" s="148"/>
      <c r="E75" s="110">
        <f>C75*J51</f>
        <v>38603.169879692701</v>
      </c>
    </row>
    <row r="76" spans="2:6">
      <c r="B76" s="2" t="s">
        <v>20</v>
      </c>
      <c r="C76" s="9">
        <f>C74+C75</f>
        <v>200464.57599999997</v>
      </c>
      <c r="D76" s="8"/>
      <c r="E76" s="9">
        <f>E74+E75</f>
        <v>29057.048267864899</v>
      </c>
    </row>
    <row r="77" spans="2:6">
      <c r="B77" s="6" t="s">
        <v>21</v>
      </c>
      <c r="C77" s="7">
        <f>Model!AJ$87</f>
        <v>56657.666999999965</v>
      </c>
      <c r="D77" s="6"/>
      <c r="E77" s="110">
        <f>C77*J52</f>
        <v>7987.2574637954804</v>
      </c>
    </row>
    <row r="78" spans="2:6">
      <c r="B78" s="5" t="s">
        <v>22</v>
      </c>
      <c r="C78" s="4">
        <f>+C72-Model!AJ$119</f>
        <v>0</v>
      </c>
      <c r="D78" s="3"/>
    </row>
    <row r="80" spans="2:6" ht="15.75" thickBot="1">
      <c r="B80" s="2"/>
      <c r="C80" s="115"/>
    </row>
    <row r="81" spans="2:8">
      <c r="B81" s="213" t="s">
        <v>39</v>
      </c>
      <c r="C81" s="261" t="s">
        <v>4</v>
      </c>
      <c r="D81" s="201" t="s">
        <v>6</v>
      </c>
      <c r="H81"/>
    </row>
    <row r="82" spans="2:8">
      <c r="B82" s="118" t="s">
        <v>24</v>
      </c>
      <c r="C82" s="260">
        <v>200</v>
      </c>
      <c r="D82" s="262">
        <f>C82*J51</f>
        <v>28.989708653428032</v>
      </c>
    </row>
    <row r="83" spans="2:8">
      <c r="B83" s="259" t="s">
        <v>25</v>
      </c>
      <c r="C83" s="114">
        <v>29273.545999999998</v>
      </c>
      <c r="D83" s="262">
        <f>C83*J51</f>
        <v>4243.1578489636177</v>
      </c>
    </row>
    <row r="84" spans="2:8">
      <c r="B84" s="118" t="s">
        <v>26</v>
      </c>
      <c r="C84" s="114">
        <v>51308.665999999997</v>
      </c>
      <c r="D84" s="262">
        <f>C84*J51</f>
        <v>7437.1163936802423</v>
      </c>
    </row>
    <row r="85" spans="2:8">
      <c r="B85" s="118" t="s">
        <v>27</v>
      </c>
      <c r="C85" s="114">
        <v>26914.377</v>
      </c>
      <c r="D85" s="262">
        <f>C85*J51</f>
        <v>3901.1997390926217</v>
      </c>
    </row>
    <row r="86" spans="2:8" ht="15.75" thickBot="1">
      <c r="B86" s="119" t="s">
        <v>28</v>
      </c>
      <c r="C86" s="128">
        <f>SUM(C82:C85)</f>
        <v>107696.58900000001</v>
      </c>
      <c r="D86" s="264">
        <f>SUM(D82:D85)</f>
        <v>15610.463690389912</v>
      </c>
    </row>
    <row r="87" spans="2:8">
      <c r="B87" s="2"/>
      <c r="C87" s="115"/>
      <c r="D87" s="115"/>
      <c r="E87" s="111"/>
    </row>
    <row r="88" spans="2:8" ht="15.75" thickBot="1">
      <c r="B88" s="2"/>
      <c r="C88" s="115"/>
      <c r="D88" s="115"/>
      <c r="E88" s="111"/>
    </row>
    <row r="89" spans="2:8">
      <c r="B89" s="213" t="s">
        <v>29</v>
      </c>
      <c r="C89" s="216" t="s">
        <v>30</v>
      </c>
      <c r="D89" s="216" t="s">
        <v>6</v>
      </c>
    </row>
    <row r="90" spans="2:8">
      <c r="B90" s="117">
        <v>2027</v>
      </c>
      <c r="C90" s="168">
        <v>6506.39</v>
      </c>
      <c r="D90" s="166">
        <f>C90*J51</f>
        <v>943.09175242788808</v>
      </c>
    </row>
    <row r="91" spans="2:8">
      <c r="B91" s="117">
        <v>2030</v>
      </c>
      <c r="C91" s="168">
        <v>4142.22</v>
      </c>
      <c r="D91" s="166">
        <f>C91*J51</f>
        <v>600.40875489201335</v>
      </c>
    </row>
    <row r="92" spans="2:8">
      <c r="B92" s="117">
        <v>2031</v>
      </c>
      <c r="C92" s="168">
        <v>5522.95</v>
      </c>
      <c r="D92" s="166">
        <f>C92*J51</f>
        <v>800.54355703725173</v>
      </c>
    </row>
    <row r="93" spans="2:8">
      <c r="B93" s="117" t="s">
        <v>40</v>
      </c>
      <c r="C93" s="168">
        <v>2761.48</v>
      </c>
      <c r="D93" s="166">
        <f>C93*J51</f>
        <v>400.27250326134219</v>
      </c>
    </row>
    <row r="94" spans="2:8" ht="15.75" thickBot="1">
      <c r="B94" s="119" t="s">
        <v>32</v>
      </c>
      <c r="C94" s="169">
        <f>SUM(C90:C93)</f>
        <v>18933.04</v>
      </c>
      <c r="D94" s="170">
        <f>SUM(D90:D93)</f>
        <v>2744.3165676184949</v>
      </c>
    </row>
    <row r="95" spans="2:8">
      <c r="B95" s="2"/>
      <c r="C95" s="189"/>
      <c r="D95" s="115"/>
      <c r="E95" s="189"/>
    </row>
    <row r="96" spans="2:8">
      <c r="B96" s="2"/>
      <c r="C96" s="189"/>
      <c r="D96" s="115"/>
      <c r="E96" s="189"/>
    </row>
    <row r="97" spans="1:12">
      <c r="B97" s="2"/>
      <c r="C97" s="189"/>
      <c r="D97" s="115"/>
      <c r="E97" s="189"/>
    </row>
    <row r="99" spans="1:12">
      <c r="A99" s="15" t="s">
        <v>41</v>
      </c>
      <c r="I99" s="2" t="s">
        <v>42</v>
      </c>
      <c r="J99" s="131">
        <f>Model!K$204</f>
        <v>0.14494854326714016</v>
      </c>
    </row>
    <row r="100" spans="1:12">
      <c r="I100" s="2" t="s">
        <v>43</v>
      </c>
      <c r="J100" s="131">
        <f>Model!K$205</f>
        <v>0.14097399145989342</v>
      </c>
    </row>
    <row r="101" spans="1:12" ht="15.75" thickBot="1">
      <c r="I101" s="2"/>
      <c r="J101" s="131"/>
    </row>
    <row r="102" spans="1:12" ht="15.75" thickBot="1">
      <c r="B102" s="199" t="s">
        <v>44</v>
      </c>
      <c r="C102" s="200" t="s">
        <v>4</v>
      </c>
      <c r="D102" s="200" t="s">
        <v>5</v>
      </c>
      <c r="E102" s="200" t="s">
        <v>6</v>
      </c>
      <c r="F102" s="201" t="s">
        <v>5</v>
      </c>
      <c r="I102" s="218" t="s">
        <v>45</v>
      </c>
      <c r="J102" s="219" t="s">
        <v>4</v>
      </c>
    </row>
    <row r="103" spans="1:12">
      <c r="B103" s="117"/>
      <c r="C103" s="106"/>
      <c r="D103" s="14"/>
      <c r="E103" s="110"/>
      <c r="F103" s="123"/>
      <c r="I103" s="117" t="s">
        <v>17</v>
      </c>
      <c r="J103" s="155">
        <v>35547.957000000002</v>
      </c>
      <c r="K103" s="13"/>
      <c r="L103" s="106"/>
    </row>
    <row r="104" spans="1:12" ht="15" customHeight="1" thickBot="1">
      <c r="B104" s="143" t="s">
        <v>7</v>
      </c>
      <c r="C104" s="111">
        <f>SUM(C105:C108)</f>
        <v>9588.8719999999994</v>
      </c>
      <c r="D104" s="14"/>
      <c r="E104" s="111">
        <f>SUM(E105:E108)</f>
        <v>1389.8930279750687</v>
      </c>
      <c r="F104" s="123"/>
      <c r="I104" s="117" t="s">
        <v>46</v>
      </c>
      <c r="J104" s="155">
        <f>19383.757+55218.606</f>
        <v>74602.362999999998</v>
      </c>
      <c r="K104" s="13"/>
      <c r="L104" s="106"/>
    </row>
    <row r="105" spans="1:12" ht="15.75" thickBot="1">
      <c r="B105" s="117" t="s">
        <v>8</v>
      </c>
      <c r="C105" s="51">
        <v>0</v>
      </c>
      <c r="D105" s="14"/>
      <c r="E105" s="110">
        <f>C105*J99</f>
        <v>0</v>
      </c>
      <c r="F105" s="123"/>
      <c r="I105" s="158" t="s">
        <v>32</v>
      </c>
      <c r="J105" s="159">
        <f>SUM(J103:J104)</f>
        <v>110150.32</v>
      </c>
    </row>
    <row r="106" spans="1:12">
      <c r="B106" s="117" t="s">
        <v>9</v>
      </c>
      <c r="C106" s="51">
        <v>73.094999999999999</v>
      </c>
      <c r="D106" s="14"/>
      <c r="E106" s="110">
        <f>C106*J99</f>
        <v>10.59501377011161</v>
      </c>
      <c r="F106" s="123"/>
      <c r="I106" s="61" t="s">
        <v>47</v>
      </c>
      <c r="J106" s="191">
        <f>J105-C121</f>
        <v>0</v>
      </c>
    </row>
    <row r="107" spans="1:12">
      <c r="B107" s="117" t="s">
        <v>10</v>
      </c>
      <c r="C107" s="51">
        <v>4399.1639999999998</v>
      </c>
      <c r="D107" s="14"/>
      <c r="E107" s="110">
        <f>C107*J99</f>
        <v>637.6524133932453</v>
      </c>
      <c r="F107" s="123"/>
    </row>
    <row r="108" spans="1:12">
      <c r="B108" s="117" t="s">
        <v>11</v>
      </c>
      <c r="C108" s="51">
        <v>5116.6130000000003</v>
      </c>
      <c r="D108" s="14"/>
      <c r="E108" s="110">
        <f>C108*J99</f>
        <v>741.6456008117118</v>
      </c>
      <c r="F108" s="123"/>
    </row>
    <row r="109" spans="1:12">
      <c r="B109" s="117"/>
      <c r="C109" s="106"/>
      <c r="D109" s="14"/>
      <c r="E109" s="110"/>
      <c r="F109" s="123"/>
    </row>
    <row r="110" spans="1:12">
      <c r="B110" s="143" t="s">
        <v>12</v>
      </c>
      <c r="C110" s="111">
        <f>SUM(C111:C114)</f>
        <v>18000.078999999998</v>
      </c>
      <c r="D110" s="14"/>
      <c r="E110" s="111">
        <f>SUM(E111:E114)</f>
        <v>2609.0852297434408</v>
      </c>
      <c r="F110" s="123"/>
    </row>
    <row r="111" spans="1:12">
      <c r="B111" s="117" t="s">
        <v>8</v>
      </c>
      <c r="C111" s="51">
        <v>0</v>
      </c>
      <c r="D111" s="14"/>
      <c r="E111" s="110">
        <f>C111*J99</f>
        <v>0</v>
      </c>
      <c r="F111" s="123"/>
    </row>
    <row r="112" spans="1:12">
      <c r="B112" s="117" t="s">
        <v>9</v>
      </c>
      <c r="C112" s="51">
        <v>1754.27</v>
      </c>
      <c r="D112" s="14"/>
      <c r="E112" s="110">
        <f>C112*J99</f>
        <v>254.27888099724595</v>
      </c>
      <c r="F112" s="123"/>
    </row>
    <row r="113" spans="2:6">
      <c r="B113" s="117" t="s">
        <v>10</v>
      </c>
      <c r="C113" s="51">
        <v>16245.808999999999</v>
      </c>
      <c r="D113" s="14"/>
      <c r="E113" s="110">
        <f>C113*J99</f>
        <v>2354.806348746195</v>
      </c>
      <c r="F113" s="123"/>
    </row>
    <row r="114" spans="2:6">
      <c r="B114" s="117" t="s">
        <v>11</v>
      </c>
      <c r="C114" s="51">
        <v>0</v>
      </c>
      <c r="D114" s="14"/>
      <c r="E114" s="110">
        <f>C114*J99</f>
        <v>0</v>
      </c>
      <c r="F114" s="123"/>
    </row>
    <row r="115" spans="2:6">
      <c r="B115" s="117"/>
      <c r="C115" s="51"/>
      <c r="D115" s="14"/>
      <c r="E115" s="110"/>
      <c r="F115" s="123"/>
    </row>
    <row r="116" spans="2:6">
      <c r="B116" s="149" t="s">
        <v>13</v>
      </c>
      <c r="C116" s="111">
        <f>SUM(C117:C118)</f>
        <v>0</v>
      </c>
      <c r="D116" s="14"/>
      <c r="E116" s="111">
        <f>SUM(E117:E118)</f>
        <v>0</v>
      </c>
      <c r="F116" s="123"/>
    </row>
    <row r="117" spans="2:6">
      <c r="B117" s="146" t="s">
        <v>14</v>
      </c>
      <c r="C117" s="51">
        <f>Model!AI$112</f>
        <v>0</v>
      </c>
      <c r="D117" s="14"/>
      <c r="E117" s="110">
        <f>C117*J99</f>
        <v>0</v>
      </c>
      <c r="F117" s="123"/>
    </row>
    <row r="118" spans="2:6">
      <c r="B118" s="146" t="s">
        <v>15</v>
      </c>
      <c r="C118" s="51">
        <f>Model!AI$113</f>
        <v>0</v>
      </c>
      <c r="D118" s="14"/>
      <c r="E118" s="110">
        <f>C118*J99</f>
        <v>0</v>
      </c>
      <c r="F118" s="123"/>
    </row>
    <row r="119" spans="2:6">
      <c r="B119" s="117"/>
      <c r="C119" s="106"/>
      <c r="D119" s="14"/>
      <c r="E119" s="110"/>
      <c r="F119" s="123"/>
    </row>
    <row r="120" spans="2:6">
      <c r="B120" s="144" t="s">
        <v>16</v>
      </c>
      <c r="C120" s="11">
        <f>C110+C104+C116</f>
        <v>27588.950999999997</v>
      </c>
      <c r="D120" s="10">
        <f>C120/C125</f>
        <v>0.47247452933222811</v>
      </c>
      <c r="E120" s="11">
        <f>E110+E104+E116</f>
        <v>3998.9782577185097</v>
      </c>
      <c r="F120" s="145">
        <f>E120/E125</f>
        <v>0.48579524526705153</v>
      </c>
    </row>
    <row r="121" spans="2:6">
      <c r="B121" s="146" t="s">
        <v>17</v>
      </c>
      <c r="C121" s="147">
        <f>Model!AI$120</f>
        <v>110150.32</v>
      </c>
      <c r="D121" s="148"/>
      <c r="E121" s="110">
        <f>C121*J99</f>
        <v>15966.128424409335</v>
      </c>
      <c r="F121" s="123"/>
    </row>
    <row r="122" spans="2:6">
      <c r="B122" s="144" t="s">
        <v>18</v>
      </c>
      <c r="C122" s="11">
        <f>C120-C121</f>
        <v>-82561.369000000006</v>
      </c>
      <c r="D122" s="10">
        <f>C122/C125</f>
        <v>-1.4139045721346715</v>
      </c>
      <c r="E122" s="11">
        <f>E120-E121</f>
        <v>-11967.150166690826</v>
      </c>
      <c r="F122" s="145">
        <f>E122/E125</f>
        <v>-1.4537675065260203</v>
      </c>
    </row>
    <row r="123" spans="2:6">
      <c r="B123" s="149" t="s">
        <v>19</v>
      </c>
      <c r="C123" s="9">
        <f>Model!AI$124</f>
        <v>265563.36800000002</v>
      </c>
      <c r="D123" s="8"/>
      <c r="E123" s="112">
        <f>C123*J99</f>
        <v>38493.023336715465</v>
      </c>
      <c r="F123" s="123"/>
    </row>
    <row r="124" spans="2:6">
      <c r="B124" s="149" t="s">
        <v>20</v>
      </c>
      <c r="C124" s="9">
        <f>C122+C123</f>
        <v>183001.99900000001</v>
      </c>
      <c r="D124" s="8"/>
      <c r="E124" s="9">
        <f>E122+E123</f>
        <v>26525.873170024639</v>
      </c>
      <c r="F124" s="123"/>
    </row>
    <row r="125" spans="2:6" ht="15.75" thickBot="1">
      <c r="B125" s="150" t="s">
        <v>21</v>
      </c>
      <c r="C125" s="151">
        <f>Model!AI$87</f>
        <v>58392.461999999963</v>
      </c>
      <c r="D125" s="152"/>
      <c r="E125" s="153">
        <f>C125*J100</f>
        <v>8231.8184393101455</v>
      </c>
      <c r="F125" s="124"/>
    </row>
    <row r="126" spans="2:6">
      <c r="B126" s="5" t="s">
        <v>22</v>
      </c>
      <c r="C126" s="4">
        <f>+C120-Model!AI$119</f>
        <v>0</v>
      </c>
      <c r="D126" s="3"/>
    </row>
    <row r="128" spans="2:6" ht="15.75" thickBot="1">
      <c r="B128" s="2"/>
      <c r="C128" s="115"/>
    </row>
    <row r="129" spans="1:10">
      <c r="B129" s="213" t="s">
        <v>48</v>
      </c>
      <c r="C129" s="214" t="s">
        <v>4</v>
      </c>
      <c r="D129" s="214"/>
      <c r="E129" s="215" t="s">
        <v>6</v>
      </c>
      <c r="H129"/>
    </row>
    <row r="130" spans="1:10">
      <c r="B130" s="118" t="s">
        <v>17</v>
      </c>
      <c r="C130" s="127">
        <f>C121</f>
        <v>110150.32</v>
      </c>
      <c r="D130" s="127"/>
      <c r="E130" s="130">
        <f>E121</f>
        <v>15966.128424409335</v>
      </c>
    </row>
    <row r="131" spans="1:10" ht="15.75" thickBot="1">
      <c r="B131" s="119" t="s">
        <v>28</v>
      </c>
      <c r="C131" s="128">
        <f>SUM(C130:C130)</f>
        <v>110150.32</v>
      </c>
      <c r="D131" s="128"/>
      <c r="E131" s="129">
        <f>SUM(E130:E130)</f>
        <v>15966.128424409335</v>
      </c>
    </row>
    <row r="132" spans="1:10" ht="15.75" thickBot="1">
      <c r="B132" s="2"/>
      <c r="C132" s="115"/>
      <c r="D132" s="115"/>
      <c r="E132" s="111"/>
    </row>
    <row r="133" spans="1:10">
      <c r="B133" s="213" t="s">
        <v>29</v>
      </c>
      <c r="C133" s="216" t="s">
        <v>30</v>
      </c>
      <c r="D133" s="217"/>
      <c r="E133" s="216" t="s">
        <v>6</v>
      </c>
    </row>
    <row r="134" spans="1:10">
      <c r="B134" s="117">
        <v>2027</v>
      </c>
      <c r="C134" s="168">
        <v>7078.92</v>
      </c>
      <c r="E134" s="166">
        <f>C134*J99</f>
        <v>1026.0791419046238</v>
      </c>
    </row>
    <row r="135" spans="1:10">
      <c r="B135" s="117">
        <v>2030</v>
      </c>
      <c r="C135" s="168">
        <v>4265.91</v>
      </c>
      <c r="E135" s="166">
        <f>C135*J99</f>
        <v>618.33744020872587</v>
      </c>
    </row>
    <row r="136" spans="1:10">
      <c r="B136" s="117">
        <v>2031</v>
      </c>
      <c r="C136" s="168">
        <v>5687.88</v>
      </c>
      <c r="E136" s="166">
        <f>C136*J99</f>
        <v>824.44992027830119</v>
      </c>
    </row>
    <row r="137" spans="1:10">
      <c r="B137" s="117" t="s">
        <v>40</v>
      </c>
      <c r="C137" s="168">
        <v>2843.94</v>
      </c>
      <c r="E137" s="166">
        <f>C137*J99</f>
        <v>412.2249601391506</v>
      </c>
    </row>
    <row r="138" spans="1:10" ht="15.75" thickBot="1">
      <c r="B138" s="119" t="s">
        <v>32</v>
      </c>
      <c r="C138" s="169">
        <f>SUM(C134:C137)</f>
        <v>19876.649999999998</v>
      </c>
      <c r="D138" s="128"/>
      <c r="E138" s="170">
        <f>SUM(E134:E137)</f>
        <v>2881.0914625308014</v>
      </c>
    </row>
    <row r="139" spans="1:10">
      <c r="B139" s="2"/>
      <c r="C139" s="189"/>
      <c r="D139" s="115"/>
      <c r="E139" s="189"/>
    </row>
    <row r="140" spans="1:10">
      <c r="B140" s="2"/>
      <c r="C140" s="189"/>
      <c r="D140" s="115"/>
      <c r="E140" s="189"/>
    </row>
    <row r="141" spans="1:10">
      <c r="B141" s="2"/>
      <c r="C141" s="189"/>
      <c r="D141" s="115"/>
      <c r="E141" s="189"/>
    </row>
    <row r="142" spans="1:10">
      <c r="A142" s="15" t="s">
        <v>49</v>
      </c>
      <c r="I142" s="2" t="s">
        <v>50</v>
      </c>
      <c r="J142" s="131">
        <f>Model!AH$204</f>
        <v>0.1396</v>
      </c>
    </row>
    <row r="143" spans="1:10">
      <c r="I143" s="2" t="s">
        <v>51</v>
      </c>
      <c r="J143" s="131">
        <f>Model!AH$205</f>
        <v>0.1388875</v>
      </c>
    </row>
    <row r="144" spans="1:10" ht="15.75" thickBot="1">
      <c r="I144" s="2"/>
      <c r="J144" s="131"/>
    </row>
    <row r="145" spans="2:12" ht="15.75" thickBot="1">
      <c r="B145" s="142" t="s">
        <v>52</v>
      </c>
      <c r="C145" s="121" t="s">
        <v>4</v>
      </c>
      <c r="D145" s="121" t="s">
        <v>5</v>
      </c>
      <c r="E145" s="121" t="s">
        <v>6</v>
      </c>
      <c r="F145" s="122" t="s">
        <v>5</v>
      </c>
      <c r="I145" s="156" t="s">
        <v>53</v>
      </c>
      <c r="J145" s="157" t="s">
        <v>4</v>
      </c>
    </row>
    <row r="146" spans="2:12">
      <c r="B146" s="117"/>
      <c r="C146" s="106"/>
      <c r="D146" s="14"/>
      <c r="E146" s="110"/>
      <c r="F146" s="123"/>
      <c r="I146" s="117" t="s">
        <v>17</v>
      </c>
      <c r="J146" s="155">
        <v>36008</v>
      </c>
      <c r="K146" s="13"/>
      <c r="L146" s="106"/>
    </row>
    <row r="147" spans="2:12" ht="15.75" thickBot="1">
      <c r="B147" s="143" t="s">
        <v>7</v>
      </c>
      <c r="C147" s="111">
        <f>SUM(C148:C151)</f>
        <v>18271.940999999999</v>
      </c>
      <c r="D147" s="14"/>
      <c r="E147" s="111">
        <f>SUM(E148:E151)</f>
        <v>2550.7629636000001</v>
      </c>
      <c r="F147" s="123"/>
      <c r="I147" s="117" t="s">
        <v>54</v>
      </c>
      <c r="J147" s="155">
        <f>57033.64+17420.176+0+1473.109</f>
        <v>75926.924999999988</v>
      </c>
      <c r="K147" s="13"/>
      <c r="L147" s="106"/>
    </row>
    <row r="148" spans="2:12" ht="15.75" thickBot="1">
      <c r="B148" s="117" t="s">
        <v>8</v>
      </c>
      <c r="C148" s="51">
        <v>0</v>
      </c>
      <c r="D148" s="14"/>
      <c r="E148" s="110">
        <f>C148*J142</f>
        <v>0</v>
      </c>
      <c r="F148" s="123"/>
      <c r="I148" s="158" t="s">
        <v>32</v>
      </c>
      <c r="J148" s="159">
        <f>SUM(J146:J147)</f>
        <v>111934.92499999999</v>
      </c>
    </row>
    <row r="149" spans="2:12">
      <c r="B149" s="117" t="s">
        <v>9</v>
      </c>
      <c r="C149" s="51">
        <v>1790.817</v>
      </c>
      <c r="D149" s="14"/>
      <c r="E149" s="110">
        <f>C149*J142</f>
        <v>249.99805320000002</v>
      </c>
      <c r="F149" s="123"/>
      <c r="I149" s="61" t="s">
        <v>47</v>
      </c>
      <c r="J149" s="191">
        <f>J148-C164</f>
        <v>-3.0000000013387762E-2</v>
      </c>
    </row>
    <row r="150" spans="2:12">
      <c r="B150" s="117" t="s">
        <v>10</v>
      </c>
      <c r="C150" s="51">
        <v>16481.124</v>
      </c>
      <c r="D150" s="14"/>
      <c r="E150" s="110">
        <f>C150*J142</f>
        <v>2300.7649104000002</v>
      </c>
      <c r="F150" s="123"/>
    </row>
    <row r="151" spans="2:12">
      <c r="B151" s="117" t="s">
        <v>11</v>
      </c>
      <c r="C151" s="51">
        <v>0</v>
      </c>
      <c r="D151" s="14"/>
      <c r="E151" s="110">
        <f>C151*J142</f>
        <v>0</v>
      </c>
      <c r="F151" s="123"/>
    </row>
    <row r="152" spans="2:12">
      <c r="B152" s="117"/>
      <c r="C152" s="106"/>
      <c r="D152" s="14"/>
      <c r="E152" s="110"/>
      <c r="F152" s="123"/>
    </row>
    <row r="153" spans="2:12">
      <c r="B153" s="143" t="s">
        <v>12</v>
      </c>
      <c r="C153" s="111">
        <f>SUM(C154:C157)</f>
        <v>10640.895</v>
      </c>
      <c r="D153" s="14"/>
      <c r="E153" s="111">
        <f>SUM(E154:E157)</f>
        <v>1485.468942</v>
      </c>
      <c r="F153" s="123"/>
    </row>
    <row r="154" spans="2:12">
      <c r="B154" s="117" t="s">
        <v>8</v>
      </c>
      <c r="C154" s="51">
        <v>0</v>
      </c>
      <c r="D154" s="14"/>
      <c r="E154" s="110">
        <f>C154*J142</f>
        <v>0</v>
      </c>
      <c r="F154" s="123"/>
    </row>
    <row r="155" spans="2:12">
      <c r="B155" s="117" t="s">
        <v>9</v>
      </c>
      <c r="C155" s="51">
        <v>73.093999999999994</v>
      </c>
      <c r="D155" s="14"/>
      <c r="E155" s="110">
        <f>C155*J142</f>
        <v>10.2039224</v>
      </c>
      <c r="F155" s="123"/>
    </row>
    <row r="156" spans="2:12">
      <c r="B156" s="117" t="s">
        <v>10</v>
      </c>
      <c r="C156" s="51">
        <v>5145.07</v>
      </c>
      <c r="D156" s="14"/>
      <c r="E156" s="110">
        <f>C156*J142</f>
        <v>718.25177199999996</v>
      </c>
      <c r="F156" s="123"/>
    </row>
    <row r="157" spans="2:12">
      <c r="B157" s="117" t="s">
        <v>11</v>
      </c>
      <c r="C157" s="51">
        <v>5422.7309999999998</v>
      </c>
      <c r="D157" s="14"/>
      <c r="E157" s="110">
        <f>C157*J142</f>
        <v>757.0132476</v>
      </c>
      <c r="F157" s="123"/>
    </row>
    <row r="158" spans="2:12">
      <c r="B158" s="117"/>
      <c r="C158" s="51"/>
      <c r="D158" s="14"/>
      <c r="E158" s="110"/>
      <c r="F158" s="123"/>
    </row>
    <row r="159" spans="2:12">
      <c r="B159" s="149" t="s">
        <v>13</v>
      </c>
      <c r="C159" s="111">
        <f>SUM(C160:C161)</f>
        <v>0</v>
      </c>
      <c r="D159" s="14"/>
      <c r="E159" s="111">
        <f>SUM(E160:E161)</f>
        <v>0</v>
      </c>
      <c r="F159" s="123"/>
    </row>
    <row r="160" spans="2:12">
      <c r="B160" s="146" t="s">
        <v>14</v>
      </c>
      <c r="C160" s="51">
        <f>Model!AH$112</f>
        <v>0</v>
      </c>
      <c r="D160" s="14"/>
      <c r="E160" s="110">
        <f>C160*J142</f>
        <v>0</v>
      </c>
      <c r="F160" s="123"/>
    </row>
    <row r="161" spans="2:8">
      <c r="B161" s="146" t="s">
        <v>15</v>
      </c>
      <c r="C161" s="51">
        <f>Model!AH$113</f>
        <v>0</v>
      </c>
      <c r="D161" s="14"/>
      <c r="E161" s="110">
        <f>C161*J142</f>
        <v>0</v>
      </c>
      <c r="F161" s="123"/>
    </row>
    <row r="162" spans="2:8">
      <c r="B162" s="117"/>
      <c r="C162" s="106"/>
      <c r="D162" s="14"/>
      <c r="E162" s="110"/>
      <c r="F162" s="123"/>
    </row>
    <row r="163" spans="2:8">
      <c r="B163" s="144" t="s">
        <v>16</v>
      </c>
      <c r="C163" s="11">
        <f>C153+C147+C159</f>
        <v>28912.835999999999</v>
      </c>
      <c r="D163" s="10">
        <f>C163/C168</f>
        <v>0.59250851696119344</v>
      </c>
      <c r="E163" s="11">
        <f>E153+E147+E159</f>
        <v>4036.2319056000001</v>
      </c>
      <c r="F163" s="145">
        <f>E163/E168</f>
        <v>0.59554811604919522</v>
      </c>
    </row>
    <row r="164" spans="2:8">
      <c r="B164" s="146" t="s">
        <v>17</v>
      </c>
      <c r="C164" s="147">
        <f>Model!AH$120</f>
        <v>111934.955</v>
      </c>
      <c r="D164" s="148"/>
      <c r="E164" s="110">
        <f>C164*J142</f>
        <v>15626.119718</v>
      </c>
      <c r="F164" s="123"/>
    </row>
    <row r="165" spans="2:8">
      <c r="B165" s="144" t="s">
        <v>18</v>
      </c>
      <c r="C165" s="11">
        <f>C163-C164</f>
        <v>-83022.119000000006</v>
      </c>
      <c r="D165" s="10">
        <f>C165/C168</f>
        <v>-1.7013658778981668</v>
      </c>
      <c r="E165" s="11">
        <f>E163-E164</f>
        <v>-11589.8878124</v>
      </c>
      <c r="F165" s="145">
        <f>E165/E168</f>
        <v>-1.7100939721327266</v>
      </c>
    </row>
    <row r="166" spans="2:8">
      <c r="B166" s="149" t="s">
        <v>19</v>
      </c>
      <c r="C166" s="9">
        <f>Model!AH$124</f>
        <v>252860.69500000001</v>
      </c>
      <c r="D166" s="8"/>
      <c r="E166" s="112">
        <f>C166*J142</f>
        <v>35299.353022000003</v>
      </c>
      <c r="F166" s="123"/>
    </row>
    <row r="167" spans="2:8">
      <c r="B167" s="149" t="s">
        <v>20</v>
      </c>
      <c r="C167" s="9">
        <f>C165+C166</f>
        <v>169838.576</v>
      </c>
      <c r="D167" s="8"/>
      <c r="E167" s="9">
        <f>E165+E166</f>
        <v>23709.465209600003</v>
      </c>
      <c r="F167" s="123"/>
    </row>
    <row r="168" spans="2:8" ht="15.75" thickBot="1">
      <c r="B168" s="150" t="s">
        <v>21</v>
      </c>
      <c r="C168" s="151">
        <f>Model!AH$87</f>
        <v>48797.333999999966</v>
      </c>
      <c r="D168" s="152"/>
      <c r="E168" s="153">
        <f>C168*J143</f>
        <v>6777.339725924995</v>
      </c>
      <c r="F168" s="124"/>
    </row>
    <row r="169" spans="2:8">
      <c r="B169" s="5" t="s">
        <v>22</v>
      </c>
      <c r="C169" s="4">
        <f>+C163-Model!AH$119</f>
        <v>0</v>
      </c>
      <c r="D169" s="3"/>
    </row>
    <row r="171" spans="2:8" ht="15.75" thickBot="1">
      <c r="B171" s="2"/>
      <c r="C171" s="115"/>
    </row>
    <row r="172" spans="2:8">
      <c r="B172" s="116" t="s">
        <v>55</v>
      </c>
      <c r="C172" s="125" t="s">
        <v>4</v>
      </c>
      <c r="D172" s="125"/>
      <c r="E172" s="126" t="s">
        <v>6</v>
      </c>
      <c r="H172"/>
    </row>
    <row r="173" spans="2:8">
      <c r="B173" s="118" t="s">
        <v>17</v>
      </c>
      <c r="C173" s="127">
        <f>C164</f>
        <v>111934.955</v>
      </c>
      <c r="D173" s="127"/>
      <c r="E173" s="130">
        <f>E164</f>
        <v>15626.119718</v>
      </c>
    </row>
    <row r="174" spans="2:8">
      <c r="B174" s="118"/>
      <c r="C174" s="106"/>
      <c r="D174" s="106"/>
      <c r="E174" s="120"/>
    </row>
    <row r="175" spans="2:8" ht="15.75" thickBot="1">
      <c r="B175" s="119" t="s">
        <v>28</v>
      </c>
      <c r="C175" s="128">
        <f>SUM(C173:C174)</f>
        <v>111934.955</v>
      </c>
      <c r="D175" s="128"/>
      <c r="E175" s="129">
        <f>SUM(E173:E174)</f>
        <v>15626.119718</v>
      </c>
    </row>
    <row r="176" spans="2:8" ht="15.75" thickBot="1">
      <c r="B176" s="2"/>
      <c r="C176" s="115"/>
      <c r="D176" s="115"/>
      <c r="E176" s="111"/>
    </row>
    <row r="177" spans="1:12">
      <c r="B177" s="116" t="s">
        <v>56</v>
      </c>
      <c r="C177" s="167" t="s">
        <v>30</v>
      </c>
      <c r="D177" s="165"/>
      <c r="E177" s="167" t="s">
        <v>6</v>
      </c>
    </row>
    <row r="178" spans="1:12">
      <c r="B178" s="117">
        <v>2027</v>
      </c>
      <c r="C178" s="168">
        <v>7115.44</v>
      </c>
      <c r="E178" s="166">
        <f>C178*J142</f>
        <v>993.31542400000001</v>
      </c>
    </row>
    <row r="179" spans="1:12">
      <c r="B179" s="117">
        <v>2030</v>
      </c>
      <c r="C179" s="168">
        <v>4291.54</v>
      </c>
      <c r="E179" s="166">
        <f>C179*J142</f>
        <v>599.09898399999997</v>
      </c>
    </row>
    <row r="180" spans="1:12">
      <c r="B180" s="117">
        <v>2031</v>
      </c>
      <c r="C180" s="168">
        <v>5722.05</v>
      </c>
      <c r="E180" s="166">
        <f>C180*J142</f>
        <v>798.79818</v>
      </c>
    </row>
    <row r="181" spans="1:12">
      <c r="B181" s="117" t="s">
        <v>40</v>
      </c>
      <c r="C181" s="168">
        <v>2861.03</v>
      </c>
      <c r="E181" s="166">
        <f>C181*J142</f>
        <v>399.39978800000006</v>
      </c>
    </row>
    <row r="182" spans="1:12" ht="15.75" thickBot="1">
      <c r="B182" s="119" t="s">
        <v>32</v>
      </c>
      <c r="C182" s="169">
        <f>SUM(C178:C181)</f>
        <v>19990.059999999998</v>
      </c>
      <c r="D182" s="128"/>
      <c r="E182" s="170">
        <f>SUM(E178:E181)</f>
        <v>2790.6123760000005</v>
      </c>
    </row>
    <row r="183" spans="1:12">
      <c r="B183" s="2"/>
      <c r="C183" s="189"/>
      <c r="D183" s="115"/>
      <c r="E183" s="189"/>
    </row>
    <row r="184" spans="1:12">
      <c r="A184" s="15" t="s">
        <v>57</v>
      </c>
      <c r="I184" s="2" t="s">
        <v>58</v>
      </c>
      <c r="J184" s="131">
        <f>Model!AG$204</f>
        <v>0.13780000000000001</v>
      </c>
    </row>
    <row r="185" spans="1:12">
      <c r="I185" s="2" t="s">
        <v>59</v>
      </c>
      <c r="J185" s="131">
        <f>Model!AG$205</f>
        <v>0.13873750000000001</v>
      </c>
    </row>
    <row r="186" spans="1:12" ht="15.75" thickBot="1">
      <c r="I186" s="2"/>
      <c r="J186" s="131"/>
    </row>
    <row r="187" spans="1:12" ht="15.75" thickBot="1">
      <c r="B187" s="142" t="s">
        <v>60</v>
      </c>
      <c r="C187" s="121" t="s">
        <v>4</v>
      </c>
      <c r="D187" s="121" t="s">
        <v>5</v>
      </c>
      <c r="E187" s="121" t="s">
        <v>6</v>
      </c>
      <c r="F187" s="122" t="s">
        <v>5</v>
      </c>
      <c r="I187" s="156" t="s">
        <v>61</v>
      </c>
      <c r="J187" s="157" t="s">
        <v>4</v>
      </c>
    </row>
    <row r="188" spans="1:12">
      <c r="B188" s="117"/>
      <c r="C188" s="106"/>
      <c r="D188" s="14"/>
      <c r="E188" s="110"/>
      <c r="F188" s="123"/>
      <c r="I188" s="117" t="s">
        <v>17</v>
      </c>
      <c r="J188" s="155">
        <v>86171.926999999996</v>
      </c>
      <c r="K188" s="13"/>
      <c r="L188" s="106"/>
    </row>
    <row r="189" spans="1:12" ht="15.75" thickBot="1">
      <c r="B189" s="143" t="s">
        <v>7</v>
      </c>
      <c r="C189" s="111">
        <f>SUM(C190:C193)</f>
        <v>18230.915999999997</v>
      </c>
      <c r="D189" s="14"/>
      <c r="E189" s="111">
        <f>SUM(E190:E193)</f>
        <v>2512.2202247999999</v>
      </c>
      <c r="F189" s="123"/>
      <c r="I189" s="117" t="s">
        <v>54</v>
      </c>
      <c r="J189" s="155">
        <f>(1631382+403430+25312478+16717922)/1000</f>
        <v>44065.212</v>
      </c>
      <c r="K189" s="13"/>
      <c r="L189" s="106"/>
    </row>
    <row r="190" spans="1:12" ht="15.75" thickBot="1">
      <c r="B190" s="117" t="s">
        <v>8</v>
      </c>
      <c r="C190" s="51">
        <v>0</v>
      </c>
      <c r="D190" s="14"/>
      <c r="E190" s="110">
        <f>C190*J184</f>
        <v>0</v>
      </c>
      <c r="F190" s="123"/>
      <c r="I190" s="158" t="s">
        <v>32</v>
      </c>
      <c r="J190" s="159">
        <f>SUM(J188:J189)</f>
        <v>130237.139</v>
      </c>
    </row>
    <row r="191" spans="1:12">
      <c r="B191" s="117" t="s">
        <v>9</v>
      </c>
      <c r="C191" s="51">
        <v>1790.817</v>
      </c>
      <c r="D191" s="14"/>
      <c r="E191" s="110">
        <f>C191*J184</f>
        <v>246.7745826</v>
      </c>
      <c r="F191" s="123"/>
      <c r="I191" s="61" t="s">
        <v>47</v>
      </c>
      <c r="J191" s="191">
        <f>J190-C206</f>
        <v>0</v>
      </c>
    </row>
    <row r="192" spans="1:12">
      <c r="B192" s="117" t="s">
        <v>10</v>
      </c>
      <c r="C192" s="51">
        <v>16440.098999999998</v>
      </c>
      <c r="D192" s="14"/>
      <c r="E192" s="110">
        <f>C192*J184</f>
        <v>2265.4456421999998</v>
      </c>
      <c r="F192" s="123"/>
    </row>
    <row r="193" spans="2:6">
      <c r="B193" s="117" t="s">
        <v>11</v>
      </c>
      <c r="C193" s="51">
        <v>0</v>
      </c>
      <c r="D193" s="14"/>
      <c r="E193" s="110">
        <f>C193*J184</f>
        <v>0</v>
      </c>
      <c r="F193" s="123"/>
    </row>
    <row r="194" spans="2:6">
      <c r="B194" s="117"/>
      <c r="C194" s="106"/>
      <c r="D194" s="14"/>
      <c r="E194" s="110"/>
      <c r="F194" s="123"/>
    </row>
    <row r="195" spans="2:6">
      <c r="B195" s="143" t="s">
        <v>12</v>
      </c>
      <c r="C195" s="111">
        <f>SUM(C196:C199)</f>
        <v>12713.769</v>
      </c>
      <c r="D195" s="14"/>
      <c r="E195" s="111">
        <f>SUM(E196:E199)</f>
        <v>1751.9573682</v>
      </c>
      <c r="F195" s="123"/>
    </row>
    <row r="196" spans="2:6">
      <c r="B196" s="117" t="s">
        <v>8</v>
      </c>
      <c r="C196" s="51">
        <v>0</v>
      </c>
      <c r="D196" s="14"/>
      <c r="E196" s="110">
        <f>C196*J184</f>
        <v>0</v>
      </c>
      <c r="F196" s="123"/>
    </row>
    <row r="197" spans="2:6">
      <c r="B197" s="117" t="s">
        <v>9</v>
      </c>
      <c r="C197" s="51">
        <v>73.093999999999994</v>
      </c>
      <c r="D197" s="14"/>
      <c r="E197" s="110">
        <f>C197*J184</f>
        <v>10.0723532</v>
      </c>
      <c r="F197" s="123"/>
    </row>
    <row r="198" spans="2:6">
      <c r="B198" s="117" t="s">
        <v>10</v>
      </c>
      <c r="C198" s="51">
        <v>7225.69</v>
      </c>
      <c r="D198" s="14"/>
      <c r="E198" s="110">
        <f>C198*J184</f>
        <v>995.70008199999995</v>
      </c>
      <c r="F198" s="123"/>
    </row>
    <row r="199" spans="2:6">
      <c r="B199" s="117" t="s">
        <v>11</v>
      </c>
      <c r="C199" s="51">
        <v>5414.9849999999997</v>
      </c>
      <c r="D199" s="14"/>
      <c r="E199" s="110">
        <f>C199*J184</f>
        <v>746.184933</v>
      </c>
      <c r="F199" s="123"/>
    </row>
    <row r="200" spans="2:6">
      <c r="B200" s="117"/>
      <c r="C200" s="51"/>
      <c r="D200" s="14"/>
      <c r="E200" s="110"/>
      <c r="F200" s="123"/>
    </row>
    <row r="201" spans="2:6">
      <c r="B201" s="149" t="s">
        <v>13</v>
      </c>
      <c r="C201" s="111">
        <f>SUM(C202:C203)</f>
        <v>0</v>
      </c>
      <c r="D201" s="14"/>
      <c r="E201" s="111">
        <f>SUM(E202:E203)</f>
        <v>0</v>
      </c>
      <c r="F201" s="123"/>
    </row>
    <row r="202" spans="2:6">
      <c r="B202" s="146" t="s">
        <v>14</v>
      </c>
      <c r="C202" s="51">
        <f>Model!AG$112</f>
        <v>0</v>
      </c>
      <c r="D202" s="14"/>
      <c r="E202" s="110">
        <f>C202*J184</f>
        <v>0</v>
      </c>
      <c r="F202" s="123"/>
    </row>
    <row r="203" spans="2:6">
      <c r="B203" s="146" t="s">
        <v>15</v>
      </c>
      <c r="C203" s="51">
        <f>Model!AG$113</f>
        <v>0</v>
      </c>
      <c r="D203" s="14"/>
      <c r="E203" s="110">
        <f>C203*J184</f>
        <v>0</v>
      </c>
      <c r="F203" s="123"/>
    </row>
    <row r="204" spans="2:6">
      <c r="B204" s="117"/>
      <c r="C204" s="106"/>
      <c r="D204" s="14"/>
      <c r="E204" s="110"/>
      <c r="F204" s="123"/>
    </row>
    <row r="205" spans="2:6">
      <c r="B205" s="144" t="s">
        <v>16</v>
      </c>
      <c r="C205" s="11">
        <f>C195+C189+C201</f>
        <v>30944.684999999998</v>
      </c>
      <c r="D205" s="10">
        <f>C205/C210</f>
        <v>0.76120804466724312</v>
      </c>
      <c r="E205" s="11">
        <f>E195+E189+E201</f>
        <v>4264.1775930000003</v>
      </c>
      <c r="F205" s="145">
        <f>E205/E210</f>
        <v>0.75606428366624823</v>
      </c>
    </row>
    <row r="206" spans="2:6">
      <c r="B206" s="146" t="s">
        <v>17</v>
      </c>
      <c r="C206" s="147">
        <f>Model!AG$120</f>
        <v>130237.139</v>
      </c>
      <c r="D206" s="148"/>
      <c r="E206" s="110">
        <f>C206*J184</f>
        <v>17946.677754200002</v>
      </c>
      <c r="F206" s="123"/>
    </row>
    <row r="207" spans="2:6">
      <c r="B207" s="144" t="s">
        <v>18</v>
      </c>
      <c r="C207" s="11">
        <f>C205-C206</f>
        <v>-99292.453999999998</v>
      </c>
      <c r="D207" s="10">
        <f>C207/C210</f>
        <v>-2.4424942363947859</v>
      </c>
      <c r="E207" s="11">
        <f>E205-E206</f>
        <v>-13682.500161200001</v>
      </c>
      <c r="F207" s="145">
        <f>E207/E210</f>
        <v>-2.425989410038393</v>
      </c>
    </row>
    <row r="208" spans="2:6">
      <c r="B208" s="149" t="s">
        <v>19</v>
      </c>
      <c r="C208" s="9">
        <f>Model!AG$124</f>
        <v>239931.78099999999</v>
      </c>
      <c r="D208" s="8"/>
      <c r="E208" s="112">
        <f>C208*J184</f>
        <v>33062.599421799998</v>
      </c>
      <c r="F208" s="123"/>
    </row>
    <row r="209" spans="2:8">
      <c r="B209" s="149" t="s">
        <v>20</v>
      </c>
      <c r="C209" s="9">
        <f>C207+C208</f>
        <v>140639.32699999999</v>
      </c>
      <c r="D209" s="8"/>
      <c r="E209" s="9">
        <f>E207+E208</f>
        <v>19380.099260599996</v>
      </c>
      <c r="F209" s="123"/>
    </row>
    <row r="210" spans="2:8" ht="15.75" thickBot="1">
      <c r="B210" s="150" t="s">
        <v>21</v>
      </c>
      <c r="C210" s="151">
        <f>Model!AG$87</f>
        <v>40652.07299999996</v>
      </c>
      <c r="D210" s="152"/>
      <c r="E210" s="153">
        <f>C210*J185</f>
        <v>5639.9669778374946</v>
      </c>
      <c r="F210" s="124"/>
    </row>
    <row r="211" spans="2:8">
      <c r="B211" s="5" t="s">
        <v>22</v>
      </c>
      <c r="C211" s="4">
        <f>+C205-Model!AG$119</f>
        <v>0</v>
      </c>
      <c r="D211" s="3"/>
    </row>
    <row r="213" spans="2:8" ht="15.75" thickBot="1">
      <c r="B213" s="2"/>
      <c r="C213" s="115"/>
    </row>
    <row r="214" spans="2:8">
      <c r="B214" s="116" t="s">
        <v>62</v>
      </c>
      <c r="C214" s="125" t="s">
        <v>4</v>
      </c>
      <c r="D214" s="125"/>
      <c r="E214" s="126" t="s">
        <v>6</v>
      </c>
      <c r="H214"/>
    </row>
    <row r="215" spans="2:8">
      <c r="B215" s="118" t="s">
        <v>17</v>
      </c>
      <c r="C215" s="127">
        <f>C206</f>
        <v>130237.139</v>
      </c>
      <c r="D215" s="127"/>
      <c r="E215" s="130">
        <f>E206</f>
        <v>17946.677754200002</v>
      </c>
    </row>
    <row r="216" spans="2:8">
      <c r="B216" s="118"/>
      <c r="C216" s="106"/>
      <c r="D216" s="106"/>
      <c r="E216" s="120"/>
    </row>
    <row r="217" spans="2:8" ht="15.75" thickBot="1">
      <c r="B217" s="119" t="s">
        <v>28</v>
      </c>
      <c r="C217" s="128">
        <f>SUM(C215:C216)</f>
        <v>130237.139</v>
      </c>
      <c r="D217" s="128"/>
      <c r="E217" s="129">
        <f>SUM(E215:E216)</f>
        <v>17946.677754200002</v>
      </c>
    </row>
    <row r="218" spans="2:8" ht="15.75" thickBot="1">
      <c r="B218" s="2"/>
      <c r="C218" s="115"/>
      <c r="D218" s="115"/>
      <c r="E218" s="111"/>
    </row>
    <row r="219" spans="2:8">
      <c r="B219" s="116" t="s">
        <v>56</v>
      </c>
      <c r="C219" s="167" t="s">
        <v>30</v>
      </c>
      <c r="D219" s="165"/>
      <c r="E219" s="167" t="s">
        <v>6</v>
      </c>
    </row>
    <row r="220" spans="2:8">
      <c r="B220" s="117">
        <v>2027</v>
      </c>
      <c r="C220" s="168">
        <v>7143.57</v>
      </c>
      <c r="E220" s="166">
        <f>C220*J$184</f>
        <v>984.38394600000004</v>
      </c>
    </row>
    <row r="221" spans="2:8">
      <c r="B221" s="117">
        <v>2030</v>
      </c>
      <c r="C221" s="168">
        <v>4311.2700000000004</v>
      </c>
      <c r="E221" s="166">
        <f t="shared" ref="E221:E223" si="0">C221*J$184</f>
        <v>594.09300600000006</v>
      </c>
    </row>
    <row r="222" spans="2:8">
      <c r="B222" s="117">
        <v>2031</v>
      </c>
      <c r="C222" s="168">
        <v>5748.37</v>
      </c>
      <c r="E222" s="166">
        <f t="shared" si="0"/>
        <v>792.12538600000005</v>
      </c>
    </row>
    <row r="223" spans="2:8">
      <c r="B223" s="117" t="s">
        <v>40</v>
      </c>
      <c r="C223" s="168">
        <v>2874.18</v>
      </c>
      <c r="E223" s="166">
        <f t="shared" si="0"/>
        <v>396.062004</v>
      </c>
    </row>
    <row r="224" spans="2:8" ht="15.75" thickBot="1">
      <c r="B224" s="119" t="s">
        <v>32</v>
      </c>
      <c r="C224" s="169">
        <f>SUM(C220:C223)</f>
        <v>20077.39</v>
      </c>
      <c r="D224" s="128"/>
      <c r="E224" s="170">
        <f>SUM(E220:E223)</f>
        <v>2766.664342</v>
      </c>
    </row>
    <row r="225" spans="1:12">
      <c r="B225" s="2"/>
      <c r="C225" s="189"/>
      <c r="D225" s="115"/>
      <c r="E225" s="189"/>
    </row>
    <row r="226" spans="1:12">
      <c r="A226" s="15" t="s">
        <v>63</v>
      </c>
      <c r="I226" s="2" t="s">
        <v>64</v>
      </c>
      <c r="J226" s="131">
        <f>Model!AF$204</f>
        <v>0.13700000000000001</v>
      </c>
    </row>
    <row r="227" spans="1:12">
      <c r="I227" s="2" t="s">
        <v>65</v>
      </c>
      <c r="J227" s="131">
        <f>Model!AF$205</f>
        <v>0.13928609076051734</v>
      </c>
    </row>
    <row r="228" spans="1:12" ht="15.75" thickBot="1">
      <c r="I228" s="2"/>
      <c r="J228" s="131"/>
    </row>
    <row r="229" spans="1:12" ht="15.75" thickBot="1">
      <c r="B229" s="142" t="s">
        <v>66</v>
      </c>
      <c r="C229" s="121" t="s">
        <v>4</v>
      </c>
      <c r="D229" s="121" t="s">
        <v>5</v>
      </c>
      <c r="E229" s="121" t="s">
        <v>6</v>
      </c>
      <c r="F229" s="122" t="s">
        <v>5</v>
      </c>
      <c r="I229" s="156" t="s">
        <v>67</v>
      </c>
      <c r="J229" s="157" t="s">
        <v>4</v>
      </c>
    </row>
    <row r="230" spans="1:12">
      <c r="B230" s="117"/>
      <c r="C230" s="106"/>
      <c r="D230" s="14"/>
      <c r="E230" s="110"/>
      <c r="F230" s="123"/>
      <c r="I230" s="117" t="s">
        <v>17</v>
      </c>
      <c r="J230" s="155">
        <v>33661.4</v>
      </c>
      <c r="K230" s="13"/>
    </row>
    <row r="231" spans="1:12" ht="15.75" thickBot="1">
      <c r="B231" s="143" t="s">
        <v>7</v>
      </c>
      <c r="C231" s="111">
        <f>SUM(C232:C235)</f>
        <v>17275.721000000001</v>
      </c>
      <c r="D231" s="14"/>
      <c r="E231" s="112">
        <f>C231*J226</f>
        <v>2366.7737770000003</v>
      </c>
      <c r="F231" s="123"/>
      <c r="I231" s="117" t="s">
        <v>54</v>
      </c>
      <c r="J231" s="155">
        <f>36350.271+28123.777+700.163+1681.062</f>
        <v>66855.273000000001</v>
      </c>
      <c r="K231" s="13"/>
      <c r="L231" s="106"/>
    </row>
    <row r="232" spans="1:12" ht="15.75" thickBot="1">
      <c r="B232" s="117" t="s">
        <v>8</v>
      </c>
      <c r="C232" s="51">
        <v>0</v>
      </c>
      <c r="D232" s="14"/>
      <c r="E232" s="110">
        <f>C232*J226</f>
        <v>0</v>
      </c>
      <c r="F232" s="123"/>
      <c r="I232" s="158" t="s">
        <v>32</v>
      </c>
      <c r="J232" s="159">
        <f>SUM(J230:J231)</f>
        <v>100516.67300000001</v>
      </c>
      <c r="L232" s="106"/>
    </row>
    <row r="233" spans="1:12">
      <c r="B233" s="117" t="s">
        <v>9</v>
      </c>
      <c r="C233" s="51">
        <v>1827.365</v>
      </c>
      <c r="D233" s="14"/>
      <c r="E233" s="110">
        <f>C233*J226</f>
        <v>250.34900500000003</v>
      </c>
      <c r="F233" s="123"/>
      <c r="I233" s="61" t="s">
        <v>47</v>
      </c>
      <c r="J233" s="191">
        <f>J232-C248</f>
        <v>-4.1999999986728653E-2</v>
      </c>
    </row>
    <row r="234" spans="1:12">
      <c r="B234" s="117" t="s">
        <v>10</v>
      </c>
      <c r="C234" s="51">
        <v>15448.356</v>
      </c>
      <c r="D234" s="14"/>
      <c r="E234" s="110">
        <f>C234*J226</f>
        <v>2116.4247720000003</v>
      </c>
      <c r="F234" s="123"/>
    </row>
    <row r="235" spans="1:12">
      <c r="B235" s="117" t="s">
        <v>11</v>
      </c>
      <c r="C235" s="51">
        <v>0</v>
      </c>
      <c r="D235" s="14"/>
      <c r="E235" s="110">
        <f>C235*J226</f>
        <v>0</v>
      </c>
      <c r="F235" s="123"/>
    </row>
    <row r="236" spans="1:12">
      <c r="B236" s="117"/>
      <c r="C236" s="106"/>
      <c r="D236" s="14"/>
      <c r="E236" s="110"/>
      <c r="F236" s="123"/>
    </row>
    <row r="237" spans="1:12">
      <c r="B237" s="143" t="s">
        <v>12</v>
      </c>
      <c r="C237" s="111">
        <f>SUM(C238:C241)</f>
        <v>13327.297</v>
      </c>
      <c r="D237" s="14"/>
      <c r="E237" s="112">
        <f>C237*J226</f>
        <v>1825.8396890000001</v>
      </c>
      <c r="F237" s="123"/>
    </row>
    <row r="238" spans="1:12">
      <c r="B238" s="117" t="s">
        <v>8</v>
      </c>
      <c r="C238" s="51">
        <v>0</v>
      </c>
      <c r="D238" s="14"/>
      <c r="E238" s="110">
        <f>C238*J226</f>
        <v>0</v>
      </c>
      <c r="F238" s="123"/>
    </row>
    <row r="239" spans="1:12">
      <c r="B239" s="117" t="s">
        <v>9</v>
      </c>
      <c r="C239" s="51">
        <v>73.093999999999994</v>
      </c>
      <c r="D239" s="14"/>
      <c r="E239" s="110">
        <f>C239*J226</f>
        <v>10.013878</v>
      </c>
      <c r="F239" s="123"/>
    </row>
    <row r="240" spans="1:12">
      <c r="B240" s="117" t="s">
        <v>10</v>
      </c>
      <c r="C240" s="51">
        <v>7893.8450000000003</v>
      </c>
      <c r="D240" s="14"/>
      <c r="E240" s="110">
        <f>C240*J226</f>
        <v>1081.4567650000001</v>
      </c>
      <c r="F240" s="123"/>
    </row>
    <row r="241" spans="2:8">
      <c r="B241" s="117" t="s">
        <v>11</v>
      </c>
      <c r="C241" s="51">
        <v>5360.3580000000002</v>
      </c>
      <c r="D241" s="14"/>
      <c r="E241" s="110">
        <f>C241*J226</f>
        <v>734.36904600000003</v>
      </c>
      <c r="F241" s="123"/>
    </row>
    <row r="242" spans="2:8">
      <c r="B242" s="117"/>
      <c r="C242" s="51"/>
      <c r="D242" s="14"/>
      <c r="E242" s="110"/>
      <c r="F242" s="123"/>
    </row>
    <row r="243" spans="2:8">
      <c r="B243" s="149" t="s">
        <v>13</v>
      </c>
      <c r="C243" s="190">
        <f>SUM(C244:C245)</f>
        <v>5408.3559999999998</v>
      </c>
      <c r="D243" s="14"/>
      <c r="E243" s="111">
        <f>SUM(E244:E245)</f>
        <v>740.94477200000006</v>
      </c>
      <c r="F243" s="123"/>
    </row>
    <row r="244" spans="2:8">
      <c r="B244" s="146" t="s">
        <v>14</v>
      </c>
      <c r="C244" s="109">
        <f>Model!I112</f>
        <v>2238.8420000000001</v>
      </c>
      <c r="D244" s="14"/>
      <c r="E244" s="110">
        <f>C244*J226</f>
        <v>306.72135400000002</v>
      </c>
      <c r="F244" s="123"/>
    </row>
    <row r="245" spans="2:8">
      <c r="B245" s="146" t="s">
        <v>15</v>
      </c>
      <c r="C245" s="109">
        <f>Model!I113</f>
        <v>3169.5140000000001</v>
      </c>
      <c r="D245" s="14"/>
      <c r="E245" s="110">
        <f>C245*J226</f>
        <v>434.22341800000004</v>
      </c>
      <c r="F245" s="123"/>
    </row>
    <row r="246" spans="2:8">
      <c r="B246" s="117"/>
      <c r="C246" s="106"/>
      <c r="D246" s="14"/>
      <c r="E246" s="110"/>
      <c r="F246" s="123"/>
    </row>
    <row r="247" spans="2:8">
      <c r="B247" s="144" t="s">
        <v>16</v>
      </c>
      <c r="C247" s="11">
        <f>C237+C231+C243</f>
        <v>36011.374000000003</v>
      </c>
      <c r="D247" s="10">
        <f>C247/C252</f>
        <v>1.1683975605724204</v>
      </c>
      <c r="E247" s="11">
        <f>E237+E231+E243</f>
        <v>4933.5582380000005</v>
      </c>
      <c r="F247" s="145">
        <f>E247/E252</f>
        <v>1.1492207507901133</v>
      </c>
    </row>
    <row r="248" spans="2:8">
      <c r="B248" s="146" t="s">
        <v>17</v>
      </c>
      <c r="C248" s="147">
        <f>Model!AF$120</f>
        <v>100516.715</v>
      </c>
      <c r="D248" s="148"/>
      <c r="E248" s="110">
        <f>C248*J226</f>
        <v>13770.789955</v>
      </c>
      <c r="F248" s="123"/>
    </row>
    <row r="249" spans="2:8">
      <c r="B249" s="144" t="s">
        <v>18</v>
      </c>
      <c r="C249" s="11">
        <f>C247-C248</f>
        <v>-64505.340999999993</v>
      </c>
      <c r="D249" s="10">
        <f>C249/C252</f>
        <v>-2.0928910701461185</v>
      </c>
      <c r="E249" s="11">
        <f>E247-E248</f>
        <v>-8837.2317169999988</v>
      </c>
      <c r="F249" s="145">
        <f>E249/E252</f>
        <v>-2.0585406270250131</v>
      </c>
    </row>
    <row r="250" spans="2:8">
      <c r="B250" s="149" t="s">
        <v>19</v>
      </c>
      <c r="C250" s="9">
        <f>Model!AF$124</f>
        <v>189205.11900000001</v>
      </c>
      <c r="D250" s="8"/>
      <c r="E250" s="112">
        <f>C250*J226</f>
        <v>25921.101303000003</v>
      </c>
      <c r="F250" s="123"/>
    </row>
    <row r="251" spans="2:8">
      <c r="B251" s="149" t="s">
        <v>20</v>
      </c>
      <c r="C251" s="9">
        <f>C249+C250</f>
        <v>124699.77800000002</v>
      </c>
      <c r="D251" s="8"/>
      <c r="E251" s="9">
        <f>E249+E250</f>
        <v>17083.869586000004</v>
      </c>
      <c r="F251" s="123"/>
    </row>
    <row r="252" spans="2:8" ht="15.75" thickBot="1">
      <c r="B252" s="150" t="s">
        <v>21</v>
      </c>
      <c r="C252" s="151">
        <f>Model!AF$87</f>
        <v>30821.16499999995</v>
      </c>
      <c r="D252" s="152"/>
      <c r="E252" s="153">
        <f>C252*J227</f>
        <v>4292.9595855348734</v>
      </c>
      <c r="F252" s="124"/>
    </row>
    <row r="253" spans="2:8">
      <c r="B253" s="5" t="s">
        <v>22</v>
      </c>
      <c r="C253" s="4">
        <f>+C247-Model!AF$119</f>
        <v>0</v>
      </c>
      <c r="D253" s="3"/>
    </row>
    <row r="255" spans="2:8" ht="15.75" thickBot="1">
      <c r="B255" s="2"/>
      <c r="C255" s="115"/>
    </row>
    <row r="256" spans="2:8">
      <c r="B256" s="116" t="s">
        <v>68</v>
      </c>
      <c r="C256" s="125" t="s">
        <v>4</v>
      </c>
      <c r="D256" s="125"/>
      <c r="E256" s="126" t="s">
        <v>6</v>
      </c>
      <c r="H256"/>
    </row>
    <row r="257" spans="1:12">
      <c r="B257" s="118" t="s">
        <v>17</v>
      </c>
      <c r="C257" s="127">
        <f>C248</f>
        <v>100516.715</v>
      </c>
      <c r="D257" s="127"/>
      <c r="E257" s="130">
        <f>E248</f>
        <v>13770.789955</v>
      </c>
    </row>
    <row r="258" spans="1:12">
      <c r="B258" s="118"/>
      <c r="C258" s="106"/>
      <c r="D258" s="106"/>
      <c r="E258" s="120"/>
    </row>
    <row r="259" spans="1:12" ht="15.75" thickBot="1">
      <c r="B259" s="119" t="s">
        <v>28</v>
      </c>
      <c r="C259" s="128">
        <f>SUM(C257:C258)</f>
        <v>100516.715</v>
      </c>
      <c r="D259" s="128"/>
      <c r="E259" s="129">
        <f>SUM(E257:E258)</f>
        <v>13770.789955</v>
      </c>
    </row>
    <row r="260" spans="1:12" ht="15.75" thickBot="1">
      <c r="B260" s="2"/>
      <c r="C260" s="115"/>
      <c r="D260" s="115"/>
      <c r="E260" s="111"/>
    </row>
    <row r="261" spans="1:12">
      <c r="B261" s="116" t="s">
        <v>56</v>
      </c>
      <c r="C261" s="167" t="s">
        <v>30</v>
      </c>
      <c r="D261" s="165"/>
      <c r="E261" s="167" t="s">
        <v>6</v>
      </c>
    </row>
    <row r="262" spans="1:12">
      <c r="B262" s="117">
        <v>2025</v>
      </c>
      <c r="C262" s="168">
        <v>8738.7099999999991</v>
      </c>
      <c r="E262" s="166">
        <f>C262*J$226</f>
        <v>1197.20327</v>
      </c>
    </row>
    <row r="263" spans="1:12">
      <c r="B263" s="117">
        <v>2027</v>
      </c>
      <c r="C263" s="168">
        <v>7226.33</v>
      </c>
      <c r="E263" s="166">
        <f>C263*J$226</f>
        <v>990.0072100000001</v>
      </c>
    </row>
    <row r="264" spans="1:12">
      <c r="B264" s="117">
        <v>2030</v>
      </c>
      <c r="C264" s="168">
        <f>4369.36</f>
        <v>4369.3599999999997</v>
      </c>
      <c r="E264" s="166">
        <f>C264*J$226</f>
        <v>598.60231999999996</v>
      </c>
    </row>
    <row r="265" spans="1:12">
      <c r="B265" s="117" t="s">
        <v>69</v>
      </c>
      <c r="C265" s="168">
        <f>5825.81+2912.9</f>
        <v>8738.7100000000009</v>
      </c>
      <c r="E265" s="166">
        <f>C265*J$226</f>
        <v>1197.2032700000002</v>
      </c>
    </row>
    <row r="266" spans="1:12" ht="15.75" thickBot="1">
      <c r="B266" s="119" t="s">
        <v>32</v>
      </c>
      <c r="C266" s="169">
        <f>SUM(C262:C265)</f>
        <v>29073.11</v>
      </c>
      <c r="D266" s="128"/>
      <c r="E266" s="170">
        <f>SUM(E262:E265)</f>
        <v>3983.0160700000006</v>
      </c>
    </row>
    <row r="267" spans="1:12">
      <c r="B267" s="2"/>
      <c r="C267" s="189"/>
      <c r="D267" s="115"/>
      <c r="E267" s="189"/>
    </row>
    <row r="268" spans="1:12">
      <c r="B268" s="2"/>
      <c r="C268" s="189"/>
      <c r="D268" s="115"/>
      <c r="E268" s="189"/>
    </row>
    <row r="269" spans="1:12">
      <c r="A269" s="15" t="s">
        <v>70</v>
      </c>
      <c r="I269" s="2" t="s">
        <v>71</v>
      </c>
      <c r="J269" s="131">
        <f>Model!AE$204</f>
        <v>0.14249999999999999</v>
      </c>
    </row>
    <row r="270" spans="1:12">
      <c r="I270" s="2" t="s">
        <v>72</v>
      </c>
      <c r="J270" s="131">
        <f>Model!AE$205</f>
        <v>0.1390806238577009</v>
      </c>
    </row>
    <row r="271" spans="1:12" ht="15.75" thickBot="1">
      <c r="I271" s="2"/>
      <c r="J271" s="131"/>
    </row>
    <row r="272" spans="1:12" ht="15.75" thickBot="1">
      <c r="B272" s="142" t="s">
        <v>73</v>
      </c>
      <c r="C272" s="121" t="s">
        <v>4</v>
      </c>
      <c r="D272" s="121" t="s">
        <v>5</v>
      </c>
      <c r="E272" s="121" t="s">
        <v>6</v>
      </c>
      <c r="F272" s="122" t="s">
        <v>5</v>
      </c>
      <c r="I272" s="156" t="s">
        <v>74</v>
      </c>
      <c r="J272" s="157" t="s">
        <v>4</v>
      </c>
      <c r="L272" s="106"/>
    </row>
    <row r="273" spans="2:12">
      <c r="B273" s="117"/>
      <c r="C273" s="106"/>
      <c r="D273" s="14"/>
      <c r="E273" s="110"/>
      <c r="F273" s="123"/>
      <c r="I273" s="117" t="s">
        <v>17</v>
      </c>
      <c r="J273" s="155">
        <v>39655.353999999999</v>
      </c>
      <c r="K273" s="13"/>
      <c r="L273" s="106"/>
    </row>
    <row r="274" spans="2:12" ht="15.75" thickBot="1">
      <c r="B274" s="143" t="s">
        <v>7</v>
      </c>
      <c r="C274" s="111">
        <f>SUM(C275:C278)</f>
        <v>22416.058000000005</v>
      </c>
      <c r="D274" s="14"/>
      <c r="E274" s="112">
        <f>C274*J269</f>
        <v>3194.2882650000006</v>
      </c>
      <c r="F274" s="123"/>
      <c r="I274" s="117" t="s">
        <v>54</v>
      </c>
      <c r="J274" s="155">
        <f>(1102588+19481703+39343922)/1000</f>
        <v>59928.213000000003</v>
      </c>
      <c r="K274" s="13"/>
    </row>
    <row r="275" spans="2:12" ht="15.75" thickBot="1">
      <c r="B275" s="117" t="s">
        <v>8</v>
      </c>
      <c r="C275" s="51">
        <v>0</v>
      </c>
      <c r="D275" s="14"/>
      <c r="E275" s="110">
        <f>C275*J269</f>
        <v>0</v>
      </c>
      <c r="F275" s="123"/>
      <c r="I275" s="158" t="s">
        <v>32</v>
      </c>
      <c r="J275" s="159">
        <f>SUM(J273:J274)</f>
        <v>99583.56700000001</v>
      </c>
    </row>
    <row r="276" spans="2:12">
      <c r="B276" s="117" t="s">
        <v>9</v>
      </c>
      <c r="C276" s="51">
        <v>1835.713</v>
      </c>
      <c r="D276" s="14"/>
      <c r="E276" s="110">
        <f>C276*J269</f>
        <v>261.58910249999997</v>
      </c>
      <c r="F276" s="123"/>
      <c r="I276" s="160" t="s">
        <v>47</v>
      </c>
      <c r="J276" s="161">
        <f>J275-C291</f>
        <v>0</v>
      </c>
    </row>
    <row r="277" spans="2:12">
      <c r="B277" s="117" t="s">
        <v>10</v>
      </c>
      <c r="C277" s="51">
        <v>15415.013000000001</v>
      </c>
      <c r="D277" s="14"/>
      <c r="E277" s="110">
        <f>C277*J269</f>
        <v>2196.6393524999999</v>
      </c>
      <c r="F277" s="123"/>
    </row>
    <row r="278" spans="2:12">
      <c r="B278" s="117" t="s">
        <v>11</v>
      </c>
      <c r="C278" s="51">
        <v>5165.3320000000003</v>
      </c>
      <c r="D278" s="14"/>
      <c r="E278" s="110">
        <f>C278*J269</f>
        <v>736.05980999999997</v>
      </c>
      <c r="F278" s="123"/>
    </row>
    <row r="279" spans="2:12">
      <c r="B279" s="117"/>
      <c r="C279" s="106"/>
      <c r="D279" s="14"/>
      <c r="E279" s="110"/>
      <c r="F279" s="123"/>
    </row>
    <row r="280" spans="2:12">
      <c r="B280" s="143" t="s">
        <v>12</v>
      </c>
      <c r="C280" s="111">
        <f>SUM(C281:C284)</f>
        <v>4944.0889999999999</v>
      </c>
      <c r="D280" s="14"/>
      <c r="E280" s="112">
        <f>C280*J269</f>
        <v>704.53268249999996</v>
      </c>
      <c r="F280" s="123"/>
    </row>
    <row r="281" spans="2:12">
      <c r="B281" s="117" t="s">
        <v>8</v>
      </c>
      <c r="C281" s="51">
        <v>0</v>
      </c>
      <c r="D281" s="14"/>
      <c r="E281" s="110">
        <f>C281*J269</f>
        <v>0</v>
      </c>
      <c r="F281" s="123"/>
    </row>
    <row r="282" spans="2:12">
      <c r="B282" s="117" t="s">
        <v>9</v>
      </c>
      <c r="C282" s="51">
        <v>73.129000000000005</v>
      </c>
      <c r="D282" s="14"/>
      <c r="E282" s="110">
        <f>C282*J269</f>
        <v>10.420882499999999</v>
      </c>
      <c r="F282" s="123"/>
    </row>
    <row r="283" spans="2:12">
      <c r="B283" s="117" t="s">
        <v>10</v>
      </c>
      <c r="C283" s="51">
        <v>4870.96</v>
      </c>
      <c r="D283" s="14"/>
      <c r="E283" s="110">
        <f>C283*J269</f>
        <v>694.1117999999999</v>
      </c>
      <c r="F283" s="123"/>
    </row>
    <row r="284" spans="2:12">
      <c r="B284" s="117" t="s">
        <v>11</v>
      </c>
      <c r="C284" s="51">
        <v>0</v>
      </c>
      <c r="D284" s="14"/>
      <c r="E284" s="110">
        <f>C284*J269</f>
        <v>0</v>
      </c>
      <c r="F284" s="123"/>
    </row>
    <row r="285" spans="2:12">
      <c r="B285" s="117"/>
      <c r="C285" s="51"/>
      <c r="D285" s="14"/>
      <c r="E285" s="110"/>
      <c r="F285" s="123"/>
    </row>
    <row r="286" spans="2:12">
      <c r="B286" s="149" t="s">
        <v>13</v>
      </c>
      <c r="C286" s="111">
        <f>SUM(C287:C288)</f>
        <v>0</v>
      </c>
      <c r="D286" s="14"/>
      <c r="E286" s="111">
        <f>SUM(E287:E288)</f>
        <v>0</v>
      </c>
      <c r="F286" s="123"/>
    </row>
    <row r="287" spans="2:12">
      <c r="B287" s="146" t="s">
        <v>14</v>
      </c>
      <c r="C287" s="51">
        <v>0</v>
      </c>
      <c r="D287" s="14"/>
      <c r="E287" s="110">
        <f>C287*J269</f>
        <v>0</v>
      </c>
      <c r="F287" s="123"/>
    </row>
    <row r="288" spans="2:12">
      <c r="B288" s="146" t="s">
        <v>15</v>
      </c>
      <c r="C288" s="51">
        <v>0</v>
      </c>
      <c r="D288" s="14"/>
      <c r="E288" s="110">
        <f>C288*J269</f>
        <v>0</v>
      </c>
      <c r="F288" s="123"/>
    </row>
    <row r="289" spans="2:8">
      <c r="B289" s="117"/>
      <c r="C289" s="106"/>
      <c r="D289" s="14"/>
      <c r="E289" s="110"/>
      <c r="F289" s="123"/>
    </row>
    <row r="290" spans="2:8">
      <c r="B290" s="144" t="s">
        <v>16</v>
      </c>
      <c r="C290" s="11">
        <f>C280+C274+C286</f>
        <v>27360.147000000004</v>
      </c>
      <c r="D290" s="10">
        <f>C290/C295</f>
        <v>1.0356791048812888</v>
      </c>
      <c r="E290" s="11">
        <f>E280+E274+E286</f>
        <v>3898.8209475000003</v>
      </c>
      <c r="F290" s="145">
        <f>E290/E295</f>
        <v>1.0611418639923789</v>
      </c>
    </row>
    <row r="291" spans="2:8">
      <c r="B291" s="146" t="s">
        <v>17</v>
      </c>
      <c r="C291" s="147">
        <f>Model!AE$120</f>
        <v>99583.566999999995</v>
      </c>
      <c r="D291" s="148"/>
      <c r="E291" s="110">
        <f>C291*J269</f>
        <v>14190.658297499998</v>
      </c>
      <c r="F291" s="123"/>
    </row>
    <row r="292" spans="2:8">
      <c r="B292" s="144" t="s">
        <v>18</v>
      </c>
      <c r="C292" s="11">
        <f>C290-C291</f>
        <v>-72223.419999999984</v>
      </c>
      <c r="D292" s="10">
        <f>C292/C295</f>
        <v>-2.7339139287908556</v>
      </c>
      <c r="E292" s="11">
        <f>E290-E291</f>
        <v>-10291.837349999998</v>
      </c>
      <c r="F292" s="145">
        <f>E292/E295</f>
        <v>-2.8011287557301658</v>
      </c>
    </row>
    <row r="293" spans="2:8">
      <c r="B293" s="149" t="s">
        <v>19</v>
      </c>
      <c r="C293" s="9">
        <f>Model!AE$124</f>
        <v>177824.524</v>
      </c>
      <c r="D293" s="8"/>
      <c r="E293" s="112">
        <f>C293*J269</f>
        <v>25339.99467</v>
      </c>
      <c r="F293" s="123"/>
    </row>
    <row r="294" spans="2:8">
      <c r="B294" s="149" t="s">
        <v>20</v>
      </c>
      <c r="C294" s="9">
        <f>C292+C293</f>
        <v>105601.10400000002</v>
      </c>
      <c r="D294" s="8"/>
      <c r="E294" s="9">
        <f>E292+E293</f>
        <v>15048.157320000002</v>
      </c>
      <c r="F294" s="123"/>
    </row>
    <row r="295" spans="2:8" ht="15.75" thickBot="1">
      <c r="B295" s="150" t="s">
        <v>21</v>
      </c>
      <c r="C295" s="151">
        <f>Model!AE$87</f>
        <v>26417.591000000015</v>
      </c>
      <c r="D295" s="152"/>
      <c r="E295" s="153">
        <f>C295*J270</f>
        <v>3674.1750370975865</v>
      </c>
      <c r="F295" s="124"/>
    </row>
    <row r="296" spans="2:8">
      <c r="B296" s="5" t="s">
        <v>22</v>
      </c>
      <c r="C296" s="4">
        <f>+C290-Model!AE$119</f>
        <v>0</v>
      </c>
      <c r="D296" s="3"/>
    </row>
    <row r="298" spans="2:8" ht="15.75" thickBot="1">
      <c r="B298" s="2"/>
      <c r="C298" s="115"/>
    </row>
    <row r="299" spans="2:8">
      <c r="B299" s="116" t="s">
        <v>75</v>
      </c>
      <c r="C299" s="125" t="s">
        <v>4</v>
      </c>
      <c r="D299" s="125"/>
      <c r="E299" s="126" t="s">
        <v>6</v>
      </c>
      <c r="H299"/>
    </row>
    <row r="300" spans="2:8">
      <c r="B300" s="118" t="s">
        <v>17</v>
      </c>
      <c r="C300" s="127">
        <f>C291</f>
        <v>99583.566999999995</v>
      </c>
      <c r="D300" s="127"/>
      <c r="E300" s="130">
        <f>E291</f>
        <v>14190.658297499998</v>
      </c>
    </row>
    <row r="301" spans="2:8">
      <c r="B301" s="118"/>
      <c r="C301" s="106"/>
      <c r="D301" s="106"/>
      <c r="E301" s="120"/>
    </row>
    <row r="302" spans="2:8" ht="15.75" thickBot="1">
      <c r="B302" s="119" t="s">
        <v>28</v>
      </c>
      <c r="C302" s="128">
        <f>SUM(C300:C301)</f>
        <v>99583.566999999995</v>
      </c>
      <c r="D302" s="128"/>
      <c r="E302" s="129">
        <f>SUM(E300:E301)</f>
        <v>14190.658297499998</v>
      </c>
    </row>
    <row r="303" spans="2:8" ht="15.75" thickBot="1">
      <c r="B303" s="2"/>
      <c r="C303" s="115"/>
      <c r="D303" s="115"/>
      <c r="E303" s="111"/>
    </row>
    <row r="304" spans="2:8">
      <c r="B304" s="116" t="s">
        <v>56</v>
      </c>
      <c r="C304" s="167" t="s">
        <v>30</v>
      </c>
      <c r="D304" s="165"/>
      <c r="E304" s="167" t="s">
        <v>6</v>
      </c>
    </row>
    <row r="305" spans="1:12">
      <c r="B305" s="117">
        <v>2025</v>
      </c>
      <c r="C305" s="168">
        <v>8753.3700000000008</v>
      </c>
      <c r="E305" s="166">
        <f>C305*J$269</f>
        <v>1247.355225</v>
      </c>
    </row>
    <row r="306" spans="1:12">
      <c r="B306" s="117">
        <v>2027</v>
      </c>
      <c r="C306" s="168">
        <v>7236.78</v>
      </c>
      <c r="E306" s="166">
        <f>C306*J$269</f>
        <v>1031.2411499999998</v>
      </c>
    </row>
    <row r="307" spans="1:12">
      <c r="B307" s="117">
        <v>2030</v>
      </c>
      <c r="C307" s="168">
        <v>4376.6899999999996</v>
      </c>
      <c r="E307" s="166">
        <f>C307*J$269</f>
        <v>623.67832499999986</v>
      </c>
    </row>
    <row r="308" spans="1:12">
      <c r="B308" s="117" t="s">
        <v>69</v>
      </c>
      <c r="C308" s="168">
        <f>(5835.58+2917.79)</f>
        <v>8753.369999999999</v>
      </c>
      <c r="E308" s="166">
        <f>C308*J$269</f>
        <v>1247.3552249999998</v>
      </c>
    </row>
    <row r="309" spans="1:12" ht="15.75" thickBot="1">
      <c r="B309" s="119" t="s">
        <v>32</v>
      </c>
      <c r="C309" s="169">
        <f>SUM(C305:C308)</f>
        <v>29120.21</v>
      </c>
      <c r="D309" s="128"/>
      <c r="E309" s="170">
        <f>SUM(E305:E308)</f>
        <v>4149.6299249999993</v>
      </c>
    </row>
    <row r="310" spans="1:12">
      <c r="B310" s="2"/>
      <c r="C310" s="189"/>
      <c r="D310" s="115"/>
      <c r="E310" s="189"/>
    </row>
    <row r="311" spans="1:12">
      <c r="B311" s="2"/>
      <c r="C311" s="189"/>
      <c r="D311" s="115"/>
      <c r="E311" s="189"/>
    </row>
    <row r="312" spans="1:12">
      <c r="A312" s="15" t="s">
        <v>76</v>
      </c>
      <c r="I312" s="2" t="s">
        <v>77</v>
      </c>
      <c r="J312" s="131">
        <f>Model!AD$204</f>
        <v>0.1376</v>
      </c>
    </row>
    <row r="313" spans="1:12">
      <c r="I313" s="2" t="s">
        <v>78</v>
      </c>
      <c r="J313" s="131">
        <f>Model!AD$205</f>
        <v>0.13853937906067063</v>
      </c>
      <c r="L313" s="106"/>
    </row>
    <row r="314" spans="1:12" ht="15.75" thickBot="1">
      <c r="I314" s="2"/>
      <c r="J314" s="131"/>
      <c r="L314" s="106"/>
    </row>
    <row r="315" spans="1:12" ht="15.75" thickBot="1">
      <c r="B315" s="142" t="s">
        <v>79</v>
      </c>
      <c r="C315" s="121" t="s">
        <v>4</v>
      </c>
      <c r="D315" s="121" t="s">
        <v>5</v>
      </c>
      <c r="E315" s="121" t="s">
        <v>6</v>
      </c>
      <c r="F315" s="122" t="s">
        <v>5</v>
      </c>
      <c r="I315" s="156" t="s">
        <v>80</v>
      </c>
      <c r="J315" s="157" t="s">
        <v>4</v>
      </c>
    </row>
    <row r="316" spans="1:12">
      <c r="B316" s="117"/>
      <c r="C316" s="106"/>
      <c r="D316" s="14"/>
      <c r="E316" s="110"/>
      <c r="F316" s="123"/>
      <c r="I316" s="117" t="s">
        <v>17</v>
      </c>
      <c r="J316" s="155">
        <v>39335.800000000003</v>
      </c>
      <c r="K316" s="13"/>
    </row>
    <row r="317" spans="1:12" ht="15.75" thickBot="1">
      <c r="B317" s="143" t="s">
        <v>7</v>
      </c>
      <c r="C317" s="111">
        <f>SUM(C318:C321)</f>
        <v>21037.527000000002</v>
      </c>
      <c r="D317" s="14"/>
      <c r="E317" s="112">
        <f>C317*J312</f>
        <v>2894.7637152000002</v>
      </c>
      <c r="F317" s="123"/>
      <c r="I317" s="117" t="s">
        <v>54</v>
      </c>
      <c r="J317" s="155">
        <f>1058.207+1011.263+18561.997+37863.112</f>
        <v>58494.578999999998</v>
      </c>
      <c r="K317" s="13"/>
    </row>
    <row r="318" spans="1:12" ht="15.75" thickBot="1">
      <c r="B318" s="117" t="s">
        <v>8</v>
      </c>
      <c r="C318" s="51">
        <v>0</v>
      </c>
      <c r="D318" s="14"/>
      <c r="E318" s="110">
        <f>C318*J312</f>
        <v>0</v>
      </c>
      <c r="F318" s="123"/>
      <c r="I318" s="158" t="s">
        <v>32</v>
      </c>
      <c r="J318" s="159">
        <f>SUM(J316:J317)</f>
        <v>97830.379000000001</v>
      </c>
    </row>
    <row r="319" spans="1:12">
      <c r="B319" s="117" t="s">
        <v>9</v>
      </c>
      <c r="C319" s="51">
        <v>989.07500000000005</v>
      </c>
      <c r="D319" s="14"/>
      <c r="E319" s="110">
        <f>C319*J312</f>
        <v>136.09672</v>
      </c>
      <c r="F319" s="123"/>
      <c r="I319" s="160" t="s">
        <v>47</v>
      </c>
      <c r="J319" s="161">
        <f>J318-C334</f>
        <v>-2.0000000004074536E-2</v>
      </c>
    </row>
    <row r="320" spans="1:12">
      <c r="B320" s="117" t="s">
        <v>10</v>
      </c>
      <c r="C320" s="51">
        <v>14855.482</v>
      </c>
      <c r="D320" s="14"/>
      <c r="E320" s="110">
        <f>C320*J312</f>
        <v>2044.1143231999999</v>
      </c>
      <c r="F320" s="123"/>
    </row>
    <row r="321" spans="2:6">
      <c r="B321" s="117" t="s">
        <v>11</v>
      </c>
      <c r="C321" s="51">
        <v>5192.97</v>
      </c>
      <c r="D321" s="14"/>
      <c r="E321" s="110">
        <f>C321*J312</f>
        <v>714.55267200000003</v>
      </c>
      <c r="F321" s="123"/>
    </row>
    <row r="322" spans="2:6">
      <c r="B322" s="117"/>
      <c r="C322" s="106"/>
      <c r="D322" s="14"/>
      <c r="E322" s="110"/>
      <c r="F322" s="123"/>
    </row>
    <row r="323" spans="2:6">
      <c r="B323" s="143" t="s">
        <v>12</v>
      </c>
      <c r="C323" s="111">
        <f>SUM(C324:C327)</f>
        <v>8943.6849999999995</v>
      </c>
      <c r="D323" s="14"/>
      <c r="E323" s="112">
        <f>C323*J312</f>
        <v>1230.6510559999999</v>
      </c>
      <c r="F323" s="123"/>
    </row>
    <row r="324" spans="2:6">
      <c r="B324" s="117" t="s">
        <v>8</v>
      </c>
      <c r="C324" s="51">
        <v>0</v>
      </c>
      <c r="D324" s="14"/>
      <c r="E324" s="110">
        <f>C324*J312</f>
        <v>0</v>
      </c>
      <c r="F324" s="123"/>
    </row>
    <row r="325" spans="2:6">
      <c r="B325" s="117" t="s">
        <v>9</v>
      </c>
      <c r="C325" s="51">
        <v>19.344999999999999</v>
      </c>
      <c r="D325" s="14"/>
      <c r="E325" s="110">
        <f>C325*J312</f>
        <v>2.6618719999999998</v>
      </c>
      <c r="F325" s="123"/>
    </row>
    <row r="326" spans="2:6">
      <c r="B326" s="117" t="s">
        <v>10</v>
      </c>
      <c r="C326" s="51">
        <v>8924.34</v>
      </c>
      <c r="D326" s="14"/>
      <c r="E326" s="110">
        <f>C326*J312</f>
        <v>1227.989184</v>
      </c>
      <c r="F326" s="123"/>
    </row>
    <row r="327" spans="2:6">
      <c r="B327" s="117" t="s">
        <v>11</v>
      </c>
      <c r="C327" s="51">
        <v>0</v>
      </c>
      <c r="D327" s="14"/>
      <c r="E327" s="110">
        <f>C327*J312</f>
        <v>0</v>
      </c>
      <c r="F327" s="123"/>
    </row>
    <row r="328" spans="2:6">
      <c r="B328" s="117"/>
      <c r="C328" s="51"/>
      <c r="D328" s="14"/>
      <c r="E328" s="110"/>
      <c r="F328" s="123"/>
    </row>
    <row r="329" spans="2:6">
      <c r="B329" s="149" t="s">
        <v>13</v>
      </c>
      <c r="C329" s="111">
        <f>SUM(C330:C331)</f>
        <v>0</v>
      </c>
      <c r="D329" s="14"/>
      <c r="E329" s="111">
        <f>SUM(E330:E331)</f>
        <v>0</v>
      </c>
      <c r="F329" s="123"/>
    </row>
    <row r="330" spans="2:6">
      <c r="B330" s="146" t="s">
        <v>14</v>
      </c>
      <c r="C330" s="51">
        <v>0</v>
      </c>
      <c r="D330" s="14"/>
      <c r="E330" s="110">
        <f>C330*J312</f>
        <v>0</v>
      </c>
      <c r="F330" s="123"/>
    </row>
    <row r="331" spans="2:6">
      <c r="B331" s="146" t="s">
        <v>15</v>
      </c>
      <c r="C331" s="51">
        <v>0</v>
      </c>
      <c r="D331" s="14"/>
      <c r="E331" s="110">
        <f>C331*J312</f>
        <v>0</v>
      </c>
      <c r="F331" s="123"/>
    </row>
    <row r="332" spans="2:6">
      <c r="B332" s="117"/>
      <c r="C332" s="106"/>
      <c r="D332" s="14"/>
      <c r="E332" s="110"/>
      <c r="F332" s="123"/>
    </row>
    <row r="333" spans="2:6">
      <c r="B333" s="144" t="s">
        <v>16</v>
      </c>
      <c r="C333" s="11">
        <f>C323+C317+C329</f>
        <v>29981.212</v>
      </c>
      <c r="D333" s="10">
        <f>C333/C338</f>
        <v>1.1835240843336166</v>
      </c>
      <c r="E333" s="11">
        <f>E323+E317+E329</f>
        <v>4125.4147712000004</v>
      </c>
      <c r="F333" s="145">
        <f>E333/E338</f>
        <v>1.1754990899229265</v>
      </c>
    </row>
    <row r="334" spans="2:6">
      <c r="B334" s="146" t="s">
        <v>17</v>
      </c>
      <c r="C334" s="147">
        <f>Model!AD$120</f>
        <v>97830.399000000005</v>
      </c>
      <c r="D334" s="148"/>
      <c r="E334" s="110">
        <f>C334*J312</f>
        <v>13461.462902400001</v>
      </c>
      <c r="F334" s="123"/>
    </row>
    <row r="335" spans="2:6">
      <c r="B335" s="144" t="s">
        <v>18</v>
      </c>
      <c r="C335" s="11">
        <f>C333-C334</f>
        <v>-67849.187000000005</v>
      </c>
      <c r="D335" s="10">
        <f>C335/C338</f>
        <v>-2.6783822787736309</v>
      </c>
      <c r="E335" s="11">
        <f>E333-E334</f>
        <v>-9336.0481312000011</v>
      </c>
      <c r="F335" s="145">
        <f>E335/E338</f>
        <v>-2.660221260251602</v>
      </c>
    </row>
    <row r="336" spans="2:6">
      <c r="B336" s="149" t="s">
        <v>19</v>
      </c>
      <c r="C336" s="9">
        <f>Model!AD$124</f>
        <v>172571.747</v>
      </c>
      <c r="D336" s="8"/>
      <c r="E336" s="112">
        <f>C336*J312</f>
        <v>23745.872387200001</v>
      </c>
      <c r="F336" s="123"/>
    </row>
    <row r="337" spans="2:8">
      <c r="B337" s="149" t="s">
        <v>20</v>
      </c>
      <c r="C337" s="9">
        <f>C335+C336</f>
        <v>104722.56</v>
      </c>
      <c r="D337" s="8"/>
      <c r="E337" s="9">
        <f>E335+E336</f>
        <v>14409.824256</v>
      </c>
      <c r="F337" s="123"/>
    </row>
    <row r="338" spans="2:8" ht="15.75" thickBot="1">
      <c r="B338" s="150" t="s">
        <v>21</v>
      </c>
      <c r="C338" s="151">
        <f>Model!AD$87</f>
        <v>25332.152000000006</v>
      </c>
      <c r="D338" s="152"/>
      <c r="E338" s="153">
        <f>C338*J313</f>
        <v>3509.5006083505264</v>
      </c>
      <c r="F338" s="124"/>
    </row>
    <row r="339" spans="2:8">
      <c r="B339" s="5" t="s">
        <v>22</v>
      </c>
      <c r="C339" s="4">
        <f>+C333-Model!AD$119</f>
        <v>-4367.4329999999973</v>
      </c>
      <c r="D339" s="3"/>
    </row>
    <row r="341" spans="2:8" ht="15.75" thickBot="1">
      <c r="B341" s="2"/>
      <c r="C341" s="115"/>
    </row>
    <row r="342" spans="2:8">
      <c r="B342" s="116" t="s">
        <v>81</v>
      </c>
      <c r="C342" s="125" t="s">
        <v>4</v>
      </c>
      <c r="D342" s="125"/>
      <c r="E342" s="126" t="s">
        <v>6</v>
      </c>
      <c r="H342"/>
    </row>
    <row r="343" spans="2:8">
      <c r="B343" s="118" t="s">
        <v>17</v>
      </c>
      <c r="C343" s="127">
        <f>C334</f>
        <v>97830.399000000005</v>
      </c>
      <c r="D343" s="127"/>
      <c r="E343" s="130">
        <f>E334</f>
        <v>13461.462902400001</v>
      </c>
    </row>
    <row r="344" spans="2:8">
      <c r="B344" s="118"/>
      <c r="C344" s="106"/>
      <c r="D344" s="106"/>
      <c r="E344" s="120"/>
    </row>
    <row r="345" spans="2:8" ht="15.75" thickBot="1">
      <c r="B345" s="119" t="s">
        <v>28</v>
      </c>
      <c r="C345" s="128">
        <f>SUM(C343:C344)</f>
        <v>97830.399000000005</v>
      </c>
      <c r="D345" s="128"/>
      <c r="E345" s="129">
        <f>SUM(E343:E344)</f>
        <v>13461.462902400001</v>
      </c>
    </row>
    <row r="346" spans="2:8" ht="15.75" thickBot="1">
      <c r="B346" s="2"/>
      <c r="C346" s="115"/>
      <c r="D346" s="115"/>
      <c r="E346" s="111"/>
    </row>
    <row r="347" spans="2:8">
      <c r="B347" s="116" t="s">
        <v>56</v>
      </c>
      <c r="C347" s="167" t="s">
        <v>30</v>
      </c>
      <c r="D347" s="165"/>
      <c r="E347" s="167" t="s">
        <v>6</v>
      </c>
    </row>
    <row r="348" spans="2:8">
      <c r="B348" s="117">
        <v>2024</v>
      </c>
      <c r="C348" s="168">
        <v>0</v>
      </c>
      <c r="E348" s="166">
        <f>C348*J$312</f>
        <v>0</v>
      </c>
    </row>
    <row r="349" spans="2:8">
      <c r="B349" s="117">
        <v>2025</v>
      </c>
      <c r="C349" s="168">
        <v>8592.73</v>
      </c>
      <c r="E349" s="166">
        <f>C349*J$312</f>
        <v>1182.3596479999999</v>
      </c>
    </row>
    <row r="350" spans="2:8">
      <c r="B350" s="117">
        <v>2027</v>
      </c>
      <c r="C350" s="168">
        <v>7122.32</v>
      </c>
      <c r="E350" s="166">
        <f>C350*J$312</f>
        <v>980.03123199999993</v>
      </c>
    </row>
    <row r="351" spans="2:8">
      <c r="B351" s="117" t="s">
        <v>82</v>
      </c>
      <c r="C351" s="168">
        <f>28604.13-(SUM(C349:C350))</f>
        <v>12889.080000000002</v>
      </c>
      <c r="E351" s="166">
        <f>C351*J$312</f>
        <v>1773.5374080000001</v>
      </c>
    </row>
    <row r="352" spans="2:8" ht="15.75" thickBot="1">
      <c r="B352" s="119"/>
      <c r="C352" s="169">
        <f>SUM(C348:C351)</f>
        <v>28604.13</v>
      </c>
      <c r="D352" s="128"/>
      <c r="E352" s="170">
        <f>SUM(E348:E351)</f>
        <v>3935.9282880000001</v>
      </c>
    </row>
    <row r="353" spans="1:12">
      <c r="A353" s="15" t="s">
        <v>83</v>
      </c>
      <c r="I353" s="2" t="s">
        <v>84</v>
      </c>
      <c r="J353" s="131">
        <f>Model!AC$204</f>
        <v>0.13850000000000001</v>
      </c>
    </row>
    <row r="354" spans="1:12">
      <c r="I354" s="2" t="s">
        <v>85</v>
      </c>
      <c r="J354" s="131">
        <f>Model!AC$205</f>
        <v>0.13944459477954291</v>
      </c>
    </row>
    <row r="355" spans="1:12" ht="15.75" thickBot="1">
      <c r="I355" s="2"/>
      <c r="J355" s="131"/>
    </row>
    <row r="356" spans="1:12" ht="15.75" thickBot="1">
      <c r="B356" s="142" t="s">
        <v>86</v>
      </c>
      <c r="C356" s="121" t="s">
        <v>4</v>
      </c>
      <c r="D356" s="121" t="s">
        <v>5</v>
      </c>
      <c r="E356" s="121" t="s">
        <v>6</v>
      </c>
      <c r="F356" s="122" t="s">
        <v>5</v>
      </c>
      <c r="I356" s="156" t="s">
        <v>87</v>
      </c>
      <c r="J356" s="157" t="s">
        <v>4</v>
      </c>
      <c r="L356" s="106"/>
    </row>
    <row r="357" spans="1:12">
      <c r="B357" s="117"/>
      <c r="C357" s="106"/>
      <c r="D357" s="14"/>
      <c r="E357" s="110"/>
      <c r="F357" s="123"/>
      <c r="I357" s="117" t="s">
        <v>17</v>
      </c>
      <c r="J357" s="155">
        <v>34896.211000000003</v>
      </c>
      <c r="K357" s="13"/>
      <c r="L357" s="106"/>
    </row>
    <row r="358" spans="1:12" ht="15.75" thickBot="1">
      <c r="B358" s="143" t="s">
        <v>7</v>
      </c>
      <c r="C358" s="111">
        <f>SUM(C359:C362)</f>
        <v>22671.728999999999</v>
      </c>
      <c r="D358" s="14"/>
      <c r="E358" s="112">
        <f>C358*J353</f>
        <v>3140.0344665000002</v>
      </c>
      <c r="F358" s="123"/>
      <c r="I358" s="117" t="s">
        <v>54</v>
      </c>
      <c r="J358" s="155">
        <f>1002.998+392.469+13264.991+47972.147</f>
        <v>62632.604999999996</v>
      </c>
      <c r="K358" s="13"/>
    </row>
    <row r="359" spans="1:12" ht="15.75" thickBot="1">
      <c r="B359" s="117" t="s">
        <v>8</v>
      </c>
      <c r="C359" s="51">
        <v>0</v>
      </c>
      <c r="D359" s="14"/>
      <c r="E359" s="110">
        <f>C359*J353</f>
        <v>0</v>
      </c>
      <c r="F359" s="123"/>
      <c r="I359" s="158" t="s">
        <v>32</v>
      </c>
      <c r="J359" s="159">
        <f>SUM(J357:J358)</f>
        <v>97528.815999999992</v>
      </c>
    </row>
    <row r="360" spans="1:12">
      <c r="B360" s="117" t="s">
        <v>9</v>
      </c>
      <c r="C360" s="51">
        <v>986.7</v>
      </c>
      <c r="D360" s="14"/>
      <c r="E360" s="110">
        <f>C360*J353</f>
        <v>136.65795000000003</v>
      </c>
      <c r="F360" s="123"/>
      <c r="I360" s="160" t="s">
        <v>47</v>
      </c>
      <c r="J360" s="161">
        <f>J359-C375</f>
        <v>0</v>
      </c>
    </row>
    <row r="361" spans="1:12">
      <c r="B361" s="117" t="s">
        <v>10</v>
      </c>
      <c r="C361" s="51">
        <v>16574.647000000001</v>
      </c>
      <c r="D361" s="14"/>
      <c r="E361" s="110">
        <f>C361*J353</f>
        <v>2295.5886095000005</v>
      </c>
      <c r="F361" s="123"/>
    </row>
    <row r="362" spans="1:12">
      <c r="B362" s="117" t="s">
        <v>11</v>
      </c>
      <c r="C362" s="51">
        <v>5110.3819999999996</v>
      </c>
      <c r="D362" s="14"/>
      <c r="E362" s="110">
        <f>C362*J353</f>
        <v>707.78790700000002</v>
      </c>
      <c r="F362" s="123"/>
    </row>
    <row r="363" spans="1:12">
      <c r="B363" s="117"/>
      <c r="C363" s="106"/>
      <c r="D363" s="14"/>
      <c r="E363" s="110"/>
      <c r="F363" s="123"/>
    </row>
    <row r="364" spans="1:12">
      <c r="B364" s="143" t="s">
        <v>12</v>
      </c>
      <c r="C364" s="111">
        <f>SUM(C365:C368)</f>
        <v>5034.1680000000006</v>
      </c>
      <c r="D364" s="14"/>
      <c r="E364" s="112">
        <f>C364*J353</f>
        <v>697.23226800000009</v>
      </c>
      <c r="F364" s="123"/>
    </row>
    <row r="365" spans="1:12">
      <c r="B365" s="117" t="s">
        <v>8</v>
      </c>
      <c r="C365" s="51">
        <v>0</v>
      </c>
      <c r="D365" s="14"/>
      <c r="E365" s="110">
        <f>C365*J353</f>
        <v>0</v>
      </c>
      <c r="F365" s="123"/>
    </row>
    <row r="366" spans="1:12">
      <c r="B366" s="117" t="s">
        <v>9</v>
      </c>
      <c r="C366" s="51">
        <v>19.344999999999999</v>
      </c>
      <c r="D366" s="14"/>
      <c r="E366" s="110">
        <f>C366*J353</f>
        <v>2.6792825000000002</v>
      </c>
      <c r="F366" s="123"/>
    </row>
    <row r="367" spans="1:12">
      <c r="B367" s="117" t="s">
        <v>10</v>
      </c>
      <c r="C367" s="51">
        <v>5014.8230000000003</v>
      </c>
      <c r="D367" s="14"/>
      <c r="E367" s="110">
        <f>C367*J353</f>
        <v>694.55298550000009</v>
      </c>
      <c r="F367" s="123"/>
    </row>
    <row r="368" spans="1:12">
      <c r="B368" s="117" t="s">
        <v>11</v>
      </c>
      <c r="C368" s="51">
        <v>0</v>
      </c>
      <c r="D368" s="14"/>
      <c r="E368" s="110">
        <f>C368*J353</f>
        <v>0</v>
      </c>
      <c r="F368" s="123"/>
    </row>
    <row r="369" spans="2:8">
      <c r="B369" s="117"/>
      <c r="C369" s="51"/>
      <c r="D369" s="14"/>
      <c r="E369" s="110"/>
      <c r="F369" s="123"/>
    </row>
    <row r="370" spans="2:8">
      <c r="B370" s="149" t="s">
        <v>13</v>
      </c>
      <c r="C370" s="111">
        <f>SUM(C371:C372)</f>
        <v>0</v>
      </c>
      <c r="D370" s="14"/>
      <c r="E370" s="111">
        <f>SUM(E371:E372)</f>
        <v>0</v>
      </c>
      <c r="F370" s="123"/>
    </row>
    <row r="371" spans="2:8">
      <c r="B371" s="146" t="s">
        <v>14</v>
      </c>
      <c r="C371" s="51">
        <v>0</v>
      </c>
      <c r="D371" s="14"/>
      <c r="E371" s="110">
        <f>C371*J353</f>
        <v>0</v>
      </c>
      <c r="F371" s="123"/>
    </row>
    <row r="372" spans="2:8">
      <c r="B372" s="146" t="s">
        <v>15</v>
      </c>
      <c r="C372" s="51">
        <v>0</v>
      </c>
      <c r="D372" s="14"/>
      <c r="E372" s="110">
        <f>C372*J353</f>
        <v>0</v>
      </c>
      <c r="F372" s="123"/>
    </row>
    <row r="373" spans="2:8">
      <c r="B373" s="117"/>
      <c r="C373" s="106"/>
      <c r="D373" s="14"/>
      <c r="E373" s="110"/>
      <c r="F373" s="123"/>
    </row>
    <row r="374" spans="2:8">
      <c r="B374" s="144" t="s">
        <v>16</v>
      </c>
      <c r="C374" s="11">
        <f>C364+C358+C370</f>
        <v>27705.897000000001</v>
      </c>
      <c r="D374" s="10">
        <f>C374/C379</f>
        <v>1.1995421495203284</v>
      </c>
      <c r="E374" s="11">
        <f>E364+E358+E370</f>
        <v>3837.2667345000004</v>
      </c>
      <c r="F374" s="145">
        <f>E374/E379</f>
        <v>1.1914164759933628</v>
      </c>
    </row>
    <row r="375" spans="2:8">
      <c r="B375" s="146" t="s">
        <v>17</v>
      </c>
      <c r="C375" s="147">
        <f>Model!AC$120</f>
        <v>97528.815999999992</v>
      </c>
      <c r="D375" s="148"/>
      <c r="E375" s="110">
        <f>C375*J353</f>
        <v>13507.741016</v>
      </c>
      <c r="F375" s="123"/>
    </row>
    <row r="376" spans="2:8">
      <c r="B376" s="144" t="s">
        <v>18</v>
      </c>
      <c r="C376" s="11">
        <f>C374-C375</f>
        <v>-69822.918999999994</v>
      </c>
      <c r="D376" s="10">
        <f>C376/C379</f>
        <v>-3.0230219343933808</v>
      </c>
      <c r="E376" s="11">
        <f>E374-E375</f>
        <v>-9670.4742814999991</v>
      </c>
      <c r="F376" s="145">
        <f>E376/E379</f>
        <v>-3.0025440467980515</v>
      </c>
    </row>
    <row r="377" spans="2:8">
      <c r="B377" s="149" t="s">
        <v>19</v>
      </c>
      <c r="C377" s="9">
        <f>Model!AC$124</f>
        <v>167593.80100000001</v>
      </c>
      <c r="D377" s="8"/>
      <c r="E377" s="112">
        <f>C377*J353</f>
        <v>23211.741438500005</v>
      </c>
      <c r="F377" s="123"/>
    </row>
    <row r="378" spans="2:8">
      <c r="B378" s="149" t="s">
        <v>20</v>
      </c>
      <c r="C378" s="9">
        <f>C376+C377</f>
        <v>97770.882000000012</v>
      </c>
      <c r="D378" s="8"/>
      <c r="E378" s="9">
        <f>E376+E377</f>
        <v>13541.267157000006</v>
      </c>
      <c r="F378" s="123"/>
    </row>
    <row r="379" spans="2:8" ht="15.75" thickBot="1">
      <c r="B379" s="150" t="s">
        <v>21</v>
      </c>
      <c r="C379" s="151">
        <f>Model!AC$87</f>
        <v>23097.060000000005</v>
      </c>
      <c r="D379" s="152"/>
      <c r="E379" s="153">
        <f>C379*J354</f>
        <v>3220.7601722987902</v>
      </c>
      <c r="F379" s="124"/>
    </row>
    <row r="380" spans="2:8">
      <c r="B380" s="5" t="s">
        <v>22</v>
      </c>
      <c r="C380" s="4">
        <f>+C374-Model!AC$119</f>
        <v>0</v>
      </c>
      <c r="D380" s="3"/>
    </row>
    <row r="382" spans="2:8" ht="15.75" thickBot="1">
      <c r="B382" s="2"/>
      <c r="C382" s="115"/>
    </row>
    <row r="383" spans="2:8">
      <c r="B383" s="116" t="s">
        <v>88</v>
      </c>
      <c r="C383" s="125" t="s">
        <v>4</v>
      </c>
      <c r="D383" s="125"/>
      <c r="E383" s="126" t="s">
        <v>6</v>
      </c>
      <c r="H383"/>
    </row>
    <row r="384" spans="2:8">
      <c r="B384" s="118" t="s">
        <v>17</v>
      </c>
      <c r="C384" s="127">
        <f>C375</f>
        <v>97528.815999999992</v>
      </c>
      <c r="D384" s="127"/>
      <c r="E384" s="130">
        <f>E375</f>
        <v>13507.741016</v>
      </c>
    </row>
    <row r="385" spans="1:12">
      <c r="B385" s="118"/>
      <c r="C385" s="106"/>
      <c r="D385" s="106"/>
      <c r="E385" s="120"/>
    </row>
    <row r="386" spans="1:12" ht="15.75" thickBot="1">
      <c r="B386" s="119" t="s">
        <v>28</v>
      </c>
      <c r="C386" s="128">
        <f>SUM(C384:C385)</f>
        <v>97528.815999999992</v>
      </c>
      <c r="D386" s="128"/>
      <c r="E386" s="129">
        <f>SUM(E384:E385)</f>
        <v>13507.741016</v>
      </c>
    </row>
    <row r="387" spans="1:12" ht="15.75" thickBot="1">
      <c r="B387" s="2"/>
      <c r="C387" s="115"/>
      <c r="D387" s="115"/>
      <c r="E387" s="111"/>
    </row>
    <row r="388" spans="1:12">
      <c r="B388" s="116" t="s">
        <v>56</v>
      </c>
      <c r="C388" s="167" t="s">
        <v>30</v>
      </c>
      <c r="D388" s="165"/>
      <c r="E388" s="167" t="s">
        <v>6</v>
      </c>
    </row>
    <row r="389" spans="1:12">
      <c r="B389" s="117">
        <v>2024</v>
      </c>
      <c r="C389" s="168">
        <v>138.43</v>
      </c>
      <c r="E389" s="166">
        <f>C389*J$353</f>
        <v>19.172555000000003</v>
      </c>
    </row>
    <row r="390" spans="1:12">
      <c r="B390" s="117">
        <v>2025</v>
      </c>
      <c r="C390" s="168">
        <v>1200</v>
      </c>
      <c r="E390" s="166">
        <f t="shared" ref="E390:E392" si="1">C390*J$353</f>
        <v>166.20000000000002</v>
      </c>
    </row>
    <row r="391" spans="1:12">
      <c r="B391" s="117">
        <v>2027</v>
      </c>
      <c r="C391" s="168">
        <v>855</v>
      </c>
      <c r="E391" s="166">
        <f t="shared" si="1"/>
        <v>118.4175</v>
      </c>
    </row>
    <row r="392" spans="1:12">
      <c r="B392" s="117" t="s">
        <v>82</v>
      </c>
      <c r="C392" s="168">
        <f>600+800+400</f>
        <v>1800</v>
      </c>
      <c r="E392" s="166">
        <f t="shared" si="1"/>
        <v>249.3</v>
      </c>
    </row>
    <row r="393" spans="1:12" ht="15.75" thickBot="1">
      <c r="B393" s="119"/>
      <c r="C393" s="169">
        <f>SUM(C389:C392)</f>
        <v>3993.4300000000003</v>
      </c>
      <c r="D393" s="128"/>
      <c r="E393" s="170">
        <f>SUM(E389:E392)</f>
        <v>553.09005500000012</v>
      </c>
    </row>
    <row r="394" spans="1:12">
      <c r="A394" s="15" t="s">
        <v>89</v>
      </c>
      <c r="I394" s="2" t="s">
        <v>90</v>
      </c>
      <c r="J394" s="131">
        <f>Model!AB$204</f>
        <v>0.14088872608413874</v>
      </c>
    </row>
    <row r="395" spans="1:12">
      <c r="I395" s="2" t="s">
        <v>91</v>
      </c>
      <c r="J395" s="131">
        <f>Model!AB$205</f>
        <v>0.14434999999999998</v>
      </c>
    </row>
    <row r="396" spans="1:12" ht="15.75" thickBot="1">
      <c r="I396" s="2"/>
      <c r="J396" s="131"/>
    </row>
    <row r="397" spans="1:12" ht="15.75" thickBot="1">
      <c r="B397" s="142" t="s">
        <v>92</v>
      </c>
      <c r="C397" s="121" t="s">
        <v>4</v>
      </c>
      <c r="D397" s="121" t="s">
        <v>5</v>
      </c>
      <c r="E397" s="121" t="s">
        <v>6</v>
      </c>
      <c r="F397" s="122" t="s">
        <v>5</v>
      </c>
      <c r="I397" s="156" t="s">
        <v>93</v>
      </c>
      <c r="J397" s="157" t="s">
        <v>4</v>
      </c>
    </row>
    <row r="398" spans="1:12">
      <c r="B398" s="117"/>
      <c r="C398" s="106"/>
      <c r="D398" s="14"/>
      <c r="E398" s="110"/>
      <c r="F398" s="123"/>
      <c r="I398" s="117" t="s">
        <v>17</v>
      </c>
      <c r="J398" s="155">
        <v>33631.313000000002</v>
      </c>
      <c r="K398" s="13"/>
    </row>
    <row r="399" spans="1:12" ht="15.75" thickBot="1">
      <c r="B399" s="143" t="s">
        <v>7</v>
      </c>
      <c r="C399" s="111">
        <f>SUM(C400:C403)</f>
        <v>21673.969000000001</v>
      </c>
      <c r="D399" s="14"/>
      <c r="E399" s="112">
        <f>C399*J394</f>
        <v>3053.6178815971148</v>
      </c>
      <c r="F399" s="123"/>
      <c r="I399" s="117" t="s">
        <v>54</v>
      </c>
      <c r="J399" s="155">
        <f>52797.857+20193.662+502.816+582.131</f>
        <v>74076.466</v>
      </c>
      <c r="K399" s="13"/>
      <c r="L399" s="106"/>
    </row>
    <row r="400" spans="1:12" ht="15.75" thickBot="1">
      <c r="B400" s="117" t="s">
        <v>8</v>
      </c>
      <c r="C400" s="51">
        <v>0</v>
      </c>
      <c r="D400" s="14"/>
      <c r="E400" s="110">
        <f>C400*J394</f>
        <v>0</v>
      </c>
      <c r="F400" s="123"/>
      <c r="I400" s="158" t="s">
        <v>32</v>
      </c>
      <c r="J400" s="159">
        <f>SUM(J398:J399)</f>
        <v>107707.77900000001</v>
      </c>
      <c r="L400" s="106"/>
    </row>
    <row r="401" spans="2:10">
      <c r="B401" s="117" t="s">
        <v>9</v>
      </c>
      <c r="C401" s="51">
        <v>0</v>
      </c>
      <c r="D401" s="14"/>
      <c r="E401" s="110">
        <f>C401*J394</f>
        <v>0</v>
      </c>
      <c r="F401" s="123"/>
      <c r="I401" s="160" t="s">
        <v>47</v>
      </c>
      <c r="J401" s="161">
        <f>J400-C416</f>
        <v>0</v>
      </c>
    </row>
    <row r="402" spans="2:10">
      <c r="B402" s="117" t="s">
        <v>10</v>
      </c>
      <c r="C402" s="51">
        <v>16631.078000000001</v>
      </c>
      <c r="D402" s="14"/>
      <c r="E402" s="110">
        <f>C402*J394</f>
        <v>2343.131392825946</v>
      </c>
      <c r="F402" s="123"/>
    </row>
    <row r="403" spans="2:10">
      <c r="B403" s="117" t="s">
        <v>11</v>
      </c>
      <c r="C403" s="51">
        <v>5042.8909999999996</v>
      </c>
      <c r="D403" s="14"/>
      <c r="E403" s="110">
        <f>C403*J394</f>
        <v>710.48648877116841</v>
      </c>
      <c r="F403" s="123"/>
    </row>
    <row r="404" spans="2:10">
      <c r="B404" s="117"/>
      <c r="C404" s="106"/>
      <c r="D404" s="14"/>
      <c r="E404" s="110"/>
      <c r="F404" s="123"/>
    </row>
    <row r="405" spans="2:10">
      <c r="B405" s="143" t="s">
        <v>12</v>
      </c>
      <c r="C405" s="111">
        <f>SUM(C406:C409)</f>
        <v>6183.3760000000002</v>
      </c>
      <c r="D405" s="14"/>
      <c r="E405" s="112">
        <f>C405*J394</f>
        <v>871.16796753923757</v>
      </c>
      <c r="F405" s="123"/>
    </row>
    <row r="406" spans="2:10">
      <c r="B406" s="117" t="s">
        <v>8</v>
      </c>
      <c r="C406" s="51">
        <v>0</v>
      </c>
      <c r="D406" s="14"/>
      <c r="E406" s="110">
        <f>C406*J394</f>
        <v>0</v>
      </c>
      <c r="F406" s="123"/>
    </row>
    <row r="407" spans="2:10">
      <c r="B407" s="117" t="s">
        <v>9</v>
      </c>
      <c r="C407" s="51">
        <v>0</v>
      </c>
      <c r="D407" s="14"/>
      <c r="E407" s="110">
        <f>C407*J394</f>
        <v>0</v>
      </c>
      <c r="F407" s="123"/>
    </row>
    <row r="408" spans="2:10">
      <c r="B408" s="117" t="s">
        <v>10</v>
      </c>
      <c r="C408" s="51">
        <v>6183.3760000000002</v>
      </c>
      <c r="D408" s="14"/>
      <c r="E408" s="110">
        <f>C408*J394</f>
        <v>871.16796753923757</v>
      </c>
      <c r="F408" s="123"/>
    </row>
    <row r="409" spans="2:10">
      <c r="B409" s="117" t="s">
        <v>11</v>
      </c>
      <c r="C409" s="51">
        <v>0</v>
      </c>
      <c r="D409" s="14"/>
      <c r="E409" s="110">
        <f>C409*J394</f>
        <v>0</v>
      </c>
      <c r="F409" s="123"/>
    </row>
    <row r="410" spans="2:10">
      <c r="B410" s="117"/>
      <c r="C410" s="51"/>
      <c r="D410" s="14"/>
      <c r="E410" s="110"/>
      <c r="F410" s="123"/>
    </row>
    <row r="411" spans="2:10">
      <c r="B411" s="149" t="s">
        <v>13</v>
      </c>
      <c r="C411" s="111">
        <f>SUM(C412:C413)</f>
        <v>1968.1659999999999</v>
      </c>
      <c r="D411" s="14"/>
      <c r="E411" s="111">
        <f>SUM(E412:E413)</f>
        <v>277.29240046211498</v>
      </c>
      <c r="F411" s="123"/>
    </row>
    <row r="412" spans="2:10">
      <c r="B412" s="146" t="s">
        <v>14</v>
      </c>
      <c r="C412" s="51">
        <f>Model!H112</f>
        <v>712.01099999999997</v>
      </c>
      <c r="D412" s="14"/>
      <c r="E412" s="110">
        <f>C412*J394</f>
        <v>100.31432274789371</v>
      </c>
      <c r="F412" s="123"/>
    </row>
    <row r="413" spans="2:10">
      <c r="B413" s="146" t="s">
        <v>15</v>
      </c>
      <c r="C413" s="51">
        <f>Model!H113</f>
        <v>1256.155</v>
      </c>
      <c r="D413" s="14"/>
      <c r="E413" s="110">
        <f>C413*J394</f>
        <v>176.97807771422129</v>
      </c>
      <c r="F413" s="123"/>
    </row>
    <row r="414" spans="2:10">
      <c r="B414" s="117"/>
      <c r="C414" s="106"/>
      <c r="D414" s="14"/>
      <c r="E414" s="110"/>
      <c r="F414" s="123"/>
    </row>
    <row r="415" spans="2:10">
      <c r="B415" s="144" t="s">
        <v>16</v>
      </c>
      <c r="C415" s="11">
        <f>C405+C399+C411</f>
        <v>29825.511000000002</v>
      </c>
      <c r="D415" s="10">
        <f>C415/C420</f>
        <v>1.2004639406734243</v>
      </c>
      <c r="E415" s="11">
        <f>E405+E399+E411</f>
        <v>4202.0782495984677</v>
      </c>
      <c r="F415" s="145">
        <f>E415/E420</f>
        <v>1.1716788036814958</v>
      </c>
    </row>
    <row r="416" spans="2:10">
      <c r="B416" s="146" t="s">
        <v>17</v>
      </c>
      <c r="C416" s="147">
        <f>Model!AB$120</f>
        <v>107707.77900000001</v>
      </c>
      <c r="D416" s="148"/>
      <c r="E416" s="110">
        <f>C416*J394</f>
        <v>15174.811772661953</v>
      </c>
      <c r="F416" s="123"/>
    </row>
    <row r="417" spans="2:6">
      <c r="B417" s="144" t="s">
        <v>18</v>
      </c>
      <c r="C417" s="11">
        <f>C415-C416</f>
        <v>-77882.268000000011</v>
      </c>
      <c r="D417" s="10">
        <f>C417/C420</f>
        <v>-3.1347276615600568</v>
      </c>
      <c r="E417" s="11">
        <f>E415-E416</f>
        <v>-10972.733523063485</v>
      </c>
      <c r="F417" s="145">
        <f>E417/E420</f>
        <v>-3.0595620842252003</v>
      </c>
    </row>
    <row r="418" spans="2:6">
      <c r="B418" s="149" t="s">
        <v>19</v>
      </c>
      <c r="C418" s="9">
        <f>Model!AB$124</f>
        <v>164261.76800000001</v>
      </c>
      <c r="D418" s="8"/>
      <c r="E418" s="112">
        <f>C418*J394</f>
        <v>23142.631237848349</v>
      </c>
      <c r="F418" s="123"/>
    </row>
    <row r="419" spans="2:6">
      <c r="B419" s="149" t="s">
        <v>20</v>
      </c>
      <c r="C419" s="9">
        <f>C417+C418</f>
        <v>86379.5</v>
      </c>
      <c r="D419" s="8"/>
      <c r="E419" s="9">
        <f>E417+E418</f>
        <v>12169.897714784864</v>
      </c>
      <c r="F419" s="123"/>
    </row>
    <row r="420" spans="2:6" ht="15.75" thickBot="1">
      <c r="B420" s="150" t="s">
        <v>21</v>
      </c>
      <c r="C420" s="151">
        <f>Model!AB$87</f>
        <v>24844.987000000001</v>
      </c>
      <c r="D420" s="152"/>
      <c r="E420" s="153">
        <f>C420*J395</f>
        <v>3586.3738734499998</v>
      </c>
      <c r="F420" s="124"/>
    </row>
    <row r="421" spans="2:6">
      <c r="B421" s="5" t="s">
        <v>22</v>
      </c>
      <c r="C421" s="4">
        <f>+C415-Model!AB$119</f>
        <v>0</v>
      </c>
      <c r="D421" s="3"/>
    </row>
    <row r="423" spans="2:6" ht="15.75" thickBot="1">
      <c r="B423" s="2"/>
      <c r="C423" s="115"/>
    </row>
    <row r="424" spans="2:6">
      <c r="B424" s="116" t="s">
        <v>94</v>
      </c>
      <c r="C424" s="125" t="s">
        <v>4</v>
      </c>
      <c r="D424" s="125"/>
      <c r="E424" s="126" t="s">
        <v>6</v>
      </c>
    </row>
    <row r="425" spans="2:6">
      <c r="B425" s="118" t="s">
        <v>17</v>
      </c>
      <c r="C425" s="127">
        <f>C416</f>
        <v>107707.77900000001</v>
      </c>
      <c r="D425" s="127"/>
      <c r="E425" s="130">
        <f>E416</f>
        <v>15174.811772661953</v>
      </c>
    </row>
    <row r="426" spans="2:6">
      <c r="B426" s="118"/>
      <c r="C426" s="106"/>
      <c r="D426" s="106"/>
      <c r="E426" s="120"/>
    </row>
    <row r="427" spans="2:6" ht="15.75" thickBot="1">
      <c r="B427" s="119" t="s">
        <v>28</v>
      </c>
      <c r="C427" s="128">
        <f>SUM(C425:C426)</f>
        <v>107707.77900000001</v>
      </c>
      <c r="D427" s="128"/>
      <c r="E427" s="129">
        <f>SUM(E425:E426)</f>
        <v>15174.811772661953</v>
      </c>
    </row>
    <row r="428" spans="2:6" ht="15.75" thickBot="1">
      <c r="B428" s="2"/>
      <c r="C428" s="115"/>
      <c r="D428" s="115"/>
      <c r="E428" s="111"/>
    </row>
    <row r="429" spans="2:6">
      <c r="B429" s="116" t="s">
        <v>56</v>
      </c>
      <c r="C429" s="167" t="s">
        <v>30</v>
      </c>
      <c r="D429" s="165"/>
      <c r="E429" s="167" t="s">
        <v>6</v>
      </c>
    </row>
    <row r="430" spans="2:6">
      <c r="B430" s="117">
        <v>2024</v>
      </c>
      <c r="C430" s="168">
        <v>1000</v>
      </c>
      <c r="E430" s="166">
        <f>C430*J$394</f>
        <v>140.88872608413874</v>
      </c>
    </row>
    <row r="431" spans="2:6">
      <c r="B431" s="117">
        <v>2025</v>
      </c>
      <c r="C431" s="168">
        <v>8633.16</v>
      </c>
      <c r="E431" s="166">
        <f>C431*J$394</f>
        <v>1216.3149144805432</v>
      </c>
    </row>
    <row r="432" spans="2:6">
      <c r="B432" s="117">
        <v>2027</v>
      </c>
      <c r="C432" s="168">
        <v>6151.12</v>
      </c>
      <c r="E432" s="166">
        <f>C432*J$394</f>
        <v>866.62346079066754</v>
      </c>
    </row>
    <row r="433" spans="1:12">
      <c r="B433" s="117" t="s">
        <v>82</v>
      </c>
      <c r="C433" s="168">
        <f>4316.58+5755.44+2877.72</f>
        <v>12949.74</v>
      </c>
      <c r="E433" s="166">
        <f>C433*J$394</f>
        <v>1824.4723717208149</v>
      </c>
    </row>
    <row r="434" spans="1:12" ht="15.75" thickBot="1">
      <c r="B434" s="119"/>
      <c r="C434" s="169">
        <f>SUM(C430:C433)</f>
        <v>28734.019999999997</v>
      </c>
      <c r="D434" s="128"/>
      <c r="E434" s="170">
        <f>SUM(E430:E433)</f>
        <v>4048.2994730761643</v>
      </c>
    </row>
    <row r="435" spans="1:12">
      <c r="A435" s="15" t="s">
        <v>95</v>
      </c>
      <c r="I435" s="2" t="s">
        <v>96</v>
      </c>
      <c r="J435" s="131">
        <f>Model!AA$204</f>
        <v>0.13696753869332967</v>
      </c>
    </row>
    <row r="436" spans="1:12">
      <c r="I436" s="2" t="s">
        <v>97</v>
      </c>
      <c r="J436" s="131">
        <f>Model!AA$205</f>
        <v>0.14172796659468567</v>
      </c>
    </row>
    <row r="437" spans="1:12" ht="15.75" thickBot="1">
      <c r="I437" s="2"/>
      <c r="J437" s="131"/>
    </row>
    <row r="438" spans="1:12" ht="15.75" thickBot="1">
      <c r="B438" s="142" t="s">
        <v>98</v>
      </c>
      <c r="C438" s="121" t="s">
        <v>4</v>
      </c>
      <c r="D438" s="121" t="s">
        <v>5</v>
      </c>
      <c r="E438" s="121" t="s">
        <v>6</v>
      </c>
      <c r="F438" s="122" t="s">
        <v>5</v>
      </c>
      <c r="I438" s="156" t="s">
        <v>99</v>
      </c>
      <c r="J438" s="157" t="s">
        <v>4</v>
      </c>
    </row>
    <row r="439" spans="1:12">
      <c r="B439" s="117"/>
      <c r="C439" s="106"/>
      <c r="D439" s="14"/>
      <c r="E439" s="110"/>
      <c r="F439" s="123"/>
      <c r="I439" s="117" t="s">
        <v>17</v>
      </c>
      <c r="J439" s="155">
        <v>31652.565999999999</v>
      </c>
    </row>
    <row r="440" spans="1:12" ht="15.75" thickBot="1">
      <c r="B440" s="143" t="s">
        <v>7</v>
      </c>
      <c r="C440" s="111">
        <f>SUM(C441:C444)</f>
        <v>22774.351999999999</v>
      </c>
      <c r="D440" s="14"/>
      <c r="E440" s="112">
        <f>C440*J435</f>
        <v>3119.3469387755099</v>
      </c>
      <c r="F440" s="123"/>
      <c r="I440" s="117" t="s">
        <v>54</v>
      </c>
      <c r="J440" s="155">
        <f>616.212+14249.956+51358.738+805.713</f>
        <v>67030.619000000006</v>
      </c>
    </row>
    <row r="441" spans="1:12" ht="15.75" thickBot="1">
      <c r="B441" s="117" t="s">
        <v>8</v>
      </c>
      <c r="C441" s="51">
        <v>0</v>
      </c>
      <c r="D441" s="14"/>
      <c r="E441" s="110">
        <f>C441*J435</f>
        <v>0</v>
      </c>
      <c r="F441" s="123"/>
      <c r="I441" s="158" t="s">
        <v>32</v>
      </c>
      <c r="J441" s="159">
        <f>SUM(J439:J440)</f>
        <v>98683.184999999998</v>
      </c>
      <c r="K441" s="13"/>
      <c r="L441" s="106"/>
    </row>
    <row r="442" spans="1:12">
      <c r="B442" s="117" t="s">
        <v>9</v>
      </c>
      <c r="C442" s="51">
        <v>0</v>
      </c>
      <c r="D442" s="14"/>
      <c r="E442" s="110">
        <f>C442*J435</f>
        <v>0</v>
      </c>
      <c r="F442" s="123"/>
      <c r="I442" s="160" t="s">
        <v>47</v>
      </c>
      <c r="J442" s="161">
        <f>J441-C457</f>
        <v>0</v>
      </c>
      <c r="K442" s="13"/>
      <c r="L442" s="106"/>
    </row>
    <row r="443" spans="1:12">
      <c r="B443" s="117" t="s">
        <v>10</v>
      </c>
      <c r="C443" s="51">
        <v>17721.076000000001</v>
      </c>
      <c r="D443" s="14"/>
      <c r="E443" s="110">
        <f>C443*J435</f>
        <v>2427.2121627174361</v>
      </c>
      <c r="F443" s="123"/>
    </row>
    <row r="444" spans="1:12">
      <c r="B444" s="117" t="s">
        <v>11</v>
      </c>
      <c r="C444" s="51">
        <v>5053.2759999999998</v>
      </c>
      <c r="D444" s="14"/>
      <c r="E444" s="110">
        <f>C444*J435</f>
        <v>692.13477605807418</v>
      </c>
      <c r="F444" s="123"/>
    </row>
    <row r="445" spans="1:12">
      <c r="B445" s="117"/>
      <c r="C445" s="106"/>
      <c r="D445" s="14"/>
      <c r="E445" s="110"/>
      <c r="F445" s="123"/>
    </row>
    <row r="446" spans="1:12">
      <c r="B446" s="143" t="s">
        <v>12</v>
      </c>
      <c r="C446" s="111">
        <f>SUM(C447:C450)</f>
        <v>2060.828</v>
      </c>
      <c r="D446" s="14"/>
      <c r="E446" s="112">
        <f>C446*J435</f>
        <v>282.26653883029718</v>
      </c>
      <c r="F446" s="123"/>
    </row>
    <row r="447" spans="1:12">
      <c r="B447" s="117" t="s">
        <v>8</v>
      </c>
      <c r="C447" s="51">
        <v>0</v>
      </c>
      <c r="D447" s="14"/>
      <c r="E447" s="110">
        <f>C447*J435</f>
        <v>0</v>
      </c>
      <c r="F447" s="123"/>
    </row>
    <row r="448" spans="1:12">
      <c r="B448" s="117" t="s">
        <v>9</v>
      </c>
      <c r="C448" s="51">
        <v>0</v>
      </c>
      <c r="D448" s="14"/>
      <c r="E448" s="110">
        <f>C448*J435</f>
        <v>0</v>
      </c>
      <c r="F448" s="123"/>
    </row>
    <row r="449" spans="2:6">
      <c r="B449" s="117" t="s">
        <v>10</v>
      </c>
      <c r="C449" s="51">
        <v>2060.828</v>
      </c>
      <c r="D449" s="14"/>
      <c r="E449" s="110">
        <f>C449*J435</f>
        <v>282.26653883029718</v>
      </c>
      <c r="F449" s="123"/>
    </row>
    <row r="450" spans="2:6">
      <c r="B450" s="117" t="s">
        <v>11</v>
      </c>
      <c r="C450" s="51">
        <v>0</v>
      </c>
      <c r="D450" s="14"/>
      <c r="E450" s="110">
        <f>C450*J435</f>
        <v>0</v>
      </c>
      <c r="F450" s="123"/>
    </row>
    <row r="451" spans="2:6">
      <c r="B451" s="117"/>
      <c r="C451" s="51"/>
      <c r="D451" s="14"/>
      <c r="E451" s="110"/>
      <c r="F451" s="123"/>
    </row>
    <row r="452" spans="2:6">
      <c r="B452" s="149" t="s">
        <v>13</v>
      </c>
      <c r="C452" s="111">
        <f>SUM(C453:C454)</f>
        <v>0</v>
      </c>
      <c r="D452" s="14"/>
      <c r="E452" s="111">
        <f>SUM(E453:E454)</f>
        <v>0</v>
      </c>
      <c r="F452" s="123"/>
    </row>
    <row r="453" spans="2:6">
      <c r="B453" s="146" t="s">
        <v>14</v>
      </c>
      <c r="C453" s="51">
        <v>0</v>
      </c>
      <c r="D453" s="14"/>
      <c r="E453" s="110">
        <f>C453*J435</f>
        <v>0</v>
      </c>
      <c r="F453" s="123"/>
    </row>
    <row r="454" spans="2:6">
      <c r="B454" s="146" t="s">
        <v>15</v>
      </c>
      <c r="C454" s="51">
        <v>0</v>
      </c>
      <c r="D454" s="14"/>
      <c r="E454" s="110">
        <f>C454*J435</f>
        <v>0</v>
      </c>
      <c r="F454" s="123"/>
    </row>
    <row r="455" spans="2:6">
      <c r="B455" s="117"/>
      <c r="C455" s="106"/>
      <c r="D455" s="14"/>
      <c r="E455" s="110"/>
      <c r="F455" s="123"/>
    </row>
    <row r="456" spans="2:6">
      <c r="B456" s="144" t="s">
        <v>16</v>
      </c>
      <c r="C456" s="11">
        <f>C446+C440+C452</f>
        <v>24835.18</v>
      </c>
      <c r="D456" s="10">
        <f>C456/C461</f>
        <v>1.0868533275041488</v>
      </c>
      <c r="E456" s="11">
        <f>E446+E440+E452</f>
        <v>3401.613477605807</v>
      </c>
      <c r="F456" s="145">
        <f>E456/E461</f>
        <v>1.0503475691189412</v>
      </c>
    </row>
    <row r="457" spans="2:6">
      <c r="B457" s="146" t="s">
        <v>17</v>
      </c>
      <c r="C457" s="147">
        <f>Model!AA$120</f>
        <v>98683.185000000012</v>
      </c>
      <c r="D457" s="148"/>
      <c r="E457" s="110">
        <f>C457*J435</f>
        <v>13516.392959868512</v>
      </c>
      <c r="F457" s="123"/>
    </row>
    <row r="458" spans="2:6">
      <c r="B458" s="144" t="s">
        <v>18</v>
      </c>
      <c r="C458" s="11">
        <f>C456-C457</f>
        <v>-73848.005000000005</v>
      </c>
      <c r="D458" s="10">
        <f>C458/C461</f>
        <v>-3.2317845074524536</v>
      </c>
      <c r="E458" s="11">
        <f>E456-E457</f>
        <v>-10114.779482262704</v>
      </c>
      <c r="F458" s="145">
        <f>E458/E461</f>
        <v>-3.1232337569541846</v>
      </c>
    </row>
    <row r="459" spans="2:6">
      <c r="B459" s="149" t="s">
        <v>19</v>
      </c>
      <c r="C459" s="9">
        <f>Model!AA$124</f>
        <v>160063.489</v>
      </c>
      <c r="D459" s="8"/>
      <c r="E459" s="112">
        <f>C459*J435</f>
        <v>21923.502122996848</v>
      </c>
      <c r="F459" s="123"/>
    </row>
    <row r="460" spans="2:6">
      <c r="B460" s="149" t="s">
        <v>20</v>
      </c>
      <c r="C460" s="9">
        <f>C458+C459</f>
        <v>86215.483999999997</v>
      </c>
      <c r="D460" s="8"/>
      <c r="E460" s="9">
        <f>E458+E459</f>
        <v>11808.722640734144</v>
      </c>
      <c r="F460" s="123"/>
    </row>
    <row r="461" spans="2:6" ht="15.75" thickBot="1">
      <c r="B461" s="150" t="s">
        <v>21</v>
      </c>
      <c r="C461" s="151">
        <f>Model!AA$87</f>
        <v>22850.534999999985</v>
      </c>
      <c r="D461" s="152"/>
      <c r="E461" s="153">
        <f>C461*J436</f>
        <v>3238.5598611506939</v>
      </c>
      <c r="F461" s="124"/>
    </row>
    <row r="462" spans="2:6">
      <c r="B462" s="5" t="s">
        <v>22</v>
      </c>
      <c r="C462" s="4">
        <f>+C456-Model!AA$119</f>
        <v>0</v>
      </c>
      <c r="D462" s="3"/>
    </row>
    <row r="464" spans="2:6" ht="15.75" thickBot="1">
      <c r="B464" s="2"/>
      <c r="C464" s="115"/>
    </row>
    <row r="465" spans="1:12">
      <c r="B465" s="116" t="s">
        <v>100</v>
      </c>
      <c r="C465" s="125" t="s">
        <v>4</v>
      </c>
      <c r="D465" s="125"/>
      <c r="E465" s="126" t="s">
        <v>6</v>
      </c>
    </row>
    <row r="466" spans="1:12">
      <c r="B466" s="118" t="s">
        <v>17</v>
      </c>
      <c r="C466" s="127">
        <f>C457</f>
        <v>98683.185000000012</v>
      </c>
      <c r="D466" s="127"/>
      <c r="E466" s="130">
        <f>E457</f>
        <v>13516.392959868512</v>
      </c>
    </row>
    <row r="467" spans="1:12">
      <c r="B467" s="118"/>
      <c r="C467" s="106"/>
      <c r="D467" s="106"/>
      <c r="E467" s="120"/>
    </row>
    <row r="468" spans="1:12" ht="15.75" thickBot="1">
      <c r="B468" s="119" t="s">
        <v>28</v>
      </c>
      <c r="C468" s="128">
        <f>SUM(C466:C467)</f>
        <v>98683.185000000012</v>
      </c>
      <c r="D468" s="128"/>
      <c r="E468" s="129">
        <f>SUM(E466:E467)</f>
        <v>13516.392959868512</v>
      </c>
    </row>
    <row r="469" spans="1:12" ht="15.75" thickBot="1">
      <c r="B469" s="2"/>
      <c r="C469" s="115"/>
      <c r="D469" s="115"/>
      <c r="E469" s="111"/>
    </row>
    <row r="470" spans="1:12">
      <c r="B470" s="116" t="s">
        <v>56</v>
      </c>
      <c r="C470" s="167" t="s">
        <v>30</v>
      </c>
      <c r="D470" s="165"/>
      <c r="E470" s="167" t="s">
        <v>6</v>
      </c>
    </row>
    <row r="471" spans="1:12">
      <c r="B471" s="117">
        <v>2023</v>
      </c>
      <c r="C471" s="168">
        <v>2060.828</v>
      </c>
      <c r="E471" s="166">
        <f>C471*J$521</f>
        <v>299.93130548682865</v>
      </c>
    </row>
    <row r="472" spans="1:12">
      <c r="B472" s="117" t="s">
        <v>101</v>
      </c>
      <c r="C472" s="168">
        <v>22774.351999999999</v>
      </c>
      <c r="E472" s="166">
        <f t="shared" ref="E472" si="2">C472*J$521</f>
        <v>3314.561490321641</v>
      </c>
    </row>
    <row r="473" spans="1:12">
      <c r="B473" s="117"/>
      <c r="C473" s="168"/>
      <c r="E473" s="166"/>
    </row>
    <row r="474" spans="1:12">
      <c r="B474" s="117"/>
      <c r="C474" s="168"/>
      <c r="E474" s="166"/>
    </row>
    <row r="475" spans="1:12" ht="15.75" thickBot="1">
      <c r="B475" s="119"/>
      <c r="C475" s="169">
        <f>SUM(C471:C474)</f>
        <v>24835.18</v>
      </c>
      <c r="D475" s="128"/>
      <c r="E475" s="170">
        <f>SUM(E471:E474)</f>
        <v>3614.4927958084695</v>
      </c>
    </row>
    <row r="476" spans="1:12">
      <c r="B476" s="2"/>
      <c r="C476" s="115"/>
      <c r="D476" s="115"/>
      <c r="E476" s="111"/>
      <c r="L476" s="106"/>
    </row>
    <row r="477" spans="1:12">
      <c r="L477" s="106"/>
    </row>
    <row r="478" spans="1:12">
      <c r="A478" s="15" t="s">
        <v>102</v>
      </c>
      <c r="I478" s="2" t="s">
        <v>103</v>
      </c>
      <c r="J478" s="131">
        <f>Model!Z$204</f>
        <v>0.13790250293042819</v>
      </c>
    </row>
    <row r="479" spans="1:12">
      <c r="I479" s="2" t="s">
        <v>104</v>
      </c>
      <c r="J479" s="131">
        <f>Model!Z$205</f>
        <v>0.14353208639171594</v>
      </c>
    </row>
    <row r="480" spans="1:12" ht="15.75" thickBot="1">
      <c r="I480" s="2"/>
      <c r="J480" s="131"/>
    </row>
    <row r="481" spans="2:11" ht="15.75" thickBot="1">
      <c r="B481" s="142" t="s">
        <v>105</v>
      </c>
      <c r="C481" s="121" t="s">
        <v>4</v>
      </c>
      <c r="D481" s="121" t="s">
        <v>5</v>
      </c>
      <c r="E481" s="121" t="s">
        <v>6</v>
      </c>
      <c r="F481" s="122" t="s">
        <v>5</v>
      </c>
      <c r="I481" s="156" t="s">
        <v>106</v>
      </c>
      <c r="J481" s="157" t="s">
        <v>4</v>
      </c>
    </row>
    <row r="482" spans="2:11">
      <c r="B482" s="117"/>
      <c r="C482" s="106"/>
      <c r="D482" s="14"/>
      <c r="E482" s="110"/>
      <c r="F482" s="123"/>
      <c r="I482" s="117" t="s">
        <v>17</v>
      </c>
      <c r="J482" s="155">
        <v>31458.952000000001</v>
      </c>
    </row>
    <row r="483" spans="2:11" ht="15.75" thickBot="1">
      <c r="B483" s="143" t="s">
        <v>7</v>
      </c>
      <c r="C483" s="111">
        <f>SUM(C484:C487)</f>
        <v>21763.554</v>
      </c>
      <c r="D483" s="14"/>
      <c r="E483" s="112">
        <f>C483*J478</f>
        <v>3001.2485692615323</v>
      </c>
      <c r="F483" s="123"/>
      <c r="I483" s="117" t="s">
        <v>54</v>
      </c>
      <c r="J483" s="155">
        <f>585.089+1002.271+13128.102+43095.579</f>
        <v>57811.040999999997</v>
      </c>
    </row>
    <row r="484" spans="2:11" ht="15.75" thickBot="1">
      <c r="B484" s="117" t="s">
        <v>8</v>
      </c>
      <c r="C484" s="51">
        <v>0</v>
      </c>
      <c r="D484" s="14"/>
      <c r="E484" s="110">
        <f>C484*J478</f>
        <v>0</v>
      </c>
      <c r="F484" s="123"/>
      <c r="I484" s="158" t="s">
        <v>32</v>
      </c>
      <c r="J484" s="159">
        <f>SUM(J482:J483)</f>
        <v>89269.993000000002</v>
      </c>
      <c r="K484" s="13"/>
    </row>
    <row r="485" spans="2:11">
      <c r="B485" s="117" t="s">
        <v>9</v>
      </c>
      <c r="C485" s="51">
        <v>0</v>
      </c>
      <c r="D485" s="14"/>
      <c r="E485" s="110">
        <f>C485*J478</f>
        <v>0</v>
      </c>
      <c r="F485" s="123"/>
      <c r="I485" s="160" t="s">
        <v>47</v>
      </c>
      <c r="J485" s="161">
        <f>J484-C500</f>
        <v>0</v>
      </c>
      <c r="K485" s="13"/>
    </row>
    <row r="486" spans="2:11">
      <c r="B486" s="117" t="s">
        <v>10</v>
      </c>
      <c r="C486" s="51">
        <v>16736.350999999999</v>
      </c>
      <c r="D486" s="14"/>
      <c r="E486" s="110">
        <f>C486*J478</f>
        <v>2307.9846928221746</v>
      </c>
      <c r="F486" s="123"/>
    </row>
    <row r="487" spans="2:11">
      <c r="B487" s="117" t="s">
        <v>11</v>
      </c>
      <c r="C487" s="51">
        <v>5027.2030000000004</v>
      </c>
      <c r="D487" s="14"/>
      <c r="E487" s="110">
        <f>C487*J478</f>
        <v>693.26387643935743</v>
      </c>
      <c r="F487" s="123"/>
    </row>
    <row r="488" spans="2:11">
      <c r="B488" s="117"/>
      <c r="C488" s="106"/>
      <c r="D488" s="14"/>
      <c r="E488" s="110"/>
      <c r="F488" s="123"/>
    </row>
    <row r="489" spans="2:11">
      <c r="B489" s="143" t="s">
        <v>12</v>
      </c>
      <c r="C489" s="111">
        <f>SUM(C490:C493)</f>
        <v>1122.048</v>
      </c>
      <c r="D489" s="14"/>
      <c r="E489" s="112">
        <f>C489*J478</f>
        <v>154.73322760808108</v>
      </c>
      <c r="F489" s="123"/>
    </row>
    <row r="490" spans="2:11">
      <c r="B490" s="117" t="s">
        <v>8</v>
      </c>
      <c r="C490" s="51">
        <v>0</v>
      </c>
      <c r="D490" s="14"/>
      <c r="E490" s="110">
        <f>C490*J478</f>
        <v>0</v>
      </c>
      <c r="F490" s="123"/>
    </row>
    <row r="491" spans="2:11">
      <c r="B491" s="117" t="s">
        <v>9</v>
      </c>
      <c r="C491" s="51">
        <v>0</v>
      </c>
      <c r="D491" s="14"/>
      <c r="E491" s="110">
        <f>C491*J478</f>
        <v>0</v>
      </c>
      <c r="F491" s="123"/>
    </row>
    <row r="492" spans="2:11">
      <c r="B492" s="117" t="s">
        <v>10</v>
      </c>
      <c r="C492" s="51">
        <v>1122.048</v>
      </c>
      <c r="D492" s="14"/>
      <c r="E492" s="110">
        <f>C492*J478</f>
        <v>154.73322760808108</v>
      </c>
      <c r="F492" s="123"/>
    </row>
    <row r="493" spans="2:11">
      <c r="B493" s="117" t="s">
        <v>11</v>
      </c>
      <c r="C493" s="51">
        <v>0</v>
      </c>
      <c r="D493" s="14"/>
      <c r="E493" s="110">
        <f>C493*J478</f>
        <v>0</v>
      </c>
      <c r="F493" s="123"/>
    </row>
    <row r="494" spans="2:11">
      <c r="B494" s="117"/>
      <c r="C494" s="51"/>
      <c r="D494" s="14"/>
      <c r="E494" s="110"/>
      <c r="F494" s="123"/>
    </row>
    <row r="495" spans="2:11">
      <c r="B495" s="149" t="s">
        <v>13</v>
      </c>
      <c r="C495" s="111">
        <f>SUM(C496:C497)</f>
        <v>2058.8820000000001</v>
      </c>
      <c r="D495" s="14"/>
      <c r="E495" s="111">
        <f>SUM(E496:E497)</f>
        <v>283.92498103840586</v>
      </c>
      <c r="F495" s="123"/>
    </row>
    <row r="496" spans="2:11">
      <c r="B496" s="146" t="s">
        <v>14</v>
      </c>
      <c r="C496" s="51">
        <v>771.01499999999999</v>
      </c>
      <c r="D496" s="14"/>
      <c r="E496" s="110">
        <f>C496*J478</f>
        <v>106.3248982969041</v>
      </c>
      <c r="F496" s="123"/>
    </row>
    <row r="497" spans="2:6">
      <c r="B497" s="146" t="s">
        <v>15</v>
      </c>
      <c r="C497" s="51">
        <v>1287.867</v>
      </c>
      <c r="D497" s="14"/>
      <c r="E497" s="110">
        <f>C497*J478</f>
        <v>177.60008274150175</v>
      </c>
      <c r="F497" s="123"/>
    </row>
    <row r="498" spans="2:6">
      <c r="B498" s="117"/>
      <c r="C498" s="106"/>
      <c r="D498" s="14"/>
      <c r="E498" s="110"/>
      <c r="F498" s="123"/>
    </row>
    <row r="499" spans="2:6">
      <c r="B499" s="144" t="s">
        <v>16</v>
      </c>
      <c r="C499" s="11">
        <f>C489+C483+C495</f>
        <v>24944.484</v>
      </c>
      <c r="D499" s="10">
        <f>C499/C504</f>
        <v>1.5820161537052611</v>
      </c>
      <c r="E499" s="11">
        <f>E489+E483+E495</f>
        <v>3439.9067779080192</v>
      </c>
      <c r="F499" s="145">
        <f>E499/E504</f>
        <v>1.5199666691733953</v>
      </c>
    </row>
    <row r="500" spans="2:6">
      <c r="B500" s="146" t="s">
        <v>17</v>
      </c>
      <c r="C500" s="147">
        <f>Model!Z$120</f>
        <v>89269.992999999988</v>
      </c>
      <c r="D500" s="148"/>
      <c r="E500" s="110">
        <f>C500*J478</f>
        <v>12310.555471281803</v>
      </c>
      <c r="F500" s="123"/>
    </row>
    <row r="501" spans="2:6">
      <c r="B501" s="144" t="s">
        <v>18</v>
      </c>
      <c r="C501" s="11">
        <f>C499-C500</f>
        <v>-64325.508999999991</v>
      </c>
      <c r="D501" s="10">
        <f>C501/C504</f>
        <v>-4.0796191387768594</v>
      </c>
      <c r="E501" s="11">
        <f>E499-E500</f>
        <v>-8870.6486933737833</v>
      </c>
      <c r="F501" s="145">
        <f>E501/E504</f>
        <v>-3.9196092273391283</v>
      </c>
    </row>
    <row r="502" spans="2:6">
      <c r="B502" s="149" t="s">
        <v>19</v>
      </c>
      <c r="C502" s="9">
        <f>Model!Z$124</f>
        <v>155053.29199999999</v>
      </c>
      <c r="D502" s="8"/>
      <c r="E502" s="112">
        <f>C502*J478</f>
        <v>21382.237054402536</v>
      </c>
      <c r="F502" s="123"/>
    </row>
    <row r="503" spans="2:6">
      <c r="B503" s="149" t="s">
        <v>20</v>
      </c>
      <c r="C503" s="9">
        <f>C501+C502</f>
        <v>90727.782999999996</v>
      </c>
      <c r="D503" s="8"/>
      <c r="E503" s="9">
        <f>E501+E502</f>
        <v>12511.588361028753</v>
      </c>
      <c r="F503" s="123"/>
    </row>
    <row r="504" spans="2:6" ht="15.75" thickBot="1">
      <c r="B504" s="150" t="s">
        <v>21</v>
      </c>
      <c r="C504" s="151">
        <f>Model!Z$87</f>
        <v>15767.527999999995</v>
      </c>
      <c r="D504" s="152"/>
      <c r="E504" s="153">
        <f>C504*J479</f>
        <v>2263.1461910797993</v>
      </c>
      <c r="F504" s="124"/>
    </row>
    <row r="505" spans="2:6">
      <c r="B505" s="5" t="s">
        <v>22</v>
      </c>
      <c r="C505" s="4">
        <f>+C499-Model!Z$119</f>
        <v>0</v>
      </c>
      <c r="D505" s="3"/>
    </row>
    <row r="507" spans="2:6" ht="15.75" thickBot="1">
      <c r="B507" s="2"/>
      <c r="C507" s="115"/>
    </row>
    <row r="508" spans="2:6">
      <c r="B508" s="116" t="s">
        <v>107</v>
      </c>
      <c r="C508" s="125" t="s">
        <v>4</v>
      </c>
      <c r="D508" s="125"/>
      <c r="E508" s="126" t="s">
        <v>6</v>
      </c>
    </row>
    <row r="509" spans="2:6">
      <c r="B509" s="118" t="s">
        <v>17</v>
      </c>
      <c r="C509" s="127">
        <f>C500</f>
        <v>89269.992999999988</v>
      </c>
      <c r="D509" s="127"/>
      <c r="E509" s="130">
        <f>E500</f>
        <v>12310.555471281803</v>
      </c>
    </row>
    <row r="510" spans="2:6">
      <c r="B510" s="118"/>
      <c r="C510" s="106"/>
      <c r="D510" s="106"/>
      <c r="E510" s="120"/>
    </row>
    <row r="511" spans="2:6" ht="15.75" thickBot="1">
      <c r="B511" s="119" t="s">
        <v>28</v>
      </c>
      <c r="C511" s="128">
        <f>SUM(C509:C510)</f>
        <v>89269.992999999988</v>
      </c>
      <c r="D511" s="128"/>
      <c r="E511" s="129">
        <f>SUM(E509:E510)</f>
        <v>12310.555471281803</v>
      </c>
    </row>
    <row r="512" spans="2:6" ht="15.75" thickBot="1">
      <c r="B512" s="2"/>
      <c r="C512" s="115"/>
      <c r="D512" s="115"/>
      <c r="E512" s="111"/>
    </row>
    <row r="513" spans="1:11">
      <c r="B513" s="116" t="s">
        <v>56</v>
      </c>
      <c r="C513" s="167" t="s">
        <v>30</v>
      </c>
      <c r="D513" s="165"/>
      <c r="E513" s="167" t="s">
        <v>6</v>
      </c>
    </row>
    <row r="514" spans="1:11">
      <c r="B514" s="117">
        <v>2023</v>
      </c>
      <c r="C514" s="168">
        <v>1122.048</v>
      </c>
      <c r="E514" s="166">
        <f>C514*J$521</f>
        <v>163.30199388735264</v>
      </c>
    </row>
    <row r="515" spans="1:11">
      <c r="B515" s="117" t="s">
        <v>101</v>
      </c>
      <c r="C515" s="168">
        <v>21763.554</v>
      </c>
      <c r="E515" s="166">
        <f t="shared" ref="E515" si="3">C515*J$521</f>
        <v>3167.4507349730748</v>
      </c>
    </row>
    <row r="516" spans="1:11">
      <c r="B516" s="117"/>
      <c r="C516" s="168"/>
      <c r="E516" s="166"/>
    </row>
    <row r="517" spans="1:11">
      <c r="B517" s="117"/>
      <c r="C517" s="168"/>
      <c r="E517" s="166"/>
    </row>
    <row r="518" spans="1:11" ht="15.75" thickBot="1">
      <c r="B518" s="119"/>
      <c r="C518" s="169">
        <f>SUM(C514:C517)</f>
        <v>22885.601999999999</v>
      </c>
      <c r="D518" s="128"/>
      <c r="E518" s="170">
        <f>SUM(E514:E517)</f>
        <v>3330.7527288604274</v>
      </c>
    </row>
    <row r="519" spans="1:11">
      <c r="B519" s="2"/>
      <c r="C519" s="115"/>
      <c r="D519" s="115"/>
      <c r="E519" s="111"/>
    </row>
    <row r="521" spans="1:11">
      <c r="A521" s="15" t="s">
        <v>108</v>
      </c>
      <c r="I521" s="2" t="s">
        <v>109</v>
      </c>
      <c r="J521" s="131">
        <f>Model!Y$204</f>
        <v>0.14553922282055012</v>
      </c>
    </row>
    <row r="522" spans="1:11">
      <c r="I522" s="2" t="s">
        <v>110</v>
      </c>
      <c r="J522" s="131">
        <f>Model!Y$205</f>
        <v>0.14644449567284368</v>
      </c>
    </row>
    <row r="523" spans="1:11" ht="15.75" thickBot="1">
      <c r="I523" s="2"/>
      <c r="J523" s="131"/>
    </row>
    <row r="524" spans="1:11" ht="15.75" thickBot="1">
      <c r="B524" s="142" t="s">
        <v>111</v>
      </c>
      <c r="C524" s="121" t="s">
        <v>4</v>
      </c>
      <c r="D524" s="121" t="s">
        <v>5</v>
      </c>
      <c r="E524" s="121" t="s">
        <v>6</v>
      </c>
      <c r="F524" s="122" t="s">
        <v>5</v>
      </c>
      <c r="I524" s="156" t="s">
        <v>112</v>
      </c>
      <c r="J524" s="157" t="s">
        <v>4</v>
      </c>
    </row>
    <row r="525" spans="1:11">
      <c r="B525" s="117"/>
      <c r="C525" s="106"/>
      <c r="D525" s="14"/>
      <c r="E525" s="110"/>
      <c r="F525" s="123"/>
      <c r="I525" s="117" t="s">
        <v>17</v>
      </c>
      <c r="J525" s="155">
        <v>26180.952000000001</v>
      </c>
    </row>
    <row r="526" spans="1:11" ht="15.75" thickBot="1">
      <c r="B526" s="143" t="s">
        <v>7</v>
      </c>
      <c r="C526" s="111">
        <f>SUM(C527:C530)</f>
        <v>20880.845999999998</v>
      </c>
      <c r="D526" s="14"/>
      <c r="E526" s="112">
        <f>C526*J521</f>
        <v>3038.9820986755926</v>
      </c>
      <c r="F526" s="123"/>
      <c r="I526" s="117" t="s">
        <v>54</v>
      </c>
      <c r="J526" s="155">
        <f>515.917+1002.508+9477.034+34066.141</f>
        <v>45061.600000000006</v>
      </c>
      <c r="K526" s="13"/>
    </row>
    <row r="527" spans="1:11" ht="15.75" thickBot="1">
      <c r="B527" s="117" t="s">
        <v>8</v>
      </c>
      <c r="C527" s="51">
        <v>0</v>
      </c>
      <c r="D527" s="14"/>
      <c r="E527" s="110">
        <f>C527*J521</f>
        <v>0</v>
      </c>
      <c r="F527" s="123"/>
      <c r="I527" s="158" t="s">
        <v>32</v>
      </c>
      <c r="J527" s="159">
        <f>SUM(J525:J526)</f>
        <v>71242.552000000011</v>
      </c>
      <c r="K527" s="13"/>
    </row>
    <row r="528" spans="1:11">
      <c r="B528" s="117" t="s">
        <v>9</v>
      </c>
      <c r="C528" s="51">
        <v>39.942999999999998</v>
      </c>
      <c r="D528" s="14"/>
      <c r="E528" s="110">
        <f>C528*J521</f>
        <v>5.8132731771212329</v>
      </c>
      <c r="F528" s="123"/>
      <c r="I528" s="160" t="s">
        <v>47</v>
      </c>
      <c r="J528" s="161">
        <f>J527-C543</f>
        <v>0</v>
      </c>
    </row>
    <row r="529" spans="2:6">
      <c r="B529" s="117" t="s">
        <v>10</v>
      </c>
      <c r="C529" s="51">
        <v>16115.003000000001</v>
      </c>
      <c r="D529" s="14"/>
      <c r="E529" s="110">
        <f>C529*J521</f>
        <v>2345.3650123708339</v>
      </c>
      <c r="F529" s="123"/>
    </row>
    <row r="530" spans="2:6">
      <c r="B530" s="117" t="s">
        <v>11</v>
      </c>
      <c r="C530" s="51">
        <v>4725.8999999999996</v>
      </c>
      <c r="D530" s="14"/>
      <c r="E530" s="110">
        <f>C530*J521</f>
        <v>687.8038131276378</v>
      </c>
      <c r="F530" s="123"/>
    </row>
    <row r="531" spans="2:6">
      <c r="B531" s="117"/>
      <c r="C531" s="106"/>
      <c r="D531" s="14"/>
      <c r="E531" s="110"/>
      <c r="F531" s="123"/>
    </row>
    <row r="532" spans="2:6">
      <c r="B532" s="143" t="s">
        <v>12</v>
      </c>
      <c r="C532" s="111">
        <f>SUM(C533:C536)</f>
        <v>1583.3630000000001</v>
      </c>
      <c r="D532" s="14"/>
      <c r="E532" s="112">
        <f>C532*J521</f>
        <v>230.4414204628147</v>
      </c>
      <c r="F532" s="123"/>
    </row>
    <row r="533" spans="2:6">
      <c r="B533" s="117" t="s">
        <v>8</v>
      </c>
      <c r="C533" s="51">
        <v>0</v>
      </c>
      <c r="D533" s="14"/>
      <c r="E533" s="110">
        <f>C533*J521</f>
        <v>0</v>
      </c>
      <c r="F533" s="123"/>
    </row>
    <row r="534" spans="2:6">
      <c r="B534" s="117" t="s">
        <v>9</v>
      </c>
      <c r="C534" s="51">
        <v>0</v>
      </c>
      <c r="D534" s="14"/>
      <c r="E534" s="110">
        <f>C534*J521</f>
        <v>0</v>
      </c>
      <c r="F534" s="123"/>
    </row>
    <row r="535" spans="2:6">
      <c r="B535" s="117" t="s">
        <v>10</v>
      </c>
      <c r="C535" s="51">
        <v>1583.3630000000001</v>
      </c>
      <c r="D535" s="14"/>
      <c r="E535" s="110">
        <f>C535*J521</f>
        <v>230.4414204628147</v>
      </c>
      <c r="F535" s="123"/>
    </row>
    <row r="536" spans="2:6">
      <c r="B536" s="117" t="s">
        <v>11</v>
      </c>
      <c r="C536" s="51">
        <v>0</v>
      </c>
      <c r="D536" s="14"/>
      <c r="E536" s="110">
        <f>C536*J521</f>
        <v>0</v>
      </c>
      <c r="F536" s="123"/>
    </row>
    <row r="537" spans="2:6">
      <c r="B537" s="117"/>
      <c r="C537" s="51"/>
      <c r="D537" s="14"/>
      <c r="E537" s="110"/>
      <c r="F537" s="123"/>
    </row>
    <row r="538" spans="2:6">
      <c r="B538" s="149" t="s">
        <v>13</v>
      </c>
      <c r="C538" s="111">
        <f>SUM(C539:C540)</f>
        <v>0</v>
      </c>
      <c r="D538" s="14"/>
      <c r="E538" s="111">
        <f>SUM(E539:E540)</f>
        <v>0</v>
      </c>
      <c r="F538" s="123"/>
    </row>
    <row r="539" spans="2:6">
      <c r="B539" s="146" t="s">
        <v>14</v>
      </c>
      <c r="C539" s="51">
        <v>0</v>
      </c>
      <c r="D539" s="14"/>
      <c r="E539" s="110">
        <f>C539*J521</f>
        <v>0</v>
      </c>
      <c r="F539" s="123"/>
    </row>
    <row r="540" spans="2:6">
      <c r="B540" s="146" t="s">
        <v>15</v>
      </c>
      <c r="C540" s="51">
        <v>0</v>
      </c>
      <c r="D540" s="14"/>
      <c r="E540" s="110">
        <f>C540*J521</f>
        <v>0</v>
      </c>
      <c r="F540" s="123"/>
    </row>
    <row r="541" spans="2:6">
      <c r="B541" s="117"/>
      <c r="C541" s="106"/>
      <c r="D541" s="14"/>
      <c r="E541" s="110"/>
      <c r="F541" s="123"/>
    </row>
    <row r="542" spans="2:6">
      <c r="B542" s="144" t="s">
        <v>16</v>
      </c>
      <c r="C542" s="11">
        <f>C532+C526+C538</f>
        <v>22464.208999999999</v>
      </c>
      <c r="D542" s="10">
        <f>C542/C547</f>
        <v>1.6786873331201622</v>
      </c>
      <c r="E542" s="11">
        <f>E532+E526+E538</f>
        <v>3269.4235191384073</v>
      </c>
      <c r="F542" s="145">
        <f>E542/E547</f>
        <v>1.6683102270146675</v>
      </c>
    </row>
    <row r="543" spans="2:6">
      <c r="B543" s="146" t="s">
        <v>17</v>
      </c>
      <c r="C543" s="147">
        <f>Model!Y$120</f>
        <v>71242.552000000011</v>
      </c>
      <c r="D543" s="148"/>
      <c r="E543" s="110">
        <f>C543*J521</f>
        <v>10368.58564983263</v>
      </c>
      <c r="F543" s="123"/>
    </row>
    <row r="544" spans="2:6">
      <c r="B544" s="144" t="s">
        <v>18</v>
      </c>
      <c r="C544" s="11">
        <f>C542-C543</f>
        <v>-48778.343000000008</v>
      </c>
      <c r="D544" s="10">
        <f>C544/C547</f>
        <v>-3.6450687635914778</v>
      </c>
      <c r="E544" s="11">
        <f>E542-E543</f>
        <v>-7099.1621306942234</v>
      </c>
      <c r="F544" s="145">
        <f>E544/E547</f>
        <v>-3.6225361188426155</v>
      </c>
    </row>
    <row r="545" spans="2:12">
      <c r="B545" s="149" t="s">
        <v>19</v>
      </c>
      <c r="C545" s="9">
        <f>Model!Y$124</f>
        <v>148374.08900000001</v>
      </c>
      <c r="D545" s="8"/>
      <c r="E545" s="112">
        <f>C545*J521</f>
        <v>21594.249599767136</v>
      </c>
      <c r="F545" s="123"/>
    </row>
    <row r="546" spans="2:12">
      <c r="B546" s="149" t="s">
        <v>20</v>
      </c>
      <c r="C546" s="9">
        <f>C544+C545</f>
        <v>99595.745999999999</v>
      </c>
      <c r="D546" s="8"/>
      <c r="E546" s="9">
        <f>E544+E545</f>
        <v>14495.087469072912</v>
      </c>
      <c r="F546" s="123"/>
    </row>
    <row r="547" spans="2:12" ht="15.75" thickBot="1">
      <c r="B547" s="150" t="s">
        <v>21</v>
      </c>
      <c r="C547" s="151">
        <f>Model!Y$87</f>
        <v>13382.008999999995</v>
      </c>
      <c r="D547" s="152"/>
      <c r="E547" s="153">
        <f>C547*J522</f>
        <v>1959.7215590944543</v>
      </c>
      <c r="F547" s="124"/>
    </row>
    <row r="548" spans="2:12">
      <c r="B548" s="5" t="s">
        <v>22</v>
      </c>
      <c r="C548" s="4">
        <f>+C542-Model!Y$119</f>
        <v>0</v>
      </c>
      <c r="D548" s="3"/>
    </row>
    <row r="550" spans="2:12" ht="15.75" thickBot="1">
      <c r="B550" s="2"/>
      <c r="C550" s="115"/>
    </row>
    <row r="551" spans="2:12">
      <c r="B551" s="116" t="s">
        <v>113</v>
      </c>
      <c r="C551" s="125" t="s">
        <v>4</v>
      </c>
      <c r="D551" s="125"/>
      <c r="E551" s="126" t="s">
        <v>6</v>
      </c>
    </row>
    <row r="552" spans="2:12">
      <c r="B552" s="118" t="s">
        <v>17</v>
      </c>
      <c r="C552" s="127">
        <f>C543</f>
        <v>71242.552000000011</v>
      </c>
      <c r="D552" s="127"/>
      <c r="E552" s="130">
        <f>E543</f>
        <v>10368.58564983263</v>
      </c>
    </row>
    <row r="553" spans="2:12">
      <c r="B553" s="118"/>
      <c r="C553" s="106"/>
      <c r="D553" s="106"/>
      <c r="E553" s="120"/>
    </row>
    <row r="554" spans="2:12" ht="15.75" thickBot="1">
      <c r="B554" s="119" t="s">
        <v>28</v>
      </c>
      <c r="C554" s="128">
        <f>SUM(C552:C553)</f>
        <v>71242.552000000011</v>
      </c>
      <c r="D554" s="128"/>
      <c r="E554" s="129">
        <f>SUM(E552:E553)</f>
        <v>10368.58564983263</v>
      </c>
    </row>
    <row r="555" spans="2:12" ht="15.75" thickBot="1">
      <c r="B555" s="2"/>
      <c r="C555" s="115"/>
      <c r="D555" s="115"/>
      <c r="E555" s="111"/>
    </row>
    <row r="556" spans="2:12">
      <c r="B556" s="116" t="s">
        <v>56</v>
      </c>
      <c r="C556" s="167" t="s">
        <v>30</v>
      </c>
      <c r="D556" s="165"/>
      <c r="E556" s="167" t="s">
        <v>6</v>
      </c>
    </row>
    <row r="557" spans="2:12">
      <c r="B557" s="117">
        <v>2023</v>
      </c>
      <c r="C557" s="168">
        <v>1583.3630000000001</v>
      </c>
      <c r="E557" s="166">
        <f>C557*J$521</f>
        <v>230.4414204628147</v>
      </c>
    </row>
    <row r="558" spans="2:12">
      <c r="B558" s="117" t="s">
        <v>101</v>
      </c>
      <c r="C558" s="168">
        <v>20880.846000000001</v>
      </c>
      <c r="E558" s="166">
        <f t="shared" ref="E558:E560" si="4">C558*J$521</f>
        <v>3038.9820986755931</v>
      </c>
      <c r="L558" s="289"/>
    </row>
    <row r="559" spans="2:12">
      <c r="B559" s="117"/>
      <c r="C559" s="168"/>
      <c r="E559" s="166">
        <f t="shared" si="4"/>
        <v>0</v>
      </c>
      <c r="L559" s="289"/>
    </row>
    <row r="560" spans="2:12">
      <c r="B560" s="117"/>
      <c r="C560" s="168"/>
      <c r="E560" s="166">
        <f t="shared" si="4"/>
        <v>0</v>
      </c>
      <c r="L560" s="289"/>
    </row>
    <row r="561" spans="1:12" ht="15.75" thickBot="1">
      <c r="B561" s="119"/>
      <c r="C561" s="169">
        <f>SUM(C557:C560)</f>
        <v>22464.209000000003</v>
      </c>
      <c r="D561" s="128"/>
      <c r="E561" s="170">
        <f>SUM(E557:E560)</f>
        <v>3269.4235191384078</v>
      </c>
      <c r="K561" s="13"/>
      <c r="L561" s="289"/>
    </row>
    <row r="562" spans="1:12">
      <c r="B562" s="2"/>
      <c r="C562" s="115"/>
      <c r="D562" s="115"/>
      <c r="E562" s="111"/>
      <c r="K562" s="13"/>
      <c r="L562" s="289"/>
    </row>
    <row r="563" spans="1:12">
      <c r="L563" s="289"/>
    </row>
    <row r="564" spans="1:12">
      <c r="A564" s="15" t="s">
        <v>114</v>
      </c>
      <c r="I564" s="2" t="s">
        <v>115</v>
      </c>
      <c r="J564" s="131">
        <f>Model!X$204</f>
        <v>0.14498637128109959</v>
      </c>
      <c r="L564" s="289"/>
    </row>
    <row r="565" spans="1:12">
      <c r="I565" s="2" t="s">
        <v>116</v>
      </c>
      <c r="J565" s="131">
        <f>Model!X$205</f>
        <v>0.14945854641013745</v>
      </c>
      <c r="L565" s="289"/>
    </row>
    <row r="566" spans="1:12" ht="15.75" thickBot="1">
      <c r="I566" s="2"/>
      <c r="J566" s="131"/>
    </row>
    <row r="567" spans="1:12" ht="15.75" thickBot="1">
      <c r="B567" s="142" t="s">
        <v>117</v>
      </c>
      <c r="C567" s="121" t="s">
        <v>4</v>
      </c>
      <c r="D567" s="121" t="s">
        <v>5</v>
      </c>
      <c r="E567" s="121" t="s">
        <v>6</v>
      </c>
      <c r="F567" s="122" t="s">
        <v>5</v>
      </c>
      <c r="I567" s="156" t="s">
        <v>118</v>
      </c>
      <c r="J567" s="157" t="s">
        <v>4</v>
      </c>
    </row>
    <row r="568" spans="1:12">
      <c r="B568" s="117"/>
      <c r="C568" s="106"/>
      <c r="D568" s="14"/>
      <c r="E568" s="110"/>
      <c r="F568" s="123"/>
      <c r="I568" s="117" t="s">
        <v>17</v>
      </c>
      <c r="J568" s="155">
        <v>27607.260999999999</v>
      </c>
    </row>
    <row r="569" spans="1:12" ht="15.75" thickBot="1">
      <c r="B569" s="143" t="s">
        <v>7</v>
      </c>
      <c r="C569" s="111">
        <f>SUM(C570:C573)</f>
        <v>21493.260999999999</v>
      </c>
      <c r="D569" s="14"/>
      <c r="E569" s="112">
        <f>C569*J564</f>
        <v>3116.2299193875779</v>
      </c>
      <c r="F569" s="123"/>
      <c r="I569" s="117" t="s">
        <v>54</v>
      </c>
      <c r="J569" s="155">
        <f>449.109+9845.91+29874.707</f>
        <v>40169.725999999995</v>
      </c>
    </row>
    <row r="570" spans="1:12" ht="15.75" thickBot="1">
      <c r="B570" s="117" t="s">
        <v>8</v>
      </c>
      <c r="C570" s="51">
        <v>0</v>
      </c>
      <c r="D570" s="14"/>
      <c r="E570" s="110">
        <f>C570*J564</f>
        <v>0</v>
      </c>
      <c r="F570" s="123"/>
      <c r="I570" s="158" t="s">
        <v>32</v>
      </c>
      <c r="J570" s="159">
        <f>SUM(J568:J569)</f>
        <v>67776.986999999994</v>
      </c>
    </row>
    <row r="571" spans="1:12">
      <c r="B571" s="117" t="s">
        <v>9</v>
      </c>
      <c r="C571" s="51">
        <v>102.325</v>
      </c>
      <c r="D571" s="14"/>
      <c r="E571" s="110">
        <f>C571*J564</f>
        <v>14.835730441338516</v>
      </c>
      <c r="F571" s="123"/>
      <c r="I571" s="160" t="s">
        <v>47</v>
      </c>
      <c r="J571" s="161">
        <f>J570-C586</f>
        <v>0</v>
      </c>
    </row>
    <row r="572" spans="1:12">
      <c r="B572" s="117" t="s">
        <v>10</v>
      </c>
      <c r="C572" s="51">
        <v>16656.195</v>
      </c>
      <c r="D572" s="14"/>
      <c r="E572" s="110">
        <f>C572*J564</f>
        <v>2414.9212724003946</v>
      </c>
      <c r="F572" s="123"/>
    </row>
    <row r="573" spans="1:12">
      <c r="B573" s="117" t="s">
        <v>11</v>
      </c>
      <c r="C573" s="51">
        <v>4734.741</v>
      </c>
      <c r="D573" s="14"/>
      <c r="E573" s="110">
        <f>C573*J564</f>
        <v>686.47291654584478</v>
      </c>
      <c r="F573" s="123"/>
    </row>
    <row r="574" spans="1:12">
      <c r="B574" s="117"/>
      <c r="C574" s="106"/>
      <c r="D574" s="14"/>
      <c r="E574" s="110"/>
      <c r="F574" s="123"/>
    </row>
    <row r="575" spans="1:12">
      <c r="B575" s="143" t="s">
        <v>12</v>
      </c>
      <c r="C575" s="111">
        <f>SUM(C576:C579)</f>
        <v>2150.741</v>
      </c>
      <c r="D575" s="14"/>
      <c r="E575" s="112">
        <f>C575*J564</f>
        <v>311.82813315548339</v>
      </c>
      <c r="F575" s="123"/>
    </row>
    <row r="576" spans="1:12">
      <c r="B576" s="117" t="s">
        <v>8</v>
      </c>
      <c r="C576" s="51">
        <v>0</v>
      </c>
      <c r="D576" s="14"/>
      <c r="E576" s="110">
        <f>C576*J564</f>
        <v>0</v>
      </c>
      <c r="F576" s="123"/>
    </row>
    <row r="577" spans="2:6">
      <c r="B577" s="117" t="s">
        <v>9</v>
      </c>
      <c r="C577" s="51">
        <v>3.2829999999999999</v>
      </c>
      <c r="D577" s="14"/>
      <c r="E577" s="110">
        <f>C577*J564</f>
        <v>0.47599025691584995</v>
      </c>
      <c r="F577" s="123"/>
    </row>
    <row r="578" spans="2:6">
      <c r="B578" s="117" t="s">
        <v>10</v>
      </c>
      <c r="C578" s="51">
        <v>2147.4580000000001</v>
      </c>
      <c r="D578" s="14"/>
      <c r="E578" s="110">
        <f>C578*J564</f>
        <v>311.35214289856759</v>
      </c>
      <c r="F578" s="123"/>
    </row>
    <row r="579" spans="2:6">
      <c r="B579" s="117" t="s">
        <v>11</v>
      </c>
      <c r="C579" s="51">
        <v>0</v>
      </c>
      <c r="D579" s="14"/>
      <c r="E579" s="110">
        <f>C579*J564</f>
        <v>0</v>
      </c>
      <c r="F579" s="123"/>
    </row>
    <row r="580" spans="2:6">
      <c r="B580" s="117"/>
      <c r="C580" s="51"/>
      <c r="D580" s="14"/>
      <c r="E580" s="110"/>
      <c r="F580" s="123"/>
    </row>
    <row r="581" spans="2:6">
      <c r="B581" s="149" t="s">
        <v>13</v>
      </c>
      <c r="C581" s="111">
        <f>SUM(C582:C583)</f>
        <v>2412.1280000000002</v>
      </c>
      <c r="D581" s="14"/>
      <c r="E581" s="111">
        <f>SUM(E582:E583)</f>
        <v>349.72568578553626</v>
      </c>
      <c r="F581" s="123"/>
    </row>
    <row r="582" spans="2:6">
      <c r="B582" s="146" t="s">
        <v>14</v>
      </c>
      <c r="C582" s="51">
        <v>947.39200000000005</v>
      </c>
      <c r="D582" s="14"/>
      <c r="E582" s="110">
        <f>C582*J564</f>
        <v>137.35892826074351</v>
      </c>
      <c r="F582" s="123"/>
    </row>
    <row r="583" spans="2:6">
      <c r="B583" s="146" t="s">
        <v>15</v>
      </c>
      <c r="C583" s="51">
        <v>1464.7360000000001</v>
      </c>
      <c r="D583" s="14"/>
      <c r="E583" s="110">
        <f>C583*J564</f>
        <v>212.36675752479272</v>
      </c>
      <c r="F583" s="123"/>
    </row>
    <row r="584" spans="2:6">
      <c r="B584" s="117"/>
      <c r="C584" s="106"/>
      <c r="D584" s="14"/>
      <c r="E584" s="110"/>
      <c r="F584" s="123"/>
    </row>
    <row r="585" spans="2:6">
      <c r="B585" s="144" t="s">
        <v>16</v>
      </c>
      <c r="C585" s="11">
        <f>C575+C569+C581</f>
        <v>26056.13</v>
      </c>
      <c r="D585" s="10">
        <f>C585/C590</f>
        <v>3.9939554477535015</v>
      </c>
      <c r="E585" s="11">
        <f>E575+E569+E581</f>
        <v>3777.7837383285978</v>
      </c>
      <c r="F585" s="145">
        <f>E585/E590</f>
        <v>3.8744462684596441</v>
      </c>
    </row>
    <row r="586" spans="2:6">
      <c r="B586" s="146" t="s">
        <v>17</v>
      </c>
      <c r="C586" s="147">
        <f>Model!X$120</f>
        <v>67776.986999999994</v>
      </c>
      <c r="D586" s="148"/>
      <c r="E586" s="110">
        <f>C586*J564</f>
        <v>9826.7394014962592</v>
      </c>
      <c r="F586" s="123"/>
    </row>
    <row r="587" spans="2:6">
      <c r="B587" s="144" t="s">
        <v>18</v>
      </c>
      <c r="C587" s="11">
        <f>C585-C586</f>
        <v>-41720.856999999989</v>
      </c>
      <c r="D587" s="10">
        <f>C587/C590</f>
        <v>-6.3950879927331785</v>
      </c>
      <c r="E587" s="11">
        <f>E585-E586</f>
        <v>-6048.9556631676614</v>
      </c>
      <c r="F587" s="145">
        <f>E587/E590</f>
        <v>-6.2037308963606019</v>
      </c>
    </row>
    <row r="588" spans="2:6">
      <c r="B588" s="149" t="s">
        <v>19</v>
      </c>
      <c r="C588" s="9">
        <f>Model!X$120</f>
        <v>67776.986999999994</v>
      </c>
      <c r="D588" s="8"/>
      <c r="E588" s="112">
        <f>C588*J564</f>
        <v>9826.7394014962592</v>
      </c>
      <c r="F588" s="123"/>
    </row>
    <row r="589" spans="2:6">
      <c r="B589" s="149" t="s">
        <v>20</v>
      </c>
      <c r="C589" s="9">
        <f>C587+C588</f>
        <v>26056.130000000005</v>
      </c>
      <c r="D589" s="8"/>
      <c r="E589" s="9">
        <f>E587+E588</f>
        <v>3777.7837383285978</v>
      </c>
      <c r="F589" s="123"/>
    </row>
    <row r="590" spans="2:6" ht="15.75" thickBot="1">
      <c r="B590" s="150" t="s">
        <v>21</v>
      </c>
      <c r="C590" s="151">
        <f>Model!X$87</f>
        <v>6523.8909999999905</v>
      </c>
      <c r="D590" s="152"/>
      <c r="E590" s="153">
        <f>C590*J565</f>
        <v>975.05126579817659</v>
      </c>
      <c r="F590" s="124"/>
    </row>
    <row r="591" spans="2:6">
      <c r="B591" s="5" t="s">
        <v>22</v>
      </c>
      <c r="C591" s="4">
        <f>+C585-Model!X$119</f>
        <v>0</v>
      </c>
      <c r="D591" s="3"/>
    </row>
    <row r="593" spans="1:10" ht="15.75" thickBot="1">
      <c r="B593" s="2"/>
      <c r="C593" s="115"/>
    </row>
    <row r="594" spans="1:10">
      <c r="B594" s="116" t="s">
        <v>119</v>
      </c>
      <c r="C594" s="125" t="s">
        <v>4</v>
      </c>
      <c r="D594" s="125"/>
      <c r="E594" s="126" t="s">
        <v>6</v>
      </c>
    </row>
    <row r="595" spans="1:10">
      <c r="B595" s="118" t="s">
        <v>17</v>
      </c>
      <c r="C595" s="127">
        <f>C586</f>
        <v>67776.986999999994</v>
      </c>
      <c r="D595" s="127"/>
      <c r="E595" s="130">
        <f>E586</f>
        <v>9826.7394014962592</v>
      </c>
    </row>
    <row r="596" spans="1:10">
      <c r="B596" s="118"/>
      <c r="C596" s="106"/>
      <c r="D596" s="106"/>
      <c r="E596" s="120"/>
    </row>
    <row r="597" spans="1:10" ht="15.75" thickBot="1">
      <c r="B597" s="119" t="s">
        <v>28</v>
      </c>
      <c r="C597" s="128">
        <f>SUM(C595:C596)</f>
        <v>67776.986999999994</v>
      </c>
      <c r="D597" s="128"/>
      <c r="E597" s="129">
        <f>SUM(E595:E596)</f>
        <v>9826.7394014962592</v>
      </c>
    </row>
    <row r="598" spans="1:10" ht="15.75" thickBot="1">
      <c r="B598" s="2"/>
      <c r="C598" s="115"/>
      <c r="D598" s="115"/>
      <c r="E598" s="111"/>
    </row>
    <row r="599" spans="1:10">
      <c r="B599" s="116" t="s">
        <v>56</v>
      </c>
      <c r="C599" s="167" t="s">
        <v>30</v>
      </c>
      <c r="D599" s="165"/>
      <c r="E599" s="167" t="s">
        <v>6</v>
      </c>
    </row>
    <row r="600" spans="1:10">
      <c r="B600" s="117">
        <v>2023</v>
      </c>
      <c r="C600" s="168">
        <v>21493.260999999999</v>
      </c>
      <c r="E600" s="166">
        <f t="shared" ref="E600:E603" si="5">C600*J$564</f>
        <v>3116.2299193875779</v>
      </c>
    </row>
    <row r="601" spans="1:10">
      <c r="B601" s="117" t="s">
        <v>101</v>
      </c>
      <c r="C601" s="168">
        <v>2150.741</v>
      </c>
      <c r="E601" s="166">
        <f t="shared" si="5"/>
        <v>311.82813315548339</v>
      </c>
    </row>
    <row r="602" spans="1:10">
      <c r="B602" s="117"/>
      <c r="C602" s="168"/>
      <c r="E602" s="166">
        <f t="shared" si="5"/>
        <v>0</v>
      </c>
    </row>
    <row r="603" spans="1:10">
      <c r="B603" s="117"/>
      <c r="C603" s="168"/>
      <c r="E603" s="166">
        <f t="shared" si="5"/>
        <v>0</v>
      </c>
    </row>
    <row r="604" spans="1:10" ht="15.75" thickBot="1">
      <c r="B604" s="119"/>
      <c r="C604" s="169">
        <f>SUM(C600:C603)</f>
        <v>23644.002</v>
      </c>
      <c r="D604" s="128"/>
      <c r="E604" s="170">
        <f>SUM(E600:E603)</f>
        <v>3428.0580525430614</v>
      </c>
    </row>
    <row r="605" spans="1:10">
      <c r="B605" s="2"/>
      <c r="C605" s="115"/>
      <c r="D605" s="115"/>
      <c r="E605" s="111"/>
    </row>
    <row r="606" spans="1:10">
      <c r="A606" s="15" t="s">
        <v>120</v>
      </c>
      <c r="I606" s="2" t="s">
        <v>121</v>
      </c>
      <c r="J606" s="131">
        <f>Model!W204</f>
        <v>0.14000000000000001</v>
      </c>
    </row>
    <row r="607" spans="1:10">
      <c r="I607" s="2" t="s">
        <v>122</v>
      </c>
      <c r="J607" s="131">
        <f>Model!W205</f>
        <v>0.15287275</v>
      </c>
    </row>
    <row r="608" spans="1:10" ht="15.75" thickBot="1">
      <c r="I608" s="2"/>
      <c r="J608" s="131"/>
    </row>
    <row r="609" spans="2:10" ht="15.75" thickBot="1">
      <c r="B609" s="142" t="s">
        <v>123</v>
      </c>
      <c r="C609" s="121" t="s">
        <v>4</v>
      </c>
      <c r="D609" s="121" t="s">
        <v>5</v>
      </c>
      <c r="E609" s="121" t="s">
        <v>6</v>
      </c>
      <c r="F609" s="122" t="s">
        <v>5</v>
      </c>
      <c r="I609" s="156" t="s">
        <v>124</v>
      </c>
      <c r="J609" s="157" t="s">
        <v>4</v>
      </c>
    </row>
    <row r="610" spans="2:10">
      <c r="B610" s="117"/>
      <c r="C610" s="106"/>
      <c r="D610" s="14"/>
      <c r="E610" s="110"/>
      <c r="F610" s="123"/>
      <c r="I610" s="117" t="s">
        <v>17</v>
      </c>
      <c r="J610" s="155">
        <v>28071.098999999998</v>
      </c>
    </row>
    <row r="611" spans="2:10" ht="15.75" thickBot="1">
      <c r="B611" s="143" t="s">
        <v>7</v>
      </c>
      <c r="C611" s="111">
        <f>SUM(C612:C615)</f>
        <v>23244.484</v>
      </c>
      <c r="D611" s="14"/>
      <c r="E611" s="112">
        <f>C611*J$606</f>
        <v>3254.2277600000002</v>
      </c>
      <c r="F611" s="123"/>
      <c r="I611" s="117" t="s">
        <v>54</v>
      </c>
      <c r="J611" s="155">
        <f>560.706+11809.441+26022.205</f>
        <v>38392.351999999999</v>
      </c>
    </row>
    <row r="612" spans="2:10" ht="15.75" thickBot="1">
      <c r="B612" s="117" t="s">
        <v>8</v>
      </c>
      <c r="C612" s="51">
        <v>0</v>
      </c>
      <c r="D612" s="14"/>
      <c r="E612" s="110">
        <f>C612*J$606</f>
        <v>0</v>
      </c>
      <c r="F612" s="123"/>
      <c r="I612" s="158" t="s">
        <v>32</v>
      </c>
      <c r="J612" s="159">
        <f>SUM(J610:J611)</f>
        <v>66463.451000000001</v>
      </c>
    </row>
    <row r="613" spans="2:10">
      <c r="B613" s="117" t="s">
        <v>9</v>
      </c>
      <c r="C613" s="51">
        <v>1217.367</v>
      </c>
      <c r="D613" s="14"/>
      <c r="E613" s="110">
        <f>C613*J$606</f>
        <v>170.43138000000002</v>
      </c>
      <c r="F613" s="123"/>
      <c r="I613" s="160" t="s">
        <v>47</v>
      </c>
      <c r="J613" s="161">
        <f>J612-C628</f>
        <v>0</v>
      </c>
    </row>
    <row r="614" spans="2:10">
      <c r="B614" s="117" t="s">
        <v>10</v>
      </c>
      <c r="C614" s="51">
        <v>17255.934000000001</v>
      </c>
      <c r="D614" s="14"/>
      <c r="E614" s="110">
        <f>C614*J$606</f>
        <v>2415.8307600000003</v>
      </c>
      <c r="F614" s="123"/>
    </row>
    <row r="615" spans="2:10">
      <c r="B615" s="117" t="s">
        <v>11</v>
      </c>
      <c r="C615" s="51">
        <v>4771.183</v>
      </c>
      <c r="D615" s="14"/>
      <c r="E615" s="110">
        <f>C615*J$606</f>
        <v>667.96562000000006</v>
      </c>
      <c r="F615" s="123"/>
    </row>
    <row r="616" spans="2:10">
      <c r="B616" s="117"/>
      <c r="C616" s="106"/>
      <c r="D616" s="14"/>
      <c r="E616" s="110"/>
      <c r="F616" s="123"/>
    </row>
    <row r="617" spans="2:10">
      <c r="B617" s="143" t="s">
        <v>12</v>
      </c>
      <c r="C617" s="111">
        <f>SUM(C618:C621)</f>
        <v>2517.2150000000001</v>
      </c>
      <c r="D617" s="14"/>
      <c r="E617" s="112">
        <f>C617*J$606</f>
        <v>352.41010000000006</v>
      </c>
      <c r="F617" s="123"/>
    </row>
    <row r="618" spans="2:10">
      <c r="B618" s="117" t="s">
        <v>8</v>
      </c>
      <c r="C618" s="51">
        <v>0</v>
      </c>
      <c r="D618" s="14"/>
      <c r="E618" s="110">
        <f t="shared" ref="E618:E621" si="6">C618*J$606</f>
        <v>0</v>
      </c>
      <c r="F618" s="123"/>
    </row>
    <row r="619" spans="2:10">
      <c r="B619" s="117" t="s">
        <v>9</v>
      </c>
      <c r="C619" s="51">
        <v>506.55399999999997</v>
      </c>
      <c r="D619" s="14"/>
      <c r="E619" s="110">
        <f t="shared" si="6"/>
        <v>70.917560000000009</v>
      </c>
      <c r="F619" s="123"/>
    </row>
    <row r="620" spans="2:10">
      <c r="B620" s="117" t="s">
        <v>10</v>
      </c>
      <c r="C620" s="51">
        <v>2010.6610000000001</v>
      </c>
      <c r="D620" s="14"/>
      <c r="E620" s="110">
        <f t="shared" si="6"/>
        <v>281.49254000000002</v>
      </c>
      <c r="F620" s="123"/>
    </row>
    <row r="621" spans="2:10">
      <c r="B621" s="117" t="s">
        <v>11</v>
      </c>
      <c r="C621" s="51">
        <v>0</v>
      </c>
      <c r="D621" s="14"/>
      <c r="E621" s="110">
        <f t="shared" si="6"/>
        <v>0</v>
      </c>
      <c r="F621" s="123"/>
    </row>
    <row r="622" spans="2:10">
      <c r="B622" s="117"/>
      <c r="C622" s="51"/>
      <c r="D622" s="14"/>
      <c r="E622" s="110"/>
      <c r="F622" s="123"/>
    </row>
    <row r="623" spans="2:10">
      <c r="B623" s="149" t="s">
        <v>13</v>
      </c>
      <c r="C623" s="111"/>
      <c r="D623" s="14"/>
      <c r="E623" s="112"/>
      <c r="F623" s="123"/>
    </row>
    <row r="624" spans="2:10">
      <c r="B624" s="146" t="s">
        <v>14</v>
      </c>
      <c r="C624" s="51">
        <v>0</v>
      </c>
      <c r="D624" s="14"/>
      <c r="E624" s="110">
        <f t="shared" ref="E624:E625" si="7">C624*J$606</f>
        <v>0</v>
      </c>
      <c r="F624" s="123"/>
    </row>
    <row r="625" spans="2:6">
      <c r="B625" s="146" t="s">
        <v>15</v>
      </c>
      <c r="C625" s="51">
        <v>0</v>
      </c>
      <c r="D625" s="14"/>
      <c r="E625" s="110">
        <f t="shared" si="7"/>
        <v>0</v>
      </c>
      <c r="F625" s="123"/>
    </row>
    <row r="626" spans="2:6">
      <c r="B626" s="117"/>
      <c r="C626" s="106"/>
      <c r="D626" s="14"/>
      <c r="E626" s="110"/>
      <c r="F626" s="123"/>
    </row>
    <row r="627" spans="2:6">
      <c r="B627" s="144" t="s">
        <v>16</v>
      </c>
      <c r="C627" s="11">
        <f>C617+C611+C623</f>
        <v>25761.699000000001</v>
      </c>
      <c r="D627" s="10">
        <f>C627/C632</f>
        <v>3.4306556541360225</v>
      </c>
      <c r="E627" s="11">
        <f>E617+E611+E623</f>
        <v>3606.6378600000003</v>
      </c>
      <c r="F627" s="145">
        <f>E627/E632</f>
        <v>3.1417750487189062</v>
      </c>
    </row>
    <row r="628" spans="2:6">
      <c r="B628" s="146" t="s">
        <v>17</v>
      </c>
      <c r="C628" s="147">
        <f>Model!W120</f>
        <v>66463.451000000001</v>
      </c>
      <c r="D628" s="148"/>
      <c r="E628" s="110">
        <f>C628*J$606</f>
        <v>9304.8831400000017</v>
      </c>
      <c r="F628" s="123"/>
    </row>
    <row r="629" spans="2:6">
      <c r="B629" s="144" t="s">
        <v>18</v>
      </c>
      <c r="C629" s="11">
        <f>C627-C628</f>
        <v>-40701.752</v>
      </c>
      <c r="D629" s="10">
        <f>C629/C632</f>
        <v>-5.4202052291676166</v>
      </c>
      <c r="E629" s="11">
        <f>E627-E628</f>
        <v>-5698.245280000001</v>
      </c>
      <c r="F629" s="145">
        <f>E629/E632</f>
        <v>-4.9637932992208649</v>
      </c>
    </row>
    <row r="630" spans="2:6">
      <c r="B630" s="149" t="s">
        <v>19</v>
      </c>
      <c r="C630" s="9">
        <f>Model!W124</f>
        <v>141794.12299999999</v>
      </c>
      <c r="D630" s="8"/>
      <c r="E630" s="112">
        <f>C630*J$606</f>
        <v>19851.177220000001</v>
      </c>
      <c r="F630" s="123"/>
    </row>
    <row r="631" spans="2:6">
      <c r="B631" s="149" t="s">
        <v>20</v>
      </c>
      <c r="C631" s="9">
        <f>C629+C630</f>
        <v>101092.37099999998</v>
      </c>
      <c r="D631" s="8"/>
      <c r="E631" s="9">
        <f>E629+E630</f>
        <v>14152.93194</v>
      </c>
      <c r="F631" s="123"/>
    </row>
    <row r="632" spans="2:6" ht="15.75" thickBot="1">
      <c r="B632" s="150" t="s">
        <v>21</v>
      </c>
      <c r="C632" s="151">
        <f>Model!W87</f>
        <v>7509.2639999999756</v>
      </c>
      <c r="D632" s="152"/>
      <c r="E632" s="153">
        <f>C632*J607</f>
        <v>1147.9618381559962</v>
      </c>
      <c r="F632" s="124"/>
    </row>
    <row r="633" spans="2:6">
      <c r="B633" s="5" t="s">
        <v>22</v>
      </c>
      <c r="C633" s="4">
        <f>+C627-Model!W119</f>
        <v>0</v>
      </c>
      <c r="D633" s="3"/>
    </row>
    <row r="635" spans="2:6" ht="15.75" thickBot="1">
      <c r="B635" s="2"/>
      <c r="C635" s="115"/>
    </row>
    <row r="636" spans="2:6">
      <c r="B636" s="116" t="s">
        <v>125</v>
      </c>
      <c r="C636" s="125" t="s">
        <v>4</v>
      </c>
      <c r="D636" s="125"/>
      <c r="E636" s="126" t="s">
        <v>6</v>
      </c>
    </row>
    <row r="637" spans="2:6">
      <c r="B637" s="118" t="s">
        <v>17</v>
      </c>
      <c r="C637" s="127">
        <f>C628</f>
        <v>66463.451000000001</v>
      </c>
      <c r="D637" s="127"/>
      <c r="E637" s="130">
        <f>E628</f>
        <v>9304.8831400000017</v>
      </c>
    </row>
    <row r="638" spans="2:6">
      <c r="B638" s="118"/>
      <c r="C638" s="106"/>
      <c r="D638" s="106"/>
      <c r="E638" s="120"/>
    </row>
    <row r="639" spans="2:6" ht="15.75" thickBot="1">
      <c r="B639" s="119" t="s">
        <v>28</v>
      </c>
      <c r="C639" s="128">
        <f>SUM(C637:C638)</f>
        <v>66463.451000000001</v>
      </c>
      <c r="D639" s="128"/>
      <c r="E639" s="129">
        <f>SUM(E637:E638)</f>
        <v>9304.8831400000017</v>
      </c>
    </row>
    <row r="640" spans="2:6">
      <c r="B640" s="2"/>
      <c r="C640" s="115"/>
      <c r="D640" s="115"/>
      <c r="E640" s="111"/>
    </row>
    <row r="641" spans="1:10">
      <c r="A641" s="15" t="s">
        <v>126</v>
      </c>
      <c r="I641" s="2" t="s">
        <v>127</v>
      </c>
      <c r="J641" s="131">
        <f>Model!V204</f>
        <v>0.14930299999999999</v>
      </c>
    </row>
    <row r="642" spans="1:10">
      <c r="I642" s="2" t="s">
        <v>128</v>
      </c>
      <c r="J642" s="131">
        <f>Model!V205</f>
        <v>0.155459875</v>
      </c>
    </row>
    <row r="643" spans="1:10" ht="15.75" thickBot="1">
      <c r="I643" s="2"/>
      <c r="J643" s="131"/>
    </row>
    <row r="644" spans="1:10" ht="15.75" thickBot="1">
      <c r="B644" s="142" t="s">
        <v>129</v>
      </c>
      <c r="C644" s="121" t="s">
        <v>4</v>
      </c>
      <c r="D644" s="121" t="s">
        <v>5</v>
      </c>
      <c r="E644" s="121" t="s">
        <v>6</v>
      </c>
      <c r="F644" s="122" t="s">
        <v>5</v>
      </c>
      <c r="I644" s="156" t="s">
        <v>130</v>
      </c>
      <c r="J644" s="157" t="s">
        <v>4</v>
      </c>
    </row>
    <row r="645" spans="1:10">
      <c r="B645" s="117"/>
      <c r="C645" s="106"/>
      <c r="D645" s="14"/>
      <c r="E645" s="110"/>
      <c r="F645" s="123"/>
      <c r="I645" s="117" t="s">
        <v>17</v>
      </c>
      <c r="J645" s="155">
        <v>28183.100999999999</v>
      </c>
    </row>
    <row r="646" spans="1:10" ht="15.75" thickBot="1">
      <c r="B646" s="143" t="s">
        <v>7</v>
      </c>
      <c r="C646" s="111">
        <f>SUM(C647:C650)</f>
        <v>25474.315999999999</v>
      </c>
      <c r="D646" s="14"/>
      <c r="E646" s="112">
        <f>C646*J$641</f>
        <v>3803.3918017479996</v>
      </c>
      <c r="F646" s="123"/>
      <c r="I646" s="117" t="s">
        <v>54</v>
      </c>
      <c r="J646" s="155">
        <f>28607.263+17605.624+0+501.714</f>
        <v>46714.601000000002</v>
      </c>
    </row>
    <row r="647" spans="1:10" ht="15.75" thickBot="1">
      <c r="B647" s="117" t="s">
        <v>8</v>
      </c>
      <c r="C647" s="51">
        <v>0</v>
      </c>
      <c r="D647" s="14"/>
      <c r="E647" s="112">
        <f t="shared" ref="E647:E660" si="8">C647*J$641</f>
        <v>0</v>
      </c>
      <c r="F647" s="123"/>
      <c r="I647" s="158" t="s">
        <v>32</v>
      </c>
      <c r="J647" s="159">
        <f>SUM(J645:J646)</f>
        <v>74897.702000000005</v>
      </c>
    </row>
    <row r="648" spans="1:10">
      <c r="B648" s="117" t="s">
        <v>9</v>
      </c>
      <c r="C648" s="51">
        <v>1244.652</v>
      </c>
      <c r="D648" s="14"/>
      <c r="E648" s="110">
        <f t="shared" si="8"/>
        <v>185.830277556</v>
      </c>
      <c r="F648" s="123"/>
      <c r="I648" s="160" t="s">
        <v>47</v>
      </c>
      <c r="J648" s="161">
        <f>J647-C663</f>
        <v>0</v>
      </c>
    </row>
    <row r="649" spans="1:10">
      <c r="B649" s="117" t="s">
        <v>10</v>
      </c>
      <c r="C649" s="51">
        <v>19771.327000000001</v>
      </c>
      <c r="D649" s="14"/>
      <c r="E649" s="110">
        <f t="shared" si="8"/>
        <v>2951.9184350810001</v>
      </c>
      <c r="F649" s="123"/>
    </row>
    <row r="650" spans="1:10">
      <c r="B650" s="117" t="s">
        <v>11</v>
      </c>
      <c r="C650" s="51">
        <v>4458.3370000000004</v>
      </c>
      <c r="D650" s="14"/>
      <c r="E650" s="110">
        <f t="shared" si="8"/>
        <v>665.64308911099999</v>
      </c>
      <c r="F650" s="123"/>
    </row>
    <row r="651" spans="1:10">
      <c r="B651" s="117"/>
      <c r="C651" s="106"/>
      <c r="D651" s="14"/>
      <c r="E651" s="110">
        <f t="shared" si="8"/>
        <v>0</v>
      </c>
      <c r="F651" s="123"/>
    </row>
    <row r="652" spans="1:10">
      <c r="B652" s="143" t="s">
        <v>12</v>
      </c>
      <c r="C652" s="111">
        <f>SUM(C653:C656)</f>
        <v>7094.7779999999993</v>
      </c>
      <c r="D652" s="14"/>
      <c r="E652" s="110">
        <f t="shared" si="8"/>
        <v>1059.2716397339998</v>
      </c>
      <c r="F652" s="123"/>
    </row>
    <row r="653" spans="1:10">
      <c r="B653" s="117" t="s">
        <v>8</v>
      </c>
      <c r="C653" s="51">
        <v>0</v>
      </c>
      <c r="D653" s="14"/>
      <c r="E653" s="110">
        <f t="shared" si="8"/>
        <v>0</v>
      </c>
      <c r="F653" s="123"/>
    </row>
    <row r="654" spans="1:10">
      <c r="B654" s="117" t="s">
        <v>9</v>
      </c>
      <c r="C654" s="51">
        <v>590.01199999999994</v>
      </c>
      <c r="D654" s="14"/>
      <c r="E654" s="110">
        <f t="shared" si="8"/>
        <v>88.09056163599999</v>
      </c>
      <c r="F654" s="123"/>
    </row>
    <row r="655" spans="1:10">
      <c r="B655" s="117" t="s">
        <v>10</v>
      </c>
      <c r="C655" s="51">
        <v>6504.7659999999996</v>
      </c>
      <c r="D655" s="14"/>
      <c r="E655" s="110">
        <f t="shared" si="8"/>
        <v>971.18107809799994</v>
      </c>
      <c r="F655" s="123"/>
    </row>
    <row r="656" spans="1:10">
      <c r="B656" s="117" t="s">
        <v>11</v>
      </c>
      <c r="C656" s="51">
        <v>0</v>
      </c>
      <c r="D656" s="14"/>
      <c r="E656" s="110">
        <f t="shared" si="8"/>
        <v>0</v>
      </c>
      <c r="F656" s="123"/>
    </row>
    <row r="657" spans="2:6">
      <c r="B657" s="117"/>
      <c r="C657" s="51"/>
      <c r="D657" s="14"/>
      <c r="E657" s="110">
        <f t="shared" si="8"/>
        <v>0</v>
      </c>
      <c r="F657" s="123"/>
    </row>
    <row r="658" spans="2:6">
      <c r="B658" s="149" t="s">
        <v>13</v>
      </c>
      <c r="C658" s="111">
        <f>SUM(C659:C660)</f>
        <v>2960.3150000000001</v>
      </c>
      <c r="D658" s="14"/>
      <c r="E658" s="110">
        <f t="shared" si="8"/>
        <v>441.98391044499999</v>
      </c>
      <c r="F658" s="123"/>
    </row>
    <row r="659" spans="2:6">
      <c r="B659" s="146" t="s">
        <v>14</v>
      </c>
      <c r="C659" s="51">
        <f>Model!V112</f>
        <v>962.82600000000002</v>
      </c>
      <c r="D659" s="14"/>
      <c r="E659" s="110">
        <f t="shared" si="8"/>
        <v>143.752810278</v>
      </c>
      <c r="F659" s="123"/>
    </row>
    <row r="660" spans="2:6">
      <c r="B660" s="146" t="s">
        <v>15</v>
      </c>
      <c r="C660" s="51">
        <f>Model!V113</f>
        <v>1997.489</v>
      </c>
      <c r="D660" s="14"/>
      <c r="E660" s="110">
        <f t="shared" si="8"/>
        <v>298.23110016699997</v>
      </c>
      <c r="F660" s="123"/>
    </row>
    <row r="661" spans="2:6">
      <c r="B661" s="117"/>
      <c r="C661" s="106"/>
      <c r="D661" s="14"/>
      <c r="E661" s="110"/>
      <c r="F661" s="123"/>
    </row>
    <row r="662" spans="2:6">
      <c r="B662" s="144" t="s">
        <v>16</v>
      </c>
      <c r="C662" s="11">
        <f>C652+C646+C658</f>
        <v>35529.409</v>
      </c>
      <c r="D662" s="10">
        <f>C662/C667</f>
        <v>3.0978292078100855</v>
      </c>
      <c r="E662" s="11">
        <f>E652+E646+E658</f>
        <v>5304.6473519269994</v>
      </c>
      <c r="F662" s="145">
        <f>E662/E667</f>
        <v>2.975141940733383</v>
      </c>
    </row>
    <row r="663" spans="2:6">
      <c r="B663" s="146" t="s">
        <v>17</v>
      </c>
      <c r="C663" s="147">
        <f>Model!V120</f>
        <v>74897.702000000005</v>
      </c>
      <c r="D663" s="148"/>
      <c r="E663" s="110">
        <f>C663*J$641</f>
        <v>11182.451601706</v>
      </c>
      <c r="F663" s="123"/>
    </row>
    <row r="664" spans="2:6">
      <c r="B664" s="144" t="s">
        <v>18</v>
      </c>
      <c r="C664" s="11">
        <f>C662-C663</f>
        <v>-39368.293000000005</v>
      </c>
      <c r="D664" s="10">
        <f>C664/C667</f>
        <v>-3.4325436687400384</v>
      </c>
      <c r="E664" s="11">
        <f>E662-E663</f>
        <v>-5877.8042497790002</v>
      </c>
      <c r="F664" s="145">
        <f>E664/E667</f>
        <v>-3.2966002794862272</v>
      </c>
    </row>
    <row r="665" spans="2:6">
      <c r="B665" s="149" t="s">
        <v>19</v>
      </c>
      <c r="C665" s="9">
        <f>Model!V124</f>
        <v>140816.345</v>
      </c>
      <c r="D665" s="8"/>
      <c r="E665" s="112">
        <f>C665*J$641</f>
        <v>21024.302757534999</v>
      </c>
      <c r="F665" s="123"/>
    </row>
    <row r="666" spans="2:6">
      <c r="B666" s="149" t="s">
        <v>20</v>
      </c>
      <c r="C666" s="9">
        <f>C664+C665</f>
        <v>101448.052</v>
      </c>
      <c r="D666" s="8"/>
      <c r="E666" s="112">
        <f>C666*J$641</f>
        <v>15146.498507755998</v>
      </c>
      <c r="F666" s="123"/>
    </row>
    <row r="667" spans="2:6" ht="15.75" thickBot="1">
      <c r="B667" s="150" t="s">
        <v>21</v>
      </c>
      <c r="C667" s="151">
        <f>Model!V87</f>
        <v>11469.13099999997</v>
      </c>
      <c r="D667" s="152"/>
      <c r="E667" s="153">
        <f>C667*J642</f>
        <v>1782.9896716186204</v>
      </c>
      <c r="F667" s="124"/>
    </row>
    <row r="668" spans="2:6">
      <c r="B668" s="5" t="s">
        <v>22</v>
      </c>
      <c r="C668" s="4">
        <f>C662-Model!V119</f>
        <v>0</v>
      </c>
      <c r="D668" s="3"/>
    </row>
    <row r="669" spans="2:6">
      <c r="B669" s="5"/>
      <c r="C669" s="4"/>
      <c r="D669" s="3"/>
    </row>
    <row r="671" spans="2:6" ht="15.75" thickBot="1">
      <c r="B671" s="2"/>
      <c r="C671" s="115"/>
    </row>
    <row r="672" spans="2:6">
      <c r="B672" s="116" t="s">
        <v>131</v>
      </c>
      <c r="C672" s="125" t="s">
        <v>4</v>
      </c>
      <c r="D672" s="125"/>
      <c r="E672" s="126" t="s">
        <v>6</v>
      </c>
    </row>
    <row r="673" spans="1:10">
      <c r="B673" s="118" t="s">
        <v>17</v>
      </c>
      <c r="C673" s="127">
        <f>C664</f>
        <v>-39368.293000000005</v>
      </c>
      <c r="D673" s="127"/>
      <c r="E673" s="130">
        <f>E664</f>
        <v>-5877.8042497790002</v>
      </c>
    </row>
    <row r="674" spans="1:10">
      <c r="B674" s="118"/>
      <c r="C674" s="106"/>
      <c r="D674" s="106"/>
      <c r="E674" s="120"/>
    </row>
    <row r="675" spans="1:10" ht="15.75" thickBot="1">
      <c r="B675" s="119" t="s">
        <v>28</v>
      </c>
      <c r="C675" s="128">
        <f>SUM(C673:C674)</f>
        <v>-39368.293000000005</v>
      </c>
      <c r="D675" s="128"/>
      <c r="E675" s="129">
        <f>SUM(E673:E674)</f>
        <v>-5877.8042497790002</v>
      </c>
    </row>
    <row r="676" spans="1:10">
      <c r="B676" s="2"/>
      <c r="C676" s="115"/>
      <c r="D676" s="115"/>
      <c r="E676" s="111"/>
    </row>
    <row r="677" spans="1:10">
      <c r="A677" s="15" t="s">
        <v>132</v>
      </c>
      <c r="I677" s="2" t="s">
        <v>133</v>
      </c>
      <c r="J677" s="131">
        <f>Model!T204</f>
        <v>0.15720000000000001</v>
      </c>
    </row>
    <row r="678" spans="1:10">
      <c r="I678" s="2" t="s">
        <v>134</v>
      </c>
      <c r="J678" s="131">
        <f>Model!T203</f>
        <v>0.15615000000000001</v>
      </c>
    </row>
    <row r="679" spans="1:10" ht="15.75" thickBot="1">
      <c r="I679" s="2"/>
      <c r="J679" s="131"/>
    </row>
    <row r="680" spans="1:10" ht="15.75" thickBot="1">
      <c r="B680" s="142" t="s">
        <v>135</v>
      </c>
      <c r="C680" s="121" t="s">
        <v>4</v>
      </c>
      <c r="D680" s="121" t="s">
        <v>5</v>
      </c>
      <c r="E680" s="121" t="s">
        <v>6</v>
      </c>
      <c r="F680" s="122" t="s">
        <v>5</v>
      </c>
      <c r="I680" s="156" t="s">
        <v>136</v>
      </c>
      <c r="J680" s="157" t="s">
        <v>4</v>
      </c>
    </row>
    <row r="681" spans="1:10">
      <c r="B681" s="117"/>
      <c r="C681" s="106"/>
      <c r="D681" s="14"/>
      <c r="E681" s="110"/>
      <c r="F681" s="123"/>
      <c r="I681" s="117" t="s">
        <v>17</v>
      </c>
      <c r="J681" s="155">
        <f>23511.579</f>
        <v>23511.579000000002</v>
      </c>
    </row>
    <row r="682" spans="1:10" ht="15.75" thickBot="1">
      <c r="B682" s="143" t="s">
        <v>7</v>
      </c>
      <c r="C682" s="111">
        <f>SUM(C683:C686)</f>
        <v>20719.79</v>
      </c>
      <c r="D682" s="14"/>
      <c r="E682" s="112">
        <f>C682*J$677</f>
        <v>3257.1509880000003</v>
      </c>
      <c r="F682" s="123"/>
      <c r="I682" s="117" t="s">
        <v>54</v>
      </c>
      <c r="J682" s="155">
        <f>31041.129+29311.848+1597.919+710.865</f>
        <v>62661.760999999999</v>
      </c>
    </row>
    <row r="683" spans="1:10" ht="15.75" thickBot="1">
      <c r="B683" s="117" t="s">
        <v>8</v>
      </c>
      <c r="C683" s="51">
        <v>0</v>
      </c>
      <c r="D683" s="14"/>
      <c r="E683" s="110">
        <f>C683*J$677</f>
        <v>0</v>
      </c>
      <c r="F683" s="123"/>
      <c r="I683" s="158" t="s">
        <v>32</v>
      </c>
      <c r="J683" s="159">
        <f>SUM(J681:J682)</f>
        <v>86173.34</v>
      </c>
    </row>
    <row r="684" spans="1:10">
      <c r="B684" s="117" t="s">
        <v>9</v>
      </c>
      <c r="C684" s="51">
        <v>1576.761</v>
      </c>
      <c r="D684" s="14"/>
      <c r="E684" s="110">
        <f>C684*J$677</f>
        <v>247.86682920000001</v>
      </c>
      <c r="F684" s="123"/>
      <c r="I684" s="160" t="s">
        <v>47</v>
      </c>
      <c r="J684" s="161">
        <f>J683-C699</f>
        <v>0</v>
      </c>
    </row>
    <row r="685" spans="1:10">
      <c r="B685" s="117" t="s">
        <v>10</v>
      </c>
      <c r="C685" s="51">
        <v>15004.486999999999</v>
      </c>
      <c r="D685" s="14"/>
      <c r="E685" s="110">
        <f>C685*J$677</f>
        <v>2358.7053563999998</v>
      </c>
      <c r="F685" s="123"/>
    </row>
    <row r="686" spans="1:10">
      <c r="B686" s="117" t="s">
        <v>11</v>
      </c>
      <c r="C686" s="51">
        <v>4138.5420000000004</v>
      </c>
      <c r="D686" s="14"/>
      <c r="E686" s="110">
        <f>C686*J$677</f>
        <v>650.57880240000009</v>
      </c>
      <c r="F686" s="123"/>
    </row>
    <row r="687" spans="1:10">
      <c r="B687" s="117"/>
      <c r="C687" s="106"/>
      <c r="D687" s="14"/>
      <c r="E687" s="110"/>
      <c r="F687" s="123"/>
    </row>
    <row r="688" spans="1:10">
      <c r="B688" s="143" t="s">
        <v>12</v>
      </c>
      <c r="C688" s="111">
        <f>SUM(C689:C692)</f>
        <v>5527.0499999999993</v>
      </c>
      <c r="D688" s="14"/>
      <c r="E688" s="112">
        <f>C688*J$677</f>
        <v>868.85225999999989</v>
      </c>
      <c r="F688" s="123"/>
    </row>
    <row r="689" spans="2:6">
      <c r="B689" s="117" t="s">
        <v>8</v>
      </c>
      <c r="C689" s="51">
        <v>0</v>
      </c>
      <c r="D689" s="14"/>
      <c r="E689" s="110">
        <f>C689*J$677</f>
        <v>0</v>
      </c>
      <c r="F689" s="123"/>
    </row>
    <row r="690" spans="2:6">
      <c r="B690" s="117" t="s">
        <v>9</v>
      </c>
      <c r="C690" s="51">
        <v>0</v>
      </c>
      <c r="D690" s="14"/>
      <c r="E690" s="110">
        <f>C690*J$677</f>
        <v>0</v>
      </c>
      <c r="F690" s="123"/>
    </row>
    <row r="691" spans="2:6">
      <c r="B691" s="117" t="s">
        <v>10</v>
      </c>
      <c r="C691" s="51">
        <v>507.21699999999998</v>
      </c>
      <c r="D691" s="14"/>
      <c r="E691" s="110">
        <f>C691*J$677</f>
        <v>79.7345124</v>
      </c>
      <c r="F691" s="123"/>
    </row>
    <row r="692" spans="2:6">
      <c r="B692" s="117" t="s">
        <v>11</v>
      </c>
      <c r="C692" s="51">
        <v>5019.8329999999996</v>
      </c>
      <c r="D692" s="14"/>
      <c r="E692" s="110">
        <f>C692*J$677</f>
        <v>789.11774760000003</v>
      </c>
      <c r="F692" s="123"/>
    </row>
    <row r="693" spans="2:6">
      <c r="B693" s="117"/>
      <c r="C693" s="51"/>
      <c r="D693" s="14"/>
      <c r="E693" s="110"/>
      <c r="F693" s="123"/>
    </row>
    <row r="694" spans="2:6">
      <c r="B694" s="149" t="s">
        <v>13</v>
      </c>
      <c r="C694" s="111">
        <f>SUM(C695:C696)</f>
        <v>3281.154</v>
      </c>
      <c r="D694" s="14"/>
      <c r="E694" s="112">
        <f>C694*J$677</f>
        <v>515.79740879999997</v>
      </c>
      <c r="F694" s="123"/>
    </row>
    <row r="695" spans="2:6">
      <c r="B695" s="146" t="s">
        <v>14</v>
      </c>
      <c r="C695" s="51">
        <v>1532.625</v>
      </c>
      <c r="D695" s="14"/>
      <c r="E695" s="110">
        <f>C695*J$677</f>
        <v>240.92865</v>
      </c>
      <c r="F695" s="123"/>
    </row>
    <row r="696" spans="2:6">
      <c r="B696" s="146" t="s">
        <v>15</v>
      </c>
      <c r="C696" s="51">
        <v>1748.529</v>
      </c>
      <c r="D696" s="14"/>
      <c r="E696" s="110">
        <f>C696*J$677</f>
        <v>274.86875880000002</v>
      </c>
      <c r="F696" s="123"/>
    </row>
    <row r="697" spans="2:6">
      <c r="B697" s="117"/>
      <c r="C697" s="106"/>
      <c r="D697" s="14"/>
      <c r="E697" s="110"/>
      <c r="F697" s="123"/>
    </row>
    <row r="698" spans="2:6">
      <c r="B698" s="144" t="s">
        <v>16</v>
      </c>
      <c r="C698" s="11">
        <f>C688+C682+C694</f>
        <v>29527.993999999999</v>
      </c>
      <c r="D698" s="10">
        <f>C698/C703</f>
        <v>1.0150456973473303</v>
      </c>
      <c r="E698" s="11">
        <f>E688+E682+E694</f>
        <v>4641.8006568000001</v>
      </c>
      <c r="F698" s="145">
        <f>E698/E703</f>
        <v>1.0218711727377543</v>
      </c>
    </row>
    <row r="699" spans="2:6">
      <c r="B699" s="146" t="s">
        <v>17</v>
      </c>
      <c r="C699" s="147">
        <f>Model!T120</f>
        <v>86173.34</v>
      </c>
      <c r="D699" s="148"/>
      <c r="E699" s="110">
        <f>C699*J$677</f>
        <v>13546.449048</v>
      </c>
      <c r="F699" s="123"/>
    </row>
    <row r="700" spans="2:6">
      <c r="B700" s="144" t="s">
        <v>18</v>
      </c>
      <c r="C700" s="11">
        <f>C698-C699</f>
        <v>-56645.345999999998</v>
      </c>
      <c r="D700" s="10">
        <f>C700/C703</f>
        <v>-1.9472238693915613</v>
      </c>
      <c r="E700" s="11">
        <f>E698-E699</f>
        <v>-8904.6483912000003</v>
      </c>
      <c r="F700" s="145">
        <f>E700/E703</f>
        <v>-1.9603175937774797</v>
      </c>
    </row>
    <row r="701" spans="2:6">
      <c r="B701" s="149" t="s">
        <v>19</v>
      </c>
      <c r="C701" s="9">
        <f>Model!T124</f>
        <v>137432.49600000001</v>
      </c>
      <c r="D701" s="8"/>
      <c r="E701" s="112">
        <f>C701*J$677</f>
        <v>21604.388371200002</v>
      </c>
      <c r="F701" s="123"/>
    </row>
    <row r="702" spans="2:6">
      <c r="B702" s="149" t="s">
        <v>20</v>
      </c>
      <c r="C702" s="9">
        <f>C700+C701</f>
        <v>80787.150000000023</v>
      </c>
      <c r="D702" s="8"/>
      <c r="E702" s="9">
        <f>E700+E701</f>
        <v>12699.739980000002</v>
      </c>
      <c r="F702" s="123"/>
    </row>
    <row r="703" spans="2:6" ht="15.75" thickBot="1">
      <c r="B703" s="150" t="s">
        <v>21</v>
      </c>
      <c r="C703" s="151">
        <f>Model!T87</f>
        <v>29090.309999999983</v>
      </c>
      <c r="D703" s="152"/>
      <c r="E703" s="153">
        <f>C703*J678</f>
        <v>4542.4519064999977</v>
      </c>
      <c r="F703" s="124"/>
    </row>
    <row r="704" spans="2:6">
      <c r="B704" s="5" t="s">
        <v>22</v>
      </c>
      <c r="C704" s="4">
        <f>+C698-Model!T119</f>
        <v>0</v>
      </c>
      <c r="D704" s="3"/>
    </row>
    <row r="706" spans="1:10" ht="15.75" thickBot="1">
      <c r="B706" s="2"/>
      <c r="C706" s="115"/>
    </row>
    <row r="707" spans="1:10">
      <c r="B707" s="116" t="s">
        <v>137</v>
      </c>
      <c r="C707" s="125" t="s">
        <v>4</v>
      </c>
      <c r="D707" s="125"/>
      <c r="E707" s="126" t="s">
        <v>6</v>
      </c>
    </row>
    <row r="708" spans="1:10">
      <c r="B708" s="118" t="s">
        <v>17</v>
      </c>
      <c r="C708" s="127">
        <f>C699</f>
        <v>86173.34</v>
      </c>
      <c r="D708" s="127"/>
      <c r="E708" s="130">
        <f>E699</f>
        <v>13546.449048</v>
      </c>
    </row>
    <row r="709" spans="1:10">
      <c r="B709" s="118"/>
      <c r="C709" s="106"/>
      <c r="D709" s="106"/>
      <c r="E709" s="120"/>
    </row>
    <row r="710" spans="1:10" ht="15.75" thickBot="1">
      <c r="B710" s="119" t="s">
        <v>28</v>
      </c>
      <c r="C710" s="128">
        <f>SUM(C708:C709)</f>
        <v>86173.34</v>
      </c>
      <c r="D710" s="128"/>
      <c r="E710" s="129">
        <f>SUM(E708:E709)</f>
        <v>13546.449048</v>
      </c>
    </row>
    <row r="712" spans="1:10">
      <c r="A712" s="15" t="s">
        <v>138</v>
      </c>
      <c r="I712" s="2" t="s">
        <v>139</v>
      </c>
      <c r="J712" s="131">
        <f>Model!S204</f>
        <v>0.15509999999999999</v>
      </c>
    </row>
    <row r="713" spans="1:10" ht="15.75" thickBot="1">
      <c r="I713" s="2" t="s">
        <v>140</v>
      </c>
      <c r="J713" s="131">
        <f>Model!S203</f>
        <v>0.155</v>
      </c>
    </row>
    <row r="714" spans="1:10">
      <c r="B714" s="142" t="s">
        <v>141</v>
      </c>
      <c r="C714" s="121" t="s">
        <v>4</v>
      </c>
      <c r="D714" s="121" t="s">
        <v>5</v>
      </c>
      <c r="E714" s="121" t="s">
        <v>6</v>
      </c>
      <c r="F714" s="122" t="s">
        <v>5</v>
      </c>
    </row>
    <row r="715" spans="1:10">
      <c r="B715" s="117"/>
      <c r="C715" s="106"/>
      <c r="D715" s="14"/>
      <c r="E715" s="110"/>
      <c r="F715" s="123"/>
    </row>
    <row r="716" spans="1:10">
      <c r="B716" s="143" t="s">
        <v>7</v>
      </c>
      <c r="C716" s="111">
        <f>SUM(C717:C720)</f>
        <v>21006.591999999997</v>
      </c>
      <c r="D716" s="14"/>
      <c r="E716" s="112">
        <f>C716*J$712</f>
        <v>3258.1224191999991</v>
      </c>
      <c r="F716" s="123"/>
    </row>
    <row r="717" spans="1:10">
      <c r="B717" s="117" t="s">
        <v>8</v>
      </c>
      <c r="C717" s="51">
        <v>0</v>
      </c>
      <c r="D717" s="14"/>
      <c r="E717" s="110">
        <f>C717*J$712</f>
        <v>0</v>
      </c>
      <c r="F717" s="123"/>
    </row>
    <row r="718" spans="1:10">
      <c r="B718" s="117" t="s">
        <v>9</v>
      </c>
      <c r="C718" s="51">
        <v>1590.627</v>
      </c>
      <c r="D718" s="14"/>
      <c r="E718" s="110">
        <f t="shared" ref="E718:E720" si="9">C718*J$712</f>
        <v>246.70624769999998</v>
      </c>
      <c r="F718" s="123"/>
    </row>
    <row r="719" spans="1:10">
      <c r="B719" s="117" t="s">
        <v>10</v>
      </c>
      <c r="C719" s="51">
        <v>15254.598</v>
      </c>
      <c r="D719" s="14"/>
      <c r="E719" s="110">
        <f t="shared" si="9"/>
        <v>2365.9881498</v>
      </c>
      <c r="F719" s="123"/>
    </row>
    <row r="720" spans="1:10">
      <c r="B720" s="117" t="s">
        <v>11</v>
      </c>
      <c r="C720" s="51">
        <v>4161.3670000000002</v>
      </c>
      <c r="D720" s="14"/>
      <c r="E720" s="110">
        <f t="shared" si="9"/>
        <v>645.42802169999993</v>
      </c>
      <c r="F720" s="123"/>
    </row>
    <row r="721" spans="2:6">
      <c r="B721" s="117"/>
      <c r="C721" s="106"/>
      <c r="D721" s="14"/>
      <c r="E721" s="110"/>
      <c r="F721" s="123"/>
    </row>
    <row r="722" spans="2:6">
      <c r="B722" s="143" t="s">
        <v>12</v>
      </c>
      <c r="C722" s="111">
        <f>SUM(C723:C726)</f>
        <v>4891.7579999999998</v>
      </c>
      <c r="D722" s="14"/>
      <c r="E722" s="112">
        <f>C722*J$712</f>
        <v>758.71166579999988</v>
      </c>
      <c r="F722" s="123"/>
    </row>
    <row r="723" spans="2:6">
      <c r="B723" s="117" t="s">
        <v>8</v>
      </c>
      <c r="C723" s="51">
        <v>278.43799999999999</v>
      </c>
      <c r="D723" s="14"/>
      <c r="E723" s="110">
        <f t="shared" ref="E723:E726" si="10">C723*J$712</f>
        <v>43.185733799999994</v>
      </c>
      <c r="F723" s="123"/>
    </row>
    <row r="724" spans="2:6">
      <c r="B724" s="117" t="s">
        <v>9</v>
      </c>
      <c r="C724" s="51">
        <v>32.430999999999997</v>
      </c>
      <c r="D724" s="14"/>
      <c r="E724" s="110">
        <f t="shared" si="10"/>
        <v>5.0300480999999992</v>
      </c>
      <c r="F724" s="123"/>
    </row>
    <row r="725" spans="2:6">
      <c r="B725" s="117" t="s">
        <v>10</v>
      </c>
      <c r="C725" s="51">
        <v>507.21699999999998</v>
      </c>
      <c r="D725" s="14"/>
      <c r="E725" s="110">
        <f t="shared" si="10"/>
        <v>78.669356699999994</v>
      </c>
      <c r="F725" s="123"/>
    </row>
    <row r="726" spans="2:6">
      <c r="B726" s="117" t="s">
        <v>11</v>
      </c>
      <c r="C726" s="51">
        <v>4073.672</v>
      </c>
      <c r="D726" s="14"/>
      <c r="E726" s="110">
        <f t="shared" si="10"/>
        <v>631.82652719999999</v>
      </c>
      <c r="F726" s="123"/>
    </row>
    <row r="727" spans="2:6">
      <c r="B727" s="117"/>
      <c r="C727" s="106"/>
      <c r="D727" s="14"/>
      <c r="E727" s="110"/>
      <c r="F727" s="123"/>
    </row>
    <row r="728" spans="2:6">
      <c r="B728" s="144" t="s">
        <v>16</v>
      </c>
      <c r="C728" s="11">
        <f>C722+C716</f>
        <v>25898.35</v>
      </c>
      <c r="D728" s="10">
        <f>C728/C733</f>
        <v>0.76193435861516146</v>
      </c>
      <c r="E728" s="11">
        <f>E715+E716</f>
        <v>3258.1224191999991</v>
      </c>
      <c r="F728" s="145">
        <f>E728/E733</f>
        <v>0.61841663365721444</v>
      </c>
    </row>
    <row r="729" spans="2:6">
      <c r="B729" s="146" t="s">
        <v>17</v>
      </c>
      <c r="C729" s="147">
        <f>Model!S120</f>
        <v>81883.358999999997</v>
      </c>
      <c r="D729" s="148"/>
      <c r="E729" s="110">
        <f>C729*J$712</f>
        <v>12700.108980899999</v>
      </c>
      <c r="F729" s="123"/>
    </row>
    <row r="730" spans="2:6">
      <c r="B730" s="144" t="s">
        <v>18</v>
      </c>
      <c r="C730" s="11">
        <f>C728-C729</f>
        <v>-55985.008999999998</v>
      </c>
      <c r="D730" s="10">
        <f>C730/C733</f>
        <v>-1.6470895607047957</v>
      </c>
      <c r="E730" s="11">
        <f>E728-E729</f>
        <v>-9441.9865616999996</v>
      </c>
      <c r="F730" s="145">
        <f>E730/E733</f>
        <v>-1.7921614946429487</v>
      </c>
    </row>
    <row r="731" spans="2:6">
      <c r="B731" s="149" t="s">
        <v>19</v>
      </c>
      <c r="C731" s="9">
        <f>Model!S124</f>
        <v>135764.04399999999</v>
      </c>
      <c r="D731" s="8"/>
      <c r="E731" s="112">
        <f>C731*J$712</f>
        <v>21057.003224399996</v>
      </c>
      <c r="F731" s="123"/>
    </row>
    <row r="732" spans="2:6">
      <c r="B732" s="149" t="s">
        <v>20</v>
      </c>
      <c r="C732" s="9">
        <f>C730+C731</f>
        <v>79779.035000000003</v>
      </c>
      <c r="D732" s="8"/>
      <c r="E732" s="9">
        <f>E730+E731</f>
        <v>11615.016662699996</v>
      </c>
      <c r="F732" s="123"/>
    </row>
    <row r="733" spans="2:6" ht="15.75" thickBot="1">
      <c r="B733" s="150" t="s">
        <v>21</v>
      </c>
      <c r="C733" s="151">
        <f>Model!S87</f>
        <v>33990.263999999981</v>
      </c>
      <c r="D733" s="152"/>
      <c r="E733" s="153">
        <f>C733*J713</f>
        <v>5268.4909199999975</v>
      </c>
      <c r="F733" s="124"/>
    </row>
    <row r="734" spans="2:6">
      <c r="B734" s="5" t="s">
        <v>22</v>
      </c>
      <c r="C734" s="4">
        <f>+C728-Model!S119</f>
        <v>0</v>
      </c>
      <c r="D734" s="3"/>
    </row>
    <row r="736" spans="2:6" ht="15.75" thickBot="1">
      <c r="B736" s="2"/>
      <c r="C736" s="115"/>
    </row>
    <row r="737" spans="1:10">
      <c r="B737" s="116" t="s">
        <v>142</v>
      </c>
      <c r="C737" s="125" t="s">
        <v>4</v>
      </c>
      <c r="D737" s="125"/>
      <c r="E737" s="126" t="s">
        <v>6</v>
      </c>
    </row>
    <row r="738" spans="1:10">
      <c r="B738" s="118" t="s">
        <v>17</v>
      </c>
      <c r="C738" s="127">
        <f>C729</f>
        <v>81883.358999999997</v>
      </c>
      <c r="D738" s="127"/>
      <c r="E738" s="130">
        <f>E729</f>
        <v>12700.108980899999</v>
      </c>
    </row>
    <row r="739" spans="1:10">
      <c r="B739" s="118"/>
      <c r="C739" s="106"/>
      <c r="D739" s="106"/>
      <c r="E739" s="120"/>
    </row>
    <row r="740" spans="1:10" ht="15.75" thickBot="1">
      <c r="B740" s="119" t="s">
        <v>28</v>
      </c>
      <c r="C740" s="128">
        <f>SUM(C738:C739)</f>
        <v>81883.358999999997</v>
      </c>
      <c r="D740" s="128"/>
      <c r="E740" s="129">
        <f>SUM(E738:E739)</f>
        <v>12700.108980899999</v>
      </c>
    </row>
    <row r="742" spans="1:10">
      <c r="A742" s="15" t="s">
        <v>143</v>
      </c>
      <c r="I742" s="2" t="s">
        <v>144</v>
      </c>
      <c r="J742" s="131">
        <f>Model!E204</f>
        <v>0.1532</v>
      </c>
    </row>
    <row r="743" spans="1:10" ht="15.75" thickBot="1">
      <c r="I743" s="2" t="s">
        <v>145</v>
      </c>
      <c r="J743" s="131">
        <f>Model!E203</f>
        <v>0.1484</v>
      </c>
    </row>
    <row r="744" spans="1:10">
      <c r="B744" s="142" t="s">
        <v>146</v>
      </c>
      <c r="C744" s="121" t="s">
        <v>4</v>
      </c>
      <c r="D744" s="121" t="s">
        <v>5</v>
      </c>
      <c r="E744" s="121" t="s">
        <v>6</v>
      </c>
      <c r="F744" s="122" t="s">
        <v>5</v>
      </c>
    </row>
    <row r="745" spans="1:10">
      <c r="B745" s="117"/>
      <c r="C745" s="106"/>
      <c r="D745" s="14"/>
      <c r="E745" s="110"/>
      <c r="F745" s="123"/>
    </row>
    <row r="746" spans="1:10">
      <c r="B746" s="143" t="s">
        <v>7</v>
      </c>
      <c r="C746" s="111">
        <f>SUM(C747:C750)</f>
        <v>10634.806</v>
      </c>
      <c r="D746" s="14"/>
      <c r="E746" s="112">
        <f>C746*J$742</f>
        <v>1629.2522792000002</v>
      </c>
      <c r="F746" s="123"/>
    </row>
    <row r="747" spans="1:10">
      <c r="B747" s="117" t="s">
        <v>8</v>
      </c>
      <c r="C747" s="51">
        <v>465</v>
      </c>
      <c r="D747" s="14"/>
      <c r="E747" s="110">
        <f>C747*J$742</f>
        <v>71.238</v>
      </c>
      <c r="F747" s="123"/>
    </row>
    <row r="748" spans="1:10">
      <c r="B748" s="117" t="s">
        <v>9</v>
      </c>
      <c r="C748" s="51">
        <v>1594.9359999999999</v>
      </c>
      <c r="D748" s="14"/>
      <c r="E748" s="110">
        <f t="shared" ref="E748:E750" si="11">C748*J$742</f>
        <v>244.3441952</v>
      </c>
      <c r="F748" s="123"/>
    </row>
    <row r="749" spans="1:10">
      <c r="B749" s="117" t="s">
        <v>10</v>
      </c>
      <c r="C749" s="51">
        <v>4530.8559999999998</v>
      </c>
      <c r="D749" s="14"/>
      <c r="E749" s="110">
        <f t="shared" si="11"/>
        <v>694.12713919999999</v>
      </c>
      <c r="F749" s="123"/>
    </row>
    <row r="750" spans="1:10">
      <c r="B750" s="117" t="s">
        <v>11</v>
      </c>
      <c r="C750" s="51">
        <v>4044.0140000000001</v>
      </c>
      <c r="D750" s="14"/>
      <c r="E750" s="110">
        <f t="shared" si="11"/>
        <v>619.54294479999999</v>
      </c>
      <c r="F750" s="123"/>
    </row>
    <row r="751" spans="1:10">
      <c r="B751" s="117"/>
      <c r="C751" s="106"/>
      <c r="D751" s="14"/>
      <c r="E751" s="110"/>
      <c r="F751" s="123"/>
    </row>
    <row r="752" spans="1:10">
      <c r="B752" s="143" t="s">
        <v>12</v>
      </c>
      <c r="C752" s="111">
        <f>SUM(C753:C756)</f>
        <v>6961.9369999999999</v>
      </c>
      <c r="D752" s="14"/>
      <c r="E752" s="112">
        <f>C752*J$742</f>
        <v>1066.5687484</v>
      </c>
      <c r="F752" s="123"/>
    </row>
    <row r="753" spans="2:6">
      <c r="B753" s="117" t="s">
        <v>8</v>
      </c>
      <c r="C753" s="51">
        <v>3589.6289999999999</v>
      </c>
      <c r="D753" s="14"/>
      <c r="E753" s="110">
        <f>C753*J$742</f>
        <v>549.93116280000004</v>
      </c>
      <c r="F753" s="123"/>
    </row>
    <row r="754" spans="2:6">
      <c r="B754" s="117" t="s">
        <v>147</v>
      </c>
      <c r="C754" s="51">
        <v>547.5</v>
      </c>
      <c r="D754" s="14"/>
      <c r="E754" s="110">
        <f t="shared" ref="E754:E756" si="12">C754*J$742</f>
        <v>83.876999999999995</v>
      </c>
      <c r="F754" s="123"/>
    </row>
    <row r="755" spans="2:6">
      <c r="B755" s="117" t="s">
        <v>9</v>
      </c>
      <c r="C755" s="51">
        <v>460.25700000000001</v>
      </c>
      <c r="D755" s="14"/>
      <c r="E755" s="110">
        <f t="shared" si="12"/>
        <v>70.511372399999999</v>
      </c>
      <c r="F755" s="123"/>
    </row>
    <row r="756" spans="2:6">
      <c r="B756" s="117" t="s">
        <v>10</v>
      </c>
      <c r="C756" s="51">
        <v>2364.5509999999999</v>
      </c>
      <c r="D756" s="14"/>
      <c r="E756" s="110">
        <f t="shared" si="12"/>
        <v>362.24921319999999</v>
      </c>
      <c r="F756" s="123"/>
    </row>
    <row r="757" spans="2:6">
      <c r="B757" s="117"/>
      <c r="C757" s="51"/>
      <c r="D757" s="14"/>
      <c r="E757" s="110"/>
      <c r="F757" s="123"/>
    </row>
    <row r="758" spans="2:6">
      <c r="B758" s="149" t="s">
        <v>13</v>
      </c>
      <c r="C758" s="111">
        <f>SUM(C759:C760)</f>
        <v>879.87899999999991</v>
      </c>
      <c r="D758" s="14"/>
      <c r="E758" s="112">
        <f>C758*J$742</f>
        <v>134.79746279999998</v>
      </c>
      <c r="F758" s="123"/>
    </row>
    <row r="759" spans="2:6">
      <c r="B759" s="146" t="s">
        <v>14</v>
      </c>
      <c r="C759" s="51">
        <v>363.39699999999999</v>
      </c>
      <c r="D759" s="14"/>
      <c r="E759" s="110">
        <f>C759*J$742</f>
        <v>55.6724204</v>
      </c>
      <c r="F759" s="123"/>
    </row>
    <row r="760" spans="2:6">
      <c r="B760" s="146" t="s">
        <v>15</v>
      </c>
      <c r="C760" s="51">
        <v>516.48199999999997</v>
      </c>
      <c r="D760" s="14"/>
      <c r="E760" s="110">
        <f>C760*J$742</f>
        <v>79.125042399999998</v>
      </c>
      <c r="F760" s="123"/>
    </row>
    <row r="761" spans="2:6">
      <c r="B761" s="117"/>
      <c r="C761" s="106"/>
      <c r="D761" s="14"/>
      <c r="E761" s="110"/>
      <c r="F761" s="123"/>
    </row>
    <row r="762" spans="2:6">
      <c r="B762" s="144" t="s">
        <v>16</v>
      </c>
      <c r="C762" s="11">
        <f>C752+C746+C758</f>
        <v>18476.622000000003</v>
      </c>
      <c r="D762" s="10">
        <f>C762/C767</f>
        <v>0.71772853325481445</v>
      </c>
      <c r="E762" s="11">
        <f>E745+E746</f>
        <v>1629.2522792000002</v>
      </c>
      <c r="F762" s="145">
        <f>E762/E767</f>
        <v>0.42647352342099909</v>
      </c>
    </row>
    <row r="763" spans="2:6">
      <c r="B763" s="146" t="s">
        <v>17</v>
      </c>
      <c r="C763" s="147">
        <f>Model!E120</f>
        <v>95525.232000000004</v>
      </c>
      <c r="D763" s="148"/>
      <c r="E763" s="110">
        <f>C763*J$742</f>
        <v>14634.465542400001</v>
      </c>
      <c r="F763" s="123"/>
    </row>
    <row r="764" spans="2:6">
      <c r="B764" s="144" t="s">
        <v>18</v>
      </c>
      <c r="C764" s="11">
        <f>C762-C763</f>
        <v>-77048.61</v>
      </c>
      <c r="D764" s="10">
        <f>C764/C767</f>
        <v>-2.9929705681386034</v>
      </c>
      <c r="E764" s="11">
        <f>E762-E763</f>
        <v>-13005.213263200001</v>
      </c>
      <c r="F764" s="145">
        <f>E764/E767</f>
        <v>-3.404248190416411</v>
      </c>
    </row>
    <row r="765" spans="2:6">
      <c r="B765" s="149" t="s">
        <v>19</v>
      </c>
      <c r="C765" s="9">
        <f>Model!E124</f>
        <v>124013.515</v>
      </c>
      <c r="D765" s="8"/>
      <c r="E765" s="112">
        <f>C765*J$742</f>
        <v>18998.870498</v>
      </c>
      <c r="F765" s="123"/>
    </row>
    <row r="766" spans="2:6">
      <c r="B766" s="149" t="s">
        <v>20</v>
      </c>
      <c r="C766" s="9">
        <f>C764+C765</f>
        <v>46964.904999999999</v>
      </c>
      <c r="D766" s="8"/>
      <c r="E766" s="9">
        <f>E764+E765</f>
        <v>5993.6572347999991</v>
      </c>
      <c r="F766" s="123"/>
    </row>
    <row r="767" spans="2:6" ht="15.75" thickBot="1">
      <c r="B767" s="150" t="s">
        <v>21</v>
      </c>
      <c r="C767" s="151">
        <f>Model!E87</f>
        <v>25743.189999999995</v>
      </c>
      <c r="D767" s="152"/>
      <c r="E767" s="153">
        <f>C767*J743</f>
        <v>3820.2893959999992</v>
      </c>
      <c r="F767" s="124"/>
    </row>
    <row r="768" spans="2:6">
      <c r="B768" s="5" t="s">
        <v>22</v>
      </c>
      <c r="C768" s="4">
        <f>+C762-Model!E119</f>
        <v>0</v>
      </c>
      <c r="D768" s="3"/>
    </row>
    <row r="769" spans="2:5">
      <c r="B769" s="5"/>
      <c r="C769" s="4"/>
      <c r="D769" s="3"/>
    </row>
    <row r="770" spans="2:5" ht="15.75" thickBot="1">
      <c r="B770" s="5"/>
      <c r="C770" s="4"/>
      <c r="D770" s="3"/>
    </row>
    <row r="771" spans="2:5">
      <c r="B771" s="116" t="s">
        <v>148</v>
      </c>
      <c r="C771" s="121" t="s">
        <v>4</v>
      </c>
      <c r="D771" s="136"/>
      <c r="E771" s="122" t="s">
        <v>6</v>
      </c>
    </row>
    <row r="772" spans="2:5">
      <c r="B772" s="117">
        <v>2021</v>
      </c>
      <c r="C772" s="106">
        <v>4</v>
      </c>
      <c r="D772" s="3"/>
      <c r="E772" s="130">
        <f>C772*$J$742</f>
        <v>0.61280000000000001</v>
      </c>
    </row>
    <row r="773" spans="2:5">
      <c r="B773" s="117">
        <v>2022</v>
      </c>
      <c r="C773" s="114">
        <v>0</v>
      </c>
      <c r="D773" s="3"/>
      <c r="E773" s="120">
        <f>C773*$J$742</f>
        <v>0</v>
      </c>
    </row>
    <row r="774" spans="2:5">
      <c r="B774" s="117">
        <v>2023</v>
      </c>
      <c r="C774" s="114">
        <v>500</v>
      </c>
      <c r="D774" s="3"/>
      <c r="E774" s="120">
        <f t="shared" ref="E774:E778" si="13">C774*$J$742</f>
        <v>76.599999999999994</v>
      </c>
    </row>
    <row r="775" spans="2:5">
      <c r="B775" s="117">
        <v>2024</v>
      </c>
      <c r="C775" s="114">
        <v>0</v>
      </c>
      <c r="D775" s="3"/>
      <c r="E775" s="120">
        <f t="shared" si="13"/>
        <v>0</v>
      </c>
    </row>
    <row r="776" spans="2:5">
      <c r="B776" s="117">
        <v>2025</v>
      </c>
      <c r="C776" s="114">
        <v>5578.79</v>
      </c>
      <c r="D776" s="3"/>
      <c r="E776" s="120">
        <f t="shared" si="13"/>
        <v>854.67062799999997</v>
      </c>
    </row>
    <row r="777" spans="2:5">
      <c r="B777" s="117">
        <v>2026</v>
      </c>
      <c r="C777" s="114">
        <v>0</v>
      </c>
      <c r="D777" s="3"/>
      <c r="E777" s="120">
        <f t="shared" si="13"/>
        <v>0</v>
      </c>
    </row>
    <row r="778" spans="2:5">
      <c r="B778" s="117" t="s">
        <v>149</v>
      </c>
      <c r="C778" s="114">
        <f>703.963+452.486+438.487+185</f>
        <v>1779.9360000000001</v>
      </c>
      <c r="D778" s="3"/>
      <c r="E778" s="120">
        <f t="shared" si="13"/>
        <v>272.68619520000004</v>
      </c>
    </row>
    <row r="779" spans="2:5">
      <c r="B779" s="137"/>
      <c r="C779" s="138"/>
      <c r="D779" s="139"/>
      <c r="E779" s="140"/>
    </row>
    <row r="780" spans="2:5" ht="15.75" thickBot="1">
      <c r="B780" s="133" t="s">
        <v>150</v>
      </c>
      <c r="C780" s="134">
        <f>SUM(C772:C778)</f>
        <v>7862.7260000000006</v>
      </c>
      <c r="D780" s="135"/>
      <c r="E780" s="141">
        <f>C780*$J$742</f>
        <v>1204.5696232</v>
      </c>
    </row>
    <row r="781" spans="2:5">
      <c r="B781" s="5" t="s">
        <v>22</v>
      </c>
      <c r="C781" s="4">
        <f>+C780-Model!E109</f>
        <v>-9734.0170000000016</v>
      </c>
      <c r="D781" s="3"/>
    </row>
    <row r="783" spans="2:5" ht="15.75" thickBot="1">
      <c r="B783" s="2"/>
      <c r="C783" s="115"/>
    </row>
    <row r="784" spans="2:5">
      <c r="B784" s="116" t="s">
        <v>151</v>
      </c>
      <c r="C784" s="125" t="s">
        <v>4</v>
      </c>
      <c r="D784" s="125"/>
      <c r="E784" s="126" t="s">
        <v>6</v>
      </c>
    </row>
    <row r="785" spans="2:9">
      <c r="B785" s="118" t="s">
        <v>17</v>
      </c>
      <c r="C785" s="127">
        <f>C763</f>
        <v>95525.232000000004</v>
      </c>
      <c r="D785" s="127"/>
      <c r="E785" s="130">
        <f>E763</f>
        <v>14634.465542400001</v>
      </c>
    </row>
    <row r="786" spans="2:9">
      <c r="B786" s="118"/>
      <c r="C786" s="106"/>
      <c r="D786" s="106"/>
      <c r="E786" s="120"/>
    </row>
    <row r="787" spans="2:9" ht="15.75" thickBot="1">
      <c r="B787" s="119" t="s">
        <v>28</v>
      </c>
      <c r="C787" s="128">
        <f>SUM(C785:C786)</f>
        <v>95525.232000000004</v>
      </c>
      <c r="D787" s="128"/>
      <c r="E787" s="129">
        <f>SUM(E785:E786)</f>
        <v>14634.465542400001</v>
      </c>
    </row>
    <row r="788" spans="2:9">
      <c r="B788" s="2"/>
      <c r="C788" s="115"/>
      <c r="D788" s="115"/>
      <c r="E788" s="111"/>
    </row>
    <row r="789" spans="2:9">
      <c r="B789" s="2"/>
      <c r="C789" s="115"/>
      <c r="D789" s="115"/>
      <c r="E789" s="111"/>
    </row>
    <row r="790" spans="2:9">
      <c r="B790" s="2"/>
      <c r="C790" s="115"/>
      <c r="D790" s="115"/>
      <c r="E790" s="111"/>
    </row>
    <row r="792" spans="2:9">
      <c r="D792" s="3"/>
    </row>
    <row r="793" spans="2:9">
      <c r="D793" s="3"/>
    </row>
    <row r="794" spans="2:9">
      <c r="D794" s="3"/>
    </row>
    <row r="795" spans="2:9">
      <c r="D795" s="3"/>
    </row>
    <row r="796" spans="2:9">
      <c r="D796" s="3"/>
    </row>
    <row r="797" spans="2:9">
      <c r="D797" s="3"/>
      <c r="I797" s="258"/>
    </row>
    <row r="798" spans="2:9">
      <c r="D798" s="3"/>
      <c r="I798" s="258"/>
    </row>
    <row r="799" spans="2:9">
      <c r="D799" s="132"/>
      <c r="I799" s="258"/>
    </row>
    <row r="800" spans="2:9">
      <c r="D800" s="3"/>
      <c r="I800" s="258"/>
    </row>
    <row r="801" spans="4:4">
      <c r="D801" s="3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C587 D58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N274"/>
  <sheetViews>
    <sheetView showGridLines="0" tabSelected="1" zoomScaleNormal="100" workbookViewId="0">
      <pane xSplit="2" ySplit="6" topLeftCell="EI7" activePane="bottomRight" state="frozen"/>
      <selection pane="bottomRight" activeCell="AM2" sqref="AM2"/>
      <selection pane="bottomLeft" activeCell="I24" sqref="I24"/>
      <selection pane="topRight" activeCell="I24" sqref="I24"/>
    </sheetView>
  </sheetViews>
  <sheetFormatPr defaultColWidth="11.42578125" defaultRowHeight="12.75" outlineLevelCol="1"/>
  <cols>
    <col min="1" max="1" width="2.7109375" style="16" customWidth="1"/>
    <col min="2" max="2" width="50.7109375" style="16" customWidth="1"/>
    <col min="3" max="3" width="12.7109375" style="16" hidden="1" customWidth="1" outlineLevel="1"/>
    <col min="4" max="4" width="12.7109375" style="16" hidden="1" customWidth="1" outlineLevel="1" collapsed="1"/>
    <col min="5" max="7" width="12.7109375" style="16" hidden="1" customWidth="1" outlineLevel="1"/>
    <col min="8" max="8" width="12.7109375" style="16" customWidth="1" collapsed="1"/>
    <col min="9" max="12" width="12.7109375" style="16" customWidth="1"/>
    <col min="13" max="16" width="12.7109375" style="16" hidden="1" customWidth="1" outlineLevel="1"/>
    <col min="17" max="17" width="12.7109375" style="16" hidden="1" customWidth="1" outlineLevel="1" collapsed="1"/>
    <col min="18" max="20" width="12.7109375" style="16" hidden="1" customWidth="1" outlineLevel="1"/>
    <col min="21" max="21" width="12.7109375" style="16" hidden="1" customWidth="1" outlineLevel="1" collapsed="1"/>
    <col min="22" max="28" width="12.7109375" style="16" hidden="1" customWidth="1" outlineLevel="1"/>
    <col min="29" max="29" width="12.7109375" style="16" customWidth="1" collapsed="1"/>
    <col min="30" max="40" width="12.7109375" style="16" customWidth="1"/>
    <col min="41" max="254" width="11.42578125" style="16"/>
    <col min="255" max="255" width="3.5703125" style="16" customWidth="1"/>
    <col min="256" max="256" width="13.28515625" style="16" customWidth="1"/>
    <col min="257" max="264" width="11.42578125" style="16" customWidth="1"/>
    <col min="265" max="265" width="9.7109375" style="16" bestFit="1" customWidth="1"/>
    <col min="266" max="269" width="0" style="16" hidden="1" customWidth="1"/>
    <col min="270" max="278" width="11.42578125" style="16" customWidth="1"/>
    <col min="279" max="510" width="11.42578125" style="16"/>
    <col min="511" max="511" width="3.5703125" style="16" customWidth="1"/>
    <col min="512" max="512" width="13.28515625" style="16" customWidth="1"/>
    <col min="513" max="520" width="11.42578125" style="16" customWidth="1"/>
    <col min="521" max="521" width="9.7109375" style="16" bestFit="1" customWidth="1"/>
    <col min="522" max="525" width="0" style="16" hidden="1" customWidth="1"/>
    <col min="526" max="534" width="11.42578125" style="16" customWidth="1"/>
    <col min="535" max="766" width="11.42578125" style="16"/>
    <col min="767" max="767" width="3.5703125" style="16" customWidth="1"/>
    <col min="768" max="768" width="13.28515625" style="16" customWidth="1"/>
    <col min="769" max="776" width="11.42578125" style="16" customWidth="1"/>
    <col min="777" max="777" width="9.7109375" style="16" bestFit="1" customWidth="1"/>
    <col min="778" max="781" width="0" style="16" hidden="1" customWidth="1"/>
    <col min="782" max="790" width="11.42578125" style="16" customWidth="1"/>
    <col min="791" max="1022" width="11.42578125" style="16"/>
    <col min="1023" max="1023" width="3.5703125" style="16" customWidth="1"/>
    <col min="1024" max="1024" width="13.28515625" style="16" customWidth="1"/>
    <col min="1025" max="1032" width="11.42578125" style="16" customWidth="1"/>
    <col min="1033" max="1033" width="9.7109375" style="16" bestFit="1" customWidth="1"/>
    <col min="1034" max="1037" width="0" style="16" hidden="1" customWidth="1"/>
    <col min="1038" max="1046" width="11.42578125" style="16" customWidth="1"/>
    <col min="1047" max="1278" width="11.42578125" style="16"/>
    <col min="1279" max="1279" width="3.5703125" style="16" customWidth="1"/>
    <col min="1280" max="1280" width="13.28515625" style="16" customWidth="1"/>
    <col min="1281" max="1288" width="11.42578125" style="16" customWidth="1"/>
    <col min="1289" max="1289" width="9.7109375" style="16" bestFit="1" customWidth="1"/>
    <col min="1290" max="1293" width="0" style="16" hidden="1" customWidth="1"/>
    <col min="1294" max="1302" width="11.42578125" style="16" customWidth="1"/>
    <col min="1303" max="1534" width="11.42578125" style="16"/>
    <col min="1535" max="1535" width="3.5703125" style="16" customWidth="1"/>
    <col min="1536" max="1536" width="13.28515625" style="16" customWidth="1"/>
    <col min="1537" max="1544" width="11.42578125" style="16" customWidth="1"/>
    <col min="1545" max="1545" width="9.7109375" style="16" bestFit="1" customWidth="1"/>
    <col min="1546" max="1549" width="0" style="16" hidden="1" customWidth="1"/>
    <col min="1550" max="1558" width="11.42578125" style="16" customWidth="1"/>
    <col min="1559" max="1790" width="11.42578125" style="16"/>
    <col min="1791" max="1791" width="3.5703125" style="16" customWidth="1"/>
    <col min="1792" max="1792" width="13.28515625" style="16" customWidth="1"/>
    <col min="1793" max="1800" width="11.42578125" style="16" customWidth="1"/>
    <col min="1801" max="1801" width="9.7109375" style="16" bestFit="1" customWidth="1"/>
    <col min="1802" max="1805" width="0" style="16" hidden="1" customWidth="1"/>
    <col min="1806" max="1814" width="11.42578125" style="16" customWidth="1"/>
    <col min="1815" max="2046" width="11.42578125" style="16"/>
    <col min="2047" max="2047" width="3.5703125" style="16" customWidth="1"/>
    <col min="2048" max="2048" width="13.28515625" style="16" customWidth="1"/>
    <col min="2049" max="2056" width="11.42578125" style="16" customWidth="1"/>
    <col min="2057" max="2057" width="9.7109375" style="16" bestFit="1" customWidth="1"/>
    <col min="2058" max="2061" width="0" style="16" hidden="1" customWidth="1"/>
    <col min="2062" max="2070" width="11.42578125" style="16" customWidth="1"/>
    <col min="2071" max="2302" width="11.42578125" style="16"/>
    <col min="2303" max="2303" width="3.5703125" style="16" customWidth="1"/>
    <col min="2304" max="2304" width="13.28515625" style="16" customWidth="1"/>
    <col min="2305" max="2312" width="11.42578125" style="16" customWidth="1"/>
    <col min="2313" max="2313" width="9.7109375" style="16" bestFit="1" customWidth="1"/>
    <col min="2314" max="2317" width="0" style="16" hidden="1" customWidth="1"/>
    <col min="2318" max="2326" width="11.42578125" style="16" customWidth="1"/>
    <col min="2327" max="2558" width="11.42578125" style="16"/>
    <col min="2559" max="2559" width="3.5703125" style="16" customWidth="1"/>
    <col min="2560" max="2560" width="13.28515625" style="16" customWidth="1"/>
    <col min="2561" max="2568" width="11.42578125" style="16" customWidth="1"/>
    <col min="2569" max="2569" width="9.7109375" style="16" bestFit="1" customWidth="1"/>
    <col min="2570" max="2573" width="0" style="16" hidden="1" customWidth="1"/>
    <col min="2574" max="2582" width="11.42578125" style="16" customWidth="1"/>
    <col min="2583" max="2814" width="11.42578125" style="16"/>
    <col min="2815" max="2815" width="3.5703125" style="16" customWidth="1"/>
    <col min="2816" max="2816" width="13.28515625" style="16" customWidth="1"/>
    <col min="2817" max="2824" width="11.42578125" style="16" customWidth="1"/>
    <col min="2825" max="2825" width="9.7109375" style="16" bestFit="1" customWidth="1"/>
    <col min="2826" max="2829" width="0" style="16" hidden="1" customWidth="1"/>
    <col min="2830" max="2838" width="11.42578125" style="16" customWidth="1"/>
    <col min="2839" max="3070" width="11.42578125" style="16"/>
    <col min="3071" max="3071" width="3.5703125" style="16" customWidth="1"/>
    <col min="3072" max="3072" width="13.28515625" style="16" customWidth="1"/>
    <col min="3073" max="3080" width="11.42578125" style="16" customWidth="1"/>
    <col min="3081" max="3081" width="9.7109375" style="16" bestFit="1" customWidth="1"/>
    <col min="3082" max="3085" width="0" style="16" hidden="1" customWidth="1"/>
    <col min="3086" max="3094" width="11.42578125" style="16" customWidth="1"/>
    <col min="3095" max="3326" width="11.42578125" style="16"/>
    <col min="3327" max="3327" width="3.5703125" style="16" customWidth="1"/>
    <col min="3328" max="3328" width="13.28515625" style="16" customWidth="1"/>
    <col min="3329" max="3336" width="11.42578125" style="16" customWidth="1"/>
    <col min="3337" max="3337" width="9.7109375" style="16" bestFit="1" customWidth="1"/>
    <col min="3338" max="3341" width="0" style="16" hidden="1" customWidth="1"/>
    <col min="3342" max="3350" width="11.42578125" style="16" customWidth="1"/>
    <col min="3351" max="3582" width="11.42578125" style="16"/>
    <col min="3583" max="3583" width="3.5703125" style="16" customWidth="1"/>
    <col min="3584" max="3584" width="13.28515625" style="16" customWidth="1"/>
    <col min="3585" max="3592" width="11.42578125" style="16" customWidth="1"/>
    <col min="3593" max="3593" width="9.7109375" style="16" bestFit="1" customWidth="1"/>
    <col min="3594" max="3597" width="0" style="16" hidden="1" customWidth="1"/>
    <col min="3598" max="3606" width="11.42578125" style="16" customWidth="1"/>
    <col min="3607" max="3838" width="11.42578125" style="16"/>
    <col min="3839" max="3839" width="3.5703125" style="16" customWidth="1"/>
    <col min="3840" max="3840" width="13.28515625" style="16" customWidth="1"/>
    <col min="3841" max="3848" width="11.42578125" style="16" customWidth="1"/>
    <col min="3849" max="3849" width="9.7109375" style="16" bestFit="1" customWidth="1"/>
    <col min="3850" max="3853" width="0" style="16" hidden="1" customWidth="1"/>
    <col min="3854" max="3862" width="11.42578125" style="16" customWidth="1"/>
    <col min="3863" max="4094" width="11.42578125" style="16"/>
    <col min="4095" max="4095" width="3.5703125" style="16" customWidth="1"/>
    <col min="4096" max="4096" width="13.28515625" style="16" customWidth="1"/>
    <col min="4097" max="4104" width="11.42578125" style="16" customWidth="1"/>
    <col min="4105" max="4105" width="9.7109375" style="16" bestFit="1" customWidth="1"/>
    <col min="4106" max="4109" width="0" style="16" hidden="1" customWidth="1"/>
    <col min="4110" max="4118" width="11.42578125" style="16" customWidth="1"/>
    <col min="4119" max="4350" width="11.42578125" style="16"/>
    <col min="4351" max="4351" width="3.5703125" style="16" customWidth="1"/>
    <col min="4352" max="4352" width="13.28515625" style="16" customWidth="1"/>
    <col min="4353" max="4360" width="11.42578125" style="16" customWidth="1"/>
    <col min="4361" max="4361" width="9.7109375" style="16" bestFit="1" customWidth="1"/>
    <col min="4362" max="4365" width="0" style="16" hidden="1" customWidth="1"/>
    <col min="4366" max="4374" width="11.42578125" style="16" customWidth="1"/>
    <col min="4375" max="4606" width="11.42578125" style="16"/>
    <col min="4607" max="4607" width="3.5703125" style="16" customWidth="1"/>
    <col min="4608" max="4608" width="13.28515625" style="16" customWidth="1"/>
    <col min="4609" max="4616" width="11.42578125" style="16" customWidth="1"/>
    <col min="4617" max="4617" width="9.7109375" style="16" bestFit="1" customWidth="1"/>
    <col min="4618" max="4621" width="0" style="16" hidden="1" customWidth="1"/>
    <col min="4622" max="4630" width="11.42578125" style="16" customWidth="1"/>
    <col min="4631" max="4862" width="11.42578125" style="16"/>
    <col min="4863" max="4863" width="3.5703125" style="16" customWidth="1"/>
    <col min="4864" max="4864" width="13.28515625" style="16" customWidth="1"/>
    <col min="4865" max="4872" width="11.42578125" style="16" customWidth="1"/>
    <col min="4873" max="4873" width="9.7109375" style="16" bestFit="1" customWidth="1"/>
    <col min="4874" max="4877" width="0" style="16" hidden="1" customWidth="1"/>
    <col min="4878" max="4886" width="11.42578125" style="16" customWidth="1"/>
    <col min="4887" max="5118" width="11.42578125" style="16"/>
    <col min="5119" max="5119" width="3.5703125" style="16" customWidth="1"/>
    <col min="5120" max="5120" width="13.28515625" style="16" customWidth="1"/>
    <col min="5121" max="5128" width="11.42578125" style="16" customWidth="1"/>
    <col min="5129" max="5129" width="9.7109375" style="16" bestFit="1" customWidth="1"/>
    <col min="5130" max="5133" width="0" style="16" hidden="1" customWidth="1"/>
    <col min="5134" max="5142" width="11.42578125" style="16" customWidth="1"/>
    <col min="5143" max="5374" width="11.42578125" style="16"/>
    <col min="5375" max="5375" width="3.5703125" style="16" customWidth="1"/>
    <col min="5376" max="5376" width="13.28515625" style="16" customWidth="1"/>
    <col min="5377" max="5384" width="11.42578125" style="16" customWidth="1"/>
    <col min="5385" max="5385" width="9.7109375" style="16" bestFit="1" customWidth="1"/>
    <col min="5386" max="5389" width="0" style="16" hidden="1" customWidth="1"/>
    <col min="5390" max="5398" width="11.42578125" style="16" customWidth="1"/>
    <col min="5399" max="5630" width="11.42578125" style="16"/>
    <col min="5631" max="5631" width="3.5703125" style="16" customWidth="1"/>
    <col min="5632" max="5632" width="13.28515625" style="16" customWidth="1"/>
    <col min="5633" max="5640" width="11.42578125" style="16" customWidth="1"/>
    <col min="5641" max="5641" width="9.7109375" style="16" bestFit="1" customWidth="1"/>
    <col min="5642" max="5645" width="0" style="16" hidden="1" customWidth="1"/>
    <col min="5646" max="5654" width="11.42578125" style="16" customWidth="1"/>
    <col min="5655" max="5886" width="11.42578125" style="16"/>
    <col min="5887" max="5887" width="3.5703125" style="16" customWidth="1"/>
    <col min="5888" max="5888" width="13.28515625" style="16" customWidth="1"/>
    <col min="5889" max="5896" width="11.42578125" style="16" customWidth="1"/>
    <col min="5897" max="5897" width="9.7109375" style="16" bestFit="1" customWidth="1"/>
    <col min="5898" max="5901" width="0" style="16" hidden="1" customWidth="1"/>
    <col min="5902" max="5910" width="11.42578125" style="16" customWidth="1"/>
    <col min="5911" max="6142" width="11.42578125" style="16"/>
    <col min="6143" max="6143" width="3.5703125" style="16" customWidth="1"/>
    <col min="6144" max="6144" width="13.28515625" style="16" customWidth="1"/>
    <col min="6145" max="6152" width="11.42578125" style="16" customWidth="1"/>
    <col min="6153" max="6153" width="9.7109375" style="16" bestFit="1" customWidth="1"/>
    <col min="6154" max="6157" width="0" style="16" hidden="1" customWidth="1"/>
    <col min="6158" max="6166" width="11.42578125" style="16" customWidth="1"/>
    <col min="6167" max="6398" width="11.42578125" style="16"/>
    <col min="6399" max="6399" width="3.5703125" style="16" customWidth="1"/>
    <col min="6400" max="6400" width="13.28515625" style="16" customWidth="1"/>
    <col min="6401" max="6408" width="11.42578125" style="16" customWidth="1"/>
    <col min="6409" max="6409" width="9.7109375" style="16" bestFit="1" customWidth="1"/>
    <col min="6410" max="6413" width="0" style="16" hidden="1" customWidth="1"/>
    <col min="6414" max="6422" width="11.42578125" style="16" customWidth="1"/>
    <col min="6423" max="6654" width="11.42578125" style="16"/>
    <col min="6655" max="6655" width="3.5703125" style="16" customWidth="1"/>
    <col min="6656" max="6656" width="13.28515625" style="16" customWidth="1"/>
    <col min="6657" max="6664" width="11.42578125" style="16" customWidth="1"/>
    <col min="6665" max="6665" width="9.7109375" style="16" bestFit="1" customWidth="1"/>
    <col min="6666" max="6669" width="0" style="16" hidden="1" customWidth="1"/>
    <col min="6670" max="6678" width="11.42578125" style="16" customWidth="1"/>
    <col min="6679" max="6910" width="11.42578125" style="16"/>
    <col min="6911" max="6911" width="3.5703125" style="16" customWidth="1"/>
    <col min="6912" max="6912" width="13.28515625" style="16" customWidth="1"/>
    <col min="6913" max="6920" width="11.42578125" style="16" customWidth="1"/>
    <col min="6921" max="6921" width="9.7109375" style="16" bestFit="1" customWidth="1"/>
    <col min="6922" max="6925" width="0" style="16" hidden="1" customWidth="1"/>
    <col min="6926" max="6934" width="11.42578125" style="16" customWidth="1"/>
    <col min="6935" max="7166" width="11.42578125" style="16"/>
    <col min="7167" max="7167" width="3.5703125" style="16" customWidth="1"/>
    <col min="7168" max="7168" width="13.28515625" style="16" customWidth="1"/>
    <col min="7169" max="7176" width="11.42578125" style="16" customWidth="1"/>
    <col min="7177" max="7177" width="9.7109375" style="16" bestFit="1" customWidth="1"/>
    <col min="7178" max="7181" width="0" style="16" hidden="1" customWidth="1"/>
    <col min="7182" max="7190" width="11.42578125" style="16" customWidth="1"/>
    <col min="7191" max="7422" width="11.42578125" style="16"/>
    <col min="7423" max="7423" width="3.5703125" style="16" customWidth="1"/>
    <col min="7424" max="7424" width="13.28515625" style="16" customWidth="1"/>
    <col min="7425" max="7432" width="11.42578125" style="16" customWidth="1"/>
    <col min="7433" max="7433" width="9.7109375" style="16" bestFit="1" customWidth="1"/>
    <col min="7434" max="7437" width="0" style="16" hidden="1" customWidth="1"/>
    <col min="7438" max="7446" width="11.42578125" style="16" customWidth="1"/>
    <col min="7447" max="7678" width="11.42578125" style="16"/>
    <col min="7679" max="7679" width="3.5703125" style="16" customWidth="1"/>
    <col min="7680" max="7680" width="13.28515625" style="16" customWidth="1"/>
    <col min="7681" max="7688" width="11.42578125" style="16" customWidth="1"/>
    <col min="7689" max="7689" width="9.7109375" style="16" bestFit="1" customWidth="1"/>
    <col min="7690" max="7693" width="0" style="16" hidden="1" customWidth="1"/>
    <col min="7694" max="7702" width="11.42578125" style="16" customWidth="1"/>
    <col min="7703" max="7934" width="11.42578125" style="16"/>
    <col min="7935" max="7935" width="3.5703125" style="16" customWidth="1"/>
    <col min="7936" max="7936" width="13.28515625" style="16" customWidth="1"/>
    <col min="7937" max="7944" width="11.42578125" style="16" customWidth="1"/>
    <col min="7945" max="7945" width="9.7109375" style="16" bestFit="1" customWidth="1"/>
    <col min="7946" max="7949" width="0" style="16" hidden="1" customWidth="1"/>
    <col min="7950" max="7958" width="11.42578125" style="16" customWidth="1"/>
    <col min="7959" max="8190" width="11.42578125" style="16"/>
    <col min="8191" max="8191" width="3.5703125" style="16" customWidth="1"/>
    <col min="8192" max="8192" width="13.28515625" style="16" customWidth="1"/>
    <col min="8193" max="8200" width="11.42578125" style="16" customWidth="1"/>
    <col min="8201" max="8201" width="9.7109375" style="16" bestFit="1" customWidth="1"/>
    <col min="8202" max="8205" width="0" style="16" hidden="1" customWidth="1"/>
    <col min="8206" max="8214" width="11.42578125" style="16" customWidth="1"/>
    <col min="8215" max="8446" width="11.42578125" style="16"/>
    <col min="8447" max="8447" width="3.5703125" style="16" customWidth="1"/>
    <col min="8448" max="8448" width="13.28515625" style="16" customWidth="1"/>
    <col min="8449" max="8456" width="11.42578125" style="16" customWidth="1"/>
    <col min="8457" max="8457" width="9.7109375" style="16" bestFit="1" customWidth="1"/>
    <col min="8458" max="8461" width="0" style="16" hidden="1" customWidth="1"/>
    <col min="8462" max="8470" width="11.42578125" style="16" customWidth="1"/>
    <col min="8471" max="8702" width="11.42578125" style="16"/>
    <col min="8703" max="8703" width="3.5703125" style="16" customWidth="1"/>
    <col min="8704" max="8704" width="13.28515625" style="16" customWidth="1"/>
    <col min="8705" max="8712" width="11.42578125" style="16" customWidth="1"/>
    <col min="8713" max="8713" width="9.7109375" style="16" bestFit="1" customWidth="1"/>
    <col min="8714" max="8717" width="0" style="16" hidden="1" customWidth="1"/>
    <col min="8718" max="8726" width="11.42578125" style="16" customWidth="1"/>
    <col min="8727" max="8958" width="11.42578125" style="16"/>
    <col min="8959" max="8959" width="3.5703125" style="16" customWidth="1"/>
    <col min="8960" max="8960" width="13.28515625" style="16" customWidth="1"/>
    <col min="8961" max="8968" width="11.42578125" style="16" customWidth="1"/>
    <col min="8969" max="8969" width="9.7109375" style="16" bestFit="1" customWidth="1"/>
    <col min="8970" max="8973" width="0" style="16" hidden="1" customWidth="1"/>
    <col min="8974" max="8982" width="11.42578125" style="16" customWidth="1"/>
    <col min="8983" max="9214" width="11.42578125" style="16"/>
    <col min="9215" max="9215" width="3.5703125" style="16" customWidth="1"/>
    <col min="9216" max="9216" width="13.28515625" style="16" customWidth="1"/>
    <col min="9217" max="9224" width="11.42578125" style="16" customWidth="1"/>
    <col min="9225" max="9225" width="9.7109375" style="16" bestFit="1" customWidth="1"/>
    <col min="9226" max="9229" width="0" style="16" hidden="1" customWidth="1"/>
    <col min="9230" max="9238" width="11.42578125" style="16" customWidth="1"/>
    <col min="9239" max="9470" width="11.42578125" style="16"/>
    <col min="9471" max="9471" width="3.5703125" style="16" customWidth="1"/>
    <col min="9472" max="9472" width="13.28515625" style="16" customWidth="1"/>
    <col min="9473" max="9480" width="11.42578125" style="16" customWidth="1"/>
    <col min="9481" max="9481" width="9.7109375" style="16" bestFit="1" customWidth="1"/>
    <col min="9482" max="9485" width="0" style="16" hidden="1" customWidth="1"/>
    <col min="9486" max="9494" width="11.42578125" style="16" customWidth="1"/>
    <col min="9495" max="9726" width="11.42578125" style="16"/>
    <col min="9727" max="9727" width="3.5703125" style="16" customWidth="1"/>
    <col min="9728" max="9728" width="13.28515625" style="16" customWidth="1"/>
    <col min="9729" max="9736" width="11.42578125" style="16" customWidth="1"/>
    <col min="9737" max="9737" width="9.7109375" style="16" bestFit="1" customWidth="1"/>
    <col min="9738" max="9741" width="0" style="16" hidden="1" customWidth="1"/>
    <col min="9742" max="9750" width="11.42578125" style="16" customWidth="1"/>
    <col min="9751" max="9982" width="11.42578125" style="16"/>
    <col min="9983" max="9983" width="3.5703125" style="16" customWidth="1"/>
    <col min="9984" max="9984" width="13.28515625" style="16" customWidth="1"/>
    <col min="9985" max="9992" width="11.42578125" style="16" customWidth="1"/>
    <col min="9993" max="9993" width="9.7109375" style="16" bestFit="1" customWidth="1"/>
    <col min="9994" max="9997" width="0" style="16" hidden="1" customWidth="1"/>
    <col min="9998" max="10006" width="11.42578125" style="16" customWidth="1"/>
    <col min="10007" max="10238" width="11.42578125" style="16"/>
    <col min="10239" max="10239" width="3.5703125" style="16" customWidth="1"/>
    <col min="10240" max="10240" width="13.28515625" style="16" customWidth="1"/>
    <col min="10241" max="10248" width="11.42578125" style="16" customWidth="1"/>
    <col min="10249" max="10249" width="9.7109375" style="16" bestFit="1" customWidth="1"/>
    <col min="10250" max="10253" width="0" style="16" hidden="1" customWidth="1"/>
    <col min="10254" max="10262" width="11.42578125" style="16" customWidth="1"/>
    <col min="10263" max="10494" width="11.42578125" style="16"/>
    <col min="10495" max="10495" width="3.5703125" style="16" customWidth="1"/>
    <col min="10496" max="10496" width="13.28515625" style="16" customWidth="1"/>
    <col min="10497" max="10504" width="11.42578125" style="16" customWidth="1"/>
    <col min="10505" max="10505" width="9.7109375" style="16" bestFit="1" customWidth="1"/>
    <col min="10506" max="10509" width="0" style="16" hidden="1" customWidth="1"/>
    <col min="10510" max="10518" width="11.42578125" style="16" customWidth="1"/>
    <col min="10519" max="10750" width="11.42578125" style="16"/>
    <col min="10751" max="10751" width="3.5703125" style="16" customWidth="1"/>
    <col min="10752" max="10752" width="13.28515625" style="16" customWidth="1"/>
    <col min="10753" max="10760" width="11.42578125" style="16" customWidth="1"/>
    <col min="10761" max="10761" width="9.7109375" style="16" bestFit="1" customWidth="1"/>
    <col min="10762" max="10765" width="0" style="16" hidden="1" customWidth="1"/>
    <col min="10766" max="10774" width="11.42578125" style="16" customWidth="1"/>
    <col min="10775" max="11006" width="11.42578125" style="16"/>
    <col min="11007" max="11007" width="3.5703125" style="16" customWidth="1"/>
    <col min="11008" max="11008" width="13.28515625" style="16" customWidth="1"/>
    <col min="11009" max="11016" width="11.42578125" style="16" customWidth="1"/>
    <col min="11017" max="11017" width="9.7109375" style="16" bestFit="1" customWidth="1"/>
    <col min="11018" max="11021" width="0" style="16" hidden="1" customWidth="1"/>
    <col min="11022" max="11030" width="11.42578125" style="16" customWidth="1"/>
    <col min="11031" max="11262" width="11.42578125" style="16"/>
    <col min="11263" max="11263" width="3.5703125" style="16" customWidth="1"/>
    <col min="11264" max="11264" width="13.28515625" style="16" customWidth="1"/>
    <col min="11265" max="11272" width="11.42578125" style="16" customWidth="1"/>
    <col min="11273" max="11273" width="9.7109375" style="16" bestFit="1" customWidth="1"/>
    <col min="11274" max="11277" width="0" style="16" hidden="1" customWidth="1"/>
    <col min="11278" max="11286" width="11.42578125" style="16" customWidth="1"/>
    <col min="11287" max="11518" width="11.42578125" style="16"/>
    <col min="11519" max="11519" width="3.5703125" style="16" customWidth="1"/>
    <col min="11520" max="11520" width="13.28515625" style="16" customWidth="1"/>
    <col min="11521" max="11528" width="11.42578125" style="16" customWidth="1"/>
    <col min="11529" max="11529" width="9.7109375" style="16" bestFit="1" customWidth="1"/>
    <col min="11530" max="11533" width="0" style="16" hidden="1" customWidth="1"/>
    <col min="11534" max="11542" width="11.42578125" style="16" customWidth="1"/>
    <col min="11543" max="11774" width="11.42578125" style="16"/>
    <col min="11775" max="11775" width="3.5703125" style="16" customWidth="1"/>
    <col min="11776" max="11776" width="13.28515625" style="16" customWidth="1"/>
    <col min="11777" max="11784" width="11.42578125" style="16" customWidth="1"/>
    <col min="11785" max="11785" width="9.7109375" style="16" bestFit="1" customWidth="1"/>
    <col min="11786" max="11789" width="0" style="16" hidden="1" customWidth="1"/>
    <col min="11790" max="11798" width="11.42578125" style="16" customWidth="1"/>
    <col min="11799" max="12030" width="11.42578125" style="16"/>
    <col min="12031" max="12031" width="3.5703125" style="16" customWidth="1"/>
    <col min="12032" max="12032" width="13.28515625" style="16" customWidth="1"/>
    <col min="12033" max="12040" width="11.42578125" style="16" customWidth="1"/>
    <col min="12041" max="12041" width="9.7109375" style="16" bestFit="1" customWidth="1"/>
    <col min="12042" max="12045" width="0" style="16" hidden="1" customWidth="1"/>
    <col min="12046" max="12054" width="11.42578125" style="16" customWidth="1"/>
    <col min="12055" max="12286" width="11.42578125" style="16"/>
    <col min="12287" max="12287" width="3.5703125" style="16" customWidth="1"/>
    <col min="12288" max="12288" width="13.28515625" style="16" customWidth="1"/>
    <col min="12289" max="12296" width="11.42578125" style="16" customWidth="1"/>
    <col min="12297" max="12297" width="9.7109375" style="16" bestFit="1" customWidth="1"/>
    <col min="12298" max="12301" width="0" style="16" hidden="1" customWidth="1"/>
    <col min="12302" max="12310" width="11.42578125" style="16" customWidth="1"/>
    <col min="12311" max="12542" width="11.42578125" style="16"/>
    <col min="12543" max="12543" width="3.5703125" style="16" customWidth="1"/>
    <col min="12544" max="12544" width="13.28515625" style="16" customWidth="1"/>
    <col min="12545" max="12552" width="11.42578125" style="16" customWidth="1"/>
    <col min="12553" max="12553" width="9.7109375" style="16" bestFit="1" customWidth="1"/>
    <col min="12554" max="12557" width="0" style="16" hidden="1" customWidth="1"/>
    <col min="12558" max="12566" width="11.42578125" style="16" customWidth="1"/>
    <col min="12567" max="12798" width="11.42578125" style="16"/>
    <col min="12799" max="12799" width="3.5703125" style="16" customWidth="1"/>
    <col min="12800" max="12800" width="13.28515625" style="16" customWidth="1"/>
    <col min="12801" max="12808" width="11.42578125" style="16" customWidth="1"/>
    <col min="12809" max="12809" width="9.7109375" style="16" bestFit="1" customWidth="1"/>
    <col min="12810" max="12813" width="0" style="16" hidden="1" customWidth="1"/>
    <col min="12814" max="12822" width="11.42578125" style="16" customWidth="1"/>
    <col min="12823" max="13054" width="11.42578125" style="16"/>
    <col min="13055" max="13055" width="3.5703125" style="16" customWidth="1"/>
    <col min="13056" max="13056" width="13.28515625" style="16" customWidth="1"/>
    <col min="13057" max="13064" width="11.42578125" style="16" customWidth="1"/>
    <col min="13065" max="13065" width="9.7109375" style="16" bestFit="1" customWidth="1"/>
    <col min="13066" max="13069" width="0" style="16" hidden="1" customWidth="1"/>
    <col min="13070" max="13078" width="11.42578125" style="16" customWidth="1"/>
    <col min="13079" max="13310" width="11.42578125" style="16"/>
    <col min="13311" max="13311" width="3.5703125" style="16" customWidth="1"/>
    <col min="13312" max="13312" width="13.28515625" style="16" customWidth="1"/>
    <col min="13313" max="13320" width="11.42578125" style="16" customWidth="1"/>
    <col min="13321" max="13321" width="9.7109375" style="16" bestFit="1" customWidth="1"/>
    <col min="13322" max="13325" width="0" style="16" hidden="1" customWidth="1"/>
    <col min="13326" max="13334" width="11.42578125" style="16" customWidth="1"/>
    <col min="13335" max="13566" width="11.42578125" style="16"/>
    <col min="13567" max="13567" width="3.5703125" style="16" customWidth="1"/>
    <col min="13568" max="13568" width="13.28515625" style="16" customWidth="1"/>
    <col min="13569" max="13576" width="11.42578125" style="16" customWidth="1"/>
    <col min="13577" max="13577" width="9.7109375" style="16" bestFit="1" customWidth="1"/>
    <col min="13578" max="13581" width="0" style="16" hidden="1" customWidth="1"/>
    <col min="13582" max="13590" width="11.42578125" style="16" customWidth="1"/>
    <col min="13591" max="13822" width="11.42578125" style="16"/>
    <col min="13823" max="13823" width="3.5703125" style="16" customWidth="1"/>
    <col min="13824" max="13824" width="13.28515625" style="16" customWidth="1"/>
    <col min="13825" max="13832" width="11.42578125" style="16" customWidth="1"/>
    <col min="13833" max="13833" width="9.7109375" style="16" bestFit="1" customWidth="1"/>
    <col min="13834" max="13837" width="0" style="16" hidden="1" customWidth="1"/>
    <col min="13838" max="13846" width="11.42578125" style="16" customWidth="1"/>
    <col min="13847" max="14078" width="11.42578125" style="16"/>
    <col min="14079" max="14079" width="3.5703125" style="16" customWidth="1"/>
    <col min="14080" max="14080" width="13.28515625" style="16" customWidth="1"/>
    <col min="14081" max="14088" width="11.42578125" style="16" customWidth="1"/>
    <col min="14089" max="14089" width="9.7109375" style="16" bestFit="1" customWidth="1"/>
    <col min="14090" max="14093" width="0" style="16" hidden="1" customWidth="1"/>
    <col min="14094" max="14102" width="11.42578125" style="16" customWidth="1"/>
    <col min="14103" max="14334" width="11.42578125" style="16"/>
    <col min="14335" max="14335" width="3.5703125" style="16" customWidth="1"/>
    <col min="14336" max="14336" width="13.28515625" style="16" customWidth="1"/>
    <col min="14337" max="14344" width="11.42578125" style="16" customWidth="1"/>
    <col min="14345" max="14345" width="9.7109375" style="16" bestFit="1" customWidth="1"/>
    <col min="14346" max="14349" width="0" style="16" hidden="1" customWidth="1"/>
    <col min="14350" max="14358" width="11.42578125" style="16" customWidth="1"/>
    <col min="14359" max="14590" width="11.42578125" style="16"/>
    <col min="14591" max="14591" width="3.5703125" style="16" customWidth="1"/>
    <col min="14592" max="14592" width="13.28515625" style="16" customWidth="1"/>
    <col min="14593" max="14600" width="11.42578125" style="16" customWidth="1"/>
    <col min="14601" max="14601" width="9.7109375" style="16" bestFit="1" customWidth="1"/>
    <col min="14602" max="14605" width="0" style="16" hidden="1" customWidth="1"/>
    <col min="14606" max="14614" width="11.42578125" style="16" customWidth="1"/>
    <col min="14615" max="14846" width="11.42578125" style="16"/>
    <col min="14847" max="14847" width="3.5703125" style="16" customWidth="1"/>
    <col min="14848" max="14848" width="13.28515625" style="16" customWidth="1"/>
    <col min="14849" max="14856" width="11.42578125" style="16" customWidth="1"/>
    <col min="14857" max="14857" width="9.7109375" style="16" bestFit="1" customWidth="1"/>
    <col min="14858" max="14861" width="0" style="16" hidden="1" customWidth="1"/>
    <col min="14862" max="14870" width="11.42578125" style="16" customWidth="1"/>
    <col min="14871" max="15102" width="11.42578125" style="16"/>
    <col min="15103" max="15103" width="3.5703125" style="16" customWidth="1"/>
    <col min="15104" max="15104" width="13.28515625" style="16" customWidth="1"/>
    <col min="15105" max="15112" width="11.42578125" style="16" customWidth="1"/>
    <col min="15113" max="15113" width="9.7109375" style="16" bestFit="1" customWidth="1"/>
    <col min="15114" max="15117" width="0" style="16" hidden="1" customWidth="1"/>
    <col min="15118" max="15126" width="11.42578125" style="16" customWidth="1"/>
    <col min="15127" max="15358" width="11.42578125" style="16"/>
    <col min="15359" max="15359" width="3.5703125" style="16" customWidth="1"/>
    <col min="15360" max="15360" width="13.28515625" style="16" customWidth="1"/>
    <col min="15361" max="15368" width="11.42578125" style="16" customWidth="1"/>
    <col min="15369" max="15369" width="9.7109375" style="16" bestFit="1" customWidth="1"/>
    <col min="15370" max="15373" width="0" style="16" hidden="1" customWidth="1"/>
    <col min="15374" max="15382" width="11.42578125" style="16" customWidth="1"/>
    <col min="15383" max="15614" width="11.42578125" style="16"/>
    <col min="15615" max="15615" width="3.5703125" style="16" customWidth="1"/>
    <col min="15616" max="15616" width="13.28515625" style="16" customWidth="1"/>
    <col min="15617" max="15624" width="11.42578125" style="16" customWidth="1"/>
    <col min="15625" max="15625" width="9.7109375" style="16" bestFit="1" customWidth="1"/>
    <col min="15626" max="15629" width="0" style="16" hidden="1" customWidth="1"/>
    <col min="15630" max="15638" width="11.42578125" style="16" customWidth="1"/>
    <col min="15639" max="15870" width="11.42578125" style="16"/>
    <col min="15871" max="15871" width="3.5703125" style="16" customWidth="1"/>
    <col min="15872" max="15872" width="13.28515625" style="16" customWidth="1"/>
    <col min="15873" max="15880" width="11.42578125" style="16" customWidth="1"/>
    <col min="15881" max="15881" width="9.7109375" style="16" bestFit="1" customWidth="1"/>
    <col min="15882" max="15885" width="0" style="16" hidden="1" customWidth="1"/>
    <col min="15886" max="15894" width="11.42578125" style="16" customWidth="1"/>
    <col min="15895" max="16126" width="11.42578125" style="16"/>
    <col min="16127" max="16127" width="3.5703125" style="16" customWidth="1"/>
    <col min="16128" max="16128" width="13.28515625" style="16" customWidth="1"/>
    <col min="16129" max="16136" width="11.42578125" style="16" customWidth="1"/>
    <col min="16137" max="16137" width="9.7109375" style="16" bestFit="1" customWidth="1"/>
    <col min="16138" max="16141" width="0" style="16" hidden="1" customWidth="1"/>
    <col min="16142" max="16150" width="11.42578125" style="16" customWidth="1"/>
    <col min="16151" max="16384" width="11.42578125" style="16"/>
  </cols>
  <sheetData>
    <row r="2" spans="2:37" s="37" customFormat="1" ht="24.75" customHeight="1">
      <c r="B2" s="104" t="s">
        <v>152</v>
      </c>
      <c r="C2" s="73" t="s">
        <v>153</v>
      </c>
      <c r="D2" s="73" t="s">
        <v>153</v>
      </c>
      <c r="E2" s="73" t="s">
        <v>153</v>
      </c>
      <c r="F2" s="73" t="s">
        <v>153</v>
      </c>
      <c r="G2" s="73" t="s">
        <v>153</v>
      </c>
      <c r="H2" s="73" t="s">
        <v>153</v>
      </c>
      <c r="I2" s="73" t="s">
        <v>153</v>
      </c>
      <c r="J2" s="73" t="s">
        <v>153</v>
      </c>
      <c r="K2" s="73" t="s">
        <v>154</v>
      </c>
      <c r="L2" s="203"/>
      <c r="M2" s="73" t="s">
        <v>155</v>
      </c>
      <c r="N2" s="73" t="s">
        <v>155</v>
      </c>
      <c r="O2" s="73" t="s">
        <v>155</v>
      </c>
      <c r="P2" s="73" t="s">
        <v>155</v>
      </c>
      <c r="Q2" s="73" t="s">
        <v>155</v>
      </c>
      <c r="R2" s="73" t="s">
        <v>155</v>
      </c>
      <c r="S2" s="73" t="s">
        <v>155</v>
      </c>
      <c r="T2" s="73" t="s">
        <v>155</v>
      </c>
      <c r="U2" s="73" t="s">
        <v>155</v>
      </c>
      <c r="V2" s="73" t="s">
        <v>155</v>
      </c>
      <c r="W2" s="73" t="s">
        <v>155</v>
      </c>
      <c r="X2" s="73" t="s">
        <v>155</v>
      </c>
      <c r="Y2" s="73" t="s">
        <v>155</v>
      </c>
      <c r="Z2" s="73" t="s">
        <v>155</v>
      </c>
      <c r="AA2" s="73" t="s">
        <v>155</v>
      </c>
      <c r="AB2" s="73" t="s">
        <v>155</v>
      </c>
      <c r="AC2" s="73" t="s">
        <v>155</v>
      </c>
      <c r="AD2" s="73" t="s">
        <v>155</v>
      </c>
      <c r="AE2" s="73" t="s">
        <v>155</v>
      </c>
      <c r="AF2" s="73" t="s">
        <v>155</v>
      </c>
      <c r="AG2" s="73" t="s">
        <v>155</v>
      </c>
      <c r="AH2" s="73" t="s">
        <v>155</v>
      </c>
      <c r="AI2" s="73" t="s">
        <v>155</v>
      </c>
      <c r="AJ2" s="73" t="s">
        <v>155</v>
      </c>
      <c r="AK2" s="73" t="s">
        <v>155</v>
      </c>
    </row>
    <row r="3" spans="2:37" s="37" customFormat="1" ht="13.5" customHeight="1">
      <c r="B3" s="36" t="s">
        <v>156</v>
      </c>
      <c r="C3" s="35">
        <v>43465</v>
      </c>
      <c r="D3" s="35">
        <v>43830</v>
      </c>
      <c r="E3" s="35">
        <v>44196</v>
      </c>
      <c r="F3" s="35">
        <v>44561</v>
      </c>
      <c r="G3" s="35">
        <v>44926</v>
      </c>
      <c r="H3" s="35">
        <v>45291</v>
      </c>
      <c r="I3" s="35">
        <v>45657</v>
      </c>
      <c r="J3" s="35">
        <v>46022</v>
      </c>
      <c r="K3" s="35">
        <f>AK3</f>
        <v>46112</v>
      </c>
      <c r="L3" s="204"/>
      <c r="M3" s="35">
        <v>43921</v>
      </c>
      <c r="N3" s="35">
        <v>44012</v>
      </c>
      <c r="O3" s="35">
        <v>44104</v>
      </c>
      <c r="P3" s="35">
        <v>44196</v>
      </c>
      <c r="Q3" s="35">
        <v>44286</v>
      </c>
      <c r="R3" s="35">
        <v>44377</v>
      </c>
      <c r="S3" s="35">
        <v>44469</v>
      </c>
      <c r="T3" s="35">
        <v>44561</v>
      </c>
      <c r="U3" s="35">
        <v>44651</v>
      </c>
      <c r="V3" s="35">
        <v>44742</v>
      </c>
      <c r="W3" s="35">
        <v>44834</v>
      </c>
      <c r="X3" s="35">
        <v>44926</v>
      </c>
      <c r="Y3" s="35">
        <v>45016</v>
      </c>
      <c r="Z3" s="35">
        <v>45107</v>
      </c>
      <c r="AA3" s="35">
        <v>45199</v>
      </c>
      <c r="AB3" s="35">
        <v>45291</v>
      </c>
      <c r="AC3" s="35">
        <v>45382</v>
      </c>
      <c r="AD3" s="35">
        <v>45473</v>
      </c>
      <c r="AE3" s="35">
        <v>45565</v>
      </c>
      <c r="AF3" s="35">
        <v>45657</v>
      </c>
      <c r="AG3" s="35">
        <v>45747</v>
      </c>
      <c r="AH3" s="35">
        <v>45838</v>
      </c>
      <c r="AI3" s="35">
        <v>45930</v>
      </c>
      <c r="AJ3" s="35">
        <v>46022</v>
      </c>
      <c r="AK3" s="35">
        <v>46112</v>
      </c>
    </row>
    <row r="4" spans="2:37" s="19" customFormat="1" ht="13.5" customHeight="1">
      <c r="B4" s="40"/>
      <c r="C4" s="35" t="s">
        <v>157</v>
      </c>
      <c r="D4" s="35" t="s">
        <v>157</v>
      </c>
      <c r="E4" s="35" t="s">
        <v>157</v>
      </c>
      <c r="F4" s="35" t="s">
        <v>157</v>
      </c>
      <c r="G4" s="35" t="s">
        <v>157</v>
      </c>
      <c r="H4" s="35" t="s">
        <v>157</v>
      </c>
      <c r="I4" s="35" t="s">
        <v>157</v>
      </c>
      <c r="J4" s="35" t="s">
        <v>157</v>
      </c>
      <c r="K4" s="35" t="s">
        <v>157</v>
      </c>
      <c r="L4" s="204"/>
      <c r="M4" s="35" t="s">
        <v>157</v>
      </c>
      <c r="N4" s="35" t="s">
        <v>157</v>
      </c>
      <c r="O4" s="35" t="s">
        <v>157</v>
      </c>
      <c r="P4" s="35" t="s">
        <v>157</v>
      </c>
      <c r="Q4" s="35" t="s">
        <v>157</v>
      </c>
      <c r="R4" s="35" t="s">
        <v>157</v>
      </c>
      <c r="S4" s="35" t="s">
        <v>157</v>
      </c>
      <c r="T4" s="35" t="s">
        <v>157</v>
      </c>
      <c r="U4" s="35" t="s">
        <v>157</v>
      </c>
      <c r="V4" s="35" t="s">
        <v>157</v>
      </c>
      <c r="W4" s="35" t="s">
        <v>157</v>
      </c>
      <c r="X4" s="35" t="s">
        <v>157</v>
      </c>
      <c r="Y4" s="35" t="s">
        <v>157</v>
      </c>
      <c r="Z4" s="35" t="s">
        <v>157</v>
      </c>
      <c r="AA4" s="35" t="s">
        <v>157</v>
      </c>
      <c r="AB4" s="35" t="s">
        <v>157</v>
      </c>
      <c r="AC4" s="35" t="s">
        <v>157</v>
      </c>
      <c r="AD4" s="35" t="s">
        <v>157</v>
      </c>
      <c r="AE4" s="35" t="s">
        <v>157</v>
      </c>
      <c r="AF4" s="35" t="s">
        <v>157</v>
      </c>
      <c r="AG4" s="35" t="s">
        <v>157</v>
      </c>
      <c r="AH4" s="35" t="s">
        <v>157</v>
      </c>
      <c r="AI4" s="35" t="s">
        <v>157</v>
      </c>
      <c r="AJ4" s="35" t="s">
        <v>157</v>
      </c>
      <c r="AK4" s="35" t="s">
        <v>157</v>
      </c>
    </row>
    <row r="5" spans="2:37" s="71" customFormat="1" ht="13.5" customHeight="1">
      <c r="C5" s="72" t="s">
        <v>158</v>
      </c>
      <c r="D5" s="72" t="s">
        <v>158</v>
      </c>
      <c r="E5" s="72" t="s">
        <v>158</v>
      </c>
      <c r="F5" s="72" t="s">
        <v>158</v>
      </c>
      <c r="G5" s="72" t="s">
        <v>158</v>
      </c>
      <c r="H5" s="72" t="s">
        <v>158</v>
      </c>
      <c r="I5" s="72" t="s">
        <v>158</v>
      </c>
      <c r="J5" s="72" t="s">
        <v>158</v>
      </c>
      <c r="K5" s="193" t="s">
        <v>154</v>
      </c>
      <c r="L5" s="16"/>
      <c r="M5" s="72" t="s">
        <v>159</v>
      </c>
      <c r="N5" s="72" t="s">
        <v>160</v>
      </c>
      <c r="O5" s="72" t="s">
        <v>161</v>
      </c>
      <c r="P5" s="193" t="s">
        <v>162</v>
      </c>
      <c r="Q5" s="72" t="s">
        <v>159</v>
      </c>
      <c r="R5" s="72" t="s">
        <v>160</v>
      </c>
      <c r="S5" s="72" t="s">
        <v>161</v>
      </c>
      <c r="T5" s="193" t="s">
        <v>162</v>
      </c>
      <c r="U5" s="72" t="s">
        <v>159</v>
      </c>
      <c r="V5" s="72" t="s">
        <v>160</v>
      </c>
      <c r="W5" s="72" t="s">
        <v>161</v>
      </c>
      <c r="X5" s="193" t="s">
        <v>162</v>
      </c>
      <c r="Y5" s="72" t="s">
        <v>159</v>
      </c>
      <c r="Z5" s="72" t="s">
        <v>160</v>
      </c>
      <c r="AA5" s="72" t="s">
        <v>161</v>
      </c>
      <c r="AB5" s="193" t="s">
        <v>162</v>
      </c>
      <c r="AC5" s="72" t="s">
        <v>159</v>
      </c>
      <c r="AD5" s="72" t="s">
        <v>160</v>
      </c>
      <c r="AE5" s="72" t="s">
        <v>161</v>
      </c>
      <c r="AF5" s="193" t="s">
        <v>162</v>
      </c>
      <c r="AG5" s="72" t="s">
        <v>159</v>
      </c>
      <c r="AH5" s="72" t="s">
        <v>160</v>
      </c>
      <c r="AI5" s="72" t="s">
        <v>161</v>
      </c>
      <c r="AJ5" s="193" t="s">
        <v>162</v>
      </c>
      <c r="AK5" s="72" t="s">
        <v>159</v>
      </c>
    </row>
    <row r="6" spans="2:37" ht="13.5" customHeight="1">
      <c r="B6" s="39" t="s">
        <v>163</v>
      </c>
      <c r="C6" s="70"/>
      <c r="D6" s="70"/>
      <c r="E6" s="70"/>
      <c r="F6" s="70"/>
      <c r="G6" s="70"/>
      <c r="H6" s="70"/>
      <c r="I6" s="70"/>
      <c r="J6" s="70"/>
      <c r="K6" s="70"/>
      <c r="M6" s="70"/>
      <c r="N6" s="70"/>
      <c r="O6" s="70"/>
      <c r="P6" s="70"/>
      <c r="Q6" s="69"/>
      <c r="R6" s="70"/>
      <c r="S6" s="70"/>
      <c r="T6" s="70"/>
      <c r="U6" s="69"/>
      <c r="V6" s="70"/>
      <c r="W6" s="70"/>
      <c r="X6" s="70"/>
      <c r="Y6" s="69"/>
      <c r="Z6" s="70"/>
      <c r="AA6" s="70"/>
      <c r="AB6" s="70"/>
      <c r="AC6" s="69"/>
      <c r="AD6" s="70"/>
      <c r="AE6" s="70"/>
      <c r="AF6" s="70"/>
      <c r="AG6" s="69"/>
      <c r="AH6" s="70"/>
      <c r="AI6" s="70"/>
      <c r="AJ6" s="70"/>
      <c r="AK6" s="69"/>
    </row>
    <row r="7" spans="2:37" s="19" customFormat="1" ht="13.5" customHeight="1">
      <c r="B7" s="60" t="s">
        <v>164</v>
      </c>
      <c r="C7" s="220">
        <v>174915.42499999999</v>
      </c>
      <c r="D7" s="220">
        <v>205838.682</v>
      </c>
      <c r="E7" s="220">
        <v>245865.633</v>
      </c>
      <c r="F7" s="220">
        <v>328309.14500000002</v>
      </c>
      <c r="G7" s="220">
        <v>280044.016</v>
      </c>
      <c r="H7" s="220">
        <v>270970.09999999998</v>
      </c>
      <c r="I7" s="220">
        <v>365906.35</v>
      </c>
      <c r="J7" s="220">
        <v>457286.68699999998</v>
      </c>
      <c r="K7" s="43">
        <f>SUM(AH7:AK7)</f>
        <v>445134.96799999999</v>
      </c>
      <c r="L7" s="16"/>
      <c r="M7" s="220">
        <v>49702.167000000001</v>
      </c>
      <c r="N7" s="220">
        <v>53537.805</v>
      </c>
      <c r="O7" s="220">
        <v>72162.777000000002</v>
      </c>
      <c r="P7" s="43">
        <f>E7-SUM(M7:O7)</f>
        <v>70462.883999999991</v>
      </c>
      <c r="Q7" s="220">
        <v>76882.163</v>
      </c>
      <c r="R7" s="220">
        <v>87788.96</v>
      </c>
      <c r="S7" s="220">
        <v>78062.854999999996</v>
      </c>
      <c r="T7" s="43">
        <f>F7-SUM(Q7:S7)</f>
        <v>85575.167000000016</v>
      </c>
      <c r="U7" s="220">
        <v>73351.501999999993</v>
      </c>
      <c r="V7" s="220">
        <v>70170.876999999993</v>
      </c>
      <c r="W7" s="220">
        <v>70474.269</v>
      </c>
      <c r="X7" s="43">
        <f>G7-SUM(U7:W7)</f>
        <v>66047.368000000017</v>
      </c>
      <c r="Y7" s="220">
        <v>59477.133999999998</v>
      </c>
      <c r="Z7" s="220">
        <v>67354.907999999996</v>
      </c>
      <c r="AA7" s="220">
        <v>70894.411999999997</v>
      </c>
      <c r="AB7" s="43">
        <f>H7-SUM(Y7:AA7)</f>
        <v>73243.646000000008</v>
      </c>
      <c r="AC7" s="220">
        <v>75506.822</v>
      </c>
      <c r="AD7" s="220">
        <v>88887.827999999994</v>
      </c>
      <c r="AE7" s="220">
        <v>92506.540999999997</v>
      </c>
      <c r="AF7" s="43">
        <f>I7-SUM(AC7:AE7)</f>
        <v>109005.15899999999</v>
      </c>
      <c r="AG7" s="220">
        <v>111293.337</v>
      </c>
      <c r="AH7" s="220">
        <v>115956.091</v>
      </c>
      <c r="AI7" s="220">
        <v>113120.734</v>
      </c>
      <c r="AJ7" s="43">
        <f>J7-SUM(AG7:AI7)</f>
        <v>116916.52499999997</v>
      </c>
      <c r="AK7" s="220">
        <v>99141.618000000002</v>
      </c>
    </row>
    <row r="8" spans="2:37" s="19" customFormat="1" ht="13.5" customHeight="1">
      <c r="B8" s="221" t="s">
        <v>165</v>
      </c>
      <c r="C8" s="67"/>
      <c r="D8" s="67">
        <f t="shared" ref="D8:J8" si="0">(D7/C7)-1</f>
        <v>0.17678976568247196</v>
      </c>
      <c r="E8" s="67">
        <f t="shared" si="0"/>
        <v>0.19445786676772436</v>
      </c>
      <c r="F8" s="67">
        <f t="shared" si="0"/>
        <v>0.33531938154203123</v>
      </c>
      <c r="G8" s="67">
        <f t="shared" si="0"/>
        <v>-0.14701122321767801</v>
      </c>
      <c r="H8" s="67">
        <f t="shared" si="0"/>
        <v>-3.2401749302152671E-2</v>
      </c>
      <c r="I8" s="67">
        <f t="shared" si="0"/>
        <v>0.35035692129869678</v>
      </c>
      <c r="J8" s="67">
        <f t="shared" si="0"/>
        <v>0.24973695318487921</v>
      </c>
      <c r="K8" s="64"/>
      <c r="L8" s="16"/>
      <c r="M8" s="67"/>
      <c r="N8" s="67"/>
      <c r="O8" s="67"/>
      <c r="P8" s="67"/>
      <c r="Q8" s="67">
        <f t="shared" ref="Q8:AI8" si="1">(Q7/M7)-1</f>
        <v>0.54685736338216406</v>
      </c>
      <c r="R8" s="67">
        <f t="shared" si="1"/>
        <v>0.63975643005909566</v>
      </c>
      <c r="S8" s="67">
        <f t="shared" si="1"/>
        <v>8.1760683904944509E-2</v>
      </c>
      <c r="T8" s="67">
        <f t="shared" si="1"/>
        <v>0.21447153653262374</v>
      </c>
      <c r="U8" s="67">
        <f t="shared" si="1"/>
        <v>-4.5923018581045971E-2</v>
      </c>
      <c r="V8" s="67">
        <f t="shared" si="1"/>
        <v>-0.20068677200413365</v>
      </c>
      <c r="W8" s="67">
        <f t="shared" si="1"/>
        <v>-9.7211228054623344E-2</v>
      </c>
      <c r="X8" s="67">
        <f t="shared" si="1"/>
        <v>-0.22819469344418564</v>
      </c>
      <c r="Y8" s="67">
        <f>(Y7/U7)-1</f>
        <v>-0.1891490647321713</v>
      </c>
      <c r="Z8" s="67">
        <f t="shared" si="1"/>
        <v>-4.0130166821201296E-2</v>
      </c>
      <c r="AA8" s="67">
        <f t="shared" si="1"/>
        <v>5.9616510530957623E-3</v>
      </c>
      <c r="AB8" s="67">
        <f t="shared" si="1"/>
        <v>0.10895631753259249</v>
      </c>
      <c r="AC8" s="67">
        <f>(AC7/Y7)-1</f>
        <v>0.26951009441712515</v>
      </c>
      <c r="AD8" s="67">
        <f t="shared" si="1"/>
        <v>0.31969340675218505</v>
      </c>
      <c r="AE8" s="67">
        <f t="shared" si="1"/>
        <v>0.30484954159715727</v>
      </c>
      <c r="AF8" s="67">
        <f t="shared" si="1"/>
        <v>0.48825413469995715</v>
      </c>
      <c r="AG8" s="67">
        <f>(AG7/AC7)-1</f>
        <v>0.47395075109901996</v>
      </c>
      <c r="AH8" s="67">
        <f t="shared" si="1"/>
        <v>0.30452159321521521</v>
      </c>
      <c r="AI8" s="67">
        <f t="shared" si="1"/>
        <v>0.2228403827141261</v>
      </c>
      <c r="AJ8" s="67">
        <f t="shared" ref="AJ8" si="2">(AJ7/AF7)-1</f>
        <v>7.2577904317354225E-2</v>
      </c>
      <c r="AK8" s="67">
        <f t="shared" ref="AK8" si="3">(AK7/AG7)-1</f>
        <v>-0.10918640169806393</v>
      </c>
    </row>
    <row r="9" spans="2:37" ht="13.5" customHeight="1">
      <c r="B9" s="62" t="s">
        <v>166</v>
      </c>
      <c r="C9" s="51">
        <v>-152723.486</v>
      </c>
      <c r="D9" s="51">
        <v>-177284.649</v>
      </c>
      <c r="E9" s="51">
        <v>-209113.77100000001</v>
      </c>
      <c r="F9" s="51">
        <v>-270048.20400000003</v>
      </c>
      <c r="G9" s="51">
        <v>-232466.826</v>
      </c>
      <c r="H9" s="51">
        <v>-213493.9</v>
      </c>
      <c r="I9" s="51">
        <v>-289346.15600000002</v>
      </c>
      <c r="J9" s="51">
        <v>-355480.84</v>
      </c>
      <c r="K9" s="7">
        <f>SUM(AH9:AK9)</f>
        <v>-346924.91100000002</v>
      </c>
      <c r="M9" s="51">
        <v>-42143.71</v>
      </c>
      <c r="N9" s="51">
        <v>-45836.358999999997</v>
      </c>
      <c r="O9" s="51">
        <v>-61997.120999999999</v>
      </c>
      <c r="P9" s="7">
        <f>E9-SUM(M9:O9)</f>
        <v>-59136.581000000006</v>
      </c>
      <c r="Q9" s="51">
        <v>-62720.932000000001</v>
      </c>
      <c r="R9" s="51">
        <v>-72640.918000000005</v>
      </c>
      <c r="S9" s="51">
        <v>-63770.633999999998</v>
      </c>
      <c r="T9" s="7">
        <f>F9-SUM(Q9:S9)</f>
        <v>-70915.72000000003</v>
      </c>
      <c r="U9" s="51">
        <v>-60641.756000000001</v>
      </c>
      <c r="V9" s="51">
        <v>-58402.841999999997</v>
      </c>
      <c r="W9" s="51">
        <v>-58752.36</v>
      </c>
      <c r="X9" s="7">
        <f>G9-SUM(U9:W9)</f>
        <v>-54669.868000000017</v>
      </c>
      <c r="Y9" s="51">
        <v>-47885.567000000003</v>
      </c>
      <c r="Z9" s="51">
        <v>-53193.892</v>
      </c>
      <c r="AA9" s="51">
        <v>-54784.701000000001</v>
      </c>
      <c r="AB9" s="7">
        <f>H9-SUM(Y9:AA9)</f>
        <v>-57629.739999999991</v>
      </c>
      <c r="AC9" s="51">
        <v>-58677.105000000003</v>
      </c>
      <c r="AD9" s="51">
        <v>-70493.650999999998</v>
      </c>
      <c r="AE9" s="51">
        <v>-73625.130999999994</v>
      </c>
      <c r="AF9" s="7">
        <f>I9-SUM(AC9:AE9)</f>
        <v>-86550.269000000029</v>
      </c>
      <c r="AG9" s="51">
        <v>-85887.426999999996</v>
      </c>
      <c r="AH9" s="51">
        <v>-89855.133000000002</v>
      </c>
      <c r="AI9" s="51">
        <v>-87184.567999999999</v>
      </c>
      <c r="AJ9" s="7">
        <f>J9-SUM(AG9:AI9)</f>
        <v>-92553.712</v>
      </c>
      <c r="AK9" s="51">
        <v>-77331.498000000007</v>
      </c>
    </row>
    <row r="10" spans="2:37" s="19" customFormat="1" ht="13.5" customHeight="1">
      <c r="B10" s="19" t="s">
        <v>167</v>
      </c>
      <c r="C10" s="43">
        <f t="shared" ref="C10:G10" si="4">C7+C9</f>
        <v>22191.938999999984</v>
      </c>
      <c r="D10" s="43">
        <f t="shared" si="4"/>
        <v>28554.032999999996</v>
      </c>
      <c r="E10" s="43">
        <f t="shared" si="4"/>
        <v>36751.861999999994</v>
      </c>
      <c r="F10" s="43">
        <f t="shared" si="4"/>
        <v>58260.940999999992</v>
      </c>
      <c r="G10" s="43">
        <f t="shared" si="4"/>
        <v>47577.19</v>
      </c>
      <c r="H10" s="43">
        <f t="shared" ref="H10:I10" si="5">H7+H9</f>
        <v>57476.199999999983</v>
      </c>
      <c r="I10" s="43">
        <f t="shared" si="5"/>
        <v>76560.193999999959</v>
      </c>
      <c r="J10" s="43">
        <f t="shared" ref="J10" si="6">J7+J9</f>
        <v>101805.84699999995</v>
      </c>
      <c r="K10" s="43">
        <f>K7+K9</f>
        <v>98210.056999999972</v>
      </c>
      <c r="M10" s="43">
        <f t="shared" ref="M10:S10" si="7">M7+M9</f>
        <v>7558.4570000000022</v>
      </c>
      <c r="N10" s="43">
        <f t="shared" si="7"/>
        <v>7701.4460000000036</v>
      </c>
      <c r="O10" s="43">
        <f t="shared" si="7"/>
        <v>10165.656000000003</v>
      </c>
      <c r="P10" s="43">
        <f t="shared" si="7"/>
        <v>11326.302999999985</v>
      </c>
      <c r="Q10" s="43">
        <f t="shared" si="7"/>
        <v>14161.231</v>
      </c>
      <c r="R10" s="43">
        <f t="shared" si="7"/>
        <v>15148.042000000001</v>
      </c>
      <c r="S10" s="43">
        <f t="shared" si="7"/>
        <v>14292.220999999998</v>
      </c>
      <c r="T10" s="43">
        <f t="shared" ref="T10:V10" si="8">T7+T9</f>
        <v>14659.446999999986</v>
      </c>
      <c r="U10" s="43">
        <f t="shared" si="8"/>
        <v>12709.745999999992</v>
      </c>
      <c r="V10" s="43">
        <f t="shared" si="8"/>
        <v>11768.034999999996</v>
      </c>
      <c r="W10" s="43">
        <f t="shared" ref="W10:Z10" si="9">W7+W9</f>
        <v>11721.909</v>
      </c>
      <c r="X10" s="43">
        <f t="shared" si="9"/>
        <v>11377.5</v>
      </c>
      <c r="Y10" s="43">
        <f t="shared" si="9"/>
        <v>11591.566999999995</v>
      </c>
      <c r="Z10" s="43">
        <f t="shared" si="9"/>
        <v>14161.015999999996</v>
      </c>
      <c r="AA10" s="43">
        <f t="shared" ref="AA10:AD10" si="10">AA7+AA9</f>
        <v>16109.710999999996</v>
      </c>
      <c r="AB10" s="43">
        <f t="shared" si="10"/>
        <v>15613.906000000017</v>
      </c>
      <c r="AC10" s="43">
        <f t="shared" si="10"/>
        <v>16829.716999999997</v>
      </c>
      <c r="AD10" s="43">
        <f t="shared" si="10"/>
        <v>18394.176999999996</v>
      </c>
      <c r="AE10" s="43">
        <f t="shared" ref="AE10:AH10" si="11">AE7+AE9</f>
        <v>18881.410000000003</v>
      </c>
      <c r="AF10" s="43">
        <f t="shared" si="11"/>
        <v>22454.889999999956</v>
      </c>
      <c r="AG10" s="43">
        <f t="shared" si="11"/>
        <v>25405.910000000003</v>
      </c>
      <c r="AH10" s="43">
        <f t="shared" si="11"/>
        <v>26100.957999999999</v>
      </c>
      <c r="AI10" s="43">
        <f t="shared" ref="AI10:AK10" si="12">AI7+AI9</f>
        <v>25936.165999999997</v>
      </c>
      <c r="AJ10" s="43">
        <f t="shared" si="12"/>
        <v>24362.812999999966</v>
      </c>
      <c r="AK10" s="43">
        <f t="shared" si="12"/>
        <v>21810.119999999995</v>
      </c>
    </row>
    <row r="11" spans="2:37" s="29" customFormat="1" ht="13.5" customHeight="1">
      <c r="B11" s="34" t="s">
        <v>168</v>
      </c>
      <c r="C11" s="67">
        <f t="shared" ref="C11:G11" si="13">C10/C7</f>
        <v>0.12687239561633851</v>
      </c>
      <c r="D11" s="67">
        <f t="shared" si="13"/>
        <v>0.13872044225390054</v>
      </c>
      <c r="E11" s="67">
        <f t="shared" si="13"/>
        <v>0.14947945978281557</v>
      </c>
      <c r="F11" s="67">
        <f t="shared" si="13"/>
        <v>0.17745756366305296</v>
      </c>
      <c r="G11" s="67">
        <f t="shared" si="13"/>
        <v>0.16989182871881112</v>
      </c>
      <c r="H11" s="67">
        <f t="shared" ref="H11:I11" si="14">H10/H7</f>
        <v>0.21211270173351224</v>
      </c>
      <c r="I11" s="67">
        <f t="shared" si="14"/>
        <v>0.20923439563155974</v>
      </c>
      <c r="J11" s="67">
        <f t="shared" ref="J11" si="15">J10/J7</f>
        <v>0.22263024464563072</v>
      </c>
      <c r="K11" s="67">
        <f>K10/K7</f>
        <v>0.22062984052063953</v>
      </c>
      <c r="M11" s="67">
        <f t="shared" ref="M11:S11" si="16">M10/M7</f>
        <v>0.15207499906392416</v>
      </c>
      <c r="N11" s="67">
        <f t="shared" si="16"/>
        <v>0.14385061173128041</v>
      </c>
      <c r="O11" s="67">
        <f t="shared" si="16"/>
        <v>0.14087118626269057</v>
      </c>
      <c r="P11" s="67">
        <f t="shared" si="16"/>
        <v>0.16074140536172188</v>
      </c>
      <c r="Q11" s="67">
        <f t="shared" si="16"/>
        <v>0.18419397227416714</v>
      </c>
      <c r="R11" s="67">
        <f t="shared" si="16"/>
        <v>0.17255064873760892</v>
      </c>
      <c r="S11" s="67">
        <f t="shared" si="16"/>
        <v>0.18308606570948499</v>
      </c>
      <c r="T11" s="67">
        <f t="shared" ref="T11:V11" si="17">T10/T7</f>
        <v>0.17130491839998377</v>
      </c>
      <c r="U11" s="67">
        <f t="shared" si="17"/>
        <v>0.17327178930841788</v>
      </c>
      <c r="V11" s="67">
        <f t="shared" si="17"/>
        <v>0.16770540006219387</v>
      </c>
      <c r="W11" s="67">
        <f t="shared" ref="W11:Z11" si="18">W10/W7</f>
        <v>0.16632891928258242</v>
      </c>
      <c r="X11" s="67">
        <f t="shared" si="18"/>
        <v>0.17226273119619237</v>
      </c>
      <c r="Y11" s="67">
        <f t="shared" si="18"/>
        <v>0.19489114926082343</v>
      </c>
      <c r="Z11" s="67">
        <f t="shared" si="18"/>
        <v>0.21024475306238999</v>
      </c>
      <c r="AA11" s="67">
        <f t="shared" ref="AA11:AD11" si="19">AA10/AA7</f>
        <v>0.22723527208322139</v>
      </c>
      <c r="AB11" s="67">
        <f t="shared" si="19"/>
        <v>0.21317761816499434</v>
      </c>
      <c r="AC11" s="67">
        <f t="shared" si="19"/>
        <v>0.22289001912966216</v>
      </c>
      <c r="AD11" s="67">
        <f t="shared" si="19"/>
        <v>0.20693696104263001</v>
      </c>
      <c r="AE11" s="67">
        <f t="shared" ref="AE11:AH11" si="20">AE10/AE7</f>
        <v>0.20410891809261361</v>
      </c>
      <c r="AF11" s="67">
        <f t="shared" si="20"/>
        <v>0.20599841517592721</v>
      </c>
      <c r="AG11" s="67">
        <f t="shared" si="20"/>
        <v>0.22827880522622845</v>
      </c>
      <c r="AH11" s="67">
        <f t="shared" si="20"/>
        <v>0.22509346231755947</v>
      </c>
      <c r="AI11" s="67">
        <f t="shared" ref="AI11:AK11" si="21">AI10/AI7</f>
        <v>0.22927862190144557</v>
      </c>
      <c r="AJ11" s="67">
        <f t="shared" si="21"/>
        <v>0.20837784051484573</v>
      </c>
      <c r="AK11" s="67">
        <f t="shared" si="21"/>
        <v>0.21998955070513368</v>
      </c>
    </row>
    <row r="12" spans="2:37" s="29" customFormat="1" ht="13.5" customHeight="1">
      <c r="B12" s="19" t="s">
        <v>169</v>
      </c>
      <c r="C12" s="43"/>
      <c r="D12" s="43"/>
      <c r="E12" s="43"/>
      <c r="F12" s="43"/>
      <c r="G12" s="43"/>
      <c r="H12" s="43"/>
      <c r="I12" s="43"/>
      <c r="J12" s="43"/>
      <c r="K12" s="7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</row>
    <row r="13" spans="2:37" s="29" customFormat="1" ht="13.5" customHeight="1">
      <c r="B13" s="68" t="s">
        <v>170</v>
      </c>
      <c r="C13" s="51">
        <v>-7993.0720000000001</v>
      </c>
      <c r="D13" s="51">
        <v>-10378.073</v>
      </c>
      <c r="E13" s="51">
        <v>-14539.4</v>
      </c>
      <c r="F13" s="51">
        <v>-20980.764999999999</v>
      </c>
      <c r="G13" s="51">
        <v>-21323.323</v>
      </c>
      <c r="H13" s="51">
        <v>-19226.5</v>
      </c>
      <c r="I13" s="51">
        <v>-25389.628000000001</v>
      </c>
      <c r="J13" s="51">
        <v>-33214.338000000003</v>
      </c>
      <c r="K13" s="7">
        <f t="shared" ref="K13:K18" si="22">SUM(AH13:AK13)</f>
        <v>-34291.004000000001</v>
      </c>
      <c r="M13" s="51">
        <v>-2624.873</v>
      </c>
      <c r="N13" s="51">
        <v>-3223.6759999999999</v>
      </c>
      <c r="O13" s="51">
        <v>-3600.5819999999999</v>
      </c>
      <c r="P13" s="7">
        <f t="shared" ref="P13:P18" si="23">E13-SUM(M13:O13)</f>
        <v>-5090.2690000000002</v>
      </c>
      <c r="Q13" s="51">
        <v>-4163.4750000000004</v>
      </c>
      <c r="R13" s="51">
        <v>-5680.6589999999997</v>
      </c>
      <c r="S13" s="51">
        <v>-4882.3140000000003</v>
      </c>
      <c r="T13" s="7">
        <f t="shared" ref="T13:T18" si="24">F13-SUM(Q13:S13)</f>
        <v>-6254.3169999999991</v>
      </c>
      <c r="U13" s="51">
        <v>-5256.1840000000002</v>
      </c>
      <c r="V13" s="51">
        <v>-5332.2079999999996</v>
      </c>
      <c r="W13" s="51">
        <v>-4882.576</v>
      </c>
      <c r="X13" s="7">
        <f t="shared" ref="X13:X18" si="25">G13-SUM(U13:W13)</f>
        <v>-5852.3549999999996</v>
      </c>
      <c r="Y13" s="51">
        <v>-4103.8639999999996</v>
      </c>
      <c r="Z13" s="51">
        <v>-4476.7579999999998</v>
      </c>
      <c r="AA13" s="51">
        <v>-4736.2650000000003</v>
      </c>
      <c r="AB13" s="7">
        <f t="shared" ref="AB13:AB18" si="26">H13-SUM(Y13:AA13)</f>
        <v>-5909.6130000000012</v>
      </c>
      <c r="AC13" s="51">
        <v>-5481.0469999999996</v>
      </c>
      <c r="AD13" s="51">
        <v>-5899.0519999999997</v>
      </c>
      <c r="AE13" s="51">
        <v>-6280.1459999999997</v>
      </c>
      <c r="AF13" s="7">
        <f t="shared" ref="AF13:AF18" si="27">I13-SUM(AC13:AE13)</f>
        <v>-7729.3830000000016</v>
      </c>
      <c r="AG13" s="51">
        <v>-7199.817</v>
      </c>
      <c r="AH13" s="51">
        <v>-7777.9709999999995</v>
      </c>
      <c r="AI13" s="51">
        <v>-8309.6530000000002</v>
      </c>
      <c r="AJ13" s="7">
        <f t="shared" ref="AJ13:AJ18" si="28">J13-SUM(AG13:AI13)</f>
        <v>-9926.8970000000045</v>
      </c>
      <c r="AK13" s="51">
        <v>-8276.4830000000002</v>
      </c>
    </row>
    <row r="14" spans="2:37" s="29" customFormat="1" ht="13.5" customHeight="1">
      <c r="B14" s="68" t="s">
        <v>171</v>
      </c>
      <c r="C14" s="51">
        <v>-12099.078</v>
      </c>
      <c r="D14" s="51">
        <v>-3103.9009999999998</v>
      </c>
      <c r="E14" s="51">
        <v>-3746.4490000000001</v>
      </c>
      <c r="F14" s="51">
        <v>-4738.9189999999999</v>
      </c>
      <c r="G14" s="51">
        <v>-5113.8770000000004</v>
      </c>
      <c r="H14" s="51">
        <v>-5126.8</v>
      </c>
      <c r="I14" s="51">
        <v>-5601.2479999999996</v>
      </c>
      <c r="J14" s="51">
        <v>-6653.0259999999998</v>
      </c>
      <c r="K14" s="7">
        <f t="shared" si="22"/>
        <v>-6753.3169999999991</v>
      </c>
      <c r="M14" s="51">
        <v>-781.53300000000002</v>
      </c>
      <c r="N14" s="51">
        <v>-836.42600000000004</v>
      </c>
      <c r="O14" s="51">
        <v>-852.71500000000003</v>
      </c>
      <c r="P14" s="7">
        <f t="shared" si="23"/>
        <v>-1275.7750000000001</v>
      </c>
      <c r="Q14" s="51">
        <v>-987.65200000000004</v>
      </c>
      <c r="R14" s="51">
        <v>-1150.336</v>
      </c>
      <c r="S14" s="51">
        <v>-1274.6030000000001</v>
      </c>
      <c r="T14" s="7">
        <f t="shared" si="24"/>
        <v>-1326.3279999999995</v>
      </c>
      <c r="U14" s="51">
        <v>-1244.5730000000001</v>
      </c>
      <c r="V14" s="51">
        <v>-1315.404</v>
      </c>
      <c r="W14" s="51">
        <v>-1255.393</v>
      </c>
      <c r="X14" s="7">
        <f t="shared" si="25"/>
        <v>-1298.5070000000005</v>
      </c>
      <c r="Y14" s="51">
        <v>-1135.173</v>
      </c>
      <c r="Z14" s="51">
        <v>-1143.19</v>
      </c>
      <c r="AA14" s="51">
        <v>-1365.2909999999999</v>
      </c>
      <c r="AB14" s="7">
        <f t="shared" si="26"/>
        <v>-1483.1459999999997</v>
      </c>
      <c r="AC14" s="51">
        <v>-1523.0070000000001</v>
      </c>
      <c r="AD14" s="51">
        <v>-1182.5239999999999</v>
      </c>
      <c r="AE14" s="51">
        <v>-1415.3689999999999</v>
      </c>
      <c r="AF14" s="7">
        <f t="shared" si="27"/>
        <v>-1480.348</v>
      </c>
      <c r="AG14" s="51">
        <v>-1530.0940000000001</v>
      </c>
      <c r="AH14" s="51">
        <v>-1627.144</v>
      </c>
      <c r="AI14" s="51">
        <v>-1848.1969999999999</v>
      </c>
      <c r="AJ14" s="7">
        <f t="shared" si="28"/>
        <v>-1647.5909999999994</v>
      </c>
      <c r="AK14" s="51">
        <v>-1630.385</v>
      </c>
    </row>
    <row r="15" spans="2:37" s="29" customFormat="1" ht="13.5" customHeight="1">
      <c r="B15" s="68" t="s">
        <v>172</v>
      </c>
      <c r="C15" s="51">
        <v>-5776.826</v>
      </c>
      <c r="D15" s="51">
        <v>-7492.5540000000001</v>
      </c>
      <c r="E15" s="51">
        <v>-9256.1389999999992</v>
      </c>
      <c r="F15" s="51">
        <v>-13167.088</v>
      </c>
      <c r="G15" s="51">
        <v>-16028.132</v>
      </c>
      <c r="H15" s="51">
        <v>-19097.7</v>
      </c>
      <c r="I15" s="51">
        <v>-24050.484</v>
      </c>
      <c r="J15" s="51">
        <v>-33132.201000000001</v>
      </c>
      <c r="K15" s="7">
        <f t="shared" si="22"/>
        <v>-35374.874000000003</v>
      </c>
      <c r="M15" s="51">
        <v>-1870.9839999999999</v>
      </c>
      <c r="N15" s="51">
        <v>-1958.2719999999999</v>
      </c>
      <c r="O15" s="51">
        <v>-2321.2640000000001</v>
      </c>
      <c r="P15" s="7">
        <f t="shared" si="23"/>
        <v>-3105.6189999999988</v>
      </c>
      <c r="Q15" s="51">
        <v>-3011.991</v>
      </c>
      <c r="R15" s="51">
        <v>-3064.1759999999999</v>
      </c>
      <c r="S15" s="51">
        <v>-3237.6950000000002</v>
      </c>
      <c r="T15" s="7">
        <f t="shared" si="24"/>
        <v>-3853.2260000000006</v>
      </c>
      <c r="U15" s="51">
        <v>-3494.5390000000002</v>
      </c>
      <c r="V15" s="51">
        <v>-3763.3739999999998</v>
      </c>
      <c r="W15" s="51">
        <v>-4069.7890000000002</v>
      </c>
      <c r="X15" s="7">
        <f t="shared" si="25"/>
        <v>-4700.4299999999985</v>
      </c>
      <c r="Y15" s="51">
        <v>-4113.3599999999997</v>
      </c>
      <c r="Z15" s="51">
        <v>-4554.8029999999999</v>
      </c>
      <c r="AA15" s="51">
        <v>-4966.22</v>
      </c>
      <c r="AB15" s="7">
        <f t="shared" si="26"/>
        <v>-5463.3169999999991</v>
      </c>
      <c r="AC15" s="51">
        <v>-5159.3869999999997</v>
      </c>
      <c r="AD15" s="51">
        <v>-5497.7290000000003</v>
      </c>
      <c r="AE15" s="51">
        <v>-5956.7839999999997</v>
      </c>
      <c r="AF15" s="7">
        <f t="shared" si="27"/>
        <v>-7436.5839999999989</v>
      </c>
      <c r="AG15" s="51">
        <v>-6711.7079999999996</v>
      </c>
      <c r="AH15" s="51">
        <v>-7763.3770000000004</v>
      </c>
      <c r="AI15" s="51">
        <v>-9059.3729999999996</v>
      </c>
      <c r="AJ15" s="7">
        <f t="shared" si="28"/>
        <v>-9597.7430000000022</v>
      </c>
      <c r="AK15" s="51">
        <v>-8954.3809999999994</v>
      </c>
    </row>
    <row r="16" spans="2:37" s="29" customFormat="1" ht="13.5" customHeight="1">
      <c r="B16" s="68" t="s">
        <v>173</v>
      </c>
      <c r="C16" s="51">
        <v>4430.3590000000004</v>
      </c>
      <c r="D16" s="51">
        <v>3813.0120000000002</v>
      </c>
      <c r="E16" s="51">
        <v>13173.478999999999</v>
      </c>
      <c r="F16" s="51">
        <v>8132.1329999999998</v>
      </c>
      <c r="G16" s="51">
        <v>-1662.01</v>
      </c>
      <c r="H16" s="51">
        <v>3501.1</v>
      </c>
      <c r="I16" s="51">
        <v>1050.7719999999999</v>
      </c>
      <c r="J16" s="51">
        <v>13311.733</v>
      </c>
      <c r="K16" s="7">
        <f t="shared" si="22"/>
        <v>11333.228000000001</v>
      </c>
      <c r="M16" s="51">
        <v>347.846</v>
      </c>
      <c r="N16" s="51">
        <v>2366.1880000000001</v>
      </c>
      <c r="O16" s="51">
        <v>3417.924</v>
      </c>
      <c r="P16" s="7">
        <f t="shared" si="23"/>
        <v>7041.5209999999988</v>
      </c>
      <c r="Q16" s="51">
        <v>2063.2069999999999</v>
      </c>
      <c r="R16" s="51">
        <v>4165.4189999999999</v>
      </c>
      <c r="S16" s="51">
        <v>-1975.634</v>
      </c>
      <c r="T16" s="7">
        <f t="shared" si="24"/>
        <v>3879.1409999999996</v>
      </c>
      <c r="U16" s="51">
        <v>-3550.2550000000001</v>
      </c>
      <c r="V16" s="51">
        <v>513.577</v>
      </c>
      <c r="W16" s="51">
        <v>-2390.8539999999998</v>
      </c>
      <c r="X16" s="7">
        <f t="shared" si="25"/>
        <v>3765.521999999999</v>
      </c>
      <c r="Y16" s="51">
        <v>3453.259</v>
      </c>
      <c r="Z16" s="51">
        <v>-275.78399999999999</v>
      </c>
      <c r="AA16" s="51">
        <v>-299.89499999999998</v>
      </c>
      <c r="AB16" s="7">
        <f t="shared" si="26"/>
        <v>623.52</v>
      </c>
      <c r="AC16" s="51">
        <v>-1226.492</v>
      </c>
      <c r="AD16" s="51">
        <v>-849.41</v>
      </c>
      <c r="AE16" s="51">
        <v>548.51400000000001</v>
      </c>
      <c r="AF16" s="7">
        <f t="shared" si="27"/>
        <v>2578.16</v>
      </c>
      <c r="AG16" s="51">
        <v>2827.0219999999999</v>
      </c>
      <c r="AH16" s="51">
        <v>3363.4969999999998</v>
      </c>
      <c r="AI16" s="51">
        <v>5483.1570000000002</v>
      </c>
      <c r="AJ16" s="7">
        <f t="shared" si="28"/>
        <v>1638.0570000000007</v>
      </c>
      <c r="AK16" s="51">
        <v>848.51700000000005</v>
      </c>
    </row>
    <row r="17" spans="2:37" s="29" customFormat="1" ht="13.5" customHeight="1">
      <c r="B17" s="68" t="s">
        <v>174</v>
      </c>
      <c r="C17" s="51">
        <v>-614.91999999999996</v>
      </c>
      <c r="D17" s="51">
        <v>-671.822</v>
      </c>
      <c r="E17" s="51">
        <v>1380.904</v>
      </c>
      <c r="F17" s="51">
        <v>275.01299999999998</v>
      </c>
      <c r="G17" s="51">
        <v>-400.1</v>
      </c>
      <c r="H17" s="51">
        <v>45.6</v>
      </c>
      <c r="I17" s="51">
        <v>276.84500000000003</v>
      </c>
      <c r="J17" s="51">
        <v>326.12700000000001</v>
      </c>
      <c r="K17" s="7">
        <f t="shared" si="22"/>
        <v>306.363</v>
      </c>
      <c r="M17" s="51">
        <v>130.738</v>
      </c>
      <c r="N17" s="51">
        <v>892.64499999999998</v>
      </c>
      <c r="O17" s="51">
        <v>-10.696</v>
      </c>
      <c r="P17" s="7">
        <f t="shared" si="23"/>
        <v>368.21699999999998</v>
      </c>
      <c r="Q17" s="51">
        <v>8.9890000000000008</v>
      </c>
      <c r="R17" s="51">
        <v>-26.193000000000001</v>
      </c>
      <c r="S17" s="51">
        <v>45.116</v>
      </c>
      <c r="T17" s="7">
        <f t="shared" si="24"/>
        <v>247.10099999999997</v>
      </c>
      <c r="U17" s="51">
        <v>-201.33199999999999</v>
      </c>
      <c r="V17" s="51">
        <v>62.671999999999997</v>
      </c>
      <c r="W17" s="51">
        <v>-264.99599999999998</v>
      </c>
      <c r="X17" s="7">
        <f t="shared" si="25"/>
        <v>3.5559999999999263</v>
      </c>
      <c r="Y17" s="51">
        <v>-133.08099999999999</v>
      </c>
      <c r="Z17" s="51">
        <v>74.046000000000006</v>
      </c>
      <c r="AA17" s="51">
        <v>20.632999999999999</v>
      </c>
      <c r="AB17" s="7">
        <f t="shared" si="26"/>
        <v>84.001999999999981</v>
      </c>
      <c r="AC17" s="51">
        <v>155.39099999999999</v>
      </c>
      <c r="AD17" s="51">
        <v>86.385000000000005</v>
      </c>
      <c r="AE17" s="51">
        <v>37.738999999999997</v>
      </c>
      <c r="AF17" s="7">
        <f t="shared" si="27"/>
        <v>-2.6699999999999591</v>
      </c>
      <c r="AG17" s="51">
        <v>63.530999999999999</v>
      </c>
      <c r="AH17" s="51">
        <v>86.864000000000004</v>
      </c>
      <c r="AI17" s="51">
        <v>25.143999999999998</v>
      </c>
      <c r="AJ17" s="7">
        <f t="shared" si="28"/>
        <v>150.58799999999999</v>
      </c>
      <c r="AK17" s="51">
        <v>43.767000000000003</v>
      </c>
    </row>
    <row r="18" spans="2:37" s="29" customFormat="1" ht="13.5" customHeight="1">
      <c r="B18" s="68" t="s">
        <v>175</v>
      </c>
      <c r="C18" s="51">
        <f>844.789+213.281</f>
        <v>1058.07</v>
      </c>
      <c r="D18" s="51">
        <f>1265.921-226.399</f>
        <v>1039.5219999999999</v>
      </c>
      <c r="E18" s="51">
        <f>642.93-372.458</f>
        <v>270.47199999999992</v>
      </c>
      <c r="F18" s="51">
        <f>826.856-2579.507</f>
        <v>-1752.6510000000001</v>
      </c>
      <c r="G18" s="51">
        <f>1135.56-1368.81</f>
        <v>-233.25</v>
      </c>
      <c r="H18" s="51">
        <f>740.1+1696.7</f>
        <v>2436.8000000000002</v>
      </c>
      <c r="I18" s="51">
        <f>1666.779-10.334</f>
        <v>1656.4449999999999</v>
      </c>
      <c r="J18" s="51">
        <f>2736.94+2719.838</f>
        <v>5456.7780000000002</v>
      </c>
      <c r="K18" s="7">
        <f t="shared" si="22"/>
        <v>6657.7049999999999</v>
      </c>
      <c r="M18" s="51">
        <f>73.727-510.19</f>
        <v>-436.46299999999997</v>
      </c>
      <c r="N18" s="51">
        <f>183.051+288.071</f>
        <v>471.12200000000001</v>
      </c>
      <c r="O18" s="51">
        <f>139.291-240.995</f>
        <v>-101.70400000000001</v>
      </c>
      <c r="P18" s="7">
        <f t="shared" si="23"/>
        <v>337.51699999999988</v>
      </c>
      <c r="Q18" s="51">
        <f>152.053-64.699</f>
        <v>87.353999999999999</v>
      </c>
      <c r="R18" s="51">
        <f>234.612+1099.047</f>
        <v>1333.6590000000001</v>
      </c>
      <c r="S18" s="51">
        <f>234.886-472.296</f>
        <v>-237.41</v>
      </c>
      <c r="T18" s="7">
        <f t="shared" si="24"/>
        <v>-2936.2539999999999</v>
      </c>
      <c r="U18" s="51">
        <f>164.927-39.053</f>
        <v>125.874</v>
      </c>
      <c r="V18" s="51">
        <f>186.177-386.447</f>
        <v>-200.27</v>
      </c>
      <c r="W18" s="51">
        <f>195.671-414.983</f>
        <v>-219.31200000000001</v>
      </c>
      <c r="X18" s="7">
        <f t="shared" si="25"/>
        <v>60.458000000000027</v>
      </c>
      <c r="Y18" s="51">
        <f>164.834+176.027</f>
        <v>340.86099999999999</v>
      </c>
      <c r="Z18" s="51">
        <f>184.776+71.223</f>
        <v>255.99900000000002</v>
      </c>
      <c r="AA18" s="51">
        <f>128.734+119.806</f>
        <v>248.54000000000002</v>
      </c>
      <c r="AB18" s="7">
        <f t="shared" si="26"/>
        <v>1591.4</v>
      </c>
      <c r="AC18" s="51">
        <f>157.407-69.544</f>
        <v>87.863000000000014</v>
      </c>
      <c r="AD18" s="51">
        <f>287.246+549.628</f>
        <v>836.87400000000002</v>
      </c>
      <c r="AE18" s="51">
        <f>275.902-50.003</f>
        <v>225.899</v>
      </c>
      <c r="AF18" s="7">
        <f t="shared" si="27"/>
        <v>505.80899999999997</v>
      </c>
      <c r="AG18" s="51">
        <f>(161766+108797)/1000</f>
        <v>270.56299999999999</v>
      </c>
      <c r="AH18" s="51">
        <f>299.446+754.446</f>
        <v>1053.8920000000001</v>
      </c>
      <c r="AI18" s="51">
        <f>(1686642+1196243)/1000</f>
        <v>2882.8850000000002</v>
      </c>
      <c r="AJ18" s="7">
        <f t="shared" si="28"/>
        <v>1249.4380000000001</v>
      </c>
      <c r="AK18" s="51">
        <f>1085.385+386.105</f>
        <v>1471.49</v>
      </c>
    </row>
    <row r="19" spans="2:37" s="19" customFormat="1" ht="13.5" customHeight="1">
      <c r="B19" s="19" t="s">
        <v>176</v>
      </c>
      <c r="C19" s="43">
        <f t="shared" ref="C19:G19" si="29">C10+SUM(C13:C18)</f>
        <v>1196.4719999999834</v>
      </c>
      <c r="D19" s="43">
        <f t="shared" si="29"/>
        <v>11760.216999999997</v>
      </c>
      <c r="E19" s="43">
        <f t="shared" si="29"/>
        <v>24034.728999999996</v>
      </c>
      <c r="F19" s="43">
        <f t="shared" si="29"/>
        <v>26028.663999999993</v>
      </c>
      <c r="G19" s="43">
        <f t="shared" si="29"/>
        <v>2816.4979999999996</v>
      </c>
      <c r="H19" s="43">
        <f t="shared" ref="H19:I19" si="30">H10+SUM(H13:H18)</f>
        <v>20008.699999999983</v>
      </c>
      <c r="I19" s="43">
        <f t="shared" si="30"/>
        <v>24502.895999999957</v>
      </c>
      <c r="J19" s="43">
        <f t="shared" ref="J19" si="31">J10+SUM(J13:J18)</f>
        <v>47900.919999999947</v>
      </c>
      <c r="K19" s="43">
        <f>K10+SUM(K13:K18)</f>
        <v>40088.157999999967</v>
      </c>
      <c r="M19" s="43">
        <f t="shared" ref="M19:S19" si="32">M10+SUM(M13:M18)</f>
        <v>2323.1880000000028</v>
      </c>
      <c r="N19" s="43">
        <f t="shared" si="32"/>
        <v>5413.0270000000037</v>
      </c>
      <c r="O19" s="43">
        <f t="shared" si="32"/>
        <v>6696.6190000000024</v>
      </c>
      <c r="P19" s="43">
        <f t="shared" si="32"/>
        <v>9601.8949999999859</v>
      </c>
      <c r="Q19" s="43">
        <f t="shared" si="32"/>
        <v>8157.6629999999996</v>
      </c>
      <c r="R19" s="43">
        <f t="shared" si="32"/>
        <v>10725.756000000001</v>
      </c>
      <c r="S19" s="43">
        <f t="shared" si="32"/>
        <v>2729.6809999999969</v>
      </c>
      <c r="T19" s="43">
        <f t="shared" ref="T19:V19" si="33">T10+SUM(T13:T18)</f>
        <v>4415.5639999999858</v>
      </c>
      <c r="U19" s="43">
        <f t="shared" si="33"/>
        <v>-911.26300000000811</v>
      </c>
      <c r="V19" s="43">
        <f t="shared" si="33"/>
        <v>1733.0279999999966</v>
      </c>
      <c r="W19" s="43">
        <f t="shared" ref="W19:Z19" si="34">W10+SUM(W13:W18)</f>
        <v>-1361.0109999999986</v>
      </c>
      <c r="X19" s="43">
        <f t="shared" si="34"/>
        <v>3355.7440000000006</v>
      </c>
      <c r="Y19" s="43">
        <f t="shared" si="34"/>
        <v>5900.2089999999962</v>
      </c>
      <c r="Z19" s="43">
        <f t="shared" si="34"/>
        <v>4040.5259999999962</v>
      </c>
      <c r="AA19" s="43">
        <f t="shared" ref="AA19:AD19" si="35">AA10+SUM(AA13:AA18)</f>
        <v>5011.2129999999943</v>
      </c>
      <c r="AB19" s="43">
        <f t="shared" si="35"/>
        <v>5056.7520000000168</v>
      </c>
      <c r="AC19" s="43">
        <f t="shared" si="35"/>
        <v>3683.0379999999968</v>
      </c>
      <c r="AD19" s="43">
        <f t="shared" si="35"/>
        <v>5888.7209999999959</v>
      </c>
      <c r="AE19" s="43">
        <f t="shared" ref="AE19:AH19" si="36">AE10+SUM(AE13:AE18)</f>
        <v>6041.2630000000026</v>
      </c>
      <c r="AF19" s="43">
        <f t="shared" si="36"/>
        <v>8889.8739999999525</v>
      </c>
      <c r="AG19" s="43">
        <f t="shared" si="36"/>
        <v>13125.407000000007</v>
      </c>
      <c r="AH19" s="43">
        <f t="shared" si="36"/>
        <v>13436.718999999999</v>
      </c>
      <c r="AI19" s="43">
        <f t="shared" ref="AI19:AK19" si="37">AI10+SUM(AI13:AI18)</f>
        <v>15110.128999999999</v>
      </c>
      <c r="AJ19" s="43">
        <f t="shared" si="37"/>
        <v>6228.6649999999572</v>
      </c>
      <c r="AK19" s="43">
        <f t="shared" si="37"/>
        <v>5312.6449999999968</v>
      </c>
    </row>
    <row r="20" spans="2:37" s="29" customFormat="1" ht="13.5" customHeight="1">
      <c r="B20" s="68" t="s">
        <v>177</v>
      </c>
      <c r="C20" s="51">
        <v>0</v>
      </c>
      <c r="D20" s="51">
        <v>-528.46</v>
      </c>
      <c r="E20" s="51">
        <v>-3364.8519999999999</v>
      </c>
      <c r="F20" s="51">
        <v>-2841.4569999999999</v>
      </c>
      <c r="G20" s="51">
        <v>-546.48299999999995</v>
      </c>
      <c r="H20" s="51">
        <v>-1555.97</v>
      </c>
      <c r="I20" s="51">
        <v>-212.447</v>
      </c>
      <c r="J20" s="51">
        <v>-3634.7350000000001</v>
      </c>
      <c r="K20" s="7">
        <f t="shared" ref="K20:K21" si="38">SUM(AH20:AK20)</f>
        <v>-3360.6459999999997</v>
      </c>
      <c r="M20" s="51">
        <v>-161.04499999999999</v>
      </c>
      <c r="N20" s="51">
        <v>-767.02499999999998</v>
      </c>
      <c r="O20" s="51">
        <v>-1465.6279999999999</v>
      </c>
      <c r="P20" s="7">
        <f>E20-SUM(M20:O20)</f>
        <v>-971.154</v>
      </c>
      <c r="Q20" s="51">
        <v>634.00900000000001</v>
      </c>
      <c r="R20" s="51">
        <v>-1369.865</v>
      </c>
      <c r="S20" s="51">
        <v>-1260.559</v>
      </c>
      <c r="T20" s="7">
        <f>F20-SUM(Q20:S20)</f>
        <v>-845.04199999999992</v>
      </c>
      <c r="U20" s="51">
        <v>229.631</v>
      </c>
      <c r="V20" s="51">
        <v>-376.18</v>
      </c>
      <c r="W20" s="51">
        <v>-284.81200000000001</v>
      </c>
      <c r="X20" s="7">
        <f>G20-SUM(U20:W20)</f>
        <v>-115.12199999999996</v>
      </c>
      <c r="Y20" s="51">
        <v>-1107.646</v>
      </c>
      <c r="Z20" s="51">
        <v>63.881999999999998</v>
      </c>
      <c r="AA20" s="51">
        <v>-95.602000000000004</v>
      </c>
      <c r="AB20" s="7">
        <f>H20-SUM(Y20:AA20)</f>
        <v>-416.60400000000004</v>
      </c>
      <c r="AC20" s="51">
        <v>519.90499999999997</v>
      </c>
      <c r="AD20" s="51">
        <v>-86.210999999999999</v>
      </c>
      <c r="AE20" s="51">
        <v>-157.18799999999999</v>
      </c>
      <c r="AF20" s="7">
        <f t="shared" ref="AF20:AF21" si="39">I20-SUM(AC20:AE20)</f>
        <v>-488.95299999999997</v>
      </c>
      <c r="AG20" s="51">
        <v>1003.965</v>
      </c>
      <c r="AH20" s="51">
        <v>-512.46199999999999</v>
      </c>
      <c r="AI20" s="51">
        <v>-1644.26</v>
      </c>
      <c r="AJ20" s="7">
        <f t="shared" ref="AJ20:AJ21" si="40">J20-SUM(AG20:AI20)</f>
        <v>-2481.9780000000001</v>
      </c>
      <c r="AK20" s="51">
        <v>1278.0540000000001</v>
      </c>
    </row>
    <row r="21" spans="2:37" s="29" customFormat="1" ht="13.5" customHeight="1">
      <c r="B21" s="68" t="s">
        <v>178</v>
      </c>
      <c r="C21" s="51">
        <f>216.373+12514.279</f>
        <v>12730.652</v>
      </c>
      <c r="D21" s="51">
        <v>930.88900000000001</v>
      </c>
      <c r="E21" s="51">
        <v>963.55499999999995</v>
      </c>
      <c r="F21" s="51">
        <v>1229.826</v>
      </c>
      <c r="G21" s="51">
        <v>1663.941</v>
      </c>
      <c r="H21" s="51">
        <f>3558.347</f>
        <v>3558.3470000000002</v>
      </c>
      <c r="I21" s="51">
        <v>3836.2040000000002</v>
      </c>
      <c r="J21" s="51">
        <v>5380.68</v>
      </c>
      <c r="K21" s="7">
        <f t="shared" si="38"/>
        <v>5480.0920000000006</v>
      </c>
      <c r="M21" s="51">
        <v>291.94600000000003</v>
      </c>
      <c r="N21" s="51">
        <v>221.79400000000001</v>
      </c>
      <c r="O21" s="51">
        <v>219.69</v>
      </c>
      <c r="P21" s="7">
        <f>E21-SUM(M21:O21)</f>
        <v>230.12499999999989</v>
      </c>
      <c r="Q21" s="51">
        <v>275.20800000000003</v>
      </c>
      <c r="R21" s="51">
        <v>322.65100000000001</v>
      </c>
      <c r="S21" s="51">
        <v>317.99099999999999</v>
      </c>
      <c r="T21" s="7">
        <f>F21-SUM(Q21:S21)</f>
        <v>313.976</v>
      </c>
      <c r="U21" s="51">
        <v>265.702</v>
      </c>
      <c r="V21" s="51">
        <v>379.99099999999999</v>
      </c>
      <c r="W21" s="51">
        <v>455.12799999999999</v>
      </c>
      <c r="X21" s="7">
        <f>G21-SUM(U21:W21)</f>
        <v>563.12000000000012</v>
      </c>
      <c r="Y21" s="51">
        <v>678.15</v>
      </c>
      <c r="Z21" s="51">
        <v>851.27300000000002</v>
      </c>
      <c r="AA21" s="51">
        <v>971.58900000000006</v>
      </c>
      <c r="AB21" s="7">
        <f>H21-SUM(Y21:AA21)</f>
        <v>1057.335</v>
      </c>
      <c r="AC21" s="51">
        <v>1019.4349999999999</v>
      </c>
      <c r="AD21" s="51">
        <v>876.875</v>
      </c>
      <c r="AE21" s="51">
        <v>933.11900000000003</v>
      </c>
      <c r="AF21" s="7">
        <f t="shared" si="39"/>
        <v>1006.7750000000001</v>
      </c>
      <c r="AG21" s="51">
        <v>-961.404</v>
      </c>
      <c r="AH21" s="51">
        <v>1478.5260000000001</v>
      </c>
      <c r="AI21" s="51">
        <v>1489.7760000000001</v>
      </c>
      <c r="AJ21" s="7">
        <f t="shared" si="40"/>
        <v>3373.7820000000002</v>
      </c>
      <c r="AK21" s="51">
        <v>-861.99199999999996</v>
      </c>
    </row>
    <row r="22" spans="2:37" s="198" customFormat="1" ht="13.5" customHeight="1">
      <c r="B22" s="197" t="s">
        <v>179</v>
      </c>
      <c r="C22" s="43">
        <f>SUM(C20:C21)</f>
        <v>12730.652</v>
      </c>
      <c r="D22" s="43">
        <f t="shared" ref="D22:M22" si="41">SUM(D20:D21)</f>
        <v>402.42899999999997</v>
      </c>
      <c r="E22" s="43">
        <f t="shared" si="41"/>
        <v>-2401.297</v>
      </c>
      <c r="F22" s="43">
        <f t="shared" si="41"/>
        <v>-1611.6309999999999</v>
      </c>
      <c r="G22" s="43">
        <f t="shared" si="41"/>
        <v>1117.4580000000001</v>
      </c>
      <c r="H22" s="43">
        <f t="shared" si="41"/>
        <v>2002.3770000000002</v>
      </c>
      <c r="I22" s="43">
        <f t="shared" si="41"/>
        <v>3623.7570000000001</v>
      </c>
      <c r="J22" s="43">
        <f t="shared" ref="J22" si="42">SUM(J20:J21)</f>
        <v>1745.9450000000002</v>
      </c>
      <c r="K22" s="43">
        <f t="shared" si="41"/>
        <v>2119.4460000000008</v>
      </c>
      <c r="M22" s="43">
        <f t="shared" si="41"/>
        <v>130.90100000000004</v>
      </c>
      <c r="N22" s="43">
        <f t="shared" ref="N22" si="43">SUM(N20:N21)</f>
        <v>-545.23099999999999</v>
      </c>
      <c r="O22" s="43">
        <f t="shared" ref="O22" si="44">SUM(O20:O21)</f>
        <v>-1245.9379999999999</v>
      </c>
      <c r="P22" s="43">
        <f t="shared" ref="P22" si="45">SUM(P20:P21)</f>
        <v>-741.02900000000011</v>
      </c>
      <c r="Q22" s="43">
        <f t="shared" ref="Q22" si="46">SUM(Q20:Q21)</f>
        <v>909.2170000000001</v>
      </c>
      <c r="R22" s="43">
        <f t="shared" ref="R22" si="47">SUM(R20:R21)</f>
        <v>-1047.2139999999999</v>
      </c>
      <c r="S22" s="43">
        <f t="shared" ref="S22" si="48">SUM(S20:S21)</f>
        <v>-942.56799999999998</v>
      </c>
      <c r="T22" s="43">
        <f t="shared" ref="T22" si="49">SUM(T20:T21)</f>
        <v>-531.06599999999992</v>
      </c>
      <c r="U22" s="43">
        <f t="shared" ref="U22" si="50">SUM(U20:U21)</f>
        <v>495.33299999999997</v>
      </c>
      <c r="V22" s="43">
        <f t="shared" ref="V22" si="51">SUM(V20:V21)</f>
        <v>3.8109999999999786</v>
      </c>
      <c r="W22" s="43">
        <f t="shared" ref="W22" si="52">SUM(W20:W21)</f>
        <v>170.31599999999997</v>
      </c>
      <c r="X22" s="43">
        <f t="shared" ref="X22" si="53">SUM(X20:X21)</f>
        <v>447.99800000000016</v>
      </c>
      <c r="Y22" s="43">
        <f t="shared" ref="Y22" si="54">SUM(Y20:Y21)</f>
        <v>-429.49599999999998</v>
      </c>
      <c r="Z22" s="43">
        <f t="shared" ref="Z22" si="55">SUM(Z20:Z21)</f>
        <v>915.15499999999997</v>
      </c>
      <c r="AA22" s="43">
        <f t="shared" ref="AA22" si="56">SUM(AA20:AA21)</f>
        <v>875.98700000000008</v>
      </c>
      <c r="AB22" s="43">
        <f t="shared" ref="AB22" si="57">SUM(AB20:AB21)</f>
        <v>640.73099999999999</v>
      </c>
      <c r="AC22" s="43">
        <f t="shared" ref="AC22" si="58">SUM(AC20:AC21)</f>
        <v>1539.34</v>
      </c>
      <c r="AD22" s="43">
        <f t="shared" ref="AD22" si="59">SUM(AD20:AD21)</f>
        <v>790.66399999999999</v>
      </c>
      <c r="AE22" s="43">
        <f t="shared" ref="AE22" si="60">SUM(AE20:AE21)</f>
        <v>775.93100000000004</v>
      </c>
      <c r="AF22" s="43">
        <f t="shared" ref="AF22" si="61">SUM(AF20:AF21)</f>
        <v>517.82200000000012</v>
      </c>
      <c r="AG22" s="43">
        <f t="shared" ref="AG22" si="62">SUM(AG20:AG21)</f>
        <v>42.561000000000035</v>
      </c>
      <c r="AH22" s="43">
        <f t="shared" ref="AH22:AK22" si="63">SUM(AH20:AH21)</f>
        <v>966.06400000000008</v>
      </c>
      <c r="AI22" s="43">
        <f t="shared" si="63"/>
        <v>-154.48399999999992</v>
      </c>
      <c r="AJ22" s="43">
        <f t="shared" si="63"/>
        <v>891.80400000000009</v>
      </c>
      <c r="AK22" s="43">
        <f t="shared" si="63"/>
        <v>416.06200000000013</v>
      </c>
    </row>
    <row r="23" spans="2:37" s="19" customFormat="1" ht="13.5" customHeight="1">
      <c r="B23" s="19" t="s">
        <v>180</v>
      </c>
      <c r="C23" s="43">
        <f>C19+SUM(C22)</f>
        <v>13927.123999999983</v>
      </c>
      <c r="D23" s="43">
        <f t="shared" ref="D23:M23" si="64">D19+SUM(D22)</f>
        <v>12162.645999999997</v>
      </c>
      <c r="E23" s="43">
        <f t="shared" si="64"/>
        <v>21633.431999999997</v>
      </c>
      <c r="F23" s="43">
        <f t="shared" si="64"/>
        <v>24417.032999999992</v>
      </c>
      <c r="G23" s="43">
        <f t="shared" si="64"/>
        <v>3933.9559999999997</v>
      </c>
      <c r="H23" s="43">
        <f t="shared" si="64"/>
        <v>22011.076999999983</v>
      </c>
      <c r="I23" s="43">
        <f t="shared" si="64"/>
        <v>28126.652999999958</v>
      </c>
      <c r="J23" s="43">
        <f t="shared" ref="J23" si="65">J19+SUM(J22)</f>
        <v>49646.864999999947</v>
      </c>
      <c r="K23" s="43">
        <f t="shared" si="64"/>
        <v>42207.60399999997</v>
      </c>
      <c r="M23" s="43">
        <f t="shared" si="64"/>
        <v>2454.0890000000027</v>
      </c>
      <c r="N23" s="43">
        <f t="shared" ref="N23" si="66">N19+SUM(N22)</f>
        <v>4867.7960000000039</v>
      </c>
      <c r="O23" s="43">
        <f t="shared" ref="O23" si="67">O19+SUM(O22)</f>
        <v>5450.6810000000023</v>
      </c>
      <c r="P23" s="43">
        <f t="shared" ref="P23" si="68">P19+SUM(P22)</f>
        <v>8860.8659999999854</v>
      </c>
      <c r="Q23" s="43">
        <f t="shared" ref="Q23" si="69">Q19+SUM(Q22)</f>
        <v>9066.8799999999992</v>
      </c>
      <c r="R23" s="43">
        <f t="shared" ref="R23" si="70">R19+SUM(R22)</f>
        <v>9678.5420000000013</v>
      </c>
      <c r="S23" s="43">
        <f t="shared" ref="S23" si="71">S19+SUM(S22)</f>
        <v>1787.1129999999969</v>
      </c>
      <c r="T23" s="43">
        <f t="shared" ref="T23" si="72">T19+SUM(T22)</f>
        <v>3884.497999999986</v>
      </c>
      <c r="U23" s="43">
        <f t="shared" ref="U23" si="73">U19+SUM(U22)</f>
        <v>-415.93000000000814</v>
      </c>
      <c r="V23" s="43">
        <f t="shared" ref="V23" si="74">V19+SUM(V22)</f>
        <v>1736.8389999999965</v>
      </c>
      <c r="W23" s="43">
        <f t="shared" ref="W23" si="75">W19+SUM(W22)</f>
        <v>-1190.6949999999986</v>
      </c>
      <c r="X23" s="43">
        <f t="shared" ref="X23" si="76">X19+SUM(X22)</f>
        <v>3803.7420000000006</v>
      </c>
      <c r="Y23" s="43">
        <f t="shared" ref="Y23" si="77">Y19+SUM(Y22)</f>
        <v>5470.7129999999961</v>
      </c>
      <c r="Z23" s="43">
        <f t="shared" ref="Z23" si="78">Z19+SUM(Z22)</f>
        <v>4955.6809999999959</v>
      </c>
      <c r="AA23" s="43">
        <f t="shared" ref="AA23" si="79">AA19+SUM(AA22)</f>
        <v>5887.1999999999944</v>
      </c>
      <c r="AB23" s="43">
        <f t="shared" ref="AB23" si="80">AB19+SUM(AB22)</f>
        <v>5697.4830000000165</v>
      </c>
      <c r="AC23" s="43">
        <f t="shared" ref="AC23" si="81">AC19+SUM(AC22)</f>
        <v>5222.377999999997</v>
      </c>
      <c r="AD23" s="43">
        <f t="shared" ref="AD23" si="82">AD19+SUM(AD22)</f>
        <v>6679.3849999999957</v>
      </c>
      <c r="AE23" s="43">
        <f t="shared" ref="AE23" si="83">AE19+SUM(AE22)</f>
        <v>6817.1940000000031</v>
      </c>
      <c r="AF23" s="43">
        <f t="shared" ref="AF23" si="84">AF19+SUM(AF22)</f>
        <v>9407.6959999999526</v>
      </c>
      <c r="AG23" s="43">
        <f t="shared" ref="AG23" si="85">AG19+SUM(AG22)</f>
        <v>13167.968000000006</v>
      </c>
      <c r="AH23" s="43">
        <f t="shared" ref="AH23" si="86">AH19+SUM(AH22)</f>
        <v>14402.782999999999</v>
      </c>
      <c r="AI23" s="43">
        <f t="shared" ref="AI23:AK23" si="87">AI19+SUM(AI22)</f>
        <v>14955.644999999999</v>
      </c>
      <c r="AJ23" s="43">
        <f t="shared" si="87"/>
        <v>7120.4689999999573</v>
      </c>
      <c r="AK23" s="43">
        <f t="shared" si="87"/>
        <v>5728.7069999999967</v>
      </c>
    </row>
    <row r="24" spans="2:37" ht="13.5" customHeight="1">
      <c r="B24" s="16" t="s">
        <v>181</v>
      </c>
      <c r="C24" s="51">
        <v>-449.37700000000001</v>
      </c>
      <c r="D24" s="51">
        <v>-2059.6959999999999</v>
      </c>
      <c r="E24" s="51">
        <v>-1320.722</v>
      </c>
      <c r="F24" s="51">
        <v>-5133.7979999999998</v>
      </c>
      <c r="G24" s="51">
        <v>-1431.3879999999999</v>
      </c>
      <c r="H24" s="51">
        <v>-4536.8509999999997</v>
      </c>
      <c r="I24" s="51">
        <v>-4548.2039999999997</v>
      </c>
      <c r="J24" s="51">
        <v>-8080.4260000000004</v>
      </c>
      <c r="K24" s="7">
        <f>SUM(AH24:AK24)</f>
        <v>-6799.3339999999989</v>
      </c>
      <c r="L24" s="205"/>
      <c r="M24" s="51">
        <v>-294.19499999999999</v>
      </c>
      <c r="N24" s="51">
        <v>-374.32299999999998</v>
      </c>
      <c r="O24" s="51">
        <v>-586.33299999999997</v>
      </c>
      <c r="P24" s="7">
        <f>E24-SUM(M24:O24)</f>
        <v>-65.870999999999867</v>
      </c>
      <c r="Q24" s="51">
        <v>-1277.973</v>
      </c>
      <c r="R24" s="51">
        <v>-1415.2339999999999</v>
      </c>
      <c r="S24" s="51">
        <v>-998.596</v>
      </c>
      <c r="T24" s="7">
        <f>F24-SUM(Q24:S24)</f>
        <v>-1441.9949999999999</v>
      </c>
      <c r="U24" s="51">
        <v>-114.624</v>
      </c>
      <c r="V24" s="51">
        <v>-371.46199999999999</v>
      </c>
      <c r="W24" s="51">
        <v>-283.22699999999998</v>
      </c>
      <c r="X24" s="7">
        <f>G24-SUM(U24:W24)</f>
        <v>-662.07499999999993</v>
      </c>
      <c r="Y24" s="51">
        <v>-1254.575</v>
      </c>
      <c r="Z24" s="51">
        <v>-1290.1569999999999</v>
      </c>
      <c r="AA24" s="51">
        <v>-1018.128</v>
      </c>
      <c r="AB24" s="7">
        <f>H24-SUM(Y24:AA24)</f>
        <v>-973.99099999999953</v>
      </c>
      <c r="AC24" s="51">
        <v>-1049.1659999999999</v>
      </c>
      <c r="AD24" s="51">
        <v>-1609.7159999999999</v>
      </c>
      <c r="AE24" s="51">
        <v>-1476.902</v>
      </c>
      <c r="AF24" s="7">
        <f>I24-SUM(AC24:AE24)</f>
        <v>-412.42000000000007</v>
      </c>
      <c r="AG24" s="51">
        <v>-2275.2220000000002</v>
      </c>
      <c r="AH24" s="51">
        <v>-2529.62</v>
      </c>
      <c r="AI24" s="51">
        <v>-2698.904</v>
      </c>
      <c r="AJ24" s="7">
        <f>J24-SUM(AG24:AI24)</f>
        <v>-576.67999999999938</v>
      </c>
      <c r="AK24" s="51">
        <v>-994.13</v>
      </c>
    </row>
    <row r="25" spans="2:37" s="19" customFormat="1" ht="13.5" customHeight="1">
      <c r="B25" s="19" t="s">
        <v>182</v>
      </c>
      <c r="C25" s="43">
        <f t="shared" ref="C25:E25" si="88">+C23+C24</f>
        <v>13477.746999999983</v>
      </c>
      <c r="D25" s="43">
        <f t="shared" si="88"/>
        <v>10102.949999999997</v>
      </c>
      <c r="E25" s="43">
        <f t="shared" si="88"/>
        <v>20312.709999999995</v>
      </c>
      <c r="F25" s="43">
        <f t="shared" ref="F25" si="89">+F23+F24</f>
        <v>19283.234999999993</v>
      </c>
      <c r="G25" s="43">
        <f t="shared" ref="G25" si="90">+G23+G24</f>
        <v>2502.5679999999998</v>
      </c>
      <c r="H25" s="43">
        <f t="shared" ref="H25:I25" si="91">+H23+H24</f>
        <v>17474.225999999984</v>
      </c>
      <c r="I25" s="43">
        <f t="shared" si="91"/>
        <v>23578.448999999957</v>
      </c>
      <c r="J25" s="43">
        <f t="shared" ref="J25" si="92">+J23+J24</f>
        <v>41566.438999999948</v>
      </c>
      <c r="K25" s="43">
        <f>+K23+K24</f>
        <v>35408.269999999975</v>
      </c>
      <c r="M25" s="43">
        <f t="shared" ref="M25:S25" si="93">+M23+M24</f>
        <v>2159.8940000000025</v>
      </c>
      <c r="N25" s="43">
        <f t="shared" si="93"/>
        <v>4493.4730000000036</v>
      </c>
      <c r="O25" s="43">
        <f t="shared" si="93"/>
        <v>4864.3480000000027</v>
      </c>
      <c r="P25" s="43">
        <f t="shared" si="93"/>
        <v>8794.9949999999862</v>
      </c>
      <c r="Q25" s="43">
        <f t="shared" si="93"/>
        <v>7788.9069999999992</v>
      </c>
      <c r="R25" s="43">
        <f t="shared" si="93"/>
        <v>8263.3080000000009</v>
      </c>
      <c r="S25" s="43">
        <f t="shared" si="93"/>
        <v>788.51699999999687</v>
      </c>
      <c r="T25" s="43">
        <f t="shared" ref="T25:V25" si="94">+T23+T24</f>
        <v>2442.5029999999861</v>
      </c>
      <c r="U25" s="43">
        <f t="shared" si="94"/>
        <v>-530.55400000000816</v>
      </c>
      <c r="V25" s="43">
        <f t="shared" si="94"/>
        <v>1365.3769999999965</v>
      </c>
      <c r="W25" s="43">
        <f t="shared" ref="W25:Z25" si="95">+W23+W24</f>
        <v>-1473.9219999999987</v>
      </c>
      <c r="X25" s="43">
        <f t="shared" si="95"/>
        <v>3141.6670000000008</v>
      </c>
      <c r="Y25" s="43">
        <f t="shared" si="95"/>
        <v>4216.1379999999963</v>
      </c>
      <c r="Z25" s="43">
        <f t="shared" si="95"/>
        <v>3665.5239999999958</v>
      </c>
      <c r="AA25" s="43">
        <f t="shared" ref="AA25:AD25" si="96">+AA23+AA24</f>
        <v>4869.0719999999947</v>
      </c>
      <c r="AB25" s="43">
        <f t="shared" si="96"/>
        <v>4723.4920000000166</v>
      </c>
      <c r="AC25" s="43">
        <f t="shared" si="96"/>
        <v>4173.2119999999968</v>
      </c>
      <c r="AD25" s="43">
        <f t="shared" si="96"/>
        <v>5069.6689999999962</v>
      </c>
      <c r="AE25" s="43">
        <f t="shared" ref="AE25:AH25" si="97">+AE23+AE24</f>
        <v>5340.2920000000031</v>
      </c>
      <c r="AF25" s="43">
        <f t="shared" si="97"/>
        <v>8995.2759999999525</v>
      </c>
      <c r="AG25" s="43">
        <f t="shared" si="97"/>
        <v>10892.746000000006</v>
      </c>
      <c r="AH25" s="43">
        <f t="shared" si="97"/>
        <v>11873.163</v>
      </c>
      <c r="AI25" s="43">
        <f t="shared" ref="AI25:AK25" si="98">+AI23+AI24</f>
        <v>12256.740999999998</v>
      </c>
      <c r="AJ25" s="43">
        <f t="shared" si="98"/>
        <v>6543.7889999999579</v>
      </c>
      <c r="AK25" s="43">
        <f t="shared" si="98"/>
        <v>4734.5769999999966</v>
      </c>
    </row>
    <row r="26" spans="2:37" s="29" customFormat="1" ht="13.5" customHeight="1">
      <c r="B26" s="34" t="s">
        <v>183</v>
      </c>
      <c r="C26" s="67">
        <f t="shared" ref="C26:G26" si="99">+C25/C7</f>
        <v>7.7052935725937174E-2</v>
      </c>
      <c r="D26" s="67">
        <f t="shared" si="99"/>
        <v>4.9081882481155789E-2</v>
      </c>
      <c r="E26" s="67">
        <f t="shared" si="99"/>
        <v>8.2617117944255331E-2</v>
      </c>
      <c r="F26" s="67">
        <f t="shared" si="99"/>
        <v>5.8734991984460236E-2</v>
      </c>
      <c r="G26" s="67">
        <f t="shared" si="99"/>
        <v>8.9363380647990692E-3</v>
      </c>
      <c r="H26" s="67">
        <f t="shared" ref="H26:I26" si="100">+H25/H7</f>
        <v>6.4487653803869824E-2</v>
      </c>
      <c r="I26" s="67">
        <f t="shared" si="100"/>
        <v>6.4438479955321787E-2</v>
      </c>
      <c r="J26" s="67">
        <f t="shared" ref="J26" si="101">+J25/J7</f>
        <v>9.089798627791662E-2</v>
      </c>
      <c r="K26" s="67">
        <f>+K25/K7</f>
        <v>7.9545020152179943E-2</v>
      </c>
      <c r="L26" s="19"/>
      <c r="M26" s="67">
        <f t="shared" ref="M26:S26" si="102">+M25/M7</f>
        <v>4.3456737007060528E-2</v>
      </c>
      <c r="N26" s="67">
        <f t="shared" si="102"/>
        <v>8.3930841019724353E-2</v>
      </c>
      <c r="O26" s="67">
        <f t="shared" si="102"/>
        <v>6.7407993459010079E-2</v>
      </c>
      <c r="P26" s="67">
        <f t="shared" si="102"/>
        <v>0.12481741451286592</v>
      </c>
      <c r="Q26" s="67">
        <f t="shared" si="102"/>
        <v>0.10130967569161652</v>
      </c>
      <c r="R26" s="67">
        <f t="shared" si="102"/>
        <v>9.4126960838811627E-2</v>
      </c>
      <c r="S26" s="67">
        <f t="shared" si="102"/>
        <v>1.0101052542851487E-2</v>
      </c>
      <c r="T26" s="67">
        <f t="shared" ref="T26:V26" si="103">+T25/T7</f>
        <v>2.8542193788531966E-2</v>
      </c>
      <c r="U26" s="67">
        <f t="shared" si="103"/>
        <v>-7.233035255365435E-3</v>
      </c>
      <c r="V26" s="67">
        <f t="shared" si="103"/>
        <v>1.9457887066168442E-2</v>
      </c>
      <c r="W26" s="67">
        <f t="shared" ref="W26:Z26" si="104">+W25/W7</f>
        <v>-2.0914328320312179E-2</v>
      </c>
      <c r="X26" s="67">
        <f t="shared" si="104"/>
        <v>4.7566876548358443E-2</v>
      </c>
      <c r="Y26" s="67">
        <f t="shared" si="104"/>
        <v>7.0886704123974714E-2</v>
      </c>
      <c r="Z26" s="67">
        <f t="shared" si="104"/>
        <v>5.4421037884870932E-2</v>
      </c>
      <c r="AA26" s="67">
        <f t="shared" ref="AA26:AD26" si="105">+AA25/AA7</f>
        <v>6.8680617592258117E-2</v>
      </c>
      <c r="AB26" s="67">
        <f t="shared" si="105"/>
        <v>6.4490126556507252E-2</v>
      </c>
      <c r="AC26" s="67">
        <f t="shared" si="105"/>
        <v>5.5269337120293541E-2</v>
      </c>
      <c r="AD26" s="67">
        <f t="shared" si="105"/>
        <v>5.7034456956243734E-2</v>
      </c>
      <c r="AE26" s="67">
        <f t="shared" ref="AE26:AH26" si="106">+AE25/AE7</f>
        <v>5.7728804279904955E-2</v>
      </c>
      <c r="AF26" s="67">
        <f t="shared" si="106"/>
        <v>8.2521562121660258E-2</v>
      </c>
      <c r="AG26" s="67">
        <f t="shared" si="106"/>
        <v>9.7874197086928988E-2</v>
      </c>
      <c r="AH26" s="67">
        <f t="shared" si="106"/>
        <v>0.10239361207855825</v>
      </c>
      <c r="AI26" s="67">
        <f t="shared" ref="AI26:AK26" si="107">+AI25/AI7</f>
        <v>0.10835096773682532</v>
      </c>
      <c r="AJ26" s="67">
        <f t="shared" si="107"/>
        <v>5.5969752778745004E-2</v>
      </c>
      <c r="AK26" s="67">
        <f t="shared" si="107"/>
        <v>4.775569630102261E-2</v>
      </c>
    </row>
    <row r="27" spans="2:37" ht="13.5" customHeight="1">
      <c r="B27" s="16" t="s">
        <v>184</v>
      </c>
      <c r="C27" s="51">
        <v>76.138999999999996</v>
      </c>
      <c r="D27" s="51">
        <v>-58.786000000000001</v>
      </c>
      <c r="E27" s="51">
        <v>42.793999999999997</v>
      </c>
      <c r="F27" s="51">
        <v>56.085999999999999</v>
      </c>
      <c r="G27" s="51">
        <v>-28.538</v>
      </c>
      <c r="H27" s="51">
        <v>0.97699999999999998</v>
      </c>
      <c r="I27" s="51">
        <v>79.677000000000007</v>
      </c>
      <c r="J27" s="51">
        <v>76.95</v>
      </c>
      <c r="K27" s="7">
        <f>SUM(AH27:AK27)</f>
        <v>33.917999999999999</v>
      </c>
      <c r="L27" s="19"/>
      <c r="M27" s="51">
        <v>3.621</v>
      </c>
      <c r="N27" s="51">
        <v>4.6550000000000002</v>
      </c>
      <c r="O27" s="51">
        <v>16.248000000000001</v>
      </c>
      <c r="P27" s="7">
        <f>E27-SUM(M27:O27)</f>
        <v>18.269999999999996</v>
      </c>
      <c r="Q27" s="51">
        <v>3.9820000000000002</v>
      </c>
      <c r="R27" s="51">
        <v>5.1689999999999996</v>
      </c>
      <c r="S27" s="51">
        <v>3.7389999999999999</v>
      </c>
      <c r="T27" s="7">
        <f>F27-SUM(Q27:S27)</f>
        <v>43.195999999999998</v>
      </c>
      <c r="U27" s="51">
        <v>-57.045999999999999</v>
      </c>
      <c r="V27" s="51">
        <v>21.023</v>
      </c>
      <c r="W27" s="51">
        <v>-2.1280000000000001</v>
      </c>
      <c r="X27" s="7">
        <f>G27-SUM(U27:W27)</f>
        <v>9.612999999999996</v>
      </c>
      <c r="Y27" s="51">
        <v>-12.298999999999999</v>
      </c>
      <c r="Z27" s="51">
        <v>4.4509999999999996</v>
      </c>
      <c r="AA27" s="51">
        <v>4.7889999999999997</v>
      </c>
      <c r="AB27" s="7">
        <f>H27-SUM(Y27:AA27)</f>
        <v>4.0360000000000005</v>
      </c>
      <c r="AC27" s="51">
        <v>8.8490000000000002</v>
      </c>
      <c r="AD27" s="51">
        <v>28.332999999999998</v>
      </c>
      <c r="AE27" s="51">
        <v>12.112</v>
      </c>
      <c r="AF27" s="7">
        <f>I27-SUM(AC27:AE27)</f>
        <v>30.383000000000003</v>
      </c>
      <c r="AG27" s="51">
        <v>31.574999999999999</v>
      </c>
      <c r="AH27" s="51">
        <v>31.242000000000001</v>
      </c>
      <c r="AI27" s="51">
        <v>14.132999999999999</v>
      </c>
      <c r="AJ27" s="7">
        <f>J27-SUM(AG27:AI27)</f>
        <v>0</v>
      </c>
      <c r="AK27" s="51">
        <v>-11.457000000000001</v>
      </c>
    </row>
    <row r="28" spans="2:37" s="19" customFormat="1" ht="13.5" customHeight="1">
      <c r="B28" s="19" t="s">
        <v>182</v>
      </c>
      <c r="C28" s="43">
        <f t="shared" ref="C28:S28" si="108">+C25+C27</f>
        <v>13553.885999999982</v>
      </c>
      <c r="D28" s="43">
        <f t="shared" si="108"/>
        <v>10044.163999999997</v>
      </c>
      <c r="E28" s="43">
        <f t="shared" si="108"/>
        <v>20355.503999999997</v>
      </c>
      <c r="F28" s="43">
        <f t="shared" ref="F28:G28" si="109">+F25+F27</f>
        <v>19339.320999999993</v>
      </c>
      <c r="G28" s="43">
        <f t="shared" si="109"/>
        <v>2474.0299999999997</v>
      </c>
      <c r="H28" s="43">
        <f t="shared" ref="H28:I28" si="110">+H25+H27</f>
        <v>17475.202999999983</v>
      </c>
      <c r="I28" s="43">
        <f t="shared" si="110"/>
        <v>23658.125999999957</v>
      </c>
      <c r="J28" s="43">
        <f t="shared" ref="J28" si="111">+J25+J27</f>
        <v>41643.388999999945</v>
      </c>
      <c r="K28" s="43">
        <f>+K25+K27</f>
        <v>35442.187999999973</v>
      </c>
      <c r="M28" s="43">
        <f t="shared" si="108"/>
        <v>2163.5150000000026</v>
      </c>
      <c r="N28" s="43">
        <f t="shared" si="108"/>
        <v>4498.1280000000033</v>
      </c>
      <c r="O28" s="43">
        <f t="shared" si="108"/>
        <v>4880.5960000000023</v>
      </c>
      <c r="P28" s="43">
        <f t="shared" si="108"/>
        <v>8813.2649999999867</v>
      </c>
      <c r="Q28" s="43">
        <f t="shared" si="108"/>
        <v>7792.8889999999992</v>
      </c>
      <c r="R28" s="43">
        <f t="shared" si="108"/>
        <v>8268.4770000000008</v>
      </c>
      <c r="S28" s="43">
        <f t="shared" si="108"/>
        <v>792.2559999999969</v>
      </c>
      <c r="T28" s="43">
        <f t="shared" ref="T28:V28" si="112">+T25+T27</f>
        <v>2485.698999999986</v>
      </c>
      <c r="U28" s="43">
        <f t="shared" si="112"/>
        <v>-587.60000000000821</v>
      </c>
      <c r="V28" s="43">
        <f t="shared" si="112"/>
        <v>1386.3999999999965</v>
      </c>
      <c r="W28" s="43">
        <f t="shared" ref="W28:Z28" si="113">+W25+W27</f>
        <v>-1476.0499999999986</v>
      </c>
      <c r="X28" s="43">
        <f t="shared" si="113"/>
        <v>3151.2800000000007</v>
      </c>
      <c r="Y28" s="43">
        <f t="shared" si="113"/>
        <v>4203.8389999999963</v>
      </c>
      <c r="Z28" s="43">
        <f t="shared" si="113"/>
        <v>3669.9749999999958</v>
      </c>
      <c r="AA28" s="43">
        <f t="shared" ref="AA28:AB28" si="114">+AA25+AA27</f>
        <v>4873.8609999999944</v>
      </c>
      <c r="AB28" s="43">
        <f t="shared" si="114"/>
        <v>4727.5280000000166</v>
      </c>
      <c r="AC28" s="43">
        <f>+AC25+AC27</f>
        <v>4182.060999999997</v>
      </c>
      <c r="AD28" s="43">
        <f t="shared" ref="AD28:AF28" si="115">+AD25+AD27</f>
        <v>5098.0019999999959</v>
      </c>
      <c r="AE28" s="43">
        <f t="shared" si="115"/>
        <v>5352.4040000000032</v>
      </c>
      <c r="AF28" s="43">
        <f t="shared" si="115"/>
        <v>9025.6589999999524</v>
      </c>
      <c r="AG28" s="43">
        <f>+AG25+AG27</f>
        <v>10924.321000000007</v>
      </c>
      <c r="AH28" s="43">
        <f t="shared" ref="AH28:AJ28" si="116">+AH25+AH27</f>
        <v>11904.405000000001</v>
      </c>
      <c r="AI28" s="43">
        <f t="shared" si="116"/>
        <v>12270.873999999998</v>
      </c>
      <c r="AJ28" s="43">
        <f t="shared" si="116"/>
        <v>6543.7889999999579</v>
      </c>
      <c r="AK28" s="43">
        <f>+AK25+AK27</f>
        <v>4723.1199999999963</v>
      </c>
    </row>
    <row r="29" spans="2:37" s="19" customFormat="1" ht="13.5" customHeight="1">
      <c r="B29" s="62"/>
      <c r="C29" s="101"/>
      <c r="D29" s="101"/>
      <c r="E29" s="101"/>
      <c r="F29" s="101"/>
      <c r="G29" s="101"/>
      <c r="H29" s="101"/>
      <c r="I29" s="101"/>
    </row>
    <row r="30" spans="2:37" s="19" customFormat="1" ht="13.5" customHeight="1">
      <c r="B30" s="222" t="s">
        <v>185</v>
      </c>
      <c r="C30" s="223"/>
      <c r="D30" s="223"/>
      <c r="E30" s="223"/>
      <c r="F30" s="223"/>
      <c r="G30" s="223"/>
      <c r="H30" s="223"/>
      <c r="I30" s="223"/>
      <c r="J30" s="223"/>
      <c r="K30" s="224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</row>
    <row r="31" spans="2:37" s="29" customFormat="1" ht="13.5" customHeight="1">
      <c r="B31" s="265" t="str">
        <f>B13</f>
        <v>Selling and marketing expenses</v>
      </c>
      <c r="C31" s="66">
        <f t="shared" ref="C31:G31" si="117">-C13/C7</f>
        <v>4.5696781744663177E-2</v>
      </c>
      <c r="D31" s="66">
        <f t="shared" si="117"/>
        <v>5.0418477708674796E-2</v>
      </c>
      <c r="E31" s="66">
        <f t="shared" si="117"/>
        <v>5.9135552303887867E-2</v>
      </c>
      <c r="F31" s="66">
        <f t="shared" si="117"/>
        <v>6.3905515029135107E-2</v>
      </c>
      <c r="G31" s="66">
        <f t="shared" si="117"/>
        <v>7.6142755358857589E-2</v>
      </c>
      <c r="H31" s="66">
        <f t="shared" ref="H31:I31" si="118">-H13/H7</f>
        <v>7.0954323004641481E-2</v>
      </c>
      <c r="I31" s="66">
        <f t="shared" si="118"/>
        <v>6.9388322995761073E-2</v>
      </c>
      <c r="J31" s="66">
        <f t="shared" ref="J31" si="119">-J13/J7</f>
        <v>7.2633511852051802E-2</v>
      </c>
      <c r="K31" s="66">
        <f t="shared" ref="K31" si="120">-K13/K7</f>
        <v>7.7035071304485794E-2</v>
      </c>
      <c r="L31" s="206"/>
      <c r="M31" s="66">
        <f t="shared" ref="M31:S31" si="121">-M13/M7</f>
        <v>5.2812043386357782E-2</v>
      </c>
      <c r="N31" s="66">
        <f t="shared" si="121"/>
        <v>6.0213077469276149E-2</v>
      </c>
      <c r="O31" s="66">
        <f t="shared" si="121"/>
        <v>4.989528049897525E-2</v>
      </c>
      <c r="P31" s="66">
        <f t="shared" si="121"/>
        <v>7.2240429443677062E-2</v>
      </c>
      <c r="Q31" s="66">
        <f t="shared" si="121"/>
        <v>5.4153978472223786E-2</v>
      </c>
      <c r="R31" s="66">
        <f t="shared" si="121"/>
        <v>6.470812503075557E-2</v>
      </c>
      <c r="S31" s="66">
        <f t="shared" si="121"/>
        <v>6.254336969868704E-2</v>
      </c>
      <c r="T31" s="66">
        <f t="shared" ref="T31:V31" si="122">-T13/T7</f>
        <v>7.3085653458321589E-2</v>
      </c>
      <c r="U31" s="66">
        <f t="shared" si="122"/>
        <v>7.1657482896532926E-2</v>
      </c>
      <c r="V31" s="66">
        <f t="shared" si="122"/>
        <v>7.5988903487696186E-2</v>
      </c>
      <c r="W31" s="66">
        <f t="shared" ref="W31:Z31" si="123">-W13/W7</f>
        <v>6.9281683503520985E-2</v>
      </c>
      <c r="X31" s="66">
        <f t="shared" si="123"/>
        <v>8.8608451437459226E-2</v>
      </c>
      <c r="Y31" s="66">
        <f t="shared" si="123"/>
        <v>6.8999020699282515E-2</v>
      </c>
      <c r="Z31" s="66">
        <f t="shared" si="123"/>
        <v>6.6465208444795143E-2</v>
      </c>
      <c r="AA31" s="66">
        <f t="shared" ref="AA31:AD31" si="124">-AA13/AA7</f>
        <v>6.6807310567721476E-2</v>
      </c>
      <c r="AB31" s="66">
        <f t="shared" si="124"/>
        <v>8.068430946214776E-2</v>
      </c>
      <c r="AC31" s="66">
        <f t="shared" si="124"/>
        <v>7.2590089939158081E-2</v>
      </c>
      <c r="AD31" s="66">
        <f t="shared" si="124"/>
        <v>6.636512706779156E-2</v>
      </c>
      <c r="AE31" s="66">
        <f t="shared" ref="AE31:AH31" si="125">-AE13/AE7</f>
        <v>6.7888669623913406E-2</v>
      </c>
      <c r="AF31" s="66">
        <f t="shared" si="125"/>
        <v>7.0908414527426203E-2</v>
      </c>
      <c r="AG31" s="66">
        <f t="shared" si="125"/>
        <v>6.4692255566027285E-2</v>
      </c>
      <c r="AH31" s="66">
        <f t="shared" si="125"/>
        <v>6.7076864465877864E-2</v>
      </c>
      <c r="AI31" s="66">
        <f t="shared" ref="AI31:AK31" si="126">-AI13/AI7</f>
        <v>7.3458266280344325E-2</v>
      </c>
      <c r="AJ31" s="66">
        <f t="shared" si="126"/>
        <v>8.4905850563040661E-2</v>
      </c>
      <c r="AK31" s="66">
        <f t="shared" si="126"/>
        <v>8.3481419478144886E-2</v>
      </c>
    </row>
    <row r="32" spans="2:37" s="29" customFormat="1" ht="13.5" customHeight="1">
      <c r="B32" s="265" t="str">
        <f>B14</f>
        <v>Administrative expenses</v>
      </c>
      <c r="C32" s="66">
        <f t="shared" ref="C32:G32" si="127">-C14/C7</f>
        <v>6.9171017936239754E-2</v>
      </c>
      <c r="D32" s="66">
        <f t="shared" si="127"/>
        <v>1.5079289129921652E-2</v>
      </c>
      <c r="E32" s="66">
        <f t="shared" si="127"/>
        <v>1.5237790472326809E-2</v>
      </c>
      <c r="F32" s="66">
        <f t="shared" si="127"/>
        <v>1.4434319214592695E-2</v>
      </c>
      <c r="G32" s="66">
        <f t="shared" si="127"/>
        <v>1.8260975803175171E-2</v>
      </c>
      <c r="H32" s="66">
        <f t="shared" ref="H32:I32" si="128">-H14/H7</f>
        <v>1.8920168682817776E-2</v>
      </c>
      <c r="I32" s="66">
        <f t="shared" si="128"/>
        <v>1.5307873175745652E-2</v>
      </c>
      <c r="J32" s="66">
        <f t="shared" ref="J32" si="129">-J14/J7</f>
        <v>1.4548916881107453E-2</v>
      </c>
      <c r="K32" s="66">
        <f t="shared" ref="K32" si="130">-K14/K7</f>
        <v>1.5171391792342854E-2</v>
      </c>
      <c r="L32" s="206"/>
      <c r="M32" s="66">
        <f t="shared" ref="M32:S32" si="131">-M14/M7</f>
        <v>1.5724324454505174E-2</v>
      </c>
      <c r="N32" s="66">
        <f t="shared" si="131"/>
        <v>1.562309101017496E-2</v>
      </c>
      <c r="O32" s="66">
        <f t="shared" si="131"/>
        <v>1.1816549133080065E-2</v>
      </c>
      <c r="P32" s="66">
        <f t="shared" si="131"/>
        <v>1.8105631327834954E-2</v>
      </c>
      <c r="Q32" s="66">
        <f t="shared" si="131"/>
        <v>1.2846308707521665E-2</v>
      </c>
      <c r="R32" s="66">
        <f t="shared" si="131"/>
        <v>1.3103424394137942E-2</v>
      </c>
      <c r="S32" s="66">
        <f t="shared" si="131"/>
        <v>1.6327906531217698E-2</v>
      </c>
      <c r="T32" s="66">
        <f t="shared" ref="T32:V32" si="132">-T14/T7</f>
        <v>1.5498982315745867E-2</v>
      </c>
      <c r="U32" s="66">
        <f t="shared" si="132"/>
        <v>1.6967246287608401E-2</v>
      </c>
      <c r="V32" s="66">
        <f t="shared" si="132"/>
        <v>1.8745725523709789E-2</v>
      </c>
      <c r="W32" s="66">
        <f t="shared" ref="W32:Z32" si="133">-W14/W7</f>
        <v>1.7813494454266707E-2</v>
      </c>
      <c r="X32" s="66">
        <f t="shared" si="133"/>
        <v>1.9660238391331509E-2</v>
      </c>
      <c r="Y32" s="66">
        <f t="shared" si="133"/>
        <v>1.9085872564068067E-2</v>
      </c>
      <c r="Z32" s="66">
        <f t="shared" si="133"/>
        <v>1.6972631007082663E-2</v>
      </c>
      <c r="AA32" s="66">
        <f t="shared" ref="AA32:AD32" si="134">-AA14/AA7</f>
        <v>1.9258090468399682E-2</v>
      </c>
      <c r="AB32" s="66">
        <f t="shared" si="134"/>
        <v>2.0249483484205574E-2</v>
      </c>
      <c r="AC32" s="66">
        <f t="shared" si="134"/>
        <v>2.0170455591416628E-2</v>
      </c>
      <c r="AD32" s="66">
        <f t="shared" si="134"/>
        <v>1.330355377791434E-2</v>
      </c>
      <c r="AE32" s="66">
        <f t="shared" ref="AE32:AH32" si="135">-AE14/AE7</f>
        <v>1.5300204555264908E-2</v>
      </c>
      <c r="AF32" s="66">
        <f t="shared" si="135"/>
        <v>1.3580531541630981E-2</v>
      </c>
      <c r="AG32" s="66">
        <f t="shared" si="135"/>
        <v>1.3748298337033421E-2</v>
      </c>
      <c r="AH32" s="66">
        <f t="shared" si="135"/>
        <v>1.4032415080291039E-2</v>
      </c>
      <c r="AI32" s="66">
        <f t="shared" ref="AI32:AK32" si="136">-AI14/AI7</f>
        <v>1.6338269162928167E-2</v>
      </c>
      <c r="AJ32" s="66">
        <f t="shared" si="136"/>
        <v>1.4092028479293238E-2</v>
      </c>
      <c r="AK32" s="66">
        <f t="shared" si="136"/>
        <v>1.6445011014446023E-2</v>
      </c>
    </row>
    <row r="33" spans="2:40" s="29" customFormat="1" ht="13.5" customHeight="1">
      <c r="B33" s="265" t="str">
        <f>B15</f>
        <v>Research and development expenses</v>
      </c>
      <c r="C33" s="66">
        <f t="shared" ref="C33:G33" si="137">-C15/C7</f>
        <v>3.3026395470839694E-2</v>
      </c>
      <c r="D33" s="66">
        <f t="shared" si="137"/>
        <v>3.6400126192024491E-2</v>
      </c>
      <c r="E33" s="66">
        <f t="shared" si="137"/>
        <v>3.7647144446576637E-2</v>
      </c>
      <c r="F33" s="66">
        <f t="shared" si="137"/>
        <v>4.010576068479603E-2</v>
      </c>
      <c r="G33" s="66">
        <f t="shared" si="137"/>
        <v>5.7234331334542782E-2</v>
      </c>
      <c r="H33" s="66">
        <f t="shared" ref="H33:I33" si="138">-H15/H7</f>
        <v>7.0478993807803897E-2</v>
      </c>
      <c r="I33" s="66">
        <f t="shared" si="138"/>
        <v>6.5728523158999574E-2</v>
      </c>
      <c r="J33" s="66">
        <f t="shared" ref="J33" si="139">-J15/J7</f>
        <v>7.2453893677425177E-2</v>
      </c>
      <c r="K33" s="66">
        <f t="shared" ref="K33" si="140">-K15/K7</f>
        <v>7.9469995715995972E-2</v>
      </c>
      <c r="L33" s="206"/>
      <c r="M33" s="66">
        <f t="shared" ref="M33:S33" si="141">-M15/M7</f>
        <v>3.7643911984763155E-2</v>
      </c>
      <c r="N33" s="66">
        <f t="shared" si="141"/>
        <v>3.6577368085972145E-2</v>
      </c>
      <c r="O33" s="66">
        <f t="shared" si="141"/>
        <v>3.216705476841613E-2</v>
      </c>
      <c r="P33" s="66">
        <f t="shared" si="141"/>
        <v>4.4074537170519436E-2</v>
      </c>
      <c r="Q33" s="66">
        <f t="shared" si="141"/>
        <v>3.9176720353198177E-2</v>
      </c>
      <c r="R33" s="66">
        <f t="shared" si="141"/>
        <v>3.4903887687016681E-2</v>
      </c>
      <c r="S33" s="66">
        <f t="shared" si="141"/>
        <v>4.1475487925723448E-2</v>
      </c>
      <c r="T33" s="66">
        <f t="shared" ref="T33:V33" si="142">-T15/T7</f>
        <v>4.5027385105774899E-2</v>
      </c>
      <c r="U33" s="66">
        <f t="shared" si="142"/>
        <v>4.7641001270839693E-2</v>
      </c>
      <c r="V33" s="66">
        <f t="shared" si="142"/>
        <v>5.3631565699257262E-2</v>
      </c>
      <c r="W33" s="66">
        <f t="shared" ref="W33:Z33" si="143">-W15/W7</f>
        <v>5.7748580549306587E-2</v>
      </c>
      <c r="X33" s="66">
        <f t="shared" si="143"/>
        <v>7.1167559621755055E-2</v>
      </c>
      <c r="Y33" s="66">
        <f t="shared" si="143"/>
        <v>6.9158678694908188E-2</v>
      </c>
      <c r="Z33" s="66">
        <f t="shared" si="143"/>
        <v>6.7623921333245685E-2</v>
      </c>
      <c r="AA33" s="66">
        <f t="shared" ref="AA33:AD33" si="144">-AA15/AA7</f>
        <v>7.0050937159899157E-2</v>
      </c>
      <c r="AB33" s="66">
        <f t="shared" si="144"/>
        <v>7.4591002747187093E-2</v>
      </c>
      <c r="AC33" s="66">
        <f t="shared" si="144"/>
        <v>6.8330077512731235E-2</v>
      </c>
      <c r="AD33" s="66">
        <f t="shared" si="144"/>
        <v>6.1850189432010878E-2</v>
      </c>
      <c r="AE33" s="66">
        <f t="shared" ref="AE33:AH33" si="145">-AE15/AE7</f>
        <v>6.4393111401711584E-2</v>
      </c>
      <c r="AF33" s="66">
        <f t="shared" si="145"/>
        <v>6.8222312303585553E-2</v>
      </c>
      <c r="AG33" s="66">
        <f t="shared" si="145"/>
        <v>6.0306467403345089E-2</v>
      </c>
      <c r="AH33" s="66">
        <f t="shared" si="145"/>
        <v>6.6951006480547887E-2</v>
      </c>
      <c r="AI33" s="66">
        <f t="shared" ref="AI33:AK33" si="146">-AI15/AI7</f>
        <v>8.0085875326799061E-2</v>
      </c>
      <c r="AJ33" s="66">
        <f t="shared" si="146"/>
        <v>8.2090559910158165E-2</v>
      </c>
      <c r="AK33" s="66">
        <f t="shared" si="146"/>
        <v>9.0319092835462897E-2</v>
      </c>
    </row>
    <row r="34" spans="2:40" s="29" customFormat="1" ht="13.5" customHeight="1">
      <c r="B34" s="265" t="str">
        <f>B16</f>
        <v>Fair value changes on investments</v>
      </c>
      <c r="C34" s="66">
        <f>-C16/C$7</f>
        <v>-2.5328578082807737E-2</v>
      </c>
      <c r="D34" s="66">
        <f t="shared" ref="D34:E34" si="147">-D16/D$7</f>
        <v>-1.8524273294754191E-2</v>
      </c>
      <c r="E34" s="66">
        <f t="shared" si="147"/>
        <v>-5.3579993426734834E-2</v>
      </c>
      <c r="F34" s="66">
        <f t="shared" ref="F34:G34" si="148">-F16/F$7</f>
        <v>-2.476974255468881E-2</v>
      </c>
      <c r="G34" s="66">
        <f t="shared" si="148"/>
        <v>5.9348170467602495E-3</v>
      </c>
      <c r="H34" s="66">
        <f t="shared" ref="H34:I34" si="149">-H16/H$7</f>
        <v>-1.2920613750373197E-2</v>
      </c>
      <c r="I34" s="66">
        <f t="shared" si="149"/>
        <v>-2.871696542025029E-3</v>
      </c>
      <c r="J34" s="66">
        <f t="shared" ref="J34" si="150">-J16/J$7</f>
        <v>-2.9110257041005876E-2</v>
      </c>
      <c r="K34" s="66">
        <f>-K16/K$7</f>
        <v>-2.5460206038003291E-2</v>
      </c>
      <c r="L34" s="206"/>
      <c r="M34" s="66">
        <f t="shared" ref="M34:S34" si="151">-M16/M$7</f>
        <v>-6.9986083302967456E-3</v>
      </c>
      <c r="N34" s="66">
        <f t="shared" si="151"/>
        <v>-4.4196582209524653E-2</v>
      </c>
      <c r="O34" s="66">
        <f t="shared" si="151"/>
        <v>-4.7364086334981258E-2</v>
      </c>
      <c r="P34" s="66">
        <f t="shared" si="151"/>
        <v>-9.9932341685021006E-2</v>
      </c>
      <c r="Q34" s="66">
        <f t="shared" si="151"/>
        <v>-2.6835964539655314E-2</v>
      </c>
      <c r="R34" s="66">
        <f t="shared" si="151"/>
        <v>-4.7448095979266636E-2</v>
      </c>
      <c r="S34" s="66">
        <f t="shared" si="151"/>
        <v>2.5308246796763967E-2</v>
      </c>
      <c r="T34" s="66">
        <f t="shared" ref="T34:V34" si="152">-T16/T$7</f>
        <v>-4.5330218286339992E-2</v>
      </c>
      <c r="U34" s="66">
        <f t="shared" si="152"/>
        <v>4.8400576718933448E-2</v>
      </c>
      <c r="V34" s="66">
        <f t="shared" si="152"/>
        <v>-7.3189480017472209E-3</v>
      </c>
      <c r="W34" s="66">
        <f t="shared" ref="W34:Z34" si="153">-W16/W$7</f>
        <v>3.3925204672928214E-2</v>
      </c>
      <c r="X34" s="66">
        <f t="shared" si="153"/>
        <v>-5.7012445976651151E-2</v>
      </c>
      <c r="Y34" s="66">
        <f t="shared" si="153"/>
        <v>-5.806027909818251E-2</v>
      </c>
      <c r="Z34" s="66">
        <f t="shared" si="153"/>
        <v>4.0944900407257631E-3</v>
      </c>
      <c r="AA34" s="66">
        <f t="shared" ref="AA34:AD34" si="154">-AA16/AA$7</f>
        <v>4.2301641489035837E-3</v>
      </c>
      <c r="AB34" s="66">
        <f t="shared" si="154"/>
        <v>-8.512956878198006E-3</v>
      </c>
      <c r="AC34" s="66">
        <f t="shared" si="154"/>
        <v>1.6243459432049728E-2</v>
      </c>
      <c r="AD34" s="66">
        <f t="shared" si="154"/>
        <v>9.5559765505801308E-3</v>
      </c>
      <c r="AE34" s="66">
        <f t="shared" ref="AE34:AH34" si="155">-AE16/AE$7</f>
        <v>-5.9294617880048077E-3</v>
      </c>
      <c r="AF34" s="66">
        <f t="shared" si="155"/>
        <v>-2.3651724594062562E-2</v>
      </c>
      <c r="AG34" s="66">
        <f t="shared" si="155"/>
        <v>-2.5401538638382279E-2</v>
      </c>
      <c r="AH34" s="66">
        <f t="shared" si="155"/>
        <v>-2.9006643557861915E-2</v>
      </c>
      <c r="AI34" s="66">
        <f t="shared" ref="AI34:AK34" si="156">-AI16/AI$7</f>
        <v>-4.8471724025411646E-2</v>
      </c>
      <c r="AJ34" s="66">
        <f t="shared" si="156"/>
        <v>-1.4010483120328808E-2</v>
      </c>
      <c r="AK34" s="66">
        <f t="shared" si="156"/>
        <v>-8.5586357890588393E-3</v>
      </c>
    </row>
    <row r="35" spans="2:40" s="29" customFormat="1" ht="13.5" customHeight="1">
      <c r="B35" s="265" t="str">
        <f>B17</f>
        <v>Share of net profit /(loss) of investments</v>
      </c>
      <c r="C35" s="66">
        <f>-C17/C$7</f>
        <v>3.5155275756840769E-3</v>
      </c>
      <c r="D35" s="66">
        <f t="shared" ref="D35:E35" si="157">-D17/D$7</f>
        <v>3.2638277386560412E-3</v>
      </c>
      <c r="E35" s="66">
        <f t="shared" si="157"/>
        <v>-5.6164986669771776E-3</v>
      </c>
      <c r="F35" s="66">
        <f t="shared" ref="F35:G35" si="158">-F17/F$7</f>
        <v>-8.376647564904108E-4</v>
      </c>
      <c r="G35" s="66">
        <f t="shared" si="158"/>
        <v>1.428703979163047E-3</v>
      </c>
      <c r="H35" s="66">
        <f t="shared" ref="H35:I35" si="159">-H17/H$7</f>
        <v>-1.6828424981206415E-4</v>
      </c>
      <c r="I35" s="66">
        <f t="shared" si="159"/>
        <v>-7.5660069851206477E-4</v>
      </c>
      <c r="J35" s="66">
        <f t="shared" ref="J35" si="160">-J17/J$7</f>
        <v>-7.1317842673167525E-4</v>
      </c>
      <c r="K35" s="66">
        <f>-K17/K$7</f>
        <v>-6.8824743510152633E-4</v>
      </c>
      <c r="L35" s="206"/>
      <c r="M35" s="66">
        <f t="shared" ref="M35:S35" si="161">-M17/M$7</f>
        <v>-2.630428568637661E-3</v>
      </c>
      <c r="N35" s="66">
        <f t="shared" si="161"/>
        <v>-1.667317141597419E-2</v>
      </c>
      <c r="O35" s="66">
        <f t="shared" si="161"/>
        <v>1.4822045997481498E-4</v>
      </c>
      <c r="P35" s="66">
        <f t="shared" si="161"/>
        <v>-5.2256873278136049E-3</v>
      </c>
      <c r="Q35" s="66">
        <f t="shared" si="161"/>
        <v>-1.1691918709415084E-4</v>
      </c>
      <c r="R35" s="66">
        <f t="shared" si="161"/>
        <v>2.9836325660994277E-4</v>
      </c>
      <c r="S35" s="66">
        <f t="shared" si="161"/>
        <v>-5.7794452944361313E-4</v>
      </c>
      <c r="T35" s="66">
        <f t="shared" ref="T35:V35" si="162">-T17/T$7</f>
        <v>-2.8875316129970264E-3</v>
      </c>
      <c r="U35" s="66">
        <f t="shared" si="162"/>
        <v>2.7447563377775144E-3</v>
      </c>
      <c r="V35" s="66">
        <f t="shared" si="162"/>
        <v>-8.9313405616976975E-4</v>
      </c>
      <c r="W35" s="66">
        <f t="shared" ref="W35:Z35" si="163">-W17/W$7</f>
        <v>3.7601808966617302E-3</v>
      </c>
      <c r="X35" s="66">
        <f t="shared" si="163"/>
        <v>-5.3840146968459449E-5</v>
      </c>
      <c r="Y35" s="66">
        <f t="shared" si="163"/>
        <v>2.237515344972742E-3</v>
      </c>
      <c r="Z35" s="66">
        <f t="shared" si="163"/>
        <v>-1.099340823091912E-3</v>
      </c>
      <c r="AA35" s="66">
        <f t="shared" ref="AA35:AD35" si="164">-AA17/AA$7</f>
        <v>-2.9103845307300102E-4</v>
      </c>
      <c r="AB35" s="66">
        <f t="shared" si="164"/>
        <v>-1.1468844683127867E-3</v>
      </c>
      <c r="AC35" s="66">
        <f t="shared" si="164"/>
        <v>-2.0579729868646836E-3</v>
      </c>
      <c r="AD35" s="66">
        <f t="shared" si="164"/>
        <v>-9.7184284894440229E-4</v>
      </c>
      <c r="AE35" s="66">
        <f t="shared" ref="AE35:AH35" si="165">-AE17/AE$7</f>
        <v>-4.0796034088011137E-4</v>
      </c>
      <c r="AF35" s="66">
        <f t="shared" si="165"/>
        <v>2.4494253524275483E-5</v>
      </c>
      <c r="AG35" s="66">
        <f t="shared" si="165"/>
        <v>-5.708427989718738E-4</v>
      </c>
      <c r="AH35" s="66">
        <f t="shared" si="165"/>
        <v>-7.4911114414852092E-4</v>
      </c>
      <c r="AI35" s="66">
        <f t="shared" ref="AI35:AK35" si="166">-AI17/AI$7</f>
        <v>-2.2227578544531013E-4</v>
      </c>
      <c r="AJ35" s="66">
        <f t="shared" si="166"/>
        <v>-1.2879958585837207E-3</v>
      </c>
      <c r="AK35" s="66">
        <f t="shared" si="166"/>
        <v>-4.4145940809640612E-4</v>
      </c>
    </row>
    <row r="36" spans="2:40" s="29" customFormat="1" ht="13.5" customHeight="1">
      <c r="B36" s="265" t="s">
        <v>186</v>
      </c>
      <c r="C36" s="66">
        <f t="shared" ref="C36:K36" si="167">-C20/C109</f>
        <v>0</v>
      </c>
      <c r="D36" s="66">
        <f t="shared" si="167"/>
        <v>2.9986249540455024E-2</v>
      </c>
      <c r="E36" s="66">
        <f t="shared" si="167"/>
        <v>0.19122015932152897</v>
      </c>
      <c r="F36" s="66">
        <f t="shared" si="167"/>
        <v>0.10825901327550287</v>
      </c>
      <c r="G36" s="66">
        <f t="shared" si="167"/>
        <v>2.3112965393929503E-2</v>
      </c>
      <c r="H36" s="66">
        <f t="shared" si="167"/>
        <v>5.5854928027060727E-2</v>
      </c>
      <c r="I36" s="66">
        <f t="shared" si="167"/>
        <v>6.9420277437996468E-3</v>
      </c>
      <c r="J36" s="66">
        <f t="shared" ref="J36" si="168">-J20/J109</f>
        <v>0.10061923682758715</v>
      </c>
      <c r="K36" s="66">
        <f t="shared" si="167"/>
        <v>9.5021445978378222E-2</v>
      </c>
      <c r="L36" s="206"/>
      <c r="M36" s="66"/>
      <c r="N36" s="66"/>
      <c r="O36" s="66"/>
      <c r="P36" s="66">
        <f t="shared" ref="P36:AK36" si="169">-SUM(M20:P20)/P109</f>
        <v>0.19122015932152897</v>
      </c>
      <c r="Q36" s="66">
        <f t="shared" si="169"/>
        <v>0.12234287405048873</v>
      </c>
      <c r="R36" s="66">
        <f t="shared" si="169"/>
        <v>0.16426854515088954</v>
      </c>
      <c r="S36" s="66">
        <f t="shared" si="169"/>
        <v>0.11458525350070564</v>
      </c>
      <c r="T36" s="66">
        <f t="shared" si="169"/>
        <v>0.10825901327550287</v>
      </c>
      <c r="U36" s="66">
        <f t="shared" si="169"/>
        <v>0.10923614308966008</v>
      </c>
      <c r="V36" s="66">
        <f t="shared" si="169"/>
        <v>6.914991249065755E-2</v>
      </c>
      <c r="W36" s="66">
        <f t="shared" si="169"/>
        <v>4.9546538060242055E-2</v>
      </c>
      <c r="X36" s="66">
        <f t="shared" si="169"/>
        <v>2.3112965393929503E-2</v>
      </c>
      <c r="Y36" s="66">
        <f t="shared" si="169"/>
        <v>8.3856057428952857E-2</v>
      </c>
      <c r="Z36" s="66">
        <f t="shared" si="169"/>
        <v>6.3083243342255096E-2</v>
      </c>
      <c r="AA36" s="66">
        <f t="shared" si="169"/>
        <v>5.0512539067564644E-2</v>
      </c>
      <c r="AB36" s="66">
        <f t="shared" si="169"/>
        <v>5.5854928027060727E-2</v>
      </c>
      <c r="AC36" s="66">
        <f t="shared" si="169"/>
        <v>-2.5836016065460691E-3</v>
      </c>
      <c r="AD36" s="66">
        <f t="shared" si="169"/>
        <v>2.618706675367228E-3</v>
      </c>
      <c r="AE36" s="66">
        <f t="shared" si="169"/>
        <v>5.1205134241420584E-3</v>
      </c>
      <c r="AF36" s="66">
        <f t="shared" si="169"/>
        <v>6.9420277437996468E-3</v>
      </c>
      <c r="AG36" s="66">
        <f t="shared" si="169"/>
        <v>-8.7773716229459127E-3</v>
      </c>
      <c r="AH36" s="66">
        <f t="shared" si="169"/>
        <v>5.3484203348298284E-3</v>
      </c>
      <c r="AI36" s="66">
        <f t="shared" si="169"/>
        <v>5.9506068208247567E-2</v>
      </c>
      <c r="AJ36" s="66">
        <f t="shared" si="169"/>
        <v>0.10061923682758715</v>
      </c>
      <c r="AK36" s="66">
        <f t="shared" si="169"/>
        <v>9.5021445978378222E-2</v>
      </c>
    </row>
    <row r="37" spans="2:40" s="29" customFormat="1" ht="13.5" customHeight="1">
      <c r="B37" s="265" t="s">
        <v>187</v>
      </c>
      <c r="C37" s="66">
        <f t="shared" ref="C37:K37" si="170">C21/C120</f>
        <v>0.33287394027046496</v>
      </c>
      <c r="D37" s="66">
        <f t="shared" si="170"/>
        <v>1.4566468210470787E-2</v>
      </c>
      <c r="E37" s="66">
        <f t="shared" si="170"/>
        <v>1.0086916093540604E-2</v>
      </c>
      <c r="F37" s="66">
        <f t="shared" si="170"/>
        <v>1.4271536881360292E-2</v>
      </c>
      <c r="G37" s="66">
        <f t="shared" si="170"/>
        <v>2.4550235613158788E-2</v>
      </c>
      <c r="H37" s="66">
        <f t="shared" si="170"/>
        <v>3.3037047398405642E-2</v>
      </c>
      <c r="I37" s="66">
        <f t="shared" si="170"/>
        <v>3.8164836564744481E-2</v>
      </c>
      <c r="J37" s="66">
        <f t="shared" ref="J37" si="171">J21/J120</f>
        <v>4.9961470924580538E-2</v>
      </c>
      <c r="K37" s="66">
        <f t="shared" si="170"/>
        <v>5.5790980604805016E-2</v>
      </c>
      <c r="L37" s="206"/>
      <c r="M37" s="66"/>
      <c r="N37" s="66"/>
      <c r="O37" s="66"/>
      <c r="P37" s="66">
        <f t="shared" ref="P37:AK37" si="172">SUM(M21:P21)/P120</f>
        <v>1.0086916093540604E-2</v>
      </c>
      <c r="Q37" s="66">
        <f t="shared" si="172"/>
        <v>1.0018295652711244E-2</v>
      </c>
      <c r="R37" s="66">
        <f t="shared" si="172"/>
        <v>1.1190030596313018E-2</v>
      </c>
      <c r="S37" s="66">
        <f t="shared" si="172"/>
        <v>1.3995212384973118E-2</v>
      </c>
      <c r="T37" s="66">
        <f t="shared" si="172"/>
        <v>1.4271536881360292E-2</v>
      </c>
      <c r="U37" s="66">
        <f t="shared" si="172"/>
        <v>1.6006615872017172E-2</v>
      </c>
      <c r="V37" s="66">
        <f t="shared" si="172"/>
        <v>1.7058734325386911E-2</v>
      </c>
      <c r="W37" s="66">
        <f t="shared" si="172"/>
        <v>2.1286842297731427E-2</v>
      </c>
      <c r="X37" s="66">
        <f t="shared" si="172"/>
        <v>2.4550235613158788E-2</v>
      </c>
      <c r="Y37" s="66">
        <f t="shared" si="172"/>
        <v>2.9145348414806923E-2</v>
      </c>
      <c r="Z37" s="66">
        <f t="shared" si="172"/>
        <v>2.8538940290944132E-2</v>
      </c>
      <c r="AA37" s="66">
        <f t="shared" si="172"/>
        <v>3.1050193606945293E-2</v>
      </c>
      <c r="AB37" s="66">
        <f t="shared" si="172"/>
        <v>3.3037047398405642E-2</v>
      </c>
      <c r="AC37" s="66">
        <f t="shared" si="172"/>
        <v>3.9984408300414519E-2</v>
      </c>
      <c r="AD37" s="66">
        <f t="shared" si="172"/>
        <v>4.0122845660682624E-2</v>
      </c>
      <c r="AE37" s="66">
        <f t="shared" si="172"/>
        <v>3.9030174526686723E-2</v>
      </c>
      <c r="AF37" s="66">
        <f t="shared" si="172"/>
        <v>3.8164836564744481E-2</v>
      </c>
      <c r="AG37" s="66">
        <f t="shared" si="172"/>
        <v>1.424605158133887E-2</v>
      </c>
      <c r="AH37" s="66">
        <f t="shared" si="172"/>
        <v>2.1950390742552232E-2</v>
      </c>
      <c r="AI37" s="66">
        <f t="shared" si="172"/>
        <v>2.7359639082301351E-2</v>
      </c>
      <c r="AJ37" s="66">
        <f t="shared" si="172"/>
        <v>4.9961470924580538E-2</v>
      </c>
      <c r="AK37" s="66">
        <f t="shared" si="172"/>
        <v>5.5790980604805016E-2</v>
      </c>
    </row>
    <row r="38" spans="2:40" s="29" customFormat="1" ht="13.5" customHeight="1">
      <c r="B38" s="266" t="s">
        <v>188</v>
      </c>
      <c r="C38" s="66">
        <f t="shared" ref="C38:G38" si="173">-C24/C23</f>
        <v>3.2266317152055267E-2</v>
      </c>
      <c r="D38" s="66">
        <f t="shared" si="173"/>
        <v>0.16934604526021727</v>
      </c>
      <c r="E38" s="66">
        <f t="shared" si="173"/>
        <v>6.1050045133846549E-2</v>
      </c>
      <c r="F38" s="66">
        <f t="shared" si="173"/>
        <v>0.21025478402719944</v>
      </c>
      <c r="G38" s="66">
        <f t="shared" si="173"/>
        <v>0.36385460335601111</v>
      </c>
      <c r="H38" s="66">
        <f t="shared" ref="H38:I38" si="174">-H24/H23</f>
        <v>0.20611672023136365</v>
      </c>
      <c r="I38" s="66">
        <f t="shared" si="174"/>
        <v>0.16170441609245176</v>
      </c>
      <c r="J38" s="66">
        <f t="shared" ref="J38" si="175">-J24/J23</f>
        <v>0.16275803114657914</v>
      </c>
      <c r="K38" s="66">
        <f t="shared" ref="K38" si="176">-K24/K23</f>
        <v>0.16109263155520517</v>
      </c>
      <c r="L38" s="206"/>
      <c r="M38" s="66">
        <f t="shared" ref="M38:S38" si="177">-M24/M23</f>
        <v>0.11987951537209925</v>
      </c>
      <c r="N38" s="66">
        <f t="shared" si="177"/>
        <v>7.6897840418949287E-2</v>
      </c>
      <c r="O38" s="66">
        <f t="shared" si="177"/>
        <v>0.10757059530726522</v>
      </c>
      <c r="P38" s="66">
        <f t="shared" si="177"/>
        <v>7.4339235013823682E-3</v>
      </c>
      <c r="Q38" s="66">
        <f t="shared" si="177"/>
        <v>0.14094958795087176</v>
      </c>
      <c r="R38" s="66">
        <f t="shared" si="177"/>
        <v>0.14622388372132908</v>
      </c>
      <c r="S38" s="66">
        <f t="shared" si="177"/>
        <v>0.55877608187059336</v>
      </c>
      <c r="T38" s="66">
        <f t="shared" ref="T38:V38" si="178">-T24/T23</f>
        <v>0.37121785105823329</v>
      </c>
      <c r="U38" s="66">
        <f t="shared" si="178"/>
        <v>-0.2755848339864827</v>
      </c>
      <c r="V38" s="66">
        <f t="shared" si="178"/>
        <v>0.21387244298406516</v>
      </c>
      <c r="W38" s="66">
        <f t="shared" ref="W38:Z38" si="179">-W24/W23</f>
        <v>-0.23786696005274258</v>
      </c>
      <c r="X38" s="66">
        <f t="shared" si="179"/>
        <v>0.17405886098478809</v>
      </c>
      <c r="Y38" s="66">
        <f t="shared" si="179"/>
        <v>0.22932568387338195</v>
      </c>
      <c r="Z38" s="66">
        <f t="shared" si="179"/>
        <v>0.2603389927640623</v>
      </c>
      <c r="AA38" s="66">
        <f t="shared" ref="AA38:AD38" si="180">-AA24/AA23</f>
        <v>0.17293925805136584</v>
      </c>
      <c r="AB38" s="66">
        <f t="shared" si="180"/>
        <v>0.17095110244295536</v>
      </c>
      <c r="AC38" s="66">
        <f t="shared" si="180"/>
        <v>0.20089813491095446</v>
      </c>
      <c r="AD38" s="66">
        <f t="shared" si="180"/>
        <v>0.24099763675847416</v>
      </c>
      <c r="AE38" s="66">
        <f t="shared" ref="AE38:AH38" si="181">-AE24/AE23</f>
        <v>0.21664368066978867</v>
      </c>
      <c r="AF38" s="66">
        <f t="shared" si="181"/>
        <v>4.3838576416585118E-2</v>
      </c>
      <c r="AG38" s="66">
        <f t="shared" si="181"/>
        <v>0.17278459364421292</v>
      </c>
      <c r="AH38" s="66">
        <f t="shared" si="181"/>
        <v>0.17563411182408289</v>
      </c>
      <c r="AI38" s="66">
        <f t="shared" ref="AI38:AK38" si="182">-AI24/AI23</f>
        <v>0.18046055519504509</v>
      </c>
      <c r="AJ38" s="66">
        <f t="shared" si="182"/>
        <v>8.0989047210233325E-2</v>
      </c>
      <c r="AK38" s="66">
        <f t="shared" si="182"/>
        <v>0.17353479589722437</v>
      </c>
    </row>
    <row r="39" spans="2:40" s="29" customFormat="1" ht="13.5" customHeight="1">
      <c r="B39" s="62"/>
      <c r="C39" s="267"/>
      <c r="D39" s="267"/>
      <c r="E39" s="267"/>
      <c r="F39" s="267"/>
      <c r="G39" s="267"/>
      <c r="H39" s="267"/>
      <c r="I39" s="267"/>
      <c r="J39" s="267"/>
      <c r="K39" s="267"/>
      <c r="L39" s="206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  <c r="AC39" s="267"/>
      <c r="AD39" s="267"/>
      <c r="AE39" s="267"/>
      <c r="AF39" s="267"/>
      <c r="AG39" s="267"/>
      <c r="AH39" s="267"/>
      <c r="AI39" s="267"/>
      <c r="AJ39" s="267"/>
      <c r="AK39" s="267"/>
    </row>
    <row r="40" spans="2:40" ht="13.5" customHeight="1">
      <c r="B40" s="31" t="s">
        <v>189</v>
      </c>
      <c r="C40" s="268">
        <f t="shared" ref="C40:G40" si="183">C61/C7</f>
        <v>-2.045899039492944E-2</v>
      </c>
      <c r="D40" s="268">
        <f t="shared" si="183"/>
        <v>2.571641514883E-2</v>
      </c>
      <c r="E40" s="268">
        <f t="shared" si="183"/>
        <v>-2.2507562087784757E-2</v>
      </c>
      <c r="F40" s="268">
        <f t="shared" si="183"/>
        <v>-5.7381776556970417E-2</v>
      </c>
      <c r="G40" s="268">
        <f t="shared" si="183"/>
        <v>-7.7189305126948327E-2</v>
      </c>
      <c r="H40" s="268">
        <f t="shared" ref="H40:I40" si="184">H61/H7</f>
        <v>-3.9216909909986379E-2</v>
      </c>
      <c r="I40" s="268">
        <f t="shared" si="184"/>
        <v>0.14166828206178986</v>
      </c>
      <c r="J40" s="268">
        <f t="shared" ref="J40" si="185">J61/J7</f>
        <v>-3.0358207213672935E-2</v>
      </c>
      <c r="K40" s="268">
        <f t="shared" ref="K40" si="186">K61/K7</f>
        <v>0</v>
      </c>
      <c r="L40" s="206"/>
      <c r="M40" s="268">
        <f t="shared" ref="M40:S40" si="187">M61/M7</f>
        <v>0</v>
      </c>
      <c r="N40" s="268">
        <f t="shared" si="187"/>
        <v>0</v>
      </c>
      <c r="O40" s="268">
        <f t="shared" si="187"/>
        <v>0</v>
      </c>
      <c r="P40" s="268">
        <f t="shared" si="187"/>
        <v>-7.8535474080226431E-2</v>
      </c>
      <c r="Q40" s="268">
        <f t="shared" si="187"/>
        <v>0</v>
      </c>
      <c r="R40" s="268">
        <f t="shared" si="187"/>
        <v>0</v>
      </c>
      <c r="S40" s="268">
        <f t="shared" si="187"/>
        <v>0</v>
      </c>
      <c r="T40" s="268">
        <f t="shared" ref="T40:V40" si="188">T61/T7</f>
        <v>-0.2201451970289465</v>
      </c>
      <c r="U40" s="268">
        <f t="shared" si="188"/>
        <v>0</v>
      </c>
      <c r="V40" s="268">
        <f t="shared" si="188"/>
        <v>0</v>
      </c>
      <c r="W40" s="268">
        <f t="shared" ref="W40:Z40" si="189">W61/W7</f>
        <v>0</v>
      </c>
      <c r="X40" s="268">
        <f t="shared" si="189"/>
        <v>-0.32728636514327103</v>
      </c>
      <c r="Y40" s="268">
        <f t="shared" si="189"/>
        <v>0</v>
      </c>
      <c r="Z40" s="268">
        <f t="shared" si="189"/>
        <v>0</v>
      </c>
      <c r="AA40" s="268">
        <f t="shared" ref="AA40:AD40" si="190">AA61/AA7</f>
        <v>0</v>
      </c>
      <c r="AB40" s="268">
        <f t="shared" si="190"/>
        <v>-0.14508575938450685</v>
      </c>
      <c r="AC40" s="268">
        <f t="shared" si="190"/>
        <v>0</v>
      </c>
      <c r="AD40" s="268">
        <f t="shared" si="190"/>
        <v>0</v>
      </c>
      <c r="AE40" s="268">
        <f t="shared" ref="AE40:AH40" si="191">AE61/AE7</f>
        <v>0</v>
      </c>
      <c r="AF40" s="268">
        <f t="shared" si="191"/>
        <v>0.47554927193858787</v>
      </c>
      <c r="AG40" s="268">
        <f t="shared" si="191"/>
        <v>0</v>
      </c>
      <c r="AH40" s="268">
        <f t="shared" si="191"/>
        <v>0</v>
      </c>
      <c r="AI40" s="268">
        <f t="shared" ref="AI40:AK40" si="192">AI61/AI7</f>
        <v>0</v>
      </c>
      <c r="AJ40" s="268">
        <f t="shared" si="192"/>
        <v>-0.11873774045200199</v>
      </c>
      <c r="AK40" s="268">
        <f t="shared" si="192"/>
        <v>0</v>
      </c>
    </row>
    <row r="41" spans="2:40" s="29" customFormat="1" ht="13.5" customHeight="1">
      <c r="B41" s="31" t="s">
        <v>190</v>
      </c>
      <c r="C41" s="66">
        <f t="shared" ref="C41:G41" si="193">-C65/C7</f>
        <v>1.3504926738165017E-3</v>
      </c>
      <c r="D41" s="66">
        <f t="shared" si="193"/>
        <v>1.6213803778630877E-2</v>
      </c>
      <c r="E41" s="66">
        <f t="shared" si="193"/>
        <v>1.2048999951123709E-2</v>
      </c>
      <c r="F41" s="66">
        <f t="shared" si="193"/>
        <v>2.1729361209234667E-2</v>
      </c>
      <c r="G41" s="66">
        <f t="shared" si="193"/>
        <v>2.0647597054885829E-2</v>
      </c>
      <c r="H41" s="66">
        <f t="shared" ref="H41:I41" si="194">-H65/H7</f>
        <v>2.2866238747374711E-2</v>
      </c>
      <c r="I41" s="66">
        <f t="shared" si="194"/>
        <v>1.8963374098317783E-2</v>
      </c>
      <c r="J41" s="66">
        <f t="shared" ref="J41" si="195">-J65/J7</f>
        <v>2.7895802267254723E-2</v>
      </c>
      <c r="K41" s="66">
        <f t="shared" ref="K41" si="196">-K65/K7</f>
        <v>0</v>
      </c>
      <c r="L41" s="206"/>
      <c r="M41" s="66">
        <f t="shared" ref="M41:S41" si="197">-M65/M7</f>
        <v>0</v>
      </c>
      <c r="N41" s="66">
        <f t="shared" si="197"/>
        <v>2.1010760527070547E-2</v>
      </c>
      <c r="O41" s="66">
        <f t="shared" si="197"/>
        <v>0</v>
      </c>
      <c r="P41" s="66">
        <f t="shared" si="197"/>
        <v>2.6078481261141682E-2</v>
      </c>
      <c r="Q41" s="66">
        <f t="shared" si="197"/>
        <v>0</v>
      </c>
      <c r="R41" s="66">
        <f t="shared" si="197"/>
        <v>2.0749921174598718E-2</v>
      </c>
      <c r="S41" s="66">
        <f t="shared" si="197"/>
        <v>0</v>
      </c>
      <c r="T41" s="66">
        <f t="shared" ref="T41:V41" si="198">-T65/T7</f>
        <v>6.2077985778280748E-2</v>
      </c>
      <c r="U41" s="66">
        <f t="shared" si="198"/>
        <v>0</v>
      </c>
      <c r="V41" s="66">
        <f t="shared" si="198"/>
        <v>3.851557961859306E-2</v>
      </c>
      <c r="W41" s="66">
        <f t="shared" ref="W41:Z41" si="199">-W65/W7</f>
        <v>0</v>
      </c>
      <c r="X41" s="66">
        <f t="shared" si="199"/>
        <v>4.6626596838802103E-2</v>
      </c>
      <c r="Y41" s="66">
        <f t="shared" si="199"/>
        <v>0</v>
      </c>
      <c r="Z41" s="66">
        <f t="shared" si="199"/>
        <v>5.4354242455501543E-2</v>
      </c>
      <c r="AA41" s="66">
        <f t="shared" ref="AA41:AD41" si="200">-AA65/AA7</f>
        <v>0</v>
      </c>
      <c r="AB41" s="66">
        <f t="shared" si="200"/>
        <v>3.461108421609705E-2</v>
      </c>
      <c r="AC41" s="66">
        <f t="shared" si="200"/>
        <v>0</v>
      </c>
      <c r="AD41" s="66">
        <f t="shared" si="200"/>
        <v>2.2653236616379017E-2</v>
      </c>
      <c r="AE41" s="66">
        <f t="shared" ref="AE41:AH41" si="201">-AE65/AE7</f>
        <v>0</v>
      </c>
      <c r="AF41" s="66">
        <f t="shared" si="201"/>
        <v>4.5183384393760677E-2</v>
      </c>
      <c r="AG41" s="66">
        <f t="shared" si="201"/>
        <v>0</v>
      </c>
      <c r="AH41" s="66">
        <f t="shared" si="201"/>
        <v>4.3795077569491365E-2</v>
      </c>
      <c r="AI41" s="66">
        <f t="shared" ref="AI41:AK41" si="202">-AI65/AI7</f>
        <v>0</v>
      </c>
      <c r="AJ41" s="66">
        <f t="shared" si="202"/>
        <v>6.5671409580467799E-2</v>
      </c>
      <c r="AK41" s="66">
        <f t="shared" si="202"/>
        <v>0</v>
      </c>
    </row>
    <row r="42" spans="2:40" s="1" customFormat="1" ht="13.5" customHeight="1"/>
    <row r="43" spans="2:40" ht="13.5" customHeight="1">
      <c r="B43" s="39" t="s">
        <v>191</v>
      </c>
      <c r="C43" s="44">
        <f t="shared" ref="C43:H43" si="203">C3</f>
        <v>43465</v>
      </c>
      <c r="D43" s="44">
        <f t="shared" si="203"/>
        <v>43830</v>
      </c>
      <c r="E43" s="44">
        <f t="shared" si="203"/>
        <v>44196</v>
      </c>
      <c r="F43" s="44">
        <f t="shared" si="203"/>
        <v>44561</v>
      </c>
      <c r="G43" s="44">
        <f t="shared" si="203"/>
        <v>44926</v>
      </c>
      <c r="H43" s="44">
        <f t="shared" si="203"/>
        <v>45291</v>
      </c>
      <c r="I43" s="44">
        <f t="shared" ref="I43:J43" si="204">I3</f>
        <v>45657</v>
      </c>
      <c r="J43" s="44">
        <f t="shared" si="204"/>
        <v>46022</v>
      </c>
      <c r="K43" s="44" t="str">
        <f>K2</f>
        <v>LTM</v>
      </c>
      <c r="L43" s="204"/>
      <c r="M43" s="44">
        <f t="shared" ref="M43:S43" si="205">M3</f>
        <v>43921</v>
      </c>
      <c r="N43" s="44">
        <f t="shared" si="205"/>
        <v>44012</v>
      </c>
      <c r="O43" s="44">
        <f t="shared" si="205"/>
        <v>44104</v>
      </c>
      <c r="P43" s="44">
        <f t="shared" si="205"/>
        <v>44196</v>
      </c>
      <c r="Q43" s="44">
        <f t="shared" si="205"/>
        <v>44286</v>
      </c>
      <c r="R43" s="44">
        <f t="shared" si="205"/>
        <v>44377</v>
      </c>
      <c r="S43" s="44">
        <f t="shared" si="205"/>
        <v>44469</v>
      </c>
      <c r="T43" s="44">
        <f t="shared" ref="T43:V43" si="206">T3</f>
        <v>44561</v>
      </c>
      <c r="U43" s="44">
        <f t="shared" si="206"/>
        <v>44651</v>
      </c>
      <c r="V43" s="44">
        <f t="shared" si="206"/>
        <v>44742</v>
      </c>
      <c r="W43" s="44">
        <f t="shared" ref="W43:Z43" si="207">W3</f>
        <v>44834</v>
      </c>
      <c r="X43" s="44">
        <f t="shared" si="207"/>
        <v>44926</v>
      </c>
      <c r="Y43" s="44">
        <f t="shared" si="207"/>
        <v>45016</v>
      </c>
      <c r="Z43" s="44">
        <f t="shared" si="207"/>
        <v>45107</v>
      </c>
      <c r="AA43" s="44">
        <f t="shared" ref="AA43:AD43" si="208">AA3</f>
        <v>45199</v>
      </c>
      <c r="AB43" s="44">
        <f t="shared" si="208"/>
        <v>45291</v>
      </c>
      <c r="AC43" s="44">
        <f t="shared" si="208"/>
        <v>45382</v>
      </c>
      <c r="AD43" s="44">
        <f t="shared" si="208"/>
        <v>45473</v>
      </c>
      <c r="AE43" s="44">
        <f t="shared" ref="AE43:AH43" si="209">AE3</f>
        <v>45565</v>
      </c>
      <c r="AF43" s="44">
        <f t="shared" si="209"/>
        <v>45657</v>
      </c>
      <c r="AG43" s="44">
        <f t="shared" si="209"/>
        <v>45747</v>
      </c>
      <c r="AH43" s="44">
        <f t="shared" si="209"/>
        <v>45838</v>
      </c>
      <c r="AI43" s="44">
        <f t="shared" ref="AI43:AK43" si="210">AI3</f>
        <v>45930</v>
      </c>
      <c r="AJ43" s="44">
        <f t="shared" si="210"/>
        <v>46022</v>
      </c>
      <c r="AK43" s="44">
        <f t="shared" si="210"/>
        <v>46112</v>
      </c>
    </row>
    <row r="44" spans="2:40" s="19" customFormat="1" ht="13.5" customHeight="1">
      <c r="B44" s="60" t="s">
        <v>176</v>
      </c>
      <c r="C44" s="43">
        <f t="shared" ref="C44:G44" si="211">C19</f>
        <v>1196.4719999999834</v>
      </c>
      <c r="D44" s="43">
        <f t="shared" si="211"/>
        <v>11760.216999999997</v>
      </c>
      <c r="E44" s="43">
        <f t="shared" si="211"/>
        <v>24034.728999999996</v>
      </c>
      <c r="F44" s="43">
        <f t="shared" si="211"/>
        <v>26028.663999999993</v>
      </c>
      <c r="G44" s="43">
        <f t="shared" si="211"/>
        <v>2816.4979999999996</v>
      </c>
      <c r="H44" s="43">
        <f t="shared" ref="H44:I44" si="212">H19</f>
        <v>20008.699999999983</v>
      </c>
      <c r="I44" s="43">
        <f t="shared" si="212"/>
        <v>24502.895999999957</v>
      </c>
      <c r="J44" s="43">
        <f t="shared" ref="J44" si="213">J19</f>
        <v>47900.919999999947</v>
      </c>
      <c r="K44" s="43">
        <f>K19</f>
        <v>40088.157999999967</v>
      </c>
      <c r="L44" s="43"/>
      <c r="M44" s="43">
        <f t="shared" ref="M44:S44" si="214">M19</f>
        <v>2323.1880000000028</v>
      </c>
      <c r="N44" s="43">
        <f t="shared" si="214"/>
        <v>5413.0270000000037</v>
      </c>
      <c r="O44" s="43">
        <f t="shared" si="214"/>
        <v>6696.6190000000024</v>
      </c>
      <c r="P44" s="43">
        <f t="shared" si="214"/>
        <v>9601.8949999999859</v>
      </c>
      <c r="Q44" s="43">
        <f t="shared" si="214"/>
        <v>8157.6629999999996</v>
      </c>
      <c r="R44" s="43">
        <f t="shared" si="214"/>
        <v>10725.756000000001</v>
      </c>
      <c r="S44" s="43">
        <f t="shared" si="214"/>
        <v>2729.6809999999969</v>
      </c>
      <c r="T44" s="43">
        <f t="shared" ref="T44:V44" si="215">T19</f>
        <v>4415.5639999999858</v>
      </c>
      <c r="U44" s="43">
        <f t="shared" si="215"/>
        <v>-911.26300000000811</v>
      </c>
      <c r="V44" s="43">
        <f t="shared" si="215"/>
        <v>1733.0279999999966</v>
      </c>
      <c r="W44" s="43">
        <f t="shared" ref="W44:Z44" si="216">W19</f>
        <v>-1361.0109999999986</v>
      </c>
      <c r="X44" s="43">
        <f t="shared" si="216"/>
        <v>3355.7440000000006</v>
      </c>
      <c r="Y44" s="43">
        <f t="shared" si="216"/>
        <v>5900.2089999999962</v>
      </c>
      <c r="Z44" s="43">
        <f t="shared" si="216"/>
        <v>4040.5259999999962</v>
      </c>
      <c r="AA44" s="43">
        <f t="shared" ref="AA44:AD44" si="217">AA19</f>
        <v>5011.2129999999943</v>
      </c>
      <c r="AB44" s="43">
        <f t="shared" si="217"/>
        <v>5056.7520000000168</v>
      </c>
      <c r="AC44" s="43">
        <f t="shared" si="217"/>
        <v>3683.0379999999968</v>
      </c>
      <c r="AD44" s="43">
        <f t="shared" si="217"/>
        <v>5888.7209999999959</v>
      </c>
      <c r="AE44" s="43">
        <f t="shared" ref="AE44:AH44" si="218">AE19</f>
        <v>6041.2630000000026</v>
      </c>
      <c r="AF44" s="43">
        <f t="shared" si="218"/>
        <v>8889.8739999999525</v>
      </c>
      <c r="AG44" s="43">
        <f t="shared" si="218"/>
        <v>13125.407000000007</v>
      </c>
      <c r="AH44" s="43">
        <f t="shared" si="218"/>
        <v>13436.718999999999</v>
      </c>
      <c r="AI44" s="43">
        <f t="shared" ref="AI44:AK44" si="219">AI19</f>
        <v>15110.128999999999</v>
      </c>
      <c r="AJ44" s="43">
        <f t="shared" si="219"/>
        <v>6228.6649999999572</v>
      </c>
      <c r="AK44" s="43">
        <f t="shared" si="219"/>
        <v>5312.6449999999968</v>
      </c>
      <c r="AN44" s="43"/>
    </row>
    <row r="45" spans="2:40" ht="13.5" customHeight="1">
      <c r="B45" s="62" t="s">
        <v>192</v>
      </c>
      <c r="C45" s="51">
        <f>219.523+528.693</f>
        <v>748.21600000000001</v>
      </c>
      <c r="D45" s="51">
        <f>895.273+485.786</f>
        <v>1381.059</v>
      </c>
      <c r="E45" s="107">
        <f>1042.895+665.566</f>
        <v>1708.461</v>
      </c>
      <c r="F45" s="107">
        <f>1804.312+1257.334</f>
        <v>3061.6459999999997</v>
      </c>
      <c r="G45" s="107">
        <f>2310.951+1396.442</f>
        <v>3707.393</v>
      </c>
      <c r="H45" s="107">
        <f>2401.979+2434.308</f>
        <v>4836.2870000000003</v>
      </c>
      <c r="I45" s="107">
        <f>3626.279+2691.99</f>
        <v>6318.2690000000002</v>
      </c>
      <c r="J45" s="107">
        <f>5256.031+3500.716</f>
        <v>8756.7469999999994</v>
      </c>
      <c r="K45" s="7">
        <f>SUM(AH45:AK45)</f>
        <v>9384.9840000000004</v>
      </c>
      <c r="L45" s="7"/>
      <c r="M45" s="51">
        <f>229.692+122.228</f>
        <v>351.92</v>
      </c>
      <c r="N45" s="51">
        <f>250.86+122.256</f>
        <v>373.11599999999999</v>
      </c>
      <c r="O45" s="51">
        <f>270.577+123.135</f>
        <v>393.71199999999999</v>
      </c>
      <c r="P45" s="7">
        <f>E45-SUM(M45:O45)</f>
        <v>589.71299999999997</v>
      </c>
      <c r="Q45" s="51">
        <f>359.695+297.635</f>
        <v>657.32999999999993</v>
      </c>
      <c r="R45" s="51">
        <f>431.658+296.382</f>
        <v>728.04</v>
      </c>
      <c r="S45" s="51">
        <f>469.752+330.434</f>
        <v>800.18600000000004</v>
      </c>
      <c r="T45" s="7">
        <f>F45-SUM(Q45:S45)</f>
        <v>876.08999999999969</v>
      </c>
      <c r="U45" s="51">
        <f>544.464+333.969</f>
        <v>878.43299999999999</v>
      </c>
      <c r="V45" s="51">
        <f>603.272+344.14</f>
        <v>947.41200000000003</v>
      </c>
      <c r="W45" s="51">
        <f>573.859+357.152</f>
        <v>931.01099999999997</v>
      </c>
      <c r="X45" s="7">
        <f>G45-SUM(U45:W45)</f>
        <v>950.53700000000026</v>
      </c>
      <c r="Y45" s="51">
        <f>563.606+361.473</f>
        <v>925.07899999999995</v>
      </c>
      <c r="Z45" s="51">
        <f>598.701+426.732</f>
        <v>1025.433</v>
      </c>
      <c r="AA45" s="51">
        <f>584.48+1057.314</f>
        <v>1641.7940000000001</v>
      </c>
      <c r="AB45" s="7">
        <f>H45-SUM(Y45:AA45)</f>
        <v>1243.9810000000002</v>
      </c>
      <c r="AC45" s="51">
        <f>803.713+590.61</f>
        <v>1394.3229999999999</v>
      </c>
      <c r="AD45" s="51">
        <f>816.293+596.037</f>
        <v>1412.33</v>
      </c>
      <c r="AE45" s="51">
        <f>916.859+780.324</f>
        <v>1697.183</v>
      </c>
      <c r="AF45" s="7">
        <f>I45-SUM(AC45:AE45)</f>
        <v>1814.4330000000009</v>
      </c>
      <c r="AG45" s="51">
        <f>1059.92+722.942</f>
        <v>1782.8620000000001</v>
      </c>
      <c r="AH45" s="51">
        <f>1222.019+787.574</f>
        <v>2009.5929999999998</v>
      </c>
      <c r="AI45" s="51">
        <f>1323.542+899.903</f>
        <v>2223.4449999999997</v>
      </c>
      <c r="AJ45" s="7">
        <f>J45-SUM(AG45:AI45)</f>
        <v>2740.8469999999998</v>
      </c>
      <c r="AK45" s="51">
        <f>1457.375+953.724</f>
        <v>2411.0990000000002</v>
      </c>
    </row>
    <row r="46" spans="2:40" s="19" customFormat="1" ht="13.5" customHeight="1">
      <c r="B46" s="19" t="s">
        <v>191</v>
      </c>
      <c r="C46" s="43">
        <f t="shared" ref="C46:E46" si="220">SUM(C44:C45)</f>
        <v>1944.6879999999833</v>
      </c>
      <c r="D46" s="43">
        <f t="shared" si="220"/>
        <v>13141.275999999996</v>
      </c>
      <c r="E46" s="43">
        <f t="shared" si="220"/>
        <v>25743.189999999995</v>
      </c>
      <c r="F46" s="43">
        <f t="shared" ref="F46:G46" si="221">SUM(F44:F45)</f>
        <v>29090.309999999994</v>
      </c>
      <c r="G46" s="43">
        <f t="shared" si="221"/>
        <v>6523.8909999999996</v>
      </c>
      <c r="H46" s="43">
        <f t="shared" ref="H46:I46" si="222">SUM(H44:H45)</f>
        <v>24844.986999999983</v>
      </c>
      <c r="I46" s="43">
        <f t="shared" si="222"/>
        <v>30821.164999999957</v>
      </c>
      <c r="J46" s="43">
        <f t="shared" ref="J46" si="223">SUM(J44:J45)</f>
        <v>56657.666999999943</v>
      </c>
      <c r="K46" s="43">
        <f>SUM(K44:K45)</f>
        <v>49473.141999999963</v>
      </c>
      <c r="L46" s="43"/>
      <c r="M46" s="43">
        <f t="shared" ref="M46:S46" si="224">SUM(M44:M45)</f>
        <v>2675.1080000000029</v>
      </c>
      <c r="N46" s="43">
        <f t="shared" si="224"/>
        <v>5786.1430000000037</v>
      </c>
      <c r="O46" s="43">
        <f t="shared" si="224"/>
        <v>7090.3310000000019</v>
      </c>
      <c r="P46" s="43">
        <f t="shared" si="224"/>
        <v>10191.607999999986</v>
      </c>
      <c r="Q46" s="43">
        <f t="shared" si="224"/>
        <v>8814.9929999999986</v>
      </c>
      <c r="R46" s="43">
        <f t="shared" si="224"/>
        <v>11453.796000000002</v>
      </c>
      <c r="S46" s="43">
        <f t="shared" si="224"/>
        <v>3529.866999999997</v>
      </c>
      <c r="T46" s="43">
        <f t="shared" ref="T46:V46" si="225">SUM(T44:T45)</f>
        <v>5291.6539999999859</v>
      </c>
      <c r="U46" s="43">
        <f t="shared" si="225"/>
        <v>-32.830000000008113</v>
      </c>
      <c r="V46" s="43">
        <f t="shared" si="225"/>
        <v>2680.4399999999969</v>
      </c>
      <c r="W46" s="43">
        <f t="shared" ref="W46:X46" si="226">SUM(W44:W45)</f>
        <v>-429.99999999999864</v>
      </c>
      <c r="X46" s="43">
        <f t="shared" si="226"/>
        <v>4306.2810000000009</v>
      </c>
      <c r="Y46" s="43">
        <f>SUM(Y44:Y45)</f>
        <v>6825.2879999999959</v>
      </c>
      <c r="Z46" s="43">
        <f t="shared" ref="Z46:AB46" si="227">SUM(Z44:Z45)</f>
        <v>5065.9589999999962</v>
      </c>
      <c r="AA46" s="43">
        <f t="shared" si="227"/>
        <v>6653.0069999999942</v>
      </c>
      <c r="AB46" s="43">
        <f t="shared" si="227"/>
        <v>6300.7330000000165</v>
      </c>
      <c r="AC46" s="43">
        <f>SUM(AC44:AC45)</f>
        <v>5077.3609999999971</v>
      </c>
      <c r="AD46" s="43">
        <f t="shared" ref="AD46:AF46" si="228">SUM(AD44:AD45)</f>
        <v>7301.0509999999958</v>
      </c>
      <c r="AE46" s="43">
        <f t="shared" si="228"/>
        <v>7738.4460000000026</v>
      </c>
      <c r="AF46" s="43">
        <f t="shared" si="228"/>
        <v>10704.306999999953</v>
      </c>
      <c r="AG46" s="43">
        <f>SUM(AG44:AG45)</f>
        <v>14908.269000000008</v>
      </c>
      <c r="AH46" s="43">
        <f t="shared" ref="AH46:AJ46" si="229">SUM(AH44:AH45)</f>
        <v>15446.311999999998</v>
      </c>
      <c r="AI46" s="43">
        <f t="shared" si="229"/>
        <v>17333.574000000001</v>
      </c>
      <c r="AJ46" s="43">
        <f t="shared" si="229"/>
        <v>8969.511999999957</v>
      </c>
      <c r="AK46" s="43">
        <f>SUM(AK44:AK45)</f>
        <v>7723.743999999997</v>
      </c>
      <c r="AL46" s="43"/>
      <c r="AN46" s="184"/>
    </row>
    <row r="47" spans="2:40" s="29" customFormat="1" ht="13.5" customHeight="1">
      <c r="B47" s="34" t="s">
        <v>193</v>
      </c>
      <c r="C47" s="64"/>
      <c r="D47" s="64">
        <f t="shared" ref="D47:J47" si="230">+D46/C46-1</f>
        <v>5.7575240861259536</v>
      </c>
      <c r="E47" s="64">
        <f t="shared" si="230"/>
        <v>0.95895664926297886</v>
      </c>
      <c r="F47" s="64">
        <f t="shared" si="230"/>
        <v>0.13001962849204007</v>
      </c>
      <c r="G47" s="64">
        <f t="shared" si="230"/>
        <v>-0.77573662845119218</v>
      </c>
      <c r="H47" s="64">
        <f t="shared" si="230"/>
        <v>2.8083081093782813</v>
      </c>
      <c r="I47" s="64">
        <f t="shared" si="230"/>
        <v>0.24053858430273989</v>
      </c>
      <c r="J47" s="64">
        <f t="shared" si="230"/>
        <v>0.83827142809170319</v>
      </c>
      <c r="K47" s="64"/>
      <c r="L47" s="43"/>
      <c r="M47" s="64"/>
      <c r="N47" s="64"/>
      <c r="O47" s="64"/>
      <c r="P47" s="64"/>
      <c r="Q47" s="64">
        <f t="shared" ref="Q47:AK47" si="231">Q46/M46-1</f>
        <v>2.2951914464761756</v>
      </c>
      <c r="R47" s="64">
        <f t="shared" si="231"/>
        <v>0.97952176432556115</v>
      </c>
      <c r="S47" s="64">
        <f t="shared" si="231"/>
        <v>-0.50215765667357481</v>
      </c>
      <c r="T47" s="64">
        <f t="shared" si="231"/>
        <v>-0.48078320908732031</v>
      </c>
      <c r="U47" s="64">
        <f t="shared" si="231"/>
        <v>-1.0037243364799051</v>
      </c>
      <c r="V47" s="64">
        <f t="shared" si="231"/>
        <v>-0.76597802160960471</v>
      </c>
      <c r="W47" s="64">
        <f t="shared" si="231"/>
        <v>-1.1218176208905319</v>
      </c>
      <c r="X47" s="64">
        <f t="shared" si="231"/>
        <v>-0.18621266620984434</v>
      </c>
      <c r="Y47" s="64">
        <f t="shared" si="231"/>
        <v>-208.89789826373163</v>
      </c>
      <c r="Z47" s="64">
        <f t="shared" si="231"/>
        <v>0.88997291489457031</v>
      </c>
      <c r="AA47" s="64">
        <f t="shared" si="231"/>
        <v>-16.472109302325617</v>
      </c>
      <c r="AB47" s="64">
        <f t="shared" si="231"/>
        <v>0.46314952507744267</v>
      </c>
      <c r="AC47" s="64">
        <f t="shared" si="231"/>
        <v>-0.25609571347025939</v>
      </c>
      <c r="AD47" s="64">
        <f t="shared" si="231"/>
        <v>0.44119820156460032</v>
      </c>
      <c r="AE47" s="64">
        <f t="shared" si="231"/>
        <v>0.16315013647212595</v>
      </c>
      <c r="AF47" s="64">
        <f t="shared" si="231"/>
        <v>0.69889868369282193</v>
      </c>
      <c r="AG47" s="64">
        <f t="shared" si="231"/>
        <v>1.9362239557124292</v>
      </c>
      <c r="AH47" s="64">
        <f t="shared" si="231"/>
        <v>1.1156285581349872</v>
      </c>
      <c r="AI47" s="64">
        <f t="shared" si="231"/>
        <v>1.2399295672542001</v>
      </c>
      <c r="AJ47" s="64">
        <f t="shared" si="231"/>
        <v>-0.1620651388268296</v>
      </c>
      <c r="AK47" s="64">
        <f t="shared" si="231"/>
        <v>-0.48191543900904976</v>
      </c>
      <c r="AN47" s="185"/>
    </row>
    <row r="48" spans="2:40" s="29" customFormat="1" ht="13.5" customHeight="1">
      <c r="B48" s="34" t="s">
        <v>183</v>
      </c>
      <c r="C48" s="64">
        <f t="shared" ref="C48:G48" si="232">+C46/C7</f>
        <v>1.1117875967771187E-2</v>
      </c>
      <c r="D48" s="64">
        <f t="shared" si="232"/>
        <v>6.3842596893425488E-2</v>
      </c>
      <c r="E48" s="64">
        <f t="shared" si="232"/>
        <v>0.10470430407815473</v>
      </c>
      <c r="F48" s="64">
        <f t="shared" si="232"/>
        <v>8.8606456576163881E-2</v>
      </c>
      <c r="G48" s="64">
        <f t="shared" si="232"/>
        <v>2.3295948591167182E-2</v>
      </c>
      <c r="H48" s="64">
        <f t="shared" ref="H48:I48" si="233">+H46/H7</f>
        <v>9.1689035063278149E-2</v>
      </c>
      <c r="I48" s="64">
        <f t="shared" si="233"/>
        <v>8.4232386237625995E-2</v>
      </c>
      <c r="J48" s="64">
        <f t="shared" ref="J48" si="234">+J46/J7</f>
        <v>0.1238996642821573</v>
      </c>
      <c r="K48" s="64">
        <f t="shared" ref="K48" si="235">+K46/K7</f>
        <v>0.11114189078940202</v>
      </c>
      <c r="L48" s="43"/>
      <c r="M48" s="64">
        <f t="shared" ref="M48:S48" si="236">+M46/M7</f>
        <v>5.3822763904841468E-2</v>
      </c>
      <c r="N48" s="64">
        <f t="shared" si="236"/>
        <v>0.10807583538398714</v>
      </c>
      <c r="O48" s="64">
        <f t="shared" si="236"/>
        <v>9.8254686068968797E-2</v>
      </c>
      <c r="P48" s="64">
        <f t="shared" si="236"/>
        <v>0.14463796287418476</v>
      </c>
      <c r="Q48" s="64">
        <f t="shared" si="236"/>
        <v>0.11465589229064742</v>
      </c>
      <c r="R48" s="64">
        <f t="shared" si="236"/>
        <v>0.13046966270018465</v>
      </c>
      <c r="S48" s="64">
        <f t="shared" si="236"/>
        <v>4.5218266741589158E-2</v>
      </c>
      <c r="T48" s="64">
        <f t="shared" ref="T48:V48" si="237">+T46/T7</f>
        <v>6.1836326886747235E-2</v>
      </c>
      <c r="U48" s="64">
        <f t="shared" si="237"/>
        <v>-4.4757093044949669E-4</v>
      </c>
      <c r="V48" s="64">
        <f t="shared" si="237"/>
        <v>3.8198753023993087E-2</v>
      </c>
      <c r="W48" s="64">
        <f t="shared" ref="W48:Z48" si="238">+W46/W7</f>
        <v>-6.1015177042843625E-3</v>
      </c>
      <c r="X48" s="64">
        <f t="shared" si="238"/>
        <v>6.5199888056099373E-2</v>
      </c>
      <c r="Y48" s="64">
        <f t="shared" si="238"/>
        <v>0.11475482325695109</v>
      </c>
      <c r="Z48" s="64">
        <f t="shared" si="238"/>
        <v>7.5212915441885783E-2</v>
      </c>
      <c r="AA48" s="64">
        <f t="shared" ref="AA48:AD48" si="239">+AA46/AA7</f>
        <v>9.3843884338867131E-2</v>
      </c>
      <c r="AB48" s="64">
        <f t="shared" si="239"/>
        <v>8.6024294858287303E-2</v>
      </c>
      <c r="AC48" s="64">
        <f t="shared" si="239"/>
        <v>6.7243738585633983E-2</v>
      </c>
      <c r="AD48" s="64">
        <f t="shared" si="239"/>
        <v>8.2137804064691469E-2</v>
      </c>
      <c r="AE48" s="64">
        <f t="shared" ref="AE48:AH48" si="240">+AE46/AE7</f>
        <v>8.3652960280938438E-2</v>
      </c>
      <c r="AF48" s="64">
        <f t="shared" si="240"/>
        <v>9.8200003542951164E-2</v>
      </c>
      <c r="AG48" s="64">
        <f t="shared" si="240"/>
        <v>0.13395473082094761</v>
      </c>
      <c r="AH48" s="64">
        <f t="shared" si="240"/>
        <v>0.133208284849823</v>
      </c>
      <c r="AI48" s="64">
        <f t="shared" ref="AI48:AK48" si="241">+AI46/AI7</f>
        <v>0.15323074194338238</v>
      </c>
      <c r="AJ48" s="64">
        <f t="shared" si="241"/>
        <v>7.6717230519808555E-2</v>
      </c>
      <c r="AK48" s="64">
        <f t="shared" si="241"/>
        <v>7.7906172562162507E-2</v>
      </c>
      <c r="AN48" s="185"/>
    </row>
    <row r="49" spans="2:40" s="29" customFormat="1" ht="13.5" customHeight="1">
      <c r="B49" s="102"/>
      <c r="C49" s="54"/>
      <c r="D49" s="54"/>
      <c r="E49" s="54"/>
      <c r="F49" s="54"/>
      <c r="G49" s="54"/>
      <c r="H49" s="54"/>
      <c r="I49" s="54"/>
      <c r="J49" s="54"/>
      <c r="K49" s="54"/>
      <c r="L49" s="4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</row>
    <row r="50" spans="2:40" ht="13.5" customHeight="1">
      <c r="B50" s="224" t="s">
        <v>194</v>
      </c>
      <c r="C50" s="224">
        <f t="shared" ref="C50:E50" si="242">C51-C46</f>
        <v>0</v>
      </c>
      <c r="D50" s="224">
        <f t="shared" si="242"/>
        <v>0</v>
      </c>
      <c r="E50" s="224">
        <f t="shared" si="242"/>
        <v>0</v>
      </c>
      <c r="F50" s="224">
        <f t="shared" ref="F50:G50" si="243">F51-F46</f>
        <v>0</v>
      </c>
      <c r="G50" s="224">
        <f t="shared" si="243"/>
        <v>0</v>
      </c>
      <c r="H50" s="224">
        <f t="shared" ref="H50:I50" si="244">H51-H46</f>
        <v>0</v>
      </c>
      <c r="I50" s="224">
        <f t="shared" si="244"/>
        <v>0</v>
      </c>
      <c r="J50" s="224">
        <f t="shared" ref="J50" si="245">J51-J46</f>
        <v>0</v>
      </c>
      <c r="K50" s="224">
        <f>K51-K46</f>
        <v>0</v>
      </c>
      <c r="L50" s="43"/>
      <c r="M50" s="224">
        <f t="shared" ref="M50:R50" si="246">M51-M46</f>
        <v>0</v>
      </c>
      <c r="N50" s="224">
        <f t="shared" si="246"/>
        <v>0</v>
      </c>
      <c r="O50" s="224">
        <f t="shared" si="246"/>
        <v>0</v>
      </c>
      <c r="P50" s="224">
        <f>A50-SUM(M50:O50)</f>
        <v>0</v>
      </c>
      <c r="Q50" s="224">
        <f t="shared" si="246"/>
        <v>0</v>
      </c>
      <c r="R50" s="224">
        <f t="shared" si="246"/>
        <v>0</v>
      </c>
      <c r="S50" s="224">
        <f>S51-S46</f>
        <v>0</v>
      </c>
      <c r="T50" s="224">
        <f>E50-SUM(Q50:S50)</f>
        <v>0</v>
      </c>
      <c r="U50" s="224">
        <f t="shared" ref="U50:V50" si="247">U51-U46</f>
        <v>0</v>
      </c>
      <c r="V50" s="224">
        <f t="shared" si="247"/>
        <v>0</v>
      </c>
      <c r="W50" s="224">
        <f t="shared" ref="W50" si="248">W51-W46</f>
        <v>0</v>
      </c>
      <c r="X50" s="224">
        <f>L50-SUM(U50:W50)</f>
        <v>0</v>
      </c>
      <c r="Y50" s="224">
        <f t="shared" ref="Y50:AA50" si="249">Y51-Y46</f>
        <v>0</v>
      </c>
      <c r="Z50" s="224">
        <f t="shared" si="249"/>
        <v>0</v>
      </c>
      <c r="AA50" s="224">
        <f t="shared" si="249"/>
        <v>0</v>
      </c>
      <c r="AB50" s="224">
        <f>P50-SUM(Y50:AA50)</f>
        <v>0</v>
      </c>
      <c r="AC50" s="224">
        <f t="shared" ref="AC50:AE50" si="250">AC51-AC46</f>
        <v>0</v>
      </c>
      <c r="AD50" s="224">
        <f t="shared" si="250"/>
        <v>0</v>
      </c>
      <c r="AE50" s="224">
        <f t="shared" si="250"/>
        <v>0</v>
      </c>
      <c r="AF50" s="224">
        <f>T50-SUM(AC50:AE50)</f>
        <v>0</v>
      </c>
      <c r="AG50" s="224">
        <f t="shared" ref="AG50:AI50" si="251">AG51-AG46</f>
        <v>0</v>
      </c>
      <c r="AH50" s="224">
        <f t="shared" si="251"/>
        <v>0</v>
      </c>
      <c r="AI50" s="224">
        <f t="shared" si="251"/>
        <v>0</v>
      </c>
      <c r="AJ50" s="224">
        <f>X50-SUM(AG50:AI50)</f>
        <v>0</v>
      </c>
      <c r="AK50" s="224">
        <f t="shared" ref="AK50" si="252">AK51-AK46</f>
        <v>0</v>
      </c>
      <c r="AN50" s="186"/>
    </row>
    <row r="51" spans="2:40" s="19" customFormat="1" ht="13.5" customHeight="1">
      <c r="B51" s="19" t="s">
        <v>195</v>
      </c>
      <c r="C51" s="108">
        <f t="shared" ref="C51:H51" si="253">C46</f>
        <v>1944.6879999999833</v>
      </c>
      <c r="D51" s="108">
        <f t="shared" si="253"/>
        <v>13141.275999999996</v>
      </c>
      <c r="E51" s="108">
        <f t="shared" si="253"/>
        <v>25743.189999999995</v>
      </c>
      <c r="F51" s="108">
        <f t="shared" si="253"/>
        <v>29090.309999999994</v>
      </c>
      <c r="G51" s="108">
        <f t="shared" si="253"/>
        <v>6523.8909999999996</v>
      </c>
      <c r="H51" s="108">
        <f t="shared" si="253"/>
        <v>24844.986999999983</v>
      </c>
      <c r="I51" s="108">
        <f t="shared" ref="I51:J51" si="254">I46</f>
        <v>30821.164999999957</v>
      </c>
      <c r="J51" s="108">
        <f t="shared" si="254"/>
        <v>56657.666999999943</v>
      </c>
      <c r="K51" s="43">
        <f>SUM(AH51:AK51)</f>
        <v>49473.141999999956</v>
      </c>
      <c r="L51" s="43"/>
      <c r="M51" s="108">
        <f t="shared" ref="M51:S51" si="255">M46</f>
        <v>2675.1080000000029</v>
      </c>
      <c r="N51" s="108">
        <f t="shared" si="255"/>
        <v>5786.1430000000037</v>
      </c>
      <c r="O51" s="108">
        <f t="shared" si="255"/>
        <v>7090.3310000000019</v>
      </c>
      <c r="P51" s="108">
        <f t="shared" si="255"/>
        <v>10191.607999999986</v>
      </c>
      <c r="Q51" s="108">
        <f t="shared" si="255"/>
        <v>8814.9929999999986</v>
      </c>
      <c r="R51" s="108">
        <f t="shared" si="255"/>
        <v>11453.796000000002</v>
      </c>
      <c r="S51" s="108">
        <f t="shared" si="255"/>
        <v>3529.866999999997</v>
      </c>
      <c r="T51" s="108">
        <f t="shared" ref="T51:V51" si="256">T46</f>
        <v>5291.6539999999859</v>
      </c>
      <c r="U51" s="108">
        <f t="shared" si="256"/>
        <v>-32.830000000008113</v>
      </c>
      <c r="V51" s="108">
        <f t="shared" si="256"/>
        <v>2680.4399999999969</v>
      </c>
      <c r="W51" s="108">
        <f t="shared" ref="W51:X51" si="257">W46</f>
        <v>-429.99999999999864</v>
      </c>
      <c r="X51" s="108">
        <f t="shared" si="257"/>
        <v>4306.2810000000009</v>
      </c>
      <c r="Y51" s="108">
        <f>Y46</f>
        <v>6825.2879999999959</v>
      </c>
      <c r="Z51" s="108">
        <f t="shared" ref="Z51:AB51" si="258">Z46</f>
        <v>5065.9589999999962</v>
      </c>
      <c r="AA51" s="108">
        <f t="shared" si="258"/>
        <v>6653.0069999999942</v>
      </c>
      <c r="AB51" s="108">
        <f t="shared" si="258"/>
        <v>6300.7330000000165</v>
      </c>
      <c r="AC51" s="108">
        <f>AC46</f>
        <v>5077.3609999999971</v>
      </c>
      <c r="AD51" s="108">
        <f t="shared" ref="AD51:AF51" si="259">AD46</f>
        <v>7301.0509999999958</v>
      </c>
      <c r="AE51" s="108">
        <f t="shared" si="259"/>
        <v>7738.4460000000026</v>
      </c>
      <c r="AF51" s="108">
        <f t="shared" si="259"/>
        <v>10704.306999999953</v>
      </c>
      <c r="AG51" s="108">
        <f>AG46</f>
        <v>14908.269000000008</v>
      </c>
      <c r="AH51" s="108">
        <f t="shared" ref="AH51:AJ51" si="260">AH46</f>
        <v>15446.311999999998</v>
      </c>
      <c r="AI51" s="108">
        <f t="shared" si="260"/>
        <v>17333.574000000001</v>
      </c>
      <c r="AJ51" s="108">
        <f t="shared" si="260"/>
        <v>8969.511999999957</v>
      </c>
      <c r="AK51" s="108">
        <f>AK46</f>
        <v>7723.743999999997</v>
      </c>
      <c r="AN51" s="187"/>
    </row>
    <row r="52" spans="2:40" s="29" customFormat="1" ht="13.5" customHeight="1">
      <c r="B52" s="34" t="s">
        <v>193</v>
      </c>
      <c r="C52" s="64"/>
      <c r="D52" s="64">
        <f t="shared" ref="D52:J52" si="261">+D51/C51-1</f>
        <v>5.7575240861259536</v>
      </c>
      <c r="E52" s="64">
        <f t="shared" si="261"/>
        <v>0.95895664926297886</v>
      </c>
      <c r="F52" s="64">
        <f t="shared" si="261"/>
        <v>0.13001962849204007</v>
      </c>
      <c r="G52" s="64">
        <f t="shared" si="261"/>
        <v>-0.77573662845119218</v>
      </c>
      <c r="H52" s="64">
        <f t="shared" si="261"/>
        <v>2.8083081093782813</v>
      </c>
      <c r="I52" s="64">
        <f t="shared" si="261"/>
        <v>0.24053858430273989</v>
      </c>
      <c r="J52" s="64">
        <f t="shared" si="261"/>
        <v>0.83827142809170319</v>
      </c>
      <c r="K52" s="64"/>
      <c r="L52" s="55"/>
      <c r="M52" s="64"/>
      <c r="N52" s="64"/>
      <c r="O52" s="64"/>
      <c r="P52" s="64"/>
      <c r="Q52" s="64">
        <f>Q51/M51-1</f>
        <v>2.2951914464761756</v>
      </c>
      <c r="R52" s="64">
        <f>R51/N51-1</f>
        <v>0.97952176432556115</v>
      </c>
      <c r="S52" s="64">
        <f>S51/O51-1</f>
        <v>-0.50215765667357481</v>
      </c>
      <c r="T52" s="64"/>
      <c r="U52" s="64">
        <f t="shared" ref="U52:AK52" si="262">U51/Q51-1</f>
        <v>-1.0037243364799051</v>
      </c>
      <c r="V52" s="64">
        <f t="shared" si="262"/>
        <v>-0.76597802160960471</v>
      </c>
      <c r="W52" s="64">
        <f t="shared" si="262"/>
        <v>-1.1218176208905319</v>
      </c>
      <c r="X52" s="64">
        <f t="shared" si="262"/>
        <v>-0.18621266620984434</v>
      </c>
      <c r="Y52" s="64">
        <f t="shared" si="262"/>
        <v>-208.89789826373163</v>
      </c>
      <c r="Z52" s="64">
        <f t="shared" si="262"/>
        <v>0.88997291489457031</v>
      </c>
      <c r="AA52" s="64">
        <f t="shared" si="262"/>
        <v>-16.472109302325617</v>
      </c>
      <c r="AB52" s="64">
        <f t="shared" si="262"/>
        <v>0.46314952507744267</v>
      </c>
      <c r="AC52" s="64">
        <f t="shared" si="262"/>
        <v>-0.25609571347025939</v>
      </c>
      <c r="AD52" s="64">
        <f t="shared" si="262"/>
        <v>0.44119820156460032</v>
      </c>
      <c r="AE52" s="64">
        <f t="shared" si="262"/>
        <v>0.16315013647212595</v>
      </c>
      <c r="AF52" s="64">
        <f t="shared" si="262"/>
        <v>0.69889868369282193</v>
      </c>
      <c r="AG52" s="64">
        <f t="shared" si="262"/>
        <v>1.9362239557124292</v>
      </c>
      <c r="AH52" s="64">
        <f t="shared" si="262"/>
        <v>1.1156285581349872</v>
      </c>
      <c r="AI52" s="64">
        <f t="shared" si="262"/>
        <v>1.2399295672542001</v>
      </c>
      <c r="AJ52" s="64">
        <f t="shared" si="262"/>
        <v>-0.1620651388268296</v>
      </c>
      <c r="AK52" s="64">
        <f t="shared" si="262"/>
        <v>-0.48191543900904976</v>
      </c>
    </row>
    <row r="53" spans="2:40" s="29" customFormat="1" ht="13.5" customHeight="1">
      <c r="B53" s="34" t="s">
        <v>183</v>
      </c>
      <c r="C53" s="64">
        <f t="shared" ref="C53:G53" si="263">+C51/C7</f>
        <v>1.1117875967771187E-2</v>
      </c>
      <c r="D53" s="64">
        <f t="shared" si="263"/>
        <v>6.3842596893425488E-2</v>
      </c>
      <c r="E53" s="64">
        <f t="shared" si="263"/>
        <v>0.10470430407815473</v>
      </c>
      <c r="F53" s="64">
        <f t="shared" si="263"/>
        <v>8.8606456576163881E-2</v>
      </c>
      <c r="G53" s="64">
        <f t="shared" si="263"/>
        <v>2.3295948591167182E-2</v>
      </c>
      <c r="H53" s="64">
        <f t="shared" ref="H53:I53" si="264">+H51/H7</f>
        <v>9.1689035063278149E-2</v>
      </c>
      <c r="I53" s="64">
        <f t="shared" si="264"/>
        <v>8.4232386237625995E-2</v>
      </c>
      <c r="J53" s="64">
        <f t="shared" ref="J53" si="265">+J51/J7</f>
        <v>0.1238996642821573</v>
      </c>
      <c r="K53" s="64">
        <f t="shared" ref="K53" si="266">+K51/K7</f>
        <v>0.11114189078940201</v>
      </c>
      <c r="L53" s="55"/>
      <c r="M53" s="64">
        <f t="shared" ref="M53:S53" si="267">+M51/M7</f>
        <v>5.3822763904841468E-2</v>
      </c>
      <c r="N53" s="64">
        <f t="shared" si="267"/>
        <v>0.10807583538398714</v>
      </c>
      <c r="O53" s="64">
        <f t="shared" si="267"/>
        <v>9.8254686068968797E-2</v>
      </c>
      <c r="P53" s="64">
        <f t="shared" si="267"/>
        <v>0.14463796287418476</v>
      </c>
      <c r="Q53" s="64">
        <f t="shared" si="267"/>
        <v>0.11465589229064742</v>
      </c>
      <c r="R53" s="64">
        <f t="shared" si="267"/>
        <v>0.13046966270018465</v>
      </c>
      <c r="S53" s="64">
        <f t="shared" si="267"/>
        <v>4.5218266741589158E-2</v>
      </c>
      <c r="T53" s="64">
        <f t="shared" ref="T53:V53" si="268">+T51/T7</f>
        <v>6.1836326886747235E-2</v>
      </c>
      <c r="U53" s="64">
        <f t="shared" si="268"/>
        <v>-4.4757093044949669E-4</v>
      </c>
      <c r="V53" s="64">
        <f t="shared" si="268"/>
        <v>3.8198753023993087E-2</v>
      </c>
      <c r="W53" s="64">
        <f t="shared" ref="W53:Z53" si="269">+W51/W7</f>
        <v>-6.1015177042843625E-3</v>
      </c>
      <c r="X53" s="64">
        <f t="shared" si="269"/>
        <v>6.5199888056099373E-2</v>
      </c>
      <c r="Y53" s="64">
        <f t="shared" si="269"/>
        <v>0.11475482325695109</v>
      </c>
      <c r="Z53" s="64">
        <f t="shared" si="269"/>
        <v>7.5212915441885783E-2</v>
      </c>
      <c r="AA53" s="64">
        <f t="shared" ref="AA53:AD53" si="270">+AA51/AA7</f>
        <v>9.3843884338867131E-2</v>
      </c>
      <c r="AB53" s="64">
        <f t="shared" si="270"/>
        <v>8.6024294858287303E-2</v>
      </c>
      <c r="AC53" s="64">
        <f t="shared" si="270"/>
        <v>6.7243738585633983E-2</v>
      </c>
      <c r="AD53" s="64">
        <f t="shared" si="270"/>
        <v>8.2137804064691469E-2</v>
      </c>
      <c r="AE53" s="64">
        <f t="shared" ref="AE53:AH53" si="271">+AE51/AE7</f>
        <v>8.3652960280938438E-2</v>
      </c>
      <c r="AF53" s="64">
        <f t="shared" si="271"/>
        <v>9.8200003542951164E-2</v>
      </c>
      <c r="AG53" s="64">
        <f t="shared" si="271"/>
        <v>0.13395473082094761</v>
      </c>
      <c r="AH53" s="64">
        <f t="shared" si="271"/>
        <v>0.133208284849823</v>
      </c>
      <c r="AI53" s="64">
        <f t="shared" ref="AI53:AK53" si="272">+AI51/AI7</f>
        <v>0.15323074194338238</v>
      </c>
      <c r="AJ53" s="64">
        <f t="shared" si="272"/>
        <v>7.6717230519808555E-2</v>
      </c>
      <c r="AK53" s="64">
        <f t="shared" si="272"/>
        <v>7.7906172562162507E-2</v>
      </c>
    </row>
    <row r="54" spans="2:40" s="29" customFormat="1" ht="13.5" customHeight="1">
      <c r="B54" s="102"/>
      <c r="C54" s="54"/>
      <c r="D54" s="54"/>
      <c r="E54" s="54"/>
      <c r="F54" s="54"/>
      <c r="G54" s="54"/>
      <c r="H54" s="54"/>
      <c r="I54" s="54"/>
      <c r="J54" s="54"/>
      <c r="K54" s="54"/>
      <c r="L54" s="55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</row>
    <row r="55" spans="2:40" s="29" customFormat="1" ht="13.5" customHeight="1">
      <c r="B55" s="34" t="s">
        <v>196</v>
      </c>
      <c r="C55" s="64">
        <f t="shared" ref="C55:G55" si="273">-C65/C7</f>
        <v>1.3504926738165017E-3</v>
      </c>
      <c r="D55" s="64">
        <f t="shared" si="273"/>
        <v>1.6213803778630877E-2</v>
      </c>
      <c r="E55" s="64">
        <f t="shared" si="273"/>
        <v>1.2048999951123709E-2</v>
      </c>
      <c r="F55" s="64">
        <f t="shared" si="273"/>
        <v>2.1729361209234667E-2</v>
      </c>
      <c r="G55" s="64">
        <f t="shared" si="273"/>
        <v>2.0647597054885829E-2</v>
      </c>
      <c r="H55" s="64">
        <f t="shared" ref="H55:I55" si="274">-H65/H7</f>
        <v>2.2866238747374711E-2</v>
      </c>
      <c r="I55" s="64">
        <f t="shared" si="274"/>
        <v>1.8963374098317783E-2</v>
      </c>
      <c r="J55" s="64">
        <f t="shared" ref="J55" si="275">-J65/J7</f>
        <v>2.7895802267254723E-2</v>
      </c>
      <c r="K55" s="64">
        <f t="shared" ref="K55" si="276">-K65/K7</f>
        <v>0</v>
      </c>
      <c r="L55" s="55"/>
      <c r="M55" s="64"/>
      <c r="N55" s="64">
        <f t="shared" ref="N55:R55" si="277">-N65/N7</f>
        <v>2.1010760527070547E-2</v>
      </c>
      <c r="O55" s="64"/>
      <c r="P55" s="64">
        <f t="shared" si="277"/>
        <v>2.6078481261141682E-2</v>
      </c>
      <c r="Q55" s="64"/>
      <c r="R55" s="64">
        <f t="shared" si="277"/>
        <v>2.0749921174598718E-2</v>
      </c>
      <c r="S55" s="64"/>
      <c r="T55" s="64">
        <f t="shared" ref="T55" si="278">-T65/T7</f>
        <v>6.2077985778280748E-2</v>
      </c>
      <c r="U55" s="64"/>
      <c r="V55" s="64">
        <f t="shared" ref="V55" si="279">-V65/V7</f>
        <v>3.851557961859306E-2</v>
      </c>
      <c r="W55" s="64"/>
      <c r="X55" s="64"/>
      <c r="Y55" s="64"/>
      <c r="Z55" s="64">
        <f t="shared" ref="Z55:AB55" si="280">-Z65/Z7</f>
        <v>5.4354242455501543E-2</v>
      </c>
      <c r="AA55" s="64"/>
      <c r="AB55" s="64">
        <f t="shared" si="280"/>
        <v>3.461108421609705E-2</v>
      </c>
      <c r="AC55" s="64"/>
      <c r="AD55" s="64">
        <f t="shared" ref="AD55" si="281">-AD65/AD7</f>
        <v>2.2653236616379017E-2</v>
      </c>
      <c r="AE55" s="64"/>
      <c r="AF55" s="64">
        <f t="shared" ref="AF55" si="282">-AF65/AF7</f>
        <v>4.5183384393760677E-2</v>
      </c>
      <c r="AG55" s="64"/>
      <c r="AH55" s="64">
        <f t="shared" ref="AH55" si="283">-AH65/AH7</f>
        <v>4.3795077569491365E-2</v>
      </c>
      <c r="AI55" s="64"/>
      <c r="AJ55" s="64">
        <f t="shared" ref="AJ55" si="284">-AJ65/AJ7</f>
        <v>6.5671409580467799E-2</v>
      </c>
      <c r="AK55" s="64"/>
    </row>
    <row r="56" spans="2:40" s="29" customFormat="1" ht="13.5" customHeight="1">
      <c r="B56" s="34" t="s">
        <v>197</v>
      </c>
      <c r="C56" s="64">
        <f t="shared" ref="C56:G56" si="285">C61/C7</f>
        <v>-2.045899039492944E-2</v>
      </c>
      <c r="D56" s="64">
        <f t="shared" si="285"/>
        <v>2.571641514883E-2</v>
      </c>
      <c r="E56" s="64">
        <f t="shared" si="285"/>
        <v>-2.2507562087784757E-2</v>
      </c>
      <c r="F56" s="64">
        <f t="shared" si="285"/>
        <v>-5.7381776556970417E-2</v>
      </c>
      <c r="G56" s="64">
        <f t="shared" si="285"/>
        <v>-7.7189305126948327E-2</v>
      </c>
      <c r="H56" s="64">
        <f t="shared" ref="H56:I56" si="286">H61/H7</f>
        <v>-3.9216909909986379E-2</v>
      </c>
      <c r="I56" s="64">
        <f t="shared" si="286"/>
        <v>0.14166828206178986</v>
      </c>
      <c r="J56" s="64">
        <f t="shared" ref="J56" si="287">J61/J7</f>
        <v>-3.0358207213672935E-2</v>
      </c>
      <c r="K56" s="64">
        <f t="shared" ref="K56" si="288">K61/K7</f>
        <v>0</v>
      </c>
      <c r="L56" s="55"/>
      <c r="M56" s="64"/>
      <c r="N56" s="64">
        <f t="shared" ref="N56:R56" si="289">N61/N7</f>
        <v>0</v>
      </c>
      <c r="O56" s="64"/>
      <c r="P56" s="64">
        <f t="shared" si="289"/>
        <v>-7.8535474080226431E-2</v>
      </c>
      <c r="Q56" s="64"/>
      <c r="R56" s="64">
        <f t="shared" si="289"/>
        <v>0</v>
      </c>
      <c r="S56" s="64"/>
      <c r="T56" s="64">
        <f t="shared" ref="T56" si="290">T61/T7</f>
        <v>-0.2201451970289465</v>
      </c>
      <c r="U56" s="64"/>
      <c r="V56" s="64">
        <f t="shared" ref="V56" si="291">V61/V7</f>
        <v>0</v>
      </c>
      <c r="W56" s="64"/>
      <c r="X56" s="64"/>
      <c r="Y56" s="64"/>
      <c r="Z56" s="64">
        <f t="shared" ref="Z56:AB56" si="292">Z61/Z7</f>
        <v>0</v>
      </c>
      <c r="AA56" s="64"/>
      <c r="AB56" s="64">
        <f t="shared" si="292"/>
        <v>-0.14508575938450685</v>
      </c>
      <c r="AC56" s="64"/>
      <c r="AD56" s="64">
        <f t="shared" ref="AD56" si="293">AD61/AD7</f>
        <v>0</v>
      </c>
      <c r="AE56" s="64"/>
      <c r="AF56" s="64">
        <f t="shared" ref="AF56" si="294">AF61/AF7</f>
        <v>0.47554927193858787</v>
      </c>
      <c r="AG56" s="64"/>
      <c r="AH56" s="64">
        <f t="shared" ref="AH56" si="295">AH61/AH7</f>
        <v>0</v>
      </c>
      <c r="AI56" s="64"/>
      <c r="AJ56" s="64">
        <f t="shared" ref="AJ56" si="296">AJ61/AJ7</f>
        <v>-0.11873774045200199</v>
      </c>
      <c r="AK56" s="64"/>
    </row>
    <row r="57" spans="2:40" s="29" customFormat="1" ht="13.5" customHeight="1">
      <c r="B57" s="102"/>
      <c r="C57" s="54"/>
      <c r="D57" s="54"/>
      <c r="E57" s="54"/>
      <c r="F57" s="54"/>
      <c r="G57" s="54"/>
      <c r="H57" s="54"/>
      <c r="I57" s="54"/>
    </row>
    <row r="58" spans="2:40" ht="13.5" customHeight="1">
      <c r="C58" s="65"/>
      <c r="D58" s="65"/>
      <c r="E58" s="65"/>
      <c r="F58" s="65"/>
      <c r="G58" s="65"/>
      <c r="H58" s="65"/>
      <c r="I58" s="65"/>
      <c r="J58" s="65"/>
      <c r="K58" s="57"/>
      <c r="L58" s="57"/>
      <c r="M58" s="51"/>
      <c r="N58" s="182" t="s">
        <v>198</v>
      </c>
      <c r="O58" s="43"/>
      <c r="P58" s="183" t="s">
        <v>199</v>
      </c>
      <c r="Q58" s="43"/>
      <c r="R58" s="183" t="s">
        <v>198</v>
      </c>
      <c r="S58" s="43"/>
      <c r="T58" s="183" t="s">
        <v>199</v>
      </c>
      <c r="U58" s="43"/>
      <c r="V58" s="183" t="s">
        <v>198</v>
      </c>
      <c r="W58" s="43"/>
      <c r="X58" s="183" t="s">
        <v>199</v>
      </c>
      <c r="Y58" s="43"/>
      <c r="Z58" s="183" t="s">
        <v>198</v>
      </c>
      <c r="AA58" s="182"/>
      <c r="AB58" s="183" t="s">
        <v>199</v>
      </c>
      <c r="AC58" s="182"/>
      <c r="AD58" s="226" t="s">
        <v>198</v>
      </c>
      <c r="AE58" s="51"/>
      <c r="AF58" s="226" t="s">
        <v>199</v>
      </c>
      <c r="AG58" s="182"/>
      <c r="AH58" s="226" t="s">
        <v>198</v>
      </c>
      <c r="AI58" s="51"/>
      <c r="AJ58" s="226" t="s">
        <v>199</v>
      </c>
      <c r="AK58" s="182"/>
    </row>
    <row r="59" spans="2:40" ht="13.5" customHeight="1">
      <c r="B59" s="39" t="s">
        <v>200</v>
      </c>
      <c r="C59" s="44">
        <f t="shared" ref="C59:H59" si="297">C3</f>
        <v>43465</v>
      </c>
      <c r="D59" s="44">
        <f t="shared" si="297"/>
        <v>43830</v>
      </c>
      <c r="E59" s="44">
        <f t="shared" si="297"/>
        <v>44196</v>
      </c>
      <c r="F59" s="44">
        <f t="shared" si="297"/>
        <v>44561</v>
      </c>
      <c r="G59" s="44">
        <f t="shared" si="297"/>
        <v>44926</v>
      </c>
      <c r="H59" s="44">
        <f t="shared" si="297"/>
        <v>45291</v>
      </c>
      <c r="I59" s="44">
        <f t="shared" ref="I59:J59" si="298">I3</f>
        <v>45657</v>
      </c>
      <c r="J59" s="44">
        <f t="shared" si="298"/>
        <v>46022</v>
      </c>
      <c r="K59" s="44" t="str">
        <f>K2</f>
        <v>LTM</v>
      </c>
      <c r="L59" s="204"/>
      <c r="M59" s="44">
        <f t="shared" ref="M59:S59" si="299">M3</f>
        <v>43921</v>
      </c>
      <c r="N59" s="44">
        <f t="shared" si="299"/>
        <v>44012</v>
      </c>
      <c r="O59" s="44">
        <f t="shared" si="299"/>
        <v>44104</v>
      </c>
      <c r="P59" s="44">
        <f t="shared" si="299"/>
        <v>44196</v>
      </c>
      <c r="Q59" s="44">
        <f t="shared" si="299"/>
        <v>44286</v>
      </c>
      <c r="R59" s="44">
        <f t="shared" si="299"/>
        <v>44377</v>
      </c>
      <c r="S59" s="44">
        <f t="shared" si="299"/>
        <v>44469</v>
      </c>
      <c r="T59" s="44">
        <f t="shared" ref="T59:V59" si="300">T3</f>
        <v>44561</v>
      </c>
      <c r="U59" s="44">
        <f t="shared" si="300"/>
        <v>44651</v>
      </c>
      <c r="V59" s="44">
        <f t="shared" si="300"/>
        <v>44742</v>
      </c>
      <c r="W59" s="44">
        <f t="shared" ref="W59:Z59" si="301">W3</f>
        <v>44834</v>
      </c>
      <c r="X59" s="44">
        <f t="shared" si="301"/>
        <v>44926</v>
      </c>
      <c r="Y59" s="44">
        <f t="shared" si="301"/>
        <v>45016</v>
      </c>
      <c r="Z59" s="44">
        <f t="shared" si="301"/>
        <v>45107</v>
      </c>
      <c r="AA59" s="44">
        <f t="shared" ref="AA59:AD59" si="302">AA3</f>
        <v>45199</v>
      </c>
      <c r="AB59" s="44">
        <f t="shared" si="302"/>
        <v>45291</v>
      </c>
      <c r="AC59" s="44">
        <f t="shared" si="302"/>
        <v>45382</v>
      </c>
      <c r="AD59" s="44">
        <f t="shared" si="302"/>
        <v>45473</v>
      </c>
      <c r="AE59" s="44">
        <f t="shared" ref="AE59:AH59" si="303">AE3</f>
        <v>45565</v>
      </c>
      <c r="AF59" s="44">
        <f t="shared" si="303"/>
        <v>45657</v>
      </c>
      <c r="AG59" s="44">
        <f t="shared" si="303"/>
        <v>45747</v>
      </c>
      <c r="AH59" s="44">
        <f t="shared" si="303"/>
        <v>45838</v>
      </c>
      <c r="AI59" s="44">
        <f t="shared" ref="AI59:AK59" si="304">AI3</f>
        <v>45930</v>
      </c>
      <c r="AJ59" s="44">
        <f t="shared" si="304"/>
        <v>46022</v>
      </c>
      <c r="AK59" s="44">
        <f t="shared" si="304"/>
        <v>46112</v>
      </c>
    </row>
    <row r="60" spans="2:40" s="19" customFormat="1" ht="13.5" customHeight="1">
      <c r="B60" s="19" t="s">
        <v>195</v>
      </c>
      <c r="C60" s="43">
        <f t="shared" ref="C60:E60" si="305">C51</f>
        <v>1944.6879999999833</v>
      </c>
      <c r="D60" s="43">
        <f t="shared" si="305"/>
        <v>13141.275999999996</v>
      </c>
      <c r="E60" s="43">
        <f t="shared" si="305"/>
        <v>25743.189999999995</v>
      </c>
      <c r="F60" s="43">
        <f t="shared" ref="F60" si="306">F51</f>
        <v>29090.309999999994</v>
      </c>
      <c r="G60" s="43">
        <f t="shared" ref="G60:I60" si="307">G51</f>
        <v>6523.8909999999996</v>
      </c>
      <c r="H60" s="43">
        <f t="shared" si="307"/>
        <v>24844.986999999983</v>
      </c>
      <c r="I60" s="43">
        <f t="shared" si="307"/>
        <v>30821.164999999957</v>
      </c>
      <c r="J60" s="43">
        <f t="shared" ref="J60:K60" si="308">J51</f>
        <v>56657.666999999943</v>
      </c>
      <c r="K60" s="43">
        <f t="shared" si="308"/>
        <v>49473.141999999956</v>
      </c>
      <c r="L60" s="43"/>
      <c r="M60" s="43"/>
      <c r="N60" s="43">
        <f>N46+M46</f>
        <v>8461.2510000000075</v>
      </c>
      <c r="O60" s="43"/>
      <c r="P60" s="43">
        <f>E60-SUM(M60:O60)</f>
        <v>17281.938999999988</v>
      </c>
      <c r="Q60" s="164"/>
      <c r="R60" s="43">
        <f>R46+Q46</f>
        <v>20268.789000000001</v>
      </c>
      <c r="S60" s="164"/>
      <c r="T60" s="43">
        <f>F60-SUM(Q60:S60)</f>
        <v>8821.5209999999934</v>
      </c>
      <c r="U60" s="43"/>
      <c r="V60" s="43">
        <f>V46+U46</f>
        <v>2647.6099999999888</v>
      </c>
      <c r="W60" s="164"/>
      <c r="X60" s="43">
        <f>G60-SUM(U60:W60)</f>
        <v>3876.2810000000109</v>
      </c>
      <c r="Y60" s="164"/>
      <c r="Z60" s="43">
        <f>Z46+Y46</f>
        <v>11891.246999999992</v>
      </c>
      <c r="AA60" s="164"/>
      <c r="AB60" s="43">
        <f>H60-SUM(Y60:AA60)</f>
        <v>12953.739999999991</v>
      </c>
      <c r="AC60" s="227"/>
      <c r="AD60" s="43">
        <f>AD46+AC46</f>
        <v>12378.411999999993</v>
      </c>
      <c r="AE60" s="227"/>
      <c r="AF60" s="43">
        <f>AF46+AE46</f>
        <v>18442.752999999957</v>
      </c>
      <c r="AG60" s="227"/>
      <c r="AH60" s="43">
        <f>AH46+AG46</f>
        <v>30354.581000000006</v>
      </c>
      <c r="AI60" s="227"/>
      <c r="AJ60" s="43">
        <f>AJ46+AI46</f>
        <v>26303.085999999959</v>
      </c>
      <c r="AK60" s="227"/>
    </row>
    <row r="61" spans="2:40" ht="13.5" customHeight="1">
      <c r="B61" s="62" t="s">
        <v>201</v>
      </c>
      <c r="C61" s="51">
        <f>-16114.975-91.003+12627.385</f>
        <v>-3578.5930000000008</v>
      </c>
      <c r="D61" s="51">
        <f>-6964.428-1276.714+13534.575</f>
        <v>5293.4330000000009</v>
      </c>
      <c r="E61" s="51">
        <f>-11602.421-4272.814+10341.399</f>
        <v>-5533.8360000000011</v>
      </c>
      <c r="F61" s="51">
        <f>-13746.697-7548.686+2456.421</f>
        <v>-18838.962000000003</v>
      </c>
      <c r="G61" s="51">
        <f>-5448.99+4346.873-20514.286</f>
        <v>-21616.402999999998</v>
      </c>
      <c r="H61" s="51">
        <f>2173.795-1652.782-11147.623</f>
        <v>-10626.609999999999</v>
      </c>
      <c r="I61" s="51">
        <f>(24131971-8387158+36092511)/1000</f>
        <v>51837.324000000001</v>
      </c>
      <c r="J61" s="51">
        <f>-26065.762+257.988+11925.37</f>
        <v>-13882.403999999997</v>
      </c>
      <c r="K61" s="87"/>
      <c r="L61" s="7"/>
      <c r="M61" s="7"/>
      <c r="N61" s="51"/>
      <c r="O61" s="7"/>
      <c r="P61" s="7">
        <f>E61-SUM(M61:O61)</f>
        <v>-5533.8360000000011</v>
      </c>
      <c r="Q61" s="162"/>
      <c r="R61" s="51"/>
      <c r="S61" s="162"/>
      <c r="T61" s="7">
        <f>F61-SUM(Q61:S61)</f>
        <v>-18838.962000000003</v>
      </c>
      <c r="U61" s="7"/>
      <c r="V61" s="51"/>
      <c r="W61" s="109"/>
      <c r="X61" s="7">
        <f>G61-SUM(U61:W61)</f>
        <v>-21616.402999999998</v>
      </c>
      <c r="Y61" s="162"/>
      <c r="Z61" s="51"/>
      <c r="AA61" s="109"/>
      <c r="AB61" s="7">
        <f>H61-SUM(Y61:AA61)</f>
        <v>-10626.609999999999</v>
      </c>
      <c r="AC61" s="87"/>
      <c r="AD61" s="51"/>
      <c r="AE61" s="229"/>
      <c r="AF61" s="7">
        <f>I61-SUM(AC61:AE61)</f>
        <v>51837.324000000001</v>
      </c>
      <c r="AG61" s="87"/>
      <c r="AH61" s="51"/>
      <c r="AI61" s="229"/>
      <c r="AJ61" s="7">
        <f>J61-SUM(AG61:AI61)</f>
        <v>-13882.403999999997</v>
      </c>
      <c r="AK61" s="87"/>
    </row>
    <row r="62" spans="2:40" ht="13.5" customHeight="1">
      <c r="B62" s="62" t="s">
        <v>202</v>
      </c>
      <c r="C62" s="51">
        <v>-1536.742</v>
      </c>
      <c r="D62" s="51">
        <v>-2141.8850000000002</v>
      </c>
      <c r="E62" s="51">
        <v>-1953.3019999999999</v>
      </c>
      <c r="F62" s="51">
        <v>-2442.4949999999999</v>
      </c>
      <c r="G62" s="51">
        <v>-3420.277</v>
      </c>
      <c r="H62" s="51">
        <v>-3011.748</v>
      </c>
      <c r="I62" s="51">
        <v>-3467.2179999999998</v>
      </c>
      <c r="J62" s="51">
        <v>-4671.5879999999997</v>
      </c>
      <c r="K62" s="87"/>
      <c r="L62" s="7"/>
      <c r="M62" s="7"/>
      <c r="N62" s="51">
        <v>-1333.394</v>
      </c>
      <c r="O62" s="7"/>
      <c r="P62" s="7">
        <f>E62-SUM(M62:O62)</f>
        <v>-619.9079999999999</v>
      </c>
      <c r="Q62" s="162"/>
      <c r="R62" s="51">
        <v>-1249.124</v>
      </c>
      <c r="S62" s="162"/>
      <c r="T62" s="7">
        <f>F62-SUM(Q62:S62)</f>
        <v>-1193.3709999999999</v>
      </c>
      <c r="U62" s="7"/>
      <c r="V62" s="51">
        <f>-1913.099</f>
        <v>-1913.0989999999999</v>
      </c>
      <c r="W62" s="109"/>
      <c r="X62" s="7">
        <f>G62-SUM(U62:W62)</f>
        <v>-1507.1780000000001</v>
      </c>
      <c r="Y62" s="162"/>
      <c r="Z62" s="51">
        <v>-1268.5229999999999</v>
      </c>
      <c r="AA62" s="109"/>
      <c r="AB62" s="7">
        <f>H62-SUM(Y62:AA62)</f>
        <v>-1743.2250000000001</v>
      </c>
      <c r="AC62" s="87"/>
      <c r="AD62" s="51">
        <v>-2491.299</v>
      </c>
      <c r="AE62" s="229"/>
      <c r="AF62" s="7">
        <f t="shared" ref="AF62:AF63" si="309">I62-SUM(AC62:AE62)</f>
        <v>-975.91899999999987</v>
      </c>
      <c r="AG62" s="87"/>
      <c r="AH62" s="51">
        <v>-3953.7730000000001</v>
      </c>
      <c r="AI62" s="229"/>
      <c r="AJ62" s="7">
        <f t="shared" ref="AJ62:AJ76" si="310">J62-SUM(AG62:AI62)</f>
        <v>-717.8149999999996</v>
      </c>
      <c r="AK62" s="87"/>
    </row>
    <row r="63" spans="2:40" ht="13.5" customHeight="1">
      <c r="B63" s="62" t="s">
        <v>203</v>
      </c>
      <c r="C63" s="51">
        <v>-243.96600000000001</v>
      </c>
      <c r="D63" s="51">
        <v>-218.994</v>
      </c>
      <c r="E63" s="51">
        <v>-499.71100000000001</v>
      </c>
      <c r="F63" s="51">
        <v>-659.98699999999997</v>
      </c>
      <c r="G63" s="51">
        <v>-1020.229</v>
      </c>
      <c r="H63" s="51">
        <v>-758.13699999999994</v>
      </c>
      <c r="I63" s="51">
        <v>-717.22299999999996</v>
      </c>
      <c r="J63" s="51">
        <v>-774.76</v>
      </c>
      <c r="K63" s="87"/>
      <c r="L63" s="7"/>
      <c r="M63" s="7"/>
      <c r="N63" s="51">
        <v>-164.006</v>
      </c>
      <c r="O63" s="7"/>
      <c r="P63" s="7">
        <f>E63-SUM(M63:O63)</f>
        <v>-335.70500000000004</v>
      </c>
      <c r="Q63" s="162"/>
      <c r="R63" s="51">
        <v>-282.834</v>
      </c>
      <c r="S63" s="162"/>
      <c r="T63" s="7">
        <f>F63-SUM(Q63:S63)</f>
        <v>-377.15299999999996</v>
      </c>
      <c r="U63" s="7"/>
      <c r="V63" s="51">
        <v>-458.19200000000001</v>
      </c>
      <c r="W63" s="109"/>
      <c r="X63" s="7">
        <f>G63-SUM(U63:W63)</f>
        <v>-562.03700000000003</v>
      </c>
      <c r="Y63" s="162"/>
      <c r="Z63" s="51">
        <v>-321.85599999999999</v>
      </c>
      <c r="AA63" s="109"/>
      <c r="AB63" s="7">
        <f>H63-SUM(Y63:AA63)</f>
        <v>-436.28099999999995</v>
      </c>
      <c r="AC63" s="87"/>
      <c r="AD63" s="51">
        <v>-348.935</v>
      </c>
      <c r="AE63" s="229"/>
      <c r="AF63" s="7">
        <f t="shared" si="309"/>
        <v>-368.28799999999995</v>
      </c>
      <c r="AG63" s="87"/>
      <c r="AH63" s="51">
        <v>-387.82</v>
      </c>
      <c r="AI63" s="229"/>
      <c r="AJ63" s="7">
        <f t="shared" si="310"/>
        <v>-386.94</v>
      </c>
      <c r="AK63" s="87"/>
    </row>
    <row r="64" spans="2:40" s="19" customFormat="1" ht="13.5" customHeight="1">
      <c r="B64" s="19" t="s">
        <v>204</v>
      </c>
      <c r="C64" s="63">
        <f t="shared" ref="C64:D64" si="311">SUM(C60:C63)</f>
        <v>-3414.6130000000171</v>
      </c>
      <c r="D64" s="63">
        <f t="shared" si="311"/>
        <v>16073.829999999994</v>
      </c>
      <c r="E64" s="63">
        <f t="shared" ref="E64:F64" si="312">SUM(E60:E63)</f>
        <v>17756.340999999993</v>
      </c>
      <c r="F64" s="63">
        <f t="shared" si="312"/>
        <v>7148.8659999999909</v>
      </c>
      <c r="G64" s="63">
        <f t="shared" ref="G64:H64" si="313">SUM(G60:G63)</f>
        <v>-19533.017999999996</v>
      </c>
      <c r="H64" s="63">
        <f t="shared" si="313"/>
        <v>10448.491999999984</v>
      </c>
      <c r="I64" s="63">
        <f t="shared" ref="I64:J64" si="314">SUM(I60:I63)</f>
        <v>78474.047999999966</v>
      </c>
      <c r="J64" s="63">
        <f t="shared" si="314"/>
        <v>37328.914999999943</v>
      </c>
      <c r="K64" s="87"/>
      <c r="L64" s="43"/>
      <c r="M64" s="63"/>
      <c r="N64" s="63">
        <f t="shared" ref="N64:R64" si="315">SUM(N60:N63)</f>
        <v>6963.8510000000069</v>
      </c>
      <c r="O64" s="63"/>
      <c r="P64" s="63">
        <f t="shared" si="315"/>
        <v>10792.489999999987</v>
      </c>
      <c r="Q64" s="163"/>
      <c r="R64" s="63">
        <f t="shared" si="315"/>
        <v>18736.831000000002</v>
      </c>
      <c r="S64" s="163"/>
      <c r="T64" s="63">
        <f t="shared" ref="T64" si="316">SUM(T60:T63)</f>
        <v>-11587.965000000009</v>
      </c>
      <c r="U64" s="63"/>
      <c r="V64" s="63">
        <f t="shared" ref="V64" si="317">SUM(V60:V63)</f>
        <v>276.31899999998882</v>
      </c>
      <c r="W64" s="163"/>
      <c r="X64" s="63">
        <f t="shared" ref="X64" si="318">SUM(X60:X63)</f>
        <v>-19809.336999999989</v>
      </c>
      <c r="Y64" s="163"/>
      <c r="Z64" s="63">
        <f t="shared" ref="Z64" si="319">SUM(Z60:Z63)</f>
        <v>10300.867999999993</v>
      </c>
      <c r="AA64" s="163"/>
      <c r="AB64" s="63">
        <f t="shared" ref="AB64" si="320">SUM(AB60:AB63)</f>
        <v>147.62399999999184</v>
      </c>
      <c r="AC64" s="228"/>
      <c r="AD64" s="63">
        <f t="shared" ref="AD64" si="321">SUM(AD60:AD63)</f>
        <v>9538.1779999999944</v>
      </c>
      <c r="AE64" s="228"/>
      <c r="AF64" s="63">
        <f t="shared" ref="AF64" si="322">SUM(AF60:AF63)</f>
        <v>68935.869999999966</v>
      </c>
      <c r="AG64" s="228"/>
      <c r="AH64" s="63">
        <f t="shared" ref="AH64:AJ64" si="323">SUM(AH60:AH63)</f>
        <v>26012.988000000005</v>
      </c>
      <c r="AI64" s="228"/>
      <c r="AJ64" s="63">
        <f t="shared" si="323"/>
        <v>11315.926999999961</v>
      </c>
      <c r="AK64" s="228"/>
    </row>
    <row r="65" spans="2:37" ht="13.5" customHeight="1">
      <c r="B65" s="62" t="s">
        <v>205</v>
      </c>
      <c r="C65" s="51">
        <f>10269.415-10505.637</f>
        <v>-236.22199999999975</v>
      </c>
      <c r="D65" s="51">
        <f>-3405.163+67.735</f>
        <v>-3337.4279999999999</v>
      </c>
      <c r="E65" s="51">
        <f>-3025.523+63.088</f>
        <v>-2962.4349999999999</v>
      </c>
      <c r="F65" s="51">
        <f>-7169.313+35.365</f>
        <v>-7133.9480000000003</v>
      </c>
      <c r="G65" s="51">
        <f>-5799.57+17.334</f>
        <v>-5782.2359999999999</v>
      </c>
      <c r="H65" s="51">
        <f>-6268.9+72.833</f>
        <v>-6196.067</v>
      </c>
      <c r="I65" s="51">
        <f>(-7297307+358488)/1000</f>
        <v>-6938.8190000000004</v>
      </c>
      <c r="J65" s="51">
        <f>-12769.155+12.776</f>
        <v>-12756.379000000001</v>
      </c>
      <c r="K65" s="87"/>
      <c r="L65" s="7"/>
      <c r="M65" s="7"/>
      <c r="N65" s="51">
        <f>-1129.238+4.368</f>
        <v>-1124.8700000000001</v>
      </c>
      <c r="O65" s="7"/>
      <c r="P65" s="7">
        <f>E65-SUM(M65:O65)</f>
        <v>-1837.5649999999998</v>
      </c>
      <c r="Q65" s="162"/>
      <c r="R65" s="51">
        <f>-1828.851+7.237</f>
        <v>-1821.614</v>
      </c>
      <c r="S65" s="162"/>
      <c r="T65" s="7">
        <f>F65-SUM(Q65:S65)</f>
        <v>-5312.3340000000007</v>
      </c>
      <c r="U65" s="7"/>
      <c r="V65" s="51">
        <f>-2717.28+14.608</f>
        <v>-2702.672</v>
      </c>
      <c r="W65" s="109"/>
      <c r="X65" s="7">
        <f>G65-SUM(U65:W65)</f>
        <v>-3079.5639999999999</v>
      </c>
      <c r="Y65" s="162"/>
      <c r="Z65" s="51">
        <f>-3722.137+61.112</f>
        <v>-3661.0250000000001</v>
      </c>
      <c r="AA65" s="109"/>
      <c r="AB65" s="7">
        <f>H65-SUM(Y65:AA65)</f>
        <v>-2535.0419999999999</v>
      </c>
      <c r="AC65" s="87"/>
      <c r="AD65" s="51">
        <f>(-2267908+254311)/1000</f>
        <v>-2013.597</v>
      </c>
      <c r="AE65" s="229"/>
      <c r="AF65" s="7">
        <f t="shared" ref="AF65:AF67" si="324">I65-SUM(AC65:AE65)</f>
        <v>-4925.2220000000007</v>
      </c>
      <c r="AG65" s="87"/>
      <c r="AH65" s="51">
        <f>-5085.94+7.634</f>
        <v>-5078.3059999999996</v>
      </c>
      <c r="AI65" s="229"/>
      <c r="AJ65" s="7">
        <f t="shared" si="310"/>
        <v>-7678.0730000000012</v>
      </c>
      <c r="AK65" s="87"/>
    </row>
    <row r="66" spans="2:37" ht="13.5" customHeight="1">
      <c r="B66" s="62" t="s">
        <v>206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87"/>
      <c r="L66" s="7"/>
      <c r="M66" s="7"/>
      <c r="N66" s="51">
        <v>0</v>
      </c>
      <c r="O66" s="7"/>
      <c r="P66" s="7">
        <f>E66-SUM(M66:O66)</f>
        <v>0</v>
      </c>
      <c r="Q66" s="162"/>
      <c r="R66" s="51">
        <v>0</v>
      </c>
      <c r="S66" s="162"/>
      <c r="T66" s="7">
        <f>F66-SUM(Q66:S66)</f>
        <v>0</v>
      </c>
      <c r="U66" s="7"/>
      <c r="V66" s="51">
        <v>0</v>
      </c>
      <c r="W66" s="109"/>
      <c r="X66" s="7">
        <f>G66-SUM(U66:W66)</f>
        <v>0</v>
      </c>
      <c r="Y66" s="162"/>
      <c r="Z66" s="51">
        <v>0</v>
      </c>
      <c r="AA66" s="109"/>
      <c r="AB66" s="7">
        <f>H66-SUM(Y66:AA66)</f>
        <v>0</v>
      </c>
      <c r="AC66" s="87"/>
      <c r="AD66" s="51">
        <v>0</v>
      </c>
      <c r="AE66" s="229"/>
      <c r="AF66" s="7">
        <f t="shared" si="324"/>
        <v>0</v>
      </c>
      <c r="AG66" s="87"/>
      <c r="AH66" s="51">
        <v>0</v>
      </c>
      <c r="AI66" s="229"/>
      <c r="AJ66" s="7">
        <f t="shared" si="310"/>
        <v>0</v>
      </c>
      <c r="AK66" s="87"/>
    </row>
    <row r="67" spans="2:37" ht="13.5" customHeight="1">
      <c r="B67" s="62" t="s">
        <v>207</v>
      </c>
      <c r="C67" s="51">
        <v>-34.936</v>
      </c>
      <c r="D67" s="51">
        <v>0</v>
      </c>
      <c r="E67" s="51">
        <v>38.517000000000003</v>
      </c>
      <c r="F67" s="51">
        <v>-1086.4770000000001</v>
      </c>
      <c r="G67" s="51">
        <v>-25.106000000000002</v>
      </c>
      <c r="H67" s="51">
        <f>-18.144+101.294</f>
        <v>83.15</v>
      </c>
      <c r="I67" s="51">
        <f>(-3784)/1000</f>
        <v>-3.7839999999999998</v>
      </c>
      <c r="J67" s="51">
        <f>-12.117</f>
        <v>-12.117000000000001</v>
      </c>
      <c r="K67" s="87"/>
      <c r="L67" s="7"/>
      <c r="M67" s="7"/>
      <c r="N67" s="51">
        <v>0</v>
      </c>
      <c r="O67" s="7"/>
      <c r="P67" s="7">
        <f>E67-SUM(M67:O67)</f>
        <v>38.517000000000003</v>
      </c>
      <c r="Q67" s="162"/>
      <c r="R67" s="51">
        <v>0</v>
      </c>
      <c r="S67" s="162"/>
      <c r="T67" s="7">
        <f>F67-SUM(Q67:S67)</f>
        <v>-1086.4770000000001</v>
      </c>
      <c r="U67" s="7"/>
      <c r="V67" s="51">
        <v>0</v>
      </c>
      <c r="W67" s="109"/>
      <c r="X67" s="7">
        <f>G67-SUM(U67:W67)</f>
        <v>-25.106000000000002</v>
      </c>
      <c r="Y67" s="162"/>
      <c r="Z67" s="51">
        <v>0</v>
      </c>
      <c r="AA67" s="109"/>
      <c r="AB67" s="7">
        <f>H67-SUM(Y67:AA67)</f>
        <v>83.15</v>
      </c>
      <c r="AC67" s="87"/>
      <c r="AD67" s="51">
        <v>0</v>
      </c>
      <c r="AE67" s="229"/>
      <c r="AF67" s="7">
        <f t="shared" si="324"/>
        <v>-3.7839999999999998</v>
      </c>
      <c r="AG67" s="87"/>
      <c r="AH67" s="51">
        <v>0</v>
      </c>
      <c r="AI67" s="229"/>
      <c r="AJ67" s="7">
        <f t="shared" si="310"/>
        <v>-12.117000000000001</v>
      </c>
      <c r="AK67" s="87"/>
    </row>
    <row r="68" spans="2:37" s="19" customFormat="1" ht="13.5" customHeight="1">
      <c r="B68" s="60" t="s">
        <v>208</v>
      </c>
      <c r="C68" s="43">
        <f t="shared" ref="C68:D68" si="325">SUM(C64:C67)</f>
        <v>-3685.771000000017</v>
      </c>
      <c r="D68" s="43">
        <f t="shared" si="325"/>
        <v>12736.401999999995</v>
      </c>
      <c r="E68" s="43">
        <f t="shared" ref="E68:F68" si="326">SUM(E64:E67)</f>
        <v>14832.422999999993</v>
      </c>
      <c r="F68" s="43">
        <f t="shared" si="326"/>
        <v>-1071.5590000000095</v>
      </c>
      <c r="G68" s="43">
        <f t="shared" ref="G68:H68" si="327">SUM(G64:G67)</f>
        <v>-25340.359999999997</v>
      </c>
      <c r="H68" s="43">
        <f t="shared" si="327"/>
        <v>4335.5749999999834</v>
      </c>
      <c r="I68" s="43">
        <f t="shared" ref="I68:J68" si="328">SUM(I64:I67)</f>
        <v>71531.444999999963</v>
      </c>
      <c r="J68" s="43">
        <f t="shared" si="328"/>
        <v>24560.418999999943</v>
      </c>
      <c r="K68" s="87"/>
      <c r="L68" s="43"/>
      <c r="M68" s="43"/>
      <c r="N68" s="43">
        <f t="shared" ref="N68:R68" si="329">SUM(N64:N67)</f>
        <v>5838.981000000007</v>
      </c>
      <c r="O68" s="43"/>
      <c r="P68" s="43">
        <f t="shared" si="329"/>
        <v>8993.4419999999864</v>
      </c>
      <c r="Q68" s="164"/>
      <c r="R68" s="43">
        <f t="shared" si="329"/>
        <v>16915.217000000001</v>
      </c>
      <c r="S68" s="164"/>
      <c r="T68" s="43">
        <f t="shared" ref="T68" si="330">SUM(T64:T67)</f>
        <v>-17986.776000000009</v>
      </c>
      <c r="U68" s="43"/>
      <c r="V68" s="43">
        <f t="shared" ref="V68" si="331">SUM(V64:V67)</f>
        <v>-2426.353000000011</v>
      </c>
      <c r="W68" s="164"/>
      <c r="X68" s="43">
        <f t="shared" ref="X68" si="332">SUM(X64:X67)</f>
        <v>-22914.006999999987</v>
      </c>
      <c r="Y68" s="164"/>
      <c r="Z68" s="43">
        <f t="shared" ref="Z68" si="333">SUM(Z64:Z67)</f>
        <v>6639.8429999999935</v>
      </c>
      <c r="AA68" s="164"/>
      <c r="AB68" s="43">
        <f t="shared" ref="AB68" si="334">SUM(AB64:AB67)</f>
        <v>-2304.2680000000078</v>
      </c>
      <c r="AC68" s="227"/>
      <c r="AD68" s="43">
        <f t="shared" ref="AD68" si="335">SUM(AD64:AD67)</f>
        <v>7524.5809999999947</v>
      </c>
      <c r="AE68" s="227"/>
      <c r="AF68" s="43">
        <f t="shared" ref="AF68" si="336">SUM(AF64:AF67)</f>
        <v>64006.863999999965</v>
      </c>
      <c r="AG68" s="227"/>
      <c r="AH68" s="43">
        <f t="shared" ref="AH68:AJ68" si="337">SUM(AH64:AH67)</f>
        <v>20934.682000000004</v>
      </c>
      <c r="AI68" s="227"/>
      <c r="AJ68" s="43">
        <f t="shared" si="337"/>
        <v>3625.7369999999601</v>
      </c>
      <c r="AK68" s="227"/>
    </row>
    <row r="69" spans="2:37" s="19" customFormat="1" ht="13.5" customHeight="1">
      <c r="B69" s="62" t="s">
        <v>209</v>
      </c>
      <c r="C69" s="51">
        <f>-7508.04-C65-C66-C67</f>
        <v>-7236.8820000000005</v>
      </c>
      <c r="D69" s="51">
        <f>-31570.136-D65-D66-D67</f>
        <v>-28232.707999999999</v>
      </c>
      <c r="E69" s="51">
        <f>-17678.852-E65-E66-E67</f>
        <v>-14754.933999999999</v>
      </c>
      <c r="F69" s="51">
        <f>-45007.945-F65-F66-F67</f>
        <v>-36787.520000000004</v>
      </c>
      <c r="G69" s="51">
        <f>15548.773-G65-G66-G67</f>
        <v>21356.114999999998</v>
      </c>
      <c r="H69" s="51">
        <f>-35169.054-H65-H66-H67</f>
        <v>-29056.136999999999</v>
      </c>
      <c r="I69" s="51">
        <f>-35386.391-I65-I66-I67</f>
        <v>-28443.788000000004</v>
      </c>
      <c r="J69" s="51">
        <f>-119200.696+71259.333-58562.541+59828.588-3598.541+3477.296-10246.805-200+700+3276.391+301.171-20230.812+13734.318-363.724+545.159+370.632</f>
        <v>-58910.230999999985</v>
      </c>
      <c r="K69" s="87"/>
      <c r="L69" s="207"/>
      <c r="M69" s="7"/>
      <c r="N69" s="51">
        <f>-4211.76-N65-N66-N67</f>
        <v>-3086.8900000000003</v>
      </c>
      <c r="O69" s="7"/>
      <c r="P69" s="7">
        <f>E69-SUM(M69:O69)</f>
        <v>-11668.043999999998</v>
      </c>
      <c r="Q69" s="162"/>
      <c r="R69" s="51">
        <f>-31987.329-R65-R66-R67</f>
        <v>-30165.715</v>
      </c>
      <c r="S69" s="162"/>
      <c r="T69" s="7">
        <f>F69-SUM(Q69:S69)</f>
        <v>-6621.8050000000039</v>
      </c>
      <c r="U69" s="7"/>
      <c r="V69" s="51">
        <f>7627.358-V65-V66-V67</f>
        <v>10330.030000000001</v>
      </c>
      <c r="W69" s="109"/>
      <c r="X69" s="7">
        <f>G69-SUM(U69:W69)</f>
        <v>11026.084999999997</v>
      </c>
      <c r="Y69" s="162"/>
      <c r="Z69" s="51">
        <f>-14492.197-Z65-Z66-Z67</f>
        <v>-10831.172</v>
      </c>
      <c r="AA69" s="109"/>
      <c r="AB69" s="7">
        <f>H69-SUM(Y69:AA69)</f>
        <v>-18224.964999999997</v>
      </c>
      <c r="AC69" s="87"/>
      <c r="AD69" s="51">
        <f>2709.078-AD65-AD66-AD67</f>
        <v>4722.6750000000002</v>
      </c>
      <c r="AE69" s="229"/>
      <c r="AF69" s="7">
        <f t="shared" ref="AF69:AF73" si="338">I69-SUM(AC69:AE69)</f>
        <v>-33166.463000000003</v>
      </c>
      <c r="AG69" s="87"/>
      <c r="AH69" s="51">
        <f>-60128.639-AH65-AH66-AH67</f>
        <v>-55050.333000000006</v>
      </c>
      <c r="AI69" s="229"/>
      <c r="AJ69" s="7">
        <f t="shared" si="310"/>
        <v>-3859.8979999999792</v>
      </c>
      <c r="AK69" s="87"/>
    </row>
    <row r="70" spans="2:37" ht="13.5" customHeight="1">
      <c r="B70" s="62" t="s">
        <v>210</v>
      </c>
      <c r="C70" s="51">
        <v>0</v>
      </c>
      <c r="D70" s="51">
        <v>186.83799999999999</v>
      </c>
      <c r="E70" s="51">
        <f>19907.936+254.476</f>
        <v>20162.412</v>
      </c>
      <c r="F70" s="51">
        <v>83.013999999999996</v>
      </c>
      <c r="G70" s="51">
        <v>83.924999999999997</v>
      </c>
      <c r="H70" s="51">
        <v>69.918999999999997</v>
      </c>
      <c r="I70" s="51">
        <v>83.88</v>
      </c>
      <c r="J70" s="51">
        <f>170.934+39225.991</f>
        <v>39396.925000000003</v>
      </c>
      <c r="K70" s="87"/>
      <c r="L70" s="7"/>
      <c r="M70" s="7"/>
      <c r="N70" s="51">
        <v>0</v>
      </c>
      <c r="O70" s="7"/>
      <c r="P70" s="7">
        <f>E70-SUM(M70:O70)</f>
        <v>20162.412</v>
      </c>
      <c r="Q70" s="162"/>
      <c r="R70" s="51">
        <v>0</v>
      </c>
      <c r="S70" s="162"/>
      <c r="T70" s="7">
        <f>F70-SUM(Q70:S70)</f>
        <v>83.013999999999996</v>
      </c>
      <c r="U70" s="7"/>
      <c r="V70" s="51">
        <v>0</v>
      </c>
      <c r="W70" s="109"/>
      <c r="X70" s="7">
        <f>G70-SUM(U70:W70)</f>
        <v>83.924999999999997</v>
      </c>
      <c r="Y70" s="162"/>
      <c r="Z70" s="51">
        <v>0</v>
      </c>
      <c r="AA70" s="109"/>
      <c r="AB70" s="7">
        <f>H70-SUM(Y70:AA70)</f>
        <v>69.918999999999997</v>
      </c>
      <c r="AC70" s="87"/>
      <c r="AD70" s="51">
        <v>0</v>
      </c>
      <c r="AE70" s="229"/>
      <c r="AF70" s="7">
        <f t="shared" si="338"/>
        <v>83.88</v>
      </c>
      <c r="AG70" s="87"/>
      <c r="AH70" s="51">
        <v>39225.991000000002</v>
      </c>
      <c r="AI70" s="229"/>
      <c r="AJ70" s="7">
        <f t="shared" si="310"/>
        <v>170.93400000000111</v>
      </c>
      <c r="AK70" s="87"/>
    </row>
    <row r="71" spans="2:37" ht="13.5" customHeight="1">
      <c r="B71" s="62" t="s">
        <v>211</v>
      </c>
      <c r="C71" s="51">
        <v>0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-23.286000000000001</v>
      </c>
      <c r="J71" s="51">
        <v>-1.964</v>
      </c>
      <c r="K71" s="87"/>
      <c r="L71" s="7"/>
      <c r="M71" s="7"/>
      <c r="N71" s="51">
        <v>0</v>
      </c>
      <c r="O71" s="7"/>
      <c r="P71" s="7">
        <f>E71-SUM(M71:O71)</f>
        <v>0</v>
      </c>
      <c r="Q71" s="162"/>
      <c r="R71" s="51">
        <v>0</v>
      </c>
      <c r="S71" s="162"/>
      <c r="T71" s="7">
        <f>F71-SUM(Q71:S71)</f>
        <v>0</v>
      </c>
      <c r="U71" s="7"/>
      <c r="V71" s="51">
        <v>0</v>
      </c>
      <c r="W71" s="109"/>
      <c r="X71" s="7">
        <f>G71-SUM(U71:W71)</f>
        <v>0</v>
      </c>
      <c r="Y71" s="162"/>
      <c r="Z71" s="51">
        <v>0</v>
      </c>
      <c r="AA71" s="109"/>
      <c r="AB71" s="7">
        <f>H71-SUM(Y71:AA71)</f>
        <v>0</v>
      </c>
      <c r="AC71" s="87"/>
      <c r="AD71" s="51">
        <v>0</v>
      </c>
      <c r="AE71" s="229"/>
      <c r="AF71" s="7">
        <f t="shared" si="338"/>
        <v>-23.286000000000001</v>
      </c>
      <c r="AG71" s="87"/>
      <c r="AH71" s="51">
        <v>0</v>
      </c>
      <c r="AI71" s="229"/>
      <c r="AJ71" s="7">
        <f t="shared" si="310"/>
        <v>-1.964</v>
      </c>
      <c r="AK71" s="87"/>
    </row>
    <row r="72" spans="2:37" ht="13.5" customHeight="1">
      <c r="B72" s="62" t="s">
        <v>212</v>
      </c>
      <c r="C72" s="51">
        <f>10269.415-10505.637</f>
        <v>-236.22199999999975</v>
      </c>
      <c r="D72" s="51">
        <f>17036.724-10417.425</f>
        <v>6619.2989999999991</v>
      </c>
      <c r="E72" s="51">
        <f>30582.175-32586.382</f>
        <v>-2004.2070000000022</v>
      </c>
      <c r="F72" s="51">
        <f>22528.578-13301.236</f>
        <v>9227.3420000000006</v>
      </c>
      <c r="G72" s="51">
        <f>19857.851-22649.189</f>
        <v>-2791.3379999999997</v>
      </c>
      <c r="H72" s="51">
        <f>8866.088-4022.423</f>
        <v>4843.665</v>
      </c>
      <c r="I72" s="51">
        <f>(25998066-19265488-2476524)/1000</f>
        <v>4256.0540000000001</v>
      </c>
      <c r="J72" s="51">
        <f>30378.289-25080.95-2902.504</f>
        <v>2394.835</v>
      </c>
      <c r="K72" s="87"/>
      <c r="L72" s="7"/>
      <c r="M72" s="7"/>
      <c r="N72" s="51">
        <f>17582.749-12245.76</f>
        <v>5336.9889999999996</v>
      </c>
      <c r="O72" s="7"/>
      <c r="P72" s="7">
        <f>E72-SUM(M72:O72)</f>
        <v>-7341.1960000000017</v>
      </c>
      <c r="Q72" s="162"/>
      <c r="R72" s="51">
        <f>7460.26-5447.71</f>
        <v>2012.5500000000002</v>
      </c>
      <c r="S72" s="162"/>
      <c r="T72" s="7">
        <f>F72-SUM(Q72:S72)</f>
        <v>7214.7920000000004</v>
      </c>
      <c r="U72" s="7"/>
      <c r="V72" s="51">
        <f>15425.36-10202.349</f>
        <v>5223.0110000000004</v>
      </c>
      <c r="W72" s="109"/>
      <c r="X72" s="7">
        <f>G72-SUM(U72:W72)</f>
        <v>-8014.3490000000002</v>
      </c>
      <c r="Y72" s="162"/>
      <c r="Z72" s="51">
        <f>898.693-1402.063</f>
        <v>-503.37000000000012</v>
      </c>
      <c r="AA72" s="109"/>
      <c r="AB72" s="7">
        <f>H72-SUM(Y72:AA72)</f>
        <v>5347.0349999999999</v>
      </c>
      <c r="AC72" s="87"/>
      <c r="AD72" s="51">
        <f>(12436649-7759247)/1000</f>
        <v>4677.402</v>
      </c>
      <c r="AE72" s="229"/>
      <c r="AF72" s="7">
        <f t="shared" si="338"/>
        <v>-421.34799999999996</v>
      </c>
      <c r="AG72" s="87"/>
      <c r="AH72" s="51">
        <f>11721.938-12920.591-1254.754</f>
        <v>-2453.4070000000002</v>
      </c>
      <c r="AI72" s="229"/>
      <c r="AJ72" s="7">
        <f t="shared" si="310"/>
        <v>4848.2420000000002</v>
      </c>
      <c r="AK72" s="87"/>
    </row>
    <row r="73" spans="2:37" ht="13.5" customHeight="1">
      <c r="B73" s="62" t="s">
        <v>213</v>
      </c>
      <c r="C73" s="51">
        <f>26574.172-C72-C71-C70-C63</f>
        <v>27054.36</v>
      </c>
      <c r="D73" s="51">
        <f>3121.238-D72-D71-D70-D63</f>
        <v>-3465.9049999999993</v>
      </c>
      <c r="E73" s="51">
        <f>26215.568-E72-E71-E70-E63</f>
        <v>8557.0740000000005</v>
      </c>
      <c r="F73" s="51">
        <f>4498.686-F72-F71-F70-F63</f>
        <v>-4151.6830000000009</v>
      </c>
      <c r="G73" s="51">
        <f>-7854.799-G72-G71-G70-G63</f>
        <v>-4127.1570000000002</v>
      </c>
      <c r="H73" s="51">
        <f>-504.972-H72-H71-H70-H63</f>
        <v>-4660.4189999999999</v>
      </c>
      <c r="I73" s="51">
        <f>(-3998.976-I72-I71-I70-I63)</f>
        <v>-7598.4009999999998</v>
      </c>
      <c r="J73" s="51">
        <f>2393.914-3836.543-6172.545+367.84-501.925-2499.913</f>
        <v>-10249.172</v>
      </c>
      <c r="K73" s="87"/>
      <c r="L73" s="7"/>
      <c r="M73" s="7"/>
      <c r="N73" s="51">
        <f>4793.374-N72-N71-N70-N63</f>
        <v>-379.60899999999981</v>
      </c>
      <c r="O73" s="7"/>
      <c r="P73" s="7">
        <f>E73-SUM(M73:O73)</f>
        <v>8936.6830000000009</v>
      </c>
      <c r="Q73" s="162"/>
      <c r="R73" s="51">
        <f>1070.09-R72-R71-R70-R63</f>
        <v>-659.6260000000002</v>
      </c>
      <c r="S73" s="162"/>
      <c r="T73" s="7">
        <f>F73-SUM(Q73:S73)</f>
        <v>-3492.0570000000007</v>
      </c>
      <c r="U73" s="7"/>
      <c r="V73" s="51">
        <f>3633.776-V72-V71-V70-V63</f>
        <v>-1131.0430000000006</v>
      </c>
      <c r="W73" s="109"/>
      <c r="X73" s="7">
        <f>G73-SUM(U73:W73)</f>
        <v>-2996.1139999999996</v>
      </c>
      <c r="Y73" s="162"/>
      <c r="Z73" s="51">
        <f>2286.696-Z72-Z71-Z70-Z63</f>
        <v>3111.9219999999996</v>
      </c>
      <c r="AA73" s="109"/>
      <c r="AB73" s="7">
        <f>H73-SUM(Y73:AA73)</f>
        <v>-7772.3409999999994</v>
      </c>
      <c r="AC73" s="87"/>
      <c r="AD73" s="51">
        <f>455.3-AD72-AD71-AD70-AD63</f>
        <v>-3873.1669999999999</v>
      </c>
      <c r="AE73" s="229"/>
      <c r="AF73" s="7">
        <f t="shared" si="338"/>
        <v>-3725.2339999999999</v>
      </c>
      <c r="AG73" s="87"/>
      <c r="AH73" s="51">
        <f>34434.304-AH72-AH71-AH70-AH63</f>
        <v>-1950.4600000000062</v>
      </c>
      <c r="AI73" s="229"/>
      <c r="AJ73" s="7">
        <f t="shared" si="310"/>
        <v>-8298.7119999999941</v>
      </c>
      <c r="AK73" s="87"/>
    </row>
    <row r="74" spans="2:37" ht="13.5" customHeight="1">
      <c r="B74" s="60" t="s">
        <v>214</v>
      </c>
      <c r="C74" s="43">
        <f t="shared" ref="C74:D74" si="339">SUM(C68:C73)</f>
        <v>15895.484999999984</v>
      </c>
      <c r="D74" s="43">
        <f t="shared" si="339"/>
        <v>-12156.074000000004</v>
      </c>
      <c r="E74" s="43">
        <f t="shared" ref="E74:F74" si="340">SUM(E68:E73)</f>
        <v>26792.767999999993</v>
      </c>
      <c r="F74" s="43">
        <f t="shared" si="340"/>
        <v>-32700.40600000001</v>
      </c>
      <c r="G74" s="43">
        <f t="shared" ref="G74" si="341">SUM(G68:G73)</f>
        <v>-10818.814999999999</v>
      </c>
      <c r="H74" s="43">
        <f>SUM(H68:H73)</f>
        <v>-24467.397000000012</v>
      </c>
      <c r="I74" s="43">
        <f>SUM(I68:I73)</f>
        <v>39805.903999999966</v>
      </c>
      <c r="J74" s="43">
        <f>SUM(J68:J73)</f>
        <v>-2809.1880000000392</v>
      </c>
      <c r="K74" s="87"/>
      <c r="L74" s="43"/>
      <c r="M74" s="43"/>
      <c r="N74" s="43">
        <f t="shared" ref="N74:R74" si="342">SUM(N68:N73)</f>
        <v>7709.4710000000068</v>
      </c>
      <c r="O74" s="43"/>
      <c r="P74" s="43">
        <f t="shared" si="342"/>
        <v>19083.296999999991</v>
      </c>
      <c r="Q74" s="164"/>
      <c r="R74" s="43">
        <f t="shared" si="342"/>
        <v>-11897.574000000001</v>
      </c>
      <c r="S74" s="164"/>
      <c r="T74" s="43">
        <f t="shared" ref="T74" si="343">SUM(T68:T73)</f>
        <v>-20802.832000000013</v>
      </c>
      <c r="U74" s="43"/>
      <c r="V74" s="43">
        <f t="shared" ref="V74" si="344">SUM(V68:V73)</f>
        <v>11995.64499999999</v>
      </c>
      <c r="W74" s="164"/>
      <c r="X74" s="43">
        <f t="shared" ref="X74" si="345">SUM(X68:X73)</f>
        <v>-22814.459999999992</v>
      </c>
      <c r="Y74" s="164"/>
      <c r="Z74" s="43">
        <f t="shared" ref="Z74" si="346">SUM(Z68:Z73)</f>
        <v>-1582.7770000000073</v>
      </c>
      <c r="AA74" s="164"/>
      <c r="AB74" s="43">
        <f t="shared" ref="AB74" si="347">SUM(AB68:AB73)</f>
        <v>-22884.620000000003</v>
      </c>
      <c r="AC74" s="227"/>
      <c r="AD74" s="43">
        <f t="shared" ref="AD74" si="348">SUM(AD68:AD73)</f>
        <v>13051.490999999996</v>
      </c>
      <c r="AE74" s="227"/>
      <c r="AF74" s="43">
        <f t="shared" ref="AF74" si="349">SUM(AF68:AF73)</f>
        <v>26754.41299999996</v>
      </c>
      <c r="AG74" s="227"/>
      <c r="AH74" s="43">
        <f t="shared" ref="AH74:AJ74" si="350">SUM(AH68:AH73)</f>
        <v>706.47299999999746</v>
      </c>
      <c r="AI74" s="227"/>
      <c r="AJ74" s="43">
        <f t="shared" si="350"/>
        <v>-3515.6610000000119</v>
      </c>
      <c r="AK74" s="227"/>
    </row>
    <row r="75" spans="2:37" s="272" customFormat="1" ht="13.5" customHeight="1">
      <c r="B75" s="62" t="s">
        <v>215</v>
      </c>
      <c r="C75" s="269">
        <f>17651.561-C74</f>
        <v>1756.0760000000173</v>
      </c>
      <c r="D75" s="269">
        <f>-4638.544-D74</f>
        <v>7517.5300000000043</v>
      </c>
      <c r="E75" s="269">
        <f>30415.216-E74</f>
        <v>3622.4480000000076</v>
      </c>
      <c r="F75" s="269">
        <f>-30723.971-F74</f>
        <v>1976.4350000000086</v>
      </c>
      <c r="G75" s="269">
        <f>3304.244-G74</f>
        <v>14123.058999999999</v>
      </c>
      <c r="H75" s="269">
        <f>5626.469-H74</f>
        <v>30093.866000000013</v>
      </c>
      <c r="I75" s="269">
        <f>-89.868-I74</f>
        <v>-39895.771999999968</v>
      </c>
      <c r="J75" s="269">
        <f>-6770.486-J74</f>
        <v>-3961.2979999999607</v>
      </c>
      <c r="K75" s="270"/>
      <c r="L75" s="269"/>
      <c r="M75" s="269"/>
      <c r="N75" s="269">
        <f>-3344.633-N74</f>
        <v>-11054.104000000007</v>
      </c>
      <c r="O75" s="269"/>
      <c r="P75" s="269">
        <f>E75-SUM(M75:O75)</f>
        <v>14676.552000000014</v>
      </c>
      <c r="Q75" s="271"/>
      <c r="R75" s="269">
        <f>-22632.915-R74</f>
        <v>-10735.341</v>
      </c>
      <c r="S75" s="271"/>
      <c r="T75" s="269">
        <f>F75-SUM(Q75:S75)</f>
        <v>12711.776000000009</v>
      </c>
      <c r="U75" s="269"/>
      <c r="V75" s="269">
        <f>4229.71-V74</f>
        <v>-7765.9349999999895</v>
      </c>
      <c r="W75" s="271"/>
      <c r="X75" s="269">
        <f>G75-SUM(U75:W75)</f>
        <v>21888.993999999988</v>
      </c>
      <c r="Y75" s="271"/>
      <c r="Z75" s="269">
        <f>3383.118-Z74</f>
        <v>4965.8950000000077</v>
      </c>
      <c r="AA75" s="271"/>
      <c r="AB75" s="269">
        <f>H75-SUM(Y75:AA75)</f>
        <v>25127.971000000005</v>
      </c>
      <c r="AC75" s="270"/>
      <c r="AD75" s="269">
        <f>5694.953-AD74</f>
        <v>-7356.5379999999959</v>
      </c>
      <c r="AE75" s="270"/>
      <c r="AF75" s="269">
        <f>I75-SUM(AC75:AE75)</f>
        <v>-32539.233999999971</v>
      </c>
      <c r="AG75" s="270"/>
      <c r="AH75" s="269">
        <f>2360.405-AH74</f>
        <v>1653.9320000000027</v>
      </c>
      <c r="AI75" s="270"/>
      <c r="AJ75" s="7">
        <f t="shared" si="310"/>
        <v>-5615.2299999999632</v>
      </c>
      <c r="AK75" s="270"/>
    </row>
    <row r="76" spans="2:37" ht="13.5" customHeight="1">
      <c r="B76" s="62" t="s">
        <v>216</v>
      </c>
      <c r="C76" s="51">
        <v>1015.304</v>
      </c>
      <c r="D76" s="51">
        <v>328.25799999999998</v>
      </c>
      <c r="E76" s="51">
        <v>-1582.634</v>
      </c>
      <c r="F76" s="51">
        <v>-516.89300000000003</v>
      </c>
      <c r="G76" s="51">
        <v>791.43799999999999</v>
      </c>
      <c r="H76" s="51">
        <v>397.58300000000003</v>
      </c>
      <c r="I76" s="51">
        <v>119.997</v>
      </c>
      <c r="J76" s="51">
        <v>23.420999999999999</v>
      </c>
      <c r="K76" s="87"/>
      <c r="L76" s="7"/>
      <c r="M76" s="7"/>
      <c r="N76" s="51">
        <v>268.08800000000002</v>
      </c>
      <c r="O76" s="7"/>
      <c r="P76" s="7">
        <f>E76-SUM(M76:O76)</f>
        <v>-1850.722</v>
      </c>
      <c r="Q76" s="162"/>
      <c r="R76" s="51">
        <v>-238.488</v>
      </c>
      <c r="S76" s="162"/>
      <c r="T76" s="7">
        <f>F76-SUM(Q76:S76)</f>
        <v>-278.40500000000003</v>
      </c>
      <c r="U76" s="7"/>
      <c r="V76" s="51">
        <v>441.81200000000001</v>
      </c>
      <c r="W76" s="109"/>
      <c r="X76" s="7">
        <f>G76-SUM(U76:W76)</f>
        <v>349.62599999999998</v>
      </c>
      <c r="Y76" s="162"/>
      <c r="Z76" s="51">
        <v>468.57299999999998</v>
      </c>
      <c r="AA76" s="109"/>
      <c r="AB76" s="7">
        <f>H76-SUM(Y76:AA76)</f>
        <v>-70.989999999999952</v>
      </c>
      <c r="AC76" s="87"/>
      <c r="AD76" s="51">
        <v>9.5540000000000003</v>
      </c>
      <c r="AE76" s="229"/>
      <c r="AF76" s="7">
        <f>I76-SUM(AC76:AE76)</f>
        <v>110.443</v>
      </c>
      <c r="AG76" s="87"/>
      <c r="AH76" s="51">
        <v>-13.817</v>
      </c>
      <c r="AI76" s="229"/>
      <c r="AJ76" s="7">
        <f t="shared" si="310"/>
        <v>37.238</v>
      </c>
      <c r="AK76" s="87"/>
    </row>
    <row r="77" spans="2:37" ht="13.5" customHeight="1">
      <c r="B77" s="62" t="s">
        <v>217</v>
      </c>
      <c r="C77" s="7">
        <f t="shared" ref="C77" si="351">SUM(C74:C76)</f>
        <v>18666.865000000002</v>
      </c>
      <c r="D77" s="7">
        <f t="shared" ref="D77" si="352">SUM(D74:D76)</f>
        <v>-4310.2860000000001</v>
      </c>
      <c r="E77" s="7">
        <f t="shared" ref="E77:J77" si="353">SUM(E74:E76)</f>
        <v>28832.582000000002</v>
      </c>
      <c r="F77" s="7">
        <f t="shared" si="353"/>
        <v>-31240.864000000001</v>
      </c>
      <c r="G77" s="7">
        <f t="shared" si="353"/>
        <v>4095.6820000000007</v>
      </c>
      <c r="H77" s="7">
        <f t="shared" si="353"/>
        <v>6024.0520000000006</v>
      </c>
      <c r="I77" s="7">
        <f t="shared" si="353"/>
        <v>30.128999999997788</v>
      </c>
      <c r="J77" s="7">
        <f t="shared" si="353"/>
        <v>-6747.0649999999996</v>
      </c>
      <c r="K77" s="87"/>
      <c r="L77" s="7"/>
      <c r="M77" s="7"/>
      <c r="N77" s="7">
        <f t="shared" ref="N77" si="354">SUM(N74:N76)</f>
        <v>-3076.5449999999996</v>
      </c>
      <c r="O77" s="7"/>
      <c r="P77" s="7">
        <f t="shared" ref="P77" si="355">SUM(P74:P76)</f>
        <v>31909.127</v>
      </c>
      <c r="Q77" s="162"/>
      <c r="R77" s="7">
        <f t="shared" ref="R77" si="356">SUM(R74:R76)</f>
        <v>-22871.403000000002</v>
      </c>
      <c r="S77" s="162"/>
      <c r="T77" s="7">
        <f t="shared" ref="T77" si="357">SUM(T74:T76)</f>
        <v>-8369.4610000000048</v>
      </c>
      <c r="U77" s="7"/>
      <c r="V77" s="7">
        <f t="shared" ref="V77" si="358">SUM(V74:V76)</f>
        <v>4671.5219999999999</v>
      </c>
      <c r="W77" s="162"/>
      <c r="X77" s="7">
        <f>SUM(X74:X76)</f>
        <v>-575.84000000000401</v>
      </c>
      <c r="Y77" s="162"/>
      <c r="Z77" s="7">
        <f t="shared" ref="Z77" si="359">SUM(Z74:Z76)</f>
        <v>3851.6910000000003</v>
      </c>
      <c r="AA77" s="162"/>
      <c r="AB77" s="7">
        <f>SUM(AB74:AB76)</f>
        <v>2172.3610000000026</v>
      </c>
      <c r="AC77" s="87"/>
      <c r="AD77" s="7">
        <f>SUM(AD74:AD76)</f>
        <v>5704.5070000000005</v>
      </c>
      <c r="AE77" s="87"/>
      <c r="AF77" s="7">
        <f>SUM(AF74:AF76)</f>
        <v>-5674.3780000000106</v>
      </c>
      <c r="AG77" s="87"/>
      <c r="AH77" s="7">
        <f>SUM(AH74:AH76)</f>
        <v>2346.5880000000002</v>
      </c>
      <c r="AI77" s="87"/>
      <c r="AJ77" s="7">
        <f>SUM(AJ74:AJ76)</f>
        <v>-9093.6529999999748</v>
      </c>
      <c r="AK77" s="87"/>
    </row>
    <row r="78" spans="2:37" ht="13.5" customHeight="1">
      <c r="B78" s="60" t="s">
        <v>27</v>
      </c>
      <c r="C78" s="43">
        <f>11563.282+C77</f>
        <v>30230.147000000001</v>
      </c>
      <c r="D78" s="43">
        <f t="shared" ref="D78:J78" si="360">C78+D77</f>
        <v>25919.861000000001</v>
      </c>
      <c r="E78" s="43">
        <f t="shared" si="360"/>
        <v>54752.442999999999</v>
      </c>
      <c r="F78" s="43">
        <f t="shared" si="360"/>
        <v>23511.578999999998</v>
      </c>
      <c r="G78" s="43">
        <f t="shared" si="360"/>
        <v>27607.260999999999</v>
      </c>
      <c r="H78" s="43">
        <f t="shared" si="360"/>
        <v>33631.313000000002</v>
      </c>
      <c r="I78" s="43">
        <f t="shared" si="360"/>
        <v>33661.442000000003</v>
      </c>
      <c r="J78" s="43">
        <f t="shared" si="360"/>
        <v>26914.377000000004</v>
      </c>
      <c r="K78" s="87"/>
      <c r="L78" s="208"/>
      <c r="M78" s="43"/>
      <c r="N78" s="43">
        <f>D78+N77</f>
        <v>22843.316000000003</v>
      </c>
      <c r="O78" s="43"/>
      <c r="P78" s="43">
        <f>N78+P77</f>
        <v>54752.442999999999</v>
      </c>
      <c r="Q78" s="164"/>
      <c r="R78" s="43">
        <f>E78+R77</f>
        <v>31881.039999999997</v>
      </c>
      <c r="S78" s="164"/>
      <c r="T78" s="43">
        <f>R78+T77</f>
        <v>23511.578999999991</v>
      </c>
      <c r="U78" s="43"/>
      <c r="V78" s="43">
        <f>F78+V77</f>
        <v>28183.100999999999</v>
      </c>
      <c r="W78" s="164"/>
      <c r="X78" s="43">
        <f>V78+X77</f>
        <v>27607.260999999995</v>
      </c>
      <c r="Y78" s="164"/>
      <c r="Z78" s="43">
        <f>X78+Z77</f>
        <v>31458.951999999994</v>
      </c>
      <c r="AA78" s="164"/>
      <c r="AB78" s="43">
        <f>Z78+AB77</f>
        <v>33631.312999999995</v>
      </c>
      <c r="AC78" s="227"/>
      <c r="AD78" s="43">
        <f>AB78+AD77</f>
        <v>39335.819999999992</v>
      </c>
      <c r="AE78" s="227"/>
      <c r="AF78" s="43">
        <f>AD78+AF77</f>
        <v>33661.441999999981</v>
      </c>
      <c r="AG78" s="227"/>
      <c r="AH78" s="43">
        <f>AF78+AH77</f>
        <v>36008.029999999984</v>
      </c>
      <c r="AI78" s="227"/>
      <c r="AJ78" s="43">
        <f>AH78+AJ77</f>
        <v>26914.377000000008</v>
      </c>
      <c r="AK78" s="227"/>
    </row>
    <row r="79" spans="2:37" ht="13.5" customHeight="1">
      <c r="B79" s="60"/>
      <c r="C79" s="51"/>
      <c r="D79" s="51"/>
      <c r="E79" s="51"/>
      <c r="F79" s="51"/>
      <c r="G79" s="51"/>
      <c r="H79" s="51"/>
      <c r="I79" s="51"/>
      <c r="J79" s="7"/>
      <c r="K79" s="7"/>
      <c r="L79" s="7"/>
      <c r="M79" s="51"/>
      <c r="N79" s="51"/>
      <c r="O79" s="51"/>
      <c r="P79" s="7"/>
      <c r="Q79" s="51"/>
      <c r="R79" s="51"/>
      <c r="S79" s="51"/>
      <c r="T79" s="7"/>
      <c r="U79" s="51"/>
      <c r="V79" s="51"/>
      <c r="W79" s="51"/>
      <c r="X79" s="7"/>
      <c r="Y79" s="51"/>
      <c r="Z79" s="51"/>
      <c r="AA79" s="51"/>
      <c r="AB79" s="7"/>
      <c r="AC79" s="51"/>
      <c r="AD79" s="51"/>
      <c r="AE79" s="51"/>
      <c r="AF79" s="7"/>
      <c r="AG79" s="51"/>
      <c r="AH79" s="51"/>
      <c r="AI79" s="51"/>
      <c r="AJ79" s="7"/>
      <c r="AK79" s="51"/>
    </row>
    <row r="80" spans="2:37" s="274" customFormat="1" ht="11.25" customHeight="1">
      <c r="B80" s="61" t="s">
        <v>22</v>
      </c>
      <c r="C80" s="273">
        <f t="shared" ref="C80:J80" si="361">+C78-C120</f>
        <v>-8014.5169999999962</v>
      </c>
      <c r="D80" s="273">
        <f t="shared" si="361"/>
        <v>-37986.433000000005</v>
      </c>
      <c r="E80" s="273">
        <f t="shared" si="361"/>
        <v>-40772.789000000004</v>
      </c>
      <c r="F80" s="273">
        <f t="shared" si="361"/>
        <v>-62661.760999999999</v>
      </c>
      <c r="G80" s="273">
        <f t="shared" si="361"/>
        <v>-40169.725999999995</v>
      </c>
      <c r="H80" s="273">
        <f t="shared" si="361"/>
        <v>-74076.466000000015</v>
      </c>
      <c r="I80" s="273">
        <f t="shared" si="361"/>
        <v>-66855.272999999986</v>
      </c>
      <c r="J80" s="273">
        <f t="shared" si="361"/>
        <v>-80782.212</v>
      </c>
      <c r="K80" s="273"/>
      <c r="L80" s="283"/>
      <c r="M80" s="273"/>
      <c r="N80" s="273">
        <f>+N78-N120</f>
        <v>-37500.127999999997</v>
      </c>
      <c r="O80" s="273"/>
      <c r="P80" s="273">
        <f>+P78-P120</f>
        <v>-40772.789000000004</v>
      </c>
      <c r="Q80" s="273"/>
      <c r="R80" s="273">
        <f>+R78-R120</f>
        <v>-61744.62000000001</v>
      </c>
      <c r="S80" s="273"/>
      <c r="T80" s="273">
        <f>+T78-T120</f>
        <v>-62661.761000000006</v>
      </c>
      <c r="U80" s="273"/>
      <c r="V80" s="273">
        <f>+V78-V120</f>
        <v>-46714.60100000001</v>
      </c>
      <c r="W80" s="273"/>
      <c r="X80" s="273">
        <f>+X78-X120</f>
        <v>-40169.725999999995</v>
      </c>
      <c r="Y80" s="273"/>
      <c r="Z80" s="273">
        <f>+Z78-Z120</f>
        <v>-57811.040999999997</v>
      </c>
      <c r="AA80" s="273"/>
      <c r="AB80" s="273">
        <f>+AB78-AB120</f>
        <v>-74076.466000000015</v>
      </c>
      <c r="AC80" s="273"/>
      <c r="AD80" s="273">
        <f>+AD78-AD120</f>
        <v>-58494.579000000012</v>
      </c>
      <c r="AE80" s="273"/>
      <c r="AF80" s="273">
        <f>+AF78-AF120</f>
        <v>-66855.273000000016</v>
      </c>
      <c r="AG80" s="273"/>
      <c r="AH80" s="273">
        <f>+AH78-AH120</f>
        <v>-75926.925000000017</v>
      </c>
      <c r="AI80" s="273"/>
      <c r="AJ80" s="273">
        <f>+AJ78-AJ120</f>
        <v>-80782.212</v>
      </c>
      <c r="AK80" s="273"/>
    </row>
    <row r="81" spans="2:37" s="274" customFormat="1" ht="13.5" customHeight="1">
      <c r="B81" s="275"/>
      <c r="C81" s="276">
        <f>-1414.571-(C64+C75)+C63</f>
        <v>0</v>
      </c>
      <c r="D81" s="276">
        <f>23810.354-(D64+D75)+D63</f>
        <v>-1.2221335055073723E-12</v>
      </c>
      <c r="E81" s="276">
        <f>21878.5-(E64+E75)+E63</f>
        <v>-6.8212102632969618E-13</v>
      </c>
      <c r="F81" s="276">
        <f>9785.288-(F64+F75)+F63</f>
        <v>1.0231815394945443E-12</v>
      </c>
      <c r="G81" s="276">
        <f>-4389.73-(G64+G75)+G63</f>
        <v>-2.5011104298755527E-12</v>
      </c>
      <c r="H81" s="276">
        <f>41300.495-(H64+H75)+H63</f>
        <v>9.7770680440589786E-12</v>
      </c>
      <c r="I81" s="276">
        <f>39295.499-(I64+I75)+I63</f>
        <v>5.4569682106375694E-12</v>
      </c>
      <c r="J81" s="276">
        <f>34142.377-(J64+J75)+J63</f>
        <v>1.659827830735594E-11</v>
      </c>
      <c r="K81" s="277"/>
      <c r="L81" s="278"/>
      <c r="M81" s="276"/>
      <c r="N81" s="276">
        <f>-3926.247-(N64+N75)+N63</f>
        <v>0</v>
      </c>
      <c r="O81" s="276"/>
      <c r="P81" s="276"/>
      <c r="Q81" s="276"/>
      <c r="R81" s="276">
        <f>8284.324-(R64+R75)+R63</f>
        <v>-1.0800249583553523E-12</v>
      </c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  <c r="AE81" s="276"/>
      <c r="AF81" s="276"/>
      <c r="AG81" s="276"/>
      <c r="AH81" s="276"/>
      <c r="AI81" s="276"/>
      <c r="AJ81" s="276"/>
      <c r="AK81" s="276"/>
    </row>
    <row r="82" spans="2:37" ht="11.25" customHeight="1">
      <c r="C82" s="58"/>
      <c r="D82" s="58"/>
      <c r="E82" s="58"/>
      <c r="F82" s="58"/>
      <c r="G82" s="58"/>
      <c r="H82" s="58"/>
      <c r="I82" s="58"/>
      <c r="J82" s="58"/>
      <c r="K82" s="58"/>
      <c r="L82" s="57"/>
      <c r="M82" s="58"/>
      <c r="N82" s="58"/>
      <c r="O82" s="58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</row>
    <row r="83" spans="2:37" ht="13.5" customHeight="1">
      <c r="B83" s="39" t="s">
        <v>218</v>
      </c>
      <c r="C83" s="44">
        <f t="shared" ref="C83:I83" si="362">C3</f>
        <v>43465</v>
      </c>
      <c r="D83" s="44">
        <f t="shared" si="362"/>
        <v>43830</v>
      </c>
      <c r="E83" s="44">
        <f t="shared" si="362"/>
        <v>44196</v>
      </c>
      <c r="F83" s="44">
        <f t="shared" si="362"/>
        <v>44561</v>
      </c>
      <c r="G83" s="44">
        <f t="shared" si="362"/>
        <v>44926</v>
      </c>
      <c r="H83" s="44">
        <f t="shared" si="362"/>
        <v>45291</v>
      </c>
      <c r="I83" s="44">
        <f t="shared" si="362"/>
        <v>45657</v>
      </c>
      <c r="J83" s="44">
        <f t="shared" ref="J83" si="363">J3</f>
        <v>46022</v>
      </c>
      <c r="K83" s="44" t="str">
        <f>K2</f>
        <v>LTM</v>
      </c>
      <c r="L83" s="204"/>
      <c r="M83" s="44">
        <f t="shared" ref="M83:AI83" si="364">M3</f>
        <v>43921</v>
      </c>
      <c r="N83" s="44">
        <f t="shared" si="364"/>
        <v>44012</v>
      </c>
      <c r="O83" s="44">
        <f t="shared" si="364"/>
        <v>44104</v>
      </c>
      <c r="P83" s="44">
        <f t="shared" si="364"/>
        <v>44196</v>
      </c>
      <c r="Q83" s="44">
        <f t="shared" si="364"/>
        <v>44286</v>
      </c>
      <c r="R83" s="44">
        <f t="shared" si="364"/>
        <v>44377</v>
      </c>
      <c r="S83" s="44">
        <f t="shared" si="364"/>
        <v>44469</v>
      </c>
      <c r="T83" s="44">
        <f t="shared" si="364"/>
        <v>44561</v>
      </c>
      <c r="U83" s="44">
        <f t="shared" si="364"/>
        <v>44651</v>
      </c>
      <c r="V83" s="44">
        <f t="shared" si="364"/>
        <v>44742</v>
      </c>
      <c r="W83" s="44">
        <f t="shared" si="364"/>
        <v>44834</v>
      </c>
      <c r="X83" s="44">
        <f t="shared" si="364"/>
        <v>44926</v>
      </c>
      <c r="Y83" s="44">
        <f t="shared" si="364"/>
        <v>45016</v>
      </c>
      <c r="Z83" s="44">
        <f t="shared" si="364"/>
        <v>45107</v>
      </c>
      <c r="AA83" s="44">
        <f t="shared" si="364"/>
        <v>45199</v>
      </c>
      <c r="AB83" s="44">
        <f t="shared" si="364"/>
        <v>45291</v>
      </c>
      <c r="AC83" s="44">
        <f t="shared" si="364"/>
        <v>45382</v>
      </c>
      <c r="AD83" s="44">
        <f t="shared" si="364"/>
        <v>45473</v>
      </c>
      <c r="AE83" s="44">
        <f t="shared" si="364"/>
        <v>45565</v>
      </c>
      <c r="AF83" s="44">
        <f t="shared" si="364"/>
        <v>45657</v>
      </c>
      <c r="AG83" s="44">
        <f t="shared" si="364"/>
        <v>45747</v>
      </c>
      <c r="AH83" s="44">
        <f t="shared" si="364"/>
        <v>45838</v>
      </c>
      <c r="AI83" s="44">
        <f t="shared" si="364"/>
        <v>45930</v>
      </c>
      <c r="AJ83" s="44">
        <f t="shared" ref="AJ83:AK83" si="365">AJ3</f>
        <v>46022</v>
      </c>
      <c r="AK83" s="44">
        <f t="shared" si="365"/>
        <v>46112</v>
      </c>
    </row>
    <row r="84" spans="2:37" ht="13.5" customHeight="1">
      <c r="B84" s="16" t="str">
        <f t="shared" ref="B84:K84" si="366">B7</f>
        <v>Revenue</v>
      </c>
      <c r="C84" s="7">
        <f t="shared" si="366"/>
        <v>174915.42499999999</v>
      </c>
      <c r="D84" s="7">
        <f t="shared" si="366"/>
        <v>205838.682</v>
      </c>
      <c r="E84" s="7">
        <f t="shared" si="366"/>
        <v>245865.633</v>
      </c>
      <c r="F84" s="7">
        <f t="shared" si="366"/>
        <v>328309.14500000002</v>
      </c>
      <c r="G84" s="7">
        <f t="shared" si="366"/>
        <v>280044.016</v>
      </c>
      <c r="H84" s="7">
        <f t="shared" si="366"/>
        <v>270970.09999999998</v>
      </c>
      <c r="I84" s="7">
        <f t="shared" si="366"/>
        <v>365906.35</v>
      </c>
      <c r="J84" s="7">
        <f t="shared" ref="J84" si="367">J7</f>
        <v>457286.68699999998</v>
      </c>
      <c r="K84" s="7">
        <f t="shared" si="366"/>
        <v>445134.96799999999</v>
      </c>
      <c r="L84" s="7"/>
      <c r="M84" s="87"/>
      <c r="N84" s="87"/>
      <c r="O84" s="87"/>
      <c r="P84" s="7">
        <f t="shared" ref="P84:AK84" si="368">SUM(M7:P7)</f>
        <v>245865.633</v>
      </c>
      <c r="Q84" s="7">
        <f t="shared" si="368"/>
        <v>273045.62899999996</v>
      </c>
      <c r="R84" s="7">
        <f t="shared" si="368"/>
        <v>307296.78399999999</v>
      </c>
      <c r="S84" s="7">
        <f t="shared" si="368"/>
        <v>313196.86199999996</v>
      </c>
      <c r="T84" s="7">
        <f t="shared" si="368"/>
        <v>328309.14500000002</v>
      </c>
      <c r="U84" s="7">
        <f t="shared" si="368"/>
        <v>324778.484</v>
      </c>
      <c r="V84" s="7">
        <f t="shared" si="368"/>
        <v>307160.40099999995</v>
      </c>
      <c r="W84" s="7">
        <f t="shared" si="368"/>
        <v>299571.81499999994</v>
      </c>
      <c r="X84" s="7">
        <f t="shared" si="368"/>
        <v>280044.016</v>
      </c>
      <c r="Y84" s="7">
        <f t="shared" si="368"/>
        <v>266169.64800000004</v>
      </c>
      <c r="Z84" s="7">
        <f t="shared" si="368"/>
        <v>263353.679</v>
      </c>
      <c r="AA84" s="7">
        <f t="shared" si="368"/>
        <v>263773.82199999999</v>
      </c>
      <c r="AB84" s="7">
        <f t="shared" si="368"/>
        <v>270970.09999999998</v>
      </c>
      <c r="AC84" s="7">
        <f t="shared" si="368"/>
        <v>286999.788</v>
      </c>
      <c r="AD84" s="7">
        <f t="shared" si="368"/>
        <v>308532.70799999998</v>
      </c>
      <c r="AE84" s="7">
        <f t="shared" si="368"/>
        <v>330144.83699999994</v>
      </c>
      <c r="AF84" s="7">
        <f t="shared" si="368"/>
        <v>365906.35</v>
      </c>
      <c r="AG84" s="7">
        <f t="shared" si="368"/>
        <v>401692.86499999999</v>
      </c>
      <c r="AH84" s="7">
        <f t="shared" si="368"/>
        <v>428761.12800000003</v>
      </c>
      <c r="AI84" s="7">
        <f t="shared" si="368"/>
        <v>449375.321</v>
      </c>
      <c r="AJ84" s="7">
        <f t="shared" si="368"/>
        <v>457286.68699999998</v>
      </c>
      <c r="AK84" s="7">
        <f t="shared" si="368"/>
        <v>445134.96799999999</v>
      </c>
    </row>
    <row r="85" spans="2:37" ht="13.5" customHeight="1">
      <c r="B85" s="16" t="s">
        <v>176</v>
      </c>
      <c r="C85" s="7">
        <f t="shared" ref="C85:K85" si="369">C19</f>
        <v>1196.4719999999834</v>
      </c>
      <c r="D85" s="7">
        <f t="shared" si="369"/>
        <v>11760.216999999997</v>
      </c>
      <c r="E85" s="7">
        <f t="shared" si="369"/>
        <v>24034.728999999996</v>
      </c>
      <c r="F85" s="7">
        <f t="shared" si="369"/>
        <v>26028.663999999993</v>
      </c>
      <c r="G85" s="7">
        <f t="shared" si="369"/>
        <v>2816.4979999999996</v>
      </c>
      <c r="H85" s="7">
        <f t="shared" si="369"/>
        <v>20008.699999999983</v>
      </c>
      <c r="I85" s="7">
        <f t="shared" si="369"/>
        <v>24502.895999999957</v>
      </c>
      <c r="J85" s="7">
        <f t="shared" ref="J85" si="370">J19</f>
        <v>47900.919999999947</v>
      </c>
      <c r="K85" s="7">
        <f t="shared" si="369"/>
        <v>40088.157999999967</v>
      </c>
      <c r="L85" s="7"/>
      <c r="M85" s="87"/>
      <c r="N85" s="87"/>
      <c r="O85" s="87"/>
      <c r="P85" s="7">
        <f t="shared" ref="P85:AK85" si="371">SUM(M19:P19)</f>
        <v>24034.728999999996</v>
      </c>
      <c r="Q85" s="7">
        <f t="shared" si="371"/>
        <v>29869.203999999991</v>
      </c>
      <c r="R85" s="7">
        <f t="shared" si="371"/>
        <v>35181.93299999999</v>
      </c>
      <c r="S85" s="7">
        <f t="shared" si="371"/>
        <v>31214.994999999984</v>
      </c>
      <c r="T85" s="7">
        <f t="shared" si="371"/>
        <v>26028.663999999982</v>
      </c>
      <c r="U85" s="7">
        <f t="shared" si="371"/>
        <v>16959.737999999976</v>
      </c>
      <c r="V85" s="7">
        <f t="shared" si="371"/>
        <v>7967.0099999999711</v>
      </c>
      <c r="W85" s="7">
        <f t="shared" si="371"/>
        <v>3876.3179999999757</v>
      </c>
      <c r="X85" s="7">
        <f t="shared" si="371"/>
        <v>2816.4979999999905</v>
      </c>
      <c r="Y85" s="7">
        <f t="shared" si="371"/>
        <v>9627.9699999999939</v>
      </c>
      <c r="Z85" s="7">
        <f t="shared" si="371"/>
        <v>11935.467999999993</v>
      </c>
      <c r="AA85" s="7">
        <f t="shared" si="371"/>
        <v>18307.691999999988</v>
      </c>
      <c r="AB85" s="7">
        <f t="shared" si="371"/>
        <v>20008.700000000004</v>
      </c>
      <c r="AC85" s="7">
        <f t="shared" si="371"/>
        <v>17791.529000000002</v>
      </c>
      <c r="AD85" s="7">
        <f t="shared" si="371"/>
        <v>19639.724000000002</v>
      </c>
      <c r="AE85" s="7">
        <f t="shared" si="371"/>
        <v>20669.774000000012</v>
      </c>
      <c r="AF85" s="7">
        <f t="shared" si="371"/>
        <v>24502.89599999995</v>
      </c>
      <c r="AG85" s="7">
        <f t="shared" si="371"/>
        <v>33945.264999999956</v>
      </c>
      <c r="AH85" s="7">
        <f t="shared" si="371"/>
        <v>41493.262999999963</v>
      </c>
      <c r="AI85" s="7">
        <f t="shared" si="371"/>
        <v>50562.128999999957</v>
      </c>
      <c r="AJ85" s="7">
        <f t="shared" si="371"/>
        <v>47900.919999999962</v>
      </c>
      <c r="AK85" s="7">
        <f t="shared" si="371"/>
        <v>40088.157999999952</v>
      </c>
    </row>
    <row r="86" spans="2:37" ht="13.5" customHeight="1">
      <c r="B86" s="16" t="s">
        <v>219</v>
      </c>
      <c r="C86" s="7">
        <f t="shared" ref="C86:K86" si="372">+C46</f>
        <v>1944.6879999999833</v>
      </c>
      <c r="D86" s="7">
        <f t="shared" si="372"/>
        <v>13141.275999999996</v>
      </c>
      <c r="E86" s="7">
        <f t="shared" si="372"/>
        <v>25743.189999999995</v>
      </c>
      <c r="F86" s="7">
        <f t="shared" si="372"/>
        <v>29090.309999999994</v>
      </c>
      <c r="G86" s="7">
        <f t="shared" si="372"/>
        <v>6523.8909999999996</v>
      </c>
      <c r="H86" s="7">
        <f t="shared" si="372"/>
        <v>24844.986999999983</v>
      </c>
      <c r="I86" s="7">
        <f t="shared" si="372"/>
        <v>30821.164999999957</v>
      </c>
      <c r="J86" s="7">
        <f t="shared" ref="J86" si="373">+J46</f>
        <v>56657.666999999943</v>
      </c>
      <c r="K86" s="7">
        <f t="shared" si="372"/>
        <v>49473.141999999963</v>
      </c>
      <c r="L86" s="7"/>
      <c r="M86" s="87"/>
      <c r="N86" s="87"/>
      <c r="O86" s="87"/>
      <c r="P86" s="7">
        <f t="shared" ref="P86:AK86" si="374">SUM(M46:P46)</f>
        <v>25743.189999999995</v>
      </c>
      <c r="Q86" s="7">
        <f t="shared" si="374"/>
        <v>31883.07499999999</v>
      </c>
      <c r="R86" s="7">
        <f t="shared" si="374"/>
        <v>37550.727999999988</v>
      </c>
      <c r="S86" s="7">
        <f t="shared" si="374"/>
        <v>33990.263999999981</v>
      </c>
      <c r="T86" s="7">
        <f t="shared" si="374"/>
        <v>29090.309999999983</v>
      </c>
      <c r="U86" s="7">
        <f t="shared" si="374"/>
        <v>20242.486999999976</v>
      </c>
      <c r="V86" s="7">
        <f t="shared" si="374"/>
        <v>11469.13099999997</v>
      </c>
      <c r="W86" s="7">
        <f t="shared" si="374"/>
        <v>7509.2639999999756</v>
      </c>
      <c r="X86" s="7">
        <f t="shared" si="374"/>
        <v>6523.8909999999905</v>
      </c>
      <c r="Y86" s="7">
        <f t="shared" si="374"/>
        <v>13382.008999999995</v>
      </c>
      <c r="Z86" s="7">
        <f t="shared" si="374"/>
        <v>15767.527999999995</v>
      </c>
      <c r="AA86" s="7">
        <f t="shared" si="374"/>
        <v>22850.534999999985</v>
      </c>
      <c r="AB86" s="7">
        <f t="shared" si="374"/>
        <v>24844.987000000001</v>
      </c>
      <c r="AC86" s="7">
        <f t="shared" si="374"/>
        <v>23097.060000000005</v>
      </c>
      <c r="AD86" s="7">
        <f t="shared" si="374"/>
        <v>25332.152000000006</v>
      </c>
      <c r="AE86" s="7">
        <f t="shared" si="374"/>
        <v>26417.591000000015</v>
      </c>
      <c r="AF86" s="7">
        <f t="shared" si="374"/>
        <v>30821.16499999995</v>
      </c>
      <c r="AG86" s="7">
        <f t="shared" si="374"/>
        <v>40652.07299999996</v>
      </c>
      <c r="AH86" s="7">
        <f t="shared" si="374"/>
        <v>48797.333999999966</v>
      </c>
      <c r="AI86" s="7">
        <f t="shared" si="374"/>
        <v>58392.461999999963</v>
      </c>
      <c r="AJ86" s="7">
        <f t="shared" si="374"/>
        <v>56657.666999999965</v>
      </c>
      <c r="AK86" s="7">
        <f t="shared" si="374"/>
        <v>49473.141999999956</v>
      </c>
    </row>
    <row r="87" spans="2:37" s="19" customFormat="1" ht="13.5" customHeight="1">
      <c r="B87" s="16" t="s">
        <v>220</v>
      </c>
      <c r="C87" s="7">
        <f t="shared" ref="C87:K87" si="375">+C51</f>
        <v>1944.6879999999833</v>
      </c>
      <c r="D87" s="7">
        <f t="shared" si="375"/>
        <v>13141.275999999996</v>
      </c>
      <c r="E87" s="7">
        <f t="shared" si="375"/>
        <v>25743.189999999995</v>
      </c>
      <c r="F87" s="7">
        <f t="shared" si="375"/>
        <v>29090.309999999994</v>
      </c>
      <c r="G87" s="7">
        <f t="shared" si="375"/>
        <v>6523.8909999999996</v>
      </c>
      <c r="H87" s="7">
        <f t="shared" si="375"/>
        <v>24844.986999999983</v>
      </c>
      <c r="I87" s="7">
        <f t="shared" si="375"/>
        <v>30821.164999999957</v>
      </c>
      <c r="J87" s="7">
        <f t="shared" ref="J87" si="376">+J51</f>
        <v>56657.666999999943</v>
      </c>
      <c r="K87" s="7">
        <f t="shared" si="375"/>
        <v>49473.141999999956</v>
      </c>
      <c r="L87" s="7"/>
      <c r="M87" s="87"/>
      <c r="N87" s="87"/>
      <c r="O87" s="87"/>
      <c r="P87" s="7">
        <f t="shared" ref="P87:AK87" si="377">SUM(M51:P51)</f>
        <v>25743.189999999995</v>
      </c>
      <c r="Q87" s="7">
        <f t="shared" si="377"/>
        <v>31883.07499999999</v>
      </c>
      <c r="R87" s="7">
        <f t="shared" si="377"/>
        <v>37550.727999999988</v>
      </c>
      <c r="S87" s="7">
        <f t="shared" si="377"/>
        <v>33990.263999999981</v>
      </c>
      <c r="T87" s="7">
        <f t="shared" si="377"/>
        <v>29090.309999999983</v>
      </c>
      <c r="U87" s="7">
        <f t="shared" si="377"/>
        <v>20242.486999999976</v>
      </c>
      <c r="V87" s="7">
        <f t="shared" si="377"/>
        <v>11469.13099999997</v>
      </c>
      <c r="W87" s="7">
        <f t="shared" si="377"/>
        <v>7509.2639999999756</v>
      </c>
      <c r="X87" s="7">
        <f t="shared" si="377"/>
        <v>6523.8909999999905</v>
      </c>
      <c r="Y87" s="7">
        <f t="shared" si="377"/>
        <v>13382.008999999995</v>
      </c>
      <c r="Z87" s="7">
        <f t="shared" si="377"/>
        <v>15767.527999999995</v>
      </c>
      <c r="AA87" s="7">
        <f t="shared" si="377"/>
        <v>22850.534999999985</v>
      </c>
      <c r="AB87" s="7">
        <f t="shared" si="377"/>
        <v>24844.987000000001</v>
      </c>
      <c r="AC87" s="7">
        <f t="shared" si="377"/>
        <v>23097.060000000005</v>
      </c>
      <c r="AD87" s="7">
        <f t="shared" si="377"/>
        <v>25332.152000000006</v>
      </c>
      <c r="AE87" s="7">
        <f t="shared" si="377"/>
        <v>26417.591000000015</v>
      </c>
      <c r="AF87" s="7">
        <f t="shared" si="377"/>
        <v>30821.16499999995</v>
      </c>
      <c r="AG87" s="7">
        <f t="shared" si="377"/>
        <v>40652.07299999996</v>
      </c>
      <c r="AH87" s="7">
        <f t="shared" si="377"/>
        <v>48797.333999999966</v>
      </c>
      <c r="AI87" s="7">
        <f t="shared" si="377"/>
        <v>58392.461999999963</v>
      </c>
      <c r="AJ87" s="7">
        <f t="shared" si="377"/>
        <v>56657.666999999965</v>
      </c>
      <c r="AK87" s="7">
        <f t="shared" si="377"/>
        <v>49473.141999999956</v>
      </c>
    </row>
    <row r="88" spans="2:37" ht="13.5" customHeight="1">
      <c r="B88" s="16" t="s">
        <v>203</v>
      </c>
      <c r="C88" s="7">
        <f t="shared" ref="C88:I88" si="378">-C63</f>
        <v>243.96600000000001</v>
      </c>
      <c r="D88" s="7">
        <f t="shared" si="378"/>
        <v>218.994</v>
      </c>
      <c r="E88" s="7">
        <f t="shared" si="378"/>
        <v>499.71100000000001</v>
      </c>
      <c r="F88" s="7">
        <f t="shared" si="378"/>
        <v>659.98699999999997</v>
      </c>
      <c r="G88" s="7">
        <f t="shared" si="378"/>
        <v>1020.229</v>
      </c>
      <c r="H88" s="7">
        <f t="shared" si="378"/>
        <v>758.13699999999994</v>
      </c>
      <c r="I88" s="7">
        <f t="shared" si="378"/>
        <v>717.22299999999996</v>
      </c>
      <c r="J88" s="7">
        <f t="shared" ref="J88" si="379">-J63</f>
        <v>774.76</v>
      </c>
      <c r="K88" s="87"/>
      <c r="L88" s="7"/>
      <c r="M88" s="87"/>
      <c r="N88" s="87"/>
      <c r="O88" s="87"/>
      <c r="P88" s="7">
        <f>-SUM(M63:P63)</f>
        <v>499.71100000000001</v>
      </c>
      <c r="Q88" s="87"/>
      <c r="R88" s="7">
        <f>-SUM(O63:R63)</f>
        <v>618.53899999999999</v>
      </c>
      <c r="S88" s="87"/>
      <c r="T88" s="7">
        <f>-SUM(Q63:T63)</f>
        <v>659.98699999999997</v>
      </c>
      <c r="U88" s="87"/>
      <c r="V88" s="7">
        <f>-SUM(S63:V63)</f>
        <v>835.34500000000003</v>
      </c>
      <c r="W88" s="87"/>
      <c r="X88" s="7">
        <f>-SUM(U63:X63)</f>
        <v>1020.229</v>
      </c>
      <c r="Y88" s="87"/>
      <c r="Z88" s="7">
        <f>-SUM(W63:Z63)</f>
        <v>883.89300000000003</v>
      </c>
      <c r="AA88" s="87"/>
      <c r="AB88" s="7">
        <f>-SUM(Y63:AB63)</f>
        <v>758.13699999999994</v>
      </c>
      <c r="AC88" s="87"/>
      <c r="AD88" s="7">
        <f>-SUM(AA63:AD63)</f>
        <v>785.21599999999989</v>
      </c>
      <c r="AE88" s="87"/>
      <c r="AF88" s="7">
        <f>-SUM(AC63:AF63)</f>
        <v>717.22299999999996</v>
      </c>
      <c r="AG88" s="87"/>
      <c r="AH88" s="7">
        <f>-SUM(AE63:AH63)</f>
        <v>756.10799999999995</v>
      </c>
      <c r="AI88" s="87"/>
      <c r="AJ88" s="7">
        <f>-SUM(AG63:AJ63)</f>
        <v>774.76</v>
      </c>
      <c r="AK88" s="87"/>
    </row>
    <row r="89" spans="2:37" ht="13.5" customHeight="1">
      <c r="B89" s="16" t="s">
        <v>221</v>
      </c>
      <c r="C89" s="7">
        <f t="shared" ref="C89:K89" si="380">+C25</f>
        <v>13477.746999999983</v>
      </c>
      <c r="D89" s="7">
        <f t="shared" si="380"/>
        <v>10102.949999999997</v>
      </c>
      <c r="E89" s="7">
        <f t="shared" si="380"/>
        <v>20312.709999999995</v>
      </c>
      <c r="F89" s="7">
        <f t="shared" si="380"/>
        <v>19283.234999999993</v>
      </c>
      <c r="G89" s="7">
        <f t="shared" si="380"/>
        <v>2502.5679999999998</v>
      </c>
      <c r="H89" s="7">
        <f t="shared" si="380"/>
        <v>17474.225999999984</v>
      </c>
      <c r="I89" s="7">
        <f t="shared" si="380"/>
        <v>23578.448999999957</v>
      </c>
      <c r="J89" s="7">
        <f t="shared" ref="J89" si="381">+J25</f>
        <v>41566.438999999948</v>
      </c>
      <c r="K89" s="7">
        <f t="shared" si="380"/>
        <v>35408.269999999975</v>
      </c>
      <c r="L89" s="7"/>
      <c r="M89" s="87"/>
      <c r="N89" s="87"/>
      <c r="O89" s="87"/>
      <c r="P89" s="7">
        <f t="shared" ref="P89:AK89" si="382">SUM(M25:P25)</f>
        <v>20312.709999999992</v>
      </c>
      <c r="Q89" s="7">
        <f t="shared" si="382"/>
        <v>25941.722999999991</v>
      </c>
      <c r="R89" s="7">
        <f t="shared" si="382"/>
        <v>29711.55799999999</v>
      </c>
      <c r="S89" s="7">
        <f t="shared" si="382"/>
        <v>25635.726999999984</v>
      </c>
      <c r="T89" s="7">
        <f t="shared" si="382"/>
        <v>19283.234999999982</v>
      </c>
      <c r="U89" s="7">
        <f t="shared" si="382"/>
        <v>10963.773999999976</v>
      </c>
      <c r="V89" s="7">
        <f t="shared" si="382"/>
        <v>4065.8429999999717</v>
      </c>
      <c r="W89" s="7">
        <f t="shared" si="382"/>
        <v>1803.4039999999759</v>
      </c>
      <c r="X89" s="7">
        <f t="shared" si="382"/>
        <v>2502.5679999999907</v>
      </c>
      <c r="Y89" s="7">
        <f t="shared" si="382"/>
        <v>7249.2599999999948</v>
      </c>
      <c r="Z89" s="7">
        <f t="shared" si="382"/>
        <v>9549.4069999999938</v>
      </c>
      <c r="AA89" s="7">
        <f t="shared" si="382"/>
        <v>15892.400999999987</v>
      </c>
      <c r="AB89" s="7">
        <f t="shared" si="382"/>
        <v>17474.226000000002</v>
      </c>
      <c r="AC89" s="7">
        <f t="shared" si="382"/>
        <v>17431.300000000003</v>
      </c>
      <c r="AD89" s="7">
        <f t="shared" si="382"/>
        <v>18835.445000000007</v>
      </c>
      <c r="AE89" s="7">
        <f t="shared" si="382"/>
        <v>19306.665000000012</v>
      </c>
      <c r="AF89" s="7">
        <f t="shared" si="382"/>
        <v>23578.44899999995</v>
      </c>
      <c r="AG89" s="7">
        <f t="shared" si="382"/>
        <v>30297.982999999957</v>
      </c>
      <c r="AH89" s="7">
        <f t="shared" si="382"/>
        <v>37101.476999999963</v>
      </c>
      <c r="AI89" s="7">
        <f t="shared" si="382"/>
        <v>44017.925999999963</v>
      </c>
      <c r="AJ89" s="7">
        <f t="shared" si="382"/>
        <v>41566.438999999969</v>
      </c>
      <c r="AK89" s="7">
        <f t="shared" si="382"/>
        <v>35408.269999999953</v>
      </c>
    </row>
    <row r="90" spans="2:37" ht="13.5" customHeight="1">
      <c r="B90" s="16" t="s">
        <v>222</v>
      </c>
      <c r="C90" s="7">
        <f t="shared" ref="C90:I90" si="383">-C65</f>
        <v>236.22199999999975</v>
      </c>
      <c r="D90" s="7">
        <f t="shared" si="383"/>
        <v>3337.4279999999999</v>
      </c>
      <c r="E90" s="7">
        <f t="shared" si="383"/>
        <v>2962.4349999999999</v>
      </c>
      <c r="F90" s="7">
        <f t="shared" si="383"/>
        <v>7133.9480000000003</v>
      </c>
      <c r="G90" s="7">
        <f t="shared" si="383"/>
        <v>5782.2359999999999</v>
      </c>
      <c r="H90" s="7">
        <f t="shared" si="383"/>
        <v>6196.067</v>
      </c>
      <c r="I90" s="7">
        <f t="shared" si="383"/>
        <v>6938.8190000000004</v>
      </c>
      <c r="J90" s="7">
        <f t="shared" ref="J90" si="384">-J65</f>
        <v>12756.379000000001</v>
      </c>
      <c r="K90" s="87"/>
      <c r="L90" s="7"/>
      <c r="M90" s="87"/>
      <c r="N90" s="87"/>
      <c r="O90" s="87"/>
      <c r="P90" s="7">
        <f>-SUM(M65:P65)</f>
        <v>2962.4349999999999</v>
      </c>
      <c r="Q90" s="87"/>
      <c r="R90" s="7">
        <f>-SUM(O65:R65)</f>
        <v>3659.1790000000001</v>
      </c>
      <c r="S90" s="87"/>
      <c r="T90" s="7">
        <f>-SUM(Q65:T65)</f>
        <v>7133.9480000000003</v>
      </c>
      <c r="U90" s="87"/>
      <c r="V90" s="7">
        <f>-SUM(S65:V65)</f>
        <v>8015.0060000000012</v>
      </c>
      <c r="W90" s="87"/>
      <c r="X90" s="7">
        <f>-SUM(U65:X65)</f>
        <v>5782.2359999999999</v>
      </c>
      <c r="Y90" s="87"/>
      <c r="Z90" s="7">
        <f>-SUM(W65:Z65)</f>
        <v>6740.5889999999999</v>
      </c>
      <c r="AA90" s="87"/>
      <c r="AB90" s="7">
        <f>-SUM(Y65:AB65)</f>
        <v>6196.067</v>
      </c>
      <c r="AC90" s="87"/>
      <c r="AD90" s="7">
        <f>-SUM(AA65:AD65)</f>
        <v>4548.6390000000001</v>
      </c>
      <c r="AE90" s="87"/>
      <c r="AF90" s="7">
        <f>-SUM(AC65:AF65)</f>
        <v>6938.8190000000004</v>
      </c>
      <c r="AG90" s="87"/>
      <c r="AH90" s="7">
        <f>-SUM(AE65:AH65)</f>
        <v>10003.528</v>
      </c>
      <c r="AI90" s="87"/>
      <c r="AJ90" s="7">
        <f>-SUM(AG65:AJ65)</f>
        <v>12756.379000000001</v>
      </c>
      <c r="AK90" s="87"/>
    </row>
    <row r="91" spans="2:37" ht="13.5" customHeight="1">
      <c r="B91" s="16" t="s">
        <v>208</v>
      </c>
      <c r="C91" s="7">
        <f t="shared" ref="C91:I91" si="385">+C68</f>
        <v>-3685.771000000017</v>
      </c>
      <c r="D91" s="7">
        <f t="shared" si="385"/>
        <v>12736.401999999995</v>
      </c>
      <c r="E91" s="7">
        <f t="shared" si="385"/>
        <v>14832.422999999993</v>
      </c>
      <c r="F91" s="7">
        <f t="shared" si="385"/>
        <v>-1071.5590000000095</v>
      </c>
      <c r="G91" s="7">
        <f t="shared" si="385"/>
        <v>-25340.359999999997</v>
      </c>
      <c r="H91" s="7">
        <f t="shared" si="385"/>
        <v>4335.5749999999834</v>
      </c>
      <c r="I91" s="7">
        <f t="shared" si="385"/>
        <v>71531.444999999963</v>
      </c>
      <c r="J91" s="7">
        <f t="shared" ref="J91" si="386">+J68</f>
        <v>24560.418999999943</v>
      </c>
      <c r="K91" s="87"/>
      <c r="L91" s="7"/>
      <c r="M91" s="87"/>
      <c r="N91" s="87"/>
      <c r="O91" s="87"/>
      <c r="P91" s="7">
        <f>SUM(M68:P68)</f>
        <v>14832.422999999993</v>
      </c>
      <c r="Q91" s="87"/>
      <c r="R91" s="7">
        <f>SUM(O68:R68)</f>
        <v>25908.658999999985</v>
      </c>
      <c r="S91" s="87"/>
      <c r="T91" s="7">
        <f>SUM(Q68:T68)</f>
        <v>-1071.5590000000084</v>
      </c>
      <c r="U91" s="87"/>
      <c r="V91" s="7">
        <f>SUM(S68:V68)</f>
        <v>-20413.129000000019</v>
      </c>
      <c r="W91" s="87"/>
      <c r="X91" s="7">
        <f>SUM(U68:X68)</f>
        <v>-25340.359999999997</v>
      </c>
      <c r="Y91" s="87"/>
      <c r="Z91" s="7">
        <f>SUM(W68:Z68)</f>
        <v>-16274.163999999993</v>
      </c>
      <c r="AA91" s="87"/>
      <c r="AB91" s="7">
        <f>SUM(Y68:AB68)</f>
        <v>4335.5749999999862</v>
      </c>
      <c r="AC91" s="87"/>
      <c r="AD91" s="7">
        <f>SUM(AA68:AD68)</f>
        <v>5220.3129999999874</v>
      </c>
      <c r="AE91" s="87"/>
      <c r="AF91" s="7">
        <f>SUM(AC68:AF68)</f>
        <v>71531.444999999963</v>
      </c>
      <c r="AG91" s="87"/>
      <c r="AH91" s="7">
        <f>SUM(AE68:AH68)</f>
        <v>84941.545999999973</v>
      </c>
      <c r="AI91" s="87"/>
      <c r="AJ91" s="7">
        <f>SUM(AG68:AJ68)</f>
        <v>24560.418999999965</v>
      </c>
      <c r="AK91" s="87"/>
    </row>
    <row r="92" spans="2:37" ht="13.5" customHeight="1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2:37" ht="13.5" customHeight="1">
      <c r="B93" s="39" t="s">
        <v>223</v>
      </c>
      <c r="C93" s="44">
        <f t="shared" ref="C93:I93" si="387">C3</f>
        <v>43465</v>
      </c>
      <c r="D93" s="44">
        <f t="shared" si="387"/>
        <v>43830</v>
      </c>
      <c r="E93" s="44">
        <f t="shared" si="387"/>
        <v>44196</v>
      </c>
      <c r="F93" s="44">
        <f t="shared" si="387"/>
        <v>44561</v>
      </c>
      <c r="G93" s="44">
        <f t="shared" si="387"/>
        <v>44926</v>
      </c>
      <c r="H93" s="44">
        <f t="shared" si="387"/>
        <v>45291</v>
      </c>
      <c r="I93" s="44">
        <f t="shared" si="387"/>
        <v>45657</v>
      </c>
      <c r="J93" s="44">
        <f t="shared" ref="J93" si="388">J3</f>
        <v>46022</v>
      </c>
      <c r="K93" s="44" t="str">
        <f>K2</f>
        <v>LTM</v>
      </c>
      <c r="L93" s="204"/>
      <c r="M93" s="44">
        <f t="shared" ref="M93:AI93" si="389">M3</f>
        <v>43921</v>
      </c>
      <c r="N93" s="44">
        <f t="shared" si="389"/>
        <v>44012</v>
      </c>
      <c r="O93" s="44">
        <f t="shared" si="389"/>
        <v>44104</v>
      </c>
      <c r="P93" s="44">
        <f t="shared" si="389"/>
        <v>44196</v>
      </c>
      <c r="Q93" s="44">
        <f t="shared" si="389"/>
        <v>44286</v>
      </c>
      <c r="R93" s="44">
        <f t="shared" si="389"/>
        <v>44377</v>
      </c>
      <c r="S93" s="44">
        <f t="shared" si="389"/>
        <v>44469</v>
      </c>
      <c r="T93" s="44">
        <f t="shared" si="389"/>
        <v>44561</v>
      </c>
      <c r="U93" s="44">
        <f t="shared" si="389"/>
        <v>44651</v>
      </c>
      <c r="V93" s="44">
        <f t="shared" si="389"/>
        <v>44742</v>
      </c>
      <c r="W93" s="44">
        <f t="shared" si="389"/>
        <v>44834</v>
      </c>
      <c r="X93" s="44">
        <f t="shared" si="389"/>
        <v>44926</v>
      </c>
      <c r="Y93" s="44">
        <f t="shared" si="389"/>
        <v>45016</v>
      </c>
      <c r="Z93" s="44">
        <f t="shared" si="389"/>
        <v>45107</v>
      </c>
      <c r="AA93" s="44">
        <f t="shared" si="389"/>
        <v>45199</v>
      </c>
      <c r="AB93" s="44">
        <f t="shared" si="389"/>
        <v>45291</v>
      </c>
      <c r="AC93" s="44">
        <f t="shared" si="389"/>
        <v>45382</v>
      </c>
      <c r="AD93" s="44">
        <f t="shared" si="389"/>
        <v>45473</v>
      </c>
      <c r="AE93" s="44">
        <f t="shared" si="389"/>
        <v>45565</v>
      </c>
      <c r="AF93" s="44">
        <f t="shared" si="389"/>
        <v>45657</v>
      </c>
      <c r="AG93" s="44">
        <f t="shared" si="389"/>
        <v>45747</v>
      </c>
      <c r="AH93" s="44">
        <f t="shared" si="389"/>
        <v>45838</v>
      </c>
      <c r="AI93" s="44">
        <f t="shared" si="389"/>
        <v>45930</v>
      </c>
      <c r="AJ93" s="44">
        <f t="shared" ref="AJ93:AK93" si="390">AJ3</f>
        <v>46022</v>
      </c>
      <c r="AK93" s="44">
        <f t="shared" si="390"/>
        <v>46112</v>
      </c>
    </row>
    <row r="94" spans="2:37" ht="13.5" customHeight="1">
      <c r="C94" s="51"/>
      <c r="D94" s="51"/>
      <c r="E94" s="51"/>
      <c r="F94" s="51"/>
      <c r="G94" s="51"/>
      <c r="H94" s="51"/>
      <c r="I94" s="51"/>
    </row>
    <row r="95" spans="2:37" s="19" customFormat="1" ht="13.5" customHeight="1">
      <c r="B95" s="16" t="s">
        <v>224</v>
      </c>
      <c r="C95" s="51">
        <f>3402.968+5068.053</f>
        <v>8471.0210000000006</v>
      </c>
      <c r="D95" s="51">
        <v>6992.3310000000001</v>
      </c>
      <c r="E95" s="51">
        <v>6305.6570000000002</v>
      </c>
      <c r="F95" s="51">
        <v>6964.6210000000001</v>
      </c>
      <c r="G95" s="51">
        <v>9138.2209999999995</v>
      </c>
      <c r="H95" s="51">
        <v>13720.825000000001</v>
      </c>
      <c r="I95" s="51">
        <v>18087.582999999999</v>
      </c>
      <c r="J95" s="51">
        <v>27950.293000000001</v>
      </c>
      <c r="K95" s="7">
        <f>AK95</f>
        <v>28746.276000000002</v>
      </c>
      <c r="L95" s="7"/>
      <c r="M95" s="51">
        <v>7237.3590000000004</v>
      </c>
      <c r="N95" s="51">
        <v>8001.8249999999998</v>
      </c>
      <c r="O95" s="51">
        <v>6990.4430000000002</v>
      </c>
      <c r="P95" s="7">
        <f>E95</f>
        <v>6305.6570000000002</v>
      </c>
      <c r="Q95" s="51">
        <v>6652.1379999999999</v>
      </c>
      <c r="R95" s="51">
        <v>6987.1660000000002</v>
      </c>
      <c r="S95" s="51">
        <v>7135.2510000000002</v>
      </c>
      <c r="T95" s="7">
        <f>F95</f>
        <v>6964.6210000000001</v>
      </c>
      <c r="U95" s="51">
        <v>7223.9319999999998</v>
      </c>
      <c r="V95" s="51">
        <v>7674.223</v>
      </c>
      <c r="W95" s="51">
        <v>8466.0939999999991</v>
      </c>
      <c r="X95" s="7">
        <f>G95</f>
        <v>9138.2209999999995</v>
      </c>
      <c r="Y95" s="51">
        <v>9722.1409999999996</v>
      </c>
      <c r="Z95" s="51">
        <v>12019.697</v>
      </c>
      <c r="AA95" s="51">
        <v>12707.66</v>
      </c>
      <c r="AB95" s="7">
        <f>H95</f>
        <v>13720.825000000001</v>
      </c>
      <c r="AC95" s="51">
        <v>14324.16</v>
      </c>
      <c r="AD95" s="51">
        <v>15779.911</v>
      </c>
      <c r="AE95" s="51">
        <v>16154.691999999999</v>
      </c>
      <c r="AF95" s="7">
        <f>I95</f>
        <v>18087.582999999999</v>
      </c>
      <c r="AG95" s="51">
        <v>19585.866999999998</v>
      </c>
      <c r="AH95" s="51">
        <v>22212.154999999999</v>
      </c>
      <c r="AI95" s="51">
        <v>25069.728999999999</v>
      </c>
      <c r="AJ95" s="7">
        <f>J95</f>
        <v>27950.293000000001</v>
      </c>
      <c r="AK95" s="51">
        <v>28746.276000000002</v>
      </c>
    </row>
    <row r="96" spans="2:37" s="19" customFormat="1" ht="13.5" customHeight="1">
      <c r="B96" s="62" t="s">
        <v>225</v>
      </c>
      <c r="C96" s="51">
        <v>29480.685000000001</v>
      </c>
      <c r="D96" s="51">
        <v>32585.437999999998</v>
      </c>
      <c r="E96" s="51">
        <v>41670.718999999997</v>
      </c>
      <c r="F96" s="51">
        <v>52397.946000000004</v>
      </c>
      <c r="G96" s="51">
        <v>50437.891000000003</v>
      </c>
      <c r="H96" s="51">
        <v>44422.837</v>
      </c>
      <c r="I96" s="51">
        <v>62509.682000000001</v>
      </c>
      <c r="J96" s="51">
        <v>80989.452000000005</v>
      </c>
      <c r="K96" s="7">
        <f t="shared" ref="K96:K98" si="391">AK96</f>
        <v>78186.312000000005</v>
      </c>
      <c r="L96" s="7"/>
      <c r="M96" s="51">
        <v>34111.461000000003</v>
      </c>
      <c r="N96" s="51">
        <v>38856.938999999998</v>
      </c>
      <c r="O96" s="51">
        <v>34996.233999999997</v>
      </c>
      <c r="P96" s="7">
        <f>E96</f>
        <v>41670.718999999997</v>
      </c>
      <c r="Q96" s="51">
        <v>49537.347999999998</v>
      </c>
      <c r="R96" s="51">
        <v>56801.934000000001</v>
      </c>
      <c r="S96" s="51">
        <v>58181.843999999997</v>
      </c>
      <c r="T96" s="7">
        <f>F96</f>
        <v>52397.946000000004</v>
      </c>
      <c r="U96" s="51">
        <v>56144.7</v>
      </c>
      <c r="V96" s="51">
        <v>57798.718999999997</v>
      </c>
      <c r="W96" s="51">
        <v>52997.434000000001</v>
      </c>
      <c r="X96" s="7">
        <f>G96</f>
        <v>50437.891000000003</v>
      </c>
      <c r="Y96" s="51">
        <v>42595.212</v>
      </c>
      <c r="Z96" s="51">
        <v>38454.690999999999</v>
      </c>
      <c r="AA96" s="51">
        <v>36842.283000000003</v>
      </c>
      <c r="AB96" s="7">
        <f>H96</f>
        <v>44422.837</v>
      </c>
      <c r="AC96" s="51">
        <v>51918.525000000001</v>
      </c>
      <c r="AD96" s="51">
        <v>51524.154000000002</v>
      </c>
      <c r="AE96" s="51">
        <v>49313.196000000004</v>
      </c>
      <c r="AF96" s="7">
        <f t="shared" ref="AF96:AF98" si="392">I96</f>
        <v>62509.682000000001</v>
      </c>
      <c r="AG96" s="51">
        <v>61416.913</v>
      </c>
      <c r="AH96" s="51">
        <v>65825.475000000006</v>
      </c>
      <c r="AI96" s="51">
        <v>73995.731</v>
      </c>
      <c r="AJ96" s="7">
        <f t="shared" ref="AJ96:AJ98" si="393">J96</f>
        <v>80989.452000000005</v>
      </c>
      <c r="AK96" s="51">
        <v>78186.312000000005</v>
      </c>
    </row>
    <row r="97" spans="2:37" s="19" customFormat="1" ht="13.5" customHeight="1">
      <c r="B97" s="62" t="s">
        <v>226</v>
      </c>
      <c r="C97" s="51">
        <v>5598.4430000000002</v>
      </c>
      <c r="D97" s="51">
        <v>6948.567</v>
      </c>
      <c r="E97" s="51">
        <v>10161.019</v>
      </c>
      <c r="F97" s="51">
        <v>17985.503000000001</v>
      </c>
      <c r="G97" s="51">
        <v>11795.074000000001</v>
      </c>
      <c r="H97" s="51">
        <v>12150.928</v>
      </c>
      <c r="I97" s="51">
        <v>14588.579</v>
      </c>
      <c r="J97" s="51">
        <v>15239.877</v>
      </c>
      <c r="K97" s="7">
        <f t="shared" si="391"/>
        <v>17782.582999999999</v>
      </c>
      <c r="L97" s="7"/>
      <c r="M97" s="51">
        <v>7819.38</v>
      </c>
      <c r="N97" s="51">
        <v>8472.0740000000005</v>
      </c>
      <c r="O97" s="51">
        <v>13482.432000000001</v>
      </c>
      <c r="P97" s="7">
        <f>E97</f>
        <v>10161.019</v>
      </c>
      <c r="Q97" s="51">
        <v>12638.874</v>
      </c>
      <c r="R97" s="51">
        <v>14621.462</v>
      </c>
      <c r="S97" s="51">
        <v>14107.616</v>
      </c>
      <c r="T97" s="7">
        <f>F97</f>
        <v>17985.503000000001</v>
      </c>
      <c r="U97" s="51">
        <v>17239.735000000001</v>
      </c>
      <c r="V97" s="51">
        <v>15196.628000000001</v>
      </c>
      <c r="W97" s="51">
        <v>14531.181</v>
      </c>
      <c r="X97" s="7">
        <f>G97</f>
        <v>11795.074000000001</v>
      </c>
      <c r="Y97" s="51">
        <v>11140.263999999999</v>
      </c>
      <c r="Z97" s="51">
        <v>12541.275</v>
      </c>
      <c r="AA97" s="51">
        <v>13677.498</v>
      </c>
      <c r="AB97" s="7">
        <f>H97</f>
        <v>12150.928</v>
      </c>
      <c r="AC97" s="51">
        <v>11213.539000000001</v>
      </c>
      <c r="AD97" s="51">
        <v>13648.816000000001</v>
      </c>
      <c r="AE97" s="51">
        <v>14372.495000000001</v>
      </c>
      <c r="AF97" s="7">
        <f t="shared" si="392"/>
        <v>14588.579</v>
      </c>
      <c r="AG97" s="51">
        <v>17285.786</v>
      </c>
      <c r="AH97" s="51">
        <v>18845.259999999998</v>
      </c>
      <c r="AI97" s="51">
        <v>22637.428</v>
      </c>
      <c r="AJ97" s="7">
        <f t="shared" si="393"/>
        <v>15239.877</v>
      </c>
      <c r="AK97" s="51">
        <v>17782.582999999999</v>
      </c>
    </row>
    <row r="98" spans="2:37" s="19" customFormat="1" ht="13.5" customHeight="1">
      <c r="B98" s="62" t="s">
        <v>227</v>
      </c>
      <c r="C98" s="51">
        <v>46287.271000000001</v>
      </c>
      <c r="D98" s="51">
        <v>59527.94</v>
      </c>
      <c r="E98" s="51">
        <v>72198.856</v>
      </c>
      <c r="F98" s="51">
        <v>74643.005000000005</v>
      </c>
      <c r="G98" s="51">
        <v>53093.542999999998</v>
      </c>
      <c r="H98" s="51">
        <v>62098.5</v>
      </c>
      <c r="I98" s="51">
        <v>98280.585000000006</v>
      </c>
      <c r="J98" s="51">
        <v>110699.47199999999</v>
      </c>
      <c r="K98" s="7">
        <f t="shared" si="391"/>
        <v>104936.289</v>
      </c>
      <c r="L98" s="7"/>
      <c r="M98" s="51">
        <v>53910.21</v>
      </c>
      <c r="N98" s="51">
        <v>60433.834999999999</v>
      </c>
      <c r="O98" s="51">
        <v>63256.578000000001</v>
      </c>
      <c r="P98" s="7">
        <f>E98</f>
        <v>72198.856</v>
      </c>
      <c r="Q98" s="51">
        <v>82306.095000000001</v>
      </c>
      <c r="R98" s="51">
        <v>91373.986999999994</v>
      </c>
      <c r="S98" s="51">
        <v>73355.846999999994</v>
      </c>
      <c r="T98" s="7">
        <f>F98</f>
        <v>74643.005000000005</v>
      </c>
      <c r="U98" s="51">
        <v>74874.543000000005</v>
      </c>
      <c r="V98" s="51">
        <v>69680.441999999995</v>
      </c>
      <c r="W98" s="51">
        <v>58946.061999999998</v>
      </c>
      <c r="X98" s="7">
        <f>G98</f>
        <v>53093.542999999998</v>
      </c>
      <c r="Y98" s="51">
        <v>41584.877</v>
      </c>
      <c r="Z98" s="51">
        <v>55106.248</v>
      </c>
      <c r="AA98" s="51">
        <v>54682.769</v>
      </c>
      <c r="AB98" s="7">
        <f>H98</f>
        <v>62098.5</v>
      </c>
      <c r="AC98" s="51">
        <v>60547.076999999997</v>
      </c>
      <c r="AD98" s="51">
        <v>66772.472999999998</v>
      </c>
      <c r="AE98" s="51">
        <v>68688.815000000002</v>
      </c>
      <c r="AF98" s="7">
        <f t="shared" si="392"/>
        <v>98280.585000000006</v>
      </c>
      <c r="AG98" s="51">
        <v>93753.96</v>
      </c>
      <c r="AH98" s="51">
        <v>108393.32399999999</v>
      </c>
      <c r="AI98" s="51">
        <v>116808.735</v>
      </c>
      <c r="AJ98" s="7">
        <f t="shared" si="393"/>
        <v>110699.47199999999</v>
      </c>
      <c r="AK98" s="51">
        <v>104936.289</v>
      </c>
    </row>
    <row r="99" spans="2:37" s="19" customFormat="1" ht="13.5" customHeight="1">
      <c r="B99" s="19" t="s">
        <v>228</v>
      </c>
      <c r="C99" s="43">
        <f t="shared" ref="C99:D99" si="394">+C96+C97-C98</f>
        <v>-11208.142999999996</v>
      </c>
      <c r="D99" s="43">
        <f t="shared" si="394"/>
        <v>-19993.935000000005</v>
      </c>
      <c r="E99" s="43">
        <f t="shared" ref="E99:K99" si="395">+E96+E97-E98</f>
        <v>-20367.118000000002</v>
      </c>
      <c r="F99" s="43">
        <f t="shared" si="395"/>
        <v>-4259.5559999999969</v>
      </c>
      <c r="G99" s="43">
        <f t="shared" si="395"/>
        <v>9139.4220000000059</v>
      </c>
      <c r="H99" s="43">
        <f t="shared" si="395"/>
        <v>-5524.7350000000006</v>
      </c>
      <c r="I99" s="43">
        <f t="shared" si="395"/>
        <v>-21182.324000000008</v>
      </c>
      <c r="J99" s="43">
        <f t="shared" ref="J99" si="396">+J96+J97-J98</f>
        <v>-14470.142999999996</v>
      </c>
      <c r="K99" s="43">
        <f t="shared" si="395"/>
        <v>-8967.3940000000002</v>
      </c>
      <c r="L99" s="7"/>
      <c r="M99" s="43">
        <f t="shared" ref="M99:S99" si="397">+M96+M97-M98</f>
        <v>-11979.368999999999</v>
      </c>
      <c r="N99" s="43">
        <f t="shared" si="397"/>
        <v>-13104.822</v>
      </c>
      <c r="O99" s="43">
        <f t="shared" si="397"/>
        <v>-14777.912000000004</v>
      </c>
      <c r="P99" s="43">
        <f t="shared" si="397"/>
        <v>-20367.118000000002</v>
      </c>
      <c r="Q99" s="43">
        <f t="shared" si="397"/>
        <v>-20129.873000000007</v>
      </c>
      <c r="R99" s="43">
        <f t="shared" si="397"/>
        <v>-19950.590999999986</v>
      </c>
      <c r="S99" s="43">
        <f t="shared" si="397"/>
        <v>-1066.3870000000024</v>
      </c>
      <c r="T99" s="43">
        <f t="shared" ref="T99:V99" si="398">+T96+T97-T98</f>
        <v>-4259.5559999999969</v>
      </c>
      <c r="U99" s="43">
        <f t="shared" si="398"/>
        <v>-1490.1080000000075</v>
      </c>
      <c r="V99" s="43">
        <f t="shared" si="398"/>
        <v>3314.9049999999988</v>
      </c>
      <c r="W99" s="43">
        <f t="shared" ref="W99:Z99" si="399">+W96+W97-W98</f>
        <v>8582.5530000000072</v>
      </c>
      <c r="X99" s="43">
        <f t="shared" si="399"/>
        <v>9139.4220000000059</v>
      </c>
      <c r="Y99" s="43">
        <f t="shared" si="399"/>
        <v>12150.598999999995</v>
      </c>
      <c r="Z99" s="43">
        <f t="shared" si="399"/>
        <v>-4110.2819999999992</v>
      </c>
      <c r="AA99" s="43">
        <f t="shared" ref="AA99:AD99" si="400">+AA96+AA97-AA98</f>
        <v>-4162.9879999999976</v>
      </c>
      <c r="AB99" s="43">
        <f t="shared" si="400"/>
        <v>-5524.7350000000006</v>
      </c>
      <c r="AC99" s="43">
        <f t="shared" si="400"/>
        <v>2584.987000000001</v>
      </c>
      <c r="AD99" s="43">
        <f t="shared" si="400"/>
        <v>-1599.502999999997</v>
      </c>
      <c r="AE99" s="43">
        <f t="shared" ref="AE99:AH99" si="401">+AE96+AE97-AE98</f>
        <v>-5003.1239999999962</v>
      </c>
      <c r="AF99" s="43">
        <f t="shared" si="401"/>
        <v>-21182.324000000008</v>
      </c>
      <c r="AG99" s="43">
        <f t="shared" si="401"/>
        <v>-15051.261000000013</v>
      </c>
      <c r="AH99" s="43">
        <f t="shared" si="401"/>
        <v>-23722.588999999993</v>
      </c>
      <c r="AI99" s="43">
        <f t="shared" ref="AI99:AK99" si="402">+AI96+AI97-AI98</f>
        <v>-20175.576000000001</v>
      </c>
      <c r="AJ99" s="43">
        <f t="shared" si="402"/>
        <v>-14470.142999999996</v>
      </c>
      <c r="AK99" s="43">
        <f t="shared" si="402"/>
        <v>-8967.3940000000002</v>
      </c>
    </row>
    <row r="100" spans="2:37" s="29" customFormat="1" ht="13.5" customHeight="1">
      <c r="B100" s="56" t="s">
        <v>229</v>
      </c>
      <c r="C100" s="64">
        <f t="shared" ref="C100:E100" si="403">+C99/C84</f>
        <v>-6.4077499168526716E-2</v>
      </c>
      <c r="D100" s="64">
        <f t="shared" si="403"/>
        <v>-9.7134002247449322E-2</v>
      </c>
      <c r="E100" s="64">
        <f t="shared" si="403"/>
        <v>-8.2838409547055333E-2</v>
      </c>
      <c r="F100" s="64">
        <f t="shared" ref="F100:G100" si="404">+F99/F84</f>
        <v>-1.2974222816729631E-2</v>
      </c>
      <c r="G100" s="64">
        <f t="shared" si="404"/>
        <v>3.2635662530993009E-2</v>
      </c>
      <c r="H100" s="64">
        <f t="shared" ref="H100:I100" si="405">+H99/H84</f>
        <v>-2.0388725545733649E-2</v>
      </c>
      <c r="I100" s="64">
        <f t="shared" si="405"/>
        <v>-5.7890014753775136E-2</v>
      </c>
      <c r="J100" s="64">
        <f t="shared" ref="J100" si="406">+J99/J84</f>
        <v>-3.164348189301211E-2</v>
      </c>
      <c r="K100" s="64">
        <f>+K99/K84</f>
        <v>-2.0145337132894039E-2</v>
      </c>
      <c r="L100" s="7"/>
      <c r="M100" s="87"/>
      <c r="N100" s="87"/>
      <c r="O100" s="87"/>
      <c r="P100" s="64">
        <f t="shared" ref="P100:S100" si="407">+P99/P84</f>
        <v>-8.2838409547055333E-2</v>
      </c>
      <c r="Q100" s="67">
        <f t="shared" si="407"/>
        <v>-7.3723476452355191E-2</v>
      </c>
      <c r="R100" s="67">
        <f t="shared" si="407"/>
        <v>-6.4922875990788068E-2</v>
      </c>
      <c r="S100" s="64">
        <f t="shared" si="407"/>
        <v>-3.4048457356510888E-3</v>
      </c>
      <c r="T100" s="64">
        <f t="shared" ref="T100:V100" si="408">+T99/T84</f>
        <v>-1.2974222816729631E-2</v>
      </c>
      <c r="U100" s="67">
        <f t="shared" si="408"/>
        <v>-4.5880748676689048E-3</v>
      </c>
      <c r="V100" s="67">
        <f t="shared" si="408"/>
        <v>1.0792097513897956E-2</v>
      </c>
      <c r="W100" s="67">
        <f t="shared" ref="W100:Z100" si="409">+W99/W84</f>
        <v>2.8649400812289397E-2</v>
      </c>
      <c r="X100" s="64">
        <f t="shared" si="409"/>
        <v>3.2635662530993009E-2</v>
      </c>
      <c r="Y100" s="67">
        <f t="shared" si="409"/>
        <v>4.5649829314873623E-2</v>
      </c>
      <c r="Z100" s="67">
        <f t="shared" si="409"/>
        <v>-1.5607459958818343E-2</v>
      </c>
      <c r="AA100" s="67">
        <f t="shared" ref="AA100:AD100" si="410">+AA99/AA84</f>
        <v>-1.5782415284561476E-2</v>
      </c>
      <c r="AB100" s="64">
        <f t="shared" si="410"/>
        <v>-2.0388725545733649E-2</v>
      </c>
      <c r="AC100" s="67">
        <f t="shared" si="410"/>
        <v>9.0069299981503856E-3</v>
      </c>
      <c r="AD100" s="67">
        <f t="shared" si="410"/>
        <v>-5.1842250708796717E-3</v>
      </c>
      <c r="AE100" s="67">
        <f t="shared" ref="AE100:AH100" si="411">+AE99/AE84</f>
        <v>-1.5154330582489155E-2</v>
      </c>
      <c r="AF100" s="64">
        <f t="shared" si="411"/>
        <v>-5.7890014753775136E-2</v>
      </c>
      <c r="AG100" s="67">
        <f t="shared" si="411"/>
        <v>-3.7469575169078527E-2</v>
      </c>
      <c r="AH100" s="67">
        <f t="shared" si="411"/>
        <v>-5.5328217627041952E-2</v>
      </c>
      <c r="AI100" s="67">
        <f t="shared" ref="AI100:AK100" si="412">+AI99/AI84</f>
        <v>-4.4896938165413854E-2</v>
      </c>
      <c r="AJ100" s="64">
        <f t="shared" si="412"/>
        <v>-3.164348189301211E-2</v>
      </c>
      <c r="AK100" s="67">
        <f t="shared" si="412"/>
        <v>-2.0145337132894039E-2</v>
      </c>
    </row>
    <row r="101" spans="2:37" ht="13.5" customHeight="1">
      <c r="C101" s="59"/>
      <c r="D101" s="59"/>
      <c r="E101" s="59"/>
      <c r="F101" s="59"/>
      <c r="G101" s="59"/>
      <c r="H101" s="59"/>
      <c r="I101" s="59"/>
      <c r="J101" s="59"/>
      <c r="K101" s="7"/>
      <c r="L101" s="7"/>
      <c r="M101" s="51"/>
      <c r="N101" s="51"/>
      <c r="O101" s="51"/>
      <c r="P101" s="7"/>
      <c r="Q101" s="51"/>
      <c r="R101" s="51"/>
      <c r="S101" s="51"/>
      <c r="T101" s="7"/>
      <c r="U101" s="51"/>
      <c r="V101" s="51"/>
      <c r="W101" s="51"/>
      <c r="X101" s="7"/>
      <c r="Y101" s="51"/>
      <c r="Z101" s="51"/>
      <c r="AA101" s="51"/>
      <c r="AB101" s="7"/>
      <c r="AC101" s="51"/>
      <c r="AD101" s="51"/>
      <c r="AE101" s="51"/>
      <c r="AF101" s="7"/>
      <c r="AG101" s="51"/>
      <c r="AH101" s="51"/>
      <c r="AI101" s="51"/>
      <c r="AJ101" s="7"/>
      <c r="AK101" s="51"/>
    </row>
    <row r="102" spans="2:37" ht="13.5" customHeight="1">
      <c r="B102" s="230" t="s">
        <v>230</v>
      </c>
      <c r="C102" s="231">
        <f t="shared" ref="C102:K102" si="413">IFERROR((C96/-C9)*365,"-")</f>
        <v>70.457074460702131</v>
      </c>
      <c r="D102" s="231">
        <f t="shared" si="413"/>
        <v>67.08806959366234</v>
      </c>
      <c r="E102" s="232">
        <f t="shared" si="413"/>
        <v>72.734628438219872</v>
      </c>
      <c r="F102" s="232">
        <f t="shared" si="413"/>
        <v>70.821616314100723</v>
      </c>
      <c r="G102" s="232">
        <f t="shared" si="413"/>
        <v>79.19336505674147</v>
      </c>
      <c r="H102" s="232">
        <f t="shared" si="413"/>
        <v>75.947535292577442</v>
      </c>
      <c r="I102" s="232">
        <f t="shared" si="413"/>
        <v>78.853765487729504</v>
      </c>
      <c r="J102" s="232">
        <f t="shared" ref="J102" si="414">IFERROR((J96/-J9)*365,"-")</f>
        <v>83.158208976888886</v>
      </c>
      <c r="K102" s="232">
        <f t="shared" si="413"/>
        <v>82.259886722288442</v>
      </c>
      <c r="L102" s="233"/>
      <c r="M102" s="232">
        <f t="shared" ref="M102:AI102" si="415">IFERROR((M96/-M9)*(365/4),"-")</f>
        <v>73.858490774779924</v>
      </c>
      <c r="N102" s="232">
        <f t="shared" si="415"/>
        <v>77.355526510079045</v>
      </c>
      <c r="O102" s="232">
        <f t="shared" si="415"/>
        <v>51.508945915407907</v>
      </c>
      <c r="P102" s="232">
        <f t="shared" si="415"/>
        <v>64.299508771905494</v>
      </c>
      <c r="Q102" s="232">
        <f t="shared" si="415"/>
        <v>72.069767792991343</v>
      </c>
      <c r="R102" s="232">
        <f t="shared" si="415"/>
        <v>71.35339998731844</v>
      </c>
      <c r="S102" s="232">
        <f t="shared" si="415"/>
        <v>83.252947822347195</v>
      </c>
      <c r="T102" s="232">
        <f t="shared" si="415"/>
        <v>67.422463912091686</v>
      </c>
      <c r="U102" s="232">
        <f t="shared" si="415"/>
        <v>84.483105584871254</v>
      </c>
      <c r="V102" s="232">
        <f t="shared" si="415"/>
        <v>90.306103746629319</v>
      </c>
      <c r="W102" s="232">
        <f t="shared" si="415"/>
        <v>82.311856962001187</v>
      </c>
      <c r="X102" s="232">
        <f t="shared" si="415"/>
        <v>84.186366679173233</v>
      </c>
      <c r="Y102" s="232">
        <f t="shared" si="415"/>
        <v>81.168780877127332</v>
      </c>
      <c r="Z102" s="232">
        <f t="shared" si="415"/>
        <v>65.966042750735369</v>
      </c>
      <c r="AA102" s="232">
        <f t="shared" si="415"/>
        <v>61.364911414776181</v>
      </c>
      <c r="AB102" s="232">
        <f t="shared" si="415"/>
        <v>70.338402988630534</v>
      </c>
      <c r="AC102" s="232">
        <f t="shared" si="415"/>
        <v>80.739590105033301</v>
      </c>
      <c r="AD102" s="232">
        <f t="shared" si="415"/>
        <v>66.695070914967928</v>
      </c>
      <c r="AE102" s="232">
        <f t="shared" si="415"/>
        <v>61.118113800028425</v>
      </c>
      <c r="AF102" s="232">
        <f t="shared" si="415"/>
        <v>65.903994850668781</v>
      </c>
      <c r="AG102" s="232">
        <f t="shared" si="415"/>
        <v>65.251614898767428</v>
      </c>
      <c r="AH102" s="232">
        <f t="shared" si="415"/>
        <v>66.847317378629896</v>
      </c>
      <c r="AI102" s="232">
        <f t="shared" si="415"/>
        <v>77.446165171684967</v>
      </c>
      <c r="AJ102" s="232">
        <f t="shared" ref="AJ102:AK102" si="416">IFERROR((AJ96/-AJ9)*(365/4),"-")</f>
        <v>79.848634217933906</v>
      </c>
      <c r="AK102" s="232">
        <f t="shared" si="416"/>
        <v>92.25866761303395</v>
      </c>
    </row>
    <row r="103" spans="2:37" ht="13.5" customHeight="1">
      <c r="B103" s="230" t="s">
        <v>231</v>
      </c>
      <c r="C103" s="231">
        <f t="shared" ref="C103:K103" si="417">IFERROR((C97/C7)*365,"-")</f>
        <v>11.682398479150711</v>
      </c>
      <c r="D103" s="231">
        <f t="shared" si="417"/>
        <v>12.321430211062079</v>
      </c>
      <c r="E103" s="232">
        <f t="shared" si="417"/>
        <v>15.084547969337383</v>
      </c>
      <c r="F103" s="232">
        <f t="shared" si="417"/>
        <v>19.995509400141746</v>
      </c>
      <c r="G103" s="232">
        <f t="shared" si="417"/>
        <v>15.373304780774179</v>
      </c>
      <c r="H103" s="232">
        <f t="shared" si="417"/>
        <v>16.367446888051486</v>
      </c>
      <c r="I103" s="232">
        <f t="shared" si="417"/>
        <v>14.552443090971229</v>
      </c>
      <c r="J103" s="232">
        <f t="shared" ref="J103" si="418">IFERROR((J97/J7)*365,"-")</f>
        <v>12.164262077019531</v>
      </c>
      <c r="K103" s="232">
        <f t="shared" si="417"/>
        <v>14.581291656691414</v>
      </c>
      <c r="L103" s="234"/>
      <c r="M103" s="232">
        <f t="shared" ref="M103:AI103" si="419">IFERROR((M97/M7)*(365/4),"-")</f>
        <v>14.35588160572556</v>
      </c>
      <c r="N103" s="232">
        <f t="shared" si="419"/>
        <v>14.4398290609785</v>
      </c>
      <c r="O103" s="232">
        <f t="shared" si="419"/>
        <v>17.048566742380217</v>
      </c>
      <c r="P103" s="232">
        <f t="shared" si="419"/>
        <v>13.158601111898857</v>
      </c>
      <c r="Q103" s="232">
        <f t="shared" si="419"/>
        <v>15.000842945846879</v>
      </c>
      <c r="R103" s="232">
        <f t="shared" si="419"/>
        <v>15.197906519225196</v>
      </c>
      <c r="S103" s="232">
        <f t="shared" si="419"/>
        <v>16.490813204308246</v>
      </c>
      <c r="T103" s="232">
        <f t="shared" si="419"/>
        <v>19.178193935046597</v>
      </c>
      <c r="U103" s="232">
        <f t="shared" si="419"/>
        <v>21.446402266582083</v>
      </c>
      <c r="V103" s="232">
        <f t="shared" si="419"/>
        <v>19.761649907838549</v>
      </c>
      <c r="W103" s="232">
        <f t="shared" si="419"/>
        <v>18.814955941579189</v>
      </c>
      <c r="X103" s="232">
        <f t="shared" si="419"/>
        <v>16.295887861875126</v>
      </c>
      <c r="Y103" s="232">
        <f t="shared" si="419"/>
        <v>17.09142693392052</v>
      </c>
      <c r="Z103" s="232">
        <f t="shared" si="419"/>
        <v>16.990467030999433</v>
      </c>
      <c r="AA103" s="232">
        <f t="shared" si="419"/>
        <v>17.604655392303698</v>
      </c>
      <c r="AB103" s="232">
        <f t="shared" si="419"/>
        <v>15.138134712736719</v>
      </c>
      <c r="AC103" s="232">
        <f t="shared" si="419"/>
        <v>13.551562715088181</v>
      </c>
      <c r="AD103" s="232">
        <f t="shared" si="419"/>
        <v>14.011529902609389</v>
      </c>
      <c r="AE103" s="232">
        <f t="shared" si="419"/>
        <v>14.177269570051269</v>
      </c>
      <c r="AF103" s="232">
        <f t="shared" si="419"/>
        <v>12.21233789264965</v>
      </c>
      <c r="AG103" s="232">
        <f t="shared" si="419"/>
        <v>14.172708043609115</v>
      </c>
      <c r="AH103" s="232">
        <f t="shared" si="419"/>
        <v>14.830009878480638</v>
      </c>
      <c r="AI103" s="232">
        <f t="shared" si="419"/>
        <v>18.260713416162947</v>
      </c>
      <c r="AJ103" s="232">
        <f t="shared" ref="AJ103:AK103" si="420">IFERROR((AJ97/AJ7)*(365/4),"-")</f>
        <v>11.894287623156782</v>
      </c>
      <c r="AK103" s="232">
        <f t="shared" si="420"/>
        <v>16.367099221136375</v>
      </c>
    </row>
    <row r="104" spans="2:37" ht="13.5" customHeight="1">
      <c r="B104" s="230" t="s">
        <v>232</v>
      </c>
      <c r="C104" s="231">
        <f t="shared" ref="C104:K104" si="421">IFERROR((C98/-C9)*365,"-")</f>
        <v>110.62381011261098</v>
      </c>
      <c r="D104" s="231">
        <f t="shared" si="421"/>
        <v>122.55825996530585</v>
      </c>
      <c r="E104" s="232">
        <f t="shared" si="421"/>
        <v>126.02031092442974</v>
      </c>
      <c r="F104" s="232">
        <f t="shared" si="421"/>
        <v>100.88827261743241</v>
      </c>
      <c r="G104" s="232">
        <f t="shared" si="421"/>
        <v>83.363048089278763</v>
      </c>
      <c r="H104" s="232">
        <f t="shared" si="421"/>
        <v>106.16674527937332</v>
      </c>
      <c r="I104" s="232">
        <f t="shared" si="421"/>
        <v>123.97750162265849</v>
      </c>
      <c r="J104" s="232">
        <f t="shared" ref="J104" si="422">IFERROR((J98/-J9)*365,"-")</f>
        <v>113.6638117542425</v>
      </c>
      <c r="K104" s="232">
        <f t="shared" si="421"/>
        <v>110.40356074343707</v>
      </c>
      <c r="L104" s="234"/>
      <c r="M104" s="232">
        <f t="shared" ref="M104:AI104" si="423">IFERROR((M98/-M9)*(365/4),"-")</f>
        <v>116.72694839870529</v>
      </c>
      <c r="N104" s="232">
        <f t="shared" si="423"/>
        <v>120.31032926829987</v>
      </c>
      <c r="O104" s="232">
        <f t="shared" si="423"/>
        <v>93.103722388979975</v>
      </c>
      <c r="P104" s="232">
        <f t="shared" si="423"/>
        <v>111.40558853072685</v>
      </c>
      <c r="Q104" s="232">
        <f t="shared" si="423"/>
        <v>119.74361555644613</v>
      </c>
      <c r="R104" s="232">
        <f t="shared" si="423"/>
        <v>114.78208898392501</v>
      </c>
      <c r="S104" s="232">
        <f t="shared" si="423"/>
        <v>104.96557143763067</v>
      </c>
      <c r="T104" s="232">
        <f t="shared" si="423"/>
        <v>96.046041783824478</v>
      </c>
      <c r="U104" s="232">
        <f t="shared" si="423"/>
        <v>112.66662609093973</v>
      </c>
      <c r="V104" s="232">
        <f t="shared" si="423"/>
        <v>108.87039251446018</v>
      </c>
      <c r="W104" s="232">
        <f t="shared" si="423"/>
        <v>91.550844212896294</v>
      </c>
      <c r="X104" s="232">
        <f t="shared" si="423"/>
        <v>88.618940853305119</v>
      </c>
      <c r="Y104" s="232">
        <f t="shared" si="423"/>
        <v>79.243502039977926</v>
      </c>
      <c r="Z104" s="232">
        <f t="shared" si="423"/>
        <v>94.530498539193175</v>
      </c>
      <c r="AA104" s="232">
        <f t="shared" si="423"/>
        <v>91.080220940696563</v>
      </c>
      <c r="AB104" s="232">
        <f t="shared" si="423"/>
        <v>98.32576244487656</v>
      </c>
      <c r="AC104" s="232">
        <f t="shared" si="423"/>
        <v>94.158032783825988</v>
      </c>
      <c r="AD104" s="232">
        <f t="shared" si="423"/>
        <v>86.433147876678987</v>
      </c>
      <c r="AE104" s="232">
        <f t="shared" si="423"/>
        <v>85.131996148842177</v>
      </c>
      <c r="AF104" s="232">
        <f t="shared" si="423"/>
        <v>103.61727912422776</v>
      </c>
      <c r="AG104" s="232">
        <f t="shared" si="423"/>
        <v>99.607697527136324</v>
      </c>
      <c r="AH104" s="232">
        <f t="shared" si="423"/>
        <v>110.0759687818836</v>
      </c>
      <c r="AI104" s="232">
        <f t="shared" si="423"/>
        <v>122.25554720590003</v>
      </c>
      <c r="AJ104" s="232">
        <f t="shared" ref="AJ104:AK104" si="424">IFERROR((AJ98/-AJ9)*(365/4),"-")</f>
        <v>109.14015874371414</v>
      </c>
      <c r="AK104" s="232">
        <f t="shared" si="424"/>
        <v>123.82323657108</v>
      </c>
    </row>
    <row r="105" spans="2:37" ht="13.5" customHeight="1">
      <c r="C105" s="59"/>
      <c r="D105" s="59"/>
      <c r="E105" s="59"/>
      <c r="F105" s="59"/>
      <c r="G105" s="59"/>
      <c r="H105" s="59"/>
      <c r="I105" s="59"/>
      <c r="J105" s="59"/>
      <c r="K105" s="7"/>
      <c r="L105" s="7"/>
      <c r="M105" s="51"/>
      <c r="N105" s="51"/>
      <c r="O105" s="51"/>
      <c r="P105" s="7"/>
      <c r="Q105" s="51"/>
      <c r="R105" s="51"/>
      <c r="S105" s="51"/>
      <c r="T105" s="7"/>
      <c r="U105" s="51"/>
      <c r="V105" s="51"/>
      <c r="W105" s="51"/>
      <c r="X105" s="7"/>
      <c r="Y105" s="51"/>
      <c r="Z105" s="51"/>
      <c r="AA105" s="51"/>
      <c r="AB105" s="7"/>
      <c r="AC105" s="51"/>
      <c r="AD105" s="51"/>
      <c r="AE105" s="51"/>
      <c r="AF105" s="7"/>
      <c r="AG105" s="51"/>
      <c r="AH105" s="51"/>
      <c r="AI105" s="51"/>
      <c r="AJ105" s="7"/>
      <c r="AK105" s="51"/>
    </row>
    <row r="106" spans="2:37" ht="13.5" customHeight="1">
      <c r="B106" s="2" t="s">
        <v>233</v>
      </c>
      <c r="C106" s="59"/>
      <c r="D106" s="59"/>
      <c r="E106" s="59"/>
      <c r="F106" s="59"/>
      <c r="G106" s="59"/>
      <c r="H106" s="59"/>
      <c r="I106" s="59"/>
    </row>
    <row r="107" spans="2:37" ht="13.5" customHeight="1">
      <c r="B107" s="6" t="s">
        <v>234</v>
      </c>
      <c r="C107" s="51">
        <v>3075.194</v>
      </c>
      <c r="D107" s="51">
        <v>12836.555</v>
      </c>
      <c r="E107" s="51">
        <v>6961.9369999999999</v>
      </c>
      <c r="F107" s="51">
        <v>5527.05</v>
      </c>
      <c r="G107" s="51">
        <v>2150.741</v>
      </c>
      <c r="H107" s="51">
        <v>6183.3760000000002</v>
      </c>
      <c r="I107" s="51">
        <v>13327.297</v>
      </c>
      <c r="J107" s="51">
        <v>13202.226000000001</v>
      </c>
      <c r="K107" s="7">
        <f t="shared" ref="K107:K108" si="425">AK107</f>
        <v>10360.504000000001</v>
      </c>
      <c r="L107" s="7"/>
      <c r="M107" s="51">
        <v>11129.841</v>
      </c>
      <c r="N107" s="51">
        <v>13408.668</v>
      </c>
      <c r="O107" s="51">
        <v>11385.21</v>
      </c>
      <c r="P107" s="7">
        <f>E107</f>
        <v>6961.9369999999999</v>
      </c>
      <c r="Q107" s="51">
        <v>7392.1809999999996</v>
      </c>
      <c r="R107" s="51">
        <v>6051.5820000000003</v>
      </c>
      <c r="S107" s="51">
        <v>4891.7579999999998</v>
      </c>
      <c r="T107" s="7">
        <f>F107</f>
        <v>5527.05</v>
      </c>
      <c r="U107" s="51">
        <v>9221.7160000000003</v>
      </c>
      <c r="V107" s="51">
        <v>7094.7780000000002</v>
      </c>
      <c r="W107" s="51">
        <v>2517.2150000000001</v>
      </c>
      <c r="X107" s="7">
        <f>G107</f>
        <v>2150.741</v>
      </c>
      <c r="Y107" s="51">
        <v>1583.3630000000001</v>
      </c>
      <c r="Z107" s="51">
        <v>1122.048</v>
      </c>
      <c r="AA107" s="51">
        <v>2060.828</v>
      </c>
      <c r="AB107" s="7">
        <f>H107</f>
        <v>6183.3760000000002</v>
      </c>
      <c r="AC107" s="51">
        <v>5034.1679999999997</v>
      </c>
      <c r="AD107" s="51">
        <v>8943.6849999999995</v>
      </c>
      <c r="AE107" s="51">
        <v>4944.0889999999999</v>
      </c>
      <c r="AF107" s="7">
        <f t="shared" ref="AF107:AF108" si="426">I107</f>
        <v>13327.297</v>
      </c>
      <c r="AG107" s="51">
        <v>12713.769</v>
      </c>
      <c r="AH107" s="51">
        <v>10640.895</v>
      </c>
      <c r="AI107" s="51">
        <v>9588.8719999999994</v>
      </c>
      <c r="AJ107" s="7">
        <f t="shared" ref="AJ107:AJ108" si="427">J107</f>
        <v>13202.226000000001</v>
      </c>
      <c r="AK107" s="51">
        <v>10360.504000000001</v>
      </c>
    </row>
    <row r="108" spans="2:37" ht="13.5" customHeight="1">
      <c r="B108" s="6" t="s">
        <v>235</v>
      </c>
      <c r="C108" s="51">
        <v>7856.143</v>
      </c>
      <c r="D108" s="51">
        <v>4786.8559999999998</v>
      </c>
      <c r="E108" s="51">
        <v>10634.806</v>
      </c>
      <c r="F108" s="51">
        <v>20719.79</v>
      </c>
      <c r="G108" s="51">
        <v>21493.260999999999</v>
      </c>
      <c r="H108" s="51">
        <v>21673.969000000001</v>
      </c>
      <c r="I108" s="51">
        <v>17275.721000000001</v>
      </c>
      <c r="J108" s="51">
        <v>22921.433000000001</v>
      </c>
      <c r="K108" s="7">
        <f t="shared" si="425"/>
        <v>25006.733</v>
      </c>
      <c r="L108" s="7"/>
      <c r="M108" s="51">
        <v>5351.2110000000002</v>
      </c>
      <c r="N108" s="51">
        <v>9995.9079999999994</v>
      </c>
      <c r="O108" s="51">
        <v>7183.6480000000001</v>
      </c>
      <c r="P108" s="7">
        <f>E108</f>
        <v>10634.806</v>
      </c>
      <c r="Q108" s="51">
        <v>13612.704</v>
      </c>
      <c r="R108" s="51">
        <v>13262.146000000001</v>
      </c>
      <c r="S108" s="51">
        <v>21006.592000000001</v>
      </c>
      <c r="T108" s="7">
        <f>F108</f>
        <v>20719.79</v>
      </c>
      <c r="U108" s="51">
        <v>20492.213</v>
      </c>
      <c r="V108" s="51">
        <v>25474.315999999999</v>
      </c>
      <c r="W108" s="51">
        <v>23244.484</v>
      </c>
      <c r="X108" s="7">
        <f>G108</f>
        <v>21493.260999999999</v>
      </c>
      <c r="Y108" s="51">
        <v>20880.846000000001</v>
      </c>
      <c r="Z108" s="51">
        <v>21763.554</v>
      </c>
      <c r="AA108" s="51">
        <v>22774.351999999999</v>
      </c>
      <c r="AB108" s="7">
        <f>H108</f>
        <v>21673.969000000001</v>
      </c>
      <c r="AC108" s="51">
        <v>22671.728999999999</v>
      </c>
      <c r="AD108" s="51">
        <v>21037.526999999998</v>
      </c>
      <c r="AE108" s="51">
        <v>22416.058000000001</v>
      </c>
      <c r="AF108" s="7">
        <f t="shared" si="426"/>
        <v>17275.721000000001</v>
      </c>
      <c r="AG108" s="51">
        <v>18230.916000000001</v>
      </c>
      <c r="AH108" s="51">
        <v>18271.940999999999</v>
      </c>
      <c r="AI108" s="51">
        <v>18000.079000000002</v>
      </c>
      <c r="AJ108" s="7">
        <f t="shared" si="427"/>
        <v>22921.433000000001</v>
      </c>
      <c r="AK108" s="51">
        <v>25006.733</v>
      </c>
    </row>
    <row r="109" spans="2:37" ht="13.5" customHeight="1">
      <c r="B109" s="2" t="s">
        <v>236</v>
      </c>
      <c r="C109" s="43">
        <f t="shared" ref="C109" si="428">SUM(C107:C108)</f>
        <v>10931.337</v>
      </c>
      <c r="D109" s="43">
        <f t="shared" ref="D109:E109" si="429">SUM(D107:D108)</f>
        <v>17623.411</v>
      </c>
      <c r="E109" s="43">
        <f t="shared" si="429"/>
        <v>17596.743000000002</v>
      </c>
      <c r="F109" s="43">
        <f t="shared" ref="F109:G109" si="430">SUM(F107:F108)</f>
        <v>26246.84</v>
      </c>
      <c r="G109" s="43">
        <f t="shared" si="430"/>
        <v>23644.002</v>
      </c>
      <c r="H109" s="43">
        <f t="shared" ref="H109:I109" si="431">SUM(H107:H108)</f>
        <v>27857.345000000001</v>
      </c>
      <c r="I109" s="43">
        <f t="shared" si="431"/>
        <v>30603.018000000004</v>
      </c>
      <c r="J109" s="43">
        <f t="shared" ref="J109" si="432">SUM(J107:J108)</f>
        <v>36123.659</v>
      </c>
      <c r="K109" s="43">
        <f>SUM(K107:K108)</f>
        <v>35367.237000000001</v>
      </c>
      <c r="L109" s="43"/>
      <c r="M109" s="43">
        <f t="shared" ref="M109:S109" si="433">SUM(M107:M108)</f>
        <v>16481.052</v>
      </c>
      <c r="N109" s="43">
        <f t="shared" si="433"/>
        <v>23404.576000000001</v>
      </c>
      <c r="O109" s="43">
        <f t="shared" si="433"/>
        <v>18568.858</v>
      </c>
      <c r="P109" s="43">
        <f t="shared" si="433"/>
        <v>17596.743000000002</v>
      </c>
      <c r="Q109" s="43">
        <f t="shared" si="433"/>
        <v>21004.884999999998</v>
      </c>
      <c r="R109" s="43">
        <f t="shared" si="433"/>
        <v>19313.728000000003</v>
      </c>
      <c r="S109" s="43">
        <f t="shared" si="433"/>
        <v>25898.35</v>
      </c>
      <c r="T109" s="43">
        <f t="shared" ref="T109:V109" si="434">SUM(T107:T108)</f>
        <v>26246.84</v>
      </c>
      <c r="U109" s="43">
        <f t="shared" si="434"/>
        <v>29713.929</v>
      </c>
      <c r="V109" s="43">
        <f t="shared" si="434"/>
        <v>32569.093999999997</v>
      </c>
      <c r="W109" s="43">
        <f t="shared" ref="W109:Z109" si="435">SUM(W107:W108)</f>
        <v>25761.699000000001</v>
      </c>
      <c r="X109" s="43">
        <f t="shared" si="435"/>
        <v>23644.002</v>
      </c>
      <c r="Y109" s="43">
        <f t="shared" si="435"/>
        <v>22464.209000000003</v>
      </c>
      <c r="Z109" s="43">
        <f t="shared" si="435"/>
        <v>22885.601999999999</v>
      </c>
      <c r="AA109" s="43">
        <f t="shared" ref="AA109:AD109" si="436">SUM(AA107:AA108)</f>
        <v>24835.18</v>
      </c>
      <c r="AB109" s="43">
        <f t="shared" si="436"/>
        <v>27857.345000000001</v>
      </c>
      <c r="AC109" s="43">
        <f t="shared" si="436"/>
        <v>27705.896999999997</v>
      </c>
      <c r="AD109" s="43">
        <f t="shared" si="436"/>
        <v>29981.212</v>
      </c>
      <c r="AE109" s="43">
        <f t="shared" ref="AE109:AH109" si="437">SUM(AE107:AE108)</f>
        <v>27360.147000000001</v>
      </c>
      <c r="AF109" s="43">
        <f t="shared" si="437"/>
        <v>30603.018000000004</v>
      </c>
      <c r="AG109" s="43">
        <f t="shared" si="437"/>
        <v>30944.685000000001</v>
      </c>
      <c r="AH109" s="43">
        <f t="shared" si="437"/>
        <v>28912.835999999999</v>
      </c>
      <c r="AI109" s="43">
        <f t="shared" ref="AI109:AK109" si="438">SUM(AI107:AI108)</f>
        <v>27588.951000000001</v>
      </c>
      <c r="AJ109" s="43">
        <f t="shared" si="438"/>
        <v>36123.659</v>
      </c>
      <c r="AK109" s="43">
        <f t="shared" si="438"/>
        <v>35367.237000000001</v>
      </c>
    </row>
    <row r="110" spans="2:37" ht="13.5" customHeight="1">
      <c r="C110" s="51"/>
      <c r="D110" s="51"/>
      <c r="E110" s="51"/>
      <c r="F110" s="51"/>
      <c r="G110" s="51"/>
      <c r="H110" s="51"/>
      <c r="I110" s="51"/>
      <c r="J110" s="51"/>
      <c r="K110" s="7"/>
      <c r="L110" s="7"/>
      <c r="M110" s="51"/>
      <c r="N110" s="51"/>
      <c r="O110" s="51"/>
      <c r="P110" s="7"/>
      <c r="Q110" s="51"/>
      <c r="R110" s="51"/>
      <c r="S110" s="51"/>
      <c r="T110" s="7"/>
      <c r="U110" s="51"/>
      <c r="V110" s="51"/>
      <c r="W110" s="51"/>
      <c r="X110" s="7"/>
      <c r="Y110" s="51"/>
      <c r="Z110" s="51"/>
      <c r="AA110" s="51"/>
      <c r="AB110" s="7"/>
      <c r="AC110" s="51"/>
      <c r="AD110" s="51"/>
      <c r="AE110" s="51"/>
      <c r="AF110" s="7"/>
      <c r="AG110" s="51"/>
      <c r="AH110" s="51"/>
      <c r="AI110" s="51"/>
      <c r="AJ110" s="7"/>
      <c r="AK110" s="51"/>
    </row>
    <row r="111" spans="2:37" ht="13.5" customHeight="1">
      <c r="B111" s="2" t="s">
        <v>13</v>
      </c>
      <c r="C111" s="51"/>
      <c r="D111" s="51"/>
      <c r="E111" s="51"/>
      <c r="F111" s="51"/>
      <c r="G111" s="51"/>
      <c r="H111" s="51"/>
      <c r="I111" s="51"/>
    </row>
    <row r="112" spans="2:37" ht="13.5" customHeight="1">
      <c r="B112" s="6" t="s">
        <v>14</v>
      </c>
      <c r="C112" s="51">
        <v>285.40199999999999</v>
      </c>
      <c r="D112" s="51">
        <v>399.44400000000002</v>
      </c>
      <c r="E112" s="51">
        <v>363.39699999999999</v>
      </c>
      <c r="F112" s="51">
        <v>1532.625</v>
      </c>
      <c r="G112" s="51">
        <v>947.39200000000005</v>
      </c>
      <c r="H112" s="51">
        <v>712.01099999999997</v>
      </c>
      <c r="I112" s="51">
        <v>2238.8420000000001</v>
      </c>
      <c r="J112" s="51">
        <v>2079.3679999999999</v>
      </c>
      <c r="K112" s="7">
        <f>AK112</f>
        <v>0</v>
      </c>
      <c r="L112" s="7"/>
      <c r="M112" s="109"/>
      <c r="N112" s="109"/>
      <c r="O112" s="109"/>
      <c r="P112" s="7">
        <f>E112</f>
        <v>363.39699999999999</v>
      </c>
      <c r="Q112" s="109"/>
      <c r="R112" s="109"/>
      <c r="S112" s="109"/>
      <c r="T112" s="7">
        <f>F112</f>
        <v>1532.625</v>
      </c>
      <c r="U112" s="109"/>
      <c r="V112" s="51">
        <v>962.82600000000002</v>
      </c>
      <c r="W112" s="109"/>
      <c r="X112" s="7">
        <f>G112</f>
        <v>947.39200000000005</v>
      </c>
      <c r="Y112" s="109"/>
      <c r="Z112" s="51">
        <v>771.01499999999999</v>
      </c>
      <c r="AA112" s="109"/>
      <c r="AB112" s="7">
        <f>H112</f>
        <v>712.01099999999997</v>
      </c>
      <c r="AC112" s="229"/>
      <c r="AD112" s="51">
        <v>1802.6220000000001</v>
      </c>
      <c r="AE112" s="229"/>
      <c r="AF112" s="192">
        <f t="shared" ref="AF112:AF113" si="439">I112</f>
        <v>2238.8420000000001</v>
      </c>
      <c r="AG112" s="229"/>
      <c r="AH112" s="229"/>
      <c r="AI112" s="229"/>
      <c r="AJ112" s="192">
        <f>J112</f>
        <v>2079.3679999999999</v>
      </c>
      <c r="AK112" s="229"/>
    </row>
    <row r="113" spans="2:39" ht="13.5" customHeight="1">
      <c r="B113" s="6" t="s">
        <v>15</v>
      </c>
      <c r="C113" s="51">
        <v>573.43100000000004</v>
      </c>
      <c r="D113" s="51">
        <v>560.80399999999997</v>
      </c>
      <c r="E113" s="51">
        <v>516.48199999999997</v>
      </c>
      <c r="F113" s="51">
        <v>1748.529</v>
      </c>
      <c r="G113" s="51">
        <v>1464.7360000000001</v>
      </c>
      <c r="H113" s="51">
        <v>1256.155</v>
      </c>
      <c r="I113" s="51">
        <v>3169.5140000000001</v>
      </c>
      <c r="J113" s="51">
        <v>3634.8690000000001</v>
      </c>
      <c r="K113" s="7">
        <f>AK113</f>
        <v>0</v>
      </c>
      <c r="L113" s="7"/>
      <c r="M113" s="109"/>
      <c r="N113" s="109"/>
      <c r="O113" s="109"/>
      <c r="P113" s="7">
        <f>E113</f>
        <v>516.48199999999997</v>
      </c>
      <c r="Q113" s="109"/>
      <c r="R113" s="109"/>
      <c r="S113" s="109"/>
      <c r="T113" s="7">
        <f>F113</f>
        <v>1748.529</v>
      </c>
      <c r="U113" s="109"/>
      <c r="V113" s="51">
        <v>1997.489</v>
      </c>
      <c r="W113" s="109"/>
      <c r="X113" s="7">
        <f>G113</f>
        <v>1464.7360000000001</v>
      </c>
      <c r="Y113" s="109"/>
      <c r="Z113" s="51">
        <v>1287.867</v>
      </c>
      <c r="AA113" s="109"/>
      <c r="AB113" s="7">
        <f>H113</f>
        <v>1256.155</v>
      </c>
      <c r="AC113" s="229"/>
      <c r="AD113" s="51">
        <v>2564.8110000000001</v>
      </c>
      <c r="AE113" s="229"/>
      <c r="AF113" s="192">
        <f t="shared" si="439"/>
        <v>3169.5140000000001</v>
      </c>
      <c r="AG113" s="229"/>
      <c r="AH113" s="229"/>
      <c r="AI113" s="229"/>
      <c r="AJ113" s="192">
        <f>J113</f>
        <v>3634.8690000000001</v>
      </c>
      <c r="AK113" s="229"/>
    </row>
    <row r="114" spans="2:39" ht="13.5" customHeight="1">
      <c r="B114" s="2" t="s">
        <v>237</v>
      </c>
      <c r="C114" s="43">
        <f t="shared" ref="C114:E114" si="440">SUM(C112:C113)</f>
        <v>858.83300000000008</v>
      </c>
      <c r="D114" s="43">
        <f t="shared" si="440"/>
        <v>960.24800000000005</v>
      </c>
      <c r="E114" s="43">
        <f t="shared" si="440"/>
        <v>879.87899999999991</v>
      </c>
      <c r="F114" s="43">
        <f t="shared" ref="F114:G114" si="441">SUM(F112:F113)</f>
        <v>3281.154</v>
      </c>
      <c r="G114" s="43">
        <f t="shared" si="441"/>
        <v>2412.1280000000002</v>
      </c>
      <c r="H114" s="43">
        <f t="shared" ref="H114:I114" si="442">SUM(H112:H113)</f>
        <v>1968.1659999999999</v>
      </c>
      <c r="I114" s="43">
        <f t="shared" si="442"/>
        <v>5408.3559999999998</v>
      </c>
      <c r="J114" s="43">
        <f t="shared" ref="J114" si="443">SUM(J112:J113)</f>
        <v>5714.2370000000001</v>
      </c>
      <c r="K114" s="43">
        <f t="shared" ref="K114" si="444">SUM(K112:K113)</f>
        <v>0</v>
      </c>
      <c r="L114" s="43"/>
      <c r="M114" s="43">
        <f t="shared" ref="M114:S114" si="445">SUM(M112:M113)</f>
        <v>0</v>
      </c>
      <c r="N114" s="43">
        <f t="shared" si="445"/>
        <v>0</v>
      </c>
      <c r="O114" s="43">
        <f t="shared" si="445"/>
        <v>0</v>
      </c>
      <c r="P114" s="43">
        <f t="shared" si="445"/>
        <v>879.87899999999991</v>
      </c>
      <c r="Q114" s="43">
        <f t="shared" si="445"/>
        <v>0</v>
      </c>
      <c r="R114" s="43">
        <f t="shared" si="445"/>
        <v>0</v>
      </c>
      <c r="S114" s="43">
        <f t="shared" si="445"/>
        <v>0</v>
      </c>
      <c r="T114" s="43">
        <f t="shared" ref="T114:W114" si="446">SUM(T112:T113)</f>
        <v>3281.154</v>
      </c>
      <c r="U114" s="43">
        <f t="shared" si="446"/>
        <v>0</v>
      </c>
      <c r="V114" s="43">
        <f t="shared" si="446"/>
        <v>2960.3150000000001</v>
      </c>
      <c r="W114" s="43">
        <f t="shared" si="446"/>
        <v>0</v>
      </c>
      <c r="X114" s="43">
        <f t="shared" ref="X114:AA114" si="447">SUM(X112:X113)</f>
        <v>2412.1280000000002</v>
      </c>
      <c r="Y114" s="43">
        <f t="shared" si="447"/>
        <v>0</v>
      </c>
      <c r="Z114" s="43">
        <f t="shared" si="447"/>
        <v>2058.8820000000001</v>
      </c>
      <c r="AA114" s="43">
        <f t="shared" si="447"/>
        <v>0</v>
      </c>
      <c r="AB114" s="43">
        <f t="shared" ref="AB114:AE114" si="448">SUM(AB112:AB113)</f>
        <v>1968.1659999999999</v>
      </c>
      <c r="AC114" s="43">
        <f t="shared" si="448"/>
        <v>0</v>
      </c>
      <c r="AD114" s="43">
        <f t="shared" si="448"/>
        <v>4367.433</v>
      </c>
      <c r="AE114" s="43">
        <f t="shared" si="448"/>
        <v>0</v>
      </c>
      <c r="AF114" s="43">
        <f t="shared" ref="AF114:AI114" si="449">SUM(AF112:AF113)</f>
        <v>5408.3559999999998</v>
      </c>
      <c r="AG114" s="43">
        <f t="shared" si="449"/>
        <v>0</v>
      </c>
      <c r="AH114" s="43">
        <f t="shared" si="449"/>
        <v>0</v>
      </c>
      <c r="AI114" s="43">
        <f t="shared" si="449"/>
        <v>0</v>
      </c>
      <c r="AJ114" s="43">
        <f t="shared" ref="AJ114:AK114" si="450">SUM(AJ112:AJ113)</f>
        <v>5714.2370000000001</v>
      </c>
      <c r="AK114" s="43">
        <f t="shared" si="450"/>
        <v>0</v>
      </c>
    </row>
    <row r="115" spans="2:39" ht="13.5" customHeight="1">
      <c r="B115" s="19"/>
      <c r="C115" s="51"/>
      <c r="D115" s="51"/>
      <c r="E115" s="51"/>
      <c r="F115" s="51"/>
      <c r="G115" s="51"/>
      <c r="H115" s="51"/>
      <c r="I115" s="51"/>
      <c r="J115" s="51"/>
      <c r="K115" s="7"/>
      <c r="L115" s="7"/>
      <c r="M115" s="51"/>
      <c r="N115" s="51"/>
      <c r="O115" s="51"/>
      <c r="P115" s="7"/>
      <c r="Q115" s="51"/>
      <c r="R115" s="51"/>
      <c r="S115" s="51"/>
      <c r="T115" s="7"/>
      <c r="U115" s="51"/>
      <c r="V115" s="51"/>
      <c r="W115" s="51"/>
      <c r="X115" s="7"/>
      <c r="Y115" s="51"/>
      <c r="Z115" s="51"/>
      <c r="AA115" s="51"/>
      <c r="AB115" s="7"/>
      <c r="AC115" s="51"/>
      <c r="AD115" s="51"/>
      <c r="AE115" s="51"/>
      <c r="AF115" s="7"/>
      <c r="AG115" s="51"/>
      <c r="AH115" s="51"/>
      <c r="AI115" s="51"/>
      <c r="AJ115" s="7"/>
      <c r="AK115" s="51"/>
    </row>
    <row r="116" spans="2:39" ht="13.5" customHeight="1">
      <c r="B116" s="2" t="s">
        <v>238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</row>
    <row r="117" spans="2:39" ht="13.5" customHeight="1">
      <c r="B117" s="6" t="s">
        <v>234</v>
      </c>
      <c r="C117" s="7">
        <f t="shared" ref="C117:E118" si="451">C107+C112</f>
        <v>3360.596</v>
      </c>
      <c r="D117" s="7">
        <f t="shared" si="451"/>
        <v>13235.999</v>
      </c>
      <c r="E117" s="7">
        <f t="shared" si="451"/>
        <v>7325.3339999999998</v>
      </c>
      <c r="F117" s="7">
        <f t="shared" ref="F117:G117" si="452">F107+F112</f>
        <v>7059.6750000000002</v>
      </c>
      <c r="G117" s="7">
        <f t="shared" si="452"/>
        <v>3098.1329999999998</v>
      </c>
      <c r="H117" s="7">
        <f t="shared" ref="H117:I117" si="453">H107+H112</f>
        <v>6895.3870000000006</v>
      </c>
      <c r="I117" s="7">
        <f t="shared" si="453"/>
        <v>15566.139000000001</v>
      </c>
      <c r="J117" s="7">
        <f t="shared" ref="J117" si="454">J107+J112</f>
        <v>15281.594000000001</v>
      </c>
      <c r="K117" s="7">
        <f>K107+K112</f>
        <v>10360.504000000001</v>
      </c>
      <c r="L117" s="7"/>
      <c r="M117" s="7">
        <f t="shared" ref="M117:O118" si="455">M107+M112</f>
        <v>11129.841</v>
      </c>
      <c r="N117" s="7">
        <f t="shared" si="455"/>
        <v>13408.668</v>
      </c>
      <c r="O117" s="7">
        <f t="shared" si="455"/>
        <v>11385.21</v>
      </c>
      <c r="P117" s="7">
        <f>E117</f>
        <v>7325.3339999999998</v>
      </c>
      <c r="Q117" s="7">
        <f t="shared" ref="Q117:S118" si="456">Q107+Q112</f>
        <v>7392.1809999999996</v>
      </c>
      <c r="R117" s="7">
        <f t="shared" si="456"/>
        <v>6051.5820000000003</v>
      </c>
      <c r="S117" s="7">
        <f t="shared" si="456"/>
        <v>4891.7579999999998</v>
      </c>
      <c r="T117" s="7">
        <f>F117</f>
        <v>7059.6750000000002</v>
      </c>
      <c r="U117" s="7">
        <f t="shared" ref="U117:V117" si="457">U107+U112</f>
        <v>9221.7160000000003</v>
      </c>
      <c r="V117" s="7">
        <f t="shared" si="457"/>
        <v>8057.6040000000003</v>
      </c>
      <c r="W117" s="7">
        <f t="shared" ref="W117" si="458">W107+W112</f>
        <v>2517.2150000000001</v>
      </c>
      <c r="X117" s="7">
        <f>G117</f>
        <v>3098.1329999999998</v>
      </c>
      <c r="Y117" s="7">
        <f t="shared" ref="Y117:AA118" si="459">Y107+Y112</f>
        <v>1583.3630000000001</v>
      </c>
      <c r="Z117" s="7">
        <f t="shared" si="459"/>
        <v>1893.0630000000001</v>
      </c>
      <c r="AA117" s="7">
        <f t="shared" si="459"/>
        <v>2060.828</v>
      </c>
      <c r="AB117" s="7">
        <f>H117</f>
        <v>6895.3870000000006</v>
      </c>
      <c r="AC117" s="7">
        <f t="shared" ref="AC117:AE117" si="460">AC107+AC112</f>
        <v>5034.1679999999997</v>
      </c>
      <c r="AD117" s="7">
        <f t="shared" si="460"/>
        <v>10746.306999999999</v>
      </c>
      <c r="AE117" s="7">
        <f t="shared" si="460"/>
        <v>4944.0889999999999</v>
      </c>
      <c r="AF117" s="7">
        <f t="shared" ref="AF117:AI117" si="461">AF107+AF112</f>
        <v>15566.139000000001</v>
      </c>
      <c r="AG117" s="7">
        <f t="shared" si="461"/>
        <v>12713.769</v>
      </c>
      <c r="AH117" s="7">
        <f t="shared" si="461"/>
        <v>10640.895</v>
      </c>
      <c r="AI117" s="7">
        <f t="shared" si="461"/>
        <v>9588.8719999999994</v>
      </c>
      <c r="AJ117" s="7">
        <f t="shared" ref="AJ117:AK117" si="462">AJ107+AJ112</f>
        <v>15281.594000000001</v>
      </c>
      <c r="AK117" s="7">
        <f t="shared" si="462"/>
        <v>10360.504000000001</v>
      </c>
    </row>
    <row r="118" spans="2:39" ht="13.5" customHeight="1">
      <c r="B118" s="6" t="s">
        <v>235</v>
      </c>
      <c r="C118" s="7">
        <f t="shared" si="451"/>
        <v>8429.5740000000005</v>
      </c>
      <c r="D118" s="7">
        <f t="shared" si="451"/>
        <v>5347.66</v>
      </c>
      <c r="E118" s="7">
        <f t="shared" si="451"/>
        <v>11151.288</v>
      </c>
      <c r="F118" s="7">
        <f t="shared" ref="F118:G118" si="463">F108+F113</f>
        <v>22468.319</v>
      </c>
      <c r="G118" s="7">
        <f t="shared" si="463"/>
        <v>22957.996999999999</v>
      </c>
      <c r="H118" s="7">
        <f t="shared" ref="H118:I118" si="464">H108+H113</f>
        <v>22930.124</v>
      </c>
      <c r="I118" s="7">
        <f t="shared" si="464"/>
        <v>20445.235000000001</v>
      </c>
      <c r="J118" s="7">
        <f t="shared" ref="J118" si="465">J108+J113</f>
        <v>26556.302</v>
      </c>
      <c r="K118" s="7">
        <f>K108+K113</f>
        <v>25006.733</v>
      </c>
      <c r="L118" s="7"/>
      <c r="M118" s="7">
        <f t="shared" si="455"/>
        <v>5351.2110000000002</v>
      </c>
      <c r="N118" s="7">
        <f t="shared" si="455"/>
        <v>9995.9079999999994</v>
      </c>
      <c r="O118" s="7">
        <f t="shared" si="455"/>
        <v>7183.6480000000001</v>
      </c>
      <c r="P118" s="7">
        <f>E118</f>
        <v>11151.288</v>
      </c>
      <c r="Q118" s="7">
        <f t="shared" si="456"/>
        <v>13612.704</v>
      </c>
      <c r="R118" s="7">
        <f t="shared" si="456"/>
        <v>13262.146000000001</v>
      </c>
      <c r="S118" s="7">
        <f t="shared" si="456"/>
        <v>21006.592000000001</v>
      </c>
      <c r="T118" s="7">
        <f>F118</f>
        <v>22468.319</v>
      </c>
      <c r="U118" s="7">
        <f t="shared" ref="U118:V118" si="466">U108+U113</f>
        <v>20492.213</v>
      </c>
      <c r="V118" s="7">
        <f t="shared" si="466"/>
        <v>27471.805</v>
      </c>
      <c r="W118" s="7">
        <f t="shared" ref="W118" si="467">W108+W113</f>
        <v>23244.484</v>
      </c>
      <c r="X118" s="7">
        <f>G118</f>
        <v>22957.996999999999</v>
      </c>
      <c r="Y118" s="7">
        <f t="shared" ref="Y118:Z118" si="468">Y108+Y113</f>
        <v>20880.846000000001</v>
      </c>
      <c r="Z118" s="7">
        <f t="shared" si="468"/>
        <v>23051.420999999998</v>
      </c>
      <c r="AA118" s="7">
        <f t="shared" si="459"/>
        <v>22774.351999999999</v>
      </c>
      <c r="AB118" s="7">
        <f>H118</f>
        <v>22930.124</v>
      </c>
      <c r="AC118" s="7">
        <f t="shared" ref="AC118:AE118" si="469">AC108+AC113</f>
        <v>22671.728999999999</v>
      </c>
      <c r="AD118" s="7">
        <f t="shared" si="469"/>
        <v>23602.338</v>
      </c>
      <c r="AE118" s="7">
        <f t="shared" si="469"/>
        <v>22416.058000000001</v>
      </c>
      <c r="AF118" s="7">
        <f t="shared" ref="AF118:AI118" si="470">AF108+AF113</f>
        <v>20445.235000000001</v>
      </c>
      <c r="AG118" s="7">
        <f t="shared" si="470"/>
        <v>18230.916000000001</v>
      </c>
      <c r="AH118" s="7">
        <f t="shared" si="470"/>
        <v>18271.940999999999</v>
      </c>
      <c r="AI118" s="7">
        <f t="shared" si="470"/>
        <v>18000.079000000002</v>
      </c>
      <c r="AJ118" s="7">
        <f t="shared" ref="AJ118:AK118" si="471">AJ108+AJ113</f>
        <v>26556.302</v>
      </c>
      <c r="AK118" s="7">
        <f t="shared" si="471"/>
        <v>25006.733</v>
      </c>
    </row>
    <row r="119" spans="2:39" s="19" customFormat="1" ht="13.5" customHeight="1">
      <c r="B119" s="19" t="s">
        <v>239</v>
      </c>
      <c r="C119" s="43">
        <f t="shared" ref="C119:E119" si="472">SUM(C117:C118)</f>
        <v>11790.17</v>
      </c>
      <c r="D119" s="43">
        <f t="shared" si="472"/>
        <v>18583.659</v>
      </c>
      <c r="E119" s="43">
        <f t="shared" si="472"/>
        <v>18476.621999999999</v>
      </c>
      <c r="F119" s="43">
        <f t="shared" ref="F119:G119" si="473">SUM(F117:F118)</f>
        <v>29527.993999999999</v>
      </c>
      <c r="G119" s="43">
        <f t="shared" si="473"/>
        <v>26056.129999999997</v>
      </c>
      <c r="H119" s="43">
        <f t="shared" ref="H119:I119" si="474">SUM(H117:H118)</f>
        <v>29825.510999999999</v>
      </c>
      <c r="I119" s="43">
        <f t="shared" si="474"/>
        <v>36011.374000000003</v>
      </c>
      <c r="J119" s="43">
        <f t="shared" ref="J119" si="475">SUM(J117:J118)</f>
        <v>41837.896000000001</v>
      </c>
      <c r="K119" s="43">
        <f>SUM(K117:K118)</f>
        <v>35367.237000000001</v>
      </c>
      <c r="L119" s="43"/>
      <c r="M119" s="43">
        <f t="shared" ref="M119:S119" si="476">SUM(M117:M118)</f>
        <v>16481.052</v>
      </c>
      <c r="N119" s="43">
        <f t="shared" si="476"/>
        <v>23404.576000000001</v>
      </c>
      <c r="O119" s="43">
        <f t="shared" si="476"/>
        <v>18568.858</v>
      </c>
      <c r="P119" s="43">
        <f t="shared" si="476"/>
        <v>18476.621999999999</v>
      </c>
      <c r="Q119" s="43">
        <f t="shared" si="476"/>
        <v>21004.884999999998</v>
      </c>
      <c r="R119" s="43">
        <f t="shared" si="476"/>
        <v>19313.728000000003</v>
      </c>
      <c r="S119" s="43">
        <f t="shared" si="476"/>
        <v>25898.35</v>
      </c>
      <c r="T119" s="43">
        <f t="shared" ref="T119:V119" si="477">SUM(T117:T118)</f>
        <v>29527.993999999999</v>
      </c>
      <c r="U119" s="43">
        <f t="shared" si="477"/>
        <v>29713.929</v>
      </c>
      <c r="V119" s="43">
        <f t="shared" si="477"/>
        <v>35529.409</v>
      </c>
      <c r="W119" s="43">
        <f t="shared" ref="W119:X119" si="478">SUM(W117:W118)</f>
        <v>25761.699000000001</v>
      </c>
      <c r="X119" s="43">
        <f t="shared" si="478"/>
        <v>26056.129999999997</v>
      </c>
      <c r="Y119" s="43">
        <f>SUM(Y117:Y118)</f>
        <v>22464.209000000003</v>
      </c>
      <c r="Z119" s="43">
        <f t="shared" ref="Z119:AA119" si="479">SUM(Z117:Z118)</f>
        <v>24944.483999999997</v>
      </c>
      <c r="AA119" s="43">
        <f t="shared" si="479"/>
        <v>24835.18</v>
      </c>
      <c r="AB119" s="43">
        <f>SUM(AB117:AB118)</f>
        <v>29825.510999999999</v>
      </c>
      <c r="AC119" s="43">
        <f>SUM(AC117:AC118)</f>
        <v>27705.896999999997</v>
      </c>
      <c r="AD119" s="43">
        <f t="shared" ref="AD119:AE119" si="480">SUM(AD117:AD118)</f>
        <v>34348.644999999997</v>
      </c>
      <c r="AE119" s="43">
        <f t="shared" si="480"/>
        <v>27360.147000000001</v>
      </c>
      <c r="AF119" s="43">
        <f>SUM(AF117:AF118)</f>
        <v>36011.374000000003</v>
      </c>
      <c r="AG119" s="43">
        <f>SUM(AG117:AG118)</f>
        <v>30944.685000000001</v>
      </c>
      <c r="AH119" s="43">
        <f t="shared" ref="AH119:AI119" si="481">SUM(AH117:AH118)</f>
        <v>28912.835999999999</v>
      </c>
      <c r="AI119" s="43">
        <f t="shared" si="481"/>
        <v>27588.951000000001</v>
      </c>
      <c r="AJ119" s="43">
        <f>SUM(AJ117:AJ118)</f>
        <v>41837.896000000001</v>
      </c>
      <c r="AK119" s="43">
        <f>SUM(AK117:AK118)</f>
        <v>35367.237000000001</v>
      </c>
      <c r="AL119" s="184"/>
      <c r="AM119" s="184"/>
    </row>
    <row r="120" spans="2:39" ht="13.5" customHeight="1">
      <c r="B120" s="62" t="s">
        <v>27</v>
      </c>
      <c r="C120" s="51">
        <f>30230.147+1365.991+6648.526</f>
        <v>38244.663999999997</v>
      </c>
      <c r="D120" s="51">
        <f>25919.861+21523.043+16463.39</f>
        <v>63906.294000000002</v>
      </c>
      <c r="E120" s="51">
        <f>54752.443+17598.946+22376.387+797.456</f>
        <v>95525.232000000004</v>
      </c>
      <c r="F120" s="51">
        <f>23511.579+31041.129+29311.848+1597.919+710.865</f>
        <v>86173.34</v>
      </c>
      <c r="G120" s="51">
        <f>27607.261+29874.707+9845.91+0+449.109</f>
        <v>67776.986999999994</v>
      </c>
      <c r="H120" s="51">
        <f>502.816+582.131+20193.662+52797.857+33631.313</f>
        <v>107707.77900000001</v>
      </c>
      <c r="I120" s="51">
        <f>700.163+1681.062+28123.777+36350.271+33661.442</f>
        <v>100516.715</v>
      </c>
      <c r="J120" s="51">
        <f>200+29273.546+51308.666+26914.377</f>
        <v>107696.58900000001</v>
      </c>
      <c r="K120" s="7">
        <f>AK120</f>
        <v>98225.410999999993</v>
      </c>
      <c r="L120" s="7"/>
      <c r="M120" s="51">
        <f>25073.687+13129.091+13004.24</f>
        <v>51207.018000000004</v>
      </c>
      <c r="N120" s="51">
        <f>22843.316+19999.006+17159.356+341.766</f>
        <v>60343.444000000003</v>
      </c>
      <c r="O120" s="51">
        <f>30257.712+14156.263+21097.732+862.149+341.527</f>
        <v>66715.383000000002</v>
      </c>
      <c r="P120" s="7">
        <f>E120</f>
        <v>95525.232000000004</v>
      </c>
      <c r="Q120" s="51">
        <f>34279.506+34939.507+22855.966+1314.541+1119.27</f>
        <v>94508.790000000008</v>
      </c>
      <c r="R120" s="51">
        <f>31881.04+31448.974+27410.872+2040.939+843.835</f>
        <v>93625.66</v>
      </c>
      <c r="S120" s="51">
        <f>32649.502+26362.188+19592.715+2598.211+680.743</f>
        <v>81883.358999999997</v>
      </c>
      <c r="T120" s="7">
        <f>F120</f>
        <v>86173.34</v>
      </c>
      <c r="U120" s="51">
        <f>34714.164+22543.79+17695.319+635.415+649.788</f>
        <v>76238.475999999995</v>
      </c>
      <c r="V120" s="51">
        <f>28183.101+28607.263+17605.624+501.714</f>
        <v>74897.702000000005</v>
      </c>
      <c r="W120" s="51">
        <f>560.706+11809.441+26022.205+28071.099</f>
        <v>66463.451000000001</v>
      </c>
      <c r="X120" s="7">
        <f>G120</f>
        <v>67776.986999999994</v>
      </c>
      <c r="Y120" s="51">
        <f>515.917+1002.508+9477.034+34066.141+26180.952</f>
        <v>71242.552000000011</v>
      </c>
      <c r="Z120" s="51">
        <f>31458.952+585.089+1002.271+13128.102+43095.579</f>
        <v>89269.992999999988</v>
      </c>
      <c r="AA120" s="51">
        <f>31652.566+51358.738+14249.956+805.713+616.212</f>
        <v>98683.185000000012</v>
      </c>
      <c r="AB120" s="7">
        <f>H120</f>
        <v>107707.77900000001</v>
      </c>
      <c r="AC120" s="51">
        <f>1002.998+392.469+13264.991+47972.147+34896.211</f>
        <v>97528.815999999992</v>
      </c>
      <c r="AD120" s="51">
        <f>(39335820+37863112+18561997+1011263+1058207)/1000</f>
        <v>97830.399000000005</v>
      </c>
      <c r="AE120" s="51">
        <f>(1102588+19481703+39343922+39655354)/1000</f>
        <v>99583.566999999995</v>
      </c>
      <c r="AF120" s="7">
        <f t="shared" ref="AF120" si="482">I120</f>
        <v>100516.715</v>
      </c>
      <c r="AG120" s="51">
        <f>(1631382+403430+25312478+16717922+86171927)/1000</f>
        <v>130237.139</v>
      </c>
      <c r="AH120" s="51">
        <f>0+1473.109+17420.176+36008.03+57033.64</f>
        <v>111934.955</v>
      </c>
      <c r="AI120" s="51">
        <f>19383.757+55218.606+35547.957</f>
        <v>110150.32</v>
      </c>
      <c r="AJ120" s="7">
        <f t="shared" ref="AJ120" si="483">J120</f>
        <v>107696.58900000001</v>
      </c>
      <c r="AK120" s="51">
        <f>(200000+18247657+53443271+26334483)/1000</f>
        <v>98225.410999999993</v>
      </c>
      <c r="AL120" s="188"/>
      <c r="AM120" s="188"/>
    </row>
    <row r="121" spans="2:39" ht="13.5" customHeight="1">
      <c r="B121" s="19" t="s">
        <v>240</v>
      </c>
      <c r="C121" s="43">
        <f t="shared" ref="C121:E121" si="484">C119-C120</f>
        <v>-26454.493999999999</v>
      </c>
      <c r="D121" s="43">
        <f t="shared" si="484"/>
        <v>-45322.635000000002</v>
      </c>
      <c r="E121" s="43">
        <f t="shared" si="484"/>
        <v>-77048.61</v>
      </c>
      <c r="F121" s="43">
        <f t="shared" ref="F121:G121" si="485">F119-F120</f>
        <v>-56645.345999999998</v>
      </c>
      <c r="G121" s="43">
        <f t="shared" si="485"/>
        <v>-41720.856999999996</v>
      </c>
      <c r="H121" s="43">
        <f t="shared" ref="H121:I121" si="486">H119-H120</f>
        <v>-77882.268000000011</v>
      </c>
      <c r="I121" s="43">
        <f t="shared" si="486"/>
        <v>-64505.340999999993</v>
      </c>
      <c r="J121" s="43">
        <f t="shared" ref="J121" si="487">J119-J120</f>
        <v>-65858.692999999999</v>
      </c>
      <c r="K121" s="43">
        <f>K119-K120</f>
        <v>-62858.173999999992</v>
      </c>
      <c r="L121" s="43"/>
      <c r="M121" s="43">
        <f t="shared" ref="M121:R121" si="488">M119-M120</f>
        <v>-34725.966</v>
      </c>
      <c r="N121" s="43">
        <f t="shared" si="488"/>
        <v>-36938.868000000002</v>
      </c>
      <c r="O121" s="43">
        <f t="shared" si="488"/>
        <v>-48146.525000000001</v>
      </c>
      <c r="P121" s="43">
        <f t="shared" si="488"/>
        <v>-77048.61</v>
      </c>
      <c r="Q121" s="43">
        <f t="shared" si="488"/>
        <v>-73503.905000000013</v>
      </c>
      <c r="R121" s="43">
        <f t="shared" si="488"/>
        <v>-74311.932000000001</v>
      </c>
      <c r="S121" s="43">
        <f>S119-S120</f>
        <v>-55985.008999999998</v>
      </c>
      <c r="T121" s="43">
        <f t="shared" ref="T121:V121" si="489">T119-T120</f>
        <v>-56645.345999999998</v>
      </c>
      <c r="U121" s="43">
        <f t="shared" si="489"/>
        <v>-46524.546999999991</v>
      </c>
      <c r="V121" s="43">
        <f t="shared" si="489"/>
        <v>-39368.293000000005</v>
      </c>
      <c r="W121" s="43">
        <f t="shared" ref="W121:Z121" si="490">W119-W120</f>
        <v>-40701.752</v>
      </c>
      <c r="X121" s="43">
        <f t="shared" si="490"/>
        <v>-41720.856999999996</v>
      </c>
      <c r="Y121" s="43">
        <f t="shared" si="490"/>
        <v>-48778.343000000008</v>
      </c>
      <c r="Z121" s="43">
        <f t="shared" si="490"/>
        <v>-64325.508999999991</v>
      </c>
      <c r="AA121" s="43">
        <f t="shared" ref="AA121:AD121" si="491">AA119-AA120</f>
        <v>-73848.005000000005</v>
      </c>
      <c r="AB121" s="43">
        <f t="shared" si="491"/>
        <v>-77882.268000000011</v>
      </c>
      <c r="AC121" s="43">
        <f t="shared" si="491"/>
        <v>-69822.918999999994</v>
      </c>
      <c r="AD121" s="43">
        <f t="shared" si="491"/>
        <v>-63481.754000000008</v>
      </c>
      <c r="AE121" s="43">
        <f t="shared" ref="AE121:AH121" si="492">AE119-AE120</f>
        <v>-72223.42</v>
      </c>
      <c r="AF121" s="43">
        <f t="shared" si="492"/>
        <v>-64505.340999999993</v>
      </c>
      <c r="AG121" s="43">
        <f t="shared" si="492"/>
        <v>-99292.453999999998</v>
      </c>
      <c r="AH121" s="43">
        <f t="shared" si="492"/>
        <v>-83022.119000000006</v>
      </c>
      <c r="AI121" s="43">
        <f t="shared" ref="AI121:AK121" si="493">AI119-AI120</f>
        <v>-82561.369000000006</v>
      </c>
      <c r="AJ121" s="43">
        <f t="shared" si="493"/>
        <v>-65858.692999999999</v>
      </c>
      <c r="AK121" s="43">
        <f t="shared" si="493"/>
        <v>-62858.173999999992</v>
      </c>
      <c r="AL121" s="188"/>
      <c r="AM121" s="188"/>
    </row>
    <row r="122" spans="2:39" ht="13.5" customHeight="1">
      <c r="C122" s="52"/>
      <c r="D122" s="52"/>
      <c r="E122" s="52"/>
      <c r="F122" s="52"/>
      <c r="G122" s="52"/>
      <c r="H122" s="52"/>
      <c r="I122" s="52"/>
      <c r="J122" s="52"/>
      <c r="K122" s="43"/>
      <c r="L122" s="7"/>
      <c r="M122" s="52"/>
      <c r="N122" s="52"/>
      <c r="O122" s="52"/>
      <c r="P122" s="53"/>
      <c r="Q122" s="52"/>
      <c r="R122" s="52"/>
      <c r="S122" s="52"/>
      <c r="T122" s="53"/>
      <c r="U122" s="52"/>
      <c r="V122" s="52"/>
      <c r="W122" s="52"/>
      <c r="X122" s="53"/>
      <c r="Y122" s="52"/>
      <c r="Z122" s="52"/>
      <c r="AA122" s="52"/>
      <c r="AB122" s="53"/>
      <c r="AC122" s="52"/>
      <c r="AD122" s="52"/>
      <c r="AE122" s="52"/>
      <c r="AF122" s="53"/>
      <c r="AG122" s="52"/>
      <c r="AH122" s="52"/>
      <c r="AI122" s="52"/>
      <c r="AJ122" s="53"/>
      <c r="AK122" s="52"/>
      <c r="AL122" s="188"/>
      <c r="AM122" s="188"/>
    </row>
    <row r="123" spans="2:39" ht="13.5" customHeight="1">
      <c r="B123" s="19" t="s">
        <v>241</v>
      </c>
      <c r="C123" s="43">
        <f t="shared" ref="C123:D123" si="494">C121</f>
        <v>-26454.493999999999</v>
      </c>
      <c r="D123" s="43">
        <f t="shared" si="494"/>
        <v>-45322.635000000002</v>
      </c>
      <c r="E123" s="43">
        <f t="shared" ref="E123:J123" si="495">E121</f>
        <v>-77048.61</v>
      </c>
      <c r="F123" s="43">
        <f t="shared" si="495"/>
        <v>-56645.345999999998</v>
      </c>
      <c r="G123" s="43">
        <f t="shared" si="495"/>
        <v>-41720.856999999996</v>
      </c>
      <c r="H123" s="43">
        <f t="shared" si="495"/>
        <v>-77882.268000000011</v>
      </c>
      <c r="I123" s="43">
        <f t="shared" si="495"/>
        <v>-64505.340999999993</v>
      </c>
      <c r="J123" s="43">
        <f t="shared" si="495"/>
        <v>-65858.692999999999</v>
      </c>
      <c r="K123" s="43">
        <f>AK123</f>
        <v>-62858.173999999992</v>
      </c>
      <c r="L123" s="43"/>
      <c r="M123" s="43">
        <f t="shared" ref="M123:S123" si="496">M121</f>
        <v>-34725.966</v>
      </c>
      <c r="N123" s="43">
        <f t="shared" si="496"/>
        <v>-36938.868000000002</v>
      </c>
      <c r="O123" s="43">
        <f t="shared" si="496"/>
        <v>-48146.525000000001</v>
      </c>
      <c r="P123" s="43">
        <f>D123</f>
        <v>-45322.635000000002</v>
      </c>
      <c r="Q123" s="43">
        <f t="shared" si="496"/>
        <v>-73503.905000000013</v>
      </c>
      <c r="R123" s="43">
        <f t="shared" si="496"/>
        <v>-74311.932000000001</v>
      </c>
      <c r="S123" s="43">
        <f t="shared" si="496"/>
        <v>-55985.008999999998</v>
      </c>
      <c r="T123" s="43">
        <f>F123</f>
        <v>-56645.345999999998</v>
      </c>
      <c r="U123" s="43">
        <f t="shared" ref="U123:V123" si="497">U121</f>
        <v>-46524.546999999991</v>
      </c>
      <c r="V123" s="43">
        <f t="shared" si="497"/>
        <v>-39368.293000000005</v>
      </c>
      <c r="W123" s="43">
        <f t="shared" ref="W123" si="498">W121</f>
        <v>-40701.752</v>
      </c>
      <c r="X123" s="43">
        <f>G123</f>
        <v>-41720.856999999996</v>
      </c>
      <c r="Y123" s="43">
        <f t="shared" ref="Y123:AA123" si="499">Y121</f>
        <v>-48778.343000000008</v>
      </c>
      <c r="Z123" s="43">
        <f t="shared" si="499"/>
        <v>-64325.508999999991</v>
      </c>
      <c r="AA123" s="43">
        <f t="shared" si="499"/>
        <v>-73848.005000000005</v>
      </c>
      <c r="AB123" s="43">
        <f>H123</f>
        <v>-77882.268000000011</v>
      </c>
      <c r="AC123" s="43">
        <f t="shared" ref="AC123:AE123" si="500">AC121</f>
        <v>-69822.918999999994</v>
      </c>
      <c r="AD123" s="43">
        <f t="shared" si="500"/>
        <v>-63481.754000000008</v>
      </c>
      <c r="AE123" s="43">
        <f t="shared" si="500"/>
        <v>-72223.42</v>
      </c>
      <c r="AF123" s="43">
        <f>I123</f>
        <v>-64505.340999999993</v>
      </c>
      <c r="AG123" s="43">
        <f t="shared" ref="AG123" si="501">AG121</f>
        <v>-99292.453999999998</v>
      </c>
      <c r="AH123" s="43">
        <f>AH121</f>
        <v>-83022.119000000006</v>
      </c>
      <c r="AI123" s="43">
        <f t="shared" ref="AI123" si="502">AI121</f>
        <v>-82561.369000000006</v>
      </c>
      <c r="AJ123" s="43">
        <f>J123</f>
        <v>-65858.692999999999</v>
      </c>
      <c r="AK123" s="43">
        <f t="shared" ref="AK123" si="503">AK121</f>
        <v>-62858.173999999992</v>
      </c>
      <c r="AL123" s="188"/>
      <c r="AM123" s="188"/>
    </row>
    <row r="124" spans="2:39" ht="13.5" customHeight="1">
      <c r="B124" s="16" t="s">
        <v>242</v>
      </c>
      <c r="C124" s="51">
        <v>71250.129000000001</v>
      </c>
      <c r="D124" s="51">
        <v>81657.676000000007</v>
      </c>
      <c r="E124" s="51">
        <v>124013.515</v>
      </c>
      <c r="F124" s="51">
        <v>137432.49600000001</v>
      </c>
      <c r="G124" s="51">
        <v>143923.06</v>
      </c>
      <c r="H124" s="51">
        <v>164261.76800000001</v>
      </c>
      <c r="I124" s="51">
        <v>189205.11900000001</v>
      </c>
      <c r="J124" s="51">
        <v>266323.26899999997</v>
      </c>
      <c r="K124" s="7">
        <f>AK124</f>
        <v>266033.924</v>
      </c>
      <c r="L124" s="7"/>
      <c r="M124" s="51">
        <v>84908.641000000003</v>
      </c>
      <c r="N124" s="51">
        <v>90162.372000000003</v>
      </c>
      <c r="O124" s="51">
        <v>94568.377999999997</v>
      </c>
      <c r="P124" s="7">
        <f>E124</f>
        <v>124013.515</v>
      </c>
      <c r="Q124" s="51">
        <v>132255.34599999999</v>
      </c>
      <c r="R124" s="51">
        <v>136036.769</v>
      </c>
      <c r="S124" s="51">
        <v>135764.04399999999</v>
      </c>
      <c r="T124" s="7">
        <f>F124</f>
        <v>137432.49600000001</v>
      </c>
      <c r="U124" s="51">
        <v>136648.73699999999</v>
      </c>
      <c r="V124" s="51">
        <v>140816.345</v>
      </c>
      <c r="W124" s="51">
        <v>141794.12299999999</v>
      </c>
      <c r="X124" s="7">
        <f>G124</f>
        <v>143923.06</v>
      </c>
      <c r="Y124" s="51">
        <v>148374.08900000001</v>
      </c>
      <c r="Z124" s="51">
        <v>155053.29199999999</v>
      </c>
      <c r="AA124" s="51">
        <v>160063.489</v>
      </c>
      <c r="AB124" s="7">
        <f>H124</f>
        <v>164261.76800000001</v>
      </c>
      <c r="AC124" s="51">
        <v>167593.80100000001</v>
      </c>
      <c r="AD124" s="51">
        <v>172571.747</v>
      </c>
      <c r="AE124" s="51">
        <v>177824.524</v>
      </c>
      <c r="AF124" s="7">
        <f>I124</f>
        <v>189205.11900000001</v>
      </c>
      <c r="AG124" s="51">
        <v>239931.78099999999</v>
      </c>
      <c r="AH124" s="51">
        <v>252860.69500000001</v>
      </c>
      <c r="AI124" s="51">
        <v>265563.36800000002</v>
      </c>
      <c r="AJ124" s="7">
        <f t="shared" ref="AJ124" si="504">J124</f>
        <v>266323.26899999997</v>
      </c>
      <c r="AK124" s="51">
        <v>266033.924</v>
      </c>
    </row>
    <row r="125" spans="2:39" s="19" customFormat="1" ht="13.5" customHeight="1">
      <c r="B125" s="19" t="s">
        <v>243</v>
      </c>
      <c r="C125" s="43">
        <f t="shared" ref="C125:G125" si="505">+C119+C124</f>
        <v>83040.298999999999</v>
      </c>
      <c r="D125" s="43">
        <f t="shared" si="505"/>
        <v>100241.33500000001</v>
      </c>
      <c r="E125" s="43">
        <f t="shared" si="505"/>
        <v>142490.13699999999</v>
      </c>
      <c r="F125" s="43">
        <f t="shared" si="505"/>
        <v>166960.49000000002</v>
      </c>
      <c r="G125" s="43">
        <f t="shared" si="505"/>
        <v>169979.19</v>
      </c>
      <c r="H125" s="43">
        <f t="shared" ref="H125:I125" si="506">+H119+H124</f>
        <v>194087.27900000001</v>
      </c>
      <c r="I125" s="43">
        <f t="shared" si="506"/>
        <v>225216.49300000002</v>
      </c>
      <c r="J125" s="43">
        <f t="shared" ref="J125" si="507">+J119+J124</f>
        <v>308161.16499999998</v>
      </c>
      <c r="K125" s="43">
        <f>+K119+K124</f>
        <v>301401.16100000002</v>
      </c>
      <c r="L125" s="43"/>
      <c r="M125" s="43">
        <f t="shared" ref="M125:S125" si="508">+M119+M124</f>
        <v>101389.693</v>
      </c>
      <c r="N125" s="43">
        <f t="shared" si="508"/>
        <v>113566.948</v>
      </c>
      <c r="O125" s="43">
        <f t="shared" si="508"/>
        <v>113137.236</v>
      </c>
      <c r="P125" s="43">
        <f t="shared" si="508"/>
        <v>142490.13699999999</v>
      </c>
      <c r="Q125" s="43">
        <f t="shared" si="508"/>
        <v>153260.231</v>
      </c>
      <c r="R125" s="43">
        <f t="shared" si="508"/>
        <v>155350.497</v>
      </c>
      <c r="S125" s="43">
        <f t="shared" si="508"/>
        <v>161662.394</v>
      </c>
      <c r="T125" s="43">
        <f t="shared" ref="T125:V125" si="509">+T119+T124</f>
        <v>166960.49000000002</v>
      </c>
      <c r="U125" s="43">
        <f t="shared" si="509"/>
        <v>166362.666</v>
      </c>
      <c r="V125" s="43">
        <f t="shared" si="509"/>
        <v>176345.75400000002</v>
      </c>
      <c r="W125" s="43">
        <f t="shared" ref="W125:Z125" si="510">+W119+W124</f>
        <v>167555.82199999999</v>
      </c>
      <c r="X125" s="43">
        <f t="shared" si="510"/>
        <v>169979.19</v>
      </c>
      <c r="Y125" s="43">
        <f t="shared" si="510"/>
        <v>170838.29800000001</v>
      </c>
      <c r="Z125" s="43">
        <f t="shared" si="510"/>
        <v>179997.77599999998</v>
      </c>
      <c r="AA125" s="43">
        <f t="shared" ref="AA125:AD125" si="511">+AA119+AA124</f>
        <v>184898.66899999999</v>
      </c>
      <c r="AB125" s="43">
        <f t="shared" si="511"/>
        <v>194087.27900000001</v>
      </c>
      <c r="AC125" s="43">
        <f t="shared" si="511"/>
        <v>195299.698</v>
      </c>
      <c r="AD125" s="43">
        <f t="shared" si="511"/>
        <v>206920.39199999999</v>
      </c>
      <c r="AE125" s="43">
        <f t="shared" ref="AE125:AH125" si="512">+AE119+AE124</f>
        <v>205184.671</v>
      </c>
      <c r="AF125" s="43">
        <f t="shared" si="512"/>
        <v>225216.49300000002</v>
      </c>
      <c r="AG125" s="43">
        <f t="shared" si="512"/>
        <v>270876.46600000001</v>
      </c>
      <c r="AH125" s="43">
        <f t="shared" si="512"/>
        <v>281773.53100000002</v>
      </c>
      <c r="AI125" s="43">
        <f t="shared" ref="AI125:AK125" si="513">+AI119+AI124</f>
        <v>293152.31900000002</v>
      </c>
      <c r="AJ125" s="43">
        <f t="shared" si="513"/>
        <v>308161.16499999998</v>
      </c>
      <c r="AK125" s="43">
        <f t="shared" si="513"/>
        <v>301401.16100000002</v>
      </c>
    </row>
    <row r="126" spans="2:39" ht="13.5" customHeight="1"/>
    <row r="127" spans="2:39" ht="13.5" customHeight="1">
      <c r="B127" s="39" t="s">
        <v>244</v>
      </c>
      <c r="C127" s="44">
        <f t="shared" ref="C127:I127" si="514">C3</f>
        <v>43465</v>
      </c>
      <c r="D127" s="44">
        <f t="shared" si="514"/>
        <v>43830</v>
      </c>
      <c r="E127" s="44">
        <f t="shared" si="514"/>
        <v>44196</v>
      </c>
      <c r="F127" s="44">
        <f t="shared" si="514"/>
        <v>44561</v>
      </c>
      <c r="G127" s="44">
        <f t="shared" si="514"/>
        <v>44926</v>
      </c>
      <c r="H127" s="44">
        <f t="shared" si="514"/>
        <v>45291</v>
      </c>
      <c r="I127" s="44">
        <f t="shared" si="514"/>
        <v>45657</v>
      </c>
      <c r="J127" s="44">
        <f t="shared" ref="J127" si="515">J3</f>
        <v>46022</v>
      </c>
      <c r="K127" s="44" t="str">
        <f>K2</f>
        <v>LTM</v>
      </c>
      <c r="L127" s="204"/>
      <c r="M127" s="44">
        <f t="shared" ref="M127:AI127" si="516">M3</f>
        <v>43921</v>
      </c>
      <c r="N127" s="44">
        <f t="shared" si="516"/>
        <v>44012</v>
      </c>
      <c r="O127" s="44">
        <f t="shared" si="516"/>
        <v>44104</v>
      </c>
      <c r="P127" s="44">
        <f t="shared" si="516"/>
        <v>44196</v>
      </c>
      <c r="Q127" s="44">
        <f t="shared" si="516"/>
        <v>44286</v>
      </c>
      <c r="R127" s="44">
        <f t="shared" si="516"/>
        <v>44377</v>
      </c>
      <c r="S127" s="44">
        <f t="shared" si="516"/>
        <v>44469</v>
      </c>
      <c r="T127" s="44">
        <f t="shared" si="516"/>
        <v>44561</v>
      </c>
      <c r="U127" s="44">
        <f t="shared" si="516"/>
        <v>44651</v>
      </c>
      <c r="V127" s="44">
        <f t="shared" si="516"/>
        <v>44742</v>
      </c>
      <c r="W127" s="44">
        <f t="shared" si="516"/>
        <v>44834</v>
      </c>
      <c r="X127" s="44">
        <f t="shared" si="516"/>
        <v>44926</v>
      </c>
      <c r="Y127" s="44">
        <f t="shared" si="516"/>
        <v>45016</v>
      </c>
      <c r="Z127" s="44">
        <f t="shared" si="516"/>
        <v>45107</v>
      </c>
      <c r="AA127" s="44">
        <f t="shared" si="516"/>
        <v>45199</v>
      </c>
      <c r="AB127" s="44">
        <f t="shared" si="516"/>
        <v>45291</v>
      </c>
      <c r="AC127" s="44">
        <f t="shared" si="516"/>
        <v>45382</v>
      </c>
      <c r="AD127" s="44">
        <f t="shared" si="516"/>
        <v>45473</v>
      </c>
      <c r="AE127" s="44">
        <f t="shared" si="516"/>
        <v>45565</v>
      </c>
      <c r="AF127" s="44">
        <f t="shared" si="516"/>
        <v>45657</v>
      </c>
      <c r="AG127" s="44">
        <f t="shared" si="516"/>
        <v>45747</v>
      </c>
      <c r="AH127" s="44">
        <f t="shared" si="516"/>
        <v>45838</v>
      </c>
      <c r="AI127" s="44">
        <f t="shared" si="516"/>
        <v>45930</v>
      </c>
      <c r="AJ127" s="44">
        <f t="shared" ref="AJ127:AK127" si="517">AJ3</f>
        <v>46022</v>
      </c>
      <c r="AK127" s="44">
        <f t="shared" si="517"/>
        <v>46112</v>
      </c>
    </row>
    <row r="128" spans="2:39" ht="13.5" customHeight="1">
      <c r="B128" s="19"/>
    </row>
    <row r="129" spans="2:37" ht="13.5" customHeight="1">
      <c r="B129" s="2" t="s">
        <v>245</v>
      </c>
      <c r="C129" s="85" t="str">
        <f t="shared" ref="C129:G129" si="518">IF((C121-C114)&lt;0,"net cash",(C121-C114)/C87)</f>
        <v>net cash</v>
      </c>
      <c r="D129" s="85" t="str">
        <f t="shared" si="518"/>
        <v>net cash</v>
      </c>
      <c r="E129" s="85" t="str">
        <f t="shared" si="518"/>
        <v>net cash</v>
      </c>
      <c r="F129" s="85" t="str">
        <f t="shared" si="518"/>
        <v>net cash</v>
      </c>
      <c r="G129" s="85" t="str">
        <f t="shared" si="518"/>
        <v>net cash</v>
      </c>
      <c r="H129" s="85" t="str">
        <f t="shared" ref="H129:I129" si="519">IF((H121-H114)&lt;0,"net cash",(H121-H114)/H87)</f>
        <v>net cash</v>
      </c>
      <c r="I129" s="85" t="str">
        <f t="shared" si="519"/>
        <v>net cash</v>
      </c>
      <c r="J129" s="85" t="str">
        <f t="shared" ref="J129" si="520">IF((J121-J114)&lt;0,"net cash",(J121-J114)/J87)</f>
        <v>net cash</v>
      </c>
      <c r="K129" s="85" t="str">
        <f>IF((K121-K114)&lt;0,"net cash",(K121-K114)/K87)</f>
        <v>net cash</v>
      </c>
      <c r="M129" s="90"/>
      <c r="N129" s="90"/>
      <c r="O129" s="90"/>
      <c r="P129" s="85" t="str">
        <f t="shared" ref="P129:U129" si="521">IF((P121-P114)&lt;0,"net cash",(P121-P114)/P87)</f>
        <v>net cash</v>
      </c>
      <c r="Q129" s="85" t="str">
        <f t="shared" si="521"/>
        <v>net cash</v>
      </c>
      <c r="R129" s="85" t="str">
        <f t="shared" si="521"/>
        <v>net cash</v>
      </c>
      <c r="S129" s="85" t="str">
        <f t="shared" si="521"/>
        <v>net cash</v>
      </c>
      <c r="T129" s="85" t="str">
        <f t="shared" si="521"/>
        <v>net cash</v>
      </c>
      <c r="U129" s="85" t="str">
        <f t="shared" si="521"/>
        <v>net cash</v>
      </c>
      <c r="V129" s="85" t="str">
        <f t="shared" ref="V129" si="522">IF((V121-V114)&lt;0,"net cash",(V121-V114)/V87)</f>
        <v>net cash</v>
      </c>
      <c r="W129" s="85" t="str">
        <f t="shared" ref="W129:Z129" si="523">IF((W121-W114)&lt;0,"net cash",(W121-W114)/W87)</f>
        <v>net cash</v>
      </c>
      <c r="X129" s="85" t="str">
        <f t="shared" si="523"/>
        <v>net cash</v>
      </c>
      <c r="Y129" s="85" t="str">
        <f t="shared" si="523"/>
        <v>net cash</v>
      </c>
      <c r="Z129" s="85" t="str">
        <f t="shared" si="523"/>
        <v>net cash</v>
      </c>
      <c r="AA129" s="85" t="str">
        <f t="shared" ref="AA129:AD129" si="524">IF((AA121-AA114)&lt;0,"net cash",(AA121-AA114)/AA87)</f>
        <v>net cash</v>
      </c>
      <c r="AB129" s="85" t="str">
        <f t="shared" si="524"/>
        <v>net cash</v>
      </c>
      <c r="AC129" s="85" t="str">
        <f t="shared" si="524"/>
        <v>net cash</v>
      </c>
      <c r="AD129" s="85" t="str">
        <f t="shared" si="524"/>
        <v>net cash</v>
      </c>
      <c r="AE129" s="85" t="str">
        <f t="shared" ref="AE129:AH129" si="525">IF((AE121-AE114)&lt;0,"net cash",(AE121-AE114)/AE87)</f>
        <v>net cash</v>
      </c>
      <c r="AF129" s="85" t="str">
        <f t="shared" si="525"/>
        <v>net cash</v>
      </c>
      <c r="AG129" s="85" t="str">
        <f t="shared" si="525"/>
        <v>net cash</v>
      </c>
      <c r="AH129" s="85" t="str">
        <f t="shared" si="525"/>
        <v>net cash</v>
      </c>
      <c r="AI129" s="85" t="str">
        <f t="shared" ref="AI129:AK129" si="526">IF((AI121-AI114)&lt;0,"net cash",(AI121-AI114)/AI87)</f>
        <v>net cash</v>
      </c>
      <c r="AJ129" s="85" t="str">
        <f t="shared" si="526"/>
        <v>net cash</v>
      </c>
      <c r="AK129" s="85" t="str">
        <f t="shared" si="526"/>
        <v>net cash</v>
      </c>
    </row>
    <row r="130" spans="2:37" ht="13.5" customHeight="1">
      <c r="B130" s="6" t="s">
        <v>246</v>
      </c>
      <c r="C130" s="49">
        <f t="shared" ref="C130:G130" si="527">(C119-C114)/C87</f>
        <v>5.6211263709140455</v>
      </c>
      <c r="D130" s="49">
        <f t="shared" si="527"/>
        <v>1.3410730434396176</v>
      </c>
      <c r="E130" s="49">
        <f t="shared" si="527"/>
        <v>0.68354943579253391</v>
      </c>
      <c r="F130" s="49">
        <f t="shared" si="527"/>
        <v>0.90225370578725372</v>
      </c>
      <c r="G130" s="49">
        <f t="shared" si="527"/>
        <v>3.624217817250472</v>
      </c>
      <c r="H130" s="49">
        <f t="shared" ref="H130:I130" si="528">(H119-H114)/H87</f>
        <v>1.1212461089233017</v>
      </c>
      <c r="I130" s="49">
        <f t="shared" si="528"/>
        <v>0.99292216890568696</v>
      </c>
      <c r="J130" s="49">
        <f t="shared" ref="J130" si="529">(J119-J114)/J87</f>
        <v>0.63757759386739377</v>
      </c>
      <c r="K130" s="49">
        <f>(K119-K114)/K87</f>
        <v>0.71487751879595662</v>
      </c>
      <c r="M130" s="90"/>
      <c r="N130" s="90"/>
      <c r="O130" s="90"/>
      <c r="P130" s="49">
        <f t="shared" ref="P130:U130" si="530">(P119-P114)/P87</f>
        <v>0.68354943579253391</v>
      </c>
      <c r="Q130" s="49">
        <f t="shared" si="530"/>
        <v>0.65880988580932065</v>
      </c>
      <c r="R130" s="49">
        <f t="shared" si="530"/>
        <v>0.51433697903273701</v>
      </c>
      <c r="S130" s="49">
        <f t="shared" si="530"/>
        <v>0.76193435861516146</v>
      </c>
      <c r="T130" s="49">
        <f t="shared" si="530"/>
        <v>0.90225370578725406</v>
      </c>
      <c r="U130" s="49">
        <f t="shared" si="530"/>
        <v>1.4678991272169293</v>
      </c>
      <c r="V130" s="49">
        <f t="shared" ref="V130" si="531">(V119-V114)/V87</f>
        <v>2.8397176734662883</v>
      </c>
      <c r="W130" s="49">
        <f t="shared" ref="W130:Z130" si="532">(W119-W114)/W87</f>
        <v>3.4306556541360225</v>
      </c>
      <c r="X130" s="49">
        <f t="shared" si="532"/>
        <v>3.6242178172504769</v>
      </c>
      <c r="Y130" s="49">
        <f t="shared" si="532"/>
        <v>1.6786873331201624</v>
      </c>
      <c r="Z130" s="49">
        <f t="shared" si="532"/>
        <v>1.4514388051189764</v>
      </c>
      <c r="AA130" s="49">
        <f t="shared" ref="AA130:AC130" si="533">(AA119-AA114)/AA87</f>
        <v>1.0868533275041488</v>
      </c>
      <c r="AB130" s="49">
        <f t="shared" si="533"/>
        <v>1.121246108923301</v>
      </c>
      <c r="AC130" s="49">
        <f t="shared" si="533"/>
        <v>1.1995421495203282</v>
      </c>
      <c r="AD130" s="49">
        <f>(AD119-AD114)/AD87</f>
        <v>1.1835240843336163</v>
      </c>
      <c r="AE130" s="49">
        <f t="shared" ref="AE130:AG130" si="534">(AE119-AE114)/AE87</f>
        <v>1.0356791048812886</v>
      </c>
      <c r="AF130" s="49">
        <f t="shared" si="534"/>
        <v>0.99292216890568719</v>
      </c>
      <c r="AG130" s="49">
        <f t="shared" si="534"/>
        <v>0.76120804466724323</v>
      </c>
      <c r="AH130" s="49">
        <f>(AH119-AH114)/AH87</f>
        <v>0.59250851696119344</v>
      </c>
      <c r="AI130" s="49">
        <f t="shared" ref="AI130:AK130" si="535">(AI119-AI114)/AI87</f>
        <v>0.47247452933222817</v>
      </c>
      <c r="AJ130" s="49">
        <f t="shared" si="535"/>
        <v>0.63757759386739343</v>
      </c>
      <c r="AK130" s="49">
        <f t="shared" si="535"/>
        <v>0.71487751879595662</v>
      </c>
    </row>
    <row r="131" spans="2:37" ht="13.5" customHeight="1">
      <c r="B131" s="2"/>
      <c r="M131" s="90"/>
      <c r="N131" s="90"/>
      <c r="O131" s="90"/>
    </row>
    <row r="132" spans="2:37" s="19" customFormat="1" ht="13.5" customHeight="1">
      <c r="B132" s="2" t="s">
        <v>247</v>
      </c>
      <c r="C132" s="85" t="str">
        <f t="shared" ref="C132:G132" si="536">IF(C121&lt;0,"net cash", C121/C87)</f>
        <v>net cash</v>
      </c>
      <c r="D132" s="85" t="str">
        <f t="shared" si="536"/>
        <v>net cash</v>
      </c>
      <c r="E132" s="85" t="str">
        <f t="shared" si="536"/>
        <v>net cash</v>
      </c>
      <c r="F132" s="85" t="str">
        <f t="shared" si="536"/>
        <v>net cash</v>
      </c>
      <c r="G132" s="85" t="str">
        <f t="shared" si="536"/>
        <v>net cash</v>
      </c>
      <c r="H132" s="85" t="str">
        <f t="shared" ref="H132:I132" si="537">IF(H121&lt;0,"net cash", H121/H87)</f>
        <v>net cash</v>
      </c>
      <c r="I132" s="85" t="str">
        <f t="shared" si="537"/>
        <v>net cash</v>
      </c>
      <c r="J132" s="85" t="str">
        <f t="shared" ref="J132" si="538">IF(J121&lt;0,"net cash", J121/J87)</f>
        <v>net cash</v>
      </c>
      <c r="K132" s="85" t="str">
        <f>IF(K121&lt;0,"net cash", K121/K87)</f>
        <v>net cash</v>
      </c>
      <c r="L132" s="50"/>
      <c r="M132" s="90"/>
      <c r="N132" s="90"/>
      <c r="O132" s="90"/>
      <c r="P132" s="85" t="str">
        <f t="shared" ref="P132:U132" si="539">IF(P121&lt;0,"net cash", P121/P87)</f>
        <v>net cash</v>
      </c>
      <c r="Q132" s="85" t="str">
        <f t="shared" si="539"/>
        <v>net cash</v>
      </c>
      <c r="R132" s="85" t="str">
        <f t="shared" si="539"/>
        <v>net cash</v>
      </c>
      <c r="S132" s="85" t="str">
        <f t="shared" si="539"/>
        <v>net cash</v>
      </c>
      <c r="T132" s="85" t="str">
        <f t="shared" si="539"/>
        <v>net cash</v>
      </c>
      <c r="U132" s="85" t="str">
        <f t="shared" si="539"/>
        <v>net cash</v>
      </c>
      <c r="V132" s="85" t="str">
        <f t="shared" ref="V132" si="540">IF(V121&lt;0,"net cash", V121/V87)</f>
        <v>net cash</v>
      </c>
      <c r="W132" s="85" t="str">
        <f t="shared" ref="W132:Z132" si="541">IF(W121&lt;0,"net cash", W121/W87)</f>
        <v>net cash</v>
      </c>
      <c r="X132" s="85" t="str">
        <f t="shared" si="541"/>
        <v>net cash</v>
      </c>
      <c r="Y132" s="85" t="str">
        <f t="shared" si="541"/>
        <v>net cash</v>
      </c>
      <c r="Z132" s="85" t="str">
        <f t="shared" si="541"/>
        <v>net cash</v>
      </c>
      <c r="AA132" s="85" t="str">
        <f t="shared" ref="AA132:AD132" si="542">IF(AA121&lt;0,"net cash", AA121/AA87)</f>
        <v>net cash</v>
      </c>
      <c r="AB132" s="85" t="str">
        <f t="shared" si="542"/>
        <v>net cash</v>
      </c>
      <c r="AC132" s="85" t="str">
        <f t="shared" si="542"/>
        <v>net cash</v>
      </c>
      <c r="AD132" s="85" t="str">
        <f t="shared" si="542"/>
        <v>net cash</v>
      </c>
      <c r="AE132" s="85" t="str">
        <f t="shared" ref="AE132:AH132" si="543">IF(AE121&lt;0,"net cash", AE121/AE87)</f>
        <v>net cash</v>
      </c>
      <c r="AF132" s="85" t="str">
        <f t="shared" si="543"/>
        <v>net cash</v>
      </c>
      <c r="AG132" s="85" t="str">
        <f t="shared" si="543"/>
        <v>net cash</v>
      </c>
      <c r="AH132" s="85" t="str">
        <f t="shared" si="543"/>
        <v>net cash</v>
      </c>
      <c r="AI132" s="85" t="str">
        <f t="shared" ref="AI132:AK132" si="544">IF(AI121&lt;0,"net cash", AI121/AI87)</f>
        <v>net cash</v>
      </c>
      <c r="AJ132" s="85" t="str">
        <f t="shared" si="544"/>
        <v>net cash</v>
      </c>
      <c r="AK132" s="85" t="str">
        <f t="shared" si="544"/>
        <v>net cash</v>
      </c>
    </row>
    <row r="133" spans="2:37" ht="13.5" customHeight="1">
      <c r="B133" s="6" t="s">
        <v>248</v>
      </c>
      <c r="C133" s="49">
        <f t="shared" ref="C133:G133" si="545">+C119/C87</f>
        <v>6.0627565964309449</v>
      </c>
      <c r="D133" s="49">
        <f t="shared" si="545"/>
        <v>1.4141441820413789</v>
      </c>
      <c r="E133" s="49">
        <f t="shared" si="545"/>
        <v>0.71772853325481434</v>
      </c>
      <c r="F133" s="49">
        <f t="shared" si="545"/>
        <v>1.0150456973473299</v>
      </c>
      <c r="G133" s="49">
        <f t="shared" si="545"/>
        <v>3.9939554477534953</v>
      </c>
      <c r="H133" s="49">
        <f t="shared" ref="H133:I133" si="546">+H119/H87</f>
        <v>1.2004639406734252</v>
      </c>
      <c r="I133" s="49">
        <f t="shared" si="546"/>
        <v>1.1683975605724202</v>
      </c>
      <c r="J133" s="49">
        <f t="shared" ref="J133" si="547">+J119/J87</f>
        <v>0.73843308797024843</v>
      </c>
      <c r="K133" s="49">
        <f>+K119/K87</f>
        <v>0.71487751879595662</v>
      </c>
      <c r="L133" s="49"/>
      <c r="M133" s="90"/>
      <c r="N133" s="90"/>
      <c r="O133" s="90"/>
      <c r="P133" s="49">
        <f t="shared" ref="P133:U133" si="548">+P119/P87</f>
        <v>0.71772853325481434</v>
      </c>
      <c r="Q133" s="49">
        <f t="shared" si="548"/>
        <v>0.65880988580932065</v>
      </c>
      <c r="R133" s="49">
        <f t="shared" si="548"/>
        <v>0.51433697903273701</v>
      </c>
      <c r="S133" s="49">
        <f t="shared" si="548"/>
        <v>0.76193435861516146</v>
      </c>
      <c r="T133" s="49">
        <f t="shared" si="548"/>
        <v>1.0150456973473303</v>
      </c>
      <c r="U133" s="49">
        <f t="shared" si="548"/>
        <v>1.4678991272169293</v>
      </c>
      <c r="V133" s="49">
        <f t="shared" ref="V133" si="549">+V119/V87</f>
        <v>3.0978292078100855</v>
      </c>
      <c r="W133" s="49">
        <f t="shared" ref="W133:Z133" si="550">+W119/W87</f>
        <v>3.4306556541360225</v>
      </c>
      <c r="X133" s="49">
        <f t="shared" si="550"/>
        <v>3.9939554477535011</v>
      </c>
      <c r="Y133" s="49">
        <f t="shared" si="550"/>
        <v>1.6786873331201624</v>
      </c>
      <c r="Z133" s="49">
        <f t="shared" si="550"/>
        <v>1.5820161537052608</v>
      </c>
      <c r="AA133" s="49">
        <f t="shared" ref="AA133:AD133" si="551">+AA119/AA87</f>
        <v>1.0868533275041488</v>
      </c>
      <c r="AB133" s="49">
        <f t="shared" si="551"/>
        <v>1.2004639406734243</v>
      </c>
      <c r="AC133" s="49">
        <f t="shared" si="551"/>
        <v>1.1995421495203282</v>
      </c>
      <c r="AD133" s="49">
        <f t="shared" si="551"/>
        <v>1.3559307949833868</v>
      </c>
      <c r="AE133" s="49">
        <f t="shared" ref="AE133:AH133" si="552">+AE119/AE87</f>
        <v>1.0356791048812886</v>
      </c>
      <c r="AF133" s="49">
        <f t="shared" si="552"/>
        <v>1.1683975605724204</v>
      </c>
      <c r="AG133" s="49">
        <f t="shared" si="552"/>
        <v>0.76120804466724323</v>
      </c>
      <c r="AH133" s="49">
        <f t="shared" si="552"/>
        <v>0.59250851696119344</v>
      </c>
      <c r="AI133" s="49">
        <f t="shared" ref="AI133:AK133" si="553">+AI119/AI87</f>
        <v>0.47247452933222817</v>
      </c>
      <c r="AJ133" s="49">
        <f t="shared" si="553"/>
        <v>0.7384330879702482</v>
      </c>
      <c r="AK133" s="49">
        <f t="shared" si="553"/>
        <v>0.71487751879595662</v>
      </c>
    </row>
    <row r="134" spans="2:37" ht="13.5" customHeight="1"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90"/>
      <c r="N134" s="90"/>
      <c r="O134" s="90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</row>
    <row r="135" spans="2:37" s="19" customFormat="1" ht="13.5" customHeight="1">
      <c r="B135" s="19" t="s">
        <v>249</v>
      </c>
      <c r="C135" s="85">
        <f t="shared" ref="C135:G135" si="554">C123/C87</f>
        <v>-13.603464411772082</v>
      </c>
      <c r="D135" s="85">
        <f t="shared" si="554"/>
        <v>-3.4488762735064702</v>
      </c>
      <c r="E135" s="85">
        <f t="shared" si="554"/>
        <v>-2.9929705681386034</v>
      </c>
      <c r="F135" s="85">
        <f t="shared" si="554"/>
        <v>-1.9472238693915607</v>
      </c>
      <c r="G135" s="85">
        <f t="shared" si="554"/>
        <v>-6.3950879927331705</v>
      </c>
      <c r="H135" s="85">
        <f t="shared" ref="H135" si="555">H123/H87</f>
        <v>-3.134727661560059</v>
      </c>
      <c r="I135" s="85">
        <f>I123/I87</f>
        <v>-2.0928910701461181</v>
      </c>
      <c r="J135" s="85">
        <f>J123/J87</f>
        <v>-1.1623968385426118</v>
      </c>
      <c r="K135" s="85">
        <f>K123/K87</f>
        <v>-1.2705514842780765</v>
      </c>
      <c r="L135" s="50"/>
      <c r="M135" s="90"/>
      <c r="N135" s="90"/>
      <c r="O135" s="90"/>
      <c r="P135" s="85">
        <f t="shared" ref="P135:U135" si="556">P123/P87</f>
        <v>-1.7605679404922239</v>
      </c>
      <c r="Q135" s="85">
        <f t="shared" si="556"/>
        <v>-2.3054208228033222</v>
      </c>
      <c r="R135" s="85">
        <f t="shared" si="556"/>
        <v>-1.9789744688837996</v>
      </c>
      <c r="S135" s="85">
        <f t="shared" si="556"/>
        <v>-1.6470895607047957</v>
      </c>
      <c r="T135" s="85">
        <f t="shared" si="556"/>
        <v>-1.9472238693915613</v>
      </c>
      <c r="U135" s="85">
        <f t="shared" si="556"/>
        <v>-2.2983612142124654</v>
      </c>
      <c r="V135" s="85">
        <f t="shared" ref="V135" si="557">V123/V87</f>
        <v>-3.4325436687400384</v>
      </c>
      <c r="W135" s="85">
        <f t="shared" ref="W135:Z135" si="558">W123/W87</f>
        <v>-5.4202052291676166</v>
      </c>
      <c r="X135" s="85">
        <f t="shared" si="558"/>
        <v>-6.3950879927331794</v>
      </c>
      <c r="Y135" s="85">
        <f t="shared" si="558"/>
        <v>-3.6450687635914778</v>
      </c>
      <c r="Z135" s="85">
        <f t="shared" si="558"/>
        <v>-4.0796191387768594</v>
      </c>
      <c r="AA135" s="85">
        <f t="shared" ref="AA135:AD135" si="559">AA123/AA87</f>
        <v>-3.2317845074524536</v>
      </c>
      <c r="AB135" s="85">
        <f t="shared" si="559"/>
        <v>-3.1347276615600568</v>
      </c>
      <c r="AC135" s="85">
        <f t="shared" si="559"/>
        <v>-3.0230219343933808</v>
      </c>
      <c r="AD135" s="85">
        <f t="shared" si="559"/>
        <v>-2.5059755681238607</v>
      </c>
      <c r="AE135" s="85">
        <f t="shared" ref="AE135:AH135" si="560">AE123/AE87</f>
        <v>-2.733913928790856</v>
      </c>
      <c r="AF135" s="85">
        <f t="shared" si="560"/>
        <v>-2.0928910701461185</v>
      </c>
      <c r="AG135" s="85">
        <f t="shared" si="560"/>
        <v>-2.4424942363947859</v>
      </c>
      <c r="AH135" s="85">
        <f t="shared" si="560"/>
        <v>-1.7013658778981668</v>
      </c>
      <c r="AI135" s="85">
        <f t="shared" ref="AI135:AK135" si="561">AI123/AI87</f>
        <v>-1.4139045721346715</v>
      </c>
      <c r="AJ135" s="85">
        <f t="shared" si="561"/>
        <v>-1.1623968385426113</v>
      </c>
      <c r="AK135" s="85">
        <f t="shared" si="561"/>
        <v>-1.2705514842780765</v>
      </c>
    </row>
    <row r="136" spans="2:37" ht="13.5" customHeight="1"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90"/>
      <c r="N136" s="90"/>
      <c r="O136" s="90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</row>
    <row r="137" spans="2:37" s="19" customFormat="1" ht="13.5" customHeight="1">
      <c r="B137" s="19" t="s">
        <v>250</v>
      </c>
      <c r="C137" s="85">
        <f>(C87-C90)/C88</f>
        <v>7.0028856480000634</v>
      </c>
      <c r="D137" s="85">
        <f t="shared" ref="D137:E137" si="562">(D87-D90)/D88</f>
        <v>44.767655734860298</v>
      </c>
      <c r="E137" s="85">
        <f t="shared" si="562"/>
        <v>45.587859782954531</v>
      </c>
      <c r="F137" s="85">
        <f t="shared" ref="F137:G137" si="563">(F87-F90)/F88</f>
        <v>33.267870427750843</v>
      </c>
      <c r="G137" s="85">
        <f t="shared" si="563"/>
        <v>0.72694953779984661</v>
      </c>
      <c r="H137" s="85">
        <f t="shared" ref="H137:I137" si="564">(H87-H90)/H88</f>
        <v>24.598350957676494</v>
      </c>
      <c r="I137" s="85">
        <f t="shared" si="564"/>
        <v>33.298354904959766</v>
      </c>
      <c r="J137" s="235">
        <f t="shared" ref="J137" si="565">(J87-J90)/J88</f>
        <v>56.664370901956659</v>
      </c>
      <c r="K137" s="89"/>
      <c r="L137" s="50"/>
      <c r="M137" s="90"/>
      <c r="N137" s="90"/>
      <c r="O137" s="90"/>
      <c r="P137" s="85">
        <f t="shared" ref="P137" si="566">(P87-P90)/P88</f>
        <v>45.587859782954531</v>
      </c>
      <c r="Q137" s="85"/>
      <c r="R137" s="85">
        <f t="shared" ref="R137" si="567">(R87-R90)/R88</f>
        <v>54.792905540313519</v>
      </c>
      <c r="S137" s="85"/>
      <c r="T137" s="85">
        <f t="shared" ref="T137" si="568">(T87-T90)/T88</f>
        <v>33.267870427750829</v>
      </c>
      <c r="U137" s="85"/>
      <c r="V137" s="85">
        <f t="shared" ref="V137" si="569">(V87-V90)/V88</f>
        <v>4.1349681867970345</v>
      </c>
      <c r="W137" s="85"/>
      <c r="X137" s="85">
        <f t="shared" ref="X137" si="570">(X87-X90)/X88</f>
        <v>0.72694953779983773</v>
      </c>
      <c r="Y137" s="85"/>
      <c r="Z137" s="85">
        <f t="shared" ref="Z137" si="571">(Z87-Z90)/Z88</f>
        <v>10.212705610294453</v>
      </c>
      <c r="AA137" s="85"/>
      <c r="AB137" s="85">
        <f t="shared" ref="AB137" si="572">(AB87-AB90)/AB88</f>
        <v>24.598350957676519</v>
      </c>
      <c r="AC137" s="89"/>
      <c r="AD137" s="85">
        <f t="shared" ref="AD137" si="573">(AD87-AD90)/AD88</f>
        <v>26.468529678457912</v>
      </c>
      <c r="AE137" s="89"/>
      <c r="AF137" s="85">
        <f t="shared" ref="AF137" si="574">(AF87-AF90)/AF88</f>
        <v>33.298354904959758</v>
      </c>
      <c r="AG137" s="89"/>
      <c r="AH137" s="85">
        <f t="shared" ref="AH137" si="575">(AH87-AH90)/AH88</f>
        <v>51.307228596972877</v>
      </c>
      <c r="AI137" s="89"/>
      <c r="AJ137" s="85">
        <f>(AJ87-AJ90)/AJ88</f>
        <v>56.664370901956687</v>
      </c>
      <c r="AK137" s="89"/>
    </row>
    <row r="138" spans="2:37" ht="13.5" customHeight="1">
      <c r="B138" s="16" t="s">
        <v>251</v>
      </c>
      <c r="C138" s="49">
        <f>C87/C88</f>
        <v>7.9711435199986198</v>
      </c>
      <c r="D138" s="49">
        <f t="shared" ref="D138:E138" si="576">D87/D88</f>
        <v>60.007470524306584</v>
      </c>
      <c r="E138" s="49">
        <f t="shared" si="576"/>
        <v>51.516156338363565</v>
      </c>
      <c r="F138" s="49">
        <f t="shared" ref="F138:G138" si="577">F87/F88</f>
        <v>44.077095457940828</v>
      </c>
      <c r="G138" s="49">
        <f t="shared" si="577"/>
        <v>6.394535932619049</v>
      </c>
      <c r="H138" s="49">
        <f t="shared" ref="H138:I138" si="578">H87/H88</f>
        <v>32.771104694797884</v>
      </c>
      <c r="I138" s="49">
        <f t="shared" si="578"/>
        <v>42.972917767556197</v>
      </c>
      <c r="J138" s="89">
        <f t="shared" ref="J138" si="579">J87/J88</f>
        <v>73.129313593887062</v>
      </c>
      <c r="K138" s="89"/>
      <c r="L138" s="49"/>
      <c r="M138" s="90"/>
      <c r="N138" s="90"/>
      <c r="O138" s="90"/>
      <c r="P138" s="49">
        <f t="shared" ref="P138" si="580">P87/P88</f>
        <v>51.516156338363565</v>
      </c>
      <c r="Q138" s="89"/>
      <c r="R138" s="49">
        <f t="shared" ref="R138" si="581">R87/R88</f>
        <v>60.708747548658998</v>
      </c>
      <c r="S138" s="89"/>
      <c r="T138" s="49">
        <f t="shared" ref="T138" si="582">T87/T88</f>
        <v>44.077095457940814</v>
      </c>
      <c r="U138" s="89"/>
      <c r="V138" s="49">
        <f t="shared" ref="V138" si="583">V87/V88</f>
        <v>13.729813430379028</v>
      </c>
      <c r="W138" s="89"/>
      <c r="X138" s="49">
        <f t="shared" ref="X138" si="584">X87/X88</f>
        <v>6.3945359326190401</v>
      </c>
      <c r="Y138" s="89"/>
      <c r="Z138" s="49">
        <f t="shared" ref="Z138" si="585">Z87/Z88</f>
        <v>17.838729348461854</v>
      </c>
      <c r="AA138" s="89"/>
      <c r="AB138" s="49">
        <f t="shared" ref="AB138" si="586">AB87/AB88</f>
        <v>32.771104694797913</v>
      </c>
      <c r="AC138" s="89"/>
      <c r="AD138" s="49">
        <f t="shared" ref="AD138" si="587">AD87/AD88</f>
        <v>32.261380308093578</v>
      </c>
      <c r="AE138" s="89"/>
      <c r="AF138" s="49">
        <f t="shared" ref="AF138" si="588">AF87/AF88</f>
        <v>42.97291776755619</v>
      </c>
      <c r="AG138" s="89"/>
      <c r="AH138" s="49">
        <f t="shared" ref="AH138" si="589">AH87/AH88</f>
        <v>64.537518449745235</v>
      </c>
      <c r="AI138" s="89"/>
      <c r="AJ138" s="49">
        <f t="shared" ref="AJ138" si="590">AJ87/AJ88</f>
        <v>73.12931359388709</v>
      </c>
      <c r="AK138" s="89"/>
    </row>
    <row r="139" spans="2:37" ht="13.5" customHeight="1"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90"/>
      <c r="N139" s="90"/>
      <c r="O139" s="90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</row>
    <row r="140" spans="2:37" s="19" customFormat="1" ht="13.5" customHeight="1">
      <c r="B140" s="47" t="s">
        <v>252</v>
      </c>
      <c r="C140" s="46">
        <f t="shared" ref="C140:G140" si="591">C121/C124</f>
        <v>-0.37129047162847939</v>
      </c>
      <c r="D140" s="46">
        <f t="shared" si="591"/>
        <v>-0.55503214419180869</v>
      </c>
      <c r="E140" s="46">
        <f t="shared" si="591"/>
        <v>-0.62129204224233137</v>
      </c>
      <c r="F140" s="46">
        <f t="shared" si="591"/>
        <v>-0.41216850198223853</v>
      </c>
      <c r="G140" s="46">
        <f t="shared" si="591"/>
        <v>-0.2898830597403918</v>
      </c>
      <c r="H140" s="46">
        <f t="shared" ref="H140:I140" si="592">H121/H124</f>
        <v>-0.47413508906101637</v>
      </c>
      <c r="I140" s="46">
        <f t="shared" si="592"/>
        <v>-0.34092809613676461</v>
      </c>
      <c r="J140" s="46">
        <f t="shared" ref="J140" si="593">J121/J124</f>
        <v>-0.24728854240670953</v>
      </c>
      <c r="K140" s="46">
        <f t="shared" ref="K140" si="594">K121/K124</f>
        <v>-0.2362787912717477</v>
      </c>
      <c r="L140" s="209"/>
      <c r="M140" s="91"/>
      <c r="N140" s="91"/>
      <c r="O140" s="91"/>
      <c r="P140" s="46">
        <f t="shared" ref="P140:U140" si="595">P121/P124</f>
        <v>-0.62129204224233137</v>
      </c>
      <c r="Q140" s="46">
        <f t="shared" si="595"/>
        <v>-0.55577265663045494</v>
      </c>
      <c r="R140" s="46">
        <f t="shared" si="595"/>
        <v>-0.54626357672461334</v>
      </c>
      <c r="S140" s="46">
        <f t="shared" si="595"/>
        <v>-0.41236992763709956</v>
      </c>
      <c r="T140" s="46">
        <f t="shared" si="595"/>
        <v>-0.41216850198223853</v>
      </c>
      <c r="U140" s="46">
        <f t="shared" si="595"/>
        <v>-0.34046818156833747</v>
      </c>
      <c r="V140" s="46">
        <f t="shared" ref="V140" si="596">V121/V124</f>
        <v>-0.27957189912861324</v>
      </c>
      <c r="W140" s="46">
        <f t="shared" ref="W140:Z140" si="597">W121/W124</f>
        <v>-0.28704822977747818</v>
      </c>
      <c r="X140" s="46">
        <f t="shared" si="597"/>
        <v>-0.2898830597403918</v>
      </c>
      <c r="Y140" s="46">
        <f t="shared" si="597"/>
        <v>-0.32875243466532761</v>
      </c>
      <c r="Z140" s="46">
        <f t="shared" si="597"/>
        <v>-0.41486064675105377</v>
      </c>
      <c r="AA140" s="46">
        <f t="shared" ref="AA140:AD140" si="598">AA121/AA124</f>
        <v>-0.46136695795753896</v>
      </c>
      <c r="AB140" s="46">
        <f t="shared" si="598"/>
        <v>-0.47413508906101637</v>
      </c>
      <c r="AC140" s="46">
        <f t="shared" si="598"/>
        <v>-0.41661993810856995</v>
      </c>
      <c r="AD140" s="46">
        <f t="shared" si="598"/>
        <v>-0.36785716725693229</v>
      </c>
      <c r="AE140" s="46">
        <f t="shared" ref="AE140:AH140" si="599">AE121/AE124</f>
        <v>-0.40614994138828681</v>
      </c>
      <c r="AF140" s="46">
        <f t="shared" si="599"/>
        <v>-0.34092809613676461</v>
      </c>
      <c r="AG140" s="46">
        <f t="shared" si="599"/>
        <v>-0.4138361895458943</v>
      </c>
      <c r="AH140" s="46">
        <f t="shared" si="599"/>
        <v>-0.32833145143415826</v>
      </c>
      <c r="AI140" s="46">
        <f t="shared" ref="AI140:AK140" si="600">AI121/AI124</f>
        <v>-0.31089140652862934</v>
      </c>
      <c r="AJ140" s="46">
        <f t="shared" si="600"/>
        <v>-0.24728854240670953</v>
      </c>
      <c r="AK140" s="46">
        <f t="shared" si="600"/>
        <v>-0.2362787912717477</v>
      </c>
    </row>
    <row r="141" spans="2:37" s="19" customFormat="1" ht="13.5" customHeight="1"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</row>
    <row r="142" spans="2:37" s="19" customFormat="1" ht="13.5" customHeight="1"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</row>
    <row r="143" spans="2:37" ht="13.5" customHeight="1">
      <c r="B143" s="36" t="s">
        <v>253</v>
      </c>
      <c r="C143" s="44">
        <f t="shared" ref="C143:I143" si="601">C3</f>
        <v>43465</v>
      </c>
      <c r="D143" s="44">
        <f t="shared" si="601"/>
        <v>43830</v>
      </c>
      <c r="E143" s="44">
        <f t="shared" si="601"/>
        <v>44196</v>
      </c>
      <c r="F143" s="44">
        <f t="shared" si="601"/>
        <v>44561</v>
      </c>
      <c r="G143" s="44">
        <f t="shared" si="601"/>
        <v>44926</v>
      </c>
      <c r="H143" s="44">
        <f t="shared" si="601"/>
        <v>45291</v>
      </c>
      <c r="I143" s="44">
        <f t="shared" si="601"/>
        <v>45657</v>
      </c>
      <c r="J143" s="44">
        <f t="shared" ref="J143" si="602">J3</f>
        <v>46022</v>
      </c>
      <c r="K143" s="44" t="str">
        <f>K2</f>
        <v>LTM</v>
      </c>
      <c r="L143" s="204"/>
      <c r="M143" s="44">
        <f t="shared" ref="M143:AI143" si="603">M3</f>
        <v>43921</v>
      </c>
      <c r="N143" s="44">
        <f t="shared" si="603"/>
        <v>44012</v>
      </c>
      <c r="O143" s="44">
        <f t="shared" si="603"/>
        <v>44104</v>
      </c>
      <c r="P143" s="44">
        <f t="shared" si="603"/>
        <v>44196</v>
      </c>
      <c r="Q143" s="44">
        <f t="shared" si="603"/>
        <v>44286</v>
      </c>
      <c r="R143" s="44">
        <f t="shared" si="603"/>
        <v>44377</v>
      </c>
      <c r="S143" s="44">
        <f t="shared" si="603"/>
        <v>44469</v>
      </c>
      <c r="T143" s="44">
        <f t="shared" si="603"/>
        <v>44561</v>
      </c>
      <c r="U143" s="44">
        <f t="shared" si="603"/>
        <v>44651</v>
      </c>
      <c r="V143" s="44">
        <f t="shared" si="603"/>
        <v>44742</v>
      </c>
      <c r="W143" s="44">
        <f t="shared" si="603"/>
        <v>44834</v>
      </c>
      <c r="X143" s="44">
        <f t="shared" si="603"/>
        <v>44926</v>
      </c>
      <c r="Y143" s="44">
        <f t="shared" si="603"/>
        <v>45016</v>
      </c>
      <c r="Z143" s="44">
        <f t="shared" si="603"/>
        <v>45107</v>
      </c>
      <c r="AA143" s="44">
        <f t="shared" si="603"/>
        <v>45199</v>
      </c>
      <c r="AB143" s="44">
        <f t="shared" si="603"/>
        <v>45291</v>
      </c>
      <c r="AC143" s="44">
        <f t="shared" si="603"/>
        <v>45382</v>
      </c>
      <c r="AD143" s="44">
        <f t="shared" si="603"/>
        <v>45473</v>
      </c>
      <c r="AE143" s="44">
        <f t="shared" si="603"/>
        <v>45565</v>
      </c>
      <c r="AF143" s="44">
        <f t="shared" si="603"/>
        <v>45657</v>
      </c>
      <c r="AG143" s="44">
        <f t="shared" si="603"/>
        <v>45747</v>
      </c>
      <c r="AH143" s="44">
        <f t="shared" si="603"/>
        <v>45838</v>
      </c>
      <c r="AI143" s="44">
        <f t="shared" si="603"/>
        <v>45930</v>
      </c>
      <c r="AJ143" s="44">
        <f t="shared" ref="AJ143:AK143" si="604">AJ3</f>
        <v>46022</v>
      </c>
      <c r="AK143" s="44">
        <f t="shared" si="604"/>
        <v>46112</v>
      </c>
    </row>
    <row r="144" spans="2:37" ht="13.5" customHeight="1">
      <c r="B144" s="16" t="s">
        <v>254</v>
      </c>
      <c r="C144" s="7">
        <f t="shared" ref="C144:G144" si="605">C84</f>
        <v>174915.42499999999</v>
      </c>
      <c r="D144" s="7">
        <f t="shared" si="605"/>
        <v>205838.682</v>
      </c>
      <c r="E144" s="7">
        <f t="shared" si="605"/>
        <v>245865.633</v>
      </c>
      <c r="F144" s="7">
        <f t="shared" si="605"/>
        <v>328309.14500000002</v>
      </c>
      <c r="G144" s="7">
        <f t="shared" si="605"/>
        <v>280044.016</v>
      </c>
      <c r="H144" s="7">
        <f t="shared" ref="H144:I144" si="606">H84</f>
        <v>270970.09999999998</v>
      </c>
      <c r="I144" s="7">
        <f t="shared" si="606"/>
        <v>365906.35</v>
      </c>
      <c r="J144" s="7">
        <f t="shared" ref="J144" si="607">J84</f>
        <v>457286.68699999998</v>
      </c>
      <c r="K144" s="7">
        <f>K84</f>
        <v>445134.96799999999</v>
      </c>
      <c r="L144" s="7"/>
      <c r="M144" s="87"/>
      <c r="N144" s="87"/>
      <c r="O144" s="87"/>
      <c r="P144" s="7">
        <f t="shared" ref="P144:U144" si="608">P84</f>
        <v>245865.633</v>
      </c>
      <c r="Q144" s="7">
        <f t="shared" si="608"/>
        <v>273045.62899999996</v>
      </c>
      <c r="R144" s="7">
        <f t="shared" si="608"/>
        <v>307296.78399999999</v>
      </c>
      <c r="S144" s="7">
        <f t="shared" si="608"/>
        <v>313196.86199999996</v>
      </c>
      <c r="T144" s="7">
        <f t="shared" si="608"/>
        <v>328309.14500000002</v>
      </c>
      <c r="U144" s="7">
        <f t="shared" si="608"/>
        <v>324778.484</v>
      </c>
      <c r="V144" s="7">
        <f t="shared" ref="V144" si="609">V84</f>
        <v>307160.40099999995</v>
      </c>
      <c r="W144" s="7">
        <f t="shared" ref="W144:Z144" si="610">W84</f>
        <v>299571.81499999994</v>
      </c>
      <c r="X144" s="7">
        <f t="shared" si="610"/>
        <v>280044.016</v>
      </c>
      <c r="Y144" s="7">
        <f t="shared" si="610"/>
        <v>266169.64800000004</v>
      </c>
      <c r="Z144" s="7">
        <f t="shared" si="610"/>
        <v>263353.679</v>
      </c>
      <c r="AA144" s="7">
        <f t="shared" ref="AA144:AD144" si="611">AA84</f>
        <v>263773.82199999999</v>
      </c>
      <c r="AB144" s="7">
        <f t="shared" si="611"/>
        <v>270970.09999999998</v>
      </c>
      <c r="AC144" s="7">
        <f t="shared" si="611"/>
        <v>286999.788</v>
      </c>
      <c r="AD144" s="7">
        <f t="shared" si="611"/>
        <v>308532.70799999998</v>
      </c>
      <c r="AE144" s="7">
        <f t="shared" ref="AE144:AH144" si="612">AE84</f>
        <v>330144.83699999994</v>
      </c>
      <c r="AF144" s="7">
        <f t="shared" si="612"/>
        <v>365906.35</v>
      </c>
      <c r="AG144" s="7">
        <f t="shared" si="612"/>
        <v>401692.86499999999</v>
      </c>
      <c r="AH144" s="7">
        <f t="shared" si="612"/>
        <v>428761.12800000003</v>
      </c>
      <c r="AI144" s="7">
        <f t="shared" ref="AI144:AK144" si="613">AI84</f>
        <v>449375.321</v>
      </c>
      <c r="AJ144" s="7">
        <f t="shared" si="613"/>
        <v>457286.68699999998</v>
      </c>
      <c r="AK144" s="7">
        <f t="shared" si="613"/>
        <v>445134.96799999999</v>
      </c>
    </row>
    <row r="145" spans="2:37" ht="13.5" customHeight="1">
      <c r="B145" s="16" t="s">
        <v>255</v>
      </c>
      <c r="C145" s="7">
        <f t="shared" ref="C145:G145" si="614">C87</f>
        <v>1944.6879999999833</v>
      </c>
      <c r="D145" s="7">
        <f t="shared" si="614"/>
        <v>13141.275999999996</v>
      </c>
      <c r="E145" s="7">
        <f t="shared" si="614"/>
        <v>25743.189999999995</v>
      </c>
      <c r="F145" s="7">
        <f t="shared" si="614"/>
        <v>29090.309999999994</v>
      </c>
      <c r="G145" s="7">
        <f t="shared" si="614"/>
        <v>6523.8909999999996</v>
      </c>
      <c r="H145" s="7">
        <f t="shared" ref="H145:I145" si="615">H87</f>
        <v>24844.986999999983</v>
      </c>
      <c r="I145" s="7">
        <f t="shared" si="615"/>
        <v>30821.164999999957</v>
      </c>
      <c r="J145" s="7">
        <f t="shared" ref="J145" si="616">J87</f>
        <v>56657.666999999943</v>
      </c>
      <c r="K145" s="7">
        <f>K87</f>
        <v>49473.141999999956</v>
      </c>
      <c r="L145" s="7"/>
      <c r="M145" s="87"/>
      <c r="N145" s="87"/>
      <c r="O145" s="87"/>
      <c r="P145" s="7">
        <f t="shared" ref="P145:U145" si="617">P87</f>
        <v>25743.189999999995</v>
      </c>
      <c r="Q145" s="7">
        <f t="shared" si="617"/>
        <v>31883.07499999999</v>
      </c>
      <c r="R145" s="7">
        <f t="shared" si="617"/>
        <v>37550.727999999988</v>
      </c>
      <c r="S145" s="7">
        <f t="shared" si="617"/>
        <v>33990.263999999981</v>
      </c>
      <c r="T145" s="7">
        <f t="shared" si="617"/>
        <v>29090.309999999983</v>
      </c>
      <c r="U145" s="7">
        <f t="shared" si="617"/>
        <v>20242.486999999976</v>
      </c>
      <c r="V145" s="7">
        <f t="shared" ref="V145" si="618">V87</f>
        <v>11469.13099999997</v>
      </c>
      <c r="W145" s="7">
        <f t="shared" ref="W145:Z145" si="619">W87</f>
        <v>7509.2639999999756</v>
      </c>
      <c r="X145" s="7">
        <f t="shared" si="619"/>
        <v>6523.8909999999905</v>
      </c>
      <c r="Y145" s="7">
        <f t="shared" si="619"/>
        <v>13382.008999999995</v>
      </c>
      <c r="Z145" s="7">
        <f t="shared" si="619"/>
        <v>15767.527999999995</v>
      </c>
      <c r="AA145" s="7">
        <f t="shared" ref="AA145:AD145" si="620">AA87</f>
        <v>22850.534999999985</v>
      </c>
      <c r="AB145" s="7">
        <f t="shared" si="620"/>
        <v>24844.987000000001</v>
      </c>
      <c r="AC145" s="7">
        <f t="shared" si="620"/>
        <v>23097.060000000005</v>
      </c>
      <c r="AD145" s="7">
        <f t="shared" si="620"/>
        <v>25332.152000000006</v>
      </c>
      <c r="AE145" s="7">
        <f t="shared" ref="AE145:AH145" si="621">AE87</f>
        <v>26417.591000000015</v>
      </c>
      <c r="AF145" s="7">
        <f t="shared" si="621"/>
        <v>30821.16499999995</v>
      </c>
      <c r="AG145" s="7">
        <f t="shared" si="621"/>
        <v>40652.07299999996</v>
      </c>
      <c r="AH145" s="7">
        <f t="shared" si="621"/>
        <v>48797.333999999966</v>
      </c>
      <c r="AI145" s="7">
        <f t="shared" ref="AI145:AK145" si="622">AI87</f>
        <v>58392.461999999963</v>
      </c>
      <c r="AJ145" s="7">
        <f t="shared" si="622"/>
        <v>56657.666999999965</v>
      </c>
      <c r="AK145" s="7">
        <f t="shared" si="622"/>
        <v>49473.141999999956</v>
      </c>
    </row>
    <row r="146" spans="2:37" ht="13.5" customHeight="1">
      <c r="B146" s="16" t="s">
        <v>256</v>
      </c>
      <c r="C146" s="17">
        <f t="shared" ref="C146:E146" si="623">C145/C144</f>
        <v>1.1117875967771187E-2</v>
      </c>
      <c r="D146" s="17">
        <f t="shared" si="623"/>
        <v>6.3842596893425488E-2</v>
      </c>
      <c r="E146" s="17">
        <f t="shared" si="623"/>
        <v>0.10470430407815473</v>
      </c>
      <c r="F146" s="17">
        <f t="shared" ref="F146:G146" si="624">F145/F144</f>
        <v>8.8606456576163881E-2</v>
      </c>
      <c r="G146" s="17">
        <f t="shared" si="624"/>
        <v>2.3295948591167182E-2</v>
      </c>
      <c r="H146" s="17">
        <f t="shared" ref="H146:I146" si="625">H145/H144</f>
        <v>9.1689035063278149E-2</v>
      </c>
      <c r="I146" s="17">
        <f t="shared" si="625"/>
        <v>8.4232386237625995E-2</v>
      </c>
      <c r="J146" s="17">
        <f t="shared" ref="J146" si="626">J145/J144</f>
        <v>0.1238996642821573</v>
      </c>
      <c r="K146" s="17">
        <f>K145/K144</f>
        <v>0.11114189078940201</v>
      </c>
      <c r="L146" s="17"/>
      <c r="M146" s="92"/>
      <c r="N146" s="92"/>
      <c r="O146" s="92"/>
      <c r="P146" s="17">
        <f t="shared" ref="P146:S146" si="627">P145/P144</f>
        <v>0.10470430407815473</v>
      </c>
      <c r="Q146" s="17">
        <f t="shared" si="627"/>
        <v>0.11676830395259685</v>
      </c>
      <c r="R146" s="17">
        <f t="shared" si="627"/>
        <v>0.12219694430645259</v>
      </c>
      <c r="S146" s="17">
        <f t="shared" si="627"/>
        <v>0.10852683447383961</v>
      </c>
      <c r="T146" s="17">
        <f t="shared" ref="T146:V146" si="628">T145/T144</f>
        <v>8.8606456576163853E-2</v>
      </c>
      <c r="U146" s="17">
        <f t="shared" si="628"/>
        <v>6.2327056739386641E-2</v>
      </c>
      <c r="V146" s="17">
        <f t="shared" si="628"/>
        <v>3.7339223945081296E-2</v>
      </c>
      <c r="W146" s="17">
        <f t="shared" ref="W146:Z146" si="629">W145/W144</f>
        <v>2.5066657222075371E-2</v>
      </c>
      <c r="X146" s="17">
        <f t="shared" si="629"/>
        <v>2.329594859116715E-2</v>
      </c>
      <c r="Y146" s="17">
        <f t="shared" si="629"/>
        <v>5.0276239610911579E-2</v>
      </c>
      <c r="Z146" s="17">
        <f t="shared" si="629"/>
        <v>5.9872062770765372E-2</v>
      </c>
      <c r="AA146" s="17">
        <f t="shared" ref="AA146:AD146" si="630">AA145/AA144</f>
        <v>8.6629275137090692E-2</v>
      </c>
      <c r="AB146" s="17">
        <f t="shared" si="630"/>
        <v>9.1689035063278204E-2</v>
      </c>
      <c r="AC146" s="17">
        <f t="shared" si="630"/>
        <v>8.0477620422493151E-2</v>
      </c>
      <c r="AD146" s="17">
        <f t="shared" si="630"/>
        <v>8.2105239876220856E-2</v>
      </c>
      <c r="AE146" s="17">
        <f t="shared" ref="AE146:AH146" si="631">AE145/AE144</f>
        <v>8.0018186078736162E-2</v>
      </c>
      <c r="AF146" s="17">
        <f t="shared" si="631"/>
        <v>8.4232386237625967E-2</v>
      </c>
      <c r="AG146" s="17">
        <f t="shared" si="631"/>
        <v>0.10120187969980488</v>
      </c>
      <c r="AH146" s="17">
        <f t="shared" si="631"/>
        <v>0.11381007002108634</v>
      </c>
      <c r="AI146" s="17">
        <f t="shared" ref="AI146:AK146" si="632">AI145/AI144</f>
        <v>0.12994140815311922</v>
      </c>
      <c r="AJ146" s="17">
        <f t="shared" si="632"/>
        <v>0.12389966428215735</v>
      </c>
      <c r="AK146" s="17">
        <f t="shared" si="632"/>
        <v>0.11114189078940201</v>
      </c>
    </row>
    <row r="147" spans="2:37" ht="13.5" customHeight="1">
      <c r="B147" s="16" t="s">
        <v>236</v>
      </c>
      <c r="C147" s="7">
        <f t="shared" ref="C147:G147" si="633">C119</f>
        <v>11790.17</v>
      </c>
      <c r="D147" s="7">
        <f t="shared" si="633"/>
        <v>18583.659</v>
      </c>
      <c r="E147" s="7">
        <f t="shared" si="633"/>
        <v>18476.621999999999</v>
      </c>
      <c r="F147" s="7">
        <f t="shared" si="633"/>
        <v>29527.993999999999</v>
      </c>
      <c r="G147" s="7">
        <f t="shared" si="633"/>
        <v>26056.129999999997</v>
      </c>
      <c r="H147" s="7">
        <f t="shared" ref="H147:I147" si="634">H119</f>
        <v>29825.510999999999</v>
      </c>
      <c r="I147" s="7">
        <f t="shared" si="634"/>
        <v>36011.374000000003</v>
      </c>
      <c r="J147" s="7">
        <f t="shared" ref="J147" si="635">J119</f>
        <v>41837.896000000001</v>
      </c>
      <c r="K147" s="7">
        <f t="shared" ref="K147" si="636">K119</f>
        <v>35367.237000000001</v>
      </c>
      <c r="L147" s="7"/>
      <c r="M147" s="7">
        <f t="shared" ref="M147:S147" si="637">M119</f>
        <v>16481.052</v>
      </c>
      <c r="N147" s="7">
        <f t="shared" si="637"/>
        <v>23404.576000000001</v>
      </c>
      <c r="O147" s="7">
        <f t="shared" si="637"/>
        <v>18568.858</v>
      </c>
      <c r="P147" s="7">
        <f t="shared" si="637"/>
        <v>18476.621999999999</v>
      </c>
      <c r="Q147" s="7">
        <f t="shared" si="637"/>
        <v>21004.884999999998</v>
      </c>
      <c r="R147" s="7">
        <f t="shared" si="637"/>
        <v>19313.728000000003</v>
      </c>
      <c r="S147" s="7">
        <f t="shared" si="637"/>
        <v>25898.35</v>
      </c>
      <c r="T147" s="7">
        <f t="shared" ref="T147:V147" si="638">T119</f>
        <v>29527.993999999999</v>
      </c>
      <c r="U147" s="7">
        <f t="shared" si="638"/>
        <v>29713.929</v>
      </c>
      <c r="V147" s="7">
        <f t="shared" si="638"/>
        <v>35529.409</v>
      </c>
      <c r="W147" s="7">
        <f t="shared" ref="W147:Z147" si="639">W119</f>
        <v>25761.699000000001</v>
      </c>
      <c r="X147" s="7">
        <f t="shared" si="639"/>
        <v>26056.129999999997</v>
      </c>
      <c r="Y147" s="7">
        <f t="shared" si="639"/>
        <v>22464.209000000003</v>
      </c>
      <c r="Z147" s="7">
        <f t="shared" si="639"/>
        <v>24944.483999999997</v>
      </c>
      <c r="AA147" s="7">
        <f t="shared" ref="AA147:AD147" si="640">AA119</f>
        <v>24835.18</v>
      </c>
      <c r="AB147" s="7">
        <f t="shared" si="640"/>
        <v>29825.510999999999</v>
      </c>
      <c r="AC147" s="7">
        <f t="shared" si="640"/>
        <v>27705.896999999997</v>
      </c>
      <c r="AD147" s="7">
        <f t="shared" si="640"/>
        <v>34348.644999999997</v>
      </c>
      <c r="AE147" s="7">
        <f t="shared" ref="AE147:AH147" si="641">AE119</f>
        <v>27360.147000000001</v>
      </c>
      <c r="AF147" s="7">
        <f t="shared" si="641"/>
        <v>36011.374000000003</v>
      </c>
      <c r="AG147" s="7">
        <f t="shared" si="641"/>
        <v>30944.685000000001</v>
      </c>
      <c r="AH147" s="7">
        <f t="shared" si="641"/>
        <v>28912.835999999999</v>
      </c>
      <c r="AI147" s="7">
        <f t="shared" ref="AI147:AK147" si="642">AI119</f>
        <v>27588.951000000001</v>
      </c>
      <c r="AJ147" s="7">
        <f t="shared" si="642"/>
        <v>41837.896000000001</v>
      </c>
      <c r="AK147" s="7">
        <f t="shared" si="642"/>
        <v>35367.237000000001</v>
      </c>
    </row>
    <row r="148" spans="2:37" ht="13.5" customHeight="1">
      <c r="B148" s="16" t="s">
        <v>257</v>
      </c>
      <c r="C148" s="7">
        <f t="shared" ref="C148:E148" si="643">C120</f>
        <v>38244.663999999997</v>
      </c>
      <c r="D148" s="7">
        <f t="shared" si="643"/>
        <v>63906.294000000002</v>
      </c>
      <c r="E148" s="7">
        <f t="shared" si="643"/>
        <v>95525.232000000004</v>
      </c>
      <c r="F148" s="7">
        <f t="shared" ref="F148:G148" si="644">F120</f>
        <v>86173.34</v>
      </c>
      <c r="G148" s="7">
        <f t="shared" si="644"/>
        <v>67776.986999999994</v>
      </c>
      <c r="H148" s="7">
        <f t="shared" ref="H148:I148" si="645">H120</f>
        <v>107707.77900000001</v>
      </c>
      <c r="I148" s="7">
        <f t="shared" si="645"/>
        <v>100516.715</v>
      </c>
      <c r="J148" s="7">
        <f t="shared" ref="J148" si="646">J120</f>
        <v>107696.58900000001</v>
      </c>
      <c r="K148" s="7">
        <f>K120</f>
        <v>98225.410999999993</v>
      </c>
      <c r="L148" s="7"/>
      <c r="M148" s="7">
        <f t="shared" ref="M148:S148" si="647">M120</f>
        <v>51207.018000000004</v>
      </c>
      <c r="N148" s="7">
        <f t="shared" si="647"/>
        <v>60343.444000000003</v>
      </c>
      <c r="O148" s="7">
        <f t="shared" si="647"/>
        <v>66715.383000000002</v>
      </c>
      <c r="P148" s="7">
        <f t="shared" si="647"/>
        <v>95525.232000000004</v>
      </c>
      <c r="Q148" s="7">
        <f t="shared" si="647"/>
        <v>94508.790000000008</v>
      </c>
      <c r="R148" s="7">
        <f t="shared" si="647"/>
        <v>93625.66</v>
      </c>
      <c r="S148" s="7">
        <f t="shared" si="647"/>
        <v>81883.358999999997</v>
      </c>
      <c r="T148" s="7">
        <f t="shared" ref="T148:V148" si="648">T120</f>
        <v>86173.34</v>
      </c>
      <c r="U148" s="7">
        <f t="shared" si="648"/>
        <v>76238.475999999995</v>
      </c>
      <c r="V148" s="7">
        <f t="shared" si="648"/>
        <v>74897.702000000005</v>
      </c>
      <c r="W148" s="7">
        <f t="shared" ref="W148:Z148" si="649">W120</f>
        <v>66463.451000000001</v>
      </c>
      <c r="X148" s="7">
        <f t="shared" si="649"/>
        <v>67776.986999999994</v>
      </c>
      <c r="Y148" s="7">
        <f t="shared" si="649"/>
        <v>71242.552000000011</v>
      </c>
      <c r="Z148" s="7">
        <f t="shared" si="649"/>
        <v>89269.992999999988</v>
      </c>
      <c r="AA148" s="7">
        <f t="shared" ref="AA148:AD148" si="650">AA120</f>
        <v>98683.185000000012</v>
      </c>
      <c r="AB148" s="7">
        <f t="shared" si="650"/>
        <v>107707.77900000001</v>
      </c>
      <c r="AC148" s="7">
        <f t="shared" si="650"/>
        <v>97528.815999999992</v>
      </c>
      <c r="AD148" s="7">
        <f t="shared" si="650"/>
        <v>97830.399000000005</v>
      </c>
      <c r="AE148" s="7">
        <f t="shared" ref="AE148:AH148" si="651">AE120</f>
        <v>99583.566999999995</v>
      </c>
      <c r="AF148" s="7">
        <f t="shared" si="651"/>
        <v>100516.715</v>
      </c>
      <c r="AG148" s="7">
        <f t="shared" si="651"/>
        <v>130237.139</v>
      </c>
      <c r="AH148" s="7">
        <f t="shared" si="651"/>
        <v>111934.955</v>
      </c>
      <c r="AI148" s="7">
        <f t="shared" ref="AI148:AK148" si="652">AI120</f>
        <v>110150.32</v>
      </c>
      <c r="AJ148" s="7">
        <f t="shared" si="652"/>
        <v>107696.58900000001</v>
      </c>
      <c r="AK148" s="7">
        <f t="shared" si="652"/>
        <v>98225.410999999993</v>
      </c>
    </row>
    <row r="149" spans="2:37" ht="13.5" customHeight="1">
      <c r="B149" s="16" t="s">
        <v>258</v>
      </c>
      <c r="C149" s="7">
        <f t="shared" ref="C149:E149" si="653">C147-C148</f>
        <v>-26454.493999999999</v>
      </c>
      <c r="D149" s="7">
        <f t="shared" si="653"/>
        <v>-45322.635000000002</v>
      </c>
      <c r="E149" s="7">
        <f t="shared" si="653"/>
        <v>-77048.61</v>
      </c>
      <c r="F149" s="7">
        <f t="shared" ref="F149:G149" si="654">F147-F148</f>
        <v>-56645.345999999998</v>
      </c>
      <c r="G149" s="7">
        <f t="shared" si="654"/>
        <v>-41720.856999999996</v>
      </c>
      <c r="H149" s="7">
        <f t="shared" ref="H149:I149" si="655">H147-H148</f>
        <v>-77882.268000000011</v>
      </c>
      <c r="I149" s="7">
        <f t="shared" si="655"/>
        <v>-64505.340999999993</v>
      </c>
      <c r="J149" s="7">
        <f t="shared" ref="J149" si="656">J147-J148</f>
        <v>-65858.692999999999</v>
      </c>
      <c r="K149" s="7">
        <f>K147-K148</f>
        <v>-62858.173999999992</v>
      </c>
      <c r="L149" s="7"/>
      <c r="M149" s="7">
        <f t="shared" ref="M149:S149" si="657">M147-M148</f>
        <v>-34725.966</v>
      </c>
      <c r="N149" s="7">
        <f t="shared" si="657"/>
        <v>-36938.868000000002</v>
      </c>
      <c r="O149" s="7">
        <f t="shared" si="657"/>
        <v>-48146.525000000001</v>
      </c>
      <c r="P149" s="7">
        <f t="shared" si="657"/>
        <v>-77048.61</v>
      </c>
      <c r="Q149" s="7">
        <f t="shared" si="657"/>
        <v>-73503.905000000013</v>
      </c>
      <c r="R149" s="7">
        <f t="shared" si="657"/>
        <v>-74311.932000000001</v>
      </c>
      <c r="S149" s="7">
        <f t="shared" si="657"/>
        <v>-55985.008999999998</v>
      </c>
      <c r="T149" s="7">
        <f t="shared" ref="T149:V149" si="658">T147-T148</f>
        <v>-56645.345999999998</v>
      </c>
      <c r="U149" s="7">
        <f t="shared" si="658"/>
        <v>-46524.546999999991</v>
      </c>
      <c r="V149" s="7">
        <f t="shared" si="658"/>
        <v>-39368.293000000005</v>
      </c>
      <c r="W149" s="7">
        <f t="shared" ref="W149:Z149" si="659">W147-W148</f>
        <v>-40701.752</v>
      </c>
      <c r="X149" s="7">
        <f t="shared" si="659"/>
        <v>-41720.856999999996</v>
      </c>
      <c r="Y149" s="7">
        <f t="shared" si="659"/>
        <v>-48778.343000000008</v>
      </c>
      <c r="Z149" s="7">
        <f t="shared" si="659"/>
        <v>-64325.508999999991</v>
      </c>
      <c r="AA149" s="7">
        <f t="shared" ref="AA149:AD149" si="660">AA147-AA148</f>
        <v>-73848.005000000005</v>
      </c>
      <c r="AB149" s="7">
        <f t="shared" si="660"/>
        <v>-77882.268000000011</v>
      </c>
      <c r="AC149" s="7">
        <f t="shared" si="660"/>
        <v>-69822.918999999994</v>
      </c>
      <c r="AD149" s="7">
        <f t="shared" si="660"/>
        <v>-63481.754000000008</v>
      </c>
      <c r="AE149" s="7">
        <f t="shared" ref="AE149:AH149" si="661">AE147-AE148</f>
        <v>-72223.42</v>
      </c>
      <c r="AF149" s="7">
        <f t="shared" si="661"/>
        <v>-64505.340999999993</v>
      </c>
      <c r="AG149" s="7">
        <f t="shared" si="661"/>
        <v>-99292.453999999998</v>
      </c>
      <c r="AH149" s="7">
        <f t="shared" si="661"/>
        <v>-83022.119000000006</v>
      </c>
      <c r="AI149" s="7">
        <f t="shared" ref="AI149:AK149" si="662">AI147-AI148</f>
        <v>-82561.369000000006</v>
      </c>
      <c r="AJ149" s="7">
        <f t="shared" si="662"/>
        <v>-65858.692999999999</v>
      </c>
      <c r="AK149" s="7">
        <f t="shared" si="662"/>
        <v>-62858.173999999992</v>
      </c>
    </row>
    <row r="150" spans="2:37" ht="13.5" customHeight="1">
      <c r="B150" s="16" t="s">
        <v>259</v>
      </c>
      <c r="C150" s="21">
        <f t="shared" ref="C150:G150" si="663">C133</f>
        <v>6.0627565964309449</v>
      </c>
      <c r="D150" s="21">
        <f t="shared" si="663"/>
        <v>1.4141441820413789</v>
      </c>
      <c r="E150" s="21">
        <f t="shared" si="663"/>
        <v>0.71772853325481434</v>
      </c>
      <c r="F150" s="21">
        <f t="shared" si="663"/>
        <v>1.0150456973473299</v>
      </c>
      <c r="G150" s="21">
        <f t="shared" si="663"/>
        <v>3.9939554477534953</v>
      </c>
      <c r="H150" s="21">
        <f t="shared" ref="H150:I150" si="664">H133</f>
        <v>1.2004639406734252</v>
      </c>
      <c r="I150" s="21">
        <f t="shared" si="664"/>
        <v>1.1683975605724202</v>
      </c>
      <c r="J150" s="21">
        <f t="shared" ref="J150" si="665">J133</f>
        <v>0.73843308797024843</v>
      </c>
      <c r="K150" s="21">
        <f t="shared" ref="K150" si="666">K133</f>
        <v>0.71487751879595662</v>
      </c>
      <c r="L150" s="21"/>
      <c r="M150" s="93"/>
      <c r="N150" s="93"/>
      <c r="O150" s="93"/>
      <c r="P150" s="21">
        <f t="shared" ref="P150:U150" si="667">P133</f>
        <v>0.71772853325481434</v>
      </c>
      <c r="Q150" s="21">
        <f t="shared" si="667"/>
        <v>0.65880988580932065</v>
      </c>
      <c r="R150" s="21">
        <f t="shared" si="667"/>
        <v>0.51433697903273701</v>
      </c>
      <c r="S150" s="21">
        <f t="shared" si="667"/>
        <v>0.76193435861516146</v>
      </c>
      <c r="T150" s="21">
        <f t="shared" si="667"/>
        <v>1.0150456973473303</v>
      </c>
      <c r="U150" s="21">
        <f t="shared" si="667"/>
        <v>1.4678991272169293</v>
      </c>
      <c r="V150" s="21">
        <f t="shared" ref="V150" si="668">V133</f>
        <v>3.0978292078100855</v>
      </c>
      <c r="W150" s="21">
        <f t="shared" ref="W150:Z150" si="669">W133</f>
        <v>3.4306556541360225</v>
      </c>
      <c r="X150" s="21">
        <f t="shared" si="669"/>
        <v>3.9939554477535011</v>
      </c>
      <c r="Y150" s="21">
        <f t="shared" si="669"/>
        <v>1.6786873331201624</v>
      </c>
      <c r="Z150" s="21">
        <f t="shared" si="669"/>
        <v>1.5820161537052608</v>
      </c>
      <c r="AA150" s="21">
        <f t="shared" ref="AA150:AD150" si="670">AA133</f>
        <v>1.0868533275041488</v>
      </c>
      <c r="AB150" s="21">
        <f t="shared" si="670"/>
        <v>1.2004639406734243</v>
      </c>
      <c r="AC150" s="21">
        <f t="shared" si="670"/>
        <v>1.1995421495203282</v>
      </c>
      <c r="AD150" s="21">
        <f t="shared" si="670"/>
        <v>1.3559307949833868</v>
      </c>
      <c r="AE150" s="21">
        <f t="shared" ref="AE150:AH150" si="671">AE133</f>
        <v>1.0356791048812886</v>
      </c>
      <c r="AF150" s="21">
        <f t="shared" si="671"/>
        <v>1.1683975605724204</v>
      </c>
      <c r="AG150" s="21">
        <f t="shared" si="671"/>
        <v>0.76120804466724323</v>
      </c>
      <c r="AH150" s="21">
        <f t="shared" si="671"/>
        <v>0.59250851696119344</v>
      </c>
      <c r="AI150" s="21">
        <f t="shared" ref="AI150:AK150" si="672">AI133</f>
        <v>0.47247452933222817</v>
      </c>
      <c r="AJ150" s="21">
        <f t="shared" si="672"/>
        <v>0.7384330879702482</v>
      </c>
      <c r="AK150" s="21">
        <f t="shared" si="672"/>
        <v>0.71487751879595662</v>
      </c>
    </row>
    <row r="151" spans="2:37" ht="13.5" customHeight="1">
      <c r="B151" s="16" t="s">
        <v>260</v>
      </c>
      <c r="C151" s="21" t="str">
        <f t="shared" ref="C151:G151" si="673">C132</f>
        <v>net cash</v>
      </c>
      <c r="D151" s="21" t="str">
        <f t="shared" si="673"/>
        <v>net cash</v>
      </c>
      <c r="E151" s="21" t="str">
        <f t="shared" si="673"/>
        <v>net cash</v>
      </c>
      <c r="F151" s="21" t="str">
        <f t="shared" si="673"/>
        <v>net cash</v>
      </c>
      <c r="G151" s="21" t="str">
        <f t="shared" si="673"/>
        <v>net cash</v>
      </c>
      <c r="H151" s="21" t="str">
        <f t="shared" ref="H151:I151" si="674">H132</f>
        <v>net cash</v>
      </c>
      <c r="I151" s="21" t="str">
        <f t="shared" si="674"/>
        <v>net cash</v>
      </c>
      <c r="J151" s="21" t="str">
        <f t="shared" ref="J151" si="675">J132</f>
        <v>net cash</v>
      </c>
      <c r="K151" s="21" t="str">
        <f t="shared" ref="K151" si="676">K132</f>
        <v>net cash</v>
      </c>
      <c r="L151" s="21"/>
      <c r="M151" s="94"/>
      <c r="N151" s="94"/>
      <c r="O151" s="94"/>
      <c r="P151" s="21" t="str">
        <f t="shared" ref="P151:U151" si="677">P132</f>
        <v>net cash</v>
      </c>
      <c r="Q151" s="21" t="str">
        <f t="shared" si="677"/>
        <v>net cash</v>
      </c>
      <c r="R151" s="21" t="str">
        <f t="shared" si="677"/>
        <v>net cash</v>
      </c>
      <c r="S151" s="21" t="str">
        <f t="shared" si="677"/>
        <v>net cash</v>
      </c>
      <c r="T151" s="21" t="str">
        <f t="shared" si="677"/>
        <v>net cash</v>
      </c>
      <c r="U151" s="21" t="str">
        <f t="shared" si="677"/>
        <v>net cash</v>
      </c>
      <c r="V151" s="21" t="str">
        <f t="shared" ref="V151" si="678">V132</f>
        <v>net cash</v>
      </c>
      <c r="W151" s="21" t="str">
        <f t="shared" ref="W151:Z151" si="679">W132</f>
        <v>net cash</v>
      </c>
      <c r="X151" s="21" t="str">
        <f t="shared" si="679"/>
        <v>net cash</v>
      </c>
      <c r="Y151" s="21" t="str">
        <f t="shared" si="679"/>
        <v>net cash</v>
      </c>
      <c r="Z151" s="21" t="str">
        <f t="shared" si="679"/>
        <v>net cash</v>
      </c>
      <c r="AA151" s="21" t="str">
        <f t="shared" ref="AA151:AD151" si="680">AA132</f>
        <v>net cash</v>
      </c>
      <c r="AB151" s="21" t="str">
        <f t="shared" si="680"/>
        <v>net cash</v>
      </c>
      <c r="AC151" s="21" t="str">
        <f t="shared" si="680"/>
        <v>net cash</v>
      </c>
      <c r="AD151" s="21" t="str">
        <f t="shared" si="680"/>
        <v>net cash</v>
      </c>
      <c r="AE151" s="21" t="str">
        <f t="shared" ref="AE151:AH151" si="681">AE132</f>
        <v>net cash</v>
      </c>
      <c r="AF151" s="21" t="str">
        <f t="shared" si="681"/>
        <v>net cash</v>
      </c>
      <c r="AG151" s="21" t="str">
        <f t="shared" si="681"/>
        <v>net cash</v>
      </c>
      <c r="AH151" s="21" t="str">
        <f t="shared" si="681"/>
        <v>net cash</v>
      </c>
      <c r="AI151" s="21" t="str">
        <f t="shared" ref="AI151:AK151" si="682">AI132</f>
        <v>net cash</v>
      </c>
      <c r="AJ151" s="21" t="str">
        <f t="shared" si="682"/>
        <v>net cash</v>
      </c>
      <c r="AK151" s="21" t="str">
        <f t="shared" si="682"/>
        <v>net cash</v>
      </c>
    </row>
    <row r="152" spans="2:37" ht="13.5" customHeight="1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2:37" ht="13.5" customHeight="1">
      <c r="B153" s="39" t="s">
        <v>261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210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</row>
    <row r="154" spans="2:37" s="37" customFormat="1" ht="13.5" customHeight="1">
      <c r="B154" s="36" t="s">
        <v>262</v>
      </c>
      <c r="C154" s="35">
        <f t="shared" ref="C154:I154" si="683">C3</f>
        <v>43465</v>
      </c>
      <c r="D154" s="35">
        <f t="shared" si="683"/>
        <v>43830</v>
      </c>
      <c r="E154" s="35">
        <f t="shared" si="683"/>
        <v>44196</v>
      </c>
      <c r="F154" s="35">
        <f t="shared" si="683"/>
        <v>44561</v>
      </c>
      <c r="G154" s="35">
        <f t="shared" si="683"/>
        <v>44926</v>
      </c>
      <c r="H154" s="35">
        <f t="shared" si="683"/>
        <v>45291</v>
      </c>
      <c r="I154" s="35">
        <f t="shared" si="683"/>
        <v>45657</v>
      </c>
      <c r="J154" s="35">
        <f t="shared" ref="J154" si="684">J3</f>
        <v>46022</v>
      </c>
      <c r="K154" s="35" t="str">
        <f>K2</f>
        <v>LTM</v>
      </c>
      <c r="L154" s="204"/>
      <c r="M154" s="35">
        <f t="shared" ref="M154:AI154" si="685">M3</f>
        <v>43921</v>
      </c>
      <c r="N154" s="35">
        <f t="shared" si="685"/>
        <v>44012</v>
      </c>
      <c r="O154" s="35">
        <f t="shared" si="685"/>
        <v>44104</v>
      </c>
      <c r="P154" s="35">
        <f t="shared" si="685"/>
        <v>44196</v>
      </c>
      <c r="Q154" s="35">
        <f t="shared" si="685"/>
        <v>44286</v>
      </c>
      <c r="R154" s="35">
        <f t="shared" si="685"/>
        <v>44377</v>
      </c>
      <c r="S154" s="35">
        <f t="shared" si="685"/>
        <v>44469</v>
      </c>
      <c r="T154" s="35">
        <f t="shared" si="685"/>
        <v>44561</v>
      </c>
      <c r="U154" s="35">
        <f t="shared" si="685"/>
        <v>44651</v>
      </c>
      <c r="V154" s="35">
        <f t="shared" si="685"/>
        <v>44742</v>
      </c>
      <c r="W154" s="35">
        <f t="shared" si="685"/>
        <v>44834</v>
      </c>
      <c r="X154" s="35">
        <f t="shared" si="685"/>
        <v>44926</v>
      </c>
      <c r="Y154" s="35">
        <f t="shared" si="685"/>
        <v>45016</v>
      </c>
      <c r="Z154" s="35">
        <f t="shared" si="685"/>
        <v>45107</v>
      </c>
      <c r="AA154" s="35">
        <f t="shared" si="685"/>
        <v>45199</v>
      </c>
      <c r="AB154" s="35">
        <f t="shared" si="685"/>
        <v>45291</v>
      </c>
      <c r="AC154" s="35">
        <f t="shared" si="685"/>
        <v>45382</v>
      </c>
      <c r="AD154" s="35">
        <f t="shared" si="685"/>
        <v>45473</v>
      </c>
      <c r="AE154" s="35">
        <f t="shared" si="685"/>
        <v>45565</v>
      </c>
      <c r="AF154" s="35">
        <f t="shared" si="685"/>
        <v>45657</v>
      </c>
      <c r="AG154" s="35">
        <f t="shared" si="685"/>
        <v>45747</v>
      </c>
      <c r="AH154" s="35">
        <f t="shared" si="685"/>
        <v>45838</v>
      </c>
      <c r="AI154" s="35">
        <f t="shared" si="685"/>
        <v>45930</v>
      </c>
      <c r="AJ154" s="35">
        <f t="shared" ref="AJ154:AK154" si="686">AJ3</f>
        <v>46022</v>
      </c>
      <c r="AK154" s="35">
        <f t="shared" si="686"/>
        <v>46112</v>
      </c>
    </row>
    <row r="155" spans="2:37" s="19" customFormat="1" ht="13.5" customHeight="1">
      <c r="B155" s="36"/>
      <c r="C155" s="35" t="s">
        <v>157</v>
      </c>
      <c r="D155" s="35" t="s">
        <v>157</v>
      </c>
      <c r="E155" s="35" t="s">
        <v>157</v>
      </c>
      <c r="F155" s="35" t="s">
        <v>157</v>
      </c>
      <c r="G155" s="35" t="s">
        <v>157</v>
      </c>
      <c r="H155" s="35" t="s">
        <v>157</v>
      </c>
      <c r="I155" s="35" t="s">
        <v>157</v>
      </c>
      <c r="J155" s="35" t="s">
        <v>157</v>
      </c>
      <c r="K155" s="35" t="s">
        <v>157</v>
      </c>
      <c r="L155" s="204"/>
      <c r="M155" s="35" t="s">
        <v>157</v>
      </c>
      <c r="N155" s="35" t="s">
        <v>157</v>
      </c>
      <c r="O155" s="35" t="s">
        <v>157</v>
      </c>
      <c r="P155" s="35" t="s">
        <v>157</v>
      </c>
      <c r="Q155" s="35" t="s">
        <v>157</v>
      </c>
      <c r="R155" s="35" t="s">
        <v>157</v>
      </c>
      <c r="S155" s="35" t="s">
        <v>157</v>
      </c>
      <c r="T155" s="35" t="s">
        <v>157</v>
      </c>
      <c r="U155" s="35" t="s">
        <v>157</v>
      </c>
      <c r="V155" s="35" t="s">
        <v>157</v>
      </c>
      <c r="W155" s="35" t="s">
        <v>157</v>
      </c>
      <c r="X155" s="35" t="s">
        <v>157</v>
      </c>
      <c r="Y155" s="35" t="s">
        <v>157</v>
      </c>
      <c r="Z155" s="35" t="s">
        <v>157</v>
      </c>
      <c r="AA155" s="35" t="s">
        <v>157</v>
      </c>
      <c r="AB155" s="35" t="s">
        <v>157</v>
      </c>
      <c r="AC155" s="35" t="s">
        <v>157</v>
      </c>
      <c r="AD155" s="35" t="s">
        <v>157</v>
      </c>
      <c r="AE155" s="35" t="s">
        <v>157</v>
      </c>
      <c r="AF155" s="35" t="s">
        <v>157</v>
      </c>
      <c r="AG155" s="35" t="s">
        <v>157</v>
      </c>
      <c r="AH155" s="35" t="s">
        <v>157</v>
      </c>
      <c r="AI155" s="35" t="s">
        <v>157</v>
      </c>
      <c r="AJ155" s="35" t="s">
        <v>157</v>
      </c>
      <c r="AK155" s="35" t="s">
        <v>157</v>
      </c>
    </row>
    <row r="156" spans="2:37" ht="13.5" customHeight="1"/>
    <row r="157" spans="2:37" s="19" customFormat="1" ht="13.5" customHeight="1">
      <c r="B157" s="19" t="str">
        <f t="shared" ref="B157:K157" si="687">B7</f>
        <v>Revenue</v>
      </c>
      <c r="C157" s="43">
        <f t="shared" si="687"/>
        <v>174915.42499999999</v>
      </c>
      <c r="D157" s="43">
        <f t="shared" si="687"/>
        <v>205838.682</v>
      </c>
      <c r="E157" s="43">
        <f t="shared" si="687"/>
        <v>245865.633</v>
      </c>
      <c r="F157" s="43">
        <f t="shared" si="687"/>
        <v>328309.14500000002</v>
      </c>
      <c r="G157" s="43">
        <f t="shared" si="687"/>
        <v>280044.016</v>
      </c>
      <c r="H157" s="43">
        <f t="shared" si="687"/>
        <v>270970.09999999998</v>
      </c>
      <c r="I157" s="43">
        <f t="shared" si="687"/>
        <v>365906.35</v>
      </c>
      <c r="J157" s="43">
        <f t="shared" ref="J157" si="688">J7</f>
        <v>457286.68699999998</v>
      </c>
      <c r="K157" s="43">
        <f t="shared" si="687"/>
        <v>445134.96799999999</v>
      </c>
      <c r="L157" s="33"/>
      <c r="M157" s="33">
        <f t="shared" ref="M157:AI157" si="689">M7</f>
        <v>49702.167000000001</v>
      </c>
      <c r="N157" s="33">
        <f t="shared" si="689"/>
        <v>53537.805</v>
      </c>
      <c r="O157" s="33">
        <f t="shared" si="689"/>
        <v>72162.777000000002</v>
      </c>
      <c r="P157" s="33">
        <f t="shared" si="689"/>
        <v>70462.883999999991</v>
      </c>
      <c r="Q157" s="33">
        <f t="shared" si="689"/>
        <v>76882.163</v>
      </c>
      <c r="R157" s="33">
        <f t="shared" si="689"/>
        <v>87788.96</v>
      </c>
      <c r="S157" s="33">
        <f t="shared" si="689"/>
        <v>78062.854999999996</v>
      </c>
      <c r="T157" s="33">
        <f t="shared" si="689"/>
        <v>85575.167000000016</v>
      </c>
      <c r="U157" s="33">
        <f t="shared" si="689"/>
        <v>73351.501999999993</v>
      </c>
      <c r="V157" s="33">
        <f t="shared" si="689"/>
        <v>70170.876999999993</v>
      </c>
      <c r="W157" s="33">
        <f t="shared" si="689"/>
        <v>70474.269</v>
      </c>
      <c r="X157" s="33">
        <f t="shared" si="689"/>
        <v>66047.368000000017</v>
      </c>
      <c r="Y157" s="33">
        <f t="shared" si="689"/>
        <v>59477.133999999998</v>
      </c>
      <c r="Z157" s="33">
        <f t="shared" si="689"/>
        <v>67354.907999999996</v>
      </c>
      <c r="AA157" s="33">
        <f t="shared" si="689"/>
        <v>70894.411999999997</v>
      </c>
      <c r="AB157" s="33">
        <f t="shared" si="689"/>
        <v>73243.646000000008</v>
      </c>
      <c r="AC157" s="33">
        <f t="shared" si="689"/>
        <v>75506.822</v>
      </c>
      <c r="AD157" s="33">
        <f t="shared" si="689"/>
        <v>88887.827999999994</v>
      </c>
      <c r="AE157" s="33">
        <f t="shared" si="689"/>
        <v>92506.540999999997</v>
      </c>
      <c r="AF157" s="33">
        <f t="shared" si="689"/>
        <v>109005.15899999999</v>
      </c>
      <c r="AG157" s="33">
        <f t="shared" si="689"/>
        <v>111293.337</v>
      </c>
      <c r="AH157" s="33">
        <f t="shared" si="689"/>
        <v>115956.091</v>
      </c>
      <c r="AI157" s="33">
        <f t="shared" si="689"/>
        <v>113120.734</v>
      </c>
      <c r="AJ157" s="33">
        <f t="shared" ref="AJ157:AK157" si="690">AJ7</f>
        <v>116916.52499999997</v>
      </c>
      <c r="AK157" s="33">
        <f t="shared" si="690"/>
        <v>99141.618000000002</v>
      </c>
    </row>
    <row r="158" spans="2:37" s="29" customFormat="1" ht="13.5" customHeight="1">
      <c r="B158" s="34" t="s">
        <v>263</v>
      </c>
      <c r="C158" s="42"/>
      <c r="D158" s="42">
        <f t="shared" ref="D158:J158" si="691">D157/C157-1</f>
        <v>0.17678976568247196</v>
      </c>
      <c r="E158" s="42">
        <f t="shared" si="691"/>
        <v>0.19445786676772436</v>
      </c>
      <c r="F158" s="42">
        <f t="shared" si="691"/>
        <v>0.33531938154203123</v>
      </c>
      <c r="G158" s="42">
        <f t="shared" si="691"/>
        <v>-0.14701122321767801</v>
      </c>
      <c r="H158" s="42">
        <f t="shared" si="691"/>
        <v>-3.2401749302152671E-2</v>
      </c>
      <c r="I158" s="42">
        <f t="shared" si="691"/>
        <v>0.35035692129869678</v>
      </c>
      <c r="J158" s="42">
        <f t="shared" si="691"/>
        <v>0.24973695318487921</v>
      </c>
      <c r="K158" s="42"/>
      <c r="L158" s="211"/>
      <c r="M158" s="42"/>
      <c r="N158" s="42"/>
      <c r="O158" s="42"/>
      <c r="P158" s="42"/>
      <c r="Q158" s="42">
        <f>Q157/M157-1</f>
        <v>0.54685736338216406</v>
      </c>
      <c r="R158" s="42">
        <f>R157/N157-1</f>
        <v>0.63975643005909566</v>
      </c>
      <c r="S158" s="42">
        <f>S157/O157-1</f>
        <v>8.1760683904944509E-2</v>
      </c>
      <c r="T158" s="42"/>
      <c r="U158" s="42">
        <f t="shared" ref="U158:AK158" si="692">U157/Q157-1</f>
        <v>-4.5923018581045971E-2</v>
      </c>
      <c r="V158" s="42">
        <f t="shared" si="692"/>
        <v>-0.20068677200413365</v>
      </c>
      <c r="W158" s="42">
        <f t="shared" si="692"/>
        <v>-9.7211228054623344E-2</v>
      </c>
      <c r="X158" s="42">
        <f t="shared" si="692"/>
        <v>-0.22819469344418564</v>
      </c>
      <c r="Y158" s="42">
        <f t="shared" si="692"/>
        <v>-0.1891490647321713</v>
      </c>
      <c r="Z158" s="42">
        <f t="shared" si="692"/>
        <v>-4.0130166821201296E-2</v>
      </c>
      <c r="AA158" s="42">
        <f t="shared" si="692"/>
        <v>5.9616510530957623E-3</v>
      </c>
      <c r="AB158" s="42">
        <f t="shared" si="692"/>
        <v>0.10895631753259249</v>
      </c>
      <c r="AC158" s="42">
        <f t="shared" si="692"/>
        <v>0.26951009441712515</v>
      </c>
      <c r="AD158" s="42">
        <f t="shared" si="692"/>
        <v>0.31969340675218505</v>
      </c>
      <c r="AE158" s="42">
        <f t="shared" si="692"/>
        <v>0.30484954159715727</v>
      </c>
      <c r="AF158" s="42">
        <f t="shared" si="692"/>
        <v>0.48825413469995715</v>
      </c>
      <c r="AG158" s="42">
        <f t="shared" si="692"/>
        <v>0.47395075109901996</v>
      </c>
      <c r="AH158" s="42">
        <f t="shared" si="692"/>
        <v>0.30452159321521521</v>
      </c>
      <c r="AI158" s="42">
        <f t="shared" si="692"/>
        <v>0.2228403827141261</v>
      </c>
      <c r="AJ158" s="42">
        <f t="shared" si="692"/>
        <v>7.2577904317354225E-2</v>
      </c>
      <c r="AK158" s="42">
        <f t="shared" si="692"/>
        <v>-0.10918640169806393</v>
      </c>
    </row>
    <row r="159" spans="2:37" ht="13.5" customHeight="1"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</row>
    <row r="160" spans="2:37" s="19" customFormat="1" ht="13.5" customHeight="1" thickBot="1">
      <c r="B160" s="24" t="str">
        <f t="shared" ref="B160:K160" si="693">B51</f>
        <v xml:space="preserve">Adj. EBITDA </v>
      </c>
      <c r="C160" s="32">
        <f t="shared" si="693"/>
        <v>1944.6879999999833</v>
      </c>
      <c r="D160" s="32">
        <f t="shared" si="693"/>
        <v>13141.275999999996</v>
      </c>
      <c r="E160" s="32">
        <f t="shared" si="693"/>
        <v>25743.189999999995</v>
      </c>
      <c r="F160" s="32">
        <f t="shared" si="693"/>
        <v>29090.309999999994</v>
      </c>
      <c r="G160" s="32">
        <f t="shared" si="693"/>
        <v>6523.8909999999996</v>
      </c>
      <c r="H160" s="32">
        <f t="shared" si="693"/>
        <v>24844.986999999983</v>
      </c>
      <c r="I160" s="32">
        <f t="shared" si="693"/>
        <v>30821.164999999957</v>
      </c>
      <c r="J160" s="32">
        <f t="shared" ref="J160" si="694">J51</f>
        <v>56657.666999999943</v>
      </c>
      <c r="K160" s="32">
        <f t="shared" si="693"/>
        <v>49473.141999999956</v>
      </c>
      <c r="L160" s="43"/>
      <c r="M160" s="32">
        <f t="shared" ref="M160:AI160" si="695">M51</f>
        <v>2675.1080000000029</v>
      </c>
      <c r="N160" s="32">
        <f t="shared" si="695"/>
        <v>5786.1430000000037</v>
      </c>
      <c r="O160" s="32">
        <f t="shared" si="695"/>
        <v>7090.3310000000019</v>
      </c>
      <c r="P160" s="32">
        <f t="shared" si="695"/>
        <v>10191.607999999986</v>
      </c>
      <c r="Q160" s="32">
        <f t="shared" si="695"/>
        <v>8814.9929999999986</v>
      </c>
      <c r="R160" s="32">
        <f t="shared" si="695"/>
        <v>11453.796000000002</v>
      </c>
      <c r="S160" s="32">
        <f t="shared" si="695"/>
        <v>3529.866999999997</v>
      </c>
      <c r="T160" s="32">
        <f t="shared" si="695"/>
        <v>5291.6539999999859</v>
      </c>
      <c r="U160" s="32">
        <f t="shared" si="695"/>
        <v>-32.830000000008113</v>
      </c>
      <c r="V160" s="32">
        <f t="shared" si="695"/>
        <v>2680.4399999999969</v>
      </c>
      <c r="W160" s="32">
        <f t="shared" si="695"/>
        <v>-429.99999999999864</v>
      </c>
      <c r="X160" s="32">
        <f t="shared" si="695"/>
        <v>4306.2810000000009</v>
      </c>
      <c r="Y160" s="32">
        <f t="shared" si="695"/>
        <v>6825.2879999999959</v>
      </c>
      <c r="Z160" s="32">
        <f t="shared" si="695"/>
        <v>5065.9589999999962</v>
      </c>
      <c r="AA160" s="32">
        <f t="shared" si="695"/>
        <v>6653.0069999999942</v>
      </c>
      <c r="AB160" s="32">
        <f t="shared" si="695"/>
        <v>6300.7330000000165</v>
      </c>
      <c r="AC160" s="32">
        <f t="shared" si="695"/>
        <v>5077.3609999999971</v>
      </c>
      <c r="AD160" s="32">
        <f t="shared" si="695"/>
        <v>7301.0509999999958</v>
      </c>
      <c r="AE160" s="32">
        <f t="shared" si="695"/>
        <v>7738.4460000000026</v>
      </c>
      <c r="AF160" s="32">
        <f t="shared" si="695"/>
        <v>10704.306999999953</v>
      </c>
      <c r="AG160" s="32">
        <f t="shared" si="695"/>
        <v>14908.269000000008</v>
      </c>
      <c r="AH160" s="32">
        <f t="shared" si="695"/>
        <v>15446.311999999998</v>
      </c>
      <c r="AI160" s="32">
        <f t="shared" si="695"/>
        <v>17333.574000000001</v>
      </c>
      <c r="AJ160" s="32">
        <f t="shared" ref="AJ160:AK160" si="696">AJ51</f>
        <v>8969.511999999957</v>
      </c>
      <c r="AK160" s="32">
        <f t="shared" si="696"/>
        <v>7723.743999999997</v>
      </c>
    </row>
    <row r="161" spans="2:37" s="29" customFormat="1" ht="13.5" customHeight="1" thickTop="1">
      <c r="B161" s="31" t="str">
        <f>B52</f>
        <v xml:space="preserve">% growth </v>
      </c>
      <c r="C161" s="42"/>
      <c r="D161" s="42">
        <f t="shared" ref="D161:I162" si="697">D52</f>
        <v>5.7575240861259536</v>
      </c>
      <c r="E161" s="42">
        <f t="shared" si="697"/>
        <v>0.95895664926297886</v>
      </c>
      <c r="F161" s="42">
        <f t="shared" si="697"/>
        <v>0.13001962849204007</v>
      </c>
      <c r="G161" s="42">
        <f t="shared" si="697"/>
        <v>-0.77573662845119218</v>
      </c>
      <c r="H161" s="42">
        <f t="shared" si="697"/>
        <v>2.8083081093782813</v>
      </c>
      <c r="I161" s="42">
        <f t="shared" si="697"/>
        <v>0.24053858430273989</v>
      </c>
      <c r="J161" s="42">
        <f t="shared" ref="J161" si="698">J52</f>
        <v>0.83827142809170319</v>
      </c>
      <c r="K161" s="42"/>
      <c r="L161" s="211"/>
      <c r="M161" s="42"/>
      <c r="N161" s="42"/>
      <c r="O161" s="42"/>
      <c r="P161" s="42"/>
      <c r="Q161" s="42">
        <f t="shared" ref="Q161:S162" si="699">Q52</f>
        <v>2.2951914464761756</v>
      </c>
      <c r="R161" s="42">
        <f t="shared" si="699"/>
        <v>0.97952176432556115</v>
      </c>
      <c r="S161" s="42">
        <f t="shared" si="699"/>
        <v>-0.50215765667357481</v>
      </c>
      <c r="T161" s="42"/>
      <c r="U161" s="42">
        <f t="shared" ref="U161:AI161" si="700">U52</f>
        <v>-1.0037243364799051</v>
      </c>
      <c r="V161" s="42">
        <f t="shared" si="700"/>
        <v>-0.76597802160960471</v>
      </c>
      <c r="W161" s="42">
        <f t="shared" si="700"/>
        <v>-1.1218176208905319</v>
      </c>
      <c r="X161" s="42">
        <f t="shared" si="700"/>
        <v>-0.18621266620984434</v>
      </c>
      <c r="Y161" s="42">
        <f t="shared" si="700"/>
        <v>-208.89789826373163</v>
      </c>
      <c r="Z161" s="42">
        <f t="shared" si="700"/>
        <v>0.88997291489457031</v>
      </c>
      <c r="AA161" s="42">
        <f t="shared" si="700"/>
        <v>-16.472109302325617</v>
      </c>
      <c r="AB161" s="42">
        <f t="shared" si="700"/>
        <v>0.46314952507744267</v>
      </c>
      <c r="AC161" s="42">
        <f t="shared" si="700"/>
        <v>-0.25609571347025939</v>
      </c>
      <c r="AD161" s="42">
        <f t="shared" si="700"/>
        <v>0.44119820156460032</v>
      </c>
      <c r="AE161" s="42">
        <f t="shared" si="700"/>
        <v>0.16315013647212595</v>
      </c>
      <c r="AF161" s="42">
        <f t="shared" si="700"/>
        <v>0.69889868369282193</v>
      </c>
      <c r="AG161" s="42">
        <f t="shared" si="700"/>
        <v>1.9362239557124292</v>
      </c>
      <c r="AH161" s="42">
        <f t="shared" si="700"/>
        <v>1.1156285581349872</v>
      </c>
      <c r="AI161" s="42">
        <f t="shared" si="700"/>
        <v>1.2399295672542001</v>
      </c>
      <c r="AJ161" s="42">
        <f t="shared" ref="AJ161:AK161" si="701">AJ52</f>
        <v>-0.1620651388268296</v>
      </c>
      <c r="AK161" s="42">
        <f t="shared" si="701"/>
        <v>-0.48191543900904976</v>
      </c>
    </row>
    <row r="162" spans="2:37" s="29" customFormat="1" ht="13.5" customHeight="1">
      <c r="B162" s="31" t="str">
        <f>B53</f>
        <v>% margin</v>
      </c>
      <c r="C162" s="42">
        <f>C53</f>
        <v>1.1117875967771187E-2</v>
      </c>
      <c r="D162" s="42">
        <f t="shared" si="697"/>
        <v>6.3842596893425488E-2</v>
      </c>
      <c r="E162" s="42">
        <f t="shared" si="697"/>
        <v>0.10470430407815473</v>
      </c>
      <c r="F162" s="42">
        <f t="shared" si="697"/>
        <v>8.8606456576163881E-2</v>
      </c>
      <c r="G162" s="42">
        <f t="shared" si="697"/>
        <v>2.3295948591167182E-2</v>
      </c>
      <c r="H162" s="42">
        <f t="shared" si="697"/>
        <v>9.1689035063278149E-2</v>
      </c>
      <c r="I162" s="42">
        <f t="shared" si="697"/>
        <v>8.4232386237625995E-2</v>
      </c>
      <c r="J162" s="42">
        <f t="shared" ref="J162" si="702">J53</f>
        <v>0.1238996642821573</v>
      </c>
      <c r="K162" s="42">
        <f>K53</f>
        <v>0.11114189078940201</v>
      </c>
      <c r="L162" s="211"/>
      <c r="M162" s="42">
        <f>M53</f>
        <v>5.3822763904841468E-2</v>
      </c>
      <c r="N162" s="42">
        <f>N53</f>
        <v>0.10807583538398714</v>
      </c>
      <c r="O162" s="42">
        <f>O53</f>
        <v>9.8254686068968797E-2</v>
      </c>
      <c r="P162" s="42">
        <f>P53</f>
        <v>0.14463796287418476</v>
      </c>
      <c r="Q162" s="42">
        <f t="shared" si="699"/>
        <v>0.11465589229064742</v>
      </c>
      <c r="R162" s="42">
        <f t="shared" si="699"/>
        <v>0.13046966270018465</v>
      </c>
      <c r="S162" s="42">
        <f t="shared" si="699"/>
        <v>4.5218266741589158E-2</v>
      </c>
      <c r="T162" s="42">
        <f>T53</f>
        <v>6.1836326886747235E-2</v>
      </c>
      <c r="U162" s="42">
        <f t="shared" ref="U162:AI162" si="703">U53</f>
        <v>-4.4757093044949669E-4</v>
      </c>
      <c r="V162" s="42">
        <f t="shared" si="703"/>
        <v>3.8198753023993087E-2</v>
      </c>
      <c r="W162" s="42">
        <f t="shared" si="703"/>
        <v>-6.1015177042843625E-3</v>
      </c>
      <c r="X162" s="42">
        <f t="shared" si="703"/>
        <v>6.5199888056099373E-2</v>
      </c>
      <c r="Y162" s="42">
        <f t="shared" si="703"/>
        <v>0.11475482325695109</v>
      </c>
      <c r="Z162" s="42">
        <f t="shared" si="703"/>
        <v>7.5212915441885783E-2</v>
      </c>
      <c r="AA162" s="42">
        <f t="shared" si="703"/>
        <v>9.3843884338867131E-2</v>
      </c>
      <c r="AB162" s="42">
        <f t="shared" si="703"/>
        <v>8.6024294858287303E-2</v>
      </c>
      <c r="AC162" s="42">
        <f t="shared" si="703"/>
        <v>6.7243738585633983E-2</v>
      </c>
      <c r="AD162" s="42">
        <f t="shared" si="703"/>
        <v>8.2137804064691469E-2</v>
      </c>
      <c r="AE162" s="42">
        <f t="shared" si="703"/>
        <v>8.3652960280938438E-2</v>
      </c>
      <c r="AF162" s="42">
        <f t="shared" si="703"/>
        <v>9.8200003542951164E-2</v>
      </c>
      <c r="AG162" s="42">
        <f t="shared" si="703"/>
        <v>0.13395473082094761</v>
      </c>
      <c r="AH162" s="42">
        <f t="shared" si="703"/>
        <v>0.133208284849823</v>
      </c>
      <c r="AI162" s="42">
        <f t="shared" si="703"/>
        <v>0.15323074194338238</v>
      </c>
      <c r="AJ162" s="42">
        <f t="shared" ref="AJ162:AK162" si="704">AJ53</f>
        <v>7.6717230519808555E-2</v>
      </c>
      <c r="AK162" s="42">
        <f t="shared" si="704"/>
        <v>7.7906172562162507E-2</v>
      </c>
    </row>
    <row r="163" spans="2:37" ht="13.5" customHeight="1"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</row>
    <row r="164" spans="2:37" s="19" customFormat="1" ht="13.5" customHeight="1">
      <c r="B164" s="19" t="str">
        <f t="shared" ref="B164:I173" si="705">B60</f>
        <v xml:space="preserve">Adj. EBITDA </v>
      </c>
      <c r="C164" s="27">
        <f t="shared" si="705"/>
        <v>1944.6879999999833</v>
      </c>
      <c r="D164" s="27">
        <f t="shared" si="705"/>
        <v>13141.275999999996</v>
      </c>
      <c r="E164" s="27">
        <f t="shared" si="705"/>
        <v>25743.189999999995</v>
      </c>
      <c r="F164" s="27">
        <f t="shared" si="705"/>
        <v>29090.309999999994</v>
      </c>
      <c r="G164" s="27">
        <f t="shared" si="705"/>
        <v>6523.8909999999996</v>
      </c>
      <c r="H164" s="27">
        <f t="shared" si="705"/>
        <v>24844.986999999983</v>
      </c>
      <c r="I164" s="27">
        <f t="shared" si="705"/>
        <v>30821.164999999957</v>
      </c>
      <c r="J164" s="27">
        <f t="shared" ref="J164" si="706">J60</f>
        <v>56657.666999999943</v>
      </c>
      <c r="K164" s="95"/>
      <c r="L164" s="9"/>
      <c r="M164" s="95"/>
      <c r="N164" s="27">
        <f t="shared" ref="N164:N181" si="707">N60</f>
        <v>8461.2510000000075</v>
      </c>
      <c r="O164" s="95"/>
      <c r="P164" s="27">
        <f t="shared" ref="P164:P181" si="708">P60</f>
        <v>17281.938999999988</v>
      </c>
      <c r="Q164" s="95"/>
      <c r="R164" s="27">
        <f t="shared" ref="R164:R181" si="709">R60</f>
        <v>20268.789000000001</v>
      </c>
      <c r="S164" s="95"/>
      <c r="T164" s="27">
        <f t="shared" ref="T164:T181" si="710">T60</f>
        <v>8821.5209999999934</v>
      </c>
      <c r="U164" s="95"/>
      <c r="V164" s="27">
        <f t="shared" ref="V164:V181" si="711">V60</f>
        <v>2647.6099999999888</v>
      </c>
      <c r="W164" s="95"/>
      <c r="X164" s="27">
        <f t="shared" ref="X164:X181" si="712">X60</f>
        <v>3876.2810000000109</v>
      </c>
      <c r="Y164" s="95"/>
      <c r="Z164" s="27">
        <f t="shared" ref="Z164:Z181" si="713">Z60</f>
        <v>11891.246999999992</v>
      </c>
      <c r="AA164" s="95"/>
      <c r="AB164" s="27">
        <f t="shared" ref="AB164:AB181" si="714">AB60</f>
        <v>12953.739999999991</v>
      </c>
      <c r="AC164" s="95"/>
      <c r="AD164" s="27">
        <f t="shared" ref="AD164:AD181" si="715">AD60</f>
        <v>12378.411999999993</v>
      </c>
      <c r="AE164" s="95"/>
      <c r="AF164" s="27">
        <f t="shared" ref="AF164:AF181" si="716">AF60</f>
        <v>18442.752999999957</v>
      </c>
      <c r="AG164" s="95"/>
      <c r="AH164" s="27">
        <f t="shared" ref="AH164:AH181" si="717">AH60</f>
        <v>30354.581000000006</v>
      </c>
      <c r="AI164" s="95"/>
      <c r="AJ164" s="27">
        <f t="shared" ref="AJ164:AJ181" si="718">AJ60</f>
        <v>26303.085999999959</v>
      </c>
      <c r="AK164" s="95"/>
    </row>
    <row r="165" spans="2:37" ht="13.5" customHeight="1">
      <c r="B165" s="16" t="str">
        <f t="shared" si="705"/>
        <v>Working Capital</v>
      </c>
      <c r="C165" s="12">
        <f t="shared" si="705"/>
        <v>-3578.5930000000008</v>
      </c>
      <c r="D165" s="12">
        <f t="shared" si="705"/>
        <v>5293.4330000000009</v>
      </c>
      <c r="E165" s="12">
        <f t="shared" si="705"/>
        <v>-5533.8360000000011</v>
      </c>
      <c r="F165" s="12">
        <f t="shared" si="705"/>
        <v>-18838.962000000003</v>
      </c>
      <c r="G165" s="12">
        <f t="shared" si="705"/>
        <v>-21616.402999999998</v>
      </c>
      <c r="H165" s="12">
        <f t="shared" si="705"/>
        <v>-10626.609999999999</v>
      </c>
      <c r="I165" s="12">
        <f t="shared" si="705"/>
        <v>51837.324000000001</v>
      </c>
      <c r="J165" s="12">
        <f t="shared" ref="J165" si="719">J61</f>
        <v>-13882.403999999997</v>
      </c>
      <c r="K165" s="96"/>
      <c r="L165" s="147"/>
      <c r="M165" s="96"/>
      <c r="N165" s="12">
        <f t="shared" si="707"/>
        <v>0</v>
      </c>
      <c r="O165" s="96"/>
      <c r="P165" s="12">
        <f t="shared" si="708"/>
        <v>-5533.8360000000011</v>
      </c>
      <c r="Q165" s="96"/>
      <c r="R165" s="12">
        <f t="shared" si="709"/>
        <v>0</v>
      </c>
      <c r="S165" s="96"/>
      <c r="T165" s="12">
        <f t="shared" si="710"/>
        <v>-18838.962000000003</v>
      </c>
      <c r="U165" s="96"/>
      <c r="V165" s="12">
        <f t="shared" si="711"/>
        <v>0</v>
      </c>
      <c r="W165" s="96"/>
      <c r="X165" s="12">
        <f t="shared" si="712"/>
        <v>-21616.402999999998</v>
      </c>
      <c r="Y165" s="96"/>
      <c r="Z165" s="12">
        <f t="shared" si="713"/>
        <v>0</v>
      </c>
      <c r="AA165" s="96"/>
      <c r="AB165" s="12">
        <f t="shared" si="714"/>
        <v>-10626.609999999999</v>
      </c>
      <c r="AC165" s="96"/>
      <c r="AD165" s="12">
        <f t="shared" si="715"/>
        <v>0</v>
      </c>
      <c r="AE165" s="96"/>
      <c r="AF165" s="12">
        <f t="shared" si="716"/>
        <v>51837.324000000001</v>
      </c>
      <c r="AG165" s="96"/>
      <c r="AH165" s="12">
        <f t="shared" si="717"/>
        <v>0</v>
      </c>
      <c r="AI165" s="96"/>
      <c r="AJ165" s="12">
        <f t="shared" si="718"/>
        <v>-13882.403999999997</v>
      </c>
      <c r="AK165" s="96"/>
    </row>
    <row r="166" spans="2:37" ht="13.5" customHeight="1">
      <c r="B166" s="16" t="str">
        <f t="shared" si="705"/>
        <v>Taxes</v>
      </c>
      <c r="C166" s="12">
        <f t="shared" si="705"/>
        <v>-1536.742</v>
      </c>
      <c r="D166" s="12">
        <f t="shared" si="705"/>
        <v>-2141.8850000000002</v>
      </c>
      <c r="E166" s="12">
        <f t="shared" si="705"/>
        <v>-1953.3019999999999</v>
      </c>
      <c r="F166" s="12">
        <f t="shared" si="705"/>
        <v>-2442.4949999999999</v>
      </c>
      <c r="G166" s="12">
        <f t="shared" si="705"/>
        <v>-3420.277</v>
      </c>
      <c r="H166" s="12">
        <f t="shared" si="705"/>
        <v>-3011.748</v>
      </c>
      <c r="I166" s="12">
        <f t="shared" si="705"/>
        <v>-3467.2179999999998</v>
      </c>
      <c r="J166" s="12">
        <f t="shared" ref="J166" si="720">J62</f>
        <v>-4671.5879999999997</v>
      </c>
      <c r="K166" s="96"/>
      <c r="L166" s="147"/>
      <c r="M166" s="96"/>
      <c r="N166" s="12">
        <f t="shared" si="707"/>
        <v>-1333.394</v>
      </c>
      <c r="O166" s="96"/>
      <c r="P166" s="12">
        <f t="shared" si="708"/>
        <v>-619.9079999999999</v>
      </c>
      <c r="Q166" s="96"/>
      <c r="R166" s="12">
        <f t="shared" si="709"/>
        <v>-1249.124</v>
      </c>
      <c r="S166" s="96"/>
      <c r="T166" s="12">
        <f t="shared" si="710"/>
        <v>-1193.3709999999999</v>
      </c>
      <c r="U166" s="96"/>
      <c r="V166" s="12">
        <f t="shared" si="711"/>
        <v>-1913.0989999999999</v>
      </c>
      <c r="W166" s="96"/>
      <c r="X166" s="12">
        <f t="shared" si="712"/>
        <v>-1507.1780000000001</v>
      </c>
      <c r="Y166" s="96"/>
      <c r="Z166" s="12">
        <f t="shared" si="713"/>
        <v>-1268.5229999999999</v>
      </c>
      <c r="AA166" s="96"/>
      <c r="AB166" s="12">
        <f t="shared" si="714"/>
        <v>-1743.2250000000001</v>
      </c>
      <c r="AC166" s="96"/>
      <c r="AD166" s="12">
        <f t="shared" si="715"/>
        <v>-2491.299</v>
      </c>
      <c r="AE166" s="96"/>
      <c r="AF166" s="12">
        <f t="shared" si="716"/>
        <v>-975.91899999999987</v>
      </c>
      <c r="AG166" s="96"/>
      <c r="AH166" s="12">
        <f t="shared" si="717"/>
        <v>-3953.7730000000001</v>
      </c>
      <c r="AI166" s="96"/>
      <c r="AJ166" s="12">
        <f t="shared" si="718"/>
        <v>-717.8149999999996</v>
      </c>
      <c r="AK166" s="96"/>
    </row>
    <row r="167" spans="2:37" ht="13.5" customHeight="1">
      <c r="B167" s="16" t="str">
        <f t="shared" si="705"/>
        <v>Cash interest paid</v>
      </c>
      <c r="C167" s="12">
        <f t="shared" si="705"/>
        <v>-243.96600000000001</v>
      </c>
      <c r="D167" s="12">
        <f t="shared" si="705"/>
        <v>-218.994</v>
      </c>
      <c r="E167" s="12">
        <f t="shared" si="705"/>
        <v>-499.71100000000001</v>
      </c>
      <c r="F167" s="12">
        <f t="shared" si="705"/>
        <v>-659.98699999999997</v>
      </c>
      <c r="G167" s="12">
        <f t="shared" si="705"/>
        <v>-1020.229</v>
      </c>
      <c r="H167" s="12">
        <f t="shared" si="705"/>
        <v>-758.13699999999994</v>
      </c>
      <c r="I167" s="12">
        <f t="shared" si="705"/>
        <v>-717.22299999999996</v>
      </c>
      <c r="J167" s="12">
        <f t="shared" ref="J167" si="721">J63</f>
        <v>-774.76</v>
      </c>
      <c r="K167" s="96"/>
      <c r="L167" s="147"/>
      <c r="M167" s="96"/>
      <c r="N167" s="12">
        <f t="shared" si="707"/>
        <v>-164.006</v>
      </c>
      <c r="O167" s="96"/>
      <c r="P167" s="12">
        <f t="shared" si="708"/>
        <v>-335.70500000000004</v>
      </c>
      <c r="Q167" s="96"/>
      <c r="R167" s="12">
        <f t="shared" si="709"/>
        <v>-282.834</v>
      </c>
      <c r="S167" s="96"/>
      <c r="T167" s="12">
        <f t="shared" si="710"/>
        <v>-377.15299999999996</v>
      </c>
      <c r="U167" s="96"/>
      <c r="V167" s="12">
        <f t="shared" si="711"/>
        <v>-458.19200000000001</v>
      </c>
      <c r="W167" s="96"/>
      <c r="X167" s="12">
        <f t="shared" si="712"/>
        <v>-562.03700000000003</v>
      </c>
      <c r="Y167" s="96"/>
      <c r="Z167" s="12">
        <f t="shared" si="713"/>
        <v>-321.85599999999999</v>
      </c>
      <c r="AA167" s="96"/>
      <c r="AB167" s="12">
        <f t="shared" si="714"/>
        <v>-436.28099999999995</v>
      </c>
      <c r="AC167" s="96"/>
      <c r="AD167" s="12">
        <f t="shared" si="715"/>
        <v>-348.935</v>
      </c>
      <c r="AE167" s="96"/>
      <c r="AF167" s="12">
        <f t="shared" si="716"/>
        <v>-368.28799999999995</v>
      </c>
      <c r="AG167" s="96"/>
      <c r="AH167" s="12">
        <f t="shared" si="717"/>
        <v>-387.82</v>
      </c>
      <c r="AI167" s="96"/>
      <c r="AJ167" s="12">
        <f t="shared" si="718"/>
        <v>-386.94</v>
      </c>
      <c r="AK167" s="96"/>
    </row>
    <row r="168" spans="2:37" s="19" customFormat="1" ht="13.5" customHeight="1" thickBot="1">
      <c r="B168" s="24" t="str">
        <f t="shared" si="705"/>
        <v xml:space="preserve">Net cash from operations </v>
      </c>
      <c r="C168" s="23">
        <f t="shared" si="705"/>
        <v>-3414.6130000000171</v>
      </c>
      <c r="D168" s="23">
        <f t="shared" si="705"/>
        <v>16073.829999999994</v>
      </c>
      <c r="E168" s="23">
        <f t="shared" si="705"/>
        <v>17756.340999999993</v>
      </c>
      <c r="F168" s="23">
        <f t="shared" si="705"/>
        <v>7148.8659999999909</v>
      </c>
      <c r="G168" s="23">
        <f t="shared" si="705"/>
        <v>-19533.017999999996</v>
      </c>
      <c r="H168" s="23">
        <f t="shared" si="705"/>
        <v>10448.491999999984</v>
      </c>
      <c r="I168" s="23">
        <f t="shared" si="705"/>
        <v>78474.047999999966</v>
      </c>
      <c r="J168" s="23">
        <f t="shared" ref="J168" si="722">J64</f>
        <v>37328.914999999943</v>
      </c>
      <c r="K168" s="97"/>
      <c r="L168" s="25"/>
      <c r="M168" s="97"/>
      <c r="N168" s="23">
        <f t="shared" si="707"/>
        <v>6963.8510000000069</v>
      </c>
      <c r="O168" s="97"/>
      <c r="P168" s="23">
        <f t="shared" si="708"/>
        <v>10792.489999999987</v>
      </c>
      <c r="Q168" s="97"/>
      <c r="R168" s="23">
        <f t="shared" si="709"/>
        <v>18736.831000000002</v>
      </c>
      <c r="S168" s="97"/>
      <c r="T168" s="23">
        <f t="shared" si="710"/>
        <v>-11587.965000000009</v>
      </c>
      <c r="U168" s="97"/>
      <c r="V168" s="23">
        <f t="shared" si="711"/>
        <v>276.31899999998882</v>
      </c>
      <c r="W168" s="97"/>
      <c r="X168" s="23">
        <f t="shared" si="712"/>
        <v>-19809.336999999989</v>
      </c>
      <c r="Y168" s="97"/>
      <c r="Z168" s="23">
        <f t="shared" si="713"/>
        <v>10300.867999999993</v>
      </c>
      <c r="AA168" s="97"/>
      <c r="AB168" s="23">
        <f t="shared" si="714"/>
        <v>147.62399999999184</v>
      </c>
      <c r="AC168" s="97"/>
      <c r="AD168" s="23">
        <f t="shared" si="715"/>
        <v>9538.1779999999944</v>
      </c>
      <c r="AE168" s="97"/>
      <c r="AF168" s="23">
        <f t="shared" si="716"/>
        <v>68935.869999999966</v>
      </c>
      <c r="AG168" s="97"/>
      <c r="AH168" s="23">
        <f t="shared" si="717"/>
        <v>26012.988000000005</v>
      </c>
      <c r="AI168" s="97"/>
      <c r="AJ168" s="23">
        <f t="shared" si="718"/>
        <v>11315.926999999961</v>
      </c>
      <c r="AK168" s="97"/>
    </row>
    <row r="169" spans="2:37" ht="13.5" customHeight="1" thickTop="1">
      <c r="B169" s="16" t="str">
        <f t="shared" si="705"/>
        <v>Net Capex</v>
      </c>
      <c r="C169" s="26">
        <f t="shared" si="705"/>
        <v>-236.22199999999975</v>
      </c>
      <c r="D169" s="26">
        <f t="shared" si="705"/>
        <v>-3337.4279999999999</v>
      </c>
      <c r="E169" s="26">
        <f t="shared" si="705"/>
        <v>-2962.4349999999999</v>
      </c>
      <c r="F169" s="26">
        <f t="shared" si="705"/>
        <v>-7133.9480000000003</v>
      </c>
      <c r="G169" s="26">
        <f t="shared" si="705"/>
        <v>-5782.2359999999999</v>
      </c>
      <c r="H169" s="26">
        <f t="shared" si="705"/>
        <v>-6196.067</v>
      </c>
      <c r="I169" s="26">
        <f t="shared" si="705"/>
        <v>-6938.8190000000004</v>
      </c>
      <c r="J169" s="26">
        <f t="shared" ref="J169" si="723">J65</f>
        <v>-12756.379000000001</v>
      </c>
      <c r="K169" s="96"/>
      <c r="L169" s="147"/>
      <c r="M169" s="96"/>
      <c r="N169" s="26">
        <f t="shared" si="707"/>
        <v>-1124.8700000000001</v>
      </c>
      <c r="O169" s="96"/>
      <c r="P169" s="26">
        <f t="shared" si="708"/>
        <v>-1837.5649999999998</v>
      </c>
      <c r="Q169" s="96"/>
      <c r="R169" s="26">
        <f t="shared" si="709"/>
        <v>-1821.614</v>
      </c>
      <c r="S169" s="96"/>
      <c r="T169" s="26">
        <f t="shared" si="710"/>
        <v>-5312.3340000000007</v>
      </c>
      <c r="U169" s="96"/>
      <c r="V169" s="26">
        <f t="shared" si="711"/>
        <v>-2702.672</v>
      </c>
      <c r="W169" s="96"/>
      <c r="X169" s="26">
        <f t="shared" si="712"/>
        <v>-3079.5639999999999</v>
      </c>
      <c r="Y169" s="96"/>
      <c r="Z169" s="26">
        <f t="shared" si="713"/>
        <v>-3661.0250000000001</v>
      </c>
      <c r="AA169" s="96"/>
      <c r="AB169" s="26">
        <f t="shared" si="714"/>
        <v>-2535.0419999999999</v>
      </c>
      <c r="AC169" s="96"/>
      <c r="AD169" s="26">
        <f t="shared" si="715"/>
        <v>-2013.597</v>
      </c>
      <c r="AE169" s="96"/>
      <c r="AF169" s="26">
        <f t="shared" si="716"/>
        <v>-4925.2220000000007</v>
      </c>
      <c r="AG169" s="96"/>
      <c r="AH169" s="26">
        <f t="shared" si="717"/>
        <v>-5078.3059999999996</v>
      </c>
      <c r="AI169" s="96"/>
      <c r="AJ169" s="26">
        <f t="shared" si="718"/>
        <v>-7678.0730000000012</v>
      </c>
      <c r="AK169" s="96"/>
    </row>
    <row r="170" spans="2:37" ht="13.5" customHeight="1">
      <c r="B170" s="16" t="str">
        <f t="shared" si="705"/>
        <v>Purchase of intangible assets</v>
      </c>
      <c r="C170" s="26">
        <f t="shared" si="705"/>
        <v>0</v>
      </c>
      <c r="D170" s="26">
        <f t="shared" si="705"/>
        <v>0</v>
      </c>
      <c r="E170" s="26">
        <f t="shared" si="705"/>
        <v>0</v>
      </c>
      <c r="F170" s="26">
        <f t="shared" si="705"/>
        <v>0</v>
      </c>
      <c r="G170" s="26">
        <f t="shared" si="705"/>
        <v>0</v>
      </c>
      <c r="H170" s="26">
        <f t="shared" si="705"/>
        <v>0</v>
      </c>
      <c r="I170" s="26">
        <f t="shared" si="705"/>
        <v>0</v>
      </c>
      <c r="J170" s="26">
        <f t="shared" ref="J170" si="724">J66</f>
        <v>0</v>
      </c>
      <c r="K170" s="96"/>
      <c r="L170" s="147"/>
      <c r="M170" s="96"/>
      <c r="N170" s="26">
        <f t="shared" si="707"/>
        <v>0</v>
      </c>
      <c r="O170" s="96"/>
      <c r="P170" s="26">
        <f t="shared" si="708"/>
        <v>0</v>
      </c>
      <c r="Q170" s="96"/>
      <c r="R170" s="26">
        <f t="shared" si="709"/>
        <v>0</v>
      </c>
      <c r="S170" s="96"/>
      <c r="T170" s="26">
        <f t="shared" si="710"/>
        <v>0</v>
      </c>
      <c r="U170" s="96"/>
      <c r="V170" s="26">
        <f t="shared" si="711"/>
        <v>0</v>
      </c>
      <c r="W170" s="96"/>
      <c r="X170" s="26">
        <f t="shared" si="712"/>
        <v>0</v>
      </c>
      <c r="Y170" s="96"/>
      <c r="Z170" s="26">
        <f t="shared" si="713"/>
        <v>0</v>
      </c>
      <c r="AA170" s="96"/>
      <c r="AB170" s="26">
        <f t="shared" si="714"/>
        <v>0</v>
      </c>
      <c r="AC170" s="96"/>
      <c r="AD170" s="26">
        <f t="shared" si="715"/>
        <v>0</v>
      </c>
      <c r="AE170" s="96"/>
      <c r="AF170" s="26">
        <f t="shared" si="716"/>
        <v>0</v>
      </c>
      <c r="AG170" s="96"/>
      <c r="AH170" s="26">
        <f t="shared" si="717"/>
        <v>0</v>
      </c>
      <c r="AI170" s="96"/>
      <c r="AJ170" s="26">
        <f t="shared" si="718"/>
        <v>0</v>
      </c>
      <c r="AK170" s="96"/>
    </row>
    <row r="171" spans="2:37" ht="13.5" customHeight="1">
      <c r="B171" s="16" t="str">
        <f t="shared" si="705"/>
        <v>Disposals/ Acquistion, of subsidiaries, businesses</v>
      </c>
      <c r="C171" s="26">
        <f t="shared" si="705"/>
        <v>-34.936</v>
      </c>
      <c r="D171" s="26">
        <f t="shared" si="705"/>
        <v>0</v>
      </c>
      <c r="E171" s="26">
        <f t="shared" si="705"/>
        <v>38.517000000000003</v>
      </c>
      <c r="F171" s="26">
        <f t="shared" si="705"/>
        <v>-1086.4770000000001</v>
      </c>
      <c r="G171" s="26">
        <f t="shared" si="705"/>
        <v>-25.106000000000002</v>
      </c>
      <c r="H171" s="26">
        <f t="shared" si="705"/>
        <v>83.15</v>
      </c>
      <c r="I171" s="26">
        <f t="shared" si="705"/>
        <v>-3.7839999999999998</v>
      </c>
      <c r="J171" s="26">
        <f t="shared" ref="J171" si="725">J67</f>
        <v>-12.117000000000001</v>
      </c>
      <c r="K171" s="96"/>
      <c r="L171" s="147"/>
      <c r="M171" s="96"/>
      <c r="N171" s="26">
        <f t="shared" si="707"/>
        <v>0</v>
      </c>
      <c r="O171" s="96"/>
      <c r="P171" s="26">
        <f t="shared" si="708"/>
        <v>38.517000000000003</v>
      </c>
      <c r="Q171" s="96"/>
      <c r="R171" s="26">
        <f t="shared" si="709"/>
        <v>0</v>
      </c>
      <c r="S171" s="96"/>
      <c r="T171" s="26">
        <f t="shared" si="710"/>
        <v>-1086.4770000000001</v>
      </c>
      <c r="U171" s="96"/>
      <c r="V171" s="26">
        <f t="shared" si="711"/>
        <v>0</v>
      </c>
      <c r="W171" s="96"/>
      <c r="X171" s="26">
        <f t="shared" si="712"/>
        <v>-25.106000000000002</v>
      </c>
      <c r="Y171" s="96"/>
      <c r="Z171" s="26">
        <f t="shared" si="713"/>
        <v>0</v>
      </c>
      <c r="AA171" s="96"/>
      <c r="AB171" s="26">
        <f t="shared" si="714"/>
        <v>83.15</v>
      </c>
      <c r="AC171" s="96"/>
      <c r="AD171" s="26">
        <f t="shared" si="715"/>
        <v>0</v>
      </c>
      <c r="AE171" s="96"/>
      <c r="AF171" s="26">
        <f t="shared" si="716"/>
        <v>-3.7839999999999998</v>
      </c>
      <c r="AG171" s="96"/>
      <c r="AH171" s="26">
        <f t="shared" si="717"/>
        <v>0</v>
      </c>
      <c r="AI171" s="96"/>
      <c r="AJ171" s="26">
        <f t="shared" si="718"/>
        <v>-12.117000000000001</v>
      </c>
      <c r="AK171" s="96"/>
    </row>
    <row r="172" spans="2:37" s="19" customFormat="1" ht="13.5" customHeight="1" thickBot="1">
      <c r="B172" s="24" t="str">
        <f t="shared" si="705"/>
        <v xml:space="preserve">Free cash flow </v>
      </c>
      <c r="C172" s="23">
        <f t="shared" si="705"/>
        <v>-3685.771000000017</v>
      </c>
      <c r="D172" s="23">
        <f t="shared" si="705"/>
        <v>12736.401999999995</v>
      </c>
      <c r="E172" s="23">
        <f t="shared" si="705"/>
        <v>14832.422999999993</v>
      </c>
      <c r="F172" s="23">
        <f t="shared" si="705"/>
        <v>-1071.5590000000095</v>
      </c>
      <c r="G172" s="23">
        <f t="shared" si="705"/>
        <v>-25340.359999999997</v>
      </c>
      <c r="H172" s="23">
        <f t="shared" si="705"/>
        <v>4335.5749999999834</v>
      </c>
      <c r="I172" s="23">
        <f t="shared" si="705"/>
        <v>71531.444999999963</v>
      </c>
      <c r="J172" s="23">
        <f t="shared" ref="J172" si="726">J68</f>
        <v>24560.418999999943</v>
      </c>
      <c r="K172" s="97"/>
      <c r="L172" s="25"/>
      <c r="M172" s="97"/>
      <c r="N172" s="23">
        <f t="shared" si="707"/>
        <v>5838.981000000007</v>
      </c>
      <c r="O172" s="97"/>
      <c r="P172" s="23">
        <f t="shared" si="708"/>
        <v>8993.4419999999864</v>
      </c>
      <c r="Q172" s="97"/>
      <c r="R172" s="23">
        <f t="shared" si="709"/>
        <v>16915.217000000001</v>
      </c>
      <c r="S172" s="97"/>
      <c r="T172" s="23">
        <f t="shared" si="710"/>
        <v>-17986.776000000009</v>
      </c>
      <c r="U172" s="97"/>
      <c r="V172" s="23">
        <f t="shared" si="711"/>
        <v>-2426.353000000011</v>
      </c>
      <c r="W172" s="97"/>
      <c r="X172" s="23">
        <f t="shared" si="712"/>
        <v>-22914.006999999987</v>
      </c>
      <c r="Y172" s="97"/>
      <c r="Z172" s="23">
        <f t="shared" si="713"/>
        <v>6639.8429999999935</v>
      </c>
      <c r="AA172" s="97"/>
      <c r="AB172" s="23">
        <f t="shared" si="714"/>
        <v>-2304.2680000000078</v>
      </c>
      <c r="AC172" s="97"/>
      <c r="AD172" s="23">
        <f t="shared" si="715"/>
        <v>7524.5809999999947</v>
      </c>
      <c r="AE172" s="97"/>
      <c r="AF172" s="23">
        <f t="shared" si="716"/>
        <v>64006.863999999965</v>
      </c>
      <c r="AG172" s="97"/>
      <c r="AH172" s="23">
        <f t="shared" si="717"/>
        <v>20934.682000000004</v>
      </c>
      <c r="AI172" s="97"/>
      <c r="AJ172" s="23">
        <f t="shared" si="718"/>
        <v>3625.7369999999601</v>
      </c>
      <c r="AK172" s="97"/>
    </row>
    <row r="173" spans="2:37" s="19" customFormat="1" ht="13.5" customHeight="1" thickTop="1">
      <c r="B173" s="16" t="str">
        <f t="shared" si="705"/>
        <v xml:space="preserve">Other Investing </v>
      </c>
      <c r="C173" s="26">
        <f t="shared" si="705"/>
        <v>-7236.8820000000005</v>
      </c>
      <c r="D173" s="26">
        <f t="shared" si="705"/>
        <v>-28232.707999999999</v>
      </c>
      <c r="E173" s="26">
        <f t="shared" si="705"/>
        <v>-14754.933999999999</v>
      </c>
      <c r="F173" s="26">
        <f t="shared" si="705"/>
        <v>-36787.520000000004</v>
      </c>
      <c r="G173" s="26">
        <f t="shared" si="705"/>
        <v>21356.114999999998</v>
      </c>
      <c r="H173" s="26">
        <f t="shared" si="705"/>
        <v>-29056.136999999999</v>
      </c>
      <c r="I173" s="26">
        <f t="shared" si="705"/>
        <v>-28443.788000000004</v>
      </c>
      <c r="J173" s="26">
        <f t="shared" ref="J173" si="727">J69</f>
        <v>-58910.230999999985</v>
      </c>
      <c r="K173" s="96"/>
      <c r="L173" s="147"/>
      <c r="M173" s="96"/>
      <c r="N173" s="26">
        <f t="shared" si="707"/>
        <v>-3086.8900000000003</v>
      </c>
      <c r="O173" s="96"/>
      <c r="P173" s="26">
        <f t="shared" si="708"/>
        <v>-11668.043999999998</v>
      </c>
      <c r="Q173" s="96"/>
      <c r="R173" s="26">
        <f t="shared" si="709"/>
        <v>-30165.715</v>
      </c>
      <c r="S173" s="96"/>
      <c r="T173" s="26">
        <f t="shared" si="710"/>
        <v>-6621.8050000000039</v>
      </c>
      <c r="U173" s="96"/>
      <c r="V173" s="26">
        <f t="shared" si="711"/>
        <v>10330.030000000001</v>
      </c>
      <c r="W173" s="96"/>
      <c r="X173" s="26">
        <f t="shared" si="712"/>
        <v>11026.084999999997</v>
      </c>
      <c r="Y173" s="96"/>
      <c r="Z173" s="26">
        <f t="shared" si="713"/>
        <v>-10831.172</v>
      </c>
      <c r="AA173" s="96"/>
      <c r="AB173" s="26">
        <f t="shared" si="714"/>
        <v>-18224.964999999997</v>
      </c>
      <c r="AC173" s="96"/>
      <c r="AD173" s="26">
        <f t="shared" si="715"/>
        <v>4722.6750000000002</v>
      </c>
      <c r="AE173" s="96"/>
      <c r="AF173" s="26">
        <f t="shared" si="716"/>
        <v>-33166.463000000003</v>
      </c>
      <c r="AG173" s="96"/>
      <c r="AH173" s="26">
        <f t="shared" si="717"/>
        <v>-55050.333000000006</v>
      </c>
      <c r="AI173" s="96"/>
      <c r="AJ173" s="26">
        <f t="shared" si="718"/>
        <v>-3859.8979999999792</v>
      </c>
      <c r="AK173" s="96"/>
    </row>
    <row r="174" spans="2:37" ht="13.5" customHeight="1">
      <c r="B174" s="16" t="str">
        <f t="shared" ref="B174:I181" si="728">B70</f>
        <v>Equity Issuance</v>
      </c>
      <c r="C174" s="26">
        <f t="shared" si="728"/>
        <v>0</v>
      </c>
      <c r="D174" s="26">
        <f t="shared" si="728"/>
        <v>186.83799999999999</v>
      </c>
      <c r="E174" s="26">
        <f t="shared" si="728"/>
        <v>20162.412</v>
      </c>
      <c r="F174" s="26">
        <f t="shared" si="728"/>
        <v>83.013999999999996</v>
      </c>
      <c r="G174" s="26">
        <f t="shared" si="728"/>
        <v>83.924999999999997</v>
      </c>
      <c r="H174" s="26">
        <f t="shared" si="728"/>
        <v>69.918999999999997</v>
      </c>
      <c r="I174" s="26">
        <f t="shared" si="728"/>
        <v>83.88</v>
      </c>
      <c r="J174" s="26">
        <f t="shared" ref="J174" si="729">J70</f>
        <v>39396.925000000003</v>
      </c>
      <c r="K174" s="96"/>
      <c r="L174" s="147"/>
      <c r="M174" s="96"/>
      <c r="N174" s="26">
        <f t="shared" si="707"/>
        <v>0</v>
      </c>
      <c r="O174" s="96"/>
      <c r="P174" s="26">
        <f t="shared" si="708"/>
        <v>20162.412</v>
      </c>
      <c r="Q174" s="96"/>
      <c r="R174" s="26">
        <f t="shared" si="709"/>
        <v>0</v>
      </c>
      <c r="S174" s="96"/>
      <c r="T174" s="26">
        <f t="shared" si="710"/>
        <v>83.013999999999996</v>
      </c>
      <c r="U174" s="96"/>
      <c r="V174" s="26">
        <f t="shared" si="711"/>
        <v>0</v>
      </c>
      <c r="W174" s="96"/>
      <c r="X174" s="26">
        <f t="shared" si="712"/>
        <v>83.924999999999997</v>
      </c>
      <c r="Y174" s="96"/>
      <c r="Z174" s="26">
        <f t="shared" si="713"/>
        <v>0</v>
      </c>
      <c r="AA174" s="96"/>
      <c r="AB174" s="26">
        <f t="shared" si="714"/>
        <v>69.918999999999997</v>
      </c>
      <c r="AC174" s="96"/>
      <c r="AD174" s="26">
        <f t="shared" si="715"/>
        <v>0</v>
      </c>
      <c r="AE174" s="96"/>
      <c r="AF174" s="26">
        <f t="shared" si="716"/>
        <v>83.88</v>
      </c>
      <c r="AG174" s="96"/>
      <c r="AH174" s="26">
        <f t="shared" si="717"/>
        <v>39225.991000000002</v>
      </c>
      <c r="AI174" s="96"/>
      <c r="AJ174" s="26">
        <f t="shared" si="718"/>
        <v>170.93400000000111</v>
      </c>
      <c r="AK174" s="96"/>
    </row>
    <row r="175" spans="2:37" ht="13.5" customHeight="1">
      <c r="B175" s="16" t="str">
        <f t="shared" si="728"/>
        <v>Dividends</v>
      </c>
      <c r="C175" s="26">
        <f t="shared" si="728"/>
        <v>0</v>
      </c>
      <c r="D175" s="26">
        <f t="shared" si="728"/>
        <v>0</v>
      </c>
      <c r="E175" s="26">
        <f t="shared" si="728"/>
        <v>0</v>
      </c>
      <c r="F175" s="26">
        <f t="shared" si="728"/>
        <v>0</v>
      </c>
      <c r="G175" s="26">
        <f t="shared" si="728"/>
        <v>0</v>
      </c>
      <c r="H175" s="26">
        <f t="shared" si="728"/>
        <v>0</v>
      </c>
      <c r="I175" s="26">
        <f t="shared" si="728"/>
        <v>-23.286000000000001</v>
      </c>
      <c r="J175" s="26">
        <f t="shared" ref="J175" si="730">J71</f>
        <v>-1.964</v>
      </c>
      <c r="K175" s="96"/>
      <c r="L175" s="147"/>
      <c r="M175" s="96"/>
      <c r="N175" s="26">
        <f t="shared" si="707"/>
        <v>0</v>
      </c>
      <c r="O175" s="96"/>
      <c r="P175" s="26">
        <f t="shared" si="708"/>
        <v>0</v>
      </c>
      <c r="Q175" s="96"/>
      <c r="R175" s="26">
        <f t="shared" si="709"/>
        <v>0</v>
      </c>
      <c r="S175" s="96"/>
      <c r="T175" s="26">
        <f t="shared" si="710"/>
        <v>0</v>
      </c>
      <c r="U175" s="96"/>
      <c r="V175" s="26">
        <f t="shared" si="711"/>
        <v>0</v>
      </c>
      <c r="W175" s="96"/>
      <c r="X175" s="26">
        <f t="shared" si="712"/>
        <v>0</v>
      </c>
      <c r="Y175" s="96"/>
      <c r="Z175" s="26">
        <f t="shared" si="713"/>
        <v>0</v>
      </c>
      <c r="AA175" s="96"/>
      <c r="AB175" s="26">
        <f t="shared" si="714"/>
        <v>0</v>
      </c>
      <c r="AC175" s="96"/>
      <c r="AD175" s="26">
        <f t="shared" si="715"/>
        <v>0</v>
      </c>
      <c r="AE175" s="96"/>
      <c r="AF175" s="26">
        <f t="shared" si="716"/>
        <v>-23.286000000000001</v>
      </c>
      <c r="AG175" s="96"/>
      <c r="AH175" s="26">
        <f t="shared" si="717"/>
        <v>0</v>
      </c>
      <c r="AI175" s="96"/>
      <c r="AJ175" s="26">
        <f t="shared" si="718"/>
        <v>-1.964</v>
      </c>
      <c r="AK175" s="96"/>
    </row>
    <row r="176" spans="2:37" ht="13.5" customHeight="1">
      <c r="B176" s="16" t="str">
        <f t="shared" si="728"/>
        <v>Net Change in debt</v>
      </c>
      <c r="C176" s="26">
        <f t="shared" si="728"/>
        <v>-236.22199999999975</v>
      </c>
      <c r="D176" s="26">
        <f t="shared" si="728"/>
        <v>6619.2989999999991</v>
      </c>
      <c r="E176" s="26">
        <f t="shared" si="728"/>
        <v>-2004.2070000000022</v>
      </c>
      <c r="F176" s="26">
        <f t="shared" si="728"/>
        <v>9227.3420000000006</v>
      </c>
      <c r="G176" s="26">
        <f t="shared" si="728"/>
        <v>-2791.3379999999997</v>
      </c>
      <c r="H176" s="26">
        <f t="shared" si="728"/>
        <v>4843.665</v>
      </c>
      <c r="I176" s="26">
        <f t="shared" si="728"/>
        <v>4256.0540000000001</v>
      </c>
      <c r="J176" s="26">
        <f t="shared" ref="J176" si="731">J72</f>
        <v>2394.835</v>
      </c>
      <c r="K176" s="96"/>
      <c r="L176" s="147"/>
      <c r="M176" s="96"/>
      <c r="N176" s="26">
        <f t="shared" si="707"/>
        <v>5336.9889999999996</v>
      </c>
      <c r="O176" s="96"/>
      <c r="P176" s="26">
        <f t="shared" si="708"/>
        <v>-7341.1960000000017</v>
      </c>
      <c r="Q176" s="96"/>
      <c r="R176" s="26">
        <f t="shared" si="709"/>
        <v>2012.5500000000002</v>
      </c>
      <c r="S176" s="96"/>
      <c r="T176" s="26">
        <f t="shared" si="710"/>
        <v>7214.7920000000004</v>
      </c>
      <c r="U176" s="96"/>
      <c r="V176" s="26">
        <f t="shared" si="711"/>
        <v>5223.0110000000004</v>
      </c>
      <c r="W176" s="96"/>
      <c r="X176" s="26">
        <f t="shared" si="712"/>
        <v>-8014.3490000000002</v>
      </c>
      <c r="Y176" s="96"/>
      <c r="Z176" s="26">
        <f t="shared" si="713"/>
        <v>-503.37000000000012</v>
      </c>
      <c r="AA176" s="96"/>
      <c r="AB176" s="26">
        <f t="shared" si="714"/>
        <v>5347.0349999999999</v>
      </c>
      <c r="AC176" s="96"/>
      <c r="AD176" s="26">
        <f t="shared" si="715"/>
        <v>4677.402</v>
      </c>
      <c r="AE176" s="96"/>
      <c r="AF176" s="26">
        <f t="shared" si="716"/>
        <v>-421.34799999999996</v>
      </c>
      <c r="AG176" s="96"/>
      <c r="AH176" s="26">
        <f t="shared" si="717"/>
        <v>-2453.4070000000002</v>
      </c>
      <c r="AI176" s="96"/>
      <c r="AJ176" s="26">
        <f t="shared" si="718"/>
        <v>4848.2420000000002</v>
      </c>
      <c r="AK176" s="96"/>
    </row>
    <row r="177" spans="2:37" ht="13.5" customHeight="1">
      <c r="B177" s="16" t="str">
        <f t="shared" si="728"/>
        <v>Other financing activities</v>
      </c>
      <c r="C177" s="26">
        <f t="shared" si="728"/>
        <v>27054.36</v>
      </c>
      <c r="D177" s="26">
        <f t="shared" si="728"/>
        <v>-3465.9049999999993</v>
      </c>
      <c r="E177" s="26">
        <f t="shared" si="728"/>
        <v>8557.0740000000005</v>
      </c>
      <c r="F177" s="26">
        <f t="shared" si="728"/>
        <v>-4151.6830000000009</v>
      </c>
      <c r="G177" s="26">
        <f t="shared" si="728"/>
        <v>-4127.1570000000002</v>
      </c>
      <c r="H177" s="26">
        <f t="shared" si="728"/>
        <v>-4660.4189999999999</v>
      </c>
      <c r="I177" s="26">
        <f t="shared" si="728"/>
        <v>-7598.4009999999998</v>
      </c>
      <c r="J177" s="26">
        <f t="shared" ref="J177" si="732">J73</f>
        <v>-10249.172</v>
      </c>
      <c r="K177" s="96"/>
      <c r="L177" s="147"/>
      <c r="M177" s="96"/>
      <c r="N177" s="26">
        <f t="shared" si="707"/>
        <v>-379.60899999999981</v>
      </c>
      <c r="O177" s="96"/>
      <c r="P177" s="26">
        <f t="shared" si="708"/>
        <v>8936.6830000000009</v>
      </c>
      <c r="Q177" s="96"/>
      <c r="R177" s="26">
        <f t="shared" si="709"/>
        <v>-659.6260000000002</v>
      </c>
      <c r="S177" s="96"/>
      <c r="T177" s="26">
        <f t="shared" si="710"/>
        <v>-3492.0570000000007</v>
      </c>
      <c r="U177" s="96"/>
      <c r="V177" s="26">
        <f t="shared" si="711"/>
        <v>-1131.0430000000006</v>
      </c>
      <c r="W177" s="96"/>
      <c r="X177" s="26">
        <f t="shared" si="712"/>
        <v>-2996.1139999999996</v>
      </c>
      <c r="Y177" s="96"/>
      <c r="Z177" s="26">
        <f t="shared" si="713"/>
        <v>3111.9219999999996</v>
      </c>
      <c r="AA177" s="96"/>
      <c r="AB177" s="26">
        <f t="shared" si="714"/>
        <v>-7772.3409999999994</v>
      </c>
      <c r="AC177" s="96"/>
      <c r="AD177" s="26">
        <f t="shared" si="715"/>
        <v>-3873.1669999999999</v>
      </c>
      <c r="AE177" s="96"/>
      <c r="AF177" s="26">
        <f t="shared" si="716"/>
        <v>-3725.2339999999999</v>
      </c>
      <c r="AG177" s="96"/>
      <c r="AH177" s="26">
        <f t="shared" si="717"/>
        <v>-1950.4600000000062</v>
      </c>
      <c r="AI177" s="96"/>
      <c r="AJ177" s="26">
        <f t="shared" si="718"/>
        <v>-8298.7119999999941</v>
      </c>
      <c r="AK177" s="96"/>
    </row>
    <row r="178" spans="2:37" s="19" customFormat="1" ht="13.5" customHeight="1" thickBot="1">
      <c r="B178" s="24" t="str">
        <f t="shared" si="728"/>
        <v>Cash flow after financing activities</v>
      </c>
      <c r="C178" s="23">
        <f t="shared" si="728"/>
        <v>15895.484999999984</v>
      </c>
      <c r="D178" s="23">
        <f t="shared" si="728"/>
        <v>-12156.074000000004</v>
      </c>
      <c r="E178" s="23">
        <f t="shared" si="728"/>
        <v>26792.767999999993</v>
      </c>
      <c r="F178" s="23">
        <f t="shared" si="728"/>
        <v>-32700.40600000001</v>
      </c>
      <c r="G178" s="23">
        <f t="shared" si="728"/>
        <v>-10818.814999999999</v>
      </c>
      <c r="H178" s="23">
        <f t="shared" si="728"/>
        <v>-24467.397000000012</v>
      </c>
      <c r="I178" s="23">
        <f t="shared" si="728"/>
        <v>39805.903999999966</v>
      </c>
      <c r="J178" s="23">
        <f t="shared" ref="J178" si="733">J74</f>
        <v>-2809.1880000000392</v>
      </c>
      <c r="K178" s="97"/>
      <c r="L178" s="25"/>
      <c r="M178" s="97"/>
      <c r="N178" s="23">
        <f t="shared" si="707"/>
        <v>7709.4710000000068</v>
      </c>
      <c r="O178" s="97"/>
      <c r="P178" s="23">
        <f t="shared" si="708"/>
        <v>19083.296999999991</v>
      </c>
      <c r="Q178" s="97"/>
      <c r="R178" s="23">
        <f t="shared" si="709"/>
        <v>-11897.574000000001</v>
      </c>
      <c r="S178" s="97"/>
      <c r="T178" s="23">
        <f t="shared" si="710"/>
        <v>-20802.832000000013</v>
      </c>
      <c r="U178" s="97"/>
      <c r="V178" s="23">
        <f t="shared" si="711"/>
        <v>11995.64499999999</v>
      </c>
      <c r="W178" s="97"/>
      <c r="X178" s="23">
        <f t="shared" si="712"/>
        <v>-22814.459999999992</v>
      </c>
      <c r="Y178" s="97"/>
      <c r="Z178" s="23">
        <f t="shared" si="713"/>
        <v>-1582.7770000000073</v>
      </c>
      <c r="AA178" s="97"/>
      <c r="AB178" s="23">
        <f t="shared" si="714"/>
        <v>-22884.620000000003</v>
      </c>
      <c r="AC178" s="97"/>
      <c r="AD178" s="23">
        <f t="shared" si="715"/>
        <v>13051.490999999996</v>
      </c>
      <c r="AE178" s="97"/>
      <c r="AF178" s="23">
        <f t="shared" si="716"/>
        <v>26754.41299999996</v>
      </c>
      <c r="AG178" s="97"/>
      <c r="AH178" s="23">
        <f t="shared" si="717"/>
        <v>706.47299999999746</v>
      </c>
      <c r="AI178" s="97"/>
      <c r="AJ178" s="23">
        <f t="shared" si="718"/>
        <v>-3515.6610000000119</v>
      </c>
      <c r="AK178" s="97"/>
    </row>
    <row r="179" spans="2:37" s="19" customFormat="1" ht="13.5" customHeight="1" thickTop="1">
      <c r="B179" s="16" t="str">
        <f t="shared" si="728"/>
        <v>Balancing figure</v>
      </c>
      <c r="C179" s="26">
        <f t="shared" si="728"/>
        <v>1756.0760000000173</v>
      </c>
      <c r="D179" s="26">
        <f t="shared" si="728"/>
        <v>7517.5300000000043</v>
      </c>
      <c r="E179" s="26">
        <f t="shared" si="728"/>
        <v>3622.4480000000076</v>
      </c>
      <c r="F179" s="26">
        <f t="shared" si="728"/>
        <v>1976.4350000000086</v>
      </c>
      <c r="G179" s="26">
        <f t="shared" si="728"/>
        <v>14123.058999999999</v>
      </c>
      <c r="H179" s="26">
        <f t="shared" si="728"/>
        <v>30093.866000000013</v>
      </c>
      <c r="I179" s="26">
        <f t="shared" si="728"/>
        <v>-39895.771999999968</v>
      </c>
      <c r="J179" s="26">
        <f t="shared" ref="J179" si="734">J75</f>
        <v>-3961.2979999999607</v>
      </c>
      <c r="K179" s="96"/>
      <c r="L179" s="147"/>
      <c r="M179" s="96"/>
      <c r="N179" s="26">
        <f t="shared" si="707"/>
        <v>-11054.104000000007</v>
      </c>
      <c r="O179" s="96"/>
      <c r="P179" s="26">
        <f t="shared" si="708"/>
        <v>14676.552000000014</v>
      </c>
      <c r="Q179" s="96"/>
      <c r="R179" s="26">
        <f t="shared" si="709"/>
        <v>-10735.341</v>
      </c>
      <c r="S179" s="96"/>
      <c r="T179" s="26">
        <f t="shared" si="710"/>
        <v>12711.776000000009</v>
      </c>
      <c r="U179" s="96"/>
      <c r="V179" s="26">
        <f t="shared" si="711"/>
        <v>-7765.9349999999895</v>
      </c>
      <c r="W179" s="96"/>
      <c r="X179" s="26">
        <f t="shared" si="712"/>
        <v>21888.993999999988</v>
      </c>
      <c r="Y179" s="96"/>
      <c r="Z179" s="26">
        <f t="shared" si="713"/>
        <v>4965.8950000000077</v>
      </c>
      <c r="AA179" s="96"/>
      <c r="AB179" s="26">
        <f t="shared" si="714"/>
        <v>25127.971000000005</v>
      </c>
      <c r="AC179" s="96"/>
      <c r="AD179" s="26">
        <f t="shared" si="715"/>
        <v>-7356.5379999999959</v>
      </c>
      <c r="AE179" s="96"/>
      <c r="AF179" s="26">
        <f t="shared" si="716"/>
        <v>-32539.233999999971</v>
      </c>
      <c r="AG179" s="96"/>
      <c r="AH179" s="26">
        <f t="shared" si="717"/>
        <v>1653.9320000000027</v>
      </c>
      <c r="AI179" s="96"/>
      <c r="AJ179" s="26">
        <f t="shared" si="718"/>
        <v>-5615.2299999999632</v>
      </c>
      <c r="AK179" s="96"/>
    </row>
    <row r="180" spans="2:37" ht="13.5" customHeight="1">
      <c r="B180" s="16" t="str">
        <f t="shared" si="728"/>
        <v xml:space="preserve">FX </v>
      </c>
      <c r="C180" s="26">
        <f t="shared" si="728"/>
        <v>1015.304</v>
      </c>
      <c r="D180" s="26">
        <f t="shared" si="728"/>
        <v>328.25799999999998</v>
      </c>
      <c r="E180" s="26">
        <f t="shared" si="728"/>
        <v>-1582.634</v>
      </c>
      <c r="F180" s="26">
        <f t="shared" si="728"/>
        <v>-516.89300000000003</v>
      </c>
      <c r="G180" s="26">
        <f t="shared" si="728"/>
        <v>791.43799999999999</v>
      </c>
      <c r="H180" s="26">
        <f t="shared" si="728"/>
        <v>397.58300000000003</v>
      </c>
      <c r="I180" s="26">
        <f t="shared" si="728"/>
        <v>119.997</v>
      </c>
      <c r="J180" s="26">
        <f t="shared" ref="J180" si="735">J76</f>
        <v>23.420999999999999</v>
      </c>
      <c r="K180" s="96"/>
      <c r="L180" s="147"/>
      <c r="M180" s="96"/>
      <c r="N180" s="26">
        <f t="shared" si="707"/>
        <v>268.08800000000002</v>
      </c>
      <c r="O180" s="96"/>
      <c r="P180" s="26">
        <f t="shared" si="708"/>
        <v>-1850.722</v>
      </c>
      <c r="Q180" s="96"/>
      <c r="R180" s="26">
        <f t="shared" si="709"/>
        <v>-238.488</v>
      </c>
      <c r="S180" s="96"/>
      <c r="T180" s="26">
        <f t="shared" si="710"/>
        <v>-278.40500000000003</v>
      </c>
      <c r="U180" s="96"/>
      <c r="V180" s="26">
        <f t="shared" si="711"/>
        <v>441.81200000000001</v>
      </c>
      <c r="W180" s="96"/>
      <c r="X180" s="26">
        <f t="shared" si="712"/>
        <v>349.62599999999998</v>
      </c>
      <c r="Y180" s="96"/>
      <c r="Z180" s="26">
        <f t="shared" si="713"/>
        <v>468.57299999999998</v>
      </c>
      <c r="AA180" s="96"/>
      <c r="AB180" s="26">
        <f t="shared" si="714"/>
        <v>-70.989999999999952</v>
      </c>
      <c r="AC180" s="96"/>
      <c r="AD180" s="26">
        <f t="shared" si="715"/>
        <v>9.5540000000000003</v>
      </c>
      <c r="AE180" s="96"/>
      <c r="AF180" s="26">
        <f t="shared" si="716"/>
        <v>110.443</v>
      </c>
      <c r="AG180" s="96"/>
      <c r="AH180" s="26">
        <f t="shared" si="717"/>
        <v>-13.817</v>
      </c>
      <c r="AI180" s="96"/>
      <c r="AJ180" s="26">
        <f t="shared" si="718"/>
        <v>37.238</v>
      </c>
      <c r="AK180" s="96"/>
    </row>
    <row r="181" spans="2:37" s="19" customFormat="1" ht="13.5" customHeight="1" thickBot="1">
      <c r="B181" s="24" t="str">
        <f t="shared" si="728"/>
        <v xml:space="preserve">Net change in cash </v>
      </c>
      <c r="C181" s="23">
        <f t="shared" si="728"/>
        <v>18666.865000000002</v>
      </c>
      <c r="D181" s="23">
        <f t="shared" si="728"/>
        <v>-4310.2860000000001</v>
      </c>
      <c r="E181" s="23">
        <f t="shared" si="728"/>
        <v>28832.582000000002</v>
      </c>
      <c r="F181" s="23">
        <f t="shared" si="728"/>
        <v>-31240.864000000001</v>
      </c>
      <c r="G181" s="23">
        <f t="shared" si="728"/>
        <v>4095.6820000000007</v>
      </c>
      <c r="H181" s="23">
        <f t="shared" si="728"/>
        <v>6024.0520000000006</v>
      </c>
      <c r="I181" s="23">
        <f t="shared" si="728"/>
        <v>30.128999999997788</v>
      </c>
      <c r="J181" s="23">
        <f t="shared" ref="J181" si="736">J77</f>
        <v>-6747.0649999999996</v>
      </c>
      <c r="K181" s="97"/>
      <c r="L181" s="25"/>
      <c r="M181" s="97"/>
      <c r="N181" s="23">
        <f t="shared" si="707"/>
        <v>-3076.5449999999996</v>
      </c>
      <c r="O181" s="97"/>
      <c r="P181" s="23">
        <f t="shared" si="708"/>
        <v>31909.127</v>
      </c>
      <c r="Q181" s="97"/>
      <c r="R181" s="23">
        <f t="shared" si="709"/>
        <v>-22871.403000000002</v>
      </c>
      <c r="S181" s="97"/>
      <c r="T181" s="23">
        <f t="shared" si="710"/>
        <v>-8369.4610000000048</v>
      </c>
      <c r="U181" s="97"/>
      <c r="V181" s="23">
        <f t="shared" si="711"/>
        <v>4671.5219999999999</v>
      </c>
      <c r="W181" s="97"/>
      <c r="X181" s="23">
        <f t="shared" si="712"/>
        <v>-575.84000000000401</v>
      </c>
      <c r="Y181" s="97"/>
      <c r="Z181" s="23">
        <f t="shared" si="713"/>
        <v>3851.6910000000003</v>
      </c>
      <c r="AA181" s="97"/>
      <c r="AB181" s="23">
        <f t="shared" si="714"/>
        <v>2172.3610000000026</v>
      </c>
      <c r="AC181" s="97"/>
      <c r="AD181" s="23">
        <f t="shared" si="715"/>
        <v>5704.5070000000005</v>
      </c>
      <c r="AE181" s="97"/>
      <c r="AF181" s="23">
        <f t="shared" si="716"/>
        <v>-5674.3780000000106</v>
      </c>
      <c r="AG181" s="97"/>
      <c r="AH181" s="23">
        <f t="shared" si="717"/>
        <v>2346.5880000000002</v>
      </c>
      <c r="AI181" s="97"/>
      <c r="AJ181" s="23">
        <f t="shared" si="718"/>
        <v>-9093.6529999999748</v>
      </c>
      <c r="AK181" s="97"/>
    </row>
    <row r="182" spans="2:37" ht="13.5" customHeight="1" thickTop="1"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</row>
    <row r="183" spans="2:37" s="19" customFormat="1" ht="13.5" customHeight="1">
      <c r="B183" s="19" t="str">
        <f>+B119</f>
        <v>Total debt</v>
      </c>
      <c r="C183" s="25">
        <f t="shared" ref="C183:E185" si="737">C119</f>
        <v>11790.17</v>
      </c>
      <c r="D183" s="25">
        <f t="shared" si="737"/>
        <v>18583.659</v>
      </c>
      <c r="E183" s="25">
        <f t="shared" si="737"/>
        <v>18476.621999999999</v>
      </c>
      <c r="F183" s="25">
        <f t="shared" ref="F183" si="738">F119</f>
        <v>29527.993999999999</v>
      </c>
      <c r="G183" s="25">
        <f t="shared" ref="G183" si="739">G119</f>
        <v>26056.129999999997</v>
      </c>
      <c r="H183" s="25">
        <f t="shared" ref="H183:I185" si="740">H119</f>
        <v>29825.510999999999</v>
      </c>
      <c r="I183" s="25">
        <f t="shared" si="740"/>
        <v>36011.374000000003</v>
      </c>
      <c r="J183" s="25">
        <f t="shared" ref="J183" si="741">J119</f>
        <v>41837.896000000001</v>
      </c>
      <c r="K183" s="25">
        <f>K119</f>
        <v>35367.237000000001</v>
      </c>
      <c r="L183" s="25"/>
      <c r="M183" s="25">
        <f t="shared" ref="M183:S184" si="742">M119</f>
        <v>16481.052</v>
      </c>
      <c r="N183" s="25">
        <f t="shared" si="742"/>
        <v>23404.576000000001</v>
      </c>
      <c r="O183" s="25">
        <f t="shared" si="742"/>
        <v>18568.858</v>
      </c>
      <c r="P183" s="25">
        <f t="shared" si="742"/>
        <v>18476.621999999999</v>
      </c>
      <c r="Q183" s="25">
        <f t="shared" si="742"/>
        <v>21004.884999999998</v>
      </c>
      <c r="R183" s="25">
        <f t="shared" si="742"/>
        <v>19313.728000000003</v>
      </c>
      <c r="S183" s="25">
        <f t="shared" si="742"/>
        <v>25898.35</v>
      </c>
      <c r="T183" s="25">
        <f t="shared" ref="T183:V183" si="743">T119</f>
        <v>29527.993999999999</v>
      </c>
      <c r="U183" s="25">
        <f t="shared" si="743"/>
        <v>29713.929</v>
      </c>
      <c r="V183" s="25">
        <f t="shared" si="743"/>
        <v>35529.409</v>
      </c>
      <c r="W183" s="25">
        <f t="shared" ref="W183:Z183" si="744">W119</f>
        <v>25761.699000000001</v>
      </c>
      <c r="X183" s="25">
        <f t="shared" si="744"/>
        <v>26056.129999999997</v>
      </c>
      <c r="Y183" s="25">
        <f t="shared" si="744"/>
        <v>22464.209000000003</v>
      </c>
      <c r="Z183" s="25">
        <f t="shared" si="744"/>
        <v>24944.483999999997</v>
      </c>
      <c r="AA183" s="25">
        <f t="shared" ref="AA183:AD183" si="745">AA119</f>
        <v>24835.18</v>
      </c>
      <c r="AB183" s="25">
        <f t="shared" si="745"/>
        <v>29825.510999999999</v>
      </c>
      <c r="AC183" s="25">
        <f t="shared" si="745"/>
        <v>27705.896999999997</v>
      </c>
      <c r="AD183" s="25">
        <f t="shared" si="745"/>
        <v>34348.644999999997</v>
      </c>
      <c r="AE183" s="25">
        <f t="shared" ref="AE183:AH183" si="746">AE119</f>
        <v>27360.147000000001</v>
      </c>
      <c r="AF183" s="25">
        <f t="shared" si="746"/>
        <v>36011.374000000003</v>
      </c>
      <c r="AG183" s="25">
        <f t="shared" si="746"/>
        <v>30944.685000000001</v>
      </c>
      <c r="AH183" s="25">
        <f t="shared" si="746"/>
        <v>28912.835999999999</v>
      </c>
      <c r="AI183" s="25">
        <f t="shared" ref="AI183:AK183" si="747">AI119</f>
        <v>27588.951000000001</v>
      </c>
      <c r="AJ183" s="25">
        <f t="shared" si="747"/>
        <v>41837.896000000001</v>
      </c>
      <c r="AK183" s="25">
        <f t="shared" si="747"/>
        <v>35367.237000000001</v>
      </c>
    </row>
    <row r="184" spans="2:37" ht="13.5" customHeight="1">
      <c r="B184" s="16" t="str">
        <f>+B120</f>
        <v>Cash and cash equivalents</v>
      </c>
      <c r="C184" s="22">
        <f t="shared" si="737"/>
        <v>38244.663999999997</v>
      </c>
      <c r="D184" s="22">
        <f t="shared" si="737"/>
        <v>63906.294000000002</v>
      </c>
      <c r="E184" s="22">
        <f t="shared" si="737"/>
        <v>95525.232000000004</v>
      </c>
      <c r="F184" s="22">
        <f t="shared" ref="F184" si="748">F120</f>
        <v>86173.34</v>
      </c>
      <c r="G184" s="22">
        <f t="shared" ref="G184" si="749">G120</f>
        <v>67776.986999999994</v>
      </c>
      <c r="H184" s="22">
        <f t="shared" si="740"/>
        <v>107707.77900000001</v>
      </c>
      <c r="I184" s="22">
        <f t="shared" si="740"/>
        <v>100516.715</v>
      </c>
      <c r="J184" s="22">
        <f t="shared" ref="J184" si="750">J120</f>
        <v>107696.58900000001</v>
      </c>
      <c r="K184" s="22">
        <f>K120</f>
        <v>98225.410999999993</v>
      </c>
      <c r="L184" s="22"/>
      <c r="M184" s="22">
        <f t="shared" si="742"/>
        <v>51207.018000000004</v>
      </c>
      <c r="N184" s="22">
        <f t="shared" si="742"/>
        <v>60343.444000000003</v>
      </c>
      <c r="O184" s="22">
        <f t="shared" si="742"/>
        <v>66715.383000000002</v>
      </c>
      <c r="P184" s="22">
        <f t="shared" si="742"/>
        <v>95525.232000000004</v>
      </c>
      <c r="Q184" s="22">
        <f t="shared" si="742"/>
        <v>94508.790000000008</v>
      </c>
      <c r="R184" s="22">
        <f t="shared" si="742"/>
        <v>93625.66</v>
      </c>
      <c r="S184" s="22">
        <f t="shared" si="742"/>
        <v>81883.358999999997</v>
      </c>
      <c r="T184" s="22">
        <f t="shared" ref="T184:V184" si="751">T120</f>
        <v>86173.34</v>
      </c>
      <c r="U184" s="22">
        <f t="shared" si="751"/>
        <v>76238.475999999995</v>
      </c>
      <c r="V184" s="22">
        <f t="shared" si="751"/>
        <v>74897.702000000005</v>
      </c>
      <c r="W184" s="22">
        <f t="shared" ref="W184:Z184" si="752">W120</f>
        <v>66463.451000000001</v>
      </c>
      <c r="X184" s="22">
        <f t="shared" si="752"/>
        <v>67776.986999999994</v>
      </c>
      <c r="Y184" s="22">
        <f t="shared" si="752"/>
        <v>71242.552000000011</v>
      </c>
      <c r="Z184" s="22">
        <f t="shared" si="752"/>
        <v>89269.992999999988</v>
      </c>
      <c r="AA184" s="22">
        <f t="shared" ref="AA184:AD184" si="753">AA120</f>
        <v>98683.185000000012</v>
      </c>
      <c r="AB184" s="22">
        <f t="shared" si="753"/>
        <v>107707.77900000001</v>
      </c>
      <c r="AC184" s="22">
        <f t="shared" si="753"/>
        <v>97528.815999999992</v>
      </c>
      <c r="AD184" s="22">
        <f t="shared" si="753"/>
        <v>97830.399000000005</v>
      </c>
      <c r="AE184" s="22">
        <f t="shared" ref="AE184:AH184" si="754">AE120</f>
        <v>99583.566999999995</v>
      </c>
      <c r="AF184" s="22">
        <f t="shared" si="754"/>
        <v>100516.715</v>
      </c>
      <c r="AG184" s="22">
        <f t="shared" si="754"/>
        <v>130237.139</v>
      </c>
      <c r="AH184" s="22">
        <f t="shared" si="754"/>
        <v>111934.955</v>
      </c>
      <c r="AI184" s="22">
        <f t="shared" ref="AI184:AK184" si="755">AI120</f>
        <v>110150.32</v>
      </c>
      <c r="AJ184" s="22">
        <f t="shared" si="755"/>
        <v>107696.58900000001</v>
      </c>
      <c r="AK184" s="22">
        <f t="shared" si="755"/>
        <v>98225.410999999993</v>
      </c>
    </row>
    <row r="185" spans="2:37" s="19" customFormat="1" ht="13.5" customHeight="1" thickBot="1">
      <c r="B185" s="24" t="str">
        <f>+B121</f>
        <v xml:space="preserve">Net debt </v>
      </c>
      <c r="C185" s="23">
        <f t="shared" si="737"/>
        <v>-26454.493999999999</v>
      </c>
      <c r="D185" s="23">
        <f t="shared" si="737"/>
        <v>-45322.635000000002</v>
      </c>
      <c r="E185" s="23">
        <f t="shared" si="737"/>
        <v>-77048.61</v>
      </c>
      <c r="F185" s="23">
        <f t="shared" ref="F185" si="756">F121</f>
        <v>-56645.345999999998</v>
      </c>
      <c r="G185" s="23">
        <f t="shared" ref="G185" si="757">G121</f>
        <v>-41720.856999999996</v>
      </c>
      <c r="H185" s="23">
        <f t="shared" si="740"/>
        <v>-77882.268000000011</v>
      </c>
      <c r="I185" s="23">
        <f t="shared" si="740"/>
        <v>-64505.340999999993</v>
      </c>
      <c r="J185" s="23">
        <f t="shared" ref="J185" si="758">J121</f>
        <v>-65858.692999999999</v>
      </c>
      <c r="K185" s="23">
        <f>K121</f>
        <v>-62858.173999999992</v>
      </c>
      <c r="L185" s="25"/>
      <c r="M185" s="23">
        <f t="shared" ref="M185:S185" si="759">M121</f>
        <v>-34725.966</v>
      </c>
      <c r="N185" s="23">
        <f t="shared" si="759"/>
        <v>-36938.868000000002</v>
      </c>
      <c r="O185" s="23">
        <f t="shared" si="759"/>
        <v>-48146.525000000001</v>
      </c>
      <c r="P185" s="23">
        <f t="shared" si="759"/>
        <v>-77048.61</v>
      </c>
      <c r="Q185" s="23">
        <f t="shared" si="759"/>
        <v>-73503.905000000013</v>
      </c>
      <c r="R185" s="23">
        <f t="shared" si="759"/>
        <v>-74311.932000000001</v>
      </c>
      <c r="S185" s="23">
        <f t="shared" si="759"/>
        <v>-55985.008999999998</v>
      </c>
      <c r="T185" s="23">
        <f t="shared" ref="T185:V185" si="760">T121</f>
        <v>-56645.345999999998</v>
      </c>
      <c r="U185" s="23">
        <f t="shared" si="760"/>
        <v>-46524.546999999991</v>
      </c>
      <c r="V185" s="23">
        <f t="shared" si="760"/>
        <v>-39368.293000000005</v>
      </c>
      <c r="W185" s="23">
        <f t="shared" ref="W185:Z185" si="761">W121</f>
        <v>-40701.752</v>
      </c>
      <c r="X185" s="23">
        <f t="shared" si="761"/>
        <v>-41720.856999999996</v>
      </c>
      <c r="Y185" s="23">
        <f t="shared" si="761"/>
        <v>-48778.343000000008</v>
      </c>
      <c r="Z185" s="23">
        <f t="shared" si="761"/>
        <v>-64325.508999999991</v>
      </c>
      <c r="AA185" s="23">
        <f t="shared" ref="AA185:AD185" si="762">AA121</f>
        <v>-73848.005000000005</v>
      </c>
      <c r="AB185" s="23">
        <f t="shared" si="762"/>
        <v>-77882.268000000011</v>
      </c>
      <c r="AC185" s="23">
        <f t="shared" si="762"/>
        <v>-69822.918999999994</v>
      </c>
      <c r="AD185" s="23">
        <f t="shared" si="762"/>
        <v>-63481.754000000008</v>
      </c>
      <c r="AE185" s="23">
        <f t="shared" ref="AE185:AH185" si="763">AE121</f>
        <v>-72223.42</v>
      </c>
      <c r="AF185" s="23">
        <f t="shared" si="763"/>
        <v>-64505.340999999993</v>
      </c>
      <c r="AG185" s="23">
        <f t="shared" si="763"/>
        <v>-99292.453999999998</v>
      </c>
      <c r="AH185" s="23">
        <f t="shared" si="763"/>
        <v>-83022.119000000006</v>
      </c>
      <c r="AI185" s="23">
        <f t="shared" ref="AI185:AK185" si="764">AI121</f>
        <v>-82561.369000000006</v>
      </c>
      <c r="AJ185" s="23">
        <f t="shared" si="764"/>
        <v>-65858.692999999999</v>
      </c>
      <c r="AK185" s="23">
        <f t="shared" si="764"/>
        <v>-62858.173999999992</v>
      </c>
    </row>
    <row r="186" spans="2:37" ht="13.5" customHeight="1" thickTop="1"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2:37" ht="13.5" customHeight="1">
      <c r="B187" s="19" t="str">
        <f t="shared" ref="B187:F187" si="765">B123</f>
        <v>Company reported net debt</v>
      </c>
      <c r="C187" s="41">
        <f t="shared" si="765"/>
        <v>-26454.493999999999</v>
      </c>
      <c r="D187" s="41">
        <f t="shared" si="765"/>
        <v>-45322.635000000002</v>
      </c>
      <c r="E187" s="41">
        <f t="shared" si="765"/>
        <v>-77048.61</v>
      </c>
      <c r="F187" s="41">
        <f t="shared" si="765"/>
        <v>-56645.345999999998</v>
      </c>
      <c r="G187" s="41">
        <f t="shared" ref="G187" si="766">G123</f>
        <v>-41720.856999999996</v>
      </c>
      <c r="H187" s="41">
        <f t="shared" ref="H187:I187" si="767">H123</f>
        <v>-77882.268000000011</v>
      </c>
      <c r="I187" s="41">
        <f t="shared" si="767"/>
        <v>-64505.340999999993</v>
      </c>
      <c r="J187" s="41">
        <f t="shared" ref="J187" si="768">J123</f>
        <v>-65858.692999999999</v>
      </c>
      <c r="K187" s="41">
        <f>K123</f>
        <v>-62858.173999999992</v>
      </c>
      <c r="L187" s="22"/>
      <c r="M187" s="41">
        <f t="shared" ref="M187:S187" si="769">M123</f>
        <v>-34725.966</v>
      </c>
      <c r="N187" s="41">
        <f t="shared" si="769"/>
        <v>-36938.868000000002</v>
      </c>
      <c r="O187" s="41">
        <f t="shared" si="769"/>
        <v>-48146.525000000001</v>
      </c>
      <c r="P187" s="41">
        <f t="shared" si="769"/>
        <v>-45322.635000000002</v>
      </c>
      <c r="Q187" s="41">
        <f t="shared" si="769"/>
        <v>-73503.905000000013</v>
      </c>
      <c r="R187" s="41">
        <f t="shared" si="769"/>
        <v>-74311.932000000001</v>
      </c>
      <c r="S187" s="41">
        <f t="shared" si="769"/>
        <v>-55985.008999999998</v>
      </c>
      <c r="T187" s="41">
        <f t="shared" ref="T187:V187" si="770">T123</f>
        <v>-56645.345999999998</v>
      </c>
      <c r="U187" s="41">
        <f t="shared" si="770"/>
        <v>-46524.546999999991</v>
      </c>
      <c r="V187" s="41">
        <f t="shared" si="770"/>
        <v>-39368.293000000005</v>
      </c>
      <c r="W187" s="41">
        <f t="shared" ref="W187:Z187" si="771">W123</f>
        <v>-40701.752</v>
      </c>
      <c r="X187" s="41">
        <f t="shared" si="771"/>
        <v>-41720.856999999996</v>
      </c>
      <c r="Y187" s="41">
        <f t="shared" si="771"/>
        <v>-48778.343000000008</v>
      </c>
      <c r="Z187" s="41">
        <f t="shared" si="771"/>
        <v>-64325.508999999991</v>
      </c>
      <c r="AA187" s="41">
        <f t="shared" ref="AA187:AD187" si="772">AA123</f>
        <v>-73848.005000000005</v>
      </c>
      <c r="AB187" s="41">
        <f t="shared" si="772"/>
        <v>-77882.268000000011</v>
      </c>
      <c r="AC187" s="41">
        <f t="shared" si="772"/>
        <v>-69822.918999999994</v>
      </c>
      <c r="AD187" s="41">
        <f t="shared" si="772"/>
        <v>-63481.754000000008</v>
      </c>
      <c r="AE187" s="41">
        <f t="shared" ref="AE187:AH187" si="773">AE123</f>
        <v>-72223.42</v>
      </c>
      <c r="AF187" s="41">
        <f t="shared" si="773"/>
        <v>-64505.340999999993</v>
      </c>
      <c r="AG187" s="41">
        <f t="shared" si="773"/>
        <v>-99292.453999999998</v>
      </c>
      <c r="AH187" s="41">
        <f t="shared" si="773"/>
        <v>-83022.119000000006</v>
      </c>
      <c r="AI187" s="41">
        <f t="shared" ref="AI187:AK187" si="774">AI123</f>
        <v>-82561.369000000006</v>
      </c>
      <c r="AJ187" s="41">
        <f t="shared" si="774"/>
        <v>-65858.692999999999</v>
      </c>
      <c r="AK187" s="41">
        <f t="shared" si="774"/>
        <v>-62858.173999999992</v>
      </c>
    </row>
    <row r="188" spans="2:37" ht="13.5" customHeight="1"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2:37" ht="13.5" customHeight="1">
      <c r="B189" s="19" t="str">
        <f>+B129</f>
        <v>Net Leverage excluding lease obligations</v>
      </c>
      <c r="C189" s="20" t="str">
        <f t="shared" ref="C189:E190" si="775">C129</f>
        <v>net cash</v>
      </c>
      <c r="D189" s="20" t="str">
        <f t="shared" si="775"/>
        <v>net cash</v>
      </c>
      <c r="E189" s="20" t="str">
        <f t="shared" si="775"/>
        <v>net cash</v>
      </c>
      <c r="F189" s="20" t="str">
        <f t="shared" ref="F189:G189" si="776">F129</f>
        <v>net cash</v>
      </c>
      <c r="G189" s="20" t="str">
        <f t="shared" si="776"/>
        <v>net cash</v>
      </c>
      <c r="H189" s="20" t="str">
        <f t="shared" ref="H189:I189" si="777">H129</f>
        <v>net cash</v>
      </c>
      <c r="I189" s="20" t="str">
        <f t="shared" si="777"/>
        <v>net cash</v>
      </c>
      <c r="J189" s="20" t="str">
        <f t="shared" ref="J189" si="778">J129</f>
        <v>net cash</v>
      </c>
      <c r="K189" s="20" t="str">
        <f>K129</f>
        <v>net cash</v>
      </c>
      <c r="L189" s="20"/>
      <c r="M189" s="98"/>
      <c r="N189" s="98"/>
      <c r="O189" s="98"/>
      <c r="P189" s="20" t="str">
        <f t="shared" ref="P189:S190" si="779">P129</f>
        <v>net cash</v>
      </c>
      <c r="Q189" s="20" t="str">
        <f t="shared" si="779"/>
        <v>net cash</v>
      </c>
      <c r="R189" s="20" t="str">
        <f t="shared" si="779"/>
        <v>net cash</v>
      </c>
      <c r="S189" s="20" t="str">
        <f t="shared" si="779"/>
        <v>net cash</v>
      </c>
      <c r="T189" s="20" t="str">
        <f t="shared" ref="T189:V189" si="780">T129</f>
        <v>net cash</v>
      </c>
      <c r="U189" s="20" t="str">
        <f t="shared" si="780"/>
        <v>net cash</v>
      </c>
      <c r="V189" s="20" t="str">
        <f t="shared" si="780"/>
        <v>net cash</v>
      </c>
      <c r="W189" s="20" t="str">
        <f t="shared" ref="W189:Z189" si="781">W129</f>
        <v>net cash</v>
      </c>
      <c r="X189" s="20" t="str">
        <f t="shared" si="781"/>
        <v>net cash</v>
      </c>
      <c r="Y189" s="20" t="str">
        <f t="shared" si="781"/>
        <v>net cash</v>
      </c>
      <c r="Z189" s="20" t="str">
        <f t="shared" si="781"/>
        <v>net cash</v>
      </c>
      <c r="AA189" s="20" t="str">
        <f t="shared" ref="AA189:AD189" si="782">AA129</f>
        <v>net cash</v>
      </c>
      <c r="AB189" s="20" t="str">
        <f t="shared" si="782"/>
        <v>net cash</v>
      </c>
      <c r="AC189" s="20" t="str">
        <f t="shared" si="782"/>
        <v>net cash</v>
      </c>
      <c r="AD189" s="20" t="str">
        <f t="shared" si="782"/>
        <v>net cash</v>
      </c>
      <c r="AE189" s="20" t="str">
        <f t="shared" ref="AE189:AH189" si="783">AE129</f>
        <v>net cash</v>
      </c>
      <c r="AF189" s="20" t="str">
        <f t="shared" si="783"/>
        <v>net cash</v>
      </c>
      <c r="AG189" s="20" t="str">
        <f t="shared" si="783"/>
        <v>net cash</v>
      </c>
      <c r="AH189" s="20" t="str">
        <f t="shared" si="783"/>
        <v>net cash</v>
      </c>
      <c r="AI189" s="20" t="str">
        <f t="shared" ref="AI189:AK189" si="784">AI129</f>
        <v>net cash</v>
      </c>
      <c r="AJ189" s="20" t="str">
        <f t="shared" si="784"/>
        <v>net cash</v>
      </c>
      <c r="AK189" s="20" t="str">
        <f t="shared" si="784"/>
        <v>net cash</v>
      </c>
    </row>
    <row r="190" spans="2:37" ht="13.5" customHeight="1">
      <c r="B190" s="16" t="str">
        <f>+B130</f>
        <v>Gross Leverage  excluding lease obligations</v>
      </c>
      <c r="C190" s="21">
        <f t="shared" si="775"/>
        <v>5.6211263709140455</v>
      </c>
      <c r="D190" s="21">
        <f t="shared" si="775"/>
        <v>1.3410730434396176</v>
      </c>
      <c r="E190" s="21">
        <f t="shared" si="775"/>
        <v>0.68354943579253391</v>
      </c>
      <c r="F190" s="21">
        <f t="shared" ref="F190:G190" si="785">F130</f>
        <v>0.90225370578725372</v>
      </c>
      <c r="G190" s="21">
        <f t="shared" si="785"/>
        <v>3.624217817250472</v>
      </c>
      <c r="H190" s="21">
        <f t="shared" ref="H190:I190" si="786">H130</f>
        <v>1.1212461089233017</v>
      </c>
      <c r="I190" s="21">
        <f t="shared" si="786"/>
        <v>0.99292216890568696</v>
      </c>
      <c r="J190" s="21">
        <f t="shared" ref="J190" si="787">J130</f>
        <v>0.63757759386739377</v>
      </c>
      <c r="K190" s="21">
        <f>K130</f>
        <v>0.71487751879595662</v>
      </c>
      <c r="L190" s="21"/>
      <c r="M190" s="98"/>
      <c r="N190" s="98"/>
      <c r="O190" s="98"/>
      <c r="P190" s="21">
        <f t="shared" si="779"/>
        <v>0.68354943579253391</v>
      </c>
      <c r="Q190" s="21">
        <f t="shared" si="779"/>
        <v>0.65880988580932065</v>
      </c>
      <c r="R190" s="21">
        <f t="shared" si="779"/>
        <v>0.51433697903273701</v>
      </c>
      <c r="S190" s="21">
        <f t="shared" si="779"/>
        <v>0.76193435861516146</v>
      </c>
      <c r="T190" s="21">
        <f t="shared" ref="T190:V190" si="788">T130</f>
        <v>0.90225370578725406</v>
      </c>
      <c r="U190" s="21">
        <f t="shared" si="788"/>
        <v>1.4678991272169293</v>
      </c>
      <c r="V190" s="21">
        <f t="shared" si="788"/>
        <v>2.8397176734662883</v>
      </c>
      <c r="W190" s="21">
        <f t="shared" ref="W190:Z190" si="789">W130</f>
        <v>3.4306556541360225</v>
      </c>
      <c r="X190" s="21">
        <f t="shared" si="789"/>
        <v>3.6242178172504769</v>
      </c>
      <c r="Y190" s="21">
        <f t="shared" si="789"/>
        <v>1.6786873331201624</v>
      </c>
      <c r="Z190" s="21">
        <f t="shared" si="789"/>
        <v>1.4514388051189764</v>
      </c>
      <c r="AA190" s="21">
        <f t="shared" ref="AA190:AD190" si="790">AA130</f>
        <v>1.0868533275041488</v>
      </c>
      <c r="AB190" s="21">
        <f t="shared" si="790"/>
        <v>1.121246108923301</v>
      </c>
      <c r="AC190" s="21">
        <f t="shared" si="790"/>
        <v>1.1995421495203282</v>
      </c>
      <c r="AD190" s="21">
        <f t="shared" si="790"/>
        <v>1.1835240843336163</v>
      </c>
      <c r="AE190" s="21">
        <f t="shared" ref="AE190:AH190" si="791">AE130</f>
        <v>1.0356791048812886</v>
      </c>
      <c r="AF190" s="21">
        <f t="shared" si="791"/>
        <v>0.99292216890568719</v>
      </c>
      <c r="AG190" s="21">
        <f t="shared" si="791"/>
        <v>0.76120804466724323</v>
      </c>
      <c r="AH190" s="21">
        <f t="shared" si="791"/>
        <v>0.59250851696119344</v>
      </c>
      <c r="AI190" s="21">
        <f t="shared" ref="AI190:AK190" si="792">AI130</f>
        <v>0.47247452933222817</v>
      </c>
      <c r="AJ190" s="21">
        <f t="shared" si="792"/>
        <v>0.63757759386739343</v>
      </c>
      <c r="AK190" s="21">
        <f t="shared" si="792"/>
        <v>0.71487751879595662</v>
      </c>
    </row>
    <row r="191" spans="2:37" ht="13.5" customHeight="1"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98"/>
      <c r="N191" s="98"/>
      <c r="O191" s="9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2:37" s="19" customFormat="1" ht="13.5" customHeight="1">
      <c r="B192" s="19" t="str">
        <f>+B132</f>
        <v>Net Leverage including lease obligations</v>
      </c>
      <c r="C192" s="20" t="str">
        <f t="shared" ref="C192:E193" si="793">C132</f>
        <v>net cash</v>
      </c>
      <c r="D192" s="20" t="str">
        <f t="shared" si="793"/>
        <v>net cash</v>
      </c>
      <c r="E192" s="20" t="str">
        <f t="shared" si="793"/>
        <v>net cash</v>
      </c>
      <c r="F192" s="20" t="str">
        <f t="shared" ref="F192:G192" si="794">F132</f>
        <v>net cash</v>
      </c>
      <c r="G192" s="20" t="str">
        <f t="shared" si="794"/>
        <v>net cash</v>
      </c>
      <c r="H192" s="20" t="str">
        <f t="shared" ref="H192:I192" si="795">H132</f>
        <v>net cash</v>
      </c>
      <c r="I192" s="20" t="str">
        <f t="shared" si="795"/>
        <v>net cash</v>
      </c>
      <c r="J192" s="20" t="str">
        <f t="shared" ref="J192" si="796">J132</f>
        <v>net cash</v>
      </c>
      <c r="K192" s="20" t="str">
        <f>K132</f>
        <v>net cash</v>
      </c>
      <c r="L192" s="20"/>
      <c r="M192" s="98"/>
      <c r="N192" s="98"/>
      <c r="O192" s="98"/>
      <c r="P192" s="20" t="str">
        <f t="shared" ref="P192:S193" si="797">P132</f>
        <v>net cash</v>
      </c>
      <c r="Q192" s="20" t="str">
        <f t="shared" si="797"/>
        <v>net cash</v>
      </c>
      <c r="R192" s="20" t="str">
        <f t="shared" si="797"/>
        <v>net cash</v>
      </c>
      <c r="S192" s="20" t="str">
        <f t="shared" si="797"/>
        <v>net cash</v>
      </c>
      <c r="T192" s="20" t="str">
        <f t="shared" ref="T192:V192" si="798">T132</f>
        <v>net cash</v>
      </c>
      <c r="U192" s="20" t="str">
        <f t="shared" si="798"/>
        <v>net cash</v>
      </c>
      <c r="V192" s="20" t="str">
        <f t="shared" si="798"/>
        <v>net cash</v>
      </c>
      <c r="W192" s="20" t="str">
        <f t="shared" ref="W192:Z192" si="799">W132</f>
        <v>net cash</v>
      </c>
      <c r="X192" s="20" t="str">
        <f t="shared" si="799"/>
        <v>net cash</v>
      </c>
      <c r="Y192" s="20" t="str">
        <f t="shared" si="799"/>
        <v>net cash</v>
      </c>
      <c r="Z192" s="20" t="str">
        <f t="shared" si="799"/>
        <v>net cash</v>
      </c>
      <c r="AA192" s="20" t="str">
        <f t="shared" ref="AA192:AD192" si="800">AA132</f>
        <v>net cash</v>
      </c>
      <c r="AB192" s="20" t="str">
        <f t="shared" si="800"/>
        <v>net cash</v>
      </c>
      <c r="AC192" s="20" t="str">
        <f t="shared" si="800"/>
        <v>net cash</v>
      </c>
      <c r="AD192" s="20" t="str">
        <f t="shared" si="800"/>
        <v>net cash</v>
      </c>
      <c r="AE192" s="20" t="str">
        <f t="shared" ref="AE192:AH192" si="801">AE132</f>
        <v>net cash</v>
      </c>
      <c r="AF192" s="20" t="str">
        <f t="shared" si="801"/>
        <v>net cash</v>
      </c>
      <c r="AG192" s="20" t="str">
        <f t="shared" si="801"/>
        <v>net cash</v>
      </c>
      <c r="AH192" s="20" t="str">
        <f t="shared" si="801"/>
        <v>net cash</v>
      </c>
      <c r="AI192" s="20" t="str">
        <f t="shared" ref="AI192:AK192" si="802">AI132</f>
        <v>net cash</v>
      </c>
      <c r="AJ192" s="20" t="str">
        <f t="shared" si="802"/>
        <v>net cash</v>
      </c>
      <c r="AK192" s="20" t="str">
        <f t="shared" si="802"/>
        <v>net cash</v>
      </c>
    </row>
    <row r="193" spans="2:37" ht="13.5" customHeight="1">
      <c r="B193" s="16" t="str">
        <f>+B133</f>
        <v>Gross Leverage  including lease obligations</v>
      </c>
      <c r="C193" s="21">
        <f t="shared" si="793"/>
        <v>6.0627565964309449</v>
      </c>
      <c r="D193" s="21">
        <f t="shared" si="793"/>
        <v>1.4141441820413789</v>
      </c>
      <c r="E193" s="21">
        <f t="shared" si="793"/>
        <v>0.71772853325481434</v>
      </c>
      <c r="F193" s="21">
        <f t="shared" ref="F193:G193" si="803">F133</f>
        <v>1.0150456973473299</v>
      </c>
      <c r="G193" s="21">
        <f t="shared" si="803"/>
        <v>3.9939554477534953</v>
      </c>
      <c r="H193" s="21">
        <f t="shared" ref="H193:I193" si="804">H133</f>
        <v>1.2004639406734252</v>
      </c>
      <c r="I193" s="21">
        <f t="shared" si="804"/>
        <v>1.1683975605724202</v>
      </c>
      <c r="J193" s="21">
        <f t="shared" ref="J193" si="805">J133</f>
        <v>0.73843308797024843</v>
      </c>
      <c r="K193" s="21">
        <f>K133</f>
        <v>0.71487751879595662</v>
      </c>
      <c r="L193" s="21"/>
      <c r="M193" s="98"/>
      <c r="N193" s="98"/>
      <c r="O193" s="98"/>
      <c r="P193" s="21">
        <f t="shared" si="797"/>
        <v>0.71772853325481434</v>
      </c>
      <c r="Q193" s="21">
        <f t="shared" si="797"/>
        <v>0.65880988580932065</v>
      </c>
      <c r="R193" s="21">
        <f t="shared" si="797"/>
        <v>0.51433697903273701</v>
      </c>
      <c r="S193" s="21">
        <f t="shared" si="797"/>
        <v>0.76193435861516146</v>
      </c>
      <c r="T193" s="21">
        <f t="shared" ref="T193:V193" si="806">T133</f>
        <v>1.0150456973473303</v>
      </c>
      <c r="U193" s="21">
        <f t="shared" si="806"/>
        <v>1.4678991272169293</v>
      </c>
      <c r="V193" s="21">
        <f t="shared" si="806"/>
        <v>3.0978292078100855</v>
      </c>
      <c r="W193" s="21">
        <f t="shared" ref="W193:Z193" si="807">W133</f>
        <v>3.4306556541360225</v>
      </c>
      <c r="X193" s="21">
        <f t="shared" si="807"/>
        <v>3.9939554477535011</v>
      </c>
      <c r="Y193" s="21">
        <f t="shared" si="807"/>
        <v>1.6786873331201624</v>
      </c>
      <c r="Z193" s="21">
        <f t="shared" si="807"/>
        <v>1.5820161537052608</v>
      </c>
      <c r="AA193" s="21">
        <f t="shared" ref="AA193:AD193" si="808">AA133</f>
        <v>1.0868533275041488</v>
      </c>
      <c r="AB193" s="21">
        <f t="shared" si="808"/>
        <v>1.2004639406734243</v>
      </c>
      <c r="AC193" s="21">
        <f t="shared" si="808"/>
        <v>1.1995421495203282</v>
      </c>
      <c r="AD193" s="21">
        <f t="shared" si="808"/>
        <v>1.3559307949833868</v>
      </c>
      <c r="AE193" s="21">
        <f t="shared" ref="AE193:AH193" si="809">AE133</f>
        <v>1.0356791048812886</v>
      </c>
      <c r="AF193" s="21">
        <f t="shared" si="809"/>
        <v>1.1683975605724204</v>
      </c>
      <c r="AG193" s="21">
        <f t="shared" si="809"/>
        <v>0.76120804466724323</v>
      </c>
      <c r="AH193" s="21">
        <f t="shared" si="809"/>
        <v>0.59250851696119344</v>
      </c>
      <c r="AI193" s="21">
        <f t="shared" ref="AI193:AK193" si="810">AI133</f>
        <v>0.47247452933222817</v>
      </c>
      <c r="AJ193" s="21">
        <f t="shared" si="810"/>
        <v>0.7384330879702482</v>
      </c>
      <c r="AK193" s="21">
        <f t="shared" si="810"/>
        <v>0.71487751879595662</v>
      </c>
    </row>
    <row r="194" spans="2:37" ht="13.5" customHeight="1"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98"/>
      <c r="N194" s="98"/>
      <c r="O194" s="98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</row>
    <row r="195" spans="2:37" ht="13.5" customHeight="1">
      <c r="B195" s="19" t="str">
        <f>+B135</f>
        <v>Company reported net leverage</v>
      </c>
      <c r="C195" s="20">
        <f t="shared" ref="C195:G195" si="811">C135</f>
        <v>-13.603464411772082</v>
      </c>
      <c r="D195" s="20">
        <f t="shared" si="811"/>
        <v>-3.4488762735064702</v>
      </c>
      <c r="E195" s="20">
        <f t="shared" si="811"/>
        <v>-2.9929705681386034</v>
      </c>
      <c r="F195" s="20">
        <f t="shared" si="811"/>
        <v>-1.9472238693915607</v>
      </c>
      <c r="G195" s="20">
        <f t="shared" si="811"/>
        <v>-6.3950879927331705</v>
      </c>
      <c r="H195" s="20">
        <f t="shared" ref="H195" si="812">H135</f>
        <v>-3.134727661560059</v>
      </c>
      <c r="I195" s="20">
        <f>I135</f>
        <v>-2.0928910701461181</v>
      </c>
      <c r="J195" s="20">
        <f>J135</f>
        <v>-1.1623968385426118</v>
      </c>
      <c r="K195" s="20">
        <f t="shared" ref="K195" si="813">K135</f>
        <v>-1.2705514842780765</v>
      </c>
      <c r="L195" s="21"/>
      <c r="M195" s="98"/>
      <c r="N195" s="98"/>
      <c r="O195" s="98"/>
      <c r="P195" s="20">
        <f t="shared" ref="P195:U195" si="814">P135</f>
        <v>-1.7605679404922239</v>
      </c>
      <c r="Q195" s="20">
        <f t="shared" si="814"/>
        <v>-2.3054208228033222</v>
      </c>
      <c r="R195" s="20">
        <f t="shared" si="814"/>
        <v>-1.9789744688837996</v>
      </c>
      <c r="S195" s="20">
        <f t="shared" si="814"/>
        <v>-1.6470895607047957</v>
      </c>
      <c r="T195" s="20">
        <f t="shared" si="814"/>
        <v>-1.9472238693915613</v>
      </c>
      <c r="U195" s="20">
        <f t="shared" si="814"/>
        <v>-2.2983612142124654</v>
      </c>
      <c r="V195" s="20">
        <f t="shared" ref="V195" si="815">V135</f>
        <v>-3.4325436687400384</v>
      </c>
      <c r="W195" s="20">
        <f t="shared" ref="W195:Z195" si="816">W135</f>
        <v>-5.4202052291676166</v>
      </c>
      <c r="X195" s="20">
        <f t="shared" si="816"/>
        <v>-6.3950879927331794</v>
      </c>
      <c r="Y195" s="20">
        <f t="shared" si="816"/>
        <v>-3.6450687635914778</v>
      </c>
      <c r="Z195" s="20">
        <f t="shared" si="816"/>
        <v>-4.0796191387768594</v>
      </c>
      <c r="AA195" s="20">
        <f t="shared" ref="AA195:AD195" si="817">AA135</f>
        <v>-3.2317845074524536</v>
      </c>
      <c r="AB195" s="20">
        <f t="shared" si="817"/>
        <v>-3.1347276615600568</v>
      </c>
      <c r="AC195" s="20">
        <f t="shared" si="817"/>
        <v>-3.0230219343933808</v>
      </c>
      <c r="AD195" s="20">
        <f t="shared" si="817"/>
        <v>-2.5059755681238607</v>
      </c>
      <c r="AE195" s="20">
        <f t="shared" ref="AE195:AH195" si="818">AE135</f>
        <v>-2.733913928790856</v>
      </c>
      <c r="AF195" s="20">
        <f t="shared" si="818"/>
        <v>-2.0928910701461185</v>
      </c>
      <c r="AG195" s="20">
        <f t="shared" si="818"/>
        <v>-2.4424942363947859</v>
      </c>
      <c r="AH195" s="20">
        <f t="shared" si="818"/>
        <v>-1.7013658778981668</v>
      </c>
      <c r="AI195" s="20">
        <f t="shared" ref="AI195:AK195" si="819">AI135</f>
        <v>-1.4139045721346715</v>
      </c>
      <c r="AJ195" s="20">
        <f t="shared" si="819"/>
        <v>-1.1623968385426113</v>
      </c>
      <c r="AK195" s="20">
        <f t="shared" si="819"/>
        <v>-1.2705514842780765</v>
      </c>
    </row>
    <row r="196" spans="2:37" ht="13.5" customHeight="1"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98"/>
      <c r="N196" s="98"/>
      <c r="O196" s="98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</row>
    <row r="197" spans="2:37" s="19" customFormat="1" ht="13.5" customHeight="1">
      <c r="B197" s="19" t="str">
        <f>+B137</f>
        <v>EBITDA - Capex / Interest</v>
      </c>
      <c r="C197" s="20">
        <f>C137</f>
        <v>7.0028856480000634</v>
      </c>
      <c r="D197" s="20">
        <f t="shared" ref="D197:E197" si="820">D137</f>
        <v>44.767655734860298</v>
      </c>
      <c r="E197" s="20">
        <f t="shared" si="820"/>
        <v>45.587859782954531</v>
      </c>
      <c r="F197" s="20">
        <f t="shared" ref="F197:G197" si="821">F137</f>
        <v>33.267870427750843</v>
      </c>
      <c r="G197" s="20">
        <f t="shared" si="821"/>
        <v>0.72694953779984661</v>
      </c>
      <c r="H197" s="20">
        <f t="shared" ref="H197:I197" si="822">H137</f>
        <v>24.598350957676494</v>
      </c>
      <c r="I197" s="20">
        <f t="shared" si="822"/>
        <v>33.298354904959766</v>
      </c>
      <c r="J197" s="20">
        <f t="shared" ref="J197" si="823">J137</f>
        <v>56.664370901956659</v>
      </c>
      <c r="K197" s="98"/>
      <c r="L197" s="20"/>
      <c r="M197" s="98"/>
      <c r="N197" s="98"/>
      <c r="O197" s="98"/>
      <c r="P197" s="20">
        <f>P137</f>
        <v>45.587859782954531</v>
      </c>
      <c r="Q197" s="98"/>
      <c r="R197" s="20">
        <f>R137</f>
        <v>54.792905540313519</v>
      </c>
      <c r="S197" s="98"/>
      <c r="T197" s="20">
        <f>T137</f>
        <v>33.267870427750829</v>
      </c>
      <c r="U197" s="98"/>
      <c r="V197" s="20">
        <f>V137</f>
        <v>4.1349681867970345</v>
      </c>
      <c r="W197" s="98"/>
      <c r="X197" s="20">
        <f>X137</f>
        <v>0.72694953779983773</v>
      </c>
      <c r="Y197" s="98"/>
      <c r="Z197" s="20">
        <f>Z137</f>
        <v>10.212705610294453</v>
      </c>
      <c r="AA197" s="98"/>
      <c r="AB197" s="20">
        <f>AB137</f>
        <v>24.598350957676519</v>
      </c>
      <c r="AC197" s="98"/>
      <c r="AD197" s="20">
        <f>AD137</f>
        <v>26.468529678457912</v>
      </c>
      <c r="AE197" s="98"/>
      <c r="AF197" s="50">
        <f>AF137</f>
        <v>33.298354904959758</v>
      </c>
      <c r="AG197" s="98"/>
      <c r="AH197" s="20">
        <f>AH137</f>
        <v>51.307228596972877</v>
      </c>
      <c r="AI197" s="98"/>
      <c r="AJ197" s="88">
        <f>AJ137</f>
        <v>56.664370901956687</v>
      </c>
      <c r="AK197" s="98"/>
    </row>
    <row r="198" spans="2:37" ht="12.75" customHeight="1">
      <c r="B198" s="16" t="str">
        <f>+B138</f>
        <v>EBITDA/Interest</v>
      </c>
      <c r="C198" s="21">
        <f>C138</f>
        <v>7.9711435199986198</v>
      </c>
      <c r="D198" s="21">
        <f t="shared" ref="D198:E198" si="824">D138</f>
        <v>60.007470524306584</v>
      </c>
      <c r="E198" s="21">
        <f t="shared" si="824"/>
        <v>51.516156338363565</v>
      </c>
      <c r="F198" s="21">
        <f t="shared" ref="F198:G198" si="825">F138</f>
        <v>44.077095457940828</v>
      </c>
      <c r="G198" s="21">
        <f t="shared" si="825"/>
        <v>6.394535932619049</v>
      </c>
      <c r="H198" s="21">
        <f t="shared" ref="H198:I198" si="826">H138</f>
        <v>32.771104694797884</v>
      </c>
      <c r="I198" s="21">
        <f t="shared" si="826"/>
        <v>42.972917767556197</v>
      </c>
      <c r="J198" s="21">
        <f t="shared" ref="J198" si="827">J138</f>
        <v>73.129313593887062</v>
      </c>
      <c r="K198" s="94"/>
      <c r="L198" s="21"/>
      <c r="M198" s="94"/>
      <c r="N198" s="94"/>
      <c r="O198" s="94"/>
      <c r="P198" s="21">
        <f>P138</f>
        <v>51.516156338363565</v>
      </c>
      <c r="Q198" s="94"/>
      <c r="R198" s="21">
        <f>R138</f>
        <v>60.708747548658998</v>
      </c>
      <c r="S198" s="94"/>
      <c r="T198" s="21">
        <f>T138</f>
        <v>44.077095457940814</v>
      </c>
      <c r="U198" s="94"/>
      <c r="V198" s="21">
        <f>V138</f>
        <v>13.729813430379028</v>
      </c>
      <c r="W198" s="94"/>
      <c r="X198" s="21">
        <f>X138</f>
        <v>6.3945359326190401</v>
      </c>
      <c r="Y198" s="94"/>
      <c r="Z198" s="21">
        <f>Z138</f>
        <v>17.838729348461854</v>
      </c>
      <c r="AA198" s="94"/>
      <c r="AB198" s="21">
        <f>AB138</f>
        <v>32.771104694797913</v>
      </c>
      <c r="AC198" s="94"/>
      <c r="AD198" s="21">
        <f>AD138</f>
        <v>32.261380308093578</v>
      </c>
      <c r="AE198" s="94"/>
      <c r="AF198" s="49">
        <f>AF138</f>
        <v>42.97291776755619</v>
      </c>
      <c r="AG198" s="94"/>
      <c r="AH198" s="21">
        <f>AH138</f>
        <v>64.537518449745235</v>
      </c>
      <c r="AI198" s="94"/>
      <c r="AJ198" s="89">
        <f>AJ138</f>
        <v>73.12931359388709</v>
      </c>
      <c r="AK198" s="94"/>
    </row>
    <row r="199" spans="2:37" ht="13.5" customHeight="1">
      <c r="C199" s="18"/>
      <c r="D199" s="18"/>
      <c r="E199" s="18"/>
      <c r="F199" s="18"/>
      <c r="G199" s="18"/>
      <c r="H199" s="18"/>
      <c r="I199" s="18"/>
      <c r="J199" s="18"/>
      <c r="K199" s="18"/>
      <c r="L199" s="21"/>
      <c r="M199" s="98"/>
      <c r="N199" s="98"/>
      <c r="O199" s="9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2:37" s="19" customFormat="1" ht="13.5" customHeight="1">
      <c r="B200" s="47" t="str">
        <f t="shared" ref="B200:E200" si="828">+B140</f>
        <v xml:space="preserve">Gearing (Net debt / Equity) </v>
      </c>
      <c r="C200" s="280">
        <f t="shared" si="828"/>
        <v>-0.37129047162847939</v>
      </c>
      <c r="D200" s="280">
        <f t="shared" si="828"/>
        <v>-0.55503214419180869</v>
      </c>
      <c r="E200" s="280">
        <f t="shared" si="828"/>
        <v>-0.62129204224233137</v>
      </c>
      <c r="F200" s="280">
        <f t="shared" ref="F200:G200" si="829">+F140</f>
        <v>-0.41216850198223853</v>
      </c>
      <c r="G200" s="280">
        <f t="shared" si="829"/>
        <v>-0.2898830597403918</v>
      </c>
      <c r="H200" s="280">
        <f t="shared" ref="H200:I200" si="830">+H140</f>
        <v>-0.47413508906101637</v>
      </c>
      <c r="I200" s="280">
        <f t="shared" si="830"/>
        <v>-0.34092809613676461</v>
      </c>
      <c r="J200" s="280">
        <f t="shared" ref="J200" si="831">+J140</f>
        <v>-0.24728854240670953</v>
      </c>
      <c r="K200" s="280">
        <f>+K140</f>
        <v>-0.2362787912717477</v>
      </c>
      <c r="L200" s="20"/>
      <c r="M200" s="282"/>
      <c r="N200" s="282"/>
      <c r="O200" s="282"/>
      <c r="P200" s="280">
        <f t="shared" ref="P200:S200" si="832">+P140</f>
        <v>-0.62129204224233137</v>
      </c>
      <c r="Q200" s="280">
        <f t="shared" si="832"/>
        <v>-0.55577265663045494</v>
      </c>
      <c r="R200" s="280">
        <f t="shared" si="832"/>
        <v>-0.54626357672461334</v>
      </c>
      <c r="S200" s="280">
        <f t="shared" si="832"/>
        <v>-0.41236992763709956</v>
      </c>
      <c r="T200" s="280">
        <f t="shared" ref="T200:V200" si="833">+T140</f>
        <v>-0.41216850198223853</v>
      </c>
      <c r="U200" s="280">
        <f t="shared" si="833"/>
        <v>-0.34046818156833747</v>
      </c>
      <c r="V200" s="280">
        <f t="shared" si="833"/>
        <v>-0.27957189912861324</v>
      </c>
      <c r="W200" s="280">
        <f t="shared" ref="W200:Z200" si="834">+W140</f>
        <v>-0.28704822977747818</v>
      </c>
      <c r="X200" s="280">
        <f t="shared" si="834"/>
        <v>-0.2898830597403918</v>
      </c>
      <c r="Y200" s="280">
        <f t="shared" si="834"/>
        <v>-0.32875243466532761</v>
      </c>
      <c r="Z200" s="280">
        <f t="shared" si="834"/>
        <v>-0.41486064675105377</v>
      </c>
      <c r="AA200" s="280">
        <f t="shared" ref="AA200:AD200" si="835">+AA140</f>
        <v>-0.46136695795753896</v>
      </c>
      <c r="AB200" s="280">
        <f t="shared" si="835"/>
        <v>-0.47413508906101637</v>
      </c>
      <c r="AC200" s="280">
        <f t="shared" si="835"/>
        <v>-0.41661993810856995</v>
      </c>
      <c r="AD200" s="280">
        <f t="shared" si="835"/>
        <v>-0.36785716725693229</v>
      </c>
      <c r="AE200" s="280">
        <f t="shared" ref="AE200:AH200" si="836">+AE140</f>
        <v>-0.40614994138828681</v>
      </c>
      <c r="AF200" s="280">
        <f t="shared" si="836"/>
        <v>-0.34092809613676461</v>
      </c>
      <c r="AG200" s="280">
        <f t="shared" si="836"/>
        <v>-0.4138361895458943</v>
      </c>
      <c r="AH200" s="280">
        <f t="shared" si="836"/>
        <v>-0.32833145143415826</v>
      </c>
      <c r="AI200" s="280">
        <f t="shared" ref="AI200:AK200" si="837">+AI140</f>
        <v>-0.31089140652862934</v>
      </c>
      <c r="AJ200" s="280">
        <f t="shared" si="837"/>
        <v>-0.24728854240670953</v>
      </c>
      <c r="AK200" s="280">
        <f t="shared" si="837"/>
        <v>-0.2362787912717477</v>
      </c>
    </row>
    <row r="201" spans="2:37" ht="13.5" customHeight="1">
      <c r="C201" s="7"/>
      <c r="D201" s="7"/>
      <c r="E201" s="7"/>
      <c r="F201" s="7"/>
      <c r="G201" s="7"/>
      <c r="H201" s="7"/>
      <c r="I201" s="7"/>
      <c r="J201" s="7"/>
      <c r="K201" s="7"/>
      <c r="L201" s="2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2:37" ht="13.5" customHeight="1">
      <c r="C202" s="7"/>
      <c r="D202" s="7"/>
      <c r="E202" s="7"/>
      <c r="F202" s="7"/>
      <c r="G202" s="7"/>
      <c r="H202" s="7"/>
      <c r="I202" s="7"/>
      <c r="J202" s="7"/>
    </row>
    <row r="203" spans="2:37" ht="13.5" customHeight="1">
      <c r="B203" s="236" t="s">
        <v>264</v>
      </c>
      <c r="C203" s="202">
        <f>C204</f>
        <v>0.14530000000000001</v>
      </c>
      <c r="D203" s="202">
        <f t="shared" ref="D203:H203" si="838">AVERAGE(C204:D204)</f>
        <v>0.14445000000000002</v>
      </c>
      <c r="E203" s="202">
        <f t="shared" si="838"/>
        <v>0.1484</v>
      </c>
      <c r="F203" s="202">
        <f t="shared" si="838"/>
        <v>0.1552</v>
      </c>
      <c r="G203" s="202">
        <f t="shared" si="838"/>
        <v>0.1510931856405498</v>
      </c>
      <c r="H203" s="202">
        <f t="shared" si="838"/>
        <v>0.14293754868261915</v>
      </c>
      <c r="I203" s="202">
        <f>AVERAGE(AC203:AF203)</f>
        <v>0.13928609076051734</v>
      </c>
      <c r="J203" s="202">
        <f>AVERAGE(AG203:AJ203)</f>
        <v>0.13924478026469961</v>
      </c>
      <c r="K203" s="202">
        <f>AVERAGE(AH203:AK203)</f>
        <v>0.14097399145989342</v>
      </c>
      <c r="L203" s="21"/>
      <c r="M203" s="202">
        <f>M204</f>
        <v>0.14119999999999999</v>
      </c>
      <c r="N203" s="202">
        <f>AVERAGE(M204:N204)</f>
        <v>0.14134999999999998</v>
      </c>
      <c r="O203" s="202">
        <f t="shared" ref="O203:Z203" si="839">AVERAGE(N204:O204)</f>
        <v>0.14434999999999998</v>
      </c>
      <c r="P203" s="202">
        <f t="shared" si="839"/>
        <v>0.1502</v>
      </c>
      <c r="Q203" s="202">
        <f t="shared" si="839"/>
        <v>0.15290000000000001</v>
      </c>
      <c r="R203" s="202">
        <f t="shared" si="839"/>
        <v>0.15375</v>
      </c>
      <c r="S203" s="202">
        <f t="shared" si="839"/>
        <v>0.155</v>
      </c>
      <c r="T203" s="202">
        <f t="shared" si="839"/>
        <v>0.15615000000000001</v>
      </c>
      <c r="U203" s="202">
        <f t="shared" si="839"/>
        <v>0.15731899999999999</v>
      </c>
      <c r="V203" s="202">
        <f t="shared" si="839"/>
        <v>0.15337049999999999</v>
      </c>
      <c r="W203" s="202">
        <f t="shared" si="839"/>
        <v>0.14465149999999999</v>
      </c>
      <c r="X203" s="202">
        <f t="shared" si="839"/>
        <v>0.1424931856405498</v>
      </c>
      <c r="Y203" s="202">
        <f>AVERAGE(X204:Y204)</f>
        <v>0.14526279705082484</v>
      </c>
      <c r="Z203" s="202">
        <f t="shared" si="839"/>
        <v>0.14172086287548916</v>
      </c>
      <c r="AA203" s="202">
        <f>AVERAGE(Z204:AA204)</f>
        <v>0.13743502081187892</v>
      </c>
      <c r="AB203" s="202">
        <f>AVERAGE(AA204:AB204)</f>
        <v>0.13892813238873419</v>
      </c>
      <c r="AC203" s="237">
        <f>AVERAGE(AB204:AC204)</f>
        <v>0.13969436304206939</v>
      </c>
      <c r="AD203" s="237">
        <f>0.1381</f>
        <v>0.1381</v>
      </c>
      <c r="AE203" s="237">
        <v>0.1396</v>
      </c>
      <c r="AF203" s="202">
        <f>AVERAGE(AE204:AF204)</f>
        <v>0.13974999999999999</v>
      </c>
      <c r="AG203" s="237">
        <v>0.13750000000000001</v>
      </c>
      <c r="AH203" s="237">
        <v>0.13869999999999999</v>
      </c>
      <c r="AI203" s="237">
        <f>1/7.1573</f>
        <v>0.13971749123272742</v>
      </c>
      <c r="AJ203" s="237">
        <f>1/7.0891</f>
        <v>0.14106162982607101</v>
      </c>
      <c r="AK203" s="237">
        <f>1/6.9244</f>
        <v>0.14441684478077521</v>
      </c>
    </row>
    <row r="204" spans="2:37" ht="13.5" customHeight="1">
      <c r="B204" s="236" t="s">
        <v>265</v>
      </c>
      <c r="C204" s="202">
        <v>0.14530000000000001</v>
      </c>
      <c r="D204" s="202">
        <v>0.14360000000000001</v>
      </c>
      <c r="E204" s="202">
        <v>0.1532</v>
      </c>
      <c r="F204" s="202">
        <v>0.15720000000000001</v>
      </c>
      <c r="G204" s="202">
        <f>X204</f>
        <v>0.14498637128109959</v>
      </c>
      <c r="H204" s="202">
        <f>AB204</f>
        <v>0.14088872608413874</v>
      </c>
      <c r="I204" s="202">
        <f>AF204</f>
        <v>0.13700000000000001</v>
      </c>
      <c r="J204" s="202">
        <f>AJ204</f>
        <v>0.14298583010423668</v>
      </c>
      <c r="K204" s="202">
        <f>AK204</f>
        <v>0.14494854326714016</v>
      </c>
      <c r="L204" s="21"/>
      <c r="M204" s="202">
        <v>0.14119999999999999</v>
      </c>
      <c r="N204" s="202">
        <v>0.14149999999999999</v>
      </c>
      <c r="O204" s="202">
        <v>0.1472</v>
      </c>
      <c r="P204" s="202">
        <v>0.1532</v>
      </c>
      <c r="Q204" s="202">
        <v>0.15260000000000001</v>
      </c>
      <c r="R204" s="202">
        <v>0.15490000000000001</v>
      </c>
      <c r="S204" s="202">
        <v>0.15509999999999999</v>
      </c>
      <c r="T204" s="202">
        <v>0.15720000000000001</v>
      </c>
      <c r="U204" s="202">
        <v>0.15743799999999999</v>
      </c>
      <c r="V204" s="202">
        <v>0.14930299999999999</v>
      </c>
      <c r="W204" s="202">
        <v>0.14000000000000001</v>
      </c>
      <c r="X204" s="202">
        <f>1/6.8972</f>
        <v>0.14498637128109959</v>
      </c>
      <c r="Y204" s="202">
        <f>1/6.871</f>
        <v>0.14553922282055012</v>
      </c>
      <c r="Z204" s="202">
        <f>1/7.2515</f>
        <v>0.13790250293042819</v>
      </c>
      <c r="AA204" s="202">
        <v>0.13696753869332967</v>
      </c>
      <c r="AB204" s="202">
        <f>1/7.0978</f>
        <v>0.14088872608413874</v>
      </c>
      <c r="AC204" s="237">
        <v>0.13850000000000001</v>
      </c>
      <c r="AD204" s="237">
        <f>0.1376</f>
        <v>0.1376</v>
      </c>
      <c r="AE204" s="237">
        <v>0.14249999999999999</v>
      </c>
      <c r="AF204" s="202">
        <v>0.13700000000000001</v>
      </c>
      <c r="AG204" s="237">
        <v>0.13780000000000001</v>
      </c>
      <c r="AH204" s="237">
        <v>0.1396</v>
      </c>
      <c r="AI204" s="237">
        <f>1/7.1196</f>
        <v>0.14045732906343053</v>
      </c>
      <c r="AJ204" s="237">
        <f>1/6.9937</f>
        <v>0.14298583010423668</v>
      </c>
      <c r="AK204" s="237">
        <f>1/6.899</f>
        <v>0.14494854326714016</v>
      </c>
    </row>
    <row r="205" spans="2:37" ht="13.5" customHeight="1">
      <c r="B205" s="236" t="s">
        <v>266</v>
      </c>
      <c r="C205" s="202">
        <f t="shared" ref="C205:H205" si="840">C203</f>
        <v>0.14530000000000001</v>
      </c>
      <c r="D205" s="202">
        <f t="shared" si="840"/>
        <v>0.14445000000000002</v>
      </c>
      <c r="E205" s="202">
        <f t="shared" si="840"/>
        <v>0.1484</v>
      </c>
      <c r="F205" s="202">
        <f t="shared" si="840"/>
        <v>0.1552</v>
      </c>
      <c r="G205" s="202">
        <f t="shared" si="840"/>
        <v>0.1510931856405498</v>
      </c>
      <c r="H205" s="202">
        <f t="shared" si="840"/>
        <v>0.14293754868261915</v>
      </c>
      <c r="I205" s="202">
        <f t="shared" ref="I205:K205" si="841">I203</f>
        <v>0.13928609076051734</v>
      </c>
      <c r="J205" s="202">
        <f t="shared" ref="J205" si="842">J203</f>
        <v>0.13924478026469961</v>
      </c>
      <c r="K205" s="202">
        <f t="shared" si="841"/>
        <v>0.14097399145989342</v>
      </c>
      <c r="L205" s="21"/>
      <c r="M205" s="202">
        <f>M203</f>
        <v>0.14119999999999999</v>
      </c>
      <c r="N205" s="202">
        <f>N203</f>
        <v>0.14134999999999998</v>
      </c>
      <c r="O205" s="202">
        <f>O203</f>
        <v>0.14434999999999998</v>
      </c>
      <c r="P205" s="202">
        <f t="shared" ref="P205:X205" si="843">AVERAGE(M203:P203)</f>
        <v>0.14427499999999999</v>
      </c>
      <c r="Q205" s="202">
        <f t="shared" si="843"/>
        <v>0.1472</v>
      </c>
      <c r="R205" s="202">
        <f t="shared" si="843"/>
        <v>0.15029999999999999</v>
      </c>
      <c r="S205" s="202">
        <f t="shared" si="843"/>
        <v>0.1529625</v>
      </c>
      <c r="T205" s="202">
        <f t="shared" si="843"/>
        <v>0.15445</v>
      </c>
      <c r="U205" s="202">
        <f t="shared" si="843"/>
        <v>0.15555474999999999</v>
      </c>
      <c r="V205" s="202">
        <f t="shared" si="843"/>
        <v>0.155459875</v>
      </c>
      <c r="W205" s="202">
        <f t="shared" si="843"/>
        <v>0.15287275</v>
      </c>
      <c r="X205" s="202">
        <f t="shared" si="843"/>
        <v>0.14945854641013745</v>
      </c>
      <c r="Y205" s="202">
        <f>AVERAGE(V203:Y203)</f>
        <v>0.14644449567284368</v>
      </c>
      <c r="Z205" s="202">
        <f t="shared" ref="Z205:AA205" si="844">AVERAGE(W203:Z203)</f>
        <v>0.14353208639171594</v>
      </c>
      <c r="AA205" s="202">
        <f t="shared" si="844"/>
        <v>0.14172796659468567</v>
      </c>
      <c r="AB205" s="202">
        <f>O205</f>
        <v>0.14434999999999998</v>
      </c>
      <c r="AC205" s="202">
        <f>AVERAGE(Z203:AC203)</f>
        <v>0.13944459477954291</v>
      </c>
      <c r="AD205" s="202">
        <f t="shared" ref="AD205:AE205" si="845">AVERAGE(AA203:AD203)</f>
        <v>0.13853937906067063</v>
      </c>
      <c r="AE205" s="202">
        <f t="shared" si="845"/>
        <v>0.1390806238577009</v>
      </c>
      <c r="AF205" s="202">
        <f>AVERAGE(AC203:AF203)</f>
        <v>0.13928609076051734</v>
      </c>
      <c r="AG205" s="202">
        <f>AVERAGE(AD203:AG203)</f>
        <v>0.13873750000000001</v>
      </c>
      <c r="AH205" s="202">
        <f t="shared" ref="AH205:AI205" si="846">AVERAGE(AE203:AH203)</f>
        <v>0.1388875</v>
      </c>
      <c r="AI205" s="202">
        <f t="shared" si="846"/>
        <v>0.13891687280818185</v>
      </c>
      <c r="AJ205" s="202">
        <f>AVERAGE(AG203:AJ203)</f>
        <v>0.13924478026469961</v>
      </c>
      <c r="AK205" s="202">
        <f>AVERAGE(AH203:AK203)</f>
        <v>0.14097399145989342</v>
      </c>
    </row>
    <row r="206" spans="2:37" ht="13.5" customHeight="1">
      <c r="B206" s="265" t="s">
        <v>267</v>
      </c>
      <c r="C206" s="279">
        <f>1/C204</f>
        <v>6.8823124569855469</v>
      </c>
      <c r="D206" s="279">
        <f t="shared" ref="D206:AK206" si="847">1/D204</f>
        <v>6.9637883008356543</v>
      </c>
      <c r="E206" s="279">
        <f t="shared" si="847"/>
        <v>6.5274151436031334</v>
      </c>
      <c r="F206" s="279">
        <f t="shared" si="847"/>
        <v>6.3613231552162848</v>
      </c>
      <c r="G206" s="279">
        <f t="shared" si="847"/>
        <v>6.8971999999999989</v>
      </c>
      <c r="H206" s="279">
        <f t="shared" si="847"/>
        <v>7.0978000000000003</v>
      </c>
      <c r="I206" s="279">
        <f t="shared" si="847"/>
        <v>7.2992700729926998</v>
      </c>
      <c r="J206" s="279">
        <f t="shared" si="847"/>
        <v>6.9936999999999996</v>
      </c>
      <c r="K206" s="279">
        <f t="shared" si="847"/>
        <v>6.899</v>
      </c>
      <c r="L206" s="21"/>
      <c r="M206" s="279">
        <f t="shared" si="847"/>
        <v>7.0821529745042495</v>
      </c>
      <c r="N206" s="279">
        <f t="shared" si="847"/>
        <v>7.0671378091872796</v>
      </c>
      <c r="O206" s="279">
        <f t="shared" si="847"/>
        <v>6.7934782608695654</v>
      </c>
      <c r="P206" s="279">
        <f t="shared" si="847"/>
        <v>6.5274151436031334</v>
      </c>
      <c r="Q206" s="279">
        <f t="shared" si="847"/>
        <v>6.5530799475753598</v>
      </c>
      <c r="R206" s="279">
        <f t="shared" si="847"/>
        <v>6.455777921239509</v>
      </c>
      <c r="S206" s="279">
        <f t="shared" si="847"/>
        <v>6.4474532559638948</v>
      </c>
      <c r="T206" s="279">
        <f t="shared" si="847"/>
        <v>6.3613231552162848</v>
      </c>
      <c r="U206" s="279">
        <f t="shared" si="847"/>
        <v>6.3517067035912556</v>
      </c>
      <c r="V206" s="279">
        <f t="shared" si="847"/>
        <v>6.6977890598313499</v>
      </c>
      <c r="W206" s="279">
        <f t="shared" si="847"/>
        <v>7.1428571428571423</v>
      </c>
      <c r="X206" s="279">
        <f t="shared" si="847"/>
        <v>6.8971999999999989</v>
      </c>
      <c r="Y206" s="279">
        <f t="shared" si="847"/>
        <v>6.8710000000000004</v>
      </c>
      <c r="Z206" s="279">
        <f t="shared" si="847"/>
        <v>7.2515000000000001</v>
      </c>
      <c r="AA206" s="279">
        <f t="shared" si="847"/>
        <v>7.3010000000000002</v>
      </c>
      <c r="AB206" s="279">
        <f t="shared" si="847"/>
        <v>7.0978000000000003</v>
      </c>
      <c r="AC206" s="279">
        <f t="shared" si="847"/>
        <v>7.2202166064981945</v>
      </c>
      <c r="AD206" s="279">
        <f t="shared" si="847"/>
        <v>7.2674418604651159</v>
      </c>
      <c r="AE206" s="279">
        <f t="shared" si="847"/>
        <v>7.0175438596491233</v>
      </c>
      <c r="AF206" s="279">
        <f t="shared" si="847"/>
        <v>7.2992700729926998</v>
      </c>
      <c r="AG206" s="279">
        <f t="shared" si="847"/>
        <v>7.2568940493468794</v>
      </c>
      <c r="AH206" s="279">
        <f t="shared" si="847"/>
        <v>7.1633237822349569</v>
      </c>
      <c r="AI206" s="279">
        <f t="shared" si="847"/>
        <v>7.1196000000000002</v>
      </c>
      <c r="AJ206" s="279">
        <f t="shared" si="847"/>
        <v>6.9936999999999996</v>
      </c>
      <c r="AK206" s="279">
        <f t="shared" si="847"/>
        <v>6.899</v>
      </c>
    </row>
    <row r="207" spans="2:37" ht="13.5" customHeight="1">
      <c r="C207" s="7"/>
      <c r="D207" s="7"/>
      <c r="E207" s="7"/>
      <c r="F207" s="7"/>
      <c r="G207" s="7"/>
      <c r="H207" s="7"/>
      <c r="I207" s="7"/>
      <c r="J207" s="7"/>
      <c r="K207" s="7"/>
      <c r="L207" s="2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2:37" ht="13.5" customHeight="1">
      <c r="B208" s="36" t="s">
        <v>268</v>
      </c>
      <c r="C208" s="35">
        <f t="shared" ref="C208:I208" si="848">C3</f>
        <v>43465</v>
      </c>
      <c r="D208" s="35">
        <f t="shared" si="848"/>
        <v>43830</v>
      </c>
      <c r="E208" s="35">
        <f t="shared" si="848"/>
        <v>44196</v>
      </c>
      <c r="F208" s="35">
        <f t="shared" si="848"/>
        <v>44561</v>
      </c>
      <c r="G208" s="35">
        <f t="shared" si="848"/>
        <v>44926</v>
      </c>
      <c r="H208" s="35">
        <f t="shared" si="848"/>
        <v>45291</v>
      </c>
      <c r="I208" s="35">
        <f t="shared" si="848"/>
        <v>45657</v>
      </c>
      <c r="J208" s="35">
        <f t="shared" ref="J208" si="849">J3</f>
        <v>46022</v>
      </c>
      <c r="K208" s="35" t="str">
        <f>K2</f>
        <v>LTM</v>
      </c>
      <c r="L208" s="21"/>
      <c r="M208" s="35">
        <f t="shared" ref="M208:AI208" si="850">M3</f>
        <v>43921</v>
      </c>
      <c r="N208" s="35">
        <f t="shared" si="850"/>
        <v>44012</v>
      </c>
      <c r="O208" s="35">
        <f t="shared" si="850"/>
        <v>44104</v>
      </c>
      <c r="P208" s="35">
        <f t="shared" si="850"/>
        <v>44196</v>
      </c>
      <c r="Q208" s="35">
        <f t="shared" si="850"/>
        <v>44286</v>
      </c>
      <c r="R208" s="35">
        <f t="shared" si="850"/>
        <v>44377</v>
      </c>
      <c r="S208" s="35">
        <f t="shared" si="850"/>
        <v>44469</v>
      </c>
      <c r="T208" s="35">
        <f t="shared" si="850"/>
        <v>44561</v>
      </c>
      <c r="U208" s="35">
        <f t="shared" si="850"/>
        <v>44651</v>
      </c>
      <c r="V208" s="35">
        <f t="shared" si="850"/>
        <v>44742</v>
      </c>
      <c r="W208" s="35">
        <f t="shared" si="850"/>
        <v>44834</v>
      </c>
      <c r="X208" s="35">
        <f t="shared" si="850"/>
        <v>44926</v>
      </c>
      <c r="Y208" s="35">
        <f t="shared" si="850"/>
        <v>45016</v>
      </c>
      <c r="Z208" s="35">
        <f t="shared" si="850"/>
        <v>45107</v>
      </c>
      <c r="AA208" s="35">
        <f t="shared" si="850"/>
        <v>45199</v>
      </c>
      <c r="AB208" s="35">
        <f t="shared" si="850"/>
        <v>45291</v>
      </c>
      <c r="AC208" s="35">
        <f t="shared" si="850"/>
        <v>45382</v>
      </c>
      <c r="AD208" s="35">
        <f t="shared" si="850"/>
        <v>45473</v>
      </c>
      <c r="AE208" s="35">
        <f t="shared" si="850"/>
        <v>45565</v>
      </c>
      <c r="AF208" s="35">
        <f t="shared" si="850"/>
        <v>45657</v>
      </c>
      <c r="AG208" s="35">
        <f t="shared" si="850"/>
        <v>45747</v>
      </c>
      <c r="AH208" s="35">
        <f t="shared" si="850"/>
        <v>45838</v>
      </c>
      <c r="AI208" s="35">
        <f t="shared" si="850"/>
        <v>45930</v>
      </c>
      <c r="AJ208" s="35">
        <f t="shared" ref="AJ208:AK208" si="851">AJ3</f>
        <v>46022</v>
      </c>
      <c r="AK208" s="35">
        <f t="shared" si="851"/>
        <v>46112</v>
      </c>
    </row>
    <row r="209" spans="2:37" ht="13.5" customHeight="1">
      <c r="B209" s="16" t="s">
        <v>254</v>
      </c>
      <c r="C209" s="7">
        <f t="shared" ref="C209:E210" si="852">C144*C$203</f>
        <v>25415.211252500001</v>
      </c>
      <c r="D209" s="7">
        <f t="shared" si="852"/>
        <v>29733.397614900005</v>
      </c>
      <c r="E209" s="7">
        <f t="shared" si="852"/>
        <v>36486.459937200001</v>
      </c>
      <c r="F209" s="7">
        <f t="shared" ref="F209:G209" si="853">F144*F$203</f>
        <v>50953.579304000006</v>
      </c>
      <c r="G209" s="7">
        <f t="shared" si="853"/>
        <v>42312.742497013096</v>
      </c>
      <c r="H209" s="7">
        <f t="shared" ref="H209:I209" si="854">H144*H$203</f>
        <v>38731.801860284177</v>
      </c>
      <c r="I209" s="7">
        <f t="shared" si="854"/>
        <v>50965.665075949626</v>
      </c>
      <c r="J209" s="7">
        <f t="shared" ref="J209" si="855">J144*J$203</f>
        <v>63674.784249287462</v>
      </c>
      <c r="K209" s="7">
        <f>K144*K$203</f>
        <v>62752.453177331932</v>
      </c>
      <c r="L209" s="21"/>
      <c r="M209" s="87"/>
      <c r="N209" s="87"/>
      <c r="O209" s="87"/>
      <c r="P209" s="7">
        <f t="shared" ref="P209:S210" si="856">P144*P$205</f>
        <v>35472.264201074999</v>
      </c>
      <c r="Q209" s="7">
        <f t="shared" si="856"/>
        <v>40192.316588799993</v>
      </c>
      <c r="R209" s="7">
        <f t="shared" si="856"/>
        <v>46186.706635199997</v>
      </c>
      <c r="S209" s="7">
        <f t="shared" si="856"/>
        <v>47907.375003674992</v>
      </c>
      <c r="T209" s="7">
        <f t="shared" ref="T209:V209" si="857">T144*T$205</f>
        <v>50707.347445250001</v>
      </c>
      <c r="U209" s="7">
        <f t="shared" si="857"/>
        <v>50520.835883998996</v>
      </c>
      <c r="V209" s="7">
        <f t="shared" si="857"/>
        <v>47751.11754440987</v>
      </c>
      <c r="W209" s="7">
        <f t="shared" ref="W209:Z209" si="858">W144*W$205</f>
        <v>45796.367181541245</v>
      </c>
      <c r="X209" s="7">
        <f t="shared" si="858"/>
        <v>41854.971562217273</v>
      </c>
      <c r="Y209" s="7">
        <f t="shared" si="858"/>
        <v>38979.07986477833</v>
      </c>
      <c r="Z209" s="7">
        <f t="shared" si="858"/>
        <v>37799.703005804229</v>
      </c>
      <c r="AA209" s="7">
        <f t="shared" ref="AA209:AD209" si="859">AA144*AA$205</f>
        <v>37384.127432968562</v>
      </c>
      <c r="AB209" s="7">
        <f t="shared" si="859"/>
        <v>39114.533934999992</v>
      </c>
      <c r="AC209" s="7">
        <f t="shared" si="859"/>
        <v>40020.569139474719</v>
      </c>
      <c r="AD209" s="7">
        <f t="shared" si="859"/>
        <v>42743.9297862272</v>
      </c>
      <c r="AE209" s="7">
        <f t="shared" ref="AE209:AH209" si="860">AE144*AE$205</f>
        <v>45916.749893358967</v>
      </c>
      <c r="AF209" s="7">
        <f t="shared" si="860"/>
        <v>50965.665075949626</v>
      </c>
      <c r="AG209" s="7">
        <f t="shared" si="860"/>
        <v>55729.863857937504</v>
      </c>
      <c r="AH209" s="7">
        <f t="shared" si="860"/>
        <v>59549.5611651</v>
      </c>
      <c r="AI209" s="7">
        <f t="shared" ref="AI209:AK209" si="861">AI144*AI$205</f>
        <v>62425.814310492889</v>
      </c>
      <c r="AJ209" s="7">
        <f t="shared" si="861"/>
        <v>63674.784249287462</v>
      </c>
      <c r="AK209" s="7">
        <f t="shared" si="861"/>
        <v>62752.453177331932</v>
      </c>
    </row>
    <row r="210" spans="2:37" ht="13.5" customHeight="1">
      <c r="B210" s="16" t="s">
        <v>255</v>
      </c>
      <c r="C210" s="7">
        <f t="shared" si="852"/>
        <v>282.56316639999761</v>
      </c>
      <c r="D210" s="7">
        <f t="shared" si="852"/>
        <v>1898.2573181999996</v>
      </c>
      <c r="E210" s="7">
        <f t="shared" si="852"/>
        <v>3820.2893959999992</v>
      </c>
      <c r="F210" s="7">
        <f t="shared" ref="F210:G210" si="862">F145*F$203</f>
        <v>4514.8161119999995</v>
      </c>
      <c r="G210" s="7">
        <f t="shared" si="862"/>
        <v>985.71547396171206</v>
      </c>
      <c r="H210" s="7">
        <f t="shared" ref="H210:I210" si="863">H145*H$203</f>
        <v>3551.2815388315375</v>
      </c>
      <c r="I210" s="7">
        <f t="shared" si="863"/>
        <v>4292.9595855348743</v>
      </c>
      <c r="J210" s="7">
        <f t="shared" ref="J210" si="864">J145*J$203</f>
        <v>7889.2843917255141</v>
      </c>
      <c r="K210" s="7">
        <f>K145*K$203</f>
        <v>6974.4262978020888</v>
      </c>
      <c r="L210" s="21"/>
      <c r="M210" s="87"/>
      <c r="N210" s="87"/>
      <c r="O210" s="87"/>
      <c r="P210" s="7">
        <f t="shared" si="856"/>
        <v>3714.098737249999</v>
      </c>
      <c r="Q210" s="7">
        <f t="shared" si="856"/>
        <v>4693.1886399999985</v>
      </c>
      <c r="R210" s="7">
        <f t="shared" si="856"/>
        <v>5643.8744183999979</v>
      </c>
      <c r="S210" s="7">
        <f t="shared" si="856"/>
        <v>5199.2357570999975</v>
      </c>
      <c r="T210" s="7">
        <f t="shared" ref="T210:V210" si="865">T145*T$205</f>
        <v>4492.9983794999971</v>
      </c>
      <c r="U210" s="7">
        <f t="shared" si="865"/>
        <v>3148.8150046632459</v>
      </c>
      <c r="V210" s="7">
        <f t="shared" si="865"/>
        <v>1782.9896716186204</v>
      </c>
      <c r="W210" s="7">
        <f t="shared" ref="W210:Z210" si="866">W145*W$205</f>
        <v>1147.9618381559962</v>
      </c>
      <c r="X210" s="7">
        <f t="shared" si="866"/>
        <v>975.05126579817659</v>
      </c>
      <c r="Y210" s="7">
        <f t="shared" si="866"/>
        <v>1959.7215590944543</v>
      </c>
      <c r="Z210" s="7">
        <f t="shared" si="866"/>
        <v>2263.1461910797993</v>
      </c>
      <c r="AA210" s="7">
        <f t="shared" ref="AA210:AD210" si="867">AA145*AA$205</f>
        <v>3238.5598611506939</v>
      </c>
      <c r="AB210" s="7">
        <f t="shared" si="867"/>
        <v>3586.3738734499998</v>
      </c>
      <c r="AC210" s="7">
        <f t="shared" si="867"/>
        <v>3220.7601722987902</v>
      </c>
      <c r="AD210" s="7">
        <f t="shared" si="867"/>
        <v>3509.5006083505264</v>
      </c>
      <c r="AE210" s="7">
        <f t="shared" ref="AE210:AH210" si="868">AE145*AE$205</f>
        <v>3674.1750370975865</v>
      </c>
      <c r="AF210" s="7">
        <f t="shared" si="868"/>
        <v>4292.9595855348734</v>
      </c>
      <c r="AG210" s="7">
        <f t="shared" si="868"/>
        <v>5639.9669778374946</v>
      </c>
      <c r="AH210" s="7">
        <f t="shared" si="868"/>
        <v>6777.339725924995</v>
      </c>
      <c r="AI210" s="7">
        <f t="shared" ref="AI210:AK210" si="869">AI145*AI$205</f>
        <v>8111.6982166105872</v>
      </c>
      <c r="AJ210" s="7">
        <f t="shared" si="869"/>
        <v>7889.2843917255177</v>
      </c>
      <c r="AK210" s="7">
        <f t="shared" si="869"/>
        <v>6974.4262978020888</v>
      </c>
    </row>
    <row r="211" spans="2:37" ht="13.5" customHeight="1">
      <c r="B211" s="16" t="s">
        <v>256</v>
      </c>
      <c r="C211" s="17">
        <f t="shared" ref="C211:E211" si="870">C210/C209</f>
        <v>1.1117875967771187E-2</v>
      </c>
      <c r="D211" s="17">
        <f t="shared" si="870"/>
        <v>6.3842596893425488E-2</v>
      </c>
      <c r="E211" s="17">
        <f t="shared" si="870"/>
        <v>0.10470430407815473</v>
      </c>
      <c r="F211" s="17">
        <f t="shared" ref="F211:G211" si="871">F210/F209</f>
        <v>8.8606456576163894E-2</v>
      </c>
      <c r="G211" s="17">
        <f t="shared" si="871"/>
        <v>2.3295948591167185E-2</v>
      </c>
      <c r="H211" s="17">
        <f t="shared" ref="H211:I211" si="872">H210/H209</f>
        <v>9.1689035063278149E-2</v>
      </c>
      <c r="I211" s="17">
        <f t="shared" si="872"/>
        <v>8.4232386237625981E-2</v>
      </c>
      <c r="J211" s="17">
        <f t="shared" ref="J211" si="873">J210/J209</f>
        <v>0.1238996642821573</v>
      </c>
      <c r="K211" s="17">
        <f>K210/K209</f>
        <v>0.11114189078940201</v>
      </c>
      <c r="L211" s="21"/>
      <c r="M211" s="87"/>
      <c r="N211" s="87"/>
      <c r="O211" s="87"/>
      <c r="P211" s="17">
        <f t="shared" ref="P211:S211" si="874">P210/P209</f>
        <v>0.10470430407815473</v>
      </c>
      <c r="Q211" s="17">
        <f t="shared" si="874"/>
        <v>0.11676830395259685</v>
      </c>
      <c r="R211" s="17">
        <f t="shared" si="874"/>
        <v>0.12219694430645259</v>
      </c>
      <c r="S211" s="17">
        <f t="shared" si="874"/>
        <v>0.10852683447383962</v>
      </c>
      <c r="T211" s="17">
        <f t="shared" ref="T211:V211" si="875">T210/T209</f>
        <v>8.8606456576163853E-2</v>
      </c>
      <c r="U211" s="17">
        <f t="shared" si="875"/>
        <v>6.2327056739386634E-2</v>
      </c>
      <c r="V211" s="17">
        <f t="shared" si="875"/>
        <v>3.7339223945081289E-2</v>
      </c>
      <c r="W211" s="17">
        <f t="shared" ref="W211:Z211" si="876">W210/W209</f>
        <v>2.5066657222075368E-2</v>
      </c>
      <c r="X211" s="17">
        <f t="shared" si="876"/>
        <v>2.329594859116715E-2</v>
      </c>
      <c r="Y211" s="17">
        <f t="shared" si="876"/>
        <v>5.0276239610911579E-2</v>
      </c>
      <c r="Z211" s="17">
        <f t="shared" si="876"/>
        <v>5.9872062770765372E-2</v>
      </c>
      <c r="AA211" s="17">
        <f t="shared" ref="AA211:AD211" si="877">AA210/AA209</f>
        <v>8.6629275137090705E-2</v>
      </c>
      <c r="AB211" s="17">
        <f t="shared" si="877"/>
        <v>9.1689035063278218E-2</v>
      </c>
      <c r="AC211" s="17">
        <f t="shared" si="877"/>
        <v>8.0477620422493165E-2</v>
      </c>
      <c r="AD211" s="17">
        <f t="shared" si="877"/>
        <v>8.210523987622087E-2</v>
      </c>
      <c r="AE211" s="17">
        <f t="shared" ref="AE211:AH211" si="878">AE210/AE209</f>
        <v>8.0018186078736162E-2</v>
      </c>
      <c r="AF211" s="17">
        <f t="shared" si="878"/>
        <v>8.4232386237625967E-2</v>
      </c>
      <c r="AG211" s="17">
        <f t="shared" si="878"/>
        <v>0.10120187969980488</v>
      </c>
      <c r="AH211" s="17">
        <f t="shared" si="878"/>
        <v>0.11381007002108634</v>
      </c>
      <c r="AI211" s="17">
        <f t="shared" ref="AI211:AK211" si="879">AI210/AI209</f>
        <v>0.12994140815311922</v>
      </c>
      <c r="AJ211" s="17">
        <f t="shared" si="879"/>
        <v>0.12389966428215736</v>
      </c>
      <c r="AK211" s="17">
        <f t="shared" si="879"/>
        <v>0.11114189078940201</v>
      </c>
    </row>
    <row r="212" spans="2:37" ht="13.5" customHeight="1">
      <c r="B212" s="16" t="s">
        <v>236</v>
      </c>
      <c r="C212" s="7">
        <f t="shared" ref="C212:E214" si="880">C147*C$204</f>
        <v>1713.1117010000003</v>
      </c>
      <c r="D212" s="7">
        <f t="shared" si="880"/>
        <v>2668.6134324</v>
      </c>
      <c r="E212" s="7">
        <f t="shared" si="880"/>
        <v>2830.6184904000002</v>
      </c>
      <c r="F212" s="7">
        <f t="shared" ref="F212:G212" si="881">F147*F$204</f>
        <v>4641.8006568000001</v>
      </c>
      <c r="G212" s="7">
        <f t="shared" si="881"/>
        <v>3777.7837383285969</v>
      </c>
      <c r="H212" s="7">
        <f t="shared" ref="H212:I212" si="882">H147*H$204</f>
        <v>4202.0782495984668</v>
      </c>
      <c r="I212" s="7">
        <f t="shared" si="882"/>
        <v>4933.5582380000005</v>
      </c>
      <c r="J212" s="7">
        <f t="shared" ref="J212" si="883">J147*J$204</f>
        <v>5982.2262893747238</v>
      </c>
      <c r="K212" s="7">
        <f>K147*K$204</f>
        <v>5126.4294825337001</v>
      </c>
      <c r="L212" s="7"/>
      <c r="M212" s="7">
        <f t="shared" ref="M212:S214" si="884">M147*M$204</f>
        <v>2327.1245423999999</v>
      </c>
      <c r="N212" s="7">
        <f t="shared" si="884"/>
        <v>3311.7475039999999</v>
      </c>
      <c r="O212" s="7">
        <f t="shared" si="884"/>
        <v>2733.3358976</v>
      </c>
      <c r="P212" s="7">
        <f t="shared" si="884"/>
        <v>2830.6184904000002</v>
      </c>
      <c r="Q212" s="7">
        <f t="shared" si="884"/>
        <v>3205.3454510000001</v>
      </c>
      <c r="R212" s="7">
        <f t="shared" si="884"/>
        <v>2991.6964672000008</v>
      </c>
      <c r="S212" s="7">
        <f t="shared" si="884"/>
        <v>4016.8340849999995</v>
      </c>
      <c r="T212" s="7">
        <f t="shared" ref="T212:V212" si="885">T147*T$204</f>
        <v>4641.8006568000001</v>
      </c>
      <c r="U212" s="7">
        <f t="shared" si="885"/>
        <v>4678.101553902</v>
      </c>
      <c r="V212" s="7">
        <f t="shared" si="885"/>
        <v>5304.6473519269994</v>
      </c>
      <c r="W212" s="7">
        <f t="shared" ref="W212:Z212" si="886">W147*W$204</f>
        <v>3606.6378600000003</v>
      </c>
      <c r="X212" s="7">
        <f t="shared" si="886"/>
        <v>3777.7837383285969</v>
      </c>
      <c r="Y212" s="7">
        <f t="shared" si="886"/>
        <v>3269.4235191384078</v>
      </c>
      <c r="Z212" s="7">
        <f t="shared" si="886"/>
        <v>3439.9067779080187</v>
      </c>
      <c r="AA212" s="7">
        <f t="shared" ref="AA212:AD212" si="887">AA147*AA$204</f>
        <v>3401.613477605807</v>
      </c>
      <c r="AB212" s="7">
        <f t="shared" si="887"/>
        <v>4202.0782495984668</v>
      </c>
      <c r="AC212" s="7">
        <f t="shared" si="887"/>
        <v>3837.2667345</v>
      </c>
      <c r="AD212" s="7">
        <f t="shared" si="887"/>
        <v>4726.3735519999991</v>
      </c>
      <c r="AE212" s="7">
        <f t="shared" ref="AE212:AH212" si="888">AE147*AE$204</f>
        <v>3898.8209474999999</v>
      </c>
      <c r="AF212" s="7">
        <f t="shared" si="888"/>
        <v>4933.5582380000005</v>
      </c>
      <c r="AG212" s="7">
        <f t="shared" si="888"/>
        <v>4264.1775930000003</v>
      </c>
      <c r="AH212" s="7">
        <f t="shared" si="888"/>
        <v>4036.2319056000001</v>
      </c>
      <c r="AI212" s="7">
        <f t="shared" ref="AI212:AK212" si="889">AI147*AI$204</f>
        <v>3875.0703691218609</v>
      </c>
      <c r="AJ212" s="7">
        <f t="shared" si="889"/>
        <v>5982.2262893747238</v>
      </c>
      <c r="AK212" s="7">
        <f t="shared" si="889"/>
        <v>5126.4294825337001</v>
      </c>
    </row>
    <row r="213" spans="2:37" ht="13.5" customHeight="1">
      <c r="B213" s="16" t="s">
        <v>257</v>
      </c>
      <c r="C213" s="7">
        <f t="shared" si="880"/>
        <v>5556.9496792</v>
      </c>
      <c r="D213" s="7">
        <f t="shared" si="880"/>
        <v>9176.943818400001</v>
      </c>
      <c r="E213" s="7">
        <f t="shared" si="880"/>
        <v>14634.465542400001</v>
      </c>
      <c r="F213" s="7">
        <f t="shared" ref="F213:G213" si="890">F148*F$204</f>
        <v>13546.449048</v>
      </c>
      <c r="G213" s="7">
        <f t="shared" si="890"/>
        <v>9826.7394014962592</v>
      </c>
      <c r="H213" s="7">
        <f t="shared" ref="H213:I213" si="891">H148*H$204</f>
        <v>15174.811772661953</v>
      </c>
      <c r="I213" s="7">
        <f t="shared" si="891"/>
        <v>13770.789955</v>
      </c>
      <c r="J213" s="7">
        <f t="shared" ref="J213" si="892">J148*J$204</f>
        <v>15399.086177559806</v>
      </c>
      <c r="K213" s="7">
        <f>K148*K$204</f>
        <v>14237.630236266124</v>
      </c>
      <c r="L213" s="7"/>
      <c r="M213" s="7">
        <f t="shared" si="884"/>
        <v>7230.4309416000006</v>
      </c>
      <c r="N213" s="7">
        <f t="shared" si="884"/>
        <v>8538.5973259999992</v>
      </c>
      <c r="O213" s="7">
        <f t="shared" si="884"/>
        <v>9820.5043776000002</v>
      </c>
      <c r="P213" s="7">
        <f t="shared" si="884"/>
        <v>14634.465542400001</v>
      </c>
      <c r="Q213" s="7">
        <f t="shared" si="884"/>
        <v>14422.041354000003</v>
      </c>
      <c r="R213" s="7">
        <f t="shared" si="884"/>
        <v>14502.614734000001</v>
      </c>
      <c r="S213" s="7">
        <f t="shared" si="884"/>
        <v>12700.108980899999</v>
      </c>
      <c r="T213" s="7">
        <f t="shared" ref="T213:V213" si="893">T148*T$204</f>
        <v>13546.449048</v>
      </c>
      <c r="U213" s="7">
        <f t="shared" si="893"/>
        <v>12002.833184487999</v>
      </c>
      <c r="V213" s="7">
        <f t="shared" si="893"/>
        <v>11182.451601706</v>
      </c>
      <c r="W213" s="7">
        <f t="shared" ref="W213:Z213" si="894">W148*W$204</f>
        <v>9304.8831400000017</v>
      </c>
      <c r="X213" s="7">
        <f t="shared" si="894"/>
        <v>9826.7394014962592</v>
      </c>
      <c r="Y213" s="7">
        <f t="shared" si="894"/>
        <v>10368.58564983263</v>
      </c>
      <c r="Z213" s="7">
        <f t="shared" si="894"/>
        <v>12310.555471281803</v>
      </c>
      <c r="AA213" s="7">
        <f t="shared" ref="AA213:AD213" si="895">AA148*AA$204</f>
        <v>13516.392959868512</v>
      </c>
      <c r="AB213" s="7">
        <f t="shared" si="895"/>
        <v>15174.811772661953</v>
      </c>
      <c r="AC213" s="7">
        <f t="shared" si="895"/>
        <v>13507.741016</v>
      </c>
      <c r="AD213" s="7">
        <f t="shared" si="895"/>
        <v>13461.462902400001</v>
      </c>
      <c r="AE213" s="7">
        <f t="shared" ref="AE213:AH213" si="896">AE148*AE$204</f>
        <v>14190.658297499998</v>
      </c>
      <c r="AF213" s="7">
        <f t="shared" si="896"/>
        <v>13770.789955</v>
      </c>
      <c r="AG213" s="7">
        <f t="shared" si="896"/>
        <v>17946.677754200002</v>
      </c>
      <c r="AH213" s="7">
        <f t="shared" si="896"/>
        <v>15626.119718</v>
      </c>
      <c r="AI213" s="7">
        <f t="shared" ref="AI213:AK213" si="897">AI148*AI$204</f>
        <v>15471.419742682174</v>
      </c>
      <c r="AJ213" s="7">
        <f t="shared" si="897"/>
        <v>15399.086177559806</v>
      </c>
      <c r="AK213" s="7">
        <f t="shared" si="897"/>
        <v>14237.630236266124</v>
      </c>
    </row>
    <row r="214" spans="2:37" ht="13.5" customHeight="1">
      <c r="B214" s="16" t="s">
        <v>258</v>
      </c>
      <c r="C214" s="7">
        <f t="shared" si="880"/>
        <v>-3843.8379782000002</v>
      </c>
      <c r="D214" s="7">
        <f t="shared" si="880"/>
        <v>-6508.3303860000005</v>
      </c>
      <c r="E214" s="7">
        <f t="shared" si="880"/>
        <v>-11803.847052000001</v>
      </c>
      <c r="F214" s="7">
        <f t="shared" ref="F214:G214" si="898">F149*F$204</f>
        <v>-8904.6483912000003</v>
      </c>
      <c r="G214" s="7">
        <f t="shared" si="898"/>
        <v>-6048.9556631676624</v>
      </c>
      <c r="H214" s="7">
        <f t="shared" ref="H214:I214" si="899">H149*H$204</f>
        <v>-10972.733523063485</v>
      </c>
      <c r="I214" s="7">
        <f t="shared" si="899"/>
        <v>-8837.2317170000006</v>
      </c>
      <c r="J214" s="7">
        <f t="shared" ref="J214" si="900">J149*J$204</f>
        <v>-9416.8598881850812</v>
      </c>
      <c r="K214" s="7">
        <f>K149*K$204</f>
        <v>-9111.2007537324225</v>
      </c>
      <c r="L214" s="7"/>
      <c r="M214" s="7">
        <f t="shared" si="884"/>
        <v>-4903.3063991999998</v>
      </c>
      <c r="N214" s="7">
        <f t="shared" si="884"/>
        <v>-5226.8498220000001</v>
      </c>
      <c r="O214" s="7">
        <f t="shared" si="884"/>
        <v>-7087.1684800000003</v>
      </c>
      <c r="P214" s="7">
        <f t="shared" si="884"/>
        <v>-11803.847052000001</v>
      </c>
      <c r="Q214" s="7">
        <f t="shared" si="884"/>
        <v>-11216.695903000003</v>
      </c>
      <c r="R214" s="7">
        <f t="shared" si="884"/>
        <v>-11510.918266800001</v>
      </c>
      <c r="S214" s="7">
        <f t="shared" si="884"/>
        <v>-8683.2748958999982</v>
      </c>
      <c r="T214" s="7">
        <f t="shared" ref="T214:V214" si="901">T149*T$204</f>
        <v>-8904.6483912000003</v>
      </c>
      <c r="U214" s="7">
        <f t="shared" si="901"/>
        <v>-7324.7316305859986</v>
      </c>
      <c r="V214" s="7">
        <f t="shared" si="901"/>
        <v>-5877.8042497790002</v>
      </c>
      <c r="W214" s="7">
        <f t="shared" ref="W214:Z214" si="902">W149*W$204</f>
        <v>-5698.245280000001</v>
      </c>
      <c r="X214" s="7">
        <f t="shared" si="902"/>
        <v>-6048.9556631676624</v>
      </c>
      <c r="Y214" s="7">
        <f t="shared" si="902"/>
        <v>-7099.1621306942225</v>
      </c>
      <c r="Z214" s="7">
        <f t="shared" si="902"/>
        <v>-8870.6486933737833</v>
      </c>
      <c r="AA214" s="7">
        <f t="shared" ref="AA214:AD214" si="903">AA149*AA$204</f>
        <v>-10114.779482262704</v>
      </c>
      <c r="AB214" s="7">
        <f t="shared" si="903"/>
        <v>-10972.733523063485</v>
      </c>
      <c r="AC214" s="7">
        <f t="shared" si="903"/>
        <v>-9670.4742815000009</v>
      </c>
      <c r="AD214" s="7">
        <f t="shared" si="903"/>
        <v>-8735.0893504000014</v>
      </c>
      <c r="AE214" s="7">
        <f t="shared" ref="AE214:AH214" si="904">AE149*AE$204</f>
        <v>-10291.837349999998</v>
      </c>
      <c r="AF214" s="7">
        <f t="shared" si="904"/>
        <v>-8837.2317170000006</v>
      </c>
      <c r="AG214" s="7">
        <f t="shared" si="904"/>
        <v>-13682.5001612</v>
      </c>
      <c r="AH214" s="7">
        <f t="shared" si="904"/>
        <v>-11589.8878124</v>
      </c>
      <c r="AI214" s="7">
        <f t="shared" ref="AI214:AK214" si="905">AI149*AI$204</f>
        <v>-11596.349373560313</v>
      </c>
      <c r="AJ214" s="7">
        <f t="shared" si="905"/>
        <v>-9416.8598881850812</v>
      </c>
      <c r="AK214" s="7">
        <f t="shared" si="905"/>
        <v>-9111.2007537324225</v>
      </c>
    </row>
    <row r="215" spans="2:37" ht="13.5" customHeight="1">
      <c r="B215" s="16" t="s">
        <v>259</v>
      </c>
      <c r="C215" s="21">
        <f t="shared" ref="C215:E215" si="906">C212/C210</f>
        <v>6.0627565964309449</v>
      </c>
      <c r="D215" s="21">
        <f t="shared" si="906"/>
        <v>1.4058228074845414</v>
      </c>
      <c r="E215" s="21">
        <f t="shared" si="906"/>
        <v>0.74094347233583258</v>
      </c>
      <c r="F215" s="21">
        <f t="shared" ref="F215:G215" si="907">F212/F210</f>
        <v>1.0281261831378883</v>
      </c>
      <c r="G215" s="21">
        <f t="shared" si="907"/>
        <v>3.8325296072965336</v>
      </c>
      <c r="H215" s="21">
        <f t="shared" ref="H215:I215" si="908">H212/H210</f>
        <v>1.1832568619668093</v>
      </c>
      <c r="I215" s="21">
        <f t="shared" si="908"/>
        <v>1.1492207507901129</v>
      </c>
      <c r="J215" s="21">
        <f t="shared" ref="J215" si="909">J212/J210</f>
        <v>0.75827235935987269</v>
      </c>
      <c r="K215" s="21">
        <f>K212/K210</f>
        <v>0.73503242612933428</v>
      </c>
      <c r="L215" s="21"/>
      <c r="M215" s="87"/>
      <c r="N215" s="87"/>
      <c r="O215" s="87"/>
      <c r="P215" s="21">
        <f t="shared" ref="P215:S215" si="910">P212/P210</f>
        <v>0.76212795906870612</v>
      </c>
      <c r="Q215" s="21">
        <f t="shared" si="910"/>
        <v>0.68297818325069526</v>
      </c>
      <c r="R215" s="21">
        <f t="shared" si="910"/>
        <v>0.5300784966877643</v>
      </c>
      <c r="S215" s="21">
        <f t="shared" si="910"/>
        <v>0.77258163942934721</v>
      </c>
      <c r="T215" s="21">
        <f t="shared" ref="T215:V215" si="911">T212/T210</f>
        <v>1.0331187026416337</v>
      </c>
      <c r="U215" s="21">
        <f t="shared" si="911"/>
        <v>1.485670497305797</v>
      </c>
      <c r="V215" s="21">
        <f t="shared" si="911"/>
        <v>2.975141940733383</v>
      </c>
      <c r="W215" s="21">
        <f t="shared" ref="W215:Z215" si="912">W212/W210</f>
        <v>3.1417750487189062</v>
      </c>
      <c r="X215" s="21">
        <f t="shared" si="912"/>
        <v>3.8744462684596432</v>
      </c>
      <c r="Y215" s="21">
        <f t="shared" si="912"/>
        <v>1.6683102270146679</v>
      </c>
      <c r="Z215" s="21">
        <f t="shared" si="912"/>
        <v>1.5199666691733951</v>
      </c>
      <c r="AA215" s="21">
        <f t="shared" ref="AA215:AD215" si="913">AA212/AA210</f>
        <v>1.0503475691189412</v>
      </c>
      <c r="AB215" s="21">
        <f t="shared" si="913"/>
        <v>1.1716788036814954</v>
      </c>
      <c r="AC215" s="21">
        <f t="shared" si="913"/>
        <v>1.1914164759933625</v>
      </c>
      <c r="AD215" s="21">
        <f t="shared" si="913"/>
        <v>1.3467367809408661</v>
      </c>
      <c r="AE215" s="21">
        <f t="shared" ref="AE215:AH215" si="914">AE212/AE210</f>
        <v>1.0611418639923786</v>
      </c>
      <c r="AF215" s="21">
        <f t="shared" si="914"/>
        <v>1.1492207507901133</v>
      </c>
      <c r="AG215" s="21">
        <f t="shared" si="914"/>
        <v>0.75606428366624823</v>
      </c>
      <c r="AH215" s="21">
        <f t="shared" si="914"/>
        <v>0.59554811604919522</v>
      </c>
      <c r="AI215" s="21">
        <f t="shared" ref="AI215:AK215" si="915">AI212/AI210</f>
        <v>0.47771382337507995</v>
      </c>
      <c r="AJ215" s="21">
        <f t="shared" si="915"/>
        <v>0.75827235935987236</v>
      </c>
      <c r="AK215" s="21">
        <f t="shared" si="915"/>
        <v>0.73503242612933428</v>
      </c>
    </row>
    <row r="216" spans="2:37" ht="13.5" customHeight="1">
      <c r="B216" s="16" t="s">
        <v>260</v>
      </c>
      <c r="C216" s="21">
        <f t="shared" ref="C216:E216" si="916">C214/C210</f>
        <v>-13.60346441177208</v>
      </c>
      <c r="D216" s="21">
        <f t="shared" si="916"/>
        <v>-3.4285817436865984</v>
      </c>
      <c r="E216" s="21">
        <f t="shared" si="916"/>
        <v>-3.0897782415015773</v>
      </c>
      <c r="F216" s="21">
        <f t="shared" ref="F216:G216" si="917">F214/F210</f>
        <v>-1.9723169604919673</v>
      </c>
      <c r="G216" s="21">
        <f t="shared" si="917"/>
        <v>-6.1366142897769107</v>
      </c>
      <c r="H216" s="21">
        <f t="shared" ref="H216:I216" si="918">H214/H210</f>
        <v>-3.0897954451321241</v>
      </c>
      <c r="I216" s="21">
        <f t="shared" si="918"/>
        <v>-2.0585406270250131</v>
      </c>
      <c r="J216" s="21">
        <f t="shared" ref="J216" si="919">J214/J210</f>
        <v>-1.1936266232285564</v>
      </c>
      <c r="K216" s="21">
        <f>K214/K210</f>
        <v>-1.30637279178127</v>
      </c>
      <c r="L216" s="21"/>
      <c r="M216" s="87"/>
      <c r="N216" s="87"/>
      <c r="O216" s="87"/>
      <c r="P216" s="21">
        <f t="shared" ref="P216:S216" si="920">P214/P210</f>
        <v>-3.178118808101432</v>
      </c>
      <c r="Q216" s="21">
        <f t="shared" si="920"/>
        <v>-2.3899946845094227</v>
      </c>
      <c r="R216" s="21">
        <f t="shared" si="920"/>
        <v>-2.0395418844318072</v>
      </c>
      <c r="S216" s="21">
        <f t="shared" si="920"/>
        <v>-1.6701060120311433</v>
      </c>
      <c r="T216" s="21">
        <f t="shared" ref="T216:V216" si="921">T214/T210</f>
        <v>-1.9818944141686856</v>
      </c>
      <c r="U216" s="21">
        <f t="shared" si="921"/>
        <v>-2.3261867146016573</v>
      </c>
      <c r="V216" s="21">
        <f t="shared" si="921"/>
        <v>-3.2966002794862272</v>
      </c>
      <c r="W216" s="21">
        <f t="shared" ref="W216:Z216" si="922">W214/W210</f>
        <v>-4.9637932992208649</v>
      </c>
      <c r="X216" s="21">
        <f t="shared" si="922"/>
        <v>-6.2037308963606028</v>
      </c>
      <c r="Y216" s="21">
        <f t="shared" si="922"/>
        <v>-3.6225361188426151</v>
      </c>
      <c r="Z216" s="21">
        <f t="shared" si="922"/>
        <v>-3.9196092273391283</v>
      </c>
      <c r="AA216" s="21">
        <f t="shared" ref="AA216:AD216" si="923">AA214/AA210</f>
        <v>-3.1232337569541846</v>
      </c>
      <c r="AB216" s="21">
        <f t="shared" si="923"/>
        <v>-3.0595620842252003</v>
      </c>
      <c r="AC216" s="21">
        <f t="shared" si="923"/>
        <v>-3.002544046798052</v>
      </c>
      <c r="AD216" s="21">
        <f t="shared" si="923"/>
        <v>-2.4889835692336622</v>
      </c>
      <c r="AE216" s="21">
        <f t="shared" ref="AE216:AH216" si="924">AE214/AE210</f>
        <v>-2.8011287557301658</v>
      </c>
      <c r="AF216" s="21">
        <f t="shared" si="924"/>
        <v>-2.0585406270250135</v>
      </c>
      <c r="AG216" s="21">
        <f t="shared" si="924"/>
        <v>-2.4259894100383925</v>
      </c>
      <c r="AH216" s="21">
        <f t="shared" si="924"/>
        <v>-1.7100939721327266</v>
      </c>
      <c r="AI216" s="21">
        <f t="shared" ref="AI216:AK216" si="925">AI214/AI210</f>
        <v>-1.4295834317176757</v>
      </c>
      <c r="AJ216" s="21">
        <f t="shared" si="925"/>
        <v>-1.1936266232285559</v>
      </c>
      <c r="AK216" s="21">
        <f t="shared" si="925"/>
        <v>-1.30637279178127</v>
      </c>
    </row>
    <row r="217" spans="2:37" ht="13.5" customHeight="1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2:37" ht="13.5" customHeight="1">
      <c r="B218" s="39" t="s">
        <v>261</v>
      </c>
      <c r="C218" s="38"/>
      <c r="D218" s="38"/>
      <c r="E218" s="38"/>
      <c r="F218" s="38"/>
      <c r="G218" s="38"/>
      <c r="H218" s="38"/>
      <c r="I218" s="38"/>
      <c r="J218" s="38"/>
      <c r="K218" s="38"/>
      <c r="L218" s="210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</row>
    <row r="219" spans="2:37" s="37" customFormat="1" ht="13.5" customHeight="1">
      <c r="B219" s="36" t="s">
        <v>269</v>
      </c>
      <c r="C219" s="35">
        <f t="shared" ref="C219:I219" si="926">C3</f>
        <v>43465</v>
      </c>
      <c r="D219" s="35">
        <f t="shared" si="926"/>
        <v>43830</v>
      </c>
      <c r="E219" s="35">
        <f t="shared" si="926"/>
        <v>44196</v>
      </c>
      <c r="F219" s="35">
        <f t="shared" si="926"/>
        <v>44561</v>
      </c>
      <c r="G219" s="35">
        <f t="shared" si="926"/>
        <v>44926</v>
      </c>
      <c r="H219" s="35">
        <f t="shared" si="926"/>
        <v>45291</v>
      </c>
      <c r="I219" s="35">
        <f t="shared" si="926"/>
        <v>45657</v>
      </c>
      <c r="J219" s="35">
        <f t="shared" ref="J219" si="927">J3</f>
        <v>46022</v>
      </c>
      <c r="K219" s="35" t="str">
        <f>K2</f>
        <v>LTM</v>
      </c>
      <c r="L219" s="204"/>
      <c r="M219" s="35">
        <f t="shared" ref="M219:AI219" si="928">M3</f>
        <v>43921</v>
      </c>
      <c r="N219" s="35">
        <f t="shared" si="928"/>
        <v>44012</v>
      </c>
      <c r="O219" s="35">
        <f t="shared" si="928"/>
        <v>44104</v>
      </c>
      <c r="P219" s="35">
        <f t="shared" si="928"/>
        <v>44196</v>
      </c>
      <c r="Q219" s="35">
        <f t="shared" si="928"/>
        <v>44286</v>
      </c>
      <c r="R219" s="35">
        <f t="shared" si="928"/>
        <v>44377</v>
      </c>
      <c r="S219" s="35">
        <f t="shared" si="928"/>
        <v>44469</v>
      </c>
      <c r="T219" s="35">
        <f t="shared" si="928"/>
        <v>44561</v>
      </c>
      <c r="U219" s="35">
        <f t="shared" si="928"/>
        <v>44651</v>
      </c>
      <c r="V219" s="35">
        <f t="shared" si="928"/>
        <v>44742</v>
      </c>
      <c r="W219" s="35">
        <f t="shared" si="928"/>
        <v>44834</v>
      </c>
      <c r="X219" s="35">
        <f t="shared" si="928"/>
        <v>44926</v>
      </c>
      <c r="Y219" s="35">
        <f t="shared" si="928"/>
        <v>45016</v>
      </c>
      <c r="Z219" s="35">
        <f t="shared" si="928"/>
        <v>45107</v>
      </c>
      <c r="AA219" s="35">
        <f t="shared" si="928"/>
        <v>45199</v>
      </c>
      <c r="AB219" s="35">
        <f t="shared" si="928"/>
        <v>45291</v>
      </c>
      <c r="AC219" s="35">
        <f t="shared" si="928"/>
        <v>45382</v>
      </c>
      <c r="AD219" s="35">
        <f t="shared" si="928"/>
        <v>45473</v>
      </c>
      <c r="AE219" s="35">
        <f t="shared" si="928"/>
        <v>45565</v>
      </c>
      <c r="AF219" s="35">
        <f t="shared" si="928"/>
        <v>45657</v>
      </c>
      <c r="AG219" s="35">
        <f t="shared" si="928"/>
        <v>45747</v>
      </c>
      <c r="AH219" s="35">
        <f t="shared" si="928"/>
        <v>45838</v>
      </c>
      <c r="AI219" s="35">
        <f t="shared" si="928"/>
        <v>45930</v>
      </c>
      <c r="AJ219" s="35">
        <f t="shared" ref="AJ219:AK219" si="929">AJ3</f>
        <v>46022</v>
      </c>
      <c r="AK219" s="35">
        <f t="shared" si="929"/>
        <v>46112</v>
      </c>
    </row>
    <row r="220" spans="2:37" s="19" customFormat="1" ht="13.5" customHeight="1">
      <c r="B220" s="36"/>
      <c r="C220" s="35" t="s">
        <v>157</v>
      </c>
      <c r="D220" s="35" t="s">
        <v>157</v>
      </c>
      <c r="E220" s="35" t="s">
        <v>157</v>
      </c>
      <c r="F220" s="35" t="s">
        <v>157</v>
      </c>
      <c r="G220" s="35" t="s">
        <v>157</v>
      </c>
      <c r="H220" s="35" t="s">
        <v>157</v>
      </c>
      <c r="I220" s="35" t="s">
        <v>157</v>
      </c>
      <c r="J220" s="35" t="s">
        <v>157</v>
      </c>
      <c r="K220" s="35" t="s">
        <v>157</v>
      </c>
      <c r="L220" s="204"/>
      <c r="M220" s="35" t="s">
        <v>157</v>
      </c>
      <c r="N220" s="35" t="s">
        <v>157</v>
      </c>
      <c r="O220" s="35" t="s">
        <v>157</v>
      </c>
      <c r="P220" s="35" t="s">
        <v>157</v>
      </c>
      <c r="Q220" s="35" t="s">
        <v>157</v>
      </c>
      <c r="R220" s="35" t="s">
        <v>157</v>
      </c>
      <c r="S220" s="35" t="s">
        <v>157</v>
      </c>
      <c r="T220" s="35" t="s">
        <v>157</v>
      </c>
      <c r="U220" s="35" t="s">
        <v>157</v>
      </c>
      <c r="V220" s="35" t="s">
        <v>157</v>
      </c>
      <c r="W220" s="35" t="s">
        <v>157</v>
      </c>
      <c r="X220" s="35" t="s">
        <v>157</v>
      </c>
      <c r="Y220" s="35" t="s">
        <v>157</v>
      </c>
      <c r="Z220" s="35" t="s">
        <v>157</v>
      </c>
      <c r="AA220" s="35" t="s">
        <v>157</v>
      </c>
      <c r="AB220" s="35" t="s">
        <v>157</v>
      </c>
      <c r="AC220" s="35" t="s">
        <v>157</v>
      </c>
      <c r="AD220" s="35" t="s">
        <v>157</v>
      </c>
      <c r="AE220" s="35" t="s">
        <v>157</v>
      </c>
      <c r="AF220" s="35" t="s">
        <v>157</v>
      </c>
      <c r="AG220" s="35" t="s">
        <v>157</v>
      </c>
      <c r="AH220" s="35" t="s">
        <v>157</v>
      </c>
      <c r="AI220" s="35" t="s">
        <v>157</v>
      </c>
      <c r="AJ220" s="35" t="s">
        <v>157</v>
      </c>
      <c r="AK220" s="35" t="s">
        <v>157</v>
      </c>
    </row>
    <row r="221" spans="2:37" ht="13.5" customHeight="1"/>
    <row r="222" spans="2:37" s="19" customFormat="1" ht="13.5" customHeight="1">
      <c r="B222" s="19" t="str">
        <f>B7</f>
        <v>Revenue</v>
      </c>
      <c r="C222" s="33">
        <f t="shared" ref="C222:K222" si="930">C7*C$203</f>
        <v>25415.211252500001</v>
      </c>
      <c r="D222" s="33">
        <f t="shared" si="930"/>
        <v>29733.397614900005</v>
      </c>
      <c r="E222" s="33">
        <f t="shared" si="930"/>
        <v>36486.459937200001</v>
      </c>
      <c r="F222" s="33">
        <f t="shared" si="930"/>
        <v>50953.579304000006</v>
      </c>
      <c r="G222" s="33">
        <f t="shared" si="930"/>
        <v>42312.742497013096</v>
      </c>
      <c r="H222" s="33">
        <f t="shared" si="930"/>
        <v>38731.801860284177</v>
      </c>
      <c r="I222" s="33">
        <f t="shared" si="930"/>
        <v>50965.665075949626</v>
      </c>
      <c r="J222" s="33">
        <f t="shared" ref="J222" si="931">J7*J$203</f>
        <v>63674.784249287462</v>
      </c>
      <c r="K222" s="33">
        <f t="shared" si="930"/>
        <v>62752.453177331932</v>
      </c>
      <c r="L222" s="33"/>
      <c r="M222" s="33">
        <f t="shared" ref="M222:AI222" si="932">M7*M$203</f>
        <v>7017.9459803999998</v>
      </c>
      <c r="N222" s="33">
        <f t="shared" si="932"/>
        <v>7567.5687367499986</v>
      </c>
      <c r="O222" s="33">
        <f t="shared" si="932"/>
        <v>10416.696859949998</v>
      </c>
      <c r="P222" s="33">
        <f t="shared" si="932"/>
        <v>10583.525176799998</v>
      </c>
      <c r="Q222" s="33">
        <f t="shared" si="932"/>
        <v>11755.2827227</v>
      </c>
      <c r="R222" s="33">
        <f t="shared" si="932"/>
        <v>13497.552600000001</v>
      </c>
      <c r="S222" s="33">
        <f t="shared" si="932"/>
        <v>12099.742525</v>
      </c>
      <c r="T222" s="33">
        <f t="shared" si="932"/>
        <v>13362.562327050004</v>
      </c>
      <c r="U222" s="33">
        <f t="shared" si="932"/>
        <v>11539.584943137997</v>
      </c>
      <c r="V222" s="33">
        <f t="shared" si="932"/>
        <v>10762.142490928498</v>
      </c>
      <c r="W222" s="33">
        <f t="shared" si="932"/>
        <v>10194.208722253499</v>
      </c>
      <c r="X222" s="33">
        <f t="shared" si="932"/>
        <v>9411.2998694937105</v>
      </c>
      <c r="Y222" s="33">
        <f t="shared" si="932"/>
        <v>8639.8148454067141</v>
      </c>
      <c r="Z222" s="33">
        <f t="shared" si="932"/>
        <v>9545.5956806591876</v>
      </c>
      <c r="AA222" s="33">
        <f t="shared" si="932"/>
        <v>9743.374988665917</v>
      </c>
      <c r="AB222" s="33">
        <f t="shared" si="932"/>
        <v>10175.602948121583</v>
      </c>
      <c r="AC222" s="33">
        <f t="shared" si="932"/>
        <v>10547.877404620913</v>
      </c>
      <c r="AD222" s="33">
        <f t="shared" si="932"/>
        <v>12275.409046799999</v>
      </c>
      <c r="AE222" s="33">
        <f t="shared" si="932"/>
        <v>12913.913123599999</v>
      </c>
      <c r="AF222" s="33">
        <f t="shared" si="932"/>
        <v>15233.470970249997</v>
      </c>
      <c r="AG222" s="33">
        <f t="shared" si="932"/>
        <v>15302.8338375</v>
      </c>
      <c r="AH222" s="33">
        <f t="shared" si="932"/>
        <v>16083.109821699998</v>
      </c>
      <c r="AI222" s="33">
        <f t="shared" si="932"/>
        <v>15804.94516088469</v>
      </c>
      <c r="AJ222" s="33">
        <f t="shared" ref="AJ222:AK222" si="933">AJ7*AJ$203</f>
        <v>16492.435570100573</v>
      </c>
      <c r="AK222" s="33">
        <f t="shared" si="933"/>
        <v>14317.719658020909</v>
      </c>
    </row>
    <row r="223" spans="2:37" s="29" customFormat="1" ht="13.5" customHeight="1">
      <c r="B223" s="34" t="s">
        <v>263</v>
      </c>
      <c r="C223" s="30"/>
      <c r="D223" s="30">
        <f t="shared" ref="D223:J223" si="934">D222/C222-1</f>
        <v>0.169905586048404</v>
      </c>
      <c r="E223" s="30">
        <f t="shared" si="934"/>
        <v>0.22712043910232116</v>
      </c>
      <c r="F223" s="30">
        <f t="shared" si="934"/>
        <v>0.39650652301430767</v>
      </c>
      <c r="G223" s="30">
        <f t="shared" si="934"/>
        <v>-0.16958252835259757</v>
      </c>
      <c r="H223" s="30">
        <f t="shared" si="934"/>
        <v>-8.4630312889354853E-2</v>
      </c>
      <c r="I223" s="30">
        <f t="shared" si="934"/>
        <v>0.31586093669992987</v>
      </c>
      <c r="J223" s="30">
        <f t="shared" si="934"/>
        <v>0.24936629698442192</v>
      </c>
      <c r="K223" s="30"/>
      <c r="L223" s="33"/>
      <c r="M223" s="30"/>
      <c r="N223" s="30"/>
      <c r="O223" s="30"/>
      <c r="P223" s="30"/>
      <c r="Q223" s="30">
        <f t="shared" ref="Q223:AK223" si="935">Q222/M222-1</f>
        <v>0.67503180496553039</v>
      </c>
      <c r="R223" s="30">
        <f t="shared" si="935"/>
        <v>0.78360488943463746</v>
      </c>
      <c r="S223" s="30">
        <f t="shared" si="935"/>
        <v>0.16157191551968442</v>
      </c>
      <c r="T223" s="30">
        <f t="shared" si="935"/>
        <v>0.26258142762695891</v>
      </c>
      <c r="U223" s="30">
        <f t="shared" si="935"/>
        <v>-1.8349008241671627E-2</v>
      </c>
      <c r="V223" s="30">
        <f t="shared" si="935"/>
        <v>-0.20265971099616253</v>
      </c>
      <c r="W223" s="30">
        <f t="shared" si="935"/>
        <v>-0.15748548358027981</v>
      </c>
      <c r="X223" s="30">
        <f t="shared" si="935"/>
        <v>-0.29569646605559341</v>
      </c>
      <c r="Y223" s="30">
        <f t="shared" si="935"/>
        <v>-0.25128894254170109</v>
      </c>
      <c r="Z223" s="30">
        <f t="shared" si="935"/>
        <v>-0.11303946321977687</v>
      </c>
      <c r="AA223" s="30">
        <f t="shared" si="935"/>
        <v>-4.4224495090377403E-2</v>
      </c>
      <c r="AB223" s="30">
        <f t="shared" si="935"/>
        <v>8.1211213033953511E-2</v>
      </c>
      <c r="AC223" s="30">
        <f t="shared" si="935"/>
        <v>0.22084530668253888</v>
      </c>
      <c r="AD223" s="30">
        <f t="shared" si="935"/>
        <v>0.2859762195534663</v>
      </c>
      <c r="AE223" s="30">
        <f t="shared" si="935"/>
        <v>0.32540450702372059</v>
      </c>
      <c r="AF223" s="30">
        <f t="shared" si="935"/>
        <v>0.49705831172020098</v>
      </c>
      <c r="AG223" s="30">
        <f t="shared" si="935"/>
        <v>0.45079746857846414</v>
      </c>
      <c r="AH223" s="30">
        <f t="shared" si="935"/>
        <v>0.31018931918139248</v>
      </c>
      <c r="AI223" s="30">
        <f t="shared" si="935"/>
        <v>0.2238695591037676</v>
      </c>
      <c r="AJ223" s="30">
        <f t="shared" si="935"/>
        <v>8.2644631831396476E-2</v>
      </c>
      <c r="AK223" s="30">
        <f t="shared" si="935"/>
        <v>-6.4374624330367003E-2</v>
      </c>
    </row>
    <row r="224" spans="2:37" ht="13.5" customHeight="1"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</row>
    <row r="225" spans="2:37" s="19" customFormat="1" ht="13.5" customHeight="1" thickBot="1">
      <c r="B225" s="24" t="str">
        <f>B51</f>
        <v xml:space="preserve">Adj. EBITDA </v>
      </c>
      <c r="C225" s="32">
        <f t="shared" ref="C225:K225" si="936">C51*C$203</f>
        <v>282.56316639999761</v>
      </c>
      <c r="D225" s="32">
        <f t="shared" si="936"/>
        <v>1898.2573181999996</v>
      </c>
      <c r="E225" s="32">
        <f t="shared" si="936"/>
        <v>3820.2893959999992</v>
      </c>
      <c r="F225" s="32">
        <f t="shared" si="936"/>
        <v>4514.8161119999995</v>
      </c>
      <c r="G225" s="32">
        <f t="shared" si="936"/>
        <v>985.71547396171206</v>
      </c>
      <c r="H225" s="32">
        <f t="shared" si="936"/>
        <v>3551.2815388315375</v>
      </c>
      <c r="I225" s="32">
        <f t="shared" si="936"/>
        <v>4292.9595855348743</v>
      </c>
      <c r="J225" s="32">
        <f t="shared" ref="J225" si="937">J51*J$203</f>
        <v>7889.2843917255141</v>
      </c>
      <c r="K225" s="32">
        <f t="shared" si="936"/>
        <v>6974.4262978020888</v>
      </c>
      <c r="L225" s="43"/>
      <c r="M225" s="32">
        <f t="shared" ref="M225:AI225" si="938">M51*M$203</f>
        <v>377.72524960000038</v>
      </c>
      <c r="N225" s="32">
        <f t="shared" si="938"/>
        <v>817.87131305000037</v>
      </c>
      <c r="O225" s="32">
        <f t="shared" si="938"/>
        <v>1023.4892798500001</v>
      </c>
      <c r="P225" s="32">
        <f t="shared" si="938"/>
        <v>1530.7795215999979</v>
      </c>
      <c r="Q225" s="32">
        <f t="shared" si="938"/>
        <v>1347.8124296999999</v>
      </c>
      <c r="R225" s="32">
        <f t="shared" si="938"/>
        <v>1761.0211350000002</v>
      </c>
      <c r="S225" s="32">
        <f t="shared" si="938"/>
        <v>547.1293849999995</v>
      </c>
      <c r="T225" s="32">
        <f t="shared" si="938"/>
        <v>826.29177209999784</v>
      </c>
      <c r="U225" s="32">
        <f t="shared" si="938"/>
        <v>-5.1647827700012758</v>
      </c>
      <c r="V225" s="32">
        <f t="shared" si="938"/>
        <v>411.10042301999948</v>
      </c>
      <c r="W225" s="32">
        <f t="shared" si="938"/>
        <v>-62.2001449999998</v>
      </c>
      <c r="X225" s="32">
        <f t="shared" si="938"/>
        <v>613.61569795337255</v>
      </c>
      <c r="Y225" s="32">
        <f t="shared" si="938"/>
        <v>991.46042555742963</v>
      </c>
      <c r="Z225" s="32">
        <f t="shared" si="938"/>
        <v>717.95208077184964</v>
      </c>
      <c r="AA225" s="32">
        <f t="shared" si="938"/>
        <v>914.35615550657531</v>
      </c>
      <c r="AB225" s="32">
        <f t="shared" si="938"/>
        <v>875.34906837006861</v>
      </c>
      <c r="AC225" s="32">
        <f t="shared" si="938"/>
        <v>709.27871082964407</v>
      </c>
      <c r="AD225" s="32">
        <f t="shared" si="938"/>
        <v>1008.2751430999995</v>
      </c>
      <c r="AE225" s="32">
        <f t="shared" si="938"/>
        <v>1080.2870616000005</v>
      </c>
      <c r="AF225" s="32">
        <f t="shared" si="938"/>
        <v>1495.9269032499933</v>
      </c>
      <c r="AG225" s="32">
        <f t="shared" si="938"/>
        <v>2049.8869875000014</v>
      </c>
      <c r="AH225" s="32">
        <f t="shared" si="938"/>
        <v>2142.4034743999996</v>
      </c>
      <c r="AI225" s="32">
        <f t="shared" si="938"/>
        <v>2421.8034733768322</v>
      </c>
      <c r="AJ225" s="32">
        <f t="shared" ref="AJ225:AK225" si="939">AJ51*AJ$203</f>
        <v>1265.2539814644958</v>
      </c>
      <c r="AK225" s="32">
        <f t="shared" si="939"/>
        <v>1115.4387383744433</v>
      </c>
    </row>
    <row r="226" spans="2:37" s="29" customFormat="1" ht="13.5" customHeight="1" thickTop="1">
      <c r="B226" s="31" t="str">
        <f>B52</f>
        <v xml:space="preserve">% growth </v>
      </c>
      <c r="C226" s="30"/>
      <c r="D226" s="30">
        <f t="shared" ref="D226:J226" si="940">D225/C225-1</f>
        <v>5.7179928027590776</v>
      </c>
      <c r="E226" s="30">
        <f t="shared" si="940"/>
        <v>1.0125245188689931</v>
      </c>
      <c r="F226" s="30">
        <f t="shared" si="940"/>
        <v>0.18179950365205277</v>
      </c>
      <c r="G226" s="30">
        <f t="shared" si="940"/>
        <v>-0.78167095857087876</v>
      </c>
      <c r="H226" s="30">
        <f t="shared" si="940"/>
        <v>2.6027450442250837</v>
      </c>
      <c r="I226" s="30">
        <f t="shared" si="940"/>
        <v>0.20884799996661707</v>
      </c>
      <c r="J226" s="30">
        <f t="shared" si="940"/>
        <v>0.83772621999714469</v>
      </c>
      <c r="K226" s="30"/>
      <c r="L226" s="212"/>
      <c r="M226" s="30"/>
      <c r="N226" s="30"/>
      <c r="O226" s="30"/>
      <c r="P226" s="30"/>
      <c r="Q226" s="30">
        <f t="shared" ref="Q226:AK226" si="941">Q225/M225-1</f>
        <v>2.568234930355576</v>
      </c>
      <c r="R226" s="30">
        <f t="shared" si="941"/>
        <v>1.1531763089144325</v>
      </c>
      <c r="S226" s="30">
        <f t="shared" si="941"/>
        <v>-0.46542734176933898</v>
      </c>
      <c r="T226" s="30">
        <f t="shared" si="941"/>
        <v>-0.46021503394796981</v>
      </c>
      <c r="U226" s="30">
        <f t="shared" si="941"/>
        <v>-1.0038319744321922</v>
      </c>
      <c r="V226" s="30">
        <f t="shared" si="941"/>
        <v>-0.7665556563465098</v>
      </c>
      <c r="W226" s="30">
        <f t="shared" si="941"/>
        <v>-1.1136845263757855</v>
      </c>
      <c r="X226" s="30">
        <f t="shared" si="941"/>
        <v>-0.25738616954410054</v>
      </c>
      <c r="Y226" s="30">
        <f t="shared" si="941"/>
        <v>-192.96556171077543</v>
      </c>
      <c r="Z226" s="30">
        <f t="shared" si="941"/>
        <v>0.74641532961137869</v>
      </c>
      <c r="AA226" s="30">
        <f t="shared" si="941"/>
        <v>-15.700225465818098</v>
      </c>
      <c r="AB226" s="30">
        <f t="shared" si="941"/>
        <v>0.42654282035102797</v>
      </c>
      <c r="AC226" s="30">
        <f t="shared" si="941"/>
        <v>-0.28461218164016411</v>
      </c>
      <c r="AD226" s="30">
        <f t="shared" si="941"/>
        <v>0.40437665702707037</v>
      </c>
      <c r="AE226" s="30">
        <f t="shared" si="941"/>
        <v>0.18147294694100413</v>
      </c>
      <c r="AF226" s="30">
        <f t="shared" si="941"/>
        <v>0.70894898652884031</v>
      </c>
      <c r="AG226" s="30">
        <f t="shared" si="941"/>
        <v>1.8901008252485774</v>
      </c>
      <c r="AH226" s="30">
        <f t="shared" si="941"/>
        <v>1.1248202825005262</v>
      </c>
      <c r="AI226" s="30">
        <f t="shared" si="941"/>
        <v>1.241814754117232</v>
      </c>
      <c r="AJ226" s="30">
        <f t="shared" si="941"/>
        <v>-0.15420066400593924</v>
      </c>
      <c r="AK226" s="30">
        <f t="shared" si="941"/>
        <v>-0.45585354452402826</v>
      </c>
    </row>
    <row r="227" spans="2:37" s="29" customFormat="1" ht="13.5" customHeight="1">
      <c r="B227" s="31" t="str">
        <f>B53</f>
        <v>% margin</v>
      </c>
      <c r="C227" s="30">
        <f t="shared" ref="C227:E227" si="942">C225/C222</f>
        <v>1.1117875967771187E-2</v>
      </c>
      <c r="D227" s="30">
        <f t="shared" si="942"/>
        <v>6.3842596893425488E-2</v>
      </c>
      <c r="E227" s="30">
        <f t="shared" si="942"/>
        <v>0.10470430407815473</v>
      </c>
      <c r="F227" s="30">
        <f t="shared" ref="F227:H227" si="943">F225/F222</f>
        <v>8.8606456576163894E-2</v>
      </c>
      <c r="G227" s="30">
        <f t="shared" si="943"/>
        <v>2.3295948591167185E-2</v>
      </c>
      <c r="H227" s="30">
        <f t="shared" si="943"/>
        <v>9.1689035063278149E-2</v>
      </c>
      <c r="I227" s="30">
        <f t="shared" ref="I227:J227" si="944">I225/I222</f>
        <v>8.4232386237625981E-2</v>
      </c>
      <c r="J227" s="30">
        <f t="shared" si="944"/>
        <v>0.1238996642821573</v>
      </c>
      <c r="K227" s="30">
        <f>K225/K222</f>
        <v>0.11114189078940201</v>
      </c>
      <c r="L227" s="212"/>
      <c r="M227" s="30">
        <f t="shared" ref="M227:S227" si="945">M225/M222</f>
        <v>5.3822763904841468E-2</v>
      </c>
      <c r="N227" s="30">
        <f t="shared" si="945"/>
        <v>0.10807583538398714</v>
      </c>
      <c r="O227" s="30">
        <f t="shared" si="945"/>
        <v>9.8254686068968797E-2</v>
      </c>
      <c r="P227" s="30">
        <f t="shared" si="945"/>
        <v>0.14463796287418476</v>
      </c>
      <c r="Q227" s="30">
        <f t="shared" si="945"/>
        <v>0.11465589229064743</v>
      </c>
      <c r="R227" s="30">
        <f t="shared" si="945"/>
        <v>0.13046966270018462</v>
      </c>
      <c r="S227" s="30">
        <f t="shared" si="945"/>
        <v>4.5218266741589158E-2</v>
      </c>
      <c r="T227" s="30">
        <f t="shared" ref="T227:V227" si="946">T225/T222</f>
        <v>6.1836326886747235E-2</v>
      </c>
      <c r="U227" s="30">
        <f t="shared" si="946"/>
        <v>-4.4757093044949669E-4</v>
      </c>
      <c r="V227" s="30">
        <f t="shared" si="946"/>
        <v>3.8198753023993087E-2</v>
      </c>
      <c r="W227" s="30">
        <f t="shared" ref="W227:Z227" si="947">W225/W222</f>
        <v>-6.1015177042843633E-3</v>
      </c>
      <c r="X227" s="30">
        <f t="shared" si="947"/>
        <v>6.5199888056099373E-2</v>
      </c>
      <c r="Y227" s="30">
        <f t="shared" si="947"/>
        <v>0.11475482325695109</v>
      </c>
      <c r="Z227" s="30">
        <f t="shared" si="947"/>
        <v>7.5212915441885783E-2</v>
      </c>
      <c r="AA227" s="30">
        <f t="shared" ref="AA227:AD227" si="948">AA225/AA222</f>
        <v>9.3843884338867145E-2</v>
      </c>
      <c r="AB227" s="30">
        <f t="shared" si="948"/>
        <v>8.6024294858287303E-2</v>
      </c>
      <c r="AC227" s="30">
        <f t="shared" si="948"/>
        <v>6.7243738585633983E-2</v>
      </c>
      <c r="AD227" s="30">
        <f t="shared" si="948"/>
        <v>8.2137804064691469E-2</v>
      </c>
      <c r="AE227" s="30">
        <f t="shared" ref="AE227:AH227" si="949">AE225/AE222</f>
        <v>8.3652960280938451E-2</v>
      </c>
      <c r="AF227" s="30">
        <f t="shared" si="949"/>
        <v>9.8200003542951164E-2</v>
      </c>
      <c r="AG227" s="30">
        <f t="shared" si="949"/>
        <v>0.13395473082094761</v>
      </c>
      <c r="AH227" s="30">
        <f t="shared" si="949"/>
        <v>0.13320828484982303</v>
      </c>
      <c r="AI227" s="30">
        <f t="shared" ref="AI227:AK227" si="950">AI225/AI222</f>
        <v>0.1532307419433824</v>
      </c>
      <c r="AJ227" s="30">
        <f t="shared" si="950"/>
        <v>7.6717230519808555E-2</v>
      </c>
      <c r="AK227" s="30">
        <f t="shared" si="950"/>
        <v>7.7906172562162507E-2</v>
      </c>
    </row>
    <row r="228" spans="2:37" ht="13.5" customHeight="1"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</row>
    <row r="229" spans="2:37" s="19" customFormat="1" ht="13.5" customHeight="1">
      <c r="B229" s="19" t="str">
        <f t="shared" ref="B229:B246" si="951">B60</f>
        <v xml:space="preserve">Adj. EBITDA </v>
      </c>
      <c r="C229" s="27">
        <f t="shared" ref="C229:I238" si="952">C60*C$203</f>
        <v>282.56316639999761</v>
      </c>
      <c r="D229" s="27">
        <f t="shared" si="952"/>
        <v>1898.2573181999996</v>
      </c>
      <c r="E229" s="27">
        <f t="shared" si="952"/>
        <v>3820.2893959999992</v>
      </c>
      <c r="F229" s="27">
        <f t="shared" si="952"/>
        <v>4514.8161119999995</v>
      </c>
      <c r="G229" s="27">
        <f t="shared" si="952"/>
        <v>985.71547396171206</v>
      </c>
      <c r="H229" s="27">
        <f t="shared" si="952"/>
        <v>3551.2815388315375</v>
      </c>
      <c r="I229" s="27">
        <f t="shared" si="952"/>
        <v>4292.9595855348743</v>
      </c>
      <c r="J229" s="27">
        <f t="shared" ref="J229:K229" si="953">J60*J$203</f>
        <v>7889.2843917255141</v>
      </c>
      <c r="K229" s="27">
        <f t="shared" si="953"/>
        <v>6974.4262978020888</v>
      </c>
      <c r="L229" s="9"/>
      <c r="M229" s="95"/>
      <c r="N229" s="27">
        <f t="shared" ref="N229:N246" si="954">N60*N$203</f>
        <v>1195.9978288500008</v>
      </c>
      <c r="O229" s="95"/>
      <c r="P229" s="27">
        <f t="shared" ref="P229:P246" si="955">P60*P$203</f>
        <v>2595.7472377999979</v>
      </c>
      <c r="Q229" s="95"/>
      <c r="R229" s="27">
        <f t="shared" ref="R229:R246" si="956">R60*R$203</f>
        <v>3116.32630875</v>
      </c>
      <c r="S229" s="95"/>
      <c r="T229" s="27">
        <f t="shared" ref="T229:T246" si="957">T60*T$203</f>
        <v>1377.480504149999</v>
      </c>
      <c r="U229" s="95"/>
      <c r="V229" s="27">
        <f t="shared" ref="V229:V246" si="958">V60*V$203</f>
        <v>406.06526950499824</v>
      </c>
      <c r="W229" s="95"/>
      <c r="X229" s="27">
        <f t="shared" ref="X229:X246" si="959">X60*X$203</f>
        <v>552.34362812793756</v>
      </c>
      <c r="Y229" s="95"/>
      <c r="Z229" s="27">
        <f t="shared" ref="Z229:Z246" si="960">Z60*Z$203</f>
        <v>1685.2377855055706</v>
      </c>
      <c r="AA229" s="95"/>
      <c r="AB229" s="27">
        <f t="shared" ref="AB229:AB246" si="961">AB60*AB$203</f>
        <v>1799.6389056492403</v>
      </c>
      <c r="AC229" s="95"/>
      <c r="AD229" s="27">
        <f t="shared" ref="AD229:AD246" si="962">AD60*AD$203</f>
        <v>1709.4586971999991</v>
      </c>
      <c r="AE229" s="95"/>
      <c r="AF229" s="27">
        <f t="shared" ref="AF229:AF246" si="963">AF60*AF$203</f>
        <v>2577.3747317499938</v>
      </c>
      <c r="AG229" s="95"/>
      <c r="AH229" s="27">
        <f t="shared" ref="AH229:AH246" si="964">AH60*AH$203</f>
        <v>4210.1803847000001</v>
      </c>
      <c r="AI229" s="95"/>
      <c r="AJ229" s="27">
        <f t="shared" ref="AJ229:AJ246" si="965">AJ60*AJ$203</f>
        <v>3710.3561806153052</v>
      </c>
      <c r="AK229" s="95"/>
    </row>
    <row r="230" spans="2:37" ht="13.5" customHeight="1">
      <c r="B230" s="16" t="str">
        <f t="shared" si="951"/>
        <v>Working Capital</v>
      </c>
      <c r="C230" s="12">
        <f t="shared" si="952"/>
        <v>-519.96956290000014</v>
      </c>
      <c r="D230" s="12">
        <f t="shared" si="952"/>
        <v>764.63639685000021</v>
      </c>
      <c r="E230" s="12">
        <f t="shared" si="952"/>
        <v>-821.22126240000023</v>
      </c>
      <c r="F230" s="12">
        <f t="shared" si="952"/>
        <v>-2923.8069024000006</v>
      </c>
      <c r="G230" s="12">
        <f t="shared" si="952"/>
        <v>-3266.0911913599375</v>
      </c>
      <c r="H230" s="12">
        <f t="shared" si="952"/>
        <v>-1518.9415842062074</v>
      </c>
      <c r="I230" s="12">
        <f t="shared" si="952"/>
        <v>7220.2182154463444</v>
      </c>
      <c r="J230" s="12">
        <f t="shared" ref="J230" si="966">J61*J$203</f>
        <v>-1933.0522945257865</v>
      </c>
      <c r="K230" s="96"/>
      <c r="L230" s="147"/>
      <c r="M230" s="96"/>
      <c r="N230" s="12">
        <f t="shared" si="954"/>
        <v>0</v>
      </c>
      <c r="O230" s="96"/>
      <c r="P230" s="12">
        <f t="shared" si="955"/>
        <v>-831.18216720000021</v>
      </c>
      <c r="Q230" s="96"/>
      <c r="R230" s="12">
        <f t="shared" si="956"/>
        <v>0</v>
      </c>
      <c r="S230" s="96"/>
      <c r="T230" s="12">
        <f t="shared" si="957"/>
        <v>-2941.7039163000009</v>
      </c>
      <c r="U230" s="96"/>
      <c r="V230" s="12">
        <f t="shared" si="958"/>
        <v>0</v>
      </c>
      <c r="W230" s="96"/>
      <c r="X230" s="12">
        <f t="shared" si="959"/>
        <v>-3080.1901255599373</v>
      </c>
      <c r="Y230" s="96"/>
      <c r="Z230" s="12">
        <f t="shared" si="960"/>
        <v>0</v>
      </c>
      <c r="AA230" s="96"/>
      <c r="AB230" s="12">
        <f t="shared" si="961"/>
        <v>-1476.3350809234464</v>
      </c>
      <c r="AC230" s="96"/>
      <c r="AD230" s="12">
        <f t="shared" si="962"/>
        <v>0</v>
      </c>
      <c r="AE230" s="96"/>
      <c r="AF230" s="12">
        <f t="shared" si="963"/>
        <v>7244.2660289999994</v>
      </c>
      <c r="AG230" s="96"/>
      <c r="AH230" s="12">
        <f t="shared" si="964"/>
        <v>0</v>
      </c>
      <c r="AI230" s="96"/>
      <c r="AJ230" s="12">
        <f t="shared" si="965"/>
        <v>-1958.274534143967</v>
      </c>
      <c r="AK230" s="96"/>
    </row>
    <row r="231" spans="2:37" ht="13.5" customHeight="1">
      <c r="B231" s="16" t="str">
        <f t="shared" si="951"/>
        <v>Taxes</v>
      </c>
      <c r="C231" s="12">
        <f t="shared" si="952"/>
        <v>-223.28861260000002</v>
      </c>
      <c r="D231" s="12">
        <f t="shared" si="952"/>
        <v>-309.39528825000008</v>
      </c>
      <c r="E231" s="12">
        <f t="shared" si="952"/>
        <v>-289.87001679999997</v>
      </c>
      <c r="F231" s="12">
        <f t="shared" si="952"/>
        <v>-379.07522399999999</v>
      </c>
      <c r="G231" s="12">
        <f t="shared" si="952"/>
        <v>-516.7805477031028</v>
      </c>
      <c r="H231" s="12">
        <f t="shared" si="952"/>
        <v>-430.49187636978087</v>
      </c>
      <c r="I231" s="12">
        <f t="shared" si="952"/>
        <v>-482.93524103449943</v>
      </c>
      <c r="J231" s="12">
        <f t="shared" ref="J231" si="967">J62*J$203</f>
        <v>-650.49424454720747</v>
      </c>
      <c r="K231" s="96"/>
      <c r="L231" s="147"/>
      <c r="M231" s="96"/>
      <c r="N231" s="12">
        <f t="shared" si="954"/>
        <v>-188.47524189999996</v>
      </c>
      <c r="O231" s="96"/>
      <c r="P231" s="12">
        <f t="shared" si="955"/>
        <v>-93.11018159999999</v>
      </c>
      <c r="Q231" s="96"/>
      <c r="R231" s="12">
        <f t="shared" si="956"/>
        <v>-192.05281500000001</v>
      </c>
      <c r="S231" s="96"/>
      <c r="T231" s="12">
        <f t="shared" si="957"/>
        <v>-186.34488164999999</v>
      </c>
      <c r="U231" s="96"/>
      <c r="V231" s="12">
        <f t="shared" si="958"/>
        <v>-293.4129501795</v>
      </c>
      <c r="W231" s="96"/>
      <c r="X231" s="12">
        <f t="shared" si="959"/>
        <v>-214.76259454735259</v>
      </c>
      <c r="Y231" s="96"/>
      <c r="Z231" s="12">
        <f t="shared" si="960"/>
        <v>-179.77617413740413</v>
      </c>
      <c r="AA231" s="96"/>
      <c r="AB231" s="12">
        <f t="shared" si="961"/>
        <v>-242.18299358335119</v>
      </c>
      <c r="AC231" s="96"/>
      <c r="AD231" s="12">
        <f t="shared" si="962"/>
        <v>-344.04839190000001</v>
      </c>
      <c r="AE231" s="96"/>
      <c r="AF231" s="12">
        <f t="shared" si="963"/>
        <v>-136.38468024999997</v>
      </c>
      <c r="AG231" s="96"/>
      <c r="AH231" s="12">
        <f t="shared" si="964"/>
        <v>-548.3883151</v>
      </c>
      <c r="AI231" s="96"/>
      <c r="AJ231" s="12">
        <f t="shared" si="965"/>
        <v>-101.2561538136011</v>
      </c>
      <c r="AK231" s="96"/>
    </row>
    <row r="232" spans="2:37" ht="13.5" customHeight="1">
      <c r="B232" s="16" t="str">
        <f t="shared" si="951"/>
        <v>Cash interest paid</v>
      </c>
      <c r="C232" s="12">
        <f t="shared" si="952"/>
        <v>-35.448259800000002</v>
      </c>
      <c r="D232" s="12">
        <f t="shared" si="952"/>
        <v>-31.633683300000005</v>
      </c>
      <c r="E232" s="12">
        <f t="shared" si="952"/>
        <v>-74.157112400000003</v>
      </c>
      <c r="F232" s="12">
        <f t="shared" si="952"/>
        <v>-102.4299824</v>
      </c>
      <c r="G232" s="12">
        <f t="shared" si="952"/>
        <v>-154.14964969287249</v>
      </c>
      <c r="H232" s="12">
        <f t="shared" si="952"/>
        <v>-108.36624434559482</v>
      </c>
      <c r="I232" s="12">
        <f t="shared" si="952"/>
        <v>-99.899187873530522</v>
      </c>
      <c r="J232" s="12">
        <f t="shared" ref="J232" si="968">J63*J$203</f>
        <v>-107.88128595787866</v>
      </c>
      <c r="K232" s="96"/>
      <c r="L232" s="147"/>
      <c r="M232" s="96"/>
      <c r="N232" s="12">
        <f t="shared" si="954"/>
        <v>-23.182248099999995</v>
      </c>
      <c r="O232" s="96"/>
      <c r="P232" s="12">
        <f t="shared" si="955"/>
        <v>-50.422891000000007</v>
      </c>
      <c r="Q232" s="96"/>
      <c r="R232" s="12">
        <f t="shared" si="956"/>
        <v>-43.485727500000003</v>
      </c>
      <c r="S232" s="96"/>
      <c r="T232" s="12">
        <f t="shared" si="957"/>
        <v>-58.892440950000001</v>
      </c>
      <c r="U232" s="96"/>
      <c r="V232" s="12">
        <f t="shared" si="958"/>
        <v>-70.273136135999991</v>
      </c>
      <c r="W232" s="96"/>
      <c r="X232" s="12">
        <f t="shared" si="959"/>
        <v>-80.086442577857696</v>
      </c>
      <c r="Y232" s="96"/>
      <c r="Z232" s="12">
        <f t="shared" si="960"/>
        <v>-45.613710041653434</v>
      </c>
      <c r="AA232" s="96"/>
      <c r="AB232" s="12">
        <f t="shared" si="961"/>
        <v>-60.611704526689337</v>
      </c>
      <c r="AC232" s="96"/>
      <c r="AD232" s="12">
        <f t="shared" si="962"/>
        <v>-48.187923500000004</v>
      </c>
      <c r="AE232" s="96"/>
      <c r="AF232" s="12">
        <f t="shared" si="963"/>
        <v>-51.468247999999988</v>
      </c>
      <c r="AG232" s="96"/>
      <c r="AH232" s="12">
        <f t="shared" si="964"/>
        <v>-53.790633999999997</v>
      </c>
      <c r="AI232" s="96"/>
      <c r="AJ232" s="12">
        <f t="shared" si="965"/>
        <v>-54.582387044899917</v>
      </c>
      <c r="AK232" s="96"/>
    </row>
    <row r="233" spans="2:37" s="19" customFormat="1" ht="13.5" customHeight="1" thickBot="1">
      <c r="B233" s="24" t="str">
        <f t="shared" si="951"/>
        <v xml:space="preserve">Net cash from operations </v>
      </c>
      <c r="C233" s="23">
        <f t="shared" si="952"/>
        <v>-496.14326890000251</v>
      </c>
      <c r="D233" s="23">
        <f t="shared" si="952"/>
        <v>2321.8647434999993</v>
      </c>
      <c r="E233" s="23">
        <f t="shared" si="952"/>
        <v>2635.0410043999991</v>
      </c>
      <c r="F233" s="23">
        <f t="shared" si="952"/>
        <v>1109.5040031999986</v>
      </c>
      <c r="G233" s="23">
        <f t="shared" si="952"/>
        <v>-2951.3059147942004</v>
      </c>
      <c r="H233" s="23">
        <f t="shared" si="952"/>
        <v>1493.4818339099545</v>
      </c>
      <c r="I233" s="23">
        <f t="shared" si="952"/>
        <v>10930.34337207319</v>
      </c>
      <c r="J233" s="23">
        <f t="shared" ref="J233" si="969">J64*J$203</f>
        <v>5197.8565666946415</v>
      </c>
      <c r="K233" s="97"/>
      <c r="L233" s="25"/>
      <c r="M233" s="97"/>
      <c r="N233" s="23">
        <f t="shared" si="954"/>
        <v>984.34033885000076</v>
      </c>
      <c r="O233" s="97"/>
      <c r="P233" s="23">
        <f t="shared" si="955"/>
        <v>1621.0319979999981</v>
      </c>
      <c r="Q233" s="97"/>
      <c r="R233" s="23">
        <f t="shared" si="956"/>
        <v>2880.7877662500005</v>
      </c>
      <c r="S233" s="97"/>
      <c r="T233" s="23">
        <f t="shared" si="957"/>
        <v>-1809.4607347500016</v>
      </c>
      <c r="U233" s="97"/>
      <c r="V233" s="23">
        <f t="shared" si="958"/>
        <v>42.379183189498285</v>
      </c>
      <c r="W233" s="97"/>
      <c r="X233" s="23">
        <f t="shared" si="959"/>
        <v>-2822.6955345572101</v>
      </c>
      <c r="Y233" s="97"/>
      <c r="Z233" s="23">
        <f t="shared" si="960"/>
        <v>1459.8479013265132</v>
      </c>
      <c r="AA233" s="97"/>
      <c r="AB233" s="23">
        <f t="shared" si="961"/>
        <v>20.509126615753363</v>
      </c>
      <c r="AC233" s="97"/>
      <c r="AD233" s="23">
        <f t="shared" si="962"/>
        <v>1317.2223817999993</v>
      </c>
      <c r="AE233" s="97"/>
      <c r="AF233" s="23">
        <f t="shared" si="963"/>
        <v>9633.7878324999947</v>
      </c>
      <c r="AG233" s="97"/>
      <c r="AH233" s="23">
        <f t="shared" si="964"/>
        <v>3608.0014356000006</v>
      </c>
      <c r="AI233" s="97"/>
      <c r="AJ233" s="23">
        <f t="shared" si="965"/>
        <v>1596.2431056128369</v>
      </c>
      <c r="AK233" s="97"/>
    </row>
    <row r="234" spans="2:37" ht="13.5" customHeight="1" thickTop="1">
      <c r="B234" s="16" t="str">
        <f t="shared" si="951"/>
        <v>Net Capex</v>
      </c>
      <c r="C234" s="26">
        <f t="shared" si="952"/>
        <v>-34.323056599999965</v>
      </c>
      <c r="D234" s="26">
        <f t="shared" si="952"/>
        <v>-482.09147460000008</v>
      </c>
      <c r="E234" s="26">
        <f t="shared" si="952"/>
        <v>-439.62535400000002</v>
      </c>
      <c r="F234" s="26">
        <f t="shared" si="952"/>
        <v>-1107.1887296</v>
      </c>
      <c r="G234" s="26">
        <f t="shared" si="952"/>
        <v>-873.65645736547003</v>
      </c>
      <c r="H234" s="26">
        <f t="shared" si="952"/>
        <v>-885.65062845326997</v>
      </c>
      <c r="I234" s="12">
        <f t="shared" si="952"/>
        <v>-966.48097300480231</v>
      </c>
      <c r="J234" s="12">
        <f t="shared" ref="J234" si="970">J65*J$203</f>
        <v>-1776.2591908282286</v>
      </c>
      <c r="K234" s="96"/>
      <c r="L234" s="147"/>
      <c r="M234" s="96"/>
      <c r="N234" s="26">
        <f t="shared" si="954"/>
        <v>-159.00037449999999</v>
      </c>
      <c r="O234" s="96"/>
      <c r="P234" s="26">
        <f t="shared" si="955"/>
        <v>-276.00226299999997</v>
      </c>
      <c r="Q234" s="96"/>
      <c r="R234" s="26">
        <f t="shared" si="956"/>
        <v>-280.07315249999999</v>
      </c>
      <c r="S234" s="96"/>
      <c r="T234" s="26">
        <f t="shared" si="957"/>
        <v>-829.52095410000015</v>
      </c>
      <c r="U234" s="96"/>
      <c r="V234" s="26">
        <f t="shared" si="958"/>
        <v>-414.51015597599996</v>
      </c>
      <c r="W234" s="96"/>
      <c r="X234" s="26">
        <f t="shared" si="959"/>
        <v>-438.81688474395406</v>
      </c>
      <c r="Y234" s="96"/>
      <c r="Z234" s="26">
        <f t="shared" si="960"/>
        <v>-518.84362200873773</v>
      </c>
      <c r="AA234" s="96"/>
      <c r="AB234" s="26">
        <f t="shared" si="961"/>
        <v>-352.18865058700152</v>
      </c>
      <c r="AC234" s="96"/>
      <c r="AD234" s="26">
        <f t="shared" si="962"/>
        <v>-278.07774569999998</v>
      </c>
      <c r="AE234" s="96"/>
      <c r="AF234" s="12">
        <f t="shared" si="963"/>
        <v>-688.29977450000001</v>
      </c>
      <c r="AG234" s="96"/>
      <c r="AH234" s="26">
        <f t="shared" si="964"/>
        <v>-704.36104219999993</v>
      </c>
      <c r="AI234" s="96"/>
      <c r="AJ234" s="12">
        <f t="shared" si="965"/>
        <v>-1083.0814913035506</v>
      </c>
      <c r="AK234" s="96"/>
    </row>
    <row r="235" spans="2:37" ht="13.5" customHeight="1">
      <c r="B235" s="16" t="str">
        <f t="shared" si="951"/>
        <v>Purchase of intangible assets</v>
      </c>
      <c r="C235" s="26">
        <f t="shared" si="952"/>
        <v>0</v>
      </c>
      <c r="D235" s="26">
        <f t="shared" si="952"/>
        <v>0</v>
      </c>
      <c r="E235" s="26">
        <f t="shared" si="952"/>
        <v>0</v>
      </c>
      <c r="F235" s="26">
        <f t="shared" si="952"/>
        <v>0</v>
      </c>
      <c r="G235" s="26">
        <f t="shared" si="952"/>
        <v>0</v>
      </c>
      <c r="H235" s="26">
        <f t="shared" si="952"/>
        <v>0</v>
      </c>
      <c r="I235" s="12">
        <f t="shared" si="952"/>
        <v>0</v>
      </c>
      <c r="J235" s="12">
        <f t="shared" ref="J235" si="971">J66*J$203</f>
        <v>0</v>
      </c>
      <c r="K235" s="96"/>
      <c r="L235" s="147"/>
      <c r="M235" s="96"/>
      <c r="N235" s="26">
        <f t="shared" si="954"/>
        <v>0</v>
      </c>
      <c r="O235" s="96"/>
      <c r="P235" s="26">
        <f t="shared" si="955"/>
        <v>0</v>
      </c>
      <c r="Q235" s="96"/>
      <c r="R235" s="26">
        <f t="shared" si="956"/>
        <v>0</v>
      </c>
      <c r="S235" s="96"/>
      <c r="T235" s="26">
        <f t="shared" si="957"/>
        <v>0</v>
      </c>
      <c r="U235" s="96"/>
      <c r="V235" s="26">
        <f t="shared" si="958"/>
        <v>0</v>
      </c>
      <c r="W235" s="96"/>
      <c r="X235" s="26">
        <f t="shared" si="959"/>
        <v>0</v>
      </c>
      <c r="Y235" s="96"/>
      <c r="Z235" s="26">
        <f t="shared" si="960"/>
        <v>0</v>
      </c>
      <c r="AA235" s="96"/>
      <c r="AB235" s="26">
        <f t="shared" si="961"/>
        <v>0</v>
      </c>
      <c r="AC235" s="96"/>
      <c r="AD235" s="26">
        <f t="shared" si="962"/>
        <v>0</v>
      </c>
      <c r="AE235" s="96"/>
      <c r="AF235" s="12">
        <f t="shared" si="963"/>
        <v>0</v>
      </c>
      <c r="AG235" s="96"/>
      <c r="AH235" s="26">
        <f t="shared" si="964"/>
        <v>0</v>
      </c>
      <c r="AI235" s="96"/>
      <c r="AJ235" s="12">
        <f t="shared" si="965"/>
        <v>0</v>
      </c>
      <c r="AK235" s="96"/>
    </row>
    <row r="236" spans="2:37" ht="13.5" customHeight="1">
      <c r="B236" s="16" t="str">
        <f t="shared" si="951"/>
        <v>Disposals/ Acquistion, of subsidiaries, businesses</v>
      </c>
      <c r="C236" s="26">
        <f t="shared" si="952"/>
        <v>-5.0762008000000005</v>
      </c>
      <c r="D236" s="26">
        <f t="shared" si="952"/>
        <v>0</v>
      </c>
      <c r="E236" s="26">
        <f t="shared" si="952"/>
        <v>5.7159228000000004</v>
      </c>
      <c r="F236" s="26">
        <f t="shared" si="952"/>
        <v>-168.62123040000003</v>
      </c>
      <c r="G236" s="26">
        <f t="shared" si="952"/>
        <v>-3.7933455186916434</v>
      </c>
      <c r="H236" s="26">
        <f t="shared" si="952"/>
        <v>11.885257172959783</v>
      </c>
      <c r="I236" s="12">
        <f t="shared" si="952"/>
        <v>-0.52705856743779755</v>
      </c>
      <c r="J236" s="12">
        <f t="shared" ref="J236" si="972">J67*J$203</f>
        <v>-1.6872290024673653</v>
      </c>
      <c r="K236" s="96"/>
      <c r="L236" s="147"/>
      <c r="M236" s="96"/>
      <c r="N236" s="26">
        <f t="shared" si="954"/>
        <v>0</v>
      </c>
      <c r="O236" s="96"/>
      <c r="P236" s="26">
        <f t="shared" si="955"/>
        <v>5.7852534000000002</v>
      </c>
      <c r="Q236" s="96"/>
      <c r="R236" s="26">
        <f t="shared" si="956"/>
        <v>0</v>
      </c>
      <c r="S236" s="96"/>
      <c r="T236" s="26">
        <f t="shared" si="957"/>
        <v>-169.65338355000003</v>
      </c>
      <c r="U236" s="96"/>
      <c r="V236" s="26">
        <f t="shared" si="958"/>
        <v>0</v>
      </c>
      <c r="W236" s="96"/>
      <c r="X236" s="26">
        <f t="shared" si="959"/>
        <v>-3.5774339186916437</v>
      </c>
      <c r="Y236" s="96"/>
      <c r="Z236" s="26">
        <f t="shared" si="960"/>
        <v>0</v>
      </c>
      <c r="AA236" s="96"/>
      <c r="AB236" s="26">
        <f t="shared" si="961"/>
        <v>11.551874208123248</v>
      </c>
      <c r="AC236" s="96"/>
      <c r="AD236" s="26">
        <f t="shared" si="962"/>
        <v>0</v>
      </c>
      <c r="AE236" s="96"/>
      <c r="AF236" s="12">
        <f t="shared" si="963"/>
        <v>-0.5288139999999999</v>
      </c>
      <c r="AG236" s="96"/>
      <c r="AH236" s="26">
        <f t="shared" si="964"/>
        <v>0</v>
      </c>
      <c r="AI236" s="96"/>
      <c r="AJ236" s="12">
        <f t="shared" si="965"/>
        <v>-1.7092437686025026</v>
      </c>
      <c r="AK236" s="96"/>
    </row>
    <row r="237" spans="2:37" s="19" customFormat="1" ht="13.5" customHeight="1" thickBot="1">
      <c r="B237" s="24" t="str">
        <f t="shared" si="951"/>
        <v xml:space="preserve">Free cash flow </v>
      </c>
      <c r="C237" s="23">
        <f t="shared" si="952"/>
        <v>-535.54252630000246</v>
      </c>
      <c r="D237" s="23">
        <f t="shared" si="952"/>
        <v>1839.7732688999995</v>
      </c>
      <c r="E237" s="23">
        <f t="shared" si="952"/>
        <v>2201.1315731999989</v>
      </c>
      <c r="F237" s="23">
        <f t="shared" si="952"/>
        <v>-166.3059568000015</v>
      </c>
      <c r="G237" s="23">
        <f t="shared" si="952"/>
        <v>-3828.7557176783621</v>
      </c>
      <c r="H237" s="23">
        <f t="shared" si="952"/>
        <v>619.71646262964418</v>
      </c>
      <c r="I237" s="23">
        <f t="shared" si="952"/>
        <v>9963.3353405009493</v>
      </c>
      <c r="J237" s="23">
        <f t="shared" ref="J237" si="973">J68*J$203</f>
        <v>3419.9101468639456</v>
      </c>
      <c r="K237" s="97"/>
      <c r="L237" s="25"/>
      <c r="M237" s="97"/>
      <c r="N237" s="23">
        <f t="shared" si="954"/>
        <v>825.33996435000086</v>
      </c>
      <c r="O237" s="97"/>
      <c r="P237" s="23">
        <f t="shared" si="955"/>
        <v>1350.8149883999979</v>
      </c>
      <c r="Q237" s="97"/>
      <c r="R237" s="23">
        <f t="shared" si="956"/>
        <v>2600.7146137499999</v>
      </c>
      <c r="S237" s="97"/>
      <c r="T237" s="23">
        <f t="shared" si="957"/>
        <v>-2808.6350724000017</v>
      </c>
      <c r="U237" s="97"/>
      <c r="V237" s="23">
        <f t="shared" si="958"/>
        <v>-372.13097278650167</v>
      </c>
      <c r="W237" s="97"/>
      <c r="X237" s="23">
        <f t="shared" si="959"/>
        <v>-3265.0898532198557</v>
      </c>
      <c r="Y237" s="97"/>
      <c r="Z237" s="23">
        <f t="shared" si="960"/>
        <v>941.00427931777563</v>
      </c>
      <c r="AA237" s="97"/>
      <c r="AB237" s="23">
        <f t="shared" si="961"/>
        <v>-320.12764976312485</v>
      </c>
      <c r="AC237" s="97"/>
      <c r="AD237" s="23">
        <f t="shared" si="962"/>
        <v>1039.1446360999992</v>
      </c>
      <c r="AE237" s="97"/>
      <c r="AF237" s="23">
        <f t="shared" si="963"/>
        <v>8944.9592439999942</v>
      </c>
      <c r="AG237" s="97"/>
      <c r="AH237" s="23">
        <f t="shared" si="964"/>
        <v>2903.6403934000004</v>
      </c>
      <c r="AI237" s="97"/>
      <c r="AJ237" s="23">
        <f t="shared" si="965"/>
        <v>511.4523705406836</v>
      </c>
      <c r="AK237" s="97"/>
    </row>
    <row r="238" spans="2:37" s="19" customFormat="1" ht="13.5" customHeight="1" thickTop="1">
      <c r="B238" s="16" t="str">
        <f t="shared" si="951"/>
        <v xml:space="preserve">Other Investing </v>
      </c>
      <c r="C238" s="26">
        <f t="shared" si="952"/>
        <v>-1051.5189546000001</v>
      </c>
      <c r="D238" s="26">
        <f t="shared" si="952"/>
        <v>-4078.2146706000003</v>
      </c>
      <c r="E238" s="26">
        <f t="shared" si="952"/>
        <v>-2189.6322055999999</v>
      </c>
      <c r="F238" s="26">
        <f t="shared" si="952"/>
        <v>-5709.4231040000004</v>
      </c>
      <c r="G238" s="26">
        <f t="shared" si="952"/>
        <v>3226.7634482559297</v>
      </c>
      <c r="H238" s="26">
        <f t="shared" si="952"/>
        <v>-4153.2129969663511</v>
      </c>
      <c r="I238" s="12">
        <f t="shared" si="952"/>
        <v>-3961.8240369409145</v>
      </c>
      <c r="J238" s="12">
        <f t="shared" ref="J238" si="974">J69*J$203</f>
        <v>-8202.9421709376929</v>
      </c>
      <c r="K238" s="96"/>
      <c r="L238" s="147"/>
      <c r="M238" s="96"/>
      <c r="N238" s="26">
        <f t="shared" si="954"/>
        <v>-436.33190149999996</v>
      </c>
      <c r="O238" s="96"/>
      <c r="P238" s="26">
        <f t="shared" si="955"/>
        <v>-1752.5402087999996</v>
      </c>
      <c r="Q238" s="96"/>
      <c r="R238" s="26">
        <f t="shared" si="956"/>
        <v>-4637.9786812499997</v>
      </c>
      <c r="S238" s="96"/>
      <c r="T238" s="26">
        <f t="shared" si="957"/>
        <v>-1033.9948507500008</v>
      </c>
      <c r="U238" s="96"/>
      <c r="V238" s="26">
        <f t="shared" si="958"/>
        <v>1584.3218661149999</v>
      </c>
      <c r="W238" s="96"/>
      <c r="X238" s="26">
        <f t="shared" si="959"/>
        <v>1571.1419767934813</v>
      </c>
      <c r="Y238" s="96"/>
      <c r="Z238" s="26">
        <f t="shared" si="960"/>
        <v>-1535.0030417928376</v>
      </c>
      <c r="AA238" s="96"/>
      <c r="AB238" s="26">
        <f t="shared" si="961"/>
        <v>-2531.9603503000467</v>
      </c>
      <c r="AC238" s="96"/>
      <c r="AD238" s="26">
        <f t="shared" si="962"/>
        <v>652.20141750000005</v>
      </c>
      <c r="AE238" s="96"/>
      <c r="AF238" s="12">
        <f t="shared" si="963"/>
        <v>-4635.0132042499999</v>
      </c>
      <c r="AG238" s="96"/>
      <c r="AH238" s="26">
        <f t="shared" si="964"/>
        <v>-7635.4811871000002</v>
      </c>
      <c r="AI238" s="96"/>
      <c r="AJ238" s="12">
        <f t="shared" si="965"/>
        <v>-544.48350284238893</v>
      </c>
      <c r="AK238" s="96"/>
    </row>
    <row r="239" spans="2:37" ht="13.5" customHeight="1">
      <c r="B239" s="16" t="str">
        <f t="shared" si="951"/>
        <v>Equity Issuance</v>
      </c>
      <c r="C239" s="26">
        <f t="shared" ref="C239:I248" si="975">C70*C$203</f>
        <v>0</v>
      </c>
      <c r="D239" s="26">
        <f t="shared" si="975"/>
        <v>26.988749100000003</v>
      </c>
      <c r="E239" s="26">
        <f t="shared" si="975"/>
        <v>2992.1019408000002</v>
      </c>
      <c r="F239" s="26">
        <f t="shared" si="975"/>
        <v>12.883772799999999</v>
      </c>
      <c r="G239" s="26">
        <f t="shared" si="975"/>
        <v>12.680495604883141</v>
      </c>
      <c r="H239" s="26">
        <f t="shared" si="975"/>
        <v>9.9940504663400489</v>
      </c>
      <c r="I239" s="12">
        <f t="shared" si="975"/>
        <v>11.683317292992195</v>
      </c>
      <c r="J239" s="12">
        <f t="shared" ref="J239" si="976">J70*J$203</f>
        <v>5485.8161647298512</v>
      </c>
      <c r="K239" s="96"/>
      <c r="L239" s="147"/>
      <c r="M239" s="96"/>
      <c r="N239" s="26">
        <f t="shared" si="954"/>
        <v>0</v>
      </c>
      <c r="O239" s="96"/>
      <c r="P239" s="26">
        <f t="shared" si="955"/>
        <v>3028.3942824000001</v>
      </c>
      <c r="Q239" s="96"/>
      <c r="R239" s="26">
        <f t="shared" si="956"/>
        <v>0</v>
      </c>
      <c r="S239" s="96"/>
      <c r="T239" s="26">
        <f t="shared" si="957"/>
        <v>12.962636100000001</v>
      </c>
      <c r="U239" s="96"/>
      <c r="V239" s="26">
        <f t="shared" si="958"/>
        <v>0</v>
      </c>
      <c r="W239" s="96"/>
      <c r="X239" s="26">
        <f t="shared" si="959"/>
        <v>11.958740604883142</v>
      </c>
      <c r="Y239" s="96"/>
      <c r="Z239" s="26">
        <f t="shared" si="960"/>
        <v>0</v>
      </c>
      <c r="AA239" s="96"/>
      <c r="AB239" s="26">
        <f t="shared" si="961"/>
        <v>9.7137160884879048</v>
      </c>
      <c r="AC239" s="96"/>
      <c r="AD239" s="26">
        <f t="shared" si="962"/>
        <v>0</v>
      </c>
      <c r="AE239" s="96"/>
      <c r="AF239" s="12">
        <f t="shared" si="963"/>
        <v>11.722229999999998</v>
      </c>
      <c r="AG239" s="96"/>
      <c r="AH239" s="26">
        <f t="shared" si="964"/>
        <v>5440.6449517000001</v>
      </c>
      <c r="AI239" s="96"/>
      <c r="AJ239" s="12">
        <f t="shared" si="965"/>
        <v>24.112228632689778</v>
      </c>
      <c r="AK239" s="96"/>
    </row>
    <row r="240" spans="2:37" ht="13.5" customHeight="1">
      <c r="B240" s="16" t="str">
        <f t="shared" si="951"/>
        <v>Dividends</v>
      </c>
      <c r="C240" s="26">
        <f t="shared" si="975"/>
        <v>0</v>
      </c>
      <c r="D240" s="26">
        <f t="shared" si="975"/>
        <v>0</v>
      </c>
      <c r="E240" s="26">
        <f t="shared" si="975"/>
        <v>0</v>
      </c>
      <c r="F240" s="26">
        <f t="shared" si="975"/>
        <v>0</v>
      </c>
      <c r="G240" s="26">
        <f t="shared" si="975"/>
        <v>0</v>
      </c>
      <c r="H240" s="26">
        <f t="shared" si="975"/>
        <v>0</v>
      </c>
      <c r="I240" s="12">
        <f t="shared" si="975"/>
        <v>-3.2434159094494071</v>
      </c>
      <c r="J240" s="12">
        <f t="shared" ref="J240" si="977">J71*J$203</f>
        <v>-0.27347674843987002</v>
      </c>
      <c r="K240" s="96"/>
      <c r="L240" s="147"/>
      <c r="M240" s="96"/>
      <c r="N240" s="26">
        <f t="shared" si="954"/>
        <v>0</v>
      </c>
      <c r="O240" s="96"/>
      <c r="P240" s="26">
        <f t="shared" si="955"/>
        <v>0</v>
      </c>
      <c r="Q240" s="96"/>
      <c r="R240" s="26">
        <f t="shared" si="956"/>
        <v>0</v>
      </c>
      <c r="S240" s="96"/>
      <c r="T240" s="26">
        <f t="shared" si="957"/>
        <v>0</v>
      </c>
      <c r="U240" s="96"/>
      <c r="V240" s="26">
        <f t="shared" si="958"/>
        <v>0</v>
      </c>
      <c r="W240" s="96"/>
      <c r="X240" s="26">
        <f t="shared" si="959"/>
        <v>0</v>
      </c>
      <c r="Y240" s="96"/>
      <c r="Z240" s="26">
        <f t="shared" si="960"/>
        <v>0</v>
      </c>
      <c r="AA240" s="96"/>
      <c r="AB240" s="26">
        <f t="shared" si="961"/>
        <v>0</v>
      </c>
      <c r="AC240" s="96"/>
      <c r="AD240" s="26">
        <f t="shared" si="962"/>
        <v>0</v>
      </c>
      <c r="AE240" s="96"/>
      <c r="AF240" s="12">
        <f t="shared" si="963"/>
        <v>-3.2542184999999999</v>
      </c>
      <c r="AG240" s="96"/>
      <c r="AH240" s="26">
        <f t="shared" si="964"/>
        <v>0</v>
      </c>
      <c r="AI240" s="96"/>
      <c r="AJ240" s="12">
        <f t="shared" si="965"/>
        <v>-0.27704504097840343</v>
      </c>
      <c r="AK240" s="96"/>
    </row>
    <row r="241" spans="2:37" ht="13.5" customHeight="1">
      <c r="B241" s="16" t="str">
        <f t="shared" si="951"/>
        <v>Net Change in debt</v>
      </c>
      <c r="C241" s="26">
        <f t="shared" si="975"/>
        <v>-34.323056599999965</v>
      </c>
      <c r="D241" s="26">
        <f t="shared" si="975"/>
        <v>956.15774054999997</v>
      </c>
      <c r="E241" s="26">
        <f t="shared" si="975"/>
        <v>-297.42431880000032</v>
      </c>
      <c r="F241" s="26">
        <f t="shared" si="975"/>
        <v>1432.0834784000001</v>
      </c>
      <c r="G241" s="26">
        <f t="shared" si="975"/>
        <v>-421.75215061952093</v>
      </c>
      <c r="H241" s="26">
        <f t="shared" si="975"/>
        <v>692.34160173979853</v>
      </c>
      <c r="I241" s="12">
        <f t="shared" si="975"/>
        <v>592.80912372566286</v>
      </c>
      <c r="J241" s="12">
        <f t="shared" ref="J241" si="978">J72*J$203</f>
        <v>333.46827334521191</v>
      </c>
      <c r="K241" s="96"/>
      <c r="L241" s="147"/>
      <c r="M241" s="96"/>
      <c r="N241" s="26">
        <f t="shared" si="954"/>
        <v>754.38339514999984</v>
      </c>
      <c r="O241" s="96"/>
      <c r="P241" s="26">
        <f t="shared" si="955"/>
        <v>-1102.6476392000002</v>
      </c>
      <c r="Q241" s="96"/>
      <c r="R241" s="26">
        <f t="shared" si="956"/>
        <v>309.42956250000003</v>
      </c>
      <c r="S241" s="96"/>
      <c r="T241" s="26">
        <f t="shared" si="957"/>
        <v>1126.5897708000002</v>
      </c>
      <c r="U241" s="96"/>
      <c r="V241" s="26">
        <f t="shared" si="958"/>
        <v>801.05580857550001</v>
      </c>
      <c r="W241" s="96"/>
      <c r="X241" s="26">
        <f t="shared" si="959"/>
        <v>-1141.9901198451546</v>
      </c>
      <c r="Y241" s="96"/>
      <c r="Z241" s="26">
        <f t="shared" si="960"/>
        <v>-71.338030745634995</v>
      </c>
      <c r="AA241" s="96"/>
      <c r="AB241" s="26">
        <f t="shared" si="961"/>
        <v>742.85358636719536</v>
      </c>
      <c r="AC241" s="96"/>
      <c r="AD241" s="26">
        <f t="shared" si="962"/>
        <v>645.94921620000002</v>
      </c>
      <c r="AE241" s="96"/>
      <c r="AF241" s="12">
        <f t="shared" si="963"/>
        <v>-58.883382999999988</v>
      </c>
      <c r="AG241" s="96"/>
      <c r="AH241" s="26">
        <f t="shared" si="964"/>
        <v>-340.28755089999999</v>
      </c>
      <c r="AI241" s="96"/>
      <c r="AJ241" s="12">
        <f t="shared" si="965"/>
        <v>683.90091831121015</v>
      </c>
      <c r="AK241" s="96"/>
    </row>
    <row r="242" spans="2:37" ht="13.5" customHeight="1">
      <c r="B242" s="16" t="str">
        <f t="shared" si="951"/>
        <v>Other financing activities</v>
      </c>
      <c r="C242" s="26">
        <f t="shared" si="975"/>
        <v>3930.9985080000006</v>
      </c>
      <c r="D242" s="26">
        <f t="shared" si="975"/>
        <v>-500.64997724999995</v>
      </c>
      <c r="E242" s="26">
        <f t="shared" si="975"/>
        <v>1269.8697816000001</v>
      </c>
      <c r="F242" s="26">
        <f t="shared" si="975"/>
        <v>-644.3412016000002</v>
      </c>
      <c r="G242" s="26">
        <f t="shared" si="975"/>
        <v>-623.58529876869466</v>
      </c>
      <c r="H242" s="26">
        <f t="shared" si="975"/>
        <v>-666.1488676939033</v>
      </c>
      <c r="I242" s="12">
        <f t="shared" si="975"/>
        <v>-1058.3515713208058</v>
      </c>
      <c r="J242" s="12">
        <f t="shared" ref="J242" si="979">J73*J$203</f>
        <v>-1427.1437030351119</v>
      </c>
      <c r="K242" s="96"/>
      <c r="L242" s="147"/>
      <c r="M242" s="96"/>
      <c r="N242" s="26">
        <f t="shared" si="954"/>
        <v>-53.657732149999966</v>
      </c>
      <c r="O242" s="96"/>
      <c r="P242" s="26">
        <f t="shared" si="955"/>
        <v>1342.2897866000001</v>
      </c>
      <c r="Q242" s="96"/>
      <c r="R242" s="26">
        <f t="shared" si="956"/>
        <v>-101.41749750000002</v>
      </c>
      <c r="S242" s="96"/>
      <c r="T242" s="26">
        <f t="shared" si="957"/>
        <v>-545.28470055000014</v>
      </c>
      <c r="U242" s="96"/>
      <c r="V242" s="26">
        <f t="shared" si="958"/>
        <v>-173.46863043150009</v>
      </c>
      <c r="W242" s="96"/>
      <c r="X242" s="26">
        <f t="shared" si="959"/>
        <v>-426.92582840225015</v>
      </c>
      <c r="Y242" s="96"/>
      <c r="Z242" s="26">
        <f t="shared" si="960"/>
        <v>441.0242710412179</v>
      </c>
      <c r="AA242" s="96"/>
      <c r="AB242" s="26">
        <f t="shared" si="961"/>
        <v>-1079.7968194183866</v>
      </c>
      <c r="AC242" s="96"/>
      <c r="AD242" s="26">
        <f t="shared" si="962"/>
        <v>-534.8843627</v>
      </c>
      <c r="AE242" s="96"/>
      <c r="AF242" s="12">
        <f t="shared" si="963"/>
        <v>-520.60145149999994</v>
      </c>
      <c r="AG242" s="96"/>
      <c r="AH242" s="26">
        <f t="shared" si="964"/>
        <v>-270.52880200000084</v>
      </c>
      <c r="AI242" s="96"/>
      <c r="AJ242" s="12">
        <f t="shared" si="965"/>
        <v>-1170.6298401771726</v>
      </c>
      <c r="AK242" s="96"/>
    </row>
    <row r="243" spans="2:37" s="19" customFormat="1" ht="13.5" customHeight="1" thickBot="1">
      <c r="B243" s="24" t="str">
        <f t="shared" si="951"/>
        <v>Cash flow after financing activities</v>
      </c>
      <c r="C243" s="23">
        <f t="shared" si="975"/>
        <v>2309.6139704999978</v>
      </c>
      <c r="D243" s="23">
        <f t="shared" si="975"/>
        <v>-1755.9448893000008</v>
      </c>
      <c r="E243" s="23">
        <f t="shared" si="975"/>
        <v>3976.0467711999991</v>
      </c>
      <c r="F243" s="23">
        <f t="shared" si="975"/>
        <v>-5075.1030112000017</v>
      </c>
      <c r="G243" s="23">
        <f t="shared" si="975"/>
        <v>-1634.6492232057647</v>
      </c>
      <c r="H243" s="23">
        <f t="shared" si="975"/>
        <v>-3497.3097498244715</v>
      </c>
      <c r="I243" s="23">
        <f t="shared" si="975"/>
        <v>5544.4087573484358</v>
      </c>
      <c r="J243" s="23">
        <f t="shared" ref="J243" si="980">J74*J$203</f>
        <v>-391.16476578223643</v>
      </c>
      <c r="K243" s="97"/>
      <c r="L243" s="25"/>
      <c r="M243" s="97"/>
      <c r="N243" s="23">
        <f t="shared" si="954"/>
        <v>1089.7337258500008</v>
      </c>
      <c r="O243" s="97"/>
      <c r="P243" s="23">
        <f t="shared" si="955"/>
        <v>2866.3112093999989</v>
      </c>
      <c r="Q243" s="97"/>
      <c r="R243" s="23">
        <f t="shared" si="956"/>
        <v>-1829.2520025000001</v>
      </c>
      <c r="S243" s="97"/>
      <c r="T243" s="23">
        <f t="shared" si="957"/>
        <v>-3248.3622168000024</v>
      </c>
      <c r="U243" s="97"/>
      <c r="V243" s="23">
        <f t="shared" si="958"/>
        <v>1839.7780714724984</v>
      </c>
      <c r="W243" s="97"/>
      <c r="X243" s="23">
        <f t="shared" si="959"/>
        <v>-3250.9050840688965</v>
      </c>
      <c r="Y243" s="97"/>
      <c r="Z243" s="23">
        <f t="shared" si="960"/>
        <v>-224.31252217947915</v>
      </c>
      <c r="AA243" s="97"/>
      <c r="AB243" s="23">
        <f t="shared" si="961"/>
        <v>-3179.3175170258746</v>
      </c>
      <c r="AC243" s="97"/>
      <c r="AD243" s="23">
        <f t="shared" si="962"/>
        <v>1802.4109070999996</v>
      </c>
      <c r="AE243" s="97"/>
      <c r="AF243" s="23">
        <f t="shared" si="963"/>
        <v>3738.9292167499939</v>
      </c>
      <c r="AG243" s="97"/>
      <c r="AH243" s="23">
        <f t="shared" si="964"/>
        <v>97.987805099999633</v>
      </c>
      <c r="AI243" s="97"/>
      <c r="AJ243" s="23">
        <f t="shared" si="965"/>
        <v>-495.92487057595633</v>
      </c>
      <c r="AK243" s="97"/>
    </row>
    <row r="244" spans="2:37" s="19" customFormat="1" ht="13.5" customHeight="1" thickTop="1">
      <c r="B244" s="16" t="str">
        <f t="shared" si="951"/>
        <v>Balancing figure</v>
      </c>
      <c r="C244" s="26">
        <f t="shared" si="975"/>
        <v>255.15784280000253</v>
      </c>
      <c r="D244" s="26">
        <f t="shared" si="975"/>
        <v>1085.9072085000007</v>
      </c>
      <c r="E244" s="26">
        <f t="shared" si="975"/>
        <v>537.57128320000118</v>
      </c>
      <c r="F244" s="26">
        <f t="shared" si="975"/>
        <v>306.74271200000135</v>
      </c>
      <c r="G244" s="26">
        <f t="shared" si="975"/>
        <v>2133.8979752994373</v>
      </c>
      <c r="H244" s="26">
        <f t="shared" si="975"/>
        <v>4301.5434364232187</v>
      </c>
      <c r="I244" s="12">
        <f t="shared" si="975"/>
        <v>-5556.9261197529022</v>
      </c>
      <c r="J244" s="12">
        <f t="shared" ref="J244" si="981">J75*J$203</f>
        <v>-551.59006957298857</v>
      </c>
      <c r="K244" s="96"/>
      <c r="L244" s="147"/>
      <c r="M244" s="96"/>
      <c r="N244" s="26">
        <f t="shared" si="954"/>
        <v>-1562.4976004000007</v>
      </c>
      <c r="O244" s="96"/>
      <c r="P244" s="26">
        <f t="shared" si="955"/>
        <v>2204.4181104000022</v>
      </c>
      <c r="Q244" s="96"/>
      <c r="R244" s="26">
        <f t="shared" si="956"/>
        <v>-1650.5586787500001</v>
      </c>
      <c r="S244" s="96"/>
      <c r="T244" s="26">
        <f t="shared" si="957"/>
        <v>1984.9438224000016</v>
      </c>
      <c r="U244" s="96"/>
      <c r="V244" s="26">
        <f t="shared" si="958"/>
        <v>-1191.0653339174983</v>
      </c>
      <c r="W244" s="96"/>
      <c r="X244" s="26">
        <f t="shared" si="959"/>
        <v>3119.0324855268791</v>
      </c>
      <c r="Y244" s="96"/>
      <c r="Z244" s="26">
        <f t="shared" si="960"/>
        <v>703.77092434907831</v>
      </c>
      <c r="AA244" s="96"/>
      <c r="AB244" s="26">
        <f t="shared" si="961"/>
        <v>3490.9820817482741</v>
      </c>
      <c r="AC244" s="96"/>
      <c r="AD244" s="26">
        <f t="shared" si="962"/>
        <v>-1015.9378977999994</v>
      </c>
      <c r="AE244" s="96"/>
      <c r="AF244" s="12">
        <f t="shared" si="963"/>
        <v>-4547.3579514999956</v>
      </c>
      <c r="AG244" s="96"/>
      <c r="AH244" s="26">
        <f t="shared" si="964"/>
        <v>229.40036840000036</v>
      </c>
      <c r="AI244" s="96"/>
      <c r="AJ244" s="12">
        <f t="shared" si="965"/>
        <v>-792.09349564824356</v>
      </c>
      <c r="AK244" s="96"/>
    </row>
    <row r="245" spans="2:37" ht="13.5" customHeight="1">
      <c r="B245" s="16" t="str">
        <f t="shared" si="951"/>
        <v xml:space="preserve">FX </v>
      </c>
      <c r="C245" s="26">
        <f t="shared" si="975"/>
        <v>147.5236712</v>
      </c>
      <c r="D245" s="26">
        <f t="shared" si="975"/>
        <v>47.416868100000002</v>
      </c>
      <c r="E245" s="26">
        <f t="shared" si="975"/>
        <v>-234.8628856</v>
      </c>
      <c r="F245" s="26">
        <f t="shared" si="975"/>
        <v>-80.221793600000012</v>
      </c>
      <c r="G245" s="26">
        <f t="shared" si="975"/>
        <v>119.58088865698545</v>
      </c>
      <c r="H245" s="26">
        <f t="shared" si="975"/>
        <v>56.829539417881776</v>
      </c>
      <c r="I245" s="12">
        <f t="shared" si="975"/>
        <v>16.713913032989801</v>
      </c>
      <c r="J245" s="12">
        <f t="shared" ref="J245" si="982">J76*J$203</f>
        <v>3.2612519985795294</v>
      </c>
      <c r="K245" s="96"/>
      <c r="L245" s="147"/>
      <c r="M245" s="96"/>
      <c r="N245" s="26">
        <f t="shared" si="954"/>
        <v>37.894238799999997</v>
      </c>
      <c r="O245" s="96"/>
      <c r="P245" s="26">
        <f t="shared" si="955"/>
        <v>-277.9784444</v>
      </c>
      <c r="Q245" s="96"/>
      <c r="R245" s="26">
        <f t="shared" si="956"/>
        <v>-36.667529999999999</v>
      </c>
      <c r="S245" s="96"/>
      <c r="T245" s="26">
        <f t="shared" si="957"/>
        <v>-43.472940750000006</v>
      </c>
      <c r="U245" s="96"/>
      <c r="V245" s="26">
        <f t="shared" si="958"/>
        <v>67.760927346000003</v>
      </c>
      <c r="W245" s="96"/>
      <c r="X245" s="26">
        <f t="shared" si="959"/>
        <v>49.81932252276286</v>
      </c>
      <c r="Y245" s="96"/>
      <c r="Z245" s="26">
        <f t="shared" si="960"/>
        <v>66.406569880156582</v>
      </c>
      <c r="AA245" s="96"/>
      <c r="AB245" s="26">
        <f t="shared" si="961"/>
        <v>-9.8625081182762333</v>
      </c>
      <c r="AC245" s="96"/>
      <c r="AD245" s="26">
        <f t="shared" si="962"/>
        <v>1.3194074</v>
      </c>
      <c r="AE245" s="96"/>
      <c r="AF245" s="12">
        <f t="shared" si="963"/>
        <v>15.434409249999998</v>
      </c>
      <c r="AG245" s="96"/>
      <c r="AH245" s="26">
        <f t="shared" si="964"/>
        <v>-1.9164178999999999</v>
      </c>
      <c r="AI245" s="96"/>
      <c r="AJ245" s="12">
        <f t="shared" si="965"/>
        <v>5.2528529714632324</v>
      </c>
      <c r="AK245" s="96"/>
    </row>
    <row r="246" spans="2:37" s="19" customFormat="1" ht="13.5" customHeight="1" thickBot="1">
      <c r="B246" s="24" t="str">
        <f t="shared" si="951"/>
        <v xml:space="preserve">Net change in cash </v>
      </c>
      <c r="C246" s="23">
        <f t="shared" si="975"/>
        <v>2712.2954845000004</v>
      </c>
      <c r="D246" s="23">
        <f t="shared" si="975"/>
        <v>-622.6208127000001</v>
      </c>
      <c r="E246" s="23">
        <f t="shared" si="975"/>
        <v>4278.7551688000003</v>
      </c>
      <c r="F246" s="23">
        <f t="shared" si="975"/>
        <v>-4848.5820928000003</v>
      </c>
      <c r="G246" s="23">
        <f t="shared" si="975"/>
        <v>618.82964075065843</v>
      </c>
      <c r="H246" s="23">
        <f t="shared" si="975"/>
        <v>861.06322601662941</v>
      </c>
      <c r="I246" s="23">
        <f t="shared" si="975"/>
        <v>4.1965506285233189</v>
      </c>
      <c r="J246" s="23">
        <f t="shared" ref="J246" si="983">J77*J$203</f>
        <v>-939.49358335664544</v>
      </c>
      <c r="K246" s="97"/>
      <c r="L246" s="25"/>
      <c r="M246" s="97"/>
      <c r="N246" s="23">
        <f t="shared" si="954"/>
        <v>-434.86963574999987</v>
      </c>
      <c r="O246" s="97"/>
      <c r="P246" s="23">
        <f t="shared" si="955"/>
        <v>4792.7508754</v>
      </c>
      <c r="Q246" s="97"/>
      <c r="R246" s="23">
        <f t="shared" si="956"/>
        <v>-3516.4782112500002</v>
      </c>
      <c r="S246" s="97"/>
      <c r="T246" s="23">
        <f t="shared" si="957"/>
        <v>-1306.8913351500009</v>
      </c>
      <c r="U246" s="97"/>
      <c r="V246" s="23">
        <f t="shared" si="958"/>
        <v>716.47366490100001</v>
      </c>
      <c r="W246" s="97"/>
      <c r="X246" s="23">
        <f t="shared" si="959"/>
        <v>-82.053276019254767</v>
      </c>
      <c r="Y246" s="97"/>
      <c r="Z246" s="23">
        <f t="shared" si="960"/>
        <v>545.86497204975569</v>
      </c>
      <c r="AA246" s="97"/>
      <c r="AB246" s="23">
        <f t="shared" si="961"/>
        <v>301.80205660412338</v>
      </c>
      <c r="AC246" s="97"/>
      <c r="AD246" s="23">
        <f t="shared" si="962"/>
        <v>787.7924167000001</v>
      </c>
      <c r="AE246" s="97"/>
      <c r="AF246" s="23">
        <f t="shared" si="963"/>
        <v>-792.99432550000142</v>
      </c>
      <c r="AG246" s="97"/>
      <c r="AH246" s="23">
        <f t="shared" si="964"/>
        <v>325.47175559999999</v>
      </c>
      <c r="AI246" s="97"/>
      <c r="AJ246" s="23">
        <f t="shared" si="965"/>
        <v>-1282.7655132527366</v>
      </c>
      <c r="AK246" s="97"/>
    </row>
    <row r="247" spans="2:37" ht="13.5" customHeight="1" thickTop="1"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</row>
    <row r="248" spans="2:37" s="19" customFormat="1" ht="13.5" customHeight="1">
      <c r="B248" s="19" t="str">
        <f>+B119</f>
        <v>Total debt</v>
      </c>
      <c r="C248" s="25">
        <f t="shared" ref="C248:G248" si="984">C119*C$204</f>
        <v>1713.1117010000003</v>
      </c>
      <c r="D248" s="25">
        <f t="shared" si="984"/>
        <v>2668.6134324</v>
      </c>
      <c r="E248" s="25">
        <f t="shared" si="984"/>
        <v>2830.6184904000002</v>
      </c>
      <c r="F248" s="25">
        <f t="shared" si="984"/>
        <v>4641.8006568000001</v>
      </c>
      <c r="G248" s="25">
        <f t="shared" si="984"/>
        <v>3777.7837383285969</v>
      </c>
      <c r="H248" s="25">
        <f>H119*H$204</f>
        <v>4202.0782495984668</v>
      </c>
      <c r="I248" s="25">
        <f t="shared" ref="I248:J248" si="985">I119*I$204</f>
        <v>4933.5582380000005</v>
      </c>
      <c r="J248" s="25">
        <f t="shared" si="985"/>
        <v>5982.2262893747238</v>
      </c>
      <c r="K248" s="25">
        <f>K119*K$204</f>
        <v>5126.4294825337001</v>
      </c>
      <c r="L248" s="25"/>
      <c r="M248" s="25">
        <f t="shared" ref="M248:S248" si="986">M119*M$204</f>
        <v>2327.1245423999999</v>
      </c>
      <c r="N248" s="25">
        <f t="shared" si="986"/>
        <v>3311.7475039999999</v>
      </c>
      <c r="O248" s="25">
        <f t="shared" si="986"/>
        <v>2733.3358976</v>
      </c>
      <c r="P248" s="25">
        <f t="shared" si="986"/>
        <v>2830.6184904000002</v>
      </c>
      <c r="Q248" s="25">
        <f t="shared" si="986"/>
        <v>3205.3454510000001</v>
      </c>
      <c r="R248" s="25">
        <f t="shared" si="986"/>
        <v>2991.6964672000008</v>
      </c>
      <c r="S248" s="25">
        <f t="shared" si="986"/>
        <v>4016.8340849999995</v>
      </c>
      <c r="T248" s="25">
        <f t="shared" ref="T248:V248" si="987">T119*T$204</f>
        <v>4641.8006568000001</v>
      </c>
      <c r="U248" s="25">
        <f t="shared" si="987"/>
        <v>4678.101553902</v>
      </c>
      <c r="V248" s="25">
        <f t="shared" si="987"/>
        <v>5304.6473519269994</v>
      </c>
      <c r="W248" s="25">
        <f t="shared" ref="W248:Z248" si="988">W119*W$204</f>
        <v>3606.6378600000003</v>
      </c>
      <c r="X248" s="25">
        <f t="shared" si="988"/>
        <v>3777.7837383285969</v>
      </c>
      <c r="Y248" s="25">
        <f t="shared" si="988"/>
        <v>3269.4235191384078</v>
      </c>
      <c r="Z248" s="25">
        <f t="shared" si="988"/>
        <v>3439.9067779080187</v>
      </c>
      <c r="AA248" s="25">
        <f t="shared" ref="AA248:AD248" si="989">AA119*AA$204</f>
        <v>3401.613477605807</v>
      </c>
      <c r="AB248" s="25">
        <f t="shared" si="989"/>
        <v>4202.0782495984668</v>
      </c>
      <c r="AC248" s="25">
        <f t="shared" si="989"/>
        <v>3837.2667345</v>
      </c>
      <c r="AD248" s="25">
        <f t="shared" si="989"/>
        <v>4726.3735519999991</v>
      </c>
      <c r="AE248" s="25">
        <f t="shared" ref="AE248:AH248" si="990">AE119*AE$204</f>
        <v>3898.8209474999999</v>
      </c>
      <c r="AF248" s="25">
        <f t="shared" si="990"/>
        <v>4933.5582380000005</v>
      </c>
      <c r="AG248" s="25">
        <f t="shared" si="990"/>
        <v>4264.1775930000003</v>
      </c>
      <c r="AH248" s="25">
        <f t="shared" si="990"/>
        <v>4036.2319056000001</v>
      </c>
      <c r="AI248" s="25">
        <f t="shared" ref="AI248:AK248" si="991">AI119*AI$204</f>
        <v>3875.0703691218609</v>
      </c>
      <c r="AJ248" s="25">
        <f t="shared" si="991"/>
        <v>5982.2262893747238</v>
      </c>
      <c r="AK248" s="25">
        <f t="shared" si="991"/>
        <v>5126.4294825337001</v>
      </c>
    </row>
    <row r="249" spans="2:37" ht="13.5" customHeight="1">
      <c r="B249" s="16" t="str">
        <f>+B120</f>
        <v>Cash and cash equivalents</v>
      </c>
      <c r="C249" s="22">
        <f t="shared" ref="C249:E249" si="992">(C120)*C$204</f>
        <v>5556.9496792</v>
      </c>
      <c r="D249" s="22">
        <f t="shared" si="992"/>
        <v>9176.943818400001</v>
      </c>
      <c r="E249" s="22">
        <f t="shared" si="992"/>
        <v>14634.465542400001</v>
      </c>
      <c r="F249" s="22">
        <f t="shared" ref="F249:G249" si="993">(F120)*F$204</f>
        <v>13546.449048</v>
      </c>
      <c r="G249" s="22">
        <f t="shared" si="993"/>
        <v>9826.7394014962592</v>
      </c>
      <c r="H249" s="22">
        <f t="shared" ref="H249:I249" si="994">(H120)*H$204</f>
        <v>15174.811772661953</v>
      </c>
      <c r="I249" s="22">
        <f t="shared" si="994"/>
        <v>13770.789955</v>
      </c>
      <c r="J249" s="22">
        <f t="shared" ref="J249" si="995">(J120)*J$204</f>
        <v>15399.086177559806</v>
      </c>
      <c r="K249" s="22">
        <f>(K120)*K$204</f>
        <v>14237.630236266124</v>
      </c>
      <c r="L249" s="22"/>
      <c r="M249" s="22">
        <f t="shared" ref="M249:S249" si="996">(M120)*M$204</f>
        <v>7230.4309416000006</v>
      </c>
      <c r="N249" s="22">
        <f t="shared" si="996"/>
        <v>8538.5973259999992</v>
      </c>
      <c r="O249" s="22">
        <f t="shared" si="996"/>
        <v>9820.5043776000002</v>
      </c>
      <c r="P249" s="22">
        <f t="shared" si="996"/>
        <v>14634.465542400001</v>
      </c>
      <c r="Q249" s="22">
        <f t="shared" si="996"/>
        <v>14422.041354000003</v>
      </c>
      <c r="R249" s="22">
        <f t="shared" si="996"/>
        <v>14502.614734000001</v>
      </c>
      <c r="S249" s="22">
        <f t="shared" si="996"/>
        <v>12700.108980899999</v>
      </c>
      <c r="T249" s="22">
        <f t="shared" ref="T249:V249" si="997">(T120)*T$204</f>
        <v>13546.449048</v>
      </c>
      <c r="U249" s="22">
        <f t="shared" si="997"/>
        <v>12002.833184487999</v>
      </c>
      <c r="V249" s="22">
        <f t="shared" si="997"/>
        <v>11182.451601706</v>
      </c>
      <c r="W249" s="22">
        <f t="shared" ref="W249:Z249" si="998">(W120)*W$204</f>
        <v>9304.8831400000017</v>
      </c>
      <c r="X249" s="22">
        <f t="shared" si="998"/>
        <v>9826.7394014962592</v>
      </c>
      <c r="Y249" s="22">
        <f t="shared" si="998"/>
        <v>10368.58564983263</v>
      </c>
      <c r="Z249" s="22">
        <f t="shared" si="998"/>
        <v>12310.555471281803</v>
      </c>
      <c r="AA249" s="22">
        <f t="shared" ref="AA249:AD249" si="999">(AA120)*AA$204</f>
        <v>13516.392959868512</v>
      </c>
      <c r="AB249" s="22">
        <f t="shared" si="999"/>
        <v>15174.811772661953</v>
      </c>
      <c r="AC249" s="22">
        <f t="shared" si="999"/>
        <v>13507.741016</v>
      </c>
      <c r="AD249" s="22">
        <f t="shared" si="999"/>
        <v>13461.462902400001</v>
      </c>
      <c r="AE249" s="22">
        <f t="shared" ref="AE249:AH249" si="1000">(AE120)*AE$204</f>
        <v>14190.658297499998</v>
      </c>
      <c r="AF249" s="22">
        <f t="shared" si="1000"/>
        <v>13770.789955</v>
      </c>
      <c r="AG249" s="22">
        <f t="shared" si="1000"/>
        <v>17946.677754200002</v>
      </c>
      <c r="AH249" s="22">
        <f t="shared" si="1000"/>
        <v>15626.119718</v>
      </c>
      <c r="AI249" s="22">
        <f t="shared" ref="AI249:AK249" si="1001">(AI120)*AI$204</f>
        <v>15471.419742682174</v>
      </c>
      <c r="AJ249" s="22">
        <f t="shared" si="1001"/>
        <v>15399.086177559806</v>
      </c>
      <c r="AK249" s="22">
        <f t="shared" si="1001"/>
        <v>14237.630236266124</v>
      </c>
    </row>
    <row r="250" spans="2:37" s="19" customFormat="1" ht="13.5" customHeight="1" thickBot="1">
      <c r="B250" s="24" t="str">
        <f>+B121</f>
        <v xml:space="preserve">Net debt </v>
      </c>
      <c r="C250" s="23">
        <f t="shared" ref="C250:E250" si="1002">C248-C249</f>
        <v>-3843.8379781999997</v>
      </c>
      <c r="D250" s="23">
        <f t="shared" si="1002"/>
        <v>-6508.3303860000015</v>
      </c>
      <c r="E250" s="23">
        <f t="shared" si="1002"/>
        <v>-11803.847052000001</v>
      </c>
      <c r="F250" s="23">
        <f t="shared" ref="F250:G250" si="1003">F248-F249</f>
        <v>-8904.6483912000003</v>
      </c>
      <c r="G250" s="23">
        <f t="shared" si="1003"/>
        <v>-6048.9556631676624</v>
      </c>
      <c r="H250" s="23">
        <f>H248-H249</f>
        <v>-10972.733523063485</v>
      </c>
      <c r="I250" s="23">
        <f t="shared" ref="I250:J250" si="1004">I248-I249</f>
        <v>-8837.2317169999988</v>
      </c>
      <c r="J250" s="23">
        <f t="shared" si="1004"/>
        <v>-9416.8598881850812</v>
      </c>
      <c r="K250" s="23">
        <f>K248-K249</f>
        <v>-9111.2007537324243</v>
      </c>
      <c r="L250" s="25"/>
      <c r="M250" s="23">
        <f t="shared" ref="M250:S250" si="1005">M248-M249</f>
        <v>-4903.3063992000007</v>
      </c>
      <c r="N250" s="23">
        <f t="shared" si="1005"/>
        <v>-5226.8498219999992</v>
      </c>
      <c r="O250" s="23">
        <f t="shared" si="1005"/>
        <v>-7087.1684800000003</v>
      </c>
      <c r="P250" s="23">
        <f t="shared" si="1005"/>
        <v>-11803.847052000001</v>
      </c>
      <c r="Q250" s="23">
        <f t="shared" si="1005"/>
        <v>-11216.695903000003</v>
      </c>
      <c r="R250" s="23">
        <f t="shared" si="1005"/>
        <v>-11510.918266799999</v>
      </c>
      <c r="S250" s="23">
        <f t="shared" si="1005"/>
        <v>-8683.2748958999982</v>
      </c>
      <c r="T250" s="23">
        <f t="shared" ref="T250:V250" si="1006">T248-T249</f>
        <v>-8904.6483912000003</v>
      </c>
      <c r="U250" s="23">
        <f t="shared" si="1006"/>
        <v>-7324.7316305859995</v>
      </c>
      <c r="V250" s="23">
        <f t="shared" si="1006"/>
        <v>-5877.8042497790002</v>
      </c>
      <c r="W250" s="23">
        <f t="shared" ref="W250:Z250" si="1007">W248-W249</f>
        <v>-5698.245280000001</v>
      </c>
      <c r="X250" s="23">
        <f t="shared" si="1007"/>
        <v>-6048.9556631676624</v>
      </c>
      <c r="Y250" s="23">
        <f t="shared" si="1007"/>
        <v>-7099.1621306942225</v>
      </c>
      <c r="Z250" s="23">
        <f t="shared" si="1007"/>
        <v>-8870.6486933737833</v>
      </c>
      <c r="AA250" s="23">
        <f t="shared" ref="AA250:AD250" si="1008">AA248-AA249</f>
        <v>-10114.779482262704</v>
      </c>
      <c r="AB250" s="23">
        <f t="shared" si="1008"/>
        <v>-10972.733523063485</v>
      </c>
      <c r="AC250" s="23">
        <f t="shared" si="1008"/>
        <v>-9670.4742814999991</v>
      </c>
      <c r="AD250" s="23">
        <f t="shared" si="1008"/>
        <v>-8735.0893504000014</v>
      </c>
      <c r="AE250" s="23">
        <f t="shared" ref="AE250:AH250" si="1009">AE248-AE249</f>
        <v>-10291.837349999998</v>
      </c>
      <c r="AF250" s="23">
        <f t="shared" si="1009"/>
        <v>-8837.2317169999988</v>
      </c>
      <c r="AG250" s="23">
        <f t="shared" si="1009"/>
        <v>-13682.500161200001</v>
      </c>
      <c r="AH250" s="23">
        <f t="shared" si="1009"/>
        <v>-11589.8878124</v>
      </c>
      <c r="AI250" s="23">
        <f t="shared" ref="AI250:AK250" si="1010">AI248-AI249</f>
        <v>-11596.349373560313</v>
      </c>
      <c r="AJ250" s="23">
        <f t="shared" si="1010"/>
        <v>-9416.8598881850812</v>
      </c>
      <c r="AK250" s="23">
        <f t="shared" si="1010"/>
        <v>-9111.2007537324243</v>
      </c>
    </row>
    <row r="251" spans="2:37" ht="13.5" customHeight="1" thickTop="1"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spans="2:37" ht="13.5" customHeight="1">
      <c r="B252" s="19" t="str">
        <f>B123</f>
        <v>Company reported net debt</v>
      </c>
      <c r="C252" s="25">
        <f t="shared" ref="C252:G252" si="1011">C123*C204</f>
        <v>-3843.8379782000002</v>
      </c>
      <c r="D252" s="25">
        <f t="shared" si="1011"/>
        <v>-6508.3303860000005</v>
      </c>
      <c r="E252" s="25">
        <f t="shared" si="1011"/>
        <v>-11803.847052000001</v>
      </c>
      <c r="F252" s="25">
        <f t="shared" si="1011"/>
        <v>-8904.6483912000003</v>
      </c>
      <c r="G252" s="25">
        <f t="shared" si="1011"/>
        <v>-6048.9556631676624</v>
      </c>
      <c r="H252" s="25">
        <f>H123*H204</f>
        <v>-10972.733523063485</v>
      </c>
      <c r="I252" s="25">
        <f>I123*I204</f>
        <v>-8837.2317170000006</v>
      </c>
      <c r="J252" s="25">
        <f>J123*J204</f>
        <v>-9416.8598881850812</v>
      </c>
      <c r="K252" s="25">
        <f t="shared" ref="K252" si="1012">K123*K204</f>
        <v>-9111.2007537324225</v>
      </c>
      <c r="L252" s="18"/>
      <c r="M252" s="25">
        <f t="shared" ref="M252:S252" si="1013">M123*M204</f>
        <v>-4903.3063991999998</v>
      </c>
      <c r="N252" s="25">
        <f t="shared" si="1013"/>
        <v>-5226.8498220000001</v>
      </c>
      <c r="O252" s="25">
        <f t="shared" si="1013"/>
        <v>-7087.1684800000003</v>
      </c>
      <c r="P252" s="25">
        <f t="shared" si="1013"/>
        <v>-6943.4276820000005</v>
      </c>
      <c r="Q252" s="25">
        <f t="shared" si="1013"/>
        <v>-11216.695903000003</v>
      </c>
      <c r="R252" s="25">
        <f t="shared" si="1013"/>
        <v>-11510.918266800001</v>
      </c>
      <c r="S252" s="25">
        <f t="shared" si="1013"/>
        <v>-8683.2748958999982</v>
      </c>
      <c r="T252" s="25">
        <f t="shared" ref="T252:V252" si="1014">T123*T204</f>
        <v>-8904.6483912000003</v>
      </c>
      <c r="U252" s="25">
        <f t="shared" si="1014"/>
        <v>-7324.7316305859986</v>
      </c>
      <c r="V252" s="25">
        <f t="shared" si="1014"/>
        <v>-5877.8042497790002</v>
      </c>
      <c r="W252" s="25">
        <f t="shared" ref="W252:Z252" si="1015">W123*W204</f>
        <v>-5698.245280000001</v>
      </c>
      <c r="X252" s="25">
        <f t="shared" si="1015"/>
        <v>-6048.9556631676624</v>
      </c>
      <c r="Y252" s="25">
        <f t="shared" si="1015"/>
        <v>-7099.1621306942225</v>
      </c>
      <c r="Z252" s="25">
        <f t="shared" si="1015"/>
        <v>-8870.6486933737833</v>
      </c>
      <c r="AA252" s="25">
        <f t="shared" ref="AA252:AD252" si="1016">AA123*AA204</f>
        <v>-10114.779482262704</v>
      </c>
      <c r="AB252" s="25">
        <f t="shared" si="1016"/>
        <v>-10972.733523063485</v>
      </c>
      <c r="AC252" s="25">
        <f t="shared" si="1016"/>
        <v>-9670.4742815000009</v>
      </c>
      <c r="AD252" s="25">
        <f t="shared" si="1016"/>
        <v>-8735.0893504000014</v>
      </c>
      <c r="AE252" s="25">
        <f t="shared" ref="AE252:AH252" si="1017">AE123*AE204</f>
        <v>-10291.837349999998</v>
      </c>
      <c r="AF252" s="25">
        <f t="shared" si="1017"/>
        <v>-8837.2317170000006</v>
      </c>
      <c r="AG252" s="25">
        <f t="shared" si="1017"/>
        <v>-13682.5001612</v>
      </c>
      <c r="AH252" s="25">
        <f t="shared" si="1017"/>
        <v>-11589.8878124</v>
      </c>
      <c r="AI252" s="25">
        <f t="shared" ref="AI252:AK252" si="1018">AI123*AI204</f>
        <v>-11596.349373560313</v>
      </c>
      <c r="AJ252" s="25">
        <f t="shared" si="1018"/>
        <v>-9416.8598881850812</v>
      </c>
      <c r="AK252" s="25">
        <f t="shared" si="1018"/>
        <v>-9111.2007537324225</v>
      </c>
    </row>
    <row r="253" spans="2:37" ht="13.5" customHeight="1">
      <c r="B253" s="19"/>
      <c r="C253" s="25"/>
      <c r="D253" s="25"/>
      <c r="E253" s="25"/>
      <c r="F253" s="25"/>
      <c r="G253" s="25"/>
      <c r="H253" s="25"/>
      <c r="I253" s="25"/>
      <c r="J253" s="25"/>
      <c r="K253" s="25"/>
      <c r="L253" s="18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</row>
    <row r="254" spans="2:37" ht="13.5" customHeight="1">
      <c r="B254" s="2" t="s">
        <v>13</v>
      </c>
      <c r="C254" s="25"/>
      <c r="D254" s="25"/>
      <c r="E254" s="25"/>
      <c r="F254" s="25"/>
      <c r="G254" s="25"/>
      <c r="H254" s="25"/>
      <c r="I254" s="25"/>
      <c r="J254" s="25"/>
      <c r="K254" s="25"/>
      <c r="L254" s="18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</row>
    <row r="255" spans="2:37" ht="13.5" customHeight="1">
      <c r="B255" s="6" t="s">
        <v>14</v>
      </c>
      <c r="C255" s="22">
        <f>C112*C204</f>
        <v>41.468910600000001</v>
      </c>
      <c r="D255" s="22">
        <f t="shared" ref="D255:H255" si="1019">D112*D$204</f>
        <v>57.360158400000003</v>
      </c>
      <c r="E255" s="22">
        <f t="shared" si="1019"/>
        <v>55.6724204</v>
      </c>
      <c r="F255" s="22">
        <f t="shared" si="1019"/>
        <v>240.92865</v>
      </c>
      <c r="G255" s="22">
        <f t="shared" si="1019"/>
        <v>137.35892826074351</v>
      </c>
      <c r="H255" s="22">
        <f t="shared" si="1019"/>
        <v>100.31432274789371</v>
      </c>
      <c r="I255" s="22">
        <f t="shared" ref="I255:J255" si="1020">I112*I$204</f>
        <v>306.72135400000002</v>
      </c>
      <c r="J255" s="22">
        <f t="shared" si="1020"/>
        <v>297.32015957218641</v>
      </c>
      <c r="K255" s="98"/>
      <c r="L255" s="18"/>
      <c r="M255" s="98"/>
      <c r="N255" s="98"/>
      <c r="O255" s="98"/>
      <c r="P255" s="22">
        <f>P112*P$204</f>
        <v>55.6724204</v>
      </c>
      <c r="Q255" s="98"/>
      <c r="R255" s="98"/>
      <c r="S255" s="98"/>
      <c r="T255" s="22">
        <f>T112*T$204</f>
        <v>240.92865</v>
      </c>
      <c r="U255" s="98"/>
      <c r="V255" s="22">
        <f>V112*V$204</f>
        <v>143.752810278</v>
      </c>
      <c r="W255" s="98"/>
      <c r="X255" s="22">
        <f>X112*X$204</f>
        <v>137.35892826074351</v>
      </c>
      <c r="Y255" s="98"/>
      <c r="Z255" s="22">
        <f>Z112*Z$204</f>
        <v>106.3248982969041</v>
      </c>
      <c r="AA255" s="98"/>
      <c r="AB255" s="22">
        <f>AB112*AB$204</f>
        <v>100.31432274789371</v>
      </c>
      <c r="AC255" s="98"/>
      <c r="AD255" s="22">
        <f>AD112*AD$204</f>
        <v>248.04078720000001</v>
      </c>
      <c r="AE255" s="98"/>
      <c r="AF255" s="12">
        <f>I255</f>
        <v>306.72135400000002</v>
      </c>
      <c r="AG255" s="98"/>
      <c r="AH255" s="22">
        <f>AH112*AH$204</f>
        <v>0</v>
      </c>
      <c r="AI255" s="98"/>
      <c r="AJ255" s="12">
        <f>M255</f>
        <v>0</v>
      </c>
      <c r="AK255" s="98"/>
    </row>
    <row r="256" spans="2:37" ht="13.5" customHeight="1">
      <c r="B256" s="6" t="s">
        <v>15</v>
      </c>
      <c r="C256" s="22">
        <f>C113*C$204</f>
        <v>83.319524300000012</v>
      </c>
      <c r="D256" s="22">
        <f t="shared" ref="D256:H256" si="1021">D113*D$204</f>
        <v>80.531454400000001</v>
      </c>
      <c r="E256" s="22">
        <f t="shared" si="1021"/>
        <v>79.125042399999998</v>
      </c>
      <c r="F256" s="22">
        <f t="shared" si="1021"/>
        <v>274.86875880000002</v>
      </c>
      <c r="G256" s="22">
        <f t="shared" si="1021"/>
        <v>212.36675752479272</v>
      </c>
      <c r="H256" s="22">
        <f t="shared" si="1021"/>
        <v>176.97807771422129</v>
      </c>
      <c r="I256" s="22">
        <f t="shared" ref="I256:J256" si="1022">I113*I$204</f>
        <v>434.22341800000004</v>
      </c>
      <c r="J256" s="22">
        <f t="shared" si="1022"/>
        <v>519.73476128515676</v>
      </c>
      <c r="K256" s="98"/>
      <c r="L256" s="18"/>
      <c r="M256" s="98"/>
      <c r="N256" s="98"/>
      <c r="O256" s="98"/>
      <c r="P256" s="22">
        <f t="shared" ref="P256" si="1023">P113*P$204</f>
        <v>79.125042399999998</v>
      </c>
      <c r="Q256" s="98"/>
      <c r="R256" s="98"/>
      <c r="S256" s="98"/>
      <c r="T256" s="22">
        <f t="shared" ref="T256" si="1024">T113*T$204</f>
        <v>274.86875880000002</v>
      </c>
      <c r="U256" s="98"/>
      <c r="V256" s="22">
        <f t="shared" ref="V256" si="1025">V113*V$204</f>
        <v>298.23110016699997</v>
      </c>
      <c r="W256" s="98"/>
      <c r="X256" s="22">
        <f t="shared" ref="X256" si="1026">X113*X$204</f>
        <v>212.36675752479272</v>
      </c>
      <c r="Y256" s="98"/>
      <c r="Z256" s="22">
        <f t="shared" ref="Z256" si="1027">Z113*Z$204</f>
        <v>177.60008274150175</v>
      </c>
      <c r="AA256" s="98"/>
      <c r="AB256" s="22">
        <f t="shared" ref="AB256" si="1028">AB113*AB$204</f>
        <v>176.97807771422129</v>
      </c>
      <c r="AC256" s="98"/>
      <c r="AD256" s="22">
        <f t="shared" ref="AD256" si="1029">AD113*AD$204</f>
        <v>352.91799360000005</v>
      </c>
      <c r="AE256" s="98"/>
      <c r="AF256" s="12">
        <f t="shared" ref="AF256" si="1030">I256</f>
        <v>434.22341800000004</v>
      </c>
      <c r="AG256" s="98"/>
      <c r="AH256" s="22">
        <f t="shared" ref="AH256" si="1031">AH113*AH$204</f>
        <v>0</v>
      </c>
      <c r="AI256" s="98"/>
      <c r="AJ256" s="12">
        <f t="shared" ref="AJ256" si="1032">M256</f>
        <v>0</v>
      </c>
      <c r="AK256" s="98"/>
    </row>
    <row r="257" spans="2:37" ht="13.5" customHeight="1">
      <c r="B257" s="2" t="s">
        <v>237</v>
      </c>
      <c r="C257" s="25">
        <f t="shared" ref="C257:G257" si="1033">C255+C256</f>
        <v>124.78843490000001</v>
      </c>
      <c r="D257" s="25">
        <f t="shared" si="1033"/>
        <v>137.89161280000002</v>
      </c>
      <c r="E257" s="25">
        <f t="shared" si="1033"/>
        <v>134.79746280000001</v>
      </c>
      <c r="F257" s="25">
        <f t="shared" si="1033"/>
        <v>515.79740880000008</v>
      </c>
      <c r="G257" s="25">
        <f t="shared" si="1033"/>
        <v>349.72568578553626</v>
      </c>
      <c r="H257" s="25">
        <f>H255+H256</f>
        <v>277.29240046211498</v>
      </c>
      <c r="I257" s="25">
        <f>I255+I256</f>
        <v>740.94477200000006</v>
      </c>
      <c r="J257" s="25">
        <f>J255+J256</f>
        <v>817.05492085734318</v>
      </c>
      <c r="K257" s="98"/>
      <c r="L257" s="18"/>
      <c r="M257" s="98"/>
      <c r="N257" s="98"/>
      <c r="O257" s="98"/>
      <c r="P257" s="25">
        <f t="shared" ref="P257:AF257" si="1034">P255+P256</f>
        <v>134.79746280000001</v>
      </c>
      <c r="Q257" s="98"/>
      <c r="R257" s="98"/>
      <c r="S257" s="98"/>
      <c r="T257" s="25">
        <f t="shared" si="1034"/>
        <v>515.79740880000008</v>
      </c>
      <c r="U257" s="98"/>
      <c r="V257" s="25">
        <f t="shared" si="1034"/>
        <v>441.98391044499999</v>
      </c>
      <c r="W257" s="98"/>
      <c r="X257" s="25">
        <f t="shared" si="1034"/>
        <v>349.72568578553626</v>
      </c>
      <c r="Y257" s="98"/>
      <c r="Z257" s="25">
        <f t="shared" si="1034"/>
        <v>283.92498103840586</v>
      </c>
      <c r="AA257" s="98"/>
      <c r="AB257" s="25">
        <f t="shared" si="1034"/>
        <v>277.29240046211498</v>
      </c>
      <c r="AC257" s="98"/>
      <c r="AD257" s="25">
        <f t="shared" si="1034"/>
        <v>600.95878080000011</v>
      </c>
      <c r="AE257" s="98"/>
      <c r="AF257" s="25">
        <f t="shared" si="1034"/>
        <v>740.94477200000006</v>
      </c>
      <c r="AG257" s="98"/>
      <c r="AH257" s="25">
        <f t="shared" ref="AH257" si="1035">AH255+AH256</f>
        <v>0</v>
      </c>
      <c r="AI257" s="98"/>
      <c r="AJ257" s="25">
        <f t="shared" ref="AJ257" si="1036">AJ255+AJ256</f>
        <v>0</v>
      </c>
      <c r="AK257" s="98"/>
    </row>
    <row r="258" spans="2:37" ht="13.5" customHeight="1">
      <c r="B258" s="2"/>
      <c r="C258" s="25"/>
      <c r="D258" s="25"/>
      <c r="E258" s="25"/>
      <c r="F258" s="25"/>
      <c r="G258" s="25"/>
      <c r="H258" s="25"/>
      <c r="I258" s="25"/>
      <c r="J258" s="25"/>
      <c r="K258" s="25"/>
      <c r="L258" s="18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</row>
    <row r="259" spans="2:37" ht="13.5" customHeight="1">
      <c r="B259" s="16" t="s">
        <v>242</v>
      </c>
      <c r="C259" s="25">
        <f>C124*C204</f>
        <v>10352.6437437</v>
      </c>
      <c r="D259" s="25">
        <f t="shared" ref="D259:AF259" si="1037">D124*D204</f>
        <v>11726.042273600002</v>
      </c>
      <c r="E259" s="25">
        <f t="shared" si="1037"/>
        <v>18998.870498</v>
      </c>
      <c r="F259" s="25">
        <f t="shared" si="1037"/>
        <v>21604.388371200002</v>
      </c>
      <c r="G259" s="25">
        <f t="shared" si="1037"/>
        <v>20866.882213071975</v>
      </c>
      <c r="H259" s="25">
        <f t="shared" si="1037"/>
        <v>23142.631237848349</v>
      </c>
      <c r="I259" s="25">
        <f t="shared" si="1037"/>
        <v>25921.101303000003</v>
      </c>
      <c r="J259" s="25">
        <f t="shared" ref="J259" si="1038">J124*J204</f>
        <v>38080.453694038923</v>
      </c>
      <c r="K259" s="25">
        <f t="shared" si="1037"/>
        <v>38561.229743441079</v>
      </c>
      <c r="L259" s="18"/>
      <c r="M259" s="25">
        <f t="shared" si="1037"/>
        <v>11989.100109200001</v>
      </c>
      <c r="N259" s="25">
        <f t="shared" si="1037"/>
        <v>12757.975638</v>
      </c>
      <c r="O259" s="25">
        <f t="shared" si="1037"/>
        <v>13920.465241599999</v>
      </c>
      <c r="P259" s="25">
        <f t="shared" si="1037"/>
        <v>18998.870498</v>
      </c>
      <c r="Q259" s="25">
        <f t="shared" si="1037"/>
        <v>20182.165799599999</v>
      </c>
      <c r="R259" s="25">
        <f t="shared" si="1037"/>
        <v>21072.095518100003</v>
      </c>
      <c r="S259" s="25">
        <f t="shared" si="1037"/>
        <v>21057.003224399996</v>
      </c>
      <c r="T259" s="25">
        <f t="shared" si="1037"/>
        <v>21604.388371200002</v>
      </c>
      <c r="U259" s="25">
        <f t="shared" si="1037"/>
        <v>21513.703855805998</v>
      </c>
      <c r="V259" s="25">
        <f t="shared" si="1037"/>
        <v>21024.302757534999</v>
      </c>
      <c r="W259" s="25">
        <f t="shared" si="1037"/>
        <v>19851.177220000001</v>
      </c>
      <c r="X259" s="25">
        <f t="shared" si="1037"/>
        <v>20866.882213071975</v>
      </c>
      <c r="Y259" s="25">
        <f t="shared" si="1037"/>
        <v>21594.249599767136</v>
      </c>
      <c r="Z259" s="25">
        <f t="shared" si="1037"/>
        <v>21382.237054402536</v>
      </c>
      <c r="AA259" s="25">
        <f t="shared" si="1037"/>
        <v>21923.502122996848</v>
      </c>
      <c r="AB259" s="25">
        <f t="shared" si="1037"/>
        <v>23142.631237848349</v>
      </c>
      <c r="AC259" s="25">
        <f t="shared" si="1037"/>
        <v>23211.741438500005</v>
      </c>
      <c r="AD259" s="25">
        <f t="shared" si="1037"/>
        <v>23745.872387200001</v>
      </c>
      <c r="AE259" s="25">
        <f t="shared" si="1037"/>
        <v>25339.99467</v>
      </c>
      <c r="AF259" s="25">
        <f t="shared" si="1037"/>
        <v>25921.101303000003</v>
      </c>
      <c r="AG259" s="25">
        <f t="shared" ref="AG259:AJ259" si="1039">AG124*AG204</f>
        <v>33062.599421799998</v>
      </c>
      <c r="AH259" s="25">
        <f t="shared" si="1039"/>
        <v>35299.353022000003</v>
      </c>
      <c r="AI259" s="25">
        <f t="shared" si="1039"/>
        <v>37300.321366368902</v>
      </c>
      <c r="AJ259" s="25">
        <f t="shared" si="1039"/>
        <v>38080.453694038923</v>
      </c>
      <c r="AK259" s="25">
        <f t="shared" ref="AK259" si="1040">AK124*AK204</f>
        <v>38561.229743441079</v>
      </c>
    </row>
    <row r="260" spans="2:37" ht="13.5" customHeight="1"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spans="2:37" ht="13.5" customHeight="1">
      <c r="B261" s="19" t="str">
        <f>+B129</f>
        <v>Net Leverage excluding lease obligations</v>
      </c>
      <c r="C261" s="20">
        <f t="shared" ref="C261:K261" si="1041">((C250-(C257))/C225)</f>
        <v>-14.04509463728898</v>
      </c>
      <c r="D261" s="20">
        <f t="shared" si="1041"/>
        <v>-3.5012229032796269</v>
      </c>
      <c r="E261" s="20">
        <f t="shared" si="1041"/>
        <v>-3.1250628623319097</v>
      </c>
      <c r="F261" s="20">
        <f t="shared" si="1041"/>
        <v>-2.0865624570979211</v>
      </c>
      <c r="G261" s="20">
        <f t="shared" si="1041"/>
        <v>-6.4914080360695863</v>
      </c>
      <c r="H261" s="20">
        <f t="shared" si="1041"/>
        <v>-3.1678777929916384</v>
      </c>
      <c r="I261" s="20">
        <f t="shared" si="1041"/>
        <v>-2.2311359560135764</v>
      </c>
      <c r="J261" s="20">
        <f t="shared" ref="J261" si="1042">((J250-(J257))/J225)</f>
        <v>-1.2971917731570204</v>
      </c>
      <c r="K261" s="20">
        <f t="shared" si="1041"/>
        <v>-1.3063727917812704</v>
      </c>
      <c r="L261" s="20"/>
      <c r="M261" s="98"/>
      <c r="N261" s="98"/>
      <c r="O261" s="98"/>
      <c r="P261" s="20">
        <f t="shared" ref="P261:AK261" si="1043">(P250-P257)/SUM(M225:P225)</f>
        <v>-3.1837528432611819</v>
      </c>
      <c r="Q261" s="20">
        <f t="shared" si="1043"/>
        <v>-2.3764425167332193</v>
      </c>
      <c r="R261" s="20">
        <f t="shared" si="1043"/>
        <v>-2.0326170220061868</v>
      </c>
      <c r="S261" s="20">
        <f t="shared" si="1043"/>
        <v>-1.6741287896878434</v>
      </c>
      <c r="T261" s="20">
        <f t="shared" si="1043"/>
        <v>-2.1017203137033924</v>
      </c>
      <c r="U261" s="20">
        <f t="shared" si="1043"/>
        <v>-2.340710150744759</v>
      </c>
      <c r="V261" s="20">
        <f t="shared" si="1043"/>
        <v>-3.5517262022075005</v>
      </c>
      <c r="W261" s="20">
        <f t="shared" si="1043"/>
        <v>-4.870181609447445</v>
      </c>
      <c r="X261" s="20">
        <f t="shared" si="1043"/>
        <v>-6.6837346570203957</v>
      </c>
      <c r="Y261" s="20">
        <f t="shared" si="1043"/>
        <v>-3.6331872407120844</v>
      </c>
      <c r="Z261" s="20">
        <f t="shared" si="1043"/>
        <v>-4.0492126930328727</v>
      </c>
      <c r="AA261" s="20">
        <f t="shared" si="1043"/>
        <v>-3.1243678099814001</v>
      </c>
      <c r="AB261" s="20">
        <f t="shared" si="1043"/>
        <v>-3.2151035749413142</v>
      </c>
      <c r="AC261" s="20">
        <f t="shared" si="1043"/>
        <v>-3.0061133435576468</v>
      </c>
      <c r="AD261" s="20">
        <f t="shared" si="1043"/>
        <v>-2.6619214389601042</v>
      </c>
      <c r="AE261" s="20">
        <f t="shared" si="1043"/>
        <v>-2.8018799449827179</v>
      </c>
      <c r="AF261" s="20">
        <f t="shared" si="1043"/>
        <v>-2.2307159802884455</v>
      </c>
      <c r="AG261" s="20">
        <f t="shared" si="1043"/>
        <v>-2.4283966723927466</v>
      </c>
      <c r="AH261" s="20">
        <f t="shared" si="1043"/>
        <v>-1.7123262513643758</v>
      </c>
      <c r="AI261" s="20">
        <f t="shared" si="1043"/>
        <v>-1.429879109369437</v>
      </c>
      <c r="AJ261" s="20">
        <f t="shared" si="1043"/>
        <v>-1.1951318799081059</v>
      </c>
      <c r="AK261" s="20">
        <f t="shared" si="1043"/>
        <v>-1.3119269089254328</v>
      </c>
    </row>
    <row r="262" spans="2:37" ht="13.5" customHeight="1">
      <c r="B262" s="16" t="str">
        <f>+B130</f>
        <v>Gross Leverage  excluding lease obligations</v>
      </c>
      <c r="C262" s="21">
        <f t="shared" ref="C262:K262" si="1044">((C248-(C257))/C225)</f>
        <v>5.6211263709140455</v>
      </c>
      <c r="D262" s="21">
        <f t="shared" si="1044"/>
        <v>1.3331816478915131</v>
      </c>
      <c r="E262" s="21">
        <f t="shared" si="1044"/>
        <v>0.70565885150550012</v>
      </c>
      <c r="F262" s="21">
        <f t="shared" si="1044"/>
        <v>0.91388068653193477</v>
      </c>
      <c r="G262" s="21">
        <f t="shared" si="1044"/>
        <v>3.477735861003858</v>
      </c>
      <c r="H262" s="21">
        <f t="shared" si="1044"/>
        <v>1.1051745141072951</v>
      </c>
      <c r="I262" s="21">
        <f t="shared" si="1044"/>
        <v>0.97662542180154921</v>
      </c>
      <c r="J262" s="21">
        <f t="shared" ref="J262" si="1045">((J248-(J257))/J225)</f>
        <v>0.65470720943140881</v>
      </c>
      <c r="K262" s="21">
        <f t="shared" si="1044"/>
        <v>0.73503242612933428</v>
      </c>
      <c r="L262" s="21"/>
      <c r="M262" s="98"/>
      <c r="N262" s="98"/>
      <c r="O262" s="98"/>
      <c r="P262" s="21">
        <f t="shared" ref="P262:AK262" si="1046">((P248-P257)/SUM(M225:P225))</f>
        <v>0.71891141836955552</v>
      </c>
      <c r="Q262" s="21">
        <f t="shared" si="1046"/>
        <v>0.67910544035846576</v>
      </c>
      <c r="R262" s="21">
        <f t="shared" si="1046"/>
        <v>0.52827871964353612</v>
      </c>
      <c r="S262" s="21">
        <f t="shared" si="1046"/>
        <v>0.77444255372741233</v>
      </c>
      <c r="T262" s="21">
        <f t="shared" si="1046"/>
        <v>0.92051958313138149</v>
      </c>
      <c r="U262" s="21">
        <f t="shared" si="1046"/>
        <v>1.4949462104125175</v>
      </c>
      <c r="V262" s="21">
        <f t="shared" si="1046"/>
        <v>2.7328208983852966</v>
      </c>
      <c r="W262" s="21">
        <f t="shared" si="1046"/>
        <v>3.0825246219848381</v>
      </c>
      <c r="X262" s="21">
        <f t="shared" si="1046"/>
        <v>3.5807737817430549</v>
      </c>
      <c r="Y262" s="21">
        <f t="shared" si="1046"/>
        <v>1.6732154577593907</v>
      </c>
      <c r="Z262" s="21">
        <f t="shared" si="1046"/>
        <v>1.3959406527672822</v>
      </c>
      <c r="AA262" s="21">
        <f t="shared" si="1046"/>
        <v>1.0507289526249741</v>
      </c>
      <c r="AB262" s="21">
        <f t="shared" si="1046"/>
        <v>1.121650127761028</v>
      </c>
      <c r="AC262" s="21">
        <f t="shared" si="1046"/>
        <v>1.1928327812667612</v>
      </c>
      <c r="AD262" s="21">
        <f t="shared" si="1046"/>
        <v>1.1762503652226213</v>
      </c>
      <c r="AE262" s="21">
        <f t="shared" si="1046"/>
        <v>1.061426434404229</v>
      </c>
      <c r="AF262" s="21">
        <f t="shared" si="1046"/>
        <v>0.97644158765706468</v>
      </c>
      <c r="AG262" s="21">
        <f t="shared" si="1046"/>
        <v>0.75681451162685265</v>
      </c>
      <c r="AH262" s="21">
        <f t="shared" si="1046"/>
        <v>0.59632551759119723</v>
      </c>
      <c r="AI262" s="21">
        <f t="shared" si="1046"/>
        <v>0.47781262789279855</v>
      </c>
      <c r="AJ262" s="21">
        <f t="shared" si="1046"/>
        <v>0.75922860020741412</v>
      </c>
      <c r="AK262" s="21">
        <f t="shared" si="1046"/>
        <v>0.73815745768630181</v>
      </c>
    </row>
    <row r="263" spans="2:37" ht="13.5" customHeight="1"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98"/>
      <c r="N263" s="98"/>
      <c r="O263" s="9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2:37" s="19" customFormat="1" ht="13.5" customHeight="1">
      <c r="B264" s="19" t="str">
        <f>+B132</f>
        <v>Net Leverage including lease obligations</v>
      </c>
      <c r="C264" s="20">
        <f t="shared" ref="C264:K264" si="1047">C250/C225</f>
        <v>-13.60346441177208</v>
      </c>
      <c r="D264" s="20">
        <f t="shared" si="1047"/>
        <v>-3.4285817436865988</v>
      </c>
      <c r="E264" s="20">
        <f t="shared" si="1047"/>
        <v>-3.0897782415015773</v>
      </c>
      <c r="F264" s="20">
        <f t="shared" si="1047"/>
        <v>-1.9723169604919673</v>
      </c>
      <c r="G264" s="20">
        <f t="shared" si="1047"/>
        <v>-6.1366142897769107</v>
      </c>
      <c r="H264" s="20">
        <f t="shared" si="1047"/>
        <v>-3.0897954451321241</v>
      </c>
      <c r="I264" s="20">
        <f t="shared" si="1047"/>
        <v>-2.0585406270250126</v>
      </c>
      <c r="J264" s="20">
        <f t="shared" ref="J264" si="1048">J250/J225</f>
        <v>-1.1936266232285564</v>
      </c>
      <c r="K264" s="20">
        <f t="shared" si="1047"/>
        <v>-1.3063727917812704</v>
      </c>
      <c r="L264" s="20"/>
      <c r="M264" s="98"/>
      <c r="N264" s="98"/>
      <c r="O264" s="98"/>
      <c r="P264" s="20">
        <f t="shared" ref="P264:AK264" si="1049">P250/SUM(M225:P225)</f>
        <v>-3.1478055625693186</v>
      </c>
      <c r="Q264" s="20">
        <f t="shared" si="1049"/>
        <v>-2.3764425167332193</v>
      </c>
      <c r="R264" s="20">
        <f t="shared" si="1049"/>
        <v>-2.0326170220061868</v>
      </c>
      <c r="S264" s="20">
        <f t="shared" si="1049"/>
        <v>-1.6741287896878434</v>
      </c>
      <c r="T264" s="20">
        <f t="shared" si="1049"/>
        <v>-1.9866448793932097</v>
      </c>
      <c r="U264" s="20">
        <f t="shared" si="1049"/>
        <v>-2.340710150744759</v>
      </c>
      <c r="V264" s="20">
        <f t="shared" si="1049"/>
        <v>-3.3033308769398255</v>
      </c>
      <c r="W264" s="20">
        <f t="shared" si="1049"/>
        <v>-4.870181609447445</v>
      </c>
      <c r="X264" s="20">
        <f t="shared" si="1049"/>
        <v>-6.318429126230459</v>
      </c>
      <c r="Y264" s="20">
        <f t="shared" si="1049"/>
        <v>-3.6331872407120844</v>
      </c>
      <c r="Z264" s="20">
        <f t="shared" si="1049"/>
        <v>-3.9236281843513527</v>
      </c>
      <c r="AA264" s="20">
        <f t="shared" si="1049"/>
        <v>-3.1243678099814001</v>
      </c>
      <c r="AB264" s="20">
        <f t="shared" si="1049"/>
        <v>-3.1358571986138175</v>
      </c>
      <c r="AC264" s="20">
        <f t="shared" si="1049"/>
        <v>-3.0061133435576468</v>
      </c>
      <c r="AD264" s="20">
        <f t="shared" si="1049"/>
        <v>-2.490574307918993</v>
      </c>
      <c r="AE264" s="20">
        <f t="shared" si="1049"/>
        <v>-2.8018799449827179</v>
      </c>
      <c r="AF264" s="20">
        <f t="shared" si="1049"/>
        <v>-2.0581531396151953</v>
      </c>
      <c r="AG264" s="20">
        <f t="shared" si="1049"/>
        <v>-2.4283966723927466</v>
      </c>
      <c r="AH264" s="20">
        <f t="shared" si="1049"/>
        <v>-1.7123262513643758</v>
      </c>
      <c r="AI264" s="20">
        <f t="shared" si="1049"/>
        <v>-1.429879109369437</v>
      </c>
      <c r="AJ264" s="20">
        <f t="shared" si="1049"/>
        <v>-1.1951318799081059</v>
      </c>
      <c r="AK264" s="20">
        <f t="shared" si="1049"/>
        <v>-1.3119269089254328</v>
      </c>
    </row>
    <row r="265" spans="2:37" ht="13.5" customHeight="1">
      <c r="B265" s="16" t="str">
        <f>+B133</f>
        <v>Gross Leverage  including lease obligations</v>
      </c>
      <c r="C265" s="21">
        <f t="shared" ref="C265:K265" si="1050">C248/C225</f>
        <v>6.0627565964309449</v>
      </c>
      <c r="D265" s="21">
        <f t="shared" si="1050"/>
        <v>1.4058228074845414</v>
      </c>
      <c r="E265" s="21">
        <f t="shared" si="1050"/>
        <v>0.74094347233583258</v>
      </c>
      <c r="F265" s="21">
        <f t="shared" si="1050"/>
        <v>1.0281261831378883</v>
      </c>
      <c r="G265" s="21">
        <f t="shared" si="1050"/>
        <v>3.8325296072965336</v>
      </c>
      <c r="H265" s="21">
        <f t="shared" si="1050"/>
        <v>1.1832568619668093</v>
      </c>
      <c r="I265" s="21">
        <f t="shared" si="1050"/>
        <v>1.1492207507901129</v>
      </c>
      <c r="J265" s="21">
        <f t="shared" ref="J265" si="1051">J248/J225</f>
        <v>0.75827235935987269</v>
      </c>
      <c r="K265" s="21">
        <f t="shared" si="1050"/>
        <v>0.73503242612933428</v>
      </c>
      <c r="L265" s="21"/>
      <c r="M265" s="98"/>
      <c r="N265" s="98"/>
      <c r="O265" s="98"/>
      <c r="P265" s="21">
        <f t="shared" ref="P265:AK265" si="1052">P248/SUM(M225:P225)</f>
        <v>0.75485869906141911</v>
      </c>
      <c r="Q265" s="21">
        <f t="shared" si="1052"/>
        <v>0.67910544035846576</v>
      </c>
      <c r="R265" s="21">
        <f t="shared" si="1052"/>
        <v>0.52827871964353612</v>
      </c>
      <c r="S265" s="21">
        <f t="shared" si="1052"/>
        <v>0.77444255372741233</v>
      </c>
      <c r="T265" s="21">
        <f t="shared" si="1052"/>
        <v>1.0355950174415638</v>
      </c>
      <c r="U265" s="21">
        <f t="shared" si="1052"/>
        <v>1.4949462104125175</v>
      </c>
      <c r="V265" s="21">
        <f t="shared" si="1052"/>
        <v>2.9812162236529716</v>
      </c>
      <c r="W265" s="21">
        <f t="shared" si="1052"/>
        <v>3.0825246219848381</v>
      </c>
      <c r="X265" s="21">
        <f t="shared" si="1052"/>
        <v>3.9460793125329912</v>
      </c>
      <c r="Y265" s="21">
        <f t="shared" si="1052"/>
        <v>1.6732154577593907</v>
      </c>
      <c r="Z265" s="21">
        <f t="shared" si="1052"/>
        <v>1.5215251614488021</v>
      </c>
      <c r="AA265" s="21">
        <f t="shared" si="1052"/>
        <v>1.0507289526249741</v>
      </c>
      <c r="AB265" s="21">
        <f t="shared" si="1052"/>
        <v>1.2008965040885247</v>
      </c>
      <c r="AC265" s="21">
        <f t="shared" si="1052"/>
        <v>1.1928327812667612</v>
      </c>
      <c r="AD265" s="21">
        <f t="shared" si="1052"/>
        <v>1.347597496263732</v>
      </c>
      <c r="AE265" s="21">
        <f t="shared" si="1052"/>
        <v>1.061426434404229</v>
      </c>
      <c r="AF265" s="21">
        <f t="shared" si="1052"/>
        <v>1.1490044283303149</v>
      </c>
      <c r="AG265" s="21">
        <f t="shared" si="1052"/>
        <v>0.75681451162685265</v>
      </c>
      <c r="AH265" s="21">
        <f t="shared" si="1052"/>
        <v>0.59632551759119723</v>
      </c>
      <c r="AI265" s="21">
        <f t="shared" si="1052"/>
        <v>0.47781262789279855</v>
      </c>
      <c r="AJ265" s="21">
        <f t="shared" si="1052"/>
        <v>0.75922860020741412</v>
      </c>
      <c r="AK265" s="21">
        <f t="shared" si="1052"/>
        <v>0.73815745768630181</v>
      </c>
    </row>
    <row r="266" spans="2:37" ht="13.5" customHeight="1"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98"/>
      <c r="N266" s="98"/>
      <c r="O266" s="98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spans="2:37" ht="13.5" customHeight="1">
      <c r="B267" s="19" t="str">
        <f>+B135</f>
        <v>Company reported net leverage</v>
      </c>
      <c r="C267" s="20">
        <f t="shared" ref="C267:K267" si="1053">C252/C225</f>
        <v>-13.60346441177208</v>
      </c>
      <c r="D267" s="20">
        <f t="shared" si="1053"/>
        <v>-3.4285817436865984</v>
      </c>
      <c r="E267" s="20">
        <f t="shared" si="1053"/>
        <v>-3.0897782415015773</v>
      </c>
      <c r="F267" s="20">
        <f t="shared" si="1053"/>
        <v>-1.9723169604919673</v>
      </c>
      <c r="G267" s="20">
        <f t="shared" si="1053"/>
        <v>-6.1366142897769107</v>
      </c>
      <c r="H267" s="20">
        <f t="shared" si="1053"/>
        <v>-3.0897954451321241</v>
      </c>
      <c r="I267" s="20">
        <f t="shared" si="1053"/>
        <v>-2.0585406270250131</v>
      </c>
      <c r="J267" s="20">
        <f t="shared" ref="J267" si="1054">J252/J225</f>
        <v>-1.1936266232285564</v>
      </c>
      <c r="K267" s="20">
        <f t="shared" si="1053"/>
        <v>-1.30637279178127</v>
      </c>
      <c r="L267" s="21"/>
      <c r="M267" s="98"/>
      <c r="N267" s="98"/>
      <c r="O267" s="98"/>
      <c r="P267" s="20">
        <f t="shared" ref="P267:AK267" si="1055">P252/SUM(M225:P225)</f>
        <v>-1.8516471947164119</v>
      </c>
      <c r="Q267" s="20">
        <f t="shared" si="1055"/>
        <v>-2.3764425167332193</v>
      </c>
      <c r="R267" s="20">
        <f t="shared" si="1055"/>
        <v>-2.0326170220061872</v>
      </c>
      <c r="S267" s="20">
        <f t="shared" si="1055"/>
        <v>-1.6741287896878434</v>
      </c>
      <c r="T267" s="20">
        <f t="shared" si="1055"/>
        <v>-1.9866448793932097</v>
      </c>
      <c r="U267" s="20">
        <f t="shared" si="1055"/>
        <v>-2.3407101507447585</v>
      </c>
      <c r="V267" s="20">
        <f t="shared" si="1055"/>
        <v>-3.3033308769398255</v>
      </c>
      <c r="W267" s="20">
        <f t="shared" si="1055"/>
        <v>-4.870181609447445</v>
      </c>
      <c r="X267" s="20">
        <f t="shared" si="1055"/>
        <v>-6.318429126230459</v>
      </c>
      <c r="Y267" s="20">
        <f t="shared" si="1055"/>
        <v>-3.6331872407120844</v>
      </c>
      <c r="Z267" s="20">
        <f t="shared" si="1055"/>
        <v>-3.9236281843513527</v>
      </c>
      <c r="AA267" s="20">
        <f t="shared" si="1055"/>
        <v>-3.1243678099814001</v>
      </c>
      <c r="AB267" s="20">
        <f t="shared" si="1055"/>
        <v>-3.1358571986138175</v>
      </c>
      <c r="AC267" s="20">
        <f t="shared" si="1055"/>
        <v>-3.0061133435576473</v>
      </c>
      <c r="AD267" s="20">
        <f t="shared" si="1055"/>
        <v>-2.490574307918993</v>
      </c>
      <c r="AE267" s="20">
        <f t="shared" si="1055"/>
        <v>-2.8018799449827179</v>
      </c>
      <c r="AF267" s="20">
        <f t="shared" si="1055"/>
        <v>-2.0581531396151957</v>
      </c>
      <c r="AG267" s="20">
        <f t="shared" si="1055"/>
        <v>-2.4283966723927461</v>
      </c>
      <c r="AH267" s="20">
        <f t="shared" si="1055"/>
        <v>-1.7123262513643758</v>
      </c>
      <c r="AI267" s="20">
        <f t="shared" si="1055"/>
        <v>-1.429879109369437</v>
      </c>
      <c r="AJ267" s="20">
        <f t="shared" si="1055"/>
        <v>-1.1951318799081059</v>
      </c>
      <c r="AK267" s="20">
        <f t="shared" si="1055"/>
        <v>-1.3119269089254326</v>
      </c>
    </row>
    <row r="268" spans="2:37" ht="13.5" customHeight="1"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98"/>
      <c r="N268" s="98"/>
      <c r="O268" s="98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spans="2:37" s="19" customFormat="1" ht="13.5" customHeight="1">
      <c r="B269" s="19" t="str">
        <f>+B137</f>
        <v>EBITDA - Capex / Interest</v>
      </c>
      <c r="C269" s="20">
        <f t="shared" ref="C269:G269" si="1056">(C229--C234)/-C232</f>
        <v>7.0028856480000643</v>
      </c>
      <c r="D269" s="20">
        <f t="shared" si="1056"/>
        <v>44.767655734860298</v>
      </c>
      <c r="E269" s="20">
        <f t="shared" si="1056"/>
        <v>45.587859782954538</v>
      </c>
      <c r="F269" s="20">
        <f t="shared" si="1056"/>
        <v>33.267870427750843</v>
      </c>
      <c r="G269" s="20">
        <f t="shared" si="1056"/>
        <v>0.72694953779984728</v>
      </c>
      <c r="H269" s="20">
        <f>(H229--H234)/-H232</f>
        <v>24.598350957676498</v>
      </c>
      <c r="I269" s="20">
        <f>I197*I204</f>
        <v>4.5618746219794879</v>
      </c>
      <c r="J269" s="20">
        <f>J197*J204</f>
        <v>8.1022021107506283</v>
      </c>
      <c r="K269" s="98"/>
      <c r="L269" s="20"/>
      <c r="M269" s="98"/>
      <c r="N269" s="98"/>
      <c r="O269" s="98"/>
      <c r="P269" s="20">
        <f>(SUM(M225:P225)-(-P234-N234))/(-P232-N232)</f>
        <v>45.035751132762947</v>
      </c>
      <c r="Q269" s="100"/>
      <c r="R269" s="20">
        <f>(SUM(O225:R225)-(-R234-P234))/(-R232-P232)</f>
        <v>54.382941972998978</v>
      </c>
      <c r="S269" s="100"/>
      <c r="T269" s="20">
        <f>(SUM(Q225:T225)-(-T234-R234))/(-T232-R232)</f>
        <v>32.943162260684076</v>
      </c>
      <c r="U269" s="100"/>
      <c r="V269" s="20">
        <f>(SUM(S225:V225)-(-V234-T234))/(-V232-T232)</f>
        <v>4.1444918944431244</v>
      </c>
      <c r="W269" s="100"/>
      <c r="X269" s="20">
        <f>(SUM(U225:X225)-(-X234-V234))/(-X232-V232)</f>
        <v>0.69183588683352448</v>
      </c>
      <c r="Y269" s="100"/>
      <c r="Z269" s="20">
        <f>(SUM(W225:Z225)-(-Z234-X234))/(-Z232-X232)</f>
        <v>10.367271044408286</v>
      </c>
      <c r="AA269" s="100"/>
      <c r="AB269" s="20">
        <f>(SUM(Y225:AB225)-(-AB234-Z234))/(-AB232-Z232)</f>
        <v>24.740646749082249</v>
      </c>
      <c r="AC269" s="100"/>
      <c r="AD269" s="20">
        <f>(SUM(AA225:AD225)-(-AD234-AB234))/(-AD232-AB232)</f>
        <v>26.443037845805311</v>
      </c>
      <c r="AE269" s="100"/>
      <c r="AF269" s="20">
        <f>(SUM(AC225:AF225)-(-AF234-AD234))/(-AF232-AD232)</f>
        <v>33.388702862016302</v>
      </c>
      <c r="AG269" s="100"/>
      <c r="AH269" s="20">
        <f>(SUM(AE225:AH225)-(-AH234-AF234))/(-AH232-AF232)</f>
        <v>51.072588915109279</v>
      </c>
      <c r="AI269" s="100"/>
      <c r="AJ269" s="20">
        <f>(SUM(AG225:AJ225)-(-AJ234-AH234))/(-AJ232-AH232)</f>
        <v>56.212379469553106</v>
      </c>
      <c r="AK269" s="100"/>
    </row>
    <row r="270" spans="2:37" ht="12.75" customHeight="1">
      <c r="B270" s="16" t="str">
        <f>+B138</f>
        <v>EBITDA/Interest</v>
      </c>
      <c r="C270" s="21">
        <f t="shared" ref="C270:G270" si="1057">C229/-C232</f>
        <v>7.9711435199986207</v>
      </c>
      <c r="D270" s="21">
        <f t="shared" si="1057"/>
        <v>60.007470524306584</v>
      </c>
      <c r="E270" s="21">
        <f t="shared" si="1057"/>
        <v>51.516156338363565</v>
      </c>
      <c r="F270" s="21">
        <f t="shared" si="1057"/>
        <v>44.077095457940835</v>
      </c>
      <c r="G270" s="21">
        <f t="shared" si="1057"/>
        <v>6.394535932619049</v>
      </c>
      <c r="H270" s="21">
        <f>H229/-H232</f>
        <v>32.771104694797884</v>
      </c>
      <c r="I270" s="21">
        <f>I198*I204</f>
        <v>5.8872897341551997</v>
      </c>
      <c r="J270" s="21">
        <f>J198*J204</f>
        <v>10.456455609174981</v>
      </c>
      <c r="K270" s="94"/>
      <c r="L270" s="21"/>
      <c r="M270" s="94"/>
      <c r="N270" s="94"/>
      <c r="O270" s="94"/>
      <c r="P270" s="21">
        <f>(SUM(M225:P225))/(-P232-N232)</f>
        <v>50.945700394716042</v>
      </c>
      <c r="Q270" s="99"/>
      <c r="R270" s="21">
        <f>(SUM(O225:R225))/(-R232-P232)</f>
        <v>60.304394384739005</v>
      </c>
      <c r="S270" s="99"/>
      <c r="T270" s="21">
        <f>(SUM(Q225:T225))/(-T232-R232)</f>
        <v>43.781352896433823</v>
      </c>
      <c r="U270" s="99"/>
      <c r="V270" s="21">
        <f>(SUM(S225:V225))/(-V232-T232)</f>
        <v>13.775781732971151</v>
      </c>
      <c r="W270" s="99"/>
      <c r="X270" s="21">
        <f>(SUM(U225:X225))/(-X232-V232)</f>
        <v>6.3670781827958001</v>
      </c>
      <c r="Y270" s="99"/>
      <c r="Z270" s="21">
        <f>(SUM(W225:Z225))/(-Z232-X232)</f>
        <v>17.985881577455832</v>
      </c>
      <c r="AA270" s="99"/>
      <c r="AB270" s="21">
        <f>(SUM(Y225:AB225))/(-AB232-Z232)</f>
        <v>32.940494931697145</v>
      </c>
      <c r="AC270" s="99"/>
      <c r="AD270" s="21">
        <f>(SUM(AA225:AD225))/(-AD232-AB232)</f>
        <v>32.23594732277882</v>
      </c>
      <c r="AE270" s="99"/>
      <c r="AF270" s="21">
        <f>(SUM(AC225:AF225))/(-AF232-AD232)</f>
        <v>43.085819514746632</v>
      </c>
      <c r="AG270" s="99"/>
      <c r="AH270" s="21">
        <f>(SUM(AE225:AH225))/(-AH232-AF232)</f>
        <v>64.303404122703824</v>
      </c>
      <c r="AI270" s="99"/>
      <c r="AJ270" s="21">
        <f>(SUM(AG225:AJ225))/(-AJ232-AH232)</f>
        <v>72.70580667375549</v>
      </c>
      <c r="AK270" s="99"/>
    </row>
    <row r="271" spans="2:37" ht="13.5" customHeight="1">
      <c r="C271" s="21"/>
      <c r="D271" s="21"/>
      <c r="E271" s="21"/>
      <c r="F271" s="21"/>
      <c r="G271" s="21"/>
      <c r="H271" s="21"/>
      <c r="I271" s="18"/>
      <c r="J271" s="18"/>
      <c r="K271" s="18"/>
      <c r="L271" s="18"/>
      <c r="M271" s="98"/>
      <c r="N271" s="98"/>
      <c r="O271" s="98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spans="2:37" s="19" customFormat="1" ht="13.5" customHeight="1">
      <c r="B272" s="47" t="str">
        <f>+B140</f>
        <v xml:space="preserve">Gearing (Net debt / Equity) </v>
      </c>
      <c r="C272" s="280">
        <f t="shared" ref="C272:K272" si="1058">C250/(C259)</f>
        <v>-0.37129047162847939</v>
      </c>
      <c r="D272" s="280">
        <f t="shared" si="1058"/>
        <v>-0.5550321441918088</v>
      </c>
      <c r="E272" s="280">
        <f t="shared" si="1058"/>
        <v>-0.62129204224233148</v>
      </c>
      <c r="F272" s="280">
        <f t="shared" si="1058"/>
        <v>-0.41216850198223859</v>
      </c>
      <c r="G272" s="280">
        <f t="shared" si="1058"/>
        <v>-0.2898830597403918</v>
      </c>
      <c r="H272" s="280">
        <f t="shared" si="1058"/>
        <v>-0.47413508906101631</v>
      </c>
      <c r="I272" s="280">
        <f t="shared" si="1058"/>
        <v>-0.34092809613676456</v>
      </c>
      <c r="J272" s="280">
        <f t="shared" ref="J272" si="1059">J250/(J259)</f>
        <v>-0.2472885424067095</v>
      </c>
      <c r="K272" s="280">
        <f t="shared" si="1058"/>
        <v>-0.23627879127174772</v>
      </c>
      <c r="L272" s="281"/>
      <c r="M272" s="282"/>
      <c r="N272" s="282"/>
      <c r="O272" s="282"/>
      <c r="P272" s="280">
        <f t="shared" ref="P272:AE272" si="1060">P250/(P259)</f>
        <v>-0.62129204224233148</v>
      </c>
      <c r="Q272" s="280">
        <f t="shared" si="1060"/>
        <v>-0.55577265663045505</v>
      </c>
      <c r="R272" s="280">
        <f t="shared" si="1060"/>
        <v>-0.54626357672461323</v>
      </c>
      <c r="S272" s="280">
        <f t="shared" si="1060"/>
        <v>-0.41236992763709956</v>
      </c>
      <c r="T272" s="280">
        <f t="shared" si="1060"/>
        <v>-0.41216850198223859</v>
      </c>
      <c r="U272" s="280">
        <f t="shared" si="1060"/>
        <v>-0.34046818156833752</v>
      </c>
      <c r="V272" s="280">
        <f t="shared" si="1060"/>
        <v>-0.27957189912861324</v>
      </c>
      <c r="W272" s="280">
        <f t="shared" si="1060"/>
        <v>-0.28704822977747818</v>
      </c>
      <c r="X272" s="280">
        <f t="shared" si="1060"/>
        <v>-0.2898830597403918</v>
      </c>
      <c r="Y272" s="280">
        <f t="shared" si="1060"/>
        <v>-0.32875243466532761</v>
      </c>
      <c r="Z272" s="280">
        <f t="shared" si="1060"/>
        <v>-0.41486064675105377</v>
      </c>
      <c r="AA272" s="280">
        <f t="shared" si="1060"/>
        <v>-0.46136695795753901</v>
      </c>
      <c r="AB272" s="280">
        <f t="shared" si="1060"/>
        <v>-0.47413508906101631</v>
      </c>
      <c r="AC272" s="280">
        <f t="shared" si="1060"/>
        <v>-0.4166199381085699</v>
      </c>
      <c r="AD272" s="280">
        <f t="shared" si="1060"/>
        <v>-0.36785716725693229</v>
      </c>
      <c r="AE272" s="280">
        <f t="shared" si="1060"/>
        <v>-0.40614994138828669</v>
      </c>
      <c r="AF272" s="280">
        <f>AF250/(AF259)</f>
        <v>-0.34092809613676456</v>
      </c>
      <c r="AG272" s="280">
        <f t="shared" ref="AG272:AI272" si="1061">AG250/(AG259)</f>
        <v>-0.41383618954589435</v>
      </c>
      <c r="AH272" s="280">
        <f t="shared" si="1061"/>
        <v>-0.32833145143415821</v>
      </c>
      <c r="AI272" s="280">
        <f t="shared" si="1061"/>
        <v>-0.31089140652862934</v>
      </c>
      <c r="AJ272" s="280">
        <f>AJ250/(AJ259)</f>
        <v>-0.2472885424067095</v>
      </c>
      <c r="AK272" s="280">
        <f t="shared" ref="AK272" si="1062">AK250/(AK259)</f>
        <v>-0.23627879127174772</v>
      </c>
    </row>
    <row r="273" spans="3:37" ht="13.5" customHeight="1"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Y273" s="17"/>
      <c r="Z273" s="17"/>
      <c r="AA273" s="17"/>
      <c r="AC273" s="17"/>
      <c r="AD273" s="17"/>
      <c r="AE273" s="17"/>
      <c r="AG273" s="17"/>
      <c r="AH273" s="17"/>
      <c r="AI273" s="17"/>
      <c r="AK273" s="17"/>
    </row>
    <row r="274" spans="3:37" ht="13.5" customHeight="1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Y274" s="7"/>
      <c r="Z274" s="7"/>
      <c r="AA274" s="7"/>
      <c r="AC274" s="7"/>
      <c r="AD274" s="7"/>
      <c r="AE274" s="7"/>
      <c r="AG274" s="7"/>
      <c r="AH274" s="7"/>
      <c r="AI274" s="7"/>
      <c r="AK274" s="7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L89 C89:F89 P50:T50 P82:X87 P89:X89 P117:X123 P88:W88 P90:W91 P64:W80 T8:X21 P81:X81" formula="1"/>
    <ignoredError sqref="P140:S141 P129:S136 L146:S147 L189:S196 P211:S216 L226:S227 L263:S263 M199:S200 L272:O272 L197:O197 L269:O270 L149:S151 L148 L158:S162 D161:E161 C162:E162 C149:E151 C199:E200 C263:E263 C226:E227 C211:E216 C189:E196 C158:E160 C146:E147 C129:E136 L268:O268 L267:O267 L271:O271 L261:O261 L262:O262 L266:S266 L264:O264 L265:O265 C266:E266 M198:O198" evalError="1"/>
    <ignoredError sqref="D203:G203 M203:X203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L76"/>
  <sheetViews>
    <sheetView showGridLines="0" zoomScaleNormal="100" workbookViewId="0">
      <pane xSplit="2" ySplit="6" topLeftCell="H7" activePane="bottomRight" state="frozen"/>
      <selection pane="bottomRight" activeCell="AM1" sqref="AM1"/>
      <selection pane="bottomLeft" activeCell="I24" sqref="I24"/>
      <selection pane="topRight" activeCell="I24" sqref="I24"/>
    </sheetView>
  </sheetViews>
  <sheetFormatPr defaultRowHeight="12.75" outlineLevelCol="1"/>
  <cols>
    <col min="1" max="1" width="2.7109375" style="74" customWidth="1"/>
    <col min="2" max="2" width="50.7109375" style="74" customWidth="1"/>
    <col min="3" max="3" width="12.7109375" style="74" hidden="1" customWidth="1" outlineLevel="1"/>
    <col min="4" max="4" width="12.7109375" style="74" hidden="1" customWidth="1" outlineLevel="1" collapsed="1"/>
    <col min="5" max="7" width="12.7109375" style="74" hidden="1" customWidth="1" outlineLevel="1"/>
    <col min="8" max="8" width="12.7109375" style="74" customWidth="1" collapsed="1"/>
    <col min="9" max="11" width="12.7109375" style="74" customWidth="1"/>
    <col min="12" max="12" width="12.7109375" customWidth="1"/>
    <col min="13" max="16" width="12.7109375" style="74" hidden="1" customWidth="1" outlineLevel="1"/>
    <col min="17" max="17" width="12.7109375" style="74" hidden="1" customWidth="1" outlineLevel="1" collapsed="1"/>
    <col min="18" max="19" width="12.7109375" style="74" hidden="1" customWidth="1" outlineLevel="1"/>
    <col min="20" max="20" width="12.7109375" style="180" hidden="1" customWidth="1" outlineLevel="1"/>
    <col min="21" max="21" width="12.7109375" style="74" hidden="1" customWidth="1" outlineLevel="1" collapsed="1"/>
    <col min="22" max="28" width="12.7109375" style="74" hidden="1" customWidth="1" outlineLevel="1"/>
    <col min="29" max="29" width="12.7109375" style="74" customWidth="1" collapsed="1"/>
    <col min="30" max="41" width="12.7109375" style="74" customWidth="1"/>
    <col min="42" max="266" width="9.140625" style="74"/>
    <col min="267" max="267" width="2.5703125" style="74" customWidth="1"/>
    <col min="268" max="268" width="29.42578125" style="74" customWidth="1"/>
    <col min="269" max="273" width="11.28515625" style="74" customWidth="1"/>
    <col min="274" max="274" width="6.140625" style="74" customWidth="1"/>
    <col min="275" max="278" width="11.28515625" style="74" customWidth="1"/>
    <col min="279" max="522" width="9.140625" style="74"/>
    <col min="523" max="523" width="2.5703125" style="74" customWidth="1"/>
    <col min="524" max="524" width="29.42578125" style="74" customWidth="1"/>
    <col min="525" max="529" width="11.28515625" style="74" customWidth="1"/>
    <col min="530" max="530" width="6.140625" style="74" customWidth="1"/>
    <col min="531" max="534" width="11.28515625" style="74" customWidth="1"/>
    <col min="535" max="778" width="9.140625" style="74"/>
    <col min="779" max="779" width="2.5703125" style="74" customWidth="1"/>
    <col min="780" max="780" width="29.42578125" style="74" customWidth="1"/>
    <col min="781" max="785" width="11.28515625" style="74" customWidth="1"/>
    <col min="786" max="786" width="6.140625" style="74" customWidth="1"/>
    <col min="787" max="790" width="11.28515625" style="74" customWidth="1"/>
    <col min="791" max="1034" width="9.140625" style="74"/>
    <col min="1035" max="1035" width="2.5703125" style="74" customWidth="1"/>
    <col min="1036" max="1036" width="29.42578125" style="74" customWidth="1"/>
    <col min="1037" max="1041" width="11.28515625" style="74" customWidth="1"/>
    <col min="1042" max="1042" width="6.140625" style="74" customWidth="1"/>
    <col min="1043" max="1046" width="11.28515625" style="74" customWidth="1"/>
    <col min="1047" max="1290" width="9.140625" style="74"/>
    <col min="1291" max="1291" width="2.5703125" style="74" customWidth="1"/>
    <col min="1292" max="1292" width="29.42578125" style="74" customWidth="1"/>
    <col min="1293" max="1297" width="11.28515625" style="74" customWidth="1"/>
    <col min="1298" max="1298" width="6.140625" style="74" customWidth="1"/>
    <col min="1299" max="1302" width="11.28515625" style="74" customWidth="1"/>
    <col min="1303" max="1546" width="9.140625" style="74"/>
    <col min="1547" max="1547" width="2.5703125" style="74" customWidth="1"/>
    <col min="1548" max="1548" width="29.42578125" style="74" customWidth="1"/>
    <col min="1549" max="1553" width="11.28515625" style="74" customWidth="1"/>
    <col min="1554" max="1554" width="6.140625" style="74" customWidth="1"/>
    <col min="1555" max="1558" width="11.28515625" style="74" customWidth="1"/>
    <col min="1559" max="1802" width="9.140625" style="74"/>
    <col min="1803" max="1803" width="2.5703125" style="74" customWidth="1"/>
    <col min="1804" max="1804" width="29.42578125" style="74" customWidth="1"/>
    <col min="1805" max="1809" width="11.28515625" style="74" customWidth="1"/>
    <col min="1810" max="1810" width="6.140625" style="74" customWidth="1"/>
    <col min="1811" max="1814" width="11.28515625" style="74" customWidth="1"/>
    <col min="1815" max="2058" width="9.140625" style="74"/>
    <col min="2059" max="2059" width="2.5703125" style="74" customWidth="1"/>
    <col min="2060" max="2060" width="29.42578125" style="74" customWidth="1"/>
    <col min="2061" max="2065" width="11.28515625" style="74" customWidth="1"/>
    <col min="2066" max="2066" width="6.140625" style="74" customWidth="1"/>
    <col min="2067" max="2070" width="11.28515625" style="74" customWidth="1"/>
    <col min="2071" max="2314" width="9.140625" style="74"/>
    <col min="2315" max="2315" width="2.5703125" style="74" customWidth="1"/>
    <col min="2316" max="2316" width="29.42578125" style="74" customWidth="1"/>
    <col min="2317" max="2321" width="11.28515625" style="74" customWidth="1"/>
    <col min="2322" max="2322" width="6.140625" style="74" customWidth="1"/>
    <col min="2323" max="2326" width="11.28515625" style="74" customWidth="1"/>
    <col min="2327" max="2570" width="9.140625" style="74"/>
    <col min="2571" max="2571" width="2.5703125" style="74" customWidth="1"/>
    <col min="2572" max="2572" width="29.42578125" style="74" customWidth="1"/>
    <col min="2573" max="2577" width="11.28515625" style="74" customWidth="1"/>
    <col min="2578" max="2578" width="6.140625" style="74" customWidth="1"/>
    <col min="2579" max="2582" width="11.28515625" style="74" customWidth="1"/>
    <col min="2583" max="2826" width="9.140625" style="74"/>
    <col min="2827" max="2827" width="2.5703125" style="74" customWidth="1"/>
    <col min="2828" max="2828" width="29.42578125" style="74" customWidth="1"/>
    <col min="2829" max="2833" width="11.28515625" style="74" customWidth="1"/>
    <col min="2834" max="2834" width="6.140625" style="74" customWidth="1"/>
    <col min="2835" max="2838" width="11.28515625" style="74" customWidth="1"/>
    <col min="2839" max="3082" width="9.140625" style="74"/>
    <col min="3083" max="3083" width="2.5703125" style="74" customWidth="1"/>
    <col min="3084" max="3084" width="29.42578125" style="74" customWidth="1"/>
    <col min="3085" max="3089" width="11.28515625" style="74" customWidth="1"/>
    <col min="3090" max="3090" width="6.140625" style="74" customWidth="1"/>
    <col min="3091" max="3094" width="11.28515625" style="74" customWidth="1"/>
    <col min="3095" max="3338" width="9.140625" style="74"/>
    <col min="3339" max="3339" width="2.5703125" style="74" customWidth="1"/>
    <col min="3340" max="3340" width="29.42578125" style="74" customWidth="1"/>
    <col min="3341" max="3345" width="11.28515625" style="74" customWidth="1"/>
    <col min="3346" max="3346" width="6.140625" style="74" customWidth="1"/>
    <col min="3347" max="3350" width="11.28515625" style="74" customWidth="1"/>
    <col min="3351" max="3594" width="9.140625" style="74"/>
    <col min="3595" max="3595" width="2.5703125" style="74" customWidth="1"/>
    <col min="3596" max="3596" width="29.42578125" style="74" customWidth="1"/>
    <col min="3597" max="3601" width="11.28515625" style="74" customWidth="1"/>
    <col min="3602" max="3602" width="6.140625" style="74" customWidth="1"/>
    <col min="3603" max="3606" width="11.28515625" style="74" customWidth="1"/>
    <col min="3607" max="3850" width="9.140625" style="74"/>
    <col min="3851" max="3851" width="2.5703125" style="74" customWidth="1"/>
    <col min="3852" max="3852" width="29.42578125" style="74" customWidth="1"/>
    <col min="3853" max="3857" width="11.28515625" style="74" customWidth="1"/>
    <col min="3858" max="3858" width="6.140625" style="74" customWidth="1"/>
    <col min="3859" max="3862" width="11.28515625" style="74" customWidth="1"/>
    <col min="3863" max="4106" width="9.140625" style="74"/>
    <col min="4107" max="4107" width="2.5703125" style="74" customWidth="1"/>
    <col min="4108" max="4108" width="29.42578125" style="74" customWidth="1"/>
    <col min="4109" max="4113" width="11.28515625" style="74" customWidth="1"/>
    <col min="4114" max="4114" width="6.140625" style="74" customWidth="1"/>
    <col min="4115" max="4118" width="11.28515625" style="74" customWidth="1"/>
    <col min="4119" max="4362" width="9.140625" style="74"/>
    <col min="4363" max="4363" width="2.5703125" style="74" customWidth="1"/>
    <col min="4364" max="4364" width="29.42578125" style="74" customWidth="1"/>
    <col min="4365" max="4369" width="11.28515625" style="74" customWidth="1"/>
    <col min="4370" max="4370" width="6.140625" style="74" customWidth="1"/>
    <col min="4371" max="4374" width="11.28515625" style="74" customWidth="1"/>
    <col min="4375" max="4618" width="9.140625" style="74"/>
    <col min="4619" max="4619" width="2.5703125" style="74" customWidth="1"/>
    <col min="4620" max="4620" width="29.42578125" style="74" customWidth="1"/>
    <col min="4621" max="4625" width="11.28515625" style="74" customWidth="1"/>
    <col min="4626" max="4626" width="6.140625" style="74" customWidth="1"/>
    <col min="4627" max="4630" width="11.28515625" style="74" customWidth="1"/>
    <col min="4631" max="4874" width="9.140625" style="74"/>
    <col min="4875" max="4875" width="2.5703125" style="74" customWidth="1"/>
    <col min="4876" max="4876" width="29.42578125" style="74" customWidth="1"/>
    <col min="4877" max="4881" width="11.28515625" style="74" customWidth="1"/>
    <col min="4882" max="4882" width="6.140625" style="74" customWidth="1"/>
    <col min="4883" max="4886" width="11.28515625" style="74" customWidth="1"/>
    <col min="4887" max="5130" width="9.140625" style="74"/>
    <col min="5131" max="5131" width="2.5703125" style="74" customWidth="1"/>
    <col min="5132" max="5132" width="29.42578125" style="74" customWidth="1"/>
    <col min="5133" max="5137" width="11.28515625" style="74" customWidth="1"/>
    <col min="5138" max="5138" width="6.140625" style="74" customWidth="1"/>
    <col min="5139" max="5142" width="11.28515625" style="74" customWidth="1"/>
    <col min="5143" max="5386" width="9.140625" style="74"/>
    <col min="5387" max="5387" width="2.5703125" style="74" customWidth="1"/>
    <col min="5388" max="5388" width="29.42578125" style="74" customWidth="1"/>
    <col min="5389" max="5393" width="11.28515625" style="74" customWidth="1"/>
    <col min="5394" max="5394" width="6.140625" style="74" customWidth="1"/>
    <col min="5395" max="5398" width="11.28515625" style="74" customWidth="1"/>
    <col min="5399" max="5642" width="9.140625" style="74"/>
    <col min="5643" max="5643" width="2.5703125" style="74" customWidth="1"/>
    <col min="5644" max="5644" width="29.42578125" style="74" customWidth="1"/>
    <col min="5645" max="5649" width="11.28515625" style="74" customWidth="1"/>
    <col min="5650" max="5650" width="6.140625" style="74" customWidth="1"/>
    <col min="5651" max="5654" width="11.28515625" style="74" customWidth="1"/>
    <col min="5655" max="5898" width="9.140625" style="74"/>
    <col min="5899" max="5899" width="2.5703125" style="74" customWidth="1"/>
    <col min="5900" max="5900" width="29.42578125" style="74" customWidth="1"/>
    <col min="5901" max="5905" width="11.28515625" style="74" customWidth="1"/>
    <col min="5906" max="5906" width="6.140625" style="74" customWidth="1"/>
    <col min="5907" max="5910" width="11.28515625" style="74" customWidth="1"/>
    <col min="5911" max="6154" width="9.140625" style="74"/>
    <col min="6155" max="6155" width="2.5703125" style="74" customWidth="1"/>
    <col min="6156" max="6156" width="29.42578125" style="74" customWidth="1"/>
    <col min="6157" max="6161" width="11.28515625" style="74" customWidth="1"/>
    <col min="6162" max="6162" width="6.140625" style="74" customWidth="1"/>
    <col min="6163" max="6166" width="11.28515625" style="74" customWidth="1"/>
    <col min="6167" max="6410" width="9.140625" style="74"/>
    <col min="6411" max="6411" width="2.5703125" style="74" customWidth="1"/>
    <col min="6412" max="6412" width="29.42578125" style="74" customWidth="1"/>
    <col min="6413" max="6417" width="11.28515625" style="74" customWidth="1"/>
    <col min="6418" max="6418" width="6.140625" style="74" customWidth="1"/>
    <col min="6419" max="6422" width="11.28515625" style="74" customWidth="1"/>
    <col min="6423" max="6666" width="9.140625" style="74"/>
    <col min="6667" max="6667" width="2.5703125" style="74" customWidth="1"/>
    <col min="6668" max="6668" width="29.42578125" style="74" customWidth="1"/>
    <col min="6669" max="6673" width="11.28515625" style="74" customWidth="1"/>
    <col min="6674" max="6674" width="6.140625" style="74" customWidth="1"/>
    <col min="6675" max="6678" width="11.28515625" style="74" customWidth="1"/>
    <col min="6679" max="6922" width="9.140625" style="74"/>
    <col min="6923" max="6923" width="2.5703125" style="74" customWidth="1"/>
    <col min="6924" max="6924" width="29.42578125" style="74" customWidth="1"/>
    <col min="6925" max="6929" width="11.28515625" style="74" customWidth="1"/>
    <col min="6930" max="6930" width="6.140625" style="74" customWidth="1"/>
    <col min="6931" max="6934" width="11.28515625" style="74" customWidth="1"/>
    <col min="6935" max="7178" width="9.140625" style="74"/>
    <col min="7179" max="7179" width="2.5703125" style="74" customWidth="1"/>
    <col min="7180" max="7180" width="29.42578125" style="74" customWidth="1"/>
    <col min="7181" max="7185" width="11.28515625" style="74" customWidth="1"/>
    <col min="7186" max="7186" width="6.140625" style="74" customWidth="1"/>
    <col min="7187" max="7190" width="11.28515625" style="74" customWidth="1"/>
    <col min="7191" max="7434" width="9.140625" style="74"/>
    <col min="7435" max="7435" width="2.5703125" style="74" customWidth="1"/>
    <col min="7436" max="7436" width="29.42578125" style="74" customWidth="1"/>
    <col min="7437" max="7441" width="11.28515625" style="74" customWidth="1"/>
    <col min="7442" max="7442" width="6.140625" style="74" customWidth="1"/>
    <col min="7443" max="7446" width="11.28515625" style="74" customWidth="1"/>
    <col min="7447" max="7690" width="9.140625" style="74"/>
    <col min="7691" max="7691" width="2.5703125" style="74" customWidth="1"/>
    <col min="7692" max="7692" width="29.42578125" style="74" customWidth="1"/>
    <col min="7693" max="7697" width="11.28515625" style="74" customWidth="1"/>
    <col min="7698" max="7698" width="6.140625" style="74" customWidth="1"/>
    <col min="7699" max="7702" width="11.28515625" style="74" customWidth="1"/>
    <col min="7703" max="7946" width="9.140625" style="74"/>
    <col min="7947" max="7947" width="2.5703125" style="74" customWidth="1"/>
    <col min="7948" max="7948" width="29.42578125" style="74" customWidth="1"/>
    <col min="7949" max="7953" width="11.28515625" style="74" customWidth="1"/>
    <col min="7954" max="7954" width="6.140625" style="74" customWidth="1"/>
    <col min="7955" max="7958" width="11.28515625" style="74" customWidth="1"/>
    <col min="7959" max="8202" width="9.140625" style="74"/>
    <col min="8203" max="8203" width="2.5703125" style="74" customWidth="1"/>
    <col min="8204" max="8204" width="29.42578125" style="74" customWidth="1"/>
    <col min="8205" max="8209" width="11.28515625" style="74" customWidth="1"/>
    <col min="8210" max="8210" width="6.140625" style="74" customWidth="1"/>
    <col min="8211" max="8214" width="11.28515625" style="74" customWidth="1"/>
    <col min="8215" max="8458" width="9.140625" style="74"/>
    <col min="8459" max="8459" width="2.5703125" style="74" customWidth="1"/>
    <col min="8460" max="8460" width="29.42578125" style="74" customWidth="1"/>
    <col min="8461" max="8465" width="11.28515625" style="74" customWidth="1"/>
    <col min="8466" max="8466" width="6.140625" style="74" customWidth="1"/>
    <col min="8467" max="8470" width="11.28515625" style="74" customWidth="1"/>
    <col min="8471" max="8714" width="9.140625" style="74"/>
    <col min="8715" max="8715" width="2.5703125" style="74" customWidth="1"/>
    <col min="8716" max="8716" width="29.42578125" style="74" customWidth="1"/>
    <col min="8717" max="8721" width="11.28515625" style="74" customWidth="1"/>
    <col min="8722" max="8722" width="6.140625" style="74" customWidth="1"/>
    <col min="8723" max="8726" width="11.28515625" style="74" customWidth="1"/>
    <col min="8727" max="8970" width="9.140625" style="74"/>
    <col min="8971" max="8971" width="2.5703125" style="74" customWidth="1"/>
    <col min="8972" max="8972" width="29.42578125" style="74" customWidth="1"/>
    <col min="8973" max="8977" width="11.28515625" style="74" customWidth="1"/>
    <col min="8978" max="8978" width="6.140625" style="74" customWidth="1"/>
    <col min="8979" max="8982" width="11.28515625" style="74" customWidth="1"/>
    <col min="8983" max="9226" width="9.140625" style="74"/>
    <col min="9227" max="9227" width="2.5703125" style="74" customWidth="1"/>
    <col min="9228" max="9228" width="29.42578125" style="74" customWidth="1"/>
    <col min="9229" max="9233" width="11.28515625" style="74" customWidth="1"/>
    <col min="9234" max="9234" width="6.140625" style="74" customWidth="1"/>
    <col min="9235" max="9238" width="11.28515625" style="74" customWidth="1"/>
    <col min="9239" max="9482" width="9.140625" style="74"/>
    <col min="9483" max="9483" width="2.5703125" style="74" customWidth="1"/>
    <col min="9484" max="9484" width="29.42578125" style="74" customWidth="1"/>
    <col min="9485" max="9489" width="11.28515625" style="74" customWidth="1"/>
    <col min="9490" max="9490" width="6.140625" style="74" customWidth="1"/>
    <col min="9491" max="9494" width="11.28515625" style="74" customWidth="1"/>
    <col min="9495" max="9738" width="9.140625" style="74"/>
    <col min="9739" max="9739" width="2.5703125" style="74" customWidth="1"/>
    <col min="9740" max="9740" width="29.42578125" style="74" customWidth="1"/>
    <col min="9741" max="9745" width="11.28515625" style="74" customWidth="1"/>
    <col min="9746" max="9746" width="6.140625" style="74" customWidth="1"/>
    <col min="9747" max="9750" width="11.28515625" style="74" customWidth="1"/>
    <col min="9751" max="9994" width="9.140625" style="74"/>
    <col min="9995" max="9995" width="2.5703125" style="74" customWidth="1"/>
    <col min="9996" max="9996" width="29.42578125" style="74" customWidth="1"/>
    <col min="9997" max="10001" width="11.28515625" style="74" customWidth="1"/>
    <col min="10002" max="10002" width="6.140625" style="74" customWidth="1"/>
    <col min="10003" max="10006" width="11.28515625" style="74" customWidth="1"/>
    <col min="10007" max="10250" width="9.140625" style="74"/>
    <col min="10251" max="10251" width="2.5703125" style="74" customWidth="1"/>
    <col min="10252" max="10252" width="29.42578125" style="74" customWidth="1"/>
    <col min="10253" max="10257" width="11.28515625" style="74" customWidth="1"/>
    <col min="10258" max="10258" width="6.140625" style="74" customWidth="1"/>
    <col min="10259" max="10262" width="11.28515625" style="74" customWidth="1"/>
    <col min="10263" max="10506" width="9.140625" style="74"/>
    <col min="10507" max="10507" width="2.5703125" style="74" customWidth="1"/>
    <col min="10508" max="10508" width="29.42578125" style="74" customWidth="1"/>
    <col min="10509" max="10513" width="11.28515625" style="74" customWidth="1"/>
    <col min="10514" max="10514" width="6.140625" style="74" customWidth="1"/>
    <col min="10515" max="10518" width="11.28515625" style="74" customWidth="1"/>
    <col min="10519" max="10762" width="9.140625" style="74"/>
    <col min="10763" max="10763" width="2.5703125" style="74" customWidth="1"/>
    <col min="10764" max="10764" width="29.42578125" style="74" customWidth="1"/>
    <col min="10765" max="10769" width="11.28515625" style="74" customWidth="1"/>
    <col min="10770" max="10770" width="6.140625" style="74" customWidth="1"/>
    <col min="10771" max="10774" width="11.28515625" style="74" customWidth="1"/>
    <col min="10775" max="11018" width="9.140625" style="74"/>
    <col min="11019" max="11019" width="2.5703125" style="74" customWidth="1"/>
    <col min="11020" max="11020" width="29.42578125" style="74" customWidth="1"/>
    <col min="11021" max="11025" width="11.28515625" style="74" customWidth="1"/>
    <col min="11026" max="11026" width="6.140625" style="74" customWidth="1"/>
    <col min="11027" max="11030" width="11.28515625" style="74" customWidth="1"/>
    <col min="11031" max="11274" width="9.140625" style="74"/>
    <col min="11275" max="11275" width="2.5703125" style="74" customWidth="1"/>
    <col min="11276" max="11276" width="29.42578125" style="74" customWidth="1"/>
    <col min="11277" max="11281" width="11.28515625" style="74" customWidth="1"/>
    <col min="11282" max="11282" width="6.140625" style="74" customWidth="1"/>
    <col min="11283" max="11286" width="11.28515625" style="74" customWidth="1"/>
    <col min="11287" max="11530" width="9.140625" style="74"/>
    <col min="11531" max="11531" width="2.5703125" style="74" customWidth="1"/>
    <col min="11532" max="11532" width="29.42578125" style="74" customWidth="1"/>
    <col min="11533" max="11537" width="11.28515625" style="74" customWidth="1"/>
    <col min="11538" max="11538" width="6.140625" style="74" customWidth="1"/>
    <col min="11539" max="11542" width="11.28515625" style="74" customWidth="1"/>
    <col min="11543" max="11786" width="9.140625" style="74"/>
    <col min="11787" max="11787" width="2.5703125" style="74" customWidth="1"/>
    <col min="11788" max="11788" width="29.42578125" style="74" customWidth="1"/>
    <col min="11789" max="11793" width="11.28515625" style="74" customWidth="1"/>
    <col min="11794" max="11794" width="6.140625" style="74" customWidth="1"/>
    <col min="11795" max="11798" width="11.28515625" style="74" customWidth="1"/>
    <col min="11799" max="12042" width="9.140625" style="74"/>
    <col min="12043" max="12043" width="2.5703125" style="74" customWidth="1"/>
    <col min="12044" max="12044" width="29.42578125" style="74" customWidth="1"/>
    <col min="12045" max="12049" width="11.28515625" style="74" customWidth="1"/>
    <col min="12050" max="12050" width="6.140625" style="74" customWidth="1"/>
    <col min="12051" max="12054" width="11.28515625" style="74" customWidth="1"/>
    <col min="12055" max="12298" width="9.140625" style="74"/>
    <col min="12299" max="12299" width="2.5703125" style="74" customWidth="1"/>
    <col min="12300" max="12300" width="29.42578125" style="74" customWidth="1"/>
    <col min="12301" max="12305" width="11.28515625" style="74" customWidth="1"/>
    <col min="12306" max="12306" width="6.140625" style="74" customWidth="1"/>
    <col min="12307" max="12310" width="11.28515625" style="74" customWidth="1"/>
    <col min="12311" max="12554" width="9.140625" style="74"/>
    <col min="12555" max="12555" width="2.5703125" style="74" customWidth="1"/>
    <col min="12556" max="12556" width="29.42578125" style="74" customWidth="1"/>
    <col min="12557" max="12561" width="11.28515625" style="74" customWidth="1"/>
    <col min="12562" max="12562" width="6.140625" style="74" customWidth="1"/>
    <col min="12563" max="12566" width="11.28515625" style="74" customWidth="1"/>
    <col min="12567" max="12810" width="9.140625" style="74"/>
    <col min="12811" max="12811" width="2.5703125" style="74" customWidth="1"/>
    <col min="12812" max="12812" width="29.42578125" style="74" customWidth="1"/>
    <col min="12813" max="12817" width="11.28515625" style="74" customWidth="1"/>
    <col min="12818" max="12818" width="6.140625" style="74" customWidth="1"/>
    <col min="12819" max="12822" width="11.28515625" style="74" customWidth="1"/>
    <col min="12823" max="13066" width="9.140625" style="74"/>
    <col min="13067" max="13067" width="2.5703125" style="74" customWidth="1"/>
    <col min="13068" max="13068" width="29.42578125" style="74" customWidth="1"/>
    <col min="13069" max="13073" width="11.28515625" style="74" customWidth="1"/>
    <col min="13074" max="13074" width="6.140625" style="74" customWidth="1"/>
    <col min="13075" max="13078" width="11.28515625" style="74" customWidth="1"/>
    <col min="13079" max="13322" width="9.140625" style="74"/>
    <col min="13323" max="13323" width="2.5703125" style="74" customWidth="1"/>
    <col min="13324" max="13324" width="29.42578125" style="74" customWidth="1"/>
    <col min="13325" max="13329" width="11.28515625" style="74" customWidth="1"/>
    <col min="13330" max="13330" width="6.140625" style="74" customWidth="1"/>
    <col min="13331" max="13334" width="11.28515625" style="74" customWidth="1"/>
    <col min="13335" max="13578" width="9.140625" style="74"/>
    <col min="13579" max="13579" width="2.5703125" style="74" customWidth="1"/>
    <col min="13580" max="13580" width="29.42578125" style="74" customWidth="1"/>
    <col min="13581" max="13585" width="11.28515625" style="74" customWidth="1"/>
    <col min="13586" max="13586" width="6.140625" style="74" customWidth="1"/>
    <col min="13587" max="13590" width="11.28515625" style="74" customWidth="1"/>
    <col min="13591" max="13834" width="9.140625" style="74"/>
    <col min="13835" max="13835" width="2.5703125" style="74" customWidth="1"/>
    <col min="13836" max="13836" width="29.42578125" style="74" customWidth="1"/>
    <col min="13837" max="13841" width="11.28515625" style="74" customWidth="1"/>
    <col min="13842" max="13842" width="6.140625" style="74" customWidth="1"/>
    <col min="13843" max="13846" width="11.28515625" style="74" customWidth="1"/>
    <col min="13847" max="14090" width="9.140625" style="74"/>
    <col min="14091" max="14091" width="2.5703125" style="74" customWidth="1"/>
    <col min="14092" max="14092" width="29.42578125" style="74" customWidth="1"/>
    <col min="14093" max="14097" width="11.28515625" style="74" customWidth="1"/>
    <col min="14098" max="14098" width="6.140625" style="74" customWidth="1"/>
    <col min="14099" max="14102" width="11.28515625" style="74" customWidth="1"/>
    <col min="14103" max="14346" width="9.140625" style="74"/>
    <col min="14347" max="14347" width="2.5703125" style="74" customWidth="1"/>
    <col min="14348" max="14348" width="29.42578125" style="74" customWidth="1"/>
    <col min="14349" max="14353" width="11.28515625" style="74" customWidth="1"/>
    <col min="14354" max="14354" width="6.140625" style="74" customWidth="1"/>
    <col min="14355" max="14358" width="11.28515625" style="74" customWidth="1"/>
    <col min="14359" max="14602" width="9.140625" style="74"/>
    <col min="14603" max="14603" width="2.5703125" style="74" customWidth="1"/>
    <col min="14604" max="14604" width="29.42578125" style="74" customWidth="1"/>
    <col min="14605" max="14609" width="11.28515625" style="74" customWidth="1"/>
    <col min="14610" max="14610" width="6.140625" style="74" customWidth="1"/>
    <col min="14611" max="14614" width="11.28515625" style="74" customWidth="1"/>
    <col min="14615" max="14858" width="9.140625" style="74"/>
    <col min="14859" max="14859" width="2.5703125" style="74" customWidth="1"/>
    <col min="14860" max="14860" width="29.42578125" style="74" customWidth="1"/>
    <col min="14861" max="14865" width="11.28515625" style="74" customWidth="1"/>
    <col min="14866" max="14866" width="6.140625" style="74" customWidth="1"/>
    <col min="14867" max="14870" width="11.28515625" style="74" customWidth="1"/>
    <col min="14871" max="15114" width="9.140625" style="74"/>
    <col min="15115" max="15115" width="2.5703125" style="74" customWidth="1"/>
    <col min="15116" max="15116" width="29.42578125" style="74" customWidth="1"/>
    <col min="15117" max="15121" width="11.28515625" style="74" customWidth="1"/>
    <col min="15122" max="15122" width="6.140625" style="74" customWidth="1"/>
    <col min="15123" max="15126" width="11.28515625" style="74" customWidth="1"/>
    <col min="15127" max="15370" width="9.140625" style="74"/>
    <col min="15371" max="15371" width="2.5703125" style="74" customWidth="1"/>
    <col min="15372" max="15372" width="29.42578125" style="74" customWidth="1"/>
    <col min="15373" max="15377" width="11.28515625" style="74" customWidth="1"/>
    <col min="15378" max="15378" width="6.140625" style="74" customWidth="1"/>
    <col min="15379" max="15382" width="11.28515625" style="74" customWidth="1"/>
    <col min="15383" max="15626" width="9.140625" style="74"/>
    <col min="15627" max="15627" width="2.5703125" style="74" customWidth="1"/>
    <col min="15628" max="15628" width="29.42578125" style="74" customWidth="1"/>
    <col min="15629" max="15633" width="11.28515625" style="74" customWidth="1"/>
    <col min="15634" max="15634" width="6.140625" style="74" customWidth="1"/>
    <col min="15635" max="15638" width="11.28515625" style="74" customWidth="1"/>
    <col min="15639" max="15882" width="9.140625" style="74"/>
    <col min="15883" max="15883" width="2.5703125" style="74" customWidth="1"/>
    <col min="15884" max="15884" width="29.42578125" style="74" customWidth="1"/>
    <col min="15885" max="15889" width="11.28515625" style="74" customWidth="1"/>
    <col min="15890" max="15890" width="6.140625" style="74" customWidth="1"/>
    <col min="15891" max="15894" width="11.28515625" style="74" customWidth="1"/>
    <col min="15895" max="16138" width="9.140625" style="74"/>
    <col min="16139" max="16139" width="2.5703125" style="74" customWidth="1"/>
    <col min="16140" max="16140" width="29.42578125" style="74" customWidth="1"/>
    <col min="16141" max="16145" width="11.28515625" style="74" customWidth="1"/>
    <col min="16146" max="16146" width="6.140625" style="74" customWidth="1"/>
    <col min="16147" max="16150" width="11.28515625" style="74" customWidth="1"/>
    <col min="16151" max="16384" width="9.140625" style="74"/>
  </cols>
  <sheetData>
    <row r="2" spans="2:37" s="82" customFormat="1" ht="24.75" customHeight="1">
      <c r="B2" s="104" t="s">
        <v>152</v>
      </c>
      <c r="C2" s="84" t="s">
        <v>153</v>
      </c>
      <c r="D2" s="84" t="s">
        <v>153</v>
      </c>
      <c r="E2" s="84" t="s">
        <v>153</v>
      </c>
      <c r="F2" s="84" t="s">
        <v>153</v>
      </c>
      <c r="G2" s="84" t="s">
        <v>153</v>
      </c>
      <c r="H2" s="84" t="s">
        <v>153</v>
      </c>
      <c r="I2" s="84" t="s">
        <v>153</v>
      </c>
      <c r="J2" s="84" t="s">
        <v>153</v>
      </c>
      <c r="K2" s="84" t="s">
        <v>154</v>
      </c>
      <c r="L2"/>
      <c r="M2" s="84" t="s">
        <v>155</v>
      </c>
      <c r="N2" s="84" t="s">
        <v>155</v>
      </c>
      <c r="O2" s="84" t="s">
        <v>155</v>
      </c>
      <c r="P2" s="84" t="s">
        <v>155</v>
      </c>
      <c r="Q2" s="83" t="s">
        <v>155</v>
      </c>
      <c r="R2" s="84" t="s">
        <v>155</v>
      </c>
      <c r="S2" s="84" t="s">
        <v>155</v>
      </c>
      <c r="T2" s="175" t="s">
        <v>155</v>
      </c>
      <c r="U2" s="83" t="s">
        <v>155</v>
      </c>
      <c r="V2" s="84" t="s">
        <v>155</v>
      </c>
      <c r="W2" s="84" t="s">
        <v>155</v>
      </c>
      <c r="X2" s="84" t="s">
        <v>155</v>
      </c>
      <c r="Y2" s="83" t="s">
        <v>155</v>
      </c>
      <c r="Z2" s="84" t="s">
        <v>155</v>
      </c>
      <c r="AA2" s="84" t="s">
        <v>155</v>
      </c>
      <c r="AB2" s="84" t="s">
        <v>155</v>
      </c>
      <c r="AC2" s="83" t="s">
        <v>155</v>
      </c>
      <c r="AD2" s="83" t="s">
        <v>155</v>
      </c>
      <c r="AE2" s="84" t="s">
        <v>155</v>
      </c>
      <c r="AF2" s="84" t="s">
        <v>155</v>
      </c>
      <c r="AG2" s="83" t="s">
        <v>155</v>
      </c>
      <c r="AH2" s="83" t="s">
        <v>155</v>
      </c>
      <c r="AI2" s="84" t="s">
        <v>155</v>
      </c>
      <c r="AJ2" s="84" t="s">
        <v>155</v>
      </c>
      <c r="AK2" s="83" t="s">
        <v>155</v>
      </c>
    </row>
    <row r="3" spans="2:37" s="82" customFormat="1" ht="13.5" customHeight="1">
      <c r="B3" s="36" t="s">
        <v>156</v>
      </c>
      <c r="C3" s="35">
        <v>43465</v>
      </c>
      <c r="D3" s="35">
        <v>43830</v>
      </c>
      <c r="E3" s="35">
        <v>44196</v>
      </c>
      <c r="F3" s="35">
        <v>44561</v>
      </c>
      <c r="G3" s="35">
        <v>44926</v>
      </c>
      <c r="H3" s="35">
        <v>45291</v>
      </c>
      <c r="I3" s="35">
        <v>45657</v>
      </c>
      <c r="J3" s="35">
        <v>46022</v>
      </c>
      <c r="K3" s="35">
        <f>AK3</f>
        <v>46112</v>
      </c>
      <c r="L3"/>
      <c r="M3" s="35">
        <v>43921</v>
      </c>
      <c r="N3" s="35">
        <v>44012</v>
      </c>
      <c r="O3" s="35">
        <v>44104</v>
      </c>
      <c r="P3" s="35">
        <v>44196</v>
      </c>
      <c r="Q3" s="35">
        <v>44286</v>
      </c>
      <c r="R3" s="35">
        <v>44377</v>
      </c>
      <c r="S3" s="35">
        <v>44469</v>
      </c>
      <c r="T3" s="35">
        <v>44561</v>
      </c>
      <c r="U3" s="35">
        <v>44651</v>
      </c>
      <c r="V3" s="35">
        <v>44742</v>
      </c>
      <c r="W3" s="35">
        <v>44834</v>
      </c>
      <c r="X3" s="35">
        <v>44926</v>
      </c>
      <c r="Y3" s="35">
        <v>45016</v>
      </c>
      <c r="Z3" s="35">
        <v>45107</v>
      </c>
      <c r="AA3" s="35">
        <v>45199</v>
      </c>
      <c r="AB3" s="35">
        <v>45291</v>
      </c>
      <c r="AC3" s="35">
        <v>45382</v>
      </c>
      <c r="AD3" s="35">
        <v>45473</v>
      </c>
      <c r="AE3" s="35">
        <v>45565</v>
      </c>
      <c r="AF3" s="35">
        <v>45657</v>
      </c>
      <c r="AG3" s="35">
        <v>45747</v>
      </c>
      <c r="AH3" s="35">
        <v>45838</v>
      </c>
      <c r="AI3" s="35">
        <v>45930</v>
      </c>
      <c r="AJ3" s="35">
        <v>46022</v>
      </c>
      <c r="AK3" s="35">
        <v>46112</v>
      </c>
    </row>
    <row r="4" spans="2:37" s="80" customFormat="1" ht="13.5" customHeight="1">
      <c r="B4" s="40"/>
      <c r="C4" s="81" t="s">
        <v>157</v>
      </c>
      <c r="D4" s="81" t="s">
        <v>157</v>
      </c>
      <c r="E4" s="81" t="s">
        <v>157</v>
      </c>
      <c r="F4" s="81" t="s">
        <v>157</v>
      </c>
      <c r="G4" s="81" t="s">
        <v>157</v>
      </c>
      <c r="H4" s="81" t="s">
        <v>157</v>
      </c>
      <c r="I4" s="81" t="s">
        <v>157</v>
      </c>
      <c r="J4" s="81" t="s">
        <v>157</v>
      </c>
      <c r="K4" s="81" t="s">
        <v>157</v>
      </c>
      <c r="L4"/>
      <c r="M4" s="81" t="s">
        <v>157</v>
      </c>
      <c r="N4" s="81" t="s">
        <v>157</v>
      </c>
      <c r="O4" s="81" t="s">
        <v>157</v>
      </c>
      <c r="P4" s="81" t="s">
        <v>157</v>
      </c>
      <c r="Q4" s="81" t="s">
        <v>157</v>
      </c>
      <c r="R4" s="81" t="s">
        <v>157</v>
      </c>
      <c r="S4" s="81" t="s">
        <v>157</v>
      </c>
      <c r="T4" s="176" t="s">
        <v>157</v>
      </c>
      <c r="U4" s="81" t="s">
        <v>157</v>
      </c>
      <c r="V4" s="81" t="s">
        <v>157</v>
      </c>
      <c r="W4" s="81" t="s">
        <v>157</v>
      </c>
      <c r="X4" s="81" t="s">
        <v>157</v>
      </c>
      <c r="Y4" s="81" t="s">
        <v>157</v>
      </c>
      <c r="Z4" s="81" t="s">
        <v>157</v>
      </c>
      <c r="AA4" s="81" t="s">
        <v>157</v>
      </c>
      <c r="AB4" s="81" t="s">
        <v>157</v>
      </c>
      <c r="AC4" s="81" t="s">
        <v>157</v>
      </c>
      <c r="AD4" s="81" t="s">
        <v>157</v>
      </c>
      <c r="AE4" s="81" t="s">
        <v>157</v>
      </c>
      <c r="AF4" s="81" t="s">
        <v>157</v>
      </c>
      <c r="AG4" s="81" t="s">
        <v>157</v>
      </c>
      <c r="AH4" s="81" t="s">
        <v>157</v>
      </c>
      <c r="AI4" s="81" t="s">
        <v>157</v>
      </c>
      <c r="AJ4" s="81" t="s">
        <v>157</v>
      </c>
      <c r="AK4" s="81" t="s">
        <v>157</v>
      </c>
    </row>
    <row r="5" spans="2:37" s="76" customFormat="1" ht="13.5" customHeight="1">
      <c r="C5" s="77" t="s">
        <v>158</v>
      </c>
      <c r="D5" s="77" t="s">
        <v>158</v>
      </c>
      <c r="E5" s="77" t="s">
        <v>158</v>
      </c>
      <c r="F5" s="77" t="s">
        <v>158</v>
      </c>
      <c r="G5" s="77" t="s">
        <v>158</v>
      </c>
      <c r="H5" s="77" t="s">
        <v>158</v>
      </c>
      <c r="I5" s="77" t="s">
        <v>158</v>
      </c>
      <c r="J5" s="77" t="s">
        <v>158</v>
      </c>
      <c r="K5" s="78" t="s">
        <v>154</v>
      </c>
      <c r="L5"/>
      <c r="M5" s="77" t="s">
        <v>159</v>
      </c>
      <c r="N5" s="77" t="s">
        <v>160</v>
      </c>
      <c r="O5" s="77" t="s">
        <v>161</v>
      </c>
      <c r="P5" s="78" t="s">
        <v>162</v>
      </c>
      <c r="Q5" s="77" t="s">
        <v>159</v>
      </c>
      <c r="R5" s="77" t="s">
        <v>160</v>
      </c>
      <c r="S5" s="77" t="s">
        <v>161</v>
      </c>
      <c r="T5" s="177" t="s">
        <v>162</v>
      </c>
      <c r="U5" s="77" t="s">
        <v>159</v>
      </c>
      <c r="V5" s="77" t="s">
        <v>160</v>
      </c>
      <c r="W5" s="77" t="s">
        <v>161</v>
      </c>
      <c r="X5" s="78" t="s">
        <v>162</v>
      </c>
      <c r="Y5" s="77" t="s">
        <v>159</v>
      </c>
      <c r="Z5" s="77" t="s">
        <v>160</v>
      </c>
      <c r="AA5" s="77" t="s">
        <v>161</v>
      </c>
      <c r="AB5" s="78" t="s">
        <v>162</v>
      </c>
      <c r="AC5" s="77" t="s">
        <v>159</v>
      </c>
      <c r="AD5" s="77" t="s">
        <v>160</v>
      </c>
      <c r="AE5" s="77" t="s">
        <v>161</v>
      </c>
      <c r="AF5" s="78" t="s">
        <v>162</v>
      </c>
      <c r="AG5" s="77" t="s">
        <v>159</v>
      </c>
      <c r="AH5" s="77" t="s">
        <v>160</v>
      </c>
      <c r="AI5" s="77" t="s">
        <v>161</v>
      </c>
      <c r="AJ5" s="78" t="s">
        <v>162</v>
      </c>
      <c r="AK5" s="77" t="s">
        <v>159</v>
      </c>
    </row>
    <row r="6" spans="2:37" s="76" customFormat="1" ht="13.5" customHeight="1">
      <c r="B6" s="194"/>
      <c r="C6" s="195"/>
      <c r="D6" s="195"/>
      <c r="E6" s="195"/>
      <c r="F6" s="195"/>
      <c r="G6" s="195"/>
      <c r="H6" s="195"/>
      <c r="I6" s="195"/>
      <c r="J6" s="195"/>
      <c r="K6" s="196"/>
      <c r="L6"/>
      <c r="M6" s="195"/>
      <c r="N6" s="195"/>
      <c r="O6" s="195"/>
      <c r="P6" s="196"/>
      <c r="Q6" s="195"/>
      <c r="R6" s="195"/>
      <c r="S6" s="195"/>
      <c r="T6" s="176"/>
      <c r="U6" s="195"/>
      <c r="V6" s="195"/>
      <c r="W6" s="195"/>
      <c r="X6" s="196"/>
      <c r="Y6" s="195"/>
      <c r="Z6" s="195"/>
      <c r="AA6" s="195"/>
      <c r="AB6" s="196"/>
      <c r="AC6" s="195"/>
      <c r="AD6" s="195"/>
      <c r="AE6" s="195"/>
      <c r="AF6" s="196"/>
      <c r="AG6" s="195"/>
      <c r="AH6" s="195"/>
      <c r="AI6" s="195"/>
      <c r="AJ6" s="196"/>
      <c r="AK6" s="195"/>
    </row>
    <row r="7" spans="2:37" s="76" customFormat="1" ht="13.5" customHeight="1">
      <c r="C7" s="77"/>
      <c r="D7" s="77"/>
      <c r="E7" s="77"/>
      <c r="F7" s="77"/>
      <c r="G7" s="77"/>
      <c r="H7" s="77"/>
      <c r="I7" s="77"/>
      <c r="J7" s="77"/>
      <c r="K7" s="78"/>
      <c r="L7"/>
      <c r="M7" s="77"/>
      <c r="N7" s="77"/>
      <c r="O7" s="77"/>
      <c r="P7" s="78"/>
      <c r="Q7" s="77"/>
      <c r="R7" s="77"/>
      <c r="S7" s="77"/>
      <c r="T7" s="177"/>
      <c r="U7" s="77"/>
      <c r="V7" s="77"/>
      <c r="W7" s="77"/>
      <c r="X7" s="78"/>
      <c r="Y7" s="77"/>
      <c r="Z7" s="77"/>
      <c r="AA7" s="77"/>
      <c r="AB7" s="78"/>
      <c r="AC7" s="77"/>
      <c r="AD7" s="77"/>
      <c r="AE7" s="77"/>
      <c r="AF7" s="78"/>
      <c r="AG7" s="77"/>
      <c r="AH7" s="77"/>
      <c r="AI7" s="77"/>
      <c r="AJ7" s="78"/>
      <c r="AK7" s="77"/>
    </row>
    <row r="8" spans="2:37">
      <c r="B8" s="241" t="s">
        <v>270</v>
      </c>
      <c r="C8" s="242"/>
      <c r="D8" s="242"/>
      <c r="E8" s="243"/>
      <c r="F8" s="243"/>
      <c r="G8" s="243"/>
      <c r="H8" s="243"/>
      <c r="I8" s="243"/>
      <c r="J8" s="243"/>
      <c r="K8" s="242"/>
      <c r="M8" s="244"/>
      <c r="N8" s="244"/>
      <c r="O8" s="244"/>
      <c r="P8" s="244"/>
      <c r="Q8" s="244"/>
      <c r="R8" s="244"/>
      <c r="S8" s="244"/>
      <c r="T8" s="245"/>
      <c r="U8" s="244"/>
      <c r="V8" s="244"/>
      <c r="W8" s="244"/>
      <c r="X8" s="244"/>
      <c r="Y8" s="244"/>
      <c r="Z8" s="244"/>
      <c r="AA8" s="244"/>
      <c r="AB8" s="244"/>
      <c r="AC8" s="246"/>
      <c r="AD8" s="244"/>
      <c r="AE8" s="244"/>
      <c r="AF8" s="244"/>
      <c r="AG8" s="244"/>
      <c r="AH8" s="244"/>
      <c r="AI8" s="244"/>
      <c r="AJ8" s="244"/>
      <c r="AK8" s="244"/>
    </row>
    <row r="9" spans="2:37">
      <c r="B9" s="113" t="s">
        <v>271</v>
      </c>
      <c r="C9" s="105">
        <v>113800.386</v>
      </c>
      <c r="D9" s="105">
        <v>122094.897</v>
      </c>
      <c r="E9" s="105">
        <v>152190.891</v>
      </c>
      <c r="F9" s="105">
        <v>208868.94399999999</v>
      </c>
      <c r="G9" s="105">
        <v>167217.177</v>
      </c>
      <c r="H9" s="105">
        <v>157461.29999999999</v>
      </c>
      <c r="I9" s="105">
        <v>191759.3</v>
      </c>
      <c r="J9" s="105">
        <v>186439.777</v>
      </c>
      <c r="K9" s="171">
        <f>SUM(AH9:AK9)</f>
        <v>180101.15599999999</v>
      </c>
      <c r="M9" s="105">
        <v>30324.723000000002</v>
      </c>
      <c r="N9" s="105">
        <v>31627.548999999999</v>
      </c>
      <c r="O9" s="105">
        <v>47604.133000000002</v>
      </c>
      <c r="P9" s="103">
        <f>E9-SUM(M9:O9)</f>
        <v>42634.486000000004</v>
      </c>
      <c r="Q9" s="105">
        <v>51490.983</v>
      </c>
      <c r="R9" s="105">
        <v>59088.963000000003</v>
      </c>
      <c r="S9" s="105">
        <v>47824.932000000001</v>
      </c>
      <c r="T9" s="178">
        <f>F9-SUM(Q9:S9)</f>
        <v>50464.065999999992</v>
      </c>
      <c r="U9" s="105">
        <v>45762.688999999998</v>
      </c>
      <c r="V9" s="105">
        <v>42268.105000000003</v>
      </c>
      <c r="W9" s="105">
        <v>42514.239000000001</v>
      </c>
      <c r="X9" s="178">
        <f>G9-SUM(U9:W9)</f>
        <v>36672.144</v>
      </c>
      <c r="Y9" s="105">
        <v>34984.745999999999</v>
      </c>
      <c r="Z9" s="105">
        <v>36595.461000000003</v>
      </c>
      <c r="AA9" s="105">
        <v>41648.925000000003</v>
      </c>
      <c r="AB9" s="178">
        <f>H9-SUM(Y9:AA9)</f>
        <v>44232.167999999991</v>
      </c>
      <c r="AC9" s="105">
        <v>46479.748</v>
      </c>
      <c r="AD9" s="105">
        <v>46516.4</v>
      </c>
      <c r="AE9" s="105">
        <v>47452.324000000001</v>
      </c>
      <c r="AF9" s="178">
        <f>I9-SUM(AC9:AE9)</f>
        <v>51310.82799999998</v>
      </c>
      <c r="AG9" s="105">
        <v>50611.951999999997</v>
      </c>
      <c r="AH9" s="105">
        <v>45520.008999999998</v>
      </c>
      <c r="AI9" s="105">
        <v>45969.027000000002</v>
      </c>
      <c r="AJ9" s="178">
        <f>J9-SUM(AG9:AI9)</f>
        <v>44338.78899999999</v>
      </c>
      <c r="AK9" s="105">
        <v>44273.330999999998</v>
      </c>
    </row>
    <row r="10" spans="2:37">
      <c r="B10" s="113" t="s">
        <v>272</v>
      </c>
      <c r="C10" s="105">
        <v>43816.885000000002</v>
      </c>
      <c r="D10" s="105">
        <v>62087.998</v>
      </c>
      <c r="E10" s="105">
        <v>67410.452999999994</v>
      </c>
      <c r="F10" s="105">
        <v>84980.096999999994</v>
      </c>
      <c r="G10" s="105">
        <v>79794.876999999993</v>
      </c>
      <c r="H10" s="105">
        <v>80107.7</v>
      </c>
      <c r="I10" s="105">
        <v>104103.9</v>
      </c>
      <c r="J10" s="105">
        <v>123200.19100000001</v>
      </c>
      <c r="K10" s="171">
        <f t="shared" ref="K10:K13" si="0">SUM(AH10:AK10)</f>
        <v>115542.114</v>
      </c>
      <c r="M10" s="105">
        <v>12984.208000000001</v>
      </c>
      <c r="N10" s="105">
        <v>15252.868</v>
      </c>
      <c r="O10" s="105">
        <v>18119.021000000001</v>
      </c>
      <c r="P10" s="103">
        <f>E10-SUM(M10:O10)</f>
        <v>21054.355999999992</v>
      </c>
      <c r="Q10" s="105">
        <v>18243.267</v>
      </c>
      <c r="R10" s="105">
        <v>20734.692999999999</v>
      </c>
      <c r="S10" s="105">
        <v>20935.557000000001</v>
      </c>
      <c r="T10" s="178">
        <f>F10-SUM(Q10:S10)</f>
        <v>25066.579999999994</v>
      </c>
      <c r="U10" s="105">
        <v>19477.357</v>
      </c>
      <c r="V10" s="105">
        <v>19811.608</v>
      </c>
      <c r="W10" s="105">
        <v>19058.648000000001</v>
      </c>
      <c r="X10" s="178">
        <f>G10-SUM(U10:W10)</f>
        <v>21447.263999999996</v>
      </c>
      <c r="Y10" s="105">
        <v>16833.781999999999</v>
      </c>
      <c r="Z10" s="105">
        <v>22253.866000000002</v>
      </c>
      <c r="AA10" s="105">
        <v>20673.296999999999</v>
      </c>
      <c r="AB10" s="178">
        <f>H10-SUM(Y10:AA10)</f>
        <v>20346.754999999997</v>
      </c>
      <c r="AC10" s="105">
        <v>20373.489000000001</v>
      </c>
      <c r="AD10" s="105">
        <v>26760.3</v>
      </c>
      <c r="AE10" s="105">
        <v>26102.162</v>
      </c>
      <c r="AF10" s="178">
        <f t="shared" ref="AF10:AF13" si="1">I10-SUM(AC10:AE10)</f>
        <v>30867.948999999993</v>
      </c>
      <c r="AG10" s="105">
        <v>32339.234</v>
      </c>
      <c r="AH10" s="105">
        <v>38712.152999999998</v>
      </c>
      <c r="AI10" s="105">
        <v>27552.154999999999</v>
      </c>
      <c r="AJ10" s="178">
        <f t="shared" ref="AJ10:AJ13" si="2">J10-SUM(AG10:AI10)</f>
        <v>24596.649000000005</v>
      </c>
      <c r="AK10" s="105">
        <v>24681.156999999999</v>
      </c>
    </row>
    <row r="11" spans="2:37">
      <c r="B11" s="113" t="s">
        <v>273</v>
      </c>
      <c r="C11" s="105">
        <v>15955.558000000001</v>
      </c>
      <c r="D11" s="105">
        <v>19841.569</v>
      </c>
      <c r="E11" s="105">
        <v>23755.285</v>
      </c>
      <c r="F11" s="105">
        <v>28211.739000000001</v>
      </c>
      <c r="G11" s="105">
        <v>28321.444</v>
      </c>
      <c r="H11" s="105">
        <v>30107.5</v>
      </c>
      <c r="I11" s="105">
        <v>34115.4</v>
      </c>
      <c r="J11" s="105">
        <v>37440.345999999998</v>
      </c>
      <c r="K11" s="171">
        <f t="shared" si="0"/>
        <v>37832.595000000001</v>
      </c>
      <c r="M11" s="105">
        <v>5900.6959999999999</v>
      </c>
      <c r="N11" s="105">
        <v>5907.6210000000001</v>
      </c>
      <c r="O11" s="105">
        <v>5771.89</v>
      </c>
      <c r="P11" s="103">
        <f>E11-SUM(M11:O11)</f>
        <v>6175.0780000000013</v>
      </c>
      <c r="Q11" s="105">
        <v>6570.848</v>
      </c>
      <c r="R11" s="105">
        <v>7033.4870000000001</v>
      </c>
      <c r="S11" s="105">
        <v>7337.857</v>
      </c>
      <c r="T11" s="178">
        <f>F11-SUM(Q11:S11)</f>
        <v>7269.5470000000023</v>
      </c>
      <c r="U11" s="105">
        <v>7112.4809999999998</v>
      </c>
      <c r="V11" s="105">
        <v>6971.1210000000001</v>
      </c>
      <c r="W11" s="105">
        <v>7066.5910000000003</v>
      </c>
      <c r="X11" s="178">
        <f>G11-SUM(U11:W11)</f>
        <v>7171.2510000000002</v>
      </c>
      <c r="Y11" s="105">
        <v>7028.1480000000001</v>
      </c>
      <c r="Z11" s="105">
        <v>7444.0789999999997</v>
      </c>
      <c r="AA11" s="105">
        <v>7755.5339999999997</v>
      </c>
      <c r="AB11" s="178">
        <f>H11-SUM(Y11:AA11)</f>
        <v>7879.7390000000014</v>
      </c>
      <c r="AC11" s="105">
        <v>8048.3829999999998</v>
      </c>
      <c r="AD11" s="105">
        <v>8265.6</v>
      </c>
      <c r="AE11" s="105">
        <v>8462.8070000000007</v>
      </c>
      <c r="AF11" s="178">
        <f t="shared" si="1"/>
        <v>9338.61</v>
      </c>
      <c r="AG11" s="105">
        <v>9076.0969999999998</v>
      </c>
      <c r="AH11" s="105">
        <v>9097.7469999999994</v>
      </c>
      <c r="AI11" s="105">
        <v>9380.4639999999999</v>
      </c>
      <c r="AJ11" s="178">
        <f t="shared" si="2"/>
        <v>9886.0380000000005</v>
      </c>
      <c r="AK11" s="105">
        <v>9468.3459999999995</v>
      </c>
    </row>
    <row r="12" spans="2:37">
      <c r="B12" s="113" t="s">
        <v>274</v>
      </c>
      <c r="C12" s="164"/>
      <c r="D12" s="164"/>
      <c r="E12" s="164"/>
      <c r="F12" s="227"/>
      <c r="G12" s="227"/>
      <c r="H12" s="227"/>
      <c r="I12" s="105">
        <v>32753.599999999999</v>
      </c>
      <c r="J12" s="105">
        <v>106069.51300000001</v>
      </c>
      <c r="K12" s="171">
        <f t="shared" si="0"/>
        <v>107353.86500000001</v>
      </c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05">
        <v>26.032</v>
      </c>
      <c r="AD12" s="105">
        <v>6368.8</v>
      </c>
      <c r="AE12" s="105">
        <v>9697.134</v>
      </c>
      <c r="AF12" s="178">
        <f t="shared" si="1"/>
        <v>16661.633999999998</v>
      </c>
      <c r="AG12" s="105">
        <v>18580.064999999999</v>
      </c>
      <c r="AH12" s="105">
        <v>21263.263999999999</v>
      </c>
      <c r="AI12" s="105">
        <v>29010.088</v>
      </c>
      <c r="AJ12" s="178">
        <f t="shared" si="2"/>
        <v>37216.096000000005</v>
      </c>
      <c r="AK12" s="105">
        <v>19864.417000000001</v>
      </c>
    </row>
    <row r="13" spans="2:37">
      <c r="B13" s="62" t="s">
        <v>275</v>
      </c>
      <c r="C13" s="105">
        <v>1342.596</v>
      </c>
      <c r="D13" s="105">
        <v>1814.2180000000001</v>
      </c>
      <c r="E13" s="105">
        <v>2509.0039999999999</v>
      </c>
      <c r="F13" s="105">
        <v>6248.3649999999998</v>
      </c>
      <c r="G13" s="105">
        <v>4710.518</v>
      </c>
      <c r="H13" s="105">
        <v>3293.6</v>
      </c>
      <c r="I13" s="105">
        <v>3174.2</v>
      </c>
      <c r="J13" s="105">
        <v>4136.8599999999997</v>
      </c>
      <c r="K13" s="171">
        <f t="shared" si="0"/>
        <v>4305.2379999999994</v>
      </c>
      <c r="M13" s="105">
        <v>492.54</v>
      </c>
      <c r="N13" s="105">
        <v>749.76700000000005</v>
      </c>
      <c r="O13" s="105">
        <v>667.73299999999995</v>
      </c>
      <c r="P13" s="103">
        <f>E13-SUM(M13:O13)</f>
        <v>598.96399999999994</v>
      </c>
      <c r="Q13" s="105">
        <v>577.06500000000005</v>
      </c>
      <c r="R13" s="105">
        <v>931.81700000000001</v>
      </c>
      <c r="S13" s="105">
        <v>1964.509</v>
      </c>
      <c r="T13" s="178">
        <f>F13-SUM(Q13:S13)</f>
        <v>2774.9739999999997</v>
      </c>
      <c r="U13" s="105">
        <v>998.97500000000002</v>
      </c>
      <c r="V13" s="105">
        <v>1120.0429999999999</v>
      </c>
      <c r="W13" s="105">
        <v>1834.7909999999999</v>
      </c>
      <c r="X13" s="178">
        <f>G13-SUM(U13:W13)</f>
        <v>756.70899999999983</v>
      </c>
      <c r="Y13" s="105">
        <v>630.45799999999997</v>
      </c>
      <c r="Z13" s="105">
        <v>1061.502</v>
      </c>
      <c r="AA13" s="105">
        <v>816.65599999999995</v>
      </c>
      <c r="AB13" s="178">
        <f>H13-SUM(Y13:AA13)</f>
        <v>784.98399999999992</v>
      </c>
      <c r="AC13" s="79">
        <v>579.16999999999996</v>
      </c>
      <c r="AD13" s="105">
        <f>976.7</f>
        <v>976.7</v>
      </c>
      <c r="AE13" s="105">
        <f>792.114</f>
        <v>792.11400000000003</v>
      </c>
      <c r="AF13" s="178">
        <f t="shared" si="1"/>
        <v>826.21599999999989</v>
      </c>
      <c r="AG13" s="105">
        <v>685.98900000000003</v>
      </c>
      <c r="AH13" s="105">
        <f>1362.918</f>
        <v>1362.9179999999999</v>
      </c>
      <c r="AI13" s="105">
        <f>(1209000)/1000</f>
        <v>1209</v>
      </c>
      <c r="AJ13" s="178">
        <f t="shared" si="2"/>
        <v>878.95299999999952</v>
      </c>
      <c r="AK13" s="105">
        <v>854.36699999999996</v>
      </c>
    </row>
    <row r="14" spans="2:37" s="75" customFormat="1">
      <c r="B14" s="80" t="s">
        <v>276</v>
      </c>
      <c r="C14" s="79">
        <f t="shared" ref="C14:G14" si="3">SUM(C9:C13)</f>
        <v>174915.42499999999</v>
      </c>
      <c r="D14" s="79">
        <f t="shared" si="3"/>
        <v>205838.68199999997</v>
      </c>
      <c r="E14" s="79">
        <f t="shared" si="3"/>
        <v>245865.63299999997</v>
      </c>
      <c r="F14" s="79">
        <f t="shared" si="3"/>
        <v>328309.14499999996</v>
      </c>
      <c r="G14" s="79">
        <f t="shared" si="3"/>
        <v>280044.016</v>
      </c>
      <c r="H14" s="79">
        <f t="shared" ref="H14:I14" si="4">SUM(H9:H13)</f>
        <v>270970.09999999998</v>
      </c>
      <c r="I14" s="79">
        <f t="shared" si="4"/>
        <v>365906.39999999997</v>
      </c>
      <c r="J14" s="79">
        <f t="shared" ref="J14" si="5">SUM(J9:J13)</f>
        <v>457286.68700000003</v>
      </c>
      <c r="K14" s="172">
        <f>SUM(K9:K13)</f>
        <v>445134.96799999999</v>
      </c>
      <c r="L14"/>
      <c r="M14" s="79">
        <f t="shared" ref="M14:S14" si="6">SUM(M9:M13)</f>
        <v>49702.167000000009</v>
      </c>
      <c r="N14" s="79">
        <f t="shared" si="6"/>
        <v>53537.805</v>
      </c>
      <c r="O14" s="79">
        <f t="shared" si="6"/>
        <v>72162.777000000002</v>
      </c>
      <c r="P14" s="79">
        <f t="shared" si="6"/>
        <v>70462.883999999991</v>
      </c>
      <c r="Q14" s="79">
        <f t="shared" si="6"/>
        <v>76882.163</v>
      </c>
      <c r="R14" s="79">
        <f t="shared" si="6"/>
        <v>87788.959999999992</v>
      </c>
      <c r="S14" s="79">
        <f t="shared" si="6"/>
        <v>78062.85500000001</v>
      </c>
      <c r="T14" s="179">
        <f t="shared" ref="T14:W14" si="7">SUM(T9:T13)</f>
        <v>85575.166999999987</v>
      </c>
      <c r="U14" s="79">
        <f t="shared" si="7"/>
        <v>73351.502000000008</v>
      </c>
      <c r="V14" s="79">
        <f t="shared" si="7"/>
        <v>70170.877000000008</v>
      </c>
      <c r="W14" s="79">
        <f t="shared" si="7"/>
        <v>70474.269</v>
      </c>
      <c r="X14" s="179">
        <f t="shared" ref="X14:AA14" si="8">SUM(X9:X13)</f>
        <v>66047.368000000002</v>
      </c>
      <c r="Y14" s="79">
        <f t="shared" si="8"/>
        <v>59477.133999999998</v>
      </c>
      <c r="Z14" s="79">
        <f t="shared" si="8"/>
        <v>67354.907999999996</v>
      </c>
      <c r="AA14" s="79">
        <f t="shared" si="8"/>
        <v>70894.411999999997</v>
      </c>
      <c r="AB14" s="179">
        <f t="shared" ref="AB14:AC14" si="9">SUM(AB9:AB13)</f>
        <v>73243.645999999979</v>
      </c>
      <c r="AC14" s="79">
        <f t="shared" si="9"/>
        <v>75506.822</v>
      </c>
      <c r="AD14" s="79">
        <f t="shared" ref="AD14:AG14" si="10">SUM(AD9:AD13)</f>
        <v>88887.8</v>
      </c>
      <c r="AE14" s="79">
        <f t="shared" si="10"/>
        <v>92506.541000000012</v>
      </c>
      <c r="AF14" s="179">
        <f t="shared" si="10"/>
        <v>109005.23699999998</v>
      </c>
      <c r="AG14" s="79">
        <f t="shared" si="10"/>
        <v>111293.337</v>
      </c>
      <c r="AH14" s="79">
        <f t="shared" ref="AH14:AK14" si="11">SUM(AH9:AH13)</f>
        <v>115956.091</v>
      </c>
      <c r="AI14" s="79">
        <f t="shared" si="11"/>
        <v>113120.73400000001</v>
      </c>
      <c r="AJ14" s="179">
        <f t="shared" si="11"/>
        <v>116916.52499999999</v>
      </c>
      <c r="AK14" s="79">
        <f t="shared" si="11"/>
        <v>99141.618000000002</v>
      </c>
    </row>
    <row r="15" spans="2:37" s="238" customFormat="1" ht="11.25">
      <c r="B15" s="238" t="s">
        <v>22</v>
      </c>
      <c r="C15" s="238">
        <f>C14-Model!C7</f>
        <v>0</v>
      </c>
      <c r="D15" s="238">
        <f>D14-Model!D7</f>
        <v>0</v>
      </c>
      <c r="E15" s="238">
        <f>E14-Model!E7</f>
        <v>0</v>
      </c>
      <c r="F15" s="238">
        <f>F14-Model!F7</f>
        <v>0</v>
      </c>
      <c r="G15" s="238">
        <f>G14-Model!G7</f>
        <v>0</v>
      </c>
      <c r="H15" s="238">
        <f>H14-Model!H7</f>
        <v>0</v>
      </c>
      <c r="I15" s="239">
        <f>I14-Model!I7</f>
        <v>4.9999999988358468E-2</v>
      </c>
      <c r="J15" s="239">
        <f>J14-Model!J7</f>
        <v>0</v>
      </c>
      <c r="K15" s="239">
        <f>K14-Model!K7</f>
        <v>0</v>
      </c>
      <c r="L15" s="240"/>
      <c r="M15" s="238">
        <f>M14-Model!M7</f>
        <v>0</v>
      </c>
      <c r="N15" s="238">
        <f>N14-Model!N7</f>
        <v>0</v>
      </c>
      <c r="O15" s="238">
        <f>O14-Model!O7</f>
        <v>0</v>
      </c>
      <c r="P15" s="238">
        <f>P14-Model!P7</f>
        <v>0</v>
      </c>
      <c r="Q15" s="238">
        <f>Q14-Model!Q7</f>
        <v>0</v>
      </c>
      <c r="R15" s="238">
        <f>R14-Model!R7</f>
        <v>0</v>
      </c>
      <c r="S15" s="238">
        <f>S14-Model!S7</f>
        <v>0</v>
      </c>
      <c r="T15" s="238">
        <f>T14-Model!T7</f>
        <v>0</v>
      </c>
      <c r="U15" s="238">
        <f>U14-Model!U7</f>
        <v>0</v>
      </c>
      <c r="V15" s="238">
        <f>V14-Model!V7</f>
        <v>0</v>
      </c>
      <c r="W15" s="238">
        <f>W14-Model!W7</f>
        <v>0</v>
      </c>
      <c r="X15" s="238">
        <f>X14-Model!X7</f>
        <v>0</v>
      </c>
      <c r="Y15" s="238">
        <f>Y14-Model!Y7</f>
        <v>0</v>
      </c>
      <c r="Z15" s="238">
        <f>Z14-Model!Z7</f>
        <v>0</v>
      </c>
      <c r="AA15" s="238">
        <f>AA14-Model!AA7</f>
        <v>0</v>
      </c>
      <c r="AB15" s="238">
        <f>AB14-Model!AB7</f>
        <v>0</v>
      </c>
      <c r="AC15" s="239">
        <f>AC14-Model!AC7</f>
        <v>0</v>
      </c>
      <c r="AD15" s="239">
        <f>AD14-Model!AD7</f>
        <v>-2.7999999991152436E-2</v>
      </c>
      <c r="AE15" s="239">
        <f>AE14-Model!AE7</f>
        <v>0</v>
      </c>
      <c r="AF15" s="239">
        <f>AF14-Model!AF7</f>
        <v>7.7999999994062819E-2</v>
      </c>
      <c r="AG15" s="239">
        <f>AG14-Model!AG7</f>
        <v>0</v>
      </c>
      <c r="AH15" s="239">
        <f>AH14-Model!AH7</f>
        <v>0</v>
      </c>
      <c r="AI15" s="239">
        <f>AI14-Model!AI7</f>
        <v>0</v>
      </c>
      <c r="AJ15" s="239">
        <f>AJ14-Model!AJ7</f>
        <v>0</v>
      </c>
      <c r="AK15" s="239">
        <f>AK14-Model!AK7</f>
        <v>0</v>
      </c>
    </row>
    <row r="16" spans="2:37" s="238" customFormat="1" ht="11.25">
      <c r="I16" s="239"/>
      <c r="J16" s="239"/>
      <c r="K16" s="239"/>
      <c r="L16" s="240"/>
      <c r="AC16" s="239"/>
      <c r="AD16" s="239"/>
      <c r="AE16" s="239"/>
      <c r="AF16" s="239"/>
      <c r="AG16" s="239"/>
      <c r="AH16" s="239"/>
      <c r="AI16" s="239"/>
      <c r="AJ16" s="239"/>
      <c r="AK16" s="239"/>
    </row>
    <row r="17" spans="2:37" s="238" customFormat="1">
      <c r="B17" s="80" t="s">
        <v>277</v>
      </c>
      <c r="I17" s="239"/>
      <c r="J17" s="239"/>
      <c r="K17" s="239"/>
      <c r="L17" s="240"/>
      <c r="AC17" s="239"/>
      <c r="AD17" s="239"/>
      <c r="AE17" s="239"/>
      <c r="AF17" s="239"/>
      <c r="AG17" s="239"/>
      <c r="AH17" s="239"/>
      <c r="AI17" s="239"/>
      <c r="AJ17" s="239"/>
      <c r="AK17" s="239"/>
    </row>
    <row r="18" spans="2:37" s="238" customFormat="1">
      <c r="B18" s="113" t="s">
        <v>271</v>
      </c>
      <c r="C18" s="247">
        <f>C9/C$14</f>
        <v>0.65060234681989881</v>
      </c>
      <c r="D18" s="247">
        <f t="shared" ref="D18:AJ22" si="12">D9/D$14</f>
        <v>0.59315817519663294</v>
      </c>
      <c r="E18" s="247">
        <f t="shared" si="12"/>
        <v>0.61900026100841843</v>
      </c>
      <c r="F18" s="247">
        <f t="shared" si="12"/>
        <v>0.63619593660724871</v>
      </c>
      <c r="G18" s="247">
        <f t="shared" si="12"/>
        <v>0.59711033782632228</v>
      </c>
      <c r="H18" s="247">
        <f t="shared" si="12"/>
        <v>0.58110212159939423</v>
      </c>
      <c r="I18" s="247">
        <f t="shared" si="12"/>
        <v>0.5240665372346589</v>
      </c>
      <c r="J18" s="247">
        <f t="shared" si="12"/>
        <v>0.40770873567985588</v>
      </c>
      <c r="K18" s="247">
        <f t="shared" si="12"/>
        <v>0.40459898445902365</v>
      </c>
      <c r="L18" s="240"/>
      <c r="M18" s="247">
        <f t="shared" si="12"/>
        <v>0.61012878975679263</v>
      </c>
      <c r="N18" s="247">
        <f t="shared" si="12"/>
        <v>0.59075169405992645</v>
      </c>
      <c r="O18" s="247">
        <f t="shared" si="12"/>
        <v>0.65967712135024958</v>
      </c>
      <c r="P18" s="247">
        <f t="shared" si="12"/>
        <v>0.60506302864356232</v>
      </c>
      <c r="Q18" s="247">
        <f t="shared" si="12"/>
        <v>0.66973900044929802</v>
      </c>
      <c r="R18" s="247">
        <f t="shared" si="12"/>
        <v>0.67307965602964215</v>
      </c>
      <c r="S18" s="247">
        <f t="shared" si="12"/>
        <v>0.6126464629047963</v>
      </c>
      <c r="T18" s="247">
        <f t="shared" si="12"/>
        <v>0.58970455763177188</v>
      </c>
      <c r="U18" s="247">
        <f t="shared" si="12"/>
        <v>0.62388209855607313</v>
      </c>
      <c r="V18" s="247">
        <f t="shared" si="12"/>
        <v>0.60235965128382252</v>
      </c>
      <c r="W18" s="247">
        <f t="shared" si="12"/>
        <v>0.60325902777366869</v>
      </c>
      <c r="X18" s="247">
        <f t="shared" si="12"/>
        <v>0.55524005135223553</v>
      </c>
      <c r="Y18" s="247">
        <f t="shared" si="12"/>
        <v>0.58820497302375063</v>
      </c>
      <c r="Z18" s="247">
        <f t="shared" si="12"/>
        <v>0.5433228562943031</v>
      </c>
      <c r="AA18" s="247">
        <f t="shared" si="12"/>
        <v>0.58747824863827069</v>
      </c>
      <c r="AB18" s="247">
        <f t="shared" si="12"/>
        <v>0.60390450797602302</v>
      </c>
      <c r="AC18" s="247">
        <f t="shared" si="12"/>
        <v>0.61557017987063478</v>
      </c>
      <c r="AD18" s="247">
        <f t="shared" si="12"/>
        <v>0.52331591061990512</v>
      </c>
      <c r="AE18" s="247">
        <f t="shared" si="12"/>
        <v>0.51296182396442647</v>
      </c>
      <c r="AF18" s="247">
        <f t="shared" si="12"/>
        <v>0.47071892518338354</v>
      </c>
      <c r="AG18" s="247">
        <f t="shared" si="12"/>
        <v>0.4547617437331401</v>
      </c>
      <c r="AH18" s="247">
        <f t="shared" si="12"/>
        <v>0.39256246573541359</v>
      </c>
      <c r="AI18" s="247">
        <f t="shared" si="12"/>
        <v>0.40637136424521431</v>
      </c>
      <c r="AJ18" s="247">
        <f t="shared" si="12"/>
        <v>0.37923457783234654</v>
      </c>
      <c r="AK18" s="247">
        <f t="shared" ref="AK18" si="13">AK9/AK$14</f>
        <v>0.44656655694281688</v>
      </c>
    </row>
    <row r="19" spans="2:37" s="238" customFormat="1">
      <c r="B19" s="113" t="s">
        <v>272</v>
      </c>
      <c r="C19" s="247">
        <f t="shared" ref="C19:R22" si="14">C10/C$14</f>
        <v>0.25050326464918693</v>
      </c>
      <c r="D19" s="247">
        <f t="shared" si="14"/>
        <v>0.30163425745215378</v>
      </c>
      <c r="E19" s="247">
        <f t="shared" si="14"/>
        <v>0.2741759886384772</v>
      </c>
      <c r="F19" s="247">
        <f t="shared" si="14"/>
        <v>0.25884169933798223</v>
      </c>
      <c r="G19" s="247">
        <f t="shared" si="14"/>
        <v>0.28493691148894246</v>
      </c>
      <c r="H19" s="247">
        <f t="shared" si="14"/>
        <v>0.2956329868129362</v>
      </c>
      <c r="I19" s="247">
        <f t="shared" si="14"/>
        <v>0.28450964508956389</v>
      </c>
      <c r="J19" s="247">
        <f t="shared" si="14"/>
        <v>0.26941565215520913</v>
      </c>
      <c r="K19" s="247">
        <f t="shared" si="14"/>
        <v>0.25956647378015019</v>
      </c>
      <c r="L19" s="240"/>
      <c r="M19" s="247">
        <f t="shared" si="14"/>
        <v>0.26124027952342599</v>
      </c>
      <c r="N19" s="247">
        <f t="shared" si="14"/>
        <v>0.28489901668549916</v>
      </c>
      <c r="O19" s="247">
        <f t="shared" si="14"/>
        <v>0.25108541762465708</v>
      </c>
      <c r="P19" s="247">
        <f t="shared" si="14"/>
        <v>0.29880065652720084</v>
      </c>
      <c r="Q19" s="247">
        <f t="shared" si="14"/>
        <v>0.23728868034058823</v>
      </c>
      <c r="R19" s="247">
        <f t="shared" si="14"/>
        <v>0.23618793297015936</v>
      </c>
      <c r="S19" s="247">
        <f t="shared" si="12"/>
        <v>0.26818846172100674</v>
      </c>
      <c r="T19" s="247">
        <f t="shared" si="12"/>
        <v>0.29291885577038956</v>
      </c>
      <c r="U19" s="247">
        <f t="shared" si="12"/>
        <v>0.26553453533916727</v>
      </c>
      <c r="V19" s="247">
        <f t="shared" si="12"/>
        <v>0.28233376647123848</v>
      </c>
      <c r="W19" s="247">
        <f t="shared" si="12"/>
        <v>0.27043413532959104</v>
      </c>
      <c r="X19" s="247">
        <f t="shared" si="12"/>
        <v>0.32472549095370457</v>
      </c>
      <c r="Y19" s="247">
        <f t="shared" si="12"/>
        <v>0.28302947482304713</v>
      </c>
      <c r="Z19" s="247">
        <f t="shared" si="12"/>
        <v>0.3303970959324895</v>
      </c>
      <c r="AA19" s="247">
        <f t="shared" si="12"/>
        <v>0.29160686176507111</v>
      </c>
      <c r="AB19" s="247">
        <f t="shared" si="12"/>
        <v>0.27779549641753232</v>
      </c>
      <c r="AC19" s="247">
        <f t="shared" si="12"/>
        <v>0.26982315584676575</v>
      </c>
      <c r="AD19" s="247">
        <f t="shared" si="12"/>
        <v>0.30105706294902113</v>
      </c>
      <c r="AE19" s="247">
        <f t="shared" si="12"/>
        <v>0.28216558221542404</v>
      </c>
      <c r="AF19" s="247">
        <f t="shared" si="12"/>
        <v>0.28317858709852628</v>
      </c>
      <c r="AG19" s="247">
        <f t="shared" si="12"/>
        <v>0.29057655086755102</v>
      </c>
      <c r="AH19" s="247">
        <f t="shared" si="12"/>
        <v>0.33385182844771816</v>
      </c>
      <c r="AI19" s="247">
        <f t="shared" si="12"/>
        <v>0.24356414625103118</v>
      </c>
      <c r="AJ19" s="247">
        <f t="shared" si="12"/>
        <v>0.21037786574652306</v>
      </c>
      <c r="AK19" s="247">
        <f t="shared" ref="AK19" si="15">AK10/AK$14</f>
        <v>0.24894849910559255</v>
      </c>
    </row>
    <row r="20" spans="2:37" s="238" customFormat="1">
      <c r="B20" s="113" t="s">
        <v>273</v>
      </c>
      <c r="C20" s="247">
        <f t="shared" si="14"/>
        <v>9.1218701838331306E-2</v>
      </c>
      <c r="D20" s="247">
        <f t="shared" si="12"/>
        <v>9.6393781806278778E-2</v>
      </c>
      <c r="E20" s="247">
        <f t="shared" si="12"/>
        <v>9.661897317710931E-2</v>
      </c>
      <c r="F20" s="247">
        <f t="shared" si="12"/>
        <v>8.5930408670157526E-2</v>
      </c>
      <c r="G20" s="247">
        <f t="shared" si="12"/>
        <v>0.10113211631702924</v>
      </c>
      <c r="H20" s="247">
        <f t="shared" si="12"/>
        <v>0.11111004498282284</v>
      </c>
      <c r="I20" s="247">
        <f t="shared" si="12"/>
        <v>9.3235319196384656E-2</v>
      </c>
      <c r="J20" s="247">
        <f t="shared" si="12"/>
        <v>8.1874996723882307E-2</v>
      </c>
      <c r="K20" s="247">
        <f t="shared" si="12"/>
        <v>8.4991289653074398E-2</v>
      </c>
      <c r="L20" s="240"/>
      <c r="M20" s="247">
        <f t="shared" si="12"/>
        <v>0.11872110123488175</v>
      </c>
      <c r="N20" s="247">
        <f t="shared" si="12"/>
        <v>0.11034484884092652</v>
      </c>
      <c r="O20" s="247">
        <f t="shared" si="12"/>
        <v>7.998431102505936E-2</v>
      </c>
      <c r="P20" s="247">
        <f t="shared" si="12"/>
        <v>8.763589636779559E-2</v>
      </c>
      <c r="Q20" s="247">
        <f t="shared" si="12"/>
        <v>8.5466481997911528E-2</v>
      </c>
      <c r="R20" s="247">
        <f t="shared" si="12"/>
        <v>8.0118126470572162E-2</v>
      </c>
      <c r="S20" s="247">
        <f t="shared" si="12"/>
        <v>9.3999341940542644E-2</v>
      </c>
      <c r="T20" s="247">
        <f t="shared" si="12"/>
        <v>8.4949258702586031E-2</v>
      </c>
      <c r="U20" s="247">
        <f t="shared" si="12"/>
        <v>9.6964353913298176E-2</v>
      </c>
      <c r="V20" s="247">
        <f t="shared" si="12"/>
        <v>9.9344931943774903E-2</v>
      </c>
      <c r="W20" s="247">
        <f t="shared" si="12"/>
        <v>0.1002719304545039</v>
      </c>
      <c r="X20" s="247">
        <f t="shared" si="12"/>
        <v>0.10857739251623168</v>
      </c>
      <c r="Y20" s="247">
        <f t="shared" si="12"/>
        <v>0.11816554577091762</v>
      </c>
      <c r="Z20" s="247">
        <f t="shared" si="12"/>
        <v>0.11052021628475835</v>
      </c>
      <c r="AA20" s="247">
        <f t="shared" si="12"/>
        <v>0.10939556138782842</v>
      </c>
      <c r="AB20" s="247">
        <f t="shared" si="12"/>
        <v>0.10758256081353465</v>
      </c>
      <c r="AC20" s="247">
        <f t="shared" si="12"/>
        <v>0.10659146798682641</v>
      </c>
      <c r="AD20" s="247">
        <f t="shared" si="12"/>
        <v>9.2989139116954181E-2</v>
      </c>
      <c r="AE20" s="247">
        <f t="shared" si="12"/>
        <v>9.1483336297267889E-2</v>
      </c>
      <c r="AF20" s="247">
        <f t="shared" si="12"/>
        <v>8.5671204953207916E-2</v>
      </c>
      <c r="AG20" s="247">
        <f t="shared" si="12"/>
        <v>8.1551126461416101E-2</v>
      </c>
      <c r="AH20" s="247">
        <f t="shared" si="12"/>
        <v>7.8458552039323226E-2</v>
      </c>
      <c r="AI20" s="247">
        <f t="shared" si="12"/>
        <v>8.2924355847973891E-2</v>
      </c>
      <c r="AJ20" s="247">
        <f t="shared" si="12"/>
        <v>8.4556379006303861E-2</v>
      </c>
      <c r="AK20" s="247">
        <f t="shared" ref="AK20" si="16">AK11/AK$14</f>
        <v>9.5503242644274774E-2</v>
      </c>
    </row>
    <row r="21" spans="2:37" s="238" customFormat="1">
      <c r="B21" s="113" t="s">
        <v>274</v>
      </c>
      <c r="C21" s="247">
        <f t="shared" si="14"/>
        <v>0</v>
      </c>
      <c r="D21" s="247">
        <f t="shared" si="12"/>
        <v>0</v>
      </c>
      <c r="E21" s="247">
        <f t="shared" si="12"/>
        <v>0</v>
      </c>
      <c r="F21" s="247">
        <f t="shared" si="12"/>
        <v>0</v>
      </c>
      <c r="G21" s="247">
        <f t="shared" si="12"/>
        <v>0</v>
      </c>
      <c r="H21" s="247">
        <f t="shared" si="12"/>
        <v>0</v>
      </c>
      <c r="I21" s="247">
        <f t="shared" si="12"/>
        <v>8.9513602385746738E-2</v>
      </c>
      <c r="J21" s="247">
        <f t="shared" si="12"/>
        <v>0.23195408048255731</v>
      </c>
      <c r="K21" s="247">
        <f t="shared" si="12"/>
        <v>0.24117149340646724</v>
      </c>
      <c r="L21" s="240"/>
      <c r="M21" s="247">
        <f t="shared" si="12"/>
        <v>0</v>
      </c>
      <c r="N21" s="247">
        <f t="shared" si="12"/>
        <v>0</v>
      </c>
      <c r="O21" s="247">
        <f t="shared" si="12"/>
        <v>0</v>
      </c>
      <c r="P21" s="247">
        <f t="shared" si="12"/>
        <v>0</v>
      </c>
      <c r="Q21" s="247">
        <f t="shared" si="12"/>
        <v>0</v>
      </c>
      <c r="R21" s="247">
        <f t="shared" si="12"/>
        <v>0</v>
      </c>
      <c r="S21" s="247">
        <f t="shared" si="12"/>
        <v>0</v>
      </c>
      <c r="T21" s="247">
        <f t="shared" si="12"/>
        <v>0</v>
      </c>
      <c r="U21" s="247">
        <f t="shared" si="12"/>
        <v>0</v>
      </c>
      <c r="V21" s="247">
        <f t="shared" si="12"/>
        <v>0</v>
      </c>
      <c r="W21" s="247">
        <f t="shared" si="12"/>
        <v>0</v>
      </c>
      <c r="X21" s="247">
        <f t="shared" si="12"/>
        <v>0</v>
      </c>
      <c r="Y21" s="247">
        <f t="shared" si="12"/>
        <v>0</v>
      </c>
      <c r="Z21" s="247">
        <f t="shared" si="12"/>
        <v>0</v>
      </c>
      <c r="AA21" s="247">
        <f t="shared" si="12"/>
        <v>0</v>
      </c>
      <c r="AB21" s="247">
        <f t="shared" si="12"/>
        <v>0</v>
      </c>
      <c r="AC21" s="247">
        <f t="shared" si="12"/>
        <v>3.4476354997433213E-4</v>
      </c>
      <c r="AD21" s="247">
        <f t="shared" si="12"/>
        <v>7.1649877711001966E-2</v>
      </c>
      <c r="AE21" s="247">
        <f t="shared" si="12"/>
        <v>0.10482646843318895</v>
      </c>
      <c r="AF21" s="247">
        <f t="shared" si="12"/>
        <v>0.15285168363057641</v>
      </c>
      <c r="AG21" s="247">
        <f t="shared" si="12"/>
        <v>0.16694678676046887</v>
      </c>
      <c r="AH21" s="247">
        <f t="shared" si="12"/>
        <v>0.18337341157869835</v>
      </c>
      <c r="AI21" s="247">
        <f t="shared" si="12"/>
        <v>0.25645243779977595</v>
      </c>
      <c r="AJ21" s="247">
        <f t="shared" si="12"/>
        <v>0.31831339496277372</v>
      </c>
      <c r="AK21" s="247">
        <f t="shared" ref="AK21" si="17">AK12/AK$14</f>
        <v>0.20036405901707194</v>
      </c>
    </row>
    <row r="22" spans="2:37" s="238" customFormat="1">
      <c r="B22" s="62" t="s">
        <v>275</v>
      </c>
      <c r="C22" s="247">
        <f t="shared" si="14"/>
        <v>7.6756866925830015E-3</v>
      </c>
      <c r="D22" s="247">
        <f t="shared" si="12"/>
        <v>8.8137855449346506E-3</v>
      </c>
      <c r="E22" s="247">
        <f t="shared" si="12"/>
        <v>1.0204777175995151E-2</v>
      </c>
      <c r="F22" s="247">
        <f t="shared" si="12"/>
        <v>1.9031955384611662E-2</v>
      </c>
      <c r="G22" s="247">
        <f t="shared" si="12"/>
        <v>1.6820634367705967E-2</v>
      </c>
      <c r="H22" s="247">
        <f t="shared" si="12"/>
        <v>1.2154846604846808E-2</v>
      </c>
      <c r="I22" s="247">
        <f t="shared" si="12"/>
        <v>8.6748960936458078E-3</v>
      </c>
      <c r="J22" s="247">
        <f t="shared" si="12"/>
        <v>9.0465349584953024E-3</v>
      </c>
      <c r="K22" s="247">
        <f t="shared" si="12"/>
        <v>9.6717587012845052E-3</v>
      </c>
      <c r="L22" s="240"/>
      <c r="M22" s="247">
        <f t="shared" si="12"/>
        <v>9.90982948489952E-3</v>
      </c>
      <c r="N22" s="247">
        <f t="shared" si="12"/>
        <v>1.400444041364789E-2</v>
      </c>
      <c r="O22" s="247">
        <f t="shared" si="12"/>
        <v>9.2531500000339502E-3</v>
      </c>
      <c r="P22" s="247">
        <f t="shared" si="12"/>
        <v>8.5004184614413461E-3</v>
      </c>
      <c r="Q22" s="247">
        <f t="shared" si="12"/>
        <v>7.505837212202264E-3</v>
      </c>
      <c r="R22" s="247">
        <f t="shared" si="12"/>
        <v>1.0614284529626506E-2</v>
      </c>
      <c r="S22" s="247">
        <f t="shared" si="12"/>
        <v>2.5165733433654199E-2</v>
      </c>
      <c r="T22" s="247">
        <f t="shared" si="12"/>
        <v>3.2427327895252607E-2</v>
      </c>
      <c r="U22" s="247">
        <f t="shared" si="12"/>
        <v>1.3619012191461327E-2</v>
      </c>
      <c r="V22" s="247">
        <f t="shared" si="12"/>
        <v>1.5961650301164112E-2</v>
      </c>
      <c r="W22" s="247">
        <f t="shared" si="12"/>
        <v>2.6034906442236383E-2</v>
      </c>
      <c r="X22" s="247">
        <f t="shared" si="12"/>
        <v>1.1457065177828128E-2</v>
      </c>
      <c r="Y22" s="247">
        <f t="shared" si="12"/>
        <v>1.0600006382284661E-2</v>
      </c>
      <c r="Z22" s="247">
        <f t="shared" si="12"/>
        <v>1.5759831488449217E-2</v>
      </c>
      <c r="AA22" s="247">
        <f t="shared" si="12"/>
        <v>1.1519328208829773E-2</v>
      </c>
      <c r="AB22" s="247">
        <f t="shared" si="12"/>
        <v>1.071743479291023E-2</v>
      </c>
      <c r="AC22" s="247">
        <f t="shared" si="12"/>
        <v>7.6704327457987834E-3</v>
      </c>
      <c r="AD22" s="247">
        <f t="shared" si="12"/>
        <v>1.0988009603117639E-2</v>
      </c>
      <c r="AE22" s="247">
        <f t="shared" si="12"/>
        <v>8.5627890896925862E-3</v>
      </c>
      <c r="AF22" s="247">
        <f t="shared" si="12"/>
        <v>7.5795991343058141E-3</v>
      </c>
      <c r="AG22" s="247">
        <f t="shared" si="12"/>
        <v>6.1637921774238833E-3</v>
      </c>
      <c r="AH22" s="247">
        <f t="shared" si="12"/>
        <v>1.1753742198846629E-2</v>
      </c>
      <c r="AI22" s="247">
        <f t="shared" si="12"/>
        <v>1.0687695856004611E-2</v>
      </c>
      <c r="AJ22" s="247">
        <f t="shared" si="12"/>
        <v>7.5177824520528602E-3</v>
      </c>
      <c r="AK22" s="247">
        <f t="shared" ref="AK22" si="18">AK13/AK$14</f>
        <v>8.6176422902438411E-3</v>
      </c>
    </row>
    <row r="23" spans="2:37" s="238" customFormat="1">
      <c r="B23" s="80" t="s">
        <v>276</v>
      </c>
      <c r="C23" s="248">
        <f>SUM(C18:C22)</f>
        <v>1</v>
      </c>
      <c r="D23" s="248">
        <f t="shared" ref="D23:AJ23" si="19">SUM(D18:D22)</f>
        <v>1.0000000000000002</v>
      </c>
      <c r="E23" s="248">
        <f t="shared" si="19"/>
        <v>1</v>
      </c>
      <c r="F23" s="248">
        <f t="shared" si="19"/>
        <v>1.0000000000000002</v>
      </c>
      <c r="G23" s="248">
        <f t="shared" si="19"/>
        <v>0.99999999999999989</v>
      </c>
      <c r="H23" s="248">
        <f t="shared" si="19"/>
        <v>1.0000000000000002</v>
      </c>
      <c r="I23" s="248">
        <f t="shared" si="19"/>
        <v>1</v>
      </c>
      <c r="J23" s="248">
        <f t="shared" si="19"/>
        <v>0.99999999999999989</v>
      </c>
      <c r="K23" s="248">
        <f t="shared" si="19"/>
        <v>1</v>
      </c>
      <c r="L23" s="240"/>
      <c r="M23" s="248">
        <f t="shared" si="19"/>
        <v>0.99999999999999989</v>
      </c>
      <c r="N23" s="248">
        <f t="shared" si="19"/>
        <v>1</v>
      </c>
      <c r="O23" s="248">
        <f t="shared" si="19"/>
        <v>0.99999999999999989</v>
      </c>
      <c r="P23" s="248">
        <f t="shared" si="19"/>
        <v>1</v>
      </c>
      <c r="Q23" s="248">
        <f t="shared" si="19"/>
        <v>1</v>
      </c>
      <c r="R23" s="248">
        <f t="shared" si="19"/>
        <v>1.0000000000000002</v>
      </c>
      <c r="S23" s="248">
        <f t="shared" si="19"/>
        <v>0.99999999999999989</v>
      </c>
      <c r="T23" s="248">
        <f t="shared" si="19"/>
        <v>1.0000000000000002</v>
      </c>
      <c r="U23" s="248">
        <f t="shared" si="19"/>
        <v>0.99999999999999989</v>
      </c>
      <c r="V23" s="248">
        <f t="shared" si="19"/>
        <v>1</v>
      </c>
      <c r="W23" s="248">
        <f t="shared" si="19"/>
        <v>1</v>
      </c>
      <c r="X23" s="248">
        <f t="shared" si="19"/>
        <v>0.99999999999999978</v>
      </c>
      <c r="Y23" s="248">
        <f t="shared" si="19"/>
        <v>1</v>
      </c>
      <c r="Z23" s="248">
        <f t="shared" si="19"/>
        <v>1.0000000000000002</v>
      </c>
      <c r="AA23" s="248">
        <f t="shared" si="19"/>
        <v>1</v>
      </c>
      <c r="AB23" s="248">
        <f t="shared" si="19"/>
        <v>1.0000000000000002</v>
      </c>
      <c r="AC23" s="248">
        <f t="shared" si="19"/>
        <v>1</v>
      </c>
      <c r="AD23" s="248">
        <f t="shared" si="19"/>
        <v>1</v>
      </c>
      <c r="AE23" s="248">
        <f t="shared" si="19"/>
        <v>1</v>
      </c>
      <c r="AF23" s="248">
        <f t="shared" si="19"/>
        <v>1</v>
      </c>
      <c r="AG23" s="248">
        <f t="shared" si="19"/>
        <v>0.99999999999999989</v>
      </c>
      <c r="AH23" s="248">
        <f t="shared" si="19"/>
        <v>1</v>
      </c>
      <c r="AI23" s="248">
        <f t="shared" si="19"/>
        <v>0.99999999999999989</v>
      </c>
      <c r="AJ23" s="248">
        <f t="shared" si="19"/>
        <v>1.0000000000000002</v>
      </c>
      <c r="AK23" s="248">
        <f t="shared" ref="AK23" si="20">SUM(AK18:AK22)</f>
        <v>1</v>
      </c>
    </row>
    <row r="24" spans="2:37" s="238" customFormat="1" ht="11.25">
      <c r="I24" s="239"/>
      <c r="J24" s="239"/>
      <c r="K24" s="239"/>
      <c r="L24" s="240"/>
      <c r="AC24" s="239"/>
      <c r="AD24" s="239"/>
      <c r="AE24" s="239"/>
      <c r="AF24" s="239"/>
      <c r="AG24" s="239"/>
      <c r="AH24" s="239"/>
      <c r="AI24" s="239"/>
      <c r="AJ24" s="239"/>
      <c r="AK24" s="239"/>
    </row>
    <row r="25" spans="2:37" s="238" customFormat="1">
      <c r="B25" s="80" t="s">
        <v>278</v>
      </c>
      <c r="I25" s="239"/>
      <c r="J25" s="239"/>
      <c r="K25" s="239"/>
      <c r="L25" s="240"/>
      <c r="AC25" s="239"/>
      <c r="AD25" s="239"/>
      <c r="AE25" s="239"/>
      <c r="AF25" s="239"/>
      <c r="AG25" s="239"/>
      <c r="AH25" s="239"/>
      <c r="AI25" s="239"/>
      <c r="AJ25" s="239"/>
      <c r="AK25" s="239"/>
    </row>
    <row r="26" spans="2:37" s="238" customFormat="1">
      <c r="B26" s="113" t="s">
        <v>271</v>
      </c>
      <c r="C26" s="249"/>
      <c r="D26" s="247">
        <f>D9/C9-1</f>
        <v>7.2886492669717251E-2</v>
      </c>
      <c r="E26" s="247">
        <f t="shared" ref="E26:J26" si="21">E9/D9-1</f>
        <v>0.24649673933546956</v>
      </c>
      <c r="F26" s="247">
        <f t="shared" si="21"/>
        <v>0.37241422681466507</v>
      </c>
      <c r="G26" s="247">
        <f t="shared" si="21"/>
        <v>-0.19941579730493586</v>
      </c>
      <c r="H26" s="247">
        <f t="shared" si="21"/>
        <v>-5.8342552930432556E-2</v>
      </c>
      <c r="I26" s="247">
        <f t="shared" si="21"/>
        <v>0.21781860050691826</v>
      </c>
      <c r="J26" s="247">
        <f t="shared" si="21"/>
        <v>-2.7740625878379777E-2</v>
      </c>
      <c r="K26" s="249"/>
      <c r="L26" s="240"/>
      <c r="M26" s="249"/>
      <c r="N26" s="249"/>
      <c r="O26" s="249"/>
      <c r="P26" s="249"/>
      <c r="Q26" s="247">
        <f>Q9/M9-1</f>
        <v>0.697986919781592</v>
      </c>
      <c r="R26" s="247">
        <f t="shared" ref="R26:AK31" si="22">R9/N9-1</f>
        <v>0.86827512305806587</v>
      </c>
      <c r="S26" s="247">
        <f t="shared" si="22"/>
        <v>4.6382317266444595E-3</v>
      </c>
      <c r="T26" s="247">
        <f t="shared" si="22"/>
        <v>0.18364429208786492</v>
      </c>
      <c r="U26" s="247">
        <f t="shared" si="22"/>
        <v>-0.11124848791486464</v>
      </c>
      <c r="V26" s="247">
        <f t="shared" si="22"/>
        <v>-0.28467004912575633</v>
      </c>
      <c r="W26" s="247">
        <f t="shared" si="22"/>
        <v>-0.11104444434965421</v>
      </c>
      <c r="X26" s="247">
        <f t="shared" si="22"/>
        <v>-0.27330183818323306</v>
      </c>
      <c r="Y26" s="247">
        <f t="shared" si="22"/>
        <v>-0.23551813137554045</v>
      </c>
      <c r="Z26" s="247">
        <f t="shared" si="22"/>
        <v>-0.13420625315471324</v>
      </c>
      <c r="AA26" s="247">
        <f t="shared" si="22"/>
        <v>-2.0353510267465902E-2</v>
      </c>
      <c r="AB26" s="247">
        <f t="shared" si="22"/>
        <v>0.20615167741487905</v>
      </c>
      <c r="AC26" s="247">
        <f t="shared" si="22"/>
        <v>0.3285718295625184</v>
      </c>
      <c r="AD26" s="247">
        <f t="shared" si="22"/>
        <v>0.27109752764147443</v>
      </c>
      <c r="AE26" s="247">
        <f t="shared" si="22"/>
        <v>0.13934090735835314</v>
      </c>
      <c r="AF26" s="247">
        <f t="shared" si="22"/>
        <v>0.16003420858774065</v>
      </c>
      <c r="AG26" s="247">
        <f t="shared" si="22"/>
        <v>8.8903321937115365E-2</v>
      </c>
      <c r="AH26" s="247">
        <f t="shared" si="22"/>
        <v>-2.1420208786578576E-2</v>
      </c>
      <c r="AI26" s="247">
        <f t="shared" si="22"/>
        <v>-3.1258679764556874E-2</v>
      </c>
      <c r="AJ26" s="247">
        <f t="shared" si="22"/>
        <v>-0.13587851281604713</v>
      </c>
      <c r="AK26" s="247">
        <f t="shared" si="22"/>
        <v>-0.1252396074350185</v>
      </c>
    </row>
    <row r="27" spans="2:37" s="238" customFormat="1">
      <c r="B27" s="113" t="s">
        <v>272</v>
      </c>
      <c r="C27" s="249"/>
      <c r="D27" s="247">
        <f t="shared" ref="D27:J31" si="23">D10/C10-1</f>
        <v>0.41698794882383794</v>
      </c>
      <c r="E27" s="247">
        <f t="shared" si="23"/>
        <v>8.572437784191389E-2</v>
      </c>
      <c r="F27" s="247">
        <f t="shared" si="23"/>
        <v>0.260636788778144</v>
      </c>
      <c r="G27" s="247">
        <f t="shared" si="23"/>
        <v>-6.1016875516157643E-2</v>
      </c>
      <c r="H27" s="247">
        <f t="shared" si="23"/>
        <v>3.920339397227357E-3</v>
      </c>
      <c r="I27" s="247">
        <f t="shared" si="23"/>
        <v>0.29954923184662641</v>
      </c>
      <c r="J27" s="247">
        <f t="shared" si="23"/>
        <v>0.18343492414789475</v>
      </c>
      <c r="K27" s="249"/>
      <c r="L27" s="240"/>
      <c r="M27" s="249"/>
      <c r="N27" s="249"/>
      <c r="O27" s="249"/>
      <c r="P27" s="249"/>
      <c r="Q27" s="247">
        <f t="shared" ref="Q27:Q31" si="24">Q10/M10-1</f>
        <v>0.40503502408464187</v>
      </c>
      <c r="R27" s="247">
        <f t="shared" si="22"/>
        <v>0.3593963443465189</v>
      </c>
      <c r="S27" s="247">
        <f t="shared" si="22"/>
        <v>0.15544636765970954</v>
      </c>
      <c r="T27" s="247">
        <f t="shared" si="22"/>
        <v>0.19056503081832576</v>
      </c>
      <c r="U27" s="247">
        <f t="shared" si="22"/>
        <v>6.7646326724264849E-2</v>
      </c>
      <c r="V27" s="247">
        <f t="shared" si="22"/>
        <v>-4.4518865073140956E-2</v>
      </c>
      <c r="W27" s="247">
        <f t="shared" si="22"/>
        <v>-8.9651734606344569E-2</v>
      </c>
      <c r="X27" s="247">
        <f t="shared" si="22"/>
        <v>-0.14438810559717363</v>
      </c>
      <c r="Y27" s="247">
        <f t="shared" si="22"/>
        <v>-0.13572555044300927</v>
      </c>
      <c r="Z27" s="247">
        <f t="shared" si="22"/>
        <v>0.12327409264306066</v>
      </c>
      <c r="AA27" s="247">
        <f t="shared" si="22"/>
        <v>8.4720017915226542E-2</v>
      </c>
      <c r="AB27" s="247">
        <f t="shared" si="22"/>
        <v>-5.1312325898538735E-2</v>
      </c>
      <c r="AC27" s="247">
        <f t="shared" si="22"/>
        <v>0.21027401923109146</v>
      </c>
      <c r="AD27" s="247">
        <f t="shared" si="22"/>
        <v>0.20250117440268567</v>
      </c>
      <c r="AE27" s="247">
        <f t="shared" si="22"/>
        <v>0.2626027672315645</v>
      </c>
      <c r="AF27" s="247">
        <f t="shared" si="22"/>
        <v>0.51709444577280239</v>
      </c>
      <c r="AG27" s="247">
        <f t="shared" si="22"/>
        <v>0.58731938353808699</v>
      </c>
      <c r="AH27" s="247">
        <f t="shared" si="22"/>
        <v>0.44662627100593033</v>
      </c>
      <c r="AI27" s="247">
        <f t="shared" si="22"/>
        <v>5.5550685801428967E-2</v>
      </c>
      <c r="AJ27" s="247">
        <f t="shared" si="22"/>
        <v>-0.20316542573009921</v>
      </c>
      <c r="AK27" s="247">
        <f t="shared" si="22"/>
        <v>-0.23680452666256724</v>
      </c>
    </row>
    <row r="28" spans="2:37" s="238" customFormat="1">
      <c r="B28" s="113" t="s">
        <v>273</v>
      </c>
      <c r="C28" s="249"/>
      <c r="D28" s="247">
        <f t="shared" si="23"/>
        <v>0.24355218413545909</v>
      </c>
      <c r="E28" s="247">
        <f t="shared" si="23"/>
        <v>0.19724831236884555</v>
      </c>
      <c r="F28" s="247">
        <f t="shared" si="23"/>
        <v>0.18759842283517125</v>
      </c>
      <c r="G28" s="247">
        <f t="shared" si="23"/>
        <v>3.8886294815076994E-3</v>
      </c>
      <c r="H28" s="247">
        <f t="shared" si="23"/>
        <v>6.3063733614712625E-2</v>
      </c>
      <c r="I28" s="247">
        <f t="shared" si="23"/>
        <v>0.13311965457112018</v>
      </c>
      <c r="J28" s="247">
        <f t="shared" si="23"/>
        <v>9.7461732824472014E-2</v>
      </c>
      <c r="K28" s="249"/>
      <c r="L28" s="240"/>
      <c r="M28" s="249"/>
      <c r="N28" s="249"/>
      <c r="O28" s="249"/>
      <c r="P28" s="249"/>
      <c r="Q28" s="247">
        <f t="shared" si="24"/>
        <v>0.1135716871365684</v>
      </c>
      <c r="R28" s="247">
        <f t="shared" si="22"/>
        <v>0.19057857638463949</v>
      </c>
      <c r="S28" s="247">
        <f t="shared" si="22"/>
        <v>0.27130922453477102</v>
      </c>
      <c r="T28" s="247">
        <f t="shared" si="22"/>
        <v>0.17723970450251825</v>
      </c>
      <c r="U28" s="247">
        <f t="shared" si="22"/>
        <v>8.2429695527883151E-2</v>
      </c>
      <c r="V28" s="247">
        <f t="shared" si="22"/>
        <v>-8.8670100620076298E-3</v>
      </c>
      <c r="W28" s="247">
        <f t="shared" si="22"/>
        <v>-3.6968013958298629E-2</v>
      </c>
      <c r="X28" s="247">
        <f t="shared" si="22"/>
        <v>-1.3521612832271712E-2</v>
      </c>
      <c r="Y28" s="247">
        <f t="shared" si="22"/>
        <v>-1.1857043976637671E-2</v>
      </c>
      <c r="Z28" s="247">
        <f t="shared" si="22"/>
        <v>6.7845329323648285E-2</v>
      </c>
      <c r="AA28" s="247">
        <f t="shared" si="22"/>
        <v>9.7492977872923436E-2</v>
      </c>
      <c r="AB28" s="247">
        <f t="shared" si="22"/>
        <v>9.8795593683724148E-2</v>
      </c>
      <c r="AC28" s="247">
        <f t="shared" si="22"/>
        <v>0.14516413143263351</v>
      </c>
      <c r="AD28" s="247">
        <f t="shared" si="22"/>
        <v>0.11035898463732052</v>
      </c>
      <c r="AE28" s="247">
        <f t="shared" si="22"/>
        <v>9.1195912492937348E-2</v>
      </c>
      <c r="AF28" s="247">
        <f t="shared" si="22"/>
        <v>0.18514204594847605</v>
      </c>
      <c r="AG28" s="247">
        <f t="shared" si="22"/>
        <v>0.12769198483720268</v>
      </c>
      <c r="AH28" s="247">
        <f t="shared" si="22"/>
        <v>0.10067593399148267</v>
      </c>
      <c r="AI28" s="247">
        <f t="shared" si="22"/>
        <v>0.10843411648168266</v>
      </c>
      <c r="AJ28" s="247">
        <f t="shared" si="22"/>
        <v>5.8619858844089157E-2</v>
      </c>
      <c r="AK28" s="247">
        <f t="shared" si="22"/>
        <v>4.3217806067960662E-2</v>
      </c>
    </row>
    <row r="29" spans="2:37" s="238" customFormat="1">
      <c r="B29" s="113" t="s">
        <v>274</v>
      </c>
      <c r="C29" s="249"/>
      <c r="D29" s="247" t="e">
        <f t="shared" si="23"/>
        <v>#DIV/0!</v>
      </c>
      <c r="E29" s="247" t="e">
        <f t="shared" si="23"/>
        <v>#DIV/0!</v>
      </c>
      <c r="F29" s="247" t="e">
        <f t="shared" si="23"/>
        <v>#DIV/0!</v>
      </c>
      <c r="G29" s="247" t="e">
        <f t="shared" si="23"/>
        <v>#DIV/0!</v>
      </c>
      <c r="H29" s="247" t="e">
        <f t="shared" si="23"/>
        <v>#DIV/0!</v>
      </c>
      <c r="I29" s="247" t="e">
        <f t="shared" si="23"/>
        <v>#DIV/0!</v>
      </c>
      <c r="J29" s="247">
        <f t="shared" si="23"/>
        <v>2.2384077780763034</v>
      </c>
      <c r="K29" s="249"/>
      <c r="L29" s="240"/>
      <c r="M29" s="249"/>
      <c r="N29" s="249"/>
      <c r="O29" s="249"/>
      <c r="P29" s="249"/>
      <c r="Q29" s="247" t="e">
        <f t="shared" si="24"/>
        <v>#DIV/0!</v>
      </c>
      <c r="R29" s="247" t="e">
        <f t="shared" si="22"/>
        <v>#DIV/0!</v>
      </c>
      <c r="S29" s="247" t="e">
        <f t="shared" si="22"/>
        <v>#DIV/0!</v>
      </c>
      <c r="T29" s="247" t="e">
        <f t="shared" si="22"/>
        <v>#DIV/0!</v>
      </c>
      <c r="U29" s="247" t="e">
        <f t="shared" si="22"/>
        <v>#DIV/0!</v>
      </c>
      <c r="V29" s="247" t="e">
        <f t="shared" si="22"/>
        <v>#DIV/0!</v>
      </c>
      <c r="W29" s="247" t="e">
        <f t="shared" si="22"/>
        <v>#DIV/0!</v>
      </c>
      <c r="X29" s="247" t="e">
        <f t="shared" si="22"/>
        <v>#DIV/0!</v>
      </c>
      <c r="Y29" s="247" t="e">
        <f t="shared" si="22"/>
        <v>#DIV/0!</v>
      </c>
      <c r="Z29" s="247" t="e">
        <f t="shared" si="22"/>
        <v>#DIV/0!</v>
      </c>
      <c r="AA29" s="247" t="e">
        <f t="shared" si="22"/>
        <v>#DIV/0!</v>
      </c>
      <c r="AB29" s="247" t="e">
        <f t="shared" si="22"/>
        <v>#DIV/0!</v>
      </c>
      <c r="AC29" s="247" t="e">
        <f t="shared" si="22"/>
        <v>#DIV/0!</v>
      </c>
      <c r="AD29" s="247" t="e">
        <f t="shared" si="22"/>
        <v>#DIV/0!</v>
      </c>
      <c r="AE29" s="247" t="e">
        <f t="shared" si="22"/>
        <v>#DIV/0!</v>
      </c>
      <c r="AF29" s="247" t="e">
        <f t="shared" si="22"/>
        <v>#DIV/0!</v>
      </c>
      <c r="AG29" s="247">
        <f t="shared" si="22"/>
        <v>712.73943607867238</v>
      </c>
      <c r="AH29" s="247">
        <f t="shared" si="22"/>
        <v>2.3386609722396683</v>
      </c>
      <c r="AI29" s="247">
        <f t="shared" si="22"/>
        <v>1.9916146358295141</v>
      </c>
      <c r="AJ29" s="247">
        <f t="shared" si="22"/>
        <v>1.2336402300038527</v>
      </c>
      <c r="AK29" s="247">
        <f t="shared" si="22"/>
        <v>6.9125269475645235E-2</v>
      </c>
    </row>
    <row r="30" spans="2:37" s="238" customFormat="1">
      <c r="B30" s="62" t="s">
        <v>275</v>
      </c>
      <c r="C30" s="249"/>
      <c r="D30" s="247">
        <f t="shared" si="23"/>
        <v>0.35127618434733909</v>
      </c>
      <c r="E30" s="247">
        <f t="shared" si="23"/>
        <v>0.38296720680756113</v>
      </c>
      <c r="F30" s="247">
        <f t="shared" si="23"/>
        <v>1.4903766594234207</v>
      </c>
      <c r="G30" s="247">
        <f t="shared" si="23"/>
        <v>-0.24611990496713942</v>
      </c>
      <c r="H30" s="247">
        <f t="shared" si="23"/>
        <v>-0.30079876565592156</v>
      </c>
      <c r="I30" s="247">
        <f t="shared" si="23"/>
        <v>-3.6252125333981033E-2</v>
      </c>
      <c r="J30" s="247">
        <f t="shared" si="23"/>
        <v>0.30327641610484535</v>
      </c>
      <c r="K30" s="249"/>
      <c r="L30" s="240"/>
      <c r="M30" s="249"/>
      <c r="N30" s="249"/>
      <c r="O30" s="249"/>
      <c r="P30" s="249"/>
      <c r="Q30" s="247">
        <f t="shared" si="24"/>
        <v>0.17161042757948608</v>
      </c>
      <c r="R30" s="247">
        <f t="shared" si="22"/>
        <v>0.24280876592328005</v>
      </c>
      <c r="S30" s="247">
        <f t="shared" si="22"/>
        <v>1.942057678742851</v>
      </c>
      <c r="T30" s="247">
        <f t="shared" si="22"/>
        <v>3.6329562377705509</v>
      </c>
      <c r="U30" s="247">
        <f t="shared" si="22"/>
        <v>0.73113080848777856</v>
      </c>
      <c r="V30" s="247">
        <f t="shared" si="22"/>
        <v>0.20199889034005603</v>
      </c>
      <c r="W30" s="247">
        <f t="shared" si="22"/>
        <v>-6.6030748650171667E-2</v>
      </c>
      <c r="X30" s="247">
        <f t="shared" si="22"/>
        <v>-0.72730951713421454</v>
      </c>
      <c r="Y30" s="247">
        <f t="shared" si="22"/>
        <v>-0.36889511749543291</v>
      </c>
      <c r="Z30" s="247">
        <f t="shared" si="22"/>
        <v>-5.2266743330389942E-2</v>
      </c>
      <c r="AA30" s="247">
        <f t="shared" si="22"/>
        <v>-0.55490516358538933</v>
      </c>
      <c r="AB30" s="247">
        <f t="shared" si="22"/>
        <v>3.7365750902923267E-2</v>
      </c>
      <c r="AC30" s="247">
        <f t="shared" si="22"/>
        <v>-8.135038337208822E-2</v>
      </c>
      <c r="AD30" s="247">
        <f t="shared" si="22"/>
        <v>-7.9888686031679534E-2</v>
      </c>
      <c r="AE30" s="247">
        <f t="shared" si="22"/>
        <v>-3.0051821085010033E-2</v>
      </c>
      <c r="AF30" s="247">
        <f t="shared" si="22"/>
        <v>5.252591135615492E-2</v>
      </c>
      <c r="AG30" s="247">
        <f t="shared" si="22"/>
        <v>0.1844346219590105</v>
      </c>
      <c r="AH30" s="247">
        <f t="shared" si="22"/>
        <v>0.39543155523702245</v>
      </c>
      <c r="AI30" s="247">
        <f t="shared" si="22"/>
        <v>0.52629545747203044</v>
      </c>
      <c r="AJ30" s="247">
        <f t="shared" si="22"/>
        <v>6.3829555467334931E-2</v>
      </c>
      <c r="AK30" s="247">
        <f t="shared" si="22"/>
        <v>0.24545291542575742</v>
      </c>
    </row>
    <row r="31" spans="2:37" s="238" customFormat="1">
      <c r="B31" s="80" t="s">
        <v>276</v>
      </c>
      <c r="C31" s="249"/>
      <c r="D31" s="248">
        <f t="shared" si="23"/>
        <v>0.17678976568247196</v>
      </c>
      <c r="E31" s="248">
        <f t="shared" si="23"/>
        <v>0.19445786676772459</v>
      </c>
      <c r="F31" s="248">
        <f t="shared" si="23"/>
        <v>0.33531938154203123</v>
      </c>
      <c r="G31" s="248">
        <f t="shared" si="23"/>
        <v>-0.1470112232176779</v>
      </c>
      <c r="H31" s="248">
        <f t="shared" si="23"/>
        <v>-3.2401749302152671E-2</v>
      </c>
      <c r="I31" s="248">
        <f t="shared" si="23"/>
        <v>0.35035710582090052</v>
      </c>
      <c r="J31" s="248">
        <f t="shared" si="23"/>
        <v>0.24973678241211439</v>
      </c>
      <c r="K31" s="249"/>
      <c r="L31" s="240"/>
      <c r="M31" s="249"/>
      <c r="N31" s="249"/>
      <c r="O31" s="249"/>
      <c r="P31" s="249"/>
      <c r="Q31" s="248">
        <f t="shared" si="24"/>
        <v>0.54685736338216384</v>
      </c>
      <c r="R31" s="248">
        <f t="shared" si="22"/>
        <v>0.63975643005909544</v>
      </c>
      <c r="S31" s="248">
        <f t="shared" si="22"/>
        <v>8.1760683904944731E-2</v>
      </c>
      <c r="T31" s="248">
        <f t="shared" si="22"/>
        <v>0.2144715365326233</v>
      </c>
      <c r="U31" s="248">
        <f t="shared" si="22"/>
        <v>-4.592301858104586E-2</v>
      </c>
      <c r="V31" s="248">
        <f t="shared" si="22"/>
        <v>-0.20068677200413343</v>
      </c>
      <c r="W31" s="248">
        <f t="shared" si="22"/>
        <v>-9.7211228054623566E-2</v>
      </c>
      <c r="X31" s="248">
        <f t="shared" si="22"/>
        <v>-0.22819469344418564</v>
      </c>
      <c r="Y31" s="248">
        <f t="shared" si="22"/>
        <v>-0.18914906473217152</v>
      </c>
      <c r="Z31" s="248">
        <f t="shared" si="22"/>
        <v>-4.0130166821201518E-2</v>
      </c>
      <c r="AA31" s="248">
        <f t="shared" si="22"/>
        <v>5.9616510530957623E-3</v>
      </c>
      <c r="AB31" s="248">
        <f t="shared" si="22"/>
        <v>0.10895631753259227</v>
      </c>
      <c r="AC31" s="248">
        <f t="shared" si="22"/>
        <v>0.26951009441712515</v>
      </c>
      <c r="AD31" s="248">
        <f t="shared" si="22"/>
        <v>0.31969299104380045</v>
      </c>
      <c r="AE31" s="248">
        <f t="shared" si="22"/>
        <v>0.30484954159715749</v>
      </c>
      <c r="AF31" s="248">
        <f t="shared" si="22"/>
        <v>0.48825519963875097</v>
      </c>
      <c r="AG31" s="248">
        <f t="shared" si="22"/>
        <v>0.47395075109901996</v>
      </c>
      <c r="AH31" s="248">
        <f t="shared" si="22"/>
        <v>0.30452200414455066</v>
      </c>
      <c r="AI31" s="248">
        <f t="shared" si="22"/>
        <v>0.2228403827141261</v>
      </c>
      <c r="AJ31" s="248">
        <f t="shared" si="22"/>
        <v>7.2577136821417199E-2</v>
      </c>
      <c r="AK31" s="248">
        <f t="shared" si="22"/>
        <v>-0.10918640169806393</v>
      </c>
    </row>
    <row r="32" spans="2:37" s="238" customFormat="1" ht="11.25">
      <c r="I32" s="239"/>
      <c r="J32" s="239"/>
      <c r="K32" s="239"/>
      <c r="L32" s="240"/>
      <c r="AC32" s="239"/>
      <c r="AD32" s="239"/>
      <c r="AE32" s="239"/>
      <c r="AF32" s="239"/>
      <c r="AG32" s="239"/>
      <c r="AH32" s="239"/>
      <c r="AI32" s="239"/>
      <c r="AJ32" s="239"/>
      <c r="AK32" s="239"/>
    </row>
    <row r="33" spans="2:38" s="238" customFormat="1" ht="11.25">
      <c r="I33" s="239"/>
      <c r="J33" s="239"/>
      <c r="K33" s="239"/>
      <c r="L33" s="240"/>
      <c r="AC33" s="239"/>
      <c r="AD33" s="239"/>
      <c r="AE33" s="239"/>
      <c r="AF33" s="239"/>
      <c r="AG33" s="239"/>
      <c r="AH33" s="239"/>
      <c r="AI33" s="239"/>
      <c r="AJ33" s="239"/>
      <c r="AK33" s="239"/>
    </row>
    <row r="34" spans="2:38">
      <c r="K34" s="173"/>
      <c r="L34" s="240"/>
      <c r="X34" s="180"/>
      <c r="AB34" s="180"/>
      <c r="AF34" s="180"/>
      <c r="AJ34" s="180"/>
    </row>
    <row r="35" spans="2:38">
      <c r="B35" s="241" t="s">
        <v>279</v>
      </c>
      <c r="C35" s="250"/>
      <c r="D35" s="250"/>
      <c r="E35" s="250"/>
      <c r="F35" s="250"/>
      <c r="G35" s="250"/>
      <c r="H35" s="250"/>
      <c r="I35" s="250"/>
      <c r="J35" s="250"/>
      <c r="K35" s="251"/>
      <c r="L35" s="240"/>
      <c r="M35" s="250"/>
      <c r="N35" s="250"/>
      <c r="O35" s="250"/>
      <c r="P35" s="250"/>
      <c r="Q35" s="250"/>
      <c r="R35" s="250"/>
      <c r="S35" s="250"/>
      <c r="T35" s="252"/>
      <c r="U35" s="250"/>
      <c r="V35" s="250"/>
      <c r="W35" s="250"/>
      <c r="X35" s="252"/>
      <c r="Y35" s="250"/>
      <c r="Z35" s="250"/>
      <c r="AA35" s="250"/>
      <c r="AB35" s="252"/>
      <c r="AC35" s="250"/>
      <c r="AD35" s="250"/>
      <c r="AE35" s="250"/>
      <c r="AF35" s="252"/>
      <c r="AG35" s="250"/>
      <c r="AH35" s="250"/>
      <c r="AI35" s="250"/>
      <c r="AJ35" s="252"/>
      <c r="AK35" s="250"/>
    </row>
    <row r="36" spans="2:38">
      <c r="B36" s="74" t="s">
        <v>280</v>
      </c>
      <c r="C36" s="105">
        <v>104944.803</v>
      </c>
      <c r="D36" s="105">
        <v>114608.633</v>
      </c>
      <c r="E36" s="105">
        <v>123484.251</v>
      </c>
      <c r="F36" s="105">
        <v>164717.704</v>
      </c>
      <c r="G36" s="105">
        <v>142258.41699999999</v>
      </c>
      <c r="H36" s="105">
        <v>149189.72</v>
      </c>
      <c r="I36" s="105">
        <v>212562.44899999999</v>
      </c>
      <c r="J36" s="105">
        <v>306223.141</v>
      </c>
      <c r="K36" s="171">
        <f>SUM(AH36:AK36)</f>
        <v>292725.42100000003</v>
      </c>
      <c r="L36" s="240"/>
      <c r="M36" s="105">
        <v>24870.044000000002</v>
      </c>
      <c r="N36" s="105">
        <v>29509.195</v>
      </c>
      <c r="O36" s="105">
        <v>32393.886999999999</v>
      </c>
      <c r="P36" s="103">
        <f>E36-SUM(M36:O36)</f>
        <v>36711.125</v>
      </c>
      <c r="Q36" s="105">
        <v>39473.714</v>
      </c>
      <c r="R36" s="105">
        <v>44150.040999999997</v>
      </c>
      <c r="S36" s="105">
        <v>37161.472000000002</v>
      </c>
      <c r="T36" s="178">
        <f>F36-SUM(Q36:S36)</f>
        <v>43932.476999999984</v>
      </c>
      <c r="U36" s="105">
        <v>35889.644999999997</v>
      </c>
      <c r="V36" s="105">
        <v>36201.978999999999</v>
      </c>
      <c r="W36" s="105">
        <v>34904.226999999999</v>
      </c>
      <c r="X36" s="178">
        <f>G36-SUM(U36:W36)</f>
        <v>35262.565999999992</v>
      </c>
      <c r="Y36" s="105">
        <v>32491.984</v>
      </c>
      <c r="Z36" s="105">
        <v>39585.96</v>
      </c>
      <c r="AA36" s="105">
        <v>36213.944000000003</v>
      </c>
      <c r="AB36" s="178">
        <f>H36-SUM(Y36:AA36)</f>
        <v>40897.831999999995</v>
      </c>
      <c r="AC36" s="105">
        <v>37634.072999999997</v>
      </c>
      <c r="AD36" s="105">
        <v>50812.667999999998</v>
      </c>
      <c r="AE36" s="105">
        <v>52347.841999999997</v>
      </c>
      <c r="AF36" s="178">
        <f t="shared" ref="AF36:AF37" si="25">I36-SUM(AC36:AE36)</f>
        <v>71767.866000000009</v>
      </c>
      <c r="AG36" s="105">
        <v>73068.671000000002</v>
      </c>
      <c r="AH36" s="105">
        <v>79265.167000000001</v>
      </c>
      <c r="AI36" s="105">
        <v>73058.358999999997</v>
      </c>
      <c r="AJ36" s="178">
        <f t="shared" ref="AJ36:AJ37" si="26">J36-SUM(AG36:AI36)</f>
        <v>80830.944000000018</v>
      </c>
      <c r="AK36" s="105">
        <v>59570.951000000001</v>
      </c>
    </row>
    <row r="37" spans="2:38">
      <c r="B37" s="74" t="s">
        <v>281</v>
      </c>
      <c r="C37" s="105">
        <v>69970.622000000003</v>
      </c>
      <c r="D37" s="105">
        <v>91230.048999999999</v>
      </c>
      <c r="E37" s="105">
        <v>122381.382</v>
      </c>
      <c r="F37" s="105">
        <v>163591.44099999999</v>
      </c>
      <c r="G37" s="105">
        <v>137785.59899999999</v>
      </c>
      <c r="H37" s="105">
        <v>121780.421</v>
      </c>
      <c r="I37" s="105">
        <v>153343.90100000001</v>
      </c>
      <c r="J37" s="105">
        <v>151063.546</v>
      </c>
      <c r="K37" s="171">
        <f>SUM(AH37:AK37)</f>
        <v>152409.54700000002</v>
      </c>
      <c r="L37" s="240"/>
      <c r="M37" s="105">
        <v>24832.123</v>
      </c>
      <c r="N37" s="105">
        <v>24028.61</v>
      </c>
      <c r="O37" s="105">
        <v>39768.89</v>
      </c>
      <c r="P37" s="103">
        <f>E37-SUM(M37:O37)</f>
        <v>33751.759000000005</v>
      </c>
      <c r="Q37" s="105">
        <v>37408.449000000001</v>
      </c>
      <c r="R37" s="105">
        <v>43638.919000000002</v>
      </c>
      <c r="S37" s="105">
        <v>40901.383000000002</v>
      </c>
      <c r="T37" s="178">
        <f>F37-SUM(Q37:S37)</f>
        <v>41642.689999999988</v>
      </c>
      <c r="U37" s="105">
        <v>37461.857000000004</v>
      </c>
      <c r="V37" s="105">
        <v>33968.898000000001</v>
      </c>
      <c r="W37" s="105">
        <v>35570.042000000001</v>
      </c>
      <c r="X37" s="178">
        <f>G37-SUM(U37:W37)</f>
        <v>30784.801999999981</v>
      </c>
      <c r="Y37" s="105">
        <v>26985.15</v>
      </c>
      <c r="Z37" s="105">
        <v>27768.948</v>
      </c>
      <c r="AA37" s="105">
        <v>34680.468000000001</v>
      </c>
      <c r="AB37" s="178">
        <f>H37-SUM(Y37:AA37)</f>
        <v>32345.85500000001</v>
      </c>
      <c r="AC37" s="105">
        <v>37872.749000000003</v>
      </c>
      <c r="AD37" s="105">
        <v>38075.160000000003</v>
      </c>
      <c r="AE37" s="105">
        <v>40158.699000000001</v>
      </c>
      <c r="AF37" s="178">
        <f t="shared" si="25"/>
        <v>37237.293000000005</v>
      </c>
      <c r="AG37" s="105">
        <v>38224.665999999997</v>
      </c>
      <c r="AH37" s="105">
        <v>36690.923999999999</v>
      </c>
      <c r="AI37" s="105">
        <v>40062.375</v>
      </c>
      <c r="AJ37" s="178">
        <f t="shared" si="26"/>
        <v>36085.581000000006</v>
      </c>
      <c r="AK37" s="105">
        <v>39570.667000000001</v>
      </c>
    </row>
    <row r="38" spans="2:38" s="75" customFormat="1">
      <c r="B38" s="80" t="s">
        <v>276</v>
      </c>
      <c r="C38" s="79">
        <f t="shared" ref="C38:G38" si="27">SUM(C36:C37)</f>
        <v>174915.42499999999</v>
      </c>
      <c r="D38" s="79">
        <f t="shared" si="27"/>
        <v>205838.682</v>
      </c>
      <c r="E38" s="79">
        <f t="shared" si="27"/>
        <v>245865.633</v>
      </c>
      <c r="F38" s="79">
        <f t="shared" si="27"/>
        <v>328309.14500000002</v>
      </c>
      <c r="G38" s="79">
        <f t="shared" si="27"/>
        <v>280044.01599999995</v>
      </c>
      <c r="H38" s="79">
        <f t="shared" ref="H38:I38" si="28">SUM(H36:H37)</f>
        <v>270970.141</v>
      </c>
      <c r="I38" s="79">
        <f t="shared" si="28"/>
        <v>365906.35</v>
      </c>
      <c r="J38" s="79">
        <f t="shared" ref="J38" si="29">SUM(J36:J37)</f>
        <v>457286.68700000003</v>
      </c>
      <c r="K38" s="172">
        <f>SUM(K36:K37)</f>
        <v>445134.96800000005</v>
      </c>
      <c r="L38" s="240"/>
      <c r="M38" s="79">
        <f>SUM(M36:M37)</f>
        <v>49702.167000000001</v>
      </c>
      <c r="N38" s="79">
        <f>SUM(N36:N37)</f>
        <v>53537.805</v>
      </c>
      <c r="O38" s="79">
        <f>SUM(O36:O37)</f>
        <v>72162.777000000002</v>
      </c>
      <c r="P38" s="79">
        <f>SUM(P36:P37)</f>
        <v>70462.884000000005</v>
      </c>
      <c r="Q38" s="79">
        <f t="shared" ref="Q38:S38" si="30">SUM(Q36:Q37)</f>
        <v>76882.163</v>
      </c>
      <c r="R38" s="79">
        <f t="shared" si="30"/>
        <v>87788.959999999992</v>
      </c>
      <c r="S38" s="79">
        <f t="shared" si="30"/>
        <v>78062.85500000001</v>
      </c>
      <c r="T38" s="179">
        <f>SUM(T36:T37)</f>
        <v>85575.166999999972</v>
      </c>
      <c r="U38" s="79">
        <f t="shared" ref="U38:W38" si="31">SUM(U36:U37)</f>
        <v>73351.502000000008</v>
      </c>
      <c r="V38" s="79">
        <f t="shared" si="31"/>
        <v>70170.877000000008</v>
      </c>
      <c r="W38" s="79">
        <f t="shared" si="31"/>
        <v>70474.269</v>
      </c>
      <c r="X38" s="179">
        <f>SUM(X36:X37)</f>
        <v>66047.367999999973</v>
      </c>
      <c r="Y38" s="79">
        <f>SUM(Y36:Y37)</f>
        <v>59477.134000000005</v>
      </c>
      <c r="Z38" s="79">
        <f t="shared" ref="Z38:AA38" si="32">SUM(Z36:Z37)</f>
        <v>67354.907999999996</v>
      </c>
      <c r="AA38" s="79">
        <f t="shared" si="32"/>
        <v>70894.412000000011</v>
      </c>
      <c r="AB38" s="179">
        <f>SUM(AB36:AB37)</f>
        <v>73243.687000000005</v>
      </c>
      <c r="AC38" s="79">
        <f>SUM(AC36:AC37)</f>
        <v>75506.822</v>
      </c>
      <c r="AD38" s="79">
        <f>SUM(AD36:AD37)</f>
        <v>88887.828000000009</v>
      </c>
      <c r="AE38" s="79">
        <f t="shared" ref="AE38" si="33">SUM(AE36:AE37)</f>
        <v>92506.540999999997</v>
      </c>
      <c r="AF38" s="179">
        <f>SUM(AF36:AF37)</f>
        <v>109005.15900000001</v>
      </c>
      <c r="AG38" s="79">
        <f>SUM(AG36:AG37)</f>
        <v>111293.337</v>
      </c>
      <c r="AH38" s="79">
        <f>SUM(AH36:AH37)</f>
        <v>115956.091</v>
      </c>
      <c r="AI38" s="79">
        <f t="shared" ref="AI38" si="34">SUM(AI36:AI37)</f>
        <v>113120.734</v>
      </c>
      <c r="AJ38" s="179">
        <f>SUM(AJ36:AJ37)</f>
        <v>116916.52500000002</v>
      </c>
      <c r="AK38" s="79">
        <f>SUM(AK36:AK37)</f>
        <v>99141.618000000002</v>
      </c>
      <c r="AL38" s="74"/>
    </row>
    <row r="39" spans="2:38" s="174" customFormat="1">
      <c r="B39" s="238" t="s">
        <v>22</v>
      </c>
      <c r="C39" s="238">
        <f>C38-Model!C7</f>
        <v>0</v>
      </c>
      <c r="D39" s="238">
        <f>D38-Model!D7</f>
        <v>0</v>
      </c>
      <c r="E39" s="238">
        <f>E38-Model!E7</f>
        <v>0</v>
      </c>
      <c r="F39" s="238">
        <f>F38-Model!F7</f>
        <v>0</v>
      </c>
      <c r="G39" s="238">
        <f>G38-Model!G7</f>
        <v>0</v>
      </c>
      <c r="H39" s="238">
        <f>H38-Model!H7</f>
        <v>4.1000000026542693E-2</v>
      </c>
      <c r="I39" s="239">
        <f>I38-Model!I7</f>
        <v>0</v>
      </c>
      <c r="J39" s="239">
        <f>J38-Model!J7</f>
        <v>0</v>
      </c>
      <c r="K39" s="239">
        <f>K38-Model!K7</f>
        <v>0</v>
      </c>
      <c r="L39" s="240"/>
      <c r="M39" s="238">
        <f>M38-Model!M7</f>
        <v>0</v>
      </c>
      <c r="N39" s="238">
        <f>N38-Model!N7</f>
        <v>0</v>
      </c>
      <c r="O39" s="238">
        <f>O38-Model!O7</f>
        <v>0</v>
      </c>
      <c r="P39" s="238">
        <f>P38-Model!P7</f>
        <v>0</v>
      </c>
      <c r="Q39" s="238">
        <f>Q38-Model!Q7</f>
        <v>0</v>
      </c>
      <c r="R39" s="238">
        <f>R38-Model!R7</f>
        <v>0</v>
      </c>
      <c r="S39" s="238">
        <f>S38-Model!S7</f>
        <v>0</v>
      </c>
      <c r="T39" s="238">
        <f>T38-Model!T7</f>
        <v>0</v>
      </c>
      <c r="U39" s="238">
        <f>U38-Model!U7</f>
        <v>0</v>
      </c>
      <c r="V39" s="238">
        <f>V38-Model!V7</f>
        <v>0</v>
      </c>
      <c r="W39" s="238">
        <f>W38-Model!W7</f>
        <v>0</v>
      </c>
      <c r="X39" s="238">
        <f>X38-Model!X7</f>
        <v>0</v>
      </c>
      <c r="Y39" s="238">
        <f>Y38-Model!Y7</f>
        <v>0</v>
      </c>
      <c r="Z39" s="238">
        <f>Z38-Model!Z7</f>
        <v>0</v>
      </c>
      <c r="AA39" s="238">
        <f>AA38-Model!AA7</f>
        <v>0</v>
      </c>
      <c r="AB39" s="238">
        <f>AB38-Model!AB7</f>
        <v>4.0999999997438863E-2</v>
      </c>
      <c r="AC39" s="239">
        <f>AC38-Model!AC7</f>
        <v>0</v>
      </c>
      <c r="AD39" s="239">
        <f>AD38-Model!AD7</f>
        <v>0</v>
      </c>
      <c r="AE39" s="239">
        <f>AE38-Model!AE7</f>
        <v>0</v>
      </c>
      <c r="AF39" s="239">
        <f>AF38-Model!AF7</f>
        <v>0</v>
      </c>
      <c r="AG39" s="239">
        <f>AG38-Model!AG7</f>
        <v>0</v>
      </c>
      <c r="AH39" s="239">
        <f>AH38-Model!AH7</f>
        <v>0</v>
      </c>
      <c r="AI39" s="239">
        <f>AI38-Model!AI7</f>
        <v>0</v>
      </c>
      <c r="AJ39" s="239">
        <f>AJ38-Model!AJ7</f>
        <v>0</v>
      </c>
      <c r="AK39" s="239">
        <f>AK38-Model!AK7</f>
        <v>0</v>
      </c>
    </row>
    <row r="40" spans="2:38" s="174" customFormat="1">
      <c r="B40" s="238"/>
      <c r="C40" s="238"/>
      <c r="D40" s="238"/>
      <c r="E40" s="238"/>
      <c r="F40" s="238"/>
      <c r="G40" s="238"/>
      <c r="H40" s="238"/>
      <c r="I40" s="239"/>
      <c r="J40" s="239"/>
      <c r="K40" s="239"/>
      <c r="L40" s="240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9"/>
      <c r="AD40" s="239"/>
      <c r="AE40" s="239"/>
      <c r="AF40" s="239"/>
      <c r="AG40" s="239"/>
      <c r="AH40" s="239"/>
      <c r="AI40" s="239"/>
      <c r="AJ40" s="239"/>
      <c r="AK40" s="239"/>
    </row>
    <row r="41" spans="2:38" s="174" customFormat="1">
      <c r="B41" s="253" t="s">
        <v>282</v>
      </c>
      <c r="C41" s="238"/>
      <c r="D41" s="238"/>
      <c r="E41" s="238"/>
      <c r="F41" s="238"/>
      <c r="G41" s="238"/>
      <c r="H41" s="238"/>
      <c r="I41" s="239"/>
      <c r="J41" s="239"/>
      <c r="K41" s="239"/>
      <c r="L41" s="240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9"/>
      <c r="AD41" s="239"/>
      <c r="AE41" s="239"/>
      <c r="AF41" s="239"/>
      <c r="AG41" s="239"/>
      <c r="AH41" s="239"/>
      <c r="AI41" s="239"/>
      <c r="AJ41" s="239"/>
      <c r="AK41" s="239"/>
    </row>
    <row r="42" spans="2:38" s="174" customFormat="1">
      <c r="B42" s="74" t="s">
        <v>280</v>
      </c>
      <c r="C42" s="247">
        <f>C36/C$38</f>
        <v>0.59997454769926672</v>
      </c>
      <c r="D42" s="247">
        <f t="shared" ref="D42:AJ42" si="35">D36/D$38</f>
        <v>0.55678860691500154</v>
      </c>
      <c r="E42" s="247">
        <f t="shared" si="35"/>
        <v>0.50224282870798787</v>
      </c>
      <c r="F42" s="247">
        <f t="shared" si="35"/>
        <v>0.50171524768218079</v>
      </c>
      <c r="G42" s="247">
        <f t="shared" si="35"/>
        <v>0.50798591961343686</v>
      </c>
      <c r="H42" s="247">
        <f t="shared" si="35"/>
        <v>0.55057623489224228</v>
      </c>
      <c r="I42" s="247">
        <f t="shared" si="35"/>
        <v>0.58092036117984835</v>
      </c>
      <c r="J42" s="247">
        <f t="shared" si="35"/>
        <v>0.6696524296584212</v>
      </c>
      <c r="K42" s="247">
        <f t="shared" si="35"/>
        <v>0.65761048231106389</v>
      </c>
      <c r="L42" s="240"/>
      <c r="M42" s="247">
        <f t="shared" si="35"/>
        <v>0.50038148236071878</v>
      </c>
      <c r="N42" s="247">
        <f t="shared" si="35"/>
        <v>0.55118425195056087</v>
      </c>
      <c r="O42" s="247">
        <f t="shared" si="35"/>
        <v>0.44890022732911178</v>
      </c>
      <c r="P42" s="247">
        <f t="shared" si="35"/>
        <v>0.520999466896643</v>
      </c>
      <c r="Q42" s="247">
        <f t="shared" si="35"/>
        <v>0.51343136638858611</v>
      </c>
      <c r="R42" s="247">
        <f t="shared" si="35"/>
        <v>0.50291108358044112</v>
      </c>
      <c r="S42" s="247">
        <f t="shared" si="35"/>
        <v>0.47604551486106927</v>
      </c>
      <c r="T42" s="247">
        <f t="shared" si="35"/>
        <v>0.51337880532561508</v>
      </c>
      <c r="U42" s="247">
        <f t="shared" si="35"/>
        <v>0.48928302790582245</v>
      </c>
      <c r="V42" s="247">
        <f t="shared" si="35"/>
        <v>0.51591173643162525</v>
      </c>
      <c r="W42" s="247">
        <f t="shared" si="35"/>
        <v>0.49527618370897891</v>
      </c>
      <c r="X42" s="247">
        <f t="shared" si="35"/>
        <v>0.53389812596317243</v>
      </c>
      <c r="Y42" s="247">
        <f t="shared" si="35"/>
        <v>0.5462937067545991</v>
      </c>
      <c r="Z42" s="247">
        <f t="shared" si="35"/>
        <v>0.58772198159635225</v>
      </c>
      <c r="AA42" s="247">
        <f t="shared" si="35"/>
        <v>0.5108152106544025</v>
      </c>
      <c r="AB42" s="247">
        <f t="shared" si="35"/>
        <v>0.55838030108997638</v>
      </c>
      <c r="AC42" s="247">
        <f t="shared" si="35"/>
        <v>0.49841950704798565</v>
      </c>
      <c r="AD42" s="247">
        <f t="shared" si="35"/>
        <v>0.5716493376348446</v>
      </c>
      <c r="AE42" s="247">
        <f t="shared" si="35"/>
        <v>0.56588260066928675</v>
      </c>
      <c r="AF42" s="247">
        <f t="shared" si="35"/>
        <v>0.65838962722856076</v>
      </c>
      <c r="AG42" s="247">
        <f t="shared" si="35"/>
        <v>0.65654128961916203</v>
      </c>
      <c r="AH42" s="247">
        <f t="shared" si="35"/>
        <v>0.68357915756232246</v>
      </c>
      <c r="AI42" s="247">
        <f t="shared" si="35"/>
        <v>0.64584410316856677</v>
      </c>
      <c r="AJ42" s="247">
        <f t="shared" si="35"/>
        <v>0.69135602516410744</v>
      </c>
      <c r="AK42" s="247">
        <f t="shared" ref="AK42" si="36">AK36/AK$38</f>
        <v>0.60086724628601484</v>
      </c>
    </row>
    <row r="43" spans="2:38" s="174" customFormat="1">
      <c r="B43" s="74" t="s">
        <v>281</v>
      </c>
      <c r="C43" s="247">
        <f>C37/C$38</f>
        <v>0.40002545230073339</v>
      </c>
      <c r="D43" s="247">
        <f t="shared" ref="D43:AJ43" si="37">D37/D$38</f>
        <v>0.44321139308499846</v>
      </c>
      <c r="E43" s="247">
        <f t="shared" si="37"/>
        <v>0.49775717129201213</v>
      </c>
      <c r="F43" s="247">
        <f t="shared" si="37"/>
        <v>0.49828475231781916</v>
      </c>
      <c r="G43" s="247">
        <f t="shared" si="37"/>
        <v>0.4920140803865633</v>
      </c>
      <c r="H43" s="247">
        <f t="shared" si="37"/>
        <v>0.44942376510775778</v>
      </c>
      <c r="I43" s="247">
        <f t="shared" si="37"/>
        <v>0.4190796388201517</v>
      </c>
      <c r="J43" s="247">
        <f t="shared" si="37"/>
        <v>0.33034757034157874</v>
      </c>
      <c r="K43" s="247">
        <f t="shared" si="37"/>
        <v>0.34238951768893611</v>
      </c>
      <c r="L43" s="240"/>
      <c r="M43" s="247">
        <f t="shared" si="37"/>
        <v>0.49961851763928117</v>
      </c>
      <c r="N43" s="247">
        <f t="shared" si="37"/>
        <v>0.44881574804943908</v>
      </c>
      <c r="O43" s="247">
        <f t="shared" si="37"/>
        <v>0.55109977267088817</v>
      </c>
      <c r="P43" s="247">
        <f t="shared" si="37"/>
        <v>0.479000533103357</v>
      </c>
      <c r="Q43" s="247">
        <f t="shared" si="37"/>
        <v>0.48656863361141389</v>
      </c>
      <c r="R43" s="247">
        <f t="shared" si="37"/>
        <v>0.49708891641955899</v>
      </c>
      <c r="S43" s="247">
        <f t="shared" si="37"/>
        <v>0.52395448513893061</v>
      </c>
      <c r="T43" s="247">
        <f t="shared" si="37"/>
        <v>0.48662119467438492</v>
      </c>
      <c r="U43" s="247">
        <f t="shared" si="37"/>
        <v>0.51071697209417743</v>
      </c>
      <c r="V43" s="247">
        <f t="shared" si="37"/>
        <v>0.48408826356837464</v>
      </c>
      <c r="W43" s="247">
        <f t="shared" si="37"/>
        <v>0.50472381629102103</v>
      </c>
      <c r="X43" s="247">
        <f t="shared" si="37"/>
        <v>0.46610187403682751</v>
      </c>
      <c r="Y43" s="247">
        <f t="shared" si="37"/>
        <v>0.45370629324540079</v>
      </c>
      <c r="Z43" s="247">
        <f t="shared" si="37"/>
        <v>0.41227801840364775</v>
      </c>
      <c r="AA43" s="247">
        <f t="shared" si="37"/>
        <v>0.48918478934559745</v>
      </c>
      <c r="AB43" s="247">
        <f t="shared" si="37"/>
        <v>0.44161969891002356</v>
      </c>
      <c r="AC43" s="247">
        <f t="shared" si="37"/>
        <v>0.50158049295201435</v>
      </c>
      <c r="AD43" s="247">
        <f t="shared" si="37"/>
        <v>0.42835066236515534</v>
      </c>
      <c r="AE43" s="247">
        <f t="shared" si="37"/>
        <v>0.4341173993307133</v>
      </c>
      <c r="AF43" s="247">
        <f t="shared" si="37"/>
        <v>0.34161037277143919</v>
      </c>
      <c r="AG43" s="247">
        <f t="shared" si="37"/>
        <v>0.34345871038083797</v>
      </c>
      <c r="AH43" s="247">
        <f t="shared" si="37"/>
        <v>0.31642084243767754</v>
      </c>
      <c r="AI43" s="247">
        <f t="shared" si="37"/>
        <v>0.35415589683143323</v>
      </c>
      <c r="AJ43" s="247">
        <f t="shared" si="37"/>
        <v>0.30864397483589251</v>
      </c>
      <c r="AK43" s="247">
        <f t="shared" ref="AK43" si="38">AK37/AK$38</f>
        <v>0.39913275371398521</v>
      </c>
    </row>
    <row r="44" spans="2:38" s="174" customFormat="1">
      <c r="B44" s="80" t="s">
        <v>276</v>
      </c>
      <c r="C44" s="248">
        <f>SUM(C42:C43)</f>
        <v>1</v>
      </c>
      <c r="D44" s="248">
        <f t="shared" ref="D44:AJ44" si="39">SUM(D42:D43)</f>
        <v>1</v>
      </c>
      <c r="E44" s="248">
        <f t="shared" si="39"/>
        <v>1</v>
      </c>
      <c r="F44" s="248">
        <f t="shared" si="39"/>
        <v>1</v>
      </c>
      <c r="G44" s="248">
        <f t="shared" si="39"/>
        <v>1.0000000000000002</v>
      </c>
      <c r="H44" s="248">
        <f t="shared" si="39"/>
        <v>1</v>
      </c>
      <c r="I44" s="248">
        <f t="shared" si="39"/>
        <v>1</v>
      </c>
      <c r="J44" s="248">
        <f t="shared" si="39"/>
        <v>1</v>
      </c>
      <c r="K44" s="248">
        <f t="shared" si="39"/>
        <v>1</v>
      </c>
      <c r="L44" s="240"/>
      <c r="M44" s="248">
        <f t="shared" si="39"/>
        <v>1</v>
      </c>
      <c r="N44" s="248">
        <f t="shared" si="39"/>
        <v>1</v>
      </c>
      <c r="O44" s="248">
        <f t="shared" si="39"/>
        <v>1</v>
      </c>
      <c r="P44" s="248">
        <f t="shared" si="39"/>
        <v>1</v>
      </c>
      <c r="Q44" s="248">
        <f t="shared" si="39"/>
        <v>1</v>
      </c>
      <c r="R44" s="248">
        <f t="shared" si="39"/>
        <v>1</v>
      </c>
      <c r="S44" s="248">
        <f t="shared" si="39"/>
        <v>0.99999999999999989</v>
      </c>
      <c r="T44" s="248">
        <f t="shared" si="39"/>
        <v>1</v>
      </c>
      <c r="U44" s="248">
        <f t="shared" si="39"/>
        <v>0.99999999999999989</v>
      </c>
      <c r="V44" s="248">
        <f t="shared" si="39"/>
        <v>0.99999999999999989</v>
      </c>
      <c r="W44" s="248">
        <f t="shared" si="39"/>
        <v>1</v>
      </c>
      <c r="X44" s="248">
        <f t="shared" si="39"/>
        <v>1</v>
      </c>
      <c r="Y44" s="248">
        <f t="shared" si="39"/>
        <v>0.99999999999999989</v>
      </c>
      <c r="Z44" s="248">
        <f t="shared" si="39"/>
        <v>1</v>
      </c>
      <c r="AA44" s="248">
        <f t="shared" si="39"/>
        <v>1</v>
      </c>
      <c r="AB44" s="248">
        <f t="shared" si="39"/>
        <v>1</v>
      </c>
      <c r="AC44" s="248">
        <f t="shared" si="39"/>
        <v>1</v>
      </c>
      <c r="AD44" s="248">
        <f t="shared" si="39"/>
        <v>1</v>
      </c>
      <c r="AE44" s="248">
        <f t="shared" si="39"/>
        <v>1</v>
      </c>
      <c r="AF44" s="248">
        <f t="shared" si="39"/>
        <v>1</v>
      </c>
      <c r="AG44" s="248">
        <f t="shared" si="39"/>
        <v>1</v>
      </c>
      <c r="AH44" s="248">
        <f t="shared" si="39"/>
        <v>1</v>
      </c>
      <c r="AI44" s="248">
        <f t="shared" si="39"/>
        <v>1</v>
      </c>
      <c r="AJ44" s="248">
        <f t="shared" si="39"/>
        <v>1</v>
      </c>
      <c r="AK44" s="248">
        <f t="shared" ref="AK44" si="40">SUM(AK42:AK43)</f>
        <v>1</v>
      </c>
    </row>
    <row r="45" spans="2:38" s="174" customFormat="1">
      <c r="B45" s="238"/>
      <c r="C45" s="238"/>
      <c r="D45" s="238"/>
      <c r="E45" s="238"/>
      <c r="F45" s="238"/>
      <c r="G45" s="238"/>
      <c r="H45" s="238"/>
      <c r="I45" s="239"/>
      <c r="J45" s="239"/>
      <c r="K45" s="239"/>
      <c r="L45" s="240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9"/>
      <c r="AD45" s="239"/>
      <c r="AE45" s="239"/>
      <c r="AF45" s="239"/>
      <c r="AG45" s="239"/>
      <c r="AH45" s="239"/>
      <c r="AI45" s="239"/>
      <c r="AJ45" s="239"/>
      <c r="AK45" s="239"/>
    </row>
    <row r="46" spans="2:38" s="174" customFormat="1">
      <c r="B46" s="253" t="s">
        <v>283</v>
      </c>
      <c r="C46" s="238"/>
      <c r="D46" s="238"/>
      <c r="E46" s="238"/>
      <c r="F46" s="238"/>
      <c r="G46" s="238"/>
      <c r="H46" s="238"/>
      <c r="I46" s="239"/>
      <c r="J46" s="239"/>
      <c r="K46" s="239"/>
      <c r="L46" s="240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9"/>
      <c r="AD46" s="239"/>
      <c r="AE46" s="239"/>
      <c r="AF46" s="239"/>
      <c r="AG46" s="239"/>
      <c r="AH46" s="239"/>
      <c r="AI46" s="239"/>
      <c r="AJ46" s="239"/>
      <c r="AK46" s="239"/>
    </row>
    <row r="47" spans="2:38" s="174" customFormat="1">
      <c r="B47" s="74" t="s">
        <v>280</v>
      </c>
      <c r="C47" s="249"/>
      <c r="D47" s="247">
        <f>D36/C36-1</f>
        <v>9.2084883898443382E-2</v>
      </c>
      <c r="E47" s="247">
        <f t="shared" ref="E47:J47" si="41">E36/D36-1</f>
        <v>7.7442839755361259E-2</v>
      </c>
      <c r="F47" s="247">
        <f t="shared" si="41"/>
        <v>0.33391669517435063</v>
      </c>
      <c r="G47" s="247">
        <f t="shared" si="41"/>
        <v>-0.13635017034963048</v>
      </c>
      <c r="H47" s="247">
        <f t="shared" si="41"/>
        <v>4.8723324399146284E-2</v>
      </c>
      <c r="I47" s="247">
        <f t="shared" si="41"/>
        <v>0.4247794620165517</v>
      </c>
      <c r="J47" s="247">
        <f t="shared" si="41"/>
        <v>0.4406267073070842</v>
      </c>
      <c r="K47" s="249"/>
      <c r="L47" s="240"/>
      <c r="M47" s="249"/>
      <c r="N47" s="249"/>
      <c r="O47" s="249"/>
      <c r="P47" s="249"/>
      <c r="Q47" s="247">
        <f>Q36/M36-1</f>
        <v>0.58719920238178891</v>
      </c>
      <c r="R47" s="247">
        <f t="shared" ref="R47:AK49" si="42">R36/N36-1</f>
        <v>0.49614521846495641</v>
      </c>
      <c r="S47" s="247">
        <f t="shared" si="42"/>
        <v>0.14717545319584535</v>
      </c>
      <c r="T47" s="247">
        <f t="shared" si="42"/>
        <v>0.19670745584614968</v>
      </c>
      <c r="U47" s="247">
        <f t="shared" si="42"/>
        <v>-9.0796346145690876E-2</v>
      </c>
      <c r="V47" s="247">
        <f t="shared" si="42"/>
        <v>-0.18002388718053508</v>
      </c>
      <c r="W47" s="247">
        <f t="shared" si="42"/>
        <v>-6.0741538978865028E-2</v>
      </c>
      <c r="X47" s="247">
        <f t="shared" si="42"/>
        <v>-0.19734628211379923</v>
      </c>
      <c r="Y47" s="247">
        <f t="shared" si="42"/>
        <v>-9.46696742194022E-2</v>
      </c>
      <c r="Z47" s="247">
        <f t="shared" si="42"/>
        <v>9.3475027981205105E-2</v>
      </c>
      <c r="AA47" s="247">
        <f t="shared" si="42"/>
        <v>3.7523163025498407E-2</v>
      </c>
      <c r="AB47" s="247">
        <f t="shared" si="42"/>
        <v>0.15980873314778066</v>
      </c>
      <c r="AC47" s="247">
        <f t="shared" si="42"/>
        <v>0.15825715659591588</v>
      </c>
      <c r="AD47" s="247">
        <f t="shared" si="42"/>
        <v>0.28360327752566827</v>
      </c>
      <c r="AE47" s="247">
        <f t="shared" si="42"/>
        <v>0.44551618017634298</v>
      </c>
      <c r="AF47" s="247">
        <f t="shared" si="42"/>
        <v>0.75480856784780226</v>
      </c>
      <c r="AG47" s="247">
        <f t="shared" si="42"/>
        <v>0.94155628597521202</v>
      </c>
      <c r="AH47" s="247">
        <f t="shared" si="42"/>
        <v>0.55994892848373956</v>
      </c>
      <c r="AI47" s="247">
        <f t="shared" si="42"/>
        <v>0.39563267956681014</v>
      </c>
      <c r="AJ47" s="247">
        <f t="shared" si="42"/>
        <v>0.12628323099365968</v>
      </c>
      <c r="AK47" s="247">
        <f t="shared" si="42"/>
        <v>-0.18472650200521645</v>
      </c>
    </row>
    <row r="48" spans="2:38" s="174" customFormat="1">
      <c r="B48" s="74" t="s">
        <v>281</v>
      </c>
      <c r="C48" s="249"/>
      <c r="D48" s="247">
        <f t="shared" ref="D48:J49" si="43">D37/C37-1</f>
        <v>0.30383361462757885</v>
      </c>
      <c r="E48" s="247">
        <f t="shared" si="43"/>
        <v>0.34145912823087499</v>
      </c>
      <c r="F48" s="247">
        <f t="shared" si="43"/>
        <v>0.33673470855231891</v>
      </c>
      <c r="G48" s="247">
        <f t="shared" si="43"/>
        <v>-0.15774567325927524</v>
      </c>
      <c r="H48" s="247">
        <f t="shared" si="43"/>
        <v>-0.11616002046774121</v>
      </c>
      <c r="I48" s="247">
        <f t="shared" si="43"/>
        <v>0.25918353492964208</v>
      </c>
      <c r="J48" s="247">
        <f t="shared" si="43"/>
        <v>-1.4870855541884276E-2</v>
      </c>
      <c r="K48" s="249"/>
      <c r="L48" s="240"/>
      <c r="M48" s="249"/>
      <c r="N48" s="249"/>
      <c r="O48" s="249"/>
      <c r="P48" s="249"/>
      <c r="Q48" s="247">
        <f t="shared" ref="Q48:Q49" si="44">Q37/M37-1</f>
        <v>0.50645391857957534</v>
      </c>
      <c r="R48" s="247">
        <f t="shared" si="42"/>
        <v>0.81612332132403842</v>
      </c>
      <c r="S48" s="247">
        <f t="shared" si="42"/>
        <v>2.8476857161464642E-2</v>
      </c>
      <c r="T48" s="247">
        <f t="shared" si="42"/>
        <v>0.23379317800888488</v>
      </c>
      <c r="U48" s="247">
        <f t="shared" si="42"/>
        <v>1.4276988602228702E-3</v>
      </c>
      <c r="V48" s="247">
        <f t="shared" si="42"/>
        <v>-0.22159167141605873</v>
      </c>
      <c r="W48" s="247">
        <f t="shared" si="42"/>
        <v>-0.13034622814587959</v>
      </c>
      <c r="X48" s="247">
        <f t="shared" si="42"/>
        <v>-0.26073935185263031</v>
      </c>
      <c r="Y48" s="247">
        <f t="shared" si="42"/>
        <v>-0.27966331193886096</v>
      </c>
      <c r="Z48" s="247">
        <f t="shared" si="42"/>
        <v>-0.18251843200800921</v>
      </c>
      <c r="AA48" s="247">
        <f t="shared" si="42"/>
        <v>-2.5009079269571854E-2</v>
      </c>
      <c r="AB48" s="247">
        <f t="shared" si="42"/>
        <v>5.0708560672244385E-2</v>
      </c>
      <c r="AC48" s="247">
        <f t="shared" si="42"/>
        <v>0.40346631388004139</v>
      </c>
      <c r="AD48" s="247">
        <f t="shared" si="42"/>
        <v>0.37114160752506731</v>
      </c>
      <c r="AE48" s="247">
        <f t="shared" si="42"/>
        <v>0.15796300672759078</v>
      </c>
      <c r="AF48" s="247">
        <f t="shared" si="42"/>
        <v>0.1512230237846548</v>
      </c>
      <c r="AG48" s="247">
        <f t="shared" si="42"/>
        <v>9.2920902044895115E-3</v>
      </c>
      <c r="AH48" s="247">
        <f t="shared" si="42"/>
        <v>-3.6355356090427615E-2</v>
      </c>
      <c r="AI48" s="247">
        <f t="shared" si="42"/>
        <v>-2.3985836792173032E-3</v>
      </c>
      <c r="AJ48" s="247">
        <f t="shared" si="42"/>
        <v>-3.0928993683831951E-2</v>
      </c>
      <c r="AK48" s="247">
        <f t="shared" si="42"/>
        <v>3.5212891068819419E-2</v>
      </c>
    </row>
    <row r="49" spans="2:37" s="174" customFormat="1">
      <c r="B49" s="80" t="s">
        <v>276</v>
      </c>
      <c r="C49" s="249"/>
      <c r="D49" s="248">
        <f t="shared" si="43"/>
        <v>0.17678976568247196</v>
      </c>
      <c r="E49" s="248">
        <f t="shared" si="43"/>
        <v>0.19445786676772436</v>
      </c>
      <c r="F49" s="248">
        <f t="shared" si="43"/>
        <v>0.33531938154203123</v>
      </c>
      <c r="G49" s="248">
        <f t="shared" si="43"/>
        <v>-0.14701122321767812</v>
      </c>
      <c r="H49" s="248">
        <f t="shared" si="43"/>
        <v>-3.2401602896595882E-2</v>
      </c>
      <c r="I49" s="248">
        <f t="shared" si="43"/>
        <v>0.35035671697864301</v>
      </c>
      <c r="J49" s="248">
        <f t="shared" si="43"/>
        <v>0.24973695318487921</v>
      </c>
      <c r="K49" s="249"/>
      <c r="L49" s="240"/>
      <c r="M49" s="249"/>
      <c r="N49" s="249"/>
      <c r="O49" s="249"/>
      <c r="P49" s="249"/>
      <c r="Q49" s="248">
        <f t="shared" si="44"/>
        <v>0.54685736338216406</v>
      </c>
      <c r="R49" s="248">
        <f t="shared" si="42"/>
        <v>0.63975643005909544</v>
      </c>
      <c r="S49" s="248">
        <f t="shared" si="42"/>
        <v>8.1760683904944731E-2</v>
      </c>
      <c r="T49" s="248">
        <f t="shared" si="42"/>
        <v>0.21447153653262285</v>
      </c>
      <c r="U49" s="248">
        <f t="shared" si="42"/>
        <v>-4.592301858104586E-2</v>
      </c>
      <c r="V49" s="248">
        <f t="shared" si="42"/>
        <v>-0.20068677200413343</v>
      </c>
      <c r="W49" s="248">
        <f t="shared" si="42"/>
        <v>-9.7211228054623566E-2</v>
      </c>
      <c r="X49" s="248">
        <f t="shared" si="42"/>
        <v>-0.22819469344418586</v>
      </c>
      <c r="Y49" s="248">
        <f t="shared" si="42"/>
        <v>-0.18914906473217141</v>
      </c>
      <c r="Z49" s="248">
        <f t="shared" si="42"/>
        <v>-4.0130166821201518E-2</v>
      </c>
      <c r="AA49" s="248">
        <f t="shared" si="42"/>
        <v>5.9616510530957623E-3</v>
      </c>
      <c r="AB49" s="248">
        <f t="shared" si="42"/>
        <v>0.10895693829919217</v>
      </c>
      <c r="AC49" s="248">
        <f t="shared" si="42"/>
        <v>0.26951009441712492</v>
      </c>
      <c r="AD49" s="248">
        <f t="shared" si="42"/>
        <v>0.31969340675218527</v>
      </c>
      <c r="AE49" s="248">
        <f t="shared" si="42"/>
        <v>0.30484954159715705</v>
      </c>
      <c r="AF49" s="248">
        <f t="shared" si="42"/>
        <v>0.48825330161219238</v>
      </c>
      <c r="AG49" s="248">
        <f t="shared" si="42"/>
        <v>0.47395075109901996</v>
      </c>
      <c r="AH49" s="248">
        <f t="shared" si="42"/>
        <v>0.30452159321521499</v>
      </c>
      <c r="AI49" s="248">
        <f t="shared" si="42"/>
        <v>0.2228403827141261</v>
      </c>
      <c r="AJ49" s="248">
        <f t="shared" si="42"/>
        <v>7.2577904317354447E-2</v>
      </c>
      <c r="AK49" s="248">
        <f t="shared" si="42"/>
        <v>-0.10918640169806393</v>
      </c>
    </row>
    <row r="50" spans="2:37" s="174" customFormat="1">
      <c r="B50" s="238"/>
      <c r="C50" s="238"/>
      <c r="D50" s="238"/>
      <c r="E50" s="238"/>
      <c r="F50" s="238"/>
      <c r="G50" s="238"/>
      <c r="H50" s="238"/>
      <c r="I50" s="239"/>
      <c r="J50" s="239"/>
      <c r="K50" s="239"/>
      <c r="L50" s="240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9"/>
      <c r="AD50" s="239"/>
      <c r="AE50" s="239"/>
      <c r="AF50" s="239"/>
      <c r="AG50" s="239"/>
      <c r="AH50" s="239"/>
      <c r="AI50" s="239"/>
      <c r="AJ50" s="239"/>
      <c r="AK50" s="239"/>
    </row>
    <row r="51" spans="2:37">
      <c r="K51" s="173"/>
      <c r="L51" s="240"/>
      <c r="X51" s="180"/>
      <c r="AB51" s="180"/>
      <c r="AF51" s="180"/>
      <c r="AJ51" s="180"/>
    </row>
    <row r="52" spans="2:37">
      <c r="B52" s="241" t="s">
        <v>284</v>
      </c>
      <c r="C52" s="250"/>
      <c r="D52" s="250"/>
      <c r="E52" s="250"/>
      <c r="F52" s="250"/>
      <c r="G52" s="250"/>
      <c r="H52" s="250"/>
      <c r="I52" s="250"/>
      <c r="J52" s="250"/>
      <c r="K52" s="251"/>
      <c r="L52" s="240"/>
      <c r="M52" s="250"/>
      <c r="N52" s="250"/>
      <c r="O52" s="250"/>
      <c r="P52" s="250"/>
      <c r="Q52" s="250"/>
      <c r="R52" s="250"/>
      <c r="S52" s="250"/>
      <c r="T52" s="252"/>
      <c r="U52" s="250"/>
      <c r="V52" s="250"/>
      <c r="W52" s="250"/>
      <c r="X52" s="252"/>
      <c r="Y52" s="250"/>
      <c r="Z52" s="250"/>
      <c r="AA52" s="250"/>
      <c r="AB52" s="252"/>
      <c r="AC52" s="250"/>
      <c r="AD52" s="250"/>
      <c r="AE52" s="250"/>
      <c r="AF52" s="252"/>
      <c r="AG52" s="250"/>
      <c r="AH52" s="250"/>
      <c r="AI52" s="250"/>
      <c r="AJ52" s="252"/>
      <c r="AK52" s="250"/>
    </row>
    <row r="53" spans="2:37">
      <c r="B53" s="113" t="s">
        <v>271</v>
      </c>
      <c r="C53" s="105">
        <v>-106757.12699999999</v>
      </c>
      <c r="D53" s="105">
        <v>-113335.546</v>
      </c>
      <c r="E53" s="105">
        <v>-138986.94399999999</v>
      </c>
      <c r="F53" s="105">
        <v>-184007.856</v>
      </c>
      <c r="G53" s="105">
        <v>-152248.41500000001</v>
      </c>
      <c r="H53" s="105">
        <v>-134480.70000000001</v>
      </c>
      <c r="I53" s="105">
        <v>-167505.5</v>
      </c>
      <c r="J53" s="105">
        <v>-166173.62100000001</v>
      </c>
      <c r="K53" s="171">
        <f>SUM(AH53:AK53)</f>
        <v>-161641.00400000002</v>
      </c>
      <c r="L53" s="240"/>
      <c r="M53" s="105">
        <v>-27872.333999999999</v>
      </c>
      <c r="N53" s="105">
        <v>-29336.59</v>
      </c>
      <c r="O53" s="105">
        <v>-43615.082999999999</v>
      </c>
      <c r="P53" s="86">
        <f>E53-SUM(M53:O53)</f>
        <v>-38162.936999999991</v>
      </c>
      <c r="Q53" s="105">
        <v>-44857.383999999998</v>
      </c>
      <c r="R53" s="105">
        <v>-52095.546000000002</v>
      </c>
      <c r="S53" s="105">
        <v>-41708.839999999997</v>
      </c>
      <c r="T53" s="181">
        <f>F53-SUM(Q53:S53)</f>
        <v>-45346.08600000001</v>
      </c>
      <c r="U53" s="105">
        <v>-41240.597999999998</v>
      </c>
      <c r="V53" s="105">
        <v>-38605.296999999999</v>
      </c>
      <c r="W53" s="105">
        <v>-38730.351000000002</v>
      </c>
      <c r="X53" s="181">
        <f>G53-SUM(U53:W53)</f>
        <v>-33672.169000000024</v>
      </c>
      <c r="Y53" s="105">
        <v>-31051.728999999999</v>
      </c>
      <c r="Z53" s="105">
        <v>-31720.488000000001</v>
      </c>
      <c r="AA53" s="105">
        <v>-34718.945</v>
      </c>
      <c r="AB53" s="181">
        <f>H53-SUM(Y53:AA53)</f>
        <v>-36989.538</v>
      </c>
      <c r="AC53" s="105">
        <v>-39600.525000000001</v>
      </c>
      <c r="AD53" s="105">
        <v>-40867</v>
      </c>
      <c r="AE53" s="105">
        <v>-41904.745999999999</v>
      </c>
      <c r="AF53" s="171">
        <f t="shared" ref="AF53:AF57" si="45">I53-SUM(AC53:AE53)</f>
        <v>-45133.229000000007</v>
      </c>
      <c r="AG53" s="105">
        <v>-44329.300999999999</v>
      </c>
      <c r="AH53" s="105">
        <v>-40299.754999999997</v>
      </c>
      <c r="AI53" s="105">
        <v>-40873.54</v>
      </c>
      <c r="AJ53" s="171">
        <f t="shared" ref="AJ53:AJ57" si="46">J53-SUM(AG53:AI53)</f>
        <v>-40671.025000000023</v>
      </c>
      <c r="AK53" s="105">
        <v>-39796.684000000001</v>
      </c>
    </row>
    <row r="54" spans="2:37">
      <c r="B54" s="113" t="s">
        <v>272</v>
      </c>
      <c r="C54" s="105">
        <v>-39306.133999999998</v>
      </c>
      <c r="D54" s="105">
        <v>-55134.298999999999</v>
      </c>
      <c r="E54" s="105">
        <v>-58804.839</v>
      </c>
      <c r="F54" s="105">
        <v>-73888.603000000003</v>
      </c>
      <c r="G54" s="105">
        <v>-68296.396999999997</v>
      </c>
      <c r="H54" s="105">
        <v>-67029.100000000006</v>
      </c>
      <c r="I54" s="105">
        <v>-83011.8</v>
      </c>
      <c r="J54" s="105">
        <v>-94776.808999999994</v>
      </c>
      <c r="K54" s="171">
        <f t="shared" ref="K54:K57" si="47">SUM(AH54:AK54)</f>
        <v>-89057.864000000001</v>
      </c>
      <c r="L54" s="240"/>
      <c r="M54" s="105">
        <v>-11242.932000000001</v>
      </c>
      <c r="N54" s="105">
        <v>-13515.173000000001</v>
      </c>
      <c r="O54" s="105">
        <v>-15538.63</v>
      </c>
      <c r="P54" s="86">
        <f>E54-SUM(M54:O54)</f>
        <v>-18508.103999999999</v>
      </c>
      <c r="Q54" s="105">
        <v>-15590.732</v>
      </c>
      <c r="R54" s="105">
        <v>-17992.268</v>
      </c>
      <c r="S54" s="105">
        <v>-18509.697</v>
      </c>
      <c r="T54" s="181">
        <f>F54-SUM(Q54:S54)</f>
        <v>-21795.906000000003</v>
      </c>
      <c r="U54" s="105">
        <v>-16435.379000000001</v>
      </c>
      <c r="V54" s="105">
        <v>-16983.583999999999</v>
      </c>
      <c r="W54" s="105">
        <v>-16488.421999999999</v>
      </c>
      <c r="X54" s="181">
        <f>G54-SUM(U54:W54)</f>
        <v>-18389.011999999995</v>
      </c>
      <c r="Y54" s="105">
        <v>-14187.118</v>
      </c>
      <c r="Z54" s="105">
        <v>-18343.767</v>
      </c>
      <c r="AA54" s="105">
        <v>-16987.91</v>
      </c>
      <c r="AB54" s="181">
        <f>H54-SUM(Y54:AA54)</f>
        <v>-17510.305000000008</v>
      </c>
      <c r="AC54" s="105">
        <v>-16326.052</v>
      </c>
      <c r="AD54" s="105">
        <v>-21476.7</v>
      </c>
      <c r="AE54" s="105">
        <v>-20684.052</v>
      </c>
      <c r="AF54" s="171">
        <f t="shared" si="45"/>
        <v>-24524.995999999999</v>
      </c>
      <c r="AG54" s="105">
        <v>-24184.366000000002</v>
      </c>
      <c r="AH54" s="105">
        <v>-29990.611000000001</v>
      </c>
      <c r="AI54" s="105">
        <v>-20957.026000000002</v>
      </c>
      <c r="AJ54" s="171">
        <f t="shared" si="46"/>
        <v>-19644.805999999997</v>
      </c>
      <c r="AK54" s="105">
        <v>-18465.420999999998</v>
      </c>
    </row>
    <row r="55" spans="2:37">
      <c r="B55" s="113" t="s">
        <v>273</v>
      </c>
      <c r="C55" s="105">
        <v>-5683.8559999999998</v>
      </c>
      <c r="D55" s="105">
        <v>-6998.0959999999995</v>
      </c>
      <c r="E55" s="105">
        <v>-9111.0020000000004</v>
      </c>
      <c r="F55" s="105">
        <v>-7316.598</v>
      </c>
      <c r="G55" s="105">
        <v>-7974.3559999999998</v>
      </c>
      <c r="H55" s="105">
        <v>-7773.5</v>
      </c>
      <c r="I55" s="105">
        <v>-7968.6</v>
      </c>
      <c r="J55" s="105">
        <v>-8800.0689999999995</v>
      </c>
      <c r="K55" s="171">
        <f t="shared" si="47"/>
        <v>-8968.0539999999983</v>
      </c>
      <c r="L55" s="240"/>
      <c r="M55" s="105">
        <v>-2529.1439999999998</v>
      </c>
      <c r="N55" s="105">
        <v>-2347.4989999999998</v>
      </c>
      <c r="O55" s="105">
        <v>-2283.348</v>
      </c>
      <c r="P55" s="86">
        <f>E55-SUM(M55:O55)</f>
        <v>-1951.0110000000004</v>
      </c>
      <c r="Q55" s="105">
        <v>-1816.1189999999999</v>
      </c>
      <c r="R55" s="105">
        <v>-1819.7180000000001</v>
      </c>
      <c r="S55" s="105">
        <v>-1940.606</v>
      </c>
      <c r="T55" s="181">
        <f>F55-SUM(Q55:S55)</f>
        <v>-1740.1549999999997</v>
      </c>
      <c r="U55" s="105">
        <v>-2078.3510000000001</v>
      </c>
      <c r="V55" s="105">
        <v>-1880.97</v>
      </c>
      <c r="W55" s="105">
        <v>-1974.7059999999999</v>
      </c>
      <c r="X55" s="181">
        <f>G55-SUM(U55:W55)</f>
        <v>-2040.3289999999997</v>
      </c>
      <c r="Y55" s="105">
        <v>-1948.4010000000001</v>
      </c>
      <c r="Z55" s="105">
        <v>-1926.1980000000001</v>
      </c>
      <c r="AA55" s="105">
        <v>-1984.3420000000001</v>
      </c>
      <c r="AB55" s="181">
        <f>H55-SUM(Y55:AA55)</f>
        <v>-1914.5589999999993</v>
      </c>
      <c r="AC55" s="105">
        <v>-2073.018</v>
      </c>
      <c r="AD55" s="105">
        <v>-1792.9</v>
      </c>
      <c r="AE55" s="105">
        <v>-1908.2260000000001</v>
      </c>
      <c r="AF55" s="171">
        <f t="shared" si="45"/>
        <v>-2194.4560000000001</v>
      </c>
      <c r="AG55" s="105">
        <v>-2094.2570000000001</v>
      </c>
      <c r="AH55" s="105">
        <v>-2241.9780000000001</v>
      </c>
      <c r="AI55" s="105">
        <v>-2169.8319999999999</v>
      </c>
      <c r="AJ55" s="171">
        <f t="shared" si="46"/>
        <v>-2294.0019999999986</v>
      </c>
      <c r="AK55" s="105">
        <v>-2262.2420000000002</v>
      </c>
    </row>
    <row r="56" spans="2:37">
      <c r="B56" s="113" t="s">
        <v>274</v>
      </c>
      <c r="C56" s="164"/>
      <c r="D56" s="164"/>
      <c r="E56" s="164"/>
      <c r="F56" s="227"/>
      <c r="G56" s="227"/>
      <c r="H56" s="227"/>
      <c r="I56" s="105">
        <v>-26703.256000000001</v>
      </c>
      <c r="J56" s="105">
        <v>-80306.051999999996</v>
      </c>
      <c r="K56" s="171">
        <f t="shared" si="47"/>
        <v>-81901.861999999994</v>
      </c>
      <c r="L56" s="240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05">
        <v>-22.757000000000001</v>
      </c>
      <c r="AD56" s="105">
        <v>-5389</v>
      </c>
      <c r="AE56" s="105">
        <v>-8036.7049999999999</v>
      </c>
      <c r="AF56" s="171">
        <f t="shared" si="45"/>
        <v>-13254.794000000002</v>
      </c>
      <c r="AG56" s="105">
        <v>-14274.732</v>
      </c>
      <c r="AH56" s="105">
        <v>-15642.424999999999</v>
      </c>
      <c r="AI56" s="105">
        <v>-21626.081999999999</v>
      </c>
      <c r="AJ56" s="171">
        <f t="shared" si="46"/>
        <v>-28762.812999999995</v>
      </c>
      <c r="AK56" s="105">
        <v>-15870.541999999999</v>
      </c>
    </row>
    <row r="57" spans="2:37">
      <c r="B57" s="62" t="s">
        <v>275</v>
      </c>
      <c r="C57" s="105">
        <v>-976.36900000000003</v>
      </c>
      <c r="D57" s="105">
        <v>-1816.7080000000001</v>
      </c>
      <c r="E57" s="105">
        <v>-2210.9859999999999</v>
      </c>
      <c r="F57" s="105">
        <v>-4835.1469999999999</v>
      </c>
      <c r="G57" s="105">
        <v>-3947.6579999999999</v>
      </c>
      <c r="H57" s="105">
        <v>-4210.6000000000004</v>
      </c>
      <c r="I57" s="105">
        <v>-4157</v>
      </c>
      <c r="J57" s="105">
        <v>-5424.2889999999998</v>
      </c>
      <c r="K57" s="171">
        <f t="shared" si="47"/>
        <v>-5356.1270000000004</v>
      </c>
      <c r="L57" s="240"/>
      <c r="M57" s="105">
        <v>-499.3</v>
      </c>
      <c r="N57" s="105">
        <v>-637.09699999999998</v>
      </c>
      <c r="O57" s="105">
        <v>-560.05999999999995</v>
      </c>
      <c r="P57" s="86">
        <f>E57-SUM(M57:O57)</f>
        <v>-514.529</v>
      </c>
      <c r="Q57" s="105">
        <v>-456.697</v>
      </c>
      <c r="R57" s="105">
        <v>-733.38599999999997</v>
      </c>
      <c r="S57" s="105">
        <v>-1611.491</v>
      </c>
      <c r="T57" s="181">
        <f>F57-SUM(Q57:S57)</f>
        <v>-2033.5729999999999</v>
      </c>
      <c r="U57" s="105">
        <v>-887.428</v>
      </c>
      <c r="V57" s="105">
        <v>-932.99099999999999</v>
      </c>
      <c r="W57" s="105">
        <v>-1558.8810000000001</v>
      </c>
      <c r="X57" s="181">
        <f>G57-SUM(U57:W57)</f>
        <v>-568.35799999999972</v>
      </c>
      <c r="Y57" s="105">
        <v>-698.31899999999996</v>
      </c>
      <c r="Z57" s="105">
        <v>-1203.4390000000001</v>
      </c>
      <c r="AA57" s="105">
        <v>-1093.5039999999999</v>
      </c>
      <c r="AB57" s="181">
        <f>H57-SUM(Y57:AA57)</f>
        <v>-1215.3380000000006</v>
      </c>
      <c r="AC57" s="105">
        <v>-654.75300000000004</v>
      </c>
      <c r="AD57" s="105">
        <f>-968</f>
        <v>-968</v>
      </c>
      <c r="AE57" s="105">
        <f>(-1091402)/1000</f>
        <v>-1091.402</v>
      </c>
      <c r="AF57" s="171">
        <f t="shared" si="45"/>
        <v>-1442.8449999999998</v>
      </c>
      <c r="AG57" s="105">
        <v>-1004.771</v>
      </c>
      <c r="AH57" s="105">
        <f>-1680.364</f>
        <v>-1680.364</v>
      </c>
      <c r="AI57" s="105">
        <f>-(1558088)/1000</f>
        <v>-1558.088</v>
      </c>
      <c r="AJ57" s="171">
        <f t="shared" si="46"/>
        <v>-1181.0659999999998</v>
      </c>
      <c r="AK57" s="105">
        <v>-936.60900000000004</v>
      </c>
    </row>
    <row r="58" spans="2:37" s="75" customFormat="1">
      <c r="B58" s="80" t="s">
        <v>285</v>
      </c>
      <c r="C58" s="79">
        <f t="shared" ref="C58:G58" si="48">SUM(C53:C57)</f>
        <v>-152723.486</v>
      </c>
      <c r="D58" s="79">
        <f t="shared" si="48"/>
        <v>-177284.649</v>
      </c>
      <c r="E58" s="79">
        <f t="shared" si="48"/>
        <v>-209113.77100000001</v>
      </c>
      <c r="F58" s="79">
        <f t="shared" si="48"/>
        <v>-270048.20400000003</v>
      </c>
      <c r="G58" s="79">
        <f t="shared" si="48"/>
        <v>-232466.826</v>
      </c>
      <c r="H58" s="284">
        <f t="shared" ref="H58:I58" si="49">SUM(H53:H57)</f>
        <v>-213493.90000000002</v>
      </c>
      <c r="I58" s="284">
        <f t="shared" si="49"/>
        <v>-289346.15600000002</v>
      </c>
      <c r="J58" s="284">
        <f t="shared" ref="J58" si="50">SUM(J53:J57)</f>
        <v>-355480.83999999997</v>
      </c>
      <c r="K58" s="284">
        <f>SUM(K53:K57)</f>
        <v>-346924.91099999996</v>
      </c>
      <c r="L58" s="240"/>
      <c r="M58" s="79">
        <f t="shared" ref="M58:S58" si="51">SUM(M53:M57)</f>
        <v>-42143.710000000006</v>
      </c>
      <c r="N58" s="79">
        <f t="shared" si="51"/>
        <v>-45836.359000000004</v>
      </c>
      <c r="O58" s="79">
        <f t="shared" si="51"/>
        <v>-61997.120999999992</v>
      </c>
      <c r="P58" s="79">
        <f t="shared" si="51"/>
        <v>-59136.580999999991</v>
      </c>
      <c r="Q58" s="79">
        <f t="shared" si="51"/>
        <v>-62720.931999999993</v>
      </c>
      <c r="R58" s="79">
        <f t="shared" si="51"/>
        <v>-72640.917999999991</v>
      </c>
      <c r="S58" s="79">
        <f t="shared" si="51"/>
        <v>-63770.633999999998</v>
      </c>
      <c r="T58" s="179">
        <f t="shared" ref="T58:W58" si="52">SUM(T53:T57)</f>
        <v>-70915.720000000016</v>
      </c>
      <c r="U58" s="79">
        <f t="shared" si="52"/>
        <v>-60641.756000000001</v>
      </c>
      <c r="V58" s="79">
        <f t="shared" si="52"/>
        <v>-58402.841999999997</v>
      </c>
      <c r="W58" s="79">
        <f t="shared" si="52"/>
        <v>-58752.36</v>
      </c>
      <c r="X58" s="179">
        <f t="shared" ref="X58:AA58" si="53">SUM(X53:X57)</f>
        <v>-54669.868000000017</v>
      </c>
      <c r="Y58" s="79">
        <f t="shared" si="53"/>
        <v>-47885.567000000003</v>
      </c>
      <c r="Z58" s="79">
        <f t="shared" si="53"/>
        <v>-53193.892</v>
      </c>
      <c r="AA58" s="79">
        <f t="shared" si="53"/>
        <v>-54784.700999999994</v>
      </c>
      <c r="AB58" s="179">
        <f t="shared" ref="AB58:AC58" si="54">SUM(AB53:AB57)</f>
        <v>-57629.740000000013</v>
      </c>
      <c r="AC58" s="284">
        <f t="shared" si="54"/>
        <v>-58677.104999999996</v>
      </c>
      <c r="AD58" s="284">
        <f t="shared" ref="AD58:AG58" si="55">SUM(AD53:AD57)</f>
        <v>-70493.600000000006</v>
      </c>
      <c r="AE58" s="284">
        <f t="shared" si="55"/>
        <v>-73625.130999999994</v>
      </c>
      <c r="AF58" s="284">
        <f t="shared" si="55"/>
        <v>-86550.32</v>
      </c>
      <c r="AG58" s="284">
        <f t="shared" si="55"/>
        <v>-85887.426999999996</v>
      </c>
      <c r="AH58" s="284">
        <f t="shared" ref="AH58:AK58" si="56">SUM(AH53:AH57)</f>
        <v>-89855.133000000002</v>
      </c>
      <c r="AI58" s="284">
        <f t="shared" si="56"/>
        <v>-87184.568000000014</v>
      </c>
      <c r="AJ58" s="284">
        <f t="shared" si="56"/>
        <v>-92553.712000000014</v>
      </c>
      <c r="AK58" s="284">
        <f t="shared" si="56"/>
        <v>-77331.497999999992</v>
      </c>
    </row>
    <row r="59" spans="2:37" s="174" customFormat="1">
      <c r="B59" s="238" t="s">
        <v>22</v>
      </c>
      <c r="C59" s="238">
        <f>C58-Model!C9</f>
        <v>0</v>
      </c>
      <c r="D59" s="238">
        <f>D58-Model!D9</f>
        <v>0</v>
      </c>
      <c r="E59" s="238">
        <f>E58-Model!E9</f>
        <v>0</v>
      </c>
      <c r="F59" s="238">
        <f>F58-Model!F9</f>
        <v>0</v>
      </c>
      <c r="G59" s="238">
        <f>G58-Model!G9</f>
        <v>0</v>
      </c>
      <c r="H59" s="238">
        <f>H58-Model!H9</f>
        <v>0</v>
      </c>
      <c r="I59" s="239">
        <f>I58-Model!I9</f>
        <v>0</v>
      </c>
      <c r="J59" s="239">
        <f>J58-Model!J9</f>
        <v>0</v>
      </c>
      <c r="K59" s="239">
        <f>K58-Model!K9</f>
        <v>0</v>
      </c>
      <c r="L59" s="240"/>
      <c r="M59" s="238">
        <f>M58-Model!M9</f>
        <v>0</v>
      </c>
      <c r="N59" s="238">
        <f>N58-Model!N9</f>
        <v>0</v>
      </c>
      <c r="O59" s="238">
        <f>O58-Model!O9</f>
        <v>0</v>
      </c>
      <c r="P59" s="238">
        <f>P58-Model!P9</f>
        <v>0</v>
      </c>
      <c r="Q59" s="238">
        <f>Q58-Model!Q9</f>
        <v>0</v>
      </c>
      <c r="R59" s="238">
        <f>R58-Model!R9</f>
        <v>0</v>
      </c>
      <c r="S59" s="238">
        <f>S58-Model!S9</f>
        <v>0</v>
      </c>
      <c r="T59" s="238">
        <f>T58-Model!T9</f>
        <v>0</v>
      </c>
      <c r="U59" s="238">
        <f>U58-Model!U9</f>
        <v>0</v>
      </c>
      <c r="V59" s="238">
        <f>V58-Model!V9</f>
        <v>0</v>
      </c>
      <c r="W59" s="238">
        <f>W58-Model!W9</f>
        <v>0</v>
      </c>
      <c r="X59" s="238">
        <f>X58-Model!X9</f>
        <v>0</v>
      </c>
      <c r="Y59" s="238">
        <f>Y58-Model!Y9</f>
        <v>0</v>
      </c>
      <c r="Z59" s="238">
        <f>Z58-Model!Z9</f>
        <v>0</v>
      </c>
      <c r="AA59" s="238">
        <f>AA58-Model!AA9</f>
        <v>0</v>
      </c>
      <c r="AB59" s="238">
        <f>AB58-Model!AB9</f>
        <v>0</v>
      </c>
      <c r="AC59" s="239">
        <f>AC58-Model!AC9</f>
        <v>0</v>
      </c>
      <c r="AD59" s="239">
        <f>AD58-Model!AD9</f>
        <v>5.0999999992200173E-2</v>
      </c>
      <c r="AE59" s="239">
        <f>AE58-Model!AE9</f>
        <v>0</v>
      </c>
      <c r="AF59" s="239">
        <f>AF58-Model!AF9</f>
        <v>-5.0999999977648258E-2</v>
      </c>
      <c r="AG59" s="239">
        <f>AG58-Model!AG9</f>
        <v>0</v>
      </c>
      <c r="AH59" s="239">
        <f>AH58-Model!AH9</f>
        <v>0</v>
      </c>
      <c r="AI59" s="239">
        <f>AI58-Model!AI9</f>
        <v>0</v>
      </c>
      <c r="AJ59" s="239">
        <f>AJ58-Model!AJ9</f>
        <v>0</v>
      </c>
      <c r="AK59" s="239">
        <f>AK58-Model!AK9</f>
        <v>0</v>
      </c>
    </row>
    <row r="60" spans="2:37">
      <c r="K60" s="173"/>
      <c r="L60" s="240"/>
      <c r="X60" s="180"/>
      <c r="AB60" s="180"/>
      <c r="AF60" s="180"/>
      <c r="AJ60" s="180"/>
    </row>
    <row r="61" spans="2:37">
      <c r="B61" s="241" t="s">
        <v>286</v>
      </c>
      <c r="C61" s="250"/>
      <c r="D61" s="250"/>
      <c r="E61" s="250"/>
      <c r="F61" s="250"/>
      <c r="G61" s="250"/>
      <c r="H61" s="250"/>
      <c r="I61" s="250"/>
      <c r="J61" s="250"/>
      <c r="K61" s="251"/>
      <c r="L61" s="240"/>
      <c r="M61" s="250"/>
      <c r="N61" s="250"/>
      <c r="O61" s="250"/>
      <c r="P61" s="250"/>
      <c r="Q61" s="250"/>
      <c r="R61" s="250"/>
      <c r="S61" s="250"/>
      <c r="T61" s="252"/>
      <c r="U61" s="250"/>
      <c r="V61" s="250"/>
      <c r="W61" s="250"/>
      <c r="X61" s="252"/>
      <c r="Y61" s="250"/>
      <c r="Z61" s="250"/>
      <c r="AA61" s="250"/>
      <c r="AB61" s="252"/>
      <c r="AC61" s="250"/>
      <c r="AD61" s="250"/>
      <c r="AE61" s="250"/>
      <c r="AF61" s="252"/>
      <c r="AG61" s="250"/>
      <c r="AH61" s="250"/>
      <c r="AI61" s="250"/>
      <c r="AJ61" s="252"/>
      <c r="AK61" s="250"/>
    </row>
    <row r="62" spans="2:37">
      <c r="B62" s="113" t="s">
        <v>271</v>
      </c>
      <c r="C62" s="105">
        <v>7043.259</v>
      </c>
      <c r="D62" s="105">
        <v>8759.3510000000006</v>
      </c>
      <c r="E62" s="105">
        <v>13203.947</v>
      </c>
      <c r="F62" s="105">
        <v>24861.088</v>
      </c>
      <c r="G62" s="105">
        <v>14968.762000000001</v>
      </c>
      <c r="H62" s="105">
        <v>22980.587</v>
      </c>
      <c r="I62" s="105">
        <v>24253.8</v>
      </c>
      <c r="J62" s="105">
        <v>20266.155999999999</v>
      </c>
      <c r="K62" s="171">
        <f t="shared" ref="K62:K66" si="57">SUM(AH62:AK62)</f>
        <v>18460.151999999998</v>
      </c>
      <c r="L62" s="240"/>
      <c r="M62" s="105">
        <v>2452.3890000000001</v>
      </c>
      <c r="N62" s="105">
        <v>2290.9589999999998</v>
      </c>
      <c r="O62" s="105">
        <v>3989.05</v>
      </c>
      <c r="P62" s="154">
        <f>E62-SUM(M62:O62)</f>
        <v>4471.5489999999991</v>
      </c>
      <c r="Q62" s="105">
        <v>6633.5990000000002</v>
      </c>
      <c r="R62" s="105">
        <v>6993.4170000000004</v>
      </c>
      <c r="S62" s="105">
        <v>6116.0919999999996</v>
      </c>
      <c r="T62" s="178">
        <f>F62-SUM(Q62:S62)</f>
        <v>5117.9799999999996</v>
      </c>
      <c r="U62" s="105">
        <v>4522.0910000000003</v>
      </c>
      <c r="V62" s="105">
        <v>3662.808</v>
      </c>
      <c r="W62" s="105">
        <f>W9+W53</f>
        <v>3783.887999999999</v>
      </c>
      <c r="X62" s="178">
        <f>G62-SUM(U62:W62)</f>
        <v>2999.9750000000004</v>
      </c>
      <c r="Y62" s="105">
        <v>3933.0169999999998</v>
      </c>
      <c r="Z62" s="105">
        <v>4874.973</v>
      </c>
      <c r="AA62" s="105">
        <f>AA9+AA53</f>
        <v>6929.9800000000032</v>
      </c>
      <c r="AB62" s="178">
        <f>H62-SUM(Y62:AA62)</f>
        <v>7242.6169999999966</v>
      </c>
      <c r="AC62" s="105">
        <v>6879.223</v>
      </c>
      <c r="AD62" s="105">
        <v>5649.46</v>
      </c>
      <c r="AE62" s="105">
        <v>5547.5780000000004</v>
      </c>
      <c r="AF62" s="178">
        <f t="shared" ref="AF62:AF66" si="58">I62-SUM(AC62:AE62)</f>
        <v>6177.538999999997</v>
      </c>
      <c r="AG62" s="105">
        <v>6282.6509999999998</v>
      </c>
      <c r="AH62" s="105">
        <v>5220.2539999999999</v>
      </c>
      <c r="AI62" s="105">
        <v>5095.4870000000001</v>
      </c>
      <c r="AJ62" s="178">
        <f t="shared" ref="AJ62:AJ66" si="59">J62-SUM(AG62:AI62)</f>
        <v>3667.7639999999992</v>
      </c>
      <c r="AK62" s="105">
        <v>4476.6469999999999</v>
      </c>
    </row>
    <row r="63" spans="2:37">
      <c r="B63" s="113" t="s">
        <v>272</v>
      </c>
      <c r="C63" s="105">
        <v>4510.7510000000002</v>
      </c>
      <c r="D63" s="105">
        <v>6953.6989999999996</v>
      </c>
      <c r="E63" s="105">
        <v>8605.6139999999996</v>
      </c>
      <c r="F63" s="105">
        <v>11091.494000000001</v>
      </c>
      <c r="G63" s="105">
        <v>11498.48</v>
      </c>
      <c r="H63" s="105">
        <v>13078.596</v>
      </c>
      <c r="I63" s="105">
        <v>21092.1</v>
      </c>
      <c r="J63" s="105">
        <v>28423.382000000001</v>
      </c>
      <c r="K63" s="171">
        <f t="shared" si="57"/>
        <v>26484.25</v>
      </c>
      <c r="L63" s="240"/>
      <c r="M63" s="105">
        <v>1741.2760000000001</v>
      </c>
      <c r="N63" s="105">
        <v>1737.6949999999999</v>
      </c>
      <c r="O63" s="105">
        <v>2580.3910000000001</v>
      </c>
      <c r="P63" s="154">
        <f>E63-SUM(M63:O63)</f>
        <v>2546.2519999999995</v>
      </c>
      <c r="Q63" s="105">
        <v>2652.5349999999999</v>
      </c>
      <c r="R63" s="105">
        <v>2742.4250000000002</v>
      </c>
      <c r="S63" s="105">
        <v>2425.86</v>
      </c>
      <c r="T63" s="178">
        <f>F63-SUM(Q63:S63)</f>
        <v>3270.6740000000009</v>
      </c>
      <c r="U63" s="105">
        <v>3041.9780000000001</v>
      </c>
      <c r="V63" s="105">
        <v>2828.0239999999999</v>
      </c>
      <c r="W63" s="105">
        <f>W10+W54</f>
        <v>2570.2260000000024</v>
      </c>
      <c r="X63" s="178">
        <f>G63-SUM(U63:W63)</f>
        <v>3058.2519999999968</v>
      </c>
      <c r="Y63" s="105">
        <v>2646.6640000000002</v>
      </c>
      <c r="Z63" s="105">
        <v>3910.0990000000002</v>
      </c>
      <c r="AA63" s="105">
        <f>AA10+AA54</f>
        <v>3685.3869999999988</v>
      </c>
      <c r="AB63" s="178">
        <f>H63-SUM(Y63:AA63)</f>
        <v>2836.4459999999999</v>
      </c>
      <c r="AC63" s="105">
        <v>4047.4369999999999</v>
      </c>
      <c r="AD63" s="105">
        <v>5283.5969999999998</v>
      </c>
      <c r="AE63" s="105">
        <v>5418.11</v>
      </c>
      <c r="AF63" s="178">
        <f t="shared" si="58"/>
        <v>6342.9559999999983</v>
      </c>
      <c r="AG63" s="105">
        <v>8154.8680000000004</v>
      </c>
      <c r="AH63" s="105">
        <v>8721.5419999999995</v>
      </c>
      <c r="AI63" s="105">
        <v>6595.1289999999999</v>
      </c>
      <c r="AJ63" s="178">
        <f t="shared" si="59"/>
        <v>4951.8430000000008</v>
      </c>
      <c r="AK63" s="105">
        <v>6215.7359999999999</v>
      </c>
    </row>
    <row r="64" spans="2:37">
      <c r="B64" s="113" t="s">
        <v>273</v>
      </c>
      <c r="C64" s="105">
        <v>10271.701999999999</v>
      </c>
      <c r="D64" s="105">
        <v>12843.473</v>
      </c>
      <c r="E64" s="105">
        <v>14644.282999999999</v>
      </c>
      <c r="F64" s="105">
        <v>20895.141</v>
      </c>
      <c r="G64" s="105">
        <v>20347.088</v>
      </c>
      <c r="H64" s="105">
        <v>22333.95</v>
      </c>
      <c r="I64" s="105">
        <v>26146.799999999999</v>
      </c>
      <c r="J64" s="105">
        <v>28640.276999999998</v>
      </c>
      <c r="K64" s="171">
        <f t="shared" si="57"/>
        <v>28864.540999999997</v>
      </c>
      <c r="L64" s="240"/>
      <c r="M64" s="105">
        <v>3371.5520000000001</v>
      </c>
      <c r="N64" s="105">
        <v>3560.1219999999998</v>
      </c>
      <c r="O64" s="105">
        <v>3488.5419999999999</v>
      </c>
      <c r="P64" s="154">
        <f>E64-SUM(M64:O64)</f>
        <v>4224.0669999999991</v>
      </c>
      <c r="Q64" s="105">
        <v>4754.7290000000003</v>
      </c>
      <c r="R64" s="105">
        <v>5213.7690000000002</v>
      </c>
      <c r="S64" s="105">
        <v>5397.2510000000002</v>
      </c>
      <c r="T64" s="178">
        <f>F64-SUM(Q64:S64)</f>
        <v>5529.3919999999998</v>
      </c>
      <c r="U64" s="105">
        <v>5034.13</v>
      </c>
      <c r="V64" s="105">
        <v>5090.1509999999998</v>
      </c>
      <c r="W64" s="105">
        <f>W11+W55</f>
        <v>5091.8850000000002</v>
      </c>
      <c r="X64" s="178">
        <f>G64-SUM(U64:W64)</f>
        <v>5130.9220000000005</v>
      </c>
      <c r="Y64" s="105">
        <v>5079.7470000000003</v>
      </c>
      <c r="Z64" s="105">
        <v>5517.8810000000003</v>
      </c>
      <c r="AA64" s="105">
        <f>AA11+AA55</f>
        <v>5771.1919999999991</v>
      </c>
      <c r="AB64" s="178">
        <f>H64-SUM(Y64:AA64)</f>
        <v>5965.130000000001</v>
      </c>
      <c r="AC64" s="105">
        <v>5975.3649999999998</v>
      </c>
      <c r="AD64" s="105">
        <v>6472.6869999999999</v>
      </c>
      <c r="AE64" s="105">
        <v>6554.5810000000001</v>
      </c>
      <c r="AF64" s="178">
        <f t="shared" si="58"/>
        <v>7144.1669999999976</v>
      </c>
      <c r="AG64" s="105">
        <v>6981.84</v>
      </c>
      <c r="AH64" s="105">
        <v>6855.7690000000002</v>
      </c>
      <c r="AI64" s="105">
        <v>7210.6319999999996</v>
      </c>
      <c r="AJ64" s="178">
        <f t="shared" si="59"/>
        <v>7592.0359999999964</v>
      </c>
      <c r="AK64" s="105">
        <v>7206.1040000000003</v>
      </c>
    </row>
    <row r="65" spans="2:37">
      <c r="B65" s="113" t="s">
        <v>274</v>
      </c>
      <c r="C65" s="164"/>
      <c r="D65" s="164"/>
      <c r="E65" s="164"/>
      <c r="F65" s="227"/>
      <c r="G65" s="227"/>
      <c r="H65" s="227"/>
      <c r="I65" s="105">
        <v>6050.3</v>
      </c>
      <c r="J65" s="105">
        <v>25763.460999999999</v>
      </c>
      <c r="K65" s="171">
        <f t="shared" si="57"/>
        <v>25452.003000000001</v>
      </c>
      <c r="L65" s="240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05">
        <v>3.2749999999999999</v>
      </c>
      <c r="AD65" s="105">
        <v>979.78499999999997</v>
      </c>
      <c r="AE65" s="105">
        <v>1660.4290000000001</v>
      </c>
      <c r="AF65" s="178">
        <f t="shared" si="58"/>
        <v>3406.8110000000001</v>
      </c>
      <c r="AG65" s="105">
        <v>4305.3329999999996</v>
      </c>
      <c r="AH65" s="105">
        <v>5620.8389999999999</v>
      </c>
      <c r="AI65" s="105">
        <v>7384.0060000000003</v>
      </c>
      <c r="AJ65" s="178">
        <f t="shared" si="59"/>
        <v>8453.2829999999994</v>
      </c>
      <c r="AK65" s="105">
        <v>3993.875</v>
      </c>
    </row>
    <row r="66" spans="2:37">
      <c r="B66" s="62" t="s">
        <v>275</v>
      </c>
      <c r="C66" s="105">
        <v>366.22699999999998</v>
      </c>
      <c r="D66" s="105">
        <v>-2.4900000000000002</v>
      </c>
      <c r="E66" s="105">
        <v>298.01799999999997</v>
      </c>
      <c r="F66" s="105">
        <v>1413.2180000000001</v>
      </c>
      <c r="G66" s="105">
        <v>762.86</v>
      </c>
      <c r="H66" s="105">
        <v>-916.89400000000001</v>
      </c>
      <c r="I66" s="105">
        <v>-982.8</v>
      </c>
      <c r="J66" s="105">
        <v>-1287.4290000000001</v>
      </c>
      <c r="K66" s="171">
        <f t="shared" si="57"/>
        <v>-1050.8890000000001</v>
      </c>
      <c r="L66" s="240"/>
      <c r="M66" s="105">
        <v>-6.76</v>
      </c>
      <c r="N66" s="105">
        <v>112.67</v>
      </c>
      <c r="O66" s="105">
        <v>107.673</v>
      </c>
      <c r="P66" s="154">
        <f>E66-SUM(M66:O66)</f>
        <v>84.434999999999974</v>
      </c>
      <c r="Q66" s="105">
        <v>120.36799999999999</v>
      </c>
      <c r="R66" s="105">
        <v>198.43100000000001</v>
      </c>
      <c r="S66" s="105">
        <v>353.01799999999997</v>
      </c>
      <c r="T66" s="178">
        <f>F66-SUM(Q66:S66)</f>
        <v>741.40100000000007</v>
      </c>
      <c r="U66" s="105">
        <v>111.547</v>
      </c>
      <c r="V66" s="105">
        <v>187.05199999999999</v>
      </c>
      <c r="W66" s="105">
        <f>W13+W57</f>
        <v>275.90999999999985</v>
      </c>
      <c r="X66" s="178">
        <f>G66-SUM(U66:W66)</f>
        <v>188.35100000000023</v>
      </c>
      <c r="Y66" s="105">
        <v>-67.861000000000004</v>
      </c>
      <c r="Z66" s="105">
        <v>-141.93700000000001</v>
      </c>
      <c r="AA66" s="105">
        <f>AA13+AA57</f>
        <v>-276.84799999999996</v>
      </c>
      <c r="AB66" s="178">
        <f>H66-SUM(Y66:AA66)</f>
        <v>-430.24800000000005</v>
      </c>
      <c r="AC66" s="105">
        <v>-75.582999999999998</v>
      </c>
      <c r="AD66" s="105">
        <f>8.648</f>
        <v>8.6479999999999997</v>
      </c>
      <c r="AE66" s="105">
        <f>(-299.288)</f>
        <v>-299.28800000000001</v>
      </c>
      <c r="AF66" s="178">
        <f t="shared" si="58"/>
        <v>-616.577</v>
      </c>
      <c r="AG66" s="105">
        <v>-318.78199999999998</v>
      </c>
      <c r="AH66" s="105">
        <f>-317.446</f>
        <v>-317.44600000000003</v>
      </c>
      <c r="AI66" s="105">
        <f>(-349088)/1000</f>
        <v>-349.08800000000002</v>
      </c>
      <c r="AJ66" s="178">
        <f t="shared" si="59"/>
        <v>-302.11300000000006</v>
      </c>
      <c r="AK66" s="105">
        <v>-82.242000000000004</v>
      </c>
    </row>
    <row r="67" spans="2:37" s="75" customFormat="1">
      <c r="B67" s="80" t="s">
        <v>285</v>
      </c>
      <c r="C67" s="79">
        <f t="shared" ref="C67:G67" si="60">SUM(C62:C66)</f>
        <v>22191.938999999998</v>
      </c>
      <c r="D67" s="79">
        <f t="shared" si="60"/>
        <v>28554.032999999999</v>
      </c>
      <c r="E67" s="79">
        <f t="shared" si="60"/>
        <v>36751.861999999994</v>
      </c>
      <c r="F67" s="79">
        <f t="shared" si="60"/>
        <v>58260.940999999999</v>
      </c>
      <c r="G67" s="79">
        <f t="shared" si="60"/>
        <v>47577.19</v>
      </c>
      <c r="H67" s="79">
        <f t="shared" ref="H67:I67" si="61">SUM(H62:H66)</f>
        <v>57476.239000000001</v>
      </c>
      <c r="I67" s="79">
        <f t="shared" si="61"/>
        <v>76560.2</v>
      </c>
      <c r="J67" s="79">
        <f t="shared" ref="J67" si="62">SUM(J62:J66)</f>
        <v>101805.84699999999</v>
      </c>
      <c r="K67" s="172">
        <f>SUM(K62:K66)</f>
        <v>98210.057000000001</v>
      </c>
      <c r="L67" s="240"/>
      <c r="M67" s="79">
        <f t="shared" ref="M67:S67" si="63">SUM(M62:M66)</f>
        <v>7558.4570000000003</v>
      </c>
      <c r="N67" s="79">
        <f t="shared" si="63"/>
        <v>7701.4459999999999</v>
      </c>
      <c r="O67" s="79">
        <f t="shared" si="63"/>
        <v>10165.656000000001</v>
      </c>
      <c r="P67" s="79">
        <f t="shared" si="63"/>
        <v>11326.302999999998</v>
      </c>
      <c r="Q67" s="79">
        <f t="shared" si="63"/>
        <v>14161.231000000002</v>
      </c>
      <c r="R67" s="79">
        <f t="shared" si="63"/>
        <v>15148.042000000001</v>
      </c>
      <c r="S67" s="79">
        <f t="shared" si="63"/>
        <v>14292.221</v>
      </c>
      <c r="T67" s="179">
        <f t="shared" ref="T67:W67" si="64">SUM(T62:T66)</f>
        <v>14659.447</v>
      </c>
      <c r="U67" s="79">
        <f t="shared" si="64"/>
        <v>12709.746000000001</v>
      </c>
      <c r="V67" s="79">
        <f t="shared" si="64"/>
        <v>11768.035</v>
      </c>
      <c r="W67" s="79">
        <f t="shared" si="64"/>
        <v>11721.909000000001</v>
      </c>
      <c r="X67" s="179">
        <f t="shared" ref="X67:AA67" si="65">SUM(X62:X66)</f>
        <v>11377.499999999998</v>
      </c>
      <c r="Y67" s="79">
        <f t="shared" si="65"/>
        <v>11591.566999999999</v>
      </c>
      <c r="Z67" s="79">
        <f t="shared" si="65"/>
        <v>14161.016000000001</v>
      </c>
      <c r="AA67" s="79">
        <f t="shared" si="65"/>
        <v>16109.711000000001</v>
      </c>
      <c r="AB67" s="179">
        <f t="shared" ref="AB67:AC67" si="66">SUM(AB62:AB66)</f>
        <v>15613.944999999998</v>
      </c>
      <c r="AC67" s="79">
        <f t="shared" si="66"/>
        <v>16829.717000000004</v>
      </c>
      <c r="AD67" s="79">
        <f t="shared" ref="AD67:AG67" si="67">SUM(AD62:AD66)</f>
        <v>18394.177</v>
      </c>
      <c r="AE67" s="79">
        <f t="shared" si="67"/>
        <v>18881.41</v>
      </c>
      <c r="AF67" s="179">
        <f t="shared" si="67"/>
        <v>22454.895999999993</v>
      </c>
      <c r="AG67" s="79">
        <f t="shared" si="67"/>
        <v>25405.91</v>
      </c>
      <c r="AH67" s="79">
        <f t="shared" ref="AH67:AK67" si="68">SUM(AH62:AH66)</f>
        <v>26100.957999999999</v>
      </c>
      <c r="AI67" s="79">
        <f t="shared" si="68"/>
        <v>25936.166000000001</v>
      </c>
      <c r="AJ67" s="179">
        <f t="shared" si="68"/>
        <v>24362.812999999995</v>
      </c>
      <c r="AK67" s="79">
        <f t="shared" si="68"/>
        <v>21810.120000000003</v>
      </c>
    </row>
    <row r="68" spans="2:37" s="174" customFormat="1">
      <c r="B68" s="238" t="s">
        <v>22</v>
      </c>
      <c r="C68" s="238">
        <f>C67-Model!C10</f>
        <v>0</v>
      </c>
      <c r="D68" s="238">
        <f>D67-Model!D10</f>
        <v>0</v>
      </c>
      <c r="E68" s="238">
        <f>E67-Model!E10</f>
        <v>0</v>
      </c>
      <c r="F68" s="238">
        <f>F67-Model!F10</f>
        <v>0</v>
      </c>
      <c r="G68" s="238">
        <f>G67-Model!G10</f>
        <v>0</v>
      </c>
      <c r="H68" s="238">
        <f>H67-Model!H10</f>
        <v>3.9000000018859282E-2</v>
      </c>
      <c r="I68" s="239">
        <f>I67-Model!I10</f>
        <v>6.000000037602149E-3</v>
      </c>
      <c r="J68" s="239">
        <f>J67-Model!J10</f>
        <v>0</v>
      </c>
      <c r="K68" s="239">
        <f>K67-Model!K10</f>
        <v>0</v>
      </c>
      <c r="L68" s="240"/>
      <c r="M68" s="238">
        <f>M67-Model!M10</f>
        <v>0</v>
      </c>
      <c r="N68" s="238">
        <f>N67-Model!N10</f>
        <v>0</v>
      </c>
      <c r="O68" s="238">
        <f>O67-Model!O10</f>
        <v>0</v>
      </c>
      <c r="P68" s="238">
        <f>P67-Model!P10</f>
        <v>0</v>
      </c>
      <c r="Q68" s="238">
        <f>Q67-Model!Q10</f>
        <v>0</v>
      </c>
      <c r="R68" s="238">
        <f>R67-Model!R10</f>
        <v>0</v>
      </c>
      <c r="S68" s="238">
        <f>S67-Model!S10</f>
        <v>0</v>
      </c>
      <c r="T68" s="238">
        <f>T67-Model!T10</f>
        <v>1.4551915228366852E-11</v>
      </c>
      <c r="U68" s="238">
        <f>U67-Model!U10</f>
        <v>0</v>
      </c>
      <c r="V68" s="238">
        <f>V67-Model!V10</f>
        <v>0</v>
      </c>
      <c r="W68" s="238">
        <f>W67-Model!W10</f>
        <v>0</v>
      </c>
      <c r="X68" s="238">
        <f>X67-Model!X10</f>
        <v>0</v>
      </c>
      <c r="Y68" s="238">
        <f>Y67-Model!Y10</f>
        <v>0</v>
      </c>
      <c r="Z68" s="238">
        <f>Z67-Model!Z10</f>
        <v>0</v>
      </c>
      <c r="AA68" s="238">
        <f>AA67-Model!AA10</f>
        <v>0</v>
      </c>
      <c r="AB68" s="238">
        <f>AB67-Model!AB10</f>
        <v>3.8999999980660505E-2</v>
      </c>
      <c r="AC68" s="239">
        <f>AC67-Model!AC10</f>
        <v>0</v>
      </c>
      <c r="AD68" s="239">
        <f>AD67-Model!AD10</f>
        <v>0</v>
      </c>
      <c r="AE68" s="239">
        <f>AE67-Model!AE10</f>
        <v>0</v>
      </c>
      <c r="AF68" s="239">
        <f>AF67-Model!AF10</f>
        <v>6.000000037602149E-3</v>
      </c>
      <c r="AG68" s="239">
        <f>AG67-Model!AG10</f>
        <v>0</v>
      </c>
      <c r="AH68" s="239">
        <f>AH67-Model!AH10</f>
        <v>0</v>
      </c>
      <c r="AI68" s="239">
        <f>AI67-Model!AI10</f>
        <v>0</v>
      </c>
      <c r="AJ68" s="239">
        <f>AJ67-Model!AJ10</f>
        <v>2.9103830456733704E-11</v>
      </c>
      <c r="AK68" s="239">
        <f>AK67-Model!AK10</f>
        <v>0</v>
      </c>
    </row>
    <row r="70" spans="2:37">
      <c r="B70" s="80" t="s">
        <v>287</v>
      </c>
    </row>
    <row r="71" spans="2:37">
      <c r="B71" s="113" t="s">
        <v>271</v>
      </c>
      <c r="C71" s="247">
        <f>C62/C9</f>
        <v>6.1891345430058559E-2</v>
      </c>
      <c r="D71" s="247">
        <f t="shared" ref="D71:AJ76" si="69">D62/D9</f>
        <v>7.1742154792923091E-2</v>
      </c>
      <c r="E71" s="247">
        <f t="shared" si="69"/>
        <v>8.6759114906555079E-2</v>
      </c>
      <c r="F71" s="247">
        <f t="shared" si="69"/>
        <v>0.11902721162797664</v>
      </c>
      <c r="G71" s="247">
        <f t="shared" si="69"/>
        <v>8.9516892155164188E-2</v>
      </c>
      <c r="H71" s="247">
        <f t="shared" si="69"/>
        <v>0.14594434950048044</v>
      </c>
      <c r="I71" s="247">
        <f t="shared" si="69"/>
        <v>0.12648043667243258</v>
      </c>
      <c r="J71" s="247">
        <f t="shared" si="69"/>
        <v>0.10870081656448237</v>
      </c>
      <c r="K71" s="247">
        <f t="shared" si="69"/>
        <v>0.1024987979533013</v>
      </c>
      <c r="M71" s="247">
        <f t="shared" si="69"/>
        <v>8.0870944806321884E-2</v>
      </c>
      <c r="N71" s="247">
        <f t="shared" si="69"/>
        <v>7.2435552941519432E-2</v>
      </c>
      <c r="O71" s="247">
        <f t="shared" si="69"/>
        <v>8.379629558635171E-2</v>
      </c>
      <c r="P71" s="247">
        <f t="shared" si="69"/>
        <v>0.10488103456905751</v>
      </c>
      <c r="Q71" s="247">
        <f t="shared" si="69"/>
        <v>0.12883030413305568</v>
      </c>
      <c r="R71" s="247">
        <f t="shared" si="69"/>
        <v>0.11835403169962552</v>
      </c>
      <c r="S71" s="247">
        <f t="shared" si="69"/>
        <v>0.12788501194314295</v>
      </c>
      <c r="T71" s="247">
        <f t="shared" si="69"/>
        <v>0.10141830426426598</v>
      </c>
      <c r="U71" s="247">
        <f t="shared" si="69"/>
        <v>9.8816111964050032E-2</v>
      </c>
      <c r="V71" s="247">
        <f t="shared" si="69"/>
        <v>8.6656546348600191E-2</v>
      </c>
      <c r="W71" s="247">
        <f t="shared" si="69"/>
        <v>8.900283973094282E-2</v>
      </c>
      <c r="X71" s="247">
        <f t="shared" si="69"/>
        <v>8.1805279778569814E-2</v>
      </c>
      <c r="Y71" s="247">
        <f t="shared" si="69"/>
        <v>0.11242091053054951</v>
      </c>
      <c r="Z71" s="247">
        <f t="shared" si="69"/>
        <v>0.13321250414088237</v>
      </c>
      <c r="AA71" s="247">
        <f t="shared" si="69"/>
        <v>0.1663903690191284</v>
      </c>
      <c r="AB71" s="247">
        <f t="shared" si="69"/>
        <v>0.16374094527765398</v>
      </c>
      <c r="AC71" s="247">
        <f t="shared" si="69"/>
        <v>0.14800473961261579</v>
      </c>
      <c r="AD71" s="247">
        <f t="shared" si="69"/>
        <v>0.12145092913467077</v>
      </c>
      <c r="AE71" s="247">
        <f t="shared" si="69"/>
        <v>0.11690845742349733</v>
      </c>
      <c r="AF71" s="247">
        <f t="shared" si="69"/>
        <v>0.1203944516350428</v>
      </c>
      <c r="AG71" s="247">
        <f t="shared" si="69"/>
        <v>0.12413374216430142</v>
      </c>
      <c r="AH71" s="247">
        <f t="shared" si="69"/>
        <v>0.11468042548058371</v>
      </c>
      <c r="AI71" s="247">
        <f t="shared" si="69"/>
        <v>0.1108460920871786</v>
      </c>
      <c r="AJ71" s="247">
        <f t="shared" si="69"/>
        <v>8.2721339096563956E-2</v>
      </c>
      <c r="AK71" s="247">
        <f t="shared" ref="AK71" si="70">AK62/AK9</f>
        <v>0.10111385113534828</v>
      </c>
    </row>
    <row r="72" spans="2:37">
      <c r="B72" s="113" t="s">
        <v>272</v>
      </c>
      <c r="C72" s="247">
        <f t="shared" ref="C72:R76" si="71">C63/C10</f>
        <v>0.10294549692430213</v>
      </c>
      <c r="D72" s="247">
        <f t="shared" si="71"/>
        <v>0.1119974749387152</v>
      </c>
      <c r="E72" s="247">
        <f t="shared" si="71"/>
        <v>0.12765993428348568</v>
      </c>
      <c r="F72" s="247">
        <f t="shared" si="71"/>
        <v>0.13051872604946546</v>
      </c>
      <c r="G72" s="247">
        <f t="shared" si="71"/>
        <v>0.14410047903200604</v>
      </c>
      <c r="H72" s="247">
        <f t="shared" si="71"/>
        <v>0.16326265764714254</v>
      </c>
      <c r="I72" s="247">
        <f t="shared" si="71"/>
        <v>0.20260624241743105</v>
      </c>
      <c r="J72" s="247">
        <f t="shared" si="71"/>
        <v>0.2307089118068007</v>
      </c>
      <c r="K72" s="247">
        <f t="shared" si="71"/>
        <v>0.22921728781940062</v>
      </c>
      <c r="M72" s="247">
        <f t="shared" si="71"/>
        <v>0.13410721701315936</v>
      </c>
      <c r="N72" s="247">
        <f t="shared" si="71"/>
        <v>0.11392578759614257</v>
      </c>
      <c r="O72" s="247">
        <f t="shared" si="71"/>
        <v>0.14241337873608073</v>
      </c>
      <c r="P72" s="247">
        <f t="shared" si="71"/>
        <v>0.12093706404508409</v>
      </c>
      <c r="Q72" s="247">
        <f t="shared" si="71"/>
        <v>0.14539802547427497</v>
      </c>
      <c r="R72" s="247">
        <f t="shared" si="71"/>
        <v>0.13226262862922544</v>
      </c>
      <c r="S72" s="247">
        <f t="shared" si="69"/>
        <v>0.11587272313796093</v>
      </c>
      <c r="T72" s="247">
        <f t="shared" si="69"/>
        <v>0.13047946708326391</v>
      </c>
      <c r="U72" s="247">
        <f t="shared" si="69"/>
        <v>0.15618022506852444</v>
      </c>
      <c r="V72" s="247">
        <f t="shared" si="69"/>
        <v>0.14274580841696444</v>
      </c>
      <c r="W72" s="247">
        <f t="shared" si="69"/>
        <v>0.13485877906974317</v>
      </c>
      <c r="X72" s="247">
        <f t="shared" si="69"/>
        <v>0.14259403903453594</v>
      </c>
      <c r="Y72" s="247">
        <f t="shared" si="69"/>
        <v>0.1572233738086902</v>
      </c>
      <c r="Z72" s="247">
        <f t="shared" si="69"/>
        <v>0.1757042574085779</v>
      </c>
      <c r="AA72" s="247">
        <f t="shared" si="69"/>
        <v>0.17826798502435287</v>
      </c>
      <c r="AB72" s="247">
        <f t="shared" si="69"/>
        <v>0.13940532532091729</v>
      </c>
      <c r="AC72" s="247">
        <f t="shared" si="69"/>
        <v>0.1986619473964425</v>
      </c>
      <c r="AD72" s="247">
        <f t="shared" si="69"/>
        <v>0.19744162060963441</v>
      </c>
      <c r="AE72" s="247">
        <f t="shared" si="69"/>
        <v>0.20757322707597936</v>
      </c>
      <c r="AF72" s="247">
        <f t="shared" si="69"/>
        <v>0.2054867979728747</v>
      </c>
      <c r="AG72" s="247">
        <f t="shared" si="69"/>
        <v>0.25216639330418278</v>
      </c>
      <c r="AH72" s="247">
        <f t="shared" si="69"/>
        <v>0.22529209367404598</v>
      </c>
      <c r="AI72" s="247">
        <f t="shared" si="69"/>
        <v>0.23936889873042599</v>
      </c>
      <c r="AJ72" s="247">
        <f t="shared" si="69"/>
        <v>0.20132185485917206</v>
      </c>
      <c r="AK72" s="247">
        <f t="shared" ref="AK72" si="72">AK63/AK10</f>
        <v>0.25184135411480102</v>
      </c>
    </row>
    <row r="73" spans="2:37">
      <c r="B73" s="113" t="s">
        <v>273</v>
      </c>
      <c r="C73" s="247">
        <f t="shared" si="71"/>
        <v>0.64376952532778853</v>
      </c>
      <c r="D73" s="247">
        <f t="shared" si="69"/>
        <v>0.64730127945022897</v>
      </c>
      <c r="E73" s="247">
        <f t="shared" si="69"/>
        <v>0.6164642099642248</v>
      </c>
      <c r="F73" s="247">
        <f t="shared" si="69"/>
        <v>0.74065412982872125</v>
      </c>
      <c r="G73" s="247">
        <f t="shared" si="69"/>
        <v>0.71843398945336268</v>
      </c>
      <c r="H73" s="247">
        <f t="shared" si="69"/>
        <v>0.74180685875612395</v>
      </c>
      <c r="I73" s="247">
        <f t="shared" si="69"/>
        <v>0.7664222022898749</v>
      </c>
      <c r="J73" s="247">
        <f t="shared" si="69"/>
        <v>0.76495759414189179</v>
      </c>
      <c r="K73" s="247">
        <f t="shared" si="69"/>
        <v>0.76295429906407419</v>
      </c>
      <c r="M73" s="247">
        <f t="shared" si="69"/>
        <v>0.57138208780794675</v>
      </c>
      <c r="N73" s="247">
        <f t="shared" si="69"/>
        <v>0.60263209166600229</v>
      </c>
      <c r="O73" s="247">
        <f t="shared" si="69"/>
        <v>0.60440202429360224</v>
      </c>
      <c r="P73" s="247">
        <f t="shared" si="69"/>
        <v>0.68405079255679013</v>
      </c>
      <c r="Q73" s="247">
        <f t="shared" si="69"/>
        <v>0.72360964673052863</v>
      </c>
      <c r="R73" s="247">
        <f t="shared" si="69"/>
        <v>0.74127797492196978</v>
      </c>
      <c r="S73" s="247">
        <f t="shared" si="69"/>
        <v>0.73553504790295043</v>
      </c>
      <c r="T73" s="247">
        <f t="shared" si="69"/>
        <v>0.76062401137237268</v>
      </c>
      <c r="U73" s="247">
        <f t="shared" si="69"/>
        <v>0.70778818249215714</v>
      </c>
      <c r="V73" s="247">
        <f t="shared" si="69"/>
        <v>0.73017682521935856</v>
      </c>
      <c r="W73" s="247">
        <f t="shared" si="69"/>
        <v>0.72055747955414429</v>
      </c>
      <c r="X73" s="247">
        <f t="shared" si="69"/>
        <v>0.71548492724630619</v>
      </c>
      <c r="Y73" s="247">
        <f t="shared" si="69"/>
        <v>0.72277177429957373</v>
      </c>
      <c r="Z73" s="247">
        <f t="shared" si="69"/>
        <v>0.7412442828723339</v>
      </c>
      <c r="AA73" s="247">
        <f t="shared" si="69"/>
        <v>0.7441385725341414</v>
      </c>
      <c r="AB73" s="247">
        <f t="shared" si="69"/>
        <v>0.75702126682114723</v>
      </c>
      <c r="AC73" s="247">
        <f t="shared" si="69"/>
        <v>0.74243049815099504</v>
      </c>
      <c r="AD73" s="247">
        <f t="shared" si="69"/>
        <v>0.78308737417731311</v>
      </c>
      <c r="AE73" s="247">
        <f t="shared" si="69"/>
        <v>0.77451618594161487</v>
      </c>
      <c r="AF73" s="247">
        <f t="shared" si="69"/>
        <v>0.76501395818007145</v>
      </c>
      <c r="AG73" s="247">
        <f t="shared" si="69"/>
        <v>0.76925577150618818</v>
      </c>
      <c r="AH73" s="247">
        <f t="shared" si="69"/>
        <v>0.75356777892372706</v>
      </c>
      <c r="AI73" s="247">
        <f t="shared" si="69"/>
        <v>0.76868606926053973</v>
      </c>
      <c r="AJ73" s="247">
        <f t="shared" si="69"/>
        <v>0.76795537302203332</v>
      </c>
      <c r="AK73" s="247">
        <f t="shared" ref="AK73" si="73">AK64/AK11</f>
        <v>0.76107315892342764</v>
      </c>
    </row>
    <row r="74" spans="2:37">
      <c r="B74" s="113" t="s">
        <v>274</v>
      </c>
      <c r="C74" s="247" t="e">
        <f t="shared" si="71"/>
        <v>#DIV/0!</v>
      </c>
      <c r="D74" s="247" t="e">
        <f t="shared" si="69"/>
        <v>#DIV/0!</v>
      </c>
      <c r="E74" s="247" t="e">
        <f t="shared" si="69"/>
        <v>#DIV/0!</v>
      </c>
      <c r="F74" s="247" t="e">
        <f t="shared" si="69"/>
        <v>#DIV/0!</v>
      </c>
      <c r="G74" s="247" t="e">
        <f t="shared" si="69"/>
        <v>#DIV/0!</v>
      </c>
      <c r="H74" s="247" t="e">
        <f t="shared" si="69"/>
        <v>#DIV/0!</v>
      </c>
      <c r="I74" s="247">
        <f t="shared" si="69"/>
        <v>0.18472167944897661</v>
      </c>
      <c r="J74" s="247">
        <f t="shared" si="69"/>
        <v>0.24289223426527845</v>
      </c>
      <c r="K74" s="247">
        <f t="shared" si="69"/>
        <v>0.23708511100182558</v>
      </c>
      <c r="M74" s="247" t="e">
        <f t="shared" si="69"/>
        <v>#DIV/0!</v>
      </c>
      <c r="N74" s="247" t="e">
        <f t="shared" si="69"/>
        <v>#DIV/0!</v>
      </c>
      <c r="O74" s="247" t="e">
        <f t="shared" si="69"/>
        <v>#DIV/0!</v>
      </c>
      <c r="P74" s="247" t="e">
        <f t="shared" si="69"/>
        <v>#DIV/0!</v>
      </c>
      <c r="Q74" s="247" t="e">
        <f t="shared" si="69"/>
        <v>#DIV/0!</v>
      </c>
      <c r="R74" s="247" t="e">
        <f t="shared" si="69"/>
        <v>#DIV/0!</v>
      </c>
      <c r="S74" s="247" t="e">
        <f t="shared" si="69"/>
        <v>#DIV/0!</v>
      </c>
      <c r="T74" s="247" t="e">
        <f t="shared" si="69"/>
        <v>#DIV/0!</v>
      </c>
      <c r="U74" s="247" t="e">
        <f t="shared" si="69"/>
        <v>#DIV/0!</v>
      </c>
      <c r="V74" s="247" t="e">
        <f t="shared" si="69"/>
        <v>#DIV/0!</v>
      </c>
      <c r="W74" s="247" t="e">
        <f t="shared" si="69"/>
        <v>#DIV/0!</v>
      </c>
      <c r="X74" s="247" t="e">
        <f t="shared" si="69"/>
        <v>#DIV/0!</v>
      </c>
      <c r="Y74" s="247" t="e">
        <f t="shared" si="69"/>
        <v>#DIV/0!</v>
      </c>
      <c r="Z74" s="247" t="e">
        <f t="shared" si="69"/>
        <v>#DIV/0!</v>
      </c>
      <c r="AA74" s="247" t="e">
        <f t="shared" si="69"/>
        <v>#DIV/0!</v>
      </c>
      <c r="AB74" s="247" t="e">
        <f t="shared" si="69"/>
        <v>#DIV/0!</v>
      </c>
      <c r="AC74" s="247">
        <f t="shared" si="69"/>
        <v>0.12580669944683467</v>
      </c>
      <c r="AD74" s="247">
        <f t="shared" si="69"/>
        <v>0.15384138299208641</v>
      </c>
      <c r="AE74" s="247">
        <f t="shared" si="69"/>
        <v>0.171228839366353</v>
      </c>
      <c r="AF74" s="247">
        <f t="shared" si="69"/>
        <v>0.2044704018825525</v>
      </c>
      <c r="AG74" s="247">
        <f t="shared" si="69"/>
        <v>0.23171786535730635</v>
      </c>
      <c r="AH74" s="247">
        <f t="shared" si="69"/>
        <v>0.26434506950579179</v>
      </c>
      <c r="AI74" s="247">
        <f t="shared" si="69"/>
        <v>0.25453235440030381</v>
      </c>
      <c r="AJ74" s="247">
        <f t="shared" si="69"/>
        <v>0.22714050931080998</v>
      </c>
      <c r="AK74" s="247">
        <f t="shared" ref="AK74" si="74">AK65/AK12</f>
        <v>0.20105674382490057</v>
      </c>
    </row>
    <row r="75" spans="2:37">
      <c r="B75" s="62" t="s">
        <v>275</v>
      </c>
      <c r="C75" s="247">
        <f t="shared" si="71"/>
        <v>0.2727752801289442</v>
      </c>
      <c r="D75" s="247">
        <f t="shared" si="69"/>
        <v>-1.3724921701802099E-3</v>
      </c>
      <c r="E75" s="247">
        <f t="shared" si="69"/>
        <v>0.11877940409819991</v>
      </c>
      <c r="F75" s="247">
        <f t="shared" si="69"/>
        <v>0.22617404713072942</v>
      </c>
      <c r="G75" s="247">
        <f t="shared" si="69"/>
        <v>0.16194821885830815</v>
      </c>
      <c r="H75" s="247">
        <f t="shared" si="69"/>
        <v>-0.27838656788923977</v>
      </c>
      <c r="I75" s="247">
        <f t="shared" si="69"/>
        <v>-0.30962132190788233</v>
      </c>
      <c r="J75" s="247">
        <f t="shared" si="69"/>
        <v>-0.3112092263214129</v>
      </c>
      <c r="K75" s="247">
        <f t="shared" si="69"/>
        <v>-0.24409544838171554</v>
      </c>
      <c r="M75" s="247">
        <f t="shared" si="69"/>
        <v>-1.3724773622446907E-2</v>
      </c>
      <c r="N75" s="247">
        <f t="shared" si="69"/>
        <v>0.15027335158789329</v>
      </c>
      <c r="O75" s="247">
        <f t="shared" si="69"/>
        <v>0.16125157810082774</v>
      </c>
      <c r="P75" s="247">
        <f t="shared" si="69"/>
        <v>0.140968405446738</v>
      </c>
      <c r="Q75" s="247">
        <f t="shared" si="69"/>
        <v>0.20858655437429055</v>
      </c>
      <c r="R75" s="247">
        <f t="shared" si="69"/>
        <v>0.21295061154711709</v>
      </c>
      <c r="S75" s="247">
        <f t="shared" si="69"/>
        <v>0.17969782780328314</v>
      </c>
      <c r="T75" s="247">
        <f t="shared" si="69"/>
        <v>0.2671740347837494</v>
      </c>
      <c r="U75" s="247">
        <f t="shared" si="69"/>
        <v>0.11166145298931404</v>
      </c>
      <c r="V75" s="247">
        <f t="shared" si="69"/>
        <v>0.16700430251338566</v>
      </c>
      <c r="W75" s="247">
        <f t="shared" si="69"/>
        <v>0.15037680040941986</v>
      </c>
      <c r="X75" s="247">
        <f t="shared" si="69"/>
        <v>0.24890810073621467</v>
      </c>
      <c r="Y75" s="247">
        <f t="shared" si="69"/>
        <v>-0.10763762217308688</v>
      </c>
      <c r="Z75" s="247">
        <f t="shared" si="69"/>
        <v>-0.13371336087920702</v>
      </c>
      <c r="AA75" s="247">
        <f t="shared" si="69"/>
        <v>-0.33900197880135574</v>
      </c>
      <c r="AB75" s="247">
        <f t="shared" si="69"/>
        <v>-0.54809779562385996</v>
      </c>
      <c r="AC75" s="247">
        <f t="shared" si="69"/>
        <v>-0.13050227049052956</v>
      </c>
      <c r="AD75" s="247">
        <f t="shared" si="69"/>
        <v>8.8543053138118149E-3</v>
      </c>
      <c r="AE75" s="247">
        <f t="shared" si="69"/>
        <v>-0.3778345036194285</v>
      </c>
      <c r="AF75" s="247">
        <f t="shared" si="69"/>
        <v>-0.74626610958877593</v>
      </c>
      <c r="AG75" s="247">
        <f t="shared" si="69"/>
        <v>-0.46470424452870229</v>
      </c>
      <c r="AH75" s="247">
        <f t="shared" si="69"/>
        <v>-0.23291643371061213</v>
      </c>
      <c r="AI75" s="247">
        <f t="shared" si="69"/>
        <v>-0.28874110835401162</v>
      </c>
      <c r="AJ75" s="247">
        <f t="shared" si="69"/>
        <v>-0.34371917497295101</v>
      </c>
      <c r="AK75" s="247">
        <f t="shared" ref="AK75" si="75">AK66/AK13</f>
        <v>-9.6260740407810699E-2</v>
      </c>
    </row>
    <row r="76" spans="2:37">
      <c r="B76" s="80" t="s">
        <v>285</v>
      </c>
      <c r="C76" s="248">
        <f t="shared" si="71"/>
        <v>0.12687239561633859</v>
      </c>
      <c r="D76" s="248">
        <f t="shared" si="69"/>
        <v>0.13872044225390057</v>
      </c>
      <c r="E76" s="248">
        <f t="shared" si="69"/>
        <v>0.1494794597828156</v>
      </c>
      <c r="F76" s="248">
        <f t="shared" si="69"/>
        <v>0.17745756366305301</v>
      </c>
      <c r="G76" s="248">
        <f t="shared" si="69"/>
        <v>0.16989182871881112</v>
      </c>
      <c r="H76" s="248">
        <f t="shared" si="69"/>
        <v>0.21211284566083125</v>
      </c>
      <c r="I76" s="248">
        <f t="shared" si="69"/>
        <v>0.20923438343795026</v>
      </c>
      <c r="J76" s="248">
        <f t="shared" si="69"/>
        <v>0.22263024464563078</v>
      </c>
      <c r="K76" s="248">
        <f t="shared" si="69"/>
        <v>0.22062984052063958</v>
      </c>
      <c r="M76" s="248">
        <f t="shared" si="69"/>
        <v>0.1520749990639241</v>
      </c>
      <c r="N76" s="248">
        <f t="shared" si="69"/>
        <v>0.14385061173128036</v>
      </c>
      <c r="O76" s="248">
        <f t="shared" si="69"/>
        <v>0.14087118626269055</v>
      </c>
      <c r="P76" s="248">
        <f t="shared" si="69"/>
        <v>0.16074140536172207</v>
      </c>
      <c r="Q76" s="248">
        <f t="shared" si="69"/>
        <v>0.18419397227416717</v>
      </c>
      <c r="R76" s="248">
        <f t="shared" si="69"/>
        <v>0.17255064873760895</v>
      </c>
      <c r="S76" s="248">
        <f t="shared" si="69"/>
        <v>0.18308606570948496</v>
      </c>
      <c r="T76" s="248">
        <f t="shared" si="69"/>
        <v>0.17130491839998399</v>
      </c>
      <c r="U76" s="248">
        <f t="shared" si="69"/>
        <v>0.17327178930841797</v>
      </c>
      <c r="V76" s="248">
        <f t="shared" si="69"/>
        <v>0.16770540006219387</v>
      </c>
      <c r="W76" s="248">
        <f t="shared" si="69"/>
        <v>0.16632891928258242</v>
      </c>
      <c r="X76" s="248">
        <f t="shared" si="69"/>
        <v>0.17226273119619237</v>
      </c>
      <c r="Y76" s="248">
        <f t="shared" si="69"/>
        <v>0.19489114926082349</v>
      </c>
      <c r="Z76" s="248">
        <f t="shared" si="69"/>
        <v>0.21024475306239007</v>
      </c>
      <c r="AA76" s="248">
        <f t="shared" si="69"/>
        <v>0.22723527208322147</v>
      </c>
      <c r="AB76" s="248">
        <f t="shared" si="69"/>
        <v>0.21317815063439091</v>
      </c>
      <c r="AC76" s="248">
        <f t="shared" si="69"/>
        <v>0.22289001912966228</v>
      </c>
      <c r="AD76" s="248">
        <f t="shared" si="69"/>
        <v>0.2069370262285713</v>
      </c>
      <c r="AE76" s="248">
        <f t="shared" si="69"/>
        <v>0.20410891809261356</v>
      </c>
      <c r="AF76" s="248">
        <f t="shared" si="69"/>
        <v>0.20599832281452676</v>
      </c>
      <c r="AG76" s="248">
        <f t="shared" si="69"/>
        <v>0.22827880522622843</v>
      </c>
      <c r="AH76" s="248">
        <f t="shared" si="69"/>
        <v>0.22509346231755947</v>
      </c>
      <c r="AI76" s="248">
        <f t="shared" si="69"/>
        <v>0.22927862190144557</v>
      </c>
      <c r="AJ76" s="248">
        <f t="shared" si="69"/>
        <v>0.20837784051484592</v>
      </c>
      <c r="AK76" s="248">
        <f t="shared" ref="AK76" si="76">AK67/AK14</f>
        <v>0.21998955070513376</v>
      </c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acheModel xmlns:xsi="http://www.w3.org/2001/XMLSchema-instance" xmlns:xsd="http://www.w3.org/2001/XMLSchema" xmlns="TagniFiModelState">
  <SerializedJson>[]</SerializedJson>
</CacheModel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74AC2-2EF1-44B8-A1DE-2C4B52C2F995}"/>
</file>

<file path=customXml/itemProps2.xml><?xml version="1.0" encoding="utf-8"?>
<ds:datastoreItem xmlns:ds="http://schemas.openxmlformats.org/officeDocument/2006/customXml" ds:itemID="{AF5023C9-2528-4AA0-8DB2-7C1122A8BCED}"/>
</file>

<file path=customXml/itemProps3.xml><?xml version="1.0" encoding="utf-8"?>
<ds:datastoreItem xmlns:ds="http://schemas.openxmlformats.org/officeDocument/2006/customXml" ds:itemID="{1A3170ED-2627-411B-B7CF-6D205992842B}"/>
</file>

<file path=customXml/itemProps4.xml><?xml version="1.0" encoding="utf-8"?>
<ds:datastoreItem xmlns:ds="http://schemas.openxmlformats.org/officeDocument/2006/customXml" ds:itemID="{4B5D34E1-A081-471F-9934-1DC979BF1C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MassMutual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/>
  <cp:revision/>
  <dcterms:created xsi:type="dcterms:W3CDTF">2008-03-12T15:44:19Z</dcterms:created>
  <dcterms:modified xsi:type="dcterms:W3CDTF">2026-09-03T12:52:34Z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{7259EA4D-B0FF-4B67-B3B9-C4BFD77D0FED}</vt:lpwstr>
  </property>
  <property fmtid="{D5CDD505-2E9C-101B-9397-08002B2CF9AE}" pid="3" name="MSIP_Label_8c63c790-1b4f-473b-b88f-a693ca173b52_Enabled">
    <vt:lpwstr>true</vt:lpwstr>
  </property>
  <property fmtid="{D5CDD505-2E9C-101B-9397-08002B2CF9AE}" pid="4" name="MSIP_Label_8c63c790-1b4f-473b-b88f-a693ca173b52_SetDate">
    <vt:lpwstr>2021-11-30T06:38:54Z</vt:lpwstr>
  </property>
  <property fmtid="{D5CDD505-2E9C-101B-9397-08002B2CF9AE}" pid="5" name="MSIP_Label_8c63c790-1b4f-473b-b88f-a693ca173b52_Method">
    <vt:lpwstr>Privileged</vt:lpwstr>
  </property>
  <property fmtid="{D5CDD505-2E9C-101B-9397-08002B2CF9AE}" pid="6" name="MSIP_Label_8c63c790-1b4f-473b-b88f-a693ca173b52_Name">
    <vt:lpwstr>Internal</vt:lpwstr>
  </property>
  <property fmtid="{D5CDD505-2E9C-101B-9397-08002B2CF9AE}" pid="7" name="MSIP_Label_8c63c790-1b4f-473b-b88f-a693ca173b52_SiteId">
    <vt:lpwstr>4d8b04bf-7a7c-48a0-b6e3-38da5008297e</vt:lpwstr>
  </property>
  <property fmtid="{D5CDD505-2E9C-101B-9397-08002B2CF9AE}" pid="8" name="MSIP_Label_8c63c790-1b4f-473b-b88f-a693ca173b52_ActionId">
    <vt:lpwstr>74457a9d-0305-4b27-87c3-c6cf249b8cfb</vt:lpwstr>
  </property>
  <property fmtid="{D5CDD505-2E9C-101B-9397-08002B2CF9AE}" pid="9" name="MSIP_Label_8c63c790-1b4f-473b-b88f-a693ca173b52_ContentBits">
    <vt:lpwstr>0</vt:lpwstr>
  </property>
  <property fmtid="{D5CDD505-2E9C-101B-9397-08002B2CF9AE}" pid="10" name="WorkbookGuid">
    <vt:lpwstr>afbb2044-5f7f-4069-b80f-39a20339b747</vt:lpwstr>
  </property>
  <property fmtid="{D5CDD505-2E9C-101B-9397-08002B2CF9AE}" pid="11" name="ContentTypeId">
    <vt:lpwstr>0x0101003A00EECCAA3DB94895FACE15614ECBE0</vt:lpwstr>
  </property>
  <property fmtid="{D5CDD505-2E9C-101B-9397-08002B2CF9AE}" pid="12" name="MSIP_Label_e23aaa83-1940-48a9-a4d6-4a193a1929ec_Enabled">
    <vt:lpwstr>true</vt:lpwstr>
  </property>
  <property fmtid="{D5CDD505-2E9C-101B-9397-08002B2CF9AE}" pid="13" name="MSIP_Label_e23aaa83-1940-48a9-a4d6-4a193a1929ec_SetDate">
    <vt:lpwstr>2026-09-03T12:51:59Z</vt:lpwstr>
  </property>
  <property fmtid="{D5CDD505-2E9C-101B-9397-08002B2CF9AE}" pid="14" name="MSIP_Label_e23aaa83-1940-48a9-a4d6-4a193a1929ec_Method">
    <vt:lpwstr>Standard</vt:lpwstr>
  </property>
  <property fmtid="{D5CDD505-2E9C-101B-9397-08002B2CF9AE}" pid="15" name="MSIP_Label_e23aaa83-1940-48a9-a4d6-4a193a1929ec_Name">
    <vt:lpwstr>Corporate</vt:lpwstr>
  </property>
  <property fmtid="{D5CDD505-2E9C-101B-9397-08002B2CF9AE}" pid="16" name="MSIP_Label_e23aaa83-1940-48a9-a4d6-4a193a1929ec_SiteId">
    <vt:lpwstr>ce78e7b0-e32a-4428-9390-1c2ec8a59c47</vt:lpwstr>
  </property>
  <property fmtid="{D5CDD505-2E9C-101B-9397-08002B2CF9AE}" pid="17" name="MSIP_Label_e23aaa83-1940-48a9-a4d6-4a193a1929ec_ActionId">
    <vt:lpwstr>afb078ae-7803-482b-ab70-a798d7202b99</vt:lpwstr>
  </property>
  <property fmtid="{D5CDD505-2E9C-101B-9397-08002B2CF9AE}" pid="18" name="MSIP_Label_e23aaa83-1940-48a9-a4d6-4a193a1929ec_ContentBits">
    <vt:lpwstr>2</vt:lpwstr>
  </property>
  <property fmtid="{D5CDD505-2E9C-101B-9397-08002B2CF9AE}" pid="19" name="MSIP_Label_e23aaa83-1940-48a9-a4d6-4a193a1929ec_Tag">
    <vt:lpwstr>10, 3, 0, 2</vt:lpwstr>
  </property>
</Properties>
</file>