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/>
  <mc:AlternateContent xmlns:mc="http://schemas.openxmlformats.org/markup-compatibility/2006">
    <mc:Choice Requires="x15">
      <x15ac:absPath xmlns:x15ac="http://schemas.microsoft.com/office/spreadsheetml/2010/11/ac" url="G:\EMD\EM Corp Credit Analysis\Quito Airport\"/>
    </mc:Choice>
  </mc:AlternateContent>
  <xr:revisionPtr revIDLastSave="0" documentId="8_{85431BE9-3405-4661-86F6-536D17B61532}" xr6:coauthVersionLast="47" xr6:coauthVersionMax="47" xr10:uidLastSave="{00000000-0000-0000-0000-000000000000}"/>
  <bookViews>
    <workbookView xWindow="8265" yWindow="1620" windowWidth="29040" windowHeight="18135" firstSheet="5" activeTab="5" xr2:uid="{49B64449-0093-4CB5-8636-F5798408D249}"/>
  </bookViews>
  <sheets>
    <sheet name="__FDSCACHE__" sheetId="6" state="veryHidden" r:id="rId1"/>
    <sheet name="Old" sheetId="11" state="hidden" r:id="rId2"/>
    <sheet name="Quarterlies" sheetId="15" r:id="rId3"/>
    <sheet name="Financials" sheetId="2" r:id="rId4"/>
    <sheet name="Operations" sheetId="1" r:id="rId5"/>
    <sheet name="Overview" sheetId="12" r:id="rId6"/>
    <sheet name="Sensitivities" sheetId="1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____________________new1" localSheetId="3" hidden="1">{#N/A,#N/A,FALSE,"SMT1";#N/A,#N/A,FALSE,"SMT2";#N/A,#N/A,FALSE,"Summary";#N/A,#N/A,FALSE,"Graphs";#N/A,#N/A,FALSE,"4 Panel"}</definedName>
    <definedName name="______________________new1" hidden="1">{#N/A,#N/A,FALSE,"SMT1";#N/A,#N/A,FALSE,"SMT2";#N/A,#N/A,FALSE,"Summary";#N/A,#N/A,FALSE,"Graphs";#N/A,#N/A,FALSE,"4 Panel"}</definedName>
    <definedName name="______________________NEW3" localSheetId="3" hidden="1">{#N/A,#N/A,FALSE,"SMT1";#N/A,#N/A,FALSE,"SMT2";#N/A,#N/A,FALSE,"Summary";#N/A,#N/A,FALSE,"Graphs";#N/A,#N/A,FALSE,"4 Panel"}</definedName>
    <definedName name="______________________NEW3" hidden="1">{#N/A,#N/A,FALSE,"SMT1";#N/A,#N/A,FALSE,"SMT2";#N/A,#N/A,FALSE,"Summary";#N/A,#N/A,FALSE,"Graphs";#N/A,#N/A,FALSE,"4 Panel"}</definedName>
    <definedName name="_____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_____NEW4" hidden="1">{#N/A,#N/A,FALSE,"Full";#N/A,#N/A,FALSE,"Half";#N/A,#N/A,FALSE,"Op Expenses";#N/A,#N/A,FALSE,"Cap Charge";#N/A,#N/A,FALSE,"Cost C";#N/A,#N/A,FALSE,"PP&amp;E";#N/A,#N/A,FALSE,"R&amp;D"}</definedName>
    <definedName name="_____________________new1" localSheetId="3" hidden="1">{#N/A,#N/A,FALSE,"SMT1";#N/A,#N/A,FALSE,"SMT2";#N/A,#N/A,FALSE,"Summary";#N/A,#N/A,FALSE,"Graphs";#N/A,#N/A,FALSE,"4 Panel"}</definedName>
    <definedName name="_____________________new1" hidden="1">{#N/A,#N/A,FALSE,"SMT1";#N/A,#N/A,FALSE,"SMT2";#N/A,#N/A,FALSE,"Summary";#N/A,#N/A,FALSE,"Graphs";#N/A,#N/A,FALSE,"4 Panel"}</definedName>
    <definedName name="_____________________NEW3" localSheetId="3" hidden="1">{#N/A,#N/A,FALSE,"SMT1";#N/A,#N/A,FALSE,"SMT2";#N/A,#N/A,FALSE,"Summary";#N/A,#N/A,FALSE,"Graphs";#N/A,#N/A,FALSE,"4 Panel"}</definedName>
    <definedName name="_____________________NEW3" hidden="1">{#N/A,#N/A,FALSE,"SMT1";#N/A,#N/A,FALSE,"SMT2";#N/A,#N/A,FALSE,"Summary";#N/A,#N/A,FALSE,"Graphs";#N/A,#N/A,FALSE,"4 Panel"}</definedName>
    <definedName name="____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____NEW4" hidden="1">{#N/A,#N/A,FALSE,"Full";#N/A,#N/A,FALSE,"Half";#N/A,#N/A,FALSE,"Op Expenses";#N/A,#N/A,FALSE,"Cap Charge";#N/A,#N/A,FALSE,"Cost C";#N/A,#N/A,FALSE,"PP&amp;E";#N/A,#N/A,FALSE,"R&amp;D"}</definedName>
    <definedName name="____________________new1" localSheetId="3" hidden="1">{#N/A,#N/A,FALSE,"SMT1";#N/A,#N/A,FALSE,"SMT2";#N/A,#N/A,FALSE,"Summary";#N/A,#N/A,FALSE,"Graphs";#N/A,#N/A,FALSE,"4 Panel"}</definedName>
    <definedName name="____________________new1" hidden="1">{#N/A,#N/A,FALSE,"SMT1";#N/A,#N/A,FALSE,"SMT2";#N/A,#N/A,FALSE,"Summary";#N/A,#N/A,FALSE,"Graphs";#N/A,#N/A,FALSE,"4 Panel"}</definedName>
    <definedName name="____________________NEW3" localSheetId="3" hidden="1">{#N/A,#N/A,FALSE,"SMT1";#N/A,#N/A,FALSE,"SMT2";#N/A,#N/A,FALSE,"Summary";#N/A,#N/A,FALSE,"Graphs";#N/A,#N/A,FALSE,"4 Panel"}</definedName>
    <definedName name="____________________NEW3" hidden="1">{#N/A,#N/A,FALSE,"SMT1";#N/A,#N/A,FALSE,"SMT2";#N/A,#N/A,FALSE,"Summary";#N/A,#N/A,FALSE,"Graphs";#N/A,#N/A,FALSE,"4 Panel"}</definedName>
    <definedName name="___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___NEW4" hidden="1">{#N/A,#N/A,FALSE,"Full";#N/A,#N/A,FALSE,"Half";#N/A,#N/A,FALSE,"Op Expenses";#N/A,#N/A,FALSE,"Cap Charge";#N/A,#N/A,FALSE,"Cost C";#N/A,#N/A,FALSE,"PP&amp;E";#N/A,#N/A,FALSE,"R&amp;D"}</definedName>
    <definedName name="____________________R" localSheetId="3" hidden="1">{#N/A,#N/A,FALSE,"GRAFICO";#N/A,#N/A,FALSE,"CAJA (2)";#N/A,#N/A,FALSE,"TERCEROS-PROMEDIO";#N/A,#N/A,FALSE,"CAJA";#N/A,#N/A,FALSE,"INGRESOS1995-2003";#N/A,#N/A,FALSE,"GASTOS1995-2003"}</definedName>
    <definedName name="____________________R" hidden="1">{#N/A,#N/A,FALSE,"GRAFICO";#N/A,#N/A,FALSE,"CAJA (2)";#N/A,#N/A,FALSE,"TERCEROS-PROMEDIO";#N/A,#N/A,FALSE,"CAJA";#N/A,#N/A,FALSE,"INGRESOS1995-2003";#N/A,#N/A,FALSE,"GASTOS1995-2003"}</definedName>
    <definedName name="___________________new1" localSheetId="3" hidden="1">{#N/A,#N/A,FALSE,"SMT1";#N/A,#N/A,FALSE,"SMT2";#N/A,#N/A,FALSE,"Summary";#N/A,#N/A,FALSE,"Graphs";#N/A,#N/A,FALSE,"4 Panel"}</definedName>
    <definedName name="___________________new1" hidden="1">{#N/A,#N/A,FALSE,"SMT1";#N/A,#N/A,FALSE,"SMT2";#N/A,#N/A,FALSE,"Summary";#N/A,#N/A,FALSE,"Graphs";#N/A,#N/A,FALSE,"4 Panel"}</definedName>
    <definedName name="___________________NEW3" localSheetId="3" hidden="1">{#N/A,#N/A,FALSE,"SMT1";#N/A,#N/A,FALSE,"SMT2";#N/A,#N/A,FALSE,"Summary";#N/A,#N/A,FALSE,"Graphs";#N/A,#N/A,FALSE,"4 Panel"}</definedName>
    <definedName name="___________________NEW3" hidden="1">{#N/A,#N/A,FALSE,"SMT1";#N/A,#N/A,FALSE,"SMT2";#N/A,#N/A,FALSE,"Summary";#N/A,#N/A,FALSE,"Graphs";#N/A,#N/A,FALSE,"4 Panel"}</definedName>
    <definedName name="__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__NEW4" hidden="1">{#N/A,#N/A,FALSE,"Full";#N/A,#N/A,FALSE,"Half";#N/A,#N/A,FALSE,"Op Expenses";#N/A,#N/A,FALSE,"Cap Charge";#N/A,#N/A,FALSE,"Cost C";#N/A,#N/A,FALSE,"PP&amp;E";#N/A,#N/A,FALSE,"R&amp;D"}</definedName>
    <definedName name="__________________new1" localSheetId="3" hidden="1">{#N/A,#N/A,FALSE,"SMT1";#N/A,#N/A,FALSE,"SMT2";#N/A,#N/A,FALSE,"Summary";#N/A,#N/A,FALSE,"Graphs";#N/A,#N/A,FALSE,"4 Panel"}</definedName>
    <definedName name="__________________new1" hidden="1">{#N/A,#N/A,FALSE,"SMT1";#N/A,#N/A,FALSE,"SMT2";#N/A,#N/A,FALSE,"Summary";#N/A,#N/A,FALSE,"Graphs";#N/A,#N/A,FALSE,"4 Panel"}</definedName>
    <definedName name="__________________NEW3" localSheetId="3" hidden="1">{#N/A,#N/A,FALSE,"SMT1";#N/A,#N/A,FALSE,"SMT2";#N/A,#N/A,FALSE,"Summary";#N/A,#N/A,FALSE,"Graphs";#N/A,#N/A,FALSE,"4 Panel"}</definedName>
    <definedName name="__________________NEW3" hidden="1">{#N/A,#N/A,FALSE,"SMT1";#N/A,#N/A,FALSE,"SMT2";#N/A,#N/A,FALSE,"Summary";#N/A,#N/A,FALSE,"Graphs";#N/A,#N/A,FALSE,"4 Panel"}</definedName>
    <definedName name="_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_NEW4" hidden="1">{#N/A,#N/A,FALSE,"Full";#N/A,#N/A,FALSE,"Half";#N/A,#N/A,FALSE,"Op Expenses";#N/A,#N/A,FALSE,"Cap Charge";#N/A,#N/A,FALSE,"Cost C";#N/A,#N/A,FALSE,"PP&amp;E";#N/A,#N/A,FALSE,"R&amp;D"}</definedName>
    <definedName name="__________________R" localSheetId="3" hidden="1">{#N/A,#N/A,FALSE,"GRAFICO";#N/A,#N/A,FALSE,"CAJA (2)";#N/A,#N/A,FALSE,"TERCEROS-PROMEDIO";#N/A,#N/A,FALSE,"CAJA";#N/A,#N/A,FALSE,"INGRESOS1995-2003";#N/A,#N/A,FALSE,"GASTOS1995-2003"}</definedName>
    <definedName name="__________________R" hidden="1">{#N/A,#N/A,FALSE,"GRAFICO";#N/A,#N/A,FALSE,"CAJA (2)";#N/A,#N/A,FALSE,"TERCEROS-PROMEDIO";#N/A,#N/A,FALSE,"CAJA";#N/A,#N/A,FALSE,"INGRESOS1995-2003";#N/A,#N/A,FALSE,"GASTOS1995-2003"}</definedName>
    <definedName name="_________________new1" localSheetId="3" hidden="1">{#N/A,#N/A,FALSE,"SMT1";#N/A,#N/A,FALSE,"SMT2";#N/A,#N/A,FALSE,"Summary";#N/A,#N/A,FALSE,"Graphs";#N/A,#N/A,FALSE,"4 Panel"}</definedName>
    <definedName name="_________________new1" hidden="1">{#N/A,#N/A,FALSE,"SMT1";#N/A,#N/A,FALSE,"SMT2";#N/A,#N/A,FALSE,"Summary";#N/A,#N/A,FALSE,"Graphs";#N/A,#N/A,FALSE,"4 Panel"}</definedName>
    <definedName name="_________________New15" localSheetId="3" hidden="1">{"EVA",#N/A,FALSE,"SMT2";#N/A,#N/A,FALSE,"Summary";#N/A,#N/A,FALSE,"Graphs";#N/A,#N/A,FALSE,"4 Panel"}</definedName>
    <definedName name="_________________New15" hidden="1">{"EVA",#N/A,FALSE,"SMT2";#N/A,#N/A,FALSE,"Summary";#N/A,#N/A,FALSE,"Graphs";#N/A,#N/A,FALSE,"4 Panel"}</definedName>
    <definedName name="_________________New16" localSheetId="3" hidden="1">{#N/A,#N/A,FALSE,"SMT1";#N/A,#N/A,FALSE,"SMT2";#N/A,#N/A,FALSE,"Summary";#N/A,#N/A,FALSE,"Graphs";#N/A,#N/A,FALSE,"4 Panel"}</definedName>
    <definedName name="_________________New16" hidden="1">{#N/A,#N/A,FALSE,"SMT1";#N/A,#N/A,FALSE,"SMT2";#N/A,#N/A,FALSE,"Summary";#N/A,#N/A,FALSE,"Graphs";#N/A,#N/A,FALSE,"4 Panel"}</definedName>
    <definedName name="_________________New17" localSheetId="3" hidden="1">{#N/A,#N/A,FALSE,"SMT1";#N/A,#N/A,FALSE,"SMT2";#N/A,#N/A,FALSE,"Summary";#N/A,#N/A,FALSE,"Graphs";#N/A,#N/A,FALSE,"4 Panel"}</definedName>
    <definedName name="_________________New17" hidden="1">{#N/A,#N/A,FALSE,"SMT1";#N/A,#N/A,FALSE,"SMT2";#N/A,#N/A,FALSE,"Summary";#N/A,#N/A,FALSE,"Graphs";#N/A,#N/A,FALSE,"4 Panel"}</definedName>
    <definedName name="_____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_____New18" hidden="1">{#N/A,#N/A,FALSE,"Full";#N/A,#N/A,FALSE,"Half";#N/A,#N/A,FALSE,"Op Expenses";#N/A,#N/A,FALSE,"Cap Charge";#N/A,#N/A,FALSE,"Cost C";#N/A,#N/A,FALSE,"PP&amp;E";#N/A,#N/A,FALSE,"R&amp;D"}</definedName>
    <definedName name="_________________New19" localSheetId="3" hidden="1">{"EVA",#N/A,FALSE,"SMT2";#N/A,#N/A,FALSE,"Summary";#N/A,#N/A,FALSE,"Graphs";#N/A,#N/A,FALSE,"4 Panel"}</definedName>
    <definedName name="_________________New19" hidden="1">{"EVA",#N/A,FALSE,"SMT2";#N/A,#N/A,FALSE,"Summary";#N/A,#N/A,FALSE,"Graphs";#N/A,#N/A,FALSE,"4 Panel"}</definedName>
    <definedName name="_________________New20" localSheetId="3" hidden="1">{#N/A,#N/A,FALSE,"SMT1";#N/A,#N/A,FALSE,"SMT2";#N/A,#N/A,FALSE,"Summary";#N/A,#N/A,FALSE,"Graphs";#N/A,#N/A,FALSE,"4 Panel"}</definedName>
    <definedName name="_________________New20" hidden="1">{#N/A,#N/A,FALSE,"SMT1";#N/A,#N/A,FALSE,"SMT2";#N/A,#N/A,FALSE,"Summary";#N/A,#N/A,FALSE,"Graphs";#N/A,#N/A,FALSE,"4 Panel"}</definedName>
    <definedName name="_____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_____New21" hidden="1">{#N/A,#N/A,FALSE,"Full";#N/A,#N/A,FALSE,"Half";#N/A,#N/A,FALSE,"Op Expenses";#N/A,#N/A,FALSE,"Cap Charge";#N/A,#N/A,FALSE,"Cost C";#N/A,#N/A,FALSE,"PP&amp;E";#N/A,#N/A,FALSE,"R&amp;D"}</definedName>
    <definedName name="_________________NEW3" localSheetId="3" hidden="1">{#N/A,#N/A,FALSE,"SMT1";#N/A,#N/A,FALSE,"SMT2";#N/A,#N/A,FALSE,"Summary";#N/A,#N/A,FALSE,"Graphs";#N/A,#N/A,FALSE,"4 Panel"}</definedName>
    <definedName name="_________________NEW3" hidden="1">{#N/A,#N/A,FALSE,"SMT1";#N/A,#N/A,FALSE,"SMT2";#N/A,#N/A,FALSE,"Summary";#N/A,#N/A,FALSE,"Graphs";#N/A,#N/A,FALSE,"4 Panel"}</definedName>
    <definedName name="_________________nEW30" localSheetId="3" hidden="1">{"EVA",#N/A,FALSE,"SMT2";#N/A,#N/A,FALSE,"Summary";#N/A,#N/A,FALSE,"Graphs";#N/A,#N/A,FALSE,"4 Panel"}</definedName>
    <definedName name="_________________nEW30" hidden="1">{"EVA",#N/A,FALSE,"SMT2";#N/A,#N/A,FALSE,"Summary";#N/A,#N/A,FALSE,"Graphs";#N/A,#N/A,FALSE,"4 Panel"}</definedName>
    <definedName name="_________________New31" localSheetId="3" hidden="1">{#N/A,#N/A,FALSE,"SMT1";#N/A,#N/A,FALSE,"SMT2";#N/A,#N/A,FALSE,"Summary";#N/A,#N/A,FALSE,"Graphs";#N/A,#N/A,FALSE,"4 Panel"}</definedName>
    <definedName name="_________________New31" hidden="1">{#N/A,#N/A,FALSE,"SMT1";#N/A,#N/A,FALSE,"SMT2";#N/A,#N/A,FALSE,"Summary";#N/A,#N/A,FALSE,"Graphs";#N/A,#N/A,FALSE,"4 Panel"}</definedName>
    <definedName name="_________________New32" localSheetId="3" hidden="1">{#N/A,#N/A,FALSE,"SMT1";#N/A,#N/A,FALSE,"SMT2";#N/A,#N/A,FALSE,"Summary";#N/A,#N/A,FALSE,"Graphs";#N/A,#N/A,FALSE,"4 Panel"}</definedName>
    <definedName name="_________________New32" hidden="1">{#N/A,#N/A,FALSE,"SMT1";#N/A,#N/A,FALSE,"SMT2";#N/A,#N/A,FALSE,"Summary";#N/A,#N/A,FALSE,"Graphs";#N/A,#N/A,FALSE,"4 Panel"}</definedName>
    <definedName name="_____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_____New33" hidden="1">{#N/A,#N/A,FALSE,"Full";#N/A,#N/A,FALSE,"Half";#N/A,#N/A,FALSE,"Op Expenses";#N/A,#N/A,FALSE,"Cap Charge";#N/A,#N/A,FALSE,"Cost C";#N/A,#N/A,FALSE,"PP&amp;E";#N/A,#N/A,FALSE,"R&amp;D"}</definedName>
    <definedName name="_________________New34" localSheetId="3" hidden="1">{"EVA",#N/A,FALSE,"SMT2";#N/A,#N/A,FALSE,"Summary";#N/A,#N/A,FALSE,"Graphs";#N/A,#N/A,FALSE,"4 Panel"}</definedName>
    <definedName name="_________________New34" hidden="1">{"EVA",#N/A,FALSE,"SMT2";#N/A,#N/A,FALSE,"Summary";#N/A,#N/A,FALSE,"Graphs";#N/A,#N/A,FALSE,"4 Panel"}</definedName>
    <definedName name="_________________New35" localSheetId="3" hidden="1">{#N/A,#N/A,FALSE,"SMT1";#N/A,#N/A,FALSE,"SMT2";#N/A,#N/A,FALSE,"Summary";#N/A,#N/A,FALSE,"Graphs";#N/A,#N/A,FALSE,"4 Panel"}</definedName>
    <definedName name="_________________New35" hidden="1">{#N/A,#N/A,FALSE,"SMT1";#N/A,#N/A,FALSE,"SMT2";#N/A,#N/A,FALSE,"Summary";#N/A,#N/A,FALSE,"Graphs";#N/A,#N/A,FALSE,"4 Panel"}</definedName>
    <definedName name="_____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_____New36" hidden="1">{#N/A,#N/A,FALSE,"Full";#N/A,#N/A,FALSE,"Half";#N/A,#N/A,FALSE,"Op Expenses";#N/A,#N/A,FALSE,"Cap Charge";#N/A,#N/A,FALSE,"Cost C";#N/A,#N/A,FALSE,"PP&amp;E";#N/A,#N/A,FALSE,"R&amp;D"}</definedName>
    <definedName name="_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_NEW4" hidden="1">{#N/A,#N/A,FALSE,"Full";#N/A,#N/A,FALSE,"Half";#N/A,#N/A,FALSE,"Op Expenses";#N/A,#N/A,FALSE,"Cap Charge";#N/A,#N/A,FALSE,"Cost C";#N/A,#N/A,FALSE,"PP&amp;E";#N/A,#N/A,FALSE,"R&amp;D"}</definedName>
    <definedName name="_________________R" localSheetId="3" hidden="1">{#N/A,#N/A,FALSE,"GRAFICO";#N/A,#N/A,FALSE,"CAJA (2)";#N/A,#N/A,FALSE,"TERCEROS-PROMEDIO";#N/A,#N/A,FALSE,"CAJA";#N/A,#N/A,FALSE,"INGRESOS1995-2003";#N/A,#N/A,FALSE,"GASTOS1995-2003"}</definedName>
    <definedName name="_________________R" hidden="1">{#N/A,#N/A,FALSE,"GRAFICO";#N/A,#N/A,FALSE,"CAJA (2)";#N/A,#N/A,FALSE,"TERCEROS-PROMEDIO";#N/A,#N/A,FALSE,"CAJA";#N/A,#N/A,FALSE,"INGRESOS1995-2003";#N/A,#N/A,FALSE,"GASTOS1995-2003"}</definedName>
    <definedName name="________________new1" localSheetId="3" hidden="1">{#N/A,#N/A,FALSE,"SMT1";#N/A,#N/A,FALSE,"SMT2";#N/A,#N/A,FALSE,"Summary";#N/A,#N/A,FALSE,"Graphs";#N/A,#N/A,FALSE,"4 Panel"}</definedName>
    <definedName name="________________new1" hidden="1">{#N/A,#N/A,FALSE,"SMT1";#N/A,#N/A,FALSE,"SMT2";#N/A,#N/A,FALSE,"Summary";#N/A,#N/A,FALSE,"Graphs";#N/A,#N/A,FALSE,"4 Panel"}</definedName>
    <definedName name="________________New15" localSheetId="3" hidden="1">{"EVA",#N/A,FALSE,"SMT2";#N/A,#N/A,FALSE,"Summary";#N/A,#N/A,FALSE,"Graphs";#N/A,#N/A,FALSE,"4 Panel"}</definedName>
    <definedName name="________________New15" hidden="1">{"EVA",#N/A,FALSE,"SMT2";#N/A,#N/A,FALSE,"Summary";#N/A,#N/A,FALSE,"Graphs";#N/A,#N/A,FALSE,"4 Panel"}</definedName>
    <definedName name="________________New16" localSheetId="3" hidden="1">{#N/A,#N/A,FALSE,"SMT1";#N/A,#N/A,FALSE,"SMT2";#N/A,#N/A,FALSE,"Summary";#N/A,#N/A,FALSE,"Graphs";#N/A,#N/A,FALSE,"4 Panel"}</definedName>
    <definedName name="________________New16" hidden="1">{#N/A,#N/A,FALSE,"SMT1";#N/A,#N/A,FALSE,"SMT2";#N/A,#N/A,FALSE,"Summary";#N/A,#N/A,FALSE,"Graphs";#N/A,#N/A,FALSE,"4 Panel"}</definedName>
    <definedName name="________________New17" localSheetId="3" hidden="1">{#N/A,#N/A,FALSE,"SMT1";#N/A,#N/A,FALSE,"SMT2";#N/A,#N/A,FALSE,"Summary";#N/A,#N/A,FALSE,"Graphs";#N/A,#N/A,FALSE,"4 Panel"}</definedName>
    <definedName name="________________New17" hidden="1">{#N/A,#N/A,FALSE,"SMT1";#N/A,#N/A,FALSE,"SMT2";#N/A,#N/A,FALSE,"Summary";#N/A,#N/A,FALSE,"Graphs";#N/A,#N/A,FALSE,"4 Panel"}</definedName>
    <definedName name="____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____New18" hidden="1">{#N/A,#N/A,FALSE,"Full";#N/A,#N/A,FALSE,"Half";#N/A,#N/A,FALSE,"Op Expenses";#N/A,#N/A,FALSE,"Cap Charge";#N/A,#N/A,FALSE,"Cost C";#N/A,#N/A,FALSE,"PP&amp;E";#N/A,#N/A,FALSE,"R&amp;D"}</definedName>
    <definedName name="________________New19" localSheetId="3" hidden="1">{"EVA",#N/A,FALSE,"SMT2";#N/A,#N/A,FALSE,"Summary";#N/A,#N/A,FALSE,"Graphs";#N/A,#N/A,FALSE,"4 Panel"}</definedName>
    <definedName name="________________New19" hidden="1">{"EVA",#N/A,FALSE,"SMT2";#N/A,#N/A,FALSE,"Summary";#N/A,#N/A,FALSE,"Graphs";#N/A,#N/A,FALSE,"4 Panel"}</definedName>
    <definedName name="________________New20" localSheetId="3" hidden="1">{#N/A,#N/A,FALSE,"SMT1";#N/A,#N/A,FALSE,"SMT2";#N/A,#N/A,FALSE,"Summary";#N/A,#N/A,FALSE,"Graphs";#N/A,#N/A,FALSE,"4 Panel"}</definedName>
    <definedName name="________________New20" hidden="1">{#N/A,#N/A,FALSE,"SMT1";#N/A,#N/A,FALSE,"SMT2";#N/A,#N/A,FALSE,"Summary";#N/A,#N/A,FALSE,"Graphs";#N/A,#N/A,FALSE,"4 Panel"}</definedName>
    <definedName name="____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____New21" hidden="1">{#N/A,#N/A,FALSE,"Full";#N/A,#N/A,FALSE,"Half";#N/A,#N/A,FALSE,"Op Expenses";#N/A,#N/A,FALSE,"Cap Charge";#N/A,#N/A,FALSE,"Cost C";#N/A,#N/A,FALSE,"PP&amp;E";#N/A,#N/A,FALSE,"R&amp;D"}</definedName>
    <definedName name="________________NEW3" localSheetId="3" hidden="1">{#N/A,#N/A,FALSE,"SMT1";#N/A,#N/A,FALSE,"SMT2";#N/A,#N/A,FALSE,"Summary";#N/A,#N/A,FALSE,"Graphs";#N/A,#N/A,FALSE,"4 Panel"}</definedName>
    <definedName name="________________NEW3" hidden="1">{#N/A,#N/A,FALSE,"SMT1";#N/A,#N/A,FALSE,"SMT2";#N/A,#N/A,FALSE,"Summary";#N/A,#N/A,FALSE,"Graphs";#N/A,#N/A,FALSE,"4 Panel"}</definedName>
    <definedName name="________________nEW30" localSheetId="3" hidden="1">{"EVA",#N/A,FALSE,"SMT2";#N/A,#N/A,FALSE,"Summary";#N/A,#N/A,FALSE,"Graphs";#N/A,#N/A,FALSE,"4 Panel"}</definedName>
    <definedName name="________________nEW30" hidden="1">{"EVA",#N/A,FALSE,"SMT2";#N/A,#N/A,FALSE,"Summary";#N/A,#N/A,FALSE,"Graphs";#N/A,#N/A,FALSE,"4 Panel"}</definedName>
    <definedName name="________________New31" localSheetId="3" hidden="1">{#N/A,#N/A,FALSE,"SMT1";#N/A,#N/A,FALSE,"SMT2";#N/A,#N/A,FALSE,"Summary";#N/A,#N/A,FALSE,"Graphs";#N/A,#N/A,FALSE,"4 Panel"}</definedName>
    <definedName name="________________New31" hidden="1">{#N/A,#N/A,FALSE,"SMT1";#N/A,#N/A,FALSE,"SMT2";#N/A,#N/A,FALSE,"Summary";#N/A,#N/A,FALSE,"Graphs";#N/A,#N/A,FALSE,"4 Panel"}</definedName>
    <definedName name="________________New32" localSheetId="3" hidden="1">{#N/A,#N/A,FALSE,"SMT1";#N/A,#N/A,FALSE,"SMT2";#N/A,#N/A,FALSE,"Summary";#N/A,#N/A,FALSE,"Graphs";#N/A,#N/A,FALSE,"4 Panel"}</definedName>
    <definedName name="________________New32" hidden="1">{#N/A,#N/A,FALSE,"SMT1";#N/A,#N/A,FALSE,"SMT2";#N/A,#N/A,FALSE,"Summary";#N/A,#N/A,FALSE,"Graphs";#N/A,#N/A,FALSE,"4 Panel"}</definedName>
    <definedName name="____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____New33" hidden="1">{#N/A,#N/A,FALSE,"Full";#N/A,#N/A,FALSE,"Half";#N/A,#N/A,FALSE,"Op Expenses";#N/A,#N/A,FALSE,"Cap Charge";#N/A,#N/A,FALSE,"Cost C";#N/A,#N/A,FALSE,"PP&amp;E";#N/A,#N/A,FALSE,"R&amp;D"}</definedName>
    <definedName name="________________New34" localSheetId="3" hidden="1">{"EVA",#N/A,FALSE,"SMT2";#N/A,#N/A,FALSE,"Summary";#N/A,#N/A,FALSE,"Graphs";#N/A,#N/A,FALSE,"4 Panel"}</definedName>
    <definedName name="________________New34" hidden="1">{"EVA",#N/A,FALSE,"SMT2";#N/A,#N/A,FALSE,"Summary";#N/A,#N/A,FALSE,"Graphs";#N/A,#N/A,FALSE,"4 Panel"}</definedName>
    <definedName name="________________New35" localSheetId="3" hidden="1">{#N/A,#N/A,FALSE,"SMT1";#N/A,#N/A,FALSE,"SMT2";#N/A,#N/A,FALSE,"Summary";#N/A,#N/A,FALSE,"Graphs";#N/A,#N/A,FALSE,"4 Panel"}</definedName>
    <definedName name="________________New35" hidden="1">{#N/A,#N/A,FALSE,"SMT1";#N/A,#N/A,FALSE,"SMT2";#N/A,#N/A,FALSE,"Summary";#N/A,#N/A,FALSE,"Graphs";#N/A,#N/A,FALSE,"4 Panel"}</definedName>
    <definedName name="____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____New36" hidden="1">{#N/A,#N/A,FALSE,"Full";#N/A,#N/A,FALSE,"Half";#N/A,#N/A,FALSE,"Op Expenses";#N/A,#N/A,FALSE,"Cap Charge";#N/A,#N/A,FALSE,"Cost C";#N/A,#N/A,FALSE,"PP&amp;E";#N/A,#N/A,FALSE,"R&amp;D"}</definedName>
    <definedName name="_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_NEW4" hidden="1">{#N/A,#N/A,FALSE,"Full";#N/A,#N/A,FALSE,"Half";#N/A,#N/A,FALSE,"Op Expenses";#N/A,#N/A,FALSE,"Cap Charge";#N/A,#N/A,FALSE,"Cost C";#N/A,#N/A,FALSE,"PP&amp;E";#N/A,#N/A,FALSE,"R&amp;D"}</definedName>
    <definedName name="________________R" localSheetId="3" hidden="1">{#N/A,#N/A,FALSE,"GRAFICO";#N/A,#N/A,FALSE,"CAJA (2)";#N/A,#N/A,FALSE,"TERCEROS-PROMEDIO";#N/A,#N/A,FALSE,"CAJA";#N/A,#N/A,FALSE,"INGRESOS1995-2003";#N/A,#N/A,FALSE,"GASTOS1995-2003"}</definedName>
    <definedName name="________________R" hidden="1">{#N/A,#N/A,FALSE,"GRAFICO";#N/A,#N/A,FALSE,"CAJA (2)";#N/A,#N/A,FALSE,"TERCEROS-PROMEDIO";#N/A,#N/A,FALSE,"CAJA";#N/A,#N/A,FALSE,"INGRESOS1995-2003";#N/A,#N/A,FALSE,"GASTOS1995-2003"}</definedName>
    <definedName name="_______________new1" localSheetId="3" hidden="1">{#N/A,#N/A,FALSE,"SMT1";#N/A,#N/A,FALSE,"SMT2";#N/A,#N/A,FALSE,"Summary";#N/A,#N/A,FALSE,"Graphs";#N/A,#N/A,FALSE,"4 Panel"}</definedName>
    <definedName name="_______________new1" hidden="1">{#N/A,#N/A,FALSE,"SMT1";#N/A,#N/A,FALSE,"SMT2";#N/A,#N/A,FALSE,"Summary";#N/A,#N/A,FALSE,"Graphs";#N/A,#N/A,FALSE,"4 Panel"}</definedName>
    <definedName name="_______________New15" localSheetId="3" hidden="1">{"EVA",#N/A,FALSE,"SMT2";#N/A,#N/A,FALSE,"Summary";#N/A,#N/A,FALSE,"Graphs";#N/A,#N/A,FALSE,"4 Panel"}</definedName>
    <definedName name="_______________New15" hidden="1">{"EVA",#N/A,FALSE,"SMT2";#N/A,#N/A,FALSE,"Summary";#N/A,#N/A,FALSE,"Graphs";#N/A,#N/A,FALSE,"4 Panel"}</definedName>
    <definedName name="_______________New16" localSheetId="3" hidden="1">{#N/A,#N/A,FALSE,"SMT1";#N/A,#N/A,FALSE,"SMT2";#N/A,#N/A,FALSE,"Summary";#N/A,#N/A,FALSE,"Graphs";#N/A,#N/A,FALSE,"4 Panel"}</definedName>
    <definedName name="_______________New16" hidden="1">{#N/A,#N/A,FALSE,"SMT1";#N/A,#N/A,FALSE,"SMT2";#N/A,#N/A,FALSE,"Summary";#N/A,#N/A,FALSE,"Graphs";#N/A,#N/A,FALSE,"4 Panel"}</definedName>
    <definedName name="_______________New17" localSheetId="3" hidden="1">{#N/A,#N/A,FALSE,"SMT1";#N/A,#N/A,FALSE,"SMT2";#N/A,#N/A,FALSE,"Summary";#N/A,#N/A,FALSE,"Graphs";#N/A,#N/A,FALSE,"4 Panel"}</definedName>
    <definedName name="_______________New17" hidden="1">{#N/A,#N/A,FALSE,"SMT1";#N/A,#N/A,FALSE,"SMT2";#N/A,#N/A,FALSE,"Summary";#N/A,#N/A,FALSE,"Graphs";#N/A,#N/A,FALSE,"4 Panel"}</definedName>
    <definedName name="___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___New18" hidden="1">{#N/A,#N/A,FALSE,"Full";#N/A,#N/A,FALSE,"Half";#N/A,#N/A,FALSE,"Op Expenses";#N/A,#N/A,FALSE,"Cap Charge";#N/A,#N/A,FALSE,"Cost C";#N/A,#N/A,FALSE,"PP&amp;E";#N/A,#N/A,FALSE,"R&amp;D"}</definedName>
    <definedName name="_______________New19" localSheetId="3" hidden="1">{"EVA",#N/A,FALSE,"SMT2";#N/A,#N/A,FALSE,"Summary";#N/A,#N/A,FALSE,"Graphs";#N/A,#N/A,FALSE,"4 Panel"}</definedName>
    <definedName name="_______________New19" hidden="1">{"EVA",#N/A,FALSE,"SMT2";#N/A,#N/A,FALSE,"Summary";#N/A,#N/A,FALSE,"Graphs";#N/A,#N/A,FALSE,"4 Panel"}</definedName>
    <definedName name="_______________New20" localSheetId="3" hidden="1">{#N/A,#N/A,FALSE,"SMT1";#N/A,#N/A,FALSE,"SMT2";#N/A,#N/A,FALSE,"Summary";#N/A,#N/A,FALSE,"Graphs";#N/A,#N/A,FALSE,"4 Panel"}</definedName>
    <definedName name="_______________New20" hidden="1">{#N/A,#N/A,FALSE,"SMT1";#N/A,#N/A,FALSE,"SMT2";#N/A,#N/A,FALSE,"Summary";#N/A,#N/A,FALSE,"Graphs";#N/A,#N/A,FALSE,"4 Panel"}</definedName>
    <definedName name="___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___New21" hidden="1">{#N/A,#N/A,FALSE,"Full";#N/A,#N/A,FALSE,"Half";#N/A,#N/A,FALSE,"Op Expenses";#N/A,#N/A,FALSE,"Cap Charge";#N/A,#N/A,FALSE,"Cost C";#N/A,#N/A,FALSE,"PP&amp;E";#N/A,#N/A,FALSE,"R&amp;D"}</definedName>
    <definedName name="_______________NEW3" localSheetId="3" hidden="1">{#N/A,#N/A,FALSE,"SMT1";#N/A,#N/A,FALSE,"SMT2";#N/A,#N/A,FALSE,"Summary";#N/A,#N/A,FALSE,"Graphs";#N/A,#N/A,FALSE,"4 Panel"}</definedName>
    <definedName name="_______________NEW3" hidden="1">{#N/A,#N/A,FALSE,"SMT1";#N/A,#N/A,FALSE,"SMT2";#N/A,#N/A,FALSE,"Summary";#N/A,#N/A,FALSE,"Graphs";#N/A,#N/A,FALSE,"4 Panel"}</definedName>
    <definedName name="_______________nEW30" localSheetId="3" hidden="1">{"EVA",#N/A,FALSE,"SMT2";#N/A,#N/A,FALSE,"Summary";#N/A,#N/A,FALSE,"Graphs";#N/A,#N/A,FALSE,"4 Panel"}</definedName>
    <definedName name="_______________nEW30" hidden="1">{"EVA",#N/A,FALSE,"SMT2";#N/A,#N/A,FALSE,"Summary";#N/A,#N/A,FALSE,"Graphs";#N/A,#N/A,FALSE,"4 Panel"}</definedName>
    <definedName name="_______________New31" localSheetId="3" hidden="1">{#N/A,#N/A,FALSE,"SMT1";#N/A,#N/A,FALSE,"SMT2";#N/A,#N/A,FALSE,"Summary";#N/A,#N/A,FALSE,"Graphs";#N/A,#N/A,FALSE,"4 Panel"}</definedName>
    <definedName name="_______________New31" hidden="1">{#N/A,#N/A,FALSE,"SMT1";#N/A,#N/A,FALSE,"SMT2";#N/A,#N/A,FALSE,"Summary";#N/A,#N/A,FALSE,"Graphs";#N/A,#N/A,FALSE,"4 Panel"}</definedName>
    <definedName name="_______________New32" localSheetId="3" hidden="1">{#N/A,#N/A,FALSE,"SMT1";#N/A,#N/A,FALSE,"SMT2";#N/A,#N/A,FALSE,"Summary";#N/A,#N/A,FALSE,"Graphs";#N/A,#N/A,FALSE,"4 Panel"}</definedName>
    <definedName name="_______________New32" hidden="1">{#N/A,#N/A,FALSE,"SMT1";#N/A,#N/A,FALSE,"SMT2";#N/A,#N/A,FALSE,"Summary";#N/A,#N/A,FALSE,"Graphs";#N/A,#N/A,FALSE,"4 Panel"}</definedName>
    <definedName name="___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___New33" hidden="1">{#N/A,#N/A,FALSE,"Full";#N/A,#N/A,FALSE,"Half";#N/A,#N/A,FALSE,"Op Expenses";#N/A,#N/A,FALSE,"Cap Charge";#N/A,#N/A,FALSE,"Cost C";#N/A,#N/A,FALSE,"PP&amp;E";#N/A,#N/A,FALSE,"R&amp;D"}</definedName>
    <definedName name="_______________New34" localSheetId="3" hidden="1">{"EVA",#N/A,FALSE,"SMT2";#N/A,#N/A,FALSE,"Summary";#N/A,#N/A,FALSE,"Graphs";#N/A,#N/A,FALSE,"4 Panel"}</definedName>
    <definedName name="_______________New34" hidden="1">{"EVA",#N/A,FALSE,"SMT2";#N/A,#N/A,FALSE,"Summary";#N/A,#N/A,FALSE,"Graphs";#N/A,#N/A,FALSE,"4 Panel"}</definedName>
    <definedName name="_______________New35" localSheetId="3" hidden="1">{#N/A,#N/A,FALSE,"SMT1";#N/A,#N/A,FALSE,"SMT2";#N/A,#N/A,FALSE,"Summary";#N/A,#N/A,FALSE,"Graphs";#N/A,#N/A,FALSE,"4 Panel"}</definedName>
    <definedName name="_______________New35" hidden="1">{#N/A,#N/A,FALSE,"SMT1";#N/A,#N/A,FALSE,"SMT2";#N/A,#N/A,FALSE,"Summary";#N/A,#N/A,FALSE,"Graphs";#N/A,#N/A,FALSE,"4 Panel"}</definedName>
    <definedName name="___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___New36" hidden="1">{#N/A,#N/A,FALSE,"Full";#N/A,#N/A,FALSE,"Half";#N/A,#N/A,FALSE,"Op Expenses";#N/A,#N/A,FALSE,"Cap Charge";#N/A,#N/A,FALSE,"Cost C";#N/A,#N/A,FALSE,"PP&amp;E";#N/A,#N/A,FALSE,"R&amp;D"}</definedName>
    <definedName name="_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_NEW4" hidden="1">{#N/A,#N/A,FALSE,"Full";#N/A,#N/A,FALSE,"Half";#N/A,#N/A,FALSE,"Op Expenses";#N/A,#N/A,FALSE,"Cap Charge";#N/A,#N/A,FALSE,"Cost C";#N/A,#N/A,FALSE,"PP&amp;E";#N/A,#N/A,FALSE,"R&amp;D"}</definedName>
    <definedName name="_______________R" localSheetId="3" hidden="1">{#N/A,#N/A,FALSE,"GRAFICO";#N/A,#N/A,FALSE,"CAJA (2)";#N/A,#N/A,FALSE,"TERCEROS-PROMEDIO";#N/A,#N/A,FALSE,"CAJA";#N/A,#N/A,FALSE,"INGRESOS1995-2003";#N/A,#N/A,FALSE,"GASTOS1995-2003"}</definedName>
    <definedName name="_______________R" hidden="1">{#N/A,#N/A,FALSE,"GRAFICO";#N/A,#N/A,FALSE,"CAJA (2)";#N/A,#N/A,FALSE,"TERCEROS-PROMEDIO";#N/A,#N/A,FALSE,"CAJA";#N/A,#N/A,FALSE,"INGRESOS1995-2003";#N/A,#N/A,FALSE,"GASTOS1995-2003"}</definedName>
    <definedName name="______________new1" localSheetId="3" hidden="1">{#N/A,#N/A,FALSE,"SMT1";#N/A,#N/A,FALSE,"SMT2";#N/A,#N/A,FALSE,"Summary";#N/A,#N/A,FALSE,"Graphs";#N/A,#N/A,FALSE,"4 Panel"}</definedName>
    <definedName name="______________new1" hidden="1">{#N/A,#N/A,FALSE,"SMT1";#N/A,#N/A,FALSE,"SMT2";#N/A,#N/A,FALSE,"Summary";#N/A,#N/A,FALSE,"Graphs";#N/A,#N/A,FALSE,"4 Panel"}</definedName>
    <definedName name="______________New15" localSheetId="3" hidden="1">{"EVA",#N/A,FALSE,"SMT2";#N/A,#N/A,FALSE,"Summary";#N/A,#N/A,FALSE,"Graphs";#N/A,#N/A,FALSE,"4 Panel"}</definedName>
    <definedName name="______________New15" hidden="1">{"EVA",#N/A,FALSE,"SMT2";#N/A,#N/A,FALSE,"Summary";#N/A,#N/A,FALSE,"Graphs";#N/A,#N/A,FALSE,"4 Panel"}</definedName>
    <definedName name="______________New16" localSheetId="3" hidden="1">{#N/A,#N/A,FALSE,"SMT1";#N/A,#N/A,FALSE,"SMT2";#N/A,#N/A,FALSE,"Summary";#N/A,#N/A,FALSE,"Graphs";#N/A,#N/A,FALSE,"4 Panel"}</definedName>
    <definedName name="______________New16" hidden="1">{#N/A,#N/A,FALSE,"SMT1";#N/A,#N/A,FALSE,"SMT2";#N/A,#N/A,FALSE,"Summary";#N/A,#N/A,FALSE,"Graphs";#N/A,#N/A,FALSE,"4 Panel"}</definedName>
    <definedName name="______________New17" localSheetId="3" hidden="1">{#N/A,#N/A,FALSE,"SMT1";#N/A,#N/A,FALSE,"SMT2";#N/A,#N/A,FALSE,"Summary";#N/A,#N/A,FALSE,"Graphs";#N/A,#N/A,FALSE,"4 Panel"}</definedName>
    <definedName name="______________New17" hidden="1">{#N/A,#N/A,FALSE,"SMT1";#N/A,#N/A,FALSE,"SMT2";#N/A,#N/A,FALSE,"Summary";#N/A,#N/A,FALSE,"Graphs";#N/A,#N/A,FALSE,"4 Panel"}</definedName>
    <definedName name="__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__New18" hidden="1">{#N/A,#N/A,FALSE,"Full";#N/A,#N/A,FALSE,"Half";#N/A,#N/A,FALSE,"Op Expenses";#N/A,#N/A,FALSE,"Cap Charge";#N/A,#N/A,FALSE,"Cost C";#N/A,#N/A,FALSE,"PP&amp;E";#N/A,#N/A,FALSE,"R&amp;D"}</definedName>
    <definedName name="______________New19" localSheetId="3" hidden="1">{"EVA",#N/A,FALSE,"SMT2";#N/A,#N/A,FALSE,"Summary";#N/A,#N/A,FALSE,"Graphs";#N/A,#N/A,FALSE,"4 Panel"}</definedName>
    <definedName name="______________New19" hidden="1">{"EVA",#N/A,FALSE,"SMT2";#N/A,#N/A,FALSE,"Summary";#N/A,#N/A,FALSE,"Graphs";#N/A,#N/A,FALSE,"4 Panel"}</definedName>
    <definedName name="______________New20" localSheetId="3" hidden="1">{#N/A,#N/A,FALSE,"SMT1";#N/A,#N/A,FALSE,"SMT2";#N/A,#N/A,FALSE,"Summary";#N/A,#N/A,FALSE,"Graphs";#N/A,#N/A,FALSE,"4 Panel"}</definedName>
    <definedName name="______________New20" hidden="1">{#N/A,#N/A,FALSE,"SMT1";#N/A,#N/A,FALSE,"SMT2";#N/A,#N/A,FALSE,"Summary";#N/A,#N/A,FALSE,"Graphs";#N/A,#N/A,FALSE,"4 Panel"}</definedName>
    <definedName name="__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__New21" hidden="1">{#N/A,#N/A,FALSE,"Full";#N/A,#N/A,FALSE,"Half";#N/A,#N/A,FALSE,"Op Expenses";#N/A,#N/A,FALSE,"Cap Charge";#N/A,#N/A,FALSE,"Cost C";#N/A,#N/A,FALSE,"PP&amp;E";#N/A,#N/A,FALSE,"R&amp;D"}</definedName>
    <definedName name="______________NEW3" localSheetId="3" hidden="1">{#N/A,#N/A,FALSE,"SMT1";#N/A,#N/A,FALSE,"SMT2";#N/A,#N/A,FALSE,"Summary";#N/A,#N/A,FALSE,"Graphs";#N/A,#N/A,FALSE,"4 Panel"}</definedName>
    <definedName name="______________NEW3" hidden="1">{#N/A,#N/A,FALSE,"SMT1";#N/A,#N/A,FALSE,"SMT2";#N/A,#N/A,FALSE,"Summary";#N/A,#N/A,FALSE,"Graphs";#N/A,#N/A,FALSE,"4 Panel"}</definedName>
    <definedName name="______________nEW30" localSheetId="3" hidden="1">{"EVA",#N/A,FALSE,"SMT2";#N/A,#N/A,FALSE,"Summary";#N/A,#N/A,FALSE,"Graphs";#N/A,#N/A,FALSE,"4 Panel"}</definedName>
    <definedName name="______________nEW30" hidden="1">{"EVA",#N/A,FALSE,"SMT2";#N/A,#N/A,FALSE,"Summary";#N/A,#N/A,FALSE,"Graphs";#N/A,#N/A,FALSE,"4 Panel"}</definedName>
    <definedName name="______________New31" localSheetId="3" hidden="1">{#N/A,#N/A,FALSE,"SMT1";#N/A,#N/A,FALSE,"SMT2";#N/A,#N/A,FALSE,"Summary";#N/A,#N/A,FALSE,"Graphs";#N/A,#N/A,FALSE,"4 Panel"}</definedName>
    <definedName name="______________New31" hidden="1">{#N/A,#N/A,FALSE,"SMT1";#N/A,#N/A,FALSE,"SMT2";#N/A,#N/A,FALSE,"Summary";#N/A,#N/A,FALSE,"Graphs";#N/A,#N/A,FALSE,"4 Panel"}</definedName>
    <definedName name="______________New32" localSheetId="3" hidden="1">{#N/A,#N/A,FALSE,"SMT1";#N/A,#N/A,FALSE,"SMT2";#N/A,#N/A,FALSE,"Summary";#N/A,#N/A,FALSE,"Graphs";#N/A,#N/A,FALSE,"4 Panel"}</definedName>
    <definedName name="______________New32" hidden="1">{#N/A,#N/A,FALSE,"SMT1";#N/A,#N/A,FALSE,"SMT2";#N/A,#N/A,FALSE,"Summary";#N/A,#N/A,FALSE,"Graphs";#N/A,#N/A,FALSE,"4 Panel"}</definedName>
    <definedName name="__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__New33" hidden="1">{#N/A,#N/A,FALSE,"Full";#N/A,#N/A,FALSE,"Half";#N/A,#N/A,FALSE,"Op Expenses";#N/A,#N/A,FALSE,"Cap Charge";#N/A,#N/A,FALSE,"Cost C";#N/A,#N/A,FALSE,"PP&amp;E";#N/A,#N/A,FALSE,"R&amp;D"}</definedName>
    <definedName name="______________New34" localSheetId="3" hidden="1">{"EVA",#N/A,FALSE,"SMT2";#N/A,#N/A,FALSE,"Summary";#N/A,#N/A,FALSE,"Graphs";#N/A,#N/A,FALSE,"4 Panel"}</definedName>
    <definedName name="______________New34" hidden="1">{"EVA",#N/A,FALSE,"SMT2";#N/A,#N/A,FALSE,"Summary";#N/A,#N/A,FALSE,"Graphs";#N/A,#N/A,FALSE,"4 Panel"}</definedName>
    <definedName name="______________New35" localSheetId="3" hidden="1">{#N/A,#N/A,FALSE,"SMT1";#N/A,#N/A,FALSE,"SMT2";#N/A,#N/A,FALSE,"Summary";#N/A,#N/A,FALSE,"Graphs";#N/A,#N/A,FALSE,"4 Panel"}</definedName>
    <definedName name="______________New35" hidden="1">{#N/A,#N/A,FALSE,"SMT1";#N/A,#N/A,FALSE,"SMT2";#N/A,#N/A,FALSE,"Summary";#N/A,#N/A,FALSE,"Graphs";#N/A,#N/A,FALSE,"4 Panel"}</definedName>
    <definedName name="__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__New36" hidden="1">{#N/A,#N/A,FALSE,"Full";#N/A,#N/A,FALSE,"Half";#N/A,#N/A,FALSE,"Op Expenses";#N/A,#N/A,FALSE,"Cap Charge";#N/A,#N/A,FALSE,"Cost C";#N/A,#N/A,FALSE,"PP&amp;E";#N/A,#N/A,FALSE,"R&amp;D"}</definedName>
    <definedName name="_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_NEW4" hidden="1">{#N/A,#N/A,FALSE,"Full";#N/A,#N/A,FALSE,"Half";#N/A,#N/A,FALSE,"Op Expenses";#N/A,#N/A,FALSE,"Cap Charge";#N/A,#N/A,FALSE,"Cost C";#N/A,#N/A,FALSE,"PP&amp;E";#N/A,#N/A,FALSE,"R&amp;D"}</definedName>
    <definedName name="_____________new1" localSheetId="3" hidden="1">{#N/A,#N/A,FALSE,"SMT1";#N/A,#N/A,FALSE,"SMT2";#N/A,#N/A,FALSE,"Summary";#N/A,#N/A,FALSE,"Graphs";#N/A,#N/A,FALSE,"4 Panel"}</definedName>
    <definedName name="_____________new1" hidden="1">{#N/A,#N/A,FALSE,"SMT1";#N/A,#N/A,FALSE,"SMT2";#N/A,#N/A,FALSE,"Summary";#N/A,#N/A,FALSE,"Graphs";#N/A,#N/A,FALSE,"4 Panel"}</definedName>
    <definedName name="_____________New15" localSheetId="3" hidden="1">{"EVA",#N/A,FALSE,"SMT2";#N/A,#N/A,FALSE,"Summary";#N/A,#N/A,FALSE,"Graphs";#N/A,#N/A,FALSE,"4 Panel"}</definedName>
    <definedName name="_____________New15" hidden="1">{"EVA",#N/A,FALSE,"SMT2";#N/A,#N/A,FALSE,"Summary";#N/A,#N/A,FALSE,"Graphs";#N/A,#N/A,FALSE,"4 Panel"}</definedName>
    <definedName name="_____________New16" localSheetId="3" hidden="1">{#N/A,#N/A,FALSE,"SMT1";#N/A,#N/A,FALSE,"SMT2";#N/A,#N/A,FALSE,"Summary";#N/A,#N/A,FALSE,"Graphs";#N/A,#N/A,FALSE,"4 Panel"}</definedName>
    <definedName name="_____________New16" hidden="1">{#N/A,#N/A,FALSE,"SMT1";#N/A,#N/A,FALSE,"SMT2";#N/A,#N/A,FALSE,"Summary";#N/A,#N/A,FALSE,"Graphs";#N/A,#N/A,FALSE,"4 Panel"}</definedName>
    <definedName name="_____________New17" localSheetId="3" hidden="1">{#N/A,#N/A,FALSE,"SMT1";#N/A,#N/A,FALSE,"SMT2";#N/A,#N/A,FALSE,"Summary";#N/A,#N/A,FALSE,"Graphs";#N/A,#N/A,FALSE,"4 Panel"}</definedName>
    <definedName name="_____________New17" hidden="1">{#N/A,#N/A,FALSE,"SMT1";#N/A,#N/A,FALSE,"SMT2";#N/A,#N/A,FALSE,"Summary";#N/A,#N/A,FALSE,"Graphs";#N/A,#N/A,FALSE,"4 Panel"}</definedName>
    <definedName name="_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_New18" hidden="1">{#N/A,#N/A,FALSE,"Full";#N/A,#N/A,FALSE,"Half";#N/A,#N/A,FALSE,"Op Expenses";#N/A,#N/A,FALSE,"Cap Charge";#N/A,#N/A,FALSE,"Cost C";#N/A,#N/A,FALSE,"PP&amp;E";#N/A,#N/A,FALSE,"R&amp;D"}</definedName>
    <definedName name="_____________New19" localSheetId="3" hidden="1">{"EVA",#N/A,FALSE,"SMT2";#N/A,#N/A,FALSE,"Summary";#N/A,#N/A,FALSE,"Graphs";#N/A,#N/A,FALSE,"4 Panel"}</definedName>
    <definedName name="_____________New19" hidden="1">{"EVA",#N/A,FALSE,"SMT2";#N/A,#N/A,FALSE,"Summary";#N/A,#N/A,FALSE,"Graphs";#N/A,#N/A,FALSE,"4 Panel"}</definedName>
    <definedName name="_____________New20" localSheetId="3" hidden="1">{#N/A,#N/A,FALSE,"SMT1";#N/A,#N/A,FALSE,"SMT2";#N/A,#N/A,FALSE,"Summary";#N/A,#N/A,FALSE,"Graphs";#N/A,#N/A,FALSE,"4 Panel"}</definedName>
    <definedName name="_____________New20" hidden="1">{#N/A,#N/A,FALSE,"SMT1";#N/A,#N/A,FALSE,"SMT2";#N/A,#N/A,FALSE,"Summary";#N/A,#N/A,FALSE,"Graphs";#N/A,#N/A,FALSE,"4 Panel"}</definedName>
    <definedName name="_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_New21" hidden="1">{#N/A,#N/A,FALSE,"Full";#N/A,#N/A,FALSE,"Half";#N/A,#N/A,FALSE,"Op Expenses";#N/A,#N/A,FALSE,"Cap Charge";#N/A,#N/A,FALSE,"Cost C";#N/A,#N/A,FALSE,"PP&amp;E";#N/A,#N/A,FALSE,"R&amp;D"}</definedName>
    <definedName name="_____________NEW3" localSheetId="3" hidden="1">{#N/A,#N/A,FALSE,"SMT1";#N/A,#N/A,FALSE,"SMT2";#N/A,#N/A,FALSE,"Summary";#N/A,#N/A,FALSE,"Graphs";#N/A,#N/A,FALSE,"4 Panel"}</definedName>
    <definedName name="_____________NEW3" hidden="1">{#N/A,#N/A,FALSE,"SMT1";#N/A,#N/A,FALSE,"SMT2";#N/A,#N/A,FALSE,"Summary";#N/A,#N/A,FALSE,"Graphs";#N/A,#N/A,FALSE,"4 Panel"}</definedName>
    <definedName name="_____________nEW30" localSheetId="3" hidden="1">{"EVA",#N/A,FALSE,"SMT2";#N/A,#N/A,FALSE,"Summary";#N/A,#N/A,FALSE,"Graphs";#N/A,#N/A,FALSE,"4 Panel"}</definedName>
    <definedName name="_____________nEW30" hidden="1">{"EVA",#N/A,FALSE,"SMT2";#N/A,#N/A,FALSE,"Summary";#N/A,#N/A,FALSE,"Graphs";#N/A,#N/A,FALSE,"4 Panel"}</definedName>
    <definedName name="_____________New31" localSheetId="3" hidden="1">{#N/A,#N/A,FALSE,"SMT1";#N/A,#N/A,FALSE,"SMT2";#N/A,#N/A,FALSE,"Summary";#N/A,#N/A,FALSE,"Graphs";#N/A,#N/A,FALSE,"4 Panel"}</definedName>
    <definedName name="_____________New31" hidden="1">{#N/A,#N/A,FALSE,"SMT1";#N/A,#N/A,FALSE,"SMT2";#N/A,#N/A,FALSE,"Summary";#N/A,#N/A,FALSE,"Graphs";#N/A,#N/A,FALSE,"4 Panel"}</definedName>
    <definedName name="_____________New32" localSheetId="3" hidden="1">{#N/A,#N/A,FALSE,"SMT1";#N/A,#N/A,FALSE,"SMT2";#N/A,#N/A,FALSE,"Summary";#N/A,#N/A,FALSE,"Graphs";#N/A,#N/A,FALSE,"4 Panel"}</definedName>
    <definedName name="_____________New32" hidden="1">{#N/A,#N/A,FALSE,"SMT1";#N/A,#N/A,FALSE,"SMT2";#N/A,#N/A,FALSE,"Summary";#N/A,#N/A,FALSE,"Graphs";#N/A,#N/A,FALSE,"4 Panel"}</definedName>
    <definedName name="_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_New33" hidden="1">{#N/A,#N/A,FALSE,"Full";#N/A,#N/A,FALSE,"Half";#N/A,#N/A,FALSE,"Op Expenses";#N/A,#N/A,FALSE,"Cap Charge";#N/A,#N/A,FALSE,"Cost C";#N/A,#N/A,FALSE,"PP&amp;E";#N/A,#N/A,FALSE,"R&amp;D"}</definedName>
    <definedName name="_____________New34" localSheetId="3" hidden="1">{"EVA",#N/A,FALSE,"SMT2";#N/A,#N/A,FALSE,"Summary";#N/A,#N/A,FALSE,"Graphs";#N/A,#N/A,FALSE,"4 Panel"}</definedName>
    <definedName name="_____________New34" hidden="1">{"EVA",#N/A,FALSE,"SMT2";#N/A,#N/A,FALSE,"Summary";#N/A,#N/A,FALSE,"Graphs";#N/A,#N/A,FALSE,"4 Panel"}</definedName>
    <definedName name="_____________New35" localSheetId="3" hidden="1">{#N/A,#N/A,FALSE,"SMT1";#N/A,#N/A,FALSE,"SMT2";#N/A,#N/A,FALSE,"Summary";#N/A,#N/A,FALSE,"Graphs";#N/A,#N/A,FALSE,"4 Panel"}</definedName>
    <definedName name="_____________New35" hidden="1">{#N/A,#N/A,FALSE,"SMT1";#N/A,#N/A,FALSE,"SMT2";#N/A,#N/A,FALSE,"Summary";#N/A,#N/A,FALSE,"Graphs";#N/A,#N/A,FALSE,"4 Panel"}</definedName>
    <definedName name="_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_New36" hidden="1">{#N/A,#N/A,FALSE,"Full";#N/A,#N/A,FALSE,"Half";#N/A,#N/A,FALSE,"Op Expenses";#N/A,#N/A,FALSE,"Cap Charge";#N/A,#N/A,FALSE,"Cost C";#N/A,#N/A,FALSE,"PP&amp;E";#N/A,#N/A,FALSE,"R&amp;D"}</definedName>
    <definedName name="_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_NEW4" hidden="1">{#N/A,#N/A,FALSE,"Full";#N/A,#N/A,FALSE,"Half";#N/A,#N/A,FALSE,"Op Expenses";#N/A,#N/A,FALSE,"Cap Charge";#N/A,#N/A,FALSE,"Cost C";#N/A,#N/A,FALSE,"PP&amp;E";#N/A,#N/A,FALSE,"R&amp;D"}</definedName>
    <definedName name="_____________R" localSheetId="3" hidden="1">{#N/A,#N/A,FALSE,"GRAFICO";#N/A,#N/A,FALSE,"CAJA (2)";#N/A,#N/A,FALSE,"TERCEROS-PROMEDIO";#N/A,#N/A,FALSE,"CAJA";#N/A,#N/A,FALSE,"INGRESOS1995-2003";#N/A,#N/A,FALSE,"GASTOS1995-2003"}</definedName>
    <definedName name="_____________R" hidden="1">{#N/A,#N/A,FALSE,"GRAFICO";#N/A,#N/A,FALSE,"CAJA (2)";#N/A,#N/A,FALSE,"TERCEROS-PROMEDIO";#N/A,#N/A,FALSE,"CAJA";#N/A,#N/A,FALSE,"INGRESOS1995-2003";#N/A,#N/A,FALSE,"GASTOS1995-2003"}</definedName>
    <definedName name="____________new1" localSheetId="3" hidden="1">{#N/A,#N/A,FALSE,"SMT1";#N/A,#N/A,FALSE,"SMT2";#N/A,#N/A,FALSE,"Summary";#N/A,#N/A,FALSE,"Graphs";#N/A,#N/A,FALSE,"4 Panel"}</definedName>
    <definedName name="____________new1" hidden="1">{#N/A,#N/A,FALSE,"SMT1";#N/A,#N/A,FALSE,"SMT2";#N/A,#N/A,FALSE,"Summary";#N/A,#N/A,FALSE,"Graphs";#N/A,#N/A,FALSE,"4 Panel"}</definedName>
    <definedName name="____________New15" localSheetId="3" hidden="1">{"EVA",#N/A,FALSE,"SMT2";#N/A,#N/A,FALSE,"Summary";#N/A,#N/A,FALSE,"Graphs";#N/A,#N/A,FALSE,"4 Panel"}</definedName>
    <definedName name="____________New15" hidden="1">{"EVA",#N/A,FALSE,"SMT2";#N/A,#N/A,FALSE,"Summary";#N/A,#N/A,FALSE,"Graphs";#N/A,#N/A,FALSE,"4 Panel"}</definedName>
    <definedName name="____________New16" localSheetId="3" hidden="1">{#N/A,#N/A,FALSE,"SMT1";#N/A,#N/A,FALSE,"SMT2";#N/A,#N/A,FALSE,"Summary";#N/A,#N/A,FALSE,"Graphs";#N/A,#N/A,FALSE,"4 Panel"}</definedName>
    <definedName name="____________New16" hidden="1">{#N/A,#N/A,FALSE,"SMT1";#N/A,#N/A,FALSE,"SMT2";#N/A,#N/A,FALSE,"Summary";#N/A,#N/A,FALSE,"Graphs";#N/A,#N/A,FALSE,"4 Panel"}</definedName>
    <definedName name="____________New17" localSheetId="3" hidden="1">{#N/A,#N/A,FALSE,"SMT1";#N/A,#N/A,FALSE,"SMT2";#N/A,#N/A,FALSE,"Summary";#N/A,#N/A,FALSE,"Graphs";#N/A,#N/A,FALSE,"4 Panel"}</definedName>
    <definedName name="____________New17" hidden="1">{#N/A,#N/A,FALSE,"SMT1";#N/A,#N/A,FALSE,"SMT2";#N/A,#N/A,FALSE,"Summary";#N/A,#N/A,FALSE,"Graphs";#N/A,#N/A,FALSE,"4 Panel"}</definedName>
    <definedName name="____________New18" localSheetId="3" hidden="1">{#N/A,#N/A,FALSE,"Full";#N/A,#N/A,FALSE,"Half";#N/A,#N/A,FALSE,"Op Expenses";#N/A,#N/A,FALSE,"Cap Charge";#N/A,#N/A,FALSE,"Cost C";#N/A,#N/A,FALSE,"PP&amp;E";#N/A,#N/A,FALSE,"R&amp;D"}</definedName>
    <definedName name="____________New18" hidden="1">{#N/A,#N/A,FALSE,"Full";#N/A,#N/A,FALSE,"Half";#N/A,#N/A,FALSE,"Op Expenses";#N/A,#N/A,FALSE,"Cap Charge";#N/A,#N/A,FALSE,"Cost C";#N/A,#N/A,FALSE,"PP&amp;E";#N/A,#N/A,FALSE,"R&amp;D"}</definedName>
    <definedName name="____________New19" localSheetId="3" hidden="1">{"EVA",#N/A,FALSE,"SMT2";#N/A,#N/A,FALSE,"Summary";#N/A,#N/A,FALSE,"Graphs";#N/A,#N/A,FALSE,"4 Panel"}</definedName>
    <definedName name="____________New19" hidden="1">{"EVA",#N/A,FALSE,"SMT2";#N/A,#N/A,FALSE,"Summary";#N/A,#N/A,FALSE,"Graphs";#N/A,#N/A,FALSE,"4 Panel"}</definedName>
    <definedName name="____________New20" localSheetId="3" hidden="1">{#N/A,#N/A,FALSE,"SMT1";#N/A,#N/A,FALSE,"SMT2";#N/A,#N/A,FALSE,"Summary";#N/A,#N/A,FALSE,"Graphs";#N/A,#N/A,FALSE,"4 Panel"}</definedName>
    <definedName name="____________New20" hidden="1">{#N/A,#N/A,FALSE,"SMT1";#N/A,#N/A,FALSE,"SMT2";#N/A,#N/A,FALSE,"Summary";#N/A,#N/A,FALSE,"Graphs";#N/A,#N/A,FALSE,"4 Panel"}</definedName>
    <definedName name="____________New21" localSheetId="3" hidden="1">{#N/A,#N/A,FALSE,"Full";#N/A,#N/A,FALSE,"Half";#N/A,#N/A,FALSE,"Op Expenses";#N/A,#N/A,FALSE,"Cap Charge";#N/A,#N/A,FALSE,"Cost C";#N/A,#N/A,FALSE,"PP&amp;E";#N/A,#N/A,FALSE,"R&amp;D"}</definedName>
    <definedName name="____________New21" hidden="1">{#N/A,#N/A,FALSE,"Full";#N/A,#N/A,FALSE,"Half";#N/A,#N/A,FALSE,"Op Expenses";#N/A,#N/A,FALSE,"Cap Charge";#N/A,#N/A,FALSE,"Cost C";#N/A,#N/A,FALSE,"PP&amp;E";#N/A,#N/A,FALSE,"R&amp;D"}</definedName>
    <definedName name="____________NEW3" localSheetId="3" hidden="1">{#N/A,#N/A,FALSE,"SMT1";#N/A,#N/A,FALSE,"SMT2";#N/A,#N/A,FALSE,"Summary";#N/A,#N/A,FALSE,"Graphs";#N/A,#N/A,FALSE,"4 Panel"}</definedName>
    <definedName name="____________NEW3" hidden="1">{#N/A,#N/A,FALSE,"SMT1";#N/A,#N/A,FALSE,"SMT2";#N/A,#N/A,FALSE,"Summary";#N/A,#N/A,FALSE,"Graphs";#N/A,#N/A,FALSE,"4 Panel"}</definedName>
    <definedName name="____________nEW30" localSheetId="3" hidden="1">{"EVA",#N/A,FALSE,"SMT2";#N/A,#N/A,FALSE,"Summary";#N/A,#N/A,FALSE,"Graphs";#N/A,#N/A,FALSE,"4 Panel"}</definedName>
    <definedName name="____________nEW30" hidden="1">{"EVA",#N/A,FALSE,"SMT2";#N/A,#N/A,FALSE,"Summary";#N/A,#N/A,FALSE,"Graphs";#N/A,#N/A,FALSE,"4 Panel"}</definedName>
    <definedName name="____________New31" localSheetId="3" hidden="1">{#N/A,#N/A,FALSE,"SMT1";#N/A,#N/A,FALSE,"SMT2";#N/A,#N/A,FALSE,"Summary";#N/A,#N/A,FALSE,"Graphs";#N/A,#N/A,FALSE,"4 Panel"}</definedName>
    <definedName name="____________New31" hidden="1">{#N/A,#N/A,FALSE,"SMT1";#N/A,#N/A,FALSE,"SMT2";#N/A,#N/A,FALSE,"Summary";#N/A,#N/A,FALSE,"Graphs";#N/A,#N/A,FALSE,"4 Panel"}</definedName>
    <definedName name="____________New32" localSheetId="3" hidden="1">{#N/A,#N/A,FALSE,"SMT1";#N/A,#N/A,FALSE,"SMT2";#N/A,#N/A,FALSE,"Summary";#N/A,#N/A,FALSE,"Graphs";#N/A,#N/A,FALSE,"4 Panel"}</definedName>
    <definedName name="____________New32" hidden="1">{#N/A,#N/A,FALSE,"SMT1";#N/A,#N/A,FALSE,"SMT2";#N/A,#N/A,FALSE,"Summary";#N/A,#N/A,FALSE,"Graphs";#N/A,#N/A,FALSE,"4 Panel"}</definedName>
    <definedName name="____________New33" localSheetId="3" hidden="1">{#N/A,#N/A,FALSE,"Full";#N/A,#N/A,FALSE,"Half";#N/A,#N/A,FALSE,"Op Expenses";#N/A,#N/A,FALSE,"Cap Charge";#N/A,#N/A,FALSE,"Cost C";#N/A,#N/A,FALSE,"PP&amp;E";#N/A,#N/A,FALSE,"R&amp;D"}</definedName>
    <definedName name="____________New33" hidden="1">{#N/A,#N/A,FALSE,"Full";#N/A,#N/A,FALSE,"Half";#N/A,#N/A,FALSE,"Op Expenses";#N/A,#N/A,FALSE,"Cap Charge";#N/A,#N/A,FALSE,"Cost C";#N/A,#N/A,FALSE,"PP&amp;E";#N/A,#N/A,FALSE,"R&amp;D"}</definedName>
    <definedName name="____________New34" localSheetId="3" hidden="1">{"EVA",#N/A,FALSE,"SMT2";#N/A,#N/A,FALSE,"Summary";#N/A,#N/A,FALSE,"Graphs";#N/A,#N/A,FALSE,"4 Panel"}</definedName>
    <definedName name="____________New34" hidden="1">{"EVA",#N/A,FALSE,"SMT2";#N/A,#N/A,FALSE,"Summary";#N/A,#N/A,FALSE,"Graphs";#N/A,#N/A,FALSE,"4 Panel"}</definedName>
    <definedName name="____________New35" localSheetId="3" hidden="1">{#N/A,#N/A,FALSE,"SMT1";#N/A,#N/A,FALSE,"SMT2";#N/A,#N/A,FALSE,"Summary";#N/A,#N/A,FALSE,"Graphs";#N/A,#N/A,FALSE,"4 Panel"}</definedName>
    <definedName name="____________New35" hidden="1">{#N/A,#N/A,FALSE,"SMT1";#N/A,#N/A,FALSE,"SMT2";#N/A,#N/A,FALSE,"Summary";#N/A,#N/A,FALSE,"Graphs";#N/A,#N/A,FALSE,"4 Panel"}</definedName>
    <definedName name="____________New36" localSheetId="3" hidden="1">{#N/A,#N/A,FALSE,"Full";#N/A,#N/A,FALSE,"Half";#N/A,#N/A,FALSE,"Op Expenses";#N/A,#N/A,FALSE,"Cap Charge";#N/A,#N/A,FALSE,"Cost C";#N/A,#N/A,FALSE,"PP&amp;E";#N/A,#N/A,FALSE,"R&amp;D"}</definedName>
    <definedName name="____________New36" hidden="1">{#N/A,#N/A,FALSE,"Full";#N/A,#N/A,FALSE,"Half";#N/A,#N/A,FALSE,"Op Expenses";#N/A,#N/A,FALSE,"Cap Charge";#N/A,#N/A,FALSE,"Cost C";#N/A,#N/A,FALSE,"PP&amp;E";#N/A,#N/A,FALSE,"R&amp;D"}</definedName>
    <definedName name="____________NEW4" localSheetId="3" hidden="1">{#N/A,#N/A,FALSE,"Full";#N/A,#N/A,FALSE,"Half";#N/A,#N/A,FALSE,"Op Expenses";#N/A,#N/A,FALSE,"Cap Charge";#N/A,#N/A,FALSE,"Cost C";#N/A,#N/A,FALSE,"PP&amp;E";#N/A,#N/A,FALSE,"R&amp;D"}</definedName>
    <definedName name="____________NEW4" hidden="1">{#N/A,#N/A,FALSE,"Full";#N/A,#N/A,FALSE,"Half";#N/A,#N/A,FALSE,"Op Expenses";#N/A,#N/A,FALSE,"Cap Charge";#N/A,#N/A,FALSE,"Cost C";#N/A,#N/A,FALSE,"PP&amp;E";#N/A,#N/A,FALSE,"R&amp;D"}</definedName>
    <definedName name="____________R" localSheetId="3" hidden="1">{#N/A,#N/A,FALSE,"GRAFICO";#N/A,#N/A,FALSE,"CAJA (2)";#N/A,#N/A,FALSE,"TERCEROS-PROMEDIO";#N/A,#N/A,FALSE,"CAJA";#N/A,#N/A,FALSE,"INGRESOS1995-2003";#N/A,#N/A,FALSE,"GASTOS1995-2003"}</definedName>
    <definedName name="____________R" hidden="1">{#N/A,#N/A,FALSE,"GRAFICO";#N/A,#N/A,FALSE,"CAJA (2)";#N/A,#N/A,FALSE,"TERCEROS-PROMEDIO";#N/A,#N/A,FALSE,"CAJA";#N/A,#N/A,FALSE,"INGRESOS1995-2003";#N/A,#N/A,FALSE,"GASTOS1995-2003"}</definedName>
    <definedName name="___________new1" localSheetId="3" hidden="1">{#N/A,#N/A,FALSE,"SMT1";#N/A,#N/A,FALSE,"SMT2";#N/A,#N/A,FALSE,"Summary";#N/A,#N/A,FALSE,"Graphs";#N/A,#N/A,FALSE,"4 Panel"}</definedName>
    <definedName name="___________new1" hidden="1">{#N/A,#N/A,FALSE,"SMT1";#N/A,#N/A,FALSE,"SMT2";#N/A,#N/A,FALSE,"Summary";#N/A,#N/A,FALSE,"Graphs";#N/A,#N/A,FALSE,"4 Panel"}</definedName>
    <definedName name="___________New15" localSheetId="3" hidden="1">{"EVA",#N/A,FALSE,"SMT2";#N/A,#N/A,FALSE,"Summary";#N/A,#N/A,FALSE,"Graphs";#N/A,#N/A,FALSE,"4 Panel"}</definedName>
    <definedName name="___________New15" hidden="1">{"EVA",#N/A,FALSE,"SMT2";#N/A,#N/A,FALSE,"Summary";#N/A,#N/A,FALSE,"Graphs";#N/A,#N/A,FALSE,"4 Panel"}</definedName>
    <definedName name="___________New16" localSheetId="3" hidden="1">{#N/A,#N/A,FALSE,"SMT1";#N/A,#N/A,FALSE,"SMT2";#N/A,#N/A,FALSE,"Summary";#N/A,#N/A,FALSE,"Graphs";#N/A,#N/A,FALSE,"4 Panel"}</definedName>
    <definedName name="___________New16" hidden="1">{#N/A,#N/A,FALSE,"SMT1";#N/A,#N/A,FALSE,"SMT2";#N/A,#N/A,FALSE,"Summary";#N/A,#N/A,FALSE,"Graphs";#N/A,#N/A,FALSE,"4 Panel"}</definedName>
    <definedName name="___________New17" localSheetId="3" hidden="1">{#N/A,#N/A,FALSE,"SMT1";#N/A,#N/A,FALSE,"SMT2";#N/A,#N/A,FALSE,"Summary";#N/A,#N/A,FALSE,"Graphs";#N/A,#N/A,FALSE,"4 Panel"}</definedName>
    <definedName name="___________New17" hidden="1">{#N/A,#N/A,FALSE,"SMT1";#N/A,#N/A,FALSE,"SMT2";#N/A,#N/A,FALSE,"Summary";#N/A,#N/A,FALSE,"Graphs";#N/A,#N/A,FALSE,"4 Panel"}</definedName>
    <definedName name="___________New18" localSheetId="3" hidden="1">{#N/A,#N/A,FALSE,"Full";#N/A,#N/A,FALSE,"Half";#N/A,#N/A,FALSE,"Op Expenses";#N/A,#N/A,FALSE,"Cap Charge";#N/A,#N/A,FALSE,"Cost C";#N/A,#N/A,FALSE,"PP&amp;E";#N/A,#N/A,FALSE,"R&amp;D"}</definedName>
    <definedName name="___________New18" hidden="1">{#N/A,#N/A,FALSE,"Full";#N/A,#N/A,FALSE,"Half";#N/A,#N/A,FALSE,"Op Expenses";#N/A,#N/A,FALSE,"Cap Charge";#N/A,#N/A,FALSE,"Cost C";#N/A,#N/A,FALSE,"PP&amp;E";#N/A,#N/A,FALSE,"R&amp;D"}</definedName>
    <definedName name="___________New19" localSheetId="3" hidden="1">{"EVA",#N/A,FALSE,"SMT2";#N/A,#N/A,FALSE,"Summary";#N/A,#N/A,FALSE,"Graphs";#N/A,#N/A,FALSE,"4 Panel"}</definedName>
    <definedName name="___________New19" hidden="1">{"EVA",#N/A,FALSE,"SMT2";#N/A,#N/A,FALSE,"Summary";#N/A,#N/A,FALSE,"Graphs";#N/A,#N/A,FALSE,"4 Panel"}</definedName>
    <definedName name="___________New20" localSheetId="3" hidden="1">{#N/A,#N/A,FALSE,"SMT1";#N/A,#N/A,FALSE,"SMT2";#N/A,#N/A,FALSE,"Summary";#N/A,#N/A,FALSE,"Graphs";#N/A,#N/A,FALSE,"4 Panel"}</definedName>
    <definedName name="___________New20" hidden="1">{#N/A,#N/A,FALSE,"SMT1";#N/A,#N/A,FALSE,"SMT2";#N/A,#N/A,FALSE,"Summary";#N/A,#N/A,FALSE,"Graphs";#N/A,#N/A,FALSE,"4 Panel"}</definedName>
    <definedName name="___________New21" localSheetId="3" hidden="1">{#N/A,#N/A,FALSE,"Full";#N/A,#N/A,FALSE,"Half";#N/A,#N/A,FALSE,"Op Expenses";#N/A,#N/A,FALSE,"Cap Charge";#N/A,#N/A,FALSE,"Cost C";#N/A,#N/A,FALSE,"PP&amp;E";#N/A,#N/A,FALSE,"R&amp;D"}</definedName>
    <definedName name="___________New21" hidden="1">{#N/A,#N/A,FALSE,"Full";#N/A,#N/A,FALSE,"Half";#N/A,#N/A,FALSE,"Op Expenses";#N/A,#N/A,FALSE,"Cap Charge";#N/A,#N/A,FALSE,"Cost C";#N/A,#N/A,FALSE,"PP&amp;E";#N/A,#N/A,FALSE,"R&amp;D"}</definedName>
    <definedName name="___________NEW3" localSheetId="3" hidden="1">{#N/A,#N/A,FALSE,"SMT1";#N/A,#N/A,FALSE,"SMT2";#N/A,#N/A,FALSE,"Summary";#N/A,#N/A,FALSE,"Graphs";#N/A,#N/A,FALSE,"4 Panel"}</definedName>
    <definedName name="___________NEW3" hidden="1">{#N/A,#N/A,FALSE,"SMT1";#N/A,#N/A,FALSE,"SMT2";#N/A,#N/A,FALSE,"Summary";#N/A,#N/A,FALSE,"Graphs";#N/A,#N/A,FALSE,"4 Panel"}</definedName>
    <definedName name="___________nEW30" localSheetId="3" hidden="1">{"EVA",#N/A,FALSE,"SMT2";#N/A,#N/A,FALSE,"Summary";#N/A,#N/A,FALSE,"Graphs";#N/A,#N/A,FALSE,"4 Panel"}</definedName>
    <definedName name="___________nEW30" hidden="1">{"EVA",#N/A,FALSE,"SMT2";#N/A,#N/A,FALSE,"Summary";#N/A,#N/A,FALSE,"Graphs";#N/A,#N/A,FALSE,"4 Panel"}</definedName>
    <definedName name="___________New31" localSheetId="3" hidden="1">{#N/A,#N/A,FALSE,"SMT1";#N/A,#N/A,FALSE,"SMT2";#N/A,#N/A,FALSE,"Summary";#N/A,#N/A,FALSE,"Graphs";#N/A,#N/A,FALSE,"4 Panel"}</definedName>
    <definedName name="___________New31" hidden="1">{#N/A,#N/A,FALSE,"SMT1";#N/A,#N/A,FALSE,"SMT2";#N/A,#N/A,FALSE,"Summary";#N/A,#N/A,FALSE,"Graphs";#N/A,#N/A,FALSE,"4 Panel"}</definedName>
    <definedName name="___________New32" localSheetId="3" hidden="1">{#N/A,#N/A,FALSE,"SMT1";#N/A,#N/A,FALSE,"SMT2";#N/A,#N/A,FALSE,"Summary";#N/A,#N/A,FALSE,"Graphs";#N/A,#N/A,FALSE,"4 Panel"}</definedName>
    <definedName name="___________New32" hidden="1">{#N/A,#N/A,FALSE,"SMT1";#N/A,#N/A,FALSE,"SMT2";#N/A,#N/A,FALSE,"Summary";#N/A,#N/A,FALSE,"Graphs";#N/A,#N/A,FALSE,"4 Panel"}</definedName>
    <definedName name="___________New33" localSheetId="3" hidden="1">{#N/A,#N/A,FALSE,"Full";#N/A,#N/A,FALSE,"Half";#N/A,#N/A,FALSE,"Op Expenses";#N/A,#N/A,FALSE,"Cap Charge";#N/A,#N/A,FALSE,"Cost C";#N/A,#N/A,FALSE,"PP&amp;E";#N/A,#N/A,FALSE,"R&amp;D"}</definedName>
    <definedName name="___________New33" hidden="1">{#N/A,#N/A,FALSE,"Full";#N/A,#N/A,FALSE,"Half";#N/A,#N/A,FALSE,"Op Expenses";#N/A,#N/A,FALSE,"Cap Charge";#N/A,#N/A,FALSE,"Cost C";#N/A,#N/A,FALSE,"PP&amp;E";#N/A,#N/A,FALSE,"R&amp;D"}</definedName>
    <definedName name="___________New34" localSheetId="3" hidden="1">{"EVA",#N/A,FALSE,"SMT2";#N/A,#N/A,FALSE,"Summary";#N/A,#N/A,FALSE,"Graphs";#N/A,#N/A,FALSE,"4 Panel"}</definedName>
    <definedName name="___________New34" hidden="1">{"EVA",#N/A,FALSE,"SMT2";#N/A,#N/A,FALSE,"Summary";#N/A,#N/A,FALSE,"Graphs";#N/A,#N/A,FALSE,"4 Panel"}</definedName>
    <definedName name="___________New35" localSheetId="3" hidden="1">{#N/A,#N/A,FALSE,"SMT1";#N/A,#N/A,FALSE,"SMT2";#N/A,#N/A,FALSE,"Summary";#N/A,#N/A,FALSE,"Graphs";#N/A,#N/A,FALSE,"4 Panel"}</definedName>
    <definedName name="___________New35" hidden="1">{#N/A,#N/A,FALSE,"SMT1";#N/A,#N/A,FALSE,"SMT2";#N/A,#N/A,FALSE,"Summary";#N/A,#N/A,FALSE,"Graphs";#N/A,#N/A,FALSE,"4 Panel"}</definedName>
    <definedName name="___________New36" localSheetId="3" hidden="1">{#N/A,#N/A,FALSE,"Full";#N/A,#N/A,FALSE,"Half";#N/A,#N/A,FALSE,"Op Expenses";#N/A,#N/A,FALSE,"Cap Charge";#N/A,#N/A,FALSE,"Cost C";#N/A,#N/A,FALSE,"PP&amp;E";#N/A,#N/A,FALSE,"R&amp;D"}</definedName>
    <definedName name="___________New36" hidden="1">{#N/A,#N/A,FALSE,"Full";#N/A,#N/A,FALSE,"Half";#N/A,#N/A,FALSE,"Op Expenses";#N/A,#N/A,FALSE,"Cap Charge";#N/A,#N/A,FALSE,"Cost C";#N/A,#N/A,FALSE,"PP&amp;E";#N/A,#N/A,FALSE,"R&amp;D"}</definedName>
    <definedName name="___________NEW4" localSheetId="3" hidden="1">{#N/A,#N/A,FALSE,"Full";#N/A,#N/A,FALSE,"Half";#N/A,#N/A,FALSE,"Op Expenses";#N/A,#N/A,FALSE,"Cap Charge";#N/A,#N/A,FALSE,"Cost C";#N/A,#N/A,FALSE,"PP&amp;E";#N/A,#N/A,FALSE,"R&amp;D"}</definedName>
    <definedName name="___________NEW4" hidden="1">{#N/A,#N/A,FALSE,"Full";#N/A,#N/A,FALSE,"Half";#N/A,#N/A,FALSE,"Op Expenses";#N/A,#N/A,FALSE,"Cap Charge";#N/A,#N/A,FALSE,"Cost C";#N/A,#N/A,FALSE,"PP&amp;E";#N/A,#N/A,FALSE,"R&amp;D"}</definedName>
    <definedName name="___________R" localSheetId="3" hidden="1">{#N/A,#N/A,FALSE,"GRAFICO";#N/A,#N/A,FALSE,"CAJA (2)";#N/A,#N/A,FALSE,"TERCEROS-PROMEDIO";#N/A,#N/A,FALSE,"CAJA";#N/A,#N/A,FALSE,"INGRESOS1995-2003";#N/A,#N/A,FALSE,"GASTOS1995-2003"}</definedName>
    <definedName name="___________R" hidden="1">{#N/A,#N/A,FALSE,"GRAFICO";#N/A,#N/A,FALSE,"CAJA (2)";#N/A,#N/A,FALSE,"TERCEROS-PROMEDIO";#N/A,#N/A,FALSE,"CAJA";#N/A,#N/A,FALSE,"INGRESOS1995-2003";#N/A,#N/A,FALSE,"GASTOS1995-2003"}</definedName>
    <definedName name="__________new1" localSheetId="3" hidden="1">{#N/A,#N/A,FALSE,"SMT1";#N/A,#N/A,FALSE,"SMT2";#N/A,#N/A,FALSE,"Summary";#N/A,#N/A,FALSE,"Graphs";#N/A,#N/A,FALSE,"4 Panel"}</definedName>
    <definedName name="__________new1" hidden="1">{#N/A,#N/A,FALSE,"SMT1";#N/A,#N/A,FALSE,"SMT2";#N/A,#N/A,FALSE,"Summary";#N/A,#N/A,FALSE,"Graphs";#N/A,#N/A,FALSE,"4 Panel"}</definedName>
    <definedName name="__________New15" localSheetId="3" hidden="1">{"EVA",#N/A,FALSE,"SMT2";#N/A,#N/A,FALSE,"Summary";#N/A,#N/A,FALSE,"Graphs";#N/A,#N/A,FALSE,"4 Panel"}</definedName>
    <definedName name="__________New15" hidden="1">{"EVA",#N/A,FALSE,"SMT2";#N/A,#N/A,FALSE,"Summary";#N/A,#N/A,FALSE,"Graphs";#N/A,#N/A,FALSE,"4 Panel"}</definedName>
    <definedName name="__________New16" localSheetId="3" hidden="1">{#N/A,#N/A,FALSE,"SMT1";#N/A,#N/A,FALSE,"SMT2";#N/A,#N/A,FALSE,"Summary";#N/A,#N/A,FALSE,"Graphs";#N/A,#N/A,FALSE,"4 Panel"}</definedName>
    <definedName name="__________New16" hidden="1">{#N/A,#N/A,FALSE,"SMT1";#N/A,#N/A,FALSE,"SMT2";#N/A,#N/A,FALSE,"Summary";#N/A,#N/A,FALSE,"Graphs";#N/A,#N/A,FALSE,"4 Panel"}</definedName>
    <definedName name="__________New17" localSheetId="3" hidden="1">{#N/A,#N/A,FALSE,"SMT1";#N/A,#N/A,FALSE,"SMT2";#N/A,#N/A,FALSE,"Summary";#N/A,#N/A,FALSE,"Graphs";#N/A,#N/A,FALSE,"4 Panel"}</definedName>
    <definedName name="__________New17" hidden="1">{#N/A,#N/A,FALSE,"SMT1";#N/A,#N/A,FALSE,"SMT2";#N/A,#N/A,FALSE,"Summary";#N/A,#N/A,FALSE,"Graphs";#N/A,#N/A,FALSE,"4 Panel"}</definedName>
    <definedName name="__________New18" localSheetId="3" hidden="1">{#N/A,#N/A,FALSE,"Full";#N/A,#N/A,FALSE,"Half";#N/A,#N/A,FALSE,"Op Expenses";#N/A,#N/A,FALSE,"Cap Charge";#N/A,#N/A,FALSE,"Cost C";#N/A,#N/A,FALSE,"PP&amp;E";#N/A,#N/A,FALSE,"R&amp;D"}</definedName>
    <definedName name="__________New18" hidden="1">{#N/A,#N/A,FALSE,"Full";#N/A,#N/A,FALSE,"Half";#N/A,#N/A,FALSE,"Op Expenses";#N/A,#N/A,FALSE,"Cap Charge";#N/A,#N/A,FALSE,"Cost C";#N/A,#N/A,FALSE,"PP&amp;E";#N/A,#N/A,FALSE,"R&amp;D"}</definedName>
    <definedName name="__________New19" localSheetId="3" hidden="1">{"EVA",#N/A,FALSE,"SMT2";#N/A,#N/A,FALSE,"Summary";#N/A,#N/A,FALSE,"Graphs";#N/A,#N/A,FALSE,"4 Panel"}</definedName>
    <definedName name="__________New19" hidden="1">{"EVA",#N/A,FALSE,"SMT2";#N/A,#N/A,FALSE,"Summary";#N/A,#N/A,FALSE,"Graphs";#N/A,#N/A,FALSE,"4 Panel"}</definedName>
    <definedName name="__________New20" localSheetId="3" hidden="1">{#N/A,#N/A,FALSE,"SMT1";#N/A,#N/A,FALSE,"SMT2";#N/A,#N/A,FALSE,"Summary";#N/A,#N/A,FALSE,"Graphs";#N/A,#N/A,FALSE,"4 Panel"}</definedName>
    <definedName name="__________New20" hidden="1">{#N/A,#N/A,FALSE,"SMT1";#N/A,#N/A,FALSE,"SMT2";#N/A,#N/A,FALSE,"Summary";#N/A,#N/A,FALSE,"Graphs";#N/A,#N/A,FALSE,"4 Panel"}</definedName>
    <definedName name="__________New21" localSheetId="3" hidden="1">{#N/A,#N/A,FALSE,"Full";#N/A,#N/A,FALSE,"Half";#N/A,#N/A,FALSE,"Op Expenses";#N/A,#N/A,FALSE,"Cap Charge";#N/A,#N/A,FALSE,"Cost C";#N/A,#N/A,FALSE,"PP&amp;E";#N/A,#N/A,FALSE,"R&amp;D"}</definedName>
    <definedName name="__________New21" hidden="1">{#N/A,#N/A,FALSE,"Full";#N/A,#N/A,FALSE,"Half";#N/A,#N/A,FALSE,"Op Expenses";#N/A,#N/A,FALSE,"Cap Charge";#N/A,#N/A,FALSE,"Cost C";#N/A,#N/A,FALSE,"PP&amp;E";#N/A,#N/A,FALSE,"R&amp;D"}</definedName>
    <definedName name="__________NEW3" localSheetId="3" hidden="1">{#N/A,#N/A,FALSE,"SMT1";#N/A,#N/A,FALSE,"SMT2";#N/A,#N/A,FALSE,"Summary";#N/A,#N/A,FALSE,"Graphs";#N/A,#N/A,FALSE,"4 Panel"}</definedName>
    <definedName name="__________NEW3" hidden="1">{#N/A,#N/A,FALSE,"SMT1";#N/A,#N/A,FALSE,"SMT2";#N/A,#N/A,FALSE,"Summary";#N/A,#N/A,FALSE,"Graphs";#N/A,#N/A,FALSE,"4 Panel"}</definedName>
    <definedName name="__________nEW30" localSheetId="3" hidden="1">{"EVA",#N/A,FALSE,"SMT2";#N/A,#N/A,FALSE,"Summary";#N/A,#N/A,FALSE,"Graphs";#N/A,#N/A,FALSE,"4 Panel"}</definedName>
    <definedName name="__________nEW30" hidden="1">{"EVA",#N/A,FALSE,"SMT2";#N/A,#N/A,FALSE,"Summary";#N/A,#N/A,FALSE,"Graphs";#N/A,#N/A,FALSE,"4 Panel"}</definedName>
    <definedName name="__________New31" localSheetId="3" hidden="1">{#N/A,#N/A,FALSE,"SMT1";#N/A,#N/A,FALSE,"SMT2";#N/A,#N/A,FALSE,"Summary";#N/A,#N/A,FALSE,"Graphs";#N/A,#N/A,FALSE,"4 Panel"}</definedName>
    <definedName name="__________New31" hidden="1">{#N/A,#N/A,FALSE,"SMT1";#N/A,#N/A,FALSE,"SMT2";#N/A,#N/A,FALSE,"Summary";#N/A,#N/A,FALSE,"Graphs";#N/A,#N/A,FALSE,"4 Panel"}</definedName>
    <definedName name="__________New32" localSheetId="3" hidden="1">{#N/A,#N/A,FALSE,"SMT1";#N/A,#N/A,FALSE,"SMT2";#N/A,#N/A,FALSE,"Summary";#N/A,#N/A,FALSE,"Graphs";#N/A,#N/A,FALSE,"4 Panel"}</definedName>
    <definedName name="__________New32" hidden="1">{#N/A,#N/A,FALSE,"SMT1";#N/A,#N/A,FALSE,"SMT2";#N/A,#N/A,FALSE,"Summary";#N/A,#N/A,FALSE,"Graphs";#N/A,#N/A,FALSE,"4 Panel"}</definedName>
    <definedName name="__________New33" localSheetId="3" hidden="1">{#N/A,#N/A,FALSE,"Full";#N/A,#N/A,FALSE,"Half";#N/A,#N/A,FALSE,"Op Expenses";#N/A,#N/A,FALSE,"Cap Charge";#N/A,#N/A,FALSE,"Cost C";#N/A,#N/A,FALSE,"PP&amp;E";#N/A,#N/A,FALSE,"R&amp;D"}</definedName>
    <definedName name="__________New33" hidden="1">{#N/A,#N/A,FALSE,"Full";#N/A,#N/A,FALSE,"Half";#N/A,#N/A,FALSE,"Op Expenses";#N/A,#N/A,FALSE,"Cap Charge";#N/A,#N/A,FALSE,"Cost C";#N/A,#N/A,FALSE,"PP&amp;E";#N/A,#N/A,FALSE,"R&amp;D"}</definedName>
    <definedName name="__________New34" localSheetId="3" hidden="1">{"EVA",#N/A,FALSE,"SMT2";#N/A,#N/A,FALSE,"Summary";#N/A,#N/A,FALSE,"Graphs";#N/A,#N/A,FALSE,"4 Panel"}</definedName>
    <definedName name="__________New34" hidden="1">{"EVA",#N/A,FALSE,"SMT2";#N/A,#N/A,FALSE,"Summary";#N/A,#N/A,FALSE,"Graphs";#N/A,#N/A,FALSE,"4 Panel"}</definedName>
    <definedName name="__________New35" localSheetId="3" hidden="1">{#N/A,#N/A,FALSE,"SMT1";#N/A,#N/A,FALSE,"SMT2";#N/A,#N/A,FALSE,"Summary";#N/A,#N/A,FALSE,"Graphs";#N/A,#N/A,FALSE,"4 Panel"}</definedName>
    <definedName name="__________New35" hidden="1">{#N/A,#N/A,FALSE,"SMT1";#N/A,#N/A,FALSE,"SMT2";#N/A,#N/A,FALSE,"Summary";#N/A,#N/A,FALSE,"Graphs";#N/A,#N/A,FALSE,"4 Panel"}</definedName>
    <definedName name="__________New36" localSheetId="3" hidden="1">{#N/A,#N/A,FALSE,"Full";#N/A,#N/A,FALSE,"Half";#N/A,#N/A,FALSE,"Op Expenses";#N/A,#N/A,FALSE,"Cap Charge";#N/A,#N/A,FALSE,"Cost C";#N/A,#N/A,FALSE,"PP&amp;E";#N/A,#N/A,FALSE,"R&amp;D"}</definedName>
    <definedName name="__________New36" hidden="1">{#N/A,#N/A,FALSE,"Full";#N/A,#N/A,FALSE,"Half";#N/A,#N/A,FALSE,"Op Expenses";#N/A,#N/A,FALSE,"Cap Charge";#N/A,#N/A,FALSE,"Cost C";#N/A,#N/A,FALSE,"PP&amp;E";#N/A,#N/A,FALSE,"R&amp;D"}</definedName>
    <definedName name="__________NEW4" localSheetId="3" hidden="1">{#N/A,#N/A,FALSE,"Full";#N/A,#N/A,FALSE,"Half";#N/A,#N/A,FALSE,"Op Expenses";#N/A,#N/A,FALSE,"Cap Charge";#N/A,#N/A,FALSE,"Cost C";#N/A,#N/A,FALSE,"PP&amp;E";#N/A,#N/A,FALSE,"R&amp;D"}</definedName>
    <definedName name="__________NEW4" hidden="1">{#N/A,#N/A,FALSE,"Full";#N/A,#N/A,FALSE,"Half";#N/A,#N/A,FALSE,"Op Expenses";#N/A,#N/A,FALSE,"Cap Charge";#N/A,#N/A,FALSE,"Cost C";#N/A,#N/A,FALSE,"PP&amp;E";#N/A,#N/A,FALSE,"R&amp;D"}</definedName>
    <definedName name="__________R" localSheetId="3" hidden="1">{#N/A,#N/A,FALSE,"GRAFICO";#N/A,#N/A,FALSE,"CAJA (2)";#N/A,#N/A,FALSE,"TERCEROS-PROMEDIO";#N/A,#N/A,FALSE,"CAJA";#N/A,#N/A,FALSE,"INGRESOS1995-2003";#N/A,#N/A,FALSE,"GASTOS1995-2003"}</definedName>
    <definedName name="__________R" hidden="1">{#N/A,#N/A,FALSE,"GRAFICO";#N/A,#N/A,FALSE,"CAJA (2)";#N/A,#N/A,FALSE,"TERCEROS-PROMEDIO";#N/A,#N/A,FALSE,"CAJA";#N/A,#N/A,FALSE,"INGRESOS1995-2003";#N/A,#N/A,FALSE,"GASTOS1995-2003"}</definedName>
    <definedName name="_________new1" localSheetId="3" hidden="1">{#N/A,#N/A,FALSE,"SMT1";#N/A,#N/A,FALSE,"SMT2";#N/A,#N/A,FALSE,"Summary";#N/A,#N/A,FALSE,"Graphs";#N/A,#N/A,FALSE,"4 Panel"}</definedName>
    <definedName name="_________new1" hidden="1">{#N/A,#N/A,FALSE,"SMT1";#N/A,#N/A,FALSE,"SMT2";#N/A,#N/A,FALSE,"Summary";#N/A,#N/A,FALSE,"Graphs";#N/A,#N/A,FALSE,"4 Panel"}</definedName>
    <definedName name="_________New15" localSheetId="3" hidden="1">{"EVA",#N/A,FALSE,"SMT2";#N/A,#N/A,FALSE,"Summary";#N/A,#N/A,FALSE,"Graphs";#N/A,#N/A,FALSE,"4 Panel"}</definedName>
    <definedName name="_________New15" hidden="1">{"EVA",#N/A,FALSE,"SMT2";#N/A,#N/A,FALSE,"Summary";#N/A,#N/A,FALSE,"Graphs";#N/A,#N/A,FALSE,"4 Panel"}</definedName>
    <definedName name="_________New16" localSheetId="3" hidden="1">{#N/A,#N/A,FALSE,"SMT1";#N/A,#N/A,FALSE,"SMT2";#N/A,#N/A,FALSE,"Summary";#N/A,#N/A,FALSE,"Graphs";#N/A,#N/A,FALSE,"4 Panel"}</definedName>
    <definedName name="_________New16" hidden="1">{#N/A,#N/A,FALSE,"SMT1";#N/A,#N/A,FALSE,"SMT2";#N/A,#N/A,FALSE,"Summary";#N/A,#N/A,FALSE,"Graphs";#N/A,#N/A,FALSE,"4 Panel"}</definedName>
    <definedName name="_________New17" localSheetId="3" hidden="1">{#N/A,#N/A,FALSE,"SMT1";#N/A,#N/A,FALSE,"SMT2";#N/A,#N/A,FALSE,"Summary";#N/A,#N/A,FALSE,"Graphs";#N/A,#N/A,FALSE,"4 Panel"}</definedName>
    <definedName name="_________New17" hidden="1">{#N/A,#N/A,FALSE,"SMT1";#N/A,#N/A,FALSE,"SMT2";#N/A,#N/A,FALSE,"Summary";#N/A,#N/A,FALSE,"Graphs";#N/A,#N/A,FALSE,"4 Panel"}</definedName>
    <definedName name="_________New18" localSheetId="3" hidden="1">{#N/A,#N/A,FALSE,"Full";#N/A,#N/A,FALSE,"Half";#N/A,#N/A,FALSE,"Op Expenses";#N/A,#N/A,FALSE,"Cap Charge";#N/A,#N/A,FALSE,"Cost C";#N/A,#N/A,FALSE,"PP&amp;E";#N/A,#N/A,FALSE,"R&amp;D"}</definedName>
    <definedName name="_________New18" hidden="1">{#N/A,#N/A,FALSE,"Full";#N/A,#N/A,FALSE,"Half";#N/A,#N/A,FALSE,"Op Expenses";#N/A,#N/A,FALSE,"Cap Charge";#N/A,#N/A,FALSE,"Cost C";#N/A,#N/A,FALSE,"PP&amp;E";#N/A,#N/A,FALSE,"R&amp;D"}</definedName>
    <definedName name="_________New19" localSheetId="3" hidden="1">{"EVA",#N/A,FALSE,"SMT2";#N/A,#N/A,FALSE,"Summary";#N/A,#N/A,FALSE,"Graphs";#N/A,#N/A,FALSE,"4 Panel"}</definedName>
    <definedName name="_________New19" hidden="1">{"EVA",#N/A,FALSE,"SMT2";#N/A,#N/A,FALSE,"Summary";#N/A,#N/A,FALSE,"Graphs";#N/A,#N/A,FALSE,"4 Panel"}</definedName>
    <definedName name="_________New20" localSheetId="3" hidden="1">{#N/A,#N/A,FALSE,"SMT1";#N/A,#N/A,FALSE,"SMT2";#N/A,#N/A,FALSE,"Summary";#N/A,#N/A,FALSE,"Graphs";#N/A,#N/A,FALSE,"4 Panel"}</definedName>
    <definedName name="_________New20" hidden="1">{#N/A,#N/A,FALSE,"SMT1";#N/A,#N/A,FALSE,"SMT2";#N/A,#N/A,FALSE,"Summary";#N/A,#N/A,FALSE,"Graphs";#N/A,#N/A,FALSE,"4 Panel"}</definedName>
    <definedName name="_________New21" localSheetId="3" hidden="1">{#N/A,#N/A,FALSE,"Full";#N/A,#N/A,FALSE,"Half";#N/A,#N/A,FALSE,"Op Expenses";#N/A,#N/A,FALSE,"Cap Charge";#N/A,#N/A,FALSE,"Cost C";#N/A,#N/A,FALSE,"PP&amp;E";#N/A,#N/A,FALSE,"R&amp;D"}</definedName>
    <definedName name="_________New21" hidden="1">{#N/A,#N/A,FALSE,"Full";#N/A,#N/A,FALSE,"Half";#N/A,#N/A,FALSE,"Op Expenses";#N/A,#N/A,FALSE,"Cap Charge";#N/A,#N/A,FALSE,"Cost C";#N/A,#N/A,FALSE,"PP&amp;E";#N/A,#N/A,FALSE,"R&amp;D"}</definedName>
    <definedName name="_________NEW3" localSheetId="3" hidden="1">{#N/A,#N/A,FALSE,"SMT1";#N/A,#N/A,FALSE,"SMT2";#N/A,#N/A,FALSE,"Summary";#N/A,#N/A,FALSE,"Graphs";#N/A,#N/A,FALSE,"4 Panel"}</definedName>
    <definedName name="_________NEW3" hidden="1">{#N/A,#N/A,FALSE,"SMT1";#N/A,#N/A,FALSE,"SMT2";#N/A,#N/A,FALSE,"Summary";#N/A,#N/A,FALSE,"Graphs";#N/A,#N/A,FALSE,"4 Panel"}</definedName>
    <definedName name="_________nEW30" localSheetId="3" hidden="1">{"EVA",#N/A,FALSE,"SMT2";#N/A,#N/A,FALSE,"Summary";#N/A,#N/A,FALSE,"Graphs";#N/A,#N/A,FALSE,"4 Panel"}</definedName>
    <definedName name="_________nEW30" hidden="1">{"EVA",#N/A,FALSE,"SMT2";#N/A,#N/A,FALSE,"Summary";#N/A,#N/A,FALSE,"Graphs";#N/A,#N/A,FALSE,"4 Panel"}</definedName>
    <definedName name="_________New31" localSheetId="3" hidden="1">{#N/A,#N/A,FALSE,"SMT1";#N/A,#N/A,FALSE,"SMT2";#N/A,#N/A,FALSE,"Summary";#N/A,#N/A,FALSE,"Graphs";#N/A,#N/A,FALSE,"4 Panel"}</definedName>
    <definedName name="_________New31" hidden="1">{#N/A,#N/A,FALSE,"SMT1";#N/A,#N/A,FALSE,"SMT2";#N/A,#N/A,FALSE,"Summary";#N/A,#N/A,FALSE,"Graphs";#N/A,#N/A,FALSE,"4 Panel"}</definedName>
    <definedName name="_________New32" localSheetId="3" hidden="1">{#N/A,#N/A,FALSE,"SMT1";#N/A,#N/A,FALSE,"SMT2";#N/A,#N/A,FALSE,"Summary";#N/A,#N/A,FALSE,"Graphs";#N/A,#N/A,FALSE,"4 Panel"}</definedName>
    <definedName name="_________New32" hidden="1">{#N/A,#N/A,FALSE,"SMT1";#N/A,#N/A,FALSE,"SMT2";#N/A,#N/A,FALSE,"Summary";#N/A,#N/A,FALSE,"Graphs";#N/A,#N/A,FALSE,"4 Panel"}</definedName>
    <definedName name="_________New33" localSheetId="3" hidden="1">{#N/A,#N/A,FALSE,"Full";#N/A,#N/A,FALSE,"Half";#N/A,#N/A,FALSE,"Op Expenses";#N/A,#N/A,FALSE,"Cap Charge";#N/A,#N/A,FALSE,"Cost C";#N/A,#N/A,FALSE,"PP&amp;E";#N/A,#N/A,FALSE,"R&amp;D"}</definedName>
    <definedName name="_________New33" hidden="1">{#N/A,#N/A,FALSE,"Full";#N/A,#N/A,FALSE,"Half";#N/A,#N/A,FALSE,"Op Expenses";#N/A,#N/A,FALSE,"Cap Charge";#N/A,#N/A,FALSE,"Cost C";#N/A,#N/A,FALSE,"PP&amp;E";#N/A,#N/A,FALSE,"R&amp;D"}</definedName>
    <definedName name="_________New34" localSheetId="3" hidden="1">{"EVA",#N/A,FALSE,"SMT2";#N/A,#N/A,FALSE,"Summary";#N/A,#N/A,FALSE,"Graphs";#N/A,#N/A,FALSE,"4 Panel"}</definedName>
    <definedName name="_________New34" hidden="1">{"EVA",#N/A,FALSE,"SMT2";#N/A,#N/A,FALSE,"Summary";#N/A,#N/A,FALSE,"Graphs";#N/A,#N/A,FALSE,"4 Panel"}</definedName>
    <definedName name="_________New35" localSheetId="3" hidden="1">{#N/A,#N/A,FALSE,"SMT1";#N/A,#N/A,FALSE,"SMT2";#N/A,#N/A,FALSE,"Summary";#N/A,#N/A,FALSE,"Graphs";#N/A,#N/A,FALSE,"4 Panel"}</definedName>
    <definedName name="_________New35" hidden="1">{#N/A,#N/A,FALSE,"SMT1";#N/A,#N/A,FALSE,"SMT2";#N/A,#N/A,FALSE,"Summary";#N/A,#N/A,FALSE,"Graphs";#N/A,#N/A,FALSE,"4 Panel"}</definedName>
    <definedName name="_________New36" localSheetId="3" hidden="1">{#N/A,#N/A,FALSE,"Full";#N/A,#N/A,FALSE,"Half";#N/A,#N/A,FALSE,"Op Expenses";#N/A,#N/A,FALSE,"Cap Charge";#N/A,#N/A,FALSE,"Cost C";#N/A,#N/A,FALSE,"PP&amp;E";#N/A,#N/A,FALSE,"R&amp;D"}</definedName>
    <definedName name="_________New36" hidden="1">{#N/A,#N/A,FALSE,"Full";#N/A,#N/A,FALSE,"Half";#N/A,#N/A,FALSE,"Op Expenses";#N/A,#N/A,FALSE,"Cap Charge";#N/A,#N/A,FALSE,"Cost C";#N/A,#N/A,FALSE,"PP&amp;E";#N/A,#N/A,FALSE,"R&amp;D"}</definedName>
    <definedName name="_________NEW4" localSheetId="3" hidden="1">{#N/A,#N/A,FALSE,"Full";#N/A,#N/A,FALSE,"Half";#N/A,#N/A,FALSE,"Op Expenses";#N/A,#N/A,FALSE,"Cap Charge";#N/A,#N/A,FALSE,"Cost C";#N/A,#N/A,FALSE,"PP&amp;E";#N/A,#N/A,FALSE,"R&amp;D"}</definedName>
    <definedName name="_________NEW4" hidden="1">{#N/A,#N/A,FALSE,"Full";#N/A,#N/A,FALSE,"Half";#N/A,#N/A,FALSE,"Op Expenses";#N/A,#N/A,FALSE,"Cap Charge";#N/A,#N/A,FALSE,"Cost C";#N/A,#N/A,FALSE,"PP&amp;E";#N/A,#N/A,FALSE,"R&amp;D"}</definedName>
    <definedName name="_________R" localSheetId="3" hidden="1">{#N/A,#N/A,FALSE,"GRAFICO";#N/A,#N/A,FALSE,"CAJA (2)";#N/A,#N/A,FALSE,"TERCEROS-PROMEDIO";#N/A,#N/A,FALSE,"CAJA";#N/A,#N/A,FALSE,"INGRESOS1995-2003";#N/A,#N/A,FALSE,"GASTOS1995-2003"}</definedName>
    <definedName name="_________R" hidden="1">{#N/A,#N/A,FALSE,"GRAFICO";#N/A,#N/A,FALSE,"CAJA (2)";#N/A,#N/A,FALSE,"TERCEROS-PROMEDIO";#N/A,#N/A,FALSE,"CAJA";#N/A,#N/A,FALSE,"INGRESOS1995-2003";#N/A,#N/A,FALSE,"GASTOS1995-2003"}</definedName>
    <definedName name="________new1" localSheetId="3" hidden="1">{#N/A,#N/A,FALSE,"SMT1";#N/A,#N/A,FALSE,"SMT2";#N/A,#N/A,FALSE,"Summary";#N/A,#N/A,FALSE,"Graphs";#N/A,#N/A,FALSE,"4 Panel"}</definedName>
    <definedName name="________new1" hidden="1">{#N/A,#N/A,FALSE,"SMT1";#N/A,#N/A,FALSE,"SMT2";#N/A,#N/A,FALSE,"Summary";#N/A,#N/A,FALSE,"Graphs";#N/A,#N/A,FALSE,"4 Panel"}</definedName>
    <definedName name="________New15" localSheetId="3" hidden="1">{"EVA",#N/A,FALSE,"SMT2";#N/A,#N/A,FALSE,"Summary";#N/A,#N/A,FALSE,"Graphs";#N/A,#N/A,FALSE,"4 Panel"}</definedName>
    <definedName name="________New15" hidden="1">{"EVA",#N/A,FALSE,"SMT2";#N/A,#N/A,FALSE,"Summary";#N/A,#N/A,FALSE,"Graphs";#N/A,#N/A,FALSE,"4 Panel"}</definedName>
    <definedName name="________New16" localSheetId="3" hidden="1">{#N/A,#N/A,FALSE,"SMT1";#N/A,#N/A,FALSE,"SMT2";#N/A,#N/A,FALSE,"Summary";#N/A,#N/A,FALSE,"Graphs";#N/A,#N/A,FALSE,"4 Panel"}</definedName>
    <definedName name="________New16" hidden="1">{#N/A,#N/A,FALSE,"SMT1";#N/A,#N/A,FALSE,"SMT2";#N/A,#N/A,FALSE,"Summary";#N/A,#N/A,FALSE,"Graphs";#N/A,#N/A,FALSE,"4 Panel"}</definedName>
    <definedName name="________New17" localSheetId="3" hidden="1">{#N/A,#N/A,FALSE,"SMT1";#N/A,#N/A,FALSE,"SMT2";#N/A,#N/A,FALSE,"Summary";#N/A,#N/A,FALSE,"Graphs";#N/A,#N/A,FALSE,"4 Panel"}</definedName>
    <definedName name="________New17" hidden="1">{#N/A,#N/A,FALSE,"SMT1";#N/A,#N/A,FALSE,"SMT2";#N/A,#N/A,FALSE,"Summary";#N/A,#N/A,FALSE,"Graphs";#N/A,#N/A,FALSE,"4 Panel"}</definedName>
    <definedName name="________New18" localSheetId="3" hidden="1">{#N/A,#N/A,FALSE,"Full";#N/A,#N/A,FALSE,"Half";#N/A,#N/A,FALSE,"Op Expenses";#N/A,#N/A,FALSE,"Cap Charge";#N/A,#N/A,FALSE,"Cost C";#N/A,#N/A,FALSE,"PP&amp;E";#N/A,#N/A,FALSE,"R&amp;D"}</definedName>
    <definedName name="________New18" hidden="1">{#N/A,#N/A,FALSE,"Full";#N/A,#N/A,FALSE,"Half";#N/A,#N/A,FALSE,"Op Expenses";#N/A,#N/A,FALSE,"Cap Charge";#N/A,#N/A,FALSE,"Cost C";#N/A,#N/A,FALSE,"PP&amp;E";#N/A,#N/A,FALSE,"R&amp;D"}</definedName>
    <definedName name="________New19" localSheetId="3" hidden="1">{"EVA",#N/A,FALSE,"SMT2";#N/A,#N/A,FALSE,"Summary";#N/A,#N/A,FALSE,"Graphs";#N/A,#N/A,FALSE,"4 Panel"}</definedName>
    <definedName name="________New19" hidden="1">{"EVA",#N/A,FALSE,"SMT2";#N/A,#N/A,FALSE,"Summary";#N/A,#N/A,FALSE,"Graphs";#N/A,#N/A,FALSE,"4 Panel"}</definedName>
    <definedName name="________New20" localSheetId="3" hidden="1">{#N/A,#N/A,FALSE,"SMT1";#N/A,#N/A,FALSE,"SMT2";#N/A,#N/A,FALSE,"Summary";#N/A,#N/A,FALSE,"Graphs";#N/A,#N/A,FALSE,"4 Panel"}</definedName>
    <definedName name="________New20" hidden="1">{#N/A,#N/A,FALSE,"SMT1";#N/A,#N/A,FALSE,"SMT2";#N/A,#N/A,FALSE,"Summary";#N/A,#N/A,FALSE,"Graphs";#N/A,#N/A,FALSE,"4 Panel"}</definedName>
    <definedName name="________New21" localSheetId="3" hidden="1">{#N/A,#N/A,FALSE,"Full";#N/A,#N/A,FALSE,"Half";#N/A,#N/A,FALSE,"Op Expenses";#N/A,#N/A,FALSE,"Cap Charge";#N/A,#N/A,FALSE,"Cost C";#N/A,#N/A,FALSE,"PP&amp;E";#N/A,#N/A,FALSE,"R&amp;D"}</definedName>
    <definedName name="________New21" hidden="1">{#N/A,#N/A,FALSE,"Full";#N/A,#N/A,FALSE,"Half";#N/A,#N/A,FALSE,"Op Expenses";#N/A,#N/A,FALSE,"Cap Charge";#N/A,#N/A,FALSE,"Cost C";#N/A,#N/A,FALSE,"PP&amp;E";#N/A,#N/A,FALSE,"R&amp;D"}</definedName>
    <definedName name="________NEW3" localSheetId="3" hidden="1">{#N/A,#N/A,FALSE,"SMT1";#N/A,#N/A,FALSE,"SMT2";#N/A,#N/A,FALSE,"Summary";#N/A,#N/A,FALSE,"Graphs";#N/A,#N/A,FALSE,"4 Panel"}</definedName>
    <definedName name="________NEW3" hidden="1">{#N/A,#N/A,FALSE,"SMT1";#N/A,#N/A,FALSE,"SMT2";#N/A,#N/A,FALSE,"Summary";#N/A,#N/A,FALSE,"Graphs";#N/A,#N/A,FALSE,"4 Panel"}</definedName>
    <definedName name="________nEW30" localSheetId="3" hidden="1">{"EVA",#N/A,FALSE,"SMT2";#N/A,#N/A,FALSE,"Summary";#N/A,#N/A,FALSE,"Graphs";#N/A,#N/A,FALSE,"4 Panel"}</definedName>
    <definedName name="________nEW30" hidden="1">{"EVA",#N/A,FALSE,"SMT2";#N/A,#N/A,FALSE,"Summary";#N/A,#N/A,FALSE,"Graphs";#N/A,#N/A,FALSE,"4 Panel"}</definedName>
    <definedName name="________New31" localSheetId="3" hidden="1">{#N/A,#N/A,FALSE,"SMT1";#N/A,#N/A,FALSE,"SMT2";#N/A,#N/A,FALSE,"Summary";#N/A,#N/A,FALSE,"Graphs";#N/A,#N/A,FALSE,"4 Panel"}</definedName>
    <definedName name="________New31" hidden="1">{#N/A,#N/A,FALSE,"SMT1";#N/A,#N/A,FALSE,"SMT2";#N/A,#N/A,FALSE,"Summary";#N/A,#N/A,FALSE,"Graphs";#N/A,#N/A,FALSE,"4 Panel"}</definedName>
    <definedName name="________New32" localSheetId="3" hidden="1">{#N/A,#N/A,FALSE,"SMT1";#N/A,#N/A,FALSE,"SMT2";#N/A,#N/A,FALSE,"Summary";#N/A,#N/A,FALSE,"Graphs";#N/A,#N/A,FALSE,"4 Panel"}</definedName>
    <definedName name="________New32" hidden="1">{#N/A,#N/A,FALSE,"SMT1";#N/A,#N/A,FALSE,"SMT2";#N/A,#N/A,FALSE,"Summary";#N/A,#N/A,FALSE,"Graphs";#N/A,#N/A,FALSE,"4 Panel"}</definedName>
    <definedName name="________New33" localSheetId="3" hidden="1">{#N/A,#N/A,FALSE,"Full";#N/A,#N/A,FALSE,"Half";#N/A,#N/A,FALSE,"Op Expenses";#N/A,#N/A,FALSE,"Cap Charge";#N/A,#N/A,FALSE,"Cost C";#N/A,#N/A,FALSE,"PP&amp;E";#N/A,#N/A,FALSE,"R&amp;D"}</definedName>
    <definedName name="________New33" hidden="1">{#N/A,#N/A,FALSE,"Full";#N/A,#N/A,FALSE,"Half";#N/A,#N/A,FALSE,"Op Expenses";#N/A,#N/A,FALSE,"Cap Charge";#N/A,#N/A,FALSE,"Cost C";#N/A,#N/A,FALSE,"PP&amp;E";#N/A,#N/A,FALSE,"R&amp;D"}</definedName>
    <definedName name="________New34" localSheetId="3" hidden="1">{"EVA",#N/A,FALSE,"SMT2";#N/A,#N/A,FALSE,"Summary";#N/A,#N/A,FALSE,"Graphs";#N/A,#N/A,FALSE,"4 Panel"}</definedName>
    <definedName name="________New34" hidden="1">{"EVA",#N/A,FALSE,"SMT2";#N/A,#N/A,FALSE,"Summary";#N/A,#N/A,FALSE,"Graphs";#N/A,#N/A,FALSE,"4 Panel"}</definedName>
    <definedName name="________New35" localSheetId="3" hidden="1">{#N/A,#N/A,FALSE,"SMT1";#N/A,#N/A,FALSE,"SMT2";#N/A,#N/A,FALSE,"Summary";#N/A,#N/A,FALSE,"Graphs";#N/A,#N/A,FALSE,"4 Panel"}</definedName>
    <definedName name="________New35" hidden="1">{#N/A,#N/A,FALSE,"SMT1";#N/A,#N/A,FALSE,"SMT2";#N/A,#N/A,FALSE,"Summary";#N/A,#N/A,FALSE,"Graphs";#N/A,#N/A,FALSE,"4 Panel"}</definedName>
    <definedName name="________New36" localSheetId="3" hidden="1">{#N/A,#N/A,FALSE,"Full";#N/A,#N/A,FALSE,"Half";#N/A,#N/A,FALSE,"Op Expenses";#N/A,#N/A,FALSE,"Cap Charge";#N/A,#N/A,FALSE,"Cost C";#N/A,#N/A,FALSE,"PP&amp;E";#N/A,#N/A,FALSE,"R&amp;D"}</definedName>
    <definedName name="________New36" hidden="1">{#N/A,#N/A,FALSE,"Full";#N/A,#N/A,FALSE,"Half";#N/A,#N/A,FALSE,"Op Expenses";#N/A,#N/A,FALSE,"Cap Charge";#N/A,#N/A,FALSE,"Cost C";#N/A,#N/A,FALSE,"PP&amp;E";#N/A,#N/A,FALSE,"R&amp;D"}</definedName>
    <definedName name="________NEW4" localSheetId="3" hidden="1">{#N/A,#N/A,FALSE,"Full";#N/A,#N/A,FALSE,"Half";#N/A,#N/A,FALSE,"Op Expenses";#N/A,#N/A,FALSE,"Cap Charge";#N/A,#N/A,FALSE,"Cost C";#N/A,#N/A,FALSE,"PP&amp;E";#N/A,#N/A,FALSE,"R&amp;D"}</definedName>
    <definedName name="________NEW4" hidden="1">{#N/A,#N/A,FALSE,"Full";#N/A,#N/A,FALSE,"Half";#N/A,#N/A,FALSE,"Op Expenses";#N/A,#N/A,FALSE,"Cap Charge";#N/A,#N/A,FALSE,"Cost C";#N/A,#N/A,FALSE,"PP&amp;E";#N/A,#N/A,FALSE,"R&amp;D"}</definedName>
    <definedName name="________R" localSheetId="3" hidden="1">{#N/A,#N/A,FALSE,"GRAFICO";#N/A,#N/A,FALSE,"CAJA (2)";#N/A,#N/A,FALSE,"TERCEROS-PROMEDIO";#N/A,#N/A,FALSE,"CAJA";#N/A,#N/A,FALSE,"INGRESOS1995-2003";#N/A,#N/A,FALSE,"GASTOS1995-2003"}</definedName>
    <definedName name="________R" hidden="1">{#N/A,#N/A,FALSE,"GRAFICO";#N/A,#N/A,FALSE,"CAJA (2)";#N/A,#N/A,FALSE,"TERCEROS-PROMEDIO";#N/A,#N/A,FALSE,"CAJA";#N/A,#N/A,FALSE,"INGRESOS1995-2003";#N/A,#N/A,FALSE,"GASTOS1995-2003"}</definedName>
    <definedName name="_______new1" localSheetId="3" hidden="1">{#N/A,#N/A,FALSE,"SMT1";#N/A,#N/A,FALSE,"SMT2";#N/A,#N/A,FALSE,"Summary";#N/A,#N/A,FALSE,"Graphs";#N/A,#N/A,FALSE,"4 Panel"}</definedName>
    <definedName name="_______new1" hidden="1">{#N/A,#N/A,FALSE,"SMT1";#N/A,#N/A,FALSE,"SMT2";#N/A,#N/A,FALSE,"Summary";#N/A,#N/A,FALSE,"Graphs";#N/A,#N/A,FALSE,"4 Panel"}</definedName>
    <definedName name="_______New15" localSheetId="3" hidden="1">{"EVA",#N/A,FALSE,"SMT2";#N/A,#N/A,FALSE,"Summary";#N/A,#N/A,FALSE,"Graphs";#N/A,#N/A,FALSE,"4 Panel"}</definedName>
    <definedName name="_______New15" hidden="1">{"EVA",#N/A,FALSE,"SMT2";#N/A,#N/A,FALSE,"Summary";#N/A,#N/A,FALSE,"Graphs";#N/A,#N/A,FALSE,"4 Panel"}</definedName>
    <definedName name="_______New16" localSheetId="3" hidden="1">{#N/A,#N/A,FALSE,"SMT1";#N/A,#N/A,FALSE,"SMT2";#N/A,#N/A,FALSE,"Summary";#N/A,#N/A,FALSE,"Graphs";#N/A,#N/A,FALSE,"4 Panel"}</definedName>
    <definedName name="_______New16" hidden="1">{#N/A,#N/A,FALSE,"SMT1";#N/A,#N/A,FALSE,"SMT2";#N/A,#N/A,FALSE,"Summary";#N/A,#N/A,FALSE,"Graphs";#N/A,#N/A,FALSE,"4 Panel"}</definedName>
    <definedName name="_______New17" localSheetId="3" hidden="1">{#N/A,#N/A,FALSE,"SMT1";#N/A,#N/A,FALSE,"SMT2";#N/A,#N/A,FALSE,"Summary";#N/A,#N/A,FALSE,"Graphs";#N/A,#N/A,FALSE,"4 Panel"}</definedName>
    <definedName name="_______New17" hidden="1">{#N/A,#N/A,FALSE,"SMT1";#N/A,#N/A,FALSE,"SMT2";#N/A,#N/A,FALSE,"Summary";#N/A,#N/A,FALSE,"Graphs";#N/A,#N/A,FALSE,"4 Panel"}</definedName>
    <definedName name="_______New18" localSheetId="3" hidden="1">{#N/A,#N/A,FALSE,"Full";#N/A,#N/A,FALSE,"Half";#N/A,#N/A,FALSE,"Op Expenses";#N/A,#N/A,FALSE,"Cap Charge";#N/A,#N/A,FALSE,"Cost C";#N/A,#N/A,FALSE,"PP&amp;E";#N/A,#N/A,FALSE,"R&amp;D"}</definedName>
    <definedName name="_______New18" hidden="1">{#N/A,#N/A,FALSE,"Full";#N/A,#N/A,FALSE,"Half";#N/A,#N/A,FALSE,"Op Expenses";#N/A,#N/A,FALSE,"Cap Charge";#N/A,#N/A,FALSE,"Cost C";#N/A,#N/A,FALSE,"PP&amp;E";#N/A,#N/A,FALSE,"R&amp;D"}</definedName>
    <definedName name="_______New19" localSheetId="3" hidden="1">{"EVA",#N/A,FALSE,"SMT2";#N/A,#N/A,FALSE,"Summary";#N/A,#N/A,FALSE,"Graphs";#N/A,#N/A,FALSE,"4 Panel"}</definedName>
    <definedName name="_______New19" hidden="1">{"EVA",#N/A,FALSE,"SMT2";#N/A,#N/A,FALSE,"Summary";#N/A,#N/A,FALSE,"Graphs";#N/A,#N/A,FALSE,"4 Panel"}</definedName>
    <definedName name="_______New20" localSheetId="3" hidden="1">{#N/A,#N/A,FALSE,"SMT1";#N/A,#N/A,FALSE,"SMT2";#N/A,#N/A,FALSE,"Summary";#N/A,#N/A,FALSE,"Graphs";#N/A,#N/A,FALSE,"4 Panel"}</definedName>
    <definedName name="_______New20" hidden="1">{#N/A,#N/A,FALSE,"SMT1";#N/A,#N/A,FALSE,"SMT2";#N/A,#N/A,FALSE,"Summary";#N/A,#N/A,FALSE,"Graphs";#N/A,#N/A,FALSE,"4 Panel"}</definedName>
    <definedName name="_______New21" localSheetId="3" hidden="1">{#N/A,#N/A,FALSE,"Full";#N/A,#N/A,FALSE,"Half";#N/A,#N/A,FALSE,"Op Expenses";#N/A,#N/A,FALSE,"Cap Charge";#N/A,#N/A,FALSE,"Cost C";#N/A,#N/A,FALSE,"PP&amp;E";#N/A,#N/A,FALSE,"R&amp;D"}</definedName>
    <definedName name="_______New21" hidden="1">{#N/A,#N/A,FALSE,"Full";#N/A,#N/A,FALSE,"Half";#N/A,#N/A,FALSE,"Op Expenses";#N/A,#N/A,FALSE,"Cap Charge";#N/A,#N/A,FALSE,"Cost C";#N/A,#N/A,FALSE,"PP&amp;E";#N/A,#N/A,FALSE,"R&amp;D"}</definedName>
    <definedName name="_______NEW3" localSheetId="3" hidden="1">{#N/A,#N/A,FALSE,"SMT1";#N/A,#N/A,FALSE,"SMT2";#N/A,#N/A,FALSE,"Summary";#N/A,#N/A,FALSE,"Graphs";#N/A,#N/A,FALSE,"4 Panel"}</definedName>
    <definedName name="_______NEW3" hidden="1">{#N/A,#N/A,FALSE,"SMT1";#N/A,#N/A,FALSE,"SMT2";#N/A,#N/A,FALSE,"Summary";#N/A,#N/A,FALSE,"Graphs";#N/A,#N/A,FALSE,"4 Panel"}</definedName>
    <definedName name="_______nEW30" localSheetId="3" hidden="1">{"EVA",#N/A,FALSE,"SMT2";#N/A,#N/A,FALSE,"Summary";#N/A,#N/A,FALSE,"Graphs";#N/A,#N/A,FALSE,"4 Panel"}</definedName>
    <definedName name="_______nEW30" hidden="1">{"EVA",#N/A,FALSE,"SMT2";#N/A,#N/A,FALSE,"Summary";#N/A,#N/A,FALSE,"Graphs";#N/A,#N/A,FALSE,"4 Panel"}</definedName>
    <definedName name="_______New31" localSheetId="3" hidden="1">{#N/A,#N/A,FALSE,"SMT1";#N/A,#N/A,FALSE,"SMT2";#N/A,#N/A,FALSE,"Summary";#N/A,#N/A,FALSE,"Graphs";#N/A,#N/A,FALSE,"4 Panel"}</definedName>
    <definedName name="_______New31" hidden="1">{#N/A,#N/A,FALSE,"SMT1";#N/A,#N/A,FALSE,"SMT2";#N/A,#N/A,FALSE,"Summary";#N/A,#N/A,FALSE,"Graphs";#N/A,#N/A,FALSE,"4 Panel"}</definedName>
    <definedName name="_______New32" localSheetId="3" hidden="1">{#N/A,#N/A,FALSE,"SMT1";#N/A,#N/A,FALSE,"SMT2";#N/A,#N/A,FALSE,"Summary";#N/A,#N/A,FALSE,"Graphs";#N/A,#N/A,FALSE,"4 Panel"}</definedName>
    <definedName name="_______New32" hidden="1">{#N/A,#N/A,FALSE,"SMT1";#N/A,#N/A,FALSE,"SMT2";#N/A,#N/A,FALSE,"Summary";#N/A,#N/A,FALSE,"Graphs";#N/A,#N/A,FALSE,"4 Panel"}</definedName>
    <definedName name="_______New33" localSheetId="3" hidden="1">{#N/A,#N/A,FALSE,"Full";#N/A,#N/A,FALSE,"Half";#N/A,#N/A,FALSE,"Op Expenses";#N/A,#N/A,FALSE,"Cap Charge";#N/A,#N/A,FALSE,"Cost C";#N/A,#N/A,FALSE,"PP&amp;E";#N/A,#N/A,FALSE,"R&amp;D"}</definedName>
    <definedName name="_______New33" hidden="1">{#N/A,#N/A,FALSE,"Full";#N/A,#N/A,FALSE,"Half";#N/A,#N/A,FALSE,"Op Expenses";#N/A,#N/A,FALSE,"Cap Charge";#N/A,#N/A,FALSE,"Cost C";#N/A,#N/A,FALSE,"PP&amp;E";#N/A,#N/A,FALSE,"R&amp;D"}</definedName>
    <definedName name="_______New34" localSheetId="3" hidden="1">{"EVA",#N/A,FALSE,"SMT2";#N/A,#N/A,FALSE,"Summary";#N/A,#N/A,FALSE,"Graphs";#N/A,#N/A,FALSE,"4 Panel"}</definedName>
    <definedName name="_______New34" hidden="1">{"EVA",#N/A,FALSE,"SMT2";#N/A,#N/A,FALSE,"Summary";#N/A,#N/A,FALSE,"Graphs";#N/A,#N/A,FALSE,"4 Panel"}</definedName>
    <definedName name="_______New35" localSheetId="3" hidden="1">{#N/A,#N/A,FALSE,"SMT1";#N/A,#N/A,FALSE,"SMT2";#N/A,#N/A,FALSE,"Summary";#N/A,#N/A,FALSE,"Graphs";#N/A,#N/A,FALSE,"4 Panel"}</definedName>
    <definedName name="_______New35" hidden="1">{#N/A,#N/A,FALSE,"SMT1";#N/A,#N/A,FALSE,"SMT2";#N/A,#N/A,FALSE,"Summary";#N/A,#N/A,FALSE,"Graphs";#N/A,#N/A,FALSE,"4 Panel"}</definedName>
    <definedName name="_______New36" localSheetId="3" hidden="1">{#N/A,#N/A,FALSE,"Full";#N/A,#N/A,FALSE,"Half";#N/A,#N/A,FALSE,"Op Expenses";#N/A,#N/A,FALSE,"Cap Charge";#N/A,#N/A,FALSE,"Cost C";#N/A,#N/A,FALSE,"PP&amp;E";#N/A,#N/A,FALSE,"R&amp;D"}</definedName>
    <definedName name="_______New36" hidden="1">{#N/A,#N/A,FALSE,"Full";#N/A,#N/A,FALSE,"Half";#N/A,#N/A,FALSE,"Op Expenses";#N/A,#N/A,FALSE,"Cap Charge";#N/A,#N/A,FALSE,"Cost C";#N/A,#N/A,FALSE,"PP&amp;E";#N/A,#N/A,FALSE,"R&amp;D"}</definedName>
    <definedName name="_______NEW4" localSheetId="3" hidden="1">{#N/A,#N/A,FALSE,"Full";#N/A,#N/A,FALSE,"Half";#N/A,#N/A,FALSE,"Op Expenses";#N/A,#N/A,FALSE,"Cap Charge";#N/A,#N/A,FALSE,"Cost C";#N/A,#N/A,FALSE,"PP&amp;E";#N/A,#N/A,FALSE,"R&amp;D"}</definedName>
    <definedName name="_______NEW4" hidden="1">{#N/A,#N/A,FALSE,"Full";#N/A,#N/A,FALSE,"Half";#N/A,#N/A,FALSE,"Op Expenses";#N/A,#N/A,FALSE,"Cap Charge";#N/A,#N/A,FALSE,"Cost C";#N/A,#N/A,FALSE,"PP&amp;E";#N/A,#N/A,FALSE,"R&amp;D"}</definedName>
    <definedName name="_______R" localSheetId="3" hidden="1">{#N/A,#N/A,FALSE,"GRAFICO";#N/A,#N/A,FALSE,"CAJA (2)";#N/A,#N/A,FALSE,"TERCEROS-PROMEDIO";#N/A,#N/A,FALSE,"CAJA";#N/A,#N/A,FALSE,"INGRESOS1995-2003";#N/A,#N/A,FALSE,"GASTOS1995-2003"}</definedName>
    <definedName name="_______R" hidden="1">{#N/A,#N/A,FALSE,"GRAFICO";#N/A,#N/A,FALSE,"CAJA (2)";#N/A,#N/A,FALSE,"TERCEROS-PROMEDIO";#N/A,#N/A,FALSE,"CAJA";#N/A,#N/A,FALSE,"INGRESOS1995-2003";#N/A,#N/A,FALSE,"GASTOS1995-2003"}</definedName>
    <definedName name="______GGF2" localSheetId="3" hidden="1">{#N/A,#N/A,FALSE,"balance";#N/A,#N/A,FALSE,"PYG"}</definedName>
    <definedName name="______GGF2" hidden="1">{#N/A,#N/A,FALSE,"balance";#N/A,#N/A,FALSE,"PYG"}</definedName>
    <definedName name="______new1" localSheetId="3" hidden="1">{#N/A,#N/A,FALSE,"SMT1";#N/A,#N/A,FALSE,"SMT2";#N/A,#N/A,FALSE,"Summary";#N/A,#N/A,FALSE,"Graphs";#N/A,#N/A,FALSE,"4 Panel"}</definedName>
    <definedName name="______new1" hidden="1">{#N/A,#N/A,FALSE,"SMT1";#N/A,#N/A,FALSE,"SMT2";#N/A,#N/A,FALSE,"Summary";#N/A,#N/A,FALSE,"Graphs";#N/A,#N/A,FALSE,"4 Panel"}</definedName>
    <definedName name="______New15" localSheetId="3" hidden="1">{"EVA",#N/A,FALSE,"SMT2";#N/A,#N/A,FALSE,"Summary";#N/A,#N/A,FALSE,"Graphs";#N/A,#N/A,FALSE,"4 Panel"}</definedName>
    <definedName name="______New15" hidden="1">{"EVA",#N/A,FALSE,"SMT2";#N/A,#N/A,FALSE,"Summary";#N/A,#N/A,FALSE,"Graphs";#N/A,#N/A,FALSE,"4 Panel"}</definedName>
    <definedName name="______New16" localSheetId="3" hidden="1">{#N/A,#N/A,FALSE,"SMT1";#N/A,#N/A,FALSE,"SMT2";#N/A,#N/A,FALSE,"Summary";#N/A,#N/A,FALSE,"Graphs";#N/A,#N/A,FALSE,"4 Panel"}</definedName>
    <definedName name="______New16" hidden="1">{#N/A,#N/A,FALSE,"SMT1";#N/A,#N/A,FALSE,"SMT2";#N/A,#N/A,FALSE,"Summary";#N/A,#N/A,FALSE,"Graphs";#N/A,#N/A,FALSE,"4 Panel"}</definedName>
    <definedName name="______New17" localSheetId="3" hidden="1">{#N/A,#N/A,FALSE,"SMT1";#N/A,#N/A,FALSE,"SMT2";#N/A,#N/A,FALSE,"Summary";#N/A,#N/A,FALSE,"Graphs";#N/A,#N/A,FALSE,"4 Panel"}</definedName>
    <definedName name="______New17" hidden="1">{#N/A,#N/A,FALSE,"SMT1";#N/A,#N/A,FALSE,"SMT2";#N/A,#N/A,FALSE,"Summary";#N/A,#N/A,FALSE,"Graphs";#N/A,#N/A,FALSE,"4 Panel"}</definedName>
    <definedName name="______New18" localSheetId="3" hidden="1">{#N/A,#N/A,FALSE,"Full";#N/A,#N/A,FALSE,"Half";#N/A,#N/A,FALSE,"Op Expenses";#N/A,#N/A,FALSE,"Cap Charge";#N/A,#N/A,FALSE,"Cost C";#N/A,#N/A,FALSE,"PP&amp;E";#N/A,#N/A,FALSE,"R&amp;D"}</definedName>
    <definedName name="______New18" hidden="1">{#N/A,#N/A,FALSE,"Full";#N/A,#N/A,FALSE,"Half";#N/A,#N/A,FALSE,"Op Expenses";#N/A,#N/A,FALSE,"Cap Charge";#N/A,#N/A,FALSE,"Cost C";#N/A,#N/A,FALSE,"PP&amp;E";#N/A,#N/A,FALSE,"R&amp;D"}</definedName>
    <definedName name="______New19" localSheetId="3" hidden="1">{"EVA",#N/A,FALSE,"SMT2";#N/A,#N/A,FALSE,"Summary";#N/A,#N/A,FALSE,"Graphs";#N/A,#N/A,FALSE,"4 Panel"}</definedName>
    <definedName name="______New19" hidden="1">{"EVA",#N/A,FALSE,"SMT2";#N/A,#N/A,FALSE,"Summary";#N/A,#N/A,FALSE,"Graphs";#N/A,#N/A,FALSE,"4 Panel"}</definedName>
    <definedName name="______New20" localSheetId="3" hidden="1">{#N/A,#N/A,FALSE,"SMT1";#N/A,#N/A,FALSE,"SMT2";#N/A,#N/A,FALSE,"Summary";#N/A,#N/A,FALSE,"Graphs";#N/A,#N/A,FALSE,"4 Panel"}</definedName>
    <definedName name="______New20" hidden="1">{#N/A,#N/A,FALSE,"SMT1";#N/A,#N/A,FALSE,"SMT2";#N/A,#N/A,FALSE,"Summary";#N/A,#N/A,FALSE,"Graphs";#N/A,#N/A,FALSE,"4 Panel"}</definedName>
    <definedName name="______New21" localSheetId="3" hidden="1">{#N/A,#N/A,FALSE,"Full";#N/A,#N/A,FALSE,"Half";#N/A,#N/A,FALSE,"Op Expenses";#N/A,#N/A,FALSE,"Cap Charge";#N/A,#N/A,FALSE,"Cost C";#N/A,#N/A,FALSE,"PP&amp;E";#N/A,#N/A,FALSE,"R&amp;D"}</definedName>
    <definedName name="______New21" hidden="1">{#N/A,#N/A,FALSE,"Full";#N/A,#N/A,FALSE,"Half";#N/A,#N/A,FALSE,"Op Expenses";#N/A,#N/A,FALSE,"Cap Charge";#N/A,#N/A,FALSE,"Cost C";#N/A,#N/A,FALSE,"PP&amp;E";#N/A,#N/A,FALSE,"R&amp;D"}</definedName>
    <definedName name="______NEW3" localSheetId="3" hidden="1">{#N/A,#N/A,FALSE,"SMT1";#N/A,#N/A,FALSE,"SMT2";#N/A,#N/A,FALSE,"Summary";#N/A,#N/A,FALSE,"Graphs";#N/A,#N/A,FALSE,"4 Panel"}</definedName>
    <definedName name="______NEW3" hidden="1">{#N/A,#N/A,FALSE,"SMT1";#N/A,#N/A,FALSE,"SMT2";#N/A,#N/A,FALSE,"Summary";#N/A,#N/A,FALSE,"Graphs";#N/A,#N/A,FALSE,"4 Panel"}</definedName>
    <definedName name="______nEW30" localSheetId="3" hidden="1">{"EVA",#N/A,FALSE,"SMT2";#N/A,#N/A,FALSE,"Summary";#N/A,#N/A,FALSE,"Graphs";#N/A,#N/A,FALSE,"4 Panel"}</definedName>
    <definedName name="______nEW30" hidden="1">{"EVA",#N/A,FALSE,"SMT2";#N/A,#N/A,FALSE,"Summary";#N/A,#N/A,FALSE,"Graphs";#N/A,#N/A,FALSE,"4 Panel"}</definedName>
    <definedName name="______New31" localSheetId="3" hidden="1">{#N/A,#N/A,FALSE,"SMT1";#N/A,#N/A,FALSE,"SMT2";#N/A,#N/A,FALSE,"Summary";#N/A,#N/A,FALSE,"Graphs";#N/A,#N/A,FALSE,"4 Panel"}</definedName>
    <definedName name="______New31" hidden="1">{#N/A,#N/A,FALSE,"SMT1";#N/A,#N/A,FALSE,"SMT2";#N/A,#N/A,FALSE,"Summary";#N/A,#N/A,FALSE,"Graphs";#N/A,#N/A,FALSE,"4 Panel"}</definedName>
    <definedName name="______New32" localSheetId="3" hidden="1">{#N/A,#N/A,FALSE,"SMT1";#N/A,#N/A,FALSE,"SMT2";#N/A,#N/A,FALSE,"Summary";#N/A,#N/A,FALSE,"Graphs";#N/A,#N/A,FALSE,"4 Panel"}</definedName>
    <definedName name="______New32" hidden="1">{#N/A,#N/A,FALSE,"SMT1";#N/A,#N/A,FALSE,"SMT2";#N/A,#N/A,FALSE,"Summary";#N/A,#N/A,FALSE,"Graphs";#N/A,#N/A,FALSE,"4 Panel"}</definedName>
    <definedName name="______New33" localSheetId="3" hidden="1">{#N/A,#N/A,FALSE,"Full";#N/A,#N/A,FALSE,"Half";#N/A,#N/A,FALSE,"Op Expenses";#N/A,#N/A,FALSE,"Cap Charge";#N/A,#N/A,FALSE,"Cost C";#N/A,#N/A,FALSE,"PP&amp;E";#N/A,#N/A,FALSE,"R&amp;D"}</definedName>
    <definedName name="______New33" hidden="1">{#N/A,#N/A,FALSE,"Full";#N/A,#N/A,FALSE,"Half";#N/A,#N/A,FALSE,"Op Expenses";#N/A,#N/A,FALSE,"Cap Charge";#N/A,#N/A,FALSE,"Cost C";#N/A,#N/A,FALSE,"PP&amp;E";#N/A,#N/A,FALSE,"R&amp;D"}</definedName>
    <definedName name="______New34" localSheetId="3" hidden="1">{"EVA",#N/A,FALSE,"SMT2";#N/A,#N/A,FALSE,"Summary";#N/A,#N/A,FALSE,"Graphs";#N/A,#N/A,FALSE,"4 Panel"}</definedName>
    <definedName name="______New34" hidden="1">{"EVA",#N/A,FALSE,"SMT2";#N/A,#N/A,FALSE,"Summary";#N/A,#N/A,FALSE,"Graphs";#N/A,#N/A,FALSE,"4 Panel"}</definedName>
    <definedName name="______New35" localSheetId="3" hidden="1">{#N/A,#N/A,FALSE,"SMT1";#N/A,#N/A,FALSE,"SMT2";#N/A,#N/A,FALSE,"Summary";#N/A,#N/A,FALSE,"Graphs";#N/A,#N/A,FALSE,"4 Panel"}</definedName>
    <definedName name="______New35" hidden="1">{#N/A,#N/A,FALSE,"SMT1";#N/A,#N/A,FALSE,"SMT2";#N/A,#N/A,FALSE,"Summary";#N/A,#N/A,FALSE,"Graphs";#N/A,#N/A,FALSE,"4 Panel"}</definedName>
    <definedName name="______New36" localSheetId="3" hidden="1">{#N/A,#N/A,FALSE,"Full";#N/A,#N/A,FALSE,"Half";#N/A,#N/A,FALSE,"Op Expenses";#N/A,#N/A,FALSE,"Cap Charge";#N/A,#N/A,FALSE,"Cost C";#N/A,#N/A,FALSE,"PP&amp;E";#N/A,#N/A,FALSE,"R&amp;D"}</definedName>
    <definedName name="______New36" hidden="1">{#N/A,#N/A,FALSE,"Full";#N/A,#N/A,FALSE,"Half";#N/A,#N/A,FALSE,"Op Expenses";#N/A,#N/A,FALSE,"Cap Charge";#N/A,#N/A,FALSE,"Cost C";#N/A,#N/A,FALSE,"PP&amp;E";#N/A,#N/A,FALSE,"R&amp;D"}</definedName>
    <definedName name="______NEW4" localSheetId="3" hidden="1">{#N/A,#N/A,FALSE,"Full";#N/A,#N/A,FALSE,"Half";#N/A,#N/A,FALSE,"Op Expenses";#N/A,#N/A,FALSE,"Cap Charge";#N/A,#N/A,FALSE,"Cost C";#N/A,#N/A,FALSE,"PP&amp;E";#N/A,#N/A,FALSE,"R&amp;D"}</definedName>
    <definedName name="______NEW4" hidden="1">{#N/A,#N/A,FALSE,"Full";#N/A,#N/A,FALSE,"Half";#N/A,#N/A,FALSE,"Op Expenses";#N/A,#N/A,FALSE,"Cap Charge";#N/A,#N/A,FALSE,"Cost C";#N/A,#N/A,FALSE,"PP&amp;E";#N/A,#N/A,FALSE,"R&amp;D"}</definedName>
    <definedName name="______OCT2" localSheetId="3" hidden="1">{#N/A,#N/A,FALSE,"BL&amp;GPA";#N/A,#N/A,FALSE,"Summary";#N/A,#N/A,FALSE,"hts"}</definedName>
    <definedName name="______OCT2" hidden="1">{#N/A,#N/A,FALSE,"BL&amp;GPA";#N/A,#N/A,FALSE,"Summary";#N/A,#N/A,FALSE,"hts"}</definedName>
    <definedName name="______ok1" localSheetId="3" hidden="1">{#N/A,#N/A,FALSE,"balance";#N/A,#N/A,FALSE,"PYG"}</definedName>
    <definedName name="______ok1" hidden="1">{#N/A,#N/A,FALSE,"balance";#N/A,#N/A,FALSE,"PYG"}</definedName>
    <definedName name="______Ok2" localSheetId="3" hidden="1">{#N/A,#N/A,FALSE,"balance";#N/A,#N/A,FALSE,"PYG"}</definedName>
    <definedName name="______Ok2" hidden="1">{#N/A,#N/A,FALSE,"balance";#N/A,#N/A,FALSE,"PYG"}</definedName>
    <definedName name="______PyG2" localSheetId="3" hidden="1">{#N/A,#N/A,FALSE,"balance";#N/A,#N/A,FALSE,"PYG"}</definedName>
    <definedName name="______PyG2" hidden="1">{#N/A,#N/A,FALSE,"balance";#N/A,#N/A,FALSE,"PYG"}</definedName>
    <definedName name="______PYG3" localSheetId="3" hidden="1">{#N/A,#N/A,FALSE,"balance";#N/A,#N/A,FALSE,"PYG"}</definedName>
    <definedName name="______PYG3" hidden="1">{#N/A,#N/A,FALSE,"balance";#N/A,#N/A,FALSE,"PYG"}</definedName>
    <definedName name="______PyG33" localSheetId="3" hidden="1">{#N/A,#N/A,FALSE,"balance";#N/A,#N/A,FALSE,"PYG"}</definedName>
    <definedName name="______PyG33" hidden="1">{#N/A,#N/A,FALSE,"balance";#N/A,#N/A,FALSE,"PYG"}</definedName>
    <definedName name="______R" localSheetId="3" hidden="1">{#N/A,#N/A,FALSE,"GRAFICO";#N/A,#N/A,FALSE,"CAJA (2)";#N/A,#N/A,FALSE,"TERCEROS-PROMEDIO";#N/A,#N/A,FALSE,"CAJA";#N/A,#N/A,FALSE,"INGRESOS1995-2003";#N/A,#N/A,FALSE,"GASTOS1995-2003"}</definedName>
    <definedName name="______R" hidden="1">{#N/A,#N/A,FALSE,"GRAFICO";#N/A,#N/A,FALSE,"CAJA (2)";#N/A,#N/A,FALSE,"TERCEROS-PROMEDIO";#N/A,#N/A,FALSE,"CAJA";#N/A,#N/A,FALSE,"INGRESOS1995-2003";#N/A,#N/A,FALSE,"GASTOS1995-2003"}</definedName>
    <definedName name="_____new1" localSheetId="3" hidden="1">{#N/A,#N/A,FALSE,"SMT1";#N/A,#N/A,FALSE,"SMT2";#N/A,#N/A,FALSE,"Summary";#N/A,#N/A,FALSE,"Graphs";#N/A,#N/A,FALSE,"4 Panel"}</definedName>
    <definedName name="_____new1" hidden="1">{#N/A,#N/A,FALSE,"SMT1";#N/A,#N/A,FALSE,"SMT2";#N/A,#N/A,FALSE,"Summary";#N/A,#N/A,FALSE,"Graphs";#N/A,#N/A,FALSE,"4 Panel"}</definedName>
    <definedName name="_____New15" localSheetId="3" hidden="1">{"EVA",#N/A,FALSE,"SMT2";#N/A,#N/A,FALSE,"Summary";#N/A,#N/A,FALSE,"Graphs";#N/A,#N/A,FALSE,"4 Panel"}</definedName>
    <definedName name="_____New15" hidden="1">{"EVA",#N/A,FALSE,"SMT2";#N/A,#N/A,FALSE,"Summary";#N/A,#N/A,FALSE,"Graphs";#N/A,#N/A,FALSE,"4 Panel"}</definedName>
    <definedName name="_____New16" localSheetId="3" hidden="1">{#N/A,#N/A,FALSE,"SMT1";#N/A,#N/A,FALSE,"SMT2";#N/A,#N/A,FALSE,"Summary";#N/A,#N/A,FALSE,"Graphs";#N/A,#N/A,FALSE,"4 Panel"}</definedName>
    <definedName name="_____New16" hidden="1">{#N/A,#N/A,FALSE,"SMT1";#N/A,#N/A,FALSE,"SMT2";#N/A,#N/A,FALSE,"Summary";#N/A,#N/A,FALSE,"Graphs";#N/A,#N/A,FALSE,"4 Panel"}</definedName>
    <definedName name="_____New17" localSheetId="3" hidden="1">{#N/A,#N/A,FALSE,"SMT1";#N/A,#N/A,FALSE,"SMT2";#N/A,#N/A,FALSE,"Summary";#N/A,#N/A,FALSE,"Graphs";#N/A,#N/A,FALSE,"4 Panel"}</definedName>
    <definedName name="_____New17" hidden="1">{#N/A,#N/A,FALSE,"SMT1";#N/A,#N/A,FALSE,"SMT2";#N/A,#N/A,FALSE,"Summary";#N/A,#N/A,FALSE,"Graphs";#N/A,#N/A,FALSE,"4 Panel"}</definedName>
    <definedName name="_____New18" localSheetId="3" hidden="1">{#N/A,#N/A,FALSE,"Full";#N/A,#N/A,FALSE,"Half";#N/A,#N/A,FALSE,"Op Expenses";#N/A,#N/A,FALSE,"Cap Charge";#N/A,#N/A,FALSE,"Cost C";#N/A,#N/A,FALSE,"PP&amp;E";#N/A,#N/A,FALSE,"R&amp;D"}</definedName>
    <definedName name="_____New18" hidden="1">{#N/A,#N/A,FALSE,"Full";#N/A,#N/A,FALSE,"Half";#N/A,#N/A,FALSE,"Op Expenses";#N/A,#N/A,FALSE,"Cap Charge";#N/A,#N/A,FALSE,"Cost C";#N/A,#N/A,FALSE,"PP&amp;E";#N/A,#N/A,FALSE,"R&amp;D"}</definedName>
    <definedName name="_____New19" localSheetId="3" hidden="1">{"EVA",#N/A,FALSE,"SMT2";#N/A,#N/A,FALSE,"Summary";#N/A,#N/A,FALSE,"Graphs";#N/A,#N/A,FALSE,"4 Panel"}</definedName>
    <definedName name="_____New19" hidden="1">{"EVA",#N/A,FALSE,"SMT2";#N/A,#N/A,FALSE,"Summary";#N/A,#N/A,FALSE,"Graphs";#N/A,#N/A,FALSE,"4 Panel"}</definedName>
    <definedName name="_____New20" localSheetId="3" hidden="1">{#N/A,#N/A,FALSE,"SMT1";#N/A,#N/A,FALSE,"SMT2";#N/A,#N/A,FALSE,"Summary";#N/A,#N/A,FALSE,"Graphs";#N/A,#N/A,FALSE,"4 Panel"}</definedName>
    <definedName name="_____New20" hidden="1">{#N/A,#N/A,FALSE,"SMT1";#N/A,#N/A,FALSE,"SMT2";#N/A,#N/A,FALSE,"Summary";#N/A,#N/A,FALSE,"Graphs";#N/A,#N/A,FALSE,"4 Panel"}</definedName>
    <definedName name="_____New21" localSheetId="3" hidden="1">{#N/A,#N/A,FALSE,"Full";#N/A,#N/A,FALSE,"Half";#N/A,#N/A,FALSE,"Op Expenses";#N/A,#N/A,FALSE,"Cap Charge";#N/A,#N/A,FALSE,"Cost C";#N/A,#N/A,FALSE,"PP&amp;E";#N/A,#N/A,FALSE,"R&amp;D"}</definedName>
    <definedName name="_____New21" hidden="1">{#N/A,#N/A,FALSE,"Full";#N/A,#N/A,FALSE,"Half";#N/A,#N/A,FALSE,"Op Expenses";#N/A,#N/A,FALSE,"Cap Charge";#N/A,#N/A,FALSE,"Cost C";#N/A,#N/A,FALSE,"PP&amp;E";#N/A,#N/A,FALSE,"R&amp;D"}</definedName>
    <definedName name="_____NEW3" localSheetId="3" hidden="1">{#N/A,#N/A,FALSE,"SMT1";#N/A,#N/A,FALSE,"SMT2";#N/A,#N/A,FALSE,"Summary";#N/A,#N/A,FALSE,"Graphs";#N/A,#N/A,FALSE,"4 Panel"}</definedName>
    <definedName name="_____NEW3" hidden="1">{#N/A,#N/A,FALSE,"SMT1";#N/A,#N/A,FALSE,"SMT2";#N/A,#N/A,FALSE,"Summary";#N/A,#N/A,FALSE,"Graphs";#N/A,#N/A,FALSE,"4 Panel"}</definedName>
    <definedName name="_____nEW30" localSheetId="3" hidden="1">{"EVA",#N/A,FALSE,"SMT2";#N/A,#N/A,FALSE,"Summary";#N/A,#N/A,FALSE,"Graphs";#N/A,#N/A,FALSE,"4 Panel"}</definedName>
    <definedName name="_____nEW30" hidden="1">{"EVA",#N/A,FALSE,"SMT2";#N/A,#N/A,FALSE,"Summary";#N/A,#N/A,FALSE,"Graphs";#N/A,#N/A,FALSE,"4 Panel"}</definedName>
    <definedName name="_____New31" localSheetId="3" hidden="1">{#N/A,#N/A,FALSE,"SMT1";#N/A,#N/A,FALSE,"SMT2";#N/A,#N/A,FALSE,"Summary";#N/A,#N/A,FALSE,"Graphs";#N/A,#N/A,FALSE,"4 Panel"}</definedName>
    <definedName name="_____New31" hidden="1">{#N/A,#N/A,FALSE,"SMT1";#N/A,#N/A,FALSE,"SMT2";#N/A,#N/A,FALSE,"Summary";#N/A,#N/A,FALSE,"Graphs";#N/A,#N/A,FALSE,"4 Panel"}</definedName>
    <definedName name="_____New32" localSheetId="3" hidden="1">{#N/A,#N/A,FALSE,"SMT1";#N/A,#N/A,FALSE,"SMT2";#N/A,#N/A,FALSE,"Summary";#N/A,#N/A,FALSE,"Graphs";#N/A,#N/A,FALSE,"4 Panel"}</definedName>
    <definedName name="_____New32" hidden="1">{#N/A,#N/A,FALSE,"SMT1";#N/A,#N/A,FALSE,"SMT2";#N/A,#N/A,FALSE,"Summary";#N/A,#N/A,FALSE,"Graphs";#N/A,#N/A,FALSE,"4 Panel"}</definedName>
    <definedName name="_____New33" localSheetId="3" hidden="1">{#N/A,#N/A,FALSE,"Full";#N/A,#N/A,FALSE,"Half";#N/A,#N/A,FALSE,"Op Expenses";#N/A,#N/A,FALSE,"Cap Charge";#N/A,#N/A,FALSE,"Cost C";#N/A,#N/A,FALSE,"PP&amp;E";#N/A,#N/A,FALSE,"R&amp;D"}</definedName>
    <definedName name="_____New33" hidden="1">{#N/A,#N/A,FALSE,"Full";#N/A,#N/A,FALSE,"Half";#N/A,#N/A,FALSE,"Op Expenses";#N/A,#N/A,FALSE,"Cap Charge";#N/A,#N/A,FALSE,"Cost C";#N/A,#N/A,FALSE,"PP&amp;E";#N/A,#N/A,FALSE,"R&amp;D"}</definedName>
    <definedName name="_____New34" localSheetId="3" hidden="1">{"EVA",#N/A,FALSE,"SMT2";#N/A,#N/A,FALSE,"Summary";#N/A,#N/A,FALSE,"Graphs";#N/A,#N/A,FALSE,"4 Panel"}</definedName>
    <definedName name="_____New34" hidden="1">{"EVA",#N/A,FALSE,"SMT2";#N/A,#N/A,FALSE,"Summary";#N/A,#N/A,FALSE,"Graphs";#N/A,#N/A,FALSE,"4 Panel"}</definedName>
    <definedName name="_____New35" localSheetId="3" hidden="1">{#N/A,#N/A,FALSE,"SMT1";#N/A,#N/A,FALSE,"SMT2";#N/A,#N/A,FALSE,"Summary";#N/A,#N/A,FALSE,"Graphs";#N/A,#N/A,FALSE,"4 Panel"}</definedName>
    <definedName name="_____New35" hidden="1">{#N/A,#N/A,FALSE,"SMT1";#N/A,#N/A,FALSE,"SMT2";#N/A,#N/A,FALSE,"Summary";#N/A,#N/A,FALSE,"Graphs";#N/A,#N/A,FALSE,"4 Panel"}</definedName>
    <definedName name="_____New36" localSheetId="3" hidden="1">{#N/A,#N/A,FALSE,"Full";#N/A,#N/A,FALSE,"Half";#N/A,#N/A,FALSE,"Op Expenses";#N/A,#N/A,FALSE,"Cap Charge";#N/A,#N/A,FALSE,"Cost C";#N/A,#N/A,FALSE,"PP&amp;E";#N/A,#N/A,FALSE,"R&amp;D"}</definedName>
    <definedName name="_____New36" hidden="1">{#N/A,#N/A,FALSE,"Full";#N/A,#N/A,FALSE,"Half";#N/A,#N/A,FALSE,"Op Expenses";#N/A,#N/A,FALSE,"Cap Charge";#N/A,#N/A,FALSE,"Cost C";#N/A,#N/A,FALSE,"PP&amp;E";#N/A,#N/A,FALSE,"R&amp;D"}</definedName>
    <definedName name="_____NEW4" localSheetId="3" hidden="1">{#N/A,#N/A,FALSE,"Full";#N/A,#N/A,FALSE,"Half";#N/A,#N/A,FALSE,"Op Expenses";#N/A,#N/A,FALSE,"Cap Charge";#N/A,#N/A,FALSE,"Cost C";#N/A,#N/A,FALSE,"PP&amp;E";#N/A,#N/A,FALSE,"R&amp;D"}</definedName>
    <definedName name="_____NEW4" hidden="1">{#N/A,#N/A,FALSE,"Full";#N/A,#N/A,FALSE,"Half";#N/A,#N/A,FALSE,"Op Expenses";#N/A,#N/A,FALSE,"Cap Charge";#N/A,#N/A,FALSE,"Cost C";#N/A,#N/A,FALSE,"PP&amp;E";#N/A,#N/A,FALSE,"R&amp;D"}</definedName>
    <definedName name="_____PYG3" localSheetId="3" hidden="1">{#N/A,#N/A,FALSE,"balance";#N/A,#N/A,FALSE,"PYG"}</definedName>
    <definedName name="_____PYG3" hidden="1">{#N/A,#N/A,FALSE,"balance";#N/A,#N/A,FALSE,"PYG"}</definedName>
    <definedName name="_____R" localSheetId="3" hidden="1">{#N/A,#N/A,FALSE,"GRAFICO";#N/A,#N/A,FALSE,"CAJA (2)";#N/A,#N/A,FALSE,"TERCEROS-PROMEDIO";#N/A,#N/A,FALSE,"CAJA";#N/A,#N/A,FALSE,"INGRESOS1995-2003";#N/A,#N/A,FALSE,"GASTOS1995-2003"}</definedName>
    <definedName name="_____R" hidden="1">{#N/A,#N/A,FALSE,"GRAFICO";#N/A,#N/A,FALSE,"CAJA (2)";#N/A,#N/A,FALSE,"TERCEROS-PROMEDIO";#N/A,#N/A,FALSE,"CAJA";#N/A,#N/A,FALSE,"INGRESOS1995-2003";#N/A,#N/A,FALSE,"GASTOS1995-2003"}</definedName>
    <definedName name="____GGF2" localSheetId="3" hidden="1">{#N/A,#N/A,FALSE,"balance";#N/A,#N/A,FALSE,"PYG"}</definedName>
    <definedName name="____GGF2" hidden="1">{#N/A,#N/A,FALSE,"balance";#N/A,#N/A,FALSE,"PYG"}</definedName>
    <definedName name="____new1" localSheetId="3" hidden="1">{#N/A,#N/A,FALSE,"SMT1";#N/A,#N/A,FALSE,"SMT2";#N/A,#N/A,FALSE,"Summary";#N/A,#N/A,FALSE,"Graphs";#N/A,#N/A,FALSE,"4 Panel"}</definedName>
    <definedName name="____new1" hidden="1">{#N/A,#N/A,FALSE,"SMT1";#N/A,#N/A,FALSE,"SMT2";#N/A,#N/A,FALSE,"Summary";#N/A,#N/A,FALSE,"Graphs";#N/A,#N/A,FALSE,"4 Panel"}</definedName>
    <definedName name="____New15" localSheetId="3" hidden="1">{"EVA",#N/A,FALSE,"SMT2";#N/A,#N/A,FALSE,"Summary";#N/A,#N/A,FALSE,"Graphs";#N/A,#N/A,FALSE,"4 Panel"}</definedName>
    <definedName name="____New15" hidden="1">{"EVA",#N/A,FALSE,"SMT2";#N/A,#N/A,FALSE,"Summary";#N/A,#N/A,FALSE,"Graphs";#N/A,#N/A,FALSE,"4 Panel"}</definedName>
    <definedName name="____New16" localSheetId="3" hidden="1">{#N/A,#N/A,FALSE,"SMT1";#N/A,#N/A,FALSE,"SMT2";#N/A,#N/A,FALSE,"Summary";#N/A,#N/A,FALSE,"Graphs";#N/A,#N/A,FALSE,"4 Panel"}</definedName>
    <definedName name="____New16" hidden="1">{#N/A,#N/A,FALSE,"SMT1";#N/A,#N/A,FALSE,"SMT2";#N/A,#N/A,FALSE,"Summary";#N/A,#N/A,FALSE,"Graphs";#N/A,#N/A,FALSE,"4 Panel"}</definedName>
    <definedName name="____New17" localSheetId="3" hidden="1">{#N/A,#N/A,FALSE,"SMT1";#N/A,#N/A,FALSE,"SMT2";#N/A,#N/A,FALSE,"Summary";#N/A,#N/A,FALSE,"Graphs";#N/A,#N/A,FALSE,"4 Panel"}</definedName>
    <definedName name="____New17" hidden="1">{#N/A,#N/A,FALSE,"SMT1";#N/A,#N/A,FALSE,"SMT2";#N/A,#N/A,FALSE,"Summary";#N/A,#N/A,FALSE,"Graphs";#N/A,#N/A,FALSE,"4 Panel"}</definedName>
    <definedName name="____New18" localSheetId="3" hidden="1">{#N/A,#N/A,FALSE,"Full";#N/A,#N/A,FALSE,"Half";#N/A,#N/A,FALSE,"Op Expenses";#N/A,#N/A,FALSE,"Cap Charge";#N/A,#N/A,FALSE,"Cost C";#N/A,#N/A,FALSE,"PP&amp;E";#N/A,#N/A,FALSE,"R&amp;D"}</definedName>
    <definedName name="____New18" hidden="1">{#N/A,#N/A,FALSE,"Full";#N/A,#N/A,FALSE,"Half";#N/A,#N/A,FALSE,"Op Expenses";#N/A,#N/A,FALSE,"Cap Charge";#N/A,#N/A,FALSE,"Cost C";#N/A,#N/A,FALSE,"PP&amp;E";#N/A,#N/A,FALSE,"R&amp;D"}</definedName>
    <definedName name="____New19" localSheetId="3" hidden="1">{"EVA",#N/A,FALSE,"SMT2";#N/A,#N/A,FALSE,"Summary";#N/A,#N/A,FALSE,"Graphs";#N/A,#N/A,FALSE,"4 Panel"}</definedName>
    <definedName name="____New19" hidden="1">{"EVA",#N/A,FALSE,"SMT2";#N/A,#N/A,FALSE,"Summary";#N/A,#N/A,FALSE,"Graphs";#N/A,#N/A,FALSE,"4 Panel"}</definedName>
    <definedName name="____New20" localSheetId="3" hidden="1">{#N/A,#N/A,FALSE,"SMT1";#N/A,#N/A,FALSE,"SMT2";#N/A,#N/A,FALSE,"Summary";#N/A,#N/A,FALSE,"Graphs";#N/A,#N/A,FALSE,"4 Panel"}</definedName>
    <definedName name="____New20" hidden="1">{#N/A,#N/A,FALSE,"SMT1";#N/A,#N/A,FALSE,"SMT2";#N/A,#N/A,FALSE,"Summary";#N/A,#N/A,FALSE,"Graphs";#N/A,#N/A,FALSE,"4 Panel"}</definedName>
    <definedName name="____New21" localSheetId="3" hidden="1">{#N/A,#N/A,FALSE,"Full";#N/A,#N/A,FALSE,"Half";#N/A,#N/A,FALSE,"Op Expenses";#N/A,#N/A,FALSE,"Cap Charge";#N/A,#N/A,FALSE,"Cost C";#N/A,#N/A,FALSE,"PP&amp;E";#N/A,#N/A,FALSE,"R&amp;D"}</definedName>
    <definedName name="____New21" hidden="1">{#N/A,#N/A,FALSE,"Full";#N/A,#N/A,FALSE,"Half";#N/A,#N/A,FALSE,"Op Expenses";#N/A,#N/A,FALSE,"Cap Charge";#N/A,#N/A,FALSE,"Cost C";#N/A,#N/A,FALSE,"PP&amp;E";#N/A,#N/A,FALSE,"R&amp;D"}</definedName>
    <definedName name="____NEW3" localSheetId="3" hidden="1">{#N/A,#N/A,FALSE,"SMT1";#N/A,#N/A,FALSE,"SMT2";#N/A,#N/A,FALSE,"Summary";#N/A,#N/A,FALSE,"Graphs";#N/A,#N/A,FALSE,"4 Panel"}</definedName>
    <definedName name="____NEW3" hidden="1">{#N/A,#N/A,FALSE,"SMT1";#N/A,#N/A,FALSE,"SMT2";#N/A,#N/A,FALSE,"Summary";#N/A,#N/A,FALSE,"Graphs";#N/A,#N/A,FALSE,"4 Panel"}</definedName>
    <definedName name="____nEW30" localSheetId="3" hidden="1">{"EVA",#N/A,FALSE,"SMT2";#N/A,#N/A,FALSE,"Summary";#N/A,#N/A,FALSE,"Graphs";#N/A,#N/A,FALSE,"4 Panel"}</definedName>
    <definedName name="____nEW30" hidden="1">{"EVA",#N/A,FALSE,"SMT2";#N/A,#N/A,FALSE,"Summary";#N/A,#N/A,FALSE,"Graphs";#N/A,#N/A,FALSE,"4 Panel"}</definedName>
    <definedName name="____New31" localSheetId="3" hidden="1">{#N/A,#N/A,FALSE,"SMT1";#N/A,#N/A,FALSE,"SMT2";#N/A,#N/A,FALSE,"Summary";#N/A,#N/A,FALSE,"Graphs";#N/A,#N/A,FALSE,"4 Panel"}</definedName>
    <definedName name="____New31" hidden="1">{#N/A,#N/A,FALSE,"SMT1";#N/A,#N/A,FALSE,"SMT2";#N/A,#N/A,FALSE,"Summary";#N/A,#N/A,FALSE,"Graphs";#N/A,#N/A,FALSE,"4 Panel"}</definedName>
    <definedName name="____New32" localSheetId="3" hidden="1">{#N/A,#N/A,FALSE,"SMT1";#N/A,#N/A,FALSE,"SMT2";#N/A,#N/A,FALSE,"Summary";#N/A,#N/A,FALSE,"Graphs";#N/A,#N/A,FALSE,"4 Panel"}</definedName>
    <definedName name="____New32" hidden="1">{#N/A,#N/A,FALSE,"SMT1";#N/A,#N/A,FALSE,"SMT2";#N/A,#N/A,FALSE,"Summary";#N/A,#N/A,FALSE,"Graphs";#N/A,#N/A,FALSE,"4 Panel"}</definedName>
    <definedName name="____New33" localSheetId="3" hidden="1">{#N/A,#N/A,FALSE,"Full";#N/A,#N/A,FALSE,"Half";#N/A,#N/A,FALSE,"Op Expenses";#N/A,#N/A,FALSE,"Cap Charge";#N/A,#N/A,FALSE,"Cost C";#N/A,#N/A,FALSE,"PP&amp;E";#N/A,#N/A,FALSE,"R&amp;D"}</definedName>
    <definedName name="____New33" hidden="1">{#N/A,#N/A,FALSE,"Full";#N/A,#N/A,FALSE,"Half";#N/A,#N/A,FALSE,"Op Expenses";#N/A,#N/A,FALSE,"Cap Charge";#N/A,#N/A,FALSE,"Cost C";#N/A,#N/A,FALSE,"PP&amp;E";#N/A,#N/A,FALSE,"R&amp;D"}</definedName>
    <definedName name="____New34" localSheetId="3" hidden="1">{"EVA",#N/A,FALSE,"SMT2";#N/A,#N/A,FALSE,"Summary";#N/A,#N/A,FALSE,"Graphs";#N/A,#N/A,FALSE,"4 Panel"}</definedName>
    <definedName name="____New34" hidden="1">{"EVA",#N/A,FALSE,"SMT2";#N/A,#N/A,FALSE,"Summary";#N/A,#N/A,FALSE,"Graphs";#N/A,#N/A,FALSE,"4 Panel"}</definedName>
    <definedName name="____New35" localSheetId="3" hidden="1">{#N/A,#N/A,FALSE,"SMT1";#N/A,#N/A,FALSE,"SMT2";#N/A,#N/A,FALSE,"Summary";#N/A,#N/A,FALSE,"Graphs";#N/A,#N/A,FALSE,"4 Panel"}</definedName>
    <definedName name="____New35" hidden="1">{#N/A,#N/A,FALSE,"SMT1";#N/A,#N/A,FALSE,"SMT2";#N/A,#N/A,FALSE,"Summary";#N/A,#N/A,FALSE,"Graphs";#N/A,#N/A,FALSE,"4 Panel"}</definedName>
    <definedName name="____New36" localSheetId="3" hidden="1">{#N/A,#N/A,FALSE,"Full";#N/A,#N/A,FALSE,"Half";#N/A,#N/A,FALSE,"Op Expenses";#N/A,#N/A,FALSE,"Cap Charge";#N/A,#N/A,FALSE,"Cost C";#N/A,#N/A,FALSE,"PP&amp;E";#N/A,#N/A,FALSE,"R&amp;D"}</definedName>
    <definedName name="____New36" hidden="1">{#N/A,#N/A,FALSE,"Full";#N/A,#N/A,FALSE,"Half";#N/A,#N/A,FALSE,"Op Expenses";#N/A,#N/A,FALSE,"Cap Charge";#N/A,#N/A,FALSE,"Cost C";#N/A,#N/A,FALSE,"PP&amp;E";#N/A,#N/A,FALSE,"R&amp;D"}</definedName>
    <definedName name="____NEW4" localSheetId="3" hidden="1">{#N/A,#N/A,FALSE,"Full";#N/A,#N/A,FALSE,"Half";#N/A,#N/A,FALSE,"Op Expenses";#N/A,#N/A,FALSE,"Cap Charge";#N/A,#N/A,FALSE,"Cost C";#N/A,#N/A,FALSE,"PP&amp;E";#N/A,#N/A,FALSE,"R&amp;D"}</definedName>
    <definedName name="____NEW4" hidden="1">{#N/A,#N/A,FALSE,"Full";#N/A,#N/A,FALSE,"Half";#N/A,#N/A,FALSE,"Op Expenses";#N/A,#N/A,FALSE,"Cap Charge";#N/A,#N/A,FALSE,"Cost C";#N/A,#N/A,FALSE,"PP&amp;E";#N/A,#N/A,FALSE,"R&amp;D"}</definedName>
    <definedName name="____OCT2" localSheetId="3" hidden="1">{#N/A,#N/A,FALSE,"BL&amp;GPA";#N/A,#N/A,FALSE,"Summary";#N/A,#N/A,FALSE,"hts"}</definedName>
    <definedName name="____OCT2" hidden="1">{#N/A,#N/A,FALSE,"BL&amp;GPA";#N/A,#N/A,FALSE,"Summary";#N/A,#N/A,FALSE,"hts"}</definedName>
    <definedName name="____ok1" localSheetId="3" hidden="1">{#N/A,#N/A,FALSE,"balance";#N/A,#N/A,FALSE,"PYG"}</definedName>
    <definedName name="____ok1" hidden="1">{#N/A,#N/A,FALSE,"balance";#N/A,#N/A,FALSE,"PYG"}</definedName>
    <definedName name="____Ok2" localSheetId="3" hidden="1">{#N/A,#N/A,FALSE,"balance";#N/A,#N/A,FALSE,"PYG"}</definedName>
    <definedName name="____Ok2" hidden="1">{#N/A,#N/A,FALSE,"balance";#N/A,#N/A,FALSE,"PYG"}</definedName>
    <definedName name="____PyG2" localSheetId="3" hidden="1">{#N/A,#N/A,FALSE,"balance";#N/A,#N/A,FALSE,"PYG"}</definedName>
    <definedName name="____PyG2" hidden="1">{#N/A,#N/A,FALSE,"balance";#N/A,#N/A,FALSE,"PYG"}</definedName>
    <definedName name="____PYG3" localSheetId="3" hidden="1">{#N/A,#N/A,FALSE,"balance";#N/A,#N/A,FALSE,"PYG"}</definedName>
    <definedName name="____PYG3" hidden="1">{#N/A,#N/A,FALSE,"balance";#N/A,#N/A,FALSE,"PYG"}</definedName>
    <definedName name="____PyG33" localSheetId="3" hidden="1">{#N/A,#N/A,FALSE,"balance";#N/A,#N/A,FALSE,"PYG"}</definedName>
    <definedName name="____PyG33" hidden="1">{#N/A,#N/A,FALSE,"balance";#N/A,#N/A,FALSE,"PYG"}</definedName>
    <definedName name="____R" localSheetId="3" hidden="1">{#N/A,#N/A,FALSE,"GRAFICO";#N/A,#N/A,FALSE,"CAJA (2)";#N/A,#N/A,FALSE,"TERCEROS-PROMEDIO";#N/A,#N/A,FALSE,"CAJA";#N/A,#N/A,FALSE,"INGRESOS1995-2003";#N/A,#N/A,FALSE,"GASTOS1995-2003"}</definedName>
    <definedName name="____R" hidden="1">{#N/A,#N/A,FALSE,"GRAFICO";#N/A,#N/A,FALSE,"CAJA (2)";#N/A,#N/A,FALSE,"TERCEROS-PROMEDIO";#N/A,#N/A,FALSE,"CAJA";#N/A,#N/A,FALSE,"INGRESOS1995-2003";#N/A,#N/A,FALSE,"GASTOS1995-2003"}</definedName>
    <definedName name="___new1" localSheetId="3" hidden="1">{#N/A,#N/A,FALSE,"SMT1";#N/A,#N/A,FALSE,"SMT2";#N/A,#N/A,FALSE,"Summary";#N/A,#N/A,FALSE,"Graphs";#N/A,#N/A,FALSE,"4 Panel"}</definedName>
    <definedName name="___new1" hidden="1">{#N/A,#N/A,FALSE,"SMT1";#N/A,#N/A,FALSE,"SMT2";#N/A,#N/A,FALSE,"Summary";#N/A,#N/A,FALSE,"Graphs";#N/A,#N/A,FALSE,"4 Panel"}</definedName>
    <definedName name="___New15" localSheetId="3" hidden="1">{"EVA",#N/A,FALSE,"SMT2";#N/A,#N/A,FALSE,"Summary";#N/A,#N/A,FALSE,"Graphs";#N/A,#N/A,FALSE,"4 Panel"}</definedName>
    <definedName name="___New15" hidden="1">{"EVA",#N/A,FALSE,"SMT2";#N/A,#N/A,FALSE,"Summary";#N/A,#N/A,FALSE,"Graphs";#N/A,#N/A,FALSE,"4 Panel"}</definedName>
    <definedName name="___New16" localSheetId="3" hidden="1">{#N/A,#N/A,FALSE,"SMT1";#N/A,#N/A,FALSE,"SMT2";#N/A,#N/A,FALSE,"Summary";#N/A,#N/A,FALSE,"Graphs";#N/A,#N/A,FALSE,"4 Panel"}</definedName>
    <definedName name="___New16" hidden="1">{#N/A,#N/A,FALSE,"SMT1";#N/A,#N/A,FALSE,"SMT2";#N/A,#N/A,FALSE,"Summary";#N/A,#N/A,FALSE,"Graphs";#N/A,#N/A,FALSE,"4 Panel"}</definedName>
    <definedName name="___New17" localSheetId="3" hidden="1">{#N/A,#N/A,FALSE,"SMT1";#N/A,#N/A,FALSE,"SMT2";#N/A,#N/A,FALSE,"Summary";#N/A,#N/A,FALSE,"Graphs";#N/A,#N/A,FALSE,"4 Panel"}</definedName>
    <definedName name="___New17" hidden="1">{#N/A,#N/A,FALSE,"SMT1";#N/A,#N/A,FALSE,"SMT2";#N/A,#N/A,FALSE,"Summary";#N/A,#N/A,FALSE,"Graphs";#N/A,#N/A,FALSE,"4 Panel"}</definedName>
    <definedName name="___New18" localSheetId="3" hidden="1">{#N/A,#N/A,FALSE,"Full";#N/A,#N/A,FALSE,"Half";#N/A,#N/A,FALSE,"Op Expenses";#N/A,#N/A,FALSE,"Cap Charge";#N/A,#N/A,FALSE,"Cost C";#N/A,#N/A,FALSE,"PP&amp;E";#N/A,#N/A,FALSE,"R&amp;D"}</definedName>
    <definedName name="___New18" hidden="1">{#N/A,#N/A,FALSE,"Full";#N/A,#N/A,FALSE,"Half";#N/A,#N/A,FALSE,"Op Expenses";#N/A,#N/A,FALSE,"Cap Charge";#N/A,#N/A,FALSE,"Cost C";#N/A,#N/A,FALSE,"PP&amp;E";#N/A,#N/A,FALSE,"R&amp;D"}</definedName>
    <definedName name="___New19" localSheetId="3" hidden="1">{"EVA",#N/A,FALSE,"SMT2";#N/A,#N/A,FALSE,"Summary";#N/A,#N/A,FALSE,"Graphs";#N/A,#N/A,FALSE,"4 Panel"}</definedName>
    <definedName name="___New19" hidden="1">{"EVA",#N/A,FALSE,"SMT2";#N/A,#N/A,FALSE,"Summary";#N/A,#N/A,FALSE,"Graphs";#N/A,#N/A,FALSE,"4 Panel"}</definedName>
    <definedName name="___New20" localSheetId="3" hidden="1">{#N/A,#N/A,FALSE,"SMT1";#N/A,#N/A,FALSE,"SMT2";#N/A,#N/A,FALSE,"Summary";#N/A,#N/A,FALSE,"Graphs";#N/A,#N/A,FALSE,"4 Panel"}</definedName>
    <definedName name="___New20" hidden="1">{#N/A,#N/A,FALSE,"SMT1";#N/A,#N/A,FALSE,"SMT2";#N/A,#N/A,FALSE,"Summary";#N/A,#N/A,FALSE,"Graphs";#N/A,#N/A,FALSE,"4 Panel"}</definedName>
    <definedName name="___New21" localSheetId="3" hidden="1">{#N/A,#N/A,FALSE,"Full";#N/A,#N/A,FALSE,"Half";#N/A,#N/A,FALSE,"Op Expenses";#N/A,#N/A,FALSE,"Cap Charge";#N/A,#N/A,FALSE,"Cost C";#N/A,#N/A,FALSE,"PP&amp;E";#N/A,#N/A,FALSE,"R&amp;D"}</definedName>
    <definedName name="___New21" hidden="1">{#N/A,#N/A,FALSE,"Full";#N/A,#N/A,FALSE,"Half";#N/A,#N/A,FALSE,"Op Expenses";#N/A,#N/A,FALSE,"Cap Charge";#N/A,#N/A,FALSE,"Cost C";#N/A,#N/A,FALSE,"PP&amp;E";#N/A,#N/A,FALSE,"R&amp;D"}</definedName>
    <definedName name="___NEW3" localSheetId="3" hidden="1">{#N/A,#N/A,FALSE,"SMT1";#N/A,#N/A,FALSE,"SMT2";#N/A,#N/A,FALSE,"Summary";#N/A,#N/A,FALSE,"Graphs";#N/A,#N/A,FALSE,"4 Panel"}</definedName>
    <definedName name="___NEW3" hidden="1">{#N/A,#N/A,FALSE,"SMT1";#N/A,#N/A,FALSE,"SMT2";#N/A,#N/A,FALSE,"Summary";#N/A,#N/A,FALSE,"Graphs";#N/A,#N/A,FALSE,"4 Panel"}</definedName>
    <definedName name="___nEW30" localSheetId="3" hidden="1">{"EVA",#N/A,FALSE,"SMT2";#N/A,#N/A,FALSE,"Summary";#N/A,#N/A,FALSE,"Graphs";#N/A,#N/A,FALSE,"4 Panel"}</definedName>
    <definedName name="___nEW30" hidden="1">{"EVA",#N/A,FALSE,"SMT2";#N/A,#N/A,FALSE,"Summary";#N/A,#N/A,FALSE,"Graphs";#N/A,#N/A,FALSE,"4 Panel"}</definedName>
    <definedName name="___New31" localSheetId="3" hidden="1">{#N/A,#N/A,FALSE,"SMT1";#N/A,#N/A,FALSE,"SMT2";#N/A,#N/A,FALSE,"Summary";#N/A,#N/A,FALSE,"Graphs";#N/A,#N/A,FALSE,"4 Panel"}</definedName>
    <definedName name="___New31" hidden="1">{#N/A,#N/A,FALSE,"SMT1";#N/A,#N/A,FALSE,"SMT2";#N/A,#N/A,FALSE,"Summary";#N/A,#N/A,FALSE,"Graphs";#N/A,#N/A,FALSE,"4 Panel"}</definedName>
    <definedName name="___New32" localSheetId="3" hidden="1">{#N/A,#N/A,FALSE,"SMT1";#N/A,#N/A,FALSE,"SMT2";#N/A,#N/A,FALSE,"Summary";#N/A,#N/A,FALSE,"Graphs";#N/A,#N/A,FALSE,"4 Panel"}</definedName>
    <definedName name="___New32" hidden="1">{#N/A,#N/A,FALSE,"SMT1";#N/A,#N/A,FALSE,"SMT2";#N/A,#N/A,FALSE,"Summary";#N/A,#N/A,FALSE,"Graphs";#N/A,#N/A,FALSE,"4 Panel"}</definedName>
    <definedName name="___New33" localSheetId="3" hidden="1">{#N/A,#N/A,FALSE,"Full";#N/A,#N/A,FALSE,"Half";#N/A,#N/A,FALSE,"Op Expenses";#N/A,#N/A,FALSE,"Cap Charge";#N/A,#N/A,FALSE,"Cost C";#N/A,#N/A,FALSE,"PP&amp;E";#N/A,#N/A,FALSE,"R&amp;D"}</definedName>
    <definedName name="___New33" hidden="1">{#N/A,#N/A,FALSE,"Full";#N/A,#N/A,FALSE,"Half";#N/A,#N/A,FALSE,"Op Expenses";#N/A,#N/A,FALSE,"Cap Charge";#N/A,#N/A,FALSE,"Cost C";#N/A,#N/A,FALSE,"PP&amp;E";#N/A,#N/A,FALSE,"R&amp;D"}</definedName>
    <definedName name="___New34" localSheetId="3" hidden="1">{"EVA",#N/A,FALSE,"SMT2";#N/A,#N/A,FALSE,"Summary";#N/A,#N/A,FALSE,"Graphs";#N/A,#N/A,FALSE,"4 Panel"}</definedName>
    <definedName name="___New34" hidden="1">{"EVA",#N/A,FALSE,"SMT2";#N/A,#N/A,FALSE,"Summary";#N/A,#N/A,FALSE,"Graphs";#N/A,#N/A,FALSE,"4 Panel"}</definedName>
    <definedName name="___New35" localSheetId="3" hidden="1">{#N/A,#N/A,FALSE,"SMT1";#N/A,#N/A,FALSE,"SMT2";#N/A,#N/A,FALSE,"Summary";#N/A,#N/A,FALSE,"Graphs";#N/A,#N/A,FALSE,"4 Panel"}</definedName>
    <definedName name="___New35" hidden="1">{#N/A,#N/A,FALSE,"SMT1";#N/A,#N/A,FALSE,"SMT2";#N/A,#N/A,FALSE,"Summary";#N/A,#N/A,FALSE,"Graphs";#N/A,#N/A,FALSE,"4 Panel"}</definedName>
    <definedName name="___New36" localSheetId="3" hidden="1">{#N/A,#N/A,FALSE,"Full";#N/A,#N/A,FALSE,"Half";#N/A,#N/A,FALSE,"Op Expenses";#N/A,#N/A,FALSE,"Cap Charge";#N/A,#N/A,FALSE,"Cost C";#N/A,#N/A,FALSE,"PP&amp;E";#N/A,#N/A,FALSE,"R&amp;D"}</definedName>
    <definedName name="___New36" hidden="1">{#N/A,#N/A,FALSE,"Full";#N/A,#N/A,FALSE,"Half";#N/A,#N/A,FALSE,"Op Expenses";#N/A,#N/A,FALSE,"Cap Charge";#N/A,#N/A,FALSE,"Cost C";#N/A,#N/A,FALSE,"PP&amp;E";#N/A,#N/A,FALSE,"R&amp;D"}</definedName>
    <definedName name="___NEW4" localSheetId="3" hidden="1">{#N/A,#N/A,FALSE,"Full";#N/A,#N/A,FALSE,"Half";#N/A,#N/A,FALSE,"Op Expenses";#N/A,#N/A,FALSE,"Cap Charge";#N/A,#N/A,FALSE,"Cost C";#N/A,#N/A,FALSE,"PP&amp;E";#N/A,#N/A,FALSE,"R&amp;D"}</definedName>
    <definedName name="___NEW4" hidden="1">{#N/A,#N/A,FALSE,"Full";#N/A,#N/A,FALSE,"Half";#N/A,#N/A,FALSE,"Op Expenses";#N/A,#N/A,FALSE,"Cap Charge";#N/A,#N/A,FALSE,"Cost C";#N/A,#N/A,FALSE,"PP&amp;E";#N/A,#N/A,FALSE,"R&amp;D"}</definedName>
    <definedName name="___R" localSheetId="3" hidden="1">{#N/A,#N/A,FALSE,"GRAFICO";#N/A,#N/A,FALSE,"CAJA (2)";#N/A,#N/A,FALSE,"TERCEROS-PROMEDIO";#N/A,#N/A,FALSE,"CAJA";#N/A,#N/A,FALSE,"INGRESOS1995-2003";#N/A,#N/A,FALSE,"GASTOS1995-2003"}</definedName>
    <definedName name="___R" hidden="1">{#N/A,#N/A,FALSE,"GRAFICO";#N/A,#N/A,FALSE,"CAJA (2)";#N/A,#N/A,FALSE,"TERCEROS-PROMEDIO";#N/A,#N/A,FALSE,"CAJA";#N/A,#N/A,FALSE,"INGRESOS1995-2003";#N/A,#N/A,FALSE,"GASTOS1995-2003"}</definedName>
    <definedName name="__123Graph_A" hidden="1">[1]EXTRA!$B$12:$B$31</definedName>
    <definedName name="__123Graph_ACAPTACIO" localSheetId="3" hidden="1">[2]COMPENSACIONES!#REF!</definedName>
    <definedName name="__123Graph_ACAPTACIO" hidden="1">[2]COMPENSACIONES!#REF!</definedName>
    <definedName name="__123Graph_ACAPTUEN" localSheetId="3" hidden="1">[2]COMPENSACIONES!#REF!</definedName>
    <definedName name="__123Graph_ACAPTUEN" hidden="1">[2]COMPENSACIONES!#REF!</definedName>
    <definedName name="__123Graph_B" hidden="1">[1]EXTRA!$C$12:$C$31</definedName>
    <definedName name="__123Graph_BCAPTUEN" localSheetId="3" hidden="1">[2]COMPENSACIONES!#REF!</definedName>
    <definedName name="__123Graph_BCAPTUEN" hidden="1">[2]COMPENSACIONES!#REF!</definedName>
    <definedName name="__123Graph_C" hidden="1">[1]EXTRA!$D$12:$D$31</definedName>
    <definedName name="__123Graph_CCAPTUEN" localSheetId="3" hidden="1">[2]COMPENSACIONES!#REF!</definedName>
    <definedName name="__123Graph_CCAPTUEN" hidden="1">[2]COMPENSACIONES!#REF!</definedName>
    <definedName name="__123Graph_D" hidden="1">[1]EXTRA!$E$12:$E$31</definedName>
    <definedName name="__123Graph_DCAPTUEN" localSheetId="3" hidden="1">[2]COMPENSACIONES!#REF!</definedName>
    <definedName name="__123Graph_DCAPTUEN" hidden="1">[2]COMPENSACIONES!#REF!</definedName>
    <definedName name="__123Graph_E" hidden="1">[1]EXTRA!$F$12:$F$31</definedName>
    <definedName name="__123Graph_F" hidden="1">[1]EXTRA!$G$12:$G$31</definedName>
    <definedName name="__123Graph_X" hidden="1">'[1]Sdo.Empres.Grupo.'!$A$6:$A$58</definedName>
    <definedName name="__123Graph_XCAPTACIO" localSheetId="3" hidden="1">[2]COMPENSACIONES!#REF!</definedName>
    <definedName name="__123Graph_XCAPTACIO" hidden="1">[2]COMPENSACIONES!#REF!</definedName>
    <definedName name="__123Graph_XCAPTUEN" localSheetId="3" hidden="1">[2]COMPENSACIONES!#REF!</definedName>
    <definedName name="__123Graph_XCAPTUEN" hidden="1">[2]COMPENSACIONES!#REF!</definedName>
    <definedName name="__FDS_HYPERLINK_TOGGLE_STATE__" hidden="1">"ON"</definedName>
    <definedName name="__GGF2" localSheetId="3" hidden="1">{#N/A,#N/A,FALSE,"balance";#N/A,#N/A,FALSE,"PYG"}</definedName>
    <definedName name="__GGF2" hidden="1">{#N/A,#N/A,FALSE,"balance";#N/A,#N/A,FALSE,"PYG"}</definedName>
    <definedName name="__new1" localSheetId="3" hidden="1">{#N/A,#N/A,FALSE,"SMT1";#N/A,#N/A,FALSE,"SMT2";#N/A,#N/A,FALSE,"Summary";#N/A,#N/A,FALSE,"Graphs";#N/A,#N/A,FALSE,"4 Panel"}</definedName>
    <definedName name="__new1" hidden="1">{#N/A,#N/A,FALSE,"SMT1";#N/A,#N/A,FALSE,"SMT2";#N/A,#N/A,FALSE,"Summary";#N/A,#N/A,FALSE,"Graphs";#N/A,#N/A,FALSE,"4 Panel"}</definedName>
    <definedName name="__New15" localSheetId="3" hidden="1">{"EVA",#N/A,FALSE,"SMT2";#N/A,#N/A,FALSE,"Summary";#N/A,#N/A,FALSE,"Graphs";#N/A,#N/A,FALSE,"4 Panel"}</definedName>
    <definedName name="__New15" hidden="1">{"EVA",#N/A,FALSE,"SMT2";#N/A,#N/A,FALSE,"Summary";#N/A,#N/A,FALSE,"Graphs";#N/A,#N/A,FALSE,"4 Panel"}</definedName>
    <definedName name="__New16" localSheetId="3" hidden="1">{#N/A,#N/A,FALSE,"SMT1";#N/A,#N/A,FALSE,"SMT2";#N/A,#N/A,FALSE,"Summary";#N/A,#N/A,FALSE,"Graphs";#N/A,#N/A,FALSE,"4 Panel"}</definedName>
    <definedName name="__New16" hidden="1">{#N/A,#N/A,FALSE,"SMT1";#N/A,#N/A,FALSE,"SMT2";#N/A,#N/A,FALSE,"Summary";#N/A,#N/A,FALSE,"Graphs";#N/A,#N/A,FALSE,"4 Panel"}</definedName>
    <definedName name="__New17" localSheetId="3" hidden="1">{#N/A,#N/A,FALSE,"SMT1";#N/A,#N/A,FALSE,"SMT2";#N/A,#N/A,FALSE,"Summary";#N/A,#N/A,FALSE,"Graphs";#N/A,#N/A,FALSE,"4 Panel"}</definedName>
    <definedName name="__New17" hidden="1">{#N/A,#N/A,FALSE,"SMT1";#N/A,#N/A,FALSE,"SMT2";#N/A,#N/A,FALSE,"Summary";#N/A,#N/A,FALSE,"Graphs";#N/A,#N/A,FALSE,"4 Panel"}</definedName>
    <definedName name="__New18" localSheetId="3" hidden="1">{#N/A,#N/A,FALSE,"Full";#N/A,#N/A,FALSE,"Half";#N/A,#N/A,FALSE,"Op Expenses";#N/A,#N/A,FALSE,"Cap Charge";#N/A,#N/A,FALSE,"Cost C";#N/A,#N/A,FALSE,"PP&amp;E";#N/A,#N/A,FALSE,"R&amp;D"}</definedName>
    <definedName name="__New18" hidden="1">{#N/A,#N/A,FALSE,"Full";#N/A,#N/A,FALSE,"Half";#N/A,#N/A,FALSE,"Op Expenses";#N/A,#N/A,FALSE,"Cap Charge";#N/A,#N/A,FALSE,"Cost C";#N/A,#N/A,FALSE,"PP&amp;E";#N/A,#N/A,FALSE,"R&amp;D"}</definedName>
    <definedName name="__New19" localSheetId="3" hidden="1">{"EVA",#N/A,FALSE,"SMT2";#N/A,#N/A,FALSE,"Summary";#N/A,#N/A,FALSE,"Graphs";#N/A,#N/A,FALSE,"4 Panel"}</definedName>
    <definedName name="__New19" hidden="1">{"EVA",#N/A,FALSE,"SMT2";#N/A,#N/A,FALSE,"Summary";#N/A,#N/A,FALSE,"Graphs";#N/A,#N/A,FALSE,"4 Panel"}</definedName>
    <definedName name="__New20" localSheetId="3" hidden="1">{#N/A,#N/A,FALSE,"SMT1";#N/A,#N/A,FALSE,"SMT2";#N/A,#N/A,FALSE,"Summary";#N/A,#N/A,FALSE,"Graphs";#N/A,#N/A,FALSE,"4 Panel"}</definedName>
    <definedName name="__New20" hidden="1">{#N/A,#N/A,FALSE,"SMT1";#N/A,#N/A,FALSE,"SMT2";#N/A,#N/A,FALSE,"Summary";#N/A,#N/A,FALSE,"Graphs";#N/A,#N/A,FALSE,"4 Panel"}</definedName>
    <definedName name="__New21" localSheetId="3" hidden="1">{#N/A,#N/A,FALSE,"Full";#N/A,#N/A,FALSE,"Half";#N/A,#N/A,FALSE,"Op Expenses";#N/A,#N/A,FALSE,"Cap Charge";#N/A,#N/A,FALSE,"Cost C";#N/A,#N/A,FALSE,"PP&amp;E";#N/A,#N/A,FALSE,"R&amp;D"}</definedName>
    <definedName name="__New21" hidden="1">{#N/A,#N/A,FALSE,"Full";#N/A,#N/A,FALSE,"Half";#N/A,#N/A,FALSE,"Op Expenses";#N/A,#N/A,FALSE,"Cap Charge";#N/A,#N/A,FALSE,"Cost C";#N/A,#N/A,FALSE,"PP&amp;E";#N/A,#N/A,FALSE,"R&amp;D"}</definedName>
    <definedName name="__NEW3" localSheetId="3" hidden="1">{#N/A,#N/A,FALSE,"SMT1";#N/A,#N/A,FALSE,"SMT2";#N/A,#N/A,FALSE,"Summary";#N/A,#N/A,FALSE,"Graphs";#N/A,#N/A,FALSE,"4 Panel"}</definedName>
    <definedName name="__NEW3" hidden="1">{#N/A,#N/A,FALSE,"SMT1";#N/A,#N/A,FALSE,"SMT2";#N/A,#N/A,FALSE,"Summary";#N/A,#N/A,FALSE,"Graphs";#N/A,#N/A,FALSE,"4 Panel"}</definedName>
    <definedName name="__nEW30" localSheetId="3" hidden="1">{"EVA",#N/A,FALSE,"SMT2";#N/A,#N/A,FALSE,"Summary";#N/A,#N/A,FALSE,"Graphs";#N/A,#N/A,FALSE,"4 Panel"}</definedName>
    <definedName name="__nEW30" hidden="1">{"EVA",#N/A,FALSE,"SMT2";#N/A,#N/A,FALSE,"Summary";#N/A,#N/A,FALSE,"Graphs";#N/A,#N/A,FALSE,"4 Panel"}</definedName>
    <definedName name="__New31" localSheetId="3" hidden="1">{#N/A,#N/A,FALSE,"SMT1";#N/A,#N/A,FALSE,"SMT2";#N/A,#N/A,FALSE,"Summary";#N/A,#N/A,FALSE,"Graphs";#N/A,#N/A,FALSE,"4 Panel"}</definedName>
    <definedName name="__New31" hidden="1">{#N/A,#N/A,FALSE,"SMT1";#N/A,#N/A,FALSE,"SMT2";#N/A,#N/A,FALSE,"Summary";#N/A,#N/A,FALSE,"Graphs";#N/A,#N/A,FALSE,"4 Panel"}</definedName>
    <definedName name="__New32" localSheetId="3" hidden="1">{#N/A,#N/A,FALSE,"SMT1";#N/A,#N/A,FALSE,"SMT2";#N/A,#N/A,FALSE,"Summary";#N/A,#N/A,FALSE,"Graphs";#N/A,#N/A,FALSE,"4 Panel"}</definedName>
    <definedName name="__New32" hidden="1">{#N/A,#N/A,FALSE,"SMT1";#N/A,#N/A,FALSE,"SMT2";#N/A,#N/A,FALSE,"Summary";#N/A,#N/A,FALSE,"Graphs";#N/A,#N/A,FALSE,"4 Panel"}</definedName>
    <definedName name="__New33" localSheetId="3" hidden="1">{#N/A,#N/A,FALSE,"Full";#N/A,#N/A,FALSE,"Half";#N/A,#N/A,FALSE,"Op Expenses";#N/A,#N/A,FALSE,"Cap Charge";#N/A,#N/A,FALSE,"Cost C";#N/A,#N/A,FALSE,"PP&amp;E";#N/A,#N/A,FALSE,"R&amp;D"}</definedName>
    <definedName name="__New33" hidden="1">{#N/A,#N/A,FALSE,"Full";#N/A,#N/A,FALSE,"Half";#N/A,#N/A,FALSE,"Op Expenses";#N/A,#N/A,FALSE,"Cap Charge";#N/A,#N/A,FALSE,"Cost C";#N/A,#N/A,FALSE,"PP&amp;E";#N/A,#N/A,FALSE,"R&amp;D"}</definedName>
    <definedName name="__New34" localSheetId="3" hidden="1">{"EVA",#N/A,FALSE,"SMT2";#N/A,#N/A,FALSE,"Summary";#N/A,#N/A,FALSE,"Graphs";#N/A,#N/A,FALSE,"4 Panel"}</definedName>
    <definedName name="__New34" hidden="1">{"EVA",#N/A,FALSE,"SMT2";#N/A,#N/A,FALSE,"Summary";#N/A,#N/A,FALSE,"Graphs";#N/A,#N/A,FALSE,"4 Panel"}</definedName>
    <definedName name="__New35" localSheetId="3" hidden="1">{#N/A,#N/A,FALSE,"SMT1";#N/A,#N/A,FALSE,"SMT2";#N/A,#N/A,FALSE,"Summary";#N/A,#N/A,FALSE,"Graphs";#N/A,#N/A,FALSE,"4 Panel"}</definedName>
    <definedName name="__New35" hidden="1">{#N/A,#N/A,FALSE,"SMT1";#N/A,#N/A,FALSE,"SMT2";#N/A,#N/A,FALSE,"Summary";#N/A,#N/A,FALSE,"Graphs";#N/A,#N/A,FALSE,"4 Panel"}</definedName>
    <definedName name="__New36" localSheetId="3" hidden="1">{#N/A,#N/A,FALSE,"Full";#N/A,#N/A,FALSE,"Half";#N/A,#N/A,FALSE,"Op Expenses";#N/A,#N/A,FALSE,"Cap Charge";#N/A,#N/A,FALSE,"Cost C";#N/A,#N/A,FALSE,"PP&amp;E";#N/A,#N/A,FALSE,"R&amp;D"}</definedName>
    <definedName name="__New36" hidden="1">{#N/A,#N/A,FALSE,"Full";#N/A,#N/A,FALSE,"Half";#N/A,#N/A,FALSE,"Op Expenses";#N/A,#N/A,FALSE,"Cap Charge";#N/A,#N/A,FALSE,"Cost C";#N/A,#N/A,FALSE,"PP&amp;E";#N/A,#N/A,FALSE,"R&amp;D"}</definedName>
    <definedName name="__NEW4" localSheetId="3" hidden="1">{#N/A,#N/A,FALSE,"Full";#N/A,#N/A,FALSE,"Half";#N/A,#N/A,FALSE,"Op Expenses";#N/A,#N/A,FALSE,"Cap Charge";#N/A,#N/A,FALSE,"Cost C";#N/A,#N/A,FALSE,"PP&amp;E";#N/A,#N/A,FALSE,"R&amp;D"}</definedName>
    <definedName name="__NEW4" hidden="1">{#N/A,#N/A,FALSE,"Full";#N/A,#N/A,FALSE,"Half";#N/A,#N/A,FALSE,"Op Expenses";#N/A,#N/A,FALSE,"Cap Charge";#N/A,#N/A,FALSE,"Cost C";#N/A,#N/A,FALSE,"PP&amp;E";#N/A,#N/A,FALSE,"R&amp;D"}</definedName>
    <definedName name="__OCT2" localSheetId="3" hidden="1">{#N/A,#N/A,FALSE,"BL&amp;GPA";#N/A,#N/A,FALSE,"Summary";#N/A,#N/A,FALSE,"hts"}</definedName>
    <definedName name="__OCT2" hidden="1">{#N/A,#N/A,FALSE,"BL&amp;GPA";#N/A,#N/A,FALSE,"Summary";#N/A,#N/A,FALSE,"hts"}</definedName>
    <definedName name="__ok1" localSheetId="3" hidden="1">{#N/A,#N/A,FALSE,"balance";#N/A,#N/A,FALSE,"PYG"}</definedName>
    <definedName name="__ok1" hidden="1">{#N/A,#N/A,FALSE,"balance";#N/A,#N/A,FALSE,"PYG"}</definedName>
    <definedName name="__Ok2" localSheetId="3" hidden="1">{#N/A,#N/A,FALSE,"balance";#N/A,#N/A,FALSE,"PYG"}</definedName>
    <definedName name="__Ok2" hidden="1">{#N/A,#N/A,FALSE,"balance";#N/A,#N/A,FALSE,"PYG"}</definedName>
    <definedName name="__PyG2" localSheetId="3" hidden="1">{#N/A,#N/A,FALSE,"balance";#N/A,#N/A,FALSE,"PYG"}</definedName>
    <definedName name="__PyG2" hidden="1">{#N/A,#N/A,FALSE,"balance";#N/A,#N/A,FALSE,"PYG"}</definedName>
    <definedName name="__PYG3" localSheetId="3" hidden="1">{#N/A,#N/A,FALSE,"balance";#N/A,#N/A,FALSE,"PYG"}</definedName>
    <definedName name="__PYG3" hidden="1">{#N/A,#N/A,FALSE,"balance";#N/A,#N/A,FALSE,"PYG"}</definedName>
    <definedName name="__PyG33" localSheetId="3" hidden="1">{#N/A,#N/A,FALSE,"balance";#N/A,#N/A,FALSE,"PYG"}</definedName>
    <definedName name="__PyG33" hidden="1">{#N/A,#N/A,FALSE,"balance";#N/A,#N/A,FALSE,"PYG"}</definedName>
    <definedName name="__R" localSheetId="3" hidden="1">{#N/A,#N/A,FALSE,"GRAFICO";#N/A,#N/A,FALSE,"CAJA (2)";#N/A,#N/A,FALSE,"TERCEROS-PROMEDIO";#N/A,#N/A,FALSE,"CAJA";#N/A,#N/A,FALSE,"INGRESOS1995-2003";#N/A,#N/A,FALSE,"GASTOS1995-2003"}</definedName>
    <definedName name="__R" hidden="1">{#N/A,#N/A,FALSE,"GRAFICO";#N/A,#N/A,FALSE,"CAJA (2)";#N/A,#N/A,FALSE,"TERCEROS-PROMEDIO";#N/A,#N/A,FALSE,"CAJA";#N/A,#N/A,FALSE,"INGRESOS1995-2003";#N/A,#N/A,FALSE,"GASTOS1995-2003"}</definedName>
    <definedName name="_01_30_04">MonthlyOpStats</definedName>
    <definedName name="_1_30_01">MonthlyOpStats</definedName>
    <definedName name="_1_30_02">MonthlyOpStats</definedName>
    <definedName name="_1_31_01">MonthlyOpStats</definedName>
    <definedName name="_1_31_0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[3]Inputs!$J$17</definedName>
    <definedName name="_ent10">[3]Inputs!$J$476</definedName>
    <definedName name="_ent11">[3]Inputs!$J$527</definedName>
    <definedName name="_ent12">[3]Inputs!$J$578</definedName>
    <definedName name="_ent13">[3]Inputs!$J$629</definedName>
    <definedName name="_ent14">[3]Inputs!$J$680</definedName>
    <definedName name="_ent15">[3]Inputs!$J$731</definedName>
    <definedName name="_ent2">[3]Inputs!$J$68</definedName>
    <definedName name="_ent3">[3]Inputs!$J$119</definedName>
    <definedName name="_ent4">[3]Inputs!$J$170</definedName>
    <definedName name="_ent5">[3]Inputs!$J$221</definedName>
    <definedName name="_ent6">[3]Inputs!$J$272</definedName>
    <definedName name="_ent7">[3]Inputs!$J$323</definedName>
    <definedName name="_ent8">[3]Inputs!$J$374</definedName>
    <definedName name="_ent9">[3]Inputs!$J$425</definedName>
    <definedName name="_eps1">[3]Inputs!$P$42</definedName>
    <definedName name="_eps10">[3]Inputs!$P$501</definedName>
    <definedName name="_eps11">[3]Inputs!$P$552</definedName>
    <definedName name="_eps12">[3]Inputs!$P$603</definedName>
    <definedName name="_eps13">[3]Inputs!$P$654</definedName>
    <definedName name="_eps14">[3]Inputs!$P$705</definedName>
    <definedName name="_eps15">[3]Inputs!$P$756</definedName>
    <definedName name="_eps2">[3]Inputs!$P$93</definedName>
    <definedName name="_eps3">[3]Inputs!$P$144</definedName>
    <definedName name="_eps4">[3]Inputs!$P$195</definedName>
    <definedName name="_eps5">[3]Inputs!$P$246</definedName>
    <definedName name="_eps6">[3]Inputs!$P$297</definedName>
    <definedName name="_eps7">[3]Inputs!$P$348</definedName>
    <definedName name="_eps8">[3]Inputs!$P$399</definedName>
    <definedName name="_eps9">[3]Inputs!$P$450</definedName>
    <definedName name="_f" localSheetId="3" hidden="1">{#N/A,#N/A,FALSE,"GRAFICO";#N/A,#N/A,FALSE,"CAJA (2)";#N/A,#N/A,FALSE,"TERCEROS-PROMEDIO";#N/A,#N/A,FALSE,"CAJA";#N/A,#N/A,FALSE,"INGRESOS1995-2003";#N/A,#N/A,FALSE,"GASTOS1995-2003"}</definedName>
    <definedName name="_f" hidden="1">{#N/A,#N/A,FALSE,"GRAFICO";#N/A,#N/A,FALSE,"CAJA (2)";#N/A,#N/A,FALSE,"TERCEROS-PROMEDIO";#N/A,#N/A,FALSE,"CAJA";#N/A,#N/A,FALSE,"INGRESOS1995-2003";#N/A,#N/A,FALSE,"GASTOS1995-2003"}</definedName>
    <definedName name="_Fill" localSheetId="3" hidden="1">#REF!</definedName>
    <definedName name="_Fill" hidden="1">#REF!</definedName>
    <definedName name="_fye1">[3]Inputs!$E$12</definedName>
    <definedName name="_fye10">[3]Inputs!$E$471</definedName>
    <definedName name="_fye11">[3]Inputs!$E$522</definedName>
    <definedName name="_fye12">[3]Inputs!$E$573</definedName>
    <definedName name="_fye13">[3]Inputs!$E$624</definedName>
    <definedName name="_fye14">[3]Inputs!$E$675</definedName>
    <definedName name="_fye15">[3]Inputs!$E$726</definedName>
    <definedName name="_fye2">[3]Inputs!$E$63</definedName>
    <definedName name="_fye3">[3]Inputs!$E$114</definedName>
    <definedName name="_fye4">[3]Inputs!$E$165</definedName>
    <definedName name="_fye5">[3]Inputs!$E$216</definedName>
    <definedName name="_fye6">[3]Inputs!$E$267</definedName>
    <definedName name="_fye7">[3]Inputs!$E$318</definedName>
    <definedName name="_fye8">[3]Inputs!$E$369</definedName>
    <definedName name="_fye9">[3]Inputs!$E$420</definedName>
    <definedName name="_GEI_Returns">[4]Model!#REF!</definedName>
    <definedName name="_Key1" hidden="1">[5]INVERGPO!$AF$24:$AF$103</definedName>
    <definedName name="_Key2" hidden="1">[5]INVERGPO!$AF$7:$AF$11</definedName>
    <definedName name="_Key54" hidden="1">[5]INVERGPO!$AF$24:$AF$103</definedName>
    <definedName name="_Key55" hidden="1">[5]INVERGPO!$AF$7:$AF$11</definedName>
    <definedName name="_L">#REF!</definedName>
    <definedName name="_L___0">#REF!</definedName>
    <definedName name="_mv1">[3]Inputs!$J$16</definedName>
    <definedName name="_mv10">[3]Inputs!$J$475</definedName>
    <definedName name="_mv11">[3]Inputs!$J$526</definedName>
    <definedName name="_mv12">[3]Inputs!$J$577</definedName>
    <definedName name="_mv13">[3]Inputs!$J$628</definedName>
    <definedName name="_mv14">[3]Inputs!$J$679</definedName>
    <definedName name="_mv15">[3]Inputs!$J$730</definedName>
    <definedName name="_mv2">[3]Inputs!$J$67</definedName>
    <definedName name="_mv3">[3]Inputs!$J$118</definedName>
    <definedName name="_mv4">[3]Inputs!$J$169</definedName>
    <definedName name="_mv5">[3]Inputs!$J$220</definedName>
    <definedName name="_mv6">[3]Inputs!$J$271</definedName>
    <definedName name="_mv7">[3]Inputs!$J$322</definedName>
    <definedName name="_mv8">[3]Inputs!$J$373</definedName>
    <definedName name="_mv9">[3]Inputs!$J$424</definedName>
    <definedName name="_new1" localSheetId="3" hidden="1">{#N/A,#N/A,FALSE,"SMT1";#N/A,#N/A,FALSE,"SMT2";#N/A,#N/A,FALSE,"Summary";#N/A,#N/A,FALSE,"Graphs";#N/A,#N/A,FALSE,"4 Panel"}</definedName>
    <definedName name="_new1" hidden="1">{#N/A,#N/A,FALSE,"SMT1";#N/A,#N/A,FALSE,"SMT2";#N/A,#N/A,FALSE,"Summary";#N/A,#N/A,FALSE,"Graphs";#N/A,#N/A,FALSE,"4 Panel"}</definedName>
    <definedName name="_New15" localSheetId="3" hidden="1">{"EVA",#N/A,FALSE,"SMT2";#N/A,#N/A,FALSE,"Summary";#N/A,#N/A,FALSE,"Graphs";#N/A,#N/A,FALSE,"4 Panel"}</definedName>
    <definedName name="_New15" hidden="1">{"EVA",#N/A,FALSE,"SMT2";#N/A,#N/A,FALSE,"Summary";#N/A,#N/A,FALSE,"Graphs";#N/A,#N/A,FALSE,"4 Panel"}</definedName>
    <definedName name="_New16" localSheetId="3" hidden="1">{#N/A,#N/A,FALSE,"SMT1";#N/A,#N/A,FALSE,"SMT2";#N/A,#N/A,FALSE,"Summary";#N/A,#N/A,FALSE,"Graphs";#N/A,#N/A,FALSE,"4 Panel"}</definedName>
    <definedName name="_New16" hidden="1">{#N/A,#N/A,FALSE,"SMT1";#N/A,#N/A,FALSE,"SMT2";#N/A,#N/A,FALSE,"Summary";#N/A,#N/A,FALSE,"Graphs";#N/A,#N/A,FALSE,"4 Panel"}</definedName>
    <definedName name="_New17" localSheetId="3" hidden="1">{#N/A,#N/A,FALSE,"SMT1";#N/A,#N/A,FALSE,"SMT2";#N/A,#N/A,FALSE,"Summary";#N/A,#N/A,FALSE,"Graphs";#N/A,#N/A,FALSE,"4 Panel"}</definedName>
    <definedName name="_New17" hidden="1">{#N/A,#N/A,FALSE,"SMT1";#N/A,#N/A,FALSE,"SMT2";#N/A,#N/A,FALSE,"Summary";#N/A,#N/A,FALSE,"Graphs";#N/A,#N/A,FALSE,"4 Panel"}</definedName>
    <definedName name="_New18" localSheetId="3" hidden="1">{#N/A,#N/A,FALSE,"Full";#N/A,#N/A,FALSE,"Half";#N/A,#N/A,FALSE,"Op Expenses";#N/A,#N/A,FALSE,"Cap Charge";#N/A,#N/A,FALSE,"Cost C";#N/A,#N/A,FALSE,"PP&amp;E";#N/A,#N/A,FALSE,"R&amp;D"}</definedName>
    <definedName name="_New18" hidden="1">{#N/A,#N/A,FALSE,"Full";#N/A,#N/A,FALSE,"Half";#N/A,#N/A,FALSE,"Op Expenses";#N/A,#N/A,FALSE,"Cap Charge";#N/A,#N/A,FALSE,"Cost C";#N/A,#N/A,FALSE,"PP&amp;E";#N/A,#N/A,FALSE,"R&amp;D"}</definedName>
    <definedName name="_New19" localSheetId="3" hidden="1">{"EVA",#N/A,FALSE,"SMT2";#N/A,#N/A,FALSE,"Summary";#N/A,#N/A,FALSE,"Graphs";#N/A,#N/A,FALSE,"4 Panel"}</definedName>
    <definedName name="_New19" hidden="1">{"EVA",#N/A,FALSE,"SMT2";#N/A,#N/A,FALSE,"Summary";#N/A,#N/A,FALSE,"Graphs";#N/A,#N/A,FALSE,"4 Panel"}</definedName>
    <definedName name="_New20" localSheetId="3" hidden="1">{#N/A,#N/A,FALSE,"SMT1";#N/A,#N/A,FALSE,"SMT2";#N/A,#N/A,FALSE,"Summary";#N/A,#N/A,FALSE,"Graphs";#N/A,#N/A,FALSE,"4 Panel"}</definedName>
    <definedName name="_New20" hidden="1">{#N/A,#N/A,FALSE,"SMT1";#N/A,#N/A,FALSE,"SMT2";#N/A,#N/A,FALSE,"Summary";#N/A,#N/A,FALSE,"Graphs";#N/A,#N/A,FALSE,"4 Panel"}</definedName>
    <definedName name="_New21" localSheetId="3" hidden="1">{#N/A,#N/A,FALSE,"Full";#N/A,#N/A,FALSE,"Half";#N/A,#N/A,FALSE,"Op Expenses";#N/A,#N/A,FALSE,"Cap Charge";#N/A,#N/A,FALSE,"Cost C";#N/A,#N/A,FALSE,"PP&amp;E";#N/A,#N/A,FALSE,"R&amp;D"}</definedName>
    <definedName name="_New21" hidden="1">{#N/A,#N/A,FALSE,"Full";#N/A,#N/A,FALSE,"Half";#N/A,#N/A,FALSE,"Op Expenses";#N/A,#N/A,FALSE,"Cap Charge";#N/A,#N/A,FALSE,"Cost C";#N/A,#N/A,FALSE,"PP&amp;E";#N/A,#N/A,FALSE,"R&amp;D"}</definedName>
    <definedName name="_NEW3" localSheetId="3" hidden="1">{#N/A,#N/A,FALSE,"SMT1";#N/A,#N/A,FALSE,"SMT2";#N/A,#N/A,FALSE,"Summary";#N/A,#N/A,FALSE,"Graphs";#N/A,#N/A,FALSE,"4 Panel"}</definedName>
    <definedName name="_NEW3" hidden="1">{#N/A,#N/A,FALSE,"SMT1";#N/A,#N/A,FALSE,"SMT2";#N/A,#N/A,FALSE,"Summary";#N/A,#N/A,FALSE,"Graphs";#N/A,#N/A,FALSE,"4 Panel"}</definedName>
    <definedName name="_nEW30" localSheetId="3" hidden="1">{"EVA",#N/A,FALSE,"SMT2";#N/A,#N/A,FALSE,"Summary";#N/A,#N/A,FALSE,"Graphs";#N/A,#N/A,FALSE,"4 Panel"}</definedName>
    <definedName name="_nEW30" hidden="1">{"EVA",#N/A,FALSE,"SMT2";#N/A,#N/A,FALSE,"Summary";#N/A,#N/A,FALSE,"Graphs";#N/A,#N/A,FALSE,"4 Panel"}</definedName>
    <definedName name="_New31" localSheetId="3" hidden="1">{#N/A,#N/A,FALSE,"SMT1";#N/A,#N/A,FALSE,"SMT2";#N/A,#N/A,FALSE,"Summary";#N/A,#N/A,FALSE,"Graphs";#N/A,#N/A,FALSE,"4 Panel"}</definedName>
    <definedName name="_New31" hidden="1">{#N/A,#N/A,FALSE,"SMT1";#N/A,#N/A,FALSE,"SMT2";#N/A,#N/A,FALSE,"Summary";#N/A,#N/A,FALSE,"Graphs";#N/A,#N/A,FALSE,"4 Panel"}</definedName>
    <definedName name="_New32" localSheetId="3" hidden="1">{#N/A,#N/A,FALSE,"SMT1";#N/A,#N/A,FALSE,"SMT2";#N/A,#N/A,FALSE,"Summary";#N/A,#N/A,FALSE,"Graphs";#N/A,#N/A,FALSE,"4 Panel"}</definedName>
    <definedName name="_New32" hidden="1">{#N/A,#N/A,FALSE,"SMT1";#N/A,#N/A,FALSE,"SMT2";#N/A,#N/A,FALSE,"Summary";#N/A,#N/A,FALSE,"Graphs";#N/A,#N/A,FALSE,"4 Panel"}</definedName>
    <definedName name="_New33" localSheetId="3" hidden="1">{#N/A,#N/A,FALSE,"Full";#N/A,#N/A,FALSE,"Half";#N/A,#N/A,FALSE,"Op Expenses";#N/A,#N/A,FALSE,"Cap Charge";#N/A,#N/A,FALSE,"Cost C";#N/A,#N/A,FALSE,"PP&amp;E";#N/A,#N/A,FALSE,"R&amp;D"}</definedName>
    <definedName name="_New33" hidden="1">{#N/A,#N/A,FALSE,"Full";#N/A,#N/A,FALSE,"Half";#N/A,#N/A,FALSE,"Op Expenses";#N/A,#N/A,FALSE,"Cap Charge";#N/A,#N/A,FALSE,"Cost C";#N/A,#N/A,FALSE,"PP&amp;E";#N/A,#N/A,FALSE,"R&amp;D"}</definedName>
    <definedName name="_New34" localSheetId="3" hidden="1">{"EVA",#N/A,FALSE,"SMT2";#N/A,#N/A,FALSE,"Summary";#N/A,#N/A,FALSE,"Graphs";#N/A,#N/A,FALSE,"4 Panel"}</definedName>
    <definedName name="_New34" hidden="1">{"EVA",#N/A,FALSE,"SMT2";#N/A,#N/A,FALSE,"Summary";#N/A,#N/A,FALSE,"Graphs";#N/A,#N/A,FALSE,"4 Panel"}</definedName>
    <definedName name="_New35" localSheetId="3" hidden="1">{#N/A,#N/A,FALSE,"SMT1";#N/A,#N/A,FALSE,"SMT2";#N/A,#N/A,FALSE,"Summary";#N/A,#N/A,FALSE,"Graphs";#N/A,#N/A,FALSE,"4 Panel"}</definedName>
    <definedName name="_New35" hidden="1">{#N/A,#N/A,FALSE,"SMT1";#N/A,#N/A,FALSE,"SMT2";#N/A,#N/A,FALSE,"Summary";#N/A,#N/A,FALSE,"Graphs";#N/A,#N/A,FALSE,"4 Panel"}</definedName>
    <definedName name="_New36" localSheetId="3" hidden="1">{#N/A,#N/A,FALSE,"Full";#N/A,#N/A,FALSE,"Half";#N/A,#N/A,FALSE,"Op Expenses";#N/A,#N/A,FALSE,"Cap Charge";#N/A,#N/A,FALSE,"Cost C";#N/A,#N/A,FALSE,"PP&amp;E";#N/A,#N/A,FALSE,"R&amp;D"}</definedName>
    <definedName name="_New36" hidden="1">{#N/A,#N/A,FALSE,"Full";#N/A,#N/A,FALSE,"Half";#N/A,#N/A,FALSE,"Op Expenses";#N/A,#N/A,FALSE,"Cap Charge";#N/A,#N/A,FALSE,"Cost C";#N/A,#N/A,FALSE,"PP&amp;E";#N/A,#N/A,FALSE,"R&amp;D"}</definedName>
    <definedName name="_NEW4" localSheetId="3" hidden="1">{#N/A,#N/A,FALSE,"Full";#N/A,#N/A,FALSE,"Half";#N/A,#N/A,FALSE,"Op Expenses";#N/A,#N/A,FALSE,"Cap Charge";#N/A,#N/A,FALSE,"Cost C";#N/A,#N/A,FALSE,"PP&amp;E";#N/A,#N/A,FALSE,"R&amp;D"}</definedName>
    <definedName name="_NEW4" hidden="1">{#N/A,#N/A,FALSE,"Full";#N/A,#N/A,FALSE,"Half";#N/A,#N/A,FALSE,"Op Expenses";#N/A,#N/A,FALSE,"Cap Charge";#N/A,#N/A,FALSE,"Cost C";#N/A,#N/A,FALSE,"PP&amp;E";#N/A,#N/A,FALSE,"R&amp;D"}</definedName>
    <definedName name="_Orden" hidden="1">[5]INVERGPO!$B$24:$AF$103</definedName>
    <definedName name="_Order1" hidden="1">0</definedName>
    <definedName name="_Order2" hidden="1">0</definedName>
    <definedName name="_P">#REF!</definedName>
    <definedName name="_P___0">#REF!</definedName>
    <definedName name="_Parse_In" localSheetId="3" hidden="1">[6]BOGOTA!#REF!</definedName>
    <definedName name="_Parse_In" hidden="1">[6]BOGOTA!#REF!</definedName>
    <definedName name="_R" localSheetId="3" hidden="1">{#N/A,#N/A,FALSE,"GRAFICO";#N/A,#N/A,FALSE,"CAJA (2)";#N/A,#N/A,FALSE,"TERCEROS-PROMEDIO";#N/A,#N/A,FALSE,"CAJA";#N/A,#N/A,FALSE,"INGRESOS1995-2003";#N/A,#N/A,FALSE,"GASTOS1995-2003"}</definedName>
    <definedName name="_R" hidden="1">{#N/A,#N/A,FALSE,"GRAFICO";#N/A,#N/A,FALSE,"CAJA (2)";#N/A,#N/A,FALSE,"TERCEROS-PROMEDIO";#N/A,#N/A,FALSE,"CAJA";#N/A,#N/A,FALSE,"INGRESOS1995-2003";#N/A,#N/A,FALSE,"GASTOS1995-2003"}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ort" hidden="1">[5]INVERGPO!$B$24:$AF$103</definedName>
    <definedName name="_Table2_Out" localSheetId="3" hidden="1">#REF!</definedName>
    <definedName name="_Table2_Out" hidden="1">#REF!</definedName>
    <definedName name="_Y">#REF!</definedName>
    <definedName name="_Y___0">#REF!</definedName>
    <definedName name="a" localSheetId="3" hidden="1">{#N/A,#N/A,FALSE,"balance";#N/A,#N/A,FALSE,"PYG"}</definedName>
    <definedName name="a" hidden="1">{#N/A,#N/A,FALSE,"balance";#N/A,#N/A,FALSE,"PYG"}</definedName>
    <definedName name="Aa_Recovery">#REF!</definedName>
    <definedName name="AAA" localSheetId="3" hidden="1">{#N/A,#N/A,FALSE,"balance";#N/A,#N/A,FALSE,"PYG"}</definedName>
    <definedName name="AAA" hidden="1">{#N/A,#N/A,FALSE,"balance";#N/A,#N/A,FALSE,"PYG"}</definedName>
    <definedName name="AAA_DOCTOPS" hidden="1">"AAA_SET"</definedName>
    <definedName name="AAA_duser" hidden="1">"OFF"</definedName>
    <definedName name="AAAA" localSheetId="3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AAAA" localSheetId="3" hidden="1">{#N/A,#N/A,FALSE,"balance";#N/A,#N/A,FALSE,"PYG"}</definedName>
    <definedName name="AAAAA" hidden="1">{#N/A,#N/A,FALSE,"balance";#N/A,#N/A,FALSE,"PYG"}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r" localSheetId="3" hidden="1">{#N/A,#N/A,FALSE,"GP";#N/A,#N/A,FALSE,"Summary"}</definedName>
    <definedName name="Abr" hidden="1">{#N/A,#N/A,FALSE,"GP";#N/A,#N/A,FALSE,"Summary"}</definedName>
    <definedName name="ABRIL" localSheetId="3" hidden="1">{#N/A,#N/A,FALSE,"GP";#N/A,#N/A,FALSE,"Summary"}</definedName>
    <definedName name="ABRIL" hidden="1">{#N/A,#N/A,FALSE,"GP";#N/A,#N/A,FALSE,"Summary"}</definedName>
    <definedName name="Abril2" localSheetId="3" hidden="1">{#N/A,#N/A,FALSE,"GP";#N/A,#N/A,FALSE,"Summary"}</definedName>
    <definedName name="Abril2" hidden="1">{#N/A,#N/A,FALSE,"GP";#N/A,#N/A,FALSE,"Summary"}</definedName>
    <definedName name="AccessDatabase" hidden="1">"F:\AndersonLegal\Modificado\ANEXOC2000 PARA SOCIEDADES.mdb"</definedName>
    <definedName name="Accrued_Comp_Sales">'[7]Tanning Assumptions'!#REF!</definedName>
    <definedName name="acq">#REF!</definedName>
    <definedName name="acquiror">#REF!</definedName>
    <definedName name="adfadsfsa" localSheetId="3" hidden="1">{#N/A,#N/A,FALSE,"GRAFICO";#N/A,#N/A,FALSE,"CAJA (2)";#N/A,#N/A,FALSE,"TERCEROS-PROMEDIO";#N/A,#N/A,FALSE,"CAJA";#N/A,#N/A,FALSE,"INGRESOS1995-2003";#N/A,#N/A,FALSE,"GASTOS1995-2003"}</definedName>
    <definedName name="adfadsfsa" hidden="1">{#N/A,#N/A,FALSE,"GRAFICO";#N/A,#N/A,FALSE,"CAJA (2)";#N/A,#N/A,FALSE,"TERCEROS-PROMEDIO";#N/A,#N/A,FALSE,"CAJA";#N/A,#N/A,FALSE,"INGRESOS1995-2003";#N/A,#N/A,FALSE,"GASTOS1995-2003"}</definedName>
    <definedName name="AdSalesCash">#REF!</definedName>
    <definedName name="AdSalesTrade">#REF!</definedName>
    <definedName name="AdSalesWebsite">#REF!</definedName>
    <definedName name="AGLO" localSheetId="3" hidden="1">{#N/A,#N/A,FALSE,"Aging Summary";#N/A,#N/A,FALSE,"Ratio Analysis";#N/A,#N/A,FALSE,"Test 120 Day Accts";#N/A,#N/A,FALSE,"Tickmarks"}</definedName>
    <definedName name="AGLO" hidden="1">{#N/A,#N/A,FALSE,"Aging Summary";#N/A,#N/A,FALSE,"Ratio Analysis";#N/A,#N/A,FALSE,"Test 120 Day Accts";#N/A,#N/A,FALSE,"Tickmarks"}</definedName>
    <definedName name="AICORR">#REF!</definedName>
    <definedName name="AKO" localSheetId="3" hidden="1">{#N/A,#N/A,FALSE,"SMT1";#N/A,#N/A,FALSE,"SMT2";#N/A,#N/A,FALSE,"Summary";#N/A,#N/A,FALSE,"Graphs";#N/A,#N/A,FALSE,"4 Panel"}</definedName>
    <definedName name="AKO" hidden="1">{#N/A,#N/A,FALSE,"SMT1";#N/A,#N/A,FALSE,"SMT2";#N/A,#N/A,FALSE,"Summary";#N/A,#N/A,FALSE,"Graphs";#N/A,#N/A,FALSE,"4 Panel"}</definedName>
    <definedName name="ALEJO" localSheetId="3" hidden="1">{#N/A,#N/A,FALSE,"Aging Summary";#N/A,#N/A,FALSE,"Ratio Analysis";#N/A,#N/A,FALSE,"Test 120 Day Accts";#N/A,#N/A,FALSE,"Tickmarks"}</definedName>
    <definedName name="ALEJO" hidden="1">{#N/A,#N/A,FALSE,"Aging Summary";#N/A,#N/A,FALSE,"Ratio Analysis";#N/A,#N/A,FALSE,"Test 120 Day Accts";#N/A,#N/A,FALSE,"Tickmarks"}</definedName>
    <definedName name="alfayomega" localSheetId="3" hidden="1">{#N/A,#N/A,FALSE,"Aging Summary";#N/A,#N/A,FALSE,"Ratio Analysis";#N/A,#N/A,FALSE,"Test 120 Day Accts";#N/A,#N/A,FALSE,"Tickmarks"}</definedName>
    <definedName name="alfayomega" hidden="1">{#N/A,#N/A,FALSE,"Aging Summary";#N/A,#N/A,FALSE,"Ratio Analysis";#N/A,#N/A,FALSE,"Test 120 Day Accts";#N/A,#N/A,FALSE,"Tickmarks"}</definedName>
    <definedName name="AllBH">#REF!</definedName>
    <definedName name="allProjects">#REF!</definedName>
    <definedName name="AM" localSheetId="3" hidden="1">0+(ROW(OFFSET(#REF!,0,0,70,1))-1)*869565.217391304</definedName>
    <definedName name="AM" hidden="1">0+(ROW(OFFSET(#REF!,0,0,70,1))-1)*869565.217391304</definedName>
    <definedName name="amort">[8]Inputs!#REF!</definedName>
    <definedName name="Anam" localSheetId="3" hidden="1">0+(ROW(OFFSET(#REF!,0,0,70,1))-1)*869565.217391304</definedName>
    <definedName name="Anam" hidden="1">0+(ROW(OFFSET(#REF!,0,0,70,1))-1)*869565.217391304</definedName>
    <definedName name="anex" localSheetId="3" hidden="1">{#N/A,#N/A,FALSE,"balance";#N/A,#N/A,FALSE,"PYG"}</definedName>
    <definedName name="anex" hidden="1">{#N/A,#N/A,FALSE,"balance";#N/A,#N/A,FALSE,"PYG"}</definedName>
    <definedName name="Anexo" localSheetId="3" hidden="1">{#N/A,#N/A,FALSE,"balance";#N/A,#N/A,FALSE,"PYG"}</definedName>
    <definedName name="Anexo" hidden="1">{#N/A,#N/A,FALSE,"balance";#N/A,#N/A,FALSE,"PYG"}</definedName>
    <definedName name="Anexo19" localSheetId="3" hidden="1">{#N/A,#N/A,FALSE,"balance";#N/A,#N/A,FALSE,"PYG"}</definedName>
    <definedName name="Anexo19" hidden="1">{#N/A,#N/A,FALSE,"balance";#N/A,#N/A,FALSE,"PYG"}</definedName>
    <definedName name="ANEXO9" localSheetId="3" hidden="1">{#N/A,#N/A,FALSE,"balance";#N/A,#N/A,FALSE,"PYG"}</definedName>
    <definedName name="ANEXO9" hidden="1">{#N/A,#N/A,FALSE,"balance";#N/A,#N/A,FALSE,"PYG"}</definedName>
    <definedName name="ANGEL" localSheetId="3" hidden="1">{#N/A,#N/A,FALSE,"GRAFICO";#N/A,#N/A,FALSE,"CAJA (2)";#N/A,#N/A,FALSE,"TERCEROS-PROMEDIO";#N/A,#N/A,FALSE,"CAJA";#N/A,#N/A,FALSE,"INGRESOS1995-2003";#N/A,#N/A,FALSE,"GASTOS1995-2003"}</definedName>
    <definedName name="ANGEL" hidden="1">{#N/A,#N/A,FALSE,"GRAFICO";#N/A,#N/A,FALSE,"CAJA (2)";#N/A,#N/A,FALSE,"TERCEROS-PROMEDIO";#N/A,#N/A,FALSE,"CAJA";#N/A,#N/A,FALSE,"INGRESOS1995-2003";#N/A,#N/A,FALSE,"GASTOS1995-2003"}</definedName>
    <definedName name="anscount" hidden="1">1</definedName>
    <definedName name="AP_Sales">'[7]Tanning Assumptions'!#REF!</definedName>
    <definedName name="AR_Other_Sales">'[7]Tanning Assumptions'!#REF!</definedName>
    <definedName name="AR_Trade_Sales">'[7]Tanning Assumptions'!#REF!</definedName>
    <definedName name="ARRENDAM1" localSheetId="3" hidden="1">{#N/A,#N/A,FALSE,"Aging Summary";#N/A,#N/A,FALSE,"Ratio Analysis";#N/A,#N/A,FALSE,"Test 120 Day Accts";#N/A,#N/A,FALSE,"Tickmarks"}</definedName>
    <definedName name="ARRENDAM1" hidden="1">{#N/A,#N/A,FALSE,"Aging Summary";#N/A,#N/A,FALSE,"Ratio Analysis";#N/A,#N/A,FALSE,"Test 120 Day Accts";#N/A,#N/A,FALSE,"Tickmarks"}</definedName>
    <definedName name="ARRENDAMIENTO" localSheetId="3" hidden="1">{#N/A,#N/A,FALSE,"Aging Summary";#N/A,#N/A,FALSE,"Ratio Analysis";#N/A,#N/A,FALSE,"Test 120 Day Accts";#N/A,#N/A,FALSE,"Tickmarks"}</definedName>
    <definedName name="ARRENDAMIENTO" hidden="1">{#N/A,#N/A,FALSE,"Aging Summary";#N/A,#N/A,FALSE,"Ratio Analysis";#N/A,#N/A,FALSE,"Test 120 Day Accts";#N/A,#N/A,FALSE,"Tickmarks"}</definedName>
    <definedName name="ARRENDAMIENTOS" localSheetId="3" hidden="1">{#N/A,#N/A,FALSE,"Aging Summary";#N/A,#N/A,FALSE,"Ratio Analysis";#N/A,#N/A,FALSE,"Test 120 Day Accts";#N/A,#N/A,FALSE,"Tickmarks"}</definedName>
    <definedName name="ARRENDAMIENTOS" hidden="1">{#N/A,#N/A,FALSE,"Aging Summary";#N/A,#N/A,FALSE,"Ratio Analysis";#N/A,#N/A,FALSE,"Test 120 Day Accts";#N/A,#N/A,FALSE,"Tickmarks"}</definedName>
    <definedName name="As_Of_Date">[9]Selections!$C$2</definedName>
    <definedName name="AS2DocOpenMode" hidden="1">"AS2DocumentEdit"</definedName>
    <definedName name="AS2HasNoAutoHeaderFooter" hidden="1">" "</definedName>
    <definedName name="AS2LinkLS" hidden="1">[10]Links!A1</definedName>
    <definedName name="AS2ReportLS" hidden="1">1</definedName>
    <definedName name="AS2StaticLS" hidden="1">[10]Lead!A1</definedName>
    <definedName name="AS2SyncStepLS" hidden="1">0</definedName>
    <definedName name="AS2TickmarkLS" localSheetId="3" hidden="1">#REF!</definedName>
    <definedName name="AS2TickmarkLS" hidden="1">#REF!</definedName>
    <definedName name="AS2VersionLS" hidden="1">300</definedName>
    <definedName name="asdfa">#REF!</definedName>
    <definedName name="AsOfDate">'[11]AUM YTD 2000'!$W$1</definedName>
    <definedName name="ASSUMPTIONS">#REF!</definedName>
    <definedName name="b" localSheetId="3" hidden="1">{#N/A,#N/A,FALSE,"balance";#N/A,#N/A,FALSE,"PYG"}</definedName>
    <definedName name="b" hidden="1">{#N/A,#N/A,FALSE,"balance";#N/A,#N/A,FALSE,"PYG"}</definedName>
    <definedName name="B_S">#REF!</definedName>
    <definedName name="Baa_Recovery">#REF!</definedName>
    <definedName name="BABAS" localSheetId="3" hidden="1">{#N/A,#N/A,FALSE,"Aging Summary";#N/A,#N/A,FALSE,"Ratio Analysis";#N/A,#N/A,FALSE,"Test 120 Day Accts";#N/A,#N/A,FALSE,"Tickmarks"}</definedName>
    <definedName name="BABAS" hidden="1">{#N/A,#N/A,FALSE,"Aging Summary";#N/A,#N/A,FALSE,"Ratio Analysis";#N/A,#N/A,FALSE,"Test 120 Day Accts";#N/A,#N/A,FALSE,"Tickmarks"}</definedName>
    <definedName name="bal">#REF!</definedName>
    <definedName name="banner2">[12]CONTROL!$D$10</definedName>
    <definedName name="banner2___0">[12]CONTROL!$D$10</definedName>
    <definedName name="Base_Case">#REF!</definedName>
    <definedName name="bb" localSheetId="3" hidden="1">{"PYGS",#N/A,FALSE,"PYG";"ACTIS",#N/A,FALSE,"BCE_GRAL-ACTIVO";"PASIS",#N/A,FALSE,"BCE_GRAL-PASIVO-PATRIM";"CAJAS",#N/A,FALSE,"CAJA"}</definedName>
    <definedName name="bb" hidden="1">{"PYGS",#N/A,FALSE,"PYG";"ACTIS",#N/A,FALSE,"BCE_GRAL-ACTIVO";"PASIS",#N/A,FALSE,"BCE_GRAL-PASIVO-PATRIM";"CAJAS",#N/A,FALSE,"CAJA"}</definedName>
    <definedName name="BBB" hidden="1">0</definedName>
    <definedName name="BBBB" localSheetId="3" hidden="1">{"PYGT",#N/A,FALSE,"PYG";"ACTIT",#N/A,FALSE,"BCE_GRAL-ACTIVO";"PASIT",#N/A,FALSE,"BCE_GRAL-PASIVO-PATRIM";"CAJAT",#N/A,FALSE,"CAJA"}</definedName>
    <definedName name="BBBB" hidden="1">{"PYGT",#N/A,FALSE,"PYG";"ACTIT",#N/A,FALSE,"BCE_GRAL-ACTIVO";"PASIT",#N/A,FALSE,"BCE_GRAL-PASIVO-PATRIM";"CAJAT",#N/A,FALSE,"CAJA"}</definedName>
    <definedName name="BBPTAutoColor_Changed" localSheetId="3" hidden="1">TRUE</definedName>
    <definedName name="BBPTAutoColor_ShadowWksName" localSheetId="3" hidden="1">"BBPTACShadowWks0001"</definedName>
    <definedName name="BG_Del" hidden="1">15</definedName>
    <definedName name="BG_Ins" hidden="1">4</definedName>
    <definedName name="BG_Mod" hidden="1">6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[8]Inputs!#REF!</definedName>
    <definedName name="cacao" localSheetId="3" hidden="1">{#N/A,#N/A,FALSE,"Aging Summary";#N/A,#N/A,FALSE,"Ratio Analysis";#N/A,#N/A,FALSE,"Test 120 Day Accts";#N/A,#N/A,FALSE,"Tickmarks"}</definedName>
    <definedName name="cacao" hidden="1">{#N/A,#N/A,FALSE,"Aging Summary";#N/A,#N/A,FALSE,"Ratio Analysis";#N/A,#N/A,FALSE,"Test 120 Day Accts";#N/A,#N/A,FALSE,"Tickmarks"}</definedName>
    <definedName name="CALDO" localSheetId="3" hidden="1">{"PYGT",#N/A,FALSE,"PYG";"ACTIT",#N/A,FALSE,"BCE_GRAL-ACTIVO";"PASIT",#N/A,FALSE,"BCE_GRAL-PASIVO-PATRIM";"CAJAT",#N/A,FALSE,"CAJA"}</definedName>
    <definedName name="CALDO" hidden="1">{"PYGT",#N/A,FALSE,"PYG";"ACTIT",#N/A,FALSE,"BCE_GRAL-ACTIVO";"PASIT",#N/A,FALSE,"BCE_GRAL-PASIVO-PATRIM";"CAJAT",#N/A,FALSE,"CAJA"}</definedName>
    <definedName name="CALEND" localSheetId="3" hidden="1">{"'18'!$A$5:$M$18"}</definedName>
    <definedName name="CALEND" hidden="1">{"'18'!$A$5:$M$18"}</definedName>
    <definedName name="CARLA" localSheetId="3" hidden="1">{#N/A,#N/A,FALSE,"GRAFICO";#N/A,#N/A,FALSE,"CAJA (2)";#N/A,#N/A,FALSE,"TERCEROS-PROMEDIO";#N/A,#N/A,FALSE,"CAJA";#N/A,#N/A,FALSE,"INGRESOS1995-2003";#N/A,#N/A,FALSE,"GASTOS1995-2003"}</definedName>
    <definedName name="CARLA" hidden="1">{#N/A,#N/A,FALSE,"GRAFICO";#N/A,#N/A,FALSE,"CAJA (2)";#N/A,#N/A,FALSE,"TERCEROS-PROMEDIO";#N/A,#N/A,FALSE,"CAJA";#N/A,#N/A,FALSE,"INGRESOS1995-2003";#N/A,#N/A,FALSE,"GASTOS1995-2003"}</definedName>
    <definedName name="CARLALUCIA" localSheetId="3" hidden="1">{#N/A,#N/A,FALSE,"Aging Summary";#N/A,#N/A,FALSE,"Ratio Analysis";#N/A,#N/A,FALSE,"Test 120 Day Accts";#N/A,#N/A,FALSE,"Tickmarks"}</definedName>
    <definedName name="CARLALUCIA" hidden="1">{#N/A,#N/A,FALSE,"Aging Summary";#N/A,#N/A,FALSE,"Ratio Analysis";#N/A,#N/A,FALSE,"Test 120 Day Accts";#N/A,#N/A,FALSE,"Tickmarks"}</definedName>
    <definedName name="CARLOS" localSheetId="3" hidden="1">{#N/A,#N/A,FALSE,"Aging Summary";#N/A,#N/A,FALSE,"Ratio Analysis";#N/A,#N/A,FALSE,"Test 120 Day Accts";#N/A,#N/A,FALSE,"Tickmarks"}</definedName>
    <definedName name="CARLOS" hidden="1">{#N/A,#N/A,FALSE,"Aging Summary";#N/A,#N/A,FALSE,"Ratio Analysis";#N/A,#N/A,FALSE,"Test 120 Day Accts";#N/A,#N/A,FALSE,"Tickmarks"}</definedName>
    <definedName name="carne" localSheetId="3" hidden="1">{#N/A,#N/A,FALSE,"Aging Summary";#N/A,#N/A,FALSE,"Ratio Analysis";#N/A,#N/A,FALSE,"Test 120 Day Accts";#N/A,#N/A,FALSE,"Tickmarks"}</definedName>
    <definedName name="carne" hidden="1">{#N/A,#N/A,FALSE,"Aging Summary";#N/A,#N/A,FALSE,"Ratio Analysis";#N/A,#N/A,FALSE,"Test 120 Day Accts";#N/A,#N/A,FALSE,"Tickmarks"}</definedName>
    <definedName name="CARTERA_PP_DIC2008" localSheetId="3" hidden="1">{#N/A,#N/A,FALSE,"Full";#N/A,#N/A,FALSE,"Half";#N/A,#N/A,FALSE,"Op Expenses";#N/A,#N/A,FALSE,"Cap Charge";#N/A,#N/A,FALSE,"Cost C";#N/A,#N/A,FALSE,"PP&amp;E";#N/A,#N/A,FALSE,"R&amp;D"}</definedName>
    <definedName name="CARTERA_PP_DIC2008" hidden="1">{#N/A,#N/A,FALSE,"Full";#N/A,#N/A,FALSE,"Half";#N/A,#N/A,FALSE,"Op Expenses";#N/A,#N/A,FALSE,"Cap Charge";#N/A,#N/A,FALSE,"Cost C";#N/A,#N/A,FALSE,"PP&amp;E";#N/A,#N/A,FALSE,"R&amp;D"}</definedName>
    <definedName name="cas" localSheetId="3" hidden="1">{"'18'!$A$5:$M$18"}</definedName>
    <definedName name="cas" hidden="1">{"'18'!$A$5:$M$18"}</definedName>
    <definedName name="casas" localSheetId="3" hidden="1">{"PYGT",#N/A,FALSE,"PYG";"ACTIT",#N/A,FALSE,"BCE_GRAL-ACTIVO";"PASIT",#N/A,FALSE,"BCE_GRAL-PASIVO-PATRIM";"CAJAT",#N/A,FALSE,"CAJA"}</definedName>
    <definedName name="casas" hidden="1">{"PYGT",#N/A,FALSE,"PYG";"ACTIT",#N/A,FALSE,"BCE_GRAL-ACTIVO";"PASIT",#N/A,FALSE,"BCE_GRAL-PASIVO-PATRIM";"CAJAT",#N/A,FALSE,"CAJA"}</definedName>
    <definedName name="case">#REF!</definedName>
    <definedName name="case1">[13]CONTROL!$A$12</definedName>
    <definedName name="case2">[13]CONTROL!$A$13</definedName>
    <definedName name="case3">[13]CONTROL!$A$14</definedName>
    <definedName name="CASH_FLOW">#REF!</definedName>
    <definedName name="Cash_Sales">'[7]Tanning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ASINO" localSheetId="3" hidden="1">{#N/A,#N/A,FALSE,"balance";#N/A,#N/A,FALSE,"PYG"}</definedName>
    <definedName name="CASINO" hidden="1">{#N/A,#N/A,FALSE,"balance";#N/A,#N/A,FALSE,"PYG"}</definedName>
    <definedName name="CBHC">#REF!</definedName>
    <definedName name="CBWorkbookPriority" hidden="1">-1906970393</definedName>
    <definedName name="CCCCCCCCCC" localSheetId="3" hidden="1">{#N/A,#N/A,FALSE,"Aging Summary";#N/A,#N/A,FALSE,"Ratio Analysis";#N/A,#N/A,FALSE,"Test 120 Day Accts";#N/A,#N/A,FALSE,"Tickmarks"}</definedName>
    <definedName name="CCCCCCCCCC" hidden="1">{#N/A,#N/A,FALSE,"Aging Summary";#N/A,#N/A,FALSE,"Ratio Analysis";#N/A,#N/A,FALSE,"Test 120 Day Accts";#N/A,#N/A,FALSE,"Tickmarks"}</definedName>
    <definedName name="CEBRA" localSheetId="3" hidden="1">{#N/A,#N/A,FALSE,"Aging Summary";#N/A,#N/A,FALSE,"Ratio Analysis";#N/A,#N/A,FALSE,"Test 120 Day Accts";#N/A,#N/A,FALSE,"Tickmarks"}</definedName>
    <definedName name="CEBRA" hidden="1">{#N/A,#N/A,FALSE,"Aging Summary";#N/A,#N/A,FALSE,"Ratio Analysis";#N/A,#N/A,FALSE,"Test 120 Day Accts";#N/A,#N/A,FALSE,"Tickmarks"}</definedName>
    <definedName name="centro" localSheetId="3" hidden="1">{#N/A,#N/A,FALSE,"GRAFICO";#N/A,#N/A,FALSE,"CAJA (2)";#N/A,#N/A,FALSE,"TERCEROS-PROMEDIO";#N/A,#N/A,FALSE,"CAJA";#N/A,#N/A,FALSE,"INGRESOS1995-2003";#N/A,#N/A,FALSE,"GASTOS1995-2003"}</definedName>
    <definedName name="centro" hidden="1">{#N/A,#N/A,FALSE,"GRAFICO";#N/A,#N/A,FALSE,"CAJA (2)";#N/A,#N/A,FALSE,"TERCEROS-PROMEDIO";#N/A,#N/A,FALSE,"CAJA";#N/A,#N/A,FALSE,"INGRESOS1995-2003";#N/A,#N/A,FALSE,"GASTOS1995-2003"}</definedName>
    <definedName name="cfl">#REF!</definedName>
    <definedName name="ChartDataRange">#REF!</definedName>
    <definedName name="CINC">#REF!</definedName>
    <definedName name="CIQWBGuid" hidden="1">"Pampa Energia Model.xlsx"</definedName>
    <definedName name="CIQWBInfo" hidden="1">"{ ""CIQVersion"":""9.45.614.5792"" }"</definedName>
    <definedName name="circ">[8]Inputs!#REF!</definedName>
    <definedName name="CircRev">#REF!</definedName>
    <definedName name="Class_3_Agg_Cash">[14]Revolver!#REF!</definedName>
    <definedName name="Class_3_Amt_BET">[14]Revolver!#REF!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'[9]Debt Structure'!$AN$7</definedName>
    <definedName name="ClassABCD">'[9]Debt Structure'!$AN$8</definedName>
    <definedName name="ClassABCDE">'[9]Debt Structure'!$AN$9</definedName>
    <definedName name="clientes" localSheetId="3" hidden="1">#REF!</definedName>
    <definedName name="clientes" hidden="1">#REF!</definedName>
    <definedName name="Clients">#REF!</definedName>
    <definedName name="closing_date">#REF!</definedName>
    <definedName name="closingttmrevenue">#REF!</definedName>
    <definedName name="CMBSIG">#REF!</definedName>
    <definedName name="cola" localSheetId="3" hidden="1">{#N/A,#N/A,FALSE,"GRAFICO";#N/A,#N/A,FALSE,"CAJA (2)";#N/A,#N/A,FALSE,"TERCEROS-PROMEDIO";#N/A,#N/A,FALSE,"CAJA";#N/A,#N/A,FALSE,"INGRESOS1995-2003";#N/A,#N/A,FALSE,"GASTOS1995-2003"}</definedName>
    <definedName name="cola" hidden="1">{#N/A,#N/A,FALSE,"GRAFICO";#N/A,#N/A,FALSE,"CAJA (2)";#N/A,#N/A,FALSE,"TERCEROS-PROMEDIO";#N/A,#N/A,FALSE,"CAJA";#N/A,#N/A,FALSE,"INGRESOS1995-2003";#N/A,#N/A,FALSE,"GASTOS1995-2003"}</definedName>
    <definedName name="Column_Lookup">'[15]MASTER DRIVER'!$C$5:$D$29</definedName>
    <definedName name="COMBINED_J_W__3_111403_JUP_IND_PROFORMA_List">#REF!</definedName>
    <definedName name="company">[16]CONTROL!$D$7</definedName>
    <definedName name="company___0">[12]CONTROL!$D$7</definedName>
    <definedName name="CONCILIACIONELECTROC" localSheetId="3" hidden="1">{#N/A,#N/A,FALSE,"Aging Summary";#N/A,#N/A,FALSE,"Ratio Analysis";#N/A,#N/A,FALSE,"Test 120 Day Accts";#N/A,#N/A,FALSE,"Tickmarks"}</definedName>
    <definedName name="CONCILIACIONELECTROC" hidden="1">{#N/A,#N/A,FALSE,"Aging Summary";#N/A,#N/A,FALSE,"Ratio Analysis";#N/A,#N/A,FALSE,"Test 120 Day Accts";#N/A,#N/A,FALSE,"Tickmarks"}</definedName>
    <definedName name="Concretos" localSheetId="3" hidden="1">{#N/A,#N/A,FALSE,"GP";#N/A,#N/A,FALSE,"Summary"}</definedName>
    <definedName name="Concretos" hidden="1">{#N/A,#N/A,FALSE,"GP";#N/A,#N/A,FALSE,"Summary"}</definedName>
    <definedName name="cons">#REF!</definedName>
    <definedName name="consultants">#REF!</definedName>
    <definedName name="contrib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'[17]MASTER DRIVERS'!$A$1</definedName>
    <definedName name="corral" localSheetId="3" hidden="1">{#N/A,#N/A,FALSE,"GRAFICO";#N/A,#N/A,FALSE,"CAJA (2)";#N/A,#N/A,FALSE,"TERCEROS-PROMEDIO";#N/A,#N/A,FALSE,"CAJA";#N/A,#N/A,FALSE,"INGRESOS1995-2003";#N/A,#N/A,FALSE,"GASTOS1995-2003"}</definedName>
    <definedName name="corral" hidden="1">{#N/A,#N/A,FALSE,"GRAFICO";#N/A,#N/A,FALSE,"CAJA (2)";#N/A,#N/A,FALSE,"TERCEROS-PROMEDIO";#N/A,#N/A,FALSE,"CAJA";#N/A,#N/A,FALSE,"INGRESOS1995-2003";#N/A,#N/A,FALSE,"GASTOS1995-2003"}</definedName>
    <definedName name="COSTREPORT">#REF!</definedName>
    <definedName name="COSTREPORT___0">#REF!</definedName>
    <definedName name="counter">'[18]Portfolio Input'!#REF!</definedName>
    <definedName name="counter2">'[18]Portfolio Input'!#REF!</definedName>
    <definedName name="Coupon">[19]Inputs!$J$30</definedName>
    <definedName name="_xlnm.Criteria" localSheetId="3" hidden="1">{#N/A,#N/A,FALSE,"GRAFICO";#N/A,#N/A,FALSE,"CAJA (2)";#N/A,#N/A,FALSE,"TERCEROS-PROMEDIO";#N/A,#N/A,FALSE,"CAJA";#N/A,#N/A,FALSE,"INGRESOS1995-2003";#N/A,#N/A,FALSE,"GASTOS1995-2003"}</definedName>
    <definedName name="_xlnm.Criteria" hidden="1">{#N/A,#N/A,FALSE,"GRAFICO";#N/A,#N/A,FALSE,"CAJA (2)";#N/A,#N/A,FALSE,"TERCEROS-PROMEDIO";#N/A,#N/A,FALSE,"CAJA";#N/A,#N/A,FALSE,"INGRESOS1995-2003";#N/A,#N/A,FALSE,"GASTOS1995-2003"}</definedName>
    <definedName name="crt" localSheetId="3" hidden="1">{#N/A,#N/A,FALSE,"GRAFICO";#N/A,#N/A,FALSE,"CAJA (2)";#N/A,#N/A,FALSE,"TERCEROS-PROMEDIO";#N/A,#N/A,FALSE,"CAJA";#N/A,#N/A,FALSE,"INGRESOS1995-2003";#N/A,#N/A,FALSE,"GASTOS1995-2003"}</definedName>
    <definedName name="crt" hidden="1">{#N/A,#N/A,FALSE,"GRAFICO";#N/A,#N/A,FALSE,"CAJA (2)";#N/A,#N/A,FALSE,"TERCEROS-PROMEDIO";#N/A,#N/A,FALSE,"CAJA";#N/A,#N/A,FALSE,"INGRESOS1995-2003";#N/A,#N/A,FALSE,"GASTOS1995-2003"}</definedName>
    <definedName name="CSEnd">#REF!</definedName>
    <definedName name="CSHO">#REF!</definedName>
    <definedName name="CSHPRI">#REF!</definedName>
    <definedName name="CTALA" localSheetId="3" hidden="1">{#N/A,#N/A,FALSE,"Aging Summary";#N/A,#N/A,FALSE,"Ratio Analysis";#N/A,#N/A,FALSE,"Test 120 Day Accts";#N/A,#N/A,FALSE,"Tickmarks"}</definedName>
    <definedName name="CTALA" hidden="1">{#N/A,#N/A,FALSE,"Aging Summary";#N/A,#N/A,FALSE,"Ratio Analysis";#N/A,#N/A,FALSE,"Test 120 Day Accts";#N/A,#N/A,FALSE,"Tickmarks"}</definedName>
    <definedName name="CUADRE" localSheetId="3" hidden="1">{#N/A,#N/A,FALSE,"Aging Summary";#N/A,#N/A,FALSE,"Ratio Analysis";#N/A,#N/A,FALSE,"Test 120 Day Accts";#N/A,#N/A,FALSE,"Tickmarks"}</definedName>
    <definedName name="CUADRE" hidden="1">{#N/A,#N/A,FALSE,"Aging Summary";#N/A,#N/A,FALSE,"Ratio Analysis";#N/A,#N/A,FALSE,"Test 120 Day Accts";#N/A,#N/A,FALSE,"Tickmarks"}</definedName>
    <definedName name="current1">[3]Inputs!$E$21</definedName>
    <definedName name="current10">[3]Inputs!$E$480</definedName>
    <definedName name="current11">[3]Inputs!$E$531</definedName>
    <definedName name="current12">[3]Inputs!$E$582</definedName>
    <definedName name="current13">[3]Inputs!$E$633</definedName>
    <definedName name="current14">[3]Inputs!$E$684</definedName>
    <definedName name="current15">[3]Inputs!$E$735</definedName>
    <definedName name="current2">[3]Inputs!$E$72</definedName>
    <definedName name="current3">[3]Inputs!$E$123</definedName>
    <definedName name="current4">[3]Inputs!$E$174</definedName>
    <definedName name="current5">[3]Inputs!$E$225</definedName>
    <definedName name="current6">[3]Inputs!$E$276</definedName>
    <definedName name="current7">[3]Inputs!$E$327</definedName>
    <definedName name="current8">[3]Inputs!$E$378</definedName>
    <definedName name="current9">[3]Inputs!$E$429</definedName>
    <definedName name="CustomPubSales">#REF!</definedName>
    <definedName name="CX" localSheetId="3" hidden="1">{#N/A,#N/A,FALSE,"Aging Summary";#N/A,#N/A,FALSE,"Ratio Analysis";#N/A,#N/A,FALSE,"Test 120 Day Accts";#N/A,#N/A,FALSE,"Tickmarks"}</definedName>
    <definedName name="CX" hidden="1">{#N/A,#N/A,FALSE,"Aging Summary";#N/A,#N/A,FALSE,"Ratio Analysis";#N/A,#N/A,FALSE,"Test 120 Day Accts";#N/A,#N/A,FALSE,"Tickmarks"}</definedName>
    <definedName name="D" localSheetId="3" hidden="1">{"PYGT",#N/A,FALSE,"PYG";"ACTIT",#N/A,FALSE,"BCE_GRAL-ACTIVO";"PASIT",#N/A,FALSE,"BCE_GRAL-PASIVO-PATRIM";"CAJAT",#N/A,FALSE,"CAJA"}</definedName>
    <definedName name="D" hidden="1">{"PYGT",#N/A,FALSE,"PYG";"ACTIT",#N/A,FALSE,"BCE_GRAL-ACTIVO";"PASIT",#N/A,FALSE,"BCE_GRAL-PASIVO-PATRIM";"CAJAT",#N/A,FALSE,"CAJA"}</definedName>
    <definedName name="data" localSheetId="3" hidden="1">0+(ROW(OFFSET(#REF!,0,0,70,1))-1)*869565.217391304</definedName>
    <definedName name="data" hidden="1">0+(ROW(OFFSET(#REF!,0,0,70,1))-1)*869565.217391304</definedName>
    <definedName name="Date">[20]Comps!#REF!</definedName>
    <definedName name="Date_OC1">OFFSET([9]OCTrends!$B$2,0,0,COUNTA([9]OCTrends!$B$1:$B$65536)-1)</definedName>
    <definedName name="Date_OC2">OFFSET([9]OCTrends!$G$2,0,0,COUNTA([9]OCTrends!$G$1:$G$65536)-1)</definedName>
    <definedName name="Date_OC3">OFFSET([9]OCTrends!$L$2,0,0,COUNTA([9]OCTrends!$L$1:$L$65536)-1)</definedName>
    <definedName name="dd" localSheetId="3" hidden="1">{#N/A,#N/A,FALSE,"balance";#N/A,#N/A,FALSE,"PYG"}</definedName>
    <definedName name="dd" hidden="1">{#N/A,#N/A,FALSE,"balance";#N/A,#N/A,FALSE,"PYG"}</definedName>
    <definedName name="DDDDDD" localSheetId="3" hidden="1">{"PYGS",#N/A,FALSE,"PYG";"ACTIS",#N/A,FALSE,"BCE_GRAL-ACTIVO";"PASIS",#N/A,FALSE,"BCE_GRAL-PASIVO-PATRIM";"CAJAS",#N/A,FALSE,"CAJA"}</definedName>
    <definedName name="DDDDDD" hidden="1">{"PYGS",#N/A,FALSE,"PYG";"ACTIS",#N/A,FALSE,"BCE_GRAL-ACTIVO";"PASIS",#N/A,FALSE,"BCE_GRAL-PASIVO-PATRIM";"CAJAS",#N/A,FALSE,"CAJA"}</definedName>
    <definedName name="ddddddd" localSheetId="3" hidden="1">{"PYGS",#N/A,FALSE,"PYG";"ACTIS",#N/A,FALSE,"BCE_GRAL-ACTIVO";"PASIS",#N/A,FALSE,"BCE_GRAL-PASIVO-PATRIM";"CAJAS",#N/A,FALSE,"CAJA"}</definedName>
    <definedName name="ddddddd" hidden="1">{"PYGS",#N/A,FALSE,"PYG";"ACTIS",#N/A,FALSE,"BCE_GRAL-ACTIVO";"PASIS",#N/A,FALSE,"BCE_GRAL-PASIVO-PATRIM";"CAJAS",#N/A,FALSE,"CAJA"}</definedName>
    <definedName name="ddr" localSheetId="3" hidden="1">{#N/A,#N/A,FALSE,"balance";#N/A,#N/A,FALSE,"PYG"}</definedName>
    <definedName name="ddr" hidden="1">{#N/A,#N/A,FALSE,"balance";#N/A,#N/A,FALSE,"PYG"}</definedName>
    <definedName name="debtsched">[8]Inputs!#REF!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[8]Inputs!#REF!</definedName>
    <definedName name="DESFRE" localSheetId="3" hidden="1">{#N/A,#N/A,FALSE,"GRAFICO";#N/A,#N/A,FALSE,"CAJA (2)";#N/A,#N/A,FALSE,"TERCEROS-PROMEDIO";#N/A,#N/A,FALSE,"CAJA";#N/A,#N/A,FALSE,"INGRESOS1995-2003";#N/A,#N/A,FALSE,"GASTOS1995-2003"}</definedName>
    <definedName name="DESFRE" hidden="1">{#N/A,#N/A,FALSE,"GRAFICO";#N/A,#N/A,FALSE,"CAJA (2)";#N/A,#N/A,FALSE,"TERCEROS-PROMEDIO";#N/A,#N/A,FALSE,"CAJA";#N/A,#N/A,FALSE,"INGRESOS1995-2003";#N/A,#N/A,FALSE,"GASTOS1995-2003"}</definedName>
    <definedName name="dffff" localSheetId="3" hidden="1">{#N/A,#N/A,FALSE,"balance";#N/A,#N/A,FALSE,"PYG"}</definedName>
    <definedName name="dffff" hidden="1">{#N/A,#N/A,FALSE,"balance";#N/A,#N/A,FALSE,"PYG"}</definedName>
    <definedName name="dfg" localSheetId="3" hidden="1">{#N/A,#N/A,FALSE,"balance";#N/A,#N/A,FALSE,"PYG"}</definedName>
    <definedName name="dfg" hidden="1">{#N/A,#N/A,FALSE,"balance";#N/A,#N/A,FALSE,"PYG"}</definedName>
    <definedName name="DivActual">OFFSET([9]DivTrends!$C$2,0,0,COUNTA([9]DivTrends!$C$1:$C$65536)-1)</definedName>
    <definedName name="DivCovenant">OFFSET([9]DivTrends!$D$2,0,0,COUNTA([9]DivTrends!$D$1:$D$65536)-1)</definedName>
    <definedName name="DivDate">OFFSET([9]DivTrends!$B$2,0,0,COUNTA([9]DivTrends!$B$1:$B$65536)-1)</definedName>
    <definedName name="Diversity">'[11]Actual vs Covenant'!$P$41:$Q$48</definedName>
    <definedName name="DiversityScore">#REF!</definedName>
    <definedName name="DME_Dirty" hidden="1">"False"</definedName>
    <definedName name="DME_DocumentFlags" hidden="1">"1"</definedName>
    <definedName name="DME_DocumentID" hidden="1">"::ODMA\DME-MSE\PC-37552"</definedName>
    <definedName name="DME_DocumentOpened" hidden="1">"Verdadero"</definedName>
    <definedName name="DME_DocumentTitle" hidden="1">"PC-37552 - formulario readquisición de acciones - epsa"</definedName>
    <definedName name="DME_LocalFile" hidden="1">"Falso"</definedName>
    <definedName name="DME_NextWindowNumber" hidden="1">"2"</definedName>
    <definedName name="Dos" localSheetId="3" hidden="1">{#N/A,#N/A,FALSE,"SMT1";#N/A,#N/A,FALSE,"SMT2";#N/A,#N/A,FALSE,"Summary";#N/A,#N/A,FALSE,"Graphs";#N/A,#N/A,FALSE,"4 Panel"}</definedName>
    <definedName name="Dos" hidden="1">{#N/A,#N/A,FALSE,"SMT1";#N/A,#N/A,FALSE,"SMT2";#N/A,#N/A,FALSE,"Summary";#N/A,#N/A,FALSE,"Graphs";#N/A,#N/A,FALSE,"4 Panel"}</definedName>
    <definedName name="drwer" localSheetId="3" hidden="1">12521443.0230224+(ROW(OFFSET(#REF!,0,0,100,1))-1)*35858.7938598438</definedName>
    <definedName name="drwer" hidden="1">12521443.0230224+(ROW(OFFSET(#REF!,0,0,100,1))-1)*35858.7938598438</definedName>
    <definedName name="DS" localSheetId="3" hidden="1">{#N/A,#N/A,FALSE,"Aging Summary";#N/A,#N/A,FALSE,"Ratio Analysis";#N/A,#N/A,FALSE,"Test 120 Day Accts";#N/A,#N/A,FALSE,"Tickmarks"}</definedName>
    <definedName name="DS" hidden="1">{#N/A,#N/A,FALSE,"Aging Summary";#N/A,#N/A,FALSE,"Ratio Analysis";#N/A,#N/A,FALSE,"Test 120 Day Accts";#N/A,#N/A,FALSE,"Tickmarks"}</definedName>
    <definedName name="ear" localSheetId="3" hidden="1">{#N/A,#N/A,FALSE,"balance";#N/A,#N/A,FALSE,"PYG"}</definedName>
    <definedName name="ear" hidden="1">{#N/A,#N/A,FALSE,"balance";#N/A,#N/A,FALSE,"PYG"}</definedName>
    <definedName name="earnout">#REF!</definedName>
    <definedName name="earnout___0">#REF!</definedName>
    <definedName name="EBIT">#REF!</definedName>
    <definedName name="Ebitda" localSheetId="3" hidden="1">{#N/A,#N/A,FALSE,"GRAFICO";#N/A,#N/A,FALSE,"CAJA (2)";#N/A,#N/A,FALSE,"TERCEROS-PROMEDIO";#N/A,#N/A,FALSE,"CAJA";#N/A,#N/A,FALSE,"INGRESOS1995-2003";#N/A,#N/A,FALSE,"GASTOS1995-2003"}</definedName>
    <definedName name="Ebitda" hidden="1">{#N/A,#N/A,FALSE,"GRAFICO";#N/A,#N/A,FALSE,"CAJA (2)";#N/A,#N/A,FALSE,"TERCEROS-PROMEDIO";#N/A,#N/A,FALSE,"CAJA";#N/A,#N/A,FALSE,"INGRESOS1995-2003";#N/A,#N/A,FALSE,"GASTOS1995-2003"}</definedName>
    <definedName name="ebitda1">[3]Inputs!$P$46</definedName>
    <definedName name="ebitda10">[3]Inputs!$P$505</definedName>
    <definedName name="ebitda11">[3]Inputs!$P$556</definedName>
    <definedName name="ebitda12">[3]Inputs!$P$607</definedName>
    <definedName name="ebitda13">[3]Inputs!$P$658</definedName>
    <definedName name="ebitda14">[3]Inputs!$P$709</definedName>
    <definedName name="ebitda15">[3]Inputs!$P$760</definedName>
    <definedName name="ebitda2">[3]Inputs!$P$97</definedName>
    <definedName name="ebitda3">[3]Inputs!$P$148</definedName>
    <definedName name="ebitda4">[3]Inputs!$P$199</definedName>
    <definedName name="ebitda5">[3]Inputs!$P$250</definedName>
    <definedName name="ebitda6">[3]Inputs!$P$301</definedName>
    <definedName name="ebitda7">[3]Inputs!$P$352</definedName>
    <definedName name="ebitda8">[3]Inputs!$P$403</definedName>
    <definedName name="ebitda9">[3]Inputs!$P$454</definedName>
    <definedName name="ee" localSheetId="3" hidden="1">{#N/A,#N/A,FALSE,"balance";#N/A,#N/A,FALSE,"PYG"}</definedName>
    <definedName name="ee" hidden="1">{#N/A,#N/A,FALSE,"balance";#N/A,#N/A,FALSE,"PYG"}</definedName>
    <definedName name="effective_date">#REF!</definedName>
    <definedName name="ELC1_Top3">[11]TOP10!$D$3</definedName>
    <definedName name="ELC1_Top4">[11]TOP10!$D$8</definedName>
    <definedName name="ELC1FitchRatingChartData">[11]ELC1!$G$2:$H$11</definedName>
    <definedName name="ELC1FitchRatingChartSerial1">[11]ELC1!$H$2:$H$11</definedName>
    <definedName name="ELC1FitchRatingChartXScale">[11]ELC1!$G$2:$G$11</definedName>
    <definedName name="ELC1MoodyRatingChartData">[11]ELC1!$A$2:$B$14</definedName>
    <definedName name="ELC1MoodyRatingChartSerial1">[11]ELC1!$B$2:$B$14</definedName>
    <definedName name="ELC1MoodyRatingChartXScale">[11]ELC1!$A$2:$A$14</definedName>
    <definedName name="ELC1SPRatingChartData">[11]ELC1!$D$2:$E$14</definedName>
    <definedName name="ELC1SPRatingChartSerial1">[11]ELC1!$E$2:$E$14</definedName>
    <definedName name="ELC1SPRatingChartXScale">[11]ELC1!$D$2:$D$14</definedName>
    <definedName name="ELC2_Top3">[11]TOP10!$G$3</definedName>
    <definedName name="ELC2_Top4">[11]TOP10!$G$8</definedName>
    <definedName name="ELC2FitchRatingChartData">[11]ELC2!$G$2:$H$12</definedName>
    <definedName name="ELC2FitchRatingChartSerial1">[11]ELC2!$H$2:$H$12</definedName>
    <definedName name="ELC2FitchRatingChartXScale">[11]ELC2!$G$2:$G$12</definedName>
    <definedName name="ELC2MoodyRatingChartData">[11]ELC2!$A$2:$B$15</definedName>
    <definedName name="ELC2MoodyRatingChartSerial1">[11]ELC2!$B$2:$B$15</definedName>
    <definedName name="ELC2MoodyRatingChartXScale">[11]ELC2!$A$2:$A$15</definedName>
    <definedName name="ELC2SPRatingChartData">[11]ELC2!$D$2:$E$15</definedName>
    <definedName name="ELC2SPRatingChartSerial1">[11]ELC2!$E$2:$E$15</definedName>
    <definedName name="ELC2SPRatingChartXScale">[11]ELC2!$D$2:$D$15</definedName>
    <definedName name="ELC3_Top3">[11]TOP10!$J$3</definedName>
    <definedName name="ELC3_Top4">[11]TOP10!$J$8</definedName>
    <definedName name="ELC3FitchRatingChartData">[11]ELC3!$G$2:$H$14</definedName>
    <definedName name="ELC3FitchRatingChartSerial1">[11]ELC3!$H$2:$H$14</definedName>
    <definedName name="ELC3FitchRatingChartXScale">[11]ELC3!$G$2:$G$14</definedName>
    <definedName name="ELC3MoodyRatingChartData">[11]ELC3!$A$2:$B$15</definedName>
    <definedName name="ELC3MoodyRatingChartSerial1">[11]ELC3!$B$2:$B$15</definedName>
    <definedName name="ELC3MoodyRatingChartXScale">[11]ELC3!$A$2:$A$15</definedName>
    <definedName name="ELC3SPRatingChartData">[11]ELC3!$D$2:$E$16</definedName>
    <definedName name="ELC3SPRatingChartSerial1">[11]ELC3!$E$2:$E$16</definedName>
    <definedName name="ELC3SPRatingChartXScale">[11]ELC3!$D$2:$D$16</definedName>
    <definedName name="ELC4_Top3">[11]TOP10!$M$3</definedName>
    <definedName name="ELC4_Top4">[11]TOP10!$M$8</definedName>
    <definedName name="ELC4FitchRatingChartData">[11]ELC4!$G$2:$H$8</definedName>
    <definedName name="ELC4FitchRatingChartSerial1">[11]ELC4!$H$2:$H$8</definedName>
    <definedName name="ELC4FitchRatingChartXScale">[11]ELC4!$G$2:$G$8</definedName>
    <definedName name="ELC4MoodyRatingChartData">[11]ELC4!$A$2:$B$13</definedName>
    <definedName name="ELC4MoodyRatingChartSerial1">[11]ELC4!$B$2:$B$13</definedName>
    <definedName name="ELC4MoodyRatingChartXScale">[11]ELC4!$A$2:$A$13</definedName>
    <definedName name="ELC4SPRatingChartData">[11]ELC4!$D$2:$E$14</definedName>
    <definedName name="ELC4SPRatingChartSerial1">[11]ELC4!$E$2:$E$14</definedName>
    <definedName name="ELC4SPRatingChartXScale">[11]ELC4!$D$2:$D$14</definedName>
    <definedName name="ELC5_Top3">[11]TOP10!$P$3</definedName>
    <definedName name="ELC5_Top4">[11]TOP10!$P$8</definedName>
    <definedName name="ELC5FitchRatingChartData">[11]ELC5!$G$2:$H$9</definedName>
    <definedName name="ELC5FitchRatingChartSerial1">[11]ELC5!$H$2:$H$9</definedName>
    <definedName name="ELC5FitchRatingChartXScale">[11]ELC5!$G$2:$G$9</definedName>
    <definedName name="ELC5MoodyRatingChartData">[11]ELC5!$A$2:$B$14</definedName>
    <definedName name="ELC5MoodyRatingChartSerial1">[11]ELC5!$B$2:$B$14</definedName>
    <definedName name="ELC5MoodyRatingChartXScale">[11]ELC5!$A$2:$A$14</definedName>
    <definedName name="ELC5SPRatingChartData">[11]ELC5!$D$2:$E$14</definedName>
    <definedName name="ELC5SPRatingChartSerial1">[11]ELC5!$E$2:$E$14</definedName>
    <definedName name="ELC5SPRatingChartXScale">[11]ELC5!$D$2:$D$14</definedName>
    <definedName name="electricaribeLP" localSheetId="3" hidden="1">{#N/A,#N/A,FALSE,"Aging Summary";#N/A,#N/A,FALSE,"Ratio Analysis";#N/A,#N/A,FALSE,"Test 120 Day Accts";#N/A,#N/A,FALSE,"Tickmarks"}</definedName>
    <definedName name="electricaribeLP" hidden="1">{#N/A,#N/A,FALSE,"Aging Summary";#N/A,#N/A,FALSE,"Ratio Analysis";#N/A,#N/A,FALSE,"Test 120 Day Accts";#N/A,#N/A,FALSE,"Tickmarks"}</definedName>
    <definedName name="employees">#REF!</definedName>
    <definedName name="ENANO" localSheetId="3" hidden="1">{#N/A,#N/A,FALSE,"Aging Summary";#N/A,#N/A,FALSE,"Ratio Analysis";#N/A,#N/A,FALSE,"Test 120 Day Accts";#N/A,#N/A,FALSE,"Tickmarks"}</definedName>
    <definedName name="ENANO" hidden="1">{#N/A,#N/A,FALSE,"Aging Summary";#N/A,#N/A,FALSE,"Ratio Analysis";#N/A,#N/A,FALSE,"Test 120 Day Accts";#N/A,#N/A,FALSE,"Tickmarks"}</definedName>
    <definedName name="EndDay">[9]Selections!$R$3</definedName>
    <definedName name="EndMonth">[9]Selections!$R$2</definedName>
    <definedName name="EndYear">[9]Selections!$R$1</definedName>
    <definedName name="ePrint">[21]Consolidated!#REF!</definedName>
    <definedName name="EQUITY">'[13]S&amp;U'!$E$12</definedName>
    <definedName name="equityamt">#REF!</definedName>
    <definedName name="equityamt___0">#REF!</definedName>
    <definedName name="equityper">#REF!</definedName>
    <definedName name="equityper___0">#REF!</definedName>
    <definedName name="er" localSheetId="3" hidden="1">{#N/A,#N/A,FALSE,"balance";#N/A,#N/A,FALSE,"PYG"}</definedName>
    <definedName name="er" hidden="1">{#N/A,#N/A,FALSE,"balance";#N/A,#N/A,FALSE,"PYG"}</definedName>
    <definedName name="ERD" localSheetId="3" hidden="1">{#N/A,#N/A,FALSE,"Aging Summary";#N/A,#N/A,FALSE,"Ratio Analysis";#N/A,#N/A,FALSE,"Test 120 Day Accts";#N/A,#N/A,FALSE,"Tickmarks"}</definedName>
    <definedName name="ERD" hidden="1">{#N/A,#N/A,FALSE,"Aging Summary";#N/A,#N/A,FALSE,"Ratio Analysis";#N/A,#N/A,FALSE,"Test 120 Day Accts";#N/A,#N/A,FALSE,"Tickmarks"}</definedName>
    <definedName name="ERE" localSheetId="3" hidden="1">{"'18'!$A$5:$M$18"}</definedName>
    <definedName name="ERE" hidden="1">{"'18'!$A$5:$M$18"}</definedName>
    <definedName name="ert" localSheetId="3" hidden="1">{#N/A,#N/A,FALSE,"balance";#N/A,#N/A,FALSE,"PYG"}</definedName>
    <definedName name="ert" hidden="1">{#N/A,#N/A,FALSE,"balance";#N/A,#N/A,FALSE,"PYG"}</definedName>
    <definedName name="ESCENARIO" localSheetId="3" hidden="1">{#N/A,#N/A,FALSE,"GRAFICO";#N/A,#N/A,FALSE,"CAJA (2)";#N/A,#N/A,FALSE,"TERCEROS-PROMEDIO";#N/A,#N/A,FALSE,"CAJA";#N/A,#N/A,FALSE,"INGRESOS1995-2003";#N/A,#N/A,FALSE,"GASTOS1995-2003"}</definedName>
    <definedName name="ESCENARIO" hidden="1">{#N/A,#N/A,FALSE,"GRAFICO";#N/A,#N/A,FALSE,"CAJA (2)";#N/A,#N/A,FALSE,"TERCEROS-PROMEDIO";#N/A,#N/A,FALSE,"CAJA";#N/A,#N/A,FALSE,"INGRESOS1995-2003";#N/A,#N/A,FALSE,"GASTOS1995-2003"}</definedName>
    <definedName name="este" localSheetId="3" hidden="1">{"PYGT",#N/A,FALSE,"PYG";"ACTIT",#N/A,FALSE,"BCE_GRAL-ACTIVO";"PASIT",#N/A,FALSE,"BCE_GRAL-PASIVO-PATRIM";"CAJAT",#N/A,FALSE,"CAJA"}</definedName>
    <definedName name="este" hidden="1">{"PYGT",#N/A,FALSE,"PYG";"ACTIT",#N/A,FALSE,"BCE_GRAL-ACTIVO";"PASIT",#N/A,FALSE,"BCE_GRAL-PASIVO-PATRIM";"CAJAT",#N/A,FALSE,"CAJA"}</definedName>
    <definedName name="ESTEWW" localSheetId="3" hidden="1">{#N/A,#N/A,FALSE,"GRAFICO";#N/A,#N/A,FALSE,"CAJA (2)";#N/A,#N/A,FALSE,"TERCEROS-PROMEDIO";#N/A,#N/A,FALSE,"CAJA";#N/A,#N/A,FALSE,"INGRESOS1995-2003";#N/A,#N/A,FALSE,"GASTOS1995-2003"}</definedName>
    <definedName name="ESTEWW" hidden="1">{#N/A,#N/A,FALSE,"GRAFICO";#N/A,#N/A,FALSE,"CAJA (2)";#N/A,#N/A,FALSE,"TERCEROS-PROMEDIO";#N/A,#N/A,FALSE,"CAJA";#N/A,#N/A,FALSE,"INGRESOS1995-2003";#N/A,#N/A,FALSE,"GASTOS1995-2003"}</definedName>
    <definedName name="Estoquees" localSheetId="3" hidden="1">{#N/A,#N/A,FALSE,"Aging Summary";#N/A,#N/A,FALSE,"Ratio Analysis";#N/A,#N/A,FALSE,"Test 120 Day Accts";#N/A,#N/A,FALSE,"Tickmarks"}</definedName>
    <definedName name="Estoquees" hidden="1">{#N/A,#N/A,FALSE,"Aging Summary";#N/A,#N/A,FALSE,"Ratio Analysis";#N/A,#N/A,FALSE,"Test 120 Day Accts";#N/A,#N/A,FALSE,"Tickmarks"}</definedName>
    <definedName name="estoquees1" localSheetId="3" hidden="1">{#N/A,#N/A,FALSE,"Aging Summary";#N/A,#N/A,FALSE,"Ratio Analysis";#N/A,#N/A,FALSE,"Test 120 Day Accts";#N/A,#N/A,FALSE,"Tickmarks"}</definedName>
    <definedName name="estoquees1" hidden="1">{#N/A,#N/A,FALSE,"Aging Summary";#N/A,#N/A,FALSE,"Ratio Analysis";#N/A,#N/A,FALSE,"Test 120 Day Accts";#N/A,#N/A,FALSE,"Tickmarks"}</definedName>
    <definedName name="estoquees2" localSheetId="3" hidden="1">{#N/A,#N/A,FALSE,"Aging Summary";#N/A,#N/A,FALSE,"Ratio Analysis";#N/A,#N/A,FALSE,"Test 120 Day Accts";#N/A,#N/A,FALSE,"Tickmarks"}</definedName>
    <definedName name="estoquees2" hidden="1">{#N/A,#N/A,FALSE,"Aging Summary";#N/A,#N/A,FALSE,"Ratio Analysis";#N/A,#N/A,FALSE,"Test 120 Day Accts";#N/A,#N/A,FALSE,"Tickmarks"}</definedName>
    <definedName name="estre" localSheetId="3" hidden="1">{#N/A,#N/A,FALSE,"GRAFICO";#N/A,#N/A,FALSE,"CAJA (2)";#N/A,#N/A,FALSE,"TERCEROS-PROMEDIO";#N/A,#N/A,FALSE,"CAJA";#N/A,#N/A,FALSE,"INGRESOS1995-2003";#N/A,#N/A,FALSE,"GASTOS1995-2003"}</definedName>
    <definedName name="estre" hidden="1">{#N/A,#N/A,FALSE,"GRAFICO";#N/A,#N/A,FALSE,"CAJA (2)";#N/A,#N/A,FALSE,"TERCEROS-PROMEDIO";#N/A,#N/A,FALSE,"CAJA";#N/A,#N/A,FALSE,"INGRESOS1995-2003";#N/A,#N/A,FALSE,"GASTOS1995-2003"}</definedName>
    <definedName name="ev.Calculation" hidden="1">-4135</definedName>
    <definedName name="ev.Initialized" hidden="1">FALSE</definedName>
    <definedName name="ewew" localSheetId="3" hidden="1">{"'18'!$A$5:$M$18"}</definedName>
    <definedName name="ewew" hidden="1">{"'18'!$A$5:$M$18"}</definedName>
    <definedName name="EWQ" localSheetId="3" hidden="1">{#N/A,#N/A,FALSE,"Aging Summary";#N/A,#N/A,FALSE,"Ratio Analysis";#N/A,#N/A,FALSE,"Test 120 Day Accts";#N/A,#N/A,FALSE,"Tickmarks"}</definedName>
    <definedName name="EWQ" hidden="1">{#N/A,#N/A,FALSE,"Aging Summary";#N/A,#N/A,FALSE,"Ratio Analysis";#N/A,#N/A,FALSE,"Test 120 Day Accts";#N/A,#N/A,FALSE,"Tickmarks"}</definedName>
    <definedName name="exe">#REF!</definedName>
    <definedName name="FAROL" localSheetId="3" hidden="1">{"PYGT",#N/A,FALSE,"PYG";"ACTIT",#N/A,FALSE,"BCE_GRAL-ACTIVO";"PASIT",#N/A,FALSE,"BCE_GRAL-PASIVO-PATRIM";"CAJAT",#N/A,FALSE,"CAJA"}</definedName>
    <definedName name="FAROL" hidden="1">{"PYGT",#N/A,FALSE,"PYG";"ACTIT",#N/A,FALSE,"BCE_GRAL-ACTIVO";"PASIT",#N/A,FALSE,"BCE_GRAL-PASIVO-PATRIM";"CAJAT",#N/A,FALSE,"CAJA"}</definedName>
    <definedName name="FD156d" localSheetId="3" hidden="1">{#N/A,#N/A,FALSE,"balance";#N/A,#N/A,FALSE,"PYG"}</definedName>
    <definedName name="FD156d" hidden="1">{#N/A,#N/A,FALSE,"balance";#N/A,#N/A,FALSE,"PYG"}</definedName>
    <definedName name="ff" localSheetId="3" hidden="1">{#N/A,#N/A,FALSE,"GRAFICO";#N/A,#N/A,FALSE,"CAJA (2)";#N/A,#N/A,FALSE,"TERCEROS-PROMEDIO";#N/A,#N/A,FALSE,"CAJA";#N/A,#N/A,FALSE,"INGRESOS1995-2003";#N/A,#N/A,FALSE,"GASTOS1995-2003"}</definedName>
    <definedName name="ff" hidden="1">{#N/A,#N/A,FALSE,"GRAFICO";#N/A,#N/A,FALSE,"CAJA (2)";#N/A,#N/A,FALSE,"TERCEROS-PROMEDIO";#N/A,#N/A,FALSE,"CAJA";#N/A,#N/A,FALSE,"INGRESOS1995-2003";#N/A,#N/A,FALSE,"GASTOS1995-2003"}</definedName>
    <definedName name="ffgh" localSheetId="3" hidden="1">{#N/A,#N/A,FALSE,"Aging Summary";#N/A,#N/A,FALSE,"Ratio Analysis";#N/A,#N/A,FALSE,"Test 120 Day Accts";#N/A,#N/A,FALSE,"Tickmarks"}</definedName>
    <definedName name="ffgh" hidden="1">{#N/A,#N/A,FALSE,"Aging Summary";#N/A,#N/A,FALSE,"Ratio Analysis";#N/A,#N/A,FALSE,"Test 120 Day Accts";#N/A,#N/A,FALSE,"Tickmarks"}</definedName>
    <definedName name="fgf" localSheetId="3" hidden="1">{#N/A,#N/A,FALSE,"Aging Summary";#N/A,#N/A,FALSE,"Ratio Analysis";#N/A,#N/A,FALSE,"Test 120 Day Accts";#N/A,#N/A,FALSE,"Tickmarks"}</definedName>
    <definedName name="fgf" hidden="1">{#N/A,#N/A,FALSE,"Aging Summary";#N/A,#N/A,FALSE,"Ratio Analysis";#N/A,#N/A,FALSE,"Test 120 Day Accts";#N/A,#N/A,FALSE,"Tickmarks"}</definedName>
    <definedName name="fianal">[22]Preliminary!$A$1:$D$65</definedName>
    <definedName name="FIDUCIASOCTUBRE" localSheetId="3" hidden="1">{#N/A,#N/A,FALSE,"Aging Summary";#N/A,#N/A,FALSE,"Ratio Analysis";#N/A,#N/A,FALSE,"Test 120 Day Accts";#N/A,#N/A,FALSE,"Tickmarks"}</definedName>
    <definedName name="FIDUCIASOCTUBRE" hidden="1">{#N/A,#N/A,FALSE,"Aging Summary";#N/A,#N/A,FALSE,"Ratio Analysis";#N/A,#N/A,FALSE,"Test 120 Day Accts";#N/A,#N/A,FALSE,"Tickmarks"}</definedName>
    <definedName name="filename">[9]Selections!$U$2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orward" localSheetId="3" hidden="1">{#N/A,#N/A,FALSE,"Aging Summary";#N/A,#N/A,FALSE,"Ratio Analysis";#N/A,#N/A,FALSE,"Test 120 Day Accts";#N/A,#N/A,FALSE,"Tickmarks"}</definedName>
    <definedName name="forward" hidden="1">{#N/A,#N/A,FALSE,"Aging Summary";#N/A,#N/A,FALSE,"Ratio Analysis";#N/A,#N/A,FALSE,"Test 120 Day Accts";#N/A,#N/A,FALSE,"Tickmarks"}</definedName>
    <definedName name="FREV" localSheetId="3" hidden="1">{"PYGT",#N/A,FALSE,"PYG";"ACTIT",#N/A,FALSE,"BCE_GRAL-ACTIVO";"PASIT",#N/A,FALSE,"BCE_GRAL-PASIVO-PATRIM";"CAJAT",#N/A,FALSE,"CAJA"}</definedName>
    <definedName name="FREV" hidden="1">{"PYGT",#N/A,FALSE,"PYG";"ACTIT",#N/A,FALSE,"BCE_GRAL-ACTIVO";"PASIT",#N/A,FALSE,"BCE_GRAL-PASIVO-PATRIM";"CAJAT",#N/A,FALSE,"CAJA"}</definedName>
    <definedName name="FSoPacific" hidden="1">{"BS",#N/A,FALSE,"USA"}</definedName>
    <definedName name="Fund">[9]Selections!$A$1</definedName>
    <definedName name="fvb" localSheetId="3" hidden="1">{#N/A,#N/A,FALSE,"Aging Summary";#N/A,#N/A,FALSE,"Ratio Analysis";#N/A,#N/A,FALSE,"Test 120 Day Accts";#N/A,#N/A,FALSE,"Tickmarks"}</definedName>
    <definedName name="fvb" hidden="1">{#N/A,#N/A,FALSE,"Aging Summary";#N/A,#N/A,FALSE,"Ratio Analysis";#N/A,#N/A,FALSE,"Test 120 Day Accts";#N/A,#N/A,FALSE,"Tickmarks"}</definedName>
    <definedName name="Fwd_Curve">#REF!</definedName>
    <definedName name="FYEMarker">#REF!</definedName>
    <definedName name="FYEMonth">#REF!</definedName>
    <definedName name="G_A_SUMMARY">#REF!</definedName>
    <definedName name="GALLO" localSheetId="3" hidden="1">{#N/A,#N/A,FALSE,"Aging Summary";#N/A,#N/A,FALSE,"Ratio Analysis";#N/A,#N/A,FALSE,"Test 120 Day Accts";#N/A,#N/A,FALSE,"Tickmarks"}</definedName>
    <definedName name="GALLO" hidden="1">{#N/A,#N/A,FALSE,"Aging Summary";#N/A,#N/A,FALSE,"Ratio Analysis";#N/A,#N/A,FALSE,"Test 120 Day Accts";#N/A,#N/A,FALSE,"Tickmarks"}</definedName>
    <definedName name="Gastos" localSheetId="3" hidden="1">{#N/A,#N/A,FALSE,"GRAFICO";#N/A,#N/A,FALSE,"CAJA (2)";#N/A,#N/A,FALSE,"TERCEROS-PROMEDIO";#N/A,#N/A,FALSE,"CAJA";#N/A,#N/A,FALSE,"INGRESOS1995-2003";#N/A,#N/A,FALSE,"GASTOS1995-2003"}</definedName>
    <definedName name="Gastos" hidden="1">{#N/A,#N/A,FALSE,"GRAFICO";#N/A,#N/A,FALSE,"CAJA (2)";#N/A,#N/A,FALSE,"TERCEROS-PROMEDIO";#N/A,#N/A,FALSE,"CAJA";#N/A,#N/A,FALSE,"INGRESOS1995-2003";#N/A,#N/A,FALSE,"GASTOS1995-2003"}</definedName>
    <definedName name="GATO" localSheetId="3" hidden="1">{#N/A,#N/A,FALSE,"Aging Summary";#N/A,#N/A,FALSE,"Ratio Analysis";#N/A,#N/A,FALSE,"Test 120 Day Accts";#N/A,#N/A,FALSE,"Tickmarks"}</definedName>
    <definedName name="GATO" hidden="1">{#N/A,#N/A,FALSE,"Aging Summary";#N/A,#N/A,FALSE,"Ratio Analysis";#N/A,#N/A,FALSE,"Test 120 Day Accts";#N/A,#N/A,FALSE,"Tickmarks"}</definedName>
    <definedName name="gfdf" localSheetId="3" hidden="1">{#N/A,#N/A,FALSE,"balance";#N/A,#N/A,FALSE,"PYG"}</definedName>
    <definedName name="gfdf" hidden="1">{#N/A,#N/A,FALSE,"balance";#N/A,#N/A,FALSE,"PYG"}</definedName>
    <definedName name="GFDM" localSheetId="3" hidden="1">{#N/A,#N/A,FALSE,"Aging Summary";#N/A,#N/A,FALSE,"Ratio Analysis";#N/A,#N/A,FALSE,"Test 120 Day Accts";#N/A,#N/A,FALSE,"Tickmarks"}</definedName>
    <definedName name="GFDM" hidden="1">{#N/A,#N/A,FALSE,"Aging Summary";#N/A,#N/A,FALSE,"Ratio Analysis";#N/A,#N/A,FALSE,"Test 120 Day Accts";#N/A,#N/A,FALSE,"Tickmarks"}</definedName>
    <definedName name="GGF" localSheetId="3" hidden="1">{#N/A,#N/A,FALSE,"balance";#N/A,#N/A,FALSE,"PYG"}</definedName>
    <definedName name="GGF" hidden="1">{#N/A,#N/A,FALSE,"balance";#N/A,#N/A,FALSE,"PYG"}</definedName>
    <definedName name="ggfa" localSheetId="3" hidden="1">{#N/A,#N/A,FALSE,"balance";#N/A,#N/A,FALSE,"PYG"}</definedName>
    <definedName name="ggfa" hidden="1">{#N/A,#N/A,FALSE,"balance";#N/A,#N/A,FALSE,"PYG"}</definedName>
    <definedName name="gibran" localSheetId="3" hidden="1">{#N/A,#N/A,FALSE,"balance";#N/A,#N/A,FALSE,"PYG"}</definedName>
    <definedName name="gibran" hidden="1">{#N/A,#N/A,FALSE,"balance";#N/A,#N/A,FALSE,"PYG"}</definedName>
    <definedName name="gibranguerrero" localSheetId="3" hidden="1">{#N/A,#N/A,FALSE,"balance";#N/A,#N/A,FALSE,"PYG"}</definedName>
    <definedName name="gibranguerrero" hidden="1">{#N/A,#N/A,FALSE,"balance";#N/A,#N/A,FALSE,"PYG"}</definedName>
    <definedName name="GJK" localSheetId="3" hidden="1">{#N/A,#N/A,FALSE,"Aging Summary";#N/A,#N/A,FALSE,"Ratio Analysis";#N/A,#N/A,FALSE,"Test 120 Day Accts";#N/A,#N/A,FALSE,"Tickmarks"}</definedName>
    <definedName name="GJK" hidden="1">{#N/A,#N/A,FALSE,"Aging Summary";#N/A,#N/A,FALSE,"Ratio Analysis";#N/A,#N/A,FALSE,"Test 120 Day Accts";#N/A,#N/A,FALSE,"Tickmarks"}</definedName>
    <definedName name="goy" localSheetId="3" hidden="1">{#N/A,#N/A,FALSE,"GRAFICO";#N/A,#N/A,FALSE,"CAJA (2)";#N/A,#N/A,FALSE,"TERCEROS-PROMEDIO";#N/A,#N/A,FALSE,"CAJA";#N/A,#N/A,FALSE,"INGRESOS1995-2003";#N/A,#N/A,FALSE,"GASTOS1995-2003"}</definedName>
    <definedName name="goy" hidden="1">{#N/A,#N/A,FALSE,"GRAFICO";#N/A,#N/A,FALSE,"CAJA (2)";#N/A,#N/A,FALSE,"TERCEROS-PROMEDIO";#N/A,#N/A,FALSE,"CAJA";#N/A,#N/A,FALSE,"INGRESOS1995-2003";#N/A,#N/A,FALSE,"GASTOS1995-2003"}</definedName>
    <definedName name="group_quarterly">#REF!</definedName>
    <definedName name="gxñ" localSheetId="3" hidden="1">{#N/A,#N/A,FALSE,"Aging Summary";#N/A,#N/A,FALSE,"Ratio Analysis";#N/A,#N/A,FALSE,"Test 120 Day Accts";#N/A,#N/A,FALSE,"Tickmarks"}</definedName>
    <definedName name="gxñ" hidden="1">{#N/A,#N/A,FALSE,"Aging Summary";#N/A,#N/A,FALSE,"Ratio Analysis";#N/A,#N/A,FALSE,"Test 120 Day Accts";#N/A,#N/A,FALSE,"Tickmarks"}</definedName>
    <definedName name="gyfdyg" localSheetId="3" hidden="1">{#N/A,#N/A,FALSE,"balance";#N/A,#N/A,FALSE,"PYG"}</definedName>
    <definedName name="gyfdyg" hidden="1">{#N/A,#N/A,FALSE,"balance";#N/A,#N/A,FALSE,"PYG"}</definedName>
    <definedName name="H" localSheetId="3" hidden="1">{"PYGS",#N/A,FALSE,"PYG";"ACTIS",#N/A,FALSE,"BCE_GRAL-ACTIVO";"PASIS",#N/A,FALSE,"BCE_GRAL-PASIVO-PATRIM";"CAJAS",#N/A,FALSE,"CAJA"}</definedName>
    <definedName name="H" hidden="1">{"PYGS",#N/A,FALSE,"PYG";"ACTIS",#N/A,FALSE,"BCE_GRAL-ACTIVO";"PASIS",#N/A,FALSE,"BCE_GRAL-PASIVO-PATRIM";"CAJAS",#N/A,FALSE,"CAJA"}</definedName>
    <definedName name="hcc" localSheetId="3" hidden="1">{#N/A,#N/A,FALSE,"balance";#N/A,#N/A,FALSE,"PYG"}</definedName>
    <definedName name="hcc" hidden="1">{#N/A,#N/A,FALSE,"balance";#N/A,#N/A,FALSE,"PYG"}</definedName>
    <definedName name="Header1">[23]_01_05_v_Wicks_xls__01_05_v_Wic!$N$1</definedName>
    <definedName name="HG" localSheetId="3" hidden="1">{#N/A,#N/A,FALSE,"Aging Summary";#N/A,#N/A,FALSE,"Ratio Analysis";#N/A,#N/A,FALSE,"Test 120 Day Accts";#N/A,#N/A,FALSE,"Tickmarks"}</definedName>
    <definedName name="HG" hidden="1">{#N/A,#N/A,FALSE,"Aging Summary";#N/A,#N/A,FALSE,"Ratio Analysis";#N/A,#N/A,FALSE,"Test 120 Day Accts";#N/A,#N/A,FALSE,"Tickmarks"}</definedName>
    <definedName name="HGJ" localSheetId="3" hidden="1">{#N/A,#N/A,FALSE,"Aging Summary";#N/A,#N/A,FALSE,"Ratio Analysis";#N/A,#N/A,FALSE,"Test 120 Day Accts";#N/A,#N/A,FALSE,"Tickmarks"}</definedName>
    <definedName name="HGJ" hidden="1">{#N/A,#N/A,FALSE,"Aging Summary";#N/A,#N/A,FALSE,"Ratio Analysis";#N/A,#N/A,FALSE,"Test 120 Day Accts";#N/A,#N/A,FALSE,"Tickmarks"}</definedName>
    <definedName name="hhhhhh" localSheetId="3" hidden="1">{"PYGT",#N/A,FALSE,"PYG";"ACTIT",#N/A,FALSE,"BCE_GRAL-ACTIVO";"PASIT",#N/A,FALSE,"BCE_GRAL-PASIVO-PATRIM";"CAJAT",#N/A,FALSE,"CAJA"}</definedName>
    <definedName name="hhhhhh" hidden="1">{"PYGT",#N/A,FALSE,"PYG";"ACTIT",#N/A,FALSE,"BCE_GRAL-ACTIVO";"PASIT",#N/A,FALSE,"BCE_GRAL-PASIVO-PATRIM";"CAJAT",#N/A,FALSE,"CAJA"}</definedName>
    <definedName name="hhhhhhhhhhh" localSheetId="3" hidden="1">{"PYGS",#N/A,FALSE,"PYG";"ACTIS",#N/A,FALSE,"BCE_GRAL-ACTIVO";"PASIS",#N/A,FALSE,"BCE_GRAL-PASIVO-PATRIM";"CAJAS",#N/A,FALSE,"CAJA"}</definedName>
    <definedName name="hhhhhhhhhhh" hidden="1">{"PYGS",#N/A,FALSE,"PYG";"ACTIS",#N/A,FALSE,"BCE_GRAL-ACTIVO";"PASIS",#N/A,FALSE,"BCE_GRAL-PASIVO-PATRIM";"CAJAS",#N/A,FALSE,"CAJA"}</definedName>
    <definedName name="hhhhhhhhhhhh" localSheetId="3" hidden="1">{"PYGT",#N/A,FALSE,"PYG";"ACTIT",#N/A,FALSE,"BCE_GRAL-ACTIVO";"PASIT",#N/A,FALSE,"BCE_GRAL-PASIVO-PATRIM";"CAJAT",#N/A,FALSE,"CAJA"}</definedName>
    <definedName name="hhhhhhhhhhhh" hidden="1">{"PYGT",#N/A,FALSE,"PYG";"ACTIT",#N/A,FALSE,"BCE_GRAL-ACTIVO";"PASIT",#N/A,FALSE,"BCE_GRAL-PASIVO-PATRIM";"CAJAT",#N/A,FALSE,"CAJA"}</definedName>
    <definedName name="high1">[3]Inputs!$E$23</definedName>
    <definedName name="high10">[3]Inputs!$E$482</definedName>
    <definedName name="high11">[3]Inputs!$E$533</definedName>
    <definedName name="high12">[3]Inputs!$E$584</definedName>
    <definedName name="high13">[3]Inputs!$E$635</definedName>
    <definedName name="high14">[3]Inputs!$E$686</definedName>
    <definedName name="high15">[3]Inputs!$E$737</definedName>
    <definedName name="high2">[3]Inputs!$E$74</definedName>
    <definedName name="high3">[3]Inputs!$E$125</definedName>
    <definedName name="high4">[3]Inputs!$E$176</definedName>
    <definedName name="high5">[3]Inputs!$E$227</definedName>
    <definedName name="high6">[3]Inputs!$E$278</definedName>
    <definedName name="high7">[3]Inputs!$E$329</definedName>
    <definedName name="high8">[3]Inputs!$E$380</definedName>
    <definedName name="high9">[3]Inputs!$E$431</definedName>
    <definedName name="hl">'[24]LBO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ha" localSheetId="3" hidden="1">{"PYGT",#N/A,FALSE,"PYG";"ACTIT",#N/A,FALSE,"BCE_GRAL-ACTIVO";"PASIT",#N/A,FALSE,"BCE_GRAL-PASIVO-PATRIM";"CAJAT",#N/A,FALSE,"CAJA"}</definedName>
    <definedName name="hoha" hidden="1">{"PYGT",#N/A,FALSE,"PYG";"ACTIT",#N/A,FALSE,"BCE_GRAL-ACTIVO";"PASIT",#N/A,FALSE,"BCE_GRAL-PASIVO-PATRIM";"CAJAT",#N/A,FALSE,"CAJA"}</definedName>
    <definedName name="hoja" localSheetId="3" hidden="1">{"PYGT",#N/A,FALSE,"PYG";"ACTIT",#N/A,FALSE,"BCE_GRAL-ACTIVO";"PASIT",#N/A,FALSE,"BCE_GRAL-PASIVO-PATRIM";"CAJAT",#N/A,FALSE,"CAJA"}</definedName>
    <definedName name="hoja" hidden="1">{"PYGT",#N/A,FALSE,"PYG";"ACTIT",#N/A,FALSE,"BCE_GRAL-ACTIVO";"PASIT",#N/A,FALSE,"BCE_GRAL-PASIVO-PATRIM";"CAJAT",#N/A,FALSE,"CAJA"}</definedName>
    <definedName name="hojanueva" localSheetId="3" hidden="1">{#N/A,#N/A,FALSE,"SMT1";#N/A,#N/A,FALSE,"SMT2";#N/A,#N/A,FALSE,"Summary";#N/A,#N/A,FALSE,"Graphs";#N/A,#N/A,FALSE,"4 Panel"}</definedName>
    <definedName name="hojanueva" hidden="1">{#N/A,#N/A,FALSE,"SMT1";#N/A,#N/A,FALSE,"SMT2";#N/A,#N/A,FALSE,"Summary";#N/A,#N/A,FALSE,"Graphs";#N/A,#N/A,FALSE,"4 Panel"}</definedName>
    <definedName name="HOLA" localSheetId="3" hidden="1">{"'18'!$A$5:$M$18"}</definedName>
    <definedName name="HOLA" hidden="1">{"'18'!$A$5:$M$18"}</definedName>
    <definedName name="HTML_CodePage" hidden="1">1252</definedName>
    <definedName name="HTML_Control" localSheetId="3" hidden="1">{"'input-data'!$B$5:$R$22"}</definedName>
    <definedName name="HTML_Control" hidden="1">{"'input-data'!$B$5:$R$22"}</definedName>
    <definedName name="Html_control1" localSheetId="3" hidden="1">{"'18'!$A$5:$M$18"}</definedName>
    <definedName name="Html_control1" hidden="1">{"'18'!$A$5:$M$18"}</definedName>
    <definedName name="HTML_Description" hidden="1">""</definedName>
    <definedName name="HTML_Email" hidden="1">""</definedName>
    <definedName name="HTML_Header" hidden="1">"input-data"</definedName>
    <definedName name="HTML_LastUpdate" hidden="1">"05/05/2000"</definedName>
    <definedName name="HTML_LineAfter" hidden="1">FALSE</definedName>
    <definedName name="HTML_LineBefore" hidden="1">FALSE</definedName>
    <definedName name="HTML_Name" hidden="1">"Repsol"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"C:\HENDRIK.htm"</definedName>
    <definedName name="HTML_PathTemplate" hidden="1">"D:\Pruebas\HTML.htm"</definedName>
    <definedName name="HTML_Title" hidden="1">"PPTO_2000_def_May00_PDVSA"</definedName>
    <definedName name="I" localSheetId="3" hidden="1">{"PYGT",#N/A,FALSE,"PYG";"ACTIT",#N/A,FALSE,"BCE_GRAL-ACTIVO";"PASIT",#N/A,FALSE,"BCE_GRAL-PASIVO-PATRIM";"CAJAT",#N/A,FALSE,"CAJA"}</definedName>
    <definedName name="I" hidden="1">{"PYGT",#N/A,FALSE,"PYG";"ACTIT",#N/A,FALSE,"BCE_GRAL-ACTIVO";"PASIT",#N/A,FALSE,"BCE_GRAL-PASIVO-PATRIM";"CAJAT",#N/A,FALSE,"CAJA"}</definedName>
    <definedName name="IC1Actual">OFFSET([9]ICTrends!$C$2,0,0,COUNTA([9]ICTrends!$C$1:$C$65536)-1)</definedName>
    <definedName name="IC1ChartTitle">[9]ICTrends!$W$1</definedName>
    <definedName name="IC1Covenant">OFFSET([9]ICTrends!$D$2,0,0,COUNTA([9]ICTrends!$D$1:$D$65536)-1)</definedName>
    <definedName name="IC1Date">OFFSET([9]ICTrends!$B$2,0,0,COUNTA([9]ICTrends!$B$1:$B$65536)-1)</definedName>
    <definedName name="IC2Actual">OFFSET([9]ICTrends!$H$2,0,0,COUNTA([9]ICTrends!$H$1:$H$65536)-1)</definedName>
    <definedName name="IC2Covenant">OFFSET([9]ICTrends!$I$2,0,0,COUNTA([9]ICTrends!$I$1:$I$65536)-1)</definedName>
    <definedName name="IC2Date">OFFSET([9]ICTrends!$G$2,0,0,COUNTA([9]ICTrends!$G$1:$G$65536)-1)</definedName>
    <definedName name="IC3Actual">OFFSET([9]ICTrends!$M$2,0,0,COUNTA([9]ICTrends!$M$1:$M$65536)-1)</definedName>
    <definedName name="IC3Covenant">OFFSET([9]ICTrends!$N$2,0,0,COUNTA([9]ICTrends!$N$1:$N$65536)-1)</definedName>
    <definedName name="IC3Date">OFFSET([9]ICTrends!$L$2,0,0,COUNTA([9]ICTrends!$L$1:$L$65536)-1)</definedName>
    <definedName name="IC4Actual">OFFSET([9]ICTrends!$R$2,0,0,COUNTA([9]ICTrends!$R$1:$R$65536)-1)</definedName>
    <definedName name="IC4Covenant">OFFSET([9]ICTrends!$S$2,0,0,COUNTA([9]ICTrends!$S$1:$S$65536)-1)</definedName>
    <definedName name="IC4Date">OFFSET([9]ICTrends!$Q$2,0,0,COUNTA([9]ICTrends!$Q$1:$Q$65536)-1)</definedName>
    <definedName name="iiiiiiiiiiiiii" localSheetId="3" hidden="1">{"PYGT",#N/A,FALSE,"PYG";"ACTIT",#N/A,FALSE,"BCE_GRAL-ACTIVO";"PASIT",#N/A,FALSE,"BCE_GRAL-PASIVO-PATRIM";"CAJAT",#N/A,FALSE,"CAJA"}</definedName>
    <definedName name="iiiiiiiiiiiiii" hidden="1">{"PYGT",#N/A,FALSE,"PYG";"ACTIT",#N/A,FALSE,"BCE_GRAL-ACTIVO";"PASIT",#N/A,FALSE,"BCE_GRAL-PASIVO-PATRIM";"CAJAT",#N/A,FALSE,"CAJA"}</definedName>
    <definedName name="ij" localSheetId="3" hidden="1">{#N/A,#N/A,FALSE,"Aging Summary";#N/A,#N/A,FALSE,"Ratio Analysis";#N/A,#N/A,FALSE,"Test 120 Day Accts";#N/A,#N/A,FALSE,"Tickmarks"}</definedName>
    <definedName name="ij" hidden="1">{#N/A,#N/A,FALSE,"Aging Summary";#N/A,#N/A,FALSE,"Ratio Analysis";#N/A,#N/A,FALSE,"Test 120 Day Accts";#N/A,#N/A,FALSE,"Tickmarks"}</definedName>
    <definedName name="inc">#REF!</definedName>
    <definedName name="incsyntog">#REF!</definedName>
    <definedName name="incsyntog___0">#REF!</definedName>
    <definedName name="ind" localSheetId="3" hidden="1">{"'18'!$A$5:$M$18"}</definedName>
    <definedName name="ind" hidden="1">{"'18'!$A$5:$M$18"}</definedName>
    <definedName name="Indus" localSheetId="3" hidden="1">{"'18'!$A$5:$M$18"}</definedName>
    <definedName name="Indus" hidden="1">{"'18'!$A$5:$M$18"}</definedName>
    <definedName name="inputs">#REF!</definedName>
    <definedName name="INT_PRES_2" localSheetId="3" hidden="1">{#N/A,#N/A,FALSE,"Full";#N/A,#N/A,FALSE,"Half";#N/A,#N/A,FALSE,"Op Expenses";#N/A,#N/A,FALSE,"Cap Charge";#N/A,#N/A,FALSE,"Cost C";#N/A,#N/A,FALSE,"PP&amp;E";#N/A,#N/A,FALSE,"R&amp;D"}</definedName>
    <definedName name="INT_PRES_2" hidden="1">{#N/A,#N/A,FALSE,"Full";#N/A,#N/A,FALSE,"Half";#N/A,#N/A,FALSE,"Op Expenses";#N/A,#N/A,FALSE,"Cap Charge";#N/A,#N/A,FALSE,"Cost C";#N/A,#N/A,FALSE,"PP&amp;E";#N/A,#N/A,FALSE,"R&amp;D"}</definedName>
    <definedName name="INTERESES" localSheetId="3" hidden="1">{#N/A,#N/A,FALSE,"Aging Summary";#N/A,#N/A,FALSE,"Ratio Analysis";#N/A,#N/A,FALSE,"Test 120 Day Accts";#N/A,#N/A,FALSE,"Tickmarks"}</definedName>
    <definedName name="INTERESES" hidden="1">{#N/A,#N/A,FALSE,"Aging Summary";#N/A,#N/A,FALSE,"Ratio Analysis";#N/A,#N/A,FALSE,"Test 120 Day Accts";#N/A,#N/A,FALSE,"Tickmarks"}</definedName>
    <definedName name="inven" localSheetId="3" hidden="1">{#N/A,#N/A,FALSE,"balance";#N/A,#N/A,FALSE,"PYG"}</definedName>
    <definedName name="inven" hidden="1">{#N/A,#N/A,FALSE,"balance";#N/A,#N/A,FALSE,"PYG"}</definedName>
    <definedName name="Inven2" localSheetId="3" hidden="1">{#N/A,#N/A,FALSE,"balance";#N/A,#N/A,FALSE,"PYG"}</definedName>
    <definedName name="Inven2" hidden="1">{#N/A,#N/A,FALSE,"balance";#N/A,#N/A,FALSE,"PYG"}</definedName>
    <definedName name="Inversion" localSheetId="3" hidden="1">{"EVA",#N/A,FALSE,"SMT2";#N/A,#N/A,FALSE,"Summary";#N/A,#N/A,FALSE,"Graphs";#N/A,#N/A,FALSE,"4 Panel"}</definedName>
    <definedName name="Inversion" hidden="1">{"EVA",#N/A,FALSE,"SMT2";#N/A,#N/A,FALSE,"Summary";#N/A,#N/A,FALSE,"Graphs";#N/A,#N/A,FALSE,"4 Panel"}</definedName>
    <definedName name="IOP" localSheetId="3" hidden="1">{#N/A,#N/A,FALSE,"Aging Summary";#N/A,#N/A,FALSE,"Ratio Analysis";#N/A,#N/A,FALSE,"Test 120 Day Accts";#N/A,#N/A,FALSE,"Tickmarks"}</definedName>
    <definedName name="IOP" hidden="1">{#N/A,#N/A,FALSE,"Aging Summary";#N/A,#N/A,FALSE,"Ratio Analysis";#N/A,#N/A,FALSE,"Test 120 Day Accts";#N/A,#N/A,FALSE,"Tickmarks"}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"06/13/2019 19:36:04"</definedName>
    <definedName name="IQ_NAV_ACT_OR_EST" hidden="1">"c2225"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jabalí" localSheetId="3" hidden="1">{#N/A,#N/A,FALSE,"Aging Summary";#N/A,#N/A,FALSE,"Ratio Analysis";#N/A,#N/A,FALSE,"Test 120 Day Accts";#N/A,#N/A,FALSE,"Tickmarks"}</definedName>
    <definedName name="jabalí" hidden="1">{#N/A,#N/A,FALSE,"Aging Summary";#N/A,#N/A,FALSE,"Ratio Analysis";#N/A,#N/A,FALSE,"Test 120 Day Accts";#N/A,#N/A,FALSE,"Tickmarks"}</definedName>
    <definedName name="jh" localSheetId="3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HON" localSheetId="3" hidden="1">{#N/A,#N/A,FALSE,"Aging Summary";#N/A,#N/A,FALSE,"Ratio Analysis";#N/A,#N/A,FALSE,"Test 120 Day Accts";#N/A,#N/A,FALSE,"Tickmarks"}</definedName>
    <definedName name="JHON" hidden="1">{#N/A,#N/A,FALSE,"Aging Summary";#N/A,#N/A,FALSE,"Ratio Analysis";#N/A,#N/A,FALSE,"Test 120 Day Accts";#N/A,#N/A,FALSE,"Tickmarks"}</definedName>
    <definedName name="jjkk" localSheetId="3" hidden="1">{#N/A,#N/A,FALSE,"Aging Summary";#N/A,#N/A,FALSE,"Ratio Analysis";#N/A,#N/A,FALSE,"Test 120 Day Accts";#N/A,#N/A,FALSE,"Tickmarks"}</definedName>
    <definedName name="jjkk" hidden="1">{#N/A,#N/A,FALSE,"Aging Summary";#N/A,#N/A,FALSE,"Ratio Analysis";#N/A,#N/A,FALSE,"Test 120 Day Accts";#N/A,#N/A,FALSE,"Tickmarks"}</definedName>
    <definedName name="JKLÑ" localSheetId="3" hidden="1">{#N/A,#N/A,FALSE,"Aging Summary";#N/A,#N/A,FALSE,"Ratio Analysis";#N/A,#N/A,FALSE,"Test 120 Day Accts";#N/A,#N/A,FALSE,"Tickmarks"}</definedName>
    <definedName name="JKLÑ" hidden="1">{#N/A,#N/A,FALSE,"Aging Summary";#N/A,#N/A,FALSE,"Ratio Analysis";#N/A,#N/A,FALSE,"Test 120 Day Accts";#N/A,#N/A,FALSE,"Tickmarks"}</definedName>
    <definedName name="K" localSheetId="3" hidden="1">{"PYGT",#N/A,FALSE,"PYG";"ACTIT",#N/A,FALSE,"BCE_GRAL-ACTIVO";"PASIT",#N/A,FALSE,"BCE_GRAL-PASIVO-PATRIM";"CAJAT",#N/A,FALSE,"CAJA"}</definedName>
    <definedName name="K" hidden="1">{"PYGT",#N/A,FALSE,"PYG";"ACTIT",#N/A,FALSE,"BCE_GRAL-ACTIVO";"PASIT",#N/A,FALSE,"BCE_GRAL-PASIVO-PATRIM";"CAJAT",#N/A,FALSE,"CAJA"}</definedName>
    <definedName name="K2_WBEVMODE" hidden="1">-1</definedName>
    <definedName name="kbv" localSheetId="3" hidden="1">{#N/A,#N/A,FALSE,"Aging Summary";#N/A,#N/A,FALSE,"Ratio Analysis";#N/A,#N/A,FALSE,"Test 120 Day Accts";#N/A,#N/A,FALSE,"Tickmarks"}</definedName>
    <definedName name="kbv" hidden="1">{#N/A,#N/A,FALSE,"Aging Summary";#N/A,#N/A,FALSE,"Ratio Analysis";#N/A,#N/A,FALSE,"Test 120 Day Accts";#N/A,#N/A,FALSE,"Tickmarks"}</definedName>
    <definedName name="KENELMA" localSheetId="3" hidden="1">{#N/A,#N/A,FALSE,"Aging Summary";#N/A,#N/A,FALSE,"Ratio Analysis";#N/A,#N/A,FALSE,"Test 120 Day Accts";#N/A,#N/A,FALSE,"Tickmarks"}</definedName>
    <definedName name="KENELMA" hidden="1">{#N/A,#N/A,FALSE,"Aging Summary";#N/A,#N/A,FALSE,"Ratio Analysis";#N/A,#N/A,FALSE,"Test 120 Day Accts";#N/A,#N/A,FALSE,"Tickmarks"}</definedName>
    <definedName name="KJ" localSheetId="3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3" hidden="1">{#N/A,#N/A,FALSE,"Aging Summary";#N/A,#N/A,FALSE,"Ratio Analysis";#N/A,#N/A,FALSE,"Test 120 Day Accts";#N/A,#N/A,FALSE,"Tickmarks"}</definedName>
    <definedName name="KK" hidden="1">{#N/A,#N/A,FALSE,"Aging Summary";#N/A,#N/A,FALSE,"Ratio Analysis";#N/A,#N/A,FALSE,"Test 120 Day Accts";#N/A,#N/A,FALSE,"Tickmarks"}</definedName>
    <definedName name="kkkkkkkkkkkkkkk" localSheetId="3" hidden="1">{"PYGT",#N/A,FALSE,"PYG";"ACTIT",#N/A,FALSE,"BCE_GRAL-ACTIVO";"PASIT",#N/A,FALSE,"BCE_GRAL-PASIVO-PATRIM";"CAJAT",#N/A,FALSE,"CAJA"}</definedName>
    <definedName name="kkkkkkkkkkkkkkk" hidden="1">{"PYGT",#N/A,FALSE,"PYG";"ACTIT",#N/A,FALSE,"BCE_GRAL-ACTIVO";"PASIT",#N/A,FALSE,"BCE_GRAL-PASIVO-PATRIM";"CAJAT",#N/A,FALSE,"CAJA"}</definedName>
    <definedName name="kklñp" localSheetId="3" hidden="1">{#N/A,#N/A,FALSE,"Aging Summary";#N/A,#N/A,FALSE,"Ratio Analysis";#N/A,#N/A,FALSE,"Test 120 Day Accts";#N/A,#N/A,FALSE,"Tickmarks"}</definedName>
    <definedName name="kklñp" hidden="1">{#N/A,#N/A,FALSE,"Aging Summary";#N/A,#N/A,FALSE,"Ratio Analysis";#N/A,#N/A,FALSE,"Test 120 Day Accts";#N/A,#N/A,FALSE,"Tickmarks"}</definedName>
    <definedName name="KL" localSheetId="3" hidden="1">{"PYGS",#N/A,FALSE,"PYG";"ACTIS",#N/A,FALSE,"BCE_GRAL-ACTIVO";"PASIS",#N/A,FALSE,"BCE_GRAL-PASIVO-PATRIM";"CAJAS",#N/A,FALSE,"CAJA"}</definedName>
    <definedName name="KL" hidden="1">{"PYGS",#N/A,FALSE,"PYG";"ACTIS",#N/A,FALSE,"BCE_GRAL-ACTIVO";"PASIS",#N/A,FALSE,"BCE_GRAL-PASIVO-PATRIM";"CAJAS",#N/A,FALSE,"CAJA"}</definedName>
    <definedName name="lastCol">#REF!</definedName>
    <definedName name="latest1">[3]Inputs!$E$13</definedName>
    <definedName name="latest10">[3]Inputs!$E$472</definedName>
    <definedName name="latest11">[3]Inputs!$E$523</definedName>
    <definedName name="latest12">[3]Inputs!$E$574</definedName>
    <definedName name="latest13">[3]Inputs!$E$625</definedName>
    <definedName name="latest14">[3]Inputs!$E$676</definedName>
    <definedName name="latest15">[3]Inputs!$E$727</definedName>
    <definedName name="latest2">[3]Inputs!$E$64</definedName>
    <definedName name="latest3">[3]Inputs!$E$115</definedName>
    <definedName name="latest4">[3]Inputs!$E$166</definedName>
    <definedName name="latest5">[3]Inputs!$E$217</definedName>
    <definedName name="latest6">[3]Inputs!$E$268</definedName>
    <definedName name="latest7">[3]Inputs!$E$319</definedName>
    <definedName name="latest8">[3]Inputs!$E$370</definedName>
    <definedName name="latest9">[3]Inputs!$E$421</definedName>
    <definedName name="LBO">'[13]S&amp;U'!#REF!</definedName>
    <definedName name="LDC" localSheetId="3" hidden="1">{#N/A,#N/A,FALSE,"Aging Summary";#N/A,#N/A,FALSE,"Ratio Analysis";#N/A,#N/A,FALSE,"Test 120 Day Accts";#N/A,#N/A,FALSE,"Tickmarks"}</definedName>
    <definedName name="LDC" hidden="1">{#N/A,#N/A,FALSE,"Aging Summary";#N/A,#N/A,FALSE,"Ratio Analysis";#N/A,#N/A,FALSE,"Test 120 Day Accts";#N/A,#N/A,FALSE,"Tickmarks"}</definedName>
    <definedName name="left">#REF!</definedName>
    <definedName name="lett">#REF!</definedName>
    <definedName name="LIBOR">[25]Portfolio!$E$2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[14]Revolver!#REF!</definedName>
    <definedName name="Libor_Minus_2SD">[14]Revolver!#REF!</definedName>
    <definedName name="Libor_Plus_0SD">[14]Revolver!#REF!</definedName>
    <definedName name="Libor_Plus_1SD">[14]Revolver!#REF!</definedName>
    <definedName name="Libor_Plus_2SD">[14]Revolver!#REF!</definedName>
    <definedName name="Libor_Scenario">#REF!</definedName>
    <definedName name="Libor_Up">#REF!</definedName>
    <definedName name="ListOffset" hidden="1">1</definedName>
    <definedName name="LKÑ" localSheetId="3" hidden="1">{#N/A,#N/A,FALSE,"Aging Summary";#N/A,#N/A,FALSE,"Ratio Analysis";#N/A,#N/A,FALSE,"Test 120 Day Accts";#N/A,#N/A,FALSE,"Tickmarks"}</definedName>
    <definedName name="LKÑ" hidden="1">{#N/A,#N/A,FALSE,"Aging Summary";#N/A,#N/A,FALSE,"Ratio Analysis";#N/A,#N/A,FALSE,"Test 120 Day Accts";#N/A,#N/A,FALSE,"Tickmarks"}</definedName>
    <definedName name="ll" localSheetId="3" hidden="1">{#N/A,#N/A,FALSE,"Aging Summary";#N/A,#N/A,FALSE,"Ratio Analysis";#N/A,#N/A,FALSE,"Test 120 Day Accts";#N/A,#N/A,FALSE,"Tickmarks"}</definedName>
    <definedName name="ll" hidden="1">{#N/A,#N/A,FALSE,"Aging Summary";#N/A,#N/A,FALSE,"Ratio Analysis";#N/A,#N/A,FALSE,"Test 120 Day Accts";#N/A,#N/A,FALSE,"Tickmarks"}</definedName>
    <definedName name="LM" localSheetId="3" hidden="1">{#N/A,#N/A,FALSE,"Aging Summary";#N/A,#N/A,FALSE,"Ratio Analysis";#N/A,#N/A,FALSE,"Test 120 Day Accts";#N/A,#N/A,FALSE,"Tickmarks"}</definedName>
    <definedName name="LM" hidden="1">{#N/A,#N/A,FALSE,"Aging Summary";#N/A,#N/A,FALSE,"Ratio Analysis";#N/A,#N/A,FALSE,"Test 120 Day Accts";#N/A,#N/A,FALSE,"Tickmarks"}</definedName>
    <definedName name="longterm">[8]Inputs!#REF!</definedName>
    <definedName name="LTM_DATE">#REF!</definedName>
    <definedName name="m" localSheetId="3" hidden="1">{#N/A,#N/A,FALSE,"GRAFICO";#N/A,#N/A,FALSE,"CAJA (2)";#N/A,#N/A,FALSE,"TERCEROS-PROMEDIO";#N/A,#N/A,FALSE,"CAJA";#N/A,#N/A,FALSE,"INGRESOS1995-2003";#N/A,#N/A,FALSE,"GASTOS1995-2003"}</definedName>
    <definedName name="m" hidden="1">{#N/A,#N/A,FALSE,"GRAFICO";#N/A,#N/A,FALSE,"CAJA (2)";#N/A,#N/A,FALSE,"TERCEROS-PROMEDIO";#N/A,#N/A,FALSE,"CAJA";#N/A,#N/A,FALSE,"INGRESOS1995-2003";#N/A,#N/A,FALSE,"GASTOS1995-2003"}</definedName>
    <definedName name="magd" localSheetId="3" hidden="1">{#N/A,#N/A,FALSE,"GRAFICO";#N/A,#N/A,FALSE,"CAJA (2)";#N/A,#N/A,FALSE,"TERCEROS-PROMEDIO";#N/A,#N/A,FALSE,"CAJA";#N/A,#N/A,FALSE,"INGRESOS1995-2003";#N/A,#N/A,FALSE,"GASTOS1995-2003"}</definedName>
    <definedName name="magd" hidden="1">{#N/A,#N/A,FALSE,"GRAFICO";#N/A,#N/A,FALSE,"CAJA (2)";#N/A,#N/A,FALSE,"TERCEROS-PROMEDIO";#N/A,#N/A,FALSE,"CAJA";#N/A,#N/A,FALSE,"INGRESOS1995-2003";#N/A,#N/A,FALSE,"GASTOS1995-2003"}</definedName>
    <definedName name="mario" localSheetId="3" hidden="1">{#N/A,#N/A,FALSE,"Aging Summary";#N/A,#N/A,FALSE,"Ratio Analysis";#N/A,#N/A,FALSE,"Test 120 Day Accts";#N/A,#N/A,FALSE,"Tickmarks"}</definedName>
    <definedName name="mario" hidden="1">{#N/A,#N/A,FALSE,"Aging Summary";#N/A,#N/A,FALSE,"Ratio Analysis";#N/A,#N/A,FALSE,"Test 120 Day Accts";#N/A,#N/A,FALSE,"Tickmarks"}</definedName>
    <definedName name="Marketable_securities">'[26]Fly-by-night - problem 5'!#REF!</definedName>
    <definedName name="MarkP" localSheetId="3" hidden="1">{#N/A,#N/A,FALSE,"GRAFICO";#N/A,#N/A,FALSE,"CAJA (2)";#N/A,#N/A,FALSE,"TERCEROS-PROMEDIO";#N/A,#N/A,FALSE,"CAJA";#N/A,#N/A,FALSE,"INGRESOS1995-2003";#N/A,#N/A,FALSE,"GASTOS1995-2003"}</definedName>
    <definedName name="MarkP" hidden="1">{#N/A,#N/A,FALSE,"GRAFICO";#N/A,#N/A,FALSE,"CAJA (2)";#N/A,#N/A,FALSE,"TERCEROS-PROMEDIO";#N/A,#N/A,FALSE,"CAJA";#N/A,#N/A,FALSE,"INGRESOS1995-2003";#N/A,#N/A,FALSE,"GASTOS1995-2003"}</definedName>
    <definedName name="marmol" localSheetId="3" hidden="1">{"PYGT",#N/A,FALSE,"PYG";"ACTIT",#N/A,FALSE,"BCE_GRAL-ACTIVO";"PASIT",#N/A,FALSE,"BCE_GRAL-PASIVO-PATRIM";"CAJAT",#N/A,FALSE,"CAJA"}</definedName>
    <definedName name="marmol" hidden="1">{"PYGT",#N/A,FALSE,"PYG";"ACTIT",#N/A,FALSE,"BCE_GRAL-ACTIVO";"PASIT",#N/A,FALSE,"BCE_GRAL-PASIVO-PATRIM";"CAJAT",#N/A,FALSE,"CAJA"}</definedName>
    <definedName name="MaxMarkDate">[11]SaleData!$M$3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erck" localSheetId="3" hidden="1">{"'18'!$A$5:$M$18"}</definedName>
    <definedName name="Merck" hidden="1">{"'18'!$A$5:$M$18"}</definedName>
    <definedName name="mercurio" localSheetId="3" hidden="1">{#N/A,#N/A,FALSE,"Aging Summary";#N/A,#N/A,FALSE,"Ratio Analysis";#N/A,#N/A,FALSE,"Test 120 Day Accts";#N/A,#N/A,FALSE,"Tickmarks"}</definedName>
    <definedName name="mercurio" hidden="1">{#N/A,#N/A,FALSE,"Aging Summary";#N/A,#N/A,FALSE,"Ratio Analysis";#N/A,#N/A,FALSE,"Test 120 Day Accts";#N/A,#N/A,FALSE,"Tickmarks"}</definedName>
    <definedName name="mismo" localSheetId="3" hidden="1">{#N/A,#N/A,FALSE,"GRAFICO";#N/A,#N/A,FALSE,"CAJA (2)";#N/A,#N/A,FALSE,"TERCEROS-PROMEDIO";#N/A,#N/A,FALSE,"CAJA";#N/A,#N/A,FALSE,"INGRESOS1995-2003";#N/A,#N/A,FALSE,"GASTOS1995-2003"}</definedName>
    <definedName name="mismo" hidden="1">{#N/A,#N/A,FALSE,"GRAFICO";#N/A,#N/A,FALSE,"CAJA (2)";#N/A,#N/A,FALSE,"TERCEROS-PROMEDIO";#N/A,#N/A,FALSE,"CAJA";#N/A,#N/A,FALSE,"INGRESOS1995-2003";#N/A,#N/A,FALSE,"GASTOS1995-2003"}</definedName>
    <definedName name="MKVALM">#REF!</definedName>
    <definedName name="MMMM" localSheetId="3" hidden="1">{#N/A,#N/A,FALSE,"GRAFICO";#N/A,#N/A,FALSE,"CAJA (2)";#N/A,#N/A,FALSE,"TERCEROS-PROMEDIO";#N/A,#N/A,FALSE,"CAJA";#N/A,#N/A,FALSE,"INGRESOS1995-2003";#N/A,#N/A,FALSE,"GASTOS1995-2003"}</definedName>
    <definedName name="MMMM" hidden="1">{#N/A,#N/A,FALSE,"GRAFICO";#N/A,#N/A,FALSE,"CAJA (2)";#N/A,#N/A,FALSE,"TERCEROS-PROMEDIO";#N/A,#N/A,FALSE,"CAJA";#N/A,#N/A,FALSE,"INGRESOS1995-2003";#N/A,#N/A,FALSE,"GASTOS1995-2003"}</definedName>
    <definedName name="MMMMM" localSheetId="3" hidden="1">{"PYGT",#N/A,FALSE,"PYG";"ACTIT",#N/A,FALSE,"BCE_GRAL-ACTIVO";"PASIT",#N/A,FALSE,"BCE_GRAL-PASIVO-PATRIM";"CAJAT",#N/A,FALSE,"CAJA"}</definedName>
    <definedName name="MMMMM" hidden="1">{"PYGT",#N/A,FALSE,"PYG";"ACTIT",#N/A,FALSE,"BCE_GRAL-ACTIVO";"PASIT",#N/A,FALSE,"BCE_GRAL-PASIVO-PATRIM";"CAJAT",#N/A,FALSE,"CAJA"}</definedName>
    <definedName name="mmmmmmmmmm" localSheetId="3" hidden="1">{"PYGT",#N/A,FALSE,"PYG";"ACTIT",#N/A,FALSE,"BCE_GRAL-ACTIVO";"PASIT",#N/A,FALSE,"BCE_GRAL-PASIVO-PATRIM";"CAJAT",#N/A,FALSE,"CAJA"}</definedName>
    <definedName name="mmmmmmmmmm" hidden="1">{"PYGT",#N/A,FALSE,"PYG";"ACTIT",#N/A,FALSE,"BCE_GRAL-ACTIVO";"PASIT",#N/A,FALSE,"BCE_GRAL-PASIVO-PATRIM";"CAJAT",#N/A,FALSE,"CAJA"}</definedName>
    <definedName name="mmmmmmmmmmmmm" localSheetId="3" hidden="1">{#N/A,#N/A,FALSE,"GRAFICO";#N/A,#N/A,FALSE,"CAJA (2)";#N/A,#N/A,FALSE,"TERCEROS-PROMEDIO";#N/A,#N/A,FALSE,"CAJA";#N/A,#N/A,FALSE,"INGRESOS1995-2003";#N/A,#N/A,FALSE,"GASTOS1995-2003"}</definedName>
    <definedName name="mmmmmmmmmmmmm" hidden="1">{#N/A,#N/A,FALSE,"GRAFICO";#N/A,#N/A,FALSE,"CAJA (2)";#N/A,#N/A,FALSE,"TERCEROS-PROMEDIO";#N/A,#N/A,FALSE,"CAJA";#N/A,#N/A,FALSE,"INGRESOS1995-2003";#N/A,#N/A,FALSE,"GASTOS1995-2003"}</definedName>
    <definedName name="MN" localSheetId="3" hidden="1">{#N/A,#N/A,FALSE,"Aging Summary";#N/A,#N/A,FALSE,"Ratio Analysis";#N/A,#N/A,FALSE,"Test 120 Day Accts";#N/A,#N/A,FALSE,"Tickmarks"}</definedName>
    <definedName name="MN" hidden="1">{#N/A,#N/A,FALSE,"Aging Summary";#N/A,#N/A,FALSE,"Ratio Analysis";#N/A,#N/A,FALSE,"Test 120 Day Accts";#N/A,#N/A,FALSE,"Tickmarks"}</definedName>
    <definedName name="MONTHLYSALES">#REF!</definedName>
    <definedName name="MONTHLYSALES___0">#REF!</definedName>
    <definedName name="moodys">#REF!</definedName>
    <definedName name="morado" localSheetId="3" hidden="1">{#N/A,#N/A,FALSE,"Aging Summary";#N/A,#N/A,FALSE,"Ratio Analysis";#N/A,#N/A,FALSE,"Test 120 Day Accts";#N/A,#N/A,FALSE,"Tickmarks"}</definedName>
    <definedName name="morado" hidden="1">{#N/A,#N/A,FALSE,"Aging Summary";#N/A,#N/A,FALSE,"Ratio Analysis";#N/A,#N/A,FALSE,"Test 120 Day Accts";#N/A,#N/A,FALSE,"Tickmarks"}</definedName>
    <definedName name="mu">'[27]LBO Summary'!$G$130</definedName>
    <definedName name="Name">[8]Info!$C$8</definedName>
    <definedName name="ÑAME" localSheetId="3" hidden="1">{#N/A,#N/A,FALSE,"Aging Summary";#N/A,#N/A,FALSE,"Ratio Analysis";#N/A,#N/A,FALSE,"Test 120 Day Accts";#N/A,#N/A,FALSE,"Tickmarks"}</definedName>
    <definedName name="ÑAME" hidden="1">{#N/A,#N/A,FALSE,"Aging Summary";#N/A,#N/A,FALSE,"Ratio Analysis";#N/A,#N/A,FALSE,"Test 120 Day Accts";#N/A,#N/A,FALSE,"Tickmarks"}</definedName>
    <definedName name="name1">[3]Inputs!$E$10</definedName>
    <definedName name="name10">[3]Inputs!$E$469</definedName>
    <definedName name="name11">[3]Inputs!$E$520</definedName>
    <definedName name="name12">[3]Inputs!$E$571</definedName>
    <definedName name="name13">[3]Inputs!$E$622</definedName>
    <definedName name="name14">[3]Inputs!$E$673</definedName>
    <definedName name="name15">[3]Inputs!$E$724</definedName>
    <definedName name="name2">[3]Inputs!$E$61</definedName>
    <definedName name="name3">[3]Inputs!$E$112</definedName>
    <definedName name="name4">[3]Inputs!$E$163</definedName>
    <definedName name="name5">[3]Inputs!$E$214</definedName>
    <definedName name="name6">[3]Inputs!$E$265</definedName>
    <definedName name="name7">[3]Inputs!$E$316</definedName>
    <definedName name="name8">[3]Inputs!$E$367</definedName>
    <definedName name="name9">[3]Inputs!$E$418</definedName>
    <definedName name="NARJ" localSheetId="3" hidden="1">{#N/A,#N/A,FALSE,"Aging Summary";#N/A,#N/A,FALSE,"Ratio Analysis";#N/A,#N/A,FALSE,"Test 120 Day Accts";#N/A,#N/A,FALSE,"Tickmarks"}</definedName>
    <definedName name="NARJ" hidden="1">{#N/A,#N/A,FALSE,"Aging Summary";#N/A,#N/A,FALSE,"Ratio Analysis";#N/A,#N/A,FALSE,"Test 120 Day Accts";#N/A,#N/A,FALSE,"Tickmarks"}</definedName>
    <definedName name="NDY">#REF!</definedName>
    <definedName name="NDYWGT">#REF!</definedName>
    <definedName name="new" localSheetId="3" hidden="1">{"EVA",#N/A,FALSE,"SMT2";#N/A,#N/A,FALSE,"Summary";#N/A,#N/A,FALSE,"Graphs";#N/A,#N/A,FALSE,"4 Panel"}</definedName>
    <definedName name="new" hidden="1">{"EVA",#N/A,FALSE,"SMT2";#N/A,#N/A,FALSE,"Summary";#N/A,#N/A,FALSE,"Graphs";#N/A,#N/A,FALSE,"4 Panel"}</definedName>
    <definedName name="ni" localSheetId="3" hidden="1">{#N/A,#N/A,FALSE,"GRAFICO";#N/A,#N/A,FALSE,"CAJA (2)";#N/A,#N/A,FALSE,"TERCEROS-PROMEDIO";#N/A,#N/A,FALSE,"CAJA";#N/A,#N/A,FALSE,"INGRESOS1995-2003";#N/A,#N/A,FALSE,"GASTOS1995-2003"}</definedName>
    <definedName name="ni" hidden="1">{#N/A,#N/A,FALSE,"GRAFICO";#N/A,#N/A,FALSE,"CAJA (2)";#N/A,#N/A,FALSE,"TERCEROS-PROMEDIO";#N/A,#N/A,FALSE,"CAJA";#N/A,#N/A,FALSE,"INGRESOS1995-2003";#N/A,#N/A,FALSE,"GASTOS1995-2003"}</definedName>
    <definedName name="ñl" localSheetId="3" hidden="1">{#N/A,#N/A,FALSE,"Aging Summary";#N/A,#N/A,FALSE,"Ratio Analysis";#N/A,#N/A,FALSE,"Test 120 Day Accts";#N/A,#N/A,FALSE,"Tickmarks"}</definedName>
    <definedName name="ñl" hidden="1">{#N/A,#N/A,FALSE,"Aging Summary";#N/A,#N/A,FALSE,"Ratio Analysis";#N/A,#N/A,FALSE,"Test 120 Day Accts";#N/A,#N/A,FALSE,"Tickmarks"}</definedName>
    <definedName name="ÑLK" localSheetId="3" hidden="1">{#N/A,#N/A,FALSE,"Aging Summary";#N/A,#N/A,FALSE,"Ratio Analysis";#N/A,#N/A,FALSE,"Test 120 Day Accts";#N/A,#N/A,FALSE,"Tickmarks"}</definedName>
    <definedName name="ÑLK" hidden="1">{#N/A,#N/A,FALSE,"Aging Summary";#N/A,#N/A,FALSE,"Ratio Analysis";#N/A,#N/A,FALSE,"Test 120 Day Accts";#N/A,#N/A,FALSE,"Tickmarks"}</definedName>
    <definedName name="ÑLOOPP" localSheetId="3" hidden="1">{#N/A,#N/A,FALSE,"Aging Summary";#N/A,#N/A,FALSE,"Ratio Analysis";#N/A,#N/A,FALSE,"Test 120 Day Accts";#N/A,#N/A,FALSE,"Tickmarks"}</definedName>
    <definedName name="ÑLOOPP" hidden="1">{#N/A,#N/A,FALSE,"Aging Summary";#N/A,#N/A,FALSE,"Ratio Analysis";#N/A,#N/A,FALSE,"Test 120 Day Accts";#N/A,#N/A,FALSE,"Tickmarks"}</definedName>
    <definedName name="NNN" localSheetId="3" hidden="1">{"PYGS",#N/A,FALSE,"PYG";"ACTIS",#N/A,FALSE,"BCE_GRAL-ACTIVO";"PASIS",#N/A,FALSE,"BCE_GRAL-PASIVO-PATRIM";"CAJAS",#N/A,FALSE,"CAJA"}</definedName>
    <definedName name="NNN" hidden="1">{"PYGS",#N/A,FALSE,"PYG";"ACTIS",#N/A,FALSE,"BCE_GRAL-ACTIVO";"PASIS",#N/A,FALSE,"BCE_GRAL-PASIVO-PATRIM";"CAJAS",#N/A,FALSE,"CAJA"}</definedName>
    <definedName name="NNNN" localSheetId="3" hidden="1">{"PYGT",#N/A,FALSE,"PYG";"ACTIT",#N/A,FALSE,"BCE_GRAL-ACTIVO";"PASIT",#N/A,FALSE,"BCE_GRAL-PASIVO-PATRIM";"CAJAT",#N/A,FALSE,"CAJA"}</definedName>
    <definedName name="NNNN" hidden="1">{"PYGT",#N/A,FALSE,"PYG";"ACTIT",#N/A,FALSE,"BCE_GRAL-ACTIVO";"PASIT",#N/A,FALSE,"BCE_GRAL-PASIVO-PATRIM";"CAJAT",#N/A,FALSE,"CAJA"}</definedName>
    <definedName name="NNNNN" localSheetId="3" hidden="1">{"PYGT",#N/A,FALSE,"PYG";"ACTIT",#N/A,FALSE,"BCE_GRAL-ACTIVO";"PASIT",#N/A,FALSE,"BCE_GRAL-PASIVO-PATRIM";"CAJAT",#N/A,FALSE,"CAJA"}</definedName>
    <definedName name="NNNNN" hidden="1">{"PYGT",#N/A,FALSE,"PYG";"ACTIT",#N/A,FALSE,"BCE_GRAL-ACTIVO";"PASIT",#N/A,FALSE,"BCE_GRAL-PASIVO-PATRIM";"CAJAT",#N/A,FALSE,"CAJA"}</definedName>
    <definedName name="NO" localSheetId="3" hidden="1">{"PYGT",#N/A,FALSE,"PYG";"ACTIT",#N/A,FALSE,"BCE_GRAL-ACTIVO";"PASIT",#N/A,FALSE,"BCE_GRAL-PASIVO-PATRIM";"CAJAT",#N/A,FALSE,"CAJA"}</definedName>
    <definedName name="NO" hidden="1">{"PYGT",#N/A,FALSE,"PYG";"ACTIT",#N/A,FALSE,"BCE_GRAL-ACTIVO";"PASIT",#N/A,FALSE,"BCE_GRAL-PASIVO-PATRIM";"CAJAT",#N/A,FALSE,"CAJA"}</definedName>
    <definedName name="noam" localSheetId="3" hidden="1">{#N/A,#N/A,FALSE,"Aging Summary";#N/A,#N/A,FALSE,"Ratio Analysis";#N/A,#N/A,FALSE,"Test 120 Day Accts";#N/A,#N/A,FALSE,"Tickmarks"}</definedName>
    <definedName name="noam" hidden="1">{#N/A,#N/A,FALSE,"Aging Summary";#N/A,#N/A,FALSE,"Ratio Analysis";#N/A,#N/A,FALSE,"Test 120 Day Accts";#N/A,#N/A,FALSE,"Tickmarks"}</definedName>
    <definedName name="NóminaConfidencial" localSheetId="3" hidden="1">{#N/A,#N/A,FALSE,"Aging Summary";#N/A,#N/A,FALSE,"Ratio Analysis";#N/A,#N/A,FALSE,"Test 120 Day Accts";#N/A,#N/A,FALSE,"Tickmarks"}</definedName>
    <definedName name="NóminaConfidencial" hidden="1">{#N/A,#N/A,FALSE,"Aging Summary";#N/A,#N/A,FALSE,"Ratio Analysis";#N/A,#N/A,FALSE,"Test 120 Day Accts";#N/A,#N/A,FALSE,"Tickmarks"}</definedName>
    <definedName name="ÑOÑO" localSheetId="3" hidden="1">{#N/A,#N/A,FALSE,"Aging Summary";#N/A,#N/A,FALSE,"Ratio Analysis";#N/A,#N/A,FALSE,"Test 120 Day Accts";#N/A,#N/A,FALSE,"Tickmarks"}</definedName>
    <definedName name="ÑOÑO" hidden="1">{#N/A,#N/A,FALSE,"Aging Summary";#N/A,#N/A,FALSE,"Ratio Analysis";#N/A,#N/A,FALSE,"Test 120 Day Accts";#N/A,#N/A,FALSE,"Tickmarks"}</definedName>
    <definedName name="ñpl" localSheetId="3" hidden="1">{#N/A,#N/A,FALSE,"Aging Summary";#N/A,#N/A,FALSE,"Ratio Analysis";#N/A,#N/A,FALSE,"Test 120 Day Accts";#N/A,#N/A,FALSE,"Tickmarks"}</definedName>
    <definedName name="ñpl" hidden="1">{#N/A,#N/A,FALSE,"Aging Summary";#N/A,#N/A,FALSE,"Ratio Analysis";#N/A,#N/A,FALSE,"Test 120 Day Accts";#N/A,#N/A,FALSE,"Tickmarks"}</definedName>
    <definedName name="NTA" localSheetId="3" hidden="1">{#N/A,#N/A,FALSE,"Aging Summary";#N/A,#N/A,FALSE,"Ratio Analysis";#N/A,#N/A,FALSE,"Test 120 Day Accts";#N/A,#N/A,FALSE,"Tickmarks"}</definedName>
    <definedName name="NTA" hidden="1">{#N/A,#N/A,FALSE,"Aging Summary";#N/A,#N/A,FALSE,"Ratio Analysis";#N/A,#N/A,FALSE,"Test 120 Day Accts";#N/A,#N/A,FALSE,"Tickmarks"}</definedName>
    <definedName name="OC1Actual">OFFSET([9]OCTrends!$C$2,0,0,COUNTA([9]OCTrends!$C$1:$C$65536)-1)</definedName>
    <definedName name="OC1ChartTitle">[9]OCTrends!$W$1</definedName>
    <definedName name="OC1Covenant">OFFSET([9]OCTrends!$D$2,0,0,COUNTA([9]OCTrends!$D$1:$D$65536)-1)</definedName>
    <definedName name="OC1Date">OFFSET([9]OCTrends!$B$2,0,0,COUNTA([9]OCTrends!$B$1:$B$65536)-1)</definedName>
    <definedName name="OC2Actual">OFFSET([9]OCTrends!$H$2,0,0,COUNTA([9]OCTrends!$H$1:$H$65536)-1)</definedName>
    <definedName name="OC2Covenant">OFFSET([9]OCTrends!$I$2,0,0,COUNTA([9]OCTrends!$I$1:$I$65536)-1)</definedName>
    <definedName name="OC2Date">OFFSET([9]OCTrends!$G$2,0,0,COUNTA([9]OCTrends!$G$1:$G$65536)-1)</definedName>
    <definedName name="OC3Actual">OFFSET([9]OCTrends!$M$2,0,0,COUNTA([9]OCTrends!$M$1:$M$65536)-1)</definedName>
    <definedName name="OC3Covenant">OFFSET([9]OCTrends!$N$2,0,0,COUNTA([9]OCTrends!$N$1:$N$65536)-1)</definedName>
    <definedName name="OC3Date">OFFSET([9]OCTrends!$L$2,0,0,COUNTA([9]OCTrends!$L$1:$L$65536)-1)</definedName>
    <definedName name="OC4Actual">OFFSET([9]OCTrends!$R$2,0,0,COUNTA([9]OCTrends!$R$1:$R$65536)-1)</definedName>
    <definedName name="OC4Covenant">OFFSET([9]OCTrends!$S$2,0,0,COUNTA([9]OCTrends!$S$1:$S$65536)-1)</definedName>
    <definedName name="OC4Date">OFFSET([9]OCTrends!$Q$2,0,0,COUNTA([9]OCTrends!$Q$1:$Q$65536)-1)</definedName>
    <definedName name="OCT" localSheetId="3" hidden="1">{#N/A,#N/A,FALSE,"BL&amp;GPA";#N/A,#N/A,FALSE,"Summary";#N/A,#N/A,FALSE,"hts"}</definedName>
    <definedName name="OCT" hidden="1">{#N/A,#N/A,FALSE,"BL&amp;GPA";#N/A,#N/A,FALSE,"Summary";#N/A,#N/A,FALSE,"hts"}</definedName>
    <definedName name="oera" localSheetId="3" hidden="1">{#N/A,#N/A,FALSE,"Aging Summary";#N/A,#N/A,FALSE,"Ratio Analysis";#N/A,#N/A,FALSE,"Test 120 Day Accts";#N/A,#N/A,FALSE,"Tickmarks"}</definedName>
    <definedName name="oera" hidden="1">{#N/A,#N/A,FALSE,"Aging Summary";#N/A,#N/A,FALSE,"Ratio Analysis";#N/A,#N/A,FALSE,"Test 120 Day Accts";#N/A,#N/A,FALSE,"Tickmarks"}</definedName>
    <definedName name="OGRAD" localSheetId="3" hidden="1">{#N/A,#N/A,FALSE,"Aging Summary";#N/A,#N/A,FALSE,"Ratio Analysis";#N/A,#N/A,FALSE,"Test 120 Day Accts";#N/A,#N/A,FALSE,"Tickmarks"}</definedName>
    <definedName name="OGRAD" hidden="1">{#N/A,#N/A,FALSE,"Aging Summary";#N/A,#N/A,FALSE,"Ratio Analysis";#N/A,#N/A,FALSE,"Test 120 Day Accts";#N/A,#N/A,FALSE,"Tickmarks"}</definedName>
    <definedName name="ojal" localSheetId="3" hidden="1">{#N/A,#N/A,FALSE,"Aging Summary";#N/A,#N/A,FALSE,"Ratio Analysis";#N/A,#N/A,FALSE,"Test 120 Day Accts";#N/A,#N/A,FALSE,"Tickmarks"}</definedName>
    <definedName name="ojal" hidden="1">{#N/A,#N/A,FALSE,"Aging Summary";#N/A,#N/A,FALSE,"Ratio Analysis";#N/A,#N/A,FALSE,"Test 120 Day Accts";#N/A,#N/A,FALSE,"Tickmarks"}</definedName>
    <definedName name="ok" localSheetId="3" hidden="1">{#N/A,#N/A,FALSE,"balance";#N/A,#N/A,FALSE,"PYG"}</definedName>
    <definedName name="ok" hidden="1">{#N/A,#N/A,FALSE,"balance";#N/A,#N/A,FALSE,"PYG"}</definedName>
    <definedName name="OLOCASUTO" localSheetId="3" hidden="1">{#N/A,#N/A,FALSE,"balance";#N/A,#N/A,FALSE,"PYG"}</definedName>
    <definedName name="OLOCASUTO" hidden="1">{#N/A,#N/A,FALSE,"balance";#N/A,#N/A,FALSE,"PYG"}</definedName>
    <definedName name="onven" localSheetId="3" hidden="1">{#N/A,#N/A,FALSE,"balance";#N/A,#N/A,FALSE,"PYG"}</definedName>
    <definedName name="onven" hidden="1">{#N/A,#N/A,FALSE,"balance";#N/A,#N/A,FALSE,"PYG"}</definedName>
    <definedName name="OOO" localSheetId="3" hidden="1">{#N/A,#N/A,FALSE,"Aging Summary";#N/A,#N/A,FALSE,"Ratio Analysis";#N/A,#N/A,FALSE,"Test 120 Day Accts";#N/A,#N/A,FALSE,"Tickmarks"}</definedName>
    <definedName name="OOO" hidden="1">{#N/A,#N/A,FALSE,"Aging Summary";#N/A,#N/A,FALSE,"Ratio Analysis";#N/A,#N/A,FALSE,"Test 120 Day Accts";#N/A,#N/A,FALSE,"Tickmarks"}</definedName>
    <definedName name="operty" localSheetId="3" hidden="1">{#N/A,#N/A,FALSE,"Aging Summary";#N/A,#N/A,FALSE,"Ratio Analysis";#N/A,#N/A,FALSE,"Test 120 Day Accts";#N/A,#N/A,FALSE,"Tickmarks"}</definedName>
    <definedName name="operty" hidden="1">{#N/A,#N/A,FALSE,"Aging Summary";#N/A,#N/A,FALSE,"Ratio Analysis";#N/A,#N/A,FALSE,"Test 120 Day Accts";#N/A,#N/A,FALSE,"Tickmarks"}</definedName>
    <definedName name="Order">#REF!</definedName>
    <definedName name="oso" localSheetId="3" hidden="1">{#N/A,#N/A,FALSE,"Aging Summary";#N/A,#N/A,FALSE,"Ratio Analysis";#N/A,#N/A,FALSE,"Test 120 Day Accts";#N/A,#N/A,FALSE,"Tickmarks"}</definedName>
    <definedName name="oso" hidden="1">{#N/A,#N/A,FALSE,"Aging Summary";#N/A,#N/A,FALSE,"Ratio Analysis";#N/A,#N/A,FALSE,"Test 120 Day Accts";#N/A,#N/A,FALSE,"Tickmarks"}</definedName>
    <definedName name="Other_assets">'[26]Fly-by-night - problem 5'!#REF!</definedName>
    <definedName name="Other_current_liabilities_Sales">'[7]Tanning Assumptions'!#REF!</definedName>
    <definedName name="Other_long_term_liabilities">'[7]Tanning Assumptions'!#REF!</definedName>
    <definedName name="OtherRev">#REF!</definedName>
    <definedName name="P_L">#REF!</definedName>
    <definedName name="PABN" localSheetId="3" hidden="1">{#N/A,#N/A,FALSE,"Aging Summary";#N/A,#N/A,FALSE,"Ratio Analysis";#N/A,#N/A,FALSE,"Test 120 Day Accts";#N/A,#N/A,FALSE,"Tickmarks"}</definedName>
    <definedName name="PABN" hidden="1">{#N/A,#N/A,FALSE,"Aging Summary";#N/A,#N/A,FALSE,"Ratio Analysis";#N/A,#N/A,FALSE,"Test 120 Day Accts";#N/A,#N/A,FALSE,"Tickmarks"}</definedName>
    <definedName name="PALENCIA" localSheetId="3" hidden="1">{#N/A,#N/A,FALSE,"Aging Summary";#N/A,#N/A,FALSE,"Ratio Analysis";#N/A,#N/A,FALSE,"Test 120 Day Accts";#N/A,#N/A,FALSE,"Tickmarks"}</definedName>
    <definedName name="PALENCIA" hidden="1">{#N/A,#N/A,FALSE,"Aging Summary";#N/A,#N/A,FALSE,"Ratio Analysis";#N/A,#N/A,FALSE,"Test 120 Day Accts";#N/A,#N/A,FALSE,"Tickmarks"}</definedName>
    <definedName name="PALTO" localSheetId="3" hidden="1">{#N/A,#N/A,FALSE,"Aging Summary";#N/A,#N/A,FALSE,"Ratio Analysis";#N/A,#N/A,FALSE,"Test 120 Day Accts";#N/A,#N/A,FALSE,"Tickmarks"}</definedName>
    <definedName name="PALTO" hidden="1">{#N/A,#N/A,FALSE,"Aging Summary";#N/A,#N/A,FALSE,"Ratio Analysis";#N/A,#N/A,FALSE,"Test 120 Day Accts";#N/A,#N/A,FALSE,"Tickmarks"}</definedName>
    <definedName name="parce" localSheetId="3" hidden="1">{#N/A,#N/A,FALSE,"Aging Summary";#N/A,#N/A,FALSE,"Ratio Analysis";#N/A,#N/A,FALSE,"Test 120 Day Accts";#N/A,#N/A,FALSE,"Tickmarks"}</definedName>
    <definedName name="parce" hidden="1">{#N/A,#N/A,FALSE,"Aging Summary";#N/A,#N/A,FALSE,"Ratio Analysis";#N/A,#N/A,FALSE,"Test 120 Day Accts";#N/A,#N/A,FALSE,"Tickmarks"}</definedName>
    <definedName name="parra" localSheetId="3" hidden="1">{#N/A,#N/A,FALSE,"Aging Summary";#N/A,#N/A,FALSE,"Ratio Analysis";#N/A,#N/A,FALSE,"Test 120 Day Accts";#N/A,#N/A,FALSE,"Tickmarks"}</definedName>
    <definedName name="parra" hidden="1">{#N/A,#N/A,FALSE,"Aging Summary";#N/A,#N/A,FALSE,"Ratio Analysis";#N/A,#N/A,FALSE,"Test 120 Day Accts";#N/A,#N/A,FALSE,"Tickmarks"}</definedName>
    <definedName name="particulares1" localSheetId="3" hidden="1">{#N/A,#N/A,FALSE,"Aging Summary";#N/A,#N/A,FALSE,"Ratio Analysis";#N/A,#N/A,FALSE,"Test 120 Day Accts";#N/A,#N/A,FALSE,"Tickmarks"}</definedName>
    <definedName name="particulares1" hidden="1">{#N/A,#N/A,FALSE,"Aging Summary";#N/A,#N/A,FALSE,"Ratio Analysis";#N/A,#N/A,FALSE,"Test 120 Day Accts";#N/A,#N/A,FALSE,"Tickmarks"}</definedName>
    <definedName name="PCV">[9]Calcs!$B$1</definedName>
    <definedName name="PEPA" localSheetId="3" hidden="1">{"PYGT",#N/A,FALSE,"PYG";"ACTIT",#N/A,FALSE,"BCE_GRAL-ACTIVO";"PASIT",#N/A,FALSE,"BCE_GRAL-PASIVO-PATRIM";"CAJAT",#N/A,FALSE,"CAJA"}</definedName>
    <definedName name="PEPA" hidden="1">{"PYGT",#N/A,FALSE,"PYG";"ACTIT",#N/A,FALSE,"BCE_GRAL-ACTIVO";"PASIT",#N/A,FALSE,"BCE_GRAL-PASIVO-PATRIM";"CAJAT",#N/A,FALSE,"CAJA"}</definedName>
    <definedName name="PERA" localSheetId="3" hidden="1">{#N/A,#N/A,FALSE,"Aging Summary";#N/A,#N/A,FALSE,"Ratio Analysis";#N/A,#N/A,FALSE,"Test 120 Day Accts";#N/A,#N/A,FALSE,"Tickmarks"}</definedName>
    <definedName name="PERA" hidden="1">{#N/A,#N/A,FALSE,"Aging Summary";#N/A,#N/A,FALSE,"Ratio Analysis";#N/A,#N/A,FALSE,"Test 120 Day Accts";#N/A,#N/A,FALSE,"Tickmarks"}</definedName>
    <definedName name="Percentage">#REF!</definedName>
    <definedName name="perico" localSheetId="3" hidden="1">{#N/A,#N/A,FALSE,"Aging Summary";#N/A,#N/A,FALSE,"Ratio Analysis";#N/A,#N/A,FALSE,"Test 120 Day Accts";#N/A,#N/A,FALSE,"Tickmarks"}</definedName>
    <definedName name="perico" hidden="1">{#N/A,#N/A,FALSE,"Aging Summary";#N/A,#N/A,FALSE,"Ratio Analysis";#N/A,#N/A,FALSE,"Test 120 Day Accts";#N/A,#N/A,FALSE,"Tickmarks"}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'[28]VeCTOR Import'!#REF!</definedName>
    <definedName name="pik">'[13]S&amp;U'!#REF!</definedName>
    <definedName name="pintada" localSheetId="3" hidden="1">{#N/A,#N/A,FALSE,"balance";#N/A,#N/A,FALSE,"PYG"}</definedName>
    <definedName name="pintada" hidden="1">{#N/A,#N/A,FALSE,"balance";#N/A,#N/A,FALSE,"PYG"}</definedName>
    <definedName name="pl" localSheetId="3" hidden="1">{#N/A,#N/A,FALSE,"Aging Summary";#N/A,#N/A,FALSE,"Ratio Analysis";#N/A,#N/A,FALSE,"Test 120 Day Accts";#N/A,#N/A,FALSE,"Tickmarks"}</definedName>
    <definedName name="pl" hidden="1">{#N/A,#N/A,FALSE,"Aging Summary";#N/A,#N/A,FALSE,"Ratio Analysis";#N/A,#N/A,FALSE,"Test 120 Day Accts";#N/A,#N/A,FALSE,"Tickmarks"}</definedName>
    <definedName name="PÑ" localSheetId="3" hidden="1">{#N/A,#N/A,FALSE,"Aging Summary";#N/A,#N/A,FALSE,"Ratio Analysis";#N/A,#N/A,FALSE,"Test 120 Day Accts";#N/A,#N/A,FALSE,"Tickmarks"}</definedName>
    <definedName name="PÑ" hidden="1">{#N/A,#N/A,FALSE,"Aging Summary";#N/A,#N/A,FALSE,"Ratio Analysis";#N/A,#N/A,FALSE,"Test 120 Day Accts";#N/A,#N/A,FALSE,"Tickmarks"}</definedName>
    <definedName name="PO" localSheetId="3" hidden="1">{#N/A,#N/A,FALSE,"Aging Summary";#N/A,#N/A,FALSE,"Ratio Analysis";#N/A,#N/A,FALSE,"Test 120 Day Accts";#N/A,#N/A,FALSE,"Tickmarks"}</definedName>
    <definedName name="PO" hidden="1">{#N/A,#N/A,FALSE,"Aging Summary";#N/A,#N/A,FALSE,"Ratio Analysis";#N/A,#N/A,FALSE,"Test 120 Day Accts";#N/A,#N/A,FALSE,"Tickmarks"}</definedName>
    <definedName name="POLIS" localSheetId="3" hidden="1">{#N/A,#N/A,FALSE,"GRAFICO";#N/A,#N/A,FALSE,"CAJA (2)";#N/A,#N/A,FALSE,"TERCEROS-PROMEDIO";#N/A,#N/A,FALSE,"CAJA";#N/A,#N/A,FALSE,"INGRESOS1995-2003";#N/A,#N/A,FALSE,"GASTOS1995-2003"}</definedName>
    <definedName name="POLIS" hidden="1">{#N/A,#N/A,FALSE,"GRAFICO";#N/A,#N/A,FALSE,"CAJA (2)";#N/A,#N/A,FALSE,"TERCEROS-PROMEDIO";#N/A,#N/A,FALSE,"CAJA";#N/A,#N/A,FALSE,"INGRESOS1995-2003";#N/A,#N/A,FALSE,"GASTOS1995-2003"}</definedName>
    <definedName name="portion1">[3]Inputs!$E$14</definedName>
    <definedName name="portion10">[3]Inputs!$E$473</definedName>
    <definedName name="portion11">[3]Inputs!$E$524</definedName>
    <definedName name="portion12">[3]Inputs!$E$575</definedName>
    <definedName name="portion13">[3]Inputs!$E$626</definedName>
    <definedName name="portion14">[3]Inputs!$E$677</definedName>
    <definedName name="portion15">[3]Inputs!$E$728</definedName>
    <definedName name="portion2">[3]Inputs!$E$65</definedName>
    <definedName name="portion3">[3]Inputs!$E$116</definedName>
    <definedName name="portion4">[3]Inputs!$E$167</definedName>
    <definedName name="portion5">[3]Inputs!$E$218</definedName>
    <definedName name="portion6">[3]Inputs!$E$269</definedName>
    <definedName name="portion7">[3]Inputs!$E$320</definedName>
    <definedName name="portion8">[3]Inputs!$E$371</definedName>
    <definedName name="portion9">[3]Inputs!$E$422</definedName>
    <definedName name="pp" localSheetId="3" hidden="1">{#N/A,#N/A,FALSE,"balance";#N/A,#N/A,FALSE,"PYG"}</definedName>
    <definedName name="pp" hidden="1">{#N/A,#N/A,FALSE,"balance";#N/A,#N/A,FALSE,"PYG"}</definedName>
    <definedName name="PP_E_Sales">'[7]Tanning Assumptions'!#REF!</definedName>
    <definedName name="Pptomol06revisrefino" localSheetId="3" hidden="1">{"'18'!$A$5:$M$18"}</definedName>
    <definedName name="Pptomol06revisrefino" hidden="1">{"'18'!$A$5:$M$18"}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'[7]Tanning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DUCTO" localSheetId="3" hidden="1">{#N/A,#N/A,FALSE,"balance";#N/A,#N/A,FALSE,"PYG"}</definedName>
    <definedName name="PRODUCTO" hidden="1">{#N/A,#N/A,FALSE,"balance";#N/A,#N/A,FALSE,"PYG"}</definedName>
    <definedName name="project">[16]CONTROL!$D$8</definedName>
    <definedName name="project___0">[12]CONTROL!$D$8</definedName>
    <definedName name="ProjList">#REF!</definedName>
    <definedName name="PublicCompany">#REF!</definedName>
    <definedName name="purchase">[29]TRANSACTION!$Q$2</definedName>
    <definedName name="PURCHASE_PRICE">[30]Sheet5:D!$A$1:$H$23</definedName>
    <definedName name="PYG" localSheetId="3" hidden="1">{#N/A,#N/A,FALSE,"balance";#N/A,#N/A,FALSE,"PYG"}</definedName>
    <definedName name="PYG" hidden="1">{#N/A,#N/A,FALSE,"balance";#N/A,#N/A,FALSE,"PYG"}</definedName>
    <definedName name="q" localSheetId="3" hidden="1">{#N/A,#N/A,FALSE,"Aging Summary";#N/A,#N/A,FALSE,"Ratio Analysis";#N/A,#N/A,FALSE,"Test 120 Day Accts";#N/A,#N/A,FALSE,"Tickmarks"}</definedName>
    <definedName name="q" hidden="1">{#N/A,#N/A,FALSE,"Aging Summary";#N/A,#N/A,FALSE,"Ratio Analysis";#N/A,#N/A,FALSE,"Test 120 Day Accts";#N/A,#N/A,FALSE,"Tickmarks"}</definedName>
    <definedName name="QPI" localSheetId="3" hidden="1">{#N/A,#N/A,FALSE,"Aging Summary";#N/A,#N/A,FALSE,"Ratio Analysis";#N/A,#N/A,FALSE,"Test 120 Day Accts";#N/A,#N/A,FALSE,"Tickmarks"}</definedName>
    <definedName name="QPI" hidden="1">{#N/A,#N/A,FALSE,"Aging Summary";#N/A,#N/A,FALSE,"Ratio Analysis";#N/A,#N/A,FALSE,"Test 120 Day Accts";#N/A,#N/A,FALSE,"Tickmarks"}</definedName>
    <definedName name="qryWSO_Positions_ByFunds_CrossTab">#REF!</definedName>
    <definedName name="quarterly">#REF!</definedName>
    <definedName name="QUESO" localSheetId="3" hidden="1">{"PYGT",#N/A,FALSE,"PYG";"ACTIT",#N/A,FALSE,"BCE_GRAL-ACTIVO";"PASIT",#N/A,FALSE,"BCE_GRAL-PASIVO-PATRIM";"CAJAT",#N/A,FALSE,"CAJA"}</definedName>
    <definedName name="QUESO" hidden="1">{"PYGT",#N/A,FALSE,"PYG";"ACTIT",#N/A,FALSE,"BCE_GRAL-ACTIVO";"PASIT",#N/A,FALSE,"BCE_GRAL-PASIVO-PATRIM";"CAJAT",#N/A,FALSE,"CAJA"}</definedName>
    <definedName name="RAIZ" localSheetId="3" hidden="1">{#N/A,#N/A,FALSE,"Aging Summary";#N/A,#N/A,FALSE,"Ratio Analysis";#N/A,#N/A,FALSE,"Test 120 Day Accts";#N/A,#N/A,FALSE,"Tickmarks"}</definedName>
    <definedName name="RAIZ" hidden="1">{#N/A,#N/A,FALSE,"Aging Summary";#N/A,#N/A,FALSE,"Ratio Analysis";#N/A,#N/A,FALSE,"Test 120 Day Accts";#N/A,#N/A,FALSE,"Tickmarks"}</definedName>
    <definedName name="rate">#REF!</definedName>
    <definedName name="RateTable">[31]MASTER!#REF!</definedName>
    <definedName name="Rating">'[11]Actual vs Covenant'!$P$11:$Q$18</definedName>
    <definedName name="RatingFactors">#REF!</definedName>
    <definedName name="RATIOS">#REF!</definedName>
    <definedName name="RATIOS___0">#REF!</definedName>
    <definedName name="re" localSheetId="3" hidden="1">{#N/A,#N/A,FALSE,"balance";#N/A,#N/A,FALSE,"PYG"}</definedName>
    <definedName name="re" hidden="1">{#N/A,#N/A,FALSE,"balance";#N/A,#N/A,FALSE,"PYG"}</definedName>
    <definedName name="recovery">#REF!</definedName>
    <definedName name="REE" localSheetId="3" hidden="1">{"'18'!$A$5:$M$18"}</definedName>
    <definedName name="REE" hidden="1">{"'18'!$A$5:$M$18"}</definedName>
    <definedName name="refi">'[32]OBS - REFI'!$AP$5</definedName>
    <definedName name="rei" localSheetId="3" hidden="1">{"'18'!$A$5:$M$18"}</definedName>
    <definedName name="rei" hidden="1">{"'18'!$A$5:$M$18"}</definedName>
    <definedName name="REPORT">#REF!</definedName>
    <definedName name="REPORT___0">#REF!</definedName>
    <definedName name="ReprintRev">#REF!</definedName>
    <definedName name="res" localSheetId="3" hidden="1">{#N/A,#N/A,FALSE,"GRAFICO";#N/A,#N/A,FALSE,"CAJA (2)";#N/A,#N/A,FALSE,"TERCEROS-PROMEDIO";#N/A,#N/A,FALSE,"CAJA";#N/A,#N/A,FALSE,"INGRESOS1995-2003";#N/A,#N/A,FALSE,"GASTOS1995-2003"}</definedName>
    <definedName name="res" hidden="1">{#N/A,#N/A,FALSE,"GRAFICO";#N/A,#N/A,FALSE,"CAJA (2)";#N/A,#N/A,FALSE,"TERCEROS-PROMEDIO";#N/A,#N/A,FALSE,"CAJA";#N/A,#N/A,FALSE,"INGRESOS1995-2003";#N/A,#N/A,FALSE,"GASTOS1995-2003"}</definedName>
    <definedName name="Resumen" localSheetId="3" hidden="1">#REF!</definedName>
    <definedName name="Resumen" hidden="1">#REF!</definedName>
    <definedName name="ret" localSheetId="3" hidden="1">{#N/A,#N/A,FALSE,"Aging Summary";#N/A,#N/A,FALSE,"Ratio Analysis";#N/A,#N/A,FALSE,"Test 120 Day Accts";#N/A,#N/A,FALSE,"Tickmarks"}</definedName>
    <definedName name="ret" hidden="1">{#N/A,#N/A,FALSE,"Aging Summary";#N/A,#N/A,FALSE,"Ratio Analysis";#N/A,#N/A,FALSE,"Test 120 Day Accts";#N/A,#N/A,FALSE,"Tickmarks"}</definedName>
    <definedName name="reti" localSheetId="3" hidden="1">{"'18'!$A$5:$M$18"}</definedName>
    <definedName name="reti" hidden="1">{"'18'!$A$5:$M$18"}</definedName>
    <definedName name="retiro" localSheetId="3" hidden="1">{"'18'!$A$5:$M$18"}</definedName>
    <definedName name="retiro" hidden="1">{"'18'!$A$5:$M$18"}</definedName>
    <definedName name="RF" localSheetId="3" hidden="1">{#N/A,#N/A,FALSE,"Aging Summary";#N/A,#N/A,FALSE,"Ratio Analysis";#N/A,#N/A,FALSE,"Test 120 Day Accts";#N/A,#N/A,FALSE,"Tickmarks"}</definedName>
    <definedName name="RF" hidden="1">{#N/A,#N/A,FALSE,"Aging Summary";#N/A,#N/A,FALSE,"Ratio Analysis";#N/A,#N/A,FALSE,"Test 120 Day Accts";#N/A,#N/A,FALSE,"Tickmarks"}</definedName>
    <definedName name="rhl">'[24]LBO Summary'!#REF!</definedName>
    <definedName name="RoyaltyRev">#REF!</definedName>
    <definedName name="rptData">#REF!</definedName>
    <definedName name="rr" localSheetId="3" hidden="1">{"PYGS",#N/A,FALSE,"PYG";"ACTIS",#N/A,FALSE,"BCE_GRAL-ACTIVO";"PASIS",#N/A,FALSE,"BCE_GRAL-PASIVO-PATRIM";"CAJAS",#N/A,FALSE,"CAJA"}</definedName>
    <definedName name="rr" hidden="1">{"PYGS",#N/A,FALSE,"PYG";"ACTIS",#N/A,FALSE,"BCE_GRAL-ACTIVO";"PASIS",#N/A,FALSE,"BCE_GRAL-PASIVO-PATRIM";"CAJAS",#N/A,FALSE,"CAJA"}</definedName>
    <definedName name="rrrrrrrrrrr" localSheetId="3" hidden="1">{#N/A,#N/A,FALSE,"GRAFICO";#N/A,#N/A,FALSE,"CAJA (2)";#N/A,#N/A,FALSE,"TERCEROS-PROMEDIO";#N/A,#N/A,FALSE,"CAJA";#N/A,#N/A,FALSE,"INGRESOS1995-2003";#N/A,#N/A,FALSE,"GASTOS1995-2003"}</definedName>
    <definedName name="rrrrrrrrrrr" hidden="1">{#N/A,#N/A,FALSE,"GRAFICO";#N/A,#N/A,FALSE,"CAJA (2)";#N/A,#N/A,FALSE,"TERCEROS-PROMEDIO";#N/A,#N/A,FALSE,"CAJA";#N/A,#N/A,FALSE,"INGRESOS1995-2003";#N/A,#N/A,FALSE,"GASTOS1995-2003"}</definedName>
    <definedName name="rrtrr" localSheetId="3" hidden="1">{"PYGT",#N/A,FALSE,"PYG";"ACTIT",#N/A,FALSE,"BCE_GRAL-ACTIVO";"PASIT",#N/A,FALSE,"BCE_GRAL-PASIVO-PATRIM";"CAJAT",#N/A,FALSE,"CAJA"}</definedName>
    <definedName name="rrtrr" hidden="1">{"PYGT",#N/A,FALSE,"PYG";"ACTIT",#N/A,FALSE,"BCE_GRAL-ACTIVO";"PASIT",#N/A,FALSE,"BCE_GRAL-PASIVO-PATRIM";"CAJAT",#N/A,FALSE,"CAJA"}</definedName>
    <definedName name="RTS" localSheetId="3" hidden="1">{#N/A,#N/A,FALSE,"Aging Summary";#N/A,#N/A,FALSE,"Ratio Analysis";#N/A,#N/A,FALSE,"Test 120 Day Accts";#N/A,#N/A,FALSE,"Tickmarks"}</definedName>
    <definedName name="RTS" hidden="1">{#N/A,#N/A,FALSE,"Aging Summary";#N/A,#N/A,FALSE,"Ratio Analysis";#N/A,#N/A,FALSE,"Test 120 Day Accts";#N/A,#N/A,FALSE,"Tickmarks"}</definedName>
    <definedName name="S" localSheetId="3" hidden="1">{#N/A,#N/A,FALSE,"GRAFICO";#N/A,#N/A,FALSE,"CAJA (2)";#N/A,#N/A,FALSE,"TERCEROS-PROMEDIO";#N/A,#N/A,FALSE,"CAJA";#N/A,#N/A,FALSE,"INGRESOS1995-2003";#N/A,#N/A,FALSE,"GASTOS1995-2003"}</definedName>
    <definedName name="S" hidden="1">{#N/A,#N/A,FALSE,"GRAFICO";#N/A,#N/A,FALSE,"CAJA (2)";#N/A,#N/A,FALSE,"TERCEROS-PROMEDIO";#N/A,#N/A,FALSE,"CAJA";#N/A,#N/A,FALSE,"INGRESOS1995-2003";#N/A,#N/A,FALSE,"GASTOS1995-2003"}</definedName>
    <definedName name="s.outstand">[8]Inputs!#REF!</definedName>
    <definedName name="SALDOSAP" localSheetId="3" hidden="1">{"PYGS",#N/A,FALSE,"PYG";"ACTIS",#N/A,FALSE,"BCE_GRAL-ACTIVO";"PASIS",#N/A,FALSE,"BCE_GRAL-PASIVO-PATRIM";"CAJAS",#N/A,FALSE,"CAJA"}</definedName>
    <definedName name="SALDOSAP" hidden="1">{"PYGS",#N/A,FALSE,"PYG";"ACTIS",#N/A,FALSE,"BCE_GRAL-ACTIVO";"PASIS",#N/A,FALSE,"BCE_GRAL-PASIVO-PATRIM";"CAJAS",#N/A,FALSE,"CAJA"}</definedName>
    <definedName name="SALES">#REF!</definedName>
    <definedName name="SALES___0">#REF!</definedName>
    <definedName name="sales1">[3]Inputs!$P$29</definedName>
    <definedName name="sales10">[3]Inputs!$P$488</definedName>
    <definedName name="sales11">[3]Inputs!$P$539</definedName>
    <definedName name="sales12">[3]Inputs!$P$590</definedName>
    <definedName name="sales13">[3]Inputs!$P$641</definedName>
    <definedName name="sales14">[3]Inputs!$P$692</definedName>
    <definedName name="sales15">[3]Inputs!$P$743</definedName>
    <definedName name="sales2">[3]Inputs!$P$80</definedName>
    <definedName name="sales3">[3]Inputs!$P$131</definedName>
    <definedName name="sales4">[3]Inputs!$P$182</definedName>
    <definedName name="sales5">[3]Inputs!$P$233</definedName>
    <definedName name="sales6">[3]Inputs!$P$284</definedName>
    <definedName name="sales7">[3]Inputs!$P$335</definedName>
    <definedName name="sales8">[3]Inputs!$P$386</definedName>
    <definedName name="sales9">[3]Inputs!$P$437</definedName>
    <definedName name="SAPBEXhrIndnt" hidden="1">1</definedName>
    <definedName name="SAPBEXrevision" hidden="1">1</definedName>
    <definedName name="SAPBEXsysID" hidden="1">"BWP"</definedName>
    <definedName name="SAPBEXwbID" hidden="1">"3PAIY8A0PAFUN0NVJ1AMBH10D"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d" localSheetId="3" hidden="1">{#N/A,#N/A,FALSE,"Aging Summary";#N/A,#N/A,FALSE,"Ratio Analysis";#N/A,#N/A,FALSE,"Test 120 Day Accts";#N/A,#N/A,FALSE,"Tickmarks"}</definedName>
    <definedName name="sd" hidden="1">{#N/A,#N/A,FALSE,"Aging Summary";#N/A,#N/A,FALSE,"Ratio Analysis";#N/A,#N/A,FALSE,"Test 120 Day Accts";#N/A,#N/A,FALSE,"Tickmarks"}</definedName>
    <definedName name="Section">#REF!</definedName>
    <definedName name="SELLO" localSheetId="3" hidden="1">{#N/A,#N/A,FALSE,"Aging Summary";#N/A,#N/A,FALSE,"Ratio Analysis";#N/A,#N/A,FALSE,"Test 120 Day Accts";#N/A,#N/A,FALSE,"Tickmarks"}</definedName>
    <definedName name="SELLO" hidden="1">{#N/A,#N/A,FALSE,"Aging Summary";#N/A,#N/A,FALSE,"Ratio Analysis";#N/A,#N/A,FALSE,"Test 120 Day Accts";#N/A,#N/A,FALSE,"Tickmarks"}</definedName>
    <definedName name="sencount" hidden="1">1</definedName>
    <definedName name="SENSITIVITY">#REF!</definedName>
    <definedName name="SENSITIVITY___0">#REF!</definedName>
    <definedName name="servicios" localSheetId="3" hidden="1">{#N/A,#N/A,FALSE,"Aging Summary";#N/A,#N/A,FALSE,"Ratio Analysis";#N/A,#N/A,FALSE,"Test 120 Day Accts";#N/A,#N/A,FALSE,"Tickmarks"}</definedName>
    <definedName name="servicios" hidden="1">{#N/A,#N/A,FALSE,"Aging Summary";#N/A,#N/A,FALSE,"Ratio Analysis";#N/A,#N/A,FALSE,"Test 120 Day Accts";#N/A,#N/A,FALSE,"Tickmarks"}</definedName>
    <definedName name="sh.equity">[8]Inputs!#REF!</definedName>
    <definedName name="sl">'[24]LBO Summary'!#REF!</definedName>
    <definedName name="snapshotdate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rt_range">#REF!</definedName>
    <definedName name="sponsor">'[13]S&amp;U'!$J$21</definedName>
    <definedName name="sss" localSheetId="3" hidden="1">{#N/A,#N/A,FALSE,"GRAFICO";#N/A,#N/A,FALSE,"CAJA (2)";#N/A,#N/A,FALSE,"TERCEROS-PROMEDIO";#N/A,#N/A,FALSE,"CAJA";#N/A,#N/A,FALSE,"INGRESOS1995-2003";#N/A,#N/A,FALSE,"GASTOS1995-2003"}</definedName>
    <definedName name="sss" hidden="1">{#N/A,#N/A,FALSE,"GRAFICO";#N/A,#N/A,FALSE,"CAJA (2)";#N/A,#N/A,FALSE,"TERCEROS-PROMEDIO";#N/A,#N/A,FALSE,"CAJA";#N/A,#N/A,FALSE,"INGRESOS1995-2003";#N/A,#N/A,FALSE,"GASTOS1995-2003"}</definedName>
    <definedName name="sssssssssss" localSheetId="3" hidden="1">{#N/A,#N/A,FALSE,"GRAFICO";#N/A,#N/A,FALSE,"CAJA (2)";#N/A,#N/A,FALSE,"TERCEROS-PROMEDIO";#N/A,#N/A,FALSE,"CAJA";#N/A,#N/A,FALSE,"INGRESOS1995-2003";#N/A,#N/A,FALSE,"GASTOS1995-2003"}</definedName>
    <definedName name="sssssssssss" hidden="1">{#N/A,#N/A,FALSE,"GRAFICO";#N/A,#N/A,FALSE,"CAJA (2)";#N/A,#N/A,FALSE,"TERCEROS-PROMEDIO";#N/A,#N/A,FALSE,"CAJA";#N/A,#N/A,FALSE,"INGRESOS1995-2003";#N/A,#N/A,FALSE,"GASTOS1995-2003"}</definedName>
    <definedName name="Start">#REF!</definedName>
    <definedName name="Start_Date">[9]Selections!$C$1</definedName>
    <definedName name="StartDay">[9]Selections!$P$3</definedName>
    <definedName name="StartMonth">[9]Selections!$P$2</definedName>
    <definedName name="StartRefresh">'[18]Portfolio Input'!#REF!</definedName>
    <definedName name="StartYear">[9]Selections!$P$1</definedName>
    <definedName name="STELLA" localSheetId="3" hidden="1">{#N/A,#N/A,FALSE,"Aging Summary";#N/A,#N/A,FALSE,"Ratio Analysis";#N/A,#N/A,FALSE,"Test 120 Day Accts";#N/A,#N/A,FALSE,"Tickmarks"}</definedName>
    <definedName name="STELLA" hidden="1">{#N/A,#N/A,FALSE,"Aging Summary";#N/A,#N/A,FALSE,"Ratio Analysis";#N/A,#N/A,FALSE,"Test 120 Day Accts";#N/A,#N/A,FALSE,"Tickmarks"}</definedName>
    <definedName name="Strip_Amount">#REF!</definedName>
    <definedName name="Strip_PV">#REF!</definedName>
    <definedName name="stub">#REF!</definedName>
    <definedName name="stubmonths">'[33]D&amp;A'!$C$5</definedName>
    <definedName name="sub">'[24]LBO Summary'!#REF!</definedName>
    <definedName name="subdebtamount">[19]Inputs!$J$26</definedName>
    <definedName name="subdebtdate">[19]Inputs!$J$28</definedName>
    <definedName name="Subhead1">[23]_01_05_v_Wicks_xls__01_05_v_Wic!$N$2</definedName>
    <definedName name="subHeading">#REF!</definedName>
    <definedName name="summary">#REF!</definedName>
    <definedName name="support">#REF!</definedName>
    <definedName name="sweep___9">[34]COVS_ACTUAL!#REF!</definedName>
    <definedName name="t" localSheetId="3" hidden="1">{"PYGT",#N/A,FALSE,"PYG";"ACTIT",#N/A,FALSE,"BCE_GRAL-ACTIVO";"PASIT",#N/A,FALSE,"BCE_GRAL-PASIVO-PATRIM";"CAJAT",#N/A,FALSE,"CAJA"}</definedName>
    <definedName name="t" hidden="1">{"PYGT",#N/A,FALSE,"PYG";"ACTIT",#N/A,FALSE,"BCE_GRAL-ACTIVO";"PASIT",#N/A,FALSE,"BCE_GRAL-PASIVO-PATRIM";"CAJAT",#N/A,FALSE,"CAJA"}</definedName>
    <definedName name="TablaHistorico" localSheetId="3" hidden="1">#REF!</definedName>
    <definedName name="TablaHistorico" hidden="1">#REF!</definedName>
    <definedName name="target">#REF!</definedName>
    <definedName name="tax">[35]ISCF!#REF!</definedName>
    <definedName name="Taxes_Receivable_Sales">'[7]Tanning Assumptions'!#REF!</definedName>
    <definedName name="TC" localSheetId="3" hidden="1">{#N/A,#N/A,FALSE,"GRAFICO";#N/A,#N/A,FALSE,"CAJA (2)";#N/A,#N/A,FALSE,"TERCEROS-PROMEDIO";#N/A,#N/A,FALSE,"CAJA";#N/A,#N/A,FALSE,"INGRESOS1995-2003";#N/A,#N/A,FALSE,"GASTOS1995-2003"}</definedName>
    <definedName name="TC" hidden="1">{#N/A,#N/A,FALSE,"GRAFICO";#N/A,#N/A,FALSE,"CAJA (2)";#N/A,#N/A,FALSE,"TERCEROS-PROMEDIO";#N/A,#N/A,FALSE,"CAJA";#N/A,#N/A,FALSE,"INGRESOS1995-2003";#N/A,#N/A,FALSE,"GASTOS1995-2003"}</definedName>
    <definedName name="Test">#REF!</definedName>
    <definedName name="TextRefCopyRangeCount" hidden="1">9</definedName>
    <definedName name="tgt">#REF!</definedName>
    <definedName name="ticker1">[3]Inputs!$E$11</definedName>
    <definedName name="ticker10">[3]Inputs!$E$470</definedName>
    <definedName name="ticker11">[3]Inputs!$E$521</definedName>
    <definedName name="ticker12">[3]Inputs!$E$572</definedName>
    <definedName name="ticker13">[3]Inputs!$E$623</definedName>
    <definedName name="ticker14">[3]Inputs!$E$674</definedName>
    <definedName name="ticker15">[3]Inputs!$E$725</definedName>
    <definedName name="ticker2">[3]Inputs!$E$62</definedName>
    <definedName name="ticker3">[3]Inputs!$E$113</definedName>
    <definedName name="ticker4">[3]Inputs!$E$164</definedName>
    <definedName name="ticker5">[3]Inputs!$E$215</definedName>
    <definedName name="ticker6">[3]Inputs!$E$266</definedName>
    <definedName name="ticker7">[3]Inputs!$E$317</definedName>
    <definedName name="ticker8">[3]Inputs!$E$368</definedName>
    <definedName name="ticker9">[3]Inputs!$E$419</definedName>
    <definedName name="TimeEnd">[9]Selections!$L$3</definedName>
    <definedName name="TimeStart">[9]Selections!$L$2</definedName>
    <definedName name="title">[32]SUM!$A$2</definedName>
    <definedName name="today">#REF!</definedName>
    <definedName name="top">#REF!</definedName>
    <definedName name="TopIC">'[11]Actual vs Covenant'!$P$31:$Q$38</definedName>
    <definedName name="TopOC">'[11]Actual vs Covenant'!$P$21:$Q$28</definedName>
    <definedName name="TORO" localSheetId="3" hidden="1">{"PYGT",#N/A,FALSE,"PYG";"ACTIT",#N/A,FALSE,"BCE_GRAL-ACTIVO";"PASIT",#N/A,FALSE,"BCE_GRAL-PASIVO-PATRIM";"CAJAT",#N/A,FALSE,"CAJA"}</definedName>
    <definedName name="TORO" hidden="1">{"PYGT",#N/A,FALSE,"PYG";"ACTIT",#N/A,FALSE,"BCE_GRAL-ACTIVO";"PASIT",#N/A,FALSE,"BCE_GRAL-PASIVO-PATRIM";"CAJAT",#N/A,FALSE,"CAJA"}</definedName>
    <definedName name="TOTAL">#REF!</definedName>
    <definedName name="TOTAL___0">#REF!</definedName>
    <definedName name="Total_Europe">#REF!</definedName>
    <definedName name="TotalRev">#REF!</definedName>
    <definedName name="tr" localSheetId="3" hidden="1">{#N/A,#N/A,FALSE,"Aging Summary";#N/A,#N/A,FALSE,"Ratio Analysis";#N/A,#N/A,FALSE,"Test 120 Day Accts";#N/A,#N/A,FALSE,"Tickmarks"}</definedName>
    <definedName name="tr" hidden="1">{#N/A,#N/A,FALSE,"Aging Summary";#N/A,#N/A,FALSE,"Ratio Analysis";#N/A,#N/A,FALSE,"Test 120 Day Accts";#N/A,#N/A,FALSE,"Tickmarks"}</definedName>
    <definedName name="TradedCash">[9]Principal!$G$5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igger">[12]OBS!$U$5</definedName>
    <definedName name="TRIO" localSheetId="3" hidden="1">{#N/A,#N/A,FALSE,"GRAFICO";#N/A,#N/A,FALSE,"CAJA (2)";#N/A,#N/A,FALSE,"TERCEROS-PROMEDIO";#N/A,#N/A,FALSE,"CAJA";#N/A,#N/A,FALSE,"INGRESOS1995-2003";#N/A,#N/A,FALSE,"GASTOS1995-2003"}</definedName>
    <definedName name="TRIO" hidden="1">{#N/A,#N/A,FALSE,"GRAFICO";#N/A,#N/A,FALSE,"CAJA (2)";#N/A,#N/A,FALSE,"TERCEROS-PROMEDIO";#N/A,#N/A,FALSE,"CAJA";#N/A,#N/A,FALSE,"INGRESOS1995-2003";#N/A,#N/A,FALSE,"GASTOS1995-2003"}</definedName>
    <definedName name="Triunfo" localSheetId="3" hidden="1">{#N/A,#N/A,FALSE,"balance";#N/A,#N/A,FALSE,"PYG"}</definedName>
    <definedName name="Triunfo" hidden="1">{#N/A,#N/A,FALSE,"balance";#N/A,#N/A,FALSE,"PYG"}</definedName>
    <definedName name="TRYN_Top3">[11]TOP10!$S$3</definedName>
    <definedName name="TRYN_Top4">[11]TOP10!$S$8</definedName>
    <definedName name="TryonFitchRatingChartData">[11]TRYN!$G$2:$H$9</definedName>
    <definedName name="TryonFitchRatingChartSerial1">[11]TRYN!$H$2:$H$9</definedName>
    <definedName name="TryonFitchRatingChartXScale">[11]TRYN!$G$2:$G$9</definedName>
    <definedName name="TryonMoodyRatingChartData">[11]TRYN!$A$2:$B$15</definedName>
    <definedName name="TryonMoodyRatingChartSerial1">[11]TRYN!$B$2:$B$15</definedName>
    <definedName name="TryonMoodyRatingChartXScale">[11]TRYN!$A$2:$A$15</definedName>
    <definedName name="TryonSPRatingChartData">[11]TRYN!$D$2:$E$15</definedName>
    <definedName name="TryonSPRatingChartSerial1">[11]TRYN!$E$2:$E$15</definedName>
    <definedName name="TryonSPRatingChartXScale">[11]TRYN!$D$2:$D$15</definedName>
    <definedName name="tttttttt" localSheetId="3" hidden="1">{"PYGT",#N/A,FALSE,"PYG";"ACTIT",#N/A,FALSE,"BCE_GRAL-ACTIVO";"PASIT",#N/A,FALSE,"BCE_GRAL-PASIVO-PATRIM";"CAJAT",#N/A,FALSE,"CAJA"}</definedName>
    <definedName name="tttttttt" hidden="1">{"PYGT",#N/A,FALSE,"PYG";"ACTIT",#N/A,FALSE,"BCE_GRAL-ACTIVO";"PASIT",#N/A,FALSE,"BCE_GRAL-PASIVO-PATRIM";"CAJAT",#N/A,FALSE,"CAJA"}</definedName>
    <definedName name="ttttttttttt" localSheetId="3" hidden="1">{"PYGT",#N/A,FALSE,"PYG";"ACTIT",#N/A,FALSE,"BCE_GRAL-ACTIVO";"PASIT",#N/A,FALSE,"BCE_GRAL-PASIVO-PATRIM";"CAJAT",#N/A,FALSE,"CAJA"}</definedName>
    <definedName name="ttttttttttt" hidden="1">{"PYGT",#N/A,FALSE,"PYG";"ACTIT",#N/A,FALSE,"BCE_GRAL-ACTIVO";"PASIT",#N/A,FALSE,"BCE_GRAL-PASIVO-PATRIM";"CAJAT",#N/A,FALSE,"CAJA"}</definedName>
    <definedName name="ttttttttttttt" localSheetId="3" hidden="1">{"PYGT",#N/A,FALSE,"PYG";"ACTIT",#N/A,FALSE,"BCE_GRAL-ACTIVO";"PASIT",#N/A,FALSE,"BCE_GRAL-PASIVO-PATRIM";"CAJAT",#N/A,FALSE,"CAJA"}</definedName>
    <definedName name="ttttttttttttt" hidden="1">{"PYGT",#N/A,FALSE,"PYG";"ACTIT",#N/A,FALSE,"BCE_GRAL-ACTIVO";"PASIT",#N/A,FALSE,"BCE_GRAL-PASIVO-PATRIM";"CAJAT",#N/A,FALSE,"CAJA"}</definedName>
    <definedName name="tyuio" localSheetId="3" hidden="1">{"PYGS",#N/A,FALSE,"PYG";"ACTIS",#N/A,FALSE,"BCE_GRAL-ACTIVO";"PASIS",#N/A,FALSE,"BCE_GRAL-PASIVO-PATRIM";"CAJAS",#N/A,FALSE,"CAJA"}</definedName>
    <definedName name="tyuio" hidden="1">{"PYGS",#N/A,FALSE,"PYG";"ACTIS",#N/A,FALSE,"BCE_GRAL-ACTIVO";"PASIS",#N/A,FALSE,"BCE_GRAL-PASIVO-PATRIM";"CAJAS",#N/A,FALSE,"CAJA"}</definedName>
    <definedName name="TYUT" localSheetId="3" hidden="1">{#N/A,#N/A,FALSE,"Aging Summary";#N/A,#N/A,FALSE,"Ratio Analysis";#N/A,#N/A,FALSE,"Test 120 Day Accts";#N/A,#N/A,FALSE,"Tickmarks"}</definedName>
    <definedName name="TYUT" hidden="1">{#N/A,#N/A,FALSE,"Aging Summary";#N/A,#N/A,FALSE,"Ratio Analysis";#N/A,#N/A,FALSE,"Test 120 Day Accts";#N/A,#N/A,FALSE,"Tickmarks"}</definedName>
    <definedName name="UÑA" localSheetId="3" hidden="1">{#N/A,#N/A,FALSE,"Aging Summary";#N/A,#N/A,FALSE,"Ratio Analysis";#N/A,#N/A,FALSE,"Test 120 Day Accts";#N/A,#N/A,FALSE,"Tickmarks"}</definedName>
    <definedName name="UÑA" hidden="1">{#N/A,#N/A,FALSE,"Aging Summary";#N/A,#N/A,FALSE,"Ratio Analysis";#N/A,#N/A,FALSE,"Test 120 Day Accts";#N/A,#N/A,FALSE,"Tickmarks"}</definedName>
    <definedName name="UÑERO" localSheetId="3" hidden="1">{"PYGS",#N/A,FALSE,"PYG";"ACTIS",#N/A,FALSE,"BCE_GRAL-ACTIVO";"PASIS",#N/A,FALSE,"BCE_GRAL-PASIVO-PATRIM";"CAJAS",#N/A,FALSE,"CAJA"}</definedName>
    <definedName name="UÑERO" hidden="1">{"PYGS",#N/A,FALSE,"PYG";"ACTIS",#N/A,FALSE,"BCE_GRAL-ACTIVO";"PASIS",#N/A,FALSE,"BCE_GRAL-PASIVO-PATRIM";"CAJAS",#N/A,FALSE,"CAJA"}</definedName>
    <definedName name="units">'[13]S&amp;U'!$K$2</definedName>
    <definedName name="util" localSheetId="3" hidden="1">{"'Hoja2'!$A$4:$H$68"}</definedName>
    <definedName name="util" hidden="1">{"'Hoja2'!$A$4:$H$68"}</definedName>
    <definedName name="v" localSheetId="3" hidden="1">{#N/A,#N/A,FALSE,"GRAFICO";#N/A,#N/A,FALSE,"CAJA (2)";#N/A,#N/A,FALSE,"TERCEROS-PROMEDIO";#N/A,#N/A,FALSE,"CAJA";#N/A,#N/A,FALSE,"INGRESOS1995-2003";#N/A,#N/A,FALSE,"GASTOS1995-2003"}</definedName>
    <definedName name="v" hidden="1">{#N/A,#N/A,FALSE,"GRAFICO";#N/A,#N/A,FALSE,"CAJA (2)";#N/A,#N/A,FALSE,"TERCEROS-PROMEDIO";#N/A,#N/A,FALSE,"CAJA";#N/A,#N/A,FALSE,"INGRESOS1995-2003";#N/A,#N/A,FALSE,"GASTOS1995-2003"}</definedName>
    <definedName name="vb" localSheetId="3" hidden="1">{"Parcial",#N/A,FALSE,"GastFuncionamiento";"Parcial2",#N/A,FALSE,"GastFuncionamiento";"Total",#N/A,FALSE,"GastFuncionamiento"}</definedName>
    <definedName name="vb" hidden="1">{"Parcial",#N/A,FALSE,"GastFuncionamiento";"Parcial2",#N/A,FALSE,"GastFuncionamiento";"Total",#N/A,FALSE,"GastFuncionamiento"}</definedName>
    <definedName name="verde" localSheetId="3" hidden="1">{#N/A,#N/A,FALSE,"Aging Summary";#N/A,#N/A,FALSE,"Ratio Analysis";#N/A,#N/A,FALSE,"Test 120 Day Accts";#N/A,#N/A,FALSE,"Tickmarks"}</definedName>
    <definedName name="verde" hidden="1">{#N/A,#N/A,FALSE,"Aging Summary";#N/A,#N/A,FALSE,"Ratio Analysis";#N/A,#N/A,FALSE,"Test 120 Day Accts";#N/A,#N/A,FALSE,"Tickmarks"}</definedName>
    <definedName name="version">[32]SUM!$AE$2</definedName>
    <definedName name="version___0">[12]CONTROL!$D$9</definedName>
    <definedName name="vghf" localSheetId="3" hidden="1">{#N/A,#N/A,FALSE,"Aging Summary";#N/A,#N/A,FALSE,"Ratio Analysis";#N/A,#N/A,FALSE,"Test 120 Day Accts";#N/A,#N/A,FALSE,"Tickmarks"}</definedName>
    <definedName name="vghf" hidden="1">{#N/A,#N/A,FALSE,"Aging Summary";#N/A,#N/A,FALSE,"Ratio Analysis";#N/A,#N/A,FALSE,"Test 120 Day Accts";#N/A,#N/A,FALSE,"Tickmarks"}</definedName>
    <definedName name="VVVVV" localSheetId="3" hidden="1">{#N/A,#N/A,FALSE,"Full";#N/A,#N/A,FALSE,"Half";#N/A,#N/A,FALSE,"Op Expenses";#N/A,#N/A,FALSE,"Cap Charge";#N/A,#N/A,FALSE,"Cost C";#N/A,#N/A,FALSE,"PP&amp;E";#N/A,#N/A,FALSE,"R&amp;D"}</definedName>
    <definedName name="VVVVV" hidden="1">{#N/A,#N/A,FALSE,"Full";#N/A,#N/A,FALSE,"Half";#N/A,#N/A,FALSE,"Op Expenses";#N/A,#N/A,FALSE,"Cap Charge";#N/A,#N/A,FALSE,"Cost C";#N/A,#N/A,FALSE,"PP&amp;E";#N/A,#N/A,FALSE,"R&amp;D"}</definedName>
    <definedName name="w" localSheetId="3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ACActual">OFFSET([9]WACTrends!$C$2,0,0,COUNTA([9]WACTrends!$C$1:$C$65536)-1)</definedName>
    <definedName name="WACCovenant">OFFSET([9]WACTrends!$D$2,0,0,COUNTA([9]WACTrends!$D$1:$D$65536)-1)</definedName>
    <definedName name="WACDate">OFFSET([9]WACTrends!$B$2,0,0,COUNTA([9]WACTrends!$B$1:$B$65536)-1)</definedName>
    <definedName name="WALActual">OFFSET([9]WALTrends!$C$2,0,0,COUNTA([9]WALTrends!$C$1:$C$65536)-1)</definedName>
    <definedName name="WALCovenant">OFFSET([9]WALTrends!$D$2,0,0,COUNTA([9]WALTrends!$D$1:$D$65536)-1)</definedName>
    <definedName name="WALDate">OFFSET([9]WALTrends!$B$2,0,0,COUNTA([9]WALTrends!$B$1:$B$65536)-1)</definedName>
    <definedName name="WARFActual">OFFSET([9]WARFTrends!$C$2,0,0,COUNTA([9]WARFTrends!$C$1:$C$65536)-1)</definedName>
    <definedName name="WARFCovenant">OFFSET([9]WARFTrends!$D$2,0,0,COUNTA([9]WARFTrends!$D$1:$D$65536)-1)</definedName>
    <definedName name="WARFDate">OFFSET([9]WARFTrends!$B$2,0,0,COUNTA([9]WARFTrends!$B$1:$B$65536)-1)</definedName>
    <definedName name="WARFFitchActual">OFFSET([9]WARFFitchTrends!$C$2,0,0,COUNTA([9]WARFFitchTrends!$C$1:$C$65536)-1)</definedName>
    <definedName name="WARFFitchCovenant">OFFSET([9]WARFFitchTrends!$D$2,0,0,COUNTA([9]WARFFitchTrends!$D$1:$D$65536)-1)</definedName>
    <definedName name="WARFFitchDate">OFFSET([9]WARFFitchTrends!$B$2,0,0,COUNTA([9]WARFFitchTrends!$B$1:$B$65536)-1)</definedName>
    <definedName name="warrants">[19]Inputs!$O$13</definedName>
    <definedName name="WASActual">OFFSET([9]WASTrends!$C$2,0,0,COUNTA([9]WASTrends!$C$1:$C$65536)-1)</definedName>
    <definedName name="WASCovenant">OFFSET([9]WASTrends!$D$2,0,0,COUNTA([9]WASTrends!$D$1:$D$65536)-1)</definedName>
    <definedName name="WASDate">OFFSET([9]WASTrends!$B$2,0,0,COUNTA([9]WASTrends!$B$1:$B$65536)-1)</definedName>
    <definedName name="WBMIN">'[18]Portfolio Input'!#REF!</definedName>
    <definedName name="WEAR" localSheetId="3" hidden="1">{#N/A,#N/A,FALSE,"Aging Summary";#N/A,#N/A,FALSE,"Ratio Analysis";#N/A,#N/A,FALSE,"Test 120 Day Accts";#N/A,#N/A,FALSE,"Tickmarks"}</definedName>
    <definedName name="WEAR" hidden="1">{#N/A,#N/A,FALSE,"Aging Summary";#N/A,#N/A,FALSE,"Ratio Analysis";#N/A,#N/A,FALSE,"Test 120 Day Accts";#N/A,#N/A,FALSE,"Tickmarks"}</definedName>
    <definedName name="werwerer" localSheetId="3" hidden="1">12521443.0230224+(ROW(OFFSET(#REF!,0,0,100,1))-1)*35858.7938598438</definedName>
    <definedName name="werwerer" hidden="1">12521443.0230224+(ROW(OFFSET(#REF!,0,0,100,1))-1)*35858.7938598438</definedName>
    <definedName name="WHAT_IF">#REF!</definedName>
    <definedName name="WHAT_IF___0">#REF!</definedName>
    <definedName name="whec">[32]WHEC!$AX$2</definedName>
    <definedName name="wicksequity">[19]Inputs!$E$35</definedName>
    <definedName name="william" localSheetId="3" hidden="1">{#N/A,#N/A,FALSE,"Aging Summary";#N/A,#N/A,FALSE,"Ratio Analysis";#N/A,#N/A,FALSE,"Test 120 Day Accts";#N/A,#N/A,FALSE,"Tickmarks"}</definedName>
    <definedName name="william" hidden="1">{#N/A,#N/A,FALSE,"Aging Summary";#N/A,#N/A,FALSE,"Ratio Analysis";#N/A,#N/A,FALSE,"Test 120 Day Accts";#N/A,#N/A,FALSE,"Tickmarks"}</definedName>
    <definedName name="WORKING_CAPITAL">#REF!</definedName>
    <definedName name="WORKING_CAPITAL___0">#REF!</definedName>
    <definedName name="wq" localSheetId="3" hidden="1">{#N/A,#N/A,FALSE,"Aging Summary";#N/A,#N/A,FALSE,"Ratio Analysis";#N/A,#N/A,FALSE,"Test 120 Day Accts";#N/A,#N/A,FALSE,"Tickmarks"}</definedName>
    <definedName name="wq" hidden="1">{#N/A,#N/A,FALSE,"Aging Summary";#N/A,#N/A,FALSE,"Ratio Analysis";#N/A,#N/A,FALSE,"Test 120 Day Accts";#N/A,#N/A,FALSE,"Tickmarks"}</definedName>
    <definedName name="wqa" localSheetId="3" hidden="1">{#N/A,#N/A,FALSE,"Aging Summary";#N/A,#N/A,FALSE,"Ratio Analysis";#N/A,#N/A,FALSE,"Test 120 Day Accts";#N/A,#N/A,FALSE,"Tickmarks"}</definedName>
    <definedName name="wqa" hidden="1">{#N/A,#N/A,FALSE,"Aging Summary";#N/A,#N/A,FALSE,"Ratio Analysis";#N/A,#N/A,FALSE,"Test 120 Day Accts";#N/A,#N/A,FALSE,"Tickmarks"}</definedName>
    <definedName name="wr" localSheetId="3" hidden="1">{#N/A,#N/A,FALSE,"Aging Summary";#N/A,#N/A,FALSE,"Ratio Analysis";#N/A,#N/A,FALSE,"Test 120 Day Accts";#N/A,#N/A,FALSE,"Tickmarks"}</definedName>
    <definedName name="wr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3" hidden="1">{#N/A,#N/A,FALSE,"BL&amp;GPA";#N/A,#N/A,FALSE,"Summary";#N/A,#N/A,FALSE,"hts"}</definedName>
    <definedName name="wrn.all." hidden="1">{#N/A,#N/A,FALSE,"BL&amp;GPA";#N/A,#N/A,FALSE,"Summary";#N/A,#N/A,FALSE,"hts"}</definedName>
    <definedName name="WRN.ALL.2" localSheetId="3" hidden="1">{#N/A,#N/A,FALSE,"BL&amp;GPA";#N/A,#N/A,FALSE,"Summary";#N/A,#N/A,FALSE,"hts"}</definedName>
    <definedName name="WRN.ALL.2" hidden="1">{#N/A,#N/A,FALSE,"BL&amp;GPA";#N/A,#N/A,FALSE,"Summary";#N/A,#N/A,FALSE,"hts"}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Book." localSheetId="3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lete." localSheetId="3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Set." localSheetId="3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rossroads.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indirectostotal." localSheetId="3" hidden="1">{"idirectoskwh",#N/A,FALSE,"INDIRECTOS"}</definedName>
    <definedName name="wrn.indirectostotal." hidden="1">{"idirectoskwh",#N/A,FALSE,"INDIRECTOS"}</definedName>
    <definedName name="wrn.junta." localSheetId="3" hidden="1">{#N/A,#N/A,FALSE,"balance";#N/A,#N/A,FALSE,"PYG"}</definedName>
    <definedName name="wrn.junta." hidden="1">{#N/A,#N/A,FALSE,"balance";#N/A,#N/A,FALSE,"PYG"}</definedName>
    <definedName name="wrn.junta.2" localSheetId="3" hidden="1">{#N/A,#N/A,FALSE,"balance";#N/A,#N/A,FALSE,"PYG"}</definedName>
    <definedName name="wrn.junta.2" hidden="1">{#N/A,#N/A,FALSE,"balance";#N/A,#N/A,FALSE,"PYG"}</definedName>
    <definedName name="wrn.KWHTOTAL." localSheetId="3" hidden="1">{"KWHTONTOTAL",#N/A,FALSE,"KWHTON"}</definedName>
    <definedName name="wrn.KWHTOTAL." hidden="1">{"KWHTONTOTAL",#N/A,FALSE,"KWHTON"}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ept.." localSheetId="3" hidden="1">{#N/A,#N/A,FALSE,"GP";#N/A,#N/A,FALSE,"Summary"}</definedName>
    <definedName name="wrn.print._.rept.." hidden="1">{#N/A,#N/A,FALSE,"GP";#N/A,#N/A,FALSE,"Summary"}</definedName>
    <definedName name="wrn.print._.summary._.sheets." hidden="1">{"summary1",#N/A,TRUE,"Comps";"summary2",#N/A,TRUE,"Comps";"summary3",#N/A,TRUE,"Comps"}</definedName>
    <definedName name="wrn.PROYEC." localSheetId="3" hidden="1">{#N/A,#N/A,FALSE,"GRAFICO";#N/A,#N/A,FALSE,"CAJA (2)";#N/A,#N/A,FALSE,"TERCEROS-PROMEDIO";#N/A,#N/A,FALSE,"CAJA";#N/A,#N/A,FALSE,"INGRESOS1995-2003";#N/A,#N/A,FALSE,"GASTOS1995-2003"}</definedName>
    <definedName name="wrn.PROYEC." hidden="1">{#N/A,#N/A,FALSE,"GRAFICO";#N/A,#N/A,FALSE,"CAJA (2)";#N/A,#N/A,FALSE,"TERCEROS-PROMEDIO";#N/A,#N/A,FALSE,"CAJA";#N/A,#N/A,FALSE,"INGRESOS1995-2003";#N/A,#N/A,FALSE,"GASTOS1995-2003"}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hidden="1">{#N/A,#N/A,FALSE,"Integration Systems"}</definedName>
    <definedName name="wrn.SENCILLO." localSheetId="3" hidden="1">{"PYGS",#N/A,FALSE,"PYG";"ACTIS",#N/A,FALSE,"BCE_GRAL-ACTIVO";"PASIS",#N/A,FALSE,"BCE_GRAL-PASIVO-PATRIM";"CAJAS",#N/A,FALSE,"CAJA"}</definedName>
    <definedName name="wrn.SENCILLO." hidden="1">{"PYGS",#N/A,FALSE,"PYG";"ACTIS",#N/A,FALSE,"BCE_GRAL-ACTIVO";"PASIS",#N/A,FALSE,"BCE_GRAL-PASIVO-PATRIM";"CAJAS",#N/A,FALSE,"CAJA"}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TOTAL." localSheetId="3" hidden="1">{"PYGT",#N/A,FALSE,"PYG";"ACTIT",#N/A,FALSE,"BCE_GRAL-ACTIVO";"PASIT",#N/A,FALSE,"BCE_GRAL-PASIVO-PATRIM";"CAJAT",#N/A,FALSE,"CAJA"}</definedName>
    <definedName name="wrn.TOTAL." hidden="1">{"PYGT",#N/A,FALSE,"PYG";"ACTIT",#N/A,FALSE,"BCE_GRAL-ACTIVO";"PASIT",#N/A,FALSE,"BCE_GRAL-PASIVO-PATRIM";"CAJAT",#N/A,FALSE,"CAJA"}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hidden="1">{#N/A,#N/A,FALSE,"Combo"}</definedName>
    <definedName name="Wrn_print._rept_2" localSheetId="3" hidden="1">{#N/A,#N/A,FALSE,"GP";#N/A,#N/A,FALSE,"Summary"}</definedName>
    <definedName name="Wrn_print._rept_2" hidden="1">{#N/A,#N/A,FALSE,"GP";#N/A,#N/A,FALSE,"Summary"}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a" localSheetId="3" hidden="1">{"'Hoja2'!$A$4:$H$68"}</definedName>
    <definedName name="xa" hidden="1">{"'Hoja2'!$A$4:$H$68"}</definedName>
    <definedName name="xchk" localSheetId="3" hidden="1">{#N/A,#N/A,FALSE,"balance";#N/A,#N/A,FALSE,"PYG"}</definedName>
    <definedName name="xchk" hidden="1">{#N/A,#N/A,FALSE,"balance";#N/A,#N/A,FALSE,"PYG"}</definedName>
    <definedName name="xdat3" localSheetId="3" hidden="1">12521443.0230224+(ROW(OFFSET(#REF!,0,0,70,1))-1)*51449.5737989064</definedName>
    <definedName name="xdat3" hidden="1">12521443.0230224+(ROW(OFFSET(#REF!,0,0,70,1))-1)*51449.5737989064</definedName>
    <definedName name="xdata1" localSheetId="3" hidden="1">12521443.0230224+(ROW(OFFSET(#REF!,0,0,70,1))-1)*51449.5737989064</definedName>
    <definedName name="xdata1" hidden="1">12521443.0230224+(ROW(OFFSET(#REF!,0,0,70,1))-1)*51449.5737989064</definedName>
    <definedName name="xdata2" localSheetId="3" hidden="1">12521443.0230224+(ROW(OFFSET(#REF!,0,0,70,1))-1)*51449.5737989064</definedName>
    <definedName name="xdata2" hidden="1">12521443.0230224+(ROW(OFFSET(#REF!,0,0,70,1))-1)*51449.5737989064</definedName>
    <definedName name="xdata3" localSheetId="3" hidden="1">12521443.0230224+(ROW(OFFSET(#REF!,0,0,100,1))-1)*35858.7938598438</definedName>
    <definedName name="xdata3" hidden="1">12521443.0230224+(ROW(OFFSET(#REF!,0,0,100,1))-1)*35858.7938598438</definedName>
    <definedName name="xdata4" localSheetId="3" hidden="1">12521443.0230224+(ROW(OFFSET(#REF!,0,0,100,1))-1)*35858.7938598438</definedName>
    <definedName name="xdata4" hidden="1">12521443.0230224+(ROW(OFFSET(#REF!,0,0,100,1))-1)*35858.7938598438</definedName>
    <definedName name="xdata5" localSheetId="3" hidden="1">0+(ROW(OFFSET(#REF!,0,0,70,1))-1)*869565.217391304</definedName>
    <definedName name="xdata5" hidden="1">0+(ROW(OFFSET(#REF!,0,0,70,1))-1)*869565.217391304</definedName>
    <definedName name="xdata6" localSheetId="3" hidden="1">0+(ROW(OFFSET(#REF!,0,0,70,1))-1)*869565.217391304</definedName>
    <definedName name="xdata6" hidden="1">0+(ROW(OFFSET(#REF!,0,0,70,1))-1)*869565.217391304</definedName>
    <definedName name="XEROS" localSheetId="3" hidden="1">{#N/A,#N/A,FALSE,"Aging Summary";#N/A,#N/A,FALSE,"Ratio Analysis";#N/A,#N/A,FALSE,"Test 120 Day Accts";#N/A,#N/A,FALSE,"Tickmarks"}</definedName>
    <definedName name="XEROS" hidden="1">{#N/A,#N/A,FALSE,"Aging Summary";#N/A,#N/A,FALSE,"Ratio Analysis";#N/A,#N/A,FALSE,"Test 120 Day Accts";#N/A,#N/A,FALSE,"Tickmarks"}</definedName>
    <definedName name="XIOMARA" localSheetId="3" hidden="1">{"PYGS",#N/A,FALSE,"PYG";"ACTIS",#N/A,FALSE,"BCE_GRAL-ACTIVO";"PASIS",#N/A,FALSE,"BCE_GRAL-PASIVO-PATRIM";"CAJAS",#N/A,FALSE,"CAJA"}</definedName>
    <definedName name="XIOMARA" hidden="1">{"PYGS",#N/A,FALSE,"PYG";"ACTIS",#N/A,FALSE,"BCE_GRAL-ACTIVO";"PASIS",#N/A,FALSE,"BCE_GRAL-PASIVO-PATRIM";"CAJAS",#N/A,FALSE,"CAJA"}</definedName>
    <definedName name="XION" localSheetId="3" hidden="1">{#N/A,#N/A,FALSE,"Aging Summary";#N/A,#N/A,FALSE,"Ratio Analysis";#N/A,#N/A,FALSE,"Test 120 Day Accts";#N/A,#N/A,FALSE,"Tickmarks"}</definedName>
    <definedName name="XION" hidden="1">{#N/A,#N/A,FALSE,"Aging Summary";#N/A,#N/A,FALSE,"Ratio Analysis";#N/A,#N/A,FALSE,"Test 120 Day Accts";#N/A,#N/A,FALSE,"Tickmarks"}</definedName>
    <definedName name="XREF_COLUMN_1" hidden="1">[10]PPC1!$F:$F</definedName>
    <definedName name="XREF_COLUMN_2" hidden="1">[10]Lead!$L:$L</definedName>
    <definedName name="XREF_COLUMN_3" hidden="1">[10]PPC2!$F:$F</definedName>
    <definedName name="XREF_COLUMN_4" hidden="1">[10]Lead!$Q:$Q</definedName>
    <definedName name="XRefActiveRow" hidden="1">[10]XREF!$A$6</definedName>
    <definedName name="XRefColumnsCount" hidden="1">4</definedName>
    <definedName name="XRefCopy1" hidden="1">[10]PPC1!$E$27983</definedName>
    <definedName name="XRefCopy1Row" hidden="1">[10]XREF!$2:$2</definedName>
    <definedName name="XRefCopy2" hidden="1">[10]Lead!$P$39</definedName>
    <definedName name="XRefCopy3" hidden="1">[10]PPC2!$E$56</definedName>
    <definedName name="XRefCopy3Row" hidden="1">[10]XREF!$4:$4</definedName>
    <definedName name="XRefCopyRangeCount" hidden="1">3</definedName>
    <definedName name="XRefPaste1" hidden="1">[10]Lead!$K$16</definedName>
    <definedName name="XRefPaste1Row" hidden="1">[10]XREF!$3:$3</definedName>
    <definedName name="XRefPaste2" hidden="1">[10]Lead!$P$39</definedName>
    <definedName name="XRefPaste2Row" hidden="1">[10]XREF!$5:$5</definedName>
    <definedName name="XRefPasteRangeCount" hidden="1">2</definedName>
    <definedName name="XXX" localSheetId="3" hidden="1">{#N/A,#N/A,FALSE,"balance";#N/A,#N/A,FALSE,"PYG"}</definedName>
    <definedName name="XXX" hidden="1">{#N/A,#N/A,FALSE,"balance";#N/A,#N/A,FALSE,"PYG"}</definedName>
    <definedName name="XXXDE" localSheetId="3" hidden="1">{#N/A,#N/A,FALSE,"Aging Summary";#N/A,#N/A,FALSE,"Ratio Analysis";#N/A,#N/A,FALSE,"Test 120 Day Accts";#N/A,#N/A,FALSE,"Tickmarks"}</definedName>
    <definedName name="XXXDE" hidden="1">{#N/A,#N/A,FALSE,"Aging Summary";#N/A,#N/A,FALSE,"Ratio Analysis";#N/A,#N/A,FALSE,"Test 120 Day Accts";#N/A,#N/A,FALSE,"Tickmarks"}</definedName>
    <definedName name="XXXX" localSheetId="3" hidden="1">{#N/A,#N/A,FALSE,"Aging Summary";#N/A,#N/A,FALSE,"Ratio Analysis";#N/A,#N/A,FALSE,"Test 120 Day Accts";#N/A,#N/A,FALSE,"Tickmarks"}</definedName>
    <definedName name="XXXX" hidden="1">{#N/A,#N/A,FALSE,"Aging Summary";#N/A,#N/A,FALSE,"Ratio Analysis";#N/A,#N/A,FALSE,"Test 120 Day Accts";#N/A,#N/A,FALSE,"Tickmarks"}</definedName>
    <definedName name="xxxxxx" localSheetId="3" hidden="1">{#N/A,#N/A,FALSE,"Aging Summary";#N/A,#N/A,FALSE,"Ratio Analysis";#N/A,#N/A,FALSE,"Test 120 Day Accts";#N/A,#N/A,FALSE,"Tickmarks"}</definedName>
    <definedName name="xxxxxx" hidden="1">{#N/A,#N/A,FALSE,"Aging Summary";#N/A,#N/A,FALSE,"Ratio Analysis";#N/A,#N/A,FALSE,"Test 120 Day Accts";#N/A,#N/A,FALSE,"Tickmarks"}</definedName>
    <definedName name="xxxxxxxxxxxx" localSheetId="3" hidden="1">{#N/A,#N/A,FALSE,"Aging Summary";#N/A,#N/A,FALSE,"Ratio Analysis";#N/A,#N/A,FALSE,"Test 120 Day Accts";#N/A,#N/A,FALSE,"Tickmarks"}</definedName>
    <definedName name="xxxxxxxxxxxx" hidden="1">{#N/A,#N/A,FALSE,"Aging Summary";#N/A,#N/A,FALSE,"Ratio Analysis";#N/A,#N/A,FALSE,"Test 120 Day Accts";#N/A,#N/A,FALSE,"Tickmarks"}</definedName>
    <definedName name="xxxzsd" localSheetId="3" hidden="1">{#N/A,#N/A,FALSE,"Aging Summary";#N/A,#N/A,FALSE,"Ratio Analysis";#N/A,#N/A,FALSE,"Test 120 Day Accts";#N/A,#N/A,FALSE,"Tickmarks"}</definedName>
    <definedName name="xxxzsd" hidden="1">{#N/A,#N/A,FALSE,"Aging Summary";#N/A,#N/A,FALSE,"Ratio Analysis";#N/A,#N/A,FALSE,"Test 120 Day Accts";#N/A,#N/A,FALSE,"Tickmarks"}</definedName>
    <definedName name="xz" localSheetId="3" hidden="1">{"PYGS",#N/A,FALSE,"PYG";"ACTIS",#N/A,FALSE,"BCE_GRAL-ACTIVO";"PASIS",#N/A,FALSE,"BCE_GRAL-PASIVO-PATRIM";"CAJAS",#N/A,FALSE,"CAJA"}</definedName>
    <definedName name="xz" hidden="1">{"PYGS",#N/A,FALSE,"PYG";"ACTIS",#N/A,FALSE,"BCE_GRAL-ACTIVO";"PASIS",#N/A,FALSE,"BCE_GRAL-PASIVO-PATRIM";"CAJAS",#N/A,FALSE,"CAJA"}</definedName>
    <definedName name="xzc" localSheetId="3" hidden="1">{#N/A,#N/A,FALSE,"Aging Summary";#N/A,#N/A,FALSE,"Ratio Analysis";#N/A,#N/A,FALSE,"Test 120 Day Accts";#N/A,#N/A,FALSE,"Tickmarks"}</definedName>
    <definedName name="xzc" hidden="1">{#N/A,#N/A,FALSE,"Aging Summary";#N/A,#N/A,FALSE,"Ratio Analysis";#N/A,#N/A,FALSE,"Test 120 Day Accts";#N/A,#N/A,FALSE,"Tickmarks"}</definedName>
    <definedName name="yema" localSheetId="3" hidden="1">{#N/A,#N/A,FALSE,"Aging Summary";#N/A,#N/A,FALSE,"Ratio Analysis";#N/A,#N/A,FALSE,"Test 120 Day Accts";#N/A,#N/A,FALSE,"Tickmarks"}</definedName>
    <definedName name="yema" hidden="1">{#N/A,#N/A,FALSE,"Aging Summary";#N/A,#N/A,FALSE,"Ratio Analysis";#N/A,#N/A,FALSE,"Test 120 Day Accts";#N/A,#N/A,FALSE,"Tickmarks"}</definedName>
    <definedName name="YO" localSheetId="3" hidden="1">{#N/A,#N/A,FALSE,"GRAFICO";#N/A,#N/A,FALSE,"CAJA (2)";#N/A,#N/A,FALSE,"TERCEROS-PROMEDIO";#N/A,#N/A,FALSE,"CAJA";#N/A,#N/A,FALSE,"INGRESOS1995-2003";#N/A,#N/A,FALSE,"GASTOS1995-2003"}</definedName>
    <definedName name="YO" hidden="1">{#N/A,#N/A,FALSE,"GRAFICO";#N/A,#N/A,FALSE,"CAJA (2)";#N/A,#N/A,FALSE,"TERCEROS-PROMEDIO";#N/A,#N/A,FALSE,"CAJA";#N/A,#N/A,FALSE,"INGRESOS1995-2003";#N/A,#N/A,FALSE,"GASTOS1995-2003"}</definedName>
    <definedName name="yt" localSheetId="3" hidden="1">{#N/A,#N/A,FALSE,"Aging Summary";#N/A,#N/A,FALSE,"Ratio Analysis";#N/A,#N/A,FALSE,"Test 120 Day Accts";#N/A,#N/A,FALSE,"Tickmarks"}</definedName>
    <definedName name="yt" hidden="1">{#N/A,#N/A,FALSE,"Aging Summary";#N/A,#N/A,FALSE,"Ratio Analysis";#N/A,#N/A,FALSE,"Test 120 Day Accts";#N/A,#N/A,FALSE,"Tickmarks"}</definedName>
    <definedName name="YTG" localSheetId="3" hidden="1">{#N/A,#N/A,FALSE,"Aging Summary";#N/A,#N/A,FALSE,"Ratio Analysis";#N/A,#N/A,FALSE,"Test 120 Day Accts";#N/A,#N/A,FALSE,"Tickmarks"}</definedName>
    <definedName name="YTG" hidden="1">{#N/A,#N/A,FALSE,"Aging Summary";#N/A,#N/A,FALSE,"Ratio Analysis";#N/A,#N/A,FALSE,"Test 120 Day Accts";#N/A,#N/A,FALSE,"Tickmarks"}</definedName>
    <definedName name="YTR" localSheetId="3" hidden="1">{#N/A,#N/A,FALSE,"Aging Summary";#N/A,#N/A,FALSE,"Ratio Analysis";#N/A,#N/A,FALSE,"Test 120 Day Accts";#N/A,#N/A,FALSE,"Tickmarks"}</definedName>
    <definedName name="YTR" hidden="1">{#N/A,#N/A,FALSE,"Aging Summary";#N/A,#N/A,FALSE,"Ratio Analysis";#N/A,#N/A,FALSE,"Test 120 Day Accts";#N/A,#N/A,FALSE,"Tickmarks"}</definedName>
    <definedName name="YTYR" localSheetId="3" hidden="1">{#N/A,#N/A,FALSE,"Aging Summary";#N/A,#N/A,FALSE,"Ratio Analysis";#N/A,#N/A,FALSE,"Test 120 Day Accts";#N/A,#N/A,FALSE,"Tickmarks"}</definedName>
    <definedName name="YTYR" hidden="1">{#N/A,#N/A,FALSE,"Aging Summary";#N/A,#N/A,FALSE,"Ratio Analysis";#N/A,#N/A,FALSE,"Test 120 Day Accts";#N/A,#N/A,FALSE,"Tickmarks"}</definedName>
    <definedName name="yuftfyf" localSheetId="3" hidden="1">{#N/A,#N/A,FALSE,"balance";#N/A,#N/A,FALSE,"PYG"}</definedName>
    <definedName name="yuftfyf" hidden="1">{#N/A,#N/A,FALSE,"balance";#N/A,#N/A,FALSE,"PYG"}</definedName>
    <definedName name="yugdnk" localSheetId="3" hidden="1">{#N/A,#N/A,FALSE,"balance";#N/A,#N/A,FALSE,"PYG"}</definedName>
    <definedName name="yugdnk" hidden="1">{#N/A,#N/A,FALSE,"balance";#N/A,#N/A,FALSE,"PYG"}</definedName>
    <definedName name="yute" localSheetId="3" hidden="1">{"PYGT",#N/A,FALSE,"PYG";"ACTIT",#N/A,FALSE,"BCE_GRAL-ACTIVO";"PASIT",#N/A,FALSE,"BCE_GRAL-PASIVO-PATRIM";"CAJAT",#N/A,FALSE,"CAJA"}</definedName>
    <definedName name="yute" hidden="1">{"PYGT",#N/A,FALSE,"PYG";"ACTIT",#N/A,FALSE,"BCE_GRAL-ACTIVO";"PASIT",#N/A,FALSE,"BCE_GRAL-PASIVO-PATRIM";"CAJAT",#N/A,FALSE,"CAJA"}</definedName>
    <definedName name="YY" localSheetId="3" hidden="1">{#N/A,#N/A,FALSE,"GRAFICO";#N/A,#N/A,FALSE,"CAJA (2)";#N/A,#N/A,FALSE,"TERCEROS-PROMEDIO";#N/A,#N/A,FALSE,"CAJA";#N/A,#N/A,FALSE,"INGRESOS1995-2003";#N/A,#N/A,FALSE,"GASTOS1995-2003"}</definedName>
    <definedName name="YY" hidden="1">{#N/A,#N/A,FALSE,"GRAFICO";#N/A,#N/A,FALSE,"CAJA (2)";#N/A,#N/A,FALSE,"TERCEROS-PROMEDIO";#N/A,#N/A,FALSE,"CAJA";#N/A,#N/A,FALSE,"INGRESOS1995-2003";#N/A,#N/A,FALSE,"GASTOS1995-2003"}</definedName>
    <definedName name="yyy" localSheetId="3" hidden="1">{#N/A,#N/A,FALSE,"Aging Summary";#N/A,#N/A,FALSE,"Ratio Analysis";#N/A,#N/A,FALSE,"Test 120 Day Accts";#N/A,#N/A,FALSE,"Tickmarks"}</definedName>
    <definedName name="yyy" hidden="1">{#N/A,#N/A,FALSE,"Aging Summary";#N/A,#N/A,FALSE,"Ratio Analysis";#N/A,#N/A,FALSE,"Test 120 Day Accts";#N/A,#N/A,FALSE,"Tickmarks"}</definedName>
    <definedName name="YYYY" localSheetId="3" hidden="1">{#N/A,#N/A,FALSE,"GRAFICO";#N/A,#N/A,FALSE,"CAJA (2)";#N/A,#N/A,FALSE,"TERCEROS-PROMEDIO";#N/A,#N/A,FALSE,"CAJA";#N/A,#N/A,FALSE,"INGRESOS1995-2003";#N/A,#N/A,FALSE,"GASTOS1995-2003"}</definedName>
    <definedName name="YYYY" hidden="1">{#N/A,#N/A,FALSE,"GRAFICO";#N/A,#N/A,FALSE,"CAJA (2)";#N/A,#N/A,FALSE,"TERCEROS-PROMEDIO";#N/A,#N/A,FALSE,"CAJA";#N/A,#N/A,FALSE,"INGRESOS1995-2003";#N/A,#N/A,FALSE,"GASTOS1995-2003"}</definedName>
    <definedName name="yyyyyy" localSheetId="3" hidden="1">{"PYGS",#N/A,FALSE,"PYG";"ACTIS",#N/A,FALSE,"BCE_GRAL-ACTIVO";"PASIS",#N/A,FALSE,"BCE_GRAL-PASIVO-PATRIM";"CAJAS",#N/A,FALSE,"CAJA"}</definedName>
    <definedName name="yyyyyy" hidden="1">{"PYGS",#N/A,FALSE,"PYG";"ACTIS",#N/A,FALSE,"BCE_GRAL-ACTIVO";"PASIS",#N/A,FALSE,"BCE_GRAL-PASIVO-PATRIM";"CAJAS",#N/A,FALSE,"CAJA"}</definedName>
    <definedName name="yyyyyyyyyyyyyyy" localSheetId="3" hidden="1">{#N/A,#N/A,FALSE,"GRAFICO";#N/A,#N/A,FALSE,"CAJA (2)";#N/A,#N/A,FALSE,"TERCEROS-PROMEDIO";#N/A,#N/A,FALSE,"CAJA";#N/A,#N/A,FALSE,"INGRESOS1995-2003";#N/A,#N/A,FALSE,"GASTOS1995-2003"}</definedName>
    <definedName name="yyyyyyyyyyyyyyy" hidden="1">{#N/A,#N/A,FALSE,"GRAFICO";#N/A,#N/A,FALSE,"CAJA (2)";#N/A,#N/A,FALSE,"TERCEROS-PROMEDIO";#N/A,#N/A,FALSE,"CAJA";#N/A,#N/A,FALSE,"INGRESOS1995-2003";#N/A,#N/A,FALSE,"GASTOS1995-2003"}</definedName>
    <definedName name="zip">#REF!</definedName>
    <definedName name="zzzz" localSheetId="3" hidden="1">{#N/A,#N/A,FALSE,"Aging Summary";#N/A,#N/A,FALSE,"Ratio Analysis";#N/A,#N/A,FALSE,"Test 120 Day Accts";#N/A,#N/A,FALSE,"Tickmarks"}</definedName>
    <definedName name="zzzz" hidden="1">{#N/A,#N/A,FALSE,"Aging Summary";#N/A,#N/A,FALSE,"Ratio Analysis";#N/A,#N/A,FALSE,"Test 120 Day Accts";#N/A,#N/A,FALSE,"Tickmarks"}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15" l="1"/>
  <c r="S85" i="15"/>
  <c r="L12" i="12"/>
  <c r="L19" i="12"/>
  <c r="L18" i="12"/>
  <c r="L17" i="12"/>
  <c r="L16" i="12"/>
  <c r="L15" i="12"/>
  <c r="L14" i="12"/>
  <c r="L6" i="12"/>
  <c r="L7" i="12"/>
  <c r="L8" i="12"/>
  <c r="L9" i="12"/>
  <c r="L10" i="12"/>
  <c r="L11" i="12"/>
  <c r="L13" i="12"/>
  <c r="L5" i="12"/>
  <c r="Y22" i="17"/>
  <c r="X22" i="17"/>
  <c r="W22" i="17"/>
  <c r="T22" i="17"/>
  <c r="S22" i="17"/>
  <c r="R22" i="17"/>
  <c r="R23" i="17"/>
  <c r="W23" i="17" l="1"/>
  <c r="W13" i="17"/>
  <c r="R21" i="17"/>
  <c r="W21" i="17" s="1"/>
  <c r="R13" i="17"/>
  <c r="R17" i="17"/>
  <c r="R16" i="17"/>
  <c r="R15" i="17"/>
  <c r="R14" i="17"/>
  <c r="R18" i="17" s="1"/>
  <c r="R5" i="17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S77" i="15"/>
  <c r="I75" i="2"/>
  <c r="S73" i="15"/>
  <c r="R67" i="15"/>
  <c r="S67" i="15"/>
  <c r="S64" i="15"/>
  <c r="S55" i="15"/>
  <c r="S54" i="15"/>
  <c r="S21" i="15"/>
  <c r="S20" i="15"/>
  <c r="R20" i="15"/>
  <c r="Q20" i="15"/>
  <c r="P20" i="15"/>
  <c r="O20" i="15"/>
  <c r="N20" i="15"/>
  <c r="S9" i="15"/>
  <c r="S10" i="15" s="1"/>
  <c r="S7" i="15"/>
  <c r="S8" i="15" s="1"/>
  <c r="S59" i="15"/>
  <c r="S38" i="15"/>
  <c r="S36" i="15"/>
  <c r="S32" i="15"/>
  <c r="S23" i="15"/>
  <c r="S22" i="15"/>
  <c r="S12" i="15"/>
  <c r="S34" i="15" s="1"/>
  <c r="S56" i="15" l="1"/>
  <c r="S69" i="15"/>
  <c r="S51" i="15"/>
  <c r="S72" i="15" s="1"/>
  <c r="S5" i="15"/>
  <c r="S18" i="15" s="1"/>
  <c r="S39" i="15"/>
  <c r="S24" i="15" l="1"/>
  <c r="S52" i="15"/>
  <c r="S57" i="15"/>
  <c r="S28" i="15"/>
  <c r="S30" i="15"/>
  <c r="I46" i="2"/>
  <c r="I28" i="2"/>
  <c r="I30" i="2"/>
  <c r="J30" i="2"/>
  <c r="K30" i="2"/>
  <c r="J9" i="2"/>
  <c r="J10" i="2"/>
  <c r="J71" i="2" s="1"/>
  <c r="I73" i="2"/>
  <c r="I61" i="2"/>
  <c r="I71" i="2"/>
  <c r="H69" i="2" l="1"/>
  <c r="I69" i="2"/>
  <c r="I70" i="2"/>
  <c r="I40" i="2"/>
  <c r="K5" i="1"/>
  <c r="R9" i="15"/>
  <c r="R7" i="15"/>
  <c r="I6" i="12" s="1"/>
  <c r="L9" i="1"/>
  <c r="L8" i="1"/>
  <c r="L6" i="1"/>
  <c r="K7" i="1"/>
  <c r="K9" i="1"/>
  <c r="J9" i="1"/>
  <c r="I59" i="2"/>
  <c r="I74" i="2"/>
  <c r="I60" i="2"/>
  <c r="I72" i="2"/>
  <c r="I51" i="2"/>
  <c r="I57" i="2"/>
  <c r="I47" i="2"/>
  <c r="K62" i="1"/>
  <c r="Q9" i="15"/>
  <c r="Q7" i="15"/>
  <c r="P7" i="15"/>
  <c r="H6" i="12"/>
  <c r="Y23" i="17"/>
  <c r="X23" i="17"/>
  <c r="T23" i="17"/>
  <c r="S23" i="17"/>
  <c r="W24" i="17"/>
  <c r="T17" i="17"/>
  <c r="T10" i="17"/>
  <c r="T9" i="17"/>
  <c r="X8" i="17"/>
  <c r="T8" i="17"/>
  <c r="W7" i="17"/>
  <c r="L43" i="2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K43" i="2"/>
  <c r="K51" i="2"/>
  <c r="L51" i="2"/>
  <c r="M51" i="2"/>
  <c r="N51" i="2"/>
  <c r="O51" i="2"/>
  <c r="P51" i="2"/>
  <c r="Q51" i="2"/>
  <c r="R51" i="2"/>
  <c r="S51" i="2"/>
  <c r="T51" i="2"/>
  <c r="U51" i="2"/>
  <c r="V51" i="2"/>
  <c r="J57" i="2"/>
  <c r="J51" i="2" s="1"/>
  <c r="J40" i="2" s="1"/>
  <c r="J46" i="2" s="1"/>
  <c r="J52" i="2"/>
  <c r="R55" i="15"/>
  <c r="R54" i="15"/>
  <c r="R56" i="15" s="1"/>
  <c r="R64" i="15"/>
  <c r="R63" i="15"/>
  <c r="R62" i="15"/>
  <c r="R61" i="15"/>
  <c r="I7" i="12"/>
  <c r="I26" i="12"/>
  <c r="R59" i="15"/>
  <c r="R23" i="15"/>
  <c r="R12" i="15"/>
  <c r="R34" i="15" s="1"/>
  <c r="I33" i="2"/>
  <c r="I18" i="2"/>
  <c r="K52" i="1"/>
  <c r="K19" i="1"/>
  <c r="K56" i="1"/>
  <c r="K57" i="1"/>
  <c r="K55" i="1"/>
  <c r="K39" i="1"/>
  <c r="K31" i="1"/>
  <c r="K28" i="1"/>
  <c r="K27" i="1"/>
  <c r="K21" i="1"/>
  <c r="I18" i="12" l="1"/>
  <c r="Q5" i="15"/>
  <c r="I4" i="12"/>
  <c r="R5" i="15"/>
  <c r="I17" i="12"/>
  <c r="S83" i="15"/>
  <c r="S75" i="15"/>
  <c r="S76" i="15" s="1"/>
  <c r="S78" i="15" s="1"/>
  <c r="X21" i="17"/>
  <c r="X24" i="17" s="1"/>
  <c r="Y21" i="17"/>
  <c r="Y24" i="17" s="1"/>
  <c r="T21" i="17"/>
  <c r="T24" i="17" s="1"/>
  <c r="S21" i="17"/>
  <c r="R24" i="17"/>
  <c r="S24" i="17"/>
  <c r="Y8" i="17"/>
  <c r="R75" i="15"/>
  <c r="R69" i="15"/>
  <c r="I16" i="12" s="1"/>
  <c r="K20" i="1"/>
  <c r="R21" i="15" s="1"/>
  <c r="J62" i="1"/>
  <c r="J39" i="1"/>
  <c r="J65" i="1" s="1"/>
  <c r="S82" i="15" l="1"/>
  <c r="K29" i="1"/>
  <c r="H28" i="2" l="1"/>
  <c r="H40" i="2" s="1"/>
  <c r="O64" i="15" l="1"/>
  <c r="O69" i="15" s="1"/>
  <c r="N64" i="15"/>
  <c r="Q64" i="15"/>
  <c r="Q61" i="15"/>
  <c r="R83" i="15" s="1"/>
  <c r="Q69" i="15" l="1"/>
  <c r="H16" i="12" s="1"/>
  <c r="H18" i="12"/>
  <c r="H17" i="12"/>
  <c r="H11" i="12"/>
  <c r="H10" i="12"/>
  <c r="H8" i="12"/>
  <c r="Q81" i="15"/>
  <c r="Q55" i="15"/>
  <c r="Q54" i="15"/>
  <c r="H7" i="12"/>
  <c r="Q56" i="15" l="1"/>
  <c r="Q83" i="15"/>
  <c r="Q75" i="15"/>
  <c r="Q59" i="15"/>
  <c r="Q38" i="15"/>
  <c r="H12" i="12" s="1"/>
  <c r="Q36" i="15"/>
  <c r="Q32" i="15"/>
  <c r="Q23" i="15"/>
  <c r="Q22" i="15"/>
  <c r="Q21" i="15"/>
  <c r="Q12" i="15"/>
  <c r="H4" i="12" s="1"/>
  <c r="H5" i="12"/>
  <c r="Q51" i="15" l="1"/>
  <c r="H13" i="12" s="1"/>
  <c r="Q34" i="15"/>
  <c r="H9" i="12"/>
  <c r="Q67" i="15"/>
  <c r="Q18" i="15"/>
  <c r="Q24" i="15"/>
  <c r="Q30" i="15"/>
  <c r="Q28" i="15"/>
  <c r="Q39" i="15"/>
  <c r="Q57" i="15" l="1"/>
  <c r="Q72" i="15"/>
  <c r="Q52" i="15"/>
  <c r="H14" i="12" s="1"/>
  <c r="L37" i="12"/>
  <c r="K37" i="12"/>
  <c r="J37" i="12"/>
  <c r="I37" i="12"/>
  <c r="D43" i="12"/>
  <c r="E43" i="12"/>
  <c r="F43" i="12"/>
  <c r="C43" i="12"/>
  <c r="V73" i="2"/>
  <c r="V67" i="2"/>
  <c r="V74" i="2"/>
  <c r="T55" i="2"/>
  <c r="Q55" i="2"/>
  <c r="B57" i="2"/>
  <c r="B55" i="2"/>
  <c r="B53" i="2"/>
  <c r="B52" i="2"/>
  <c r="B56" i="2"/>
  <c r="M9" i="1"/>
  <c r="N9" i="1"/>
  <c r="O9" i="1"/>
  <c r="P9" i="1"/>
  <c r="Q9" i="1"/>
  <c r="R9" i="1"/>
  <c r="S9" i="1"/>
  <c r="T9" i="1"/>
  <c r="U9" i="1"/>
  <c r="V9" i="1"/>
  <c r="W9" i="1"/>
  <c r="X9" i="1"/>
  <c r="K44" i="2"/>
  <c r="U74" i="2"/>
  <c r="T74" i="2"/>
  <c r="S74" i="2"/>
  <c r="R74" i="2"/>
  <c r="V18" i="2"/>
  <c r="U18" i="2"/>
  <c r="T18" i="2"/>
  <c r="S18" i="2"/>
  <c r="R18" i="2"/>
  <c r="K45" i="2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L44" i="2" l="1"/>
  <c r="M44" i="2" s="1"/>
  <c r="N44" i="2" s="1"/>
  <c r="O44" i="2" s="1"/>
  <c r="P44" i="2" s="1"/>
  <c r="Q44" i="2" s="1"/>
  <c r="R44" i="2" s="1"/>
  <c r="S44" i="2" s="1"/>
  <c r="T44" i="2" s="1"/>
  <c r="U44" i="2" s="1"/>
  <c r="F6" i="12"/>
  <c r="F7" i="12"/>
  <c r="F8" i="12"/>
  <c r="F10" i="12"/>
  <c r="F11" i="12"/>
  <c r="F17" i="12"/>
  <c r="G17" i="12"/>
  <c r="P77" i="15"/>
  <c r="P79" i="15"/>
  <c r="P74" i="15"/>
  <c r="P73" i="15"/>
  <c r="P64" i="15"/>
  <c r="P67" i="15" s="1"/>
  <c r="P55" i="15"/>
  <c r="P48" i="15"/>
  <c r="R48" i="15" s="1"/>
  <c r="O47" i="15"/>
  <c r="P47" i="15" s="1"/>
  <c r="R47" i="15" s="1"/>
  <c r="P46" i="15"/>
  <c r="R46" i="15" s="1"/>
  <c r="P45" i="15"/>
  <c r="R45" i="15" s="1"/>
  <c r="P44" i="15"/>
  <c r="R44" i="15" s="1"/>
  <c r="P43" i="15"/>
  <c r="R43" i="15" s="1"/>
  <c r="P42" i="15"/>
  <c r="R42" i="15" s="1"/>
  <c r="P41" i="15"/>
  <c r="R41" i="15" s="1"/>
  <c r="P40" i="15"/>
  <c r="P29" i="15"/>
  <c r="R29" i="15" s="1"/>
  <c r="P27" i="15"/>
  <c r="R27" i="15" s="1"/>
  <c r="P26" i="15"/>
  <c r="R26" i="15" s="1"/>
  <c r="I11" i="12" s="1"/>
  <c r="P17" i="15"/>
  <c r="R17" i="15" s="1"/>
  <c r="P16" i="15"/>
  <c r="R16" i="15" s="1"/>
  <c r="I10" i="12" s="1"/>
  <c r="P14" i="15"/>
  <c r="P9" i="15"/>
  <c r="P75" i="15"/>
  <c r="P83" i="15"/>
  <c r="P59" i="15"/>
  <c r="P23" i="15"/>
  <c r="P12" i="15"/>
  <c r="P34" i="15" s="1"/>
  <c r="R40" i="15" l="1"/>
  <c r="R38" i="15" s="1"/>
  <c r="I12" i="12" s="1"/>
  <c r="R74" i="15"/>
  <c r="R14" i="15"/>
  <c r="I8" i="12" s="1"/>
  <c r="I5" i="12"/>
  <c r="Q79" i="15"/>
  <c r="G18" i="12"/>
  <c r="P69" i="15"/>
  <c r="G16" i="12" s="1"/>
  <c r="G11" i="12"/>
  <c r="G10" i="12"/>
  <c r="G8" i="12"/>
  <c r="G7" i="12"/>
  <c r="G6" i="12"/>
  <c r="G4" i="12"/>
  <c r="G15" i="12"/>
  <c r="V44" i="2"/>
  <c r="P38" i="15"/>
  <c r="G12" i="12" s="1"/>
  <c r="P22" i="15"/>
  <c r="P32" i="15"/>
  <c r="P36" i="15"/>
  <c r="P5" i="15"/>
  <c r="G5" i="12" s="1"/>
  <c r="R36" i="15" l="1"/>
  <c r="R32" i="15"/>
  <c r="I9" i="12"/>
  <c r="R28" i="15"/>
  <c r="R39" i="15"/>
  <c r="R18" i="15"/>
  <c r="R30" i="15"/>
  <c r="G9" i="12"/>
  <c r="P51" i="15"/>
  <c r="P28" i="15"/>
  <c r="P24" i="15"/>
  <c r="P39" i="15"/>
  <c r="P18" i="15"/>
  <c r="P30" i="15"/>
  <c r="O77" i="15"/>
  <c r="O73" i="15"/>
  <c r="F18" i="12"/>
  <c r="O55" i="15"/>
  <c r="O54" i="15"/>
  <c r="O38" i="15"/>
  <c r="F12" i="12" s="1"/>
  <c r="O67" i="15"/>
  <c r="O59" i="15"/>
  <c r="O36" i="15"/>
  <c r="O32" i="15"/>
  <c r="O23" i="15"/>
  <c r="O22" i="15"/>
  <c r="R22" i="15" s="1"/>
  <c r="O12" i="15"/>
  <c r="D8" i="12"/>
  <c r="D10" i="12"/>
  <c r="D11" i="12"/>
  <c r="J16" i="15"/>
  <c r="N14" i="15"/>
  <c r="E8" i="12" s="1"/>
  <c r="J26" i="15"/>
  <c r="J27" i="15"/>
  <c r="N16" i="15"/>
  <c r="E10" i="12" s="1"/>
  <c r="G74" i="2"/>
  <c r="F74" i="2"/>
  <c r="E74" i="2"/>
  <c r="D74" i="2"/>
  <c r="H74" i="2"/>
  <c r="N80" i="15" s="1"/>
  <c r="J74" i="15"/>
  <c r="N74" i="15"/>
  <c r="N65" i="15"/>
  <c r="N63" i="15"/>
  <c r="N62" i="15"/>
  <c r="N48" i="15"/>
  <c r="N47" i="15"/>
  <c r="N46" i="15"/>
  <c r="N45" i="15"/>
  <c r="N44" i="15"/>
  <c r="N43" i="15"/>
  <c r="N42" i="15"/>
  <c r="N41" i="15"/>
  <c r="N40" i="15"/>
  <c r="N27" i="15"/>
  <c r="N26" i="15"/>
  <c r="E11" i="12" s="1"/>
  <c r="N17" i="15"/>
  <c r="H71" i="2"/>
  <c r="H51" i="2"/>
  <c r="H73" i="2" s="1"/>
  <c r="H22" i="2"/>
  <c r="H75" i="2"/>
  <c r="N81" i="15" s="1"/>
  <c r="H33" i="2"/>
  <c r="H34" i="2" s="1"/>
  <c r="H16" i="2"/>
  <c r="H4" i="2"/>
  <c r="H2" i="2"/>
  <c r="H64" i="2" s="1"/>
  <c r="H67" i="2"/>
  <c r="J56" i="1"/>
  <c r="J55" i="1"/>
  <c r="J60" i="1"/>
  <c r="J37" i="1"/>
  <c r="J52" i="1" s="1"/>
  <c r="H18" i="2"/>
  <c r="J31" i="1"/>
  <c r="J28" i="1"/>
  <c r="J29" i="1" s="1"/>
  <c r="J22" i="1"/>
  <c r="J21" i="1"/>
  <c r="J7" i="1"/>
  <c r="N59" i="15"/>
  <c r="N23" i="15"/>
  <c r="N12" i="15"/>
  <c r="N75" i="15" l="1"/>
  <c r="R24" i="15"/>
  <c r="W5" i="17"/>
  <c r="T5" i="17"/>
  <c r="S5" i="17"/>
  <c r="N34" i="15"/>
  <c r="E4" i="12"/>
  <c r="H37" i="2"/>
  <c r="N61" i="15"/>
  <c r="E17" i="12" s="1"/>
  <c r="H24" i="2"/>
  <c r="H25" i="2" s="1"/>
  <c r="Q77" i="15"/>
  <c r="R77" i="15" s="1"/>
  <c r="Q73" i="15"/>
  <c r="R73" i="15" s="1"/>
  <c r="I15" i="12" s="1"/>
  <c r="F16" i="12"/>
  <c r="G13" i="12"/>
  <c r="O34" i="15"/>
  <c r="F4" i="12"/>
  <c r="O56" i="15"/>
  <c r="P54" i="15"/>
  <c r="P56" i="15" s="1"/>
  <c r="F15" i="12"/>
  <c r="N29" i="15"/>
  <c r="E18" i="12"/>
  <c r="O75" i="15"/>
  <c r="R10" i="17" s="1"/>
  <c r="P52" i="15"/>
  <c r="G14" i="12" s="1"/>
  <c r="P72" i="15"/>
  <c r="O51" i="15"/>
  <c r="O5" i="15"/>
  <c r="S6" i="15" s="1"/>
  <c r="N32" i="15"/>
  <c r="N36" i="15"/>
  <c r="N38" i="15"/>
  <c r="E12" i="12" s="1"/>
  <c r="H30" i="2"/>
  <c r="H20" i="2"/>
  <c r="H35" i="2" s="1"/>
  <c r="J64" i="1"/>
  <c r="R9" i="17" l="1"/>
  <c r="Q76" i="15"/>
  <c r="Q78" i="15" s="1"/>
  <c r="Q82" i="15" s="1"/>
  <c r="X5" i="17"/>
  <c r="X14" i="17" s="1"/>
  <c r="X18" i="17" s="1"/>
  <c r="X25" i="17" s="1"/>
  <c r="Y5" i="17"/>
  <c r="Y14" i="17" s="1"/>
  <c r="Y18" i="17" s="1"/>
  <c r="Y25" i="17" s="1"/>
  <c r="S15" i="17"/>
  <c r="S16" i="17"/>
  <c r="S14" i="17"/>
  <c r="T14" i="17"/>
  <c r="T15" i="17"/>
  <c r="T16" i="17"/>
  <c r="P76" i="15"/>
  <c r="R51" i="15"/>
  <c r="H59" i="2"/>
  <c r="I38" i="2"/>
  <c r="H15" i="12"/>
  <c r="F13" i="12"/>
  <c r="F5" i="12"/>
  <c r="F9" i="12" s="1"/>
  <c r="P57" i="15"/>
  <c r="H46" i="2"/>
  <c r="N67" i="15"/>
  <c r="J53" i="1"/>
  <c r="H6" i="2"/>
  <c r="H60" i="2" s="1"/>
  <c r="O72" i="15"/>
  <c r="O57" i="15"/>
  <c r="O52" i="15"/>
  <c r="F14" i="12" s="1"/>
  <c r="O83" i="15"/>
  <c r="O28" i="15"/>
  <c r="O24" i="15"/>
  <c r="O39" i="15"/>
  <c r="O18" i="15"/>
  <c r="O30" i="15"/>
  <c r="N69" i="15"/>
  <c r="E16" i="12" s="1"/>
  <c r="J58" i="1"/>
  <c r="H8" i="2" s="1"/>
  <c r="H11" i="2" s="1"/>
  <c r="H12" i="2" s="1"/>
  <c r="H17" i="2" s="1"/>
  <c r="E33" i="12"/>
  <c r="D33" i="12"/>
  <c r="E32" i="12"/>
  <c r="D32" i="12"/>
  <c r="C11" i="12"/>
  <c r="C10" i="12"/>
  <c r="C33" i="12"/>
  <c r="C32" i="12"/>
  <c r="M79" i="15"/>
  <c r="N79" i="15" s="1"/>
  <c r="M64" i="15"/>
  <c r="M61" i="15"/>
  <c r="M38" i="15"/>
  <c r="D12" i="12" s="1"/>
  <c r="M9" i="15"/>
  <c r="M7" i="15"/>
  <c r="M12" i="15"/>
  <c r="M22" i="15"/>
  <c r="M23" i="15"/>
  <c r="M32" i="15"/>
  <c r="M36" i="15"/>
  <c r="M59" i="15"/>
  <c r="M77" i="15"/>
  <c r="I13" i="12" l="1"/>
  <c r="R57" i="15"/>
  <c r="S70" i="15"/>
  <c r="T18" i="17"/>
  <c r="T25" i="17" s="1"/>
  <c r="S18" i="17"/>
  <c r="S25" i="17" s="1"/>
  <c r="R70" i="15"/>
  <c r="I19" i="12" s="1"/>
  <c r="P78" i="15"/>
  <c r="P82" i="15" s="1"/>
  <c r="R52" i="15"/>
  <c r="I14" i="12" s="1"/>
  <c r="R72" i="15"/>
  <c r="O76" i="15"/>
  <c r="D6" i="12"/>
  <c r="Q8" i="15"/>
  <c r="D7" i="12"/>
  <c r="Q10" i="15"/>
  <c r="H66" i="2"/>
  <c r="H70" i="2" s="1"/>
  <c r="H72" i="2" s="1"/>
  <c r="H7" i="2"/>
  <c r="H5" i="2"/>
  <c r="M67" i="15"/>
  <c r="D18" i="12"/>
  <c r="M34" i="15"/>
  <c r="D4" i="12"/>
  <c r="N83" i="15"/>
  <c r="D17" i="12"/>
  <c r="M51" i="15"/>
  <c r="D13" i="12" s="1"/>
  <c r="M69" i="15"/>
  <c r="M5" i="15"/>
  <c r="E29" i="12"/>
  <c r="D29" i="12"/>
  <c r="C29" i="12"/>
  <c r="W14" i="17" l="1"/>
  <c r="R25" i="17"/>
  <c r="R8" i="17"/>
  <c r="R76" i="15"/>
  <c r="O78" i="15"/>
  <c r="O82" i="15" s="1"/>
  <c r="Q6" i="15"/>
  <c r="M28" i="15"/>
  <c r="D5" i="12"/>
  <c r="D16" i="12"/>
  <c r="M30" i="15"/>
  <c r="M39" i="15"/>
  <c r="M24" i="15"/>
  <c r="M18" i="15"/>
  <c r="M52" i="15"/>
  <c r="D14" i="12" s="1"/>
  <c r="M72" i="15"/>
  <c r="W18" i="17" l="1"/>
  <c r="W25" i="17" s="1"/>
  <c r="W8" i="17"/>
  <c r="R78" i="15"/>
  <c r="D9" i="12"/>
  <c r="F22" i="2"/>
  <c r="D5" i="1"/>
  <c r="D62" i="1"/>
  <c r="D64" i="1" l="1"/>
  <c r="D63" i="1"/>
  <c r="H69" i="15" l="1"/>
  <c r="G20" i="12" l="1"/>
  <c r="C8" i="12"/>
  <c r="L77" i="15"/>
  <c r="N77" i="15" s="1"/>
  <c r="L64" i="15"/>
  <c r="C18" i="12" s="1"/>
  <c r="L63" i="15"/>
  <c r="L75" i="15" s="1"/>
  <c r="L61" i="15"/>
  <c r="F39" i="1"/>
  <c r="J44" i="15"/>
  <c r="F26" i="15"/>
  <c r="F27" i="15"/>
  <c r="F41" i="15"/>
  <c r="L59" i="15"/>
  <c r="L38" i="15"/>
  <c r="L36" i="15"/>
  <c r="L32" i="15"/>
  <c r="L23" i="15"/>
  <c r="L22" i="15"/>
  <c r="L12" i="15"/>
  <c r="L34" i="15" l="1"/>
  <c r="C4" i="12"/>
  <c r="L51" i="15"/>
  <c r="C13" i="12" s="1"/>
  <c r="C12" i="12"/>
  <c r="L83" i="15"/>
  <c r="M83" i="15"/>
  <c r="M75" i="15"/>
  <c r="C17" i="12"/>
  <c r="L67" i="15"/>
  <c r="L69" i="15"/>
  <c r="C16" i="12" s="1"/>
  <c r="L52" i="15" l="1"/>
  <c r="C14" i="12" s="1"/>
  <c r="L72" i="15"/>
  <c r="F20" i="12" l="1"/>
  <c r="D20" i="12"/>
  <c r="C20" i="12"/>
  <c r="H20" i="12" s="1"/>
  <c r="D83" i="15" l="1"/>
  <c r="E79" i="15"/>
  <c r="I79" i="15"/>
  <c r="J81" i="15"/>
  <c r="E20" i="12" s="1"/>
  <c r="K67" i="15"/>
  <c r="J67" i="15"/>
  <c r="I67" i="15"/>
  <c r="H67" i="15"/>
  <c r="G67" i="15"/>
  <c r="C67" i="15"/>
  <c r="C36" i="15"/>
  <c r="K32" i="15"/>
  <c r="I32" i="15"/>
  <c r="H32" i="15"/>
  <c r="G32" i="15"/>
  <c r="E32" i="15"/>
  <c r="D32" i="15"/>
  <c r="C32" i="15"/>
  <c r="K22" i="15"/>
  <c r="N22" i="15" s="1"/>
  <c r="I22" i="15"/>
  <c r="H22" i="15"/>
  <c r="G22" i="15"/>
  <c r="E22" i="15"/>
  <c r="D22" i="15"/>
  <c r="C22" i="15"/>
  <c r="K23" i="15"/>
  <c r="J23" i="15"/>
  <c r="I23" i="15"/>
  <c r="H23" i="15"/>
  <c r="G23" i="15"/>
  <c r="F23" i="15"/>
  <c r="E23" i="15"/>
  <c r="D23" i="15"/>
  <c r="C23" i="15"/>
  <c r="F14" i="15"/>
  <c r="F36" i="15" s="1"/>
  <c r="J14" i="15"/>
  <c r="F16" i="15"/>
  <c r="F22" i="15" s="1"/>
  <c r="D36" i="15"/>
  <c r="E36" i="15"/>
  <c r="G36" i="15"/>
  <c r="H36" i="15"/>
  <c r="I36" i="15"/>
  <c r="K36" i="15"/>
  <c r="C38" i="15"/>
  <c r="D38" i="15"/>
  <c r="E38" i="15"/>
  <c r="G38" i="15"/>
  <c r="H38" i="15"/>
  <c r="I38" i="15"/>
  <c r="K38" i="15"/>
  <c r="F64" i="15"/>
  <c r="F67" i="15" s="1"/>
  <c r="E64" i="15"/>
  <c r="E67" i="15" s="1"/>
  <c r="D64" i="15"/>
  <c r="D67" i="15" s="1"/>
  <c r="F61" i="15"/>
  <c r="D51" i="15" l="1"/>
  <c r="C51" i="15"/>
  <c r="H51" i="15"/>
  <c r="G51" i="15"/>
  <c r="J22" i="15"/>
  <c r="E51" i="15"/>
  <c r="I51" i="15"/>
  <c r="K51" i="15"/>
  <c r="N51" i="15" s="1"/>
  <c r="Q70" i="15" s="1"/>
  <c r="H19" i="12" s="1"/>
  <c r="J36" i="15"/>
  <c r="J32" i="15"/>
  <c r="F32" i="15"/>
  <c r="E13" i="12" l="1"/>
  <c r="P70" i="15"/>
  <c r="G19" i="12" s="1"/>
  <c r="O70" i="15"/>
  <c r="F19" i="12" s="1"/>
  <c r="N52" i="15"/>
  <c r="E14" i="12" s="1"/>
  <c r="N70" i="15"/>
  <c r="E19" i="12" s="1"/>
  <c r="K69" i="15"/>
  <c r="J69" i="15"/>
  <c r="I69" i="15"/>
  <c r="G69" i="15"/>
  <c r="F69" i="15"/>
  <c r="E69" i="15"/>
  <c r="D69" i="15"/>
  <c r="C69" i="15"/>
  <c r="C2" i="1"/>
  <c r="C5" i="1"/>
  <c r="C11" i="1"/>
  <c r="C35" i="1" s="1"/>
  <c r="E7" i="1"/>
  <c r="E9" i="1"/>
  <c r="E20" i="1"/>
  <c r="J83" i="15"/>
  <c r="I83" i="15"/>
  <c r="H83" i="15"/>
  <c r="G83" i="15"/>
  <c r="F83" i="15"/>
  <c r="E83" i="15"/>
  <c r="K83" i="15"/>
  <c r="J75" i="15"/>
  <c r="I75" i="15"/>
  <c r="H75" i="15"/>
  <c r="G75" i="15"/>
  <c r="F75" i="15"/>
  <c r="E75" i="15"/>
  <c r="D75" i="15"/>
  <c r="K75" i="15"/>
  <c r="K73" i="15"/>
  <c r="G73" i="15"/>
  <c r="H73" i="15" s="1"/>
  <c r="C73" i="15"/>
  <c r="D73" i="15" s="1"/>
  <c r="J48" i="15"/>
  <c r="J47" i="15"/>
  <c r="J46" i="15"/>
  <c r="J45" i="15"/>
  <c r="J43" i="15"/>
  <c r="J42" i="15"/>
  <c r="J41" i="15"/>
  <c r="J40" i="15"/>
  <c r="F47" i="15"/>
  <c r="F46" i="15"/>
  <c r="F45" i="15"/>
  <c r="F44" i="15"/>
  <c r="F43" i="15"/>
  <c r="F42" i="15"/>
  <c r="F40" i="15"/>
  <c r="C52" i="15"/>
  <c r="E52" i="15"/>
  <c r="F48" i="15"/>
  <c r="G37" i="12"/>
  <c r="F37" i="12"/>
  <c r="E42" i="12"/>
  <c r="E30" i="12"/>
  <c r="E28" i="12"/>
  <c r="E26" i="12"/>
  <c r="D42" i="12"/>
  <c r="D30" i="12"/>
  <c r="D28" i="12"/>
  <c r="D26" i="12"/>
  <c r="C42" i="12"/>
  <c r="C30" i="12"/>
  <c r="C28" i="12"/>
  <c r="C26" i="12"/>
  <c r="I9" i="1"/>
  <c r="H9" i="1"/>
  <c r="G9" i="1"/>
  <c r="F9" i="1"/>
  <c r="I7" i="1"/>
  <c r="H7" i="1"/>
  <c r="G7" i="1"/>
  <c r="F7" i="1"/>
  <c r="N72" i="15" l="1"/>
  <c r="F28" i="12"/>
  <c r="F29" i="12"/>
  <c r="L73" i="15"/>
  <c r="F38" i="15"/>
  <c r="F51" i="15" s="1"/>
  <c r="J38" i="15"/>
  <c r="D52" i="15"/>
  <c r="C72" i="15"/>
  <c r="D72" i="15"/>
  <c r="E72" i="15"/>
  <c r="I73" i="15"/>
  <c r="E73" i="15"/>
  <c r="F73" i="15" s="1"/>
  <c r="J5" i="1"/>
  <c r="J23" i="1" s="1"/>
  <c r="C76" i="15" l="1"/>
  <c r="E86" i="15"/>
  <c r="D86" i="15"/>
  <c r="D76" i="15"/>
  <c r="J17" i="1"/>
  <c r="J27" i="1"/>
  <c r="J63" i="1"/>
  <c r="J40" i="1"/>
  <c r="J51" i="15"/>
  <c r="M70" i="15" s="1"/>
  <c r="D19" i="12" s="1"/>
  <c r="M8" i="1"/>
  <c r="I29" i="12" s="1"/>
  <c r="G29" i="12"/>
  <c r="J73" i="15"/>
  <c r="L76" i="15"/>
  <c r="C15" i="12"/>
  <c r="M73" i="15"/>
  <c r="F27" i="12"/>
  <c r="F72" i="15"/>
  <c r="G28" i="12"/>
  <c r="E76" i="15"/>
  <c r="L5" i="1" l="1"/>
  <c r="L63" i="1" s="1"/>
  <c r="E85" i="15"/>
  <c r="D85" i="15"/>
  <c r="C78" i="15"/>
  <c r="C82" i="15" s="1"/>
  <c r="D78" i="15"/>
  <c r="D82" i="15" s="1"/>
  <c r="L78" i="15"/>
  <c r="L82" i="15" s="1"/>
  <c r="E78" i="15"/>
  <c r="E82" i="15" s="1"/>
  <c r="N8" i="1"/>
  <c r="H29" i="12"/>
  <c r="N73" i="15"/>
  <c r="D15" i="12"/>
  <c r="M76" i="15"/>
  <c r="G27" i="12"/>
  <c r="K63" i="1"/>
  <c r="F70" i="15"/>
  <c r="F52" i="15"/>
  <c r="L70" i="15"/>
  <c r="C19" i="12" s="1"/>
  <c r="M6" i="1"/>
  <c r="I28" i="12" s="1"/>
  <c r="H28" i="12"/>
  <c r="E15" i="12" l="1"/>
  <c r="Q86" i="15"/>
  <c r="O86" i="15"/>
  <c r="P86" i="15"/>
  <c r="M78" i="15"/>
  <c r="M82" i="15" s="1"/>
  <c r="N6" i="1"/>
  <c r="N5" i="1" s="1"/>
  <c r="O8" i="1"/>
  <c r="J29" i="12"/>
  <c r="H27" i="12"/>
  <c r="H37" i="12"/>
  <c r="M5" i="1"/>
  <c r="I27" i="12" s="1"/>
  <c r="I39" i="1"/>
  <c r="I55" i="1"/>
  <c r="E28" i="1"/>
  <c r="P8" i="1" l="1"/>
  <c r="K29" i="12"/>
  <c r="M63" i="1"/>
  <c r="N63" i="1"/>
  <c r="J27" i="12"/>
  <c r="O6" i="1"/>
  <c r="J28" i="12"/>
  <c r="P6" i="1" l="1"/>
  <c r="P5" i="1" s="1"/>
  <c r="K28" i="12"/>
  <c r="O5" i="1"/>
  <c r="Q8" i="1"/>
  <c r="R8" i="1" s="1"/>
  <c r="S8" i="1" s="1"/>
  <c r="T8" i="1" s="1"/>
  <c r="U8" i="1" s="1"/>
  <c r="V8" i="1" s="1"/>
  <c r="W8" i="1" s="1"/>
  <c r="X8" i="1" s="1"/>
  <c r="L29" i="12"/>
  <c r="C69" i="11"/>
  <c r="F36" i="11"/>
  <c r="C12" i="15"/>
  <c r="C34" i="15" s="1"/>
  <c r="C9" i="15"/>
  <c r="C7" i="15"/>
  <c r="C2" i="15"/>
  <c r="D2" i="15" s="1"/>
  <c r="E2" i="15" s="1"/>
  <c r="F2" i="15" s="1"/>
  <c r="G2" i="15" s="1"/>
  <c r="H2" i="15" s="1"/>
  <c r="I2" i="15" s="1"/>
  <c r="J2" i="15" s="1"/>
  <c r="K2" i="15" s="1"/>
  <c r="K59" i="15"/>
  <c r="K12" i="15"/>
  <c r="K9" i="15"/>
  <c r="O10" i="15" s="1"/>
  <c r="K7" i="15"/>
  <c r="O8" i="15" s="1"/>
  <c r="J59" i="15"/>
  <c r="J12" i="15"/>
  <c r="J34" i="15" s="1"/>
  <c r="J9" i="15"/>
  <c r="J7" i="15"/>
  <c r="I59" i="15"/>
  <c r="I12" i="15"/>
  <c r="I34" i="15" s="1"/>
  <c r="I9" i="15"/>
  <c r="I7" i="15"/>
  <c r="H59" i="15"/>
  <c r="H12" i="15"/>
  <c r="H34" i="15" s="1"/>
  <c r="H9" i="15"/>
  <c r="H7" i="15"/>
  <c r="G59" i="15"/>
  <c r="G12" i="15"/>
  <c r="G34" i="15" s="1"/>
  <c r="G9" i="15"/>
  <c r="G7" i="15"/>
  <c r="F59" i="15"/>
  <c r="F12" i="15"/>
  <c r="F34" i="15" s="1"/>
  <c r="F9" i="15"/>
  <c r="F7" i="15"/>
  <c r="E59" i="15"/>
  <c r="E12" i="15"/>
  <c r="E34" i="15" s="1"/>
  <c r="E9" i="15"/>
  <c r="E7" i="15"/>
  <c r="D59" i="15"/>
  <c r="D12" i="15"/>
  <c r="D34" i="15" s="1"/>
  <c r="D9" i="15"/>
  <c r="D7" i="15"/>
  <c r="C59" i="15"/>
  <c r="F62" i="1"/>
  <c r="E62" i="1"/>
  <c r="G62" i="1"/>
  <c r="E31" i="1"/>
  <c r="P63" i="1" l="1"/>
  <c r="L27" i="12"/>
  <c r="O63" i="1"/>
  <c r="K27" i="12"/>
  <c r="Q6" i="1"/>
  <c r="R6" i="1" s="1"/>
  <c r="S6" i="1" s="1"/>
  <c r="T6" i="1" s="1"/>
  <c r="U6" i="1" s="1"/>
  <c r="V6" i="1" s="1"/>
  <c r="W6" i="1" s="1"/>
  <c r="X6" i="1" s="1"/>
  <c r="L28" i="12"/>
  <c r="K34" i="15"/>
  <c r="M8" i="15"/>
  <c r="M10" i="15"/>
  <c r="C37" i="12"/>
  <c r="L2" i="15"/>
  <c r="M2" i="15" s="1"/>
  <c r="N2" i="15" s="1"/>
  <c r="O2" i="15" s="1"/>
  <c r="P2" i="15" s="1"/>
  <c r="Q2" i="15" s="1"/>
  <c r="R2" i="15" s="1"/>
  <c r="S2" i="15" s="1"/>
  <c r="L7" i="15"/>
  <c r="L9" i="15"/>
  <c r="G8" i="15"/>
  <c r="G10" i="15"/>
  <c r="J10" i="15"/>
  <c r="H10" i="15"/>
  <c r="K8" i="15"/>
  <c r="J8" i="15"/>
  <c r="H8" i="15"/>
  <c r="K10" i="15"/>
  <c r="I8" i="15"/>
  <c r="I10" i="15"/>
  <c r="C5" i="15"/>
  <c r="D5" i="15"/>
  <c r="G5" i="15"/>
  <c r="I5" i="15"/>
  <c r="J5" i="15"/>
  <c r="F5" i="15"/>
  <c r="E5" i="15"/>
  <c r="H5" i="15"/>
  <c r="K5" i="15"/>
  <c r="G6" i="15" l="1"/>
  <c r="Q5" i="1"/>
  <c r="J6" i="15"/>
  <c r="N9" i="15"/>
  <c r="R10" i="15" s="1"/>
  <c r="P10" i="15"/>
  <c r="K6" i="15"/>
  <c r="O6" i="15"/>
  <c r="I6" i="15"/>
  <c r="M6" i="15"/>
  <c r="C6" i="12"/>
  <c r="P8" i="15"/>
  <c r="H6" i="15"/>
  <c r="N7" i="15"/>
  <c r="R8" i="15" s="1"/>
  <c r="L10" i="15"/>
  <c r="C7" i="12"/>
  <c r="L8" i="15"/>
  <c r="L5" i="15"/>
  <c r="E30" i="15"/>
  <c r="E28" i="15"/>
  <c r="H28" i="15"/>
  <c r="H30" i="15"/>
  <c r="F28" i="15"/>
  <c r="J28" i="15"/>
  <c r="I30" i="15"/>
  <c r="I28" i="15"/>
  <c r="G28" i="15"/>
  <c r="G30" i="15"/>
  <c r="D30" i="15"/>
  <c r="D28" i="15"/>
  <c r="K30" i="15"/>
  <c r="K28" i="15"/>
  <c r="C24" i="15"/>
  <c r="C30" i="15"/>
  <c r="C28" i="15"/>
  <c r="E18" i="15"/>
  <c r="E24" i="15"/>
  <c r="I18" i="15"/>
  <c r="I24" i="15"/>
  <c r="J18" i="15"/>
  <c r="J24" i="15"/>
  <c r="K18" i="15"/>
  <c r="K24" i="15"/>
  <c r="C18" i="15"/>
  <c r="F18" i="15"/>
  <c r="F24" i="15"/>
  <c r="G18" i="15"/>
  <c r="G24" i="15"/>
  <c r="D18" i="15"/>
  <c r="D24" i="15"/>
  <c r="H18" i="15"/>
  <c r="H24" i="15"/>
  <c r="R5" i="1"/>
  <c r="E7" i="12" l="1"/>
  <c r="E6" i="12"/>
  <c r="N10" i="15"/>
  <c r="C5" i="12"/>
  <c r="P6" i="15"/>
  <c r="L6" i="15"/>
  <c r="T5" i="1"/>
  <c r="S5" i="1"/>
  <c r="N8" i="15"/>
  <c r="N5" i="15"/>
  <c r="R6" i="15" s="1"/>
  <c r="L39" i="15"/>
  <c r="L28" i="15"/>
  <c r="L30" i="15"/>
  <c r="L18" i="15"/>
  <c r="L24" i="15"/>
  <c r="I28" i="1"/>
  <c r="J29" i="15" s="1"/>
  <c r="E29" i="1"/>
  <c r="C9" i="12" l="1"/>
  <c r="U5" i="1"/>
  <c r="E5" i="12"/>
  <c r="N6" i="15"/>
  <c r="J30" i="15"/>
  <c r="N39" i="15"/>
  <c r="N18" i="15"/>
  <c r="N24" i="15"/>
  <c r="I29" i="1"/>
  <c r="H62" i="1"/>
  <c r="I62" i="1"/>
  <c r="H21" i="1"/>
  <c r="E39" i="1"/>
  <c r="E65" i="1" s="1"/>
  <c r="E9" i="12" l="1"/>
  <c r="V5" i="1"/>
  <c r="E37" i="12"/>
  <c r="D37" i="12"/>
  <c r="E57" i="1"/>
  <c r="E67" i="2"/>
  <c r="J67" i="2"/>
  <c r="I67" i="2"/>
  <c r="G67" i="2"/>
  <c r="F67" i="2"/>
  <c r="D67" i="2"/>
  <c r="G73" i="2"/>
  <c r="F73" i="2"/>
  <c r="E73" i="2"/>
  <c r="D73" i="2"/>
  <c r="Q74" i="2"/>
  <c r="P74" i="2"/>
  <c r="O74" i="2"/>
  <c r="N74" i="2"/>
  <c r="M74" i="2"/>
  <c r="L74" i="2"/>
  <c r="K74" i="2"/>
  <c r="J74" i="2"/>
  <c r="R80" i="15"/>
  <c r="G69" i="2"/>
  <c r="F69" i="2"/>
  <c r="E69" i="2"/>
  <c r="D69" i="2"/>
  <c r="K42" i="2"/>
  <c r="E40" i="2"/>
  <c r="F47" i="2" s="1"/>
  <c r="D40" i="2"/>
  <c r="E47" i="2" s="1"/>
  <c r="C40" i="2"/>
  <c r="D47" i="2" s="1"/>
  <c r="G33" i="2"/>
  <c r="F33" i="2"/>
  <c r="E33" i="2"/>
  <c r="D33" i="2"/>
  <c r="C33" i="2"/>
  <c r="E30" i="2"/>
  <c r="D30" i="2"/>
  <c r="C30" i="2"/>
  <c r="F28" i="2"/>
  <c r="F30" i="2" s="1"/>
  <c r="G28" i="2"/>
  <c r="G30" i="2" s="1"/>
  <c r="R79" i="15" l="1"/>
  <c r="R86" i="15" s="1"/>
  <c r="G43" i="12"/>
  <c r="X5" i="1"/>
  <c r="W5" i="1"/>
  <c r="L42" i="2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E46" i="2"/>
  <c r="C46" i="2"/>
  <c r="D46" i="2"/>
  <c r="G40" i="2"/>
  <c r="F40" i="2"/>
  <c r="G47" i="2" s="1"/>
  <c r="R85" i="15" l="1"/>
  <c r="H47" i="2"/>
  <c r="J41" i="2"/>
  <c r="G46" i="2"/>
  <c r="F46" i="2"/>
  <c r="K41" i="2" l="1"/>
  <c r="L30" i="2"/>
  <c r="L41" i="2" l="1"/>
  <c r="M41" i="2" s="1"/>
  <c r="N41" i="2" s="1"/>
  <c r="O41" i="2" s="1"/>
  <c r="P41" i="2" s="1"/>
  <c r="Q41" i="2" s="1"/>
  <c r="R41" i="2" s="1"/>
  <c r="M30" i="2"/>
  <c r="S41" i="2" l="1"/>
  <c r="N30" i="2"/>
  <c r="T41" i="2" l="1"/>
  <c r="O30" i="2"/>
  <c r="U41" i="2" l="1"/>
  <c r="V41" i="2" s="1"/>
  <c r="P30" i="2"/>
  <c r="Q30" i="2" l="1"/>
  <c r="R30" i="2" s="1"/>
  <c r="S30" i="2" s="1"/>
  <c r="T30" i="2" s="1"/>
  <c r="U30" i="2" s="1"/>
  <c r="V30" i="2" s="1"/>
  <c r="E24" i="2" l="1"/>
  <c r="D24" i="2"/>
  <c r="C24" i="2"/>
  <c r="G22" i="2"/>
  <c r="E50" i="1"/>
  <c r="F50" i="1"/>
  <c r="G50" i="1"/>
  <c r="H50" i="1"/>
  <c r="I50" i="1"/>
  <c r="M57" i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F57" i="1"/>
  <c r="G57" i="1"/>
  <c r="H56" i="1"/>
  <c r="F24" i="2" s="1"/>
  <c r="F25" i="2" s="1"/>
  <c r="I56" i="1"/>
  <c r="J57" i="1" s="1"/>
  <c r="H55" i="1"/>
  <c r="H39" i="1"/>
  <c r="F65" i="1"/>
  <c r="M18" i="1"/>
  <c r="N18" i="1" s="1"/>
  <c r="O18" i="1" s="1"/>
  <c r="P18" i="1" s="1"/>
  <c r="Q18" i="1" s="1"/>
  <c r="R18" i="1" s="1"/>
  <c r="S18" i="1" s="1"/>
  <c r="T18" i="1" s="1"/>
  <c r="I31" i="1"/>
  <c r="H31" i="1"/>
  <c r="G31" i="1"/>
  <c r="F31" i="1"/>
  <c r="U18" i="1" l="1"/>
  <c r="T22" i="1"/>
  <c r="H65" i="1"/>
  <c r="H57" i="1"/>
  <c r="I57" i="1"/>
  <c r="C25" i="2"/>
  <c r="D25" i="2"/>
  <c r="E25" i="2"/>
  <c r="G24" i="2"/>
  <c r="I65" i="1"/>
  <c r="U22" i="1" l="1"/>
  <c r="V18" i="1"/>
  <c r="G25" i="2"/>
  <c r="V22" i="1" l="1"/>
  <c r="W18" i="1"/>
  <c r="L55" i="1"/>
  <c r="I24" i="2"/>
  <c r="I37" i="1"/>
  <c r="I52" i="1" s="1"/>
  <c r="E35" i="12" s="1"/>
  <c r="H37" i="1"/>
  <c r="G37" i="1"/>
  <c r="G64" i="1" s="1"/>
  <c r="F37" i="1"/>
  <c r="E37" i="1"/>
  <c r="H28" i="1"/>
  <c r="G28" i="1"/>
  <c r="F28" i="1"/>
  <c r="S22" i="1"/>
  <c r="R22" i="1"/>
  <c r="Q22" i="1"/>
  <c r="P22" i="1"/>
  <c r="O22" i="1"/>
  <c r="N22" i="1"/>
  <c r="M22" i="1"/>
  <c r="L22" i="1"/>
  <c r="K22" i="1"/>
  <c r="K23" i="1" s="1"/>
  <c r="I22" i="1"/>
  <c r="H22" i="1"/>
  <c r="G22" i="1"/>
  <c r="F22" i="1"/>
  <c r="E22" i="1"/>
  <c r="G21" i="1"/>
  <c r="F21" i="1"/>
  <c r="E21" i="1"/>
  <c r="I21" i="1"/>
  <c r="Q18" i="2"/>
  <c r="P18" i="2"/>
  <c r="O18" i="2"/>
  <c r="N18" i="2"/>
  <c r="M18" i="2"/>
  <c r="L18" i="2"/>
  <c r="J18" i="2"/>
  <c r="G18" i="2"/>
  <c r="F18" i="2"/>
  <c r="E18" i="2"/>
  <c r="W22" i="1" l="1"/>
  <c r="X18" i="1"/>
  <c r="X22" i="1" s="1"/>
  <c r="E34" i="12"/>
  <c r="F29" i="15"/>
  <c r="F30" i="15" s="1"/>
  <c r="L29" i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F29" i="1"/>
  <c r="G29" i="1"/>
  <c r="H29" i="1"/>
  <c r="E52" i="1"/>
  <c r="E53" i="1" s="1"/>
  <c r="E64" i="1"/>
  <c r="F52" i="1"/>
  <c r="F58" i="1" s="1"/>
  <c r="D8" i="2" s="1"/>
  <c r="F64" i="1"/>
  <c r="H52" i="1"/>
  <c r="H64" i="1"/>
  <c r="G6" i="2"/>
  <c r="I64" i="1"/>
  <c r="L56" i="1"/>
  <c r="M55" i="1" s="1"/>
  <c r="C18" i="2"/>
  <c r="D18" i="2"/>
  <c r="M31" i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K18" i="2"/>
  <c r="H58" i="1" l="1"/>
  <c r="F8" i="2" s="1"/>
  <c r="F11" i="2" s="1"/>
  <c r="F12" i="2" s="1"/>
  <c r="F74" i="15" s="1"/>
  <c r="D35" i="12"/>
  <c r="D11" i="2"/>
  <c r="D12" i="2" s="1"/>
  <c r="D6" i="2"/>
  <c r="E58" i="1"/>
  <c r="C8" i="2" s="1"/>
  <c r="C6" i="2"/>
  <c r="I58" i="1"/>
  <c r="G8" i="2" s="1"/>
  <c r="J24" i="2"/>
  <c r="H53" i="1"/>
  <c r="D36" i="12" s="1"/>
  <c r="F6" i="2"/>
  <c r="F53" i="1"/>
  <c r="I53" i="1"/>
  <c r="E36" i="12" s="1"/>
  <c r="F19" i="1"/>
  <c r="F20" i="1" s="1"/>
  <c r="F76" i="15" l="1"/>
  <c r="F86" i="15"/>
  <c r="D34" i="12"/>
  <c r="F7" i="2"/>
  <c r="D7" i="2"/>
  <c r="C11" i="2"/>
  <c r="C12" i="2" s="1"/>
  <c r="G11" i="2"/>
  <c r="G12" i="2" s="1"/>
  <c r="C7" i="2"/>
  <c r="G7" i="2"/>
  <c r="G19" i="1"/>
  <c r="H19" i="1" s="1"/>
  <c r="F85" i="15" l="1"/>
  <c r="F78" i="15"/>
  <c r="F82" i="15" s="1"/>
  <c r="G20" i="1"/>
  <c r="F17" i="2"/>
  <c r="D17" i="2"/>
  <c r="H20" i="1"/>
  <c r="F20" i="15" l="1"/>
  <c r="C20" i="15"/>
  <c r="D20" i="15"/>
  <c r="E20" i="15"/>
  <c r="E21" i="15"/>
  <c r="D21" i="15"/>
  <c r="C21" i="15"/>
  <c r="F21" i="15"/>
  <c r="G17" i="2"/>
  <c r="C17" i="2"/>
  <c r="I19" i="1"/>
  <c r="H20" i="15" l="1"/>
  <c r="I20" i="15"/>
  <c r="J20" i="15"/>
  <c r="G20" i="15"/>
  <c r="I20" i="1"/>
  <c r="N21" i="15" s="1"/>
  <c r="M20" i="15" l="1"/>
  <c r="L20" i="15"/>
  <c r="K20" i="15"/>
  <c r="H21" i="15"/>
  <c r="J21" i="15"/>
  <c r="G21" i="15"/>
  <c r="I21" i="15"/>
  <c r="L19" i="1"/>
  <c r="M19" i="1" s="1"/>
  <c r="M21" i="15" l="1"/>
  <c r="P21" i="15"/>
  <c r="L20" i="1"/>
  <c r="M20" i="1" s="1"/>
  <c r="N20" i="1" s="1"/>
  <c r="K21" i="15"/>
  <c r="L21" i="15"/>
  <c r="N19" i="1"/>
  <c r="O20" i="1" l="1"/>
  <c r="P20" i="1" s="1"/>
  <c r="Q20" i="1" s="1"/>
  <c r="R20" i="1" s="1"/>
  <c r="S20" i="1" s="1"/>
  <c r="T20" i="1" s="1"/>
  <c r="U20" i="1" s="1"/>
  <c r="V20" i="1" s="1"/>
  <c r="W20" i="1" s="1"/>
  <c r="X20" i="1" s="1"/>
  <c r="O21" i="15"/>
  <c r="O19" i="1"/>
  <c r="P19" i="1" l="1"/>
  <c r="Q19" i="1" l="1"/>
  <c r="R19" i="1" l="1"/>
  <c r="S19" i="1" l="1"/>
  <c r="T19" i="1" s="1"/>
  <c r="U19" i="1" l="1"/>
  <c r="T16" i="1"/>
  <c r="E74" i="11"/>
  <c r="T17" i="1" l="1"/>
  <c r="V19" i="1"/>
  <c r="U16" i="1"/>
  <c r="D74" i="11"/>
  <c r="C74" i="11"/>
  <c r="C88" i="11"/>
  <c r="C87" i="11"/>
  <c r="D88" i="11"/>
  <c r="D87" i="11"/>
  <c r="E87" i="11"/>
  <c r="E88" i="11"/>
  <c r="K42" i="11"/>
  <c r="K56" i="11"/>
  <c r="K87" i="11"/>
  <c r="K88" i="11"/>
  <c r="J87" i="11"/>
  <c r="J88" i="11"/>
  <c r="F87" i="11"/>
  <c r="F88" i="11"/>
  <c r="J59" i="11"/>
  <c r="J48" i="11"/>
  <c r="J46" i="11"/>
  <c r="J44" i="11"/>
  <c r="J40" i="11"/>
  <c r="J50" i="11"/>
  <c r="F59" i="11"/>
  <c r="F48" i="11"/>
  <c r="F46" i="11"/>
  <c r="F44" i="11"/>
  <c r="F40" i="11"/>
  <c r="E42" i="11"/>
  <c r="I42" i="11"/>
  <c r="I56" i="11"/>
  <c r="E56" i="11"/>
  <c r="I88" i="11"/>
  <c r="I87" i="11"/>
  <c r="H87" i="11"/>
  <c r="H88" i="11"/>
  <c r="H56" i="11"/>
  <c r="D56" i="11"/>
  <c r="H42" i="11"/>
  <c r="D42" i="11"/>
  <c r="C42" i="11"/>
  <c r="G42" i="11"/>
  <c r="G56" i="11"/>
  <c r="C56" i="11"/>
  <c r="K52" i="11"/>
  <c r="I52" i="11"/>
  <c r="I61" i="11" s="1"/>
  <c r="H52" i="11"/>
  <c r="H61" i="11" s="1"/>
  <c r="G52" i="11"/>
  <c r="G61" i="11" s="1"/>
  <c r="E52" i="11"/>
  <c r="D52" i="11"/>
  <c r="D63" i="11" s="1"/>
  <c r="C52" i="11"/>
  <c r="G88" i="11"/>
  <c r="G87" i="11"/>
  <c r="K81" i="11"/>
  <c r="J81" i="11"/>
  <c r="I81" i="11"/>
  <c r="H81" i="11"/>
  <c r="G81" i="11"/>
  <c r="F81" i="11"/>
  <c r="E81" i="11"/>
  <c r="D81" i="11"/>
  <c r="C81" i="11"/>
  <c r="U17" i="1" l="1"/>
  <c r="W19" i="1"/>
  <c r="V16" i="1"/>
  <c r="F86" i="11"/>
  <c r="D86" i="11"/>
  <c r="C63" i="11"/>
  <c r="C66" i="11" s="1"/>
  <c r="J42" i="11"/>
  <c r="I74" i="11"/>
  <c r="H74" i="11"/>
  <c r="K61" i="11"/>
  <c r="K74" i="11"/>
  <c r="G86" i="11"/>
  <c r="H86" i="11"/>
  <c r="F42" i="11"/>
  <c r="G63" i="11"/>
  <c r="G66" i="11" s="1"/>
  <c r="G69" i="11" s="1"/>
  <c r="C86" i="11"/>
  <c r="K63" i="11"/>
  <c r="I86" i="11"/>
  <c r="E86" i="11"/>
  <c r="K86" i="11"/>
  <c r="J86" i="11"/>
  <c r="I63" i="11"/>
  <c r="E63" i="11"/>
  <c r="E66" i="11" s="1"/>
  <c r="E69" i="11" s="1"/>
  <c r="H63" i="11"/>
  <c r="K66" i="11"/>
  <c r="K69" i="11" s="1"/>
  <c r="D66" i="11"/>
  <c r="D69" i="11" s="1"/>
  <c r="C61" i="11"/>
  <c r="F71" i="11"/>
  <c r="E71" i="11"/>
  <c r="D71" i="11"/>
  <c r="C71" i="11"/>
  <c r="F50" i="11"/>
  <c r="E50" i="11"/>
  <c r="D50" i="11"/>
  <c r="C50" i="11"/>
  <c r="F33" i="11"/>
  <c r="E33" i="11"/>
  <c r="D33" i="11"/>
  <c r="C33" i="11"/>
  <c r="G33" i="11"/>
  <c r="H33" i="11"/>
  <c r="I33" i="11"/>
  <c r="J33" i="11"/>
  <c r="K33" i="11"/>
  <c r="F21" i="11"/>
  <c r="F20" i="11"/>
  <c r="E21" i="11"/>
  <c r="E20" i="11"/>
  <c r="D21" i="11"/>
  <c r="D20" i="11"/>
  <c r="C21" i="11"/>
  <c r="C20" i="11"/>
  <c r="G21" i="11"/>
  <c r="G20" i="11"/>
  <c r="H21" i="11"/>
  <c r="H20" i="11"/>
  <c r="I21" i="11"/>
  <c r="I20" i="11"/>
  <c r="J21" i="11"/>
  <c r="J20" i="11"/>
  <c r="K17" i="11"/>
  <c r="K16" i="11"/>
  <c r="I17" i="11"/>
  <c r="I16" i="11"/>
  <c r="H16" i="11"/>
  <c r="H17" i="11"/>
  <c r="G17" i="11"/>
  <c r="G16" i="11"/>
  <c r="J16" i="11"/>
  <c r="J17" i="11"/>
  <c r="F16" i="11"/>
  <c r="F17" i="11"/>
  <c r="E17" i="11"/>
  <c r="E16" i="11"/>
  <c r="D17" i="11"/>
  <c r="D16" i="11"/>
  <c r="C17" i="11"/>
  <c r="C16" i="11"/>
  <c r="I6" i="11"/>
  <c r="K7" i="11"/>
  <c r="K6" i="11"/>
  <c r="J6" i="11"/>
  <c r="J7" i="11"/>
  <c r="I7" i="11"/>
  <c r="V17" i="1" l="1"/>
  <c r="X19" i="1"/>
  <c r="X16" i="1" s="1"/>
  <c r="W16" i="1"/>
  <c r="I66" i="11"/>
  <c r="I69" i="11" s="1"/>
  <c r="H66" i="11"/>
  <c r="H69" i="11" s="1"/>
  <c r="G19" i="11"/>
  <c r="F19" i="11"/>
  <c r="D19" i="11"/>
  <c r="C58" i="11"/>
  <c r="D58" i="11"/>
  <c r="E15" i="11"/>
  <c r="C15" i="11"/>
  <c r="E19" i="11"/>
  <c r="C19" i="11"/>
  <c r="F15" i="11"/>
  <c r="D15" i="11"/>
  <c r="W17" i="1" l="1"/>
  <c r="X17" i="1"/>
  <c r="E61" i="11"/>
  <c r="E58" i="11"/>
  <c r="D61" i="11"/>
  <c r="E37" i="2"/>
  <c r="C39" i="12" s="1"/>
  <c r="D37" i="2"/>
  <c r="C37" i="2"/>
  <c r="D38" i="2" s="1"/>
  <c r="G37" i="2"/>
  <c r="H38" i="2" s="1"/>
  <c r="E39" i="12" l="1"/>
  <c r="J38" i="2"/>
  <c r="K38" i="2" s="1"/>
  <c r="L38" i="2" s="1"/>
  <c r="M38" i="2" s="1"/>
  <c r="H77" i="2"/>
  <c r="H76" i="2" s="1"/>
  <c r="F38" i="2"/>
  <c r="E77" i="2"/>
  <c r="E38" i="2"/>
  <c r="D77" i="2"/>
  <c r="C64" i="11"/>
  <c r="E64" i="11" l="1"/>
  <c r="C67" i="11"/>
  <c r="D64" i="11"/>
  <c r="G75" i="2"/>
  <c r="E67" i="11" l="1"/>
  <c r="D67" i="11"/>
  <c r="H7" i="11" l="1"/>
  <c r="H6" i="11"/>
  <c r="G7" i="11"/>
  <c r="G6" i="11"/>
  <c r="F7" i="11"/>
  <c r="F6" i="11"/>
  <c r="E7" i="11"/>
  <c r="E6" i="11"/>
  <c r="D7" i="11"/>
  <c r="D6" i="11"/>
  <c r="C7" i="11"/>
  <c r="C6" i="11"/>
  <c r="C2" i="11"/>
  <c r="D2" i="11" s="1"/>
  <c r="E2" i="11" s="1"/>
  <c r="F2" i="11" s="1"/>
  <c r="G2" i="11" s="1"/>
  <c r="H2" i="11" s="1"/>
  <c r="I2" i="11" s="1"/>
  <c r="J2" i="11" s="1"/>
  <c r="K2" i="11" s="1"/>
  <c r="K71" i="11"/>
  <c r="J71" i="11"/>
  <c r="I71" i="11"/>
  <c r="H71" i="11"/>
  <c r="K50" i="11"/>
  <c r="I50" i="11"/>
  <c r="H50" i="11"/>
  <c r="K19" i="11"/>
  <c r="J19" i="11"/>
  <c r="I19" i="11"/>
  <c r="H19" i="11"/>
  <c r="O17" i="11"/>
  <c r="O16" i="11"/>
  <c r="K15" i="11"/>
  <c r="J15" i="11"/>
  <c r="I15" i="11"/>
  <c r="H15" i="11"/>
  <c r="G15" i="11"/>
  <c r="N13" i="11"/>
  <c r="N9" i="11"/>
  <c r="K9" i="11"/>
  <c r="J9" i="11"/>
  <c r="I9" i="11"/>
  <c r="H9" i="11"/>
  <c r="G9" i="11"/>
  <c r="O7" i="11"/>
  <c r="O6" i="11"/>
  <c r="I5" i="11"/>
  <c r="I39" i="11" l="1"/>
  <c r="I60" i="11"/>
  <c r="I55" i="11"/>
  <c r="I43" i="11"/>
  <c r="I41" i="11"/>
  <c r="E5" i="11"/>
  <c r="C5" i="11"/>
  <c r="D5" i="11"/>
  <c r="J5" i="11"/>
  <c r="K5" i="11"/>
  <c r="H5" i="11"/>
  <c r="G5" i="11"/>
  <c r="F5" i="11"/>
  <c r="N14" i="11"/>
  <c r="G50" i="11"/>
  <c r="G71" i="11"/>
  <c r="I45" i="11"/>
  <c r="I57" i="11"/>
  <c r="I37" i="11"/>
  <c r="H39" i="11" l="1"/>
  <c r="E39" i="11"/>
  <c r="E45" i="11"/>
  <c r="F45" i="11"/>
  <c r="D39" i="11"/>
  <c r="D45" i="11"/>
  <c r="J41" i="11"/>
  <c r="J43" i="11"/>
  <c r="J45" i="11"/>
  <c r="J60" i="11"/>
  <c r="C39" i="11"/>
  <c r="C45" i="11"/>
  <c r="G45" i="11"/>
  <c r="G39" i="11"/>
  <c r="K39" i="11"/>
  <c r="K45" i="11"/>
  <c r="F60" i="11"/>
  <c r="D60" i="11"/>
  <c r="D55" i="11"/>
  <c r="C60" i="11"/>
  <c r="C55" i="11"/>
  <c r="E60" i="11"/>
  <c r="E55" i="11"/>
  <c r="G55" i="11"/>
  <c r="G60" i="11"/>
  <c r="H55" i="11"/>
  <c r="H60" i="11"/>
  <c r="K60" i="11"/>
  <c r="K55" i="11"/>
  <c r="G43" i="11"/>
  <c r="H43" i="11"/>
  <c r="E43" i="11"/>
  <c r="G37" i="11"/>
  <c r="K43" i="11"/>
  <c r="G57" i="11"/>
  <c r="D43" i="11"/>
  <c r="C43" i="11"/>
  <c r="F43" i="11"/>
  <c r="H41" i="11"/>
  <c r="K41" i="11"/>
  <c r="D41" i="11"/>
  <c r="E41" i="11"/>
  <c r="H37" i="11"/>
  <c r="F41" i="11"/>
  <c r="G41" i="11"/>
  <c r="C41" i="11"/>
  <c r="E37" i="11"/>
  <c r="E57" i="11"/>
  <c r="D57" i="11"/>
  <c r="D37" i="11"/>
  <c r="C57" i="11"/>
  <c r="C37" i="11"/>
  <c r="K37" i="11"/>
  <c r="H58" i="11"/>
  <c r="K57" i="11"/>
  <c r="K58" i="11"/>
  <c r="I58" i="11"/>
  <c r="H45" i="11"/>
  <c r="H57" i="11"/>
  <c r="H64" i="11"/>
  <c r="G74" i="11"/>
  <c r="G58" i="11"/>
  <c r="H67" i="11" l="1"/>
  <c r="K64" i="11"/>
  <c r="I64" i="11"/>
  <c r="I67" i="11"/>
  <c r="G64" i="11"/>
  <c r="K67" i="11" l="1"/>
  <c r="G67" i="11"/>
  <c r="J38" i="11" l="1"/>
  <c r="J36" i="11"/>
  <c r="J39" i="11" l="1"/>
  <c r="J37" i="11"/>
  <c r="F38" i="11" l="1"/>
  <c r="F39" i="11" s="1"/>
  <c r="F11" i="1" l="1"/>
  <c r="F35" i="1" s="1"/>
  <c r="G11" i="1"/>
  <c r="G35" i="1" s="1"/>
  <c r="H11" i="1"/>
  <c r="H35" i="1" s="1"/>
  <c r="I11" i="1"/>
  <c r="I35" i="1" s="1"/>
  <c r="K17" i="1" l="1"/>
  <c r="L16" i="1" l="1"/>
  <c r="M16" i="1" l="1"/>
  <c r="L17" i="1"/>
  <c r="M17" i="1" l="1"/>
  <c r="N16" i="1"/>
  <c r="O16" i="1" l="1"/>
  <c r="N17" i="1"/>
  <c r="O17" i="1" l="1"/>
  <c r="P16" i="1"/>
  <c r="Q16" i="1" l="1"/>
  <c r="P17" i="1"/>
  <c r="R16" i="1" l="1"/>
  <c r="Q17" i="1"/>
  <c r="S16" i="1" l="1"/>
  <c r="R17" i="1"/>
  <c r="S17" i="1" l="1"/>
  <c r="F75" i="2" l="1"/>
  <c r="E75" i="2"/>
  <c r="F68" i="2"/>
  <c r="D68" i="2"/>
  <c r="D75" i="2"/>
  <c r="C59" i="2" l="1"/>
  <c r="C60" i="2" s="1"/>
  <c r="G34" i="2" l="1"/>
  <c r="E59" i="2"/>
  <c r="C38" i="12" s="1"/>
  <c r="C40" i="12" s="1"/>
  <c r="G59" i="2"/>
  <c r="E38" i="12" s="1"/>
  <c r="E40" i="12" s="1"/>
  <c r="D34" i="2"/>
  <c r="F34" i="2"/>
  <c r="E34" i="2"/>
  <c r="D59" i="2"/>
  <c r="F5" i="1" l="1"/>
  <c r="E5" i="1"/>
  <c r="E59" i="1" s="1"/>
  <c r="G5" i="1"/>
  <c r="H5" i="1"/>
  <c r="I5" i="1"/>
  <c r="I17" i="1" s="1"/>
  <c r="F26" i="12"/>
  <c r="I60" i="1"/>
  <c r="H60" i="1"/>
  <c r="G60" i="1"/>
  <c r="F60" i="1"/>
  <c r="G39" i="1"/>
  <c r="G65" i="1" s="1"/>
  <c r="I63" i="1" l="1"/>
  <c r="H63" i="1"/>
  <c r="E63" i="1"/>
  <c r="C27" i="12"/>
  <c r="G63" i="1"/>
  <c r="F63" i="1"/>
  <c r="I23" i="1"/>
  <c r="E27" i="12"/>
  <c r="H23" i="1"/>
  <c r="D27" i="12"/>
  <c r="G23" i="1"/>
  <c r="E23" i="1"/>
  <c r="E40" i="1"/>
  <c r="F23" i="1"/>
  <c r="F40" i="1"/>
  <c r="H40" i="1"/>
  <c r="I40" i="1"/>
  <c r="G40" i="1"/>
  <c r="G52" i="1"/>
  <c r="C35" i="12" s="1"/>
  <c r="E17" i="1"/>
  <c r="F27" i="1"/>
  <c r="F17" i="1"/>
  <c r="I27" i="1"/>
  <c r="H27" i="1"/>
  <c r="H17" i="1"/>
  <c r="G27" i="1"/>
  <c r="G17" i="1"/>
  <c r="E27" i="1"/>
  <c r="J56" i="11"/>
  <c r="F56" i="11"/>
  <c r="J11" i="1"/>
  <c r="J35" i="1" s="1"/>
  <c r="G26" i="12"/>
  <c r="C31" i="12" l="1"/>
  <c r="D31" i="12"/>
  <c r="E31" i="12"/>
  <c r="C34" i="12"/>
  <c r="F32" i="12"/>
  <c r="G53" i="1"/>
  <c r="C36" i="12" s="1"/>
  <c r="G58" i="1"/>
  <c r="E8" i="2" s="1"/>
  <c r="E6" i="2"/>
  <c r="L27" i="1"/>
  <c r="F57" i="11"/>
  <c r="F54" i="11"/>
  <c r="F55" i="11" s="1"/>
  <c r="J54" i="11"/>
  <c r="J55" i="11" s="1"/>
  <c r="J57" i="11"/>
  <c r="K11" i="1"/>
  <c r="K35" i="1" s="1"/>
  <c r="K60" i="1"/>
  <c r="L3" i="1"/>
  <c r="H26" i="12" s="1"/>
  <c r="E11" i="2" l="1"/>
  <c r="E12" i="2" s="1"/>
  <c r="F33" i="12"/>
  <c r="E7" i="2"/>
  <c r="M27" i="1"/>
  <c r="L26" i="1"/>
  <c r="G4" i="2"/>
  <c r="G5" i="2" s="1"/>
  <c r="J35" i="11"/>
  <c r="C4" i="2"/>
  <c r="C5" i="2" s="1"/>
  <c r="L11" i="1"/>
  <c r="L35" i="1" s="1"/>
  <c r="M3" i="1"/>
  <c r="L60" i="1"/>
  <c r="L28" i="1" l="1"/>
  <c r="L25" i="1" s="1"/>
  <c r="H33" i="12" s="1"/>
  <c r="G33" i="12"/>
  <c r="N27" i="1"/>
  <c r="M26" i="1"/>
  <c r="N28" i="15" s="1"/>
  <c r="J52" i="11"/>
  <c r="N3" i="1"/>
  <c r="J26" i="12" s="1"/>
  <c r="M11" i="1"/>
  <c r="M35" i="1" s="1"/>
  <c r="M60" i="1"/>
  <c r="F30" i="12" l="1"/>
  <c r="E68" i="2"/>
  <c r="E17" i="2"/>
  <c r="M28" i="1"/>
  <c r="O27" i="1"/>
  <c r="N26" i="1"/>
  <c r="G66" i="2"/>
  <c r="G70" i="2" s="1"/>
  <c r="G60" i="2"/>
  <c r="E41" i="12" s="1"/>
  <c r="F37" i="11"/>
  <c r="J74" i="11"/>
  <c r="J61" i="11"/>
  <c r="J63" i="11"/>
  <c r="J58" i="11"/>
  <c r="C16" i="2"/>
  <c r="N11" i="1"/>
  <c r="N35" i="1" s="1"/>
  <c r="O3" i="1"/>
  <c r="K26" i="12" s="1"/>
  <c r="N60" i="1"/>
  <c r="G16" i="2"/>
  <c r="N28" i="1" l="1"/>
  <c r="N25" i="1" s="1"/>
  <c r="J33" i="12" s="1"/>
  <c r="N30" i="15"/>
  <c r="F31" i="12"/>
  <c r="M25" i="1"/>
  <c r="I33" i="12" s="1"/>
  <c r="G72" i="2"/>
  <c r="P27" i="1"/>
  <c r="O26" i="1"/>
  <c r="F4" i="2"/>
  <c r="F5" i="2" s="1"/>
  <c r="F35" i="11"/>
  <c r="F52" i="11" s="1"/>
  <c r="J64" i="11"/>
  <c r="K89" i="11"/>
  <c r="J66" i="11"/>
  <c r="J89" i="11"/>
  <c r="E4" i="2"/>
  <c r="E5" i="2" s="1"/>
  <c r="O11" i="1"/>
  <c r="O35" i="1" s="1"/>
  <c r="P3" i="1"/>
  <c r="L26" i="12" s="1"/>
  <c r="O60" i="1"/>
  <c r="O28" i="1" l="1"/>
  <c r="P28" i="1" s="1"/>
  <c r="F35" i="12"/>
  <c r="F36" i="12"/>
  <c r="Q27" i="1"/>
  <c r="P26" i="1"/>
  <c r="J69" i="11"/>
  <c r="J67" i="11"/>
  <c r="F74" i="11"/>
  <c r="F61" i="11"/>
  <c r="F63" i="11"/>
  <c r="F58" i="11"/>
  <c r="P11" i="1"/>
  <c r="P35" i="1" s="1"/>
  <c r="Q3" i="1"/>
  <c r="P60" i="1"/>
  <c r="O25" i="1" l="1"/>
  <c r="K33" i="12" s="1"/>
  <c r="F34" i="12"/>
  <c r="P25" i="1"/>
  <c r="L33" i="12" s="1"/>
  <c r="Q28" i="1"/>
  <c r="R27" i="1"/>
  <c r="Q26" i="1"/>
  <c r="G89" i="11"/>
  <c r="F89" i="11"/>
  <c r="H89" i="11"/>
  <c r="I89" i="11"/>
  <c r="F66" i="11"/>
  <c r="F64" i="11"/>
  <c r="Q11" i="1"/>
  <c r="Q35" i="1" s="1"/>
  <c r="R3" i="1"/>
  <c r="Q60" i="1"/>
  <c r="E66" i="2" l="1"/>
  <c r="E70" i="2" s="1"/>
  <c r="Q25" i="1"/>
  <c r="R28" i="1"/>
  <c r="S27" i="1"/>
  <c r="T27" i="1" s="1"/>
  <c r="R26" i="1"/>
  <c r="E60" i="2"/>
  <c r="C41" i="12" s="1"/>
  <c r="F69" i="11"/>
  <c r="F67" i="11"/>
  <c r="R11" i="1"/>
  <c r="R35" i="1" s="1"/>
  <c r="S3" i="1"/>
  <c r="T3" i="1" s="1"/>
  <c r="R60" i="1"/>
  <c r="F66" i="2"/>
  <c r="F70" i="2" s="1"/>
  <c r="T60" i="1" l="1"/>
  <c r="U3" i="1"/>
  <c r="R2" i="2"/>
  <c r="T11" i="1"/>
  <c r="T35" i="1" s="1"/>
  <c r="T26" i="1"/>
  <c r="U27" i="1"/>
  <c r="S26" i="1"/>
  <c r="F72" i="2"/>
  <c r="E72" i="2"/>
  <c r="E76" i="2" s="1"/>
  <c r="R25" i="1"/>
  <c r="S28" i="1"/>
  <c r="T28" i="1" s="1"/>
  <c r="S11" i="1"/>
  <c r="S35" i="1" s="1"/>
  <c r="S60" i="1"/>
  <c r="E16" i="2"/>
  <c r="F16" i="2"/>
  <c r="V3" i="1" l="1"/>
  <c r="U60" i="1"/>
  <c r="U11" i="1"/>
  <c r="U35" i="1" s="1"/>
  <c r="S2" i="2"/>
  <c r="R20" i="2"/>
  <c r="R35" i="2" s="1"/>
  <c r="R64" i="2"/>
  <c r="U28" i="1"/>
  <c r="U26" i="1"/>
  <c r="V27" i="1"/>
  <c r="T25" i="1"/>
  <c r="S25" i="1"/>
  <c r="D4" i="2"/>
  <c r="D5" i="2" s="1"/>
  <c r="G2" i="2"/>
  <c r="F2" i="2"/>
  <c r="E2" i="2"/>
  <c r="D2" i="2"/>
  <c r="E3" i="1"/>
  <c r="F2" i="1"/>
  <c r="G2" i="1" s="1"/>
  <c r="W3" i="1" l="1"/>
  <c r="V60" i="1"/>
  <c r="V11" i="1"/>
  <c r="V35" i="1" s="1"/>
  <c r="T2" i="2"/>
  <c r="S20" i="2"/>
  <c r="S35" i="2" s="1"/>
  <c r="S64" i="2"/>
  <c r="U25" i="1"/>
  <c r="W27" i="1"/>
  <c r="V26" i="1"/>
  <c r="V28" i="1"/>
  <c r="R67" i="2"/>
  <c r="E20" i="2"/>
  <c r="D20" i="2"/>
  <c r="F20" i="2"/>
  <c r="G20" i="2"/>
  <c r="E11" i="1"/>
  <c r="E35" i="1" s="1"/>
  <c r="F64" i="2"/>
  <c r="D64" i="2"/>
  <c r="G64" i="2"/>
  <c r="E64" i="2"/>
  <c r="C2" i="2"/>
  <c r="E60" i="1"/>
  <c r="W28" i="1" l="1"/>
  <c r="X3" i="1"/>
  <c r="W11" i="1"/>
  <c r="W35" i="1" s="1"/>
  <c r="W60" i="1"/>
  <c r="U2" i="2"/>
  <c r="T64" i="2"/>
  <c r="T20" i="2"/>
  <c r="T35" i="2" s="1"/>
  <c r="S67" i="2"/>
  <c r="V25" i="1"/>
  <c r="X27" i="1"/>
  <c r="X26" i="1" s="1"/>
  <c r="W26" i="1"/>
  <c r="C20" i="2"/>
  <c r="F35" i="2"/>
  <c r="D35" i="2"/>
  <c r="E35" i="2"/>
  <c r="G35" i="2"/>
  <c r="D66" i="2"/>
  <c r="D70" i="2" s="1"/>
  <c r="D60" i="2"/>
  <c r="D16" i="2"/>
  <c r="C64" i="2"/>
  <c r="I2" i="2"/>
  <c r="H2" i="1"/>
  <c r="W25" i="1" l="1"/>
  <c r="X11" i="1"/>
  <c r="X35" i="1" s="1"/>
  <c r="X60" i="1"/>
  <c r="V2" i="2"/>
  <c r="U64" i="2"/>
  <c r="U20" i="2"/>
  <c r="U35" i="2" s="1"/>
  <c r="X28" i="1"/>
  <c r="X25" i="1" s="1"/>
  <c r="T67" i="2"/>
  <c r="I20" i="2"/>
  <c r="C35" i="2"/>
  <c r="D72" i="2"/>
  <c r="D76" i="2" s="1"/>
  <c r="I64" i="2"/>
  <c r="J2" i="2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V64" i="2" l="1"/>
  <c r="V20" i="2"/>
  <c r="V35" i="2" s="1"/>
  <c r="U67" i="2"/>
  <c r="J20" i="2"/>
  <c r="I35" i="2"/>
  <c r="K2" i="2"/>
  <c r="J64" i="2"/>
  <c r="K20" i="2" l="1"/>
  <c r="J35" i="2"/>
  <c r="L2" i="2"/>
  <c r="K64" i="2"/>
  <c r="L20" i="2" l="1"/>
  <c r="K35" i="2"/>
  <c r="M2" i="2"/>
  <c r="L64" i="2"/>
  <c r="M20" i="2" l="1"/>
  <c r="L35" i="2"/>
  <c r="M64" i="2"/>
  <c r="N2" i="2"/>
  <c r="M35" i="2" l="1"/>
  <c r="N20" i="2"/>
  <c r="N64" i="2"/>
  <c r="O2" i="2"/>
  <c r="O20" i="2" l="1"/>
  <c r="N35" i="2"/>
  <c r="O64" i="2"/>
  <c r="P2" i="2"/>
  <c r="P20" i="2" l="1"/>
  <c r="O35" i="2"/>
  <c r="P64" i="2"/>
  <c r="Q2" i="2"/>
  <c r="Q20" i="2" l="1"/>
  <c r="P35" i="2"/>
  <c r="Q64" i="2"/>
  <c r="Q35" i="2" l="1"/>
  <c r="J50" i="1" l="1"/>
  <c r="F42" i="12" l="1"/>
  <c r="G32" i="12" l="1"/>
  <c r="L23" i="1"/>
  <c r="L21" i="1" s="1"/>
  <c r="L15" i="1" s="1"/>
  <c r="I4" i="2" l="1"/>
  <c r="K37" i="1"/>
  <c r="L13" i="1"/>
  <c r="H30" i="12" s="1"/>
  <c r="H31" i="12" s="1"/>
  <c r="H32" i="12"/>
  <c r="G30" i="12"/>
  <c r="M23" i="1"/>
  <c r="M21" i="1" s="1"/>
  <c r="M15" i="1" s="1"/>
  <c r="I32" i="12" s="1"/>
  <c r="M13" i="1" l="1"/>
  <c r="I30" i="12" s="1"/>
  <c r="I31" i="12" s="1"/>
  <c r="L37" i="1"/>
  <c r="J4" i="2"/>
  <c r="G31" i="12"/>
  <c r="N23" i="1"/>
  <c r="N21" i="1" s="1"/>
  <c r="N15" i="1" s="1"/>
  <c r="M37" i="1" l="1"/>
  <c r="K4" i="2"/>
  <c r="N13" i="1"/>
  <c r="J32" i="12"/>
  <c r="L64" i="1"/>
  <c r="K64" i="1"/>
  <c r="O23" i="1"/>
  <c r="O21" i="1" s="1"/>
  <c r="O15" i="1" s="1"/>
  <c r="J30" i="12" l="1"/>
  <c r="J31" i="12" s="1"/>
  <c r="N37" i="1"/>
  <c r="L4" i="2"/>
  <c r="O13" i="1"/>
  <c r="O37" i="1" s="1"/>
  <c r="K32" i="12"/>
  <c r="J23" i="2"/>
  <c r="P23" i="1"/>
  <c r="P21" i="1" s="1"/>
  <c r="P15" i="1" s="1"/>
  <c r="K30" i="12" l="1"/>
  <c r="K31" i="12" s="1"/>
  <c r="M4" i="2"/>
  <c r="P13" i="1"/>
  <c r="L32" i="12"/>
  <c r="K23" i="2"/>
  <c r="Q23" i="1"/>
  <c r="L30" i="12" l="1"/>
  <c r="L31" i="12" s="1"/>
  <c r="P37" i="1"/>
  <c r="N4" i="2"/>
  <c r="L23" i="2"/>
  <c r="Q21" i="1"/>
  <c r="Q15" i="1" s="1"/>
  <c r="Q13" i="1" s="1"/>
  <c r="Q37" i="1" s="1"/>
  <c r="R23" i="1"/>
  <c r="R21" i="1" s="1"/>
  <c r="R15" i="1" s="1"/>
  <c r="R13" i="1" s="1"/>
  <c r="M23" i="2" l="1"/>
  <c r="O4" i="2"/>
  <c r="P4" i="2"/>
  <c r="R37" i="1"/>
  <c r="S23" i="1"/>
  <c r="T23" i="1" s="1"/>
  <c r="U23" i="1" l="1"/>
  <c r="T21" i="1"/>
  <c r="T15" i="1" s="1"/>
  <c r="T13" i="1" s="1"/>
  <c r="S21" i="1"/>
  <c r="S15" i="1" s="1"/>
  <c r="S13" i="1" s="1"/>
  <c r="S37" i="1" s="1"/>
  <c r="N23" i="2"/>
  <c r="Q4" i="2" l="1"/>
  <c r="T37" i="1"/>
  <c r="T64" i="1" s="1"/>
  <c r="R4" i="2"/>
  <c r="U21" i="1"/>
  <c r="U15" i="1" s="1"/>
  <c r="U13" i="1" s="1"/>
  <c r="V23" i="1"/>
  <c r="O23" i="2"/>
  <c r="U37" i="1" l="1"/>
  <c r="U64" i="1" s="1"/>
  <c r="S4" i="2"/>
  <c r="W23" i="1"/>
  <c r="V21" i="1"/>
  <c r="V15" i="1" s="1"/>
  <c r="V13" i="1" s="1"/>
  <c r="P23" i="2"/>
  <c r="C34" i="2"/>
  <c r="V37" i="1" l="1"/>
  <c r="V64" i="1" s="1"/>
  <c r="T4" i="2"/>
  <c r="W21" i="1"/>
  <c r="W15" i="1" s="1"/>
  <c r="W13" i="1" s="1"/>
  <c r="X23" i="1"/>
  <c r="X21" i="1" s="1"/>
  <c r="X15" i="1" s="1"/>
  <c r="X13" i="1" s="1"/>
  <c r="V4" i="2" s="1"/>
  <c r="Q23" i="2"/>
  <c r="X37" i="1" l="1"/>
  <c r="X64" i="1" s="1"/>
  <c r="W37" i="1"/>
  <c r="W64" i="1" s="1"/>
  <c r="U4" i="2"/>
  <c r="R23" i="2"/>
  <c r="S23" i="2" l="1"/>
  <c r="F41" i="12"/>
  <c r="F39" i="12"/>
  <c r="T23" i="2" l="1"/>
  <c r="F38" i="12"/>
  <c r="F40" i="12" s="1"/>
  <c r="U23" i="2" l="1"/>
  <c r="V23" i="2" l="1"/>
  <c r="G42" i="12" l="1"/>
  <c r="R81" i="15"/>
  <c r="R82" i="15" s="1"/>
  <c r="D39" i="15" l="1"/>
  <c r="E39" i="15"/>
  <c r="C39" i="15"/>
  <c r="F39" i="15"/>
  <c r="I52" i="15" l="1"/>
  <c r="I72" i="15"/>
  <c r="J52" i="15"/>
  <c r="J72" i="15"/>
  <c r="H52" i="15"/>
  <c r="H72" i="15"/>
  <c r="G39" i="15"/>
  <c r="G70" i="15"/>
  <c r="I39" i="15"/>
  <c r="J39" i="15"/>
  <c r="H39" i="15"/>
  <c r="I76" i="15" l="1"/>
  <c r="J76" i="15"/>
  <c r="H76" i="15"/>
  <c r="J70" i="15"/>
  <c r="H70" i="15"/>
  <c r="I70" i="15"/>
  <c r="G52" i="15"/>
  <c r="G72" i="15"/>
  <c r="I78" i="15" l="1"/>
  <c r="I82" i="15" s="1"/>
  <c r="J78" i="15"/>
  <c r="J82" i="15" s="1"/>
  <c r="H78" i="15"/>
  <c r="H82" i="15" s="1"/>
  <c r="G76" i="15"/>
  <c r="J86" i="15"/>
  <c r="G86" i="15"/>
  <c r="I86" i="15"/>
  <c r="H86" i="15"/>
  <c r="K39" i="15"/>
  <c r="K70" i="15"/>
  <c r="I85" i="15" l="1"/>
  <c r="H85" i="15"/>
  <c r="G85" i="15"/>
  <c r="J85" i="15"/>
  <c r="G78" i="15"/>
  <c r="G82" i="15" s="1"/>
  <c r="K52" i="15"/>
  <c r="K72" i="15"/>
  <c r="O67" i="2"/>
  <c r="K76" i="15" l="1"/>
  <c r="N86" i="15"/>
  <c r="L86" i="15"/>
  <c r="M86" i="15"/>
  <c r="K86" i="15"/>
  <c r="L67" i="2"/>
  <c r="M67" i="2"/>
  <c r="N67" i="2"/>
  <c r="M64" i="1"/>
  <c r="N64" i="1"/>
  <c r="M56" i="1"/>
  <c r="K24" i="2" s="1"/>
  <c r="O64" i="1"/>
  <c r="Q64" i="1"/>
  <c r="K67" i="2"/>
  <c r="P64" i="1"/>
  <c r="K85" i="15" l="1"/>
  <c r="M85" i="15"/>
  <c r="L85" i="15"/>
  <c r="K78" i="15"/>
  <c r="K82" i="15" s="1"/>
  <c r="N55" i="1"/>
  <c r="N56" i="1" l="1"/>
  <c r="L24" i="2" s="1"/>
  <c r="O55" i="1" l="1"/>
  <c r="O56" i="1" s="1"/>
  <c r="M24" i="2" s="1"/>
  <c r="P55" i="1" l="1"/>
  <c r="P56" i="1" s="1"/>
  <c r="Q55" i="1" s="1"/>
  <c r="Q56" i="1" s="1"/>
  <c r="N24" i="2" l="1"/>
  <c r="O24" i="2"/>
  <c r="R55" i="1"/>
  <c r="F37" i="2" l="1"/>
  <c r="G77" i="2" s="1"/>
  <c r="G76" i="2" s="1"/>
  <c r="D39" i="12" l="1"/>
  <c r="F59" i="2"/>
  <c r="D38" i="12" s="1"/>
  <c r="F77" i="2"/>
  <c r="F76" i="2" s="1"/>
  <c r="G38" i="2"/>
  <c r="Q67" i="2"/>
  <c r="P67" i="2"/>
  <c r="R56" i="1"/>
  <c r="P24" i="2" s="1"/>
  <c r="S64" i="1"/>
  <c r="R64" i="1"/>
  <c r="D40" i="12" l="1"/>
  <c r="F60" i="2"/>
  <c r="D41" i="12" s="1"/>
  <c r="S55" i="1"/>
  <c r="S56" i="1" s="1"/>
  <c r="T55" i="1" l="1"/>
  <c r="T56" i="1" s="1"/>
  <c r="R24" i="2" s="1"/>
  <c r="Q24" i="2"/>
  <c r="U55" i="1" l="1"/>
  <c r="U56" i="1" l="1"/>
  <c r="S24" i="2" s="1"/>
  <c r="V55" i="1" l="1"/>
  <c r="V56" i="1" l="1"/>
  <c r="T24" i="2" s="1"/>
  <c r="W55" i="1" l="1"/>
  <c r="W56" i="1" s="1"/>
  <c r="U24" i="2" s="1"/>
  <c r="X55" i="1" l="1"/>
  <c r="X56" i="1" l="1"/>
  <c r="V24" i="2" s="1"/>
  <c r="N76" i="15" l="1"/>
  <c r="K10" i="2"/>
  <c r="O73" i="2"/>
  <c r="P73" i="2"/>
  <c r="Q73" i="2"/>
  <c r="M73" i="2"/>
  <c r="N73" i="2"/>
  <c r="L73" i="2"/>
  <c r="J73" i="2"/>
  <c r="T73" i="2"/>
  <c r="S73" i="2"/>
  <c r="R73" i="2"/>
  <c r="U73" i="2"/>
  <c r="N78" i="15" l="1"/>
  <c r="N82" i="15" s="1"/>
  <c r="Q85" i="15"/>
  <c r="O85" i="15"/>
  <c r="P85" i="15"/>
  <c r="N85" i="15"/>
  <c r="J28" i="2"/>
  <c r="J31" i="2" s="1"/>
  <c r="J22" i="2" s="1"/>
  <c r="J37" i="2" s="1"/>
  <c r="K40" i="1" l="1"/>
  <c r="L40" i="1" s="1"/>
  <c r="K65" i="1"/>
  <c r="M40" i="1" l="1"/>
  <c r="L39" i="1"/>
  <c r="L65" i="1" s="1"/>
  <c r="G35" i="12"/>
  <c r="G34" i="12" s="1"/>
  <c r="K53" i="1"/>
  <c r="G36" i="12" s="1"/>
  <c r="K58" i="1"/>
  <c r="I8" i="2" s="1"/>
  <c r="I11" i="2" s="1"/>
  <c r="I6" i="2"/>
  <c r="N40" i="1" l="1"/>
  <c r="M39" i="1"/>
  <c r="M65" i="1" s="1"/>
  <c r="I5" i="2"/>
  <c r="I66" i="2"/>
  <c r="I7" i="2"/>
  <c r="N39" i="1" l="1"/>
  <c r="N65" i="1" s="1"/>
  <c r="O40" i="1"/>
  <c r="P40" i="1" l="1"/>
  <c r="O39" i="1"/>
  <c r="O65" i="1" s="1"/>
  <c r="Q40" i="1" l="1"/>
  <c r="P39" i="1"/>
  <c r="P65" i="1" s="1"/>
  <c r="Q39" i="1" l="1"/>
  <c r="Q65" i="1" s="1"/>
  <c r="R40" i="1"/>
  <c r="R63" i="1" l="1"/>
  <c r="S40" i="1"/>
  <c r="R39" i="1"/>
  <c r="R65" i="1" s="1"/>
  <c r="S63" i="1" l="1"/>
  <c r="T40" i="1"/>
  <c r="S39" i="1"/>
  <c r="S65" i="1" s="1"/>
  <c r="T63" i="1" l="1"/>
  <c r="U40" i="1"/>
  <c r="T39" i="1"/>
  <c r="T65" i="1" s="1"/>
  <c r="U63" i="1" l="1"/>
  <c r="U39" i="1"/>
  <c r="U65" i="1" s="1"/>
  <c r="V40" i="1"/>
  <c r="V63" i="1" l="1"/>
  <c r="W40" i="1"/>
  <c r="V39" i="1"/>
  <c r="V65" i="1" s="1"/>
  <c r="W63" i="1" l="1"/>
  <c r="X40" i="1"/>
  <c r="W39" i="1"/>
  <c r="W65" i="1" s="1"/>
  <c r="X63" i="1" l="1"/>
  <c r="X39" i="1"/>
  <c r="X65" i="1" s="1"/>
  <c r="I12" i="2" l="1"/>
  <c r="K50" i="1"/>
  <c r="I16" i="2"/>
  <c r="L49" i="1"/>
  <c r="L52" i="1" s="1"/>
  <c r="J6" i="2" l="1"/>
  <c r="J66" i="2" s="1"/>
  <c r="L53" i="1"/>
  <c r="H36" i="12" s="1"/>
  <c r="I17" i="2"/>
  <c r="H35" i="12"/>
  <c r="H34" i="12" s="1"/>
  <c r="L58" i="1"/>
  <c r="J8" i="2" s="1"/>
  <c r="I37" i="2"/>
  <c r="J5" i="2" l="1"/>
  <c r="J29" i="2" s="1"/>
  <c r="J69" i="2" s="1"/>
  <c r="J7" i="2"/>
  <c r="I77" i="2"/>
  <c r="G39" i="12"/>
  <c r="I76" i="2" l="1"/>
  <c r="J62" i="2"/>
  <c r="J11" i="2"/>
  <c r="G38" i="12"/>
  <c r="G40" i="12" s="1"/>
  <c r="G41" i="12"/>
  <c r="J12" i="2" l="1"/>
  <c r="J68" i="2" l="1"/>
  <c r="J70" i="2" s="1"/>
  <c r="J61" i="2" s="1"/>
  <c r="J13" i="2"/>
  <c r="H43" i="12" l="1"/>
  <c r="J72" i="2"/>
  <c r="J15" i="2"/>
  <c r="J33" i="2" s="1"/>
  <c r="J59" i="2" s="1"/>
  <c r="M49" i="1"/>
  <c r="M52" i="1" s="1"/>
  <c r="J75" i="2" l="1"/>
  <c r="H42" i="12"/>
  <c r="M58" i="1"/>
  <c r="K8" i="2" s="1"/>
  <c r="M53" i="1"/>
  <c r="I36" i="12" s="1"/>
  <c r="K6" i="2"/>
  <c r="I35" i="12"/>
  <c r="I34" i="12" s="1"/>
  <c r="K5" i="2" l="1"/>
  <c r="K29" i="2" s="1"/>
  <c r="K7" i="2"/>
  <c r="K66" i="2"/>
  <c r="K69" i="2" l="1"/>
  <c r="I25" i="2" l="1"/>
  <c r="J25" i="2" s="1"/>
  <c r="K25" i="2" l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J26" i="2" l="1"/>
  <c r="J77" i="2" l="1"/>
  <c r="J76" i="2" s="1"/>
  <c r="K9" i="2"/>
  <c r="H39" i="12"/>
  <c r="K11" i="2" l="1"/>
  <c r="K12" i="2" s="1"/>
  <c r="K71" i="2"/>
  <c r="H38" i="12"/>
  <c r="H40" i="12" s="1"/>
  <c r="J60" i="2"/>
  <c r="H41" i="12" s="1"/>
  <c r="K68" i="2" l="1"/>
  <c r="K70" i="2" s="1"/>
  <c r="K13" i="2"/>
  <c r="K72" i="2" l="1"/>
  <c r="N49" i="1"/>
  <c r="N52" i="1" s="1"/>
  <c r="K15" i="2"/>
  <c r="K33" i="2" s="1"/>
  <c r="N53" i="1" l="1"/>
  <c r="J36" i="12" s="1"/>
  <c r="L6" i="2"/>
  <c r="N58" i="1"/>
  <c r="L8" i="2" s="1"/>
  <c r="J35" i="12"/>
  <c r="J34" i="12" s="1"/>
  <c r="I42" i="12"/>
  <c r="K75" i="2"/>
  <c r="L5" i="2" l="1"/>
  <c r="L29" i="2" s="1"/>
  <c r="L7" i="2"/>
  <c r="L66" i="2"/>
  <c r="L69" i="2" l="1"/>
  <c r="K57" i="2" l="1"/>
  <c r="K40" i="2"/>
  <c r="L40" i="2" s="1"/>
  <c r="K62" i="2"/>
  <c r="K73" i="2"/>
  <c r="K61" i="2"/>
  <c r="I43" i="12" s="1"/>
  <c r="L10" i="2"/>
  <c r="K28" i="2" l="1"/>
  <c r="K31" i="2" s="1"/>
  <c r="K22" i="2" s="1"/>
  <c r="K46" i="2"/>
  <c r="M10" i="2"/>
  <c r="M40" i="2"/>
  <c r="L46" i="2"/>
  <c r="L28" i="2"/>
  <c r="L31" i="2" s="1"/>
  <c r="K37" i="2"/>
  <c r="K26" i="2"/>
  <c r="M46" i="2" l="1"/>
  <c r="N40" i="2"/>
  <c r="M28" i="2"/>
  <c r="N10" i="2"/>
  <c r="K77" i="2"/>
  <c r="K76" i="2" s="1"/>
  <c r="I39" i="12"/>
  <c r="L9" i="2"/>
  <c r="K59" i="2"/>
  <c r="N28" i="2" l="1"/>
  <c r="O10" i="2"/>
  <c r="N46" i="2"/>
  <c r="O40" i="2"/>
  <c r="L11" i="2"/>
  <c r="L71" i="2"/>
  <c r="L62" i="2" s="1"/>
  <c r="K60" i="2"/>
  <c r="I41" i="12" s="1"/>
  <c r="I38" i="12"/>
  <c r="I40" i="12" s="1"/>
  <c r="O46" i="2" l="1"/>
  <c r="P10" i="2"/>
  <c r="O28" i="2"/>
  <c r="P40" i="2"/>
  <c r="L12" i="2"/>
  <c r="P46" i="2" l="1"/>
  <c r="P28" i="2"/>
  <c r="Q10" i="2"/>
  <c r="Q40" i="2"/>
  <c r="L68" i="2"/>
  <c r="L70" i="2" s="1"/>
  <c r="L13" i="2"/>
  <c r="Q46" i="2" l="1"/>
  <c r="R40" i="2"/>
  <c r="Q28" i="2"/>
  <c r="R10" i="2"/>
  <c r="L61" i="2"/>
  <c r="J43" i="12" s="1"/>
  <c r="L72" i="2"/>
  <c r="L15" i="2"/>
  <c r="L33" i="2" s="1"/>
  <c r="L22" i="2" s="1"/>
  <c r="O49" i="1"/>
  <c r="O52" i="1" s="1"/>
  <c r="R28" i="2" l="1"/>
  <c r="S40" i="2"/>
  <c r="R46" i="2"/>
  <c r="S10" i="2"/>
  <c r="L75" i="2"/>
  <c r="J42" i="12"/>
  <c r="L37" i="2"/>
  <c r="L26" i="2"/>
  <c r="M6" i="2"/>
  <c r="O53" i="1"/>
  <c r="K36" i="12" s="1"/>
  <c r="O58" i="1"/>
  <c r="M8" i="2" s="1"/>
  <c r="K35" i="12"/>
  <c r="K34" i="12" s="1"/>
  <c r="S46" i="2" l="1"/>
  <c r="T10" i="2"/>
  <c r="S28" i="2"/>
  <c r="T40" i="2"/>
  <c r="J39" i="12"/>
  <c r="L77" i="2"/>
  <c r="L76" i="2" s="1"/>
  <c r="L59" i="2"/>
  <c r="M9" i="2"/>
  <c r="M5" i="2"/>
  <c r="M29" i="2" s="1"/>
  <c r="M7" i="2"/>
  <c r="M66" i="2"/>
  <c r="T28" i="2" l="1"/>
  <c r="U10" i="2"/>
  <c r="T46" i="2"/>
  <c r="U40" i="2"/>
  <c r="L60" i="2"/>
  <c r="J41" i="12" s="1"/>
  <c r="J38" i="12"/>
  <c r="J40" i="12" s="1"/>
  <c r="M11" i="2"/>
  <c r="M71" i="2"/>
  <c r="M62" i="2" s="1"/>
  <c r="M69" i="2"/>
  <c r="M31" i="2"/>
  <c r="V10" i="2" l="1"/>
  <c r="U28" i="2"/>
  <c r="V40" i="2"/>
  <c r="U46" i="2"/>
  <c r="M12" i="2"/>
  <c r="V28" i="2" l="1"/>
  <c r="V46" i="2"/>
  <c r="M68" i="2"/>
  <c r="M70" i="2" s="1"/>
  <c r="M13" i="2"/>
  <c r="M72" i="2" l="1"/>
  <c r="M61" i="2"/>
  <c r="K43" i="12" s="1"/>
  <c r="M15" i="2"/>
  <c r="P49" i="1"/>
  <c r="P52" i="1" s="1"/>
  <c r="M75" i="2" l="1"/>
  <c r="K42" i="12"/>
  <c r="M33" i="2"/>
  <c r="M22" i="2" s="1"/>
  <c r="P53" i="1"/>
  <c r="L36" i="12" s="1"/>
  <c r="N6" i="2"/>
  <c r="P58" i="1"/>
  <c r="N8" i="2" s="1"/>
  <c r="L35" i="12"/>
  <c r="L34" i="12" s="1"/>
  <c r="M37" i="2" l="1"/>
  <c r="M26" i="2"/>
  <c r="N5" i="2"/>
  <c r="N29" i="2" s="1"/>
  <c r="N7" i="2"/>
  <c r="N66" i="2"/>
  <c r="M77" i="2" l="1"/>
  <c r="M76" i="2" s="1"/>
  <c r="M59" i="2"/>
  <c r="N9" i="2"/>
  <c r="K39" i="12"/>
  <c r="N31" i="2"/>
  <c r="N69" i="2"/>
  <c r="K38" i="12" l="1"/>
  <c r="K40" i="12" s="1"/>
  <c r="M60" i="2"/>
  <c r="K41" i="12" s="1"/>
  <c r="N11" i="2"/>
  <c r="N71" i="2"/>
  <c r="N62" i="2" s="1"/>
  <c r="N12" i="2" l="1"/>
  <c r="N68" i="2" s="1"/>
  <c r="N70" i="2" s="1"/>
  <c r="N13" i="2" l="1"/>
  <c r="Q49" i="1" s="1"/>
  <c r="Q52" i="1" s="1"/>
  <c r="N72" i="2"/>
  <c r="N61" i="2"/>
  <c r="L43" i="12" s="1"/>
  <c r="N15" i="2" l="1"/>
  <c r="N75" i="2" s="1"/>
  <c r="N33" i="2"/>
  <c r="N22" i="2" s="1"/>
  <c r="O6" i="2"/>
  <c r="Q58" i="1"/>
  <c r="O8" i="2" s="1"/>
  <c r="Q53" i="1"/>
  <c r="L42" i="12" l="1"/>
  <c r="N37" i="2"/>
  <c r="N26" i="2"/>
  <c r="O66" i="2"/>
  <c r="O5" i="2"/>
  <c r="O29" i="2" s="1"/>
  <c r="O7" i="2"/>
  <c r="N59" i="2" l="1"/>
  <c r="O9" i="2"/>
  <c r="N77" i="2"/>
  <c r="N76" i="2" s="1"/>
  <c r="L39" i="12"/>
  <c r="O31" i="2"/>
  <c r="O69" i="2"/>
  <c r="N60" i="2" l="1"/>
  <c r="L41" i="12" s="1"/>
  <c r="L38" i="12"/>
  <c r="L40" i="12" s="1"/>
  <c r="O11" i="2"/>
  <c r="O71" i="2"/>
  <c r="O62" i="2" s="1"/>
  <c r="O12" i="2" l="1"/>
  <c r="O68" i="2" l="1"/>
  <c r="O70" i="2" s="1"/>
  <c r="O72" i="2" s="1"/>
  <c r="O13" i="2"/>
  <c r="R49" i="1"/>
  <c r="R52" i="1" s="1"/>
  <c r="O15" i="2"/>
  <c r="O61" i="2" l="1"/>
  <c r="P6" i="2"/>
  <c r="R58" i="1"/>
  <c r="P8" i="2" s="1"/>
  <c r="R53" i="1"/>
  <c r="O75" i="2"/>
  <c r="O33" i="2"/>
  <c r="O22" i="2" s="1"/>
  <c r="P66" i="2" l="1"/>
  <c r="P5" i="2"/>
  <c r="P29" i="2" s="1"/>
  <c r="P7" i="2"/>
  <c r="O26" i="2"/>
  <c r="O37" i="2"/>
  <c r="P69" i="2" l="1"/>
  <c r="P31" i="2"/>
  <c r="P9" i="2"/>
  <c r="O77" i="2"/>
  <c r="O76" i="2" s="1"/>
  <c r="O59" i="2"/>
  <c r="O60" i="2" s="1"/>
  <c r="P11" i="2" l="1"/>
  <c r="P71" i="2"/>
  <c r="P62" i="2" s="1"/>
  <c r="P12" i="2" l="1"/>
  <c r="P68" i="2" l="1"/>
  <c r="P70" i="2" s="1"/>
  <c r="P13" i="2"/>
  <c r="P72" i="2" l="1"/>
  <c r="P61" i="2"/>
  <c r="S49" i="1"/>
  <c r="S52" i="1" s="1"/>
  <c r="P15" i="2"/>
  <c r="S58" i="1" l="1"/>
  <c r="Q8" i="2" s="1"/>
  <c r="Q6" i="2"/>
  <c r="S53" i="1"/>
  <c r="P75" i="2"/>
  <c r="P33" i="2"/>
  <c r="P22" i="2" s="1"/>
  <c r="Q7" i="2" l="1"/>
  <c r="Q66" i="2"/>
  <c r="Q5" i="2"/>
  <c r="Q29" i="2" s="1"/>
  <c r="P37" i="2"/>
  <c r="P26" i="2"/>
  <c r="Q69" i="2" l="1"/>
  <c r="Q31" i="2"/>
  <c r="P59" i="2"/>
  <c r="P60" i="2" s="1"/>
  <c r="Q9" i="2"/>
  <c r="P77" i="2"/>
  <c r="P76" i="2" s="1"/>
  <c r="Q11" i="2" l="1"/>
  <c r="Q71" i="2"/>
  <c r="Q62" i="2" s="1"/>
  <c r="Q12" i="2" l="1"/>
  <c r="Q68" i="2" l="1"/>
  <c r="Q70" i="2" s="1"/>
  <c r="Q13" i="2"/>
  <c r="T49" i="1"/>
  <c r="T52" i="1" s="1"/>
  <c r="Q15" i="2"/>
  <c r="Q72" i="2"/>
  <c r="Q61" i="2"/>
  <c r="R6" i="2" l="1"/>
  <c r="T58" i="1"/>
  <c r="R8" i="2" s="1"/>
  <c r="T53" i="1"/>
  <c r="Q75" i="2"/>
  <c r="Q33" i="2"/>
  <c r="Q22" i="2" s="1"/>
  <c r="R7" i="2" l="1"/>
  <c r="R5" i="2"/>
  <c r="R29" i="2" s="1"/>
  <c r="R66" i="2"/>
  <c r="Q37" i="2"/>
  <c r="Q26" i="2"/>
  <c r="R69" i="2" l="1"/>
  <c r="R31" i="2"/>
  <c r="Q77" i="2"/>
  <c r="Q76" i="2" s="1"/>
  <c r="Q59" i="2"/>
  <c r="Q60" i="2" s="1"/>
  <c r="R9" i="2"/>
  <c r="R71" i="2" l="1"/>
  <c r="R62" i="2" s="1"/>
  <c r="R11" i="2"/>
  <c r="R12" i="2" l="1"/>
  <c r="R68" i="2" l="1"/>
  <c r="R70" i="2" s="1"/>
  <c r="R13" i="2"/>
  <c r="U49" i="1" s="1"/>
  <c r="U52" i="1" s="1"/>
  <c r="R61" i="2"/>
  <c r="R72" i="2"/>
  <c r="R15" i="2" l="1"/>
  <c r="S6" i="2"/>
  <c r="U53" i="1"/>
  <c r="U58" i="1"/>
  <c r="S8" i="2" s="1"/>
  <c r="R33" i="2"/>
  <c r="R22" i="2" s="1"/>
  <c r="R75" i="2"/>
  <c r="R26" i="2" l="1"/>
  <c r="R37" i="2"/>
  <c r="S66" i="2"/>
  <c r="S7" i="2"/>
  <c r="S5" i="2"/>
  <c r="S29" i="2" s="1"/>
  <c r="S9" i="2"/>
  <c r="R59" i="2"/>
  <c r="R60" i="2" s="1"/>
  <c r="R77" i="2"/>
  <c r="R76" i="2" s="1"/>
  <c r="S31" i="2" l="1"/>
  <c r="S69" i="2"/>
  <c r="S11" i="2"/>
  <c r="S71" i="2"/>
  <c r="S62" i="2" s="1"/>
  <c r="S12" i="2" l="1"/>
  <c r="S68" i="2" l="1"/>
  <c r="S70" i="2" s="1"/>
  <c r="S13" i="2"/>
  <c r="S61" i="2" l="1"/>
  <c r="S72" i="2"/>
  <c r="V49" i="1"/>
  <c r="V52" i="1" s="1"/>
  <c r="S15" i="2"/>
  <c r="S75" i="2" l="1"/>
  <c r="S33" i="2"/>
  <c r="V58" i="1"/>
  <c r="T8" i="2" s="1"/>
  <c r="V53" i="1"/>
  <c r="T6" i="2"/>
  <c r="S22" i="2"/>
  <c r="T7" i="2" l="1"/>
  <c r="T66" i="2"/>
  <c r="T5" i="2"/>
  <c r="T29" i="2" s="1"/>
  <c r="S26" i="2"/>
  <c r="S37" i="2"/>
  <c r="T31" i="2" l="1"/>
  <c r="T69" i="2"/>
  <c r="T9" i="2"/>
  <c r="S77" i="2"/>
  <c r="S76" i="2" s="1"/>
  <c r="S59" i="2"/>
  <c r="S60" i="2" s="1"/>
  <c r="T11" i="2" l="1"/>
  <c r="T71" i="2"/>
  <c r="T62" i="2" s="1"/>
  <c r="T12" i="2" l="1"/>
  <c r="T68" i="2" l="1"/>
  <c r="T70" i="2" s="1"/>
  <c r="T13" i="2"/>
  <c r="T61" i="2" l="1"/>
  <c r="T72" i="2"/>
  <c r="T15" i="2"/>
  <c r="W49" i="1"/>
  <c r="W52" i="1" s="1"/>
  <c r="U6" i="2" l="1"/>
  <c r="W58" i="1"/>
  <c r="U8" i="2" s="1"/>
  <c r="W53" i="1"/>
  <c r="T75" i="2"/>
  <c r="T33" i="2"/>
  <c r="U66" i="2" l="1"/>
  <c r="U7" i="2"/>
  <c r="U5" i="2"/>
  <c r="U29" i="2" s="1"/>
  <c r="T22" i="2"/>
  <c r="U31" i="2" l="1"/>
  <c r="U69" i="2"/>
  <c r="T26" i="2"/>
  <c r="T37" i="2"/>
  <c r="T77" i="2" l="1"/>
  <c r="T76" i="2" s="1"/>
  <c r="U9" i="2"/>
  <c r="T59" i="2"/>
  <c r="T60" i="2" s="1"/>
  <c r="U11" i="2" l="1"/>
  <c r="U71" i="2"/>
  <c r="U62" i="2" s="1"/>
  <c r="U12" i="2" l="1"/>
  <c r="U68" i="2" l="1"/>
  <c r="U70" i="2" s="1"/>
  <c r="U13" i="2"/>
  <c r="U61" i="2" l="1"/>
  <c r="U72" i="2"/>
  <c r="U15" i="2"/>
  <c r="X49" i="1"/>
  <c r="X52" i="1" s="1"/>
  <c r="X53" i="1" l="1"/>
  <c r="X58" i="1"/>
  <c r="V8" i="2" s="1"/>
  <c r="V6" i="2"/>
  <c r="U75" i="2"/>
  <c r="U33" i="2"/>
  <c r="V7" i="2" l="1"/>
  <c r="V5" i="2"/>
  <c r="V29" i="2" s="1"/>
  <c r="V66" i="2"/>
  <c r="U22" i="2"/>
  <c r="V69" i="2" l="1"/>
  <c r="V31" i="2"/>
  <c r="U26" i="2"/>
  <c r="U37" i="2"/>
  <c r="U59" i="2" l="1"/>
  <c r="U60" i="2" s="1"/>
  <c r="U77" i="2"/>
  <c r="U76" i="2" s="1"/>
  <c r="V9" i="2"/>
  <c r="V11" i="2" l="1"/>
  <c r="V71" i="2"/>
  <c r="V62" i="2" s="1"/>
  <c r="V12" i="2" l="1"/>
  <c r="V68" i="2" l="1"/>
  <c r="V70" i="2" s="1"/>
  <c r="V13" i="2"/>
  <c r="V72" i="2" l="1"/>
  <c r="V61" i="2"/>
  <c r="V15" i="2"/>
  <c r="V75" i="2" l="1"/>
  <c r="V33" i="2"/>
  <c r="V22" i="2" s="1"/>
  <c r="V37" i="2" l="1"/>
  <c r="V26" i="2"/>
  <c r="V59" i="2" l="1"/>
  <c r="V60" i="2" s="1"/>
  <c r="V77" i="2"/>
  <c r="V7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Fera</author>
  </authors>
  <commentList>
    <comment ref="A1" authorId="0" shapeId="0" xr:uid="{D25E4DAE-0D48-4FE3-BFAE-2177DD84147A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Timestamp="1677855364"&gt;&lt;FQL&gt;&lt;Q&gt;US00110RAA59^FG_PRICE(0)&lt;/Q&gt;&lt;R&gt;1&lt;/R&gt;&lt;C&gt;1&lt;/C&gt;&lt;D xsi:type="xsd:double"&gt;89.901&lt;/D&gt;&lt;/FQL&gt;&lt;FQL&gt;&lt;Q&gt;ACU-US^FG_PRICE(0)&lt;/Q&gt;&lt;R&gt;1&lt;/R&gt;&lt;C&gt;1&lt;/C&gt;&lt;D xsi:type="xsd:double"&gt;32.95&lt;/D&gt;&lt;/FQL&gt;&lt;FQL&gt;&lt;Q&gt;PETRO^FG_PRICE(0)&lt;/Q&gt;&lt;R&gt;0&lt;/R&gt;&lt;C&gt;0&lt;/C&gt;&lt;/FQL&gt;&lt;FQL&gt;&lt;Q&gt;0Q3Q1F-E^FG_PRICE(0)&lt;/Q&gt;&lt;R&gt;0&lt;/R&gt;&lt;C&gt;0&lt;/C&gt;&lt;/FQL&gt;&lt;FQL&gt;&lt;Q&gt;US00110RAA59^FG_PRICE(NOW)&lt;/Q&gt;&lt;R&gt;1&lt;/R&gt;&lt;C&gt;1&lt;/C&gt;&lt;D xsi:type="xsd:double"&gt;89.901&lt;/D&gt;&lt;/FQL&gt;&lt;FQL&gt;&lt;Q&gt;ACU-US^FG_PRICE(NOW)&lt;/Q&gt;&lt;R&gt;1&lt;/R&gt;&lt;C&gt;1&lt;/C&gt;&lt;D xsi:type="xsd:double"&gt;32.95&lt;/D&gt;&lt;/FQL&gt;&lt;FQL&gt;&lt;Q&gt;PETRO^FG_PRICE(NOW)&lt;/Q&gt;&lt;R&gt;0&lt;/R&gt;&lt;C&gt;0&lt;/C&gt;&lt;/FQL&gt;&lt;FQL&gt;&lt;Q&gt;0Q3Q1F-E^FG_PRICE(NOW)&lt;/Q&gt;&lt;R&gt;0&lt;/R&gt;&lt;C&gt;0&lt;/C&gt;&lt;/FQL&gt;&lt;FQL&gt;&lt;Q&gt;US00110RAA59^FG_PRICE(NOW,0)&lt;/Q&gt;&lt;R&gt;1&lt;/R&gt;&lt;C&gt;1&lt;/C&gt;&lt;D xsi:type="xsd:double"&gt;89.901&lt;/D&gt;&lt;/FQL&gt;&lt;FQL&gt;&lt;Q&gt;ACU-US^FG_PRICE(NOW,0)&lt;/Q&gt;&lt;R&gt;1&lt;/R&gt;&lt;C&gt;1&lt;/C&gt;&lt;D xsi:type="xsd:double"&gt;32.95&lt;/D&gt;&lt;/FQL&gt;&lt;FQL&gt;&lt;Q&gt;PETRO^FG_PRICE(NOW,0)&lt;/Q&gt;&lt;R&gt;0&lt;/R&gt;&lt;C&gt;0&lt;/C&gt;&lt;/FQL&gt;&lt;FQL&gt;&lt;Q&gt;0Q3Q1F-E^FG_PRICE(NOW,0)&lt;/Q&gt;&lt;R&gt;0&lt;/R&gt;&lt;C&gt;0&lt;/C&gt;&lt;/FQL&gt;&lt;FQL&gt;&lt;Q&gt;US00110RAA59^FG_PRICE(NOW,NOW)&lt;/Q&gt;&lt;R&gt;1&lt;/R&gt;&lt;C&gt;1&lt;/C&gt;&lt;D xsi:type="xsd:double"&gt;89.901&lt;/D&gt;&lt;/FQL&gt;&lt;FQL&gt;&lt;Q&gt;ACU-US^FG_PRICE(NOW,NOW)&lt;/Q&gt;&lt;R&gt;1&lt;/R&gt;&lt;C&gt;1&lt;/C&gt;&lt;D xsi:type="xsd:double"&gt;32.95&lt;/D&gt;&lt;/FQL&gt;&lt;FQL&gt;&lt;Q&gt;PETRO^FG_PRICE(NOW,NOW)&lt;/Q&gt;&lt;R&gt;0&lt;/R&gt;&lt;C&gt;0&lt;/C&gt;&lt;/FQL&gt;&lt;FQL&gt;&lt;Q&gt;0Q3Q1F-E^FG_PRICE(NOW,NOW)&lt;/Q&gt;&lt;R&gt;0&lt;/R&gt;&lt;C&gt;0&lt;/C&gt;&lt;/FQL&gt;&lt;FQL&gt;&lt;Q&gt;AAPL-US^FG_PRICE(0)&lt;/Q&gt;&lt;R&gt;1&lt;/R&gt;&lt;C&gt;1&lt;/C&gt;&lt;D xsi:type="xsd:double"&gt;149.64&lt;/D&gt;&lt;/FQL&gt;&lt;FQL&gt;&lt;Q&gt;AAPL-US^FG_PRICE(0,0)&lt;/Q&gt;&lt;R&gt;1&lt;/R&gt;&lt;C&gt;1&lt;/C&gt;&lt;D xsi:type="xsd:double"&gt;149.64&lt;/D&gt;&lt;/FQL&gt;&lt;FQL&gt;&lt;Q&gt;AAPL-US^P_DATE(0,0)&lt;/Q&gt;&lt;R&gt;1&lt;/R&gt;&lt;C&gt;1&lt;/C&gt;&lt;D xsi:type="xsd:string"&gt;05/27/2022&lt;/D&gt;&lt;/FQL&gt;&lt;FQL&gt;&lt;Q&gt;AAPL-US^P_DATE(0,0,D)&lt;/Q&gt;&lt;R&gt;1&lt;/R&gt;&lt;C&gt;1&lt;/C&gt;&lt;D xsi:type="xsd:string"&gt;05/27/2022&lt;/D&gt;&lt;/FQL&gt;&lt;FQL&gt;&lt;Q&gt;AAPL-US^P_DATE(0,-1AY,D)&lt;/Q&gt;&lt;R&gt;254&lt;/R&gt;&lt;C&gt;1&lt;/C&gt;&lt;D xsi:type="xsd:string"&gt;05/27/2022&lt;/D&gt;&lt;D xsi:type="xsd:string"&gt;05/26/2022&lt;/D&gt;&lt;D xsi:type="xsd:string"&gt;05/25/2022&lt;/D&gt;&lt;D xsi:type="xsd:string"&gt;05/24/2022&lt;/D&gt;&lt;D xsi:type="xsd:string"&gt;05/23/2022&lt;/D&gt;&lt;D xsi:type="xsd:string"&gt;05/20/2022&lt;/D&gt;&lt;D xsi:type="xsd:string"&gt;05/19/2022&lt;/D&gt;&lt;D xsi:type="xsd:string"&gt;05/18/2022&lt;/D&gt;&lt;D xsi:type="xsd:string"&gt;05/17/2022&lt;/D&gt;&lt;D xsi:type="xsd:string"&gt;05/16/2022&lt;/D&gt;&lt;D xsi:type="xsd:string"&gt;05/13/2022&lt;/D&gt;&lt;D xsi:type="xsd:string"&gt;05/12/2022&lt;/D&gt;&lt;D xsi:type="xsd:string"&gt;05/11/2022&lt;/D&gt;&lt;D xsi:type="xsd:string"&gt;05/10/2022&lt;/D&gt;&lt;D xsi:type="xsd:string"&gt;05/09/2022&lt;/D&gt;&lt;D xsi:type="xsd:string"&gt;05/06/2022&lt;/D&gt;&lt;D xsi:type="xsd:string"&gt;05/05/2022&lt;/D&gt;&lt;D xsi:type="xsd:string"&gt;05/04/2022&lt;/D&gt;&lt;D xsi:type="xsd:string"&gt;05/03/2022&lt;/D&gt;&lt;D xsi:type="xsd:string"&gt;05/02/2022&lt;/D&gt;&lt;D xsi:type="xsd:string"&gt;04/29/2022&lt;/D&gt;&lt;D xsi:type="xsd:string"&gt;04/28/2022&lt;/D&gt;&lt;D xsi:type="xsd:string"&gt;04/27/2022&lt;/D&gt;&lt;D xsi:type="xsd:string"&gt;04/26/2022&lt;/D&gt;&lt;D xsi:type="xsd:string"&gt;04/25/2022&lt;/D&gt;&lt;D xsi:type="xsd:string"&gt;04/22/2022&lt;/D&gt;&lt;D xsi:type="xsd:string"&gt;04/21/2022&lt;/D&gt;&lt;D xsi:type="xsd:string"&gt;04/20/2022&lt;/D&gt;&lt;D xsi:type="xsd:string"&gt;04/19/2022&lt;/D&gt;&lt;D xsi:type="xsd:string"&gt;04/18/2022&lt;/D&gt;&lt;D xsi:type="xsd:string"&gt;04/14/2022&lt;/D&gt;&lt;D xsi:type="xsd:string"&gt;04/13/2022&lt;/D&gt;&lt;D xsi:type="xsd:string"&gt;04/12/2022&lt;/D&gt;&lt;D xsi:type="xsd:string"&gt;04/11/2022&lt;/D&gt;&lt;D xsi:type="xsd:string"&gt;04/08/2022&lt;/D&gt;&lt;D xsi:type="xsd:string"&gt;04/07/2022&lt;/D&gt;&lt;D xsi:type="xsd:string"&gt;04/06/2022&lt;/D&gt;&lt;D xsi:type="xsd:string"&gt;04/05/2022&lt;/D&gt;&lt;D xsi:type="xsd:string"&gt;04/04/2022&lt;/D&gt;&lt;D xsi:type="xsd:string"&gt;04/01/2022&lt;/D&gt;&lt;D xsi:type="xsd:string"&gt;03/31/2022&lt;/D&gt;&lt;D xsi:type="xsd:string"&gt;03/30/2022&lt;/D&gt;&lt;D xsi:type="xsd:string"&gt;03/29/2022&lt;/D&gt;&lt;D xsi:type="xsd:string"&gt;03/28/2022&lt;/D&gt;&lt;D xsi:type="xsd:string"&gt;03/25/2022&lt;/D&gt;&lt;D xsi:type="xsd:string"&gt;03/24/2022&lt;/D&gt;&lt;D xsi:type="xsd:string"&gt;03/23/2022&lt;/D&gt;&lt;D xsi:type="xsd:string"&gt;03/22/2022&lt;/D&gt;&lt;D xsi:type="xsd:string"&gt;03/21/2022&lt;/D&gt;&lt;D xsi:type="xsd:string"&gt;03/18/2022&lt;/D&gt;&lt;D xsi:type="xsd:string"&gt;03/17/2022&lt;/D&gt;&lt;D xsi:type="xsd:string"&gt;03/16/2022&lt;/D&gt;&lt;D xsi:type="xsd:string"&gt;03/15/2022&lt;/D&gt;&lt;D xsi:type="xsd:string"&gt;03/14/2022&lt;/D&gt;&lt;D xsi:type="xsd:string"&gt;03/11/2022&lt;/D&gt;&lt;D xsi:type="xsd:string"&gt;03/10/2022&lt;/D&gt;&lt;D xsi:type="xsd:string"&gt;03/09/2022&lt;/D&gt;&lt;D xsi:type="xsd:string"&gt;03/08/2022&lt;/D&gt;&lt;D xsi:type="xsd:string"&gt;03/07/2022&lt;/D&gt;&lt;D xsi:type="xsd:string"&gt;03/04/2022&lt;/D&gt;&lt;D xsi:type="xsd:string"&gt;03/03/2022&lt;/D&gt;&lt;D xsi:type="xsd:string"&gt;03/02/2022&lt;/D&gt;&lt;D xsi:type="xsd:string"&gt;03/01/2022&lt;/D&gt;&lt;D xsi:type="xsd:string"&gt;02/28/2022&lt;/D&gt;&lt;D xsi:type="xsd:string"&gt;02/25/2022&lt;/D&gt;&lt;D xsi:type="xsd:string"&gt;02/24/2022&lt;/D&gt;&lt;D xsi:type="xsd:string"&gt;02/23/2022&lt;/D&gt;&lt;D xsi:type="xsd:string"&gt;02/22/2022&lt;/D&gt;&lt;D xsi:type="xsd:string"&gt;02/18/2022&lt;/D&gt;&lt;D xsi:type="xsd:string"&gt;02/17/2022&lt;/D&gt;&lt;D xsi:type="xsd:string"&gt;02/16/2022&lt;/D&gt;&lt;D xsi:type="xsd:string"&gt;02/15/2022&lt;/D&gt;&lt;D xsi:type="xsd:string"&gt;02/14/2022&lt;/D&gt;&lt;D xsi:type="xsd:string"&gt;02/11/2022&lt;/D&gt;&lt;D xsi:type="xsd:string"&gt;02/10/2022&lt;/D&gt;&lt;D xsi:type="xsd:string"&gt;02/09/2022&lt;/D&gt;&lt;D xsi:type="xsd:string"&gt;02/08/2022&lt;/D&gt;&lt;D xsi:type="xsd:string"&gt;02/07/2022&lt;/D&gt;&lt;D xsi:type="xsd:string"&gt;02/04/2022&lt;/D&gt;&lt;D xsi:type="xsd:string"&gt;02/03/2022&lt;/D&gt;&lt;D xsi:type="xsd:string"&gt;02/02/2022&lt;/D&gt;&lt;D xsi:type="xsd:string"&gt;02/01/2022&lt;/D&gt;&lt;D xsi:type="xsd:string"&gt;01/31/2022&lt;/D&gt;&lt;D xsi:type="xsd:string"&gt;01/28/2022&lt;/D&gt;&lt;D xsi:type="xsd:string"&gt;01/27/2022&lt;/D&gt;&lt;D xsi:type="xsd:string"&gt;01/26/2022&lt;/D&gt;&lt;D xsi:type="xsd:string"&gt;01/25/2022&lt;/D&gt;&lt;D xsi:type="xsd:string"&gt;01/24/2022&lt;/D&gt;&lt;D xsi:type="xsd:string"&gt;01/21/2022&lt;/D&gt;&lt;D xsi:type="xsd:string"&gt;01/20/2022&lt;/D&gt;&lt;D xsi:type="xsd:string"&gt;01/19/2022&lt;/D&gt;&lt;D xsi:type="xsd:string"&gt;01/18/2022&lt;/D&gt;&lt;D xsi:type="xsd:string"&gt;01/14/2022&lt;/D&gt;&lt;D xsi:type="xsd:string"&gt;01/13/2022&lt;/D&gt;&lt;D xsi:type="xsd:string"&gt;01/12/2022&lt;/D&gt;&lt;D xsi:type="xsd:string"&gt;01/11/2022&lt;/D&gt;&lt;D xsi:type="xsd:string"&gt;01/10/2022&lt;/D&gt;&lt;D xsi:type="xsd:string"&gt;01/07/2022&lt;/D&gt;&lt;D xsi:type="xsd:string"&gt;01/06/2022&lt;/D&gt;&lt;D xsi:type="xsd:string"&gt;01/05/2022&lt;/D&gt;&lt;D xsi:type="xsd:string"&gt;01/04/2022&lt;/D&gt;&lt;D xsi:type="xsd:string"&gt;01/03/2022&lt;/D&gt;&lt;D xsi:type="xsd:string"&gt;12/31/2021&lt;/D&gt;&lt;D xsi:type="xsd:string"&gt;12/30/2021&lt;/D&gt;&lt;D xsi:type="xsd:string"&gt;12/29/2021&lt;/D&gt;&lt;D xsi:type="xsd:string"&gt;12/28/2021&lt;/D&gt;&lt;D xsi:type="xsd:string"&gt;12/27/2021&lt;/D&gt;&lt;D xsi:type="xsd:string"&gt;12/23/2021&lt;/D&gt;&lt;D xsi:type="xsd:string"&gt;12/22/2021&lt;/D&gt;&lt;D xsi:type="xsd:string"&gt;12/21/2021&lt;/D&gt;&lt;D xsi:type="xsd:string"&gt;12/20/2021&lt;/D&gt;&lt;D xsi:type="xsd:string"&gt;12/17/2021&lt;/D&gt;&lt;D xsi:type="xsd:string"&gt;12/16/2021&lt;/D&gt;&lt;D xsi:type="xsd:string"&gt;12/15/2021&lt;/D&gt;&lt;D xsi:type="xsd:string"&gt;12/14/2021&lt;/D&gt;&lt;D xsi:type="xsd:string"&gt;12/13/2021&lt;/D&gt;&lt;D xsi:type="xsd:string"&gt;12/10/2021&lt;/D&gt;&lt;D xsi:type="xsd:string"&gt;12/09/2021&lt;/D&gt;&lt;D xsi:type="xsd:string"&gt;12/08/2021&lt;/D&gt;&lt;D xsi:type="xsd:string"&gt;12/07/2021&lt;/D&gt;&lt;D xsi:type="xsd:string"&gt;12/06/2021&lt;/D&gt;&lt;D xsi:type="xsd:string"&gt;12/03/2021&lt;/D&gt;&lt;D xsi:type="xsd:string"&gt;12/02/2021&lt;/D&gt;&lt;D xsi:type="xsd:string"&gt;12/01/2021&lt;/D&gt;&lt;D xsi:type="xsd:string"&gt;11/30/2021&lt;/D&gt;&lt;D xsi:type="xsd:string"&gt;11/29/2021&lt;/D&gt;&lt;D xsi:type="xsd:string"&gt;11/26/2021&lt;/D&gt;&lt;D xsi:type="xsd:string"&gt;11/24/2021&lt;/D&gt;&lt;D xsi:type="xsd:string"&gt;11/23/2021&lt;/D&gt;&lt;D xsi:type="xsd:string"&gt;11/22/2021&lt;/D&gt;&lt;D xsi:type="xsd:string"&gt;11/19/2021&lt;/D&gt;&lt;D xsi:type="xsd:string"&gt;11/18/2021&lt;/D&gt;&lt;D xsi:type="xsd:string"&gt;11/17/2021&lt;/D&gt;&lt;D xsi:type="xsd:string"&gt;11/16/2021&lt;/D&gt;&lt;D xsi:type="xsd:string"&gt;11/15/2021&lt;/D&gt;&lt;D xsi:type="xsd:string"&gt;11/12/2021&lt;/D&gt;&lt;D xsi:type="xsd:string"&gt;11/11/2021&lt;/D&gt;&lt;D xsi:type="xsd:string"&gt;11/10/2021&lt;/D&gt;&lt;D xsi:type="xsd:string"&gt;11/09/2021&lt;/D&gt;&lt;D xsi:type="xsd:string"&gt;11/08/2021&lt;/D&gt;&lt;D xsi:type="xsd:string"&gt;11/05/2021&lt;/D&gt;&lt;D xsi:type="xsd:string"&gt;11/04/2021&lt;/D&gt;&lt;D xsi:type="xsd:string"&gt;11/03/2021&lt;/D&gt;&lt;D xsi:type="xsd:string"&gt;11/02/2021&lt;/D&gt;&lt;D xsi:type="xsd:string"&gt;11/01/2021&lt;/D&gt;&lt;D xsi:type="xsd:string"&gt;10/29/2021&lt;/D&gt;&lt;D xsi:type="xsd:string"&gt;10/28/2021&lt;/D&gt;&lt;D xsi:type="xsd:string"&gt;10/27/2021&lt;/D&gt;&lt;D xsi:type="xsd:string"&gt;10/26/2021&lt;/D&gt;&lt;D xsi:type="xsd:string"&gt;10/25/2021&lt;/D&gt;&lt;D xsi:type="xsd:string"&gt;10/22/2021&lt;/D&gt;&lt;D xsi:type="xsd:string"&gt;10/21/2021&lt;/D&gt;&lt;D xsi:type="xsd:string"&gt;10/20/2021&lt;/D&gt;&lt;D xsi:type="xsd:string"&gt;10/19/2021&lt;/D&gt;&lt;D xsi:type="xsd:string"&gt;10/18/2021&lt;/D&gt;&lt;D xsi:type="xsd:string"&gt;10/15/2021&lt;/D&gt;&lt;D xsi:type="xsd:string"&gt;10/14/2021&lt;/D&gt;&lt;D xsi:type="xsd:string"&gt;10/13/2021&lt;/D&gt;&lt;D xsi:type="xsd:string"&gt;10/12/2021&lt;/D&gt;&lt;D xsi:type="xsd:string"&gt;10/11/2021&lt;/D&gt;&lt;D xsi:type="xsd:string"&gt;10/08/2021&lt;/D&gt;&lt;D xsi:type="xsd:string"&gt;10/07/2021&lt;/D&gt;&lt;D xsi:type="xsd:string"&gt;10/06/2021&lt;/D&gt;&lt;D xsi:type="xsd:string"&gt;10/05/2021&lt;/D&gt;&lt;D xsi:type="xsd:string"&gt;10/04/2021&lt;/D&gt;&lt;D xsi:type="xsd:string"&gt;10/01/2021&lt;/D&gt;&lt;D xsi:type="xsd:string"&gt;09/30/2021&lt;/D&gt;&lt;D xsi:type="xsd:string"&gt;09/29/2021&lt;/D&gt;&lt;D xsi:type="xsd:string"&gt;09/28/2021&lt;/D&gt;&lt;D xsi:type="xsd:string"&gt;09/27/2021&lt;/D&gt;&lt;D xsi:type="xsd:string"&gt;09/24/2021&lt;/D&gt;&lt;D xsi:type="xsd:string"&gt;09/23/2021&lt;/D&gt;&lt;D xsi:type="xsd:string"&gt;09/22/2021&lt;/D&gt;&lt;D xsi:type="xsd:string"&gt;09/21/2021&lt;/D&gt;&lt;D xsi:type="xsd:string"&gt;09/20/2021&lt;/D&gt;&lt;D xsi:type="xsd:string"&gt;09/17/2021&lt;/D&gt;&lt;D xsi:type="xsd:string"&gt;09/16/2021&lt;/D&gt;&lt;D xsi:type="xsd:string"&gt;09/15/2021&lt;/D&gt;&lt;D xsi:type="xsd:string"&gt;09/14/2021&lt;/D&gt;&lt;D xsi:type="xsd:string"&gt;09/13/2021&lt;/D&gt;&lt;D xsi:type="xsd:string"&gt;09/10/2021&lt;/D&gt;&lt;D xsi:type="xsd:string"&gt;09/09/2021&lt;/D&gt;&lt;D xsi:type="xsd:string"&gt;09/08/2021&lt;/D&gt;&lt;D xsi:type="xsd:string"&gt;09/07/2021&lt;/D&gt;&lt;D xsi:type="xsd:string"&gt;09/03/2021&lt;/D&gt;&lt;D xsi:type="xsd:string"&gt;09/02/2021&lt;/D&gt;&lt;D xsi:type="xsd:string"&gt;09/01/2021&lt;/D&gt;&lt;D xsi:type="xsd:string"&gt;08/31/2021&lt;/D&gt;&lt;D xsi:type="xsd:string"&gt;08/30/2021&lt;/D&gt;&lt;D xsi:type="xsd:string"&gt;08/27/2021&lt;/D&gt;&lt;D xsi:type="xsd:string"&gt;08/26/2021&lt;/D&gt;&lt;D xsi:type="xsd:string"&gt;08/25/2021&lt;/D&gt;&lt;D xsi:type="xsd:string"&gt;08/24/2021&lt;/D&gt;&lt;D xsi:type="xsd:string"&gt;08/23/2021&lt;/D&gt;&lt;D xsi:type="xsd:string"&gt;08/20/2021&lt;/D&gt;&lt;D xsi:type="xsd:string"&gt;08/19/2021&lt;/D&gt;&lt;D xsi:type="xsd:string"&gt;08/18/2021&lt;/D&gt;&lt;D xsi:type="xsd:string"&gt;08/17/2021&lt;/D&gt;&lt;D xsi:type="xsd:string"&gt;08/16/2021&lt;/D&gt;&lt;D xsi:type="xsd:string"&gt;08/13/2021&lt;/D&gt;&lt;D xsi:type="xsd:string"&gt;08/12/2021&lt;/D&gt;&lt;D xsi:type="xsd:string"&gt;08/11/2021&lt;/D&gt;&lt;D xsi:type="xsd:string"&gt;08/10/2021&lt;/D&gt;&lt;D xsi:type="xsd:string"&gt;08/09/2021&lt;/D&gt;&lt;D xsi:type="xsd:string"&gt;08/06/2021&lt;/D&gt;&lt;D xsi:type="xsd:string"&gt;08/05/2021&lt;/D&gt;&lt;D xsi:type="xsd:string"&gt;08/04/2021&lt;/D&gt;&lt;D xsi:type="xsd:string"&gt;08/03/2021&lt;/D&gt;&lt;D xsi:type="xsd:string"&gt;08/02/2021&lt;/D&gt;&lt;D xsi:type="xsd:string"&gt;07/30/2021&lt;/D&gt;&lt;D xsi:type="xsd:string"&gt;07/29/2021&lt;/D&gt;&lt;D xsi:type="xsd:string"&gt;07/28/2021&lt;/D&gt;&lt;D xsi:type="xsd:string"&gt;07/27/2021&lt;/D&gt;&lt;D xsi:type="xsd:string"&gt;07/26/2021&lt;/D&gt;&lt;D xsi:type="xsd:string"&gt;07/23/2021&lt;/D&gt;&lt;D xsi:type="xsd:string"&gt;07/22/2021&lt;/D&gt;&lt;D xsi:type="xsd:string"&gt;07/21/2021&lt;/D&gt;&lt;D xsi:type="xsd:string"&gt;07/20/2021&lt;/D&gt;&lt;D xsi:type="xsd:string"&gt;07/19/2021&lt;/D&gt;&lt;D xsi:type="xsd:string"&gt;07/16/2021&lt;/D&gt;&lt;D xsi:type="xsd:string"&gt;07/15/2021&lt;/D&gt;&lt;D xsi:type="xsd:string"&gt;07/14/2021&lt;/D&gt;&lt;D xsi:type="xsd:string"&gt;07/13/2021&lt;/D&gt;&lt;D xsi:type="xsd:string"&gt;07/12/2021&lt;/D&gt;&lt;D xsi:type="xsd:string"&gt;07/09/2021&lt;/D&gt;&lt;D xsi:type="xsd:string"&gt;07/08/2021&lt;/D&gt;&lt;D xsi:type="xsd:string"&gt;07/07/2021&lt;/D&gt;&lt;D xsi:type="xsd:string"&gt;07/06/2021&lt;/D&gt;&lt;D xsi:type="xsd:string"&gt;07/02/2021&lt;/D&gt;&lt;D xsi:type="xsd:string"&gt;07/01/2021&lt;/D&gt;&lt;D xsi:type="xsd:string"&gt;06/30/2021&lt;/D&gt;&lt;D xsi:type="xsd:string"&gt;06/29/2021&lt;/D&gt;&lt;D xsi:type="xsd:string"&gt;06/28/2021&lt;/D&gt;&lt;D xsi:type="xsd:string"&gt;06/25/2021&lt;/D&gt;&lt;D xsi:type="xsd:string"&gt;06/24/2021&lt;/D&gt;&lt;D xsi:type="xsd:string"&gt;06/23/2021&lt;/D&gt;&lt;D xsi:type="xsd:string"&gt;06/22/2021&lt;/D&gt;&lt;D xsi:type="xsd:string"&gt;06/21/2021&lt;/D&gt;&lt;D xsi:type="xsd:string"&gt;06/18/2021&lt;/D&gt;&lt;D xsi:type="xsd:string"&gt;06/17/2021&lt;/D&gt;&lt;D xsi:type="xsd:string"&gt;06/16/2021&lt;/D&gt;&lt;D xsi:type="xsd:string"&gt;06/15/2021&lt;/D&gt;&lt;D xsi:type="xsd:string"&gt;06/14/2021&lt;/D&gt;&lt;D xsi:type="xsd:string"&gt;06/11/2021&lt;/D&gt;&lt;D xsi:type="xsd:string"&gt;06/10/2021&lt;/D&gt;&lt;D xsi:type="xsd:string"&gt;06/09/2021&lt;/D&gt;&lt;D xsi:type="xsd:string"&gt;06/08/2021&lt;/D&gt;&lt;D xsi:type="xsd:string"&gt;06/07/2021&lt;/D&gt;&lt;D xsi:type="xsd:string"&gt;06/04/2021&lt;/D&gt;&lt;D xsi:type="xsd:string"&gt;06/03/2021&lt;/D&gt;&lt;D xsi:type="xsd:string"&gt;06/02/2021&lt;/D&gt;&lt;D xsi:type="xsd:string"&gt;06/01/2021&lt;/D&gt;&lt;D xsi:type="xsd:string"&gt;05/28/2021&lt;/D&gt;&lt;D xsi:type="xsd:string"&gt;05/27/2021&lt;/D&gt;&lt;/FQL&gt;&lt;FQL&gt;&lt;Q&gt;AAPL-US^FG_PRICE(0,-1AY,D)&lt;/Q&gt;&lt;R&gt;254&lt;/R&gt;&lt;C&gt;1&lt;/C&gt;&lt;D xsi:type="xsd:double"&gt;149.64&lt;/D&gt;&lt;D xsi:type="xsd:double"&gt;143.78&lt;/D&gt;&lt;D xsi:type="xsd:double"&gt;140.52&lt;/D&gt;&lt;D xsi:type="xsd:double"&gt;140.36&lt;/D&gt;&lt;D xsi:type="xsd:double"&gt;143.11&lt;/D&gt;&lt;D xsi:type="xsd:double"&gt;137.59&lt;/D&gt;&lt;D xsi:type="xsd:double"&gt;137.35&lt;/D&gt;&lt;D xsi:type="xsd:double"&gt;140.82&lt;/D&gt;&lt;D xsi:type="xsd:double"&gt;149.24&lt;/D&gt;&lt;D xsi:type="xsd:double"&gt;145.54&lt;/D&gt;&lt;D xsi:type="xsd:double"&gt;147.11&lt;/D&gt;&lt;D xsi:type="xsd:double"&gt;142.56&lt;/D&gt;&lt;D xsi:type="xsd:double"&gt;146.5&lt;/D&gt;&lt;D xsi:type="xsd:double"&gt;154.51&lt;/D&gt;&lt;D xsi:type="xsd:double"&gt;152.06&lt;/D&gt;&lt;D xsi:type="xsd:double"&gt;157.28&lt;/D&gt;&lt;D xsi:type="xsd:double"&gt;156.77&lt;/D&gt;&lt;D xsi:type="xsd:double"&gt;166.02&lt;/D&gt;&lt;D xsi:type="xsd:double"&gt;159.48&lt;/D&gt;&lt;D xsi:type="xsd:double"&gt;157.96&lt;/D&gt;&lt;D xsi:type="xsd:double"&gt;157.65&lt;/D&gt;&lt;D xsi:type="xsd:double"&gt;163.64&lt;/D&gt;&lt;D xsi:type="xsd:double"&gt;156.57&lt;/D&gt;&lt;D xsi:type="xsd:double"&gt;156.8&lt;/D&gt;&lt;D xsi:type="xsd:double"&gt;162.88&lt;/D&gt;&lt;D xsi:type="xsd:double"&gt;161.79&lt;/D&gt;&lt;D xsi:type="xsd:double"&gt;166.42&lt;/D&gt;&lt;D xsi:type="xsd:double"&gt;167.23&lt;/D&gt;&lt;D xsi:type="xsd:double"&gt;167.4&lt;/D&gt;&lt;D xsi:type="xsd:double"&gt;165.07&lt;/D&gt;&lt;D xsi:type="xsd:double"&gt;165.29&lt;/D&gt;&lt;D xsi:type="xsd:double"&gt;170.4&lt;/D&gt;&lt;D xsi:type="xsd:double"&gt;167.66&lt;/D&gt;&lt;D xsi:type="xsd:double"&gt;165.75&lt;/D&gt;&lt;D xsi:type="xsd:double"&gt;170.09&lt;/D&gt;&lt;D xsi:type="xsd:double"&gt;172.14&lt;/D&gt;&lt;D xsi:type="xsd:double"&gt;171.83&lt;/D&gt;&lt;D xsi:type="xsd:double"&gt;175.06&lt;/D&gt;&lt;D xsi:type="xsd:double"&gt;178.44&lt;/D&gt;&lt;D xsi:type="xsd:double"&gt;174.31&lt;/D&gt;&lt;D xsi:type="xsd:double"&gt;174.61&lt;/D&gt;&lt;D xsi:type="xsd:double"&gt;177.77&lt;/D&gt;&lt;D xsi:type="xsd:double"&gt;178.96&lt;/D&gt;&lt;D xsi:type="xsd:double"&gt;175.6&lt;/D&gt;&lt;D xsi:type="xsd:double"&gt;174.72&lt;/D&gt;&lt;D xsi:type="xsd:double"&gt;174.07&lt;/D&gt;&lt;D xsi:type="xsd:double"&gt;170.21&lt;/D&gt;&lt;D xsi:type="xsd:double"&gt;168.82&lt;/D&gt;&lt;D xsi:type="xsd:double"&gt;165.38&lt;/D&gt;&lt;D xsi:type="xsd:double"&gt;163.98&lt;/D&gt;&lt;D xsi:type="xsd:double"&gt;160.62&lt;/D&gt;&lt;D xsi:type="xsd:double"&gt;159.59&lt;/D&gt;&lt;D xsi:type="xsd:double"&gt;155.09&lt;/D&gt;&lt;D xsi:type="xsd:double"&gt;150.62&lt;/D&gt;&lt;D xsi:type="xsd:double"&gt;154.73&lt;/D&gt;&lt;D xsi:type="xsd:double"&gt;158.52&lt;/D&gt;&lt;D xsi:type="xsd:double"&gt;162.95&lt;/D&gt;&lt;D xsi:type="xsd:double"&gt;157.44&lt;/D&gt;&lt;D xsi:type="xsd:double"&gt;159.3&lt;/D&gt;&lt;D xsi:type="xsd:double"&gt;163.17&lt;/D&gt;&lt;D xsi:type="xsd:double"&gt;166.23&lt;/D&gt;&lt;D xsi:type="xsd:double"&gt;166.56&lt;/D&gt;&lt;D xsi:type="xsd:double"&gt;163.2&lt;/D&gt;&lt;D xsi:type="xsd:double"&gt;165.12&lt;/D&gt;&lt;D xsi:type="xsd:double"&gt;164.85&lt;/D&gt;&lt;D xsi:type="xsd:double"&gt;162.74&lt;/D&gt;&lt;D xsi:type="xsd:double"&gt;160.07&lt;/D&gt;&lt;D xsi:type="xsd:double"&gt;164.32&lt;/D&gt;&lt;D xsi:type="xsd:double"&gt;167.3&lt;/D&gt;&lt;D xsi:type="xsd:double"&gt;168.88&lt;/D&gt;&lt;D xsi:type="xsd:double"&gt;172.55&lt;/D&gt;&lt;D xsi:type="xsd:double"&gt;172.79&lt;/D&gt;&lt;D xsi:type="xsd:double"&gt;168.88&lt;/D&gt;&lt;D xsi:type="xsd:double"&gt;168.64&lt;/D&gt;&lt;D xsi:type="xsd:double"&gt;172.12&lt;/D&gt;&lt;D xsi:type="xsd:double"&gt;176.28&lt;/D&gt;&lt;D xsi:type="xsd:double"&gt;174.83&lt;/D&gt;&lt;D xsi:type="xsd:double"&gt;171.66&lt;/D&gt;&lt;D xsi:type="xsd:double"&gt;172.39&lt;/D&gt;&lt;D xsi:type="xsd:double"&gt;172.9&lt;/D&gt;&lt;D xsi:type="xsd:double"&gt;175.84&lt;/D&gt;&lt;D xsi:type="xsd:double"&gt;174.61&lt;/D&gt;&lt;D xsi:type="xsd:double"&gt;174.78&lt;/D&gt;&lt;D xsi:type="xsd:double"&gt;170.33&lt;/D&gt;&lt;D xsi:type="xsd:double"&gt;159.22&lt;/D&gt;&lt;D xsi:type="xsd:double"&gt;159.69&lt;/D&gt;&lt;D xsi:type="xsd:double"&gt;159.78&lt;/D&gt;&lt;D xsi:type="xsd:double"&gt;161.62&lt;/D&gt;&lt;D xsi:type="xsd:double"&gt;162.41&lt;/D&gt;&lt;D xsi:type="xsd:double"&gt;164.51&lt;/D&gt;&lt;D xsi:type="xsd:double"&gt;166.23&lt;/D&gt;&lt;D xsi:type="xsd:double"&gt;169.8&lt;/D&gt;&lt;D xsi:type="xsd:double"&gt;173.07&lt;/D&gt;&lt;D xsi:type="xsd:double"&gt;172.19&lt;/D&gt;&lt;D xsi:type="xsd:double"&gt;175.53&lt;/D&gt;&lt;D xsi:type="xsd:double"&gt;175.08&lt;/D&gt;&lt;D xsi:type="xsd:double"&gt;172.19&lt;/D&gt;&lt;D xsi:type="xsd:double"&gt;172.17&lt;/D&gt;&lt;D xsi:type="xsd:double"&gt;172&lt;/D&gt;&lt;D xsi:type="xsd:double"&gt;174.92&lt;/D&gt;&lt;D xsi:type="xsd:double"&gt;179.7&lt;/D&gt;&lt;D xsi:type="xsd:double"&gt;182.01&lt;/D&gt;&lt;D xsi:type="xsd:double"&gt;177.57&lt;/D&gt;&lt;D xsi:type="xsd:double"&gt;178.2&lt;/D&gt;&lt;D xsi:type="xsd:double"&gt;179.38&lt;/D&gt;&lt;D xsi:type="xsd:double"&gt;179.29&lt;/D&gt;&lt;D xsi:type="xsd:double"&gt;180.33&lt;/D&gt;&lt;D xsi:type="xsd:double"&gt;176.28&lt;/D&gt;&lt;D xsi:type="xsd:double"&gt;175.64&lt;/D&gt;&lt;D xsi:type="xsd:double"&gt;172.99&lt;/D&gt;&lt;D xsi:type="xsd:double"&gt;169.75&lt;/D&gt;&lt;D xsi:type="xsd:double"&gt;171.14&lt;/D&gt;&lt;D xsi:type="xsd:double"&gt;172.26&lt;/D&gt;&lt;D xsi:type="xsd:double"&gt;179.3&lt;/D&gt;&lt;D xsi:type="xsd:double"&gt;174.33&lt;/D&gt;&lt;D xsi:type="xsd:double"&gt;175.74&lt;/D&gt;&lt;D xsi:type="xsd:double"&gt;179.45&lt;/D&gt;&lt;D xsi:type="xsd:double"&gt;174.56&lt;/D&gt;&lt;D xsi:type="xsd:double"&gt;175.08&lt;/D&gt;&lt;D xsi:type="xsd:double"&gt;171.18&lt;/D&gt;&lt;D xsi:type="xsd:double"&gt;165.32&lt;/D&gt;&lt;D xsi:type="xsd:double"&gt;161.84&lt;/D&gt;&lt;D xsi:type="xsd:double"&gt;163.76&lt;/D&gt;&lt;D xsi:type="xsd:double"&gt;164.77&lt;/D&gt;&lt;D xsi:type="xsd:double"&gt;165.3&lt;/D&gt;&lt;D xsi:type="xsd:double"&gt;160.24&lt;/D&gt;&lt;D xsi:type="xsd:double"&gt;156.81&lt;/D&gt;&lt;D xsi:type="xsd:double"&gt;161.94&lt;/D&gt;&lt;D xsi:type="xsd:double"&gt;161.41&lt;/D&gt;&lt;D xsi:type="xsd:double"&gt;161.02&lt;/D&gt;&lt;D xsi:type="xsd:double"&gt;160.55&lt;/D&gt;&lt;D xsi:type="xsd:double"&gt;157.87&lt;/D&gt;&lt;D xsi:type="xsd:double"&gt;153.49&lt;/D&gt;&lt;D xsi:type="xsd:double"&gt;151&lt;/D&gt;&lt;D xsi:type="xsd:double"&gt;150&lt;/D&gt;&lt;D xsi:type="xsd:double"&gt;149.99&lt;/D&gt;&lt;D xsi:type="xsd:double"&gt;147.87&lt;/D&gt;&lt;D xsi:type="xsd:double"&gt;147.92&lt;/D&gt;&lt;D xsi:type="xsd:double"&gt;150.81&lt;/D&gt;&lt;D xsi:type="xsd:double"&gt;150.44&lt;/D&gt;&lt;D xsi:type="xsd:double"&gt;151.28&lt;/D&gt;&lt;D xsi:type="xsd:double"&gt;150.96&lt;/D&gt;&lt;D xsi:type="xsd:double"&gt;151.49&lt;/D&gt;&lt;D xsi:type="xsd:double"&gt;150.02&lt;/D&gt;&lt;D xsi:type="xsd:double"&gt;148.96&lt;/D&gt;&lt;D xsi:type="xsd:double"&gt;149.8&lt;/D&gt;&lt;D xsi:type="xsd:double"&gt;152.57&lt;/D&gt;&lt;D xsi:type="xsd:double"&gt;148.85&lt;/D&gt;&lt;D xsi:type="xsd:double"&gt;149.32&lt;/D&gt;&lt;D xsi:type="xsd:double"&gt;148.64&lt;/D&gt;&lt;D xsi:type="xsd:double"&gt;148.69&lt;/D&gt;&lt;D xsi:type="xsd:double"&gt;149.48&lt;/D&gt;&lt;D xsi:type="xsd:double"&gt;149.26&lt;/D&gt;&lt;D xsi:type="xsd:double"&gt;148.76&lt;/D&gt;&lt;D xsi:type="xsd:double"&gt;146.55&lt;/D&gt;&lt;D xsi:type="xsd:double"&gt;144.84&lt;/D&gt;&lt;D xsi:type="xsd:double"&gt;143.76&lt;/D&gt;&lt;D xsi:type="xsd:double"&gt;140.91&lt;/D&gt;&lt;D xsi:type="xsd:double"&gt;141.51&lt;/D&gt;&lt;D xsi:type="xsd:double"&gt;142.81&lt;/D&gt;&lt;D xsi:type="xsd:double"&gt;142.9&lt;/D&gt;&lt;D xsi:type="xsd:double"&gt;143.29&lt;/D&gt;&lt;D xsi:type="xsd:double"&gt;142&lt;/D&gt;&lt;D xsi:type="xsd:double"&gt;141.11&lt;/D&gt;&lt;D xsi:type="xsd:double"&gt;139.14&lt;/D&gt;&lt;D xsi:type="xsd:double"&gt;142.65&lt;/D&gt;&lt;D xsi:type="xsd:double"&gt;141.5&lt;/D&gt;&lt;D xsi:type="xsd:double"&gt;142.83&lt;/D&gt;&lt;D xsi:type="xsd:double"&gt;141.91&lt;/D&gt;&lt;D xsi:type="xsd:double"&gt;145.37&lt;/D&gt;&lt;D xsi:type="xsd:double"&gt;146.92&lt;/D&gt;&lt;D xsi:type="xsd:double"&gt;146.83&lt;/D&gt;&lt;D xsi:type="xsd:double"&gt;145.85&lt;/D&gt;&lt;D xsi:type="xsd:double"&gt;143.43&lt;/D&gt;&lt;D xsi:type="xsd:double"&gt;142.94&lt;/D&gt;&lt;D xsi:type="xsd:double"&gt;146.06&lt;/D&gt;&lt;D xsi:type="xsd:double"&gt;148.79&lt;/D&gt;&lt;D xsi:type="xsd:double"&gt;149.03&lt;/D&gt;&lt;D xsi:type="xsd:double"&gt;148.12&lt;/D&gt;&lt;D xsi:type="xsd:double"&gt;149.55&lt;/D&gt;&lt;D xsi:type="xsd:double"&gt;148.97&lt;/D&gt;&lt;D xsi:type="xsd:double"&gt;154.07&lt;/D&gt;&lt;D xsi:type="xsd:double"&gt;155.11&lt;/D&gt;&lt;D xsi:type="xsd:double"&gt;156.69&lt;/D&gt;&lt;D xsi:type="xsd:double"&gt;154.3&lt;/D&gt;&lt;D xsi:type="xsd:double"&gt;153.65&lt;/D&gt;&lt;D xsi:type="xsd:double"&gt;152.51&lt;/D&gt;&lt;D xsi:type="xsd:double"&gt;151.83&lt;/D&gt;&lt;D xsi:type="xsd:double"&gt;153.12&lt;/D&gt;&lt;D xsi:type="xsd:double"&gt;148.6&lt;/D&gt;&lt;D xsi:type="xsd:double"&gt;147.54&lt;/D&gt;&lt;D xsi:type="xsd:double"&gt;148.36&lt;/D&gt;&lt;D xsi:type="xsd:double"&gt;149.62&lt;/D&gt;&lt;D xsi:type="xsd:double"&gt;149.71&lt;/D&gt;&lt;D xsi:type="xsd:double"&gt;148.19&lt;/D&gt;&lt;D xsi:type="xsd:double"&gt;146.7&lt;/D&gt;&lt;D xsi:type="xsd:double"&gt;146.36&lt;/D&gt;&lt;D xsi:type="xsd:double"&gt;150.19&lt;/D&gt;&lt;D xsi:type="xsd:double"&gt;151.12&lt;/D&gt;&lt;D xsi:type="xsd:double"&gt;149.1&lt;/D&gt;&lt;D xsi:type="xsd:double"&gt;148.89&lt;/D&gt;&lt;D xsi:type="xsd:double"&gt;145.86&lt;/D&gt;&lt;D xsi:type="xsd:double"&gt;145.6&lt;/D&gt;&lt;D xsi:type="xsd:double"&gt;146.09&lt;/D&gt;&lt;D xsi:type="xsd:double"&gt;146.14&lt;/D&gt;&lt;D xsi:type="xsd:double"&gt;147.06&lt;/D&gt;&lt;D xsi:type="xsd:double"&gt;146.95&lt;/D&gt;&lt;D xsi:type="xsd:double"&gt;147.36&lt;/D&gt;&lt;D xsi:type="xsd:double"&gt;145.52&lt;/D&gt;&lt;D xsi:type="xsd:double"&gt;145.86&lt;/D&gt;&lt;D xsi:type="xsd:double"&gt;145.64&lt;/D&gt;&lt;D xsi:type="xsd:double"&gt;144.98&lt;/D&gt;&lt;D xsi:type="xsd:double"&gt;146.77&lt;/D&gt;&lt;D xsi:type="xsd:double"&gt;148.99&lt;/D&gt;&lt;D xsi:type="xsd:double"&gt;148.56&lt;/D&gt;&lt;D xsi:type="xsd:double"&gt;146.8&lt;/D&gt;&lt;D xsi:type="xsd:double"&gt;145.4&lt;/D&gt;&lt;D xsi:type="xsd:double"&gt;146.15&lt;/D&gt;&lt;D xsi:type="xsd:double"&gt;142.45&lt;/D&gt;&lt;D xsi:type="xsd:double"&gt;146.39&lt;/D&gt;&lt;D xsi:type="xsd:double"&gt;148.48&lt;/D&gt;&lt;D xsi:type="xsd:double"&gt;149.15&lt;/D&gt;&lt;D xsi:type="xsd:double"&gt;145.64&lt;/D&gt;&lt;D xsi:type="xsd:double"&gt;144.5&lt;/D&gt;&lt;D xsi:type="xsd:double"&gt;145.11&lt;/D&gt;&lt;D xsi:type="xsd:double"&gt;143.24&lt;/D&gt;&lt;D xsi:type="xsd:double"&gt;144.57&lt;/D&gt;&lt;D xsi:type="xsd:double"&gt;142.02&lt;/D&gt;&lt;D xsi:type="xsd:double"&gt;139.96&lt;/D&gt;&lt;D xsi:type="xsd:double"&gt;137.27&lt;/D&gt;&lt;D xsi:type="xsd:double"&gt;136.96&lt;/D&gt;&lt;D xsi:type="xsd:double"&gt;136.33&lt;/D&gt;&lt;D xsi:type="xsd:double"&gt;134.78&lt;/D&gt;&lt;D xsi:type="xsd:double"&gt;133.11&lt;/D&gt;&lt;D xsi:type="xsd:double"&gt;133.41&lt;/D&gt;&lt;D xsi:type="xsd:double"&gt;133.7&lt;/D&gt;&lt;D xsi:type="xsd:double"&gt;133.98&lt;/D&gt;&lt;D xsi:type="xsd:double"&gt;132.3&lt;/D&gt;&lt;D xsi:type="xsd:double"&gt;130.46&lt;/D&gt;&lt;D xsi:type="xsd:double"&gt;131.79&lt;/D&gt;&lt;D xsi:type="xsd:double"&gt;130.15&lt;/D&gt;&lt;D xsi:type="xsd:double"&gt;129.64&lt;/D&gt;&lt;D xsi:type="xsd:double"&gt;130.48&lt;/D&gt;&lt;D xsi:type="xsd:double"&gt;127.35&lt;/D&gt;&lt;D xsi:type="xsd:double"&gt;126.11&lt;/D&gt;&lt;D xsi:type="xsd:double"&gt;127.13&lt;/D&gt;&lt;D xsi:type="xsd:double"&gt;126.74&lt;/D&gt;&lt;D xsi:type="xsd:double"&gt;125.9&lt;/D&gt;&lt;D xsi:type="xsd:double"&gt;125.89&lt;/D&gt;&lt;D xsi:type="xsd:double"&gt;123.54&lt;/D&gt;&lt;D xsi:type="xsd:double"&gt;125.06&lt;/D&gt;&lt;D xsi:type="xsd:double"&gt;124.28&lt;/D&gt;&lt;D xsi:type="xsd:double"&gt;124.61&lt;/D&gt;&lt;D xsi:type="xsd:double"&gt;125.28&lt;/D&gt;&lt;/FQL&gt;&lt;FQL&gt;&lt;Q&gt;AAPL-US^FF_EBITDA_OPER(ANN_R,0,-1AY,D)&lt;/Q&gt;&lt;R&gt;254&lt;/R&gt;&lt;C&gt;1&lt;/C&gt;&lt;D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xsi:type="xsd:double"&gt;120233&lt;/D&gt;&lt;D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xsi:type="xsd:double"&gt;76395&lt;/D&gt;&lt;D xsi:type="xsd:double"&gt;76395&lt;/D&gt;&lt;/FQL&gt;&lt;FQL&gt;&lt;Q&gt;AAPL-US^FF_PE(ANN_R,0,-1AY,D)&lt;/Q&gt;&lt;R&gt;254&lt;/R&gt;&lt;C&gt;1&lt;/C&gt;&lt;D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</t>
        </r>
      </text>
    </comment>
    <comment ref="A2" authorId="0" shapeId="0" xr:uid="{92F4E978-8D67-4735-9266-0C74F1E3EA85}">
      <text>
        <r>
          <rPr>
            <b/>
            <sz val="9"/>
            <color indexed="81"/>
            <rFont val="Tahoma"/>
            <family val="2"/>
          </rPr>
          <t>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xsi:type="xsd:double"&gt;26.1702885643035&lt;/D&gt;&lt;D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xsi:type="xsd:double"&gt;34.2797826219698&lt;/D&gt;&lt;D xsi:type="xsd:double"&gt;34.2797826219698&lt;/D&gt;&lt;/FQL&gt;&lt;FQL&gt;&lt;Q&gt;AAPL-US^FF_ENTRPR_VAL_EBITDA_OPER(ANN_R,0,-1AY,D)&lt;/Q&gt;&lt;R&gt;254&lt;/R&gt;&lt;C&gt;1&lt;/C&gt;&lt;D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xsi:type="xsd:double"&gt;21.1316518716159&lt;/D&gt;&lt;D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xsi:type="xsd:double"&gt;26.0512581702991&lt;/D&gt;&lt;D xsi:type="xsd:double"&gt;26.0512581702991&lt;/D&gt;&lt;/FQL&gt;&lt;FQL&gt;&lt;Q&gt;AAPL-US^FG_VOLUME(0,-1AY,D)&lt;/Q&gt;&lt;R&gt;254&lt;/R&gt;&lt;C&gt;1&lt;/C&gt;&lt;D xsi:type="xsd:double"&gt;90.97849&lt;/D&gt;&lt;D xsi:type="xsd:double"&gt;90.601555&lt;/D&gt;&lt;D xsi:type="xsd:double"&gt;92.482704&lt;/D&gt;&lt;D xsi:type="xsd:double"&gt;104.132706&lt;/D&gt;&lt;D xsi:type="xsd:double"&gt;117.7263&lt;/D&gt;&lt;D xsi:type="xsd:double"&gt;137.4261&lt;/D&gt;&lt;D xsi:type="xsd:double"&gt;136.0956&lt;/D&gt;&lt;D xsi:type="xsd:double"&gt;109.7429&lt;/D&gt;&lt;D xsi:type="xsd:double"&gt;78.33625&lt;/D&gt;&lt;D xsi:type="xsd:double"&gt;86.643776&lt;/D&gt;&lt;D xsi:type="xsd:double"&gt;113.9909&lt;/D&gt;&lt;D xsi:type="xsd:double"&gt;182.602&lt;/D&gt;&lt;D xsi:type="xsd:double"&gt;142.68979&lt;/D&gt;&lt;D xsi:type="xsd:double"&gt;115.36671&lt;/D&gt;&lt;D xsi:type="xsd:double"&gt;131.57791&lt;/D&gt;&lt;D xsi:type="xsd:double"&gt;116.1246&lt;/D&gt;&lt;D xsi:type="xsd:double"&gt;130.5253&lt;/D&gt;&lt;D xsi:type="xsd:double"&gt;108.25649&lt;/D&gt;&lt;D xsi:type="xsd:double"&gt;88.96653&lt;/D&gt;&lt;D xsi:type="xsd:double"&gt;123.0553&lt;/D&gt;&lt;D xsi:type="xsd:double"&gt;131.7476&lt;/D&gt;&lt;D xsi:type="xsd:double"&gt;130.2168&lt;/D&gt;&lt;D xsi:type="xsd:double"&gt;88.063194&lt;/D&gt;&lt;D xsi:type="xsd:double"&gt;95.62324&lt;/D&gt;&lt;D xsi:type="xsd:double"&gt;96.04639&lt;/D&gt;&lt;D xsi:type="xsd:double"&gt;84.882416&lt;/D&gt;&lt;D xsi:type="xsd:double"&gt;87.22777&lt;/D&gt;&lt;D xsi:type="xsd:double"&gt;67.92981&lt;/D&gt;&lt;D xsi:type="xsd:double"&gt;67.72383&lt;/D&gt;&lt;D xsi:type="xsd:double"&gt;69.02393&lt;/D&gt;&lt;D xsi:type="xsd:double"&gt;75.32938&lt;/D&gt;&lt;D xsi:type="xsd:double"&gt;70.61893&lt;/D&gt;&lt;D xsi:type="xsd:double"&gt;79.26518&lt;/D&gt;&lt;D xsi:type="xsd:double"&gt;72.24671&lt;/D&gt;&lt;D xsi:type="xsd:double"&gt;76.575516&lt;/D&gt;&lt;D xsi:type="xsd:double"&gt;77.59465&lt;/D&gt;&lt;D xsi:type="xsd:double"&gt;89.058784&lt;/D&gt;&lt;D xsi:type="xsd:double"&gt;73.401794&lt;/D&gt;&lt;D xsi:type="xsd:double"&gt;76.54598&lt;/D&gt;&lt;D xsi:type="xsd:double"&gt;78.75133&lt;/D&gt;&lt;D xsi:type="xsd:double"&gt;103.04929&lt;/D&gt;&lt;D xsi:type="xsd:double"&gt;92.63315&lt;/D&gt;&lt;D xsi:type="xsd:double"&gt;100.5894&lt;/D&gt;&lt;D xsi:type="xsd:double"&gt;90.37192&lt;/D&gt;&lt;D xsi:type="xsd:double"&gt;80.54616&lt;/D&gt;&lt;D xsi:type="xsd:double"&gt;90.131424&lt;/D&gt;&lt;D xsi:type="xsd:double"&gt;98.062675&lt;/D&gt;&lt;D xsi:type="xsd:double"&gt;81.532005&lt;/D&gt;&lt;D xsi:type="xsd:double"&gt;95.811356&lt;/D&gt;&lt;D xsi:type="xsd:double"&gt;123.511696&lt;/D&gt;&lt;D xsi:type="xsd:double"&gt;75.61538&lt;/D&gt;&lt;D xsi:type="xsd:double"&gt;102.3002&lt;/D&gt;&lt;D xsi:type="xsd:double"&gt;92.9643&lt;/D&gt;&lt;D xsi:type="xsd:double"&gt;108.73209&lt;/D&gt;&lt;D xsi:type="xsd:double"&gt;96.97009&lt;/D&gt;&lt;D xsi:type="xsd:double"&gt;105.342&lt;/D&gt;&lt;D xsi:type="xsd:double"&gt;91.45491&lt;/D&gt;&lt;D xsi:type="xsd:double"&gt;131.1483&lt;/D&gt;&lt;D xsi:type="xsd:double"&gt;96.418846&lt;/D&gt;&lt;D xsi:type="xsd:double"&gt;83.819595&lt;/D&gt;&lt;D xsi:type="xsd:double"&gt;76.67844&lt;/D&gt;&lt;D xsi:type="xsd:double"&gt;79.724754&lt;/D&gt;&lt;D xsi:type="xsd:double"&gt;83.474434&lt;/D&gt;&lt;D xsi:type="xsd:double"&gt;95.05663&lt;/D&gt;&lt;D xsi:type="xsd:double"&gt;91.97422&lt;/D&gt;&lt;D xsi:type="xsd:double"&gt;141.1475&lt;/D&gt;&lt;D xsi:type="xsd:double"&gt;90.00925&lt;/D&gt;&lt;D xsi:type="xsd:double"&gt;91.16276&lt;/D&gt;&lt;D xsi:type="xsd:double"&gt;82.772675&lt;/D&gt;&lt;D xsi:type="xsd:double"&gt;69.58934&lt;/D&gt;&lt;D xsi:type="xsd:double"&gt;61.1774&lt;/D&gt;&lt;D xsi:type="xsd:double"&gt;64.28632&lt;/D&gt;&lt;D xsi:type="xsd:double"&gt;86.18553&lt;/D&gt;&lt;D xsi:type="xsd:double"&gt;98.670685&lt;/D&gt;&lt;D xsi:type="xsd:double"&gt;90.865906&lt;/D&gt;&lt;D xsi:type="xsd:double"&gt;71.28504&lt;/D&gt;&lt;D xsi:type="xsd:double"&gt;74.829216&lt;/D&gt;&lt;D xsi:type="xsd:double"&gt;77.2512&lt;/D&gt;&lt;D xsi:type="xsd:double"&gt;82.4654&lt;/D&gt;&lt;D xsi:type="xsd:double"&gt;89.418076&lt;/D&gt;&lt;D xsi:type="xsd:double"&gt;84.91425&lt;/D&gt;&lt;D xsi:type="xsd:double"&gt;86.21391&lt;/D&gt;&lt;D xsi:type="xsd:double"&gt;115.5416&lt;/D&gt;&lt;D xsi:type="xsd:double"&gt;179.9357&lt;/D&gt;&lt;D xsi:type="xsd:double"&gt;121.9546&lt;/D&gt;&lt;D xsi:type="xsd:double"&gt;108.2753&lt;/D&gt;&lt;D xsi:type="xsd:double"&gt;115.7984&lt;/D&gt;&lt;D xsi:type="xsd:double"&gt;162.70671&lt;/D&gt;&lt;D xsi:type="xsd:double"&gt;122.84889&lt;/D&gt;&lt;D xsi:type="xsd:double"&gt;91.42052&lt;/D&gt;&lt;D xsi:type="xsd:double"&gt;94.814995&lt;/D&gt;&lt;D xsi:type="xsd:double"&gt;91.16873&lt;/D&gt;&lt;D xsi:type="xsd:double"&gt;80.44078&lt;/D&gt;&lt;D xsi:type="xsd:double"&gt;84.50576&lt;/D&gt;&lt;D xsi:type="xsd:double"&gt;74.80517&lt;/D&gt;&lt;D xsi:type="xsd:double"&gt;76.13831&lt;/D&gt;&lt;D xsi:type="xsd:double"&gt;106.7656&lt;/D&gt;&lt;D xsi:type="xsd:double"&gt;86.70915&lt;/D&gt;&lt;D xsi:type="xsd:double"&gt;96.90396&lt;/D&gt;&lt;D xsi:type="xsd:double"&gt;94.5376&lt;/D&gt;&lt;D xsi:type="xsd:double"&gt;99.31044&lt;/D&gt;&lt;D xsi:type="xsd:double"&gt;104.7012&lt;/D&gt;&lt;D xsi:type="xsd:double"&gt;64.06226&lt;/D&gt;&lt;D xsi:type="xsd:double"&gt;59.773006&lt;/D&gt;&lt;D xsi:type="xsd:double"&gt;62.348927&lt;/D&gt;&lt;D xsi:type="xsd:double"&gt;79.14433&lt;/D&gt;&lt;D xsi:type="xsd:double"&gt;74.919586&lt;/D&gt;&lt;D xsi:type="xsd:double"&gt;68.35657&lt;/D&gt;&lt;D xsi:type="xsd:double"&gt;92.1353&lt;/D&gt;&lt;D xsi:type="xsd:double"&gt;91.18591&lt;/D&gt;&lt;D xsi:type="xsd:double"&gt;107.49911&lt;/D&gt;&lt;D xsi:type="xsd:double"&gt;195.92339&lt;/D&gt;&lt;D xsi:type="xsd:double"&gt;150.18579&lt;/D&gt;&lt;D xsi:type="xsd:double"&gt;131.0633&lt;/D&gt;&lt;D xsi:type="xsd:double"&gt;139.3804&lt;/D&gt;&lt;D xsi:type="xsd:double"&gt;153.237&lt;/D&gt;&lt;D xsi:type="xsd:double"&gt;115.4027&lt;/D&gt;&lt;D xsi:type="xsd:double"&gt;108.9237&lt;/D&gt;&lt;D xsi:type="xsd:double"&gt;116.99889&lt;/D&gt;&lt;D xsi:type="xsd:double"&gt;120.4054&lt;/D&gt;&lt;D xsi:type="xsd:double"&gt;107.497&lt;/D&gt;&lt;D xsi:type="xsd:double"&gt;118.0231&lt;/D&gt;&lt;D xsi:type="xsd:double"&gt;136.7392&lt;/D&gt;&lt;D xsi:type="xsd:double"&gt;152.423&lt;/D&gt;&lt;D xsi:type="xsd:double"&gt;174.0481&lt;/D&gt;&lt;D xsi:type="xsd:double"&gt;88.74822&lt;/D&gt;&lt;D xsi:type="xsd:double"&gt;76.959755&lt;/D&gt;&lt;D xsi:type="xsd:double"&gt;69.463615&lt;/D&gt;&lt;D xsi:type="xsd:double"&gt;96.0419&lt;/D&gt;&lt;D xsi:type="xsd:double"&gt;117.4679&lt;/D&gt;&lt;D xsi:type="xsd:double"&gt;117.3056&lt;/D&gt;&lt;D xsi:type="xsd:double"&gt;137.8277&lt;/D&gt;&lt;D xsi:type="xsd:double"&gt;88.807&lt;/D&gt;&lt;D xsi:type="xsd:double"&gt;59.256207&lt;/D&gt;&lt;D xsi:type="xsd:double"&gt;59.2228&lt;/D&gt;&lt;D xsi:type="xsd:double"&gt;63.80401&lt;/D&gt;&lt;D xsi:type="xsd:double"&gt;40.99995&lt;/D&gt;&lt;D xsi:type="xsd:double"&gt;65.18709&lt;/D&gt;&lt;D xsi:type="xsd:double"&gt;56.78793&lt;/D&gt;&lt;D xsi:type="xsd:double"&gt;55.02087&lt;/D&gt;&lt;D xsi:type="xsd:double"&gt;65.46388&lt;/D&gt;&lt;D xsi:type="xsd:double"&gt;60.39462&lt;/D&gt;&lt;D xsi:type="xsd:double"&gt;54.511528&lt;/D&gt;&lt;D xsi:type="xsd:double"&gt;69.121994&lt;/D&gt;&lt;D xsi:type="xsd:double"&gt;74.58826&lt;/D&gt;&lt;D xsi:type="xsd:double"&gt;124.9532&lt;/D&gt;&lt;D xsi:type="xsd:double"&gt;100.0779&lt;/D&gt;&lt;D xsi:type="xsd:double"&gt;56.09493&lt;/D&gt;&lt;D xsi:type="xsd:double"&gt;60.8934&lt;/D&gt;&lt;D xsi:type="xsd:double"&gt;50.72056&lt;/D&gt;&lt;D xsi:type="xsd:double"&gt;58.88344&lt;/D&gt;&lt;D xsi:type="xsd:double"&gt;61.420994&lt;/D&gt;&lt;D xsi:type="xsd:double"&gt;58.418793&lt;/D&gt;&lt;D xsi:type="xsd:double"&gt;76.37889&lt;/D&gt;&lt;D xsi:type="xsd:double"&gt;85.58919&lt;/D&gt;&lt;D xsi:type="xsd:double"&gt;67.94033&lt;/D&gt;&lt;D xsi:type="xsd:double"&gt;69.907104&lt;/D&gt;&lt;D xsi:type="xsd:double"&gt;78.76272&lt;/D&gt;&lt;D xsi:type="xsd:double"&gt;73.03586&lt;/D&gt;&lt;D xsi:type="xsd:double"&gt;64.45222&lt;/D&gt;&lt;D xsi:type="xsd:double"&gt;58.77316&lt;/D&gt;&lt;D xsi:type="xsd:double"&gt;61.73266&lt;/D&gt;&lt;D xsi:type="xsd:double"&gt;83.22112&lt;/D&gt;&lt;D xsi:type="xsd:double"&gt;80.86105&lt;/D&gt;&lt;D xsi:type="xsd:double"&gt;98.32201&lt;/D&gt;&lt;D xsi:type="xsd:double"&gt;94.63959&lt;/D&gt;&lt;D xsi:type="xsd:double"&gt;89.056656&lt;/D&gt;&lt;D xsi:type="xsd:double"&gt;74.60204&lt;/D&gt;&lt;D xsi:type="xsd:double"&gt;108.972305&lt;/D&gt;&lt;D xsi:type="xsd:double"&gt;74.15073&lt;/D&gt;&lt;D xsi:type="xsd:double"&gt;53.47787&lt;/D&gt;&lt;D xsi:type="xsd:double"&gt;64.838165&lt;/D&gt;&lt;D xsi:type="xsd:double"&gt;76.404335&lt;/D&gt;&lt;D xsi:type="xsd:double"&gt;75.83396&lt;/D&gt;&lt;D xsi:type="xsd:double"&gt;123.4789&lt;/D&gt;&lt;D xsi:type="xsd:double"&gt;129.8688&lt;/D&gt;&lt;D xsi:type="xsd:double"&gt;68.03415&lt;/D&gt;&lt;D xsi:type="xsd:double"&gt;83.28132&lt;/D&gt;&lt;D xsi:type="xsd:double"&gt;109.2963&lt;/D&gt;&lt;D xsi:type="xsd:double"&gt;102.404305&lt;/D&gt;&lt;D xsi:type="xsd:double"&gt;140.8932&lt;/D&gt;&lt;D xsi:type="xsd:double"&gt;57.30573&lt;/D&gt;&lt;D xsi:type="xsd:double"&gt;74.42021&lt;/D&gt;&lt;D xsi:type="xsd:double"&gt;82.27826&lt;/D&gt;&lt;D xsi:type="xsd:double"&gt;57.866074&lt;/D&gt;&lt;D xsi:type="xsd:double"&gt;71.17132&lt;/D&gt;&lt;D xsi:type="xsd:double"&gt;80.31371&lt;/D&gt;&lt;D xsi:type="xsd:double"&gt;86.45312&lt;/D&gt;&lt;D xsi:type="xsd:double"&gt;90.95672&lt;/D&gt;&lt;D xsi:type="xsd:double"&gt;55.80239&lt;/D&gt;&lt;D xsi:type="xsd:double"&gt;48.5972&lt;/D&gt;&lt;D xsi:type="xsd:double"&gt;58.9913&lt;/D&gt;&lt;D xsi:type="xsd:double"&gt;48.606434&lt;/D&gt;&lt;D xsi:type="xsd:double"&gt;60.13181&lt;/D&gt;&lt;D xsi:type="xsd:double"&gt;60.549633&lt;/D&gt;&lt;D xsi:type="xsd:double"&gt;86.96031&lt;/D&gt;&lt;D xsi:type="xsd:double"&gt;86.32599&lt;/D&gt;&lt;D xsi:type="xsd:double"&gt;92.229744&lt;/D&gt;&lt;D xsi:type="xsd:double"&gt;103.5588&lt;/D&gt;&lt;D xsi:type="xsd:double"&gt;59.375008&lt;/D&gt;&lt;D xsi:type="xsd:double"&gt;73.77911&lt;/D&gt;&lt;D xsi:type="xsd:double"&gt;48.49346&lt;/D&gt;&lt;D xsi:type="xsd:double"&gt;69.02308&lt;/D&gt;&lt;D xsi:type="xsd:double"&gt;48.908688&lt;/D&gt;&lt;D xsi:type="xsd:double"&gt;54.12681&lt;/D&gt;&lt;D xsi:type="xsd:double"&gt;46.39767&lt;/D&gt;&lt;D xsi:type="xsd:double"&gt;56.36827&lt;/D&gt;&lt;D xsi:type="xsd:double"&gt;64.78662&lt;/D&gt;&lt;D xsi:type="xsd:double"&gt;62.87996&lt;/D&gt;&lt;D xsi:type="xsd:double"&gt;70.440636&lt;/D&gt;&lt;D xsi:type="xsd:double"&gt;56.69948&lt;/D&gt;&lt;D xsi:type="xsd:double"&gt;118.9312&lt;/D&gt;&lt;D xsi:type="xsd:double"&gt;104.8186&lt;/D&gt;&lt;D xsi:type="xsd:double"&gt;72.43409&lt;/D&gt;&lt;D xsi:type="xsd:double"&gt;71.447426&lt;/D&gt;&lt;D xsi:type="xsd:double"&gt;77.33816&lt;/D&gt;&lt;D xsi:type="xsd:double"&gt;74.993454&lt;/D&gt;&lt;D xsi:type="xsd:double"&gt;96.35004&lt;/D&gt;&lt;D xsi:type="xsd:double"&gt;121.4346&lt;/D&gt;&lt;D xsi:type="xsd:double"&gt;93.251434&lt;/D&gt;&lt;D xsi:type="xsd:double"&gt;106.820305&lt;/D&gt;&lt;D xsi:type="xsd:double"&gt;127.0508&lt;/D&gt;&lt;D xsi:type="xsd:double"&gt;100.8271&lt;/D&gt;&lt;D xsi:type="xsd:double"&gt;76.29972&lt;/D&gt;&lt;D xsi:type="xsd:double"&gt;99.8908&lt;/D&gt;&lt;D xsi:type="xsd:double"&gt;105.5755&lt;/D&gt;&lt;D xsi:type="xsd:double"&gt;104.9116&lt;/D&gt;&lt;D xsi:type="xsd:double"&gt;108.1818&lt;/D&gt;&lt;D xsi:type="xsd:double"&gt;78.945564&lt;/D&gt;&lt;D xsi:type="xsd:double"&gt;52.48578&lt;/D&gt;&lt;D xsi:type="xsd:double"&gt;63.26139&lt;/D&gt;&lt;D xsi:type="xsd:double"&gt;64.55608&lt;/D&gt;&lt;D xsi:type="xsd:double"&gt;62.1113&lt;/D&gt;&lt;D xsi:type="xsd:double"&gt;70.78375&lt;/D&gt;&lt;D xsi:type="xsd:double"&gt;68.711&lt;/D&gt;&lt;D xsi:type="xsd:double"&gt;60.2142&lt;/D&gt;&lt;D xsi:type="xsd:double"&gt;74.783615&lt;/D&gt;&lt;D xsi:type="xsd:double"&gt;79.66332&lt;/D&gt;&lt;D xsi:type="xsd:double"&gt;108.95329&lt;/D&gt;&lt;D xsi:type="xsd:double"&gt;96.72167&lt;/D&gt;&lt;D xsi:type="xsd:double"&gt;91.81503&lt;/D&gt;&lt;D xsi:type="xsd:double"&gt;62.746326&lt;/D&gt;&lt;D xsi:type="xsd:double"&gt;96.90649&lt;/D&gt;&lt;D xsi:type="xsd:double"&gt;53.52237&lt;/D&gt;&lt;D xsi:type="xsd:double"&gt;71.18642&lt;/D&gt;&lt;D xsi:type="xsd:double"&gt;56.87794&lt;/D&gt;&lt;D xsi:type="xsd:double"&gt;74.40377&lt;/D&gt;&lt;D xsi:type="xsd:double"&gt;71.05755&lt;/D&gt;&lt;D xsi:type="xsd:double"&gt;75.16934&lt;/D&gt;&lt;D xsi:type="xsd:double"&gt;76.22917&lt;/D&gt;&lt;D xsi:type="xsd:double"&gt;59.27886&lt;/D&gt;&lt;D xsi:type="xsd:double"&gt;67.63712&lt;/D&gt;&lt;D xsi:type="xsd:double"&gt;71.31111&lt;/D&gt;&lt;D xsi:type="xsd:double"&gt;94.6256&lt;/D&gt;&lt;/FQL&gt;&lt;FQL&gt;&lt;Q&gt;AAPL-US^P_PRICE_RETURNS(0,0,-1AY,D)&lt;/Q&gt;&lt;R&gt;254&lt;/R&gt;&lt;C&gt;1&lt;/C&gt;&lt;D xsi:type="xsd:double"&gt;4.0756702&lt;/D&gt;&lt;D xsi:type="xsd:double"&gt;2.3199558&lt;/D&gt;&lt;D xsi:type="xsd:double"&gt;0.11399984&lt;/D&gt;&lt;D xsi:type="xsd:double"&gt;-1.9216001&lt;/D&gt;&lt;D xsi:type="xsd:double"&gt;4.011917&lt;/D&gt;&lt;D xsi:type="xsd:double"&gt;0.17472506&lt;/D&gt;&lt;D xsi:type="xsd:double"&gt;-2.4641395&lt;/D&gt;&lt;D xsi:type="xsd:double"&gt;-5.641919&lt;/D&gt;&lt;D xsi:type="xsd:double"&gt;2.5422692&lt;/D&gt;&lt;D xsi:type="xsd:double"&gt;-1.0672331&lt;/D&gt;&lt;D xsi:type="xsd:double"&gt;3.191638&lt;/D&gt;&lt;D xsi:type="xsd:double"&gt;-2.6894212&lt;/D&gt;&lt;D xsi:type="xsd:double"&gt;-5.184126&lt;/D&gt;&lt;D xsi:type="xsd:double"&gt;1.6112089&lt;/D&gt;&lt;D xsi:type="xsd:double"&gt;-3.3189237&lt;/D&gt;&lt;D xsi:type="xsd:double"&gt;0.32531023&lt;/D&gt;&lt;D xsi:type="xsd:double"&gt;-5.5716157&lt;/D&gt;&lt;D xsi:type="xsd:double"&gt;4.1008353&lt;/D&gt;&lt;D xsi:type="xsd:double"&gt;0.9622574&lt;/D&gt;&lt;D xsi:type="xsd:double"&gt;0.19664764&lt;/D&gt;&lt;D xsi:type="xsd:double"&gt;-3.6604762&lt;/D&gt;&lt;D xsi:type="xsd:double"&gt;4.5155525&lt;/D&gt;&lt;D xsi:type="xsd:double"&gt;-0.14668107&lt;/D&gt;&lt;D xsi:type="xsd:double"&gt;-3.7328124&lt;/D&gt;&lt;D xsi:type="xsd:double"&gt;0.6737232&lt;/D&gt;&lt;D xsi:type="xsd:double"&gt;-2.7821183&lt;/D&gt;&lt;D xsi:type="xsd:double"&gt;-0.48435926&lt;/D&gt;&lt;D xsi:type="xsd:double"&gt;-0.101554394&lt;/D&gt;&lt;D xsi:type="xsd:double"&gt;1.4115095&lt;/D&gt;&lt;D xsi:type="xsd:double"&gt;-0.13309121&lt;/D&gt;&lt;D xsi:type="xsd:double"&gt;-2.998829&lt;/D&gt;&lt;D xsi:type="xsd:double"&gt;1.6342521&lt;/D&gt;&lt;D xsi:type="xsd:double"&gt;1.1523366&lt;/D&gt;&lt;D xsi:type="xsd:double"&gt;-2.5515854&lt;/D&gt;&lt;D xsi:type="xsd:double"&gt;-1.1908948&lt;/D&gt;&lt;D xsi:type="xsd:double"&gt;0.18041134&lt;/D&gt;&lt;D xsi:type="xsd:double"&gt;-1.8450797&lt;/D&gt;&lt;D xsi:type="xsd:double"&gt;-1.8941939&lt;/D&gt;&lt;D xsi:type="xsd:double"&gt;2.3693442&lt;/D&gt;&lt;D xsi:type="xsd:double"&gt;-0.17181039&lt;/D&gt;&lt;D xsi:type="xsd:double"&gt;-1.7775774&lt;/D&gt;&lt;D xsi:type="xsd:double"&gt;-0.6649554&lt;/D&gt;&lt;D xsi:type="xsd:double"&gt;1.9134402&lt;/D&gt;&lt;D xsi:type="xsd:double"&gt;0.50367117&lt;/D&gt;&lt;D xsi:type="xsd:double"&gt;0.37341118&lt;/D&gt;&lt;D xsi:type="xsd:double"&gt;2.2677898&lt;/D&gt;&lt;D xsi:type="xsd:double"&gt;0.82336664&lt;/D&gt;&lt;D xsi:type="xsd:double"&gt;2.080059&lt;/D&gt;&lt;D xsi:type="xsd:double"&gt;0.853765&lt;/D&gt;&lt;D xsi:type="xsd:double"&gt;2.0918965&lt;/D&gt;&lt;D xsi:type="xsd:double"&gt;0.6453991&lt;/D&gt;&lt;D xsi:type="xsd:double"&gt;2.9015422&lt;/D&gt;&lt;D xsi:type="xsd:double"&gt;2.967739&lt;/D&gt;&lt;D xsi:type="xsd:double"&gt;-2.6562393&lt;/D&gt;&lt;D xsi:type="xsd:double"&gt;-2.3908734&lt;/D&gt;&lt;D xsi:type="xsd:double"&gt;-2.7186215&lt;/D&gt;&lt;D xsi:type="xsd:double"&gt;3.4997463&lt;/D&gt;&lt;D xsi:type="xsd:double"&gt;-1.1676073&lt;/D&gt;&lt;D xsi:type="xsd:double"&gt;-2.3717582&lt;/D&gt;&lt;D xsi:type="xsd:double"&gt;-1.8408239&lt;/D&gt;&lt;D xsi:type="xsd:double"&gt;-0.19812584&lt;/D&gt;&lt;D xsi:type="xsd:double"&gt;2.0588279&lt;/D&gt;&lt;D xsi:type="xsd:double"&gt;-1.1627913&lt;/D&gt;&lt;D xsi:type="xsd:double"&gt;0.16378164&lt;/D&gt;&lt;D xsi:type="xsd:double"&gt;1.2965441&lt;/D&gt;&lt;D xsi:type="xsd:double"&gt;1.6680241&lt;/D&gt;&lt;D xsi:type="xsd:double"&gt;-2.5864184&lt;/D&gt;&lt;D xsi:type="xsd:double"&gt;-1.7812312&lt;/D&gt;&lt;D xsi:type="xsd:double"&gt;-0.93557835&lt;/D&gt;&lt;D xsi:type="xsd:double"&gt;-2.1269202&lt;/D&gt;&lt;D xsi:type="xsd:double"&gt;-0.13889074&lt;/D&gt;&lt;D xsi:type="xsd:double"&gt;2.315247&lt;/D&gt;&lt;D xsi:type="xsd:double"&gt;0.14232397&lt;/D&gt;&lt;D xsi:type="xsd:double"&gt;-2.0218432&lt;/D&gt;&lt;D xsi:type="xsd:double"&gt;-2.359885&lt;/D&gt;&lt;D xsi:type="xsd:double"&gt;0.8293748&lt;/D&gt;&lt;D xsi:type="xsd:double"&gt;1.8466711&lt;/D&gt;&lt;D xsi:type="xsd:double"&gt;-0.42345524&lt;/D&gt;&lt;D xsi:type="xsd:double"&gt;-0.2949655&lt;/D&gt;&lt;D xsi:type="xsd:double"&gt;-1.6719759&lt;/D&gt;&lt;D xsi:type="xsd:double"&gt;0.7044196&lt;/D&gt;&lt;D xsi:type="xsd:double"&gt;-0.09726286&lt;/D&gt;&lt;D xsi:type="xsd:double"&gt;2.6125789&lt;/D&gt;&lt;D xsi:type="xsd:double"&gt;6.9777727&lt;/D&gt;&lt;D xsi:type="xsd:double"&gt;-0.29432178&lt;/D&gt;&lt;D xsi:type="xsd:double"&gt;-0.05632639&lt;/D&gt;&lt;D xsi:type="xsd:double"&gt;-1.1384726&lt;/D&gt;&lt;D xsi:type="xsd:double"&gt;-0.48642755&lt;/D&gt;&lt;D xsi:type="xsd:double"&gt;-1.276511&lt;/D&gt;&lt;D xsi:type="xsd:double</t>
        </r>
      </text>
    </comment>
    <comment ref="A3" authorId="0" shapeId="0" xr:uid="{B680BF7C-444E-4031-9D20-0C4FF68A557B}">
      <text>
        <r>
          <rPr>
            <b/>
            <sz val="9"/>
            <color indexed="81"/>
            <rFont val="Tahoma"/>
            <family val="2"/>
          </rPr>
          <t>"&gt;-1.0347128&lt;/D&gt;&lt;D xsi:type="xsd:double"&gt;-2.1024764&lt;/D&gt;&lt;D xsi:type="xsd:double"&gt;-1.8894136&lt;/D&gt;&lt;D xsi:type="xsd:double"&gt;0.51106215&lt;/D&gt;&lt;D xsi:type="xsd:double"&gt;-1.9028068&lt;/D&gt;&lt;D xsi:type="xsd:double"&gt;0.25702715&lt;/D&gt;&lt;D xsi:type="xsd:double"&gt;1.6783834&lt;/D&gt;&lt;D xsi:type="xsd:double"&gt;0.011622906&lt;/D&gt;&lt;D xsi:type="xsd:double"&gt;0.09883642&lt;/D&gt;&lt;D xsi:type="xsd:double"&gt;-1.6693354&lt;/D&gt;&lt;D xsi:type="xsd:double"&gt;-2.6599884&lt;/D&gt;&lt;D xsi:type="xsd:double"&gt;-1.2691617&lt;/D&gt;&lt;D xsi:type="xsd:double"&gt;2.5004148&lt;/D&gt;&lt;D xsi:type="xsd:double"&gt;-0.35352707&lt;/D&gt;&lt;D xsi:type="xsd:double"&gt;-0.65782666&lt;/D&gt;&lt;D xsi:type="xsd:double"&gt;0.05019903&lt;/D&gt;&lt;D xsi:type="xsd:double"&gt;-0.5767226&lt;/D&gt;&lt;D xsi:type="xsd:double"&gt;2.2974849&lt;/D&gt;&lt;D xsi:type="xsd:double"&gt;0.36438704&lt;/D&gt;&lt;D xsi:type="xsd:double"&gt;1.5318751&lt;/D&gt;&lt;D xsi:type="xsd:double"&gt;1.9086957&lt;/D&gt;&lt;D xsi:type="xsd:double"&gt;-0.8122027&lt;/D&gt;&lt;D xsi:type="xsd:double"&gt;-0.6501794&lt;/D&gt;&lt;D xsi:type="xsd:double"&gt;-3.9263844&lt;/D&gt;&lt;D xsi:type="xsd:double"&gt;2.850914&lt;/D&gt;&lt;D xsi:type="xsd:double"&gt;-0.8023262&lt;/D&gt;&lt;D xsi:type="xsd:double"&gt;-2.0674229&lt;/D&gt;&lt;D xsi:type="xsd:double"&gt;2.801323&lt;/D&gt;&lt;D xsi:type="xsd:double"&gt;-0.29700994&lt;/D&gt;&lt;D xsi:type="xsd:double"&gt;2.278304&lt;/D&gt;&lt;D xsi:type="xsd:double"&gt;3.5446286&lt;/D&gt;&lt;D xsi:type="xsd:double"&gt;2.1502733&lt;/D&gt;&lt;D xsi:type="xsd:double"&gt;-1.1724472&lt;/D&gt;&lt;D xsi:type="xsd:double"&gt;-0.6129801&lt;/D&gt;&lt;D xsi:type="xsd:double"&gt;-0.32063127&lt;/D&gt;&lt;D xsi:type="xsd:double"&gt;3.1577587&lt;/D&gt;&lt;D xsi:type="xsd:double"&gt;2.1873713&lt;/D&gt;&lt;D xsi:type="xsd:double"&gt;-3.1678438&lt;/D&gt;&lt;D xsi:type="xsd:double"&gt;0.32835007&lt;/D&gt;&lt;D xsi:type="xsd:double"&gt;0.24220943&lt;/D&gt;&lt;D xsi:type="xsd:double"&gt;0.29274225&lt;/D&gt;&lt;D xsi:type="xsd:double"&gt;1.6975999&lt;/D&gt;&lt;D xsi:type="xsd:double"&gt;2.8535962&lt;/D&gt;&lt;D xsi:type="xsd:double"&gt;1.6490102&lt;/D&gt;&lt;D xsi:type="xsd:double"&gt;0.66666603&lt;/D&gt;&lt;D xsi:type="xsd:double"&gt;0.0066637993&lt;/D&gt;&lt;D xsi:type="xsd:double"&gt;1.4336944&lt;/D&gt;&lt;D xsi:type="xsd:double"&gt;-0.033801794&lt;/D&gt;&lt;D xsi:type="xsd:double"&gt;-1.9163191&lt;/D&gt;&lt;D xsi:type="xsd:double"&gt;0.24594069&lt;/D&gt;&lt;D xsi:type="xsd:double"&gt;-0.555259&lt;/D&gt;&lt;D xsi:type="xsd:double"&gt;0.21196604&lt;/D&gt;&lt;D xsi:type="xsd:double"&gt;-0.34985542&lt;/D&gt;&lt;D xsi:type="xsd:double"&gt;0.9798646&lt;/D&gt;&lt;D xsi:type="xsd:double"&gt;0.711596&lt;/D&gt;&lt;D xsi:type="xsd:double"&gt;-0.5607426&lt;/D&gt;&lt;D xsi:type="xsd:double"&gt;-1.8155634&lt;/D&gt;&lt;D xsi:type="xsd:double"&gt;2.4991632&lt;/D&gt;&lt;D xsi:type="xsd:double"&gt;-0.3147602&lt;/D&gt;&lt;D xsi:type="xsd:double"&gt;0.4574895&lt;/D&gt;&lt;D xsi:type="xsd:double"&gt;-0.03362894&lt;/D&gt;&lt;D xsi:type="xsd:double"&gt;-0.5284965&lt;/D&gt;&lt;D xsi:type="xsd:double"&gt;0.14739037&lt;/D&gt;&lt;D xsi:type="xsd:double"&gt;0.3361106&lt;/D&gt;&lt;D xsi:type="xsd:double"&gt;1.5080094&lt;/D&gt;&lt;D xsi:type="xsd:double"&gt;1.180613&lt;/D&gt;&lt;D xsi:type="xsd:double"&gt;0.75125694&lt;/D&gt;&lt;D xsi:type="xsd:double"&gt;2.0225644&lt;/D&gt;&lt;D xsi:type="xsd:double"&gt;-0.42399168&lt;/D&gt;&lt;D xsi:type="xsd:double"&gt;-0.9103&lt;/D&gt;&lt;D xsi:type="xsd:double"&gt;-0.06297827&lt;/D&gt;&lt;D xsi:type="xsd:double"&gt;-0.2721727&lt;/D&gt;&lt;D xsi:type="xsd:double"&gt;0.9084463&lt;/D&gt;&lt;D xsi:type="xsd:double"&gt;0.6307125&lt;/D&gt;&lt;D xsi:type="xsd:double"&gt;1.4158368&lt;/D&gt;&lt;D xsi:type="xsd:double"&gt;-2.4605632&lt;/D&gt;&lt;D xsi:type="xsd:double"&gt;0.81272125&lt;/D&gt;&lt;D xsi:type="xsd:double"&gt;-0.9311795&lt;/D&gt;&lt;D xsi:type="xsd:double"&gt;0.6482959&lt;/D&gt;&lt;D xsi:type="xsd:double"&gt;-2.3801267&lt;/D&gt;&lt;D xsi:type="xsd:double"&gt;-1.0549963&lt;/D&gt;&lt;D xsi:type="xsd:double"&gt;0.061297417&lt;/D&gt;&lt;D xsi:type="xsd:double"&gt;0.67192316&lt;/D&gt;&lt;D xsi:type="xsd:double"&gt;1.6872406&lt;/D&gt;&lt;D xsi:type="xsd:double"&gt;0.34279823&lt;/D&gt;&lt;D xsi:type="xsd:double"&gt;-2.1361053&lt;/D&gt;&lt;D xsi:type="xsd:double"&gt;-1.8347979&lt;/D&gt;&lt;D xsi:type="xsd:double"&gt;-0.16104579&lt;/D&gt;&lt;D xsi:type="xsd:double"&gt;0.6143689&lt;/D&gt;&lt;D xsi:type="xsd:double"&gt;-0.9562075&lt;/D&gt;&lt;D xsi:type="xsd:double"&gt;0.38933754&lt;/D&gt;&lt;D xsi:type="xsd:double"&gt;-3.3101857&lt;/D&gt;&lt;D xsi:type="xsd:double"&gt;-0.6704867&lt;/D&gt;&lt;D xsi:type="xsd:double"&gt;-1.0083616&lt;/D&gt;&lt;D xsi:type="xsd:double"&gt;1.548934&lt;/D&gt;&lt;D xsi:type="xsd:double"&gt;0.42304993&lt;/D&gt;&lt;D xsi:type="xsd:double"&gt;0.7474899&lt;/D&gt;&lt;D xsi:type="xsd:double"&gt;0.4478693&lt;/D&gt;&lt;D xsi:type="xsd:double"&gt;-0.84246993&lt;/D&gt;&lt;D xsi:type="xsd:double"&gt;3.0417204&lt;/D&gt;&lt;D xsi:type="xsd:double"&gt;0.71846247&lt;/D&gt;&lt;D xsi:type="xsd:double"&gt;-0.5527139&lt;/D&gt;&lt;D xsi:type="xsd:double"&gt;-0.8421302&lt;/D&gt;&lt;D xsi:type="xsd:double"&gt;-0.060123205&lt;/D&gt;&lt;D xsi:type="xsd:double"&gt;1.0257125&lt;/D&gt;&lt;D xsi:type="xsd:double"&gt;1.015687&lt;/D&gt;&lt;D xsi:type="xsd:double"&gt;0.23230314&lt;/D&gt;&lt;D xsi:type="xsd:double"&gt;-2.5501072&lt;/D&gt;&lt;D xsi:type="xsd:double"&gt;-0.6154001&lt;/D&gt;&lt;D xsi:type="xsd:double"&gt;1.3547897&lt;/D&gt;&lt;D xsi:type="xsd:double"&gt;0.14104843&lt;/D&gt;&lt;D xsi:type="xsd:double"&gt;2.0773292&lt;/D&gt;&lt;D xsi:type="xsd:double"&gt;0.1785636&lt;/D&gt;&lt;D xsi:type="xsd:double"&gt;-0.3354013&lt;/D&gt;&lt;D xsi:type="xsd:double"&gt;-0.034213066&lt;/D&gt;&lt;D xsi:type="xsd:double"&gt;-0.62559247&lt;/D&gt;&lt;D xsi:type="xsd:double"&gt;0.07485151&lt;/D&gt;&lt;D xsi:type="xsd:double"&gt;-0.27823448&lt;/D&gt;&lt;D xsi:type="xsd:double"&gt;1.2644291&lt;/D&gt;&lt;D xsi:type="xsd:double"&gt;-0.23309588&lt;/D&gt;&lt;D xsi:type="xsd:double"&gt;0.15106201&lt;/D&gt;&lt;D xsi:type="xsd:double"&gt;0.45523643&lt;/D&gt;&lt;D xsi:type="xsd:double"&gt;-1.2196004&lt;/D&gt;&lt;D xsi:type="xsd:double"&gt;-1.4900327&lt;/D&gt;&lt;D xsi:type="xsd:double"&gt;0.28945208&lt;/D&gt;&lt;D xsi:type="xsd:double"&gt;1.1989117&lt;/D&gt;&lt;D xsi:type="xsd:double"&gt;0.96286535&lt;/D&gt;&lt;D xsi:type="xsd:double"&gt;-0.51317215&lt;/D&gt;&lt;D xsi:type="xsd:double"&gt;2.5974035&lt;/D&gt;&lt;D xsi:type="xsd:double"&gt;-2.6914418&lt;/D&gt;&lt;D xsi:type="xsd:double"&gt;-1.4075935&lt;/D&gt;&lt;D xsi:type="xsd:double"&gt;-0.4492104&lt;/D&gt;&lt;D xsi:type="xsd:double"&gt;2.4100542&lt;/D&gt;&lt;D xsi:type="xsd:double"&gt;0.7889271&lt;/D&gt;&lt;D xsi:type="xsd:double"&gt;-0.42037368&lt;/D&gt;&lt;D xsi:type="xsd:double"&gt;1.3054967&lt;/D&gt;&lt;D xsi:type="xsd:double"&gt;-0.9199679&lt;/D&gt;&lt;D xsi:type="xsd:double"&gt;1.7955184&lt;/D&gt;&lt;D xsi:type="xsd:double"&gt;1.4718413&lt;/D&gt;&lt;D xsi:type="xsd:double"&gt;1.9596457&lt;/D&gt;&lt;D xsi:type="xsd:double"&gt;0.22634268&lt;/D&gt;&lt;D xsi:type="xsd:double"&gt;0.4621148&lt;/D&gt;&lt;D xsi:type="xsd:double"&gt;1.1500239&lt;/D&gt;&lt;D xsi:type="xsd:double"&gt;1.2545943&lt;/D&gt;&lt;D xsi:type="xsd:double"&gt;-0.22487044&lt;/D&gt;&lt;D xsi:type="xsd:double"&gt;-0.2169013&lt;/D&gt;&lt;D xsi:type="xsd:double"&gt;-0.2089858&lt;/D&gt;&lt;D xsi:type="xsd:double"&gt;1.2698412&lt;/D&gt;&lt;D xsi:type="xsd:double"&gt;1.410389&lt;/D&gt;&lt;D xsi:type="xsd:double"&gt;-1.0091722&lt;/D&gt;&lt;D xsi:type="xsd:double"&gt;1.2600899&lt;/D&gt;&lt;D xsi:type="xsd:double"&gt;0.39339066&lt;/D&gt;&lt;D xsi:type="xsd:double"&gt;-0.6437719&lt;/D&gt;&lt;D xsi:type="xsd:double"&gt;2.4577856&lt;/D&gt;&lt;D xsi:type="xsd:double"&gt;0.98326206&lt;/D&gt;&lt;D xsi:type="xsd:double"&gt;-0.8023262&lt;/D&gt;&lt;D xsi:type="xsd:double"&gt;0.30771494&lt;/D&gt;&lt;D xsi:type="xsd:double"&gt;0.66719055&lt;/D&gt;&lt;D xsi:type="xsd:double"&gt;0.007939339&lt;/D&gt;&lt;D xsi:type="xsd:double"&gt;1.9022107&lt;/D&gt;&lt;D xsi:type="xsd:double"&gt;-1.2154162&lt;/D&gt;&lt;D xsi:type="xsd:double"&gt;0.62761307&lt;/D&gt;&lt;D xsi:type="xsd:double"&gt;-0.2648294&lt;/D&gt;&lt;D xsi:type="xsd:double"&gt;-0.5348027&lt;/D&gt;&lt;D xsi:type="xsd:double"&gt;-1.2376845&lt;/D&gt;&lt;/FQL&gt;&lt;FQL&gt;&lt;Q&gt;US00110RAA59^FF_PE(ANN_R,0,-1AY,D)&lt;/Q&gt;&lt;R&gt;0&lt;/R&gt;&lt;C&gt;0&lt;/C&gt;&lt;/FQL&gt;&lt;FQL&gt;&lt;Q&gt;US00110RAA59^FG_PRICE(0,-1AY,D)&lt;/Q&gt;&lt;R&gt;254&lt;/R&gt;&lt;C&gt;1&lt;/C&gt;&lt;D xsi:type="xsd:double"&gt;89.901&lt;/D&gt;&lt;D xsi:type="xsd:double"&gt;89.72&lt;/D&gt;&lt;D xsi:type="xsd:double"&gt;88.097&lt;/D&gt;&lt;D xsi:type="xsd:double"&gt;86.126&lt;/D&gt;&lt;D xsi:type="xsd:double"&gt;85.876&lt;/D&gt;&lt;D xsi:type="xsd:double"&gt;85.876&lt;/D&gt;&lt;D xsi:type="xsd:double"&gt;86.001&lt;/D&gt;&lt;D xsi:type="xsd:double"&gt;85.626&lt;/D&gt;&lt;D xsi:type="xsd:double"&gt;86.501&lt;/D&gt;&lt;D xsi:type="xsd:double"&gt;86.626&lt;/D&gt;&lt;D xsi:type="xsd:double"&gt;87&lt;/D&gt;&lt;D xsi:type="xsd:double"&gt;87.959&lt;/D&gt;&lt;D xsi:type="xsd:double"&gt;88.5&lt;/D&gt;&lt;D xsi:type="xsd:double"&gt;89.1&lt;/D&gt;&lt;D xsi:type="xsd:double"&gt;87.626&lt;/D&gt;&lt;D xsi:type="xsd:double"&gt;89.251&lt;/D&gt;&lt;D xsi:type="xsd:double"&gt;89.585&lt;/D&gt;&lt;D xsi:type="xsd:double"&gt;89.036&lt;/D&gt;&lt;D xsi:type="xsd:double"&gt;89.558&lt;/D&gt;&lt;D xsi:type="xsd:double"&gt;89.65&lt;/D&gt;&lt;D xsi:type="xsd:double"&gt;90.63&lt;/D&gt;&lt;D xsi:type="xsd:double"&gt;90.626&lt;/D&gt;&lt;D xsi:type="xsd:double"&gt;91.279&lt;/D&gt;&lt;D xsi:type="xsd:double"&gt;91.45&lt;/D&gt;&lt;D xsi:type="xsd:double"&gt;91.25&lt;/D&gt;&lt;D xsi:type="xsd:double"&gt;92.251&lt;/D&gt;&lt;D xsi:type="xsd:double"&gt;92.251&lt;/D&gt;&lt;D xsi:type="xsd:double"&gt;92.501&lt;/D&gt;&lt;D xsi:type="xsd:double"&gt;91.756&lt;/D&gt;&lt;D xsi:type="xsd:double"&gt;91.75&lt;/D&gt;&lt;D xsi:type="xsd:double"&gt;91.75&lt;/D&gt;&lt;D xsi:type="xsd:double"&gt;91.75&lt;/D&gt;&lt;D xsi:type="xsd:double"&gt;91.375&lt;/D&gt;&lt;D xsi:type="xsd:double"&gt;91.97&lt;/D&gt;&lt;D xsi:type="xsd:double"&gt;92.924&lt;/D&gt;&lt;D xsi:type="xsd:double"&gt;92.674&lt;/D&gt;&lt;D xsi:type="xsd:double"&gt;92.551&lt;/D&gt;&lt;D xsi:type="xsd:double"&gt;93.001&lt;/D&gt;&lt;D xsi:type="xsd:double"&gt;92.799&lt;/D&gt;&lt;D xsi:type="xsd:double"&gt;92.375&lt;/D&gt;&lt;D xsi:type="xsd:double"&gt;92.251&lt;/D&gt;&lt;D xsi:type="xsd:double"&gt;92.52&lt;/D&gt;&lt;D xsi:type="xsd:double"&gt;91.451&lt;/D&gt;&lt;D xsi:type="xsd:double"&gt;90.85&lt;/D&gt;&lt;D xsi:type="xsd:double"&gt;90.501&lt;/D&gt;&lt;D xsi:type="xsd:double"&gt;90.597&lt;/D&gt;&lt;D xsi:type="xsd:double"&gt;90.126&lt;/D&gt;&lt;D xsi:type="xsd:double"&gt;90.251&lt;/D&gt;&lt;D xsi:type="xsd:double"&gt;90.426&lt;/D&gt;&lt;D xsi:type="xsd:double"&gt;91.05&lt;/D&gt;&lt;D xsi:type="xsd:double"&gt;90.542&lt;/D&gt;&lt;D xsi:type="xsd:double"&gt;90.991&lt;/D&gt;&lt;D xsi:type="xsd:double"&gt;89.125&lt;/D&gt;&lt;D xsi:type="xsd:double"&gt;88.776&lt;/D&gt;&lt;D xsi:type="xsd:double"&gt;88.75&lt;/D&gt;&lt;D xsi:type="xsd:double"&gt;88.75&lt;/D&gt;&lt;D xsi:type="xsd:double"&gt;89.927&lt;/D&gt;&lt;D xsi:type="xsd:double"&gt;88.5&lt;/D&gt;&lt;D xsi:type="xsd:double"&gt;88.5&lt;/D&gt;&lt;D xsi:type="xsd:double"&gt;89&lt;/D&gt;&lt;D xsi:type="xsd:double"&gt;91&lt;/D&gt;&lt;D xsi:type="xsd:double"&gt;91.65&lt;/D&gt;&lt;D xsi:type="xsd:double"&gt;91.47&lt;/D&gt;&lt;D xsi:type="xsd:double"&gt;92.5&lt;/D&gt;&lt;D xsi:type="xsd:double"&gt;93.5&lt;/D&gt;&lt;D xsi:type="xsd:double"&gt;92.876&lt;/D&gt;&lt;D xsi:type="xsd:double"&gt;93.97&lt;/D&gt;&lt;D xsi:type="xsd:double"&gt;94.5&lt;/D&gt;&lt;D xsi:type="xsd:double"&gt;94.5&lt;/D&gt;&lt;D xsi:type="xsd:double"&gt;94.751&lt;/D&gt;&lt;D xsi:type="xsd:double"&gt;94.831&lt;/D&gt;&lt;D xsi:type="xsd:double"&gt;94.876&lt;/D&gt;&lt;D xsi:type="xsd:double"&gt;95.001&lt;/D&gt;&lt;D xsi:type="xsd:double"&gt;95.25&lt;/D&gt;&lt;D xsi:type="xsd:double"&gt;96.375&lt;/D&gt;&lt;D xsi:type="xsd:double"&gt;96.8&lt;/D&gt;&lt;D xsi:type="xsd:double"&gt;96.376&lt;/D&gt;&lt;D xsi:type="xsd:double"&gt;96.717&lt;/D&gt;&lt;D xsi:type="xsd:double"&gt;96.751&lt;/D&gt;&lt;D xsi:type="xsd:double"&gt;97.5&lt;/D&gt;&lt;D xsi:type="xsd:double"&gt;97.25&lt;/D&gt;&lt;D xsi:type="xsd:double"&gt;97.147&lt;/D&gt;&lt;D xsi:type="xsd:double"&gt;97.75&lt;/D&gt;&lt;D xsi:type="xsd:double"&gt;97.3&lt;/D&gt;&lt;D xsi:type="xsd:double"&gt;97.79&lt;/D&gt;&lt;D xsi:type="xsd:double"&gt;97.97&lt;/D&gt;&lt;D xsi:type="xsd:double"&gt;96.97&lt;/D&gt;&lt;D xsi:type="xsd:double"&gt;95.501&lt;/D&gt;&lt;D xsi:type="xsd:double"&gt;97.1&lt;/D&gt;&lt;D xsi:type="xsd:double"&gt;97.01&lt;/D&gt;&lt;D xsi:type="xsd:double"&gt;97.378&lt;/D&gt;&lt;D xsi:type="xsd:double"&gt;96.687&lt;/D&gt;&lt;D xsi:type="xsd:double"&gt;97.75&lt;/D&gt;&lt;D xsi:type="xsd:double"&gt;97.845&lt;/D&gt;&lt;D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xsi:type="xsd:string"&gt;@NA&lt;/D&gt;&lt;/FQL&gt;&lt;FQL&gt;&lt;Q&gt;US00110RAA59^P_DATE(0,-1AY,D)&lt;/Q&gt;&lt;R&gt;254&lt;/R&gt;&lt;C&gt;1&lt;/C&gt;&lt;D xsi:type="xsd:string"&gt;05/27/2022&lt;/D&gt;&lt;D xsi:type="xsd:string"&gt;05/26/2022&lt;/D&gt;&lt;D xsi:type="xsd:string"&gt;05/25/2022&lt;/D&gt;&lt;D xsi:type="xsd:string"&gt;05/24/2022&lt;/D&gt;&lt;D xsi:type="xsd:string"&gt;05/23/2022&lt;/D&gt;&lt;D xsi:type="xsd:string"&gt;05/20/2022&lt;/D&gt;&lt;D xsi:type="xsd:string"&gt;05/19/2022&lt;/D&gt;&lt;D xsi:type="xsd:string"&gt;05/18/2022&lt;/D&gt;&lt;D xsi:type="xsd:string"&gt;05/17/2022&lt;/D&gt;&lt;D xsi:type="xsd:string"&gt;05/16/2022&lt;/D&gt;&lt;D xsi:type="xsd:string"&gt;05/13/2022&lt;/D&gt;&lt;D xsi:type="xsd:string"&gt;05/12/2022&lt;/D&gt;&lt;D xsi:type="xsd:string"&gt;05/11/2022&lt;/D&gt;&lt;D xsi:type="xsd:string"&gt;05/10/2022&lt;/D&gt;&lt;D xsi:type="xsd:string"&gt;05/09/2022&lt;/D&gt;&lt;D xsi:type="xsd:string"&gt;05/06/2022&lt;/D&gt;&lt;D xsi:type="xsd:string"&gt;05/05/2022&lt;/D&gt;&lt;D xsi:type="xsd:string"&gt;05/04/2022&lt;/D&gt;&lt;D xsi:type="xsd:string"&gt;05/03/2022&lt;/D&gt;&lt;D xsi:type="xsd:string"&gt;05/02/2022&lt;/D&gt;&lt;D xsi:type="xsd:string"&gt;04/29/2022&lt;/D&gt;&lt;D xsi:type="xsd:string"&gt;04/28/2022&lt;/D&gt;&lt;D xsi:type="xsd:string"&gt;04/27/2022&lt;/D&gt;&lt;D xsi:type="xsd:string"&gt;04/26/2022&lt;/D&gt;&lt;D xsi:type="xsd:string"&gt;04/25/2022&lt;/D&gt;&lt;D xsi:type="xsd:string"&gt;04/22/2022&lt;/D&gt;&lt;D xsi:type="xsd:string"&gt;04/21/2022&lt;/D&gt;&lt;D xsi:type="xsd:string"&gt;04/20/2022&lt;/D&gt;&lt;D xsi:type="xsd:string"&gt;04/19/2022&lt;/D&gt;&lt;D xsi:type="xsd:string"&gt;04/18/2022&lt;/D&gt;&lt;D xsi:type="xsd:string"&gt;04/14/2022&lt;/D&gt;&lt;D xsi:type="xsd:string"&gt;04/13/2022&lt;/D&gt;&lt;D xsi:type="xsd:string"&gt;04/12/2022&lt;/D&gt;&lt;D xsi:type="xsd:string"&gt;04/11/2022&lt;/D&gt;&lt;D xsi:type="xsd:string"&gt;04/08/2022&lt;/D&gt;&lt;D xsi:type="xsd:string"&gt;04/07/2022&lt;/D&gt;&lt;D xsi:type="xsd:string"&gt;04/06/2022&lt;/D&gt;&lt;D xsi:type="xsd:string"&gt;04/05/2022&lt;/D&gt;&lt;D xsi:type="xsd:string"&gt;04/04/2022&lt;/D&gt;&lt;D xsi:type="xsd:string"&gt;04/01/2022&lt;/D&gt;&lt;D xsi:type="xsd:string"&gt;03/31/2022&lt;/D&gt;&lt;D xsi:type="xsd:string"&gt;03/30/2022&lt;/D&gt;&lt;D xsi:type="xsd:string"&gt;03/29/2022&lt;/D&gt;&lt;D xsi:type="xsd:string"&gt;03/28/2022&lt;/D&gt;&lt;D xsi:type="xsd:string"&gt;03/25/2022&lt;/D&gt;&lt;D xsi:type="xsd:string"&gt;03/24/2022&lt;/D&gt;&lt;D xsi:type="xsd:string"&gt;03/23/2022&lt;/D&gt;&lt;D xsi:type="xsd:string"&gt;03/22/2022&lt;/D&gt;&lt;D xsi:type="xsd:string"&gt;03/21/2022&lt;/D&gt;&lt;D xsi:type="xsd:string"&gt;03/18/2022&lt;/D&gt;&lt;D xsi:type="xsd:string"&gt;03/17/2022&lt;/D&gt;&lt;D xsi:type="xsd:string"&gt;03/16/2022&lt;/D&gt;&lt;D xsi:type="xsd:string"&gt;03/15/2022&lt;/D&gt;&lt;D xsi:type="xsd:string"&gt;03/14/2022&lt;/D&gt;&lt;D xsi:type="xsd:string"&gt;03/11/2022&lt;/D&gt;&lt;D xsi:type="xsd:string"&gt;03/10/2022&lt;/D&gt;&lt;D xsi:type="xsd:string"&gt;03/09/2022&lt;/D&gt;&lt;D xsi:type="xsd:string"&gt;03/08/2022&lt;/D&gt;&lt;D xsi:type="xsd:string"&gt;03/07/2022&lt;/D&gt;&lt;D xsi:type="xsd:string"&gt;03/04/2022&lt;/D&gt;&lt;D xsi:type="xsd:string"&gt;03/03/2022&lt;/D&gt;&lt;D xsi:type="xsd:string"&gt;03/02/2022&lt;/D&gt;&lt;D xsi:type="xsd:string"&gt;03/01/2022&lt;/D&gt;&lt;D xsi:type="xsd:string"&gt;02/28/2022&lt;/D&gt;&lt;D xsi:type="xsd:string"&gt;02/25/2022&lt;/D&gt;&lt;D xsi:type="xsd:string"&gt;02/24/2022&lt;/D&gt;&lt;D xsi:type="xsd:string"&gt;02/23/2022&lt;/D&gt;&lt;D xsi:type="xsd:string"&gt;02/22/2022&lt;/D&gt;&lt;D xsi:type="xsd:string"&gt;02/18/2022&lt;/D&gt;&lt;D xsi:type="xsd:string"&gt;02/17/2022&lt;/D&gt;&lt;D xsi:type="xsd:string"&gt;02/16/2022&lt;/D&gt;&lt;D xsi:type="xsd:string"&gt;02/15/2022&lt;/D&gt;&lt;D xsi:type="xsd:string"&gt;02/14/2022&lt;/D&gt;&lt;D xsi:type="xsd:string"&gt;02/11/2022&lt;/D&gt;&lt;D xsi:type="xsd:string"&gt;02/10/2022&lt;/D&gt;&lt;D xsi:type="xsd:string"&gt;02/09/2022&lt;/D&gt;&lt;D xsi:type="xsd:string"&gt;02/08/2022&lt;/D&gt;&lt;D xsi:type="xsd:string"&gt;02/07/2022&lt;/D&gt;&lt;D xsi:type="xsd:string"&gt;02/04/2022&lt;/D&gt;&lt;D xsi:type="xsd:string"&gt;02/03/2022&lt;/D&gt;&lt;D xsi:type="xsd:string"&gt;02/02/2022&lt;/D&gt;&lt;D xsi:type="xsd:string"&gt;02/01/2022&lt;/D&gt;&lt;D xsi:type="xsd:string"&gt;01/31/2022&lt;/D&gt;&lt;D xsi:type="xsd:string"&gt;01/28/2022&lt;/D&gt;&lt;D xsi:type="xsd:string"&gt;01/27/2022&lt;/D&gt;&lt;D xsi:type="xsd:string"&gt;01/26/2022&lt;/D&gt;&lt;D xsi:type="xsd:string"&gt;01/25/2022&lt;/D&gt;&lt;D xsi:type="xsd:string"&gt;01/24/2022&lt;/D&gt;&lt;D xsi:type="xsd:string"&gt;01/21/2022&lt;/D&gt;&lt;D xsi:type="xsd:string"&gt;01/20/2022&lt;/D&gt;&lt;D xsi:type="xsd:string"&gt;01/19/2022&lt;/D&gt;&lt;D xsi:type="xsd:string"&gt;01/18/2022&lt;/D&gt;&lt;D xsi:type="xsd:string"&gt;01/14/2022&lt;/D&gt;&lt;D xsi:type="xsd:string"&gt;01/13/2022&lt;/D&gt;&lt;D xsi:type="xsd:string"&gt;01/12/2022&lt;/D&gt;&lt;D xsi:type="xsd:string"&gt;01/11/2022&lt;/D&gt;&lt;D xsi:type="xsd:string"&gt;01/10/2022&lt;/D&gt;&lt;D xsi:type="xsd:string"&gt;01/07/2022&lt;/D&gt;&lt;D xsi:type="xsd:string"&gt;01/06/2022&lt;/D&gt;&lt;D xsi:type="xsd:string"&gt;01/05/2022&lt;/D&gt;&lt;D xsi:type="xsd:string"&gt;01/04/2022&lt;/D&gt;&lt;D xsi:type="xsd:string"&gt;01/03/2022&lt;/D&gt;&lt;D xsi:type="xsd:string"&gt;12/31/2021&lt;/D&gt;&lt;D xsi:type="xsd:string"&gt;12/30/2021&lt;/D&gt;&lt;D xsi:type="xsd:string"&gt;12/29/2021&lt;/D&gt;&lt;D xsi:type="xsd:string"&gt;12/28/2021&lt;/D&gt;&lt;D xsi:type="xsd:string"&gt;12/27/2021&lt;/D&gt;&lt;D xsi:type="xsd:string"&gt;12/23/2021&lt;/D&gt;&lt;D xsi:type="xsd:string"&gt;12/22/2021&lt;/D&gt;&lt;D xsi:type="xsd:string"&gt;12/21/2021&lt;/D&gt;&lt;D xsi:type="xsd:string"&gt;12/20/2021&lt;/D&gt;&lt;D xsi:type="xsd:string"&gt;12/17/2021&lt;/D&gt;&lt;D xsi:type="xsd:string"&gt;12/16/2021&lt;/D&gt;&lt;D xsi:type="xsd:string"&gt;12/15/2021&lt;/D&gt;&lt;D xsi:type="xsd:string"&gt;12/14/2021&lt;/D&gt;&lt;D xsi:type="xsd:string"&gt;12/13/2021&lt;/D&gt;&lt;D xsi:type="xsd:string"&gt;12/10/2021&lt;/D&gt;&lt;D xsi:type="xsd:string"&gt;12/09/2021&lt;/D&gt;&lt;D xsi:type="xsd:string"&gt;12/08/2021&lt;/D&gt;&lt;D xsi:type="xsd:string"&gt;12/07/2021&lt;/D&gt;&lt;D xsi:type="xsd:string"&gt;12/06/2021&lt;/D&gt;&lt;D xsi:type="xsd:string"&gt;12/03/2021&lt;/D&gt;&lt;D xsi:type="xsd:string"&gt;12/02/2021&lt;/D&gt;&lt;D xsi:type="xsd:string"&gt;12/01/2021&lt;/D&gt;&lt;D xsi:type="xsd:string"&gt;11/30/2021&lt;/D&gt;&lt;D xsi:type="xsd:string"&gt;11/29/2021&lt;/D&gt;&lt;D xsi:type="xsd:string"&gt;11/26/2021&lt;/D&gt;&lt;D xsi:type="xsd:string"&gt;11/24/2021&lt;/D&gt;&lt;D xsi:type="xsd:string"&gt;11/23/2021&lt;/D&gt;&lt;D xsi:type="xsd:string"&gt;11/22/2021&lt;/D&gt;&lt;D xsi:type="xsd:string"&gt;11/19/2021&lt;/D&gt;&lt;D xsi:type="xsd:string"&gt;11/18/2021&lt;/D&gt;&lt;D xsi:type="xsd:string"&gt;11/17/2021&lt;/D&gt;&lt;D xsi:type="xsd:string"&gt;11/16/2021&lt;/D&gt;&lt;D xsi:type="xsd:string"&gt;11/15/2021&lt;/D&gt;&lt;D xsi:type="xsd:string"&gt;11/12/2021&lt;/D&gt;&lt;D xsi:type="xsd:string"&gt;11/11/2021&lt;/D&gt;&lt;D xsi:type="xsd:string"&gt;11/10/2021&lt;/D&gt;&lt;D xsi:type="xsd:string"&gt;11/09/2021&lt;/D&gt;&lt;D xsi:type="xsd:string"&gt;11/08/2021&lt;/D&gt;&lt;D xsi:type="xsd:string"&gt;11/05/2021&lt;/D&gt;&lt;D xsi:type="xsd:string"&gt;11/04/2021&lt;/D&gt;&lt;D xsi:type="xsd:string"&gt;11/03/2021&lt;/D&gt;&lt;D xsi:type="xsd:string"&gt;11/02/2021&lt;/D&gt;&lt;D xsi:type="xsd:string"&gt;11/01/2021&lt;/D&gt;&lt;D xsi:type="xsd:string"&gt;10/29/2021&lt;/D&gt;&lt;D xsi:type="xsd:string"&gt;10/28/2021&lt;/D&gt;&lt;D xsi:type="xsd:string"&gt;10/27/2021&lt;/D&gt;&lt;D xsi:type="xsd:string"&gt;10/26/2021&lt;/D&gt;&lt;D xsi:type="xsd:string"&gt;10/25/2021&lt;/D&gt;&lt;D xsi:type="xsd:string"&gt;10/22/2021&lt;/D&gt;&lt;D xsi:type="xsd:string"&gt;10/21/2021&lt;/D&gt;&lt;D xsi:type="xsd:string"&gt;10/20/2021&lt;/D&gt;&lt;D xsi:type="xsd:string"&gt;10/19/2021&lt;/D&gt;&lt;D xsi:type="xsd:string"&gt;10/18/2021&lt;/D&gt;&lt;D xsi:type="xsd:string"&gt;10/15/2021&lt;/D&gt;&lt;D xsi:type="xsd:string"&gt;10/14/2021&lt;/D&gt;&lt;D xsi:type="xsd:string"&gt;10/13/2021&lt;/D&gt;&lt;D xsi:type="xsd:string"&gt;10/12/2021&lt;/D&gt;&lt;D xsi:type="xsd:string"&gt;10/11/2021&lt;/D&gt;&lt;D xsi:type="xsd:string"&gt;10/08/2021&lt;/D&gt;&lt;D xsi:type="xsd:string"&gt;10/07/2021&lt;/D&gt;&lt;D xsi:type="xsd:string"&gt;10/06/2021&lt;/D&gt;&lt;D xsi:type="xsd:string"&gt;10/05/2021&lt;/D&gt;&lt;D xsi:type="xsd:string"&gt;10/04/2021&lt;/D&gt;&lt;D xsi:type="xsd:string"&gt;10/01/2021&lt;/D&gt;&lt;D xsi:type="xsd:string"&gt;09/30/2021&lt;/D&gt;&lt;D xsi:type="xsd:string"&gt;09/29/2021&lt;/D&gt;&lt;D xsi:type="xsd:string"&gt;09/28/2021&lt;/D&gt;&lt;D xsi:type="xsd:string"&gt;09/27/2021&lt;/D&gt;&lt;D xsi:type="xsd:string"&gt;09/24/2021&lt;/D&gt;&lt;D xsi:type="xsd:string"&gt;09/23/2021&lt;/D&gt;&lt;D xsi:type="xsd:string"&gt;09/22/2021&lt;/D&gt;&lt;D xsi:type="xsd:string"&gt;09/21/2021&lt;/D&gt;&lt;D xsi:type="xsd:string"&gt;09/20/2021&lt;/D&gt;&lt;D xsi:type="xsd:string"&gt;09/17/2021&lt;/D&gt;&lt;D xsi:type="xsd:string"&gt;09/16/2021&lt;/D&gt;&lt;D xsi:type="xsd:string"&gt;09/15/2021&lt;/D&gt;&lt;D xsi:type="xsd:string"&gt;09/14/2021&lt;/D&gt;&lt;D xsi:type="xsd:string"&gt;09/13/2021&lt;/D&gt;&lt;D xsi:type="xsd:string"&gt;09/10/2021&lt;/D&gt;&lt;D xsi:type="xsd:string"&gt;09/09/2021&lt;/D&gt;&lt;D xsi:type="xsd:string"&gt;09/08/2021&lt;/D&gt;&lt;D xsi:type="xsd:string"&gt;09/07/2021&lt;/D&gt;&lt;D xsi:type="xsd:string"&gt;09/03/2021&lt;/D&gt;&lt;D xsi:type="xsd:string"&gt;09/02/2021&lt;/D&gt;&lt;D xsi:type="xsd:string"&gt;09/01/2021&lt;/D&gt;&lt;D xsi:type="xsd:string"&gt;08/31/2021&lt;/D&gt;&lt;D xsi:type="xsd:string"&gt;08/30/2021&lt;/D&gt;&lt;D xsi:type="xsd:string"&gt;08/27/2021&lt;/D&gt;&lt;D xsi:type="xsd:string"&gt;08/26/2021&lt;/D&gt;&lt;D xsi:type="xsd:string"&gt;08/25/2021&lt;/D&gt;&lt;D xsi:type="xsd:string"&gt;08/24/2021&lt;/D&gt;&lt;D xsi:type="xsd:string"&gt;08/23/2021&lt;/D&gt;&lt;D xsi:type="xsd:string"&gt;08/20/2021&lt;/D&gt;&lt;D xsi:type="xsd:string"&gt;08/19/2021&lt;/D&gt;&lt;D xsi:type="xsd:string"&gt;08/18/2021&lt;/D&gt;&lt;D xsi:type="xsd:string"&gt;08/17/2021&lt;/D&gt;&lt;D xsi:type="xsd:string"&gt;08/16/2021&lt;/D&gt;&lt;D xsi:type="xsd:string"&gt;08/13/2021&lt;/D&gt;&lt;D xsi:type="xsd:string"&gt;08/12/2021&lt;/D&gt;&lt;D xsi:type="xsd:string"&gt;08/11/2021&lt;/D&gt;&lt;D xsi:type="xsd:string"&gt;08/10/2021&lt;/D&gt;&lt;D xsi:type="xsd:string"&gt;08/09/2021&lt;/D&gt;&lt;D xsi:type="xsd:string"&gt;08/06/2021&lt;/D&gt;&lt;D xsi:type="xsd:string"&gt;08/05/2021&lt;/D&gt;&lt;D xsi:type="xsd:string"&gt;08/04/2021&lt;/D&gt;&lt;D xsi:type="xsd:string"&gt;08/03/2021&lt;/D&gt;&lt;D xsi:type="xsd:string"&gt;08/02/2021&lt;/D&gt;&lt;D xsi:type="xsd:string"&gt;07/30/2021&lt;/D&gt;&lt;D xsi:type="xsd:string"&gt;07/29/2021&lt;/D&gt;&lt;D xsi:type="xsd:string"&gt;07/28/2021&lt;/D&gt;&lt;D xsi:type="xsd:string"&gt;07/27/2021&lt;/D&gt;&lt;D xsi:type="xsd:string"&gt;07/26/2021&lt;/D&gt;&lt;D xsi:type="xsd:string"&gt;07/23/2021&lt;/D&gt;&lt;D xsi:type="xsd:string"&gt;07/22/2021&lt;/D&gt;&lt;D xsi:type="xsd:string"&gt;07/21/2021&lt;/D&gt;&lt;D xsi:type="xsd:string"&gt;07/20/2021&lt;/D&gt;&lt;D xsi:type="xsd:string"&gt;07/19/2021&lt;/D&gt;&lt;D xsi:type="xsd:string"&gt;07/16/2021&lt;/D&gt;&lt;D xsi:type="xsd:string"&gt;07/15/2021&lt;/D&gt;&lt;D xsi:type="xsd:string"&gt;07/14/2021&lt;/D&gt;&lt;D xsi:type="xsd:string"&gt;07/13/2021&lt;/D&gt;&lt;D xsi:type="xsd:string"&gt;07/12/2021&lt;/D&gt;&lt;D xsi:type="xsd:string"&gt;07/09/2021&lt;/D&gt;&lt;D xsi:type="xsd:string"&gt;07/08/2021&lt;/D&gt;&lt;D xsi:type="xsd:string"&gt;07/07/2021&lt;/D&gt;&lt;D xsi:type="xsd:string"&gt;07/06/2021&lt;/D&gt;&lt;D xsi:type="xsd:string"&gt;07/02/2021&lt;/D&gt;&lt;D xsi:type="xsd:string"&gt;07/01/2021&lt;/D&gt;&lt;D xsi:type="xsd:string"&gt;06/30/2021&lt;/D&gt;&lt;D xsi:type="xsd:string"&gt;06/29/2021&lt;/D&gt;&lt;D xsi:type="xsd:string"&gt;06/28/2021&lt;/D&gt;&lt;D xsi:type="xsd:string"&gt;06/25/2021&lt;/D&gt;&lt;D xsi:type="xsd:string"&gt;06/24/2021&lt;/D&gt;&lt;D xsi:type="xsd:string"&gt;06/23/2021&lt;/D&gt;&lt;D xsi:type="xsd:string"&gt;06/22/2021&lt;/D&gt;&lt;D xsi:type="xsd:string"&gt;06/21/2021&lt;/D&gt;&lt;D xsi:type="xsd:string"&gt;06/18/2021&lt;/D&gt;&lt;D xsi:type="xsd:string"&gt;06/17/2021&lt;/D&gt;&lt;D xsi:type="xsd:string"&gt;06/16/2021&lt;/D&gt;&lt;D xsi:type="xsd:string"&gt;06/15/2021&lt;/D&gt;&lt;D xsi:type="xsd:string"&gt;06/14/2021&lt;/D&gt;&lt;D xsi:type="xsd:string"&gt;06/11/2021&lt;/D&gt;&lt;D xsi:type="xsd:string"&gt;06/10/2021&lt;/D&gt;&lt;D xsi:type="xsd:string"&gt;06/09/2021&lt;/D&gt;&lt;D xsi:type="xsd:string"&gt;06/08/2021&lt;/D&gt;&lt;D xsi:type="xsd:string"&gt;06/07/2021&lt;/D&gt;&lt;D xsi:type="xsd:string"&gt;06/04/2021&lt;/D&gt;&lt;D xsi:type="xsd:string"&gt;06/03/2021&lt;/D&gt;&lt;D xsi:type="xsd:string"&gt;06/02/2021&lt;/D&gt;&lt;D xsi:type="xsd:string"&gt;06/01/2021&lt;/D&gt;&lt;D xsi:type="xsd:string"&gt;05/28/2021&lt;/D&gt;&lt;D xsi:type="xsd:string"&gt;05/27/2021&lt;/D&gt;&lt;/FQL&gt;&lt;FQL&gt;&lt;Q&gt;US00110RAA59^P_DATE(0,-3AM,D)&lt;/Q&gt;&lt;R&gt;65&lt;/R&gt;&lt;C&gt;1&lt;/C&gt;&lt;D xsi:type="xsd:string"&gt;05/27/2022&lt;/D&gt;&lt;D xsi:type="xsd:string"&gt;05/26/2022&lt;/D&gt;&lt;D xsi:type="xsd:string"&gt;05/25/2022&lt;/D&gt;&lt;D xsi:type="xsd:string"&gt;05/24/2022&lt;/D&gt;&lt;D xsi:type="xsd:string"&gt;05/23/2022&lt;/D&gt;&lt;D xsi:type="xsd:string"&gt;05/20/2022&lt;/D&gt;&lt;D xsi:type="xsd:string"&gt;05/19/2022&lt;/D&gt;&lt;D xsi:type="xsd:string"&gt;05/18/2022&lt;/D&gt;&lt;D xsi:type="xsd:string"&gt;05/17/2022&lt;/D&gt;&lt;D xsi:type="xsd:string"&gt;05/16/2022&lt;/D&gt;&lt;D xsi:type="xsd:string"&gt;05/13/2022&lt;/D&gt;&lt;D xsi:type="xsd:string"&gt;05/12/2022&lt;/D&gt;&lt;D xsi:type="xsd:string"&gt;05/11/2022&lt;/D&gt;&lt;D xsi:type="xsd:string"&gt;05/10/2022&lt;/D&gt;&lt;D xsi:type="xsd:string"&gt;05/09/2022&lt;/D&gt;&lt;D xsi:type="xsd:string"&gt;05/06/2022&lt;/D&gt;&lt;D xsi:type="xsd:string"&gt;05/05/2022&lt;/D&gt;&lt;D xsi:type="xsd:string"&gt;05/04/2022&lt;/D&gt;&lt;D xsi:type="xsd:string"&gt;05/03/2022&lt;/D&gt;&lt;D xsi:type="xsd:string"&gt;05/02/2022&lt;/D&gt;&lt;D xsi:type="xsd:string"&gt;04/29/2022&lt;/D&gt;&lt;D xsi:type="xsd:string"&gt;04/28/2022&lt;/D&gt;&lt;D xsi:type="xsd:string"&gt;04/27/2022&lt;/D&gt;&lt;D xsi:type="xsd:string"&gt;04/26/2022&lt;/D&gt;&lt;D xsi:type="xsd:string"&gt;04/25/2022&lt;/D&gt;&lt;D xsi:type="xsd:string"&gt;04/22/2022&lt;/D&gt;&lt;D xsi:type="xsd:string"&gt;04/21/2022&lt;/D&gt;&lt;D xsi:type="xsd:string"&gt;04/20/2022&lt;/D&gt;&lt;D xsi:type="xsd:string"&gt;04/19/2022&lt;/D&gt;&lt;D xsi:type="xsd:string"&gt;04/18/2022&lt;/D&gt;&lt;D xsi:type="xsd:string"&gt;04/14/2022&lt;/D&gt;&lt;D xsi:type="xsd:string"&gt;04/13/2022&lt;/D&gt;&lt;D xsi:type="xsd:string"&gt;04/12/2022&lt;/D&gt;&lt;D xsi:type="xsd:string"&gt;04/11/2022&lt;/D&gt;&lt;D xsi:type="xsd:string"&gt;04/08/2022&lt;/D&gt;&lt;D xsi:type="xsd:string"&gt;04/07/2022&lt;/D&gt;&lt;D xsi:type="xsd:string"&gt;04/06/2022&lt;/D&gt;&lt;D xsi:type="xsd:string"&gt;04/05/2022&lt;/D&gt;&lt;D xsi:type="xsd:string"&gt;04/04/2022&lt;/D&gt;&lt;D xsi:type="xsd:string"&gt;04/01/2022&lt;/D&gt;&lt;D xsi:type="xsd:string"&gt;03/31/2022&lt;/D&gt;&lt;D xsi:type="xsd:string"&gt;03/30/2022&lt;/D&gt;&lt;D xsi:type="xsd:string"&gt;03/29/2022&lt;/D&gt;&lt;D xsi:type="xsd:string"&gt;03/28/2022&lt;/D&gt;&lt;D xsi:type="xsd:string"&gt;03/25/2022&lt;/D&gt;&lt;D xsi:type="xsd:string"&gt;03/24/2022&lt;/D&gt;&lt;D xsi:type="xsd:string"&gt;03/23/2022&lt;/D&gt;&lt;D xsi:type="xsd:string"&gt;03/22/2022&lt;/D&gt;&lt;D xsi:type="xsd:string"&gt;03/21/2022&lt;/D&gt;&lt;D xsi:type="xsd:string"&gt;03/18/2022&lt;/D&gt;&lt;D xsi:type="xsd:string"&gt;03/17/2022&lt;/D&gt;&lt;D xsi:type="xsd:string"&gt;03/16/2022&lt;/D&gt;&lt;D xsi:type="xsd:string"&gt;03/15/2022&lt;/D&gt;&lt;D xsi:type="xsd:string"&gt;03/14/2022&lt;/D&gt;&lt;D xsi:type="xsd:string"&gt;03/11/2022&lt;/D&gt;&lt;D xsi:type="xsd:string"&gt;03/10/2022&lt;/D&gt;&lt;D xsi:type="xsd:string"&gt;03/09/2022&lt;/D&gt;&lt;D xsi:type="xsd:string"&gt;03/08/2022&lt;/D&gt;&lt;D xsi:type="xsd:string"&gt;03/07/2022&lt;/D&gt;&lt;D xsi:type="xsd:string"&gt;03/04/2022&lt;/D&gt;&lt;D xsi:type="xsd:string"&gt;03/03/2022&lt;/D&gt;&lt;D xsi:type="xsd:string"&gt;03/02/2022&lt;/D&gt;&lt;D xsi:type="xsd:string"&gt;03/01/2022&lt;/D&gt;&lt;D xsi:type="xsd:string"&gt;02/28/2022&lt;/D&gt;&lt;D xsi:type="xsd:string"&gt;02/25/2022&lt;/D&gt;&lt;/FQL&gt;&lt;FQL&gt;&lt;Q&gt;US00110RAA59^FG_PRICE(0,-3AM,D)&lt;/Q&gt;&lt;R&gt;65&lt;/R&gt;&lt;C&gt;1&lt;/C&gt;&lt;D xsi:type="xsd:double"&gt;89.901&lt;/D&gt;&lt;D xsi:type="xsd:double"&gt;89.72&lt;/D&gt;&lt;D xsi:type="xsd:double"&gt;88.097&lt;/D&gt;&lt;D xsi:type="xsd:double"&gt;86.126&lt;/D&gt;&lt;D xsi:type="xsd:double"&gt;85.876&lt;/D&gt;&lt;D xsi:type="xsd:double"&gt;85.876&lt;/D&gt;&lt;D xsi:type="xsd:double"&gt;86.001&lt;/D&gt;&lt;D xsi:type="xsd:double"&gt;85.626&lt;/D&gt;&lt;D xsi:type="xsd:double"&gt;86.501&lt;/D&gt;&lt;D xsi:type="xsd:double"&gt;86.626&lt;/D&gt;&lt;D xsi:type="xsd:double"&gt;87&lt;/D&gt;&lt;D xsi:type="xsd:double"&gt;87.959&lt;/D&gt;&lt;D xsi:type="xsd:double"&gt;88.5&lt;/D&gt;&lt;D xsi:type="xsd:double"&gt;89.1&lt;/D&gt;&lt;D xsi:type="xsd:double"&gt;87.626&lt;/D&gt;&lt;D xsi:type="xsd:double"&gt;89.251&lt;/D&gt;&lt;D xsi:type="xsd:double"&gt;89.585&lt;/D&gt;&lt;D xsi:type="xsd:double"&gt;89.036&lt;/D&gt;&lt;D xsi:type="xsd:double"&gt;89.558&lt;/D&gt;&lt;D xsi:type="xsd:double"&gt;89.65&lt;/D&gt;&lt;D xsi:type="xsd:double"&gt;90.63&lt;/D&gt;&lt;D xsi:type="xsd:double"&gt;90.626&lt;/D&gt;&lt;D xsi:type="xsd:double"&gt;91.279&lt;/D&gt;&lt;D xsi:type="xsd:double"&gt;91.45&lt;/D&gt;&lt;D xsi:type="xsd:double"&gt;91.25&lt;/D&gt;&lt;D xsi:type="xsd:double"&gt;92.251&lt;/D&gt;&lt;D xsi:type="xsd:double"&gt;92.251&lt;/D&gt;&lt;D xsi:type="xsd:double"&gt;92.501&lt;/D&gt;&lt;D xsi:type="xsd:double"&gt;91.756&lt;/D&gt;&lt;D xsi:type="xsd:double"&gt;91.75&lt;/D&gt;&lt;D xsi:type="xsd:double"&gt;91.75&lt;/D&gt;&lt;D xsi:type="xsd:double"&gt;91.75&lt;/D&gt;&lt;D xsi:type="xsd:double"&gt;91.375&lt;/D&gt;&lt;D xsi:type="xsd:double"&gt;91.97&lt;/D&gt;&lt;D xsi:type="xsd:double"&gt;92.924&lt;/D&gt;&lt;D xsi:type="xsd:double"&gt;92.674&lt;/D&gt;&lt;D xsi:type="xsd:double"&gt;92.551&lt;/D&gt;&lt;D xsi:type="xsd:double"&gt;93.001&lt;/D&gt;&lt;D xsi:type="xsd:double"&gt;92.799&lt;/D&gt;&lt;D xsi:type="xsd:double"&gt;92.375&lt;/D&gt;&lt;D xsi:type="xsd:double"&gt;92.251&lt;/D&gt;&lt;D xsi:type="xsd:double"&gt;92.52&lt;/D&gt;&lt;D xsi:type="xsd:double"&gt;91.451&lt;/D&gt;&lt;D xsi:type="xsd:double"&gt;90.85&lt;/D&gt;&lt;D xsi:type="xsd:double"&gt;90.501&lt;/D&gt;&lt;D xsi:type="xsd:double"&gt;90.597&lt;/D&gt;&lt;D xsi:type="xsd:double"&gt;90.126&lt;/D&gt;&lt;D xsi:type="xsd:double"&gt;90.251&lt;/D&gt;&lt;D xsi:type="xsd:double"&gt;90.426&lt;/D&gt;&lt;D xsi:type="xsd:double"&gt;91.05&lt;/D&gt;&lt;D xsi:type="xsd:double"&gt;90.542&lt;/D&gt;&lt;D xsi:type="xsd:double"&gt;90.991&lt;/D&gt;&lt;D xsi:type="xsd:double"&gt;89.125&lt;/D&gt;&lt;D xsi:type="xsd:double"&gt;88.776&lt;/D&gt;&lt;D xsi:type="xsd:double"&gt;88.75&lt;/D&gt;&lt;D xsi:type="xsd:double"&gt;88.75&lt;/D&gt;&lt;D xsi:type="xsd:double"&gt;89.927&lt;/D&gt;&lt;D xsi:type="xsd:double"&gt;88.5&lt;/D&gt;&lt;D xsi:type="xsd:double"&gt;88.5&lt;/D&gt;&lt;D xsi:type="xsd:double"&gt;89&lt;/D&gt;&lt;D xsi:type="xsd:double"&gt;91&lt;/D&gt;&lt;D xsi:type="xsd:double"&gt;91.65&lt;/D&gt;&lt;D xsi:type="xsd:double"&gt;91.47&lt;/D&gt;&lt;D xsi:type="xsd:double"&gt;92.5&lt;/D&gt;&lt;D xsi:type="xsd:double"&gt;93.5&lt;/D&gt;&lt;/FQL&gt;&lt;FQL&gt;&lt;Q&gt;US00110RAA59^P_DATE(0,NOW,D)&lt;/Q&gt;&lt;R&gt;1&lt;/R&gt;&lt;C&gt;1&lt;/C&gt;&lt;D xsi:type="xsd:string"&gt;05/27/2022&lt;/D&gt;&lt;/FQL&gt;&lt;FQL&gt;&lt;Q&gt;US00110RAA59^FG_PRICE(0,NOW,D)&lt;/Q&gt;&lt;R&gt;1&lt;/R&gt;&lt;C&gt;1&lt;/C&gt;&lt;D xsi:type="xsd:double"&gt;89.901&lt;/D&gt;&lt;/FQL&gt;&lt;FQL&gt;&lt;Q&gt;US00110RAA59^P_DATE(NOW,NOW,D)&lt;/Q&gt;&lt;R&gt;1&lt;/R&gt;&lt;C&gt;1&lt;/C&gt;&lt;D xsi:type="xsd:string"&gt;05/27/2022&lt;/D&gt;&lt;/FQL&gt;&lt;FQL&gt;&lt;Q&gt;US00110RAA59^P_DATE(NOW,-6AM,D)&lt;/Q&gt;&lt;R&gt;127&lt;/R&gt;&lt;C&gt;1&lt;/C&gt;&lt;D xsi:type="xsd:string"&gt;05/27/2022&lt;/D&gt;&lt;D xsi:type="xsd:string"&gt;05/26/2022&lt;/D&gt;&lt;D xsi:type="xsd:string"&gt;05/25/2022&lt;/D&gt;&lt;D xsi:type="xsd:string"&gt;05/24/2022&lt;/D&gt;&lt;D xsi:type="xsd:string"&gt;05/23/2022&lt;/D&gt;&lt;D xsi:type="xsd:string"&gt;05/20/2022&lt;/D&gt;&lt;D xsi:type="xsd:string"&gt;05/19/2022&lt;/D&gt;&lt;D xsi:type="xsd:string"&gt;05/18/2022&lt;/D&gt;&lt;D xsi:type="xsd:string"&gt;05/17/2022&lt;/D&gt;&lt;D xsi:type="xsd:string"&gt;05/16/2022&lt;/D&gt;&lt;D xsi:type="xsd:string"&gt;05/13/2022&lt;/D&gt;&lt;D xsi:type="xsd:string"&gt;05/12/2022&lt;/D&gt;&lt;D xsi:type="xsd:string"&gt;05/11/2022&lt;/D&gt;&lt;D xsi:type="xsd:string"&gt;05/10/2022&lt;/D&gt;&lt;D xsi:type="xsd:string"&gt;05/09/2022&lt;/D&gt;&lt;D xsi:type="xsd:string"&gt;05/06/2022&lt;/D&gt;&lt;D xsi:type="xsd:string"&gt;05/05/2022&lt;/D&gt;&lt;D xsi:type="xsd:string"&gt;05/04/2022&lt;/D&gt;&lt;D xsi:type="xsd:string"&gt;05/03/2022&lt;/D&gt;&lt;D xsi:type="xsd:string"&gt;05/02/2022&lt;/D&gt;&lt;D xsi:type="xsd:string"&gt;04/29/2022&lt;/D&gt;&lt;D xsi:type="xsd:string"&gt;04/28/2022&lt;/D&gt;&lt;D xsi:type="xsd:string"&gt;04/27/2022&lt;/D&gt;&lt;D xsi:type="xsd:string"&gt;04/26/2022&lt;/D&gt;&lt;D xsi:type="xsd:string"&gt;04/25/2022&lt;/D&gt;&lt;D xsi:type="xsd:string"&gt;04/22/2022&lt;/D&gt;&lt;D xsi:type="xsd:string"&gt;04/21/2022&lt;/D&gt;&lt;D xsi:type="xsd:string"&gt;04/20/2022&lt;/D&gt;&lt;D xsi:type="xsd:string"&gt;04/19/2022&lt;/D&gt;&lt;D xsi:type="xsd:string"&gt;04/18/2022&lt;/D&gt;&lt;D xsi:type="xsd:string"&gt;04/14/2022&lt;/D&gt;&lt;D xsi:type="xsd:string"&gt;04/13/2022&lt;/D&gt;&lt;D xsi:type="xsd:string"&gt;04/12/2022&lt;/D&gt;&lt;D xsi:type="xsd:string"&gt;04/11/2022&lt;/D&gt;&lt;D xsi:type="xsd:string"&gt;04/08/2022&lt;/D&gt;&lt;D xsi:type="xsd:string"&gt;04/07/2022&lt;/D&gt;&lt;D xsi:type="xsd:string"&gt;04/06/2022&lt;/D&gt;&lt;D xsi:type="xsd:string"&gt;04/05/2022&lt;/D&gt;&lt;D xsi:type="xsd:string"&gt;04/04/2022&lt;/D&gt;&lt;D xsi:type="xsd:string"&gt;04/01/2022&lt;/D&gt;&lt;D xsi:type="xsd:string"&gt;03/31/2022&lt;/D&gt;&lt;D xsi:type="xsd:string"&gt;03/30/2022&lt;/D&gt;&lt;D xsi:type="xsd:string"&gt;03/29/2022&lt;/D&gt;&lt;D xsi:type="xsd:string"&gt;03/28/2022&lt;/D&gt;&lt;D xsi:type="xsd:string"&gt;03/25/2022&lt;/D&gt;&lt;D xsi:type="xsd:string"&gt;03/24/2022&lt;/D&gt;&lt;D xsi:type="xsd:string"&gt;03/23/2022&lt;/D&gt;&lt;D xsi:type="xsd:string"&gt;03/22/2022&lt;/D&gt;&lt;D xsi:type="xsd:string"&gt;03/21/2022&lt;/D&gt;&lt;D xsi:type="xsd:string"&gt;03/18/2022&lt;/D&gt;&lt;D xsi:type="xsd:string"&gt;03/17/2022&lt;/D&gt;&lt;D xsi:type="xsd:string"&gt;03/16/2022&lt;/D&gt;&lt;D xsi:type="xsd:string"&gt;03/15/2022&lt;/D&gt;&lt;D xsi:type="xsd:string"&gt;03/14/2022&lt;/D&gt;&lt;D xsi:type="xsd:string"&gt;03/11/2022&lt;/D&gt;&lt;D xsi:type="xsd:string"&gt;03/10/2022&lt;/D&gt;&lt;D xsi:type="xsd:string"&gt;03/09/2022&lt;/D&gt;&lt;D xsi:type="xsd:string"&gt;03/08/2022&lt;/D&gt;&lt;D xsi:type="xsd:string"&gt;03/07/2022&lt;/D&gt;&lt;D xsi:type="xsd:string"&gt;03/04/2022&lt;/D&gt;&lt;D xsi:type="xsd:string"&gt;03/03/2022&lt;/D&gt;&lt;D xsi:type="xsd:string"&gt;03/02/2022&lt;/D&gt;&lt;D xsi:type="xsd:string"&gt;03/01/2022&lt;/D&gt;&lt;D xsi:type="xsd:string"&gt;02/28/2022&lt;/D&gt;&lt;D xsi:type="xsd:string"&gt;02/25/2022&lt;/D&gt;&lt;D xsi:type="xsd:string"&gt;02/24/2022&lt;/D&gt;&lt;D xsi:type="xsd:string"&gt;02/23/2022&lt;/D&gt;&lt;D xsi:type="xsd:string"&gt;02/22/2022&lt;/D&gt;&lt;D xsi:type="xsd:s</t>
        </r>
      </text>
    </comment>
    <comment ref="A4" authorId="0" shapeId="0" xr:uid="{748B8682-5EB9-4488-9E8B-CF5B44631181}">
      <text>
        <r>
          <rPr>
            <b/>
            <sz val="9"/>
            <color indexed="81"/>
            <rFont val="Tahoma"/>
            <family val="2"/>
          </rPr>
          <t>tring"&gt;02/18/2022&lt;/D&gt;&lt;D xsi:type="xsd:string"&gt;02/17/2022&lt;/D&gt;&lt;D xsi:type="xsd:string"&gt;02/16/2022&lt;/D&gt;&lt;D xsi:type="xsd:string"&gt;02/15/2022&lt;/D&gt;&lt;D xsi:type="xsd:string"&gt;02/14/2022&lt;/D&gt;&lt;D xsi:type="xsd:string"&gt;02/11/2022&lt;/D&gt;&lt;D xsi:type="xsd:string"&gt;02/10/2022&lt;/D&gt;&lt;D xsi:type="xsd:string"&gt;02/09/2022&lt;/D&gt;&lt;D xsi:type="xsd:string"&gt;02/08/2022&lt;/D&gt;&lt;D xsi:type="xsd:string"&gt;02/07/2022&lt;/D&gt;&lt;D xsi:type="xsd:string"&gt;02/04/2022&lt;/D&gt;&lt;D xsi:type="xsd:string"&gt;02/03/2022&lt;/D&gt;&lt;D xsi:type="xsd:string"&gt;02/02/2022&lt;/D&gt;&lt;D xsi:type="xsd:string"&gt;02/01/2022&lt;/D&gt;&lt;D xsi:type="xsd:string"&gt;01/31/2022&lt;/D&gt;&lt;D xsi:type="xsd:string"&gt;01/28/2022&lt;/D&gt;&lt;D xsi:type="xsd:string"&gt;01/27/2022&lt;/D&gt;&lt;D xsi:type="xsd:string"&gt;01/26/2022&lt;/D&gt;&lt;D xsi:type="xsd:string"&gt;01/25/2022&lt;/D&gt;&lt;D xsi:type="xsd:string"&gt;01/24/2022&lt;/D&gt;&lt;D xsi:type="xsd:string"&gt;01/21/2022&lt;/D&gt;&lt;D xsi:type="xsd:string"&gt;01/20/2022&lt;/D&gt;&lt;D xsi:type="xsd:string"&gt;01/19/2022&lt;/D&gt;&lt;D xsi:type="xsd:string"&gt;01/18/2022&lt;/D&gt;&lt;D xsi:type="xsd:string"&gt;01/14/2022&lt;/D&gt;&lt;D xsi:type="xsd:string"&gt;01/13/2022&lt;/D&gt;&lt;D xsi:type="xsd:string"&gt;01/12/2022&lt;/D&gt;&lt;D xsi:type="xsd:string"&gt;01/11/2022&lt;/D&gt;&lt;D xsi:type="xsd:string"&gt;01/10/2022&lt;/D&gt;&lt;D xsi:type="xsd:string"&gt;01/07/2022&lt;/D&gt;&lt;D xsi:type="xsd:string"&gt;01/06/2022&lt;/D&gt;&lt;D xsi:type="xsd:string"&gt;01/05/2022&lt;/D&gt;&lt;D xsi:type="xsd:string"&gt;01/04/2022&lt;/D&gt;&lt;D xsi:type="xsd:string"&gt;01/03/2022&lt;/D&gt;&lt;D xsi:type="xsd:string"&gt;12/31/2021&lt;/D&gt;&lt;D xsi:type="xsd:string"&gt;12/30/2021&lt;/D&gt;&lt;D xsi:type="xsd:string"&gt;12/29/2021&lt;/D&gt;&lt;D xsi:type="xsd:string"&gt;12/28/2021&lt;/D&gt;&lt;D xsi:type="xsd:string"&gt;12/27/2021&lt;/D&gt;&lt;D xsi:type="xsd:string"&gt;12/23/2021&lt;/D&gt;&lt;D xsi:type="xsd:string"&gt;12/22/2021&lt;/D&gt;&lt;D xsi:type="xsd:string"&gt;12/21/2021&lt;/D&gt;&lt;D xsi:type="xsd:string"&gt;12/20/2021&lt;/D&gt;&lt;D xsi:type="xsd:string"&gt;12/17/2021&lt;/D&gt;&lt;D xsi:type="xsd:string"&gt;12/16/2021&lt;/D&gt;&lt;D xsi:type="xsd:string"&gt;12/15/2021&lt;/D&gt;&lt;D xsi:type="xsd:string"&gt;12/14/2021&lt;/D&gt;&lt;D xsi:type="xsd:string"&gt;12/13/2021&lt;/D&gt;&lt;D xsi:type="xsd:string"&gt;12/10/2021&lt;/D&gt;&lt;D xsi:type="xsd:string"&gt;12/09/2021&lt;/D&gt;&lt;D xsi:type="xsd:string"&gt;12/08/2021&lt;/D&gt;&lt;D xsi:type="xsd:string"&gt;12/07/2021&lt;/D&gt;&lt;D xsi:type="xsd:string"&gt;12/06/2021&lt;/D&gt;&lt;D xsi:type="xsd:string"&gt;12/03/2021&lt;/D&gt;&lt;D xsi:type="xsd:string"&gt;12/02/2021&lt;/D&gt;&lt;D xsi:type="xsd:string"&gt;12/01/2021&lt;/D&gt;&lt;D xsi:type="xsd:string"&gt;11/30/2021&lt;/D&gt;&lt;D xsi:type="xsd:string"&gt;11/29/2021&lt;/D&gt;&lt;D xsi:type="xsd:string"&gt;11/26/2021&lt;/D&gt;&lt;/FQL&gt;&lt;FQL&gt;&lt;Q&gt;US00110RAA59^FG_PRICE(NOW,-6AM,D)&lt;/Q&gt;&lt;R&gt;127&lt;/R&gt;&lt;C&gt;1&lt;/C&gt;&lt;D xsi:type="xsd:double"&gt;89.901&lt;/D&gt;&lt;D xsi:type="xsd:double"&gt;89.72&lt;/D&gt;&lt;D xsi:type="xsd:double"&gt;88.097&lt;/D&gt;&lt;D xsi:type="xsd:double"&gt;86.126&lt;/D&gt;&lt;D xsi:type="xsd:double"&gt;85.876&lt;/D&gt;&lt;D xsi:type="xsd:double"&gt;85.876&lt;/D&gt;&lt;D xsi:type="xsd:double"&gt;86.001&lt;/D&gt;&lt;D xsi:type="xsd:double"&gt;85.626&lt;/D&gt;&lt;D xsi:type="xsd:double"&gt;86.501&lt;/D&gt;&lt;D xsi:type="xsd:double"&gt;86.626&lt;/D&gt;&lt;D xsi:type="xsd:double"&gt;87&lt;/D&gt;&lt;D xsi:type="xsd:double"&gt;87.959&lt;/D&gt;&lt;D xsi:type="xsd:double"&gt;88.5&lt;/D&gt;&lt;D xsi:type="xsd:double"&gt;89.1&lt;/D&gt;&lt;D xsi:type="xsd:double"&gt;87.626&lt;/D&gt;&lt;D xsi:type="xsd:double"&gt;89.251&lt;/D&gt;&lt;D xsi:type="xsd:double"&gt;89.585&lt;/D&gt;&lt;D xsi:type="xsd:double"&gt;89.036&lt;/D&gt;&lt;D xsi:type="xsd:double"&gt;89.558&lt;/D&gt;&lt;D xsi:type="xsd:double"&gt;89.65&lt;/D&gt;&lt;D xsi:type="xsd:double"&gt;90.63&lt;/D&gt;&lt;D xsi:type="xsd:double"&gt;90.626&lt;/D&gt;&lt;D xsi:type="xsd:double"&gt;91.279&lt;/D&gt;&lt;D xsi:type="xsd:double"&gt;91.45&lt;/D&gt;&lt;D xsi:type="xsd:double"&gt;91.25&lt;/D&gt;&lt;D xsi:type="xsd:double"&gt;92.251&lt;/D&gt;&lt;D xsi:type="xsd:double"&gt;92.251&lt;/D&gt;&lt;D xsi:type="xsd:double"&gt;92.501&lt;/D&gt;&lt;D xsi:type="xsd:double"&gt;91.756&lt;/D&gt;&lt;D xsi:type="xsd:double"&gt;91.75&lt;/D&gt;&lt;D xsi:type="xsd:double"&gt;91.75&lt;/D&gt;&lt;D xsi:type="xsd:double"&gt;91.75&lt;/D&gt;&lt;D xsi:type="xsd:double"&gt;91.375&lt;/D&gt;&lt;D xsi:type="xsd:double"&gt;91.97&lt;/D&gt;&lt;D xsi:type="xsd:double"&gt;92.924&lt;/D&gt;&lt;D xsi:type="xsd:double"&gt;92.674&lt;/D&gt;&lt;D xsi:type="xsd:double"&gt;92.551&lt;/D&gt;&lt;D xsi:type="xsd:double"&gt;93.001&lt;/D&gt;&lt;D xsi:type="xsd:double"&gt;92.799&lt;/D&gt;&lt;D xsi:type="xsd:double"&gt;92.375&lt;/D&gt;&lt;D xsi:type="xsd:double"&gt;92.251&lt;/D&gt;&lt;D xsi:type="xsd:double"&gt;92.52&lt;/D&gt;&lt;D xsi:type="xsd:double"&gt;91.451&lt;/D&gt;&lt;D xsi:type="xsd:double"&gt;90.85&lt;/D&gt;&lt;D xsi:type="xsd:double"&gt;90.501&lt;/D&gt;&lt;D xsi:type="xsd:double"&gt;90.597&lt;/D&gt;&lt;D xsi:type="xsd:double"&gt;90.126&lt;/D&gt;&lt;D xsi:type="xsd:double"&gt;90.251&lt;/D&gt;&lt;D xsi:type="xsd:double"&gt;90.426&lt;/D&gt;&lt;D xsi:type="xsd:double"&gt;91.05&lt;/D&gt;&lt;D xsi:type="xsd:double"&gt;90.542&lt;/D&gt;&lt;D xsi:type="xsd:double"&gt;90.991&lt;/D&gt;&lt;D xsi:type="xsd:double"&gt;89.125&lt;/D&gt;&lt;D xsi:type="xsd:double"&gt;88.776&lt;/D&gt;&lt;D xsi:type="xsd:double"&gt;88.75&lt;/D&gt;&lt;D xsi:type="xsd:double"&gt;88.75&lt;/D&gt;&lt;D xsi:type="xsd:double"&gt;89.927&lt;/D&gt;&lt;D xsi:type="xsd:double"&gt;88.5&lt;/D&gt;&lt;D xsi:type="xsd:double"&gt;88.5&lt;/D&gt;&lt;D xsi:type="xsd:double"&gt;89&lt;/D&gt;&lt;D xsi:type="xsd:double"&gt;91&lt;/D&gt;&lt;D xsi:type="xsd:double"&gt;91.65&lt;/D&gt;&lt;D xsi:type="xsd:double"&gt;91.47&lt;/D&gt;&lt;D xsi:type="xsd:double"&gt;92.5&lt;/D&gt;&lt;D xsi:type="xsd:double"&gt;93.5&lt;/D&gt;&lt;D xsi:type="xsd:double"&gt;92.876&lt;/D&gt;&lt;D xsi:type="xsd:double"&gt;93.97&lt;/D&gt;&lt;D xsi:type="xsd:double"&gt;94.5&lt;/D&gt;&lt;D xsi:type="xsd:double"&gt;94.5&lt;/D&gt;&lt;D xsi:type="xsd:double"&gt;94.751&lt;/D&gt;&lt;D xsi:type="xsd:double"&gt;94.831&lt;/D&gt;&lt;D xsi:type="xsd:double"&gt;94.876&lt;/D&gt;&lt;D xsi:type="xsd:double"&gt;95.001&lt;/D&gt;&lt;D xsi:type="xsd:double"&gt;95.25&lt;/D&gt;&lt;D xsi:type="xsd:double"&gt;96.375&lt;/D&gt;&lt;D xsi:type="xsd:double"&gt;96.8&lt;/D&gt;&lt;D xsi:type="xsd:double"&gt;96.376&lt;/D&gt;&lt;D xsi:type="xsd:double"&gt;96.717&lt;/D&gt;&lt;D xsi:type="xsd:double"&gt;96.751&lt;/D&gt;&lt;D xsi:type="xsd:double"&gt;97.5&lt;/D&gt;&lt;D xsi:type="xsd:double"&gt;97.25&lt;/D&gt;&lt;D xsi:type="xsd:double"&gt;97.147&lt;/D&gt;&lt;D xsi:type="xsd:double"&gt;97.75&lt;/D&gt;&lt;D xsi:type="xsd:double"&gt;97.3&lt;/D&gt;&lt;D xsi:type="xsd:double"&gt;97.79&lt;/D&gt;&lt;D xsi:type="xsd:double"&gt;97.97&lt;/D&gt;&lt;D xsi:type="xsd:double"&gt;96.97&lt;/D&gt;&lt;D xsi:type="xsd:double"&gt;95.501&lt;/D&gt;&lt;D xsi:type="xsd:double"&gt;97.1&lt;/D&gt;&lt;D xsi:type="xsd:double"&gt;97.01&lt;/D&gt;&lt;D xsi:type="xsd:double"&gt;97.378&lt;/D&gt;&lt;D xsi:type="xsd:double"&gt;96.687&lt;/D&gt;&lt;D xsi:type="xsd:double"&gt;97.75&lt;/D&gt;&lt;D xsi:type="xsd:double"&gt;97.845&lt;/D&gt;&lt;D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xsi:type="xsd:string"&gt;@NA&lt;/D&gt;&lt;/FQL&gt;&lt;FQL&gt;&lt;Q&gt;USL0R80QAA10^P_DATE(NOW,-6AM,D)&lt;/Q&gt;&lt;R&gt;127&lt;/R&gt;&lt;C&gt;1&lt;/C&gt;&lt;D xsi:type="xsd:string"&gt;05/27/2022&lt;/D&gt;&lt;D xsi:type="xsd:string"&gt;05/26/2022&lt;/D&gt;&lt;D xsi:type="xsd:string"&gt;05/25/2022&lt;/D&gt;&lt;D xsi:type="xsd:string"&gt;05/24/2022&lt;/D&gt;&lt;D xsi:type="xsd:string"&gt;05/23/2022&lt;/D&gt;&lt;D xsi:type="xsd:string"&gt;05/20/2022&lt;/D&gt;&lt;D xsi:type="xsd:string"&gt;05/19/2022&lt;/D&gt;&lt;D xsi:type="xsd:string"&gt;05/18/2022&lt;/D&gt;&lt;D xsi:type="xsd:string"&gt;05/17/2022&lt;/D&gt;&lt;D xsi:type="xsd:string"&gt;05/16/2022&lt;/D&gt;&lt;D xsi:type="xsd:string"&gt;05/13/2022&lt;/D&gt;&lt;D xsi:type="xsd:string"&gt;05/12/2022&lt;/D&gt;&lt;D xsi:type="xsd:string"&gt;05/11/2022&lt;/D&gt;&lt;D xsi:type="xsd:string"&gt;05/10/2022&lt;/D&gt;&lt;D xsi:type="xsd:string"&gt;05/09/2022&lt;/D&gt;&lt;D xsi:type="xsd:string"&gt;05/06/2022&lt;/D&gt;&lt;D xsi:type="xsd:string"&gt;05/05/2022&lt;/D&gt;&lt;D xsi:type="xsd:string"&gt;05/04/2022&lt;/D&gt;&lt;D xsi:type="xsd:string"&gt;05/03/2022&lt;/D&gt;&lt;D xsi:type="xsd:string"&gt;05/02/2022&lt;/D&gt;&lt;D xsi:type="xsd:string"&gt;04/29/2022&lt;/D&gt;&lt;D xsi:type="xsd:string"&gt;04/28/2022&lt;/D&gt;&lt;D xsi:type="xsd:string"&gt;04/27/2022&lt;/D&gt;&lt;D xsi:type="xsd:string"&gt;04/26/2022&lt;/D&gt;&lt;D xsi:type="xsd:string"&gt;04/25/2022&lt;/D&gt;&lt;D xsi:type="xsd:string"&gt;04/22/2022&lt;/D&gt;&lt;D xsi:type="xsd:string"&gt;04/21/2022&lt;/D&gt;&lt;D xsi:type="xsd:string"&gt;04/20/2022&lt;/D&gt;&lt;D xsi:type="xsd:string"&gt;04/19/2022&lt;/D&gt;&lt;D xsi:type="xsd:string"&gt;04/18/2022&lt;/D&gt;&lt;D xsi:type="xsd:string"&gt;04/14/2022&lt;/D&gt;&lt;D xsi:type="xsd:string"&gt;04/13/2022&lt;/D&gt;&lt;D xsi:type="xsd:string"&gt;04/12/2022&lt;/D&gt;&lt;D xsi:type="xsd:string"&gt;04/11/2022&lt;/D&gt;&lt;D xsi:type="xsd:string"&gt;04/08/2022&lt;/D&gt;&lt;D xsi:type="xsd:string"&gt;04/07/2022&lt;/D&gt;&lt;D xsi:type="xsd:string"&gt;04/06/2022&lt;/D&gt;&lt;D xsi:type="xsd:string"&gt;04/05/2022&lt;/D&gt;&lt;D xsi:type="xsd:string"&gt;04/04/2022&lt;/D&gt;&lt;D xsi:type="xsd:string"&gt;04/01/2022&lt;/D&gt;&lt;D xsi:type="xsd:string"&gt;03/31/2022&lt;/D&gt;&lt;D xsi:type="xsd:string"&gt;03/30/2022&lt;/D&gt;&lt;D xsi:type="xsd:string"&gt;03/29/2022&lt;/D&gt;&lt;D xsi:type="xsd:string"&gt;03/28/2022&lt;/D&gt;&lt;D xsi:type="xsd:string"&gt;03/25/2022&lt;/D&gt;&lt;D xsi:type="xsd:string"&gt;03/24/2022&lt;/D&gt;&lt;D xsi:type="xsd:string"&gt;03/23/2022&lt;/D&gt;&lt;D xsi:type="xsd:string"&gt;03/22/2022&lt;/D&gt;&lt;D xsi:type="xsd:string"&gt;03/21/2022&lt;/D&gt;&lt;D xsi:type="xsd:string"&gt;03/18/2022&lt;/D&gt;&lt;D xsi:type="xsd:string"&gt;03/17/2022&lt;/D&gt;&lt;D xsi:type="xsd:string"&gt;03/16/2022&lt;/D&gt;&lt;D xsi:type="xsd:string"&gt;03/15/2022&lt;/D&gt;&lt;D xsi:type="xsd:string"&gt;03/14/2022&lt;/D&gt;&lt;D xsi:type="xsd:string"&gt;03/11/2022&lt;/D&gt;&lt;D xsi:type="xsd:string"&gt;03/10/2022&lt;/D&gt;&lt;D xsi:type="xsd:string"&gt;03/09/2022&lt;/D&gt;&lt;D xsi:type="xsd:string"&gt;03/08/2022&lt;/D&gt;&lt;D xsi:type="xsd:string"&gt;03/07/2022&lt;/D&gt;&lt;D xsi:type="xsd:string"&gt;03/04/2022&lt;/D&gt;&lt;D xsi:type="xsd:string"&gt;03/03/2022&lt;/D&gt;&lt;D xsi:type="xsd:string"&gt;03/02/2022&lt;/D&gt;&lt;D xsi:type="xsd:string"&gt;03/01/2022&lt;/D&gt;&lt;D xsi:type="xsd:string"&gt;02/28/2022&lt;/D&gt;&lt;D xsi:type="xsd:string"&gt;02/25/2022&lt;/D&gt;&lt;D xsi:type="xsd:string"&gt;02/24/2022&lt;/D&gt;&lt;D xsi:type="xsd:string"&gt;02/23/2022&lt;/D&gt;&lt;D xsi:type="xsd:string"&gt;02/22/2022&lt;/D&gt;&lt;D xsi:type="xsd:string"&gt;02/18/2022&lt;/D&gt;&lt;D xsi:type="xsd:string"&gt;02/17/2022&lt;/D&gt;&lt;D xsi:type="xsd:string"&gt;02/16/2022&lt;/D&gt;&lt;D xsi:type="xsd:string"&gt;02/15/2022&lt;/D&gt;&lt;D xsi:type="xsd:string"&gt;02/14/2022&lt;/D&gt;&lt;D xsi:type="xsd:string"&gt;02/11/2022&lt;/D&gt;&lt;D xsi:type="xsd:string"&gt;02/10/2022&lt;/D&gt;&lt;D xsi:type="xsd:string"&gt;02/09/2022&lt;/D&gt;&lt;D xsi:type="xsd:string"&gt;02/08/2022&lt;/D&gt;&lt;D xsi:type="xsd:string"&gt;02/07/2022&lt;/D&gt;&lt;D xsi:type="xsd:string"&gt;02/04/2022&lt;/D&gt;&lt;D xsi:type="xsd:string"&gt;02/03/2022&lt;/D&gt;&lt;D xsi:type="xsd:string"&gt;02/02/2022&lt;/D&gt;&lt;D xsi:type="xsd:string"&gt;02/01/2022&lt;/D&gt;&lt;D xsi:type="xsd:string"&gt;01/31/2022&lt;/D&gt;&lt;D xsi:type="xsd:string"&gt;01/28/2022&lt;/D&gt;&lt;D xsi:type="xsd:string"&gt;01/27/2022&lt;/D&gt;&lt;D xsi:type="xsd:string"&gt;01/26/2022&lt;/D&gt;&lt;D xsi:type="xsd:string"&gt;01/25/2022&lt;/D&gt;&lt;D xsi:type="xsd:string"&gt;01/24/2022&lt;/D&gt;&lt;D xsi:type="xsd:string"&gt;01/21/2022&lt;/D&gt;&lt;D xsi:type="xsd:string"&gt;01/20/2022&lt;/D&gt;&lt;D xsi:type="xsd:string"&gt;01/19/2022&lt;/D&gt;&lt;D xsi:type="xsd:string"&gt;01/18/2022&lt;/D&gt;&lt;D xsi:type="xsd:string"&gt;01/14/2022&lt;/D&gt;&lt;D xsi:type="xsd:string"&gt;01/13/2022&lt;/D&gt;&lt;D xsi:type="xsd:string"&gt;01/12/2022&lt;/D&gt;&lt;D xsi:type="xsd:string"&gt;01/11/2022&lt;/D&gt;&lt;D xsi:type="xsd:string"&gt;01/10/2022&lt;/D&gt;&lt;D xsi:type="xsd:string"&gt;01/07/2022&lt;/D&gt;&lt;D xsi:type="xsd:string"&gt;01/06/2022&lt;/D&gt;&lt;D xsi:type="xsd:string"&gt;01/05/2022&lt;/D&gt;&lt;D xsi:type="xsd:string"&gt;01/04/2022&lt;/D&gt;&lt;D xsi:type="xsd:string"&gt;01/03/2022&lt;/D&gt;&lt;D xsi:type="xsd:string"&gt;12/31/2021&lt;/D&gt;&lt;D xsi:type="xsd:string"&gt;12/30/2021&lt;/D&gt;&lt;D xsi:type="xsd:string"&gt;12/29/2021&lt;/D&gt;&lt;D xsi:type="xsd:string"&gt;12/28/2021&lt;/D&gt;&lt;D xsi:type="xsd:string"&gt;12/27/2021&lt;/D&gt;&lt;D xsi:type="xsd:string"&gt;12/23/2021&lt;/D&gt;&lt;D xsi:type="xsd:string"&gt;12/22/2021&lt;/D&gt;&lt;D xsi:type="xsd:string"&gt;12/21/2021&lt;/D&gt;&lt;D xsi:type="xsd:string"&gt;12/20/2021&lt;/D&gt;&lt;D xsi:type="xsd:string"&gt;12/17/2021&lt;/D&gt;&lt;D xsi:type="xsd:string"&gt;12/16/2021&lt;/D&gt;&lt;D xsi:type="xsd:string"&gt;12/15/2021&lt;/D&gt;&lt;D xsi:type="xsd:string"&gt;12/14/2021&lt;/D&gt;&lt;D xsi:type="xsd:string"&gt;12/13/2021&lt;/D&gt;&lt;D xsi:type="xsd:string"&gt;12/10/2021&lt;/D&gt;&lt;D xsi:type="xsd:string"&gt;12/09/2021&lt;/D&gt;&lt;D xsi:type="xsd:string"&gt;12/08/2021&lt;/D&gt;&lt;D xsi:type="xsd:string"&gt;12/07/2021&lt;/D&gt;&lt;D xsi:type="xsd:string"&gt;12/06/2021&lt;/D&gt;&lt;D xsi:type="xsd:string"&gt;12/03/2021&lt;/D&gt;&lt;D xsi:type="xsd:string"&gt;12/02/2021&lt;/D&gt;&lt;D xsi:type="xsd:string"&gt;12/01/2021&lt;/D&gt;&lt;D xsi:type="xsd:string"&gt;11/30/2021&lt;/D&gt;&lt;D xsi:type="xsd:string"&gt;11/29/2021&lt;/D&gt;&lt;D xsi:type="xsd:string"&gt;11/26/2021&lt;/D&gt;&lt;/FQL&gt;&lt;FQL&gt;&lt;Q&gt;USL0R80QAA10^FG_PRICE(NOW,-6AM,D)&lt;/Q&gt;&lt;R&gt;127&lt;/R&gt;&lt;C&gt;1&lt;/C&gt;&lt;D xsi:type="xsd:double"&gt;89.901&lt;/D&gt;&lt;D xsi:type="xsd:double"&gt;89.72&lt;/D&gt;&lt;D xsi:type="xsd:double"&gt;88.097&lt;/D&gt;&lt;D xsi:type="xsd:double"&gt;86.126&lt;/D&gt;&lt;D xsi:type="xsd:double"&gt;85.876&lt;/D&gt;&lt;D xsi:type="xsd:double"&gt;85.876&lt;/D&gt;&lt;D xsi:type="xsd:double"&gt;86.001&lt;/D&gt;&lt;D xsi:type="xsd:double"&gt;85.626&lt;/D&gt;&lt;D xsi:type="xsd:double"&gt;86.501&lt;/D&gt;&lt;D xsi:type="xsd:double"&gt;86.626&lt;/D&gt;&lt;D xsi:type="xsd:double"&gt;87&lt;/D&gt;&lt;D xsi:type="xsd:double"&gt;87.959&lt;/D&gt;&lt;D xsi:type="xsd:double"&gt;88.5&lt;/D&gt;&lt;D xsi:type="xsd:double"&gt;89.1&lt;/D&gt;&lt;D xsi:type="xsd:double"&gt;87.626&lt;/D&gt;&lt;D xsi:type="xsd:double"&gt;89.251&lt;/D&gt;&lt;D xsi:type="xsd:double"&gt;89.585&lt;/D&gt;&lt;D xsi:type="xsd:double"&gt;89.036&lt;/D&gt;&lt;D xsi:type="xsd:double"&gt;89.558&lt;/D&gt;&lt;D xsi:type="xsd:double"&gt;89.65&lt;/D&gt;&lt;D xsi:type="xsd:double"&gt;90.63&lt;/D&gt;&lt;D xsi:type="xsd:double"&gt;90.626&lt;/D&gt;&lt;D xsi:type="xsd:double"&gt;91.279&lt;/D&gt;&lt;D xsi:type="xsd:double"&gt;91.45&lt;/D&gt;&lt;D xsi:type="xsd:double"&gt;91.25&lt;/D&gt;&lt;D xsi:type="xsd:double"&gt;92.251&lt;/D&gt;&lt;D xsi:type="xsd:double"&gt;92.251&lt;/D&gt;&lt;D xsi:type="xsd:double"&gt;92.501&lt;/D&gt;&lt;D xsi:type="xsd:double"&gt;91.756&lt;/D&gt;&lt;D xsi:type="xsd:double"&gt;91.75&lt;/D&gt;&lt;D xsi:type="xsd:double"&gt;91.75&lt;/D&gt;&lt;D xsi:type="xsd:double"&gt;91.75&lt;/D&gt;&lt;D xsi:type="xsd:double"&gt;91.375&lt;/D&gt;&lt;D xsi:type="xsd:double"&gt;91.97&lt;/D&gt;&lt;D xsi:type="xsd:double"&gt;92.924&lt;/D&gt;&lt;D xsi:type="xsd:double"&gt;92.674&lt;/D&gt;&lt;D xsi:type="xsd:double"&gt;92.551&lt;/D&gt;&lt;D xsi:type="xsd:double"&gt;93.001&lt;/D&gt;&lt;D xsi:type="xsd:double"&gt;92.799&lt;/D&gt;&lt;D xsi:type="xsd:double"&gt;92.375&lt;/D&gt;&lt;D xsi:type="xsd:double"&gt;92.251&lt;/D&gt;&lt;D xsi:type="xsd:double"&gt;92.52&lt;/D&gt;&lt;D xsi:type="xsd:double"&gt;91.451&lt;/D&gt;&lt;D xsi:type="xsd:double"&gt;90.85&lt;/D&gt;&lt;D xsi:type="xsd:double"&gt;90.501&lt;/D&gt;&lt;D xsi:type="xsd:double"&gt;90.597&lt;/D&gt;&lt;D xsi:type="xsd:double"&gt;90.126&lt;/D&gt;&lt;D xsi:type="xsd:double"&gt;90.251&lt;/D&gt;&lt;D xsi:type="xsd:double"&gt;90.426&lt;/D&gt;&lt;D xsi:type="xsd:double"&gt;91.05&lt;/D&gt;&lt;D xsi:type="xsd:double"&gt;90.542&lt;/D&gt;&lt;D xsi:type="xsd:double"&gt;90.991&lt;/D&gt;&lt;D xsi:type="xsd:double"&gt;89.125&lt;/D&gt;&lt;D xsi:type="xsd:double"&gt;88.776&lt;/D&gt;&lt;D xsi:type="xsd:double"&gt;88.75&lt;/D&gt;&lt;D xsi:type="xsd:double"&gt;88.75&lt;/D&gt;&lt;D xsi:type="xsd:double"&gt;89.927&lt;/D&gt;&lt;D xsi:type="xsd:double"&gt;88.5&lt;/D&gt;&lt;D xsi:type="xsd:double"&gt;88.5&lt;/D&gt;&lt;D xsi:type="xsd:double"&gt;89&lt;/D&gt;&lt;D xsi:type="xsd:double"&gt;91&lt;/D&gt;&lt;D xsi:type="xsd:double"&gt;91.65&lt;/D&gt;&lt;D xsi:type="xsd:double"&gt;91.47&lt;/D&gt;&lt;D xsi:type="xsd:double"&gt;92.5&lt;/D&gt;&lt;D xsi:type="xsd:double"&gt;93.5&lt;/D&gt;&lt;D xsi:type="xsd:double"&gt;92.876&lt;/D&gt;&lt;D xsi:type="xsd:double"&gt;93.97&lt;/D&gt;&lt;D xsi:type="xsd:double"&gt;94.5&lt;/D&gt;&lt;D xsi:type="xsd:double"&gt;94.5&lt;/D&gt;&lt;D xsi:type="xsd:double"&gt;94.751&lt;/D&gt;&lt;D xsi:type="xsd:double"&gt;94.831&lt;/D&gt;&lt;D xsi:type="xsd:double"&gt;94.876&lt;/D&gt;&lt;D xsi:type="xsd:double"&gt;95.001&lt;/D&gt;&lt;D xsi:type="xsd:double"&gt;95.25&lt;/D&gt;&lt;D xsi:type="xsd:double"&gt;96.375&lt;/D&gt;&lt;D xsi:type="xsd:double"&gt;96.8&lt;/D&gt;&lt;D xsi:type="xsd:double"&gt;96.376&lt;/D&gt;&lt;D xsi:type="xsd:double"&gt;96.717&lt;/D&gt;&lt;D xsi:type="xsd:double"&gt;96.751&lt;/D&gt;&lt;D xsi:type="xsd:double"&gt;97.5&lt;/D&gt;&lt;D xsi:type="xsd:double"&gt;97.25&lt;/D&gt;&lt;D xsi:type="xsd:double"&gt;97.147&lt;/D&gt;&lt;D xsi:type="xsd:double"&gt;97.75&lt;/D&gt;&lt;D xsi:type="xsd:double"&gt;97.3&lt;/D&gt;&lt;D xsi:type="xsd:double"&gt;97.79&lt;/D&gt;&lt;D xsi:type="xsd:double"&gt;97.97&lt;/D&gt;&lt;D xsi:type="xsd:double"&gt;96.97&lt;/D&gt;&lt;D xsi:type="xsd:double"&gt;95.501&lt;/D&gt;&lt;D xsi:type="xsd:double"&gt;97.1&lt;/D&gt;&lt;D xsi:type="xsd:double"&gt;97.01&lt;/D&gt;&lt;D xsi:type="xsd:double"&gt;97.378&lt;/D&gt;&lt;D xsi:type="xsd:double"&gt;96.687&lt;/D&gt;&lt;D xsi:type="xsd:double"&gt;97.75&lt;/D&gt;&lt;D xsi:type="xsd:double"&gt;97.845&lt;/D&gt;&lt;D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xsi:type="xsd:string"&gt;@NA&lt;/D&gt;&lt;/FQL&gt;&lt;FQL&gt;&lt;Q&gt;US105756BB58^FG_YIELD(0,-2AY,W,,"YTM")&lt;/Q&gt;&lt;R&gt;105&lt;/R&gt;&lt;C&gt;1&lt;/C&gt;&lt;D xsi:type="xsd:double"&gt;6.58492805740451&lt;/D&gt;&lt;D xsi:type="xsd:double"&gt;6.52481176279037&lt;/D&gt;&lt;D xsi:type="xsd:double"&gt;6.36022940427661&lt;/D&gt;&lt;D xsi:type="xsd:double"&gt;6.0875812331983&lt;/D&gt;&lt;D xsi:type="xsd:double"&gt;6.27089120473609&lt;/D&gt;&lt;D xsi:type="xsd:double"&gt;6.21818096507004&lt;/D&gt;&lt;D xsi:type="xsd:double"&gt;6.30591746898676&lt;/D&gt;&lt;D xsi:type="xsd:double"&gt;6.52412613242508&lt;/D&gt;&lt;D xsi:type="xsd:double"&gt;6.67045301470346&lt;/D&gt;&lt;D xsi:type="xsd:double"&gt;6.62370275186052&lt;/D&gt;&lt;D xsi:type="xsd:double"&gt;6.57280840066421&lt;/D&gt;&lt;D xsi:type="xsd:double"&gt;6.33940201453458&lt;/D&gt;&lt;D xsi:type="xsd:double"&gt;6.40856880549073&lt;/D&gt;&lt;D xsi:type="xsd:double"&gt;6.69397576529256&lt;/D&gt;&lt;D xsi:type="xsd:double"&gt;6.8642575975114&lt;/D&gt;&lt;D xsi:type="xsd:double"&gt;7.08513954286578&lt;/D&gt;&lt;D xsi:type="xsd:double"&gt;7.18605663295022&lt;/D&gt;&lt;D xsi:type="xsd:double"&gt;7.15700255502807&lt;/D&gt;&lt;D xsi:type="xsd:double"&gt;7.46035353544906&lt;/D&gt;&lt;D xsi:type="xsd:double"&gt;7.46657794068846&lt;/D&gt;&lt;D xsi:type="xsd:double"&gt;7.26804954380883&lt;/D&gt;&lt;D xsi:type="xsd:double"&gt;7.24530121270771&lt;/D&gt;&lt;D xsi:type="xsd:double"&gt;7.00088442830517&lt;/D&gt;&lt;D xsi:type="xsd:double"&gt;6.72182289159441&lt;/D&gt;&lt;D xsi:type="xsd:double"&gt;6.48918766877552&lt;/D&gt;&lt;D xsi:type="xsd:double"&gt;6.57582342583375&lt;/D&gt;&lt;D xsi:type="xsd:double"&gt;6.43772362681594&lt;/D&gt;&lt;D xsi:type="xsd:double"&gt;6.44406935143612&lt;/D&gt;&lt;D xsi:type="xsd:double"&gt;6.26221868667276&lt;/D&gt;&lt;D xsi:type="xsd:double"&gt;6.48024751494587&lt;/D&gt;&lt;D xsi:type="xsd:double"&gt;6.4079262725519&lt;/D&gt;&lt;D xsi:type="xsd:double"&gt;6.81358750063706&lt;/D&gt;&lt;D xsi:type="xsd:double"&gt;7.27243285059353&lt;/D&gt;&lt;D xsi:type="xsd:double"&gt;7.10296268452975&lt;/D&gt;&lt;D xsi:type="xsd:double"&gt;7.06550726147301&lt;/D&gt;&lt;D xsi:type="xsd:double"&gt;7.04081405951508&lt;/D&gt;&lt;D xsi:type="xsd:double"&gt;7.12670200697062&lt;/D&gt;&lt;D xsi:type="xsd:double"&gt;6.89450258759569&lt;/D&gt;&lt;D xsi:type="xsd:double"&gt;6.44067141096332&lt;/D&gt;&lt;D xsi:type="xsd:double"&gt;6.23643304126871&lt;/D&gt;&lt;D xsi:type="xsd:double"&gt;6.55354329934832&lt;/D&gt;&lt;D xsi:type="xsd:double"&gt;6.47848148318148&lt;/D&gt;&lt;D xsi:type="xsd:double"&gt;6.40027856946695&lt;/D&gt;&lt;D xsi:type="xsd:double"&gt;6.29015936590732&lt;/D&gt;&lt;D xsi:type="xsd:double"&gt;6.099216762449&lt;/D&gt;&lt;D xsi:type="xsd:double"&gt;5.9028259670908&lt;/D&gt;&lt;D xsi:type="xsd:double"&gt;5.90479752274376&lt;/D&gt;&lt;D xsi:type="xsd:double"&gt;5.59190082600772&lt;/D&gt;&lt;D xsi:type="xsd:double"&gt;5.73961882030668&lt;/D&gt;&lt;D xsi:type="xsd:double"&gt;5.50857164703388&lt;/D&gt;&lt;D xsi:type="xsd:double"&gt;5.54991234990764&lt;/D&gt;&lt;D xsi:type="xsd:double"&gt;5.41135212288354&lt;/D&gt;&lt;D xsi:type="xsd:double"&gt;5.38414940173302&lt;/D&gt;&lt;D xsi:type="xsd:double"&gt;5.48156927830452&lt;/D&gt;&lt;D xsi:type="xsd:double"&gt;5.45821013282213&lt;/D&gt;&lt;D xsi:type="xsd:double"&gt;5.26602163610468&lt;/D&gt;&lt;D xsi:type="xsd:double"&gt;5.23773687452202&lt;/D&gt;&lt;D xsi:type="xsd:double"&gt;5.1292619330248&lt;/D&gt;&lt;D xsi:type="xsd:double"&gt;5.20242533291926&lt;/D&gt;&lt;D xsi:type="xsd:double"&gt;5.13549271371537&lt;/D&gt;&lt;D xsi:type="xsd:double"&gt;4.86013291272851&lt;/D&gt;&lt;D xsi:type="xsd:double"&gt;4.91210844001596&lt;/D&gt;&lt;D xsi:type="xsd:double"&gt;4.839477560661&lt;/D&gt;&lt;D xsi:type="xsd:double"&gt;4.80235233840082&lt;/D&gt;&lt;D xsi:type="xsd:double"&gt;4.78253969022298&lt;/D&gt;&lt;D xsi:type="xsd:double"&gt;5.14817542242771&lt;/D&gt;&lt;D xsi:type="xsd:double"&gt;4.88368167837452&lt;/D&gt;&lt;D xsi:type="xsd:double"&gt;4.93409650621468&lt;/D&gt;&lt;D xsi:type="xsd:double"&gt;4.88514751398346&lt;/D&gt;&lt;D xsi:type="xsd:double"&gt;5.0888144444152&lt;/D&gt;&lt;D xsi:type="xsd:double"&gt;5.09179650361334&lt;/D&gt;&lt;D xsi:type="xsd:double"&gt;4.66803066650581&lt;/D&gt;&lt;D xsi:type="xsd:double"&gt;4.797749279216&lt;/D&gt;&lt;D xsi:type="xsd:double"&gt;4.68627242580365&lt;/D&gt;&lt;D xsi:type="xsd:double"&gt;4.58733239427106&lt;/D&gt;&lt;D xsi:type="xsd:double"&gt;4.39047893163976&lt;/D&gt;&lt;D xsi:type="xsd:double"&gt;4.38357479133314&lt;/D&gt;&lt;D xsi:type="xsd:double"&gt;4.3455473072704&lt;/D&gt;&lt;D xsi:type="xsd:double"&gt;4.36880027138721&lt;/D&gt;&lt;D xsi:type="xsd:double"&gt;4.48707432730407&lt;/D&gt;&lt;D xsi:type="xsd:double"&gt;4.347344044527&lt;/D&gt;&lt;D xsi:type="xsd:double"&gt;4.33455831058252&lt;/D&gt;&lt;D xsi:type="xsd:double"&gt;4.2497994663652&lt;/D&gt;&lt;D xsi:type="xsd:double"&gt;4.26027128777353&lt;/D&gt;&lt;D xsi:type="xsd:double"&gt;4.26576015684908&lt;/D&gt;&lt;D xsi:type="xsd:double"&gt;4.28039895409297&lt;/D&gt;&lt;D xsi:type="xsd:double"&gt;4.28170289415931&lt;/D&gt;&lt;D xsi:type="xsd:double"&gt;4.27123705728185&lt;/D&gt;&lt;D xsi:type="xsd:double"&gt;4.26501404107747&lt;/D&gt;&lt;D xsi:type="xsd:double"&gt;4.23692145368281&lt;/D&gt;&lt;D xsi:type="xsd:double"&gt;4.23513823378051&lt;/D&gt;&lt;D xsi:type="xsd:double"&gt;4.28768157677081&lt;/D&gt;&lt;D xsi:type="xsd:double"&gt;4.36375246139239&lt;/D&gt;&lt;D xsi:type="xsd:double"&gt;4.29185101721317&lt;/D&gt;&lt;D xsi:type="xsd:double"&gt;4.23166237803242&lt;/D&gt;&lt;D xsi:type="xsd:double"&gt;4.47686331427075&lt;/D&gt;&lt;D xsi:type="xsd:double"&gt;4.44195597456775&lt;/D&gt;&lt;D xsi:type="xsd:double"&gt;4.49659816502309&lt;/D&gt;&lt;D xsi:type="xsd:double"&gt;4.73217818385808&lt;/D&gt;&lt;D xsi:type="xsd:double"&gt;4.78601755486782&lt;/D&gt;&lt;D xsi:type="xsd:double"&gt;4.8855154973566&lt;/D&gt;&lt;D xsi:type="xsd:double"&gt;4.86693215682739&lt;/D&gt;&lt;D xsi:type="xsd:double"&gt;4.95893981164247&lt;/D&gt;&lt;D xsi:type="xsd:double"&gt;4.93973437668017&lt;/D&gt;&lt;D xsi:type="xsd:double"&gt;4.76847247159153&lt;/D&gt;&lt;/FQL&gt;&lt;/Schema&gt;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 Gramegna</author>
  </authors>
  <commentList>
    <comment ref="D36" authorId="0" shapeId="0" xr:uid="{C52A9A6A-FE63-4104-9737-B193144FB804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Esto es el 89% correspondiente a Quiport, hay otro 11% que va a la municipalidad de Quito</t>
        </r>
      </text>
    </comment>
    <comment ref="E36" authorId="0" shapeId="0" xr:uid="{0E406A43-8740-47D7-8671-551022503C13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Esto es el 89% correspondiente a Quiport, hay otro 11% que va a la municipalidad de Quito</t>
        </r>
      </text>
    </comment>
    <comment ref="H36" authorId="0" shapeId="0" xr:uid="{2B77F6E8-92F9-4D6E-9FDF-AC021C1DD111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Esto es el 89% correspondiente a Quiport, hay otro 11% que va a la municipalidad de Quito</t>
        </r>
      </text>
    </comment>
    <comment ref="I36" authorId="0" shapeId="0" xr:uid="{66BF82CE-250F-41E4-91F9-00E79AA00F46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Esto es el 89% correspondiente a Quiport, hay otro 11% que va a la municipalidad de Quito</t>
        </r>
      </text>
    </comment>
    <comment ref="K36" authorId="0" shapeId="0" xr:uid="{E7AE5807-F478-40C6-992F-61FB223AD23A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Esto es el 89% correspondiente a Quiport, hay otro 11% que va a la municipalidad de Quito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Santiago Gramegna</author>
  </authors>
  <commentList>
    <comment ref="B55" authorId="0" shapeId="0" xr:uid="{84B63106-97E2-474D-8E24-A99CC411DEA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includes:
* Property and equipment
* Intangible assets</t>
        </r>
      </text>
    </comment>
    <comment ref="B61" authorId="0" shapeId="0" xr:uid="{51982B52-7D3F-4AC1-BAB7-F7B6FBDAD3D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includes:
* Cash and banks
* Investments</t>
        </r>
      </text>
    </comment>
    <comment ref="M63" authorId="1" shapeId="0" xr:uid="{985EBFA2-C783-40E5-9A3E-23E0E4036449}">
      <text>
        <r>
          <rPr>
            <b/>
            <sz val="9"/>
            <color indexed="81"/>
            <rFont val="Tahoma"/>
            <family val="2"/>
          </rPr>
          <t>Santiago Gramegna:</t>
        </r>
        <r>
          <rPr>
            <sz val="9"/>
            <color indexed="81"/>
            <rFont val="Tahoma"/>
            <family val="2"/>
          </rPr>
          <t xml:space="preserve">
Includes dividends paid in Oct.1, 2024</t>
        </r>
      </text>
    </comment>
    <comment ref="B64" authorId="0" shapeId="0" xr:uid="{266A4A59-9110-4C2D-8DBF-34DB6DA6A8E3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company includes leases with in borrowings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B43" authorId="0" shapeId="0" xr:uid="{5139E551-FFA9-467F-A491-EC36F15F99F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On November 14, 2025, International Airport Finance S.A. transferred all rights and obligations under the
loans to the New Creditors (or new bonds holders) in exchange for a novation price</t>
        </r>
      </text>
    </comment>
    <comment ref="B44" authorId="0" shapeId="0" xr:uid="{D8EC3A5D-F00A-4FE1-913B-1B4CFA3A29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Quiport executed a non-convertible Note issuance on the Luxembourg Stock Exchange for the amount of US$300,000, maturing in December 2037 and bearing
interest at an annual rate of 9.00%. </t>
        </r>
      </text>
    </comment>
    <comment ref="J44" authorId="0" shapeId="0" xr:uid="{6253EBC3-0602-447C-814F-BF76623D72A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Quiport executed a non-convertible Note issuance on the Luxembourg Stock Exchange for the amount of US$300,000, maturing in December 2037 and bearing
interest at an annual rate of 9.00%. </t>
        </r>
      </text>
    </comment>
    <comment ref="B45" authorId="0" shapeId="0" xr:uid="{24B3C474-7A17-434D-909A-0598176B17C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On November 13, 2025, new loans from three local banks borrowings were obtained for total amount
US$200,000, maturing in December 2035, as follows:
(a) US$75,000 with initial annual rate of 8.10%;
(b) US$62,500 with initial annual rate of 8.25%, and
(c) US$62,500 with initial annual rate of 8.25%.</t>
        </r>
      </text>
    </comment>
    <comment ref="J45" authorId="0" shapeId="0" xr:uid="{2B7FA7F4-5E85-4B21-87EB-D01E0CBC3DE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On November 13, 2025, new loans from three local banks borrowings were obtained for total amount
US$200,000, maturing in December 2035, as follows:
(a) US$75,000 with initial annual rate of 8.10%;
(b) US$62,500 with initial annual rate of 8.25%, and
(c) US$62,500 with initial annual rate of 8.25%.</t>
        </r>
      </text>
    </comment>
    <comment ref="I46" authorId="0" shapeId="0" xr:uid="{B9D87881-D33C-423D-B9EA-3894CA9AAC0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Lease liabilities</t>
        </r>
      </text>
    </comment>
    <comment ref="B54" authorId="0" shapeId="0" xr:uid="{9900D548-4A06-47A7-AD3E-9EBDEA765BD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On November 14, 2025, International Airport Finance S.A. transferred all rights and obligations under the
loans to the New Creditors (or new bonds holders) in exchange for a novation price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K33" authorId="0" shapeId="0" xr:uid="{55B543C0-E7BC-456D-A0AE-535C79EE8F26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https://www.bls.gov/news.release/pdf/cpi.pdf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</authors>
  <commentList>
    <comment ref="S23" authorId="0" shapeId="0" xr:uid="{3D143256-D54D-481C-B6B3-3D857167024C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assumed interest payments as sames as that of in 1Q26 for conservative approach</t>
        </r>
      </text>
    </comment>
    <comment ref="T23" authorId="0" shapeId="0" xr:uid="{D571EEA9-885E-433D-9E39-9FC1397F1951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assumed interest payments as sames as that of in 1Q26 for conservative approach</t>
        </r>
      </text>
    </comment>
    <comment ref="X23" authorId="0" shapeId="0" xr:uid="{0DE6C29F-1FED-49F6-8A21-0751B8ECF1C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assumed interest payments as sames as that of in 1Q26 for conservative approach</t>
        </r>
      </text>
    </comment>
    <comment ref="Y23" authorId="0" shapeId="0" xr:uid="{22DCBC2F-EFDB-4783-B02E-F90D3ED04E75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assumed interest payments as sames as that of in 1Q26 for conservative approach</t>
        </r>
      </text>
    </comment>
  </commentList>
</comments>
</file>

<file path=xl/sharedStrings.xml><?xml version="1.0" encoding="utf-8"?>
<sst xmlns="http://schemas.openxmlformats.org/spreadsheetml/2006/main" count="342" uniqueCount="196">
  <si>
    <t>This sheet contains FactSet XML data for use with this workbook's =FDS codes.  Modifying the worksheet's contents may damage the workbook's =FDS functionality.</t>
  </si>
  <si>
    <t>US$ Thousands</t>
  </si>
  <si>
    <t>Operational data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</si>
  <si>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</si>
  <si>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</si>
  <si>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</si>
  <si>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</si>
  <si>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</si>
  <si>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</si>
  <si>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</si>
  <si>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</si>
  <si>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</si>
  <si>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Departing passengers (millions)</t>
  </si>
  <si>
    <t>International</t>
  </si>
  <si>
    <t>Domestic</t>
  </si>
  <si>
    <t>Aircraft movements</t>
  </si>
  <si>
    <t>Passengers domestic</t>
  </si>
  <si>
    <t>Passengers international</t>
  </si>
  <si>
    <t>Cargo international</t>
  </si>
  <si>
    <t>Military and others</t>
  </si>
  <si>
    <t>Arriving cargo (tons)</t>
  </si>
  <si>
    <t>International (Imports)</t>
  </si>
  <si>
    <t>Departing cargo (tons)</t>
  </si>
  <si>
    <t>International (Exports)</t>
  </si>
  <si>
    <t>Tariffs, US$</t>
  </si>
  <si>
    <t>Tariff per intl. departing passenger</t>
  </si>
  <si>
    <t>Tariff per domestic departing passenger</t>
  </si>
  <si>
    <t>Regulated revenues per departing passenger</t>
  </si>
  <si>
    <t>Non-regulated revenue per departing passenger</t>
  </si>
  <si>
    <t>Check-in counters revenue per intl. passenger</t>
  </si>
  <si>
    <t>Check-in counters revenue per domestic passenger</t>
  </si>
  <si>
    <t>Fee per international ton of cargo</t>
  </si>
  <si>
    <t>Revenues</t>
  </si>
  <si>
    <t>Regulated Revenues</t>
  </si>
  <si>
    <t>US$/Passenger</t>
  </si>
  <si>
    <t>Non-regulated revenues</t>
  </si>
  <si>
    <t>Aeronautical revenue</t>
  </si>
  <si>
    <t>Non-aeronautical revenue</t>
  </si>
  <si>
    <t>Commercial incentives</t>
  </si>
  <si>
    <t>Recognition of MSIA contract liabilities (Note 15)</t>
  </si>
  <si>
    <t>Interest revenue</t>
  </si>
  <si>
    <t>EBIT Driver</t>
  </si>
  <si>
    <t xml:space="preserve">OPEX + DD&amp;AA + Fin. Costs </t>
  </si>
  <si>
    <t>DD&amp;AA</t>
  </si>
  <si>
    <t>As % of Sales</t>
  </si>
  <si>
    <t>Financial Costs</t>
  </si>
  <si>
    <t>EBITDA</t>
  </si>
  <si>
    <t>EBITDA Mg</t>
  </si>
  <si>
    <t>EBIT</t>
  </si>
  <si>
    <t>EBIT Mg</t>
  </si>
  <si>
    <t>Net income</t>
  </si>
  <si>
    <t>Capex</t>
  </si>
  <si>
    <t>Total Capex</t>
  </si>
  <si>
    <t>As % of Revs</t>
  </si>
  <si>
    <t>Maintenance</t>
  </si>
  <si>
    <t>As % PP&amp;E Intangibles</t>
  </si>
  <si>
    <t>Expansion</t>
  </si>
  <si>
    <t>Balance Sheet</t>
  </si>
  <si>
    <t>Assets</t>
  </si>
  <si>
    <t>Liabilities</t>
  </si>
  <si>
    <t xml:space="preserve"> </t>
  </si>
  <si>
    <t>Net debt</t>
  </si>
  <si>
    <t>Cash &amp; equivalents</t>
  </si>
  <si>
    <t>Debt</t>
  </si>
  <si>
    <t>Net debt to EBITDA</t>
  </si>
  <si>
    <t>Debt service cover ratio</t>
  </si>
  <si>
    <t>2Q24</t>
  </si>
  <si>
    <t>3Q24</t>
  </si>
  <si>
    <t>4Q24</t>
  </si>
  <si>
    <t>1Q25</t>
  </si>
  <si>
    <t>2Q25</t>
  </si>
  <si>
    <t>3Q25</t>
  </si>
  <si>
    <t>4Q25</t>
  </si>
  <si>
    <t>1Q26</t>
  </si>
  <si>
    <t>Departing Passengers, M</t>
  </si>
  <si>
    <t>%</t>
  </si>
  <si>
    <t>Core Revenues, US$M</t>
  </si>
  <si>
    <t>Regulated Revenues, US$M</t>
  </si>
  <si>
    <t>Passenger Revenues, US$M</t>
  </si>
  <si>
    <t>Realized Net Tariffs, US$</t>
  </si>
  <si>
    <t>Quiport Participation</t>
  </si>
  <si>
    <t>International (estimated)</t>
  </si>
  <si>
    <t>Domestic (estimated)</t>
  </si>
  <si>
    <t>Airport Services, US$M</t>
  </si>
  <si>
    <t>Non-Regulated, US$M</t>
  </si>
  <si>
    <t>Aeronautical, US$M</t>
  </si>
  <si>
    <t>Non-Aeronautical, US$M</t>
  </si>
  <si>
    <t>Others, US$M</t>
  </si>
  <si>
    <t>P&amp;L</t>
  </si>
  <si>
    <t>Revenues, US$M</t>
  </si>
  <si>
    <t>Opex, US$M</t>
  </si>
  <si>
    <t>Employee Benefits</t>
  </si>
  <si>
    <t xml:space="preserve">Services &amp; Supplies </t>
  </si>
  <si>
    <t>Operations and Repairs</t>
  </si>
  <si>
    <t>Professional Fees</t>
  </si>
  <si>
    <t>Insurance Expenses</t>
  </si>
  <si>
    <t>Maintenance &amp; Repairs</t>
  </si>
  <si>
    <t>Utilities</t>
  </si>
  <si>
    <t>Other Costs &amp; Expenses</t>
  </si>
  <si>
    <t>Employee Profit Sharing, US$M</t>
  </si>
  <si>
    <t>EBITDA, US$M</t>
  </si>
  <si>
    <t>EBITDA margin</t>
  </si>
  <si>
    <t>D&amp;A, US$M</t>
  </si>
  <si>
    <t>Assets, US$M</t>
  </si>
  <si>
    <t>EBIT, US$M</t>
  </si>
  <si>
    <t>Balance Sheet &amp; Cash Flows</t>
  </si>
  <si>
    <t>Cash, US$M</t>
  </si>
  <si>
    <t>Receivables, US$M</t>
  </si>
  <si>
    <t>Payables, US$M</t>
  </si>
  <si>
    <t>Debt, US$M</t>
  </si>
  <si>
    <t>QUIPORT US$400M 12.0% due March 2033</t>
  </si>
  <si>
    <t>QUIPORT US$300M 9.0% due Dec. 2037 and Ecuadorian Loans due 2035</t>
  </si>
  <si>
    <t>Others</t>
  </si>
  <si>
    <t>Net Debt, US$M</t>
  </si>
  <si>
    <t>Net Debt to EBITDA, LTM</t>
  </si>
  <si>
    <t>Accrued Capex, US$M</t>
  </si>
  <si>
    <t>Cash Taxes, US$M</t>
  </si>
  <si>
    <t>WC Change, US$M</t>
  </si>
  <si>
    <t>Normalized FCF, US$M</t>
  </si>
  <si>
    <t>Net Interest, US$M</t>
  </si>
  <si>
    <t>Normalized FCFE, US$M</t>
  </si>
  <si>
    <t>Debt Amortizations, US$M</t>
  </si>
  <si>
    <t>New Debt, US$M</t>
  </si>
  <si>
    <t>Dividends, US$M</t>
  </si>
  <si>
    <t>Net Cash Flow, US$M</t>
  </si>
  <si>
    <t>LTM DSCR (Incl WK changes)</t>
  </si>
  <si>
    <t>LTM DSCR (Excl WK changes)</t>
  </si>
  <si>
    <t>Opex - D&amp;A, US$M</t>
  </si>
  <si>
    <t>Interest Revenue, US$M</t>
  </si>
  <si>
    <t>Interest Paid (Financial Costs), US$M</t>
  </si>
  <si>
    <t>Pre-Tax Earnings, US$M</t>
  </si>
  <si>
    <t>Taxes, US$M</t>
  </si>
  <si>
    <t>Net Income, US$M</t>
  </si>
  <si>
    <t>Payout as % of Net Income</t>
  </si>
  <si>
    <t>Effective Tax Rate</t>
  </si>
  <si>
    <t>US CPI Inflation</t>
  </si>
  <si>
    <t>Trade and Other Receivables, US$M</t>
  </si>
  <si>
    <t>PP&amp;E + Intangibles, US$M</t>
  </si>
  <si>
    <t>Financial Debt, US$M</t>
  </si>
  <si>
    <t>Trade and Other Payables, US$M</t>
  </si>
  <si>
    <t>Liabilities, US$M</t>
  </si>
  <si>
    <t>Equity, US$M</t>
  </si>
  <si>
    <t>Leverage and Cash Flows</t>
  </si>
  <si>
    <t>Cash &amp; Equivalents</t>
  </si>
  <si>
    <t>Interest on Cash</t>
  </si>
  <si>
    <t>QUIPORT US$400M 12.0% due Mar. 2033</t>
  </si>
  <si>
    <t>Local Banks</t>
  </si>
  <si>
    <t>Foreings</t>
  </si>
  <si>
    <t>QUIPORT US$300M 9.0% due Dec. 2037</t>
  </si>
  <si>
    <t>Ecuadorian Loans due 2035</t>
  </si>
  <si>
    <t>Others (incl. accrued interest)</t>
  </si>
  <si>
    <t>Interest on Debt</t>
  </si>
  <si>
    <t>Debt Amortizations</t>
  </si>
  <si>
    <t>Net Debt</t>
  </si>
  <si>
    <t>Net Debt to EBITDA</t>
  </si>
  <si>
    <t>Reported DSCR (Operational Capex only)</t>
  </si>
  <si>
    <t>Total Debt Service</t>
  </si>
  <si>
    <t>Cash Flow</t>
  </si>
  <si>
    <t>Capex, US$M</t>
  </si>
  <si>
    <t>Cash Interest Paid, US$M</t>
  </si>
  <si>
    <t>Amortizations, US$M</t>
  </si>
  <si>
    <t>Net Cash Change, US$M</t>
  </si>
  <si>
    <t>YOY</t>
  </si>
  <si>
    <t>% of Net Income (projected on t-1)</t>
  </si>
  <si>
    <t>Fixed Assets, US$M</t>
  </si>
  <si>
    <t>Accrued Capex (Note #9/10), US$M</t>
  </si>
  <si>
    <t>% of Revenues</t>
  </si>
  <si>
    <t>Opex + Capex</t>
  </si>
  <si>
    <t>Quiport Quaterlies</t>
  </si>
  <si>
    <t>QoQ</t>
  </si>
  <si>
    <t>Passengers, M</t>
  </si>
  <si>
    <t>International, M</t>
  </si>
  <si>
    <t>Domestic, M</t>
  </si>
  <si>
    <t>US$/passenger</t>
  </si>
  <si>
    <t>Regulated, US$M</t>
  </si>
  <si>
    <t>EBITDA Mg.</t>
  </si>
  <si>
    <t>S</t>
  </si>
  <si>
    <t>Quiport Summary</t>
  </si>
  <si>
    <t xml:space="preserve">DSCR </t>
  </si>
  <si>
    <t>LTM</t>
  </si>
  <si>
    <t>Including CAPEX and others</t>
  </si>
  <si>
    <t>Excluding CAPEX and others</t>
  </si>
  <si>
    <t>Revenue</t>
  </si>
  <si>
    <t>Revenue Growth rate %</t>
  </si>
  <si>
    <t>EBITDA as % of revenue</t>
  </si>
  <si>
    <t>Capex as % of revenue</t>
  </si>
  <si>
    <t>Working Capital as % of revenue</t>
  </si>
  <si>
    <t>Working Capital</t>
  </si>
  <si>
    <t>Cash Taxes</t>
  </si>
  <si>
    <t>CFADS</t>
  </si>
  <si>
    <t>Hair cut</t>
  </si>
  <si>
    <t>Principal Payments</t>
  </si>
  <si>
    <t>New debt</t>
  </si>
  <si>
    <t>Interest Payments</t>
  </si>
  <si>
    <t>Total</t>
  </si>
  <si>
    <t>DSCR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</si>
</sst>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#,##0.0"/>
    <numFmt numFmtId="167" formatCode="_-* #,##0.00\ _€_-;\-* #,##0.00\ _€_-;_-* &quot;-&quot;??\ _€_-;_-@_-"/>
    <numFmt numFmtId="168" formatCode="0.0\x"/>
    <numFmt numFmtId="169" formatCode="0.0\p\p"/>
    <numFmt numFmtId="170" formatCode="0.0"/>
    <numFmt numFmtId="171" formatCode="0.00\x"/>
    <numFmt numFmtId="172" formatCode="#,##0.00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Open Sans Light"/>
      <family val="2"/>
    </font>
    <font>
      <sz val="9"/>
      <color theme="1"/>
      <name val="Open Sans Light"/>
      <family val="2"/>
    </font>
    <font>
      <b/>
      <sz val="9"/>
      <color theme="1"/>
      <name val="Open Sans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b/>
      <i/>
      <sz val="10"/>
      <name val="Arial"/>
      <family val="2"/>
    </font>
    <font>
      <b/>
      <sz val="10"/>
      <color rgb="FFFFFFFF"/>
      <name val="Open Sans"/>
      <family val="2"/>
    </font>
    <font>
      <sz val="11"/>
      <color indexed="9"/>
      <name val="Czcionka tekstu podstawowego"/>
      <family val="2"/>
      <charset val="238"/>
    </font>
    <font>
      <sz val="7"/>
      <color theme="1"/>
      <name val="Open Sans Light"/>
      <family val="2"/>
    </font>
    <font>
      <sz val="10"/>
      <color rgb="FF660066"/>
      <name val="Arial"/>
      <family val="2"/>
    </font>
    <font>
      <b/>
      <sz val="10"/>
      <color rgb="FF660066"/>
      <name val="Arial"/>
      <family val="2"/>
    </font>
    <font>
      <sz val="8"/>
      <color theme="1"/>
      <name val="Open Sans Ligh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764"/>
        <bgColor indexed="64"/>
      </patternFill>
    </fill>
    <fill>
      <patternFill patternType="solid">
        <fgColor indexed="3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181">
    <xf numFmtId="0" fontId="0" fillId="0" borderId="0" xfId="0"/>
    <xf numFmtId="14" fontId="4" fillId="0" borderId="0" xfId="2" applyNumberFormat="1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vertical="center"/>
    </xf>
    <xf numFmtId="0" fontId="5" fillId="2" borderId="0" xfId="2" applyFont="1" applyFill="1" applyAlignment="1">
      <alignment vertical="center"/>
    </xf>
    <xf numFmtId="0" fontId="5" fillId="2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5" fillId="0" borderId="0" xfId="2" applyFont="1" applyAlignment="1">
      <alignment vertical="center"/>
    </xf>
    <xf numFmtId="3" fontId="7" fillId="0" borderId="0" xfId="2" applyNumberFormat="1" applyFont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0" fontId="3" fillId="0" borderId="0" xfId="2" applyAlignment="1">
      <alignment horizontal="left" vertical="center"/>
    </xf>
    <xf numFmtId="3" fontId="3" fillId="0" borderId="0" xfId="2" applyNumberFormat="1" applyAlignment="1">
      <alignment horizontal="center" vertical="center"/>
    </xf>
    <xf numFmtId="0" fontId="5" fillId="0" borderId="0" xfId="2" applyFont="1" applyAlignment="1">
      <alignment horizontal="left" vertical="center"/>
    </xf>
    <xf numFmtId="3" fontId="8" fillId="0" borderId="0" xfId="2" applyNumberFormat="1" applyFont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13" fillId="0" borderId="0" xfId="7" applyNumberFormat="1" applyFont="1" applyAlignment="1" applyProtection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6" fontId="5" fillId="0" borderId="0" xfId="2" applyNumberFormat="1" applyFont="1" applyAlignment="1">
      <alignment horizontal="center" vertical="center"/>
    </xf>
    <xf numFmtId="0" fontId="3" fillId="4" borderId="0" xfId="2" applyFill="1" applyAlignment="1">
      <alignment horizontal="left" vertical="center"/>
    </xf>
    <xf numFmtId="0" fontId="5" fillId="4" borderId="0" xfId="2" applyFont="1" applyFill="1" applyAlignment="1">
      <alignment horizontal="left" vertical="center"/>
    </xf>
    <xf numFmtId="1" fontId="8" fillId="0" borderId="0" xfId="2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left" vertical="center" indent="1"/>
    </xf>
    <xf numFmtId="3" fontId="9" fillId="0" borderId="0" xfId="2" applyNumberFormat="1" applyFont="1" applyAlignment="1">
      <alignment horizontal="center" vertical="center"/>
    </xf>
    <xf numFmtId="3" fontId="15" fillId="0" borderId="0" xfId="2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3" fontId="3" fillId="0" borderId="0" xfId="2" applyNumberFormat="1" applyAlignment="1">
      <alignment vertical="center"/>
    </xf>
    <xf numFmtId="9" fontId="3" fillId="0" borderId="0" xfId="1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" fontId="3" fillId="0" borderId="0" xfId="2" applyNumberFormat="1" applyAlignment="1">
      <alignment vertical="center"/>
    </xf>
    <xf numFmtId="0" fontId="8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 indent="1"/>
    </xf>
    <xf numFmtId="0" fontId="3" fillId="0" borderId="0" xfId="2" applyAlignment="1">
      <alignment horizontal="left" vertical="center" indent="2"/>
    </xf>
    <xf numFmtId="3" fontId="14" fillId="0" borderId="0" xfId="2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3" fontId="15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65" fontId="15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3" fontId="21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65" fontId="3" fillId="0" borderId="0" xfId="1" applyNumberFormat="1" applyFont="1" applyAlignment="1">
      <alignment horizontal="center" vertical="center"/>
    </xf>
    <xf numFmtId="4" fontId="10" fillId="0" borderId="0" xfId="2" applyNumberFormat="1" applyFont="1" applyAlignment="1">
      <alignment horizontal="center" vertical="center"/>
    </xf>
    <xf numFmtId="166" fontId="10" fillId="0" borderId="0" xfId="2" applyNumberFormat="1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9" fontId="10" fillId="0" borderId="0" xfId="1" applyFont="1" applyAlignment="1">
      <alignment horizontal="center" vertical="center"/>
    </xf>
    <xf numFmtId="0" fontId="22" fillId="0" borderId="0" xfId="2" applyFont="1" applyAlignment="1">
      <alignment horizontal="left" vertical="center" indent="4"/>
    </xf>
    <xf numFmtId="0" fontId="3" fillId="0" borderId="0" xfId="0" applyFont="1" applyAlignment="1">
      <alignment horizontal="left" vertical="center" indent="1"/>
    </xf>
    <xf numFmtId="165" fontId="11" fillId="0" borderId="0" xfId="1" applyNumberFormat="1" applyFont="1" applyAlignment="1">
      <alignment horizontal="center" vertical="center"/>
    </xf>
    <xf numFmtId="0" fontId="23" fillId="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6" fillId="4" borderId="1" xfId="2" applyFont="1" applyFill="1" applyBorder="1" applyAlignment="1">
      <alignment vertical="center" wrapText="1"/>
    </xf>
    <xf numFmtId="1" fontId="16" fillId="4" borderId="1" xfId="1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1" fontId="17" fillId="0" borderId="0" xfId="0" applyNumberFormat="1" applyFont="1" applyAlignment="1">
      <alignment horizontal="center" vertical="center"/>
    </xf>
    <xf numFmtId="165" fontId="17" fillId="0" borderId="0" xfId="1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165" fontId="18" fillId="0" borderId="0" xfId="1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43" fontId="14" fillId="0" borderId="0" xfId="8" applyFont="1" applyAlignment="1">
      <alignment horizontal="center" vertical="center"/>
    </xf>
    <xf numFmtId="4" fontId="5" fillId="0" borderId="0" xfId="2" applyNumberFormat="1" applyFont="1" applyAlignment="1">
      <alignment horizontal="center" vertical="center"/>
    </xf>
    <xf numFmtId="166" fontId="3" fillId="0" borderId="0" xfId="2" applyNumberFormat="1" applyAlignment="1">
      <alignment horizontal="center" vertical="center"/>
    </xf>
    <xf numFmtId="165" fontId="10" fillId="0" borderId="0" xfId="1" applyNumberFormat="1" applyFont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4" fontId="15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4" fontId="3" fillId="0" borderId="0" xfId="2" applyNumberFormat="1" applyAlignment="1">
      <alignment horizontal="center" vertical="center"/>
    </xf>
    <xf numFmtId="166" fontId="14" fillId="0" borderId="0" xfId="2" applyNumberFormat="1" applyFont="1" applyAlignment="1">
      <alignment horizontal="center" vertical="center"/>
    </xf>
    <xf numFmtId="3" fontId="26" fillId="0" borderId="0" xfId="2" applyNumberFormat="1" applyFont="1" applyAlignment="1">
      <alignment horizontal="center" vertical="center"/>
    </xf>
    <xf numFmtId="3" fontId="27" fillId="0" borderId="0" xfId="2" applyNumberFormat="1" applyFont="1" applyAlignment="1">
      <alignment horizontal="center" vertical="center"/>
    </xf>
    <xf numFmtId="43" fontId="3" fillId="0" borderId="0" xfId="8" applyFont="1" applyAlignment="1">
      <alignment horizontal="center" vertical="center"/>
    </xf>
    <xf numFmtId="0" fontId="23" fillId="0" borderId="0" xfId="0" applyFont="1" applyAlignment="1">
      <alignment vertical="center"/>
    </xf>
    <xf numFmtId="4" fontId="18" fillId="7" borderId="0" xfId="0" applyNumberFormat="1" applyFont="1" applyFill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1" fontId="17" fillId="7" borderId="0" xfId="0" applyNumberFormat="1" applyFont="1" applyFill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18" fillId="7" borderId="0" xfId="0" applyNumberFormat="1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4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9" fontId="14" fillId="0" borderId="0" xfId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68" fontId="3" fillId="0" borderId="0" xfId="2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3" fontId="11" fillId="0" borderId="0" xfId="8" applyFon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9" fontId="17" fillId="0" borderId="0" xfId="1" applyFont="1" applyAlignment="1">
      <alignment horizontal="center" vertical="center"/>
    </xf>
    <xf numFmtId="9" fontId="17" fillId="7" borderId="0" xfId="1" applyFont="1" applyFill="1" applyAlignment="1">
      <alignment horizontal="center" vertical="center"/>
    </xf>
    <xf numFmtId="9" fontId="18" fillId="0" borderId="0" xfId="1" applyFont="1" applyAlignment="1">
      <alignment horizontal="center" vertical="center"/>
    </xf>
    <xf numFmtId="9" fontId="17" fillId="0" borderId="0" xfId="1" applyFont="1" applyFill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9" fontId="3" fillId="0" borderId="0" xfId="1" applyFont="1" applyAlignment="1">
      <alignment vertical="center"/>
    </xf>
    <xf numFmtId="0" fontId="28" fillId="0" borderId="0" xfId="0" applyFont="1" applyAlignment="1">
      <alignment vertical="center"/>
    </xf>
    <xf numFmtId="9" fontId="10" fillId="0" borderId="0" xfId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9" fontId="18" fillId="0" borderId="0" xfId="1" applyFont="1" applyFill="1" applyAlignment="1">
      <alignment horizontal="center" vertical="center"/>
    </xf>
    <xf numFmtId="9" fontId="0" fillId="0" borderId="0" xfId="0" applyNumberFormat="1"/>
    <xf numFmtId="168" fontId="0" fillId="0" borderId="0" xfId="0" applyNumberFormat="1"/>
    <xf numFmtId="165" fontId="0" fillId="0" borderId="0" xfId="1" applyNumberFormat="1" applyFont="1"/>
    <xf numFmtId="170" fontId="0" fillId="0" borderId="0" xfId="0" applyNumberFormat="1"/>
    <xf numFmtId="0" fontId="2" fillId="0" borderId="0" xfId="0" applyFont="1" applyAlignment="1">
      <alignment horizontal="center"/>
    </xf>
    <xf numFmtId="166" fontId="0" fillId="0" borderId="0" xfId="0" applyNumberFormat="1"/>
    <xf numFmtId="166" fontId="2" fillId="0" borderId="0" xfId="0" applyNumberFormat="1" applyFont="1"/>
    <xf numFmtId="171" fontId="31" fillId="0" borderId="0" xfId="0" applyNumberFormat="1" applyFont="1"/>
    <xf numFmtId="165" fontId="0" fillId="0" borderId="0" xfId="0" applyNumberFormat="1"/>
    <xf numFmtId="168" fontId="31" fillId="0" borderId="0" xfId="0" applyNumberFormat="1" applyFont="1"/>
    <xf numFmtId="0" fontId="2" fillId="10" borderId="2" xfId="0" applyFont="1" applyFill="1" applyBorder="1"/>
    <xf numFmtId="165" fontId="0" fillId="10" borderId="3" xfId="1" applyNumberFormat="1" applyFont="1" applyFill="1" applyBorder="1"/>
    <xf numFmtId="0" fontId="0" fillId="10" borderId="3" xfId="0" applyFill="1" applyBorder="1"/>
    <xf numFmtId="0" fontId="0" fillId="10" borderId="4" xfId="0" applyFill="1" applyBorder="1"/>
    <xf numFmtId="0" fontId="2" fillId="7" borderId="5" xfId="0" applyFont="1" applyFill="1" applyBorder="1"/>
    <xf numFmtId="0" fontId="0" fillId="7" borderId="0" xfId="0" applyFill="1"/>
    <xf numFmtId="0" fontId="0" fillId="7" borderId="6" xfId="0" applyFill="1" applyBorder="1"/>
    <xf numFmtId="0" fontId="2" fillId="0" borderId="5" xfId="0" applyFont="1" applyBorder="1"/>
    <xf numFmtId="166" fontId="2" fillId="0" borderId="6" xfId="0" applyNumberFormat="1" applyFont="1" applyBorder="1"/>
    <xf numFmtId="0" fontId="0" fillId="0" borderId="5" xfId="0" applyBorder="1"/>
    <xf numFmtId="0" fontId="0" fillId="0" borderId="6" xfId="0" applyBorder="1"/>
    <xf numFmtId="0" fontId="0" fillId="9" borderId="5" xfId="0" applyFill="1" applyBorder="1"/>
    <xf numFmtId="165" fontId="0" fillId="0" borderId="0" xfId="1" applyNumberFormat="1" applyFont="1" applyFill="1" applyBorder="1"/>
    <xf numFmtId="165" fontId="0" fillId="9" borderId="0" xfId="0" applyNumberFormat="1" applyFill="1"/>
    <xf numFmtId="165" fontId="0" fillId="9" borderId="6" xfId="0" applyNumberFormat="1" applyFill="1" applyBorder="1"/>
    <xf numFmtId="165" fontId="0" fillId="9" borderId="0" xfId="1" applyNumberFormat="1" applyFont="1" applyFill="1" applyBorder="1"/>
    <xf numFmtId="165" fontId="0" fillId="9" borderId="6" xfId="1" applyNumberFormat="1" applyFont="1" applyFill="1" applyBorder="1"/>
    <xf numFmtId="166" fontId="0" fillId="0" borderId="6" xfId="0" applyNumberFormat="1" applyBorder="1"/>
    <xf numFmtId="166" fontId="0" fillId="9" borderId="0" xfId="0" applyNumberFormat="1" applyFill="1"/>
    <xf numFmtId="166" fontId="0" fillId="9" borderId="6" xfId="0" applyNumberFormat="1" applyFill="1" applyBorder="1"/>
    <xf numFmtId="9" fontId="0" fillId="9" borderId="0" xfId="0" applyNumberFormat="1" applyFill="1"/>
    <xf numFmtId="9" fontId="0" fillId="9" borderId="6" xfId="0" applyNumberFormat="1" applyFill="1" applyBorder="1"/>
    <xf numFmtId="170" fontId="0" fillId="0" borderId="6" xfId="0" applyNumberFormat="1" applyBorder="1"/>
    <xf numFmtId="170" fontId="2" fillId="0" borderId="0" xfId="0" applyNumberFormat="1" applyFont="1"/>
    <xf numFmtId="170" fontId="2" fillId="0" borderId="6" xfId="0" applyNumberFormat="1" applyFont="1" applyBorder="1"/>
    <xf numFmtId="0" fontId="2" fillId="8" borderId="7" xfId="0" applyFont="1" applyFill="1" applyBorder="1"/>
    <xf numFmtId="171" fontId="31" fillId="8" borderId="8" xfId="0" applyNumberFormat="1" applyFont="1" applyFill="1" applyBorder="1"/>
    <xf numFmtId="171" fontId="31" fillId="8" borderId="9" xfId="0" applyNumberFormat="1" applyFont="1" applyFill="1" applyBorder="1"/>
    <xf numFmtId="166" fontId="0" fillId="0" borderId="5" xfId="0" applyNumberFormat="1" applyBorder="1"/>
    <xf numFmtId="166" fontId="2" fillId="0" borderId="5" xfId="0" applyNumberFormat="1" applyFont="1" applyBorder="1"/>
    <xf numFmtId="0" fontId="0" fillId="7" borderId="5" xfId="0" applyFill="1" applyBorder="1"/>
    <xf numFmtId="0" fontId="2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5" xfId="0" applyFont="1" applyFill="1" applyBorder="1"/>
    <xf numFmtId="0" fontId="2" fillId="10" borderId="6" xfId="0" applyFont="1" applyFill="1" applyBorder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0" fontId="0" fillId="4" borderId="0" xfId="0" applyFill="1" applyAlignment="1">
      <alignment vertical="center"/>
    </xf>
    <xf numFmtId="0" fontId="5" fillId="9" borderId="0" xfId="2" applyFont="1" applyFill="1" applyAlignment="1">
      <alignment horizontal="left" vertical="center"/>
    </xf>
    <xf numFmtId="166" fontId="5" fillId="9" borderId="0" xfId="2" applyNumberFormat="1" applyFont="1" applyFill="1" applyAlignment="1">
      <alignment horizontal="center" vertical="center"/>
    </xf>
    <xf numFmtId="166" fontId="7" fillId="9" borderId="0" xfId="2" applyNumberFormat="1" applyFont="1" applyFill="1" applyAlignment="1">
      <alignment horizontal="center" vertical="center"/>
    </xf>
    <xf numFmtId="2" fontId="3" fillId="0" borderId="0" xfId="2" applyNumberFormat="1" applyAlignment="1">
      <alignment horizontal="center" vertical="center"/>
    </xf>
    <xf numFmtId="4" fontId="3" fillId="9" borderId="0" xfId="2" applyNumberFormat="1" applyFill="1" applyAlignment="1">
      <alignment horizontal="center" vertical="center"/>
    </xf>
    <xf numFmtId="172" fontId="3" fillId="0" borderId="0" xfId="2" applyNumberFormat="1" applyAlignment="1">
      <alignment horizontal="center" vertical="center"/>
    </xf>
    <xf numFmtId="166" fontId="3" fillId="9" borderId="0" xfId="2" applyNumberFormat="1" applyFill="1" applyAlignment="1">
      <alignment horizontal="center" vertical="center"/>
    </xf>
    <xf numFmtId="3" fontId="0" fillId="0" borderId="0" xfId="0" applyNumberFormat="1"/>
    <xf numFmtId="4" fontId="5" fillId="11" borderId="0" xfId="2" applyNumberFormat="1" applyFont="1" applyFill="1" applyAlignment="1">
      <alignment horizontal="center" vertical="center"/>
    </xf>
    <xf numFmtId="1" fontId="18" fillId="4" borderId="0" xfId="0" applyNumberFormat="1" applyFont="1" applyFill="1" applyAlignment="1">
      <alignment horizontal="center" vertical="center"/>
    </xf>
    <xf numFmtId="3" fontId="3" fillId="11" borderId="0" xfId="2" applyNumberFormat="1" applyFill="1" applyAlignment="1">
      <alignment horizontal="center" vertical="center"/>
    </xf>
    <xf numFmtId="3" fontId="8" fillId="11" borderId="0" xfId="2" applyNumberFormat="1" applyFont="1" applyFill="1" applyAlignment="1">
      <alignment horizontal="center" vertical="center"/>
    </xf>
    <xf numFmtId="170" fontId="3" fillId="11" borderId="0" xfId="2" applyNumberFormat="1" applyFill="1" applyAlignment="1">
      <alignment horizontal="center" vertical="center"/>
    </xf>
    <xf numFmtId="3" fontId="3" fillId="4" borderId="0" xfId="2" applyNumberFormat="1" applyFill="1" applyAlignment="1">
      <alignment horizontal="center" vertical="center"/>
    </xf>
    <xf numFmtId="0" fontId="2" fillId="0" borderId="0" xfId="0" applyFont="1"/>
  </cellXfs>
  <cellStyles count="15">
    <cellStyle name="60% - akcent 1" xfId="10" xr:uid="{34D414F8-F484-4902-AF97-08E9CD39AEF7}"/>
    <cellStyle name="ANCLAS,REZONES Y SUS PARTES,DE FUNDICION,DE HIERRO O DE ACERO" xfId="9" xr:uid="{F2FC3E3D-A105-4207-8DAF-A349772433CB}"/>
    <cellStyle name="Comma" xfId="8" builtinId="3"/>
    <cellStyle name="Comma 2 2" xfId="12" xr:uid="{4B273B0E-7D72-430F-9926-4D2786A4802E}"/>
    <cellStyle name="Hyperlink" xfId="7" builtinId="8"/>
    <cellStyle name="Millares 2" xfId="5" xr:uid="{00000000-0005-0000-0000-000001000000}"/>
    <cellStyle name="Millares 3" xfId="6" xr:uid="{00000000-0005-0000-0000-000002000000}"/>
    <cellStyle name="Normal" xfId="0" builtinId="0"/>
    <cellStyle name="Normal 2 2 2" xfId="14" xr:uid="{5A7C022A-850C-448A-A723-82AC07C262C4}"/>
    <cellStyle name="Normal 2 2 3" xfId="2" xr:uid="{00000000-0005-0000-0000-000004000000}"/>
    <cellStyle name="Normal 3 2" xfId="4" xr:uid="{00000000-0005-0000-0000-000005000000}"/>
    <cellStyle name="Normal 3 2 2" xfId="11" xr:uid="{B995379B-308B-4665-BE90-EAE50232416A}"/>
    <cellStyle name="Per cent" xfId="1" builtinId="5"/>
    <cellStyle name="Percent 2" xfId="13" xr:uid="{DDACA6EE-AC14-4C35-93FB-82AF6AE2214D}"/>
    <cellStyle name="Porcentaje 2" xfId="3" xr:uid="{00000000-0005-0000-0000-00000700000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customXml" Target="../customXml/item1.xml"/><Relationship Id="rId8" Type="http://schemas.openxmlformats.org/officeDocument/2006/relationships/externalLink" Target="externalLinks/externalLink1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0</xdr:rowOff>
    </xdr:from>
    <xdr:to>
      <xdr:col>13</xdr:col>
      <xdr:colOff>504080</xdr:colOff>
      <xdr:row>19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38703-1C8B-436F-8536-463F213B4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71500"/>
          <a:ext cx="7743080" cy="3162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NAPA121\APACONTABBCN\SOCIET\Anexos\anex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\S_Reuniones\HOME\MESACON\AUXILIAR%20OPERATIVO%20DIVISAS\CONTAB%20MANUALES\Swap%20Fanalca%20revisa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is%20Documentos%201\USUARIOS\ARCHIVOS\EXCEL\Invergp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TEMP\PRESU98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540%20Cuentas%20de%20orden%20-%20Cedula%20sumaria%20y%20prueba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nsezfnp05\Barracuda\Documents%20and%20Settings\nbk7h1e\Local%20Settings\Temporary%20Internet%20Files\OLK61\Bank%20Austria\Returns@@@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lanzcapitalsa.sharepoint.com/Users/efernandez/OneDrive/Balanz%20Corporate%20Research/Energy%20Power%20&amp;%20Utilities/Companies/Pampa%20Energia/Pampa%20Energia%20Model%20including%20Eden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"/>
      <sheetName val="IMPUESTO (2)"/>
      <sheetName val="CARTERA "/>
      <sheetName val="Moneda Extr."/>
      <sheetName val="Sdo.Empres.Grupo."/>
      <sheetName val="Fonpe"/>
      <sheetName val="Prov.Riesg.Gtos."/>
      <sheetName val="Dif.Cambio"/>
      <sheetName val="IMPUESTO"/>
      <sheetName val="Ant.y Dif."/>
      <sheetName val="SINTESIS"/>
      <sheetName val="Hoja1"/>
      <sheetName val="Indicadores"/>
      <sheetName val="IMPUESTO_(2)"/>
      <sheetName val="CARTERA_"/>
      <sheetName val="Moneda_Extr_"/>
      <sheetName val="Sdo_Empres_Grupo_"/>
      <sheetName val="Prov_Riesg_Gtos_"/>
      <sheetName val="Dif_Cambio"/>
      <sheetName val="Ant_y_Dif_"/>
      <sheetName val="Listas"/>
      <sheetName val="JUNIO MICOL Pago"/>
      <sheetName val="Precios (2)"/>
      <sheetName val="Precios NE"/>
      <sheetName val="Factura"/>
      <sheetName val="Precios"/>
      <sheetName val="Toma de Relectura Sin Soporte F"/>
      <sheetName val="Multiservicios MI-MS"/>
      <sheetName val="Multiservicios NS"/>
      <sheetName val="Ctos del Plan 2019"/>
      <sheetName val="Imputación 2019"/>
      <sheetName val="Lista Cheque facturacion"/>
      <sheetName val="Prom Dia"/>
      <sheetName val="Act x OS"/>
      <sheetName val="A3"/>
      <sheetName val="Plan1"/>
      <sheetName val="Intragrupo MIN"/>
      <sheetName val="Prefactura Montaje "/>
      <sheetName val="COP 10% Equipos EM DAP"/>
      <sheetName val="USD 10% Equipos EM DAP"/>
      <sheetName val="COP 20% Scada ING DET"/>
      <sheetName val="USD 20% Scada ING DET"/>
      <sheetName val="COP 5% Equipos EM Inicio Mont"/>
      <sheetName val="USD 5% Equipos EM Inicio Mont"/>
      <sheetName val="Resumen"/>
      <sheetName val="2019 10 Acta 8 EEM"/>
      <sheetName val="2019 10 Acta 1 EEM Mon"/>
      <sheetName val="HE"/>
      <sheetName val="Ejecutado (Monedas)"/>
      <sheetName val="2018 10 Acta 3"/>
      <sheetName val="2018 09 Acta 2"/>
      <sheetName val="2018 06 Acta 1"/>
      <sheetName val="Equipos"/>
      <sheetName val="Pre-factura Sum"/>
      <sheetName val="Pre-factura OC y Mon"/>
      <sheetName val="2019 11 Acta 08"/>
      <sheetName val="Acta Parcial No.13 (OC-MEM)"/>
      <sheetName val="costo elementos n1"/>
      <sheetName val="IMPUESTO_(2)1"/>
      <sheetName val="CARTERA_1"/>
      <sheetName val="Moneda_Extr_1"/>
      <sheetName val="Sdo_Empres_Grupo_1"/>
      <sheetName val="Prov_Riesg_Gtos_1"/>
      <sheetName val="Dif_Cambio1"/>
      <sheetName val="Ant_y_Dif_1"/>
      <sheetName val="CONSOLIDADO"/>
      <sheetName val="DATOS"/>
      <sheetName val="GRAFICOS"/>
      <sheetName val="ListadoHitos"/>
      <sheetName val="Cronograma Presupuesto"/>
      <sheetName val="ESRI_MAPINFO_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oración"/>
      <sheetName val="Libor"/>
      <sheetName val="DTF"/>
      <sheetName val="Hoja1"/>
      <sheetName val="COMPENSACIONES"/>
      <sheetName val="Hoja2"/>
      <sheetName val="ACUMULADOS"/>
      <sheetName val="1. Presentación"/>
      <sheetName val="110000. Portada"/>
      <sheetName val="BAS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enteras"/>
      <sheetName val="0tras"/>
      <sheetName val="Vr.-ARGOS"/>
      <sheetName val="Vr.-CARIBE"/>
      <sheetName val="Vr.-CAIRO"/>
      <sheetName val="Vr.-NARE"/>
      <sheetName val="Vr.-VALLE"/>
      <sheetName val="Vr.-COLCLINKER"/>
      <sheetName val="Vr.-RIOCLARO"/>
      <sheetName val="Vr.-TOLCEMENTO"/>
      <sheetName val="TOTAL GRUPO"/>
      <sheetName val="INVERGPO"/>
      <sheetName val="A JUNIO2000"/>
      <sheetName val="septmbre00"/>
      <sheetName val="DICIEMBRE"/>
      <sheetName val="MARZO-01"/>
      <sheetName val="Junio-01"/>
      <sheetName val="SEP-01"/>
      <sheetName val="DIC-01"/>
      <sheetName val="Mar-02-Actualizar sobre este"/>
      <sheetName val="Jun-02-no actualizar"/>
      <sheetName val="Agosto"/>
      <sheetName val="SEPT. 30.02"/>
      <sheetName val="Energ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GOTA"/>
      <sheetName val="resumen-mes"/>
      <sheetName val="resumen"/>
      <sheetName val="INVERGPO"/>
      <sheetName val="EMPAQUE"/>
      <sheetName val="Datos"/>
      <sheetName val="Detalle Viaje"/>
      <sheetName val="ResumenViaje"/>
      <sheetName val="VISA"/>
      <sheetName val="AMEX"/>
      <sheetName val="CtaAhorros"/>
      <sheetName val="CtaAhoEDA"/>
      <sheetName val="VisaNew"/>
      <sheetName val="Listas"/>
      <sheetName val="Sheet1"/>
      <sheetName val="Hoja de parametros"/>
      <sheetName val="centros planif"/>
      <sheetName val="Prior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  <sheetName val="XREF"/>
      <sheetName val="PPC1"/>
      <sheetName val="PPC2"/>
      <sheetName val="PPC3"/>
      <sheetName val="PPC4"/>
      <sheetName val="ENVIOCALI"/>
      <sheetName val="T. DINAMICA"/>
      <sheetName val="#REF"/>
      <sheetName val="SEPTIEMBRE"/>
      <sheetName val="Potência-TBL"/>
      <sheetName val="EAssegurada-TBL"/>
      <sheetName val="Geração-TBL"/>
      <sheetName val="CompraTBL"/>
      <sheetName val="VendaEnergiaUsinas-TBL"/>
      <sheetName val="VendaPotênciaUsinas-TBL"/>
      <sheetName val="VendaClientes-TBL"/>
      <sheetName val="BalançoFisico-TBL"/>
      <sheetName val="BalançoUHMA-TBL"/>
      <sheetName val="BalançoIta-TBL"/>
      <sheetName val="ConsumoComb.-TBL"/>
      <sheetName val="Preços-TBL"/>
      <sheetName val="RESUMO"/>
      <sheetName val="SPOT"/>
      <sheetName val="MRE"/>
      <sheetName val="Ener_Aloc"/>
      <sheetName val="Sazonal EAs"/>
      <sheetName val="Ger Efet e CCC"/>
      <sheetName val="CI e Bil"/>
      <sheetName val="Desp UTEs"/>
      <sheetName val="P90_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PAM Quarterlies"/>
      <sheetName val="TGS Quarterlies"/>
      <sheetName val="EDN Quarterlies"/>
      <sheetName val="TRAN Quarterlies"/>
      <sheetName val="Power Plants"/>
      <sheetName val="O&amp;G Blocks"/>
      <sheetName val="Regulated Utilities"/>
      <sheetName val="PG"/>
      <sheetName val="O&amp;G"/>
      <sheetName val="EDN"/>
      <sheetName val="TGS"/>
      <sheetName val="TRAN"/>
      <sheetName val="PAM"/>
      <sheetName val="PAM Fin"/>
      <sheetName val="TGS Fin"/>
      <sheetName val="EDN Fin"/>
      <sheetName val="TRAN Fin"/>
      <sheetName val="Bond Perimeter"/>
      <sheetName val="DCFE"/>
      <sheetName val="PAM Multiples"/>
      <sheetName val="TGS Multiples"/>
      <sheetName val="EDN Multiples"/>
      <sheetName val="TRAN Multiples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C3">
            <v>2013</v>
          </cell>
          <cell r="I3">
            <v>2019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DFB8-1249-4DE2-9CE2-527B0BFC0EC3}">
  <dimension ref="A1:B4"/>
  <sheetViews>
    <sheetView workbookViewId="0"/>
  </sheetViews>
  <sheetFormatPr defaultColWidth="8.7109375" defaultRowHeight="15"/>
  <sheetData>
    <row r="1" spans="1:2">
      <c r="B1" t="s">
        <v>0</v>
      </c>
    </row>
    <row r="2" spans="1:2"/>
    <row r="3" spans="1:2"/>
    <row r="4" spans="1:2"/>
  </sheetData>
  <pageMargins left="0.7" right="0.7" top="0.75" bottom="0.75" header="0.3" footer="0.3"/>
  <headerFooter>
    <oddFooter>&amp;C_x000D_&amp;1#&amp;"Aptos"&amp;10&amp;K000000 Barings-Corporate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A355-5BEB-4655-8B19-B6195E604475}">
  <sheetPr>
    <tabColor rgb="FF002060"/>
    <pageSetUpPr autoPageBreaks="0"/>
  </sheetPr>
  <dimension ref="B2:Z91"/>
  <sheetViews>
    <sheetView workbookViewId="0"/>
  </sheetViews>
  <sheetFormatPr defaultColWidth="11.5703125" defaultRowHeight="17.100000000000001" customHeight="1"/>
  <cols>
    <col min="1" max="1" width="8.7109375" style="3" customWidth="1"/>
    <col min="2" max="2" width="44.140625" style="3" bestFit="1" customWidth="1"/>
    <col min="3" max="11" width="10.28515625" style="2" customWidth="1"/>
    <col min="12" max="12" width="11.5703125" style="3"/>
    <col min="13" max="13" width="14.85546875" style="3" bestFit="1" customWidth="1"/>
    <col min="14" max="14" width="11.7109375" style="3" bestFit="1" customWidth="1"/>
    <col min="15" max="195" width="11.5703125" style="3"/>
    <col min="196" max="196" width="2.28515625" style="3" customWidth="1"/>
    <col min="197" max="197" width="39.28515625" style="3" bestFit="1" customWidth="1"/>
    <col min="198" max="234" width="8.42578125" style="3" customWidth="1"/>
    <col min="235" max="451" width="11.5703125" style="3"/>
    <col min="452" max="452" width="2.28515625" style="3" customWidth="1"/>
    <col min="453" max="453" width="39.28515625" style="3" bestFit="1" customWidth="1"/>
    <col min="454" max="490" width="8.42578125" style="3" customWidth="1"/>
    <col min="491" max="707" width="11.5703125" style="3"/>
    <col min="708" max="708" width="2.28515625" style="3" customWidth="1"/>
    <col min="709" max="709" width="39.28515625" style="3" bestFit="1" customWidth="1"/>
    <col min="710" max="746" width="8.42578125" style="3" customWidth="1"/>
    <col min="747" max="963" width="11.5703125" style="3"/>
    <col min="964" max="964" width="2.28515625" style="3" customWidth="1"/>
    <col min="965" max="965" width="39.28515625" style="3" bestFit="1" customWidth="1"/>
    <col min="966" max="1002" width="8.42578125" style="3" customWidth="1"/>
    <col min="1003" max="1219" width="11.5703125" style="3"/>
    <col min="1220" max="1220" width="2.28515625" style="3" customWidth="1"/>
    <col min="1221" max="1221" width="39.28515625" style="3" bestFit="1" customWidth="1"/>
    <col min="1222" max="1258" width="8.42578125" style="3" customWidth="1"/>
    <col min="1259" max="1475" width="11.5703125" style="3"/>
    <col min="1476" max="1476" width="2.28515625" style="3" customWidth="1"/>
    <col min="1477" max="1477" width="39.28515625" style="3" bestFit="1" customWidth="1"/>
    <col min="1478" max="1514" width="8.42578125" style="3" customWidth="1"/>
    <col min="1515" max="1731" width="11.5703125" style="3"/>
    <col min="1732" max="1732" width="2.28515625" style="3" customWidth="1"/>
    <col min="1733" max="1733" width="39.28515625" style="3" bestFit="1" customWidth="1"/>
    <col min="1734" max="1770" width="8.42578125" style="3" customWidth="1"/>
    <col min="1771" max="1987" width="11.5703125" style="3"/>
    <col min="1988" max="1988" width="2.28515625" style="3" customWidth="1"/>
    <col min="1989" max="1989" width="39.28515625" style="3" bestFit="1" customWidth="1"/>
    <col min="1990" max="2026" width="8.42578125" style="3" customWidth="1"/>
    <col min="2027" max="2243" width="11.5703125" style="3"/>
    <col min="2244" max="2244" width="2.28515625" style="3" customWidth="1"/>
    <col min="2245" max="2245" width="39.28515625" style="3" bestFit="1" customWidth="1"/>
    <col min="2246" max="2282" width="8.42578125" style="3" customWidth="1"/>
    <col min="2283" max="2499" width="11.5703125" style="3"/>
    <col min="2500" max="2500" width="2.28515625" style="3" customWidth="1"/>
    <col min="2501" max="2501" width="39.28515625" style="3" bestFit="1" customWidth="1"/>
    <col min="2502" max="2538" width="8.42578125" style="3" customWidth="1"/>
    <col min="2539" max="2755" width="11.5703125" style="3"/>
    <col min="2756" max="2756" width="2.28515625" style="3" customWidth="1"/>
    <col min="2757" max="2757" width="39.28515625" style="3" bestFit="1" customWidth="1"/>
    <col min="2758" max="2794" width="8.42578125" style="3" customWidth="1"/>
    <col min="2795" max="3011" width="11.5703125" style="3"/>
    <col min="3012" max="3012" width="2.28515625" style="3" customWidth="1"/>
    <col min="3013" max="3013" width="39.28515625" style="3" bestFit="1" customWidth="1"/>
    <col min="3014" max="3050" width="8.42578125" style="3" customWidth="1"/>
    <col min="3051" max="3267" width="11.5703125" style="3"/>
    <col min="3268" max="3268" width="2.28515625" style="3" customWidth="1"/>
    <col min="3269" max="3269" width="39.28515625" style="3" bestFit="1" customWidth="1"/>
    <col min="3270" max="3306" width="8.42578125" style="3" customWidth="1"/>
    <col min="3307" max="3523" width="11.5703125" style="3"/>
    <col min="3524" max="3524" width="2.28515625" style="3" customWidth="1"/>
    <col min="3525" max="3525" width="39.28515625" style="3" bestFit="1" customWidth="1"/>
    <col min="3526" max="3562" width="8.42578125" style="3" customWidth="1"/>
    <col min="3563" max="3779" width="11.5703125" style="3"/>
    <col min="3780" max="3780" width="2.28515625" style="3" customWidth="1"/>
    <col min="3781" max="3781" width="39.28515625" style="3" bestFit="1" customWidth="1"/>
    <col min="3782" max="3818" width="8.42578125" style="3" customWidth="1"/>
    <col min="3819" max="4035" width="11.5703125" style="3"/>
    <col min="4036" max="4036" width="2.28515625" style="3" customWidth="1"/>
    <col min="4037" max="4037" width="39.28515625" style="3" bestFit="1" customWidth="1"/>
    <col min="4038" max="4074" width="8.42578125" style="3" customWidth="1"/>
    <col min="4075" max="4291" width="11.5703125" style="3"/>
    <col min="4292" max="4292" width="2.28515625" style="3" customWidth="1"/>
    <col min="4293" max="4293" width="39.28515625" style="3" bestFit="1" customWidth="1"/>
    <col min="4294" max="4330" width="8.42578125" style="3" customWidth="1"/>
    <col min="4331" max="4547" width="11.5703125" style="3"/>
    <col min="4548" max="4548" width="2.28515625" style="3" customWidth="1"/>
    <col min="4549" max="4549" width="39.28515625" style="3" bestFit="1" customWidth="1"/>
    <col min="4550" max="4586" width="8.42578125" style="3" customWidth="1"/>
    <col min="4587" max="4803" width="11.5703125" style="3"/>
    <col min="4804" max="4804" width="2.28515625" style="3" customWidth="1"/>
    <col min="4805" max="4805" width="39.28515625" style="3" bestFit="1" customWidth="1"/>
    <col min="4806" max="4842" width="8.42578125" style="3" customWidth="1"/>
    <col min="4843" max="5059" width="11.5703125" style="3"/>
    <col min="5060" max="5060" width="2.28515625" style="3" customWidth="1"/>
    <col min="5061" max="5061" width="39.28515625" style="3" bestFit="1" customWidth="1"/>
    <col min="5062" max="5098" width="8.42578125" style="3" customWidth="1"/>
    <col min="5099" max="5315" width="11.5703125" style="3"/>
    <col min="5316" max="5316" width="2.28515625" style="3" customWidth="1"/>
    <col min="5317" max="5317" width="39.28515625" style="3" bestFit="1" customWidth="1"/>
    <col min="5318" max="5354" width="8.42578125" style="3" customWidth="1"/>
    <col min="5355" max="5571" width="11.5703125" style="3"/>
    <col min="5572" max="5572" width="2.28515625" style="3" customWidth="1"/>
    <col min="5573" max="5573" width="39.28515625" style="3" bestFit="1" customWidth="1"/>
    <col min="5574" max="5610" width="8.42578125" style="3" customWidth="1"/>
    <col min="5611" max="5827" width="11.5703125" style="3"/>
    <col min="5828" max="5828" width="2.28515625" style="3" customWidth="1"/>
    <col min="5829" max="5829" width="39.28515625" style="3" bestFit="1" customWidth="1"/>
    <col min="5830" max="5866" width="8.42578125" style="3" customWidth="1"/>
    <col min="5867" max="6083" width="11.5703125" style="3"/>
    <col min="6084" max="6084" width="2.28515625" style="3" customWidth="1"/>
    <col min="6085" max="6085" width="39.28515625" style="3" bestFit="1" customWidth="1"/>
    <col min="6086" max="6122" width="8.42578125" style="3" customWidth="1"/>
    <col min="6123" max="6339" width="11.5703125" style="3"/>
    <col min="6340" max="6340" width="2.28515625" style="3" customWidth="1"/>
    <col min="6341" max="6341" width="39.28515625" style="3" bestFit="1" customWidth="1"/>
    <col min="6342" max="6378" width="8.42578125" style="3" customWidth="1"/>
    <col min="6379" max="6595" width="11.5703125" style="3"/>
    <col min="6596" max="6596" width="2.28515625" style="3" customWidth="1"/>
    <col min="6597" max="6597" width="39.28515625" style="3" bestFit="1" customWidth="1"/>
    <col min="6598" max="6634" width="8.42578125" style="3" customWidth="1"/>
    <col min="6635" max="6851" width="11.5703125" style="3"/>
    <col min="6852" max="6852" width="2.28515625" style="3" customWidth="1"/>
    <col min="6853" max="6853" width="39.28515625" style="3" bestFit="1" customWidth="1"/>
    <col min="6854" max="6890" width="8.42578125" style="3" customWidth="1"/>
    <col min="6891" max="7107" width="11.5703125" style="3"/>
    <col min="7108" max="7108" width="2.28515625" style="3" customWidth="1"/>
    <col min="7109" max="7109" width="39.28515625" style="3" bestFit="1" customWidth="1"/>
    <col min="7110" max="7146" width="8.42578125" style="3" customWidth="1"/>
    <col min="7147" max="7363" width="11.5703125" style="3"/>
    <col min="7364" max="7364" width="2.28515625" style="3" customWidth="1"/>
    <col min="7365" max="7365" width="39.28515625" style="3" bestFit="1" customWidth="1"/>
    <col min="7366" max="7402" width="8.42578125" style="3" customWidth="1"/>
    <col min="7403" max="7619" width="11.5703125" style="3"/>
    <col min="7620" max="7620" width="2.28515625" style="3" customWidth="1"/>
    <col min="7621" max="7621" width="39.28515625" style="3" bestFit="1" customWidth="1"/>
    <col min="7622" max="7658" width="8.42578125" style="3" customWidth="1"/>
    <col min="7659" max="7875" width="11.5703125" style="3"/>
    <col min="7876" max="7876" width="2.28515625" style="3" customWidth="1"/>
    <col min="7877" max="7877" width="39.28515625" style="3" bestFit="1" customWidth="1"/>
    <col min="7878" max="7914" width="8.42578125" style="3" customWidth="1"/>
    <col min="7915" max="8131" width="11.5703125" style="3"/>
    <col min="8132" max="8132" width="2.28515625" style="3" customWidth="1"/>
    <col min="8133" max="8133" width="39.28515625" style="3" bestFit="1" customWidth="1"/>
    <col min="8134" max="8170" width="8.42578125" style="3" customWidth="1"/>
    <col min="8171" max="8387" width="11.5703125" style="3"/>
    <col min="8388" max="8388" width="2.28515625" style="3" customWidth="1"/>
    <col min="8389" max="8389" width="39.28515625" style="3" bestFit="1" customWidth="1"/>
    <col min="8390" max="8426" width="8.42578125" style="3" customWidth="1"/>
    <col min="8427" max="8643" width="11.5703125" style="3"/>
    <col min="8644" max="8644" width="2.28515625" style="3" customWidth="1"/>
    <col min="8645" max="8645" width="39.28515625" style="3" bestFit="1" customWidth="1"/>
    <col min="8646" max="8682" width="8.42578125" style="3" customWidth="1"/>
    <col min="8683" max="8899" width="11.5703125" style="3"/>
    <col min="8900" max="8900" width="2.28515625" style="3" customWidth="1"/>
    <col min="8901" max="8901" width="39.28515625" style="3" bestFit="1" customWidth="1"/>
    <col min="8902" max="8938" width="8.42578125" style="3" customWidth="1"/>
    <col min="8939" max="9155" width="11.5703125" style="3"/>
    <col min="9156" max="9156" width="2.28515625" style="3" customWidth="1"/>
    <col min="9157" max="9157" width="39.28515625" style="3" bestFit="1" customWidth="1"/>
    <col min="9158" max="9194" width="8.42578125" style="3" customWidth="1"/>
    <col min="9195" max="9411" width="11.5703125" style="3"/>
    <col min="9412" max="9412" width="2.28515625" style="3" customWidth="1"/>
    <col min="9413" max="9413" width="39.28515625" style="3" bestFit="1" customWidth="1"/>
    <col min="9414" max="9450" width="8.42578125" style="3" customWidth="1"/>
    <col min="9451" max="9667" width="11.5703125" style="3"/>
    <col min="9668" max="9668" width="2.28515625" style="3" customWidth="1"/>
    <col min="9669" max="9669" width="39.28515625" style="3" bestFit="1" customWidth="1"/>
    <col min="9670" max="9706" width="8.42578125" style="3" customWidth="1"/>
    <col min="9707" max="9923" width="11.5703125" style="3"/>
    <col min="9924" max="9924" width="2.28515625" style="3" customWidth="1"/>
    <col min="9925" max="9925" width="39.28515625" style="3" bestFit="1" customWidth="1"/>
    <col min="9926" max="9962" width="8.42578125" style="3" customWidth="1"/>
    <col min="9963" max="10179" width="11.5703125" style="3"/>
    <col min="10180" max="10180" width="2.28515625" style="3" customWidth="1"/>
    <col min="10181" max="10181" width="39.28515625" style="3" bestFit="1" customWidth="1"/>
    <col min="10182" max="10218" width="8.42578125" style="3" customWidth="1"/>
    <col min="10219" max="10435" width="11.5703125" style="3"/>
    <col min="10436" max="10436" width="2.28515625" style="3" customWidth="1"/>
    <col min="10437" max="10437" width="39.28515625" style="3" bestFit="1" customWidth="1"/>
    <col min="10438" max="10474" width="8.42578125" style="3" customWidth="1"/>
    <col min="10475" max="10691" width="11.5703125" style="3"/>
    <col min="10692" max="10692" width="2.28515625" style="3" customWidth="1"/>
    <col min="10693" max="10693" width="39.28515625" style="3" bestFit="1" customWidth="1"/>
    <col min="10694" max="10730" width="8.42578125" style="3" customWidth="1"/>
    <col min="10731" max="10947" width="11.5703125" style="3"/>
    <col min="10948" max="10948" width="2.28515625" style="3" customWidth="1"/>
    <col min="10949" max="10949" width="39.28515625" style="3" bestFit="1" customWidth="1"/>
    <col min="10950" max="10986" width="8.42578125" style="3" customWidth="1"/>
    <col min="10987" max="11203" width="11.5703125" style="3"/>
    <col min="11204" max="11204" width="2.28515625" style="3" customWidth="1"/>
    <col min="11205" max="11205" width="39.28515625" style="3" bestFit="1" customWidth="1"/>
    <col min="11206" max="11242" width="8.42578125" style="3" customWidth="1"/>
    <col min="11243" max="11459" width="11.5703125" style="3"/>
    <col min="11460" max="11460" width="2.28515625" style="3" customWidth="1"/>
    <col min="11461" max="11461" width="39.28515625" style="3" bestFit="1" customWidth="1"/>
    <col min="11462" max="11498" width="8.42578125" style="3" customWidth="1"/>
    <col min="11499" max="11715" width="11.5703125" style="3"/>
    <col min="11716" max="11716" width="2.28515625" style="3" customWidth="1"/>
    <col min="11717" max="11717" width="39.28515625" style="3" bestFit="1" customWidth="1"/>
    <col min="11718" max="11754" width="8.42578125" style="3" customWidth="1"/>
    <col min="11755" max="11971" width="11.5703125" style="3"/>
    <col min="11972" max="11972" width="2.28515625" style="3" customWidth="1"/>
    <col min="11973" max="11973" width="39.28515625" style="3" bestFit="1" customWidth="1"/>
    <col min="11974" max="12010" width="8.42578125" style="3" customWidth="1"/>
    <col min="12011" max="12227" width="11.5703125" style="3"/>
    <col min="12228" max="12228" width="2.28515625" style="3" customWidth="1"/>
    <col min="12229" max="12229" width="39.28515625" style="3" bestFit="1" customWidth="1"/>
    <col min="12230" max="12266" width="8.42578125" style="3" customWidth="1"/>
    <col min="12267" max="12483" width="11.5703125" style="3"/>
    <col min="12484" max="12484" width="2.28515625" style="3" customWidth="1"/>
    <col min="12485" max="12485" width="39.28515625" style="3" bestFit="1" customWidth="1"/>
    <col min="12486" max="12522" width="8.42578125" style="3" customWidth="1"/>
    <col min="12523" max="12739" width="11.5703125" style="3"/>
    <col min="12740" max="12740" width="2.28515625" style="3" customWidth="1"/>
    <col min="12741" max="12741" width="39.28515625" style="3" bestFit="1" customWidth="1"/>
    <col min="12742" max="12778" width="8.42578125" style="3" customWidth="1"/>
    <col min="12779" max="12995" width="11.5703125" style="3"/>
    <col min="12996" max="12996" width="2.28515625" style="3" customWidth="1"/>
    <col min="12997" max="12997" width="39.28515625" style="3" bestFit="1" customWidth="1"/>
    <col min="12998" max="13034" width="8.42578125" style="3" customWidth="1"/>
    <col min="13035" max="13251" width="11.5703125" style="3"/>
    <col min="13252" max="13252" width="2.28515625" style="3" customWidth="1"/>
    <col min="13253" max="13253" width="39.28515625" style="3" bestFit="1" customWidth="1"/>
    <col min="13254" max="13290" width="8.42578125" style="3" customWidth="1"/>
    <col min="13291" max="13507" width="11.5703125" style="3"/>
    <col min="13508" max="13508" width="2.28515625" style="3" customWidth="1"/>
    <col min="13509" max="13509" width="39.28515625" style="3" bestFit="1" customWidth="1"/>
    <col min="13510" max="13546" width="8.42578125" style="3" customWidth="1"/>
    <col min="13547" max="13763" width="11.5703125" style="3"/>
    <col min="13764" max="13764" width="2.28515625" style="3" customWidth="1"/>
    <col min="13765" max="13765" width="39.28515625" style="3" bestFit="1" customWidth="1"/>
    <col min="13766" max="13802" width="8.42578125" style="3" customWidth="1"/>
    <col min="13803" max="14019" width="11.5703125" style="3"/>
    <col min="14020" max="14020" width="2.28515625" style="3" customWidth="1"/>
    <col min="14021" max="14021" width="39.28515625" style="3" bestFit="1" customWidth="1"/>
    <col min="14022" max="14058" width="8.42578125" style="3" customWidth="1"/>
    <col min="14059" max="14275" width="11.5703125" style="3"/>
    <col min="14276" max="14276" width="2.28515625" style="3" customWidth="1"/>
    <col min="14277" max="14277" width="39.28515625" style="3" bestFit="1" customWidth="1"/>
    <col min="14278" max="14314" width="8.42578125" style="3" customWidth="1"/>
    <col min="14315" max="14531" width="11.5703125" style="3"/>
    <col min="14532" max="14532" width="2.28515625" style="3" customWidth="1"/>
    <col min="14533" max="14533" width="39.28515625" style="3" bestFit="1" customWidth="1"/>
    <col min="14534" max="14570" width="8.42578125" style="3" customWidth="1"/>
    <col min="14571" max="14787" width="11.5703125" style="3"/>
    <col min="14788" max="14788" width="2.28515625" style="3" customWidth="1"/>
    <col min="14789" max="14789" width="39.28515625" style="3" bestFit="1" customWidth="1"/>
    <col min="14790" max="14826" width="8.42578125" style="3" customWidth="1"/>
    <col min="14827" max="15043" width="11.5703125" style="3"/>
    <col min="15044" max="15044" width="2.28515625" style="3" customWidth="1"/>
    <col min="15045" max="15045" width="39.28515625" style="3" bestFit="1" customWidth="1"/>
    <col min="15046" max="15082" width="8.42578125" style="3" customWidth="1"/>
    <col min="15083" max="15299" width="11.5703125" style="3"/>
    <col min="15300" max="15300" width="2.28515625" style="3" customWidth="1"/>
    <col min="15301" max="15301" width="39.28515625" style="3" bestFit="1" customWidth="1"/>
    <col min="15302" max="15338" width="8.42578125" style="3" customWidth="1"/>
    <col min="15339" max="15555" width="11.5703125" style="3"/>
    <col min="15556" max="15556" width="2.28515625" style="3" customWidth="1"/>
    <col min="15557" max="15557" width="39.28515625" style="3" bestFit="1" customWidth="1"/>
    <col min="15558" max="15594" width="8.42578125" style="3" customWidth="1"/>
    <col min="15595" max="15811" width="11.5703125" style="3"/>
    <col min="15812" max="15812" width="2.28515625" style="3" customWidth="1"/>
    <col min="15813" max="15813" width="39.28515625" style="3" bestFit="1" customWidth="1"/>
    <col min="15814" max="15850" width="8.42578125" style="3" customWidth="1"/>
    <col min="15851" max="16067" width="11.5703125" style="3"/>
    <col min="16068" max="16068" width="2.28515625" style="3" customWidth="1"/>
    <col min="16069" max="16069" width="39.28515625" style="3" bestFit="1" customWidth="1"/>
    <col min="16070" max="16106" width="8.42578125" style="3" customWidth="1"/>
    <col min="16107" max="16384" width="11.5703125" style="3"/>
  </cols>
  <sheetData>
    <row r="2" spans="2:15" ht="17.100000000000001" customHeight="1">
      <c r="B2" s="7" t="s">
        <v>1</v>
      </c>
      <c r="C2" s="1">
        <f>DATE(2022,3,31)</f>
        <v>44651</v>
      </c>
      <c r="D2" s="1">
        <f>+EDATE(C2,3)</f>
        <v>44742</v>
      </c>
      <c r="E2" s="1">
        <f t="shared" ref="E2:K2" si="0">+EDATE(D2,3)</f>
        <v>44834</v>
      </c>
      <c r="F2" s="1">
        <f t="shared" si="0"/>
        <v>44925</v>
      </c>
      <c r="G2" s="1">
        <f t="shared" si="0"/>
        <v>45015</v>
      </c>
      <c r="H2" s="1">
        <f t="shared" si="0"/>
        <v>45107</v>
      </c>
      <c r="I2" s="1">
        <f t="shared" si="0"/>
        <v>45199</v>
      </c>
      <c r="J2" s="1">
        <f t="shared" si="0"/>
        <v>45290</v>
      </c>
      <c r="K2" s="1">
        <f t="shared" si="0"/>
        <v>45381</v>
      </c>
    </row>
    <row r="3" spans="2:15" s="7" customFormat="1" ht="17.100000000000001" customHeight="1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5" spans="2:15" ht="17.100000000000001" customHeight="1">
      <c r="B5" s="7" t="s">
        <v>12</v>
      </c>
      <c r="C5" s="52">
        <f t="shared" ref="C5:D5" si="1">+C7+C6</f>
        <v>0.406613</v>
      </c>
      <c r="D5" s="52">
        <f t="shared" si="1"/>
        <v>0.54063299999999992</v>
      </c>
      <c r="E5" s="52">
        <f t="shared" ref="E5" si="2">+E7+E6</f>
        <v>0.62889400000000006</v>
      </c>
      <c r="F5" s="52">
        <f t="shared" ref="F5:H5" si="3">+F7+F6</f>
        <v>0.60369000000000006</v>
      </c>
      <c r="G5" s="52">
        <f t="shared" si="3"/>
        <v>0.61795500000000003</v>
      </c>
      <c r="H5" s="52">
        <f t="shared" si="3"/>
        <v>0.680338</v>
      </c>
      <c r="I5" s="52">
        <f>+I7+I6</f>
        <v>0.76196900000000001</v>
      </c>
      <c r="J5" s="52">
        <f>+J7+J6</f>
        <v>0.67232399999999992</v>
      </c>
      <c r="K5" s="52">
        <f>+K7+K6</f>
        <v>0.64750599999999991</v>
      </c>
    </row>
    <row r="6" spans="2:15" s="7" customFormat="1" ht="17.100000000000001" customHeight="1">
      <c r="B6" s="39" t="s">
        <v>13</v>
      </c>
      <c r="C6" s="56">
        <f>+(60744+55031+71487)/1000000</f>
        <v>0.18726200000000001</v>
      </c>
      <c r="D6" s="56">
        <f>+(75793+77231+68573)/1000000</f>
        <v>0.22159699999999999</v>
      </c>
      <c r="E6" s="56">
        <f>+(84436+98917+85116)/1000000</f>
        <v>0.26846900000000001</v>
      </c>
      <c r="F6" s="56">
        <f>+((85695+88535+82442)/1000000)</f>
        <v>0.25667200000000001</v>
      </c>
      <c r="G6" s="56">
        <f>+(89178+85348+105802)/1000000</f>
        <v>0.28032800000000002</v>
      </c>
      <c r="H6" s="56">
        <f>+(98376+91542+96216)/1000000</f>
        <v>0.286134</v>
      </c>
      <c r="I6" s="56">
        <f>+(125011+131850+111412)/1000000</f>
        <v>0.36827300000000002</v>
      </c>
      <c r="J6" s="56">
        <f>+(109563+102871+97519)/1000000</f>
        <v>0.30995299999999998</v>
      </c>
      <c r="K6" s="56">
        <f>+(98399+97894+115334)/1000000</f>
        <v>0.31162699999999999</v>
      </c>
      <c r="M6" s="7">
        <v>120</v>
      </c>
      <c r="N6" s="7">
        <v>20</v>
      </c>
      <c r="O6" s="7">
        <f>+M6*N6</f>
        <v>2400</v>
      </c>
    </row>
    <row r="7" spans="2:15" s="7" customFormat="1" ht="17.100000000000001" customHeight="1">
      <c r="B7" s="39" t="s">
        <v>14</v>
      </c>
      <c r="C7" s="56">
        <f>+(52197+70580+96574)/1000000</f>
        <v>0.21935099999999999</v>
      </c>
      <c r="D7" s="56">
        <f>+(110329+110038+98669)/1000000</f>
        <v>0.31903599999999999</v>
      </c>
      <c r="E7" s="56">
        <f>+(123549+126262+110614)/1000000</f>
        <v>0.360425</v>
      </c>
      <c r="F7" s="56">
        <f>+(113968+110628+122422)/1000000</f>
        <v>0.34701799999999999</v>
      </c>
      <c r="G7" s="56">
        <f>+(102783+105458+129386)/1000000</f>
        <v>0.33762700000000001</v>
      </c>
      <c r="H7" s="56">
        <f>+(129892+131056+133256)/1000000</f>
        <v>0.394204</v>
      </c>
      <c r="I7" s="56">
        <f>+(142884+131333+119479)/1000000</f>
        <v>0.39369599999999999</v>
      </c>
      <c r="J7" s="56">
        <f>+(116051+119573+126747)/1000000</f>
        <v>0.362371</v>
      </c>
      <c r="K7" s="56">
        <f>+(103335+110173+122371)/1000000</f>
        <v>0.33587899999999998</v>
      </c>
      <c r="M7" s="7">
        <v>100</v>
      </c>
      <c r="N7" s="7">
        <v>50</v>
      </c>
      <c r="O7" s="7">
        <f>+M7*N7</f>
        <v>5000</v>
      </c>
    </row>
    <row r="8" spans="2:15" ht="17.100000000000001" customHeight="1">
      <c r="B8" s="10"/>
      <c r="C8" s="16"/>
      <c r="D8" s="16"/>
      <c r="E8" s="16"/>
      <c r="F8" s="16"/>
      <c r="G8" s="16"/>
      <c r="H8" s="16"/>
      <c r="I8" s="16"/>
      <c r="J8" s="16"/>
      <c r="K8" s="16"/>
    </row>
    <row r="9" spans="2:15" ht="17.100000000000001" customHeight="1">
      <c r="B9" s="7" t="s">
        <v>15</v>
      </c>
      <c r="C9" s="52"/>
      <c r="D9" s="52"/>
      <c r="E9" s="52"/>
      <c r="F9" s="52"/>
      <c r="G9" s="52">
        <f t="shared" ref="G9:I9" si="4">+SUM(G10:G13)</f>
        <v>0</v>
      </c>
      <c r="H9" s="52">
        <f t="shared" si="4"/>
        <v>0</v>
      </c>
      <c r="I9" s="52">
        <f t="shared" si="4"/>
        <v>0</v>
      </c>
      <c r="J9" s="52">
        <f>+SUM(J10:J13)</f>
        <v>0</v>
      </c>
      <c r="K9" s="52">
        <f t="shared" ref="K9" si="5">+SUM(K10:K13)</f>
        <v>0</v>
      </c>
      <c r="N9" s="3">
        <f>+SUMPRODUCT(M6:M7,N6:N7)</f>
        <v>7400</v>
      </c>
    </row>
    <row r="10" spans="2:15" s="7" customFormat="1" ht="17.100000000000001" customHeight="1">
      <c r="B10" s="39" t="s">
        <v>16</v>
      </c>
      <c r="C10" s="56"/>
      <c r="D10" s="56"/>
      <c r="E10" s="56"/>
      <c r="F10" s="56"/>
      <c r="G10" s="56"/>
      <c r="H10" s="56"/>
      <c r="I10" s="56"/>
      <c r="J10" s="56"/>
      <c r="K10" s="56"/>
      <c r="M10" s="7">
        <v>120</v>
      </c>
      <c r="N10" s="7">
        <v>100</v>
      </c>
    </row>
    <row r="11" spans="2:15" s="7" customFormat="1" ht="17.100000000000001" customHeight="1">
      <c r="B11" s="39" t="s">
        <v>17</v>
      </c>
      <c r="C11" s="56"/>
      <c r="D11" s="56"/>
      <c r="E11" s="56"/>
      <c r="F11" s="56"/>
      <c r="G11" s="56"/>
      <c r="H11" s="56"/>
      <c r="I11" s="56"/>
      <c r="J11" s="56"/>
      <c r="K11" s="56"/>
      <c r="M11" s="7">
        <v>100</v>
      </c>
      <c r="N11" s="7">
        <v>20</v>
      </c>
    </row>
    <row r="12" spans="2:15" ht="17.100000000000001" customHeight="1">
      <c r="B12" s="39" t="s">
        <v>18</v>
      </c>
      <c r="C12" s="56"/>
      <c r="D12" s="56"/>
      <c r="E12" s="56"/>
      <c r="F12" s="56"/>
      <c r="G12" s="56"/>
      <c r="H12" s="56"/>
      <c r="I12" s="56"/>
      <c r="J12" s="56"/>
      <c r="K12" s="56"/>
    </row>
    <row r="13" spans="2:15" ht="17.100000000000001" customHeight="1">
      <c r="B13" s="39" t="s">
        <v>19</v>
      </c>
      <c r="C13" s="56"/>
      <c r="D13" s="56"/>
      <c r="E13" s="56"/>
      <c r="F13" s="56"/>
      <c r="G13" s="56"/>
      <c r="H13" s="56"/>
      <c r="I13" s="56"/>
      <c r="J13" s="56"/>
      <c r="K13" s="56"/>
      <c r="N13" s="3">
        <f>+SUMPRODUCT(M10:M11,N10:N11)</f>
        <v>14000</v>
      </c>
    </row>
    <row r="14" spans="2:15" ht="17.100000000000001" customHeight="1">
      <c r="B14" s="10"/>
      <c r="C14" s="16"/>
      <c r="D14" s="16"/>
      <c r="E14" s="16"/>
      <c r="F14" s="16"/>
      <c r="G14" s="16"/>
      <c r="H14" s="16"/>
      <c r="I14" s="16"/>
      <c r="J14" s="16"/>
      <c r="K14" s="16"/>
      <c r="N14" s="3">
        <f>+N13/N9-1</f>
        <v>0.89189189189189189</v>
      </c>
    </row>
    <row r="15" spans="2:15" s="7" customFormat="1" ht="17.100000000000001" customHeight="1">
      <c r="B15" s="7" t="s">
        <v>20</v>
      </c>
      <c r="C15" s="52">
        <f t="shared" ref="C15:F15" si="6">+C17+C16</f>
        <v>11131.09</v>
      </c>
      <c r="D15" s="52">
        <f t="shared" si="6"/>
        <v>11893.039999999999</v>
      </c>
      <c r="E15" s="52">
        <f t="shared" si="6"/>
        <v>11845.11</v>
      </c>
      <c r="F15" s="52">
        <f t="shared" si="6"/>
        <v>12933.3</v>
      </c>
      <c r="G15" s="52">
        <f t="shared" ref="G15:K15" si="7">+G17+G16</f>
        <v>12923.22</v>
      </c>
      <c r="H15" s="52">
        <f t="shared" si="7"/>
        <v>13356.9</v>
      </c>
      <c r="I15" s="52">
        <f t="shared" si="7"/>
        <v>12923.6</v>
      </c>
      <c r="J15" s="52">
        <f t="shared" si="7"/>
        <v>14123.03</v>
      </c>
      <c r="K15" s="52">
        <f t="shared" si="7"/>
        <v>12486.67</v>
      </c>
    </row>
    <row r="16" spans="2:15" s="7" customFormat="1" ht="17.100000000000001" customHeight="1">
      <c r="B16" s="39" t="s">
        <v>21</v>
      </c>
      <c r="C16" s="56">
        <f>3809.79+3552.12+3563.83</f>
        <v>10925.74</v>
      </c>
      <c r="D16" s="56">
        <f>3843.27+3967.02+3507.87</f>
        <v>11318.16</v>
      </c>
      <c r="E16" s="56">
        <f>3626.28+3713.17+4170</f>
        <v>11509.45</v>
      </c>
      <c r="F16" s="56">
        <f>4390.92+4001.95+4079.15</f>
        <v>12472.019999999999</v>
      </c>
      <c r="G16" s="56">
        <f>3935.31+3942.21+4816.62</f>
        <v>12694.14</v>
      </c>
      <c r="H16" s="56">
        <f>4076.92+4767.41+3871.25</f>
        <v>12715.58</v>
      </c>
      <c r="I16" s="56">
        <f>4214.24+4182.27+4152.65</f>
        <v>12549.16</v>
      </c>
      <c r="J16" s="56">
        <f>4501.05+4510.2+4597.2</f>
        <v>13608.45</v>
      </c>
      <c r="K16" s="56">
        <f>3725.97+4259.58+4249.47</f>
        <v>12235.02</v>
      </c>
      <c r="M16" s="7">
        <v>120</v>
      </c>
      <c r="N16" s="7">
        <v>20</v>
      </c>
      <c r="O16" s="7">
        <f>+M16*N16</f>
        <v>2400</v>
      </c>
    </row>
    <row r="17" spans="2:15" s="7" customFormat="1" ht="17.100000000000001" customHeight="1">
      <c r="B17" s="39" t="s">
        <v>14</v>
      </c>
      <c r="C17" s="56">
        <f>55.61+74.6+75.14</f>
        <v>205.34999999999997</v>
      </c>
      <c r="D17" s="56">
        <f>76.81+75.08+422.99</f>
        <v>574.88</v>
      </c>
      <c r="E17" s="56">
        <f>121.2+111.71+102.75</f>
        <v>335.65999999999997</v>
      </c>
      <c r="F17" s="56">
        <f>111.58+156+193.7</f>
        <v>461.28</v>
      </c>
      <c r="G17" s="56">
        <f>62.04+83.22+83.82</f>
        <v>229.07999999999998</v>
      </c>
      <c r="H17" s="56">
        <f>85.69+83.76+471.87</f>
        <v>641.31999999999994</v>
      </c>
      <c r="I17" s="56">
        <f>135.2+124.62+114.62</f>
        <v>374.44</v>
      </c>
      <c r="J17" s="56">
        <f>124.47+174.03+216.08</f>
        <v>514.58000000000004</v>
      </c>
      <c r="K17" s="56">
        <f>68.15+91.42+92.08</f>
        <v>251.64999999999998</v>
      </c>
      <c r="M17" s="7">
        <v>100</v>
      </c>
      <c r="N17" s="7">
        <v>50</v>
      </c>
      <c r="O17" s="7">
        <f>+M17*N17</f>
        <v>5000</v>
      </c>
    </row>
    <row r="18" spans="2:15" s="7" customFormat="1" ht="17.100000000000001" customHeight="1">
      <c r="B18" s="39"/>
      <c r="C18" s="56"/>
      <c r="D18" s="56"/>
      <c r="E18" s="56"/>
      <c r="F18" s="56"/>
      <c r="G18" s="56"/>
      <c r="H18" s="56"/>
      <c r="I18" s="56"/>
      <c r="J18" s="56"/>
      <c r="K18" s="56"/>
    </row>
    <row r="19" spans="2:15" s="7" customFormat="1" ht="17.100000000000001" customHeight="1">
      <c r="B19" s="7" t="s">
        <v>22</v>
      </c>
      <c r="C19" s="52">
        <f t="shared" ref="C19:G19" si="8">+C21+C20</f>
        <v>62802.048999999999</v>
      </c>
      <c r="D19" s="52">
        <f t="shared" si="8"/>
        <v>59961.48</v>
      </c>
      <c r="E19" s="52">
        <f t="shared" si="8"/>
        <v>57306.41</v>
      </c>
      <c r="F19" s="52">
        <f t="shared" si="8"/>
        <v>61988.53</v>
      </c>
      <c r="G19" s="52">
        <f t="shared" si="8"/>
        <v>76362.469999999987</v>
      </c>
      <c r="H19" s="52">
        <f t="shared" ref="H19:K19" si="9">+H21+H20</f>
        <v>75101.149999999994</v>
      </c>
      <c r="I19" s="52">
        <f t="shared" si="9"/>
        <v>66527.97</v>
      </c>
      <c r="J19" s="52">
        <f t="shared" si="9"/>
        <v>67642.399999999994</v>
      </c>
      <c r="K19" s="52">
        <f t="shared" si="9"/>
        <v>80535.740000000005</v>
      </c>
    </row>
    <row r="20" spans="2:15" ht="17.100000000000001" customHeight="1">
      <c r="B20" s="39" t="s">
        <v>23</v>
      </c>
      <c r="C20" s="56">
        <f>22411.76+22593.339+17133.06</f>
        <v>62138.159</v>
      </c>
      <c r="D20" s="56">
        <f>23467.63+20354.14+15101.57</f>
        <v>58923.340000000004</v>
      </c>
      <c r="E20" s="56">
        <f>18816.4+18768.59+18962.89</f>
        <v>56547.880000000005</v>
      </c>
      <c r="F20" s="56">
        <f>20360.03+21680.42+19243.75</f>
        <v>61284.2</v>
      </c>
      <c r="G20" s="56">
        <f>25905.62+27550.52+21958.35</f>
        <v>75414.489999999991</v>
      </c>
      <c r="H20" s="56">
        <f>25613.92+26744.01+21580.32</f>
        <v>73938.25</v>
      </c>
      <c r="I20" s="56">
        <f>20727.88+22101.86+22599.3</f>
        <v>65429.040000000008</v>
      </c>
      <c r="J20" s="56">
        <f>23760.94+21990.59+20968.95</f>
        <v>66720.479999999996</v>
      </c>
      <c r="K20" s="56">
        <v>79551.88</v>
      </c>
      <c r="M20" s="36"/>
    </row>
    <row r="21" spans="2:15" ht="17.100000000000001" customHeight="1">
      <c r="B21" s="39" t="s">
        <v>14</v>
      </c>
      <c r="C21" s="56">
        <f>198.72+217.34+247.83</f>
        <v>663.89</v>
      </c>
      <c r="D21" s="56">
        <f>252.45+257.26+528.43</f>
        <v>1038.1399999999999</v>
      </c>
      <c r="E21" s="56">
        <f>294.65+241.7+222.18</f>
        <v>758.53</v>
      </c>
      <c r="F21" s="56">
        <f>245.19+255.42+203.72</f>
        <v>704.33</v>
      </c>
      <c r="G21" s="56">
        <f>301.39+282.08+364.51</f>
        <v>947.98</v>
      </c>
      <c r="H21" s="56">
        <f>365.61+395.92+401.37</f>
        <v>1162.9000000000001</v>
      </c>
      <c r="I21" s="56">
        <f>393.53+380.51+324.89</f>
        <v>1098.9299999999998</v>
      </c>
      <c r="J21" s="56">
        <f>278.69+349.41+293.82</f>
        <v>921.92000000000007</v>
      </c>
      <c r="K21" s="56">
        <v>983.86</v>
      </c>
    </row>
    <row r="22" spans="2:15" ht="17.100000000000001" customHeight="1">
      <c r="B22" s="39"/>
      <c r="C22" s="56"/>
      <c r="D22" s="56"/>
      <c r="E22" s="56"/>
      <c r="F22" s="56"/>
      <c r="G22" s="56"/>
      <c r="H22" s="56"/>
      <c r="I22" s="56"/>
      <c r="J22" s="56"/>
      <c r="K22" s="56"/>
    </row>
    <row r="23" spans="2:15" s="7" customFormat="1" ht="17.100000000000001" customHeight="1">
      <c r="B23" s="7" t="s">
        <v>24</v>
      </c>
      <c r="C23" s="52"/>
      <c r="D23" s="52"/>
      <c r="E23" s="52"/>
      <c r="F23" s="52"/>
      <c r="G23" s="52"/>
      <c r="H23" s="52"/>
      <c r="I23" s="52"/>
      <c r="J23" s="52"/>
      <c r="K23" s="52"/>
    </row>
    <row r="24" spans="2:15" ht="17.100000000000001" customHeight="1">
      <c r="B24" s="39" t="s">
        <v>25</v>
      </c>
      <c r="C24" s="56"/>
      <c r="D24" s="56"/>
      <c r="E24" s="56"/>
      <c r="F24" s="56">
        <v>57.571946797815436</v>
      </c>
      <c r="G24" s="56"/>
      <c r="H24" s="56"/>
      <c r="J24" s="56">
        <v>58.838529627367379</v>
      </c>
    </row>
    <row r="25" spans="2:15" ht="17.100000000000001" customHeight="1">
      <c r="B25" s="39" t="s">
        <v>26</v>
      </c>
      <c r="C25" s="56"/>
      <c r="D25" s="56"/>
      <c r="E25" s="56"/>
      <c r="F25" s="56">
        <v>15.902994121764744</v>
      </c>
      <c r="G25" s="56"/>
      <c r="H25" s="56"/>
      <c r="J25" s="56">
        <v>16.252859992443568</v>
      </c>
    </row>
    <row r="26" spans="2:15" ht="17.100000000000001" customHeight="1">
      <c r="B26" s="39" t="s">
        <v>27</v>
      </c>
      <c r="C26" s="56"/>
      <c r="D26" s="56"/>
      <c r="E26" s="56"/>
      <c r="F26" s="56">
        <v>48.175193919352488</v>
      </c>
      <c r="G26" s="56"/>
      <c r="H26" s="56"/>
      <c r="J26" s="56">
        <v>49.235048185578243</v>
      </c>
    </row>
    <row r="27" spans="2:15" ht="17.100000000000001" customHeight="1">
      <c r="B27" s="39" t="s">
        <v>28</v>
      </c>
      <c r="C27" s="56"/>
      <c r="D27" s="56"/>
      <c r="E27" s="56"/>
      <c r="F27" s="56">
        <v>58.284398593535265</v>
      </c>
      <c r="G27" s="56"/>
      <c r="H27" s="56"/>
      <c r="J27" s="56">
        <v>78.113561882052082</v>
      </c>
    </row>
    <row r="28" spans="2:15" ht="17.100000000000001" customHeight="1">
      <c r="B28" s="39" t="s">
        <v>29</v>
      </c>
      <c r="C28" s="56"/>
      <c r="D28" s="56"/>
      <c r="E28" s="56"/>
      <c r="F28" s="56">
        <v>2.1934796404198202</v>
      </c>
      <c r="G28" s="56"/>
      <c r="H28" s="56"/>
      <c r="J28" s="56">
        <v>2.1868992014985609</v>
      </c>
    </row>
    <row r="29" spans="2:15" ht="17.100000000000001" customHeight="1">
      <c r="B29" s="39" t="s">
        <v>30</v>
      </c>
      <c r="C29" s="56"/>
      <c r="D29" s="56"/>
      <c r="E29" s="56"/>
      <c r="F29" s="56">
        <v>1.10662035913072</v>
      </c>
      <c r="G29" s="56"/>
      <c r="H29" s="56"/>
      <c r="J29" s="56">
        <v>1.1033004980533279</v>
      </c>
    </row>
    <row r="30" spans="2:15" ht="17.100000000000001" customHeight="1">
      <c r="B30" s="39" t="s">
        <v>31</v>
      </c>
      <c r="C30" s="57"/>
      <c r="D30" s="57"/>
      <c r="E30" s="57"/>
      <c r="F30" s="56">
        <v>8.2107278431931103</v>
      </c>
      <c r="G30" s="56"/>
      <c r="H30" s="56"/>
      <c r="J30" s="56">
        <v>8.1860956596635308</v>
      </c>
    </row>
    <row r="31" spans="2:15" ht="17.100000000000001" customHeight="1">
      <c r="B31" s="39"/>
      <c r="C31" s="57"/>
      <c r="D31" s="57"/>
      <c r="E31" s="57"/>
      <c r="F31" s="57"/>
      <c r="G31" s="57"/>
      <c r="H31" s="57"/>
      <c r="I31" s="57"/>
      <c r="J31" s="57"/>
      <c r="K31" s="56"/>
    </row>
    <row r="32" spans="2:15" ht="16.5" customHeight="1">
      <c r="B32" s="39"/>
      <c r="C32" s="31"/>
      <c r="D32" s="31"/>
      <c r="E32" s="31"/>
      <c r="F32" s="31"/>
      <c r="G32" s="31"/>
      <c r="H32" s="31"/>
      <c r="I32" s="31"/>
      <c r="J32" s="31"/>
      <c r="K32" s="31"/>
    </row>
    <row r="33" spans="2:11" s="7" customFormat="1" ht="16.5" customHeight="1">
      <c r="B33" s="4" t="s">
        <v>32</v>
      </c>
      <c r="C33" s="5" t="str">
        <f t="shared" ref="C33:F33" si="10">+C3</f>
        <v>1Q22</v>
      </c>
      <c r="D33" s="5" t="str">
        <f t="shared" si="10"/>
        <v>2Q22</v>
      </c>
      <c r="E33" s="5" t="str">
        <f t="shared" si="10"/>
        <v>3Q22</v>
      </c>
      <c r="F33" s="5" t="str">
        <f t="shared" si="10"/>
        <v>4Q22</v>
      </c>
      <c r="G33" s="5" t="str">
        <f>+G3</f>
        <v>1Q23</v>
      </c>
      <c r="H33" s="5" t="str">
        <f>+H3</f>
        <v>2Q23</v>
      </c>
      <c r="I33" s="5" t="str">
        <f>+I3</f>
        <v>3Q23</v>
      </c>
      <c r="J33" s="5" t="str">
        <f>+J3</f>
        <v>4Q23</v>
      </c>
      <c r="K33" s="5" t="str">
        <f>+K3</f>
        <v>1Q24</v>
      </c>
    </row>
    <row r="34" spans="2:11" ht="17.100000000000001" customHeight="1">
      <c r="B34" s="10"/>
      <c r="C34" s="13"/>
      <c r="D34" s="13"/>
      <c r="E34" s="13"/>
      <c r="F34" s="13"/>
      <c r="G34" s="13"/>
      <c r="H34" s="13"/>
      <c r="I34" s="13"/>
      <c r="J34" s="13"/>
      <c r="K34" s="13"/>
    </row>
    <row r="35" spans="2:11" ht="17.100000000000001" customHeight="1">
      <c r="B35" s="12" t="s">
        <v>32</v>
      </c>
      <c r="C35" s="31">
        <v>32461</v>
      </c>
      <c r="D35" s="31">
        <v>37500</v>
      </c>
      <c r="E35" s="31">
        <v>42098</v>
      </c>
      <c r="F35" s="31">
        <f>+Operations!H13-SUM(C35:E35)</f>
        <v>-111906.6</v>
      </c>
      <c r="G35" s="31">
        <v>43567</v>
      </c>
      <c r="H35" s="31">
        <v>47524</v>
      </c>
      <c r="I35" s="31">
        <v>53233</v>
      </c>
      <c r="J35" s="31">
        <f>+Operations!I13-SUM(G35:I35)</f>
        <v>-144132.29999999999</v>
      </c>
      <c r="K35" s="31">
        <v>50064</v>
      </c>
    </row>
    <row r="36" spans="2:11" s="7" customFormat="1" ht="17.100000000000001" customHeight="1">
      <c r="B36" s="38" t="s">
        <v>33</v>
      </c>
      <c r="C36" s="31">
        <v>21927</v>
      </c>
      <c r="D36" s="31">
        <v>25748</v>
      </c>
      <c r="E36" s="31">
        <v>28925</v>
      </c>
      <c r="F36" s="31" t="e">
        <f>+Operations!#REF!-SUM(C36:E36)</f>
        <v>#REF!</v>
      </c>
      <c r="G36" s="31">
        <v>31685</v>
      </c>
      <c r="H36" s="31">
        <v>34019</v>
      </c>
      <c r="I36" s="31">
        <v>38456</v>
      </c>
      <c r="J36" s="31" t="e">
        <f>+Operations!#REF!-SUM(G36:I36)</f>
        <v>#REF!</v>
      </c>
      <c r="K36" s="31">
        <v>36460</v>
      </c>
    </row>
    <row r="37" spans="2:11" ht="17.100000000000001" customHeight="1">
      <c r="B37" s="42" t="s">
        <v>34</v>
      </c>
      <c r="C37" s="45">
        <f t="shared" ref="C37:K39" si="11">+C36/(C$5*1000)</f>
        <v>53.925968918849129</v>
      </c>
      <c r="D37" s="45">
        <f t="shared" si="11"/>
        <v>47.625653631946264</v>
      </c>
      <c r="E37" s="45">
        <f t="shared" si="11"/>
        <v>45.993442456121372</v>
      </c>
      <c r="F37" s="45" t="e">
        <f t="shared" si="11"/>
        <v>#REF!</v>
      </c>
      <c r="G37" s="45">
        <f t="shared" ref="G37:K37" si="12">+G36/(G$5*1000)</f>
        <v>51.273960077999206</v>
      </c>
      <c r="H37" s="45">
        <f t="shared" si="12"/>
        <v>50.003086701022141</v>
      </c>
      <c r="I37" s="45">
        <f t="shared" si="12"/>
        <v>50.469244811796806</v>
      </c>
      <c r="J37" s="45" t="e">
        <f t="shared" si="12"/>
        <v>#REF!</v>
      </c>
      <c r="K37" s="45">
        <f t="shared" si="12"/>
        <v>56.308358532585039</v>
      </c>
    </row>
    <row r="38" spans="2:11" s="7" customFormat="1" ht="17.100000000000001" customHeight="1">
      <c r="B38" s="38" t="s">
        <v>35</v>
      </c>
      <c r="C38" s="31">
        <v>8283</v>
      </c>
      <c r="D38" s="31">
        <v>9710</v>
      </c>
      <c r="E38" s="31">
        <v>10732</v>
      </c>
      <c r="F38" s="31" t="e">
        <f>+Operations!#REF!-SUM(C38:E38)</f>
        <v>#REF!</v>
      </c>
      <c r="G38" s="31">
        <v>11042</v>
      </c>
      <c r="H38" s="31">
        <v>12748</v>
      </c>
      <c r="I38" s="31">
        <v>12969</v>
      </c>
      <c r="J38" s="31" t="e">
        <f>+Operations!#REF!-SUM(G38:I38)</f>
        <v>#REF!</v>
      </c>
      <c r="K38" s="31">
        <v>12726</v>
      </c>
    </row>
    <row r="39" spans="2:11" ht="17.100000000000001" customHeight="1">
      <c r="B39" s="42" t="s">
        <v>34</v>
      </c>
      <c r="C39" s="45">
        <f t="shared" si="11"/>
        <v>20.370721054171902</v>
      </c>
      <c r="D39" s="45">
        <f t="shared" si="11"/>
        <v>17.960427868813042</v>
      </c>
      <c r="E39" s="45">
        <f t="shared" si="11"/>
        <v>17.064878978015368</v>
      </c>
      <c r="F39" s="45" t="e">
        <f t="shared" si="11"/>
        <v>#REF!</v>
      </c>
      <c r="G39" s="45">
        <f t="shared" si="11"/>
        <v>17.868615028602406</v>
      </c>
      <c r="H39" s="45">
        <f t="shared" si="11"/>
        <v>18.737745062013293</v>
      </c>
      <c r="I39" s="45">
        <f t="shared" si="11"/>
        <v>17.020377469424609</v>
      </c>
      <c r="J39" s="45" t="e">
        <f t="shared" ref="J39" si="13">+J38/(J$5*1000)</f>
        <v>#REF!</v>
      </c>
      <c r="K39" s="45">
        <f t="shared" si="11"/>
        <v>19.653871933233056</v>
      </c>
    </row>
    <row r="40" spans="2:11" s="7" customFormat="1" ht="17.100000000000001" customHeight="1">
      <c r="B40" s="60" t="s">
        <v>36</v>
      </c>
      <c r="C40" s="8">
        <v>4085</v>
      </c>
      <c r="D40" s="8">
        <v>4520</v>
      </c>
      <c r="E40" s="8">
        <v>4939</v>
      </c>
      <c r="F40" s="31" t="e">
        <f>+Operations!#REF!-SUM(C40:E40)</f>
        <v>#REF!</v>
      </c>
      <c r="G40" s="8">
        <v>5222</v>
      </c>
      <c r="H40" s="8">
        <v>5486</v>
      </c>
      <c r="I40" s="8">
        <v>5674</v>
      </c>
      <c r="J40" s="31" t="e">
        <f>+Operations!#REF!-SUM(G40:I40)</f>
        <v>#REF!</v>
      </c>
      <c r="K40" s="8">
        <v>5599</v>
      </c>
    </row>
    <row r="41" spans="2:11" ht="17.100000000000001" customHeight="1">
      <c r="B41" s="61" t="s">
        <v>34</v>
      </c>
      <c r="C41" s="45">
        <f>+C40/(C$5*1000)</f>
        <v>10.046407763647498</v>
      </c>
      <c r="D41" s="45">
        <f t="shared" ref="D41:F41" si="14">+D40/(D$5*1000)</f>
        <v>8.3605699245144134</v>
      </c>
      <c r="E41" s="45">
        <f t="shared" si="14"/>
        <v>7.8534697421187021</v>
      </c>
      <c r="F41" s="45" t="e">
        <f t="shared" si="14"/>
        <v>#REF!</v>
      </c>
      <c r="G41" s="45">
        <f>+G40/(G$5*1000)</f>
        <v>8.4504535119871189</v>
      </c>
      <c r="H41" s="45">
        <f t="shared" ref="H41:K41" si="15">+H40/(H$5*1000)</f>
        <v>8.0636389559307293</v>
      </c>
      <c r="I41" s="45">
        <f t="shared" si="15"/>
        <v>7.446497167207589</v>
      </c>
      <c r="J41" s="45" t="e">
        <f t="shared" si="15"/>
        <v>#REF!</v>
      </c>
      <c r="K41" s="45">
        <f t="shared" si="15"/>
        <v>8.6470241202398146</v>
      </c>
    </row>
    <row r="42" spans="2:11" s="7" customFormat="1" ht="17.100000000000001" customHeight="1">
      <c r="B42" s="60" t="s">
        <v>37</v>
      </c>
      <c r="C42" s="8">
        <f>4196+2</f>
        <v>4198</v>
      </c>
      <c r="D42" s="8">
        <f>5186+4</f>
        <v>5190</v>
      </c>
      <c r="E42" s="8">
        <f>5787+6</f>
        <v>5793</v>
      </c>
      <c r="F42" s="31" t="e">
        <f>+Operations!#REF!-SUM(C42:E42)</f>
        <v>#REF!</v>
      </c>
      <c r="G42" s="8">
        <f>5814+6</f>
        <v>5820</v>
      </c>
      <c r="H42" s="8">
        <f>6569+693</f>
        <v>7262</v>
      </c>
      <c r="I42" s="8">
        <f>7292+3</f>
        <v>7295</v>
      </c>
      <c r="J42" s="31" t="e">
        <f>+Operations!#REF!-SUM(G42:I42)</f>
        <v>#REF!</v>
      </c>
      <c r="K42" s="8">
        <f>7121+8</f>
        <v>7129</v>
      </c>
    </row>
    <row r="43" spans="2:11" ht="17.100000000000001" customHeight="1">
      <c r="B43" s="61" t="s">
        <v>34</v>
      </c>
      <c r="C43" s="45">
        <f>+C42/(C$5*1000)</f>
        <v>10.324313290524405</v>
      </c>
      <c r="D43" s="45">
        <f t="shared" ref="D43:F43" si="16">+D42/(D$5*1000)</f>
        <v>9.5998579442986287</v>
      </c>
      <c r="E43" s="45">
        <f t="shared" si="16"/>
        <v>9.2114092358966673</v>
      </c>
      <c r="F43" s="45" t="e">
        <f t="shared" si="16"/>
        <v>#REF!</v>
      </c>
      <c r="G43" s="45">
        <f>+G42/(G$5*1000)</f>
        <v>9.418161516615287</v>
      </c>
      <c r="H43" s="45">
        <f t="shared" ref="H43:K43" si="17">+H42/(H$5*1000)</f>
        <v>10.674106106082565</v>
      </c>
      <c r="I43" s="45">
        <f t="shared" si="17"/>
        <v>9.5738803022170185</v>
      </c>
      <c r="J43" s="45" t="e">
        <f t="shared" si="17"/>
        <v>#REF!</v>
      </c>
      <c r="K43" s="45">
        <f t="shared" si="17"/>
        <v>11.009936587460196</v>
      </c>
    </row>
    <row r="44" spans="2:11" ht="17.100000000000001" customHeight="1">
      <c r="B44" s="12" t="s">
        <v>38</v>
      </c>
      <c r="C44" s="8">
        <v>-186</v>
      </c>
      <c r="D44" s="8">
        <v>-394</v>
      </c>
      <c r="E44" s="8">
        <v>-610</v>
      </c>
      <c r="F44" s="31" t="e">
        <f>+Operations!#REF!-SUM(C44:E44)</f>
        <v>#REF!</v>
      </c>
      <c r="G44" s="8">
        <v>-248</v>
      </c>
      <c r="H44" s="8">
        <v>-490</v>
      </c>
      <c r="I44" s="8">
        <v>-747</v>
      </c>
      <c r="J44" s="31" t="e">
        <f>+Operations!#REF!-SUM(G44:I44)</f>
        <v>#REF!</v>
      </c>
      <c r="K44" s="8">
        <v>-953</v>
      </c>
    </row>
    <row r="45" spans="2:11" ht="17.100000000000001" customHeight="1">
      <c r="B45" s="42" t="s">
        <v>34</v>
      </c>
      <c r="C45" s="45">
        <f>+C44/(C$5*1000)</f>
        <v>-0.4574374159212814</v>
      </c>
      <c r="D45" s="45">
        <f t="shared" ref="D45:F45" si="18">+D44/(D$5*1000)</f>
        <v>-0.72877534297758384</v>
      </c>
      <c r="E45" s="45">
        <f t="shared" si="18"/>
        <v>-0.96995678126997531</v>
      </c>
      <c r="F45" s="45" t="e">
        <f t="shared" si="18"/>
        <v>#REF!</v>
      </c>
      <c r="G45" s="45">
        <f>+G44/(G$5*1000)</f>
        <v>-0.40132372098291946</v>
      </c>
      <c r="H45" s="45">
        <f t="shared" ref="H45:J45" si="19">+H44/(H$5*1000)</f>
        <v>-0.72023023849909906</v>
      </c>
      <c r="I45" s="45">
        <f t="shared" si="19"/>
        <v>-0.98035484383222937</v>
      </c>
      <c r="J45" s="45" t="e">
        <f t="shared" si="19"/>
        <v>#REF!</v>
      </c>
      <c r="K45" s="45">
        <f>+K44/(K$5*1000)</f>
        <v>-1.4718010335039369</v>
      </c>
    </row>
    <row r="46" spans="2:11" ht="17.100000000000001" customHeight="1">
      <c r="B46" s="12" t="s">
        <v>39</v>
      </c>
      <c r="C46" s="8">
        <v>2437</v>
      </c>
      <c r="D46" s="8">
        <v>2436</v>
      </c>
      <c r="E46" s="8">
        <v>2437</v>
      </c>
      <c r="F46" s="31" t="e">
        <f>+Operations!#REF!-SUM(C46:E46)</f>
        <v>#REF!</v>
      </c>
      <c r="G46" s="8">
        <v>1088</v>
      </c>
      <c r="H46" s="8">
        <v>1247</v>
      </c>
      <c r="I46" s="8">
        <v>1274</v>
      </c>
      <c r="J46" s="31" t="e">
        <f>+Operations!#REF!-SUM(G46:I46)</f>
        <v>#REF!</v>
      </c>
      <c r="K46" s="8">
        <v>1831</v>
      </c>
    </row>
    <row r="47" spans="2:11" ht="17.100000000000001" customHeight="1">
      <c r="B47" s="29"/>
      <c r="C47" s="28"/>
      <c r="D47" s="28"/>
      <c r="E47" s="28"/>
      <c r="F47" s="28"/>
      <c r="G47" s="28"/>
      <c r="H47" s="28"/>
      <c r="I47" s="28"/>
      <c r="J47" s="28"/>
      <c r="K47" s="28"/>
    </row>
    <row r="48" spans="2:11" ht="17.100000000000001" customHeight="1">
      <c r="B48" s="12" t="s">
        <v>40</v>
      </c>
      <c r="C48" s="8">
        <v>598</v>
      </c>
      <c r="D48" s="8">
        <v>596</v>
      </c>
      <c r="E48" s="8">
        <v>614</v>
      </c>
      <c r="F48" s="31" t="e">
        <f>+Operations!#REF!-SUM(C48:E48)</f>
        <v>#REF!</v>
      </c>
      <c r="G48" s="8">
        <v>693</v>
      </c>
      <c r="H48" s="8">
        <v>834</v>
      </c>
      <c r="I48" s="8">
        <v>1281</v>
      </c>
      <c r="J48" s="31" t="e">
        <f>+Operations!#REF!-SUM(G48:I48)</f>
        <v>#REF!</v>
      </c>
      <c r="K48" s="8">
        <v>1144</v>
      </c>
    </row>
    <row r="49" spans="2:11" ht="17.100000000000001" customHeight="1">
      <c r="B49" s="29"/>
      <c r="C49" s="28"/>
      <c r="D49" s="28"/>
      <c r="E49" s="28"/>
      <c r="F49" s="28"/>
      <c r="G49" s="28"/>
      <c r="H49" s="28"/>
      <c r="I49" s="28"/>
      <c r="J49" s="28"/>
      <c r="K49" s="28"/>
    </row>
    <row r="50" spans="2:11" s="7" customFormat="1" ht="17.100000000000001" customHeight="1">
      <c r="B50" s="4" t="s">
        <v>41</v>
      </c>
      <c r="C50" s="5" t="str">
        <f>+C$3</f>
        <v>1Q22</v>
      </c>
      <c r="D50" s="5" t="str">
        <f t="shared" ref="D50:F50" si="20">+D$3</f>
        <v>2Q22</v>
      </c>
      <c r="E50" s="5" t="str">
        <f t="shared" si="20"/>
        <v>3Q22</v>
      </c>
      <c r="F50" s="5" t="str">
        <f t="shared" si="20"/>
        <v>4Q22</v>
      </c>
      <c r="G50" s="5" t="str">
        <f>+G$3</f>
        <v>1Q23</v>
      </c>
      <c r="H50" s="5" t="str">
        <f t="shared" ref="H50:K50" si="21">+H$3</f>
        <v>2Q23</v>
      </c>
      <c r="I50" s="5" t="str">
        <f t="shared" si="21"/>
        <v>3Q23</v>
      </c>
      <c r="J50" s="5" t="str">
        <f t="shared" si="21"/>
        <v>4Q23</v>
      </c>
      <c r="K50" s="5" t="str">
        <f t="shared" si="21"/>
        <v>1Q24</v>
      </c>
    </row>
    <row r="51" spans="2:11" ht="17.100000000000001" customHeight="1">
      <c r="B51" s="10"/>
      <c r="C51" s="17"/>
      <c r="D51" s="17"/>
      <c r="E51" s="17"/>
      <c r="F51" s="17"/>
      <c r="G51" s="17"/>
      <c r="H51" s="17"/>
      <c r="I51" s="17"/>
      <c r="J51" s="17"/>
      <c r="K51" s="17"/>
    </row>
    <row r="52" spans="2:11" ht="17.100000000000001" customHeight="1">
      <c r="B52" s="41" t="s">
        <v>32</v>
      </c>
      <c r="C52" s="9">
        <f>+C35</f>
        <v>32461</v>
      </c>
      <c r="D52" s="9">
        <f t="shared" ref="D52:K52" si="22">+D35</f>
        <v>37500</v>
      </c>
      <c r="E52" s="9">
        <f t="shared" si="22"/>
        <v>42098</v>
      </c>
      <c r="F52" s="9">
        <f t="shared" si="22"/>
        <v>-111906.6</v>
      </c>
      <c r="G52" s="9">
        <f t="shared" si="22"/>
        <v>43567</v>
      </c>
      <c r="H52" s="9">
        <f t="shared" si="22"/>
        <v>47524</v>
      </c>
      <c r="I52" s="9">
        <f t="shared" si="22"/>
        <v>53233</v>
      </c>
      <c r="J52" s="9">
        <f t="shared" ref="J52" si="23">+J35</f>
        <v>-144132.29999999999</v>
      </c>
      <c r="K52" s="9">
        <f t="shared" si="22"/>
        <v>50064</v>
      </c>
    </row>
    <row r="53" spans="2:11" ht="17.100000000000001" customHeight="1">
      <c r="B53" s="27"/>
      <c r="C53" s="40"/>
      <c r="D53" s="40"/>
      <c r="E53" s="40"/>
      <c r="F53" s="40"/>
      <c r="G53" s="40"/>
      <c r="H53" s="40"/>
      <c r="I53" s="40"/>
      <c r="J53" s="40"/>
      <c r="K53" s="40"/>
    </row>
    <row r="54" spans="2:11" ht="17.100000000000001" customHeight="1">
      <c r="B54" s="41" t="s">
        <v>42</v>
      </c>
      <c r="C54" s="44">
        <v>26455</v>
      </c>
      <c r="D54" s="44">
        <v>28156</v>
      </c>
      <c r="E54" s="44">
        <v>30136</v>
      </c>
      <c r="F54" s="31" t="e">
        <f>+Operations!#REF!+Operations!#REF!-SUM(C54:E54)</f>
        <v>#REF!</v>
      </c>
      <c r="G54" s="44">
        <v>32006</v>
      </c>
      <c r="H54" s="44">
        <v>34120</v>
      </c>
      <c r="I54" s="44">
        <v>35619</v>
      </c>
      <c r="J54" s="31" t="e">
        <f>+Operations!#REF!+Operations!#REF!-SUM(G54:I54)</f>
        <v>#REF!</v>
      </c>
      <c r="K54" s="44">
        <v>34705</v>
      </c>
    </row>
    <row r="55" spans="2:11" ht="17.100000000000001" customHeight="1">
      <c r="B55" s="42" t="s">
        <v>34</v>
      </c>
      <c r="C55" s="45">
        <f>+C54/C$5/1000</f>
        <v>65.061864721491929</v>
      </c>
      <c r="D55" s="45">
        <f t="shared" ref="D55:K55" si="24">+D54/D$5/1000</f>
        <v>52.079691768722967</v>
      </c>
      <c r="E55" s="45">
        <f t="shared" si="24"/>
        <v>47.919045180904881</v>
      </c>
      <c r="F55" s="45" t="e">
        <f t="shared" si="24"/>
        <v>#REF!</v>
      </c>
      <c r="G55" s="45">
        <f t="shared" si="24"/>
        <v>51.79341537814242</v>
      </c>
      <c r="H55" s="45">
        <f t="shared" si="24"/>
        <v>50.151542321610734</v>
      </c>
      <c r="I55" s="45">
        <f t="shared" si="24"/>
        <v>46.745996228193015</v>
      </c>
      <c r="J55" s="45" t="e">
        <f t="shared" si="24"/>
        <v>#REF!</v>
      </c>
      <c r="K55" s="45">
        <f t="shared" si="24"/>
        <v>53.597958937832239</v>
      </c>
    </row>
    <row r="56" spans="2:11" ht="17.100000000000001" customHeight="1">
      <c r="B56" s="43" t="s">
        <v>43</v>
      </c>
      <c r="C56" s="46">
        <f>4135+529</f>
        <v>4664</v>
      </c>
      <c r="D56" s="46">
        <f>4811+556</f>
        <v>5367</v>
      </c>
      <c r="E56" s="46">
        <f>7005+551</f>
        <v>7556</v>
      </c>
      <c r="F56" s="31" t="e">
        <f>+Operations!#REF!-SUM(C56:E56)</f>
        <v>#REF!</v>
      </c>
      <c r="G56" s="46">
        <f>7087+601</f>
        <v>7688</v>
      </c>
      <c r="H56" s="46">
        <f>1323+7699</f>
        <v>9022</v>
      </c>
      <c r="I56" s="46">
        <f>418+9084</f>
        <v>9502</v>
      </c>
      <c r="J56" s="31" t="e">
        <f>+Operations!#REF!-SUM(G56:I56)</f>
        <v>#REF!</v>
      </c>
      <c r="K56" s="46">
        <f>8467+371</f>
        <v>8838</v>
      </c>
    </row>
    <row r="57" spans="2:11" ht="17.100000000000001" customHeight="1">
      <c r="B57" s="42" t="s">
        <v>34</v>
      </c>
      <c r="C57" s="45">
        <f>+C56/C$5/1000</f>
        <v>11.470366171273422</v>
      </c>
      <c r="D57" s="45">
        <f t="shared" ref="D57:F57" si="25">+D56/D$5/1000</f>
        <v>9.9272519435550564</v>
      </c>
      <c r="E57" s="45">
        <f t="shared" si="25"/>
        <v>12.014743343075303</v>
      </c>
      <c r="F57" s="45" t="e">
        <f t="shared" si="25"/>
        <v>#REF!</v>
      </c>
      <c r="G57" s="45">
        <f>+G56/G$5/1000</f>
        <v>12.441035350470504</v>
      </c>
      <c r="H57" s="45">
        <f t="shared" ref="H57:K57" si="26">+H56/H$5/1000</f>
        <v>13.261055534160961</v>
      </c>
      <c r="I57" s="45">
        <f t="shared" si="26"/>
        <v>12.470323595841826</v>
      </c>
      <c r="J57" s="45" t="e">
        <f t="shared" si="26"/>
        <v>#REF!</v>
      </c>
      <c r="K57" s="45">
        <f t="shared" si="26"/>
        <v>13.649294369473026</v>
      </c>
    </row>
    <row r="58" spans="2:11" ht="17.100000000000001" customHeight="1">
      <c r="B58" s="42" t="s">
        <v>44</v>
      </c>
      <c r="C58" s="47">
        <f t="shared" ref="C58:K58" si="27">+C56/C$52</f>
        <v>0.1436801084378177</v>
      </c>
      <c r="D58" s="47">
        <f t="shared" si="27"/>
        <v>0.14312</v>
      </c>
      <c r="E58" s="47">
        <f t="shared" si="27"/>
        <v>0.17948596132832914</v>
      </c>
      <c r="F58" s="47" t="e">
        <f t="shared" si="27"/>
        <v>#REF!</v>
      </c>
      <c r="G58" s="47">
        <f t="shared" si="27"/>
        <v>0.17646383730805426</v>
      </c>
      <c r="H58" s="47">
        <f t="shared" si="27"/>
        <v>0.18984092248127263</v>
      </c>
      <c r="I58" s="47">
        <f t="shared" si="27"/>
        <v>0.17849829992673719</v>
      </c>
      <c r="J58" s="47" t="e">
        <f t="shared" si="27"/>
        <v>#REF!</v>
      </c>
      <c r="K58" s="47">
        <f t="shared" si="27"/>
        <v>0.17653403643336529</v>
      </c>
    </row>
    <row r="59" spans="2:11" ht="17.100000000000001" customHeight="1">
      <c r="B59" s="43" t="s">
        <v>45</v>
      </c>
      <c r="C59" s="46">
        <v>12710</v>
      </c>
      <c r="D59" s="46">
        <v>12433</v>
      </c>
      <c r="E59" s="46">
        <v>11625</v>
      </c>
      <c r="F59" s="31" t="e">
        <f>+Operations!#REF!-SUM(C59:E59)</f>
        <v>#REF!</v>
      </c>
      <c r="G59" s="46">
        <v>12507</v>
      </c>
      <c r="H59" s="46">
        <v>12206</v>
      </c>
      <c r="I59" s="46">
        <v>12565</v>
      </c>
      <c r="J59" s="31" t="e">
        <f>+Operations!#REF!-SUM(G59:I59)</f>
        <v>#REF!</v>
      </c>
      <c r="K59" s="46">
        <v>12741</v>
      </c>
    </row>
    <row r="60" spans="2:11" ht="17.100000000000001" customHeight="1">
      <c r="B60" s="42" t="s">
        <v>34</v>
      </c>
      <c r="C60" s="45">
        <f>+C59/C$5/1000</f>
        <v>31.258223421287564</v>
      </c>
      <c r="D60" s="45">
        <f t="shared" ref="D60:K60" si="28">+D59/D$5/1000</f>
        <v>22.997116343249491</v>
      </c>
      <c r="E60" s="45">
        <f t="shared" si="28"/>
        <v>18.484832102071255</v>
      </c>
      <c r="F60" s="45" t="e">
        <f t="shared" si="28"/>
        <v>#REF!</v>
      </c>
      <c r="G60" s="45">
        <f t="shared" si="28"/>
        <v>20.239337815860377</v>
      </c>
      <c r="H60" s="45">
        <f t="shared" si="28"/>
        <v>17.941082226775514</v>
      </c>
      <c r="I60" s="45">
        <f t="shared" si="28"/>
        <v>16.490172172358719</v>
      </c>
      <c r="J60" s="45" t="e">
        <f t="shared" si="28"/>
        <v>#REF!</v>
      </c>
      <c r="K60" s="45">
        <f t="shared" si="28"/>
        <v>19.677037741735212</v>
      </c>
    </row>
    <row r="61" spans="2:11" ht="17.100000000000001" customHeight="1">
      <c r="B61" s="42" t="s">
        <v>44</v>
      </c>
      <c r="C61" s="47">
        <f>+C59/C$52</f>
        <v>0.39154677921197745</v>
      </c>
      <c r="D61" s="47">
        <f>+D59/D$52</f>
        <v>0.33154666666666666</v>
      </c>
      <c r="E61" s="47">
        <f>+E59/E$52</f>
        <v>0.27614138438880709</v>
      </c>
      <c r="F61" s="47" t="e">
        <f t="shared" ref="F61:K61" si="29">+F59/F$52</f>
        <v>#REF!</v>
      </c>
      <c r="G61" s="47">
        <f t="shared" si="29"/>
        <v>0.28707507976220537</v>
      </c>
      <c r="H61" s="47">
        <f t="shared" si="29"/>
        <v>0.25683864994529082</v>
      </c>
      <c r="I61" s="47">
        <f t="shared" si="29"/>
        <v>0.23603779610392051</v>
      </c>
      <c r="J61" s="47" t="e">
        <f t="shared" ref="J61" si="30">+J59/J$52</f>
        <v>#REF!</v>
      </c>
      <c r="K61" s="47">
        <f t="shared" si="29"/>
        <v>0.25449424736337489</v>
      </c>
    </row>
    <row r="62" spans="2:11" ht="17.100000000000001" customHeight="1">
      <c r="C62" s="11"/>
      <c r="D62" s="11"/>
      <c r="E62" s="11"/>
      <c r="F62" s="11"/>
      <c r="G62" s="11"/>
      <c r="H62" s="11"/>
      <c r="I62" s="11"/>
      <c r="J62" s="11"/>
      <c r="K62" s="11"/>
    </row>
    <row r="63" spans="2:11" ht="17.100000000000001" customHeight="1">
      <c r="B63" s="41" t="s">
        <v>46</v>
      </c>
      <c r="C63" s="50">
        <f>+C52-C54+C59+C56</f>
        <v>23380</v>
      </c>
      <c r="D63" s="50">
        <f t="shared" ref="D63:K63" si="31">+D52-D54+D59+D56</f>
        <v>27144</v>
      </c>
      <c r="E63" s="50">
        <f t="shared" si="31"/>
        <v>31143</v>
      </c>
      <c r="F63" s="50" t="e">
        <f>+F52-F54+F59+F56</f>
        <v>#REF!</v>
      </c>
      <c r="G63" s="50">
        <f t="shared" si="31"/>
        <v>31756</v>
      </c>
      <c r="H63" s="50">
        <f t="shared" si="31"/>
        <v>34632</v>
      </c>
      <c r="I63" s="50">
        <f t="shared" si="31"/>
        <v>39681</v>
      </c>
      <c r="J63" s="50" t="e">
        <f>+J52-J54+J59+J56</f>
        <v>#REF!</v>
      </c>
      <c r="K63" s="50">
        <f t="shared" si="31"/>
        <v>36938</v>
      </c>
    </row>
    <row r="64" spans="2:11" ht="17.100000000000001" customHeight="1">
      <c r="B64" s="41" t="s">
        <v>47</v>
      </c>
      <c r="C64" s="48">
        <f t="shared" ref="C64:K64" si="32">C63/C52</f>
        <v>0.72024891408151315</v>
      </c>
      <c r="D64" s="48">
        <f t="shared" si="32"/>
        <v>0.72384000000000004</v>
      </c>
      <c r="E64" s="48">
        <f t="shared" si="32"/>
        <v>0.73977386099102094</v>
      </c>
      <c r="F64" s="48" t="e">
        <f t="shared" si="32"/>
        <v>#REF!</v>
      </c>
      <c r="G64" s="48">
        <f t="shared" si="32"/>
        <v>0.72890031445819081</v>
      </c>
      <c r="H64" s="48">
        <f t="shared" si="32"/>
        <v>0.72872653817018773</v>
      </c>
      <c r="I64" s="48">
        <f t="shared" si="32"/>
        <v>0.74542107339432306</v>
      </c>
      <c r="J64" s="48" t="e">
        <f t="shared" si="32"/>
        <v>#REF!</v>
      </c>
      <c r="K64" s="48">
        <f t="shared" si="32"/>
        <v>0.73781559603707259</v>
      </c>
    </row>
    <row r="65" spans="2:26" ht="17.100000000000001" customHeight="1">
      <c r="B65" s="27"/>
      <c r="C65" s="51"/>
      <c r="D65" s="51"/>
      <c r="E65" s="51"/>
      <c r="F65" s="51"/>
      <c r="G65" s="51"/>
      <c r="H65" s="51"/>
      <c r="I65" s="51"/>
      <c r="J65" s="51"/>
      <c r="K65" s="51"/>
    </row>
    <row r="66" spans="2:26" ht="17.100000000000001" customHeight="1">
      <c r="B66" s="41" t="s">
        <v>48</v>
      </c>
      <c r="C66" s="50">
        <f>+C63-C56</f>
        <v>18716</v>
      </c>
      <c r="D66" s="50">
        <f t="shared" ref="D66:K66" si="33">+D63-D56</f>
        <v>21777</v>
      </c>
      <c r="E66" s="50">
        <f t="shared" si="33"/>
        <v>23587</v>
      </c>
      <c r="F66" s="50" t="e">
        <f t="shared" si="33"/>
        <v>#REF!</v>
      </c>
      <c r="G66" s="50">
        <f t="shared" si="33"/>
        <v>24068</v>
      </c>
      <c r="H66" s="50">
        <f t="shared" si="33"/>
        <v>25610</v>
      </c>
      <c r="I66" s="50">
        <f t="shared" si="33"/>
        <v>30179</v>
      </c>
      <c r="J66" s="50" t="e">
        <f t="shared" ref="J66" si="34">+J63-J56</f>
        <v>#REF!</v>
      </c>
      <c r="K66" s="50">
        <f t="shared" si="33"/>
        <v>28100</v>
      </c>
    </row>
    <row r="67" spans="2:26" ht="17.100000000000001" customHeight="1">
      <c r="B67" s="41" t="s">
        <v>49</v>
      </c>
      <c r="C67" s="48">
        <f t="shared" ref="C67:K67" si="35">+C66/C52</f>
        <v>0.5765688056436955</v>
      </c>
      <c r="D67" s="48">
        <f t="shared" si="35"/>
        <v>0.58072000000000001</v>
      </c>
      <c r="E67" s="48">
        <f t="shared" si="35"/>
        <v>0.56028789966269177</v>
      </c>
      <c r="F67" s="48" t="e">
        <f t="shared" si="35"/>
        <v>#REF!</v>
      </c>
      <c r="G67" s="48">
        <f t="shared" si="35"/>
        <v>0.55243647715013655</v>
      </c>
      <c r="H67" s="48">
        <f t="shared" si="35"/>
        <v>0.53888561568891502</v>
      </c>
      <c r="I67" s="48">
        <f t="shared" si="35"/>
        <v>0.56692277346758591</v>
      </c>
      <c r="J67" s="48" t="e">
        <f t="shared" si="35"/>
        <v>#REF!</v>
      </c>
      <c r="K67" s="48">
        <f t="shared" si="35"/>
        <v>0.56128155960370729</v>
      </c>
    </row>
    <row r="68" spans="2:26" ht="17.100000000000001" customHeight="1">
      <c r="B68" s="27"/>
      <c r="C68" s="51"/>
      <c r="D68" s="51"/>
      <c r="E68" s="51"/>
      <c r="F68" s="51"/>
      <c r="G68" s="51"/>
      <c r="H68" s="51"/>
      <c r="I68" s="51"/>
      <c r="J68" s="51"/>
      <c r="K68" s="51"/>
    </row>
    <row r="69" spans="2:26" ht="17.100000000000001" customHeight="1">
      <c r="B69" s="41" t="s">
        <v>50</v>
      </c>
      <c r="C69" s="50">
        <f>+C66-C59+C48</f>
        <v>6604</v>
      </c>
      <c r="D69" s="50">
        <f t="shared" ref="D69:K69" si="36">+D66-D59+D48</f>
        <v>9940</v>
      </c>
      <c r="E69" s="50">
        <f t="shared" si="36"/>
        <v>12576</v>
      </c>
      <c r="F69" s="50" t="e">
        <f t="shared" si="36"/>
        <v>#REF!</v>
      </c>
      <c r="G69" s="50">
        <f t="shared" si="36"/>
        <v>12254</v>
      </c>
      <c r="H69" s="50">
        <f t="shared" si="36"/>
        <v>14238</v>
      </c>
      <c r="I69" s="50">
        <f t="shared" si="36"/>
        <v>18895</v>
      </c>
      <c r="J69" s="50" t="e">
        <f t="shared" ref="J69" si="37">+J66-J59+J48</f>
        <v>#REF!</v>
      </c>
      <c r="K69" s="50">
        <f t="shared" si="36"/>
        <v>16503</v>
      </c>
    </row>
    <row r="70" spans="2:26" ht="17.100000000000001" customHeight="1">
      <c r="B70" s="27"/>
      <c r="C70" s="51"/>
      <c r="D70" s="51"/>
      <c r="E70" s="51"/>
      <c r="F70" s="51"/>
      <c r="G70" s="51"/>
      <c r="H70" s="51"/>
      <c r="I70" s="51"/>
      <c r="J70" s="51"/>
      <c r="K70" s="51"/>
    </row>
    <row r="71" spans="2:26" s="7" customFormat="1" ht="17.100000000000001" customHeight="1">
      <c r="B71" s="4" t="s">
        <v>51</v>
      </c>
      <c r="C71" s="5" t="str">
        <f t="shared" ref="C71:F71" si="38">+C$3</f>
        <v>1Q22</v>
      </c>
      <c r="D71" s="5" t="str">
        <f t="shared" si="38"/>
        <v>2Q22</v>
      </c>
      <c r="E71" s="5" t="str">
        <f t="shared" si="38"/>
        <v>3Q22</v>
      </c>
      <c r="F71" s="5" t="str">
        <f t="shared" si="38"/>
        <v>4Q22</v>
      </c>
      <c r="G71" s="5" t="str">
        <f t="shared" ref="G71:K71" si="39">+G$3</f>
        <v>1Q23</v>
      </c>
      <c r="H71" s="5" t="str">
        <f t="shared" si="39"/>
        <v>2Q23</v>
      </c>
      <c r="I71" s="5" t="str">
        <f t="shared" si="39"/>
        <v>3Q23</v>
      </c>
      <c r="J71" s="5" t="str">
        <f t="shared" si="39"/>
        <v>4Q23</v>
      </c>
      <c r="K71" s="5" t="str">
        <f t="shared" si="39"/>
        <v>1Q24</v>
      </c>
    </row>
    <row r="72" spans="2:26" ht="17.100000000000001" customHeight="1">
      <c r="B72" s="27"/>
    </row>
    <row r="73" spans="2:26" ht="17.100000000000001" customHeight="1">
      <c r="B73" s="41" t="s">
        <v>52</v>
      </c>
      <c r="C73" s="46">
        <v>859.29099999999994</v>
      </c>
      <c r="D73" s="46">
        <v>1998.5600000000002</v>
      </c>
      <c r="E73" s="46">
        <v>1893.3890000000001</v>
      </c>
      <c r="F73" s="46">
        <v>5142.58</v>
      </c>
      <c r="G73" s="46">
        <v>1620.356</v>
      </c>
      <c r="H73" s="46">
        <v>3424.3819999999996</v>
      </c>
      <c r="I73" s="46">
        <v>3752.2630000000004</v>
      </c>
      <c r="J73" s="46">
        <v>7745.4430000000002</v>
      </c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2:26" ht="17.100000000000001" customHeight="1">
      <c r="B74" s="27" t="s">
        <v>53</v>
      </c>
      <c r="C74" s="49">
        <f t="shared" ref="C74:F74" si="40">+C73/C52</f>
        <v>2.6471488863559347E-2</v>
      </c>
      <c r="D74" s="49">
        <f t="shared" si="40"/>
        <v>5.3294933333333336E-2</v>
      </c>
      <c r="E74" s="49">
        <f t="shared" si="40"/>
        <v>4.4975747066368948E-2</v>
      </c>
      <c r="F74" s="49">
        <f t="shared" si="40"/>
        <v>-4.5954215390334438E-2</v>
      </c>
      <c r="G74" s="49">
        <f>+G73/G52</f>
        <v>3.719227855946014E-2</v>
      </c>
      <c r="H74" s="49">
        <f t="shared" ref="H74:K74" si="41">+H73/H52</f>
        <v>7.2055845467553226E-2</v>
      </c>
      <c r="I74" s="49">
        <f t="shared" si="41"/>
        <v>7.0487535926962608E-2</v>
      </c>
      <c r="J74" s="49">
        <f t="shared" si="41"/>
        <v>-5.3738426431826879E-2</v>
      </c>
      <c r="K74" s="49">
        <f t="shared" si="41"/>
        <v>0</v>
      </c>
    </row>
    <row r="75" spans="2:26" ht="17.100000000000001" customHeight="1">
      <c r="B75" s="27"/>
      <c r="C75" s="44"/>
      <c r="D75" s="44"/>
      <c r="E75" s="44"/>
      <c r="F75" s="44"/>
      <c r="G75" s="44"/>
      <c r="H75" s="44"/>
      <c r="I75" s="44"/>
      <c r="J75" s="44"/>
      <c r="K75" s="44"/>
    </row>
    <row r="76" spans="2:26" ht="17.100000000000001" customHeight="1">
      <c r="B76" s="43" t="s">
        <v>54</v>
      </c>
      <c r="C76" s="44"/>
      <c r="D76" s="44"/>
      <c r="E76" s="44"/>
      <c r="F76" s="44"/>
      <c r="G76" s="44"/>
      <c r="H76" s="44"/>
      <c r="I76" s="44"/>
      <c r="J76" s="44"/>
      <c r="K76" s="44"/>
    </row>
    <row r="77" spans="2:26" ht="17.100000000000001" customHeight="1">
      <c r="B77" s="42" t="s">
        <v>55</v>
      </c>
      <c r="C77" s="46"/>
      <c r="D77" s="46"/>
      <c r="E77" s="46"/>
      <c r="F77" s="46"/>
      <c r="G77" s="44"/>
      <c r="H77" s="44"/>
      <c r="J77" s="44"/>
      <c r="K77" s="44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2:26" ht="17.100000000000001" customHeight="1">
      <c r="B78" s="42" t="s">
        <v>53</v>
      </c>
      <c r="G78" s="44"/>
      <c r="H78" s="44"/>
      <c r="I78" s="44"/>
      <c r="J78" s="44"/>
      <c r="K78" s="44"/>
    </row>
    <row r="79" spans="2:26" ht="17.100000000000001" customHeight="1">
      <c r="B79" s="43" t="s">
        <v>56</v>
      </c>
      <c r="C79" s="44"/>
      <c r="D79" s="44"/>
      <c r="E79" s="44"/>
      <c r="F79" s="44"/>
      <c r="G79" s="44"/>
      <c r="H79" s="44"/>
      <c r="I79" s="44"/>
      <c r="J79" s="44"/>
      <c r="K79" s="44"/>
    </row>
    <row r="81" spans="2:11" s="7" customFormat="1" ht="17.100000000000001" customHeight="1">
      <c r="B81" s="4" t="s">
        <v>57</v>
      </c>
      <c r="C81" s="5" t="str">
        <f t="shared" ref="C81:K81" si="42">+C$3</f>
        <v>1Q22</v>
      </c>
      <c r="D81" s="5" t="str">
        <f t="shared" si="42"/>
        <v>2Q22</v>
      </c>
      <c r="E81" s="5" t="str">
        <f t="shared" si="42"/>
        <v>3Q22</v>
      </c>
      <c r="F81" s="5" t="str">
        <f t="shared" si="42"/>
        <v>4Q22</v>
      </c>
      <c r="G81" s="5" t="str">
        <f t="shared" si="42"/>
        <v>1Q23</v>
      </c>
      <c r="H81" s="5" t="str">
        <f t="shared" si="42"/>
        <v>2Q23</v>
      </c>
      <c r="I81" s="5" t="str">
        <f t="shared" si="42"/>
        <v>3Q23</v>
      </c>
      <c r="J81" s="5" t="str">
        <f t="shared" si="42"/>
        <v>4Q23</v>
      </c>
      <c r="K81" s="5" t="str">
        <f t="shared" si="42"/>
        <v>1Q24</v>
      </c>
    </row>
    <row r="83" spans="2:11" ht="17.100000000000001" customHeight="1">
      <c r="B83" s="3" t="s">
        <v>58</v>
      </c>
      <c r="C83" s="75">
        <v>806422</v>
      </c>
      <c r="D83" s="75">
        <v>828625</v>
      </c>
      <c r="E83" s="75">
        <v>791127</v>
      </c>
      <c r="F83" s="75">
        <v>811781</v>
      </c>
      <c r="G83" s="75">
        <v>810404</v>
      </c>
      <c r="H83" s="75">
        <v>823331</v>
      </c>
      <c r="I83" s="75">
        <v>824449</v>
      </c>
      <c r="J83" s="75">
        <v>814013</v>
      </c>
      <c r="K83" s="75">
        <v>815039</v>
      </c>
    </row>
    <row r="84" spans="2:11" ht="17.100000000000001" customHeight="1">
      <c r="B84" s="3" t="s">
        <v>59</v>
      </c>
      <c r="C84" s="75">
        <v>578752</v>
      </c>
      <c r="D84" s="75">
        <v>591015</v>
      </c>
      <c r="E84" s="75">
        <v>572875</v>
      </c>
      <c r="F84" s="75">
        <v>593635</v>
      </c>
      <c r="G84" s="75">
        <v>580003</v>
      </c>
      <c r="H84" s="75">
        <v>593692</v>
      </c>
      <c r="I84" s="75">
        <v>577197</v>
      </c>
      <c r="J84" s="75">
        <v>604783</v>
      </c>
      <c r="K84" s="75">
        <v>589306</v>
      </c>
    </row>
    <row r="85" spans="2:11" ht="17.100000000000001" customHeight="1">
      <c r="C85" s="75" t="s">
        <v>60</v>
      </c>
      <c r="D85" s="75"/>
      <c r="E85" s="75"/>
      <c r="F85" s="75"/>
      <c r="G85" s="75"/>
      <c r="H85" s="75"/>
      <c r="I85" s="75"/>
      <c r="J85" s="75"/>
      <c r="K85" s="75"/>
    </row>
    <row r="86" spans="2:11" s="7" customFormat="1" ht="17.100000000000001" customHeight="1">
      <c r="B86" s="7" t="s">
        <v>61</v>
      </c>
      <c r="C86" s="44">
        <f t="shared" ref="C86:K86" si="43">+C88-C87</f>
        <v>336793</v>
      </c>
      <c r="D86" s="44">
        <f t="shared" si="43"/>
        <v>338560</v>
      </c>
      <c r="E86" s="44">
        <f t="shared" si="43"/>
        <v>340285</v>
      </c>
      <c r="F86" s="44">
        <f t="shared" si="43"/>
        <v>343277</v>
      </c>
      <c r="G86" s="44">
        <f t="shared" si="43"/>
        <v>313343</v>
      </c>
      <c r="H86" s="44">
        <f t="shared" si="43"/>
        <v>323285</v>
      </c>
      <c r="I86" s="44">
        <f t="shared" si="43"/>
        <v>280532</v>
      </c>
      <c r="J86" s="44">
        <f t="shared" si="43"/>
        <v>340506</v>
      </c>
      <c r="K86" s="44">
        <f t="shared" si="43"/>
        <v>310003</v>
      </c>
    </row>
    <row r="87" spans="2:11" ht="17.100000000000001" customHeight="1">
      <c r="B87" s="3" t="s">
        <v>62</v>
      </c>
      <c r="C87" s="75">
        <f>44052+415</f>
        <v>44467</v>
      </c>
      <c r="D87" s="75">
        <f>55013+517</f>
        <v>55530</v>
      </c>
      <c r="E87" s="75">
        <f>36990+409</f>
        <v>37399</v>
      </c>
      <c r="F87" s="75">
        <f>45770+522</f>
        <v>46292</v>
      </c>
      <c r="G87" s="75">
        <f>49367+13124</f>
        <v>62491</v>
      </c>
      <c r="H87" s="75">
        <f>44273+20244</f>
        <v>64517</v>
      </c>
      <c r="I87" s="75">
        <f>75410+16447</f>
        <v>91857</v>
      </c>
      <c r="J87" s="75">
        <f>37570+15982</f>
        <v>53552</v>
      </c>
      <c r="K87" s="75">
        <f>60914+11464</f>
        <v>72378</v>
      </c>
    </row>
    <row r="88" spans="2:11" ht="17.100000000000001" customHeight="1">
      <c r="B88" s="3" t="s">
        <v>63</v>
      </c>
      <c r="C88" s="75">
        <f>8164+373096</f>
        <v>381260</v>
      </c>
      <c r="D88" s="75">
        <f>10515+383575</f>
        <v>394090</v>
      </c>
      <c r="E88" s="75">
        <f>7094+370590</f>
        <v>377684</v>
      </c>
      <c r="F88" s="75">
        <f>380116+9453</f>
        <v>389569</v>
      </c>
      <c r="G88" s="75">
        <f>366948+8886</f>
        <v>375834</v>
      </c>
      <c r="H88" s="75">
        <f>376806+10996</f>
        <v>387802</v>
      </c>
      <c r="I88" s="75">
        <f>357717+14672</f>
        <v>372389</v>
      </c>
      <c r="J88" s="75">
        <f>376563+17495</f>
        <v>394058</v>
      </c>
      <c r="K88" s="75">
        <f>365540+16841</f>
        <v>382381</v>
      </c>
    </row>
    <row r="89" spans="2:11" ht="17.100000000000001" customHeight="1">
      <c r="B89" s="3" t="s">
        <v>64</v>
      </c>
      <c r="C89" s="75"/>
      <c r="D89" s="75"/>
      <c r="E89" s="75"/>
      <c r="F89" s="76" t="e">
        <f>+F86/(SUM(C63:F63))</f>
        <v>#REF!</v>
      </c>
      <c r="G89" s="76" t="e">
        <f t="shared" ref="G89:K89" si="44">+G86/(SUM(D63:G63))</f>
        <v>#REF!</v>
      </c>
      <c r="H89" s="76" t="e">
        <f t="shared" si="44"/>
        <v>#REF!</v>
      </c>
      <c r="I89" s="76" t="e">
        <f t="shared" si="44"/>
        <v>#REF!</v>
      </c>
      <c r="J89" s="76" t="e">
        <f t="shared" si="44"/>
        <v>#REF!</v>
      </c>
      <c r="K89" s="76" t="e">
        <f t="shared" si="44"/>
        <v>#REF!</v>
      </c>
    </row>
    <row r="91" spans="2:11" ht="17.100000000000001" customHeight="1">
      <c r="B91" s="3" t="s">
        <v>65</v>
      </c>
    </row>
  </sheetData>
  <pageMargins left="0.7" right="0.7" top="0.75" bottom="0.75" header="0.3" footer="0.3"/>
  <pageSetup orientation="portrait" verticalDpi="1200" r:id="rId1"/>
  <headerFooter>
    <oddFooter>&amp;C_x000D_&amp;1#&amp;"Aptos"&amp;10&amp;K000000 Barings-Corporate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72AD-612F-42BE-BEDC-DF77EAE57717}">
  <sheetPr>
    <tabColor rgb="FF92D050"/>
    <pageSetUpPr autoPageBreaks="0"/>
  </sheetPr>
  <dimension ref="B2:U86"/>
  <sheetViews>
    <sheetView showGridLines="0" topLeftCell="A54" zoomScaleNormal="100" workbookViewId="0">
      <selection activeCell="S86" sqref="S86"/>
    </sheetView>
  </sheetViews>
  <sheetFormatPr defaultColWidth="11.5703125" defaultRowHeight="17.100000000000001" customHeight="1"/>
  <cols>
    <col min="1" max="1" width="8.7109375" style="3" customWidth="1"/>
    <col min="2" max="2" width="44.140625" style="3" bestFit="1" customWidth="1"/>
    <col min="3" max="19" width="10.28515625" style="2" customWidth="1"/>
    <col min="20" max="171" width="11.5703125" style="3"/>
    <col min="172" max="172" width="2.28515625" style="3" customWidth="1"/>
    <col min="173" max="173" width="39.28515625" style="3" bestFit="1" customWidth="1"/>
    <col min="174" max="210" width="8.42578125" style="3" customWidth="1"/>
    <col min="211" max="427" width="11.5703125" style="3"/>
    <col min="428" max="428" width="2.28515625" style="3" customWidth="1"/>
    <col min="429" max="429" width="39.28515625" style="3" bestFit="1" customWidth="1"/>
    <col min="430" max="466" width="8.42578125" style="3" customWidth="1"/>
    <col min="467" max="683" width="11.5703125" style="3"/>
    <col min="684" max="684" width="2.28515625" style="3" customWidth="1"/>
    <col min="685" max="685" width="39.28515625" style="3" bestFit="1" customWidth="1"/>
    <col min="686" max="722" width="8.42578125" style="3" customWidth="1"/>
    <col min="723" max="939" width="11.5703125" style="3"/>
    <col min="940" max="940" width="2.28515625" style="3" customWidth="1"/>
    <col min="941" max="941" width="39.28515625" style="3" bestFit="1" customWidth="1"/>
    <col min="942" max="978" width="8.42578125" style="3" customWidth="1"/>
    <col min="979" max="1195" width="11.5703125" style="3"/>
    <col min="1196" max="1196" width="2.28515625" style="3" customWidth="1"/>
    <col min="1197" max="1197" width="39.28515625" style="3" bestFit="1" customWidth="1"/>
    <col min="1198" max="1234" width="8.42578125" style="3" customWidth="1"/>
    <col min="1235" max="1451" width="11.5703125" style="3"/>
    <col min="1452" max="1452" width="2.28515625" style="3" customWidth="1"/>
    <col min="1453" max="1453" width="39.28515625" style="3" bestFit="1" customWidth="1"/>
    <col min="1454" max="1490" width="8.42578125" style="3" customWidth="1"/>
    <col min="1491" max="1707" width="11.5703125" style="3"/>
    <col min="1708" max="1708" width="2.28515625" style="3" customWidth="1"/>
    <col min="1709" max="1709" width="39.28515625" style="3" bestFit="1" customWidth="1"/>
    <col min="1710" max="1746" width="8.42578125" style="3" customWidth="1"/>
    <col min="1747" max="1963" width="11.5703125" style="3"/>
    <col min="1964" max="1964" width="2.28515625" style="3" customWidth="1"/>
    <col min="1965" max="1965" width="39.28515625" style="3" bestFit="1" customWidth="1"/>
    <col min="1966" max="2002" width="8.42578125" style="3" customWidth="1"/>
    <col min="2003" max="2219" width="11.5703125" style="3"/>
    <col min="2220" max="2220" width="2.28515625" style="3" customWidth="1"/>
    <col min="2221" max="2221" width="39.28515625" style="3" bestFit="1" customWidth="1"/>
    <col min="2222" max="2258" width="8.42578125" style="3" customWidth="1"/>
    <col min="2259" max="2475" width="11.5703125" style="3"/>
    <col min="2476" max="2476" width="2.28515625" style="3" customWidth="1"/>
    <col min="2477" max="2477" width="39.28515625" style="3" bestFit="1" customWidth="1"/>
    <col min="2478" max="2514" width="8.42578125" style="3" customWidth="1"/>
    <col min="2515" max="2731" width="11.5703125" style="3"/>
    <col min="2732" max="2732" width="2.28515625" style="3" customWidth="1"/>
    <col min="2733" max="2733" width="39.28515625" style="3" bestFit="1" customWidth="1"/>
    <col min="2734" max="2770" width="8.42578125" style="3" customWidth="1"/>
    <col min="2771" max="2987" width="11.5703125" style="3"/>
    <col min="2988" max="2988" width="2.28515625" style="3" customWidth="1"/>
    <col min="2989" max="2989" width="39.28515625" style="3" bestFit="1" customWidth="1"/>
    <col min="2990" max="3026" width="8.42578125" style="3" customWidth="1"/>
    <col min="3027" max="3243" width="11.5703125" style="3"/>
    <col min="3244" max="3244" width="2.28515625" style="3" customWidth="1"/>
    <col min="3245" max="3245" width="39.28515625" style="3" bestFit="1" customWidth="1"/>
    <col min="3246" max="3282" width="8.42578125" style="3" customWidth="1"/>
    <col min="3283" max="3499" width="11.5703125" style="3"/>
    <col min="3500" max="3500" width="2.28515625" style="3" customWidth="1"/>
    <col min="3501" max="3501" width="39.28515625" style="3" bestFit="1" customWidth="1"/>
    <col min="3502" max="3538" width="8.42578125" style="3" customWidth="1"/>
    <col min="3539" max="3755" width="11.5703125" style="3"/>
    <col min="3756" max="3756" width="2.28515625" style="3" customWidth="1"/>
    <col min="3757" max="3757" width="39.28515625" style="3" bestFit="1" customWidth="1"/>
    <col min="3758" max="3794" width="8.42578125" style="3" customWidth="1"/>
    <col min="3795" max="4011" width="11.5703125" style="3"/>
    <col min="4012" max="4012" width="2.28515625" style="3" customWidth="1"/>
    <col min="4013" max="4013" width="39.28515625" style="3" bestFit="1" customWidth="1"/>
    <col min="4014" max="4050" width="8.42578125" style="3" customWidth="1"/>
    <col min="4051" max="4267" width="11.5703125" style="3"/>
    <col min="4268" max="4268" width="2.28515625" style="3" customWidth="1"/>
    <col min="4269" max="4269" width="39.28515625" style="3" bestFit="1" customWidth="1"/>
    <col min="4270" max="4306" width="8.42578125" style="3" customWidth="1"/>
    <col min="4307" max="4523" width="11.5703125" style="3"/>
    <col min="4524" max="4524" width="2.28515625" style="3" customWidth="1"/>
    <col min="4525" max="4525" width="39.28515625" style="3" bestFit="1" customWidth="1"/>
    <col min="4526" max="4562" width="8.42578125" style="3" customWidth="1"/>
    <col min="4563" max="4779" width="11.5703125" style="3"/>
    <col min="4780" max="4780" width="2.28515625" style="3" customWidth="1"/>
    <col min="4781" max="4781" width="39.28515625" style="3" bestFit="1" customWidth="1"/>
    <col min="4782" max="4818" width="8.42578125" style="3" customWidth="1"/>
    <col min="4819" max="5035" width="11.5703125" style="3"/>
    <col min="5036" max="5036" width="2.28515625" style="3" customWidth="1"/>
    <col min="5037" max="5037" width="39.28515625" style="3" bestFit="1" customWidth="1"/>
    <col min="5038" max="5074" width="8.42578125" style="3" customWidth="1"/>
    <col min="5075" max="5291" width="11.5703125" style="3"/>
    <col min="5292" max="5292" width="2.28515625" style="3" customWidth="1"/>
    <col min="5293" max="5293" width="39.28515625" style="3" bestFit="1" customWidth="1"/>
    <col min="5294" max="5330" width="8.42578125" style="3" customWidth="1"/>
    <col min="5331" max="5547" width="11.5703125" style="3"/>
    <col min="5548" max="5548" width="2.28515625" style="3" customWidth="1"/>
    <col min="5549" max="5549" width="39.28515625" style="3" bestFit="1" customWidth="1"/>
    <col min="5550" max="5586" width="8.42578125" style="3" customWidth="1"/>
    <col min="5587" max="5803" width="11.5703125" style="3"/>
    <col min="5804" max="5804" width="2.28515625" style="3" customWidth="1"/>
    <col min="5805" max="5805" width="39.28515625" style="3" bestFit="1" customWidth="1"/>
    <col min="5806" max="5842" width="8.42578125" style="3" customWidth="1"/>
    <col min="5843" max="6059" width="11.5703125" style="3"/>
    <col min="6060" max="6060" width="2.28515625" style="3" customWidth="1"/>
    <col min="6061" max="6061" width="39.28515625" style="3" bestFit="1" customWidth="1"/>
    <col min="6062" max="6098" width="8.42578125" style="3" customWidth="1"/>
    <col min="6099" max="6315" width="11.5703125" style="3"/>
    <col min="6316" max="6316" width="2.28515625" style="3" customWidth="1"/>
    <col min="6317" max="6317" width="39.28515625" style="3" bestFit="1" customWidth="1"/>
    <col min="6318" max="6354" width="8.42578125" style="3" customWidth="1"/>
    <col min="6355" max="6571" width="11.5703125" style="3"/>
    <col min="6572" max="6572" width="2.28515625" style="3" customWidth="1"/>
    <col min="6573" max="6573" width="39.28515625" style="3" bestFit="1" customWidth="1"/>
    <col min="6574" max="6610" width="8.42578125" style="3" customWidth="1"/>
    <col min="6611" max="6827" width="11.5703125" style="3"/>
    <col min="6828" max="6828" width="2.28515625" style="3" customWidth="1"/>
    <col min="6829" max="6829" width="39.28515625" style="3" bestFit="1" customWidth="1"/>
    <col min="6830" max="6866" width="8.42578125" style="3" customWidth="1"/>
    <col min="6867" max="7083" width="11.5703125" style="3"/>
    <col min="7084" max="7084" width="2.28515625" style="3" customWidth="1"/>
    <col min="7085" max="7085" width="39.28515625" style="3" bestFit="1" customWidth="1"/>
    <col min="7086" max="7122" width="8.42578125" style="3" customWidth="1"/>
    <col min="7123" max="7339" width="11.5703125" style="3"/>
    <col min="7340" max="7340" width="2.28515625" style="3" customWidth="1"/>
    <col min="7341" max="7341" width="39.28515625" style="3" bestFit="1" customWidth="1"/>
    <col min="7342" max="7378" width="8.42578125" style="3" customWidth="1"/>
    <col min="7379" max="7595" width="11.5703125" style="3"/>
    <col min="7596" max="7596" width="2.28515625" style="3" customWidth="1"/>
    <col min="7597" max="7597" width="39.28515625" style="3" bestFit="1" customWidth="1"/>
    <col min="7598" max="7634" width="8.42578125" style="3" customWidth="1"/>
    <col min="7635" max="7851" width="11.5703125" style="3"/>
    <col min="7852" max="7852" width="2.28515625" style="3" customWidth="1"/>
    <col min="7853" max="7853" width="39.28515625" style="3" bestFit="1" customWidth="1"/>
    <col min="7854" max="7890" width="8.42578125" style="3" customWidth="1"/>
    <col min="7891" max="8107" width="11.5703125" style="3"/>
    <col min="8108" max="8108" width="2.28515625" style="3" customWidth="1"/>
    <col min="8109" max="8109" width="39.28515625" style="3" bestFit="1" customWidth="1"/>
    <col min="8110" max="8146" width="8.42578125" style="3" customWidth="1"/>
    <col min="8147" max="8363" width="11.5703125" style="3"/>
    <col min="8364" max="8364" width="2.28515625" style="3" customWidth="1"/>
    <col min="8365" max="8365" width="39.28515625" style="3" bestFit="1" customWidth="1"/>
    <col min="8366" max="8402" width="8.42578125" style="3" customWidth="1"/>
    <col min="8403" max="8619" width="11.5703125" style="3"/>
    <col min="8620" max="8620" width="2.28515625" style="3" customWidth="1"/>
    <col min="8621" max="8621" width="39.28515625" style="3" bestFit="1" customWidth="1"/>
    <col min="8622" max="8658" width="8.42578125" style="3" customWidth="1"/>
    <col min="8659" max="8875" width="11.5703125" style="3"/>
    <col min="8876" max="8876" width="2.28515625" style="3" customWidth="1"/>
    <col min="8877" max="8877" width="39.28515625" style="3" bestFit="1" customWidth="1"/>
    <col min="8878" max="8914" width="8.42578125" style="3" customWidth="1"/>
    <col min="8915" max="9131" width="11.5703125" style="3"/>
    <col min="9132" max="9132" width="2.28515625" style="3" customWidth="1"/>
    <col min="9133" max="9133" width="39.28515625" style="3" bestFit="1" customWidth="1"/>
    <col min="9134" max="9170" width="8.42578125" style="3" customWidth="1"/>
    <col min="9171" max="9387" width="11.5703125" style="3"/>
    <col min="9388" max="9388" width="2.28515625" style="3" customWidth="1"/>
    <col min="9389" max="9389" width="39.28515625" style="3" bestFit="1" customWidth="1"/>
    <col min="9390" max="9426" width="8.42578125" style="3" customWidth="1"/>
    <col min="9427" max="9643" width="11.5703125" style="3"/>
    <col min="9644" max="9644" width="2.28515625" style="3" customWidth="1"/>
    <col min="9645" max="9645" width="39.28515625" style="3" bestFit="1" customWidth="1"/>
    <col min="9646" max="9682" width="8.42578125" style="3" customWidth="1"/>
    <col min="9683" max="9899" width="11.5703125" style="3"/>
    <col min="9900" max="9900" width="2.28515625" style="3" customWidth="1"/>
    <col min="9901" max="9901" width="39.28515625" style="3" bestFit="1" customWidth="1"/>
    <col min="9902" max="9938" width="8.42578125" style="3" customWidth="1"/>
    <col min="9939" max="10155" width="11.5703125" style="3"/>
    <col min="10156" max="10156" width="2.28515625" style="3" customWidth="1"/>
    <col min="10157" max="10157" width="39.28515625" style="3" bestFit="1" customWidth="1"/>
    <col min="10158" max="10194" width="8.42578125" style="3" customWidth="1"/>
    <col min="10195" max="10411" width="11.5703125" style="3"/>
    <col min="10412" max="10412" width="2.28515625" style="3" customWidth="1"/>
    <col min="10413" max="10413" width="39.28515625" style="3" bestFit="1" customWidth="1"/>
    <col min="10414" max="10450" width="8.42578125" style="3" customWidth="1"/>
    <col min="10451" max="10667" width="11.5703125" style="3"/>
    <col min="10668" max="10668" width="2.28515625" style="3" customWidth="1"/>
    <col min="10669" max="10669" width="39.28515625" style="3" bestFit="1" customWidth="1"/>
    <col min="10670" max="10706" width="8.42578125" style="3" customWidth="1"/>
    <col min="10707" max="10923" width="11.5703125" style="3"/>
    <col min="10924" max="10924" width="2.28515625" style="3" customWidth="1"/>
    <col min="10925" max="10925" width="39.28515625" style="3" bestFit="1" customWidth="1"/>
    <col min="10926" max="10962" width="8.42578125" style="3" customWidth="1"/>
    <col min="10963" max="11179" width="11.5703125" style="3"/>
    <col min="11180" max="11180" width="2.28515625" style="3" customWidth="1"/>
    <col min="11181" max="11181" width="39.28515625" style="3" bestFit="1" customWidth="1"/>
    <col min="11182" max="11218" width="8.42578125" style="3" customWidth="1"/>
    <col min="11219" max="11435" width="11.5703125" style="3"/>
    <col min="11436" max="11436" width="2.28515625" style="3" customWidth="1"/>
    <col min="11437" max="11437" width="39.28515625" style="3" bestFit="1" customWidth="1"/>
    <col min="11438" max="11474" width="8.42578125" style="3" customWidth="1"/>
    <col min="11475" max="11691" width="11.5703125" style="3"/>
    <col min="11692" max="11692" width="2.28515625" style="3" customWidth="1"/>
    <col min="11693" max="11693" width="39.28515625" style="3" bestFit="1" customWidth="1"/>
    <col min="11694" max="11730" width="8.42578125" style="3" customWidth="1"/>
    <col min="11731" max="11947" width="11.5703125" style="3"/>
    <col min="11948" max="11948" width="2.28515625" style="3" customWidth="1"/>
    <col min="11949" max="11949" width="39.28515625" style="3" bestFit="1" customWidth="1"/>
    <col min="11950" max="11986" width="8.42578125" style="3" customWidth="1"/>
    <col min="11987" max="12203" width="11.5703125" style="3"/>
    <col min="12204" max="12204" width="2.28515625" style="3" customWidth="1"/>
    <col min="12205" max="12205" width="39.28515625" style="3" bestFit="1" customWidth="1"/>
    <col min="12206" max="12242" width="8.42578125" style="3" customWidth="1"/>
    <col min="12243" max="12459" width="11.5703125" style="3"/>
    <col min="12460" max="12460" width="2.28515625" style="3" customWidth="1"/>
    <col min="12461" max="12461" width="39.28515625" style="3" bestFit="1" customWidth="1"/>
    <col min="12462" max="12498" width="8.42578125" style="3" customWidth="1"/>
    <col min="12499" max="12715" width="11.5703125" style="3"/>
    <col min="12716" max="12716" width="2.28515625" style="3" customWidth="1"/>
    <col min="12717" max="12717" width="39.28515625" style="3" bestFit="1" customWidth="1"/>
    <col min="12718" max="12754" width="8.42578125" style="3" customWidth="1"/>
    <col min="12755" max="12971" width="11.5703125" style="3"/>
    <col min="12972" max="12972" width="2.28515625" style="3" customWidth="1"/>
    <col min="12973" max="12973" width="39.28515625" style="3" bestFit="1" customWidth="1"/>
    <col min="12974" max="13010" width="8.42578125" style="3" customWidth="1"/>
    <col min="13011" max="13227" width="11.5703125" style="3"/>
    <col min="13228" max="13228" width="2.28515625" style="3" customWidth="1"/>
    <col min="13229" max="13229" width="39.28515625" style="3" bestFit="1" customWidth="1"/>
    <col min="13230" max="13266" width="8.42578125" style="3" customWidth="1"/>
    <col min="13267" max="13483" width="11.5703125" style="3"/>
    <col min="13484" max="13484" width="2.28515625" style="3" customWidth="1"/>
    <col min="13485" max="13485" width="39.28515625" style="3" bestFit="1" customWidth="1"/>
    <col min="13486" max="13522" width="8.42578125" style="3" customWidth="1"/>
    <col min="13523" max="13739" width="11.5703125" style="3"/>
    <col min="13740" max="13740" width="2.28515625" style="3" customWidth="1"/>
    <col min="13741" max="13741" width="39.28515625" style="3" bestFit="1" customWidth="1"/>
    <col min="13742" max="13778" width="8.42578125" style="3" customWidth="1"/>
    <col min="13779" max="13995" width="11.5703125" style="3"/>
    <col min="13996" max="13996" width="2.28515625" style="3" customWidth="1"/>
    <col min="13997" max="13997" width="39.28515625" style="3" bestFit="1" customWidth="1"/>
    <col min="13998" max="14034" width="8.42578125" style="3" customWidth="1"/>
    <col min="14035" max="14251" width="11.5703125" style="3"/>
    <col min="14252" max="14252" width="2.28515625" style="3" customWidth="1"/>
    <col min="14253" max="14253" width="39.28515625" style="3" bestFit="1" customWidth="1"/>
    <col min="14254" max="14290" width="8.42578125" style="3" customWidth="1"/>
    <col min="14291" max="14507" width="11.5703125" style="3"/>
    <col min="14508" max="14508" width="2.28515625" style="3" customWidth="1"/>
    <col min="14509" max="14509" width="39.28515625" style="3" bestFit="1" customWidth="1"/>
    <col min="14510" max="14546" width="8.42578125" style="3" customWidth="1"/>
    <col min="14547" max="14763" width="11.5703125" style="3"/>
    <col min="14764" max="14764" width="2.28515625" style="3" customWidth="1"/>
    <col min="14765" max="14765" width="39.28515625" style="3" bestFit="1" customWidth="1"/>
    <col min="14766" max="14802" width="8.42578125" style="3" customWidth="1"/>
    <col min="14803" max="15019" width="11.5703125" style="3"/>
    <col min="15020" max="15020" width="2.28515625" style="3" customWidth="1"/>
    <col min="15021" max="15021" width="39.28515625" style="3" bestFit="1" customWidth="1"/>
    <col min="15022" max="15058" width="8.42578125" style="3" customWidth="1"/>
    <col min="15059" max="15275" width="11.5703125" style="3"/>
    <col min="15276" max="15276" width="2.28515625" style="3" customWidth="1"/>
    <col min="15277" max="15277" width="39.28515625" style="3" bestFit="1" customWidth="1"/>
    <col min="15278" max="15314" width="8.42578125" style="3" customWidth="1"/>
    <col min="15315" max="15531" width="11.5703125" style="3"/>
    <col min="15532" max="15532" width="2.28515625" style="3" customWidth="1"/>
    <col min="15533" max="15533" width="39.28515625" style="3" bestFit="1" customWidth="1"/>
    <col min="15534" max="15570" width="8.42578125" style="3" customWidth="1"/>
    <col min="15571" max="15787" width="11.5703125" style="3"/>
    <col min="15788" max="15788" width="2.28515625" style="3" customWidth="1"/>
    <col min="15789" max="15789" width="39.28515625" style="3" bestFit="1" customWidth="1"/>
    <col min="15790" max="15826" width="8.42578125" style="3" customWidth="1"/>
    <col min="15827" max="16043" width="11.5703125" style="3"/>
    <col min="16044" max="16044" width="2.28515625" style="3" customWidth="1"/>
    <col min="16045" max="16045" width="39.28515625" style="3" bestFit="1" customWidth="1"/>
    <col min="16046" max="16082" width="8.42578125" style="3" customWidth="1"/>
    <col min="16083" max="16384" width="11.5703125" style="3"/>
  </cols>
  <sheetData>
    <row r="2" spans="2:19" ht="17.100000000000001" customHeight="1">
      <c r="B2" s="7"/>
      <c r="C2" s="1">
        <f>DATE(2022,3,31)</f>
        <v>44651</v>
      </c>
      <c r="D2" s="1">
        <f>+EDATE(C2,3)</f>
        <v>44742</v>
      </c>
      <c r="E2" s="1">
        <f t="shared" ref="E2:S2" si="0">+EDATE(D2,3)</f>
        <v>44834</v>
      </c>
      <c r="F2" s="1">
        <f t="shared" si="0"/>
        <v>44925</v>
      </c>
      <c r="G2" s="1">
        <f t="shared" si="0"/>
        <v>45015</v>
      </c>
      <c r="H2" s="1">
        <f t="shared" si="0"/>
        <v>45107</v>
      </c>
      <c r="I2" s="1">
        <f t="shared" si="0"/>
        <v>45199</v>
      </c>
      <c r="J2" s="1">
        <f t="shared" si="0"/>
        <v>45290</v>
      </c>
      <c r="K2" s="1">
        <f t="shared" si="0"/>
        <v>45381</v>
      </c>
      <c r="L2" s="1">
        <f t="shared" si="0"/>
        <v>45473</v>
      </c>
      <c r="M2" s="1">
        <f t="shared" ref="M2" si="1">+EDATE(L2,3)</f>
        <v>45565</v>
      </c>
      <c r="N2" s="1">
        <f t="shared" si="0"/>
        <v>45656</v>
      </c>
      <c r="O2" s="1">
        <f t="shared" si="0"/>
        <v>45746</v>
      </c>
      <c r="P2" s="1">
        <f t="shared" si="0"/>
        <v>45838</v>
      </c>
      <c r="Q2" s="1">
        <f t="shared" si="0"/>
        <v>45930</v>
      </c>
      <c r="R2" s="1">
        <f>+EDATE(Q2,3)</f>
        <v>46021</v>
      </c>
      <c r="S2" s="1">
        <f t="shared" si="0"/>
        <v>46111</v>
      </c>
    </row>
    <row r="3" spans="2:19" s="7" customFormat="1" ht="17.100000000000001" customHeight="1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66</v>
      </c>
      <c r="M3" s="5" t="s">
        <v>67</v>
      </c>
      <c r="N3" s="5" t="s">
        <v>68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</row>
    <row r="5" spans="2:19" ht="17.100000000000001" customHeight="1">
      <c r="B5" s="7" t="s">
        <v>74</v>
      </c>
      <c r="C5" s="77">
        <f t="shared" ref="C5:L5" si="2">+C9+C7</f>
        <v>0.406613</v>
      </c>
      <c r="D5" s="77">
        <f t="shared" si="2"/>
        <v>0.54063299999999992</v>
      </c>
      <c r="E5" s="77">
        <f t="shared" si="2"/>
        <v>0.62889400000000006</v>
      </c>
      <c r="F5" s="77">
        <f t="shared" si="2"/>
        <v>0.60369000000000006</v>
      </c>
      <c r="G5" s="77">
        <f t="shared" si="2"/>
        <v>0.61795500000000003</v>
      </c>
      <c r="H5" s="77">
        <f t="shared" si="2"/>
        <v>0.680338</v>
      </c>
      <c r="I5" s="77">
        <f t="shared" si="2"/>
        <v>0.76196900000000001</v>
      </c>
      <c r="J5" s="77">
        <f t="shared" si="2"/>
        <v>0.67232399999999992</v>
      </c>
      <c r="K5" s="77">
        <f t="shared" si="2"/>
        <v>0.64750599999999991</v>
      </c>
      <c r="L5" s="77">
        <f t="shared" si="2"/>
        <v>0.66287399999999996</v>
      </c>
      <c r="M5" s="77">
        <f t="shared" ref="M5" si="3">+M9+M7</f>
        <v>0.72768900000000003</v>
      </c>
      <c r="N5" s="77">
        <f>+N9+N7</f>
        <v>0.63894699999999971</v>
      </c>
      <c r="O5" s="77">
        <f t="shared" ref="O5:P5" si="4">+O9+O7</f>
        <v>0.61909999999999998</v>
      </c>
      <c r="P5" s="77">
        <f t="shared" si="4"/>
        <v>0.64568700000000001</v>
      </c>
      <c r="Q5" s="77">
        <f>+Q9+Q7</f>
        <v>0.74326099999999995</v>
      </c>
      <c r="R5" s="77">
        <f>SUM(R7,R9)</f>
        <v>0.67070399999999997</v>
      </c>
      <c r="S5" s="77">
        <f t="shared" ref="S5" si="5">+S9+S7</f>
        <v>0.66208900000000004</v>
      </c>
    </row>
    <row r="6" spans="2:19" s="7" customFormat="1" ht="17.100000000000001" customHeight="1">
      <c r="B6" s="10" t="s">
        <v>75</v>
      </c>
      <c r="C6" s="56"/>
      <c r="D6" s="56"/>
      <c r="E6" s="56"/>
      <c r="F6" s="56"/>
      <c r="G6" s="55">
        <f t="shared" ref="G6" si="6">+G5/C5-1</f>
        <v>0.51976203417008326</v>
      </c>
      <c r="H6" s="55">
        <f t="shared" ref="H6" si="7">+H5/D5-1</f>
        <v>0.2584100489611254</v>
      </c>
      <c r="I6" s="55">
        <f t="shared" ref="I6" si="8">+I5/E5-1</f>
        <v>0.21160163715983926</v>
      </c>
      <c r="J6" s="55">
        <f t="shared" ref="J6" si="9">+J5/F5-1</f>
        <v>0.11369080157034217</v>
      </c>
      <c r="K6" s="55">
        <f>+K5/G5-1</f>
        <v>4.7820634188573408E-2</v>
      </c>
      <c r="L6" s="55">
        <f>+L5/H5-1</f>
        <v>-2.5669593643159794E-2</v>
      </c>
      <c r="M6" s="55">
        <f>+M5/I5-1</f>
        <v>-4.4988706889650287E-2</v>
      </c>
      <c r="N6" s="55">
        <f t="shared" ref="N6" si="10">+N5/J5-1</f>
        <v>-4.964421915624051E-2</v>
      </c>
      <c r="O6" s="55">
        <f>+O5/K5-1</f>
        <v>-4.3869863754158134E-2</v>
      </c>
      <c r="P6" s="55">
        <f>+P5/L5-1</f>
        <v>-2.5928004417128947E-2</v>
      </c>
      <c r="Q6" s="55">
        <f>+Q5/M5-1</f>
        <v>2.1399251603363423E-2</v>
      </c>
      <c r="R6" s="55">
        <f t="shared" ref="R6" si="11">+R5/N5-1</f>
        <v>4.9702087966607911E-2</v>
      </c>
      <c r="S6" s="55">
        <f>+S5/O5-1</f>
        <v>6.9437893716685517E-2</v>
      </c>
    </row>
    <row r="7" spans="2:19" s="7" customFormat="1" ht="17.100000000000001" customHeight="1">
      <c r="B7" s="10" t="s">
        <v>13</v>
      </c>
      <c r="C7" s="56">
        <f>+(60744+55031+71487)/1000000</f>
        <v>0.18726200000000001</v>
      </c>
      <c r="D7" s="56">
        <f>+(75793+77231+68573)/1000000</f>
        <v>0.22159699999999999</v>
      </c>
      <c r="E7" s="56">
        <f>+(84436+98917+85116)/1000000</f>
        <v>0.26846900000000001</v>
      </c>
      <c r="F7" s="56">
        <f>+((85695+88535+82442)/1000000)</f>
        <v>0.25667200000000001</v>
      </c>
      <c r="G7" s="56">
        <f>+(89178+85348+105802)/1000000</f>
        <v>0.28032800000000002</v>
      </c>
      <c r="H7" s="56">
        <f>+(98376+91542+96216)/1000000</f>
        <v>0.286134</v>
      </c>
      <c r="I7" s="56">
        <f>+(125011+131850+111412)/1000000</f>
        <v>0.36827300000000002</v>
      </c>
      <c r="J7" s="56">
        <f>+(109563+102871+97519)/1000000</f>
        <v>0.30995299999999998</v>
      </c>
      <c r="K7" s="56">
        <f>+(98399+97894+115334)/1000000</f>
        <v>0.31162699999999999</v>
      </c>
      <c r="L7" s="56">
        <f>0.61805-K7</f>
        <v>0.306423</v>
      </c>
      <c r="M7" s="56">
        <f>+(105110+124708+117734)/1000000</f>
        <v>0.34755200000000003</v>
      </c>
      <c r="N7" s="56">
        <f>+Operations!J6-SUM(Quarterlies!K7:M7)</f>
        <v>0.28400999999999987</v>
      </c>
      <c r="O7" s="56">
        <v>0.2969</v>
      </c>
      <c r="P7" s="56">
        <f>0.596277-O7</f>
        <v>0.29937699999999995</v>
      </c>
      <c r="Q7" s="56">
        <f>+(126920+135133+110778)/1000000</f>
        <v>0.37283100000000002</v>
      </c>
      <c r="R7" s="56">
        <f>(108276+99767+95765)/1000000</f>
        <v>0.30380800000000002</v>
      </c>
      <c r="S7" s="56">
        <f>(103720+97378+118947)/1000000</f>
        <v>0.32004500000000002</v>
      </c>
    </row>
    <row r="8" spans="2:19" s="7" customFormat="1" ht="17.100000000000001" customHeight="1">
      <c r="B8" s="10" t="s">
        <v>75</v>
      </c>
      <c r="C8" s="56"/>
      <c r="D8" s="56"/>
      <c r="E8" s="56"/>
      <c r="F8" s="56"/>
      <c r="G8" s="55">
        <f t="shared" ref="G8:J8" si="12">+G7/C7-1</f>
        <v>0.49698283688094747</v>
      </c>
      <c r="H8" s="55">
        <f t="shared" si="12"/>
        <v>0.29123589218265589</v>
      </c>
      <c r="I8" s="55">
        <f t="shared" si="12"/>
        <v>0.37175241834252737</v>
      </c>
      <c r="J8" s="55">
        <f t="shared" si="12"/>
        <v>0.20758399825458151</v>
      </c>
      <c r="K8" s="55">
        <f>+K7/G7-1</f>
        <v>0.11165135127422143</v>
      </c>
      <c r="L8" s="55">
        <f>+L7/H7-1</f>
        <v>7.090733712176811E-2</v>
      </c>
      <c r="M8" s="55">
        <f>+M7/I7-1</f>
        <v>-5.6265324908423842E-2</v>
      </c>
      <c r="N8" s="55">
        <f t="shared" ref="N8" si="13">+N7/J7-1</f>
        <v>-8.3699786741861182E-2</v>
      </c>
      <c r="O8" s="55">
        <f>+O7/K7-1</f>
        <v>-4.7258421125255468E-2</v>
      </c>
      <c r="P8" s="55">
        <f>+P7/L7-1</f>
        <v>-2.299435747316636E-2</v>
      </c>
      <c r="Q8" s="55">
        <f>+Q7/M7-1</f>
        <v>7.2734439738513901E-2</v>
      </c>
      <c r="R8" s="55">
        <f t="shared" ref="R8" si="14">+R7/N7-1</f>
        <v>6.9708813069962794E-2</v>
      </c>
      <c r="S8" s="55">
        <f>+S7/O7-1</f>
        <v>7.7955540586055916E-2</v>
      </c>
    </row>
    <row r="9" spans="2:19" s="7" customFormat="1" ht="17.100000000000001" customHeight="1">
      <c r="B9" s="10" t="s">
        <v>14</v>
      </c>
      <c r="C9" s="56">
        <f>+(52197+70580+96574)/1000000</f>
        <v>0.21935099999999999</v>
      </c>
      <c r="D9" s="56">
        <f>+(110329+110038+98669)/1000000</f>
        <v>0.31903599999999999</v>
      </c>
      <c r="E9" s="56">
        <f>+(123549+126262+110614)/1000000</f>
        <v>0.360425</v>
      </c>
      <c r="F9" s="56">
        <f>+(113968+110628+122422)/1000000</f>
        <v>0.34701799999999999</v>
      </c>
      <c r="G9" s="56">
        <f>+(102783+105458+129386)/1000000</f>
        <v>0.33762700000000001</v>
      </c>
      <c r="H9" s="56">
        <f>+(129892+131056+133256)/1000000</f>
        <v>0.394204</v>
      </c>
      <c r="I9" s="56">
        <f>+(142884+131333+119479)/1000000</f>
        <v>0.39369599999999999</v>
      </c>
      <c r="J9" s="56">
        <f>+(116051+119573+126747)/1000000</f>
        <v>0.362371</v>
      </c>
      <c r="K9" s="56">
        <f>+(103335+110173+122371)/1000000</f>
        <v>0.33587899999999998</v>
      </c>
      <c r="L9" s="56">
        <f>0.69233-K9</f>
        <v>0.35645100000000002</v>
      </c>
      <c r="M9" s="56">
        <f>+(111468+133490+135179)/1000000</f>
        <v>0.380137</v>
      </c>
      <c r="N9" s="56">
        <f>+Operations!J8-SUM(Quarterlies!K9:M9)</f>
        <v>0.35493699999999984</v>
      </c>
      <c r="O9" s="56">
        <v>0.32219999999999999</v>
      </c>
      <c r="P9" s="56">
        <f>0.66851-O9</f>
        <v>0.34631000000000006</v>
      </c>
      <c r="Q9" s="56">
        <f>+(134058+129026+107346)/1000000</f>
        <v>0.37042999999999998</v>
      </c>
      <c r="R9" s="56">
        <f>0.120852+0.124604+0.12144</f>
        <v>0.366896</v>
      </c>
      <c r="S9" s="56">
        <f>(110565+109881+121598)/1000000</f>
        <v>0.34204400000000001</v>
      </c>
    </row>
    <row r="10" spans="2:19" s="7" customFormat="1" ht="17.100000000000001" customHeight="1">
      <c r="B10" s="10" t="s">
        <v>75</v>
      </c>
      <c r="C10" s="56"/>
      <c r="D10" s="56"/>
      <c r="E10" s="56"/>
      <c r="F10" s="56"/>
      <c r="G10" s="55">
        <f t="shared" ref="G10" si="15">+G9/C9-1</f>
        <v>0.53920884791954449</v>
      </c>
      <c r="H10" s="55">
        <f t="shared" ref="H10" si="16">+H9/D9-1</f>
        <v>0.23560977444551723</v>
      </c>
      <c r="I10" s="55">
        <f t="shared" ref="I10" si="17">+I9/E9-1</f>
        <v>9.2310466810015868E-2</v>
      </c>
      <c r="J10" s="55">
        <f t="shared" ref="J10" si="18">+J9/F9-1</f>
        <v>4.4242661763943092E-2</v>
      </c>
      <c r="K10" s="55">
        <f>+K9/G9-1</f>
        <v>-5.1773110562840507E-3</v>
      </c>
      <c r="L10" s="55">
        <f>+L9/H9-1</f>
        <v>-9.5770210347941642E-2</v>
      </c>
      <c r="M10" s="55">
        <f>+M9/I9-1</f>
        <v>-3.444027879379008E-2</v>
      </c>
      <c r="N10" s="55">
        <f t="shared" ref="N10" si="19">+N9/J9-1</f>
        <v>-2.0514886676914479E-2</v>
      </c>
      <c r="O10" s="55">
        <f>+O9/K9-1</f>
        <v>-4.072597572340042E-2</v>
      </c>
      <c r="P10" s="55">
        <f>+P9/L9-1</f>
        <v>-2.8449913171796237E-2</v>
      </c>
      <c r="Q10" s="55">
        <f>+Q9/M9-1</f>
        <v>-2.5535530611332291E-2</v>
      </c>
      <c r="R10" s="55">
        <f>+R9/N9-1</f>
        <v>3.3693303318617529E-2</v>
      </c>
      <c r="S10" s="55">
        <f>+S9/O9-1</f>
        <v>6.1589075108628322E-2</v>
      </c>
    </row>
    <row r="11" spans="2:19" ht="16.5" customHeight="1">
      <c r="B11" s="39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</row>
    <row r="12" spans="2:19" s="7" customFormat="1" ht="16.5" customHeight="1">
      <c r="B12" s="4" t="s">
        <v>32</v>
      </c>
      <c r="C12" s="5" t="str">
        <f t="shared" ref="C12:L12" si="20">+C3</f>
        <v>1Q22</v>
      </c>
      <c r="D12" s="5" t="str">
        <f t="shared" si="20"/>
        <v>2Q22</v>
      </c>
      <c r="E12" s="5" t="str">
        <f t="shared" si="20"/>
        <v>3Q22</v>
      </c>
      <c r="F12" s="5" t="str">
        <f t="shared" si="20"/>
        <v>4Q22</v>
      </c>
      <c r="G12" s="5" t="str">
        <f t="shared" si="20"/>
        <v>1Q23</v>
      </c>
      <c r="H12" s="5" t="str">
        <f t="shared" si="20"/>
        <v>2Q23</v>
      </c>
      <c r="I12" s="5" t="str">
        <f t="shared" si="20"/>
        <v>3Q23</v>
      </c>
      <c r="J12" s="5" t="str">
        <f t="shared" si="20"/>
        <v>4Q23</v>
      </c>
      <c r="K12" s="5" t="str">
        <f t="shared" si="20"/>
        <v>1Q24</v>
      </c>
      <c r="L12" s="5" t="str">
        <f t="shared" si="20"/>
        <v>2Q24</v>
      </c>
      <c r="M12" s="5" t="str">
        <f t="shared" ref="M12:P12" si="21">+M3</f>
        <v>3Q24</v>
      </c>
      <c r="N12" s="5" t="str">
        <f t="shared" si="21"/>
        <v>4Q24</v>
      </c>
      <c r="O12" s="5" t="str">
        <f t="shared" si="21"/>
        <v>1Q25</v>
      </c>
      <c r="P12" s="5" t="str">
        <f t="shared" si="21"/>
        <v>2Q25</v>
      </c>
      <c r="Q12" s="5" t="str">
        <f t="shared" ref="Q12:S12" si="22">+Q3</f>
        <v>3Q25</v>
      </c>
      <c r="R12" s="5" t="str">
        <f t="shared" si="22"/>
        <v>4Q25</v>
      </c>
      <c r="S12" s="5" t="str">
        <f t="shared" si="22"/>
        <v>1Q26</v>
      </c>
    </row>
    <row r="13" spans="2:19" ht="17.100000000000001" customHeight="1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2:19" ht="17.100000000000001" customHeight="1">
      <c r="B14" s="12" t="s">
        <v>76</v>
      </c>
      <c r="C14" s="8">
        <v>32.460999999999999</v>
      </c>
      <c r="D14" s="8">
        <v>37.5</v>
      </c>
      <c r="E14" s="8">
        <v>42.097999999999999</v>
      </c>
      <c r="F14" s="8">
        <f>152.4-E14-D14-C14</f>
        <v>40.341000000000008</v>
      </c>
      <c r="G14" s="8">
        <v>43.567</v>
      </c>
      <c r="H14" s="8">
        <v>47.524000000000001</v>
      </c>
      <c r="I14" s="8">
        <v>53.232999999999997</v>
      </c>
      <c r="J14" s="8">
        <f>191.7-I14-H14-G14</f>
        <v>47.375999999999983</v>
      </c>
      <c r="K14" s="8">
        <v>50.064</v>
      </c>
      <c r="L14" s="8">
        <v>50.78</v>
      </c>
      <c r="M14" s="8">
        <v>53.634999999999998</v>
      </c>
      <c r="N14" s="9">
        <f>Operations!J13-M14-L14-K14</f>
        <v>49.220999999999997</v>
      </c>
      <c r="O14" s="8">
        <v>49.66</v>
      </c>
      <c r="P14" s="8">
        <f>101.4-O14</f>
        <v>51.740000000000009</v>
      </c>
      <c r="Q14" s="8">
        <v>58.491</v>
      </c>
      <c r="R14" s="9">
        <f>Operations!K13-Q14-P14-O14</f>
        <v>54.381</v>
      </c>
      <c r="S14" s="8">
        <v>54.87</v>
      </c>
    </row>
    <row r="15" spans="2:19" ht="17.100000000000001" customHeight="1">
      <c r="B15" s="12"/>
      <c r="C15" s="8"/>
      <c r="D15" s="8"/>
      <c r="E15" s="8"/>
      <c r="F15" s="8"/>
      <c r="G15" s="8"/>
      <c r="H15" s="8"/>
      <c r="I15" s="8"/>
      <c r="J15" s="8"/>
      <c r="K15" s="8"/>
      <c r="L15" s="87"/>
      <c r="M15" s="87"/>
      <c r="N15" s="87"/>
      <c r="O15" s="87"/>
      <c r="P15" s="87"/>
      <c r="Q15" s="87"/>
      <c r="R15" s="87"/>
      <c r="S15" s="87"/>
    </row>
    <row r="16" spans="2:19" ht="17.100000000000001" customHeight="1">
      <c r="B16" s="12" t="s">
        <v>77</v>
      </c>
      <c r="C16" s="8">
        <v>21.927</v>
      </c>
      <c r="D16" s="8">
        <v>25.748000000000001</v>
      </c>
      <c r="E16" s="8">
        <v>28.925000000000001</v>
      </c>
      <c r="F16" s="8">
        <f>105.2-E16-D16-C16</f>
        <v>28.6</v>
      </c>
      <c r="G16" s="8">
        <v>31.684999999999999</v>
      </c>
      <c r="H16" s="8">
        <v>34.018999999999998</v>
      </c>
      <c r="I16" s="8">
        <v>38.456000000000003</v>
      </c>
      <c r="J16" s="23">
        <f>Operations!I15-I16-H16-G16</f>
        <v>34.94</v>
      </c>
      <c r="K16" s="8">
        <v>36.46</v>
      </c>
      <c r="L16" s="8">
        <v>36.151000000000003</v>
      </c>
      <c r="M16" s="8">
        <v>38.371000000000002</v>
      </c>
      <c r="N16" s="23">
        <f>Operations!J15-M16-L16-K16</f>
        <v>34.517999999999979</v>
      </c>
      <c r="O16" s="8">
        <v>36.241</v>
      </c>
      <c r="P16" s="8">
        <f>73.673-O16</f>
        <v>37.432000000000002</v>
      </c>
      <c r="Q16" s="8">
        <v>42.290999999999997</v>
      </c>
      <c r="R16" s="23">
        <f>Operations!K15-Q16-P16-O16</f>
        <v>38.164999999999992</v>
      </c>
      <c r="S16" s="8">
        <v>39.555</v>
      </c>
    </row>
    <row r="17" spans="2:19" ht="17.100000000000001" customHeight="1">
      <c r="B17" s="12" t="s">
        <v>78</v>
      </c>
      <c r="C17" s="8">
        <v>12.567</v>
      </c>
      <c r="D17" s="8">
        <v>16.085999999999999</v>
      </c>
      <c r="E17" s="8">
        <v>19.111000000000001</v>
      </c>
      <c r="F17" s="31">
        <v>18.329999999999998</v>
      </c>
      <c r="G17" s="8">
        <v>20.109000000000002</v>
      </c>
      <c r="H17" s="8">
        <v>21.803999999999998</v>
      </c>
      <c r="I17" s="8">
        <v>26.745999999999999</v>
      </c>
      <c r="J17" s="31">
        <v>22.716000000000008</v>
      </c>
      <c r="K17" s="8">
        <v>23</v>
      </c>
      <c r="L17" s="8">
        <v>23.045000000000002</v>
      </c>
      <c r="M17" s="8">
        <v>25.829000000000001</v>
      </c>
      <c r="N17" s="9">
        <f>Operations!J16-M17-L17-K17</f>
        <v>21.89</v>
      </c>
      <c r="O17" s="8">
        <v>22.524999999999999</v>
      </c>
      <c r="P17" s="8">
        <f>45.58-O17</f>
        <v>23.055</v>
      </c>
      <c r="Q17" s="8">
        <v>28.071000000000002</v>
      </c>
      <c r="R17" s="9">
        <f>Operations!K16-Q17-P17-O17</f>
        <v>23.760000000000005</v>
      </c>
      <c r="S17" s="8">
        <v>24.721</v>
      </c>
    </row>
    <row r="18" spans="2:19" ht="17.100000000000001" customHeight="1">
      <c r="B18" s="10" t="s">
        <v>79</v>
      </c>
      <c r="C18" s="78">
        <f t="shared" ref="C18:K18" si="23">+C16/C$5</f>
        <v>53.925968918849122</v>
      </c>
      <c r="D18" s="78">
        <f t="shared" si="23"/>
        <v>47.625653631946264</v>
      </c>
      <c r="E18" s="78">
        <f t="shared" si="23"/>
        <v>45.993442456121379</v>
      </c>
      <c r="F18" s="78">
        <f t="shared" si="23"/>
        <v>47.375308519273133</v>
      </c>
      <c r="G18" s="78">
        <f t="shared" si="23"/>
        <v>51.273960077999199</v>
      </c>
      <c r="H18" s="78">
        <f t="shared" si="23"/>
        <v>50.003086701022134</v>
      </c>
      <c r="I18" s="78">
        <f t="shared" si="23"/>
        <v>50.469244811796806</v>
      </c>
      <c r="J18" s="78">
        <f t="shared" si="23"/>
        <v>51.968991141175984</v>
      </c>
      <c r="K18" s="78">
        <f t="shared" si="23"/>
        <v>56.308358532585032</v>
      </c>
      <c r="L18" s="78">
        <f t="shared" ref="L18:O18" si="24">+L16/L$5</f>
        <v>54.536759625509532</v>
      </c>
      <c r="M18" s="78">
        <f t="shared" si="24"/>
        <v>52.729943698475587</v>
      </c>
      <c r="N18" s="78">
        <f t="shared" si="24"/>
        <v>54.023260145207651</v>
      </c>
      <c r="O18" s="78">
        <f t="shared" si="24"/>
        <v>58.538200613794217</v>
      </c>
      <c r="P18" s="78">
        <f t="shared" ref="P18:S18" si="25">+P16/P$5</f>
        <v>57.972361221458698</v>
      </c>
      <c r="Q18" s="78">
        <f t="shared" si="25"/>
        <v>56.899258806798692</v>
      </c>
      <c r="R18" s="78">
        <f t="shared" si="25"/>
        <v>56.902896061451841</v>
      </c>
      <c r="S18" s="78">
        <f t="shared" si="25"/>
        <v>59.742723410296797</v>
      </c>
    </row>
    <row r="19" spans="2:19" ht="17.100000000000001" customHeight="1">
      <c r="B19" s="10" t="s">
        <v>80</v>
      </c>
      <c r="C19" s="59">
        <v>0.89</v>
      </c>
      <c r="D19" s="59">
        <v>0.89</v>
      </c>
      <c r="E19" s="59">
        <v>0.89</v>
      </c>
      <c r="F19" s="59">
        <v>0.89</v>
      </c>
      <c r="G19" s="59">
        <v>0.89</v>
      </c>
      <c r="H19" s="59">
        <v>0.89</v>
      </c>
      <c r="I19" s="59">
        <v>0.89</v>
      </c>
      <c r="J19" s="59">
        <v>0.89</v>
      </c>
      <c r="K19" s="59">
        <v>0.89</v>
      </c>
      <c r="L19" s="59">
        <v>0.89</v>
      </c>
      <c r="M19" s="59">
        <v>0.89</v>
      </c>
      <c r="N19" s="59">
        <v>0.89</v>
      </c>
      <c r="O19" s="59">
        <v>0.89</v>
      </c>
      <c r="P19" s="59">
        <v>0.89</v>
      </c>
      <c r="Q19" s="116">
        <v>0.89</v>
      </c>
      <c r="R19" s="59">
        <v>0.89</v>
      </c>
      <c r="S19" s="59">
        <v>0.89</v>
      </c>
    </row>
    <row r="20" spans="2:19" ht="17.100000000000001" customHeight="1">
      <c r="B20" s="29" t="s">
        <v>81</v>
      </c>
      <c r="C20" s="78">
        <f>+Operations!$H$19</f>
        <v>64.477106459999987</v>
      </c>
      <c r="D20" s="78">
        <f>+Operations!$H$19</f>
        <v>64.477106459999987</v>
      </c>
      <c r="E20" s="78">
        <f>+Operations!$H$19</f>
        <v>64.477106459999987</v>
      </c>
      <c r="F20" s="78">
        <f>+Operations!$H$19</f>
        <v>64.477106459999987</v>
      </c>
      <c r="G20" s="78">
        <f>+Operations!$I$19</f>
        <v>66.604850973179978</v>
      </c>
      <c r="H20" s="78">
        <f>+Operations!$I$19</f>
        <v>66.604850973179978</v>
      </c>
      <c r="I20" s="78">
        <f>+Operations!$I$19</f>
        <v>66.604850973179978</v>
      </c>
      <c r="J20" s="78">
        <f>+Operations!$I$19</f>
        <v>66.604850973179978</v>
      </c>
      <c r="K20" s="78">
        <f>+Operations!$J$19</f>
        <v>64.900000000000006</v>
      </c>
      <c r="L20" s="78">
        <f>+Operations!$J$19</f>
        <v>64.900000000000006</v>
      </c>
      <c r="M20" s="78">
        <f>+Operations!$J$19</f>
        <v>64.900000000000006</v>
      </c>
      <c r="N20" s="78">
        <f>+Operations!$J$19</f>
        <v>64.900000000000006</v>
      </c>
      <c r="O20" s="78">
        <f>+Operations!$K$19</f>
        <v>67.041700000000006</v>
      </c>
      <c r="P20" s="78">
        <f>+Operations!$K$19</f>
        <v>67.041700000000006</v>
      </c>
      <c r="Q20" s="78">
        <f>+Operations!$K$19</f>
        <v>67.041700000000006</v>
      </c>
      <c r="R20" s="78">
        <f>+Operations!$K$19</f>
        <v>67.041700000000006</v>
      </c>
      <c r="S20" s="78">
        <f>+Operations!$L$19</f>
        <v>68.382534000000007</v>
      </c>
    </row>
    <row r="21" spans="2:19" ht="17.100000000000001" customHeight="1">
      <c r="B21" s="29" t="s">
        <v>82</v>
      </c>
      <c r="C21" s="78">
        <f>+Operations!$H$20</f>
        <v>11.270641993429768</v>
      </c>
      <c r="D21" s="78">
        <f>+Operations!$H$20</f>
        <v>11.270641993429768</v>
      </c>
      <c r="E21" s="78">
        <f>+Operations!$H$20</f>
        <v>11.270641993429768</v>
      </c>
      <c r="F21" s="78">
        <f>+Operations!$H$20</f>
        <v>11.270641993429768</v>
      </c>
      <c r="G21" s="78">
        <f>+Operations!I20</f>
        <v>13.284701355695923</v>
      </c>
      <c r="H21" s="78">
        <f>+Operations!$I$20</f>
        <v>13.284701355695923</v>
      </c>
      <c r="I21" s="78">
        <f>+Operations!$I$20</f>
        <v>13.284701355695923</v>
      </c>
      <c r="J21" s="78">
        <f>+Operations!$I$20</f>
        <v>13.284701355695923</v>
      </c>
      <c r="K21" s="78">
        <f>+Operations!J20</f>
        <v>14.4</v>
      </c>
      <c r="L21" s="78">
        <f>+Operations!$J$20</f>
        <v>14.4</v>
      </c>
      <c r="M21" s="78">
        <f>+Operations!$J$20</f>
        <v>14.4</v>
      </c>
      <c r="N21" s="78">
        <f>+Operations!$I$20</f>
        <v>13.284701355695923</v>
      </c>
      <c r="O21" s="78">
        <f>+Operations!N20</f>
        <v>18.201243374405152</v>
      </c>
      <c r="P21" s="78">
        <f>+Operations!$J$20</f>
        <v>14.4</v>
      </c>
      <c r="Q21" s="78">
        <f>+Operations!$J$20</f>
        <v>14.4</v>
      </c>
      <c r="R21" s="78">
        <f>+Operations!$K$20</f>
        <v>17.151438148228387</v>
      </c>
      <c r="S21" s="78">
        <f>+Operations!$L$20</f>
        <v>17.494466911192955</v>
      </c>
    </row>
    <row r="22" spans="2:19" ht="17.100000000000001" customHeight="1">
      <c r="B22" s="12" t="s">
        <v>83</v>
      </c>
      <c r="C22" s="9">
        <f>+C16-C17</f>
        <v>9.36</v>
      </c>
      <c r="D22" s="9">
        <f t="shared" ref="D22:K22" si="26">+D16-D17</f>
        <v>9.6620000000000026</v>
      </c>
      <c r="E22" s="9">
        <f t="shared" si="26"/>
        <v>9.8140000000000001</v>
      </c>
      <c r="F22" s="9">
        <f t="shared" si="26"/>
        <v>10.270000000000003</v>
      </c>
      <c r="G22" s="9">
        <f t="shared" si="26"/>
        <v>11.575999999999997</v>
      </c>
      <c r="H22" s="9">
        <f t="shared" si="26"/>
        <v>12.215</v>
      </c>
      <c r="I22" s="9">
        <f t="shared" si="26"/>
        <v>11.710000000000004</v>
      </c>
      <c r="J22" s="9">
        <f t="shared" si="26"/>
        <v>12.22399999999999</v>
      </c>
      <c r="K22" s="9">
        <f t="shared" si="26"/>
        <v>13.46</v>
      </c>
      <c r="L22" s="9">
        <f t="shared" ref="L22:M22" si="27">+L16-L17</f>
        <v>13.106000000000002</v>
      </c>
      <c r="M22" s="9">
        <f t="shared" si="27"/>
        <v>12.542000000000002</v>
      </c>
      <c r="N22" s="9">
        <f>Operations!J21-M22-L22-K22</f>
        <v>12.628</v>
      </c>
      <c r="O22" s="9">
        <f t="shared" ref="O22:Q22" si="28">+O16-O17</f>
        <v>13.716000000000001</v>
      </c>
      <c r="P22" s="9">
        <f t="shared" si="28"/>
        <v>14.377000000000002</v>
      </c>
      <c r="Q22" s="9">
        <f t="shared" si="28"/>
        <v>14.219999999999995</v>
      </c>
      <c r="R22" s="9">
        <f>Operations!K21-Q22-P22-O22</f>
        <v>14.404999999999987</v>
      </c>
      <c r="S22" s="9">
        <f t="shared" ref="S22" si="29">+S16-S17</f>
        <v>14.834</v>
      </c>
    </row>
    <row r="23" spans="2:19" ht="17.100000000000001" customHeight="1">
      <c r="B23" s="10" t="s">
        <v>80</v>
      </c>
      <c r="C23" s="32">
        <f>+C19</f>
        <v>0.89</v>
      </c>
      <c r="D23" s="32">
        <f t="shared" ref="D23:K23" si="30">+D19</f>
        <v>0.89</v>
      </c>
      <c r="E23" s="32">
        <f t="shared" si="30"/>
        <v>0.89</v>
      </c>
      <c r="F23" s="32">
        <f t="shared" si="30"/>
        <v>0.89</v>
      </c>
      <c r="G23" s="32">
        <f t="shared" si="30"/>
        <v>0.89</v>
      </c>
      <c r="H23" s="32">
        <f t="shared" si="30"/>
        <v>0.89</v>
      </c>
      <c r="I23" s="32">
        <f t="shared" si="30"/>
        <v>0.89</v>
      </c>
      <c r="J23" s="32">
        <f t="shared" si="30"/>
        <v>0.89</v>
      </c>
      <c r="K23" s="32">
        <f t="shared" si="30"/>
        <v>0.89</v>
      </c>
      <c r="L23" s="32">
        <f t="shared" ref="L23:O23" si="31">+L19</f>
        <v>0.89</v>
      </c>
      <c r="M23" s="32">
        <f t="shared" si="31"/>
        <v>0.89</v>
      </c>
      <c r="N23" s="32">
        <f t="shared" si="31"/>
        <v>0.89</v>
      </c>
      <c r="O23" s="32">
        <f t="shared" si="31"/>
        <v>0.89</v>
      </c>
      <c r="P23" s="32">
        <f t="shared" ref="P23:S23" si="32">+P19</f>
        <v>0.89</v>
      </c>
      <c r="Q23" s="32">
        <f t="shared" si="32"/>
        <v>0.89</v>
      </c>
      <c r="R23" s="32">
        <f t="shared" si="32"/>
        <v>0.89</v>
      </c>
      <c r="S23" s="32">
        <f t="shared" si="32"/>
        <v>0.89</v>
      </c>
    </row>
    <row r="24" spans="2:19" ht="17.100000000000001" customHeight="1">
      <c r="B24" s="10" t="s">
        <v>79</v>
      </c>
      <c r="C24" s="78">
        <f>+C22/C$5</f>
        <v>23.019431252812868</v>
      </c>
      <c r="D24" s="78">
        <f t="shared" ref="D24:K24" si="33">+D22/D$5</f>
        <v>17.871643055455372</v>
      </c>
      <c r="E24" s="78">
        <f t="shared" si="33"/>
        <v>15.605173526858261</v>
      </c>
      <c r="F24" s="78">
        <f t="shared" si="33"/>
        <v>17.012042604648084</v>
      </c>
      <c r="G24" s="78">
        <f t="shared" si="33"/>
        <v>18.73275562136401</v>
      </c>
      <c r="H24" s="78">
        <f t="shared" si="33"/>
        <v>17.954310945441826</v>
      </c>
      <c r="I24" s="78">
        <f t="shared" si="33"/>
        <v>15.368079278815811</v>
      </c>
      <c r="J24" s="78">
        <f t="shared" si="33"/>
        <v>18.181710008864759</v>
      </c>
      <c r="K24" s="78">
        <f t="shared" si="33"/>
        <v>20.787452162605447</v>
      </c>
      <c r="L24" s="78">
        <f t="shared" ref="L24:O24" si="34">+L22/L$5</f>
        <v>19.771479949432322</v>
      </c>
      <c r="M24" s="78">
        <f t="shared" si="34"/>
        <v>17.235384896569826</v>
      </c>
      <c r="N24" s="78">
        <f t="shared" si="34"/>
        <v>19.763767573836336</v>
      </c>
      <c r="O24" s="78">
        <f t="shared" si="34"/>
        <v>22.154740752705543</v>
      </c>
      <c r="P24" s="78">
        <f t="shared" ref="P24:S24" si="35">+P22/P$5</f>
        <v>22.266206381729852</v>
      </c>
      <c r="Q24" s="78">
        <f t="shared" si="35"/>
        <v>19.131906557723326</v>
      </c>
      <c r="R24" s="78">
        <f t="shared" si="35"/>
        <v>21.477432667764003</v>
      </c>
      <c r="S24" s="78">
        <f t="shared" si="35"/>
        <v>22.404842853453236</v>
      </c>
    </row>
    <row r="25" spans="2:19" ht="17.100000000000001" customHeight="1">
      <c r="B25" s="10"/>
      <c r="C25" s="78"/>
      <c r="D25" s="78"/>
      <c r="E25" s="78"/>
      <c r="F25" s="78"/>
      <c r="G25" s="78"/>
      <c r="H25" s="78"/>
      <c r="I25" s="7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2:19" ht="17.100000000000001" customHeight="1">
      <c r="B26" s="12" t="s">
        <v>84</v>
      </c>
      <c r="C26" s="8">
        <v>8.2829999999999995</v>
      </c>
      <c r="D26" s="8">
        <v>9.7100000000000009</v>
      </c>
      <c r="E26" s="8">
        <v>10.731999999999999</v>
      </c>
      <c r="F26" s="31">
        <f>+Operations!H25-SUM(Quarterlies!C26:E26)</f>
        <v>11.168999999999997</v>
      </c>
      <c r="G26" s="8">
        <v>11.042</v>
      </c>
      <c r="H26" s="8">
        <v>12.747999999999999</v>
      </c>
      <c r="I26" s="8">
        <v>12.968999999999999</v>
      </c>
      <c r="J26" s="23">
        <f>+Operations!I25-SUM(Quarterlies!G26:I26)</f>
        <v>13.82</v>
      </c>
      <c r="K26" s="8">
        <v>12.726000000000001</v>
      </c>
      <c r="L26" s="8">
        <v>13.311999999999999</v>
      </c>
      <c r="M26" s="8">
        <v>13.891999999999999</v>
      </c>
      <c r="N26" s="23">
        <f>Operations!J25-M26-L26-K26</f>
        <v>13.549999999999995</v>
      </c>
      <c r="O26" s="8">
        <v>12.771000000000001</v>
      </c>
      <c r="P26" s="8">
        <f>26.717-O26</f>
        <v>13.945999999999998</v>
      </c>
      <c r="Q26" s="8">
        <v>14.465999999999999</v>
      </c>
      <c r="R26" s="23">
        <f>Operations!K25-Q26-P26-O26</f>
        <v>14.795999999999999</v>
      </c>
      <c r="S26" s="8">
        <v>14.314</v>
      </c>
    </row>
    <row r="27" spans="2:19" ht="17.100000000000001" customHeight="1">
      <c r="B27" s="12" t="s">
        <v>85</v>
      </c>
      <c r="C27" s="8">
        <v>4.085</v>
      </c>
      <c r="D27" s="8">
        <v>4.5199999999999996</v>
      </c>
      <c r="E27" s="8">
        <v>4.9390000000000001</v>
      </c>
      <c r="F27" s="31">
        <f>+Operations!H26-SUM(Quarterlies!C27:E27)</f>
        <v>4.9589999999999996</v>
      </c>
      <c r="G27" s="8">
        <v>5.2220000000000004</v>
      </c>
      <c r="H27" s="8">
        <v>5.4859999999999998</v>
      </c>
      <c r="I27" s="8">
        <v>5.6740000000000004</v>
      </c>
      <c r="J27" s="31">
        <f>+Operations!I26-SUM(Quarterlies!G27:I27)</f>
        <v>5.5119999999999969</v>
      </c>
      <c r="K27" s="8">
        <v>5.5990000000000002</v>
      </c>
      <c r="L27" s="8">
        <v>5.6669999999999998</v>
      </c>
      <c r="M27" s="8">
        <v>5.7450000000000001</v>
      </c>
      <c r="N27" s="9">
        <f>Operations!J26-M27-L27-K27</f>
        <v>6.0439999999999987</v>
      </c>
      <c r="O27" s="8">
        <v>5.8440000000000003</v>
      </c>
      <c r="P27" s="8">
        <f>12.069-O27</f>
        <v>6.2250000000000005</v>
      </c>
      <c r="Q27" s="8">
        <v>6.2759999999999998</v>
      </c>
      <c r="R27" s="9">
        <f>Operations!K26-Q27-P27-O27</f>
        <v>6.3369999999999971</v>
      </c>
      <c r="S27" s="8">
        <v>6.431</v>
      </c>
    </row>
    <row r="28" spans="2:19" ht="17.100000000000001" customHeight="1">
      <c r="B28" s="10" t="s">
        <v>34</v>
      </c>
      <c r="C28" s="45">
        <f>+C27/C$5</f>
        <v>10.046407763647498</v>
      </c>
      <c r="D28" s="45">
        <f t="shared" ref="D28:L28" si="36">+D27/D$5</f>
        <v>8.3605699245144116</v>
      </c>
      <c r="E28" s="45">
        <f t="shared" si="36"/>
        <v>7.853469742118703</v>
      </c>
      <c r="F28" s="45">
        <f t="shared" si="36"/>
        <v>8.2144809422054355</v>
      </c>
      <c r="G28" s="45">
        <f t="shared" si="36"/>
        <v>8.4504535119871189</v>
      </c>
      <c r="H28" s="45">
        <f t="shared" si="36"/>
        <v>8.0636389559307275</v>
      </c>
      <c r="I28" s="45">
        <f t="shared" si="36"/>
        <v>7.4464971672075899</v>
      </c>
      <c r="J28" s="45">
        <f t="shared" si="36"/>
        <v>8.1984281388140197</v>
      </c>
      <c r="K28" s="45">
        <f t="shared" si="36"/>
        <v>8.6470241202398146</v>
      </c>
      <c r="L28" s="45">
        <f t="shared" si="36"/>
        <v>8.5491360349025616</v>
      </c>
      <c r="M28" s="45">
        <f t="shared" ref="M28:P28" si="37">+M27/M$5</f>
        <v>7.8948561816930036</v>
      </c>
      <c r="N28" s="45">
        <f t="shared" si="37"/>
        <v>9.4593135267870441</v>
      </c>
      <c r="O28" s="45">
        <f t="shared" si="37"/>
        <v>9.4395089646260715</v>
      </c>
      <c r="P28" s="45">
        <f t="shared" si="37"/>
        <v>9.6408941174284148</v>
      </c>
      <c r="Q28" s="45">
        <f t="shared" ref="Q28:S28" si="38">+Q27/Q$5</f>
        <v>8.4438709955183988</v>
      </c>
      <c r="R28" s="45">
        <f t="shared" si="38"/>
        <v>9.4482812089983028</v>
      </c>
      <c r="S28" s="45">
        <f t="shared" si="38"/>
        <v>9.7131956579855565</v>
      </c>
    </row>
    <row r="29" spans="2:19" ht="17.100000000000001" customHeight="1">
      <c r="B29" s="12" t="s">
        <v>86</v>
      </c>
      <c r="C29" s="8">
        <v>4.1980000000000004</v>
      </c>
      <c r="D29" s="8">
        <v>5.19</v>
      </c>
      <c r="E29" s="8">
        <v>5.7930000000000001</v>
      </c>
      <c r="F29" s="31">
        <f>+Operations!H28-SUM(Quarterlies!C29:E29)</f>
        <v>6.2099999999999973</v>
      </c>
      <c r="G29" s="8">
        <v>5.82</v>
      </c>
      <c r="H29" s="8">
        <v>7.2619999999999996</v>
      </c>
      <c r="I29" s="8">
        <v>7.2949999999999999</v>
      </c>
      <c r="J29" s="31">
        <f>+Operations!I28-SUM(Quarterlies!G29:I29)</f>
        <v>8.3079999999999998</v>
      </c>
      <c r="K29" s="8">
        <v>7.1289999999999996</v>
      </c>
      <c r="L29" s="8">
        <v>7.6449999999999996</v>
      </c>
      <c r="M29" s="8">
        <v>8.3170000000000002</v>
      </c>
      <c r="N29" s="9">
        <f>Operations!J28-M29-L29-K29</f>
        <v>7.3339999999999979</v>
      </c>
      <c r="O29" s="8">
        <v>7.0510000000000002</v>
      </c>
      <c r="P29" s="8">
        <f>14.648-O29</f>
        <v>7.5969999999999995</v>
      </c>
      <c r="Q29" s="8">
        <v>8.2430000000000003</v>
      </c>
      <c r="R29" s="9">
        <f>Operations!K28-Q29-P29-O29</f>
        <v>8.4060000000000024</v>
      </c>
      <c r="S29" s="8">
        <v>7.9939999999999998</v>
      </c>
    </row>
    <row r="30" spans="2:19" ht="17.100000000000001" customHeight="1">
      <c r="B30" s="10" t="s">
        <v>34</v>
      </c>
      <c r="C30" s="45">
        <f>+C29/C$5</f>
        <v>10.324313290524406</v>
      </c>
      <c r="D30" s="45">
        <f t="shared" ref="D30:K30" si="39">+D29/D$5</f>
        <v>9.5998579442986305</v>
      </c>
      <c r="E30" s="45">
        <f t="shared" si="39"/>
        <v>9.211409235896669</v>
      </c>
      <c r="F30" s="45">
        <f t="shared" si="39"/>
        <v>10.286736570093916</v>
      </c>
      <c r="G30" s="45">
        <f t="shared" si="39"/>
        <v>9.418161516615287</v>
      </c>
      <c r="H30" s="45">
        <f t="shared" si="39"/>
        <v>10.674106106082565</v>
      </c>
      <c r="I30" s="45">
        <f t="shared" si="39"/>
        <v>9.5738803022170185</v>
      </c>
      <c r="J30" s="45">
        <f t="shared" si="39"/>
        <v>12.357137332595595</v>
      </c>
      <c r="K30" s="45">
        <f t="shared" si="39"/>
        <v>11.009936587460194</v>
      </c>
      <c r="L30" s="45">
        <f t="shared" ref="L30:O30" si="40">+L29/L$5</f>
        <v>11.533111873448046</v>
      </c>
      <c r="M30" s="45">
        <f t="shared" si="40"/>
        <v>11.429333135446598</v>
      </c>
      <c r="N30" s="45">
        <f t="shared" si="40"/>
        <v>11.478260325191293</v>
      </c>
      <c r="O30" s="45">
        <f t="shared" si="40"/>
        <v>11.389113228880634</v>
      </c>
      <c r="P30" s="45">
        <f t="shared" ref="P30:S30" si="41">+P29/P$5</f>
        <v>11.765762668289744</v>
      </c>
      <c r="Q30" s="45">
        <f t="shared" si="41"/>
        <v>11.090316860429917</v>
      </c>
      <c r="R30" s="45">
        <f t="shared" si="41"/>
        <v>12.533099549130471</v>
      </c>
      <c r="S30" s="45">
        <f t="shared" si="41"/>
        <v>12.073905471922957</v>
      </c>
    </row>
    <row r="31" spans="2:19" ht="17.100000000000001" customHeight="1"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2:19" ht="17.100000000000001" customHeight="1">
      <c r="B32" s="12" t="s">
        <v>87</v>
      </c>
      <c r="C32" s="45">
        <f>+C14-C16-C26</f>
        <v>2.2509999999999994</v>
      </c>
      <c r="D32" s="45">
        <f t="shared" ref="D32:K32" si="42">+D14-D16-D26</f>
        <v>2.041999999999998</v>
      </c>
      <c r="E32" s="45">
        <f t="shared" si="42"/>
        <v>2.4409999999999989</v>
      </c>
      <c r="F32" s="45">
        <f t="shared" si="42"/>
        <v>0.57200000000000983</v>
      </c>
      <c r="G32" s="45">
        <f t="shared" si="42"/>
        <v>0.84000000000000163</v>
      </c>
      <c r="H32" s="45">
        <f t="shared" si="42"/>
        <v>0.75700000000000323</v>
      </c>
      <c r="I32" s="45">
        <f t="shared" si="42"/>
        <v>1.8079999999999945</v>
      </c>
      <c r="J32" s="45">
        <f t="shared" si="42"/>
        <v>-1.3840000000000146</v>
      </c>
      <c r="K32" s="45">
        <f t="shared" si="42"/>
        <v>0.87799999999999834</v>
      </c>
      <c r="L32" s="45">
        <f t="shared" ref="L32:M32" si="43">+L14-L16-L26</f>
        <v>1.3169999999999984</v>
      </c>
      <c r="M32" s="45">
        <f t="shared" si="43"/>
        <v>1.3719999999999963</v>
      </c>
      <c r="N32" s="45">
        <f>+N14-N16-N26</f>
        <v>1.1530000000000218</v>
      </c>
      <c r="O32" s="45">
        <f t="shared" ref="O32:Q32" si="44">+O14-O16-O26</f>
        <v>0.64799999999999613</v>
      </c>
      <c r="P32" s="45">
        <f t="shared" si="44"/>
        <v>0.36200000000000898</v>
      </c>
      <c r="Q32" s="45">
        <f t="shared" si="44"/>
        <v>1.7340000000000035</v>
      </c>
      <c r="R32" s="45">
        <f>+R14-R16-R26</f>
        <v>1.4200000000000088</v>
      </c>
      <c r="S32" s="45">
        <f t="shared" ref="S32" si="45">+S14-S16-S26</f>
        <v>1.0009999999999977</v>
      </c>
    </row>
    <row r="33" spans="2:21" ht="17.100000000000001" customHeight="1">
      <c r="B33" s="41"/>
      <c r="C33" s="3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21" s="7" customFormat="1" ht="16.5" customHeight="1">
      <c r="B34" s="4" t="s">
        <v>88</v>
      </c>
      <c r="C34" s="5" t="str">
        <f>+C12</f>
        <v>1Q22</v>
      </c>
      <c r="D34" s="5" t="str">
        <f t="shared" ref="D34:K34" si="46">+D12</f>
        <v>2Q22</v>
      </c>
      <c r="E34" s="5" t="str">
        <f t="shared" si="46"/>
        <v>3Q22</v>
      </c>
      <c r="F34" s="5" t="str">
        <f t="shared" si="46"/>
        <v>4Q22</v>
      </c>
      <c r="G34" s="5" t="str">
        <f t="shared" si="46"/>
        <v>1Q23</v>
      </c>
      <c r="H34" s="5" t="str">
        <f t="shared" si="46"/>
        <v>2Q23</v>
      </c>
      <c r="I34" s="5" t="str">
        <f t="shared" si="46"/>
        <v>3Q23</v>
      </c>
      <c r="J34" s="5" t="str">
        <f t="shared" si="46"/>
        <v>4Q23</v>
      </c>
      <c r="K34" s="5" t="str">
        <f t="shared" si="46"/>
        <v>1Q24</v>
      </c>
      <c r="L34" s="5" t="str">
        <f t="shared" ref="L34:O34" si="47">+L12</f>
        <v>2Q24</v>
      </c>
      <c r="M34" s="5" t="str">
        <f t="shared" si="47"/>
        <v>3Q24</v>
      </c>
      <c r="N34" s="5" t="str">
        <f t="shared" si="47"/>
        <v>4Q24</v>
      </c>
      <c r="O34" s="5" t="str">
        <f t="shared" si="47"/>
        <v>1Q25</v>
      </c>
      <c r="P34" s="5" t="str">
        <f t="shared" ref="P34:S34" si="48">+P12</f>
        <v>2Q25</v>
      </c>
      <c r="Q34" s="5" t="str">
        <f t="shared" si="48"/>
        <v>3Q25</v>
      </c>
      <c r="R34" s="5" t="str">
        <f t="shared" si="48"/>
        <v>4Q25</v>
      </c>
      <c r="S34" s="5" t="str">
        <f t="shared" si="48"/>
        <v>1Q26</v>
      </c>
    </row>
    <row r="35" spans="2:21" ht="17.100000000000001" customHeight="1">
      <c r="B35" s="41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2:21" ht="17.100000000000001" customHeight="1">
      <c r="B36" s="12" t="s">
        <v>89</v>
      </c>
      <c r="C36" s="9">
        <f>+C14</f>
        <v>32.460999999999999</v>
      </c>
      <c r="D36" s="9">
        <f t="shared" ref="D36:K36" si="49">+D14</f>
        <v>37.5</v>
      </c>
      <c r="E36" s="9">
        <f t="shared" si="49"/>
        <v>42.097999999999999</v>
      </c>
      <c r="F36" s="9">
        <f t="shared" si="49"/>
        <v>40.341000000000008</v>
      </c>
      <c r="G36" s="9">
        <f t="shared" si="49"/>
        <v>43.567</v>
      </c>
      <c r="H36" s="9">
        <f t="shared" si="49"/>
        <v>47.524000000000001</v>
      </c>
      <c r="I36" s="9">
        <f t="shared" si="49"/>
        <v>53.232999999999997</v>
      </c>
      <c r="J36" s="9">
        <f t="shared" si="49"/>
        <v>47.375999999999983</v>
      </c>
      <c r="K36" s="9">
        <f t="shared" si="49"/>
        <v>50.064</v>
      </c>
      <c r="L36" s="9">
        <f t="shared" ref="L36:O36" si="50">+L14</f>
        <v>50.78</v>
      </c>
      <c r="M36" s="9">
        <f t="shared" si="50"/>
        <v>53.634999999999998</v>
      </c>
      <c r="N36" s="9">
        <f t="shared" si="50"/>
        <v>49.220999999999997</v>
      </c>
      <c r="O36" s="9">
        <f t="shared" si="50"/>
        <v>49.66</v>
      </c>
      <c r="P36" s="9">
        <f t="shared" ref="P36:S36" si="51">+P14</f>
        <v>51.740000000000009</v>
      </c>
      <c r="Q36" s="9">
        <f t="shared" si="51"/>
        <v>58.491</v>
      </c>
      <c r="R36" s="9">
        <f t="shared" si="51"/>
        <v>54.381</v>
      </c>
      <c r="S36" s="9">
        <f t="shared" si="51"/>
        <v>54.87</v>
      </c>
    </row>
    <row r="37" spans="2:21" ht="17.100000000000001" customHeight="1">
      <c r="B37" s="4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2:21" ht="17.100000000000001" customHeight="1">
      <c r="B38" s="12" t="s">
        <v>90</v>
      </c>
      <c r="C38" s="9">
        <f>+SUM(C40:C47)</f>
        <v>7.338999999999996</v>
      </c>
      <c r="D38" s="9">
        <f t="shared" ref="D38:K38" si="52">+SUM(D40:D47)</f>
        <v>8.6019999999999985</v>
      </c>
      <c r="E38" s="9">
        <f t="shared" si="52"/>
        <v>8.8439999999999976</v>
      </c>
      <c r="F38" s="9">
        <f t="shared" si="52"/>
        <v>11.109000000000005</v>
      </c>
      <c r="G38" s="9">
        <f t="shared" si="52"/>
        <v>9.5170000000000012</v>
      </c>
      <c r="H38" s="9">
        <f t="shared" si="52"/>
        <v>10.379</v>
      </c>
      <c r="I38" s="9">
        <f t="shared" si="52"/>
        <v>10.443999999999997</v>
      </c>
      <c r="J38" s="9">
        <f t="shared" si="52"/>
        <v>11.659000000000004</v>
      </c>
      <c r="K38" s="9">
        <f t="shared" si="52"/>
        <v>10.213999999999999</v>
      </c>
      <c r="L38" s="9">
        <f t="shared" ref="L38" si="53">+SUM(L40:L47)</f>
        <v>10.756000000000002</v>
      </c>
      <c r="M38" s="9">
        <f>+SUM(M40:M47)</f>
        <v>11.184000000000001</v>
      </c>
      <c r="N38" s="9">
        <f t="shared" ref="N38" si="54">+SUM(N40:N47)</f>
        <v>13.361000000000001</v>
      </c>
      <c r="O38" s="9">
        <f t="shared" ref="O38:P38" si="55">+SUM(O40:O47)</f>
        <v>9.7979999999999983</v>
      </c>
      <c r="P38" s="9">
        <f t="shared" si="55"/>
        <v>9.8000000000000007</v>
      </c>
      <c r="Q38" s="9">
        <f>+SUM(Q40:Q47)</f>
        <v>10.689000000000002</v>
      </c>
      <c r="R38" s="9">
        <f t="shared" ref="R38:S38" si="56">+SUM(R40:R47)</f>
        <v>10.917000000000003</v>
      </c>
      <c r="S38" s="9">
        <f t="shared" si="56"/>
        <v>10.53</v>
      </c>
      <c r="U38" s="114"/>
    </row>
    <row r="39" spans="2:21" ht="17.100000000000001" customHeight="1">
      <c r="B39" s="12" t="s">
        <v>34</v>
      </c>
      <c r="C39" s="45">
        <f t="shared" ref="C39" si="57">+C38/(C$5)</f>
        <v>18.049103201324098</v>
      </c>
      <c r="D39" s="45">
        <f t="shared" ref="D39" si="58">+D38/(D$5)</f>
        <v>15.910978427140037</v>
      </c>
      <c r="E39" s="45">
        <f t="shared" ref="E39" si="59">+E38/(E$5)</f>
        <v>14.062783235330592</v>
      </c>
      <c r="F39" s="45">
        <f t="shared" ref="F39" si="60">+F38/(F$5)</f>
        <v>18.401828753168022</v>
      </c>
      <c r="G39" s="45">
        <f t="shared" ref="G39" si="61">+G38/(G$5)</f>
        <v>15.400797792719535</v>
      </c>
      <c r="H39" s="45">
        <f t="shared" ref="H39" si="62">+H38/(H$5)</f>
        <v>15.255652337514588</v>
      </c>
      <c r="I39" s="45">
        <f t="shared" ref="I39" si="63">+I38/(I$5)</f>
        <v>13.706594362762786</v>
      </c>
      <c r="J39" s="45">
        <f>+J38/(J$5)</f>
        <v>17.341341377074158</v>
      </c>
      <c r="K39" s="45">
        <f t="shared" ref="K39" si="64">+K38/(K$5)</f>
        <v>15.774371202737889</v>
      </c>
      <c r="L39" s="45">
        <f t="shared" ref="L39:M39" si="65">+L38/(L$5)</f>
        <v>16.226311486044107</v>
      </c>
      <c r="M39" s="45">
        <f t="shared" si="65"/>
        <v>15.369203052402881</v>
      </c>
      <c r="N39" s="45">
        <f>+N38/(N$5)</f>
        <v>20.910967576340457</v>
      </c>
      <c r="O39" s="45">
        <f t="shared" ref="O39:Q39" si="66">+O38/(O$5)</f>
        <v>15.826199321595862</v>
      </c>
      <c r="P39" s="45">
        <f t="shared" si="66"/>
        <v>15.177632506152362</v>
      </c>
      <c r="Q39" s="45">
        <f t="shared" si="66"/>
        <v>14.381220055942666</v>
      </c>
      <c r="R39" s="45">
        <f>+R38/(R$5)</f>
        <v>16.276926930508843</v>
      </c>
      <c r="S39" s="45">
        <f t="shared" ref="S39" si="67">+S38/(S$5)</f>
        <v>15.904206232092662</v>
      </c>
      <c r="U39" s="114"/>
    </row>
    <row r="40" spans="2:21" ht="17.100000000000001" customHeight="1">
      <c r="B40" s="10" t="s">
        <v>91</v>
      </c>
      <c r="C40" s="16">
        <v>2</v>
      </c>
      <c r="D40" s="16">
        <v>2.1840000000000002</v>
      </c>
      <c r="E40" s="16">
        <v>1.986</v>
      </c>
      <c r="F40" s="16">
        <f>9.039-E40-D40-C40</f>
        <v>2.8689999999999998</v>
      </c>
      <c r="G40" s="16">
        <v>2.294</v>
      </c>
      <c r="H40" s="16">
        <v>2.391</v>
      </c>
      <c r="I40" s="16">
        <v>2.4529999999999998</v>
      </c>
      <c r="J40" s="16">
        <f>10.046-I40-H40-G40</f>
        <v>2.9079999999999999</v>
      </c>
      <c r="K40" s="16">
        <v>2.37</v>
      </c>
      <c r="L40" s="16">
        <v>2.484</v>
      </c>
      <c r="M40" s="16">
        <v>2.4990000000000001</v>
      </c>
      <c r="N40" s="11">
        <f>Operations!J41-M40-L40-K40</f>
        <v>2.7229999999999999</v>
      </c>
      <c r="O40" s="16">
        <v>2.4769999999999999</v>
      </c>
      <c r="P40" s="16">
        <f>4.869-O40</f>
        <v>2.3919999999999999</v>
      </c>
      <c r="Q40" s="16">
        <v>2.3889999999999998</v>
      </c>
      <c r="R40" s="11">
        <f>Operations!K41-Q40-P40-O40</f>
        <v>2.9970000000000021</v>
      </c>
      <c r="S40" s="16">
        <v>2.794</v>
      </c>
      <c r="U40" s="114"/>
    </row>
    <row r="41" spans="2:21" ht="17.100000000000001" customHeight="1">
      <c r="B41" s="10" t="s">
        <v>92</v>
      </c>
      <c r="C41" s="16">
        <v>1.742</v>
      </c>
      <c r="D41" s="16">
        <v>2.0099999999999998</v>
      </c>
      <c r="E41" s="16">
        <v>2.0990000000000002</v>
      </c>
      <c r="F41" s="16">
        <f>8.28-E41-D41-C41</f>
        <v>2.4289999999999994</v>
      </c>
      <c r="G41" s="16">
        <v>2.0630000000000002</v>
      </c>
      <c r="H41" s="16">
        <v>2.202</v>
      </c>
      <c r="I41" s="16">
        <v>2.4609999999999999</v>
      </c>
      <c r="J41" s="16">
        <f>9.561-I41-H41-G41</f>
        <v>2.8349999999999995</v>
      </c>
      <c r="K41" s="16">
        <v>2.1869999999999998</v>
      </c>
      <c r="L41" s="16">
        <v>2.4430000000000001</v>
      </c>
      <c r="M41" s="16">
        <v>2.3340000000000001</v>
      </c>
      <c r="N41" s="11">
        <f>Operations!J42-M41-L41-K41</f>
        <v>2.5150000000000001</v>
      </c>
      <c r="O41" s="16">
        <v>2.194</v>
      </c>
      <c r="P41" s="16">
        <f>4.492-O41</f>
        <v>2.298</v>
      </c>
      <c r="Q41" s="16">
        <v>2.351</v>
      </c>
      <c r="R41" s="11">
        <f>Operations!K42-Q41-P41-O41</f>
        <v>2.4640000000000004</v>
      </c>
      <c r="S41" s="16">
        <v>2.2229999999999999</v>
      </c>
      <c r="U41" s="114"/>
    </row>
    <row r="42" spans="2:21" ht="17.100000000000001" customHeight="1">
      <c r="B42" s="10" t="s">
        <v>93</v>
      </c>
      <c r="C42" s="16">
        <v>1.306</v>
      </c>
      <c r="D42" s="16">
        <v>1.56</v>
      </c>
      <c r="E42" s="16">
        <v>1.778</v>
      </c>
      <c r="F42" s="81">
        <f>6.2-E42-D42-C42</f>
        <v>1.5560000000000005</v>
      </c>
      <c r="G42" s="16">
        <v>1.9339999999999999</v>
      </c>
      <c r="H42" s="16">
        <v>2.0739999999999998</v>
      </c>
      <c r="I42" s="81">
        <v>2.3679999999999999</v>
      </c>
      <c r="J42" s="81">
        <f>8.4-I42-H42-G42</f>
        <v>2.024</v>
      </c>
      <c r="K42" s="81">
        <v>2.23</v>
      </c>
      <c r="L42" s="81">
        <v>2.2290000000000001</v>
      </c>
      <c r="M42" s="81">
        <v>2.3290000000000002</v>
      </c>
      <c r="N42" s="11">
        <f>Operations!J43-M42-L42-K42</f>
        <v>1.9889999999999985</v>
      </c>
      <c r="O42" s="81">
        <v>2.2189999999999999</v>
      </c>
      <c r="P42" s="81">
        <f>4.553-O42</f>
        <v>2.3340000000000001</v>
      </c>
      <c r="Q42" s="81">
        <v>2.641</v>
      </c>
      <c r="R42" s="11">
        <f>Operations!K43-Q42-P42-O42</f>
        <v>2.246</v>
      </c>
      <c r="S42" s="81">
        <v>2.4289999999999998</v>
      </c>
      <c r="U42" s="114"/>
    </row>
    <row r="43" spans="2:21" ht="17.100000000000001" customHeight="1">
      <c r="B43" s="10" t="s">
        <v>94</v>
      </c>
      <c r="C43" s="16">
        <v>0.83099999999999996</v>
      </c>
      <c r="D43" s="16">
        <v>0.64700000000000002</v>
      </c>
      <c r="E43" s="16">
        <v>0.72499999999999998</v>
      </c>
      <c r="F43" s="16">
        <f>3.186-E43-D43-C43</f>
        <v>0.98299999999999987</v>
      </c>
      <c r="G43" s="16">
        <v>0.91400000000000003</v>
      </c>
      <c r="H43" s="16">
        <v>0.749</v>
      </c>
      <c r="I43" s="16">
        <v>0.76900000000000002</v>
      </c>
      <c r="J43" s="16">
        <f>3.385-I43-H43-G43</f>
        <v>0.95299999999999951</v>
      </c>
      <c r="K43" s="16">
        <v>0.96299999999999997</v>
      </c>
      <c r="L43" s="16">
        <v>1.0469999999999999</v>
      </c>
      <c r="M43" s="16">
        <v>0.66500000000000004</v>
      </c>
      <c r="N43" s="11">
        <f>Operations!J44-M43-L43-K43</f>
        <v>0.95499999999999996</v>
      </c>
      <c r="O43" s="16">
        <v>0.83899999999999997</v>
      </c>
      <c r="P43" s="16">
        <f>1.534-O43</f>
        <v>0.69500000000000006</v>
      </c>
      <c r="Q43" s="16">
        <v>1.089</v>
      </c>
      <c r="R43" s="11">
        <f>Operations!K44-Q43-P43-O43</f>
        <v>0.80800000000000005</v>
      </c>
      <c r="S43" s="16">
        <v>0.85799999999999998</v>
      </c>
      <c r="U43" s="114"/>
    </row>
    <row r="44" spans="2:21" ht="17.100000000000001" customHeight="1">
      <c r="B44" s="10" t="s">
        <v>95</v>
      </c>
      <c r="C44" s="16">
        <v>0.57699999999999996</v>
      </c>
      <c r="D44" s="16">
        <v>0.59</v>
      </c>
      <c r="E44" s="16">
        <v>0.58899999999999997</v>
      </c>
      <c r="F44" s="16">
        <f>2.383-E44-D44-C44</f>
        <v>0.62700000000000022</v>
      </c>
      <c r="G44" s="16">
        <v>0.74099999999999999</v>
      </c>
      <c r="H44" s="16">
        <v>0.745</v>
      </c>
      <c r="I44" s="16">
        <v>0.75800000000000001</v>
      </c>
      <c r="J44" s="16">
        <f>3.025-I44-H44-G44</f>
        <v>0.78099999999999981</v>
      </c>
      <c r="K44" s="16">
        <v>0.79600000000000004</v>
      </c>
      <c r="L44" s="16">
        <v>0.80600000000000005</v>
      </c>
      <c r="M44" s="16">
        <v>0.80800000000000005</v>
      </c>
      <c r="N44" s="11">
        <f>Operations!J45-M44-L44-K44</f>
        <v>0.82799999999999963</v>
      </c>
      <c r="O44" s="16">
        <v>0.73199999999999998</v>
      </c>
      <c r="P44" s="16">
        <f>1.475-O44</f>
        <v>0.7430000000000001</v>
      </c>
      <c r="Q44" s="16">
        <v>0.76200000000000001</v>
      </c>
      <c r="R44" s="11">
        <f>Operations!K45-Q44-P44-O44</f>
        <v>0.72900000000000009</v>
      </c>
      <c r="S44" s="16">
        <v>0.72899999999999998</v>
      </c>
      <c r="U44" s="114"/>
    </row>
    <row r="45" spans="2:21" ht="17.100000000000001" customHeight="1">
      <c r="B45" s="10" t="s">
        <v>96</v>
      </c>
      <c r="C45" s="16">
        <v>0.60299999999999998</v>
      </c>
      <c r="D45" s="16">
        <v>0.58399999999999996</v>
      </c>
      <c r="E45" s="16">
        <v>0.64800000000000002</v>
      </c>
      <c r="F45" s="81">
        <f>2.7-E45-D45-C45</f>
        <v>0.86499999999999999</v>
      </c>
      <c r="G45" s="16">
        <v>0.59499999999999997</v>
      </c>
      <c r="H45" s="16">
        <v>0.58299999999999996</v>
      </c>
      <c r="I45" s="81">
        <v>0.64600000000000002</v>
      </c>
      <c r="J45" s="81">
        <f>2.3-I45-H45-G45</f>
        <v>0.47599999999999998</v>
      </c>
      <c r="K45" s="81">
        <v>0.65700000000000003</v>
      </c>
      <c r="L45" s="81">
        <v>0.66200000000000003</v>
      </c>
      <c r="M45" s="81">
        <v>0.61499999999999999</v>
      </c>
      <c r="N45" s="11">
        <f>Operations!J46-M45-L45-K45</f>
        <v>0.72599999999999998</v>
      </c>
      <c r="O45" s="81">
        <v>0.53600000000000003</v>
      </c>
      <c r="P45" s="81">
        <f>1.131-O45</f>
        <v>0.59499999999999997</v>
      </c>
      <c r="Q45" s="81">
        <v>0.61099999999999999</v>
      </c>
      <c r="R45" s="11">
        <f>Operations!K46-Q45-P45-O45</f>
        <v>0.64000000000000012</v>
      </c>
      <c r="S45" s="81">
        <v>0.59499999999999997</v>
      </c>
      <c r="U45" s="114"/>
    </row>
    <row r="46" spans="2:21" ht="17.100000000000001" customHeight="1">
      <c r="B46" s="10" t="s">
        <v>97</v>
      </c>
      <c r="C46" s="16">
        <v>0.45400000000000001</v>
      </c>
      <c r="D46" s="16">
        <v>0.48</v>
      </c>
      <c r="E46" s="16">
        <v>0.49399999999999999</v>
      </c>
      <c r="F46" s="16">
        <f>1.936-E46-D46-C46</f>
        <v>0.50800000000000001</v>
      </c>
      <c r="G46" s="16">
        <v>0.499</v>
      </c>
      <c r="H46" s="16">
        <v>0.53100000000000003</v>
      </c>
      <c r="I46" s="16">
        <v>0.56100000000000005</v>
      </c>
      <c r="J46" s="16">
        <f>2.134-I46-H46-G46</f>
        <v>0.54299999999999982</v>
      </c>
      <c r="K46" s="16">
        <v>0.53600000000000003</v>
      </c>
      <c r="L46" s="16">
        <v>0.57999999999999996</v>
      </c>
      <c r="M46" s="16">
        <v>0.54900000000000004</v>
      </c>
      <c r="N46" s="11">
        <f>Operations!J47-M46-L46-K46</f>
        <v>0.54199999999999982</v>
      </c>
      <c r="O46" s="16">
        <v>0.52600000000000002</v>
      </c>
      <c r="P46" s="16">
        <f>1.054-O46</f>
        <v>0.52800000000000002</v>
      </c>
      <c r="Q46" s="16">
        <v>0.63600000000000001</v>
      </c>
      <c r="R46" s="11">
        <f>Operations!K47-Q46-P46-O46</f>
        <v>0.64399999999999991</v>
      </c>
      <c r="S46" s="16">
        <v>0.65800000000000003</v>
      </c>
      <c r="U46" s="114"/>
    </row>
    <row r="47" spans="2:21" ht="17.100000000000001" customHeight="1">
      <c r="B47" s="10" t="s">
        <v>98</v>
      </c>
      <c r="C47" s="16">
        <v>-0.17400000000000304</v>
      </c>
      <c r="D47" s="16">
        <v>0.54699999999999882</v>
      </c>
      <c r="E47" s="16">
        <v>0.52499999999999858</v>
      </c>
      <c r="F47" s="16">
        <f>2.17-E47-D47-C47</f>
        <v>1.2720000000000056</v>
      </c>
      <c r="G47" s="16">
        <v>0.47700000000000031</v>
      </c>
      <c r="H47" s="16">
        <v>1.1039999999999992</v>
      </c>
      <c r="I47" s="16">
        <v>0.4279999999999955</v>
      </c>
      <c r="J47" s="16">
        <f>3.148-I47-H47-G47</f>
        <v>1.1390000000000051</v>
      </c>
      <c r="K47" s="16">
        <v>0.47499999999999787</v>
      </c>
      <c r="L47" s="16">
        <v>0.505</v>
      </c>
      <c r="M47" s="16">
        <v>1.385</v>
      </c>
      <c r="N47" s="11">
        <f>Operations!J48-M47-L47-K47</f>
        <v>3.0830000000000028</v>
      </c>
      <c r="O47" s="16">
        <f>0.275</f>
        <v>0.27500000000000002</v>
      </c>
      <c r="P47" s="16">
        <f>0.49-O47</f>
        <v>0.21499999999999997</v>
      </c>
      <c r="Q47" s="16">
        <v>0.21</v>
      </c>
      <c r="R47" s="11">
        <f>Operations!K48-Q47-P47-O47</f>
        <v>0.38900000000000001</v>
      </c>
      <c r="S47" s="16">
        <v>0.24399999999999999</v>
      </c>
      <c r="U47" s="114"/>
    </row>
    <row r="48" spans="2:21" ht="17.100000000000001" customHeight="1">
      <c r="B48" s="12" t="s">
        <v>99</v>
      </c>
      <c r="C48" s="8">
        <v>1.742</v>
      </c>
      <c r="D48" s="8">
        <v>1.754</v>
      </c>
      <c r="E48" s="8">
        <v>2.1110000000000002</v>
      </c>
      <c r="F48" s="8">
        <f>6.395-E48-D48-C48</f>
        <v>0.78799999999999892</v>
      </c>
      <c r="G48" s="8">
        <v>2.294</v>
      </c>
      <c r="H48" s="8">
        <v>2.5129999999999999</v>
      </c>
      <c r="I48" s="8">
        <v>3.1080000000000001</v>
      </c>
      <c r="J48" s="8">
        <f>9.82-I48-H48-G48</f>
        <v>1.9049999999999998</v>
      </c>
      <c r="K48" s="8">
        <v>2.9119999999999999</v>
      </c>
      <c r="L48" s="8">
        <v>2.98</v>
      </c>
      <c r="M48" s="8">
        <v>2.9740000000000002</v>
      </c>
      <c r="N48" s="9">
        <f>Operations!J49-M48-L48-K48</f>
        <v>2.3540000000000001</v>
      </c>
      <c r="O48" s="8">
        <v>2.589</v>
      </c>
      <c r="P48" s="8">
        <f>5.596-O48</f>
        <v>3.0070000000000001</v>
      </c>
      <c r="Q48" s="8">
        <v>3.4830000000000001</v>
      </c>
      <c r="R48" s="9">
        <f>Operations!K49-Q48-P48-O48</f>
        <v>1.282</v>
      </c>
      <c r="S48" s="8">
        <v>3.0539999999999998</v>
      </c>
      <c r="U48" s="114"/>
    </row>
    <row r="49" spans="2:20" ht="17.100000000000001" customHeight="1"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8"/>
      <c r="R49" s="9"/>
      <c r="S49" s="8"/>
    </row>
    <row r="50" spans="2:20" ht="17.100000000000001" customHeight="1">
      <c r="B50" s="27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</row>
    <row r="51" spans="2:20" ht="17.100000000000001" customHeight="1">
      <c r="B51" s="12" t="s">
        <v>100</v>
      </c>
      <c r="C51" s="9">
        <f t="shared" ref="C51:M51" si="68">+C36-C38-C48</f>
        <v>23.380000000000003</v>
      </c>
      <c r="D51" s="9">
        <f t="shared" si="68"/>
        <v>27.144000000000002</v>
      </c>
      <c r="E51" s="9">
        <f t="shared" si="68"/>
        <v>31.143000000000004</v>
      </c>
      <c r="F51" s="9">
        <f t="shared" si="68"/>
        <v>28.444000000000003</v>
      </c>
      <c r="G51" s="9">
        <f t="shared" si="68"/>
        <v>31.755999999999997</v>
      </c>
      <c r="H51" s="9">
        <f t="shared" si="68"/>
        <v>34.632000000000005</v>
      </c>
      <c r="I51" s="9">
        <f t="shared" si="68"/>
        <v>39.681000000000004</v>
      </c>
      <c r="J51" s="9">
        <f t="shared" si="68"/>
        <v>33.811999999999976</v>
      </c>
      <c r="K51" s="9">
        <f t="shared" si="68"/>
        <v>36.938000000000002</v>
      </c>
      <c r="L51" s="9">
        <f t="shared" si="68"/>
        <v>37.044000000000004</v>
      </c>
      <c r="M51" s="9">
        <f t="shared" si="68"/>
        <v>39.47699999999999</v>
      </c>
      <c r="N51" s="9">
        <f>Operations!J52-M51-L51-K51</f>
        <v>33.506000000000014</v>
      </c>
      <c r="O51" s="9">
        <f t="shared" ref="O51:P51" si="69">+O36-O38-O48</f>
        <v>37.272999999999996</v>
      </c>
      <c r="P51" s="9">
        <f t="shared" si="69"/>
        <v>38.933000000000014</v>
      </c>
      <c r="Q51" s="9">
        <f>+Q36-Q38-Q48</f>
        <v>44.319000000000003</v>
      </c>
      <c r="R51" s="9">
        <f>Operations!K52-Q51-P51-O51</f>
        <v>42.181999999999988</v>
      </c>
      <c r="S51" s="9">
        <f t="shared" ref="S51" si="70">+S36-S38-S48</f>
        <v>41.285999999999994</v>
      </c>
    </row>
    <row r="52" spans="2:20" ht="17.100000000000001" customHeight="1">
      <c r="B52" s="10" t="s">
        <v>101</v>
      </c>
      <c r="C52" s="103">
        <f t="shared" ref="C52:N52" si="71">+C51/C14</f>
        <v>0.72024891408151326</v>
      </c>
      <c r="D52" s="103">
        <f t="shared" si="71"/>
        <v>0.72384000000000004</v>
      </c>
      <c r="E52" s="103">
        <f t="shared" si="71"/>
        <v>0.73977386099102105</v>
      </c>
      <c r="F52" s="103">
        <f t="shared" si="71"/>
        <v>0.70508911529213447</v>
      </c>
      <c r="G52" s="103">
        <f t="shared" si="71"/>
        <v>0.7289003144581907</v>
      </c>
      <c r="H52" s="103">
        <f t="shared" si="71"/>
        <v>0.72872653817018773</v>
      </c>
      <c r="I52" s="103">
        <f t="shared" si="71"/>
        <v>0.74542107339432317</v>
      </c>
      <c r="J52" s="103">
        <f t="shared" si="71"/>
        <v>0.71369469773725069</v>
      </c>
      <c r="K52" s="103">
        <f t="shared" si="71"/>
        <v>0.73781559603707259</v>
      </c>
      <c r="L52" s="103">
        <f t="shared" si="71"/>
        <v>0.72949980307207574</v>
      </c>
      <c r="M52" s="103">
        <f t="shared" si="71"/>
        <v>0.73603057704856889</v>
      </c>
      <c r="N52" s="103">
        <f t="shared" si="71"/>
        <v>0.6807257065073854</v>
      </c>
      <c r="O52" s="103">
        <f t="shared" ref="O52:R52" si="72">+O51/O14</f>
        <v>0.75056383407168747</v>
      </c>
      <c r="P52" s="103">
        <f t="shared" si="72"/>
        <v>0.75247390800154634</v>
      </c>
      <c r="Q52" s="103">
        <f t="shared" si="72"/>
        <v>0.75770631379186548</v>
      </c>
      <c r="R52" s="103">
        <f t="shared" si="72"/>
        <v>0.77567532777992287</v>
      </c>
      <c r="S52" s="103">
        <f t="shared" ref="S52" si="73">+S51/S14</f>
        <v>0.75243302351011476</v>
      </c>
    </row>
    <row r="53" spans="2:20" ht="17.100000000000001" customHeight="1">
      <c r="B53" s="27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</row>
    <row r="54" spans="2:20" ht="17.45" customHeight="1">
      <c r="B54" s="10" t="s">
        <v>102</v>
      </c>
      <c r="C54" s="31"/>
      <c r="D54" s="81"/>
      <c r="E54" s="81"/>
      <c r="F54" s="81"/>
      <c r="G54" s="81"/>
      <c r="H54" s="81"/>
      <c r="I54" s="40"/>
      <c r="J54" s="40"/>
      <c r="K54" s="40"/>
      <c r="L54" s="40"/>
      <c r="M54" s="40"/>
      <c r="N54" s="40"/>
      <c r="O54" s="16">
        <f>0.721+9.899</f>
        <v>10.62</v>
      </c>
      <c r="P54" s="16">
        <f>19.921+1.538-O54</f>
        <v>10.839</v>
      </c>
      <c r="Q54" s="16">
        <f>12.381+0.939</f>
        <v>13.32</v>
      </c>
      <c r="R54" s="40">
        <f>Operations!K55</f>
        <v>45.019000000000005</v>
      </c>
      <c r="S54" s="16">
        <f>1.2+10.499</f>
        <v>11.699</v>
      </c>
    </row>
    <row r="55" spans="2:20" ht="17.100000000000001" customHeight="1">
      <c r="B55" s="10" t="s">
        <v>103</v>
      </c>
      <c r="C55" s="31"/>
      <c r="D55" s="16"/>
      <c r="E55" s="16"/>
      <c r="F55" s="16"/>
      <c r="G55" s="81"/>
      <c r="H55" s="81"/>
      <c r="I55" s="40"/>
      <c r="J55" s="40"/>
      <c r="K55" s="40"/>
      <c r="L55" s="40"/>
      <c r="M55" s="40"/>
      <c r="N55" s="40"/>
      <c r="O55" s="16">
        <f>684+17.5</f>
        <v>701.5</v>
      </c>
      <c r="P55" s="16">
        <f>683+23.355</f>
        <v>706.35500000000002</v>
      </c>
      <c r="Q55" s="16">
        <f>683.971+19.927</f>
        <v>703.89800000000002</v>
      </c>
      <c r="R55" s="40">
        <f>Operations!K56</f>
        <v>706.36400000000003</v>
      </c>
      <c r="S55" s="16">
        <f>675.777+23.653</f>
        <v>699.43000000000006</v>
      </c>
    </row>
    <row r="56" spans="2:20" ht="17.100000000000001" customHeight="1">
      <c r="B56" s="10" t="s">
        <v>75</v>
      </c>
      <c r="C56" s="31"/>
      <c r="D56" s="55"/>
      <c r="E56" s="55"/>
      <c r="F56" s="55"/>
      <c r="G56" s="55"/>
      <c r="H56" s="55"/>
      <c r="I56" s="80"/>
      <c r="J56" s="80"/>
      <c r="K56" s="80"/>
      <c r="L56" s="55"/>
      <c r="M56" s="55"/>
      <c r="N56" s="80"/>
      <c r="O56" s="55">
        <f>+O54/O55</f>
        <v>1.5138987883107625E-2</v>
      </c>
      <c r="P56" s="55">
        <f>+P54/P55</f>
        <v>1.534497526031528E-2</v>
      </c>
      <c r="Q56" s="117">
        <f>+Q54/Q55</f>
        <v>1.8923196258548824E-2</v>
      </c>
      <c r="R56" s="117">
        <f>+R54/R55</f>
        <v>6.373342922345987E-2</v>
      </c>
      <c r="S56" s="55">
        <f>+S54/S55</f>
        <v>1.6726477274351972E-2</v>
      </c>
    </row>
    <row r="57" spans="2:20" ht="17.100000000000001" customHeight="1">
      <c r="B57" s="12" t="s">
        <v>104</v>
      </c>
      <c r="C57" s="31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>
        <f>+O51-O54</f>
        <v>26.652999999999999</v>
      </c>
      <c r="P57" s="9">
        <f>+P51-P54</f>
        <v>28.094000000000015</v>
      </c>
      <c r="Q57" s="9">
        <f>+Q51-Q54</f>
        <v>30.999000000000002</v>
      </c>
      <c r="R57" s="9">
        <f>+R51-R54</f>
        <v>-2.8370000000000175</v>
      </c>
      <c r="S57" s="9">
        <f>+S51-S54</f>
        <v>29.586999999999996</v>
      </c>
    </row>
    <row r="58" spans="2:20" ht="17.100000000000001" customHeight="1">
      <c r="B58" s="27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</row>
    <row r="59" spans="2:20" s="7" customFormat="1" ht="17.100000000000001" customHeight="1">
      <c r="B59" s="4" t="s">
        <v>105</v>
      </c>
      <c r="C59" s="5" t="str">
        <f t="shared" ref="C59:S59" si="74">+C$3</f>
        <v>1Q22</v>
      </c>
      <c r="D59" s="5" t="str">
        <f t="shared" si="74"/>
        <v>2Q22</v>
      </c>
      <c r="E59" s="5" t="str">
        <f t="shared" si="74"/>
        <v>3Q22</v>
      </c>
      <c r="F59" s="5" t="str">
        <f t="shared" si="74"/>
        <v>4Q22</v>
      </c>
      <c r="G59" s="5" t="str">
        <f t="shared" si="74"/>
        <v>1Q23</v>
      </c>
      <c r="H59" s="5" t="str">
        <f t="shared" si="74"/>
        <v>2Q23</v>
      </c>
      <c r="I59" s="5" t="str">
        <f t="shared" si="74"/>
        <v>3Q23</v>
      </c>
      <c r="J59" s="5" t="str">
        <f t="shared" si="74"/>
        <v>4Q23</v>
      </c>
      <c r="K59" s="5" t="str">
        <f t="shared" si="74"/>
        <v>1Q24</v>
      </c>
      <c r="L59" s="5" t="str">
        <f t="shared" si="74"/>
        <v>2Q24</v>
      </c>
      <c r="M59" s="5" t="str">
        <f t="shared" si="74"/>
        <v>3Q24</v>
      </c>
      <c r="N59" s="5" t="str">
        <f t="shared" si="74"/>
        <v>4Q24</v>
      </c>
      <c r="O59" s="5" t="str">
        <f t="shared" si="74"/>
        <v>1Q25</v>
      </c>
      <c r="P59" s="5" t="str">
        <f t="shared" si="74"/>
        <v>2Q25</v>
      </c>
      <c r="Q59" s="5" t="str">
        <f t="shared" si="74"/>
        <v>3Q25</v>
      </c>
      <c r="R59" s="5" t="str">
        <f t="shared" si="74"/>
        <v>4Q25</v>
      </c>
      <c r="S59" s="5" t="str">
        <f t="shared" si="74"/>
        <v>1Q26</v>
      </c>
    </row>
    <row r="60" spans="2:20" ht="17.100000000000001" customHeight="1">
      <c r="B60" s="27"/>
    </row>
    <row r="61" spans="2:20" ht="17.100000000000001" customHeight="1">
      <c r="B61" s="41" t="s">
        <v>106</v>
      </c>
      <c r="C61" s="81">
        <v>44.466999999999999</v>
      </c>
      <c r="D61" s="81">
        <v>55.53</v>
      </c>
      <c r="E61" s="81">
        <v>37.4</v>
      </c>
      <c r="F61" s="81">
        <f>45.7+0.5</f>
        <v>46.2</v>
      </c>
      <c r="G61" s="81">
        <v>62.491</v>
      </c>
      <c r="H61" s="81">
        <v>64.516999999999996</v>
      </c>
      <c r="I61" s="81">
        <v>91.856999999999999</v>
      </c>
      <c r="J61" s="81">
        <v>53.552</v>
      </c>
      <c r="K61" s="81">
        <v>72.378</v>
      </c>
      <c r="L61" s="81">
        <f>55.569+15.44</f>
        <v>71.009</v>
      </c>
      <c r="M61" s="81">
        <f>85.727+3.161</f>
        <v>88.888000000000005</v>
      </c>
      <c r="N61" s="106">
        <f>+Financials!H22</f>
        <v>42.268000000000001</v>
      </c>
      <c r="O61" s="81">
        <v>53.4</v>
      </c>
      <c r="P61" s="81">
        <v>51.362000000000002</v>
      </c>
      <c r="Q61" s="81">
        <f>37.276+7.233</f>
        <v>44.509</v>
      </c>
      <c r="R61" s="106">
        <f>+Financials!I22</f>
        <v>79.489999999999995</v>
      </c>
      <c r="S61" s="81">
        <v>115.69499999999999</v>
      </c>
    </row>
    <row r="62" spans="2:20" ht="17.100000000000001" customHeight="1">
      <c r="B62" s="27" t="s">
        <v>107</v>
      </c>
      <c r="C62" s="81">
        <v>19.577000000000002</v>
      </c>
      <c r="D62" s="81">
        <v>33.779000000000003</v>
      </c>
      <c r="E62" s="81">
        <v>21.4</v>
      </c>
      <c r="F62" s="81">
        <v>34.799999999999997</v>
      </c>
      <c r="G62" s="81">
        <v>24.241</v>
      </c>
      <c r="H62" s="81">
        <v>36.405000000000001</v>
      </c>
      <c r="I62" s="81">
        <v>17.463000000000001</v>
      </c>
      <c r="J62" s="81">
        <v>31.055</v>
      </c>
      <c r="K62" s="81">
        <v>22.175999999999998</v>
      </c>
      <c r="L62" s="81">
        <v>47.96</v>
      </c>
      <c r="M62" s="81">
        <v>37.479999999999997</v>
      </c>
      <c r="N62" s="106">
        <f>+Financials!H23</f>
        <v>47.37</v>
      </c>
      <c r="O62" s="81">
        <v>28.396000000000001</v>
      </c>
      <c r="P62" s="81">
        <v>42.707999999999998</v>
      </c>
      <c r="Q62" s="81">
        <v>24.192</v>
      </c>
      <c r="R62" s="106">
        <f>+Financials!I23</f>
        <v>14.705</v>
      </c>
      <c r="S62" s="81">
        <v>14.721</v>
      </c>
    </row>
    <row r="63" spans="2:20" ht="17.100000000000001" customHeight="1">
      <c r="B63" s="27" t="s">
        <v>108</v>
      </c>
      <c r="C63" s="81">
        <v>8.7219999999999995</v>
      </c>
      <c r="D63" s="81">
        <v>10.4</v>
      </c>
      <c r="E63" s="81">
        <v>9</v>
      </c>
      <c r="F63" s="81">
        <v>11.346</v>
      </c>
      <c r="G63" s="81">
        <v>10.375999999999999</v>
      </c>
      <c r="H63" s="81">
        <v>16.658999999999999</v>
      </c>
      <c r="I63" s="81">
        <v>12.693</v>
      </c>
      <c r="J63" s="81">
        <v>17.628</v>
      </c>
      <c r="K63" s="81">
        <v>12.679</v>
      </c>
      <c r="L63" s="81">
        <f>10.891+0.000378</f>
        <v>10.891378</v>
      </c>
      <c r="M63" s="81">
        <v>60.896999999999998</v>
      </c>
      <c r="N63" s="106">
        <f>+Financials!H29</f>
        <v>21.6</v>
      </c>
      <c r="O63" s="81">
        <v>16.478000000000002</v>
      </c>
      <c r="P63" s="81">
        <v>30.483000000000001</v>
      </c>
      <c r="Q63" s="81">
        <v>18.283999999999999</v>
      </c>
      <c r="R63" s="106">
        <f>+Financials!I29</f>
        <v>15.263</v>
      </c>
      <c r="S63" s="81">
        <v>14.474</v>
      </c>
      <c r="T63"/>
    </row>
    <row r="64" spans="2:20" ht="17.100000000000001" customHeight="1">
      <c r="B64" s="41" t="s">
        <v>109</v>
      </c>
      <c r="C64" s="81">
        <v>381.26</v>
      </c>
      <c r="D64" s="81">
        <f>383.5+10.5</f>
        <v>394</v>
      </c>
      <c r="E64" s="81">
        <f>7.1+370.6</f>
        <v>377.70000000000005</v>
      </c>
      <c r="F64" s="81">
        <f>380.1+9.4</f>
        <v>389.5</v>
      </c>
      <c r="G64" s="81">
        <v>375.834</v>
      </c>
      <c r="H64" s="81">
        <v>387.80200000000002</v>
      </c>
      <c r="I64" s="81">
        <v>372.38900000000001</v>
      </c>
      <c r="J64" s="81">
        <v>394.05799999999999</v>
      </c>
      <c r="K64" s="81">
        <v>382.38099999999997</v>
      </c>
      <c r="L64" s="81">
        <f>376.629+17.734</f>
        <v>394.363</v>
      </c>
      <c r="M64" s="81">
        <f>20.973+352.159</f>
        <v>373.13200000000001</v>
      </c>
      <c r="N64" s="106">
        <f>+Financials!H28</f>
        <v>384.79300000000001</v>
      </c>
      <c r="O64" s="81">
        <f>21.85+344.878</f>
        <v>366.72800000000001</v>
      </c>
      <c r="P64" s="81">
        <f>22.965+355.045</f>
        <v>378.01</v>
      </c>
      <c r="Q64" s="81">
        <f>331.942+21.984</f>
        <v>353.92599999999999</v>
      </c>
      <c r="R64" s="106">
        <f>+Financials!I28</f>
        <v>484.23699999999997</v>
      </c>
      <c r="S64" s="81">
        <f>3.137+492.356</f>
        <v>495.49299999999999</v>
      </c>
    </row>
    <row r="65" spans="2:19" ht="17.100000000000001" customHeight="1">
      <c r="B65" s="29" t="s">
        <v>110</v>
      </c>
      <c r="C65" s="81">
        <v>372.69200000000001</v>
      </c>
      <c r="D65" s="81">
        <v>382.90300000000002</v>
      </c>
      <c r="E65" s="81">
        <v>369.8</v>
      </c>
      <c r="F65" s="81">
        <v>388.27</v>
      </c>
      <c r="G65" s="81">
        <v>374.60300000000001</v>
      </c>
      <c r="H65" s="81">
        <v>387.8</v>
      </c>
      <c r="I65" s="81">
        <v>372.4</v>
      </c>
      <c r="J65" s="81">
        <v>383.5</v>
      </c>
      <c r="K65" s="81">
        <v>368.31099999999998</v>
      </c>
      <c r="L65" s="81">
        <v>380.18099999999998</v>
      </c>
      <c r="M65" s="81">
        <v>359.12</v>
      </c>
      <c r="N65" s="106">
        <f>+Financials!H41</f>
        <v>370.82299999999998</v>
      </c>
      <c r="O65" s="81">
        <v>352.77600000000001</v>
      </c>
      <c r="P65" s="81">
        <v>364.14499999999998</v>
      </c>
      <c r="Q65" s="81">
        <v>331.94200000000001</v>
      </c>
      <c r="R65" s="106">
        <v>482.61599999999999</v>
      </c>
      <c r="S65" s="81">
        <v>0</v>
      </c>
    </row>
    <row r="66" spans="2:19" ht="17.100000000000001" customHeight="1">
      <c r="B66" s="29" t="s">
        <v>111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106"/>
      <c r="O66" s="81"/>
      <c r="P66" s="81"/>
      <c r="Q66" s="81"/>
      <c r="R66" s="106">
        <v>0</v>
      </c>
      <c r="S66" s="81">
        <v>492.35599999999999</v>
      </c>
    </row>
    <row r="67" spans="2:19" ht="17.100000000000001" customHeight="1">
      <c r="B67" s="29" t="s">
        <v>112</v>
      </c>
      <c r="C67" s="106">
        <f t="shared" ref="C67:Q67" si="75">+C64-C65</f>
        <v>8.5679999999999836</v>
      </c>
      <c r="D67" s="106">
        <f t="shared" si="75"/>
        <v>11.09699999999998</v>
      </c>
      <c r="E67" s="106">
        <f t="shared" si="75"/>
        <v>7.9000000000000341</v>
      </c>
      <c r="F67" s="106">
        <f t="shared" si="75"/>
        <v>1.2300000000000182</v>
      </c>
      <c r="G67" s="106">
        <f t="shared" si="75"/>
        <v>1.2309999999999945</v>
      </c>
      <c r="H67" s="106">
        <f t="shared" si="75"/>
        <v>2.0000000000095497E-3</v>
      </c>
      <c r="I67" s="106">
        <f t="shared" si="75"/>
        <v>-1.0999999999967258E-2</v>
      </c>
      <c r="J67" s="106">
        <f t="shared" si="75"/>
        <v>10.557999999999993</v>
      </c>
      <c r="K67" s="106">
        <f t="shared" si="75"/>
        <v>14.069999999999993</v>
      </c>
      <c r="L67" s="106">
        <f t="shared" si="75"/>
        <v>14.182000000000016</v>
      </c>
      <c r="M67" s="106">
        <f t="shared" si="75"/>
        <v>14.012</v>
      </c>
      <c r="N67" s="106">
        <f t="shared" si="75"/>
        <v>13.970000000000027</v>
      </c>
      <c r="O67" s="106">
        <f t="shared" si="75"/>
        <v>13.951999999999998</v>
      </c>
      <c r="P67" s="106">
        <f t="shared" si="75"/>
        <v>13.865000000000009</v>
      </c>
      <c r="Q67" s="106">
        <f t="shared" si="75"/>
        <v>21.98399999999998</v>
      </c>
      <c r="R67" s="106">
        <f>+R64-R65-R66</f>
        <v>1.6209999999999809</v>
      </c>
      <c r="S67" s="106">
        <f>+S64-S65-S66</f>
        <v>3.1370000000000005</v>
      </c>
    </row>
    <row r="68" spans="2:19" ht="17.100000000000001" customHeight="1">
      <c r="B68" s="27"/>
      <c r="J68" s="32"/>
      <c r="K68" s="32"/>
      <c r="L68" s="32"/>
      <c r="M68" s="32"/>
      <c r="N68" s="32"/>
      <c r="O68" s="32"/>
      <c r="P68" s="32"/>
      <c r="Q68" s="32"/>
      <c r="R68" s="32"/>
      <c r="S68" s="32"/>
    </row>
    <row r="69" spans="2:19" ht="17.100000000000001" customHeight="1">
      <c r="B69" s="41" t="s">
        <v>113</v>
      </c>
      <c r="C69" s="9">
        <f t="shared" ref="C69:S69" si="76">+C64-C61</f>
        <v>336.79300000000001</v>
      </c>
      <c r="D69" s="9">
        <f t="shared" si="76"/>
        <v>338.47</v>
      </c>
      <c r="E69" s="9">
        <f t="shared" si="76"/>
        <v>340.30000000000007</v>
      </c>
      <c r="F69" s="9">
        <f t="shared" si="76"/>
        <v>343.3</v>
      </c>
      <c r="G69" s="9">
        <f t="shared" si="76"/>
        <v>313.34300000000002</v>
      </c>
      <c r="H69" s="9">
        <f t="shared" si="76"/>
        <v>323.28500000000003</v>
      </c>
      <c r="I69" s="9">
        <f t="shared" si="76"/>
        <v>280.53200000000004</v>
      </c>
      <c r="J69" s="9">
        <f t="shared" si="76"/>
        <v>340.50599999999997</v>
      </c>
      <c r="K69" s="9">
        <f t="shared" si="76"/>
        <v>310.00299999999999</v>
      </c>
      <c r="L69" s="9">
        <f t="shared" si="76"/>
        <v>323.35399999999998</v>
      </c>
      <c r="M69" s="9">
        <f t="shared" si="76"/>
        <v>284.24400000000003</v>
      </c>
      <c r="N69" s="9">
        <f t="shared" si="76"/>
        <v>342.52499999999998</v>
      </c>
      <c r="O69" s="9">
        <f t="shared" si="76"/>
        <v>313.32800000000003</v>
      </c>
      <c r="P69" s="9">
        <f t="shared" si="76"/>
        <v>326.64799999999997</v>
      </c>
      <c r="Q69" s="9">
        <f t="shared" si="76"/>
        <v>309.41699999999997</v>
      </c>
      <c r="R69" s="9">
        <f t="shared" si="76"/>
        <v>404.74699999999996</v>
      </c>
      <c r="S69" s="9">
        <f t="shared" si="76"/>
        <v>379.798</v>
      </c>
    </row>
    <row r="70" spans="2:19" ht="17.100000000000001" customHeight="1">
      <c r="B70" s="27" t="s">
        <v>114</v>
      </c>
      <c r="F70" s="105">
        <f t="shared" ref="F70:S70" si="77">+F69/SUM(C51:F51)</f>
        <v>3.1177629846246062</v>
      </c>
      <c r="G70" s="105">
        <f t="shared" si="77"/>
        <v>2.6445348434849394</v>
      </c>
      <c r="H70" s="105">
        <f t="shared" si="77"/>
        <v>2.5662631474498907</v>
      </c>
      <c r="I70" s="105">
        <f t="shared" si="77"/>
        <v>2.0855382007686991</v>
      </c>
      <c r="J70" s="105">
        <f t="shared" si="77"/>
        <v>2.4342548308919723</v>
      </c>
      <c r="K70" s="105">
        <f t="shared" si="77"/>
        <v>2.1370232243921605</v>
      </c>
      <c r="L70" s="105">
        <f t="shared" si="77"/>
        <v>2.1926021359552466</v>
      </c>
      <c r="M70" s="105">
        <f t="shared" si="77"/>
        <v>1.9300744885279526</v>
      </c>
      <c r="N70" s="105">
        <f t="shared" si="77"/>
        <v>2.3306569591399309</v>
      </c>
      <c r="O70" s="105">
        <f t="shared" si="77"/>
        <v>2.1271418873048202</v>
      </c>
      <c r="P70" s="105">
        <f t="shared" si="77"/>
        <v>2.1894911823257743</v>
      </c>
      <c r="Q70" s="105">
        <f t="shared" si="77"/>
        <v>2.0087969304880184</v>
      </c>
      <c r="R70" s="105">
        <f t="shared" si="77"/>
        <v>2.4875819725027193</v>
      </c>
      <c r="S70" s="105">
        <f t="shared" si="77"/>
        <v>2.2780590211132439</v>
      </c>
    </row>
    <row r="71" spans="2:19" ht="17.100000000000001" customHeight="1">
      <c r="B71" s="27"/>
    </row>
    <row r="72" spans="2:19" ht="17.100000000000001" customHeight="1">
      <c r="B72" s="104" t="s">
        <v>100</v>
      </c>
      <c r="C72" s="11">
        <f t="shared" ref="C72:S72" si="78">+C51</f>
        <v>23.380000000000003</v>
      </c>
      <c r="D72" s="11">
        <f t="shared" si="78"/>
        <v>27.144000000000002</v>
      </c>
      <c r="E72" s="11">
        <f t="shared" si="78"/>
        <v>31.143000000000004</v>
      </c>
      <c r="F72" s="11">
        <f t="shared" si="78"/>
        <v>28.444000000000003</v>
      </c>
      <c r="G72" s="11">
        <f t="shared" si="78"/>
        <v>31.755999999999997</v>
      </c>
      <c r="H72" s="11">
        <f t="shared" si="78"/>
        <v>34.632000000000005</v>
      </c>
      <c r="I72" s="11">
        <f t="shared" si="78"/>
        <v>39.681000000000004</v>
      </c>
      <c r="J72" s="11">
        <f t="shared" si="78"/>
        <v>33.811999999999976</v>
      </c>
      <c r="K72" s="11">
        <f t="shared" si="78"/>
        <v>36.938000000000002</v>
      </c>
      <c r="L72" s="11">
        <f t="shared" si="78"/>
        <v>37.044000000000004</v>
      </c>
      <c r="M72" s="11">
        <f t="shared" si="78"/>
        <v>39.47699999999999</v>
      </c>
      <c r="N72" s="11">
        <f t="shared" si="78"/>
        <v>33.506000000000014</v>
      </c>
      <c r="O72" s="11">
        <f t="shared" si="78"/>
        <v>37.272999999999996</v>
      </c>
      <c r="P72" s="11">
        <f t="shared" si="78"/>
        <v>38.933000000000014</v>
      </c>
      <c r="Q72" s="11">
        <f t="shared" si="78"/>
        <v>44.319000000000003</v>
      </c>
      <c r="R72" s="11">
        <f t="shared" si="78"/>
        <v>42.181999999999988</v>
      </c>
      <c r="S72" s="11">
        <f t="shared" si="78"/>
        <v>41.285999999999994</v>
      </c>
    </row>
    <row r="73" spans="2:19" ht="17.100000000000001" customHeight="1">
      <c r="B73" s="104" t="s">
        <v>115</v>
      </c>
      <c r="C73" s="81">
        <f>0.643+5.376</f>
        <v>6.0190000000000001</v>
      </c>
      <c r="D73" s="81">
        <f>5.576+0.974-C73</f>
        <v>0.53099999999999969</v>
      </c>
      <c r="E73" s="81">
        <f>2.7+1.176-D73-C73</f>
        <v>-2.6739999999999995</v>
      </c>
      <c r="F73" s="81">
        <f>2.6+5.3-E73-D73-C73</f>
        <v>4.0239999999999991</v>
      </c>
      <c r="G73" s="81">
        <f>0.765+0.26</f>
        <v>1.0249999999999999</v>
      </c>
      <c r="H73" s="81">
        <f>7.366+1.978-G73</f>
        <v>8.3189999999999991</v>
      </c>
      <c r="I73" s="81">
        <f>10.518+2.532-H73-G73</f>
        <v>3.7060000000000017</v>
      </c>
      <c r="J73" s="81">
        <f>5.1+29.7-I73-H73-G73</f>
        <v>21.749999999999996</v>
      </c>
      <c r="K73" s="81">
        <f>0.643+0.639</f>
        <v>1.282</v>
      </c>
      <c r="L73" s="81">
        <f>0.806+2.736-K73</f>
        <v>2.2600000000000002</v>
      </c>
      <c r="M73" s="81">
        <f>1.322+7.779-L73-K73</f>
        <v>5.5589999999999993</v>
      </c>
      <c r="N73" s="81">
        <f>Operations!J62-M73-L73-K73</f>
        <v>21.097000000000001</v>
      </c>
      <c r="O73" s="81">
        <f>3.486+6.538</f>
        <v>10.024000000000001</v>
      </c>
      <c r="P73" s="81">
        <f>10.076+14.555</f>
        <v>24.631</v>
      </c>
      <c r="Q73" s="81">
        <f>7.586+27.547-P73-O73</f>
        <v>0.47800000000000153</v>
      </c>
      <c r="R73" s="81">
        <f>Operations!K62-Q73-P73-O73</f>
        <v>22.934999999999995</v>
      </c>
      <c r="S73" s="81">
        <f>0.966+3.8</f>
        <v>4.766</v>
      </c>
    </row>
    <row r="74" spans="2:19" ht="17.100000000000001" customHeight="1">
      <c r="B74" s="104" t="s">
        <v>116</v>
      </c>
      <c r="C74" s="81">
        <v>0.224</v>
      </c>
      <c r="D74" s="81">
        <v>0.214</v>
      </c>
      <c r="E74" s="81">
        <v>0.27800000000000002</v>
      </c>
      <c r="F74" s="81">
        <f>+Financials!F12-SUM(C74:E74)</f>
        <v>0.40500000000001646</v>
      </c>
      <c r="G74" s="81">
        <v>0.27300000000000002</v>
      </c>
      <c r="H74" s="81">
        <v>0.26600000000000001</v>
      </c>
      <c r="I74" s="81">
        <v>0.23799999999999999</v>
      </c>
      <c r="J74" s="81">
        <f>+Financials!G68-SUM(G74:I74)</f>
        <v>-0.79800000000000004</v>
      </c>
      <c r="K74" s="81">
        <v>0.27900000000000003</v>
      </c>
      <c r="L74" s="81">
        <v>0.27600000000000002</v>
      </c>
      <c r="M74" s="81">
        <v>-3.9E-2</v>
      </c>
      <c r="N74" s="81">
        <f>+Financials!H68-SUM(K74:M74)</f>
        <v>-0.21700000000000003</v>
      </c>
      <c r="O74" s="81">
        <v>0.35099999999999998</v>
      </c>
      <c r="P74" s="81">
        <f>0.234-O74</f>
        <v>-0.11699999999999997</v>
      </c>
      <c r="Q74" s="81">
        <v>0.28299999999999997</v>
      </c>
      <c r="R74" s="81">
        <f>+Financials!I68-SUM(O74:Q74)</f>
        <v>-0.55600000000000005</v>
      </c>
      <c r="S74" s="81">
        <v>1.1060000000000001</v>
      </c>
    </row>
    <row r="75" spans="2:19" ht="17.100000000000001" customHeight="1">
      <c r="B75" s="104" t="s">
        <v>117</v>
      </c>
      <c r="C75" s="11"/>
      <c r="D75" s="11">
        <f t="shared" ref="D75:S75" si="79">+C62-D62+D63-C63</f>
        <v>-12.524000000000001</v>
      </c>
      <c r="E75" s="11">
        <f t="shared" si="79"/>
        <v>10.979000000000005</v>
      </c>
      <c r="F75" s="11">
        <f t="shared" si="79"/>
        <v>-11.053999999999998</v>
      </c>
      <c r="G75" s="11">
        <f t="shared" si="79"/>
        <v>9.5889999999999951</v>
      </c>
      <c r="H75" s="11">
        <f t="shared" si="79"/>
        <v>-5.881000000000002</v>
      </c>
      <c r="I75" s="11">
        <f t="shared" si="79"/>
        <v>14.975999999999999</v>
      </c>
      <c r="J75" s="11">
        <f t="shared" si="79"/>
        <v>-8.6569999999999983</v>
      </c>
      <c r="K75" s="11">
        <f t="shared" si="79"/>
        <v>3.9299999999999997</v>
      </c>
      <c r="L75" s="11">
        <f t="shared" si="79"/>
        <v>-27.571622000000005</v>
      </c>
      <c r="M75" s="11">
        <f t="shared" si="79"/>
        <v>60.485622000000006</v>
      </c>
      <c r="N75" s="11">
        <f t="shared" si="79"/>
        <v>-49.186999999999998</v>
      </c>
      <c r="O75" s="11">
        <f t="shared" si="79"/>
        <v>13.851999999999997</v>
      </c>
      <c r="P75" s="11">
        <f t="shared" si="79"/>
        <v>-0.30699999999999861</v>
      </c>
      <c r="Q75" s="11">
        <f t="shared" si="79"/>
        <v>6.3169999999999966</v>
      </c>
      <c r="R75" s="11">
        <f t="shared" si="79"/>
        <v>6.4660000000000011</v>
      </c>
      <c r="S75" s="11">
        <f t="shared" si="79"/>
        <v>-0.80499999999999972</v>
      </c>
    </row>
    <row r="76" spans="2:19" ht="17.100000000000001" customHeight="1">
      <c r="B76" s="54" t="s">
        <v>118</v>
      </c>
      <c r="C76" s="9">
        <f t="shared" ref="C76:J76" si="80">+C72-C73-C74+C75</f>
        <v>17.137000000000004</v>
      </c>
      <c r="D76" s="9">
        <f t="shared" si="80"/>
        <v>13.875000000000004</v>
      </c>
      <c r="E76" s="9">
        <f t="shared" si="80"/>
        <v>44.518000000000015</v>
      </c>
      <c r="F76" s="9">
        <f t="shared" si="80"/>
        <v>12.960999999999988</v>
      </c>
      <c r="G76" s="9">
        <f t="shared" si="80"/>
        <v>40.046999999999997</v>
      </c>
      <c r="H76" s="9">
        <f t="shared" si="80"/>
        <v>20.166000000000004</v>
      </c>
      <c r="I76" s="9">
        <f t="shared" si="80"/>
        <v>50.713000000000001</v>
      </c>
      <c r="J76" s="9">
        <f t="shared" si="80"/>
        <v>4.2029999999999816</v>
      </c>
      <c r="K76" s="9">
        <f>+K72-K73-K74+K75</f>
        <v>39.307000000000002</v>
      </c>
      <c r="L76" s="9">
        <f>+L72-L73-L74+L75</f>
        <v>6.9363779999999977</v>
      </c>
      <c r="M76" s="9">
        <f>+M72-M73-M74+M75</f>
        <v>94.442622</v>
      </c>
      <c r="N76" s="9">
        <f t="shared" ref="N76" si="81">+N72-N73-N74+N75</f>
        <v>-36.560999999999986</v>
      </c>
      <c r="O76" s="9">
        <f>+O72-O73-O74+O75</f>
        <v>40.749999999999993</v>
      </c>
      <c r="P76" s="9">
        <f>+P72-P73-P74+P75</f>
        <v>14.112000000000014</v>
      </c>
      <c r="Q76" s="9">
        <f>+Q72-Q73-Q74+Q75</f>
        <v>49.875</v>
      </c>
      <c r="R76" s="9">
        <f t="shared" ref="R76" si="82">+R72-R73-R74+R75</f>
        <v>26.268999999999995</v>
      </c>
      <c r="S76" s="9">
        <f>+S72-S73-S74+S75</f>
        <v>34.608999999999995</v>
      </c>
    </row>
    <row r="77" spans="2:19" ht="17.100000000000001" customHeight="1">
      <c r="B77" s="104" t="s">
        <v>119</v>
      </c>
      <c r="C77" s="11">
        <v>12.112</v>
      </c>
      <c r="D77" s="11">
        <v>11.804</v>
      </c>
      <c r="E77" s="11">
        <v>11.010999999999999</v>
      </c>
      <c r="F77" s="11">
        <v>11.572999999999999</v>
      </c>
      <c r="G77" s="11">
        <v>11.814</v>
      </c>
      <c r="H77" s="11">
        <v>11.366</v>
      </c>
      <c r="I77" s="11">
        <v>11.283999999999999</v>
      </c>
      <c r="J77" s="11">
        <v>11.036000000000001</v>
      </c>
      <c r="K77" s="11">
        <v>12.739856</v>
      </c>
      <c r="L77" s="11">
        <f>12.4-1.25</f>
        <v>11.15</v>
      </c>
      <c r="M77" s="11">
        <f>12.4-1.25</f>
        <v>11.15</v>
      </c>
      <c r="N77" s="81">
        <f>+Financials!H71-SUM(K77:M77)</f>
        <v>12.487144000000001</v>
      </c>
      <c r="O77" s="81">
        <f>22.527+0.7+0.21</f>
        <v>23.437000000000001</v>
      </c>
      <c r="P77" s="81">
        <f>22.527+0.242+0.9832+0.151-1.112</f>
        <v>22.791200000000003</v>
      </c>
      <c r="Q77" s="11">
        <f>44.618+1.234+0.045-P77-O77</f>
        <v>-0.33119999999999905</v>
      </c>
      <c r="R77" s="81">
        <f>+Financials!I71-SUM(O77:Q77)</f>
        <v>7.1849999999999952</v>
      </c>
      <c r="S77" s="81">
        <f>0.222</f>
        <v>0.222</v>
      </c>
    </row>
    <row r="78" spans="2:19" ht="17.100000000000001" customHeight="1">
      <c r="B78" s="54" t="s">
        <v>120</v>
      </c>
      <c r="C78" s="9">
        <f t="shared" ref="C78:K78" si="83">+C76-C77</f>
        <v>5.0250000000000039</v>
      </c>
      <c r="D78" s="9">
        <f t="shared" si="83"/>
        <v>2.0710000000000033</v>
      </c>
      <c r="E78" s="9">
        <f t="shared" si="83"/>
        <v>33.507000000000019</v>
      </c>
      <c r="F78" s="9">
        <f t="shared" si="83"/>
        <v>1.3879999999999892</v>
      </c>
      <c r="G78" s="9">
        <f t="shared" si="83"/>
        <v>28.232999999999997</v>
      </c>
      <c r="H78" s="9">
        <f t="shared" si="83"/>
        <v>8.8000000000000043</v>
      </c>
      <c r="I78" s="9">
        <f t="shared" si="83"/>
        <v>39.429000000000002</v>
      </c>
      <c r="J78" s="9">
        <f t="shared" si="83"/>
        <v>-6.8330000000000197</v>
      </c>
      <c r="K78" s="9">
        <f t="shared" si="83"/>
        <v>26.567144000000003</v>
      </c>
      <c r="L78" s="9">
        <f t="shared" ref="L78:O78" si="84">+L76-L77</f>
        <v>-4.2136220000000026</v>
      </c>
      <c r="M78" s="9">
        <f t="shared" si="84"/>
        <v>83.292621999999994</v>
      </c>
      <c r="N78" s="9">
        <f t="shared" si="84"/>
        <v>-49.048143999999986</v>
      </c>
      <c r="O78" s="9">
        <f t="shared" si="84"/>
        <v>17.312999999999992</v>
      </c>
      <c r="P78" s="9">
        <f t="shared" ref="P78:S78" si="85">+P76-P77</f>
        <v>-8.6791999999999891</v>
      </c>
      <c r="Q78" s="9">
        <f t="shared" si="85"/>
        <v>50.206199999999995</v>
      </c>
      <c r="R78" s="9">
        <f t="shared" si="85"/>
        <v>19.084</v>
      </c>
      <c r="S78" s="9">
        <f t="shared" si="85"/>
        <v>34.386999999999993</v>
      </c>
    </row>
    <row r="79" spans="2:19" ht="17.100000000000001" customHeight="1">
      <c r="B79" s="104" t="s">
        <v>121</v>
      </c>
      <c r="C79" s="11">
        <v>6.9000000000000006E-2</v>
      </c>
      <c r="D79" s="11">
        <v>0</v>
      </c>
      <c r="E79" s="11">
        <f>4.644-C79</f>
        <v>4.5750000000000002</v>
      </c>
      <c r="F79" s="11">
        <v>0</v>
      </c>
      <c r="G79" s="11">
        <v>2.1309999999999998</v>
      </c>
      <c r="H79" s="11">
        <v>0</v>
      </c>
      <c r="I79" s="11">
        <f>6.254-G79</f>
        <v>4.1229999999999993</v>
      </c>
      <c r="J79" s="11">
        <v>0</v>
      </c>
      <c r="K79" s="11">
        <v>3.9860000000000002</v>
      </c>
      <c r="L79" s="11">
        <v>0</v>
      </c>
      <c r="M79" s="11">
        <f>14.12-L79-K79</f>
        <v>10.133999999999999</v>
      </c>
      <c r="N79" s="81">
        <f>+Financials!H73-SUM(K79:M79)</f>
        <v>0.25999999999999979</v>
      </c>
      <c r="O79" s="81">
        <v>7.1719999999999997</v>
      </c>
      <c r="P79" s="81">
        <f>4.325+7.172-O79</f>
        <v>4.3250000000000002</v>
      </c>
      <c r="Q79" s="11">
        <f>20.882-P79-O79</f>
        <v>9.3850000000000016</v>
      </c>
      <c r="R79" s="81">
        <f>+Financials!I73-SUM(O79:Q79)</f>
        <v>50.191999999999993</v>
      </c>
      <c r="S79" s="81">
        <v>0</v>
      </c>
    </row>
    <row r="80" spans="2:19" ht="17.100000000000001" customHeight="1">
      <c r="B80" s="104" t="s">
        <v>122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10</v>
      </c>
      <c r="K80" s="81">
        <v>3.5</v>
      </c>
      <c r="L80" s="81">
        <v>0</v>
      </c>
      <c r="M80" s="81">
        <v>0</v>
      </c>
      <c r="N80" s="81">
        <f>+Financials!H74-SUM(K80:M80)</f>
        <v>0</v>
      </c>
      <c r="O80" s="81">
        <v>0</v>
      </c>
      <c r="P80" s="81">
        <v>0</v>
      </c>
      <c r="Q80" s="81">
        <v>0</v>
      </c>
      <c r="R80" s="81">
        <f>+Financials!I74-SUM(O80:Q80)</f>
        <v>200</v>
      </c>
      <c r="S80" s="81">
        <v>0</v>
      </c>
    </row>
    <row r="81" spans="2:19" ht="17.100000000000001" customHeight="1">
      <c r="B81" s="104" t="s">
        <v>123</v>
      </c>
      <c r="C81" s="81">
        <v>0</v>
      </c>
      <c r="D81" s="81">
        <v>0</v>
      </c>
      <c r="E81" s="81">
        <v>31.32</v>
      </c>
      <c r="F81" s="81">
        <v>0</v>
      </c>
      <c r="G81" s="81">
        <v>0</v>
      </c>
      <c r="H81" s="81">
        <v>0</v>
      </c>
      <c r="I81" s="81">
        <v>15</v>
      </c>
      <c r="J81" s="81">
        <f>65.88-I81</f>
        <v>50.879999999999995</v>
      </c>
      <c r="K81" s="81">
        <v>0</v>
      </c>
      <c r="L81" s="81">
        <v>0</v>
      </c>
      <c r="M81" s="81">
        <v>0</v>
      </c>
      <c r="N81" s="81">
        <f>+Financials!H75-SUM(K81:M81)</f>
        <v>51.51</v>
      </c>
      <c r="O81" s="81">
        <v>0.49</v>
      </c>
      <c r="P81" s="81">
        <v>0.49</v>
      </c>
      <c r="Q81" s="81">
        <f>32.49-P81-O81</f>
        <v>31.51</v>
      </c>
      <c r="R81" s="81">
        <f>+Financials!I75-SUM(O81:Q81)</f>
        <v>120</v>
      </c>
      <c r="S81" s="81">
        <v>0.49</v>
      </c>
    </row>
    <row r="82" spans="2:19" ht="17.100000000000001" customHeight="1">
      <c r="B82" s="104" t="s">
        <v>87</v>
      </c>
      <c r="C82" s="11">
        <f t="shared" ref="C82:N82" si="86">+C83-(C78+C80-C79-C81)</f>
        <v>-4.956000000000004</v>
      </c>
      <c r="D82" s="11">
        <f t="shared" si="86"/>
        <v>8.9919999999999991</v>
      </c>
      <c r="E82" s="11">
        <f t="shared" si="86"/>
        <v>-15.742000000000022</v>
      </c>
      <c r="F82" s="11">
        <f t="shared" si="86"/>
        <v>7.412000000000015</v>
      </c>
      <c r="G82" s="11">
        <f t="shared" si="86"/>
        <v>-9.8109999999999999</v>
      </c>
      <c r="H82" s="11">
        <f t="shared" si="86"/>
        <v>-6.774000000000008</v>
      </c>
      <c r="I82" s="11">
        <f t="shared" si="86"/>
        <v>7.0339999999999989</v>
      </c>
      <c r="J82" s="11">
        <f t="shared" si="86"/>
        <v>9.4080000000000155</v>
      </c>
      <c r="K82" s="11">
        <f t="shared" si="86"/>
        <v>-7.2551440000000014</v>
      </c>
      <c r="L82" s="11">
        <f t="shared" si="86"/>
        <v>2.8446220000000029</v>
      </c>
      <c r="M82" s="11">
        <f t="shared" si="86"/>
        <v>-55.279621999999989</v>
      </c>
      <c r="N82" s="11">
        <f t="shared" si="86"/>
        <v>54.198143999999985</v>
      </c>
      <c r="O82" s="11">
        <f>+O83-(O78+O80-O79-O81)</f>
        <v>1.481000000000007</v>
      </c>
      <c r="P82" s="11">
        <f t="shared" ref="P82:R82" si="87">+P83-(P78+P80-P79-P81)</f>
        <v>11.456199999999994</v>
      </c>
      <c r="Q82" s="11">
        <f t="shared" si="87"/>
        <v>-16.16419999999999</v>
      </c>
      <c r="R82" s="11">
        <f t="shared" si="87"/>
        <v>-13.911000000000001</v>
      </c>
      <c r="S82" s="11">
        <f>+S83-(S78+S80-S79-S81)</f>
        <v>2.3080000000000069</v>
      </c>
    </row>
    <row r="83" spans="2:19" ht="17.100000000000001" customHeight="1">
      <c r="B83" s="54" t="s">
        <v>124</v>
      </c>
      <c r="D83" s="9">
        <f t="shared" ref="D83:S83" si="88">+D61-C61</f>
        <v>11.063000000000002</v>
      </c>
      <c r="E83" s="9">
        <f t="shared" si="88"/>
        <v>-18.130000000000003</v>
      </c>
      <c r="F83" s="9">
        <f t="shared" si="88"/>
        <v>8.8000000000000043</v>
      </c>
      <c r="G83" s="9">
        <f t="shared" si="88"/>
        <v>16.290999999999997</v>
      </c>
      <c r="H83" s="9">
        <f t="shared" si="88"/>
        <v>2.0259999999999962</v>
      </c>
      <c r="I83" s="9">
        <f t="shared" si="88"/>
        <v>27.340000000000003</v>
      </c>
      <c r="J83" s="9">
        <f t="shared" si="88"/>
        <v>-38.305</v>
      </c>
      <c r="K83" s="9">
        <f t="shared" si="88"/>
        <v>18.826000000000001</v>
      </c>
      <c r="L83" s="9">
        <f t="shared" si="88"/>
        <v>-1.3689999999999998</v>
      </c>
      <c r="M83" s="9">
        <f t="shared" si="88"/>
        <v>17.879000000000005</v>
      </c>
      <c r="N83" s="9">
        <f t="shared" si="88"/>
        <v>-46.620000000000005</v>
      </c>
      <c r="O83" s="9">
        <f t="shared" si="88"/>
        <v>11.131999999999998</v>
      </c>
      <c r="P83" s="9">
        <f t="shared" si="88"/>
        <v>-2.0379999999999967</v>
      </c>
      <c r="Q83" s="9">
        <f t="shared" si="88"/>
        <v>-6.8530000000000015</v>
      </c>
      <c r="R83" s="9">
        <f t="shared" si="88"/>
        <v>34.980999999999995</v>
      </c>
      <c r="S83" s="9">
        <f t="shared" si="88"/>
        <v>36.204999999999998</v>
      </c>
    </row>
    <row r="84" spans="2:19" ht="17.100000000000001" customHeight="1">
      <c r="B84" s="27"/>
    </row>
    <row r="85" spans="2:19" ht="17.100000000000001" customHeight="1">
      <c r="B85" s="7" t="s">
        <v>125</v>
      </c>
      <c r="C85" s="169"/>
      <c r="D85" s="169">
        <f t="shared" ref="D85:R85" si="89">(SUM(A76:D76)/(SUM(A77:D77,A79:D79,A80:D80)))</f>
        <v>1.2929747759016055</v>
      </c>
      <c r="E85" s="169">
        <f t="shared" si="89"/>
        <v>1.9087210330797812</v>
      </c>
      <c r="F85" s="169">
        <f t="shared" si="89"/>
        <v>1.7302322853120602</v>
      </c>
      <c r="G85" s="169">
        <f t="shared" si="89"/>
        <v>2.1055605957511152</v>
      </c>
      <c r="H85" s="169">
        <f t="shared" si="89"/>
        <v>2.2430341147322279</v>
      </c>
      <c r="I85" s="169">
        <f t="shared" si="89"/>
        <v>2.3691839895966798</v>
      </c>
      <c r="J85" s="169">
        <f t="shared" si="89"/>
        <v>1.8643164815234641</v>
      </c>
      <c r="K85" s="169">
        <f t="shared" si="89"/>
        <v>1.6813293468277497</v>
      </c>
      <c r="L85" s="169">
        <f t="shared" si="89"/>
        <v>1.491611389021366</v>
      </c>
      <c r="M85" s="169">
        <f t="shared" si="89"/>
        <v>1.966039990091166</v>
      </c>
      <c r="N85" s="169">
        <f t="shared" si="89"/>
        <v>1.5919549895271154</v>
      </c>
      <c r="O85" s="169">
        <f t="shared" si="89"/>
        <v>1.3928987916951314</v>
      </c>
      <c r="P85" s="169">
        <f t="shared" si="89"/>
        <v>1.2287283590985274</v>
      </c>
      <c r="Q85" s="169">
        <f>(SUM(N76:Q76)/(SUM(N77:Q77,N79:Q79,N80:Q80)))</f>
        <v>0.85727782803099317</v>
      </c>
      <c r="R85" s="169">
        <f t="shared" si="89"/>
        <v>0.40414491787904588</v>
      </c>
      <c r="S85" s="169">
        <f>(SUM(P76:S76)/(SUM(P77:S77,P79:S79,P80:S80)))</f>
        <v>0.42504484816301247</v>
      </c>
    </row>
    <row r="86" spans="2:19" ht="17.100000000000001" customHeight="1">
      <c r="B86" s="7" t="s">
        <v>126</v>
      </c>
      <c r="D86" s="169">
        <f t="shared" ref="D86:S86" si="90">(SUM(A72:D72,A73:D73,A74:D74))/(SUM(A77:D77,A79:D79,A80:D80))</f>
        <v>2.397831978319783</v>
      </c>
      <c r="E86" s="169">
        <f t="shared" si="90"/>
        <v>2.1798539334361022</v>
      </c>
      <c r="F86" s="169">
        <f t="shared" si="90"/>
        <v>2.3293445956514947</v>
      </c>
      <c r="G86" s="169">
        <f t="shared" si="90"/>
        <v>2.3165305813865587</v>
      </c>
      <c r="H86" s="169">
        <f t="shared" si="90"/>
        <v>2.6279969506384604</v>
      </c>
      <c r="I86" s="169">
        <f t="shared" si="90"/>
        <v>2.9215161308829436</v>
      </c>
      <c r="J86" s="169">
        <f t="shared" si="90"/>
        <v>2.8283188133562196</v>
      </c>
      <c r="K86" s="169">
        <f t="shared" si="90"/>
        <v>2.6472459940240043</v>
      </c>
      <c r="L86" s="169">
        <f t="shared" si="90"/>
        <v>2.6020492000041999</v>
      </c>
      <c r="M86" s="169">
        <f t="shared" si="90"/>
        <v>2.4131614673150685</v>
      </c>
      <c r="N86" s="169">
        <f t="shared" si="90"/>
        <v>2.7131958353081478</v>
      </c>
      <c r="O86" s="169">
        <f t="shared" si="90"/>
        <v>2.4622066953718944</v>
      </c>
      <c r="P86" s="169">
        <f t="shared" si="90"/>
        <v>2.2938795381821229</v>
      </c>
      <c r="Q86" s="169">
        <f>(SUM(N72:Q72,N73:Q73,N74:Q74))/(SUM(N77:Q77,N79:Q79,N80:Q80))</f>
        <v>2.6476953289725698</v>
      </c>
      <c r="R86" s="169">
        <f t="shared" si="90"/>
        <v>0.68095608287367804</v>
      </c>
      <c r="S86" s="169">
        <f>(SUM(P72:S72,P73:S73,P74:S74))/(SUM(P77:S77,P79:S79,P80:S80))</f>
        <v>0.74972512416218173</v>
      </c>
    </row>
  </sheetData>
  <pageMargins left="0.7" right="0.7" top="0.75" bottom="0.75" header="0.3" footer="0.3"/>
  <pageSetup orientation="portrait" verticalDpi="1200" r:id="rId1"/>
  <headerFooter>
    <oddFooter>&amp;C_x000D_&amp;1#&amp;"Aptos"&amp;10&amp;K000000 Barings-Corporate</oddFooter>
  </headerFooter>
  <ignoredErrors>
    <ignoredError sqref="G9:K9" formula="1"/>
    <ignoredError sqref="C38:F38 G38:K38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autoPageBreaks="0"/>
  </sheetPr>
  <dimension ref="B1:X79"/>
  <sheetViews>
    <sheetView showGridLines="0" zoomScale="85" zoomScaleNormal="85" workbookViewId="0">
      <pane xSplit="2" ySplit="2" topLeftCell="H42" activePane="bottomRight" state="frozen"/>
      <selection pane="bottomRight" activeCell="J61" sqref="J61"/>
      <selection pane="bottomLeft" activeCell="U2" sqref="U2"/>
      <selection pane="topRight" activeCell="U2" sqref="U2"/>
    </sheetView>
  </sheetViews>
  <sheetFormatPr defaultColWidth="10.7109375" defaultRowHeight="17.100000000000001" customHeight="1"/>
  <cols>
    <col min="1" max="1" width="3.7109375" style="21" customWidth="1"/>
    <col min="2" max="2" width="36.28515625" style="3" customWidth="1"/>
    <col min="3" max="3" width="12.28515625" style="2" hidden="1" customWidth="1"/>
    <col min="4" max="7" width="10.28515625" style="2" hidden="1" customWidth="1"/>
    <col min="8" max="22" width="10.28515625" style="2" customWidth="1"/>
    <col min="23" max="16384" width="10.7109375" style="21"/>
  </cols>
  <sheetData>
    <row r="1" spans="2:24" ht="17.100000000000001" customHeight="1">
      <c r="B1" s="7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2:24" s="7" customFormat="1" ht="17.100000000000001" customHeight="1">
      <c r="B2" s="4" t="s">
        <v>88</v>
      </c>
      <c r="C2" s="5">
        <f>+Operations!E3</f>
        <v>2019</v>
      </c>
      <c r="D2" s="5">
        <f>+Operations!F3</f>
        <v>2020</v>
      </c>
      <c r="E2" s="5">
        <f>+Operations!G3</f>
        <v>2021</v>
      </c>
      <c r="F2" s="5">
        <f>+Operations!H3</f>
        <v>2022</v>
      </c>
      <c r="G2" s="5">
        <f>+Operations!I3</f>
        <v>2023</v>
      </c>
      <c r="H2" s="5">
        <f>+Operations!J3</f>
        <v>2024</v>
      </c>
      <c r="I2" s="5">
        <f>+Operations!K3</f>
        <v>2025</v>
      </c>
      <c r="J2" s="6" t="str">
        <f>+Operations!L3</f>
        <v>2026E</v>
      </c>
      <c r="K2" s="6" t="str">
        <f>+Operations!M3</f>
        <v>2027E</v>
      </c>
      <c r="L2" s="6" t="str">
        <f>+Operations!N3</f>
        <v>2028E</v>
      </c>
      <c r="M2" s="6" t="str">
        <f>+Operations!O3</f>
        <v>2029E</v>
      </c>
      <c r="N2" s="6" t="str">
        <f>+Operations!P3</f>
        <v>2030E</v>
      </c>
      <c r="O2" s="6" t="str">
        <f>+Operations!Q3</f>
        <v>2031E</v>
      </c>
      <c r="P2" s="6" t="str">
        <f>+Operations!R3</f>
        <v>2032E</v>
      </c>
      <c r="Q2" s="6" t="str">
        <f>+Operations!S3</f>
        <v>2033E</v>
      </c>
      <c r="R2" s="6" t="str">
        <f>+Operations!T3</f>
        <v>2034E</v>
      </c>
      <c r="S2" s="6" t="str">
        <f>+Operations!U3</f>
        <v>2035E</v>
      </c>
      <c r="T2" s="6" t="str">
        <f>+Operations!V3</f>
        <v>2036E</v>
      </c>
      <c r="U2" s="6" t="str">
        <f>+Operations!W3</f>
        <v>2037E</v>
      </c>
      <c r="V2" s="6" t="str">
        <f>+Operations!X3</f>
        <v>2038E</v>
      </c>
    </row>
    <row r="3" spans="2:24" ht="17.100000000000001" customHeight="1">
      <c r="D3" s="55"/>
      <c r="E3" s="55"/>
      <c r="F3" s="55"/>
      <c r="G3" s="55"/>
      <c r="H3" s="55"/>
      <c r="I3" s="32"/>
      <c r="J3" s="32"/>
      <c r="K3" s="32"/>
      <c r="L3" s="32"/>
      <c r="M3" s="32"/>
      <c r="N3" s="32"/>
    </row>
    <row r="4" spans="2:24" ht="17.100000000000001" customHeight="1">
      <c r="B4" s="7" t="s">
        <v>76</v>
      </c>
      <c r="C4" s="9">
        <f>Operations!E13</f>
        <v>174.155</v>
      </c>
      <c r="D4" s="9">
        <f>Operations!F13</f>
        <v>80.653000000000006</v>
      </c>
      <c r="E4" s="9">
        <f>Operations!G13</f>
        <v>103.831</v>
      </c>
      <c r="F4" s="9">
        <f>Operations!H13</f>
        <v>152.4</v>
      </c>
      <c r="G4" s="9">
        <f>Operations!I13</f>
        <v>191.7</v>
      </c>
      <c r="H4" s="9">
        <f>Operations!J13</f>
        <v>203.7</v>
      </c>
      <c r="I4" s="9">
        <f>Operations!K13</f>
        <v>214.27199999999999</v>
      </c>
      <c r="J4" s="9">
        <f>Operations!L13</f>
        <v>217.93589431271593</v>
      </c>
      <c r="K4" s="9">
        <f>Operations!M13</f>
        <v>226.05672100394446</v>
      </c>
      <c r="L4" s="9">
        <f>Operations!N13</f>
        <v>234.48149153810172</v>
      </c>
      <c r="M4" s="9">
        <f>Operations!O13</f>
        <v>243.22163319073655</v>
      </c>
      <c r="N4" s="9">
        <f>Operations!P13</f>
        <v>252.28900482176354</v>
      </c>
      <c r="O4" s="9">
        <f>Operations!Q13</f>
        <v>261.69591324973328</v>
      </c>
      <c r="P4" s="9">
        <f>Operations!R13</f>
        <v>271.45513025014395</v>
      </c>
      <c r="Q4" s="9">
        <f>Operations!S13</f>
        <v>281.57991020168197</v>
      </c>
      <c r="R4" s="9">
        <f>Operations!T13</f>
        <v>292.08400840519909</v>
      </c>
      <c r="S4" s="9">
        <f>Operations!U13</f>
        <v>302.98170010118565</v>
      </c>
      <c r="T4" s="9">
        <f>Operations!V13</f>
        <v>308.12529432597211</v>
      </c>
      <c r="U4" s="9">
        <f>Operations!W13</f>
        <v>313.35801983859574</v>
      </c>
      <c r="V4" s="9">
        <f>Operations!X13</f>
        <v>318.68145315586338</v>
      </c>
    </row>
    <row r="5" spans="2:24" ht="17.100000000000001" customHeight="1">
      <c r="B5" s="3" t="s">
        <v>127</v>
      </c>
      <c r="C5" s="91">
        <f t="shared" ref="C5:Q5" si="0">+C4-C6</f>
        <v>51.984000000000009</v>
      </c>
      <c r="D5" s="91">
        <f t="shared" si="0"/>
        <v>31.322000000000003</v>
      </c>
      <c r="E5" s="91">
        <f t="shared" si="0"/>
        <v>36.027999999999992</v>
      </c>
      <c r="F5" s="91">
        <f t="shared" si="0"/>
        <v>42.278999999999996</v>
      </c>
      <c r="G5" s="91">
        <f t="shared" si="0"/>
        <v>51.817999999999984</v>
      </c>
      <c r="H5" s="91">
        <f t="shared" ref="H5" si="1">+H4-H6</f>
        <v>56.734999999999985</v>
      </c>
      <c r="I5" s="91">
        <f t="shared" si="0"/>
        <v>51.564999999999998</v>
      </c>
      <c r="J5" s="91">
        <f t="shared" si="0"/>
        <v>51.269884996101467</v>
      </c>
      <c r="K5" s="91">
        <f t="shared" si="0"/>
        <v>55.176596820407212</v>
      </c>
      <c r="L5" s="91">
        <f t="shared" si="0"/>
        <v>57.441372808421391</v>
      </c>
      <c r="M5" s="91">
        <f t="shared" si="0"/>
        <v>60.040030433757323</v>
      </c>
      <c r="N5" s="91">
        <f t="shared" si="0"/>
        <v>62.655807157480524</v>
      </c>
      <c r="O5" s="91">
        <f t="shared" si="0"/>
        <v>64.870659548901671</v>
      </c>
      <c r="P5" s="91">
        <f t="shared" si="0"/>
        <v>68.07057590864801</v>
      </c>
      <c r="Q5" s="91">
        <f t="shared" si="0"/>
        <v>71.337665432309848</v>
      </c>
      <c r="R5" s="91">
        <f t="shared" ref="R5:V5" si="2">+R4-R6</f>
        <v>74.775586530679021</v>
      </c>
      <c r="S5" s="91">
        <f t="shared" si="2"/>
        <v>78.417004120120652</v>
      </c>
      <c r="T5" s="91">
        <f t="shared" si="2"/>
        <v>80.88280106674361</v>
      </c>
      <c r="U5" s="91">
        <f t="shared" si="2"/>
        <v>82.995655682483232</v>
      </c>
      <c r="V5" s="91">
        <f t="shared" si="2"/>
        <v>85.330631466208956</v>
      </c>
    </row>
    <row r="6" spans="2:24" ht="17.100000000000001" customHeight="1">
      <c r="B6" s="7" t="s">
        <v>100</v>
      </c>
      <c r="C6" s="9">
        <f>+Operations!E52</f>
        <v>122.17099999999999</v>
      </c>
      <c r="D6" s="9">
        <f>+Operations!F52</f>
        <v>49.331000000000003</v>
      </c>
      <c r="E6" s="9">
        <f>+Operations!G52</f>
        <v>67.803000000000011</v>
      </c>
      <c r="F6" s="9">
        <f>+Operations!H52</f>
        <v>110.12100000000001</v>
      </c>
      <c r="G6" s="9">
        <f>+Operations!I52</f>
        <v>139.88200000000001</v>
      </c>
      <c r="H6" s="9">
        <f>+Operations!J52</f>
        <v>146.965</v>
      </c>
      <c r="I6" s="9">
        <f>+Operations!K52</f>
        <v>162.70699999999999</v>
      </c>
      <c r="J6" s="9">
        <f>+Operations!L52</f>
        <v>166.66600931661446</v>
      </c>
      <c r="K6" s="9">
        <f>+Operations!M52</f>
        <v>170.88012418353725</v>
      </c>
      <c r="L6" s="9">
        <f>+Operations!N52</f>
        <v>177.04011872968033</v>
      </c>
      <c r="M6" s="9">
        <f>+Operations!O52</f>
        <v>183.18160275697923</v>
      </c>
      <c r="N6" s="9">
        <f>+Operations!P52</f>
        <v>189.63319766428302</v>
      </c>
      <c r="O6" s="9">
        <f>+Operations!Q52</f>
        <v>196.82525370083161</v>
      </c>
      <c r="P6" s="9">
        <f>+Operations!R52</f>
        <v>203.38455434149594</v>
      </c>
      <c r="Q6" s="9">
        <f>+Operations!S52</f>
        <v>210.24224476937212</v>
      </c>
      <c r="R6" s="9">
        <f>+Operations!T52</f>
        <v>217.30842187452006</v>
      </c>
      <c r="S6" s="9">
        <f>+Operations!U52</f>
        <v>224.564695981065</v>
      </c>
      <c r="T6" s="9">
        <f>+Operations!V52</f>
        <v>227.2424932592285</v>
      </c>
      <c r="U6" s="9">
        <f>+Operations!W52</f>
        <v>230.36236415611251</v>
      </c>
      <c r="V6" s="9">
        <f>+Operations!X52</f>
        <v>233.35082168965442</v>
      </c>
    </row>
    <row r="7" spans="2:24" ht="17.100000000000001" customHeight="1">
      <c r="B7" s="3" t="s">
        <v>102</v>
      </c>
      <c r="C7" s="91">
        <f>+C6-C8</f>
        <v>34.15100000000001</v>
      </c>
      <c r="D7" s="91">
        <f t="shared" ref="D7:Q7" si="3">+D6-D8</f>
        <v>28.608000000000001</v>
      </c>
      <c r="E7" s="91">
        <f t="shared" si="3"/>
        <v>16.192</v>
      </c>
      <c r="F7" s="91">
        <f t="shared" si="3"/>
        <v>26.299999999999997</v>
      </c>
      <c r="G7" s="91">
        <f t="shared" si="3"/>
        <v>36.199999999999989</v>
      </c>
      <c r="H7" s="91">
        <f t="shared" ref="H7" si="4">+H6-H8</f>
        <v>37.682000000000002</v>
      </c>
      <c r="I7" s="91">
        <f t="shared" si="3"/>
        <v>45.019000000000005</v>
      </c>
      <c r="J7" s="91">
        <f t="shared" si="3"/>
        <v>35.31819999999999</v>
      </c>
      <c r="K7" s="91">
        <f t="shared" si="3"/>
        <v>34.527289999999994</v>
      </c>
      <c r="L7" s="91">
        <f t="shared" si="3"/>
        <v>33.655925499999995</v>
      </c>
      <c r="M7" s="91">
        <f t="shared" si="3"/>
        <v>32.918129225000001</v>
      </c>
      <c r="N7" s="91">
        <f t="shared" si="3"/>
        <v>33.102222763750007</v>
      </c>
      <c r="O7" s="91">
        <f t="shared" si="3"/>
        <v>32.167111625562512</v>
      </c>
      <c r="P7" s="91">
        <f t="shared" si="3"/>
        <v>31.243756044284368</v>
      </c>
      <c r="Q7" s="91">
        <f t="shared" si="3"/>
        <v>30.316568242070161</v>
      </c>
      <c r="R7" s="91">
        <f t="shared" ref="R7:V7" si="5">+R6-R8</f>
        <v>29.58073982996666</v>
      </c>
      <c r="S7" s="91">
        <f t="shared" si="5"/>
        <v>29.481702838468323</v>
      </c>
      <c r="T7" s="91">
        <f t="shared" si="5"/>
        <v>29.262617696544908</v>
      </c>
      <c r="U7" s="91">
        <f t="shared" si="5"/>
        <v>28.664486811717666</v>
      </c>
      <c r="V7" s="91">
        <f t="shared" si="5"/>
        <v>27.946262471131774</v>
      </c>
    </row>
    <row r="8" spans="2:24" ht="17.100000000000001" customHeight="1">
      <c r="B8" s="7" t="s">
        <v>104</v>
      </c>
      <c r="C8" s="9">
        <f>+Operations!E58</f>
        <v>88.019999999999982</v>
      </c>
      <c r="D8" s="9">
        <f>+Operations!F58</f>
        <v>20.723000000000003</v>
      </c>
      <c r="E8" s="9">
        <f>+Operations!G58</f>
        <v>51.611000000000011</v>
      </c>
      <c r="F8" s="9">
        <f>+Operations!H58</f>
        <v>83.821000000000012</v>
      </c>
      <c r="G8" s="9">
        <f>+Operations!I58</f>
        <v>103.68200000000002</v>
      </c>
      <c r="H8" s="9">
        <f>+Operations!J58</f>
        <v>109.283</v>
      </c>
      <c r="I8" s="9">
        <f>+Operations!K58</f>
        <v>117.68799999999999</v>
      </c>
      <c r="J8" s="9">
        <f>+Operations!L58</f>
        <v>131.34780931661447</v>
      </c>
      <c r="K8" s="9">
        <f>+Operations!M58</f>
        <v>136.35283418353725</v>
      </c>
      <c r="L8" s="9">
        <f>+Operations!N58</f>
        <v>143.38419322968033</v>
      </c>
      <c r="M8" s="9">
        <f>+Operations!O58</f>
        <v>150.26347353197923</v>
      </c>
      <c r="N8" s="9">
        <f>+Operations!P58</f>
        <v>156.53097490053301</v>
      </c>
      <c r="O8" s="9">
        <f>+Operations!Q58</f>
        <v>164.6581420752691</v>
      </c>
      <c r="P8" s="9">
        <f>+Operations!R58</f>
        <v>172.14079829721157</v>
      </c>
      <c r="Q8" s="9">
        <f>+Operations!S58</f>
        <v>179.92567652730196</v>
      </c>
      <c r="R8" s="9">
        <f>+Operations!T58</f>
        <v>187.7276820445534</v>
      </c>
      <c r="S8" s="9">
        <f>+Operations!U58</f>
        <v>195.08299314259668</v>
      </c>
      <c r="T8" s="9">
        <f>+Operations!V58</f>
        <v>197.97987556268359</v>
      </c>
      <c r="U8" s="9">
        <f>+Operations!W58</f>
        <v>201.69787734439484</v>
      </c>
      <c r="V8" s="9">
        <f>+Operations!X58</f>
        <v>205.40455921852265</v>
      </c>
    </row>
    <row r="9" spans="2:24" ht="17.100000000000001" customHeight="1">
      <c r="B9" s="10" t="s">
        <v>128</v>
      </c>
      <c r="C9" s="16">
        <v>6.1</v>
      </c>
      <c r="D9" s="16">
        <v>2.9</v>
      </c>
      <c r="E9" s="16">
        <v>2.5</v>
      </c>
      <c r="F9" s="16">
        <v>2.4</v>
      </c>
      <c r="G9" s="16">
        <v>4</v>
      </c>
      <c r="H9" s="16">
        <v>5.1559999999999997</v>
      </c>
      <c r="I9" s="16">
        <v>4.7220000000000004</v>
      </c>
      <c r="J9" s="176">
        <f>+J38*I37</f>
        <v>8.085382483202423</v>
      </c>
      <c r="K9" s="11">
        <f t="shared" ref="K9:Q9" si="6">+K38*J37</f>
        <v>8.1685018278281891</v>
      </c>
      <c r="L9" s="11">
        <f>+L38*K37</f>
        <v>8.6735522833344749</v>
      </c>
      <c r="M9" s="11">
        <f t="shared" si="6"/>
        <v>7.8088847964159029</v>
      </c>
      <c r="N9" s="11">
        <f t="shared" si="6"/>
        <v>1.9354890672861376</v>
      </c>
      <c r="O9" s="11">
        <f t="shared" si="6"/>
        <v>1.9581709409805002</v>
      </c>
      <c r="P9" s="11">
        <f t="shared" si="6"/>
        <v>1.9275219635848237</v>
      </c>
      <c r="Q9" s="11">
        <f t="shared" si="6"/>
        <v>1.7927158124108167</v>
      </c>
      <c r="R9" s="11">
        <f t="shared" ref="R9" si="7">+R38*Q37</f>
        <v>2.1927183819359151</v>
      </c>
      <c r="S9" s="11">
        <f t="shared" ref="S9" si="8">+S38*R37</f>
        <v>2.399912332616791</v>
      </c>
      <c r="T9" s="11">
        <f t="shared" ref="T9" si="9">+T38*S37</f>
        <v>2.4086221955726819</v>
      </c>
      <c r="U9" s="11">
        <f t="shared" ref="U9:V9" si="10">+U38*T37</f>
        <v>2.4078595176588307</v>
      </c>
      <c r="V9" s="11">
        <f t="shared" si="10"/>
        <v>2.5099484789449207</v>
      </c>
    </row>
    <row r="10" spans="2:24" ht="17.100000000000001" customHeight="1">
      <c r="B10" s="10" t="s">
        <v>129</v>
      </c>
      <c r="C10" s="16">
        <v>44.6</v>
      </c>
      <c r="D10" s="16">
        <v>49.6</v>
      </c>
      <c r="E10" s="16">
        <v>50.8</v>
      </c>
      <c r="F10" s="16">
        <v>48.9</v>
      </c>
      <c r="G10" s="16">
        <v>49.5</v>
      </c>
      <c r="H10" s="16">
        <v>49.774999999999999</v>
      </c>
      <c r="I10" s="16">
        <v>59.707000000000001</v>
      </c>
      <c r="J10" s="178">
        <f>J47*I40</f>
        <v>43.581329999999994</v>
      </c>
      <c r="K10" s="11">
        <f t="shared" ref="K10:V10" si="11">+K47*J40</f>
        <v>43.528859999999995</v>
      </c>
      <c r="L10" s="11">
        <f t="shared" si="11"/>
        <v>43.528859999999995</v>
      </c>
      <c r="M10" s="11">
        <f t="shared" si="11"/>
        <v>42.448859999999996</v>
      </c>
      <c r="N10" s="11">
        <f t="shared" si="11"/>
        <v>39.92886</v>
      </c>
      <c r="O10" s="11">
        <f t="shared" si="11"/>
        <v>37.048859999999998</v>
      </c>
      <c r="P10" s="11">
        <f t="shared" si="11"/>
        <v>33.53886</v>
      </c>
      <c r="Q10" s="11">
        <f t="shared" si="11"/>
        <v>29.398859999999999</v>
      </c>
      <c r="R10" s="11">
        <f t="shared" si="11"/>
        <v>24.718859999999999</v>
      </c>
      <c r="S10" s="11">
        <f t="shared" si="11"/>
        <v>19.76886</v>
      </c>
      <c r="T10" s="11">
        <f t="shared" si="11"/>
        <v>13.468859999999999</v>
      </c>
      <c r="U10" s="11">
        <f t="shared" si="11"/>
        <v>6.1788599999999994</v>
      </c>
      <c r="V10" s="11">
        <f t="shared" si="11"/>
        <v>-1.2911400000000002</v>
      </c>
    </row>
    <row r="11" spans="2:24" ht="17.100000000000001" customHeight="1">
      <c r="B11" s="7" t="s">
        <v>130</v>
      </c>
      <c r="C11" s="9">
        <f t="shared" ref="C11:F11" si="12">+C8+C9-C10</f>
        <v>49.519999999999975</v>
      </c>
      <c r="D11" s="9">
        <f t="shared" si="12"/>
        <v>-25.977</v>
      </c>
      <c r="E11" s="9">
        <f t="shared" si="12"/>
        <v>3.3110000000000142</v>
      </c>
      <c r="F11" s="9">
        <f t="shared" si="12"/>
        <v>37.321000000000019</v>
      </c>
      <c r="G11" s="9">
        <f>+G8+G9-G10</f>
        <v>58.182000000000016</v>
      </c>
      <c r="H11" s="9">
        <f>+H8+H9-H10</f>
        <v>64.664000000000016</v>
      </c>
      <c r="I11" s="9">
        <f>+I8+I9-I10</f>
        <v>62.702999999999982</v>
      </c>
      <c r="J11" s="9">
        <f t="shared" ref="J11:Q11" si="13">+J8+J9-J10</f>
        <v>95.851861799816888</v>
      </c>
      <c r="K11" s="9">
        <f t="shared" si="13"/>
        <v>100.99247601136544</v>
      </c>
      <c r="L11" s="9">
        <f t="shared" si="13"/>
        <v>108.52888551301483</v>
      </c>
      <c r="M11" s="9">
        <f t="shared" si="13"/>
        <v>115.62349832839513</v>
      </c>
      <c r="N11" s="9">
        <f t="shared" si="13"/>
        <v>118.53760396781915</v>
      </c>
      <c r="O11" s="9">
        <f t="shared" si="13"/>
        <v>129.5674530162496</v>
      </c>
      <c r="P11" s="9">
        <f t="shared" si="13"/>
        <v>140.52946026079641</v>
      </c>
      <c r="Q11" s="9">
        <f t="shared" si="13"/>
        <v>152.31953233971279</v>
      </c>
      <c r="R11" s="9">
        <f t="shared" ref="R11:V11" si="14">+R8+R9-R10</f>
        <v>165.20154042648932</v>
      </c>
      <c r="S11" s="9">
        <f t="shared" si="14"/>
        <v>177.71404547521348</v>
      </c>
      <c r="T11" s="9">
        <f t="shared" si="14"/>
        <v>186.91963775825627</v>
      </c>
      <c r="U11" s="9">
        <f t="shared" si="14"/>
        <v>197.92687686205369</v>
      </c>
      <c r="V11" s="9">
        <f t="shared" si="14"/>
        <v>209.20564769746758</v>
      </c>
    </row>
    <row r="12" spans="2:24" ht="17.100000000000001" customHeight="1">
      <c r="B12" s="10" t="s">
        <v>131</v>
      </c>
      <c r="C12" s="11">
        <f t="shared" ref="C12:G12" si="15">+C11-C13</f>
        <v>1.7199999999999775</v>
      </c>
      <c r="D12" s="11">
        <f t="shared" si="15"/>
        <v>1.0229999999999997</v>
      </c>
      <c r="E12" s="11">
        <f t="shared" si="15"/>
        <v>1.111000000000014</v>
      </c>
      <c r="F12" s="11">
        <f t="shared" si="15"/>
        <v>1.1210000000000164</v>
      </c>
      <c r="G12" s="11">
        <f t="shared" si="15"/>
        <v>1.2820000000000178</v>
      </c>
      <c r="H12" s="11">
        <f>+H11-H13</f>
        <v>1.0830000000000126</v>
      </c>
      <c r="I12" s="78">
        <f>+I11-I13</f>
        <v>6.0289999999999822</v>
      </c>
      <c r="J12" s="11">
        <f t="shared" ref="J12:Q12" si="16">+J11*J17</f>
        <v>23.962965449954222</v>
      </c>
      <c r="K12" s="11">
        <f t="shared" si="16"/>
        <v>25.24811900284136</v>
      </c>
      <c r="L12" s="11">
        <f t="shared" si="16"/>
        <v>27.132221378253707</v>
      </c>
      <c r="M12" s="11">
        <f t="shared" si="16"/>
        <v>28.905874582098782</v>
      </c>
      <c r="N12" s="11">
        <f t="shared" si="16"/>
        <v>29.634400991954788</v>
      </c>
      <c r="O12" s="11">
        <f t="shared" si="16"/>
        <v>32.3918632540624</v>
      </c>
      <c r="P12" s="11">
        <f t="shared" si="16"/>
        <v>35.132365065199103</v>
      </c>
      <c r="Q12" s="11">
        <f t="shared" si="16"/>
        <v>38.079883084928198</v>
      </c>
      <c r="R12" s="11">
        <f t="shared" ref="R12:V12" si="17">+R11*R17</f>
        <v>41.300385106622329</v>
      </c>
      <c r="S12" s="11">
        <f t="shared" si="17"/>
        <v>44.42851136880337</v>
      </c>
      <c r="T12" s="11">
        <f t="shared" si="17"/>
        <v>46.729909439564068</v>
      </c>
      <c r="U12" s="11">
        <f t="shared" si="17"/>
        <v>49.481719215513422</v>
      </c>
      <c r="V12" s="11">
        <f t="shared" si="17"/>
        <v>52.301411924366896</v>
      </c>
    </row>
    <row r="13" spans="2:24" ht="17.100000000000001" customHeight="1">
      <c r="B13" s="12" t="s">
        <v>132</v>
      </c>
      <c r="C13" s="8">
        <v>47.8</v>
      </c>
      <c r="D13" s="8">
        <v>-27</v>
      </c>
      <c r="E13" s="8">
        <v>2.2000000000000002</v>
      </c>
      <c r="F13" s="8">
        <v>36.200000000000003</v>
      </c>
      <c r="G13" s="8">
        <v>56.9</v>
      </c>
      <c r="H13" s="8">
        <v>63.581000000000003</v>
      </c>
      <c r="I13" s="8">
        <v>56.673999999999999</v>
      </c>
      <c r="J13" s="9">
        <f t="shared" ref="J13:Q13" si="18">+J11-J12</f>
        <v>71.888896349862662</v>
      </c>
      <c r="K13" s="9">
        <f t="shared" si="18"/>
        <v>75.744357008524076</v>
      </c>
      <c r="L13" s="9">
        <f t="shared" si="18"/>
        <v>81.396664134761124</v>
      </c>
      <c r="M13" s="9">
        <f t="shared" si="18"/>
        <v>86.71762374629634</v>
      </c>
      <c r="N13" s="9">
        <f t="shared" si="18"/>
        <v>88.90320297586436</v>
      </c>
      <c r="O13" s="9">
        <f t="shared" si="18"/>
        <v>97.175589762187201</v>
      </c>
      <c r="P13" s="9">
        <f t="shared" si="18"/>
        <v>105.3970951955973</v>
      </c>
      <c r="Q13" s="9">
        <f t="shared" si="18"/>
        <v>114.2396492547846</v>
      </c>
      <c r="R13" s="9">
        <f t="shared" ref="R13:V13" si="19">+R11-R12</f>
        <v>123.90115531986699</v>
      </c>
      <c r="S13" s="9">
        <f t="shared" si="19"/>
        <v>133.28553410641013</v>
      </c>
      <c r="T13" s="9">
        <f t="shared" si="19"/>
        <v>140.1897283186922</v>
      </c>
      <c r="U13" s="92">
        <f t="shared" si="19"/>
        <v>148.44515764654028</v>
      </c>
      <c r="V13" s="92">
        <f t="shared" si="19"/>
        <v>156.90423577310068</v>
      </c>
    </row>
    <row r="14" spans="2:24" ht="17.100000000000001" customHeight="1">
      <c r="C14" s="11"/>
      <c r="D14" s="11"/>
      <c r="E14" s="11"/>
      <c r="F14" s="55"/>
      <c r="G14" s="55"/>
      <c r="H14" s="55"/>
    </row>
    <row r="15" spans="2:24" s="22" customFormat="1" ht="17.100000000000001" customHeight="1">
      <c r="B15" s="12" t="s">
        <v>123</v>
      </c>
      <c r="C15" s="8">
        <v>230</v>
      </c>
      <c r="D15" s="8">
        <v>0</v>
      </c>
      <c r="E15" s="8">
        <v>0</v>
      </c>
      <c r="F15" s="8">
        <v>31.3</v>
      </c>
      <c r="G15" s="8">
        <v>65.8</v>
      </c>
      <c r="H15" s="8">
        <v>51.51</v>
      </c>
      <c r="I15" s="8">
        <v>152.49</v>
      </c>
      <c r="J15" s="9">
        <f t="shared" ref="J15:Q15" si="20">+J16*J13</f>
        <v>71.888896349862662</v>
      </c>
      <c r="K15" s="9">
        <f t="shared" si="20"/>
        <v>75.744357008524076</v>
      </c>
      <c r="L15" s="9">
        <f t="shared" si="20"/>
        <v>81.396664134761124</v>
      </c>
      <c r="M15" s="9">
        <f t="shared" si="20"/>
        <v>69.37409899703708</v>
      </c>
      <c r="N15" s="9">
        <f t="shared" si="20"/>
        <v>71.122562380691491</v>
      </c>
      <c r="O15" s="9">
        <f t="shared" si="20"/>
        <v>77.740471809749764</v>
      </c>
      <c r="P15" s="9">
        <f t="shared" si="20"/>
        <v>84.317676156477845</v>
      </c>
      <c r="Q15" s="9">
        <f t="shared" si="20"/>
        <v>57.119824627392298</v>
      </c>
      <c r="R15" s="9">
        <f t="shared" ref="R15:V15" si="21">+R16*R13</f>
        <v>61.950577659933494</v>
      </c>
      <c r="S15" s="9">
        <f t="shared" si="21"/>
        <v>66.642767053205063</v>
      </c>
      <c r="T15" s="9">
        <f t="shared" si="21"/>
        <v>70.094864159346102</v>
      </c>
      <c r="U15" s="9">
        <f t="shared" si="21"/>
        <v>74.22257882327014</v>
      </c>
      <c r="V15" s="9">
        <f t="shared" si="21"/>
        <v>78.45211788655034</v>
      </c>
      <c r="X15" s="173"/>
    </row>
    <row r="16" spans="2:24" ht="17.100000000000001" customHeight="1">
      <c r="B16" s="10" t="s">
        <v>133</v>
      </c>
      <c r="C16" s="34">
        <f t="shared" ref="C16:F16" si="22">+C15/C13</f>
        <v>4.8117154811715483</v>
      </c>
      <c r="D16" s="34">
        <f t="shared" si="22"/>
        <v>0</v>
      </c>
      <c r="E16" s="34">
        <f t="shared" si="22"/>
        <v>0</v>
      </c>
      <c r="F16" s="34">
        <f t="shared" si="22"/>
        <v>0.86464088397790051</v>
      </c>
      <c r="G16" s="34">
        <f>+G15/G13</f>
        <v>1.1564147627416519</v>
      </c>
      <c r="H16" s="34">
        <f>+H15/H13</f>
        <v>0.81014768562935457</v>
      </c>
      <c r="I16" s="34">
        <f>+I15/I13</f>
        <v>2.6906517980026115</v>
      </c>
      <c r="J16" s="84">
        <v>1</v>
      </c>
      <c r="K16" s="84">
        <v>1</v>
      </c>
      <c r="L16" s="84">
        <v>1</v>
      </c>
      <c r="M16" s="84">
        <v>0.8</v>
      </c>
      <c r="N16" s="84">
        <v>0.8</v>
      </c>
      <c r="O16" s="84">
        <v>0.8</v>
      </c>
      <c r="P16" s="84">
        <v>0.8</v>
      </c>
      <c r="Q16" s="84">
        <v>0.5</v>
      </c>
      <c r="R16" s="84">
        <v>0.5</v>
      </c>
      <c r="S16" s="84">
        <v>0.5</v>
      </c>
      <c r="T16" s="84">
        <v>0.5</v>
      </c>
      <c r="U16" s="84">
        <v>0.5</v>
      </c>
      <c r="V16" s="84">
        <v>0.5</v>
      </c>
      <c r="X16" s="173"/>
    </row>
    <row r="17" spans="2:22" ht="17.100000000000001" customHeight="1">
      <c r="B17" s="10" t="s">
        <v>134</v>
      </c>
      <c r="C17" s="34">
        <f t="shared" ref="C17:G17" si="23">+C12/C11</f>
        <v>3.4733441033925248E-2</v>
      </c>
      <c r="D17" s="34">
        <f t="shared" si="23"/>
        <v>-3.9380990876544626E-2</v>
      </c>
      <c r="E17" s="34">
        <f t="shared" si="23"/>
        <v>0.33554817275747789</v>
      </c>
      <c r="F17" s="34">
        <f t="shared" si="23"/>
        <v>3.003670855550537E-2</v>
      </c>
      <c r="G17" s="34">
        <f t="shared" si="23"/>
        <v>2.2034306142793603E-2</v>
      </c>
      <c r="H17" s="34">
        <f>+H12/H11</f>
        <v>1.6748113324260985E-2</v>
      </c>
      <c r="I17" s="34">
        <f>+I12/I11</f>
        <v>9.6151699280735914E-2</v>
      </c>
      <c r="J17" s="84">
        <v>0.25</v>
      </c>
      <c r="K17" s="84">
        <v>0.25</v>
      </c>
      <c r="L17" s="84">
        <v>0.25</v>
      </c>
      <c r="M17" s="84">
        <v>0.25</v>
      </c>
      <c r="N17" s="84">
        <v>0.25</v>
      </c>
      <c r="O17" s="84">
        <v>0.25</v>
      </c>
      <c r="P17" s="84">
        <v>0.25</v>
      </c>
      <c r="Q17" s="84">
        <v>0.25</v>
      </c>
      <c r="R17" s="84">
        <v>0.25</v>
      </c>
      <c r="S17" s="84">
        <v>0.25</v>
      </c>
      <c r="T17" s="84">
        <v>0.25</v>
      </c>
      <c r="U17" s="84">
        <v>0.25</v>
      </c>
      <c r="V17" s="84">
        <v>0.25</v>
      </c>
    </row>
    <row r="18" spans="2:22" ht="17.100000000000001" customHeight="1">
      <c r="B18" s="3" t="s">
        <v>135</v>
      </c>
      <c r="C18" s="15">
        <f>+Operations!E33</f>
        <v>2.3E-2</v>
      </c>
      <c r="D18" s="15">
        <f>+Operations!F33</f>
        <v>1.4E-2</v>
      </c>
      <c r="E18" s="15">
        <f>+Operations!G33</f>
        <v>7.0000000000000007E-2</v>
      </c>
      <c r="F18" s="15">
        <f>+Operations!H33</f>
        <v>6.5000000000000002E-2</v>
      </c>
      <c r="G18" s="15">
        <f>+Operations!I33</f>
        <v>3.3000000000000002E-2</v>
      </c>
      <c r="H18" s="15">
        <f>+Operations!J33</f>
        <v>2.3E-2</v>
      </c>
      <c r="I18" s="15">
        <f>+Operations!K33</f>
        <v>3.3000000000000002E-2</v>
      </c>
      <c r="J18" s="14">
        <f>+Operations!L33</f>
        <v>0.02</v>
      </c>
      <c r="K18" s="14">
        <f>+Operations!M33</f>
        <v>0.02</v>
      </c>
      <c r="L18" s="14">
        <f>+Operations!N33</f>
        <v>0.02</v>
      </c>
      <c r="M18" s="14">
        <f>+Operations!O33</f>
        <v>0.02</v>
      </c>
      <c r="N18" s="14">
        <f>+Operations!P33</f>
        <v>0.02</v>
      </c>
      <c r="O18" s="14">
        <f>+Operations!Q33</f>
        <v>0.02</v>
      </c>
      <c r="P18" s="14">
        <f>+Operations!R33</f>
        <v>0.02</v>
      </c>
      <c r="Q18" s="14">
        <f>+Operations!S33</f>
        <v>0.02</v>
      </c>
      <c r="R18" s="14">
        <f>+Operations!T33</f>
        <v>0.02</v>
      </c>
      <c r="S18" s="14">
        <f>+Operations!U33</f>
        <v>0.02</v>
      </c>
      <c r="T18" s="14">
        <f>+Operations!V33</f>
        <v>0</v>
      </c>
      <c r="U18" s="14">
        <f>+Operations!W33</f>
        <v>0</v>
      </c>
      <c r="V18" s="14">
        <f>+Operations!X33</f>
        <v>0</v>
      </c>
    </row>
    <row r="19" spans="2:22" ht="17.100000000000001" customHeight="1"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2:22" s="7" customFormat="1" ht="17.100000000000001" customHeight="1">
      <c r="B20" s="4" t="s">
        <v>57</v>
      </c>
      <c r="C20" s="5">
        <f t="shared" ref="C20:Q20" si="24">+C2</f>
        <v>2019</v>
      </c>
      <c r="D20" s="5">
        <f t="shared" si="24"/>
        <v>2020</v>
      </c>
      <c r="E20" s="5">
        <f t="shared" si="24"/>
        <v>2021</v>
      </c>
      <c r="F20" s="5">
        <f t="shared" si="24"/>
        <v>2022</v>
      </c>
      <c r="G20" s="5">
        <f t="shared" si="24"/>
        <v>2023</v>
      </c>
      <c r="H20" s="5">
        <f t="shared" ref="H20" si="25">+H2</f>
        <v>2024</v>
      </c>
      <c r="I20" s="5">
        <f t="shared" si="24"/>
        <v>2025</v>
      </c>
      <c r="J20" s="6" t="str">
        <f t="shared" si="24"/>
        <v>2026E</v>
      </c>
      <c r="K20" s="6" t="str">
        <f t="shared" si="24"/>
        <v>2027E</v>
      </c>
      <c r="L20" s="6" t="str">
        <f t="shared" si="24"/>
        <v>2028E</v>
      </c>
      <c r="M20" s="6" t="str">
        <f t="shared" si="24"/>
        <v>2029E</v>
      </c>
      <c r="N20" s="6" t="str">
        <f t="shared" si="24"/>
        <v>2030E</v>
      </c>
      <c r="O20" s="6" t="str">
        <f t="shared" si="24"/>
        <v>2031E</v>
      </c>
      <c r="P20" s="6" t="str">
        <f t="shared" si="24"/>
        <v>2032E</v>
      </c>
      <c r="Q20" s="6" t="str">
        <f t="shared" si="24"/>
        <v>2033E</v>
      </c>
      <c r="R20" s="6" t="str">
        <f t="shared" ref="R20:V20" si="26">+R2</f>
        <v>2034E</v>
      </c>
      <c r="S20" s="6" t="str">
        <f t="shared" si="26"/>
        <v>2035E</v>
      </c>
      <c r="T20" s="6" t="str">
        <f t="shared" si="26"/>
        <v>2036E</v>
      </c>
      <c r="U20" s="6" t="str">
        <f t="shared" si="26"/>
        <v>2037E</v>
      </c>
      <c r="V20" s="6" t="str">
        <f t="shared" si="26"/>
        <v>2038E</v>
      </c>
    </row>
    <row r="21" spans="2:22" ht="17.100000000000001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22" ht="17.100000000000001" customHeight="1">
      <c r="B22" s="10" t="s">
        <v>106</v>
      </c>
      <c r="C22" s="16">
        <v>67.900000000000006</v>
      </c>
      <c r="D22" s="16">
        <v>33.1</v>
      </c>
      <c r="E22" s="16">
        <v>36.700000000000003</v>
      </c>
      <c r="F22" s="16">
        <f>45.8+0.5</f>
        <v>46.3</v>
      </c>
      <c r="G22" s="16">
        <f>37.6+16</f>
        <v>53.6</v>
      </c>
      <c r="H22" s="16">
        <f>37.179+5.089</f>
        <v>42.268000000000001</v>
      </c>
      <c r="I22" s="16">
        <v>79.489999999999995</v>
      </c>
      <c r="J22" s="11">
        <f>+I22+SUM(I23:I25)-SUM(J23:J25)+J31-I31+J33-I33</f>
        <v>89.063270063416212</v>
      </c>
      <c r="K22" s="11">
        <f t="shared" ref="K22:Q22" si="27">+J22+SUM(J23:J25)-SUM(K23:K25)+K31-J31+K33-J33</f>
        <v>106.14300915817829</v>
      </c>
      <c r="L22" s="11">
        <f t="shared" si="27"/>
        <v>108.88665599182764</v>
      </c>
      <c r="M22" s="11">
        <f t="shared" si="27"/>
        <v>96.774453364306879</v>
      </c>
      <c r="N22" s="11">
        <f t="shared" si="27"/>
        <v>97.908547049025003</v>
      </c>
      <c r="O22" s="11">
        <f t="shared" si="27"/>
        <v>96.376098179241183</v>
      </c>
      <c r="P22" s="11">
        <f t="shared" si="27"/>
        <v>89.635790620540831</v>
      </c>
      <c r="Q22" s="11">
        <f t="shared" si="27"/>
        <v>109.63591909679576</v>
      </c>
      <c r="R22" s="11">
        <f t="shared" ref="R22" si="28">+Q22+SUM(Q23:Q25)-SUM(R23:R25)+R31-Q31+R33-Q33</f>
        <v>119.99561663083955</v>
      </c>
      <c r="S22" s="11">
        <f t="shared" ref="S22" si="29">+R22+SUM(R23:R25)-SUM(S23:S25)+S31-R31+S33-R33</f>
        <v>120.4311097786341</v>
      </c>
      <c r="T22" s="11">
        <f t="shared" ref="T22" si="30">+S22+SUM(S23:S25)-SUM(T23:T25)+T31-S31+T33-S33</f>
        <v>120.39297588294153</v>
      </c>
      <c r="U22" s="11">
        <f t="shared" ref="U22:V22" si="31">+T22+SUM(T23:T25)-SUM(U23:U25)+U31-T31+U33-T33</f>
        <v>125.49742394724603</v>
      </c>
      <c r="V22" s="11">
        <f t="shared" si="31"/>
        <v>207.31224871606355</v>
      </c>
    </row>
    <row r="23" spans="2:22" ht="17.100000000000001" customHeight="1">
      <c r="B23" s="10" t="s">
        <v>136</v>
      </c>
      <c r="C23" s="16">
        <v>42.756999999999998</v>
      </c>
      <c r="D23" s="16">
        <v>32.26</v>
      </c>
      <c r="E23" s="16">
        <v>30.515999999999998</v>
      </c>
      <c r="F23" s="16">
        <v>34.835000000000001</v>
      </c>
      <c r="G23" s="16">
        <v>31.055</v>
      </c>
      <c r="H23" s="16">
        <v>47.37</v>
      </c>
      <c r="I23" s="16">
        <v>14.705</v>
      </c>
      <c r="J23" s="11">
        <f t="shared" ref="J23:Q23" si="32">+I23*J4/I4</f>
        <v>14.956444733182533</v>
      </c>
      <c r="K23" s="11">
        <f t="shared" si="32"/>
        <v>15.513758598244303</v>
      </c>
      <c r="L23" s="11">
        <f t="shared" si="32"/>
        <v>16.091931437928363</v>
      </c>
      <c r="M23" s="11">
        <f t="shared" si="32"/>
        <v>16.691747480164377</v>
      </c>
      <c r="N23" s="11">
        <f t="shared" si="32"/>
        <v>17.314020571535398</v>
      </c>
      <c r="O23" s="11">
        <f t="shared" si="32"/>
        <v>17.959595301006793</v>
      </c>
      <c r="P23" s="11">
        <f t="shared" si="32"/>
        <v>18.629348166481698</v>
      </c>
      <c r="Q23" s="11">
        <f t="shared" si="32"/>
        <v>19.324188785822379</v>
      </c>
      <c r="R23" s="11">
        <f t="shared" ref="R23" si="33">+Q23*R4/Q4</f>
        <v>20.045061154039967</v>
      </c>
      <c r="S23" s="11">
        <f t="shared" ref="S23" si="34">+R23*S4/R4</f>
        <v>20.792944948420391</v>
      </c>
      <c r="T23" s="11">
        <f t="shared" ref="T23" si="35">+S23*T4/S4</f>
        <v>21.145938121002366</v>
      </c>
      <c r="U23" s="11">
        <f t="shared" ref="U23:V23" si="36">+T23*U4/T4</f>
        <v>21.505048171140185</v>
      </c>
      <c r="V23" s="11">
        <f t="shared" si="36"/>
        <v>21.870383291596525</v>
      </c>
    </row>
    <row r="24" spans="2:22" ht="17.100000000000001" customHeight="1">
      <c r="B24" s="10" t="s">
        <v>137</v>
      </c>
      <c r="C24" s="11">
        <f>+Operations!E56</f>
        <v>732.94899999999996</v>
      </c>
      <c r="D24" s="11">
        <f>+Operations!F56</f>
        <v>725.06200000000001</v>
      </c>
      <c r="E24" s="11">
        <f>+Operations!G56</f>
        <v>725</v>
      </c>
      <c r="F24" s="11">
        <f>+Operations!H56</f>
        <v>708.9</v>
      </c>
      <c r="G24" s="11">
        <f>+Operations!I56</f>
        <v>707.8</v>
      </c>
      <c r="H24" s="11">
        <f>+Operations!J56</f>
        <v>701.69999999999993</v>
      </c>
      <c r="I24" s="11">
        <f>+Operations!K56</f>
        <v>706.36400000000003</v>
      </c>
      <c r="J24" s="11">
        <f>+Operations!L56</f>
        <v>690.54579999999999</v>
      </c>
      <c r="K24" s="11">
        <f>+Operations!M56</f>
        <v>673.11851000000001</v>
      </c>
      <c r="L24" s="11">
        <f>+Operations!N56</f>
        <v>658.36258450000003</v>
      </c>
      <c r="M24" s="11">
        <f>+Operations!O56</f>
        <v>662.04445527500002</v>
      </c>
      <c r="N24" s="11">
        <f>+Operations!P56</f>
        <v>643.34223251125002</v>
      </c>
      <c r="O24" s="11">
        <f>+Operations!Q56</f>
        <v>624.87512088568758</v>
      </c>
      <c r="P24" s="11">
        <f>+Operations!R56</f>
        <v>606.33136484140323</v>
      </c>
      <c r="Q24" s="11">
        <f>+Operations!S56</f>
        <v>591.61479659933309</v>
      </c>
      <c r="R24" s="11">
        <f>+Operations!T56</f>
        <v>589.63405676936645</v>
      </c>
      <c r="S24" s="11">
        <f>+Operations!U56</f>
        <v>585.25235393089815</v>
      </c>
      <c r="T24" s="11">
        <f>+Operations!V56</f>
        <v>573.2897362343532</v>
      </c>
      <c r="U24" s="11">
        <f>+Operations!W56</f>
        <v>558.92524942263549</v>
      </c>
      <c r="V24" s="11">
        <f>+Operations!X56</f>
        <v>557.1789869515037</v>
      </c>
    </row>
    <row r="25" spans="2:22" ht="16.899999999999999" customHeight="1">
      <c r="B25" s="10" t="s">
        <v>87</v>
      </c>
      <c r="C25" s="11">
        <f>+C26-SUM(C22:C24)</f>
        <v>23.711999999999989</v>
      </c>
      <c r="D25" s="11">
        <f t="shared" ref="D25:G25" si="37">+D26-SUM(D22:D24)</f>
        <v>23.645999999999958</v>
      </c>
      <c r="E25" s="11">
        <f t="shared" si="37"/>
        <v>22.169999999999959</v>
      </c>
      <c r="F25" s="11">
        <f t="shared" si="37"/>
        <v>21.965000000000032</v>
      </c>
      <c r="G25" s="11">
        <f t="shared" si="37"/>
        <v>21.545000000000073</v>
      </c>
      <c r="H25" s="11">
        <f t="shared" ref="H25:I25" si="38">+H26-SUM(H22:H24)</f>
        <v>21.762000000000057</v>
      </c>
      <c r="I25" s="11">
        <f t="shared" si="38"/>
        <v>3.3350000000000364</v>
      </c>
      <c r="J25" s="11">
        <f t="shared" ref="J25:Q25" si="39">+I25</f>
        <v>3.3350000000000364</v>
      </c>
      <c r="K25" s="11">
        <f t="shared" si="39"/>
        <v>3.3350000000000364</v>
      </c>
      <c r="L25" s="11">
        <f t="shared" si="39"/>
        <v>3.3350000000000364</v>
      </c>
      <c r="M25" s="11">
        <f t="shared" si="39"/>
        <v>3.3350000000000364</v>
      </c>
      <c r="N25" s="11">
        <f t="shared" si="39"/>
        <v>3.3350000000000364</v>
      </c>
      <c r="O25" s="11">
        <f t="shared" si="39"/>
        <v>3.3350000000000364</v>
      </c>
      <c r="P25" s="11">
        <f t="shared" si="39"/>
        <v>3.3350000000000364</v>
      </c>
      <c r="Q25" s="11">
        <f t="shared" si="39"/>
        <v>3.3350000000000364</v>
      </c>
      <c r="R25" s="11">
        <f t="shared" ref="R25" si="40">+Q25</f>
        <v>3.3350000000000364</v>
      </c>
      <c r="S25" s="11">
        <f t="shared" ref="S25" si="41">+R25</f>
        <v>3.3350000000000364</v>
      </c>
      <c r="T25" s="11">
        <f t="shared" ref="T25" si="42">+S25</f>
        <v>3.3350000000000364</v>
      </c>
      <c r="U25" s="11">
        <f t="shared" ref="U25:V25" si="43">+T25</f>
        <v>3.3350000000000364</v>
      </c>
      <c r="V25" s="11">
        <f t="shared" si="43"/>
        <v>3.3350000000000364</v>
      </c>
    </row>
    <row r="26" spans="2:22" ht="16.899999999999999" customHeight="1">
      <c r="B26" s="12" t="s">
        <v>103</v>
      </c>
      <c r="C26" s="8">
        <v>867.31799999999998</v>
      </c>
      <c r="D26" s="8">
        <v>814.06799999999998</v>
      </c>
      <c r="E26" s="8">
        <v>814.38599999999997</v>
      </c>
      <c r="F26" s="8">
        <v>812</v>
      </c>
      <c r="G26" s="8">
        <v>814</v>
      </c>
      <c r="H26" s="8">
        <v>813.1</v>
      </c>
      <c r="I26" s="8">
        <v>803.89400000000001</v>
      </c>
      <c r="J26" s="9">
        <f t="shared" ref="J26:Q26" si="44">+SUM(J22:J25)</f>
        <v>797.90051479659883</v>
      </c>
      <c r="K26" s="9">
        <f t="shared" si="44"/>
        <v>798.11027775642265</v>
      </c>
      <c r="L26" s="9">
        <f t="shared" si="44"/>
        <v>786.67617192975604</v>
      </c>
      <c r="M26" s="9">
        <f t="shared" si="44"/>
        <v>778.8456561194713</v>
      </c>
      <c r="N26" s="9">
        <f t="shared" si="44"/>
        <v>761.89980013181048</v>
      </c>
      <c r="O26" s="9">
        <f t="shared" si="44"/>
        <v>742.5458143659356</v>
      </c>
      <c r="P26" s="9">
        <f t="shared" si="44"/>
        <v>717.93150362842584</v>
      </c>
      <c r="Q26" s="9">
        <f t="shared" si="44"/>
        <v>723.90990448195123</v>
      </c>
      <c r="R26" s="9">
        <f t="shared" ref="R26:V26" si="45">+SUM(R22:R25)</f>
        <v>733.00973455424605</v>
      </c>
      <c r="S26" s="9">
        <f t="shared" si="45"/>
        <v>729.81140865795271</v>
      </c>
      <c r="T26" s="9">
        <f t="shared" si="45"/>
        <v>718.16365023829712</v>
      </c>
      <c r="U26" s="9">
        <f t="shared" si="45"/>
        <v>709.26272154102173</v>
      </c>
      <c r="V26" s="9">
        <f t="shared" si="45"/>
        <v>789.69661895916374</v>
      </c>
    </row>
    <row r="27" spans="2:22" ht="17.100000000000001" customHeight="1">
      <c r="B27" s="10"/>
      <c r="C27" s="62"/>
      <c r="D27" s="62"/>
      <c r="E27" s="62"/>
      <c r="F27" s="62"/>
      <c r="G27" s="107"/>
      <c r="H27" s="10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 ht="17.100000000000001" customHeight="1">
      <c r="B28" s="10" t="s">
        <v>138</v>
      </c>
      <c r="C28" s="16">
        <v>397.72800000000001</v>
      </c>
      <c r="D28" s="16">
        <v>394.7</v>
      </c>
      <c r="E28" s="16">
        <v>392.71100000000001</v>
      </c>
      <c r="F28" s="16">
        <f>9.4+380.1</f>
        <v>389.5</v>
      </c>
      <c r="G28" s="16">
        <f>17.5+376.6</f>
        <v>394.1</v>
      </c>
      <c r="H28" s="16">
        <f>21.459+363.334</f>
        <v>384.79300000000001</v>
      </c>
      <c r="I28" s="16">
        <f>1.621+482.616</f>
        <v>484.23699999999997</v>
      </c>
      <c r="J28" s="11">
        <f t="shared" ref="J28:Q28" si="46">+J40</f>
        <v>483.654</v>
      </c>
      <c r="K28" s="11">
        <f t="shared" si="46"/>
        <v>483.654</v>
      </c>
      <c r="L28" s="11">
        <f t="shared" si="46"/>
        <v>471.654</v>
      </c>
      <c r="M28" s="11">
        <f t="shared" si="46"/>
        <v>443.654</v>
      </c>
      <c r="N28" s="11">
        <f t="shared" si="46"/>
        <v>411.654</v>
      </c>
      <c r="O28" s="11">
        <f t="shared" si="46"/>
        <v>372.654</v>
      </c>
      <c r="P28" s="11">
        <f t="shared" si="46"/>
        <v>326.654</v>
      </c>
      <c r="Q28" s="11">
        <f t="shared" si="46"/>
        <v>274.654</v>
      </c>
      <c r="R28" s="11">
        <f t="shared" ref="R28:V28" si="47">+R40</f>
        <v>219.654</v>
      </c>
      <c r="S28" s="11">
        <f t="shared" si="47"/>
        <v>149.654</v>
      </c>
      <c r="T28" s="11">
        <f t="shared" si="47"/>
        <v>68.653999999999996</v>
      </c>
      <c r="U28" s="11">
        <f t="shared" si="47"/>
        <v>-14.346000000000004</v>
      </c>
      <c r="V28" s="11">
        <f t="shared" si="47"/>
        <v>-14.346000000000004</v>
      </c>
    </row>
    <row r="29" spans="2:22" ht="17.100000000000001" customHeight="1">
      <c r="B29" s="10" t="s">
        <v>139</v>
      </c>
      <c r="C29" s="16">
        <v>11.1</v>
      </c>
      <c r="D29" s="16">
        <v>7.5</v>
      </c>
      <c r="E29" s="16">
        <v>10.4</v>
      </c>
      <c r="F29" s="16">
        <v>11.3</v>
      </c>
      <c r="G29" s="16">
        <v>17.600000000000001</v>
      </c>
      <c r="H29" s="16">
        <v>21.6</v>
      </c>
      <c r="I29" s="16">
        <v>15.263</v>
      </c>
      <c r="J29" s="11">
        <f t="shared" ref="J29:V29" si="48">+I29*(J5+J67)/(I5+I67)</f>
        <v>9.8525147965986228</v>
      </c>
      <c r="K29" s="11">
        <f t="shared" si="48"/>
        <v>10.062277756422569</v>
      </c>
      <c r="L29" s="11">
        <f t="shared" si="48"/>
        <v>10.628171929755968</v>
      </c>
      <c r="M29" s="11">
        <f t="shared" si="48"/>
        <v>13.454131370211872</v>
      </c>
      <c r="N29" s="11">
        <f t="shared" si="48"/>
        <v>10.72763478737812</v>
      </c>
      <c r="O29" s="11">
        <f t="shared" si="48"/>
        <v>10.938531069065759</v>
      </c>
      <c r="P29" s="11">
        <f t="shared" si="48"/>
        <v>11.244801292436536</v>
      </c>
      <c r="Q29" s="11">
        <f t="shared" si="48"/>
        <v>12.103377518569639</v>
      </c>
      <c r="R29" s="11">
        <f t="shared" si="48"/>
        <v>14.252629930930961</v>
      </c>
      <c r="S29" s="11">
        <f t="shared" si="48"/>
        <v>14.411536981432615</v>
      </c>
      <c r="T29" s="11">
        <f t="shared" si="48"/>
        <v>13.668914402430911</v>
      </c>
      <c r="U29" s="11">
        <f t="shared" si="48"/>
        <v>13.545406881885398</v>
      </c>
      <c r="V29" s="11">
        <f t="shared" si="48"/>
        <v>15.527186413477216</v>
      </c>
    </row>
    <row r="30" spans="2:22" ht="16.899999999999999" customHeight="1">
      <c r="B30" s="10" t="s">
        <v>87</v>
      </c>
      <c r="C30" s="11">
        <f t="shared" ref="C30:H30" si="49">+C31-C29-C28</f>
        <v>218.58499999999998</v>
      </c>
      <c r="D30" s="11">
        <f t="shared" si="49"/>
        <v>200.93400000000003</v>
      </c>
      <c r="E30" s="11">
        <f t="shared" si="49"/>
        <v>198.04899999999998</v>
      </c>
      <c r="F30" s="11">
        <f t="shared" si="49"/>
        <v>192.83500000000004</v>
      </c>
      <c r="G30" s="11">
        <f t="shared" si="49"/>
        <v>193.08299999999997</v>
      </c>
      <c r="H30" s="11">
        <f t="shared" si="49"/>
        <v>185.90699999999993</v>
      </c>
      <c r="I30" s="11">
        <f>+I31-I29-I28</f>
        <v>178.90899999999999</v>
      </c>
      <c r="J30" s="11">
        <f>+I30</f>
        <v>178.90899999999999</v>
      </c>
      <c r="K30" s="11">
        <f>+J30</f>
        <v>178.90899999999999</v>
      </c>
      <c r="L30" s="11">
        <f t="shared" ref="L30:Q30" si="50">+K30</f>
        <v>178.90899999999999</v>
      </c>
      <c r="M30" s="11">
        <f t="shared" si="50"/>
        <v>178.90899999999999</v>
      </c>
      <c r="N30" s="11">
        <f t="shared" si="50"/>
        <v>178.90899999999999</v>
      </c>
      <c r="O30" s="11">
        <f t="shared" si="50"/>
        <v>178.90899999999999</v>
      </c>
      <c r="P30" s="11">
        <f t="shared" si="50"/>
        <v>178.90899999999999</v>
      </c>
      <c r="Q30" s="11">
        <f t="shared" si="50"/>
        <v>178.90899999999999</v>
      </c>
      <c r="R30" s="11">
        <f t="shared" ref="R30" si="51">+Q30</f>
        <v>178.90899999999999</v>
      </c>
      <c r="S30" s="11">
        <f t="shared" ref="S30" si="52">+R30</f>
        <v>178.90899999999999</v>
      </c>
      <c r="T30" s="11">
        <f t="shared" ref="T30" si="53">+S30</f>
        <v>178.90899999999999</v>
      </c>
      <c r="U30" s="11">
        <f t="shared" ref="U30:V30" si="54">+T30</f>
        <v>178.90899999999999</v>
      </c>
      <c r="V30" s="11">
        <f t="shared" si="54"/>
        <v>178.90899999999999</v>
      </c>
    </row>
    <row r="31" spans="2:22" ht="16.899999999999999" customHeight="1">
      <c r="B31" s="12" t="s">
        <v>140</v>
      </c>
      <c r="C31" s="8">
        <v>627.41300000000001</v>
      </c>
      <c r="D31" s="8">
        <v>603.13400000000001</v>
      </c>
      <c r="E31" s="8">
        <v>601.16</v>
      </c>
      <c r="F31" s="8">
        <v>593.63499999999999</v>
      </c>
      <c r="G31" s="8">
        <v>604.78300000000002</v>
      </c>
      <c r="H31" s="8">
        <v>592.29999999999995</v>
      </c>
      <c r="I31" s="8">
        <v>678.40899999999999</v>
      </c>
      <c r="J31" s="23">
        <f>+SUM(J28:J30)</f>
        <v>672.41551479659859</v>
      </c>
      <c r="K31" s="9">
        <f t="shared" ref="K31:Q31" si="55">+SUM(K28:K30)</f>
        <v>672.62527775642252</v>
      </c>
      <c r="L31" s="9">
        <f t="shared" si="55"/>
        <v>661.19117192975591</v>
      </c>
      <c r="M31" s="9">
        <f t="shared" si="55"/>
        <v>636.01713137021193</v>
      </c>
      <c r="N31" s="9">
        <f t="shared" si="55"/>
        <v>601.29063478737817</v>
      </c>
      <c r="O31" s="9">
        <f t="shared" si="55"/>
        <v>562.50153106906578</v>
      </c>
      <c r="P31" s="9">
        <f t="shared" si="55"/>
        <v>516.80780129243658</v>
      </c>
      <c r="Q31" s="9">
        <f t="shared" si="55"/>
        <v>465.66637751856962</v>
      </c>
      <c r="R31" s="9">
        <f t="shared" ref="R31:V31" si="56">+SUM(R28:R30)</f>
        <v>412.81562993093098</v>
      </c>
      <c r="S31" s="9">
        <f t="shared" si="56"/>
        <v>342.97453698143261</v>
      </c>
      <c r="T31" s="9">
        <f t="shared" si="56"/>
        <v>261.2319144024309</v>
      </c>
      <c r="U31" s="9">
        <f t="shared" si="56"/>
        <v>178.1084068818854</v>
      </c>
      <c r="V31" s="9">
        <f t="shared" si="56"/>
        <v>180.0901864134772</v>
      </c>
    </row>
    <row r="32" spans="2:22" ht="16.899999999999999" customHeight="1">
      <c r="B32" s="12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2:23" ht="17.100000000000001" customHeight="1">
      <c r="B33" s="12" t="s">
        <v>141</v>
      </c>
      <c r="C33" s="9">
        <f>+C26-C31</f>
        <v>239.90499999999997</v>
      </c>
      <c r="D33" s="9">
        <f t="shared" ref="D33:G33" si="57">+D26-D31</f>
        <v>210.93399999999997</v>
      </c>
      <c r="E33" s="9">
        <f t="shared" si="57"/>
        <v>213.226</v>
      </c>
      <c r="F33" s="9">
        <f t="shared" si="57"/>
        <v>218.36500000000001</v>
      </c>
      <c r="G33" s="9">
        <f t="shared" si="57"/>
        <v>209.21699999999998</v>
      </c>
      <c r="H33" s="9">
        <f t="shared" ref="H33:I33" si="58">+H26-H31</f>
        <v>220.80000000000007</v>
      </c>
      <c r="I33" s="23">
        <f t="shared" si="58"/>
        <v>125.48500000000001</v>
      </c>
      <c r="J33" s="9">
        <f t="shared" ref="J33:Q33" si="59">+I33+J13-J15</f>
        <v>125.485</v>
      </c>
      <c r="K33" s="9">
        <f t="shared" si="59"/>
        <v>125.48499999999999</v>
      </c>
      <c r="L33" s="9">
        <f>+K33+L13-L15</f>
        <v>125.48499999999999</v>
      </c>
      <c r="M33" s="9">
        <f t="shared" si="59"/>
        <v>142.82852474925926</v>
      </c>
      <c r="N33" s="9">
        <f t="shared" si="59"/>
        <v>160.60916534443214</v>
      </c>
      <c r="O33" s="9">
        <f t="shared" si="59"/>
        <v>180.04428329686959</v>
      </c>
      <c r="P33" s="9">
        <f t="shared" si="59"/>
        <v>201.12370233598909</v>
      </c>
      <c r="Q33" s="9">
        <f t="shared" si="59"/>
        <v>258.24352696338138</v>
      </c>
      <c r="R33" s="9">
        <f t="shared" ref="R33" si="60">+Q33+R13-R15</f>
        <v>320.19410462331484</v>
      </c>
      <c r="S33" s="9">
        <f t="shared" ref="S33" si="61">+R33+S13-S15</f>
        <v>386.83687167651988</v>
      </c>
      <c r="T33" s="9">
        <f t="shared" ref="T33" si="62">+S33+T13-T15</f>
        <v>456.93173583586599</v>
      </c>
      <c r="U33" s="9">
        <f t="shared" ref="U33:V33" si="63">+T33+U13-U15</f>
        <v>531.15431465913616</v>
      </c>
      <c r="V33" s="9">
        <f t="shared" si="63"/>
        <v>609.60643254568652</v>
      </c>
    </row>
    <row r="34" spans="2:23" ht="17.100000000000001" customHeight="1">
      <c r="B34" s="10"/>
      <c r="C34" s="53">
        <f t="shared" ref="C34:H34" si="64">+C33+C31-C26</f>
        <v>0</v>
      </c>
      <c r="D34" s="53">
        <f t="shared" si="64"/>
        <v>0</v>
      </c>
      <c r="E34" s="53">
        <f t="shared" si="64"/>
        <v>0</v>
      </c>
      <c r="F34" s="53">
        <f t="shared" si="64"/>
        <v>0</v>
      </c>
      <c r="G34" s="53">
        <f t="shared" si="64"/>
        <v>0</v>
      </c>
      <c r="H34" s="53">
        <f t="shared" si="64"/>
        <v>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2:23" s="7" customFormat="1" ht="17.100000000000001" customHeight="1">
      <c r="B35" s="4" t="s">
        <v>142</v>
      </c>
      <c r="C35" s="5">
        <f>+C20</f>
        <v>2019</v>
      </c>
      <c r="D35" s="5">
        <f t="shared" ref="D35:Q35" si="65">+D20</f>
        <v>2020</v>
      </c>
      <c r="E35" s="5">
        <f t="shared" si="65"/>
        <v>2021</v>
      </c>
      <c r="F35" s="5">
        <f t="shared" si="65"/>
        <v>2022</v>
      </c>
      <c r="G35" s="5">
        <f t="shared" si="65"/>
        <v>2023</v>
      </c>
      <c r="H35" s="5">
        <f t="shared" ref="H35" si="66">+H20</f>
        <v>2024</v>
      </c>
      <c r="I35" s="5">
        <f t="shared" si="65"/>
        <v>2025</v>
      </c>
      <c r="J35" s="6" t="str">
        <f t="shared" si="65"/>
        <v>2026E</v>
      </c>
      <c r="K35" s="6" t="str">
        <f t="shared" si="65"/>
        <v>2027E</v>
      </c>
      <c r="L35" s="6" t="str">
        <f t="shared" si="65"/>
        <v>2028E</v>
      </c>
      <c r="M35" s="6" t="str">
        <f t="shared" si="65"/>
        <v>2029E</v>
      </c>
      <c r="N35" s="6" t="str">
        <f t="shared" si="65"/>
        <v>2030E</v>
      </c>
      <c r="O35" s="6" t="str">
        <f t="shared" si="65"/>
        <v>2031E</v>
      </c>
      <c r="P35" s="6" t="str">
        <f t="shared" si="65"/>
        <v>2032E</v>
      </c>
      <c r="Q35" s="6" t="str">
        <f t="shared" si="65"/>
        <v>2033E</v>
      </c>
      <c r="R35" s="6" t="str">
        <f t="shared" ref="R35:V35" si="67">+R20</f>
        <v>2034E</v>
      </c>
      <c r="S35" s="6" t="str">
        <f t="shared" si="67"/>
        <v>2035E</v>
      </c>
      <c r="T35" s="6" t="str">
        <f t="shared" si="67"/>
        <v>2036E</v>
      </c>
      <c r="U35" s="6" t="str">
        <f t="shared" si="67"/>
        <v>2037E</v>
      </c>
      <c r="V35" s="6" t="str">
        <f t="shared" si="67"/>
        <v>2038E</v>
      </c>
    </row>
    <row r="36" spans="2:23" ht="17.100000000000001" customHeight="1"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2:23" ht="17.100000000000001" customHeight="1">
      <c r="B37" s="25" t="s">
        <v>143</v>
      </c>
      <c r="C37" s="9">
        <f t="shared" ref="C37:Q37" si="68">+C22</f>
        <v>67.900000000000006</v>
      </c>
      <c r="D37" s="9">
        <f t="shared" si="68"/>
        <v>33.1</v>
      </c>
      <c r="E37" s="9">
        <f t="shared" si="68"/>
        <v>36.700000000000003</v>
      </c>
      <c r="F37" s="9">
        <f t="shared" si="68"/>
        <v>46.3</v>
      </c>
      <c r="G37" s="9">
        <f t="shared" si="68"/>
        <v>53.6</v>
      </c>
      <c r="H37" s="9">
        <f>+H22</f>
        <v>42.268000000000001</v>
      </c>
      <c r="I37" s="9">
        <f t="shared" si="68"/>
        <v>79.489999999999995</v>
      </c>
      <c r="J37" s="9">
        <f>+J22</f>
        <v>89.063270063416212</v>
      </c>
      <c r="K37" s="9">
        <f t="shared" si="68"/>
        <v>106.14300915817829</v>
      </c>
      <c r="L37" s="9">
        <f t="shared" si="68"/>
        <v>108.88665599182764</v>
      </c>
      <c r="M37" s="9">
        <f t="shared" si="68"/>
        <v>96.774453364306879</v>
      </c>
      <c r="N37" s="9">
        <f t="shared" si="68"/>
        <v>97.908547049025003</v>
      </c>
      <c r="O37" s="9">
        <f t="shared" si="68"/>
        <v>96.376098179241183</v>
      </c>
      <c r="P37" s="9">
        <f t="shared" si="68"/>
        <v>89.635790620540831</v>
      </c>
      <c r="Q37" s="9">
        <f t="shared" si="68"/>
        <v>109.63591909679576</v>
      </c>
      <c r="R37" s="9">
        <f t="shared" ref="R37:V37" si="69">+R22</f>
        <v>119.99561663083955</v>
      </c>
      <c r="S37" s="9">
        <f t="shared" si="69"/>
        <v>120.4311097786341</v>
      </c>
      <c r="T37" s="9">
        <f t="shared" si="69"/>
        <v>120.39297588294153</v>
      </c>
      <c r="U37" s="9">
        <f t="shared" si="69"/>
        <v>125.49742394724603</v>
      </c>
      <c r="V37" s="9">
        <f t="shared" si="69"/>
        <v>207.31224871606355</v>
      </c>
    </row>
    <row r="38" spans="2:23" ht="17.100000000000001" customHeight="1">
      <c r="B38" s="10" t="s">
        <v>144</v>
      </c>
      <c r="C38" s="15"/>
      <c r="D38" s="15">
        <f t="shared" ref="D38:I38" si="70">+D9/C37</f>
        <v>4.2709867452135487E-2</v>
      </c>
      <c r="E38" s="15">
        <f t="shared" si="70"/>
        <v>7.5528700906344406E-2</v>
      </c>
      <c r="F38" s="15">
        <f t="shared" si="70"/>
        <v>6.5395095367847406E-2</v>
      </c>
      <c r="G38" s="15">
        <f t="shared" si="70"/>
        <v>8.6393088552915775E-2</v>
      </c>
      <c r="H38" s="15">
        <f t="shared" si="70"/>
        <v>9.6194029850746265E-2</v>
      </c>
      <c r="I38" s="15">
        <f t="shared" si="70"/>
        <v>0.11171571874704268</v>
      </c>
      <c r="J38" s="14">
        <f t="shared" ref="J38:M38" si="71">+I38-0.01</f>
        <v>0.10171571874704269</v>
      </c>
      <c r="K38" s="14">
        <f t="shared" si="71"/>
        <v>9.1715718747042693E-2</v>
      </c>
      <c r="L38" s="14">
        <f t="shared" si="71"/>
        <v>8.1715718747042698E-2</v>
      </c>
      <c r="M38" s="14">
        <f t="shared" si="71"/>
        <v>7.1715718747042703E-2</v>
      </c>
      <c r="N38" s="14">
        <v>0.02</v>
      </c>
      <c r="O38" s="14">
        <v>0.02</v>
      </c>
      <c r="P38" s="14">
        <v>0.02</v>
      </c>
      <c r="Q38" s="14">
        <v>0.02</v>
      </c>
      <c r="R38" s="14">
        <v>0.02</v>
      </c>
      <c r="S38" s="14">
        <v>0.02</v>
      </c>
      <c r="T38" s="14">
        <v>0.02</v>
      </c>
      <c r="U38" s="14">
        <v>0.02</v>
      </c>
      <c r="V38" s="14">
        <v>0.02</v>
      </c>
    </row>
    <row r="39" spans="2:23" ht="17.100000000000001" customHeight="1"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2:23" ht="17.100000000000001" customHeight="1">
      <c r="B40" s="25" t="s">
        <v>138</v>
      </c>
      <c r="C40" s="9">
        <f t="shared" ref="C40:F40" si="72">+C28</f>
        <v>397.72800000000001</v>
      </c>
      <c r="D40" s="9">
        <f t="shared" si="72"/>
        <v>394.7</v>
      </c>
      <c r="E40" s="9">
        <f t="shared" si="72"/>
        <v>392.71100000000001</v>
      </c>
      <c r="F40" s="9">
        <f t="shared" si="72"/>
        <v>389.5</v>
      </c>
      <c r="G40" s="9">
        <f>+G28</f>
        <v>394.1</v>
      </c>
      <c r="H40" s="9">
        <f>+H28</f>
        <v>384.79300000000001</v>
      </c>
      <c r="I40" s="23">
        <f>+I28</f>
        <v>484.23699999999997</v>
      </c>
      <c r="J40" s="9">
        <f>+I40+J49-J51</f>
        <v>483.654</v>
      </c>
      <c r="K40" s="9">
        <f t="shared" ref="K40:V40" si="73">+J40+K49-K51</f>
        <v>483.654</v>
      </c>
      <c r="L40" s="9">
        <f t="shared" si="73"/>
        <v>471.654</v>
      </c>
      <c r="M40" s="9">
        <f t="shared" si="73"/>
        <v>443.654</v>
      </c>
      <c r="N40" s="9">
        <f t="shared" si="73"/>
        <v>411.654</v>
      </c>
      <c r="O40" s="9">
        <f t="shared" si="73"/>
        <v>372.654</v>
      </c>
      <c r="P40" s="9">
        <f t="shared" si="73"/>
        <v>326.654</v>
      </c>
      <c r="Q40" s="9">
        <f t="shared" si="73"/>
        <v>274.654</v>
      </c>
      <c r="R40" s="9">
        <f t="shared" si="73"/>
        <v>219.654</v>
      </c>
      <c r="S40" s="9">
        <f t="shared" si="73"/>
        <v>149.654</v>
      </c>
      <c r="T40" s="9">
        <f t="shared" si="73"/>
        <v>68.653999999999996</v>
      </c>
      <c r="U40" s="9">
        <f t="shared" si="73"/>
        <v>-14.346000000000004</v>
      </c>
      <c r="V40" s="9">
        <f t="shared" si="73"/>
        <v>-14.346000000000004</v>
      </c>
      <c r="W40" s="173"/>
    </row>
    <row r="41" spans="2:23" ht="17.100000000000001" customHeight="1">
      <c r="B41" s="3" t="s">
        <v>145</v>
      </c>
      <c r="C41" s="16">
        <v>397.3</v>
      </c>
      <c r="D41" s="16">
        <v>394.2</v>
      </c>
      <c r="E41" s="16">
        <v>302.2</v>
      </c>
      <c r="F41" s="16">
        <v>388.7</v>
      </c>
      <c r="G41" s="16">
        <v>383.5</v>
      </c>
      <c r="H41" s="16">
        <v>370.82299999999998</v>
      </c>
      <c r="I41" s="16">
        <v>0</v>
      </c>
      <c r="J41" s="11">
        <f t="shared" ref="J41:V41" si="74">+I41-J52</f>
        <v>0</v>
      </c>
      <c r="K41" s="11">
        <f t="shared" si="74"/>
        <v>0</v>
      </c>
      <c r="L41" s="11">
        <f t="shared" si="74"/>
        <v>0</v>
      </c>
      <c r="M41" s="11">
        <f t="shared" si="74"/>
        <v>0</v>
      </c>
      <c r="N41" s="11">
        <f t="shared" si="74"/>
        <v>0</v>
      </c>
      <c r="O41" s="11">
        <f t="shared" si="74"/>
        <v>0</v>
      </c>
      <c r="P41" s="11">
        <f t="shared" si="74"/>
        <v>0</v>
      </c>
      <c r="Q41" s="11">
        <f t="shared" si="74"/>
        <v>0</v>
      </c>
      <c r="R41" s="11">
        <f t="shared" si="74"/>
        <v>0</v>
      </c>
      <c r="S41" s="11">
        <f t="shared" si="74"/>
        <v>0</v>
      </c>
      <c r="T41" s="11">
        <f t="shared" si="74"/>
        <v>0</v>
      </c>
      <c r="U41" s="11">
        <f t="shared" si="74"/>
        <v>0</v>
      </c>
      <c r="V41" s="11">
        <f t="shared" si="74"/>
        <v>0</v>
      </c>
      <c r="W41" s="173"/>
    </row>
    <row r="42" spans="2:23" ht="17.100000000000001" customHeight="1">
      <c r="B42" s="3" t="s">
        <v>146</v>
      </c>
      <c r="C42" s="16">
        <v>0</v>
      </c>
      <c r="D42" s="16">
        <v>0</v>
      </c>
      <c r="E42" s="16">
        <v>90</v>
      </c>
      <c r="F42" s="16">
        <v>0</v>
      </c>
      <c r="G42" s="16">
        <v>10</v>
      </c>
      <c r="H42" s="16">
        <v>13.3</v>
      </c>
      <c r="I42" s="16">
        <v>210.15700000000001</v>
      </c>
      <c r="J42" s="11">
        <v>0</v>
      </c>
      <c r="K42" s="11">
        <f t="shared" ref="K42:V42" si="75">+J42-K53</f>
        <v>0</v>
      </c>
      <c r="L42" s="11">
        <f t="shared" si="75"/>
        <v>0</v>
      </c>
      <c r="M42" s="11">
        <f t="shared" si="75"/>
        <v>0</v>
      </c>
      <c r="N42" s="11">
        <f t="shared" si="75"/>
        <v>0</v>
      </c>
      <c r="O42" s="11">
        <f t="shared" si="75"/>
        <v>0</v>
      </c>
      <c r="P42" s="11">
        <f t="shared" si="75"/>
        <v>0</v>
      </c>
      <c r="Q42" s="11">
        <f t="shared" si="75"/>
        <v>0</v>
      </c>
      <c r="R42" s="11">
        <f t="shared" si="75"/>
        <v>0</v>
      </c>
      <c r="S42" s="11">
        <f t="shared" si="75"/>
        <v>0</v>
      </c>
      <c r="T42" s="11">
        <f t="shared" si="75"/>
        <v>0</v>
      </c>
      <c r="U42" s="11">
        <f t="shared" si="75"/>
        <v>0</v>
      </c>
      <c r="V42" s="11">
        <f t="shared" si="75"/>
        <v>0</v>
      </c>
    </row>
    <row r="43" spans="2:23" ht="17.100000000000001" customHeight="1">
      <c r="B43" s="3" t="s">
        <v>147</v>
      </c>
      <c r="C43" s="16"/>
      <c r="D43" s="16"/>
      <c r="E43" s="16"/>
      <c r="F43" s="16"/>
      <c r="G43" s="16"/>
      <c r="H43" s="16"/>
      <c r="I43" s="16">
        <v>273.49700000000001</v>
      </c>
      <c r="J43" s="11">
        <v>0</v>
      </c>
      <c r="K43" s="11">
        <f>+J43-K54</f>
        <v>0</v>
      </c>
      <c r="L43" s="11">
        <f t="shared" ref="L43:V43" si="76">+K43-L54</f>
        <v>0</v>
      </c>
      <c r="M43" s="11">
        <f t="shared" si="76"/>
        <v>0</v>
      </c>
      <c r="N43" s="11">
        <f t="shared" si="76"/>
        <v>0</v>
      </c>
      <c r="O43" s="11">
        <f t="shared" si="76"/>
        <v>0</v>
      </c>
      <c r="P43" s="11">
        <f t="shared" si="76"/>
        <v>0</v>
      </c>
      <c r="Q43" s="11">
        <f t="shared" si="76"/>
        <v>0</v>
      </c>
      <c r="R43" s="11">
        <f t="shared" si="76"/>
        <v>0</v>
      </c>
      <c r="S43" s="11">
        <f t="shared" si="76"/>
        <v>0</v>
      </c>
      <c r="T43" s="11">
        <f t="shared" si="76"/>
        <v>0</v>
      </c>
      <c r="U43" s="11">
        <f t="shared" si="76"/>
        <v>0</v>
      </c>
      <c r="V43" s="11">
        <f t="shared" si="76"/>
        <v>0</v>
      </c>
    </row>
    <row r="44" spans="2:23" ht="17.100000000000001" customHeight="1">
      <c r="B44" s="3" t="s">
        <v>148</v>
      </c>
      <c r="C44" s="16"/>
      <c r="D44" s="16"/>
      <c r="E44" s="16"/>
      <c r="F44" s="16"/>
      <c r="G44" s="16"/>
      <c r="H44" s="16"/>
      <c r="I44" s="13"/>
      <c r="J44" s="177">
        <v>300</v>
      </c>
      <c r="K44" s="11">
        <f t="shared" ref="K44:Q44" si="77">+J44-K55</f>
        <v>300</v>
      </c>
      <c r="L44" s="11">
        <f t="shared" si="77"/>
        <v>300</v>
      </c>
      <c r="M44" s="11">
        <f t="shared" si="77"/>
        <v>300</v>
      </c>
      <c r="N44" s="11">
        <f t="shared" si="77"/>
        <v>281</v>
      </c>
      <c r="O44" s="11">
        <f t="shared" si="77"/>
        <v>262</v>
      </c>
      <c r="P44" s="11">
        <f t="shared" si="77"/>
        <v>242</v>
      </c>
      <c r="Q44" s="11">
        <f t="shared" si="77"/>
        <v>222</v>
      </c>
      <c r="R44" s="11">
        <f t="shared" ref="R44:V45" si="78">+Q44-R55</f>
        <v>202</v>
      </c>
      <c r="S44" s="11">
        <f t="shared" si="78"/>
        <v>165</v>
      </c>
      <c r="T44" s="11">
        <f t="shared" si="78"/>
        <v>84</v>
      </c>
      <c r="U44" s="11">
        <f t="shared" si="78"/>
        <v>1</v>
      </c>
      <c r="V44" s="11">
        <f t="shared" si="78"/>
        <v>1</v>
      </c>
    </row>
    <row r="45" spans="2:23" ht="17.100000000000001" customHeight="1">
      <c r="B45" s="3" t="s">
        <v>149</v>
      </c>
      <c r="C45" s="16"/>
      <c r="D45" s="16"/>
      <c r="E45" s="16"/>
      <c r="F45" s="16"/>
      <c r="G45" s="16"/>
      <c r="H45" s="16"/>
      <c r="I45" s="13"/>
      <c r="J45" s="177">
        <v>200</v>
      </c>
      <c r="K45" s="11">
        <f t="shared" ref="K45" si="79">+J45-K56</f>
        <v>200</v>
      </c>
      <c r="L45" s="11">
        <f>+K45-L56</f>
        <v>188</v>
      </c>
      <c r="M45" s="11">
        <f t="shared" ref="M45" si="80">+L45-M56</f>
        <v>160</v>
      </c>
      <c r="N45" s="11">
        <f t="shared" ref="N45" si="81">+M45-N56</f>
        <v>147</v>
      </c>
      <c r="O45" s="11">
        <f t="shared" ref="O45" si="82">+N45-O56</f>
        <v>127</v>
      </c>
      <c r="P45" s="11">
        <f t="shared" ref="P45" si="83">+O45-P56</f>
        <v>101</v>
      </c>
      <c r="Q45" s="11">
        <f t="shared" ref="Q45" si="84">+P45-Q56</f>
        <v>69</v>
      </c>
      <c r="R45" s="11">
        <f t="shared" si="78"/>
        <v>34</v>
      </c>
      <c r="S45" s="11">
        <f t="shared" si="78"/>
        <v>1</v>
      </c>
      <c r="T45" s="11">
        <f t="shared" si="78"/>
        <v>1</v>
      </c>
      <c r="U45" s="11">
        <f t="shared" si="78"/>
        <v>1</v>
      </c>
      <c r="V45" s="11">
        <f t="shared" si="78"/>
        <v>1</v>
      </c>
    </row>
    <row r="46" spans="2:23" ht="17.100000000000001" customHeight="1">
      <c r="B46" s="24" t="s">
        <v>150</v>
      </c>
      <c r="C46" s="11">
        <f t="shared" ref="C46:H46" si="85">+C40-C41-C42</f>
        <v>0.42799999999999727</v>
      </c>
      <c r="D46" s="11">
        <f t="shared" si="85"/>
        <v>0.5</v>
      </c>
      <c r="E46" s="11">
        <f t="shared" si="85"/>
        <v>0.5110000000000241</v>
      </c>
      <c r="F46" s="11">
        <f t="shared" si="85"/>
        <v>0.80000000000001137</v>
      </c>
      <c r="G46" s="11">
        <f t="shared" si="85"/>
        <v>0.60000000000002274</v>
      </c>
      <c r="H46" s="11">
        <f t="shared" si="85"/>
        <v>0.67000000000002657</v>
      </c>
      <c r="I46" s="11">
        <f t="shared" ref="I46:V46" si="86">+I40-SUM(I41:I45)</f>
        <v>0.58299999999996999</v>
      </c>
      <c r="J46" s="11">
        <f t="shared" si="86"/>
        <v>-16.346000000000004</v>
      </c>
      <c r="K46" s="11">
        <f t="shared" si="86"/>
        <v>-16.346000000000004</v>
      </c>
      <c r="L46" s="11">
        <f t="shared" si="86"/>
        <v>-16.346000000000004</v>
      </c>
      <c r="M46" s="11">
        <f t="shared" si="86"/>
        <v>-16.346000000000004</v>
      </c>
      <c r="N46" s="11">
        <f t="shared" si="86"/>
        <v>-16.346000000000004</v>
      </c>
      <c r="O46" s="11">
        <f t="shared" si="86"/>
        <v>-16.346000000000004</v>
      </c>
      <c r="P46" s="11">
        <f t="shared" si="86"/>
        <v>-16.346000000000004</v>
      </c>
      <c r="Q46" s="11">
        <f t="shared" si="86"/>
        <v>-16.346000000000004</v>
      </c>
      <c r="R46" s="11">
        <f t="shared" si="86"/>
        <v>-16.346000000000004</v>
      </c>
      <c r="S46" s="11">
        <f t="shared" si="86"/>
        <v>-16.346000000000004</v>
      </c>
      <c r="T46" s="11">
        <f t="shared" si="86"/>
        <v>-16.346000000000004</v>
      </c>
      <c r="U46" s="11">
        <f t="shared" si="86"/>
        <v>-16.346000000000004</v>
      </c>
      <c r="V46" s="11">
        <f t="shared" si="86"/>
        <v>-16.346000000000004</v>
      </c>
    </row>
    <row r="47" spans="2:23" ht="17.100000000000001" customHeight="1">
      <c r="B47" s="25" t="s">
        <v>151</v>
      </c>
      <c r="C47" s="82"/>
      <c r="D47" s="82">
        <f t="shared" ref="D47:H47" si="87">+D10/C40</f>
        <v>0.1247083433904578</v>
      </c>
      <c r="E47" s="82">
        <f t="shared" si="87"/>
        <v>0.12870534583227766</v>
      </c>
      <c r="F47" s="82">
        <f t="shared" si="87"/>
        <v>0.1245190483587167</v>
      </c>
      <c r="G47" s="82">
        <f t="shared" si="87"/>
        <v>0.12708600770218229</v>
      </c>
      <c r="H47" s="82">
        <f t="shared" si="87"/>
        <v>0.1263004313625983</v>
      </c>
      <c r="I47" s="82">
        <f>+I10/H40</f>
        <v>0.15516654408993927</v>
      </c>
      <c r="J47" s="83">
        <v>0.09</v>
      </c>
      <c r="K47" s="83">
        <v>0.09</v>
      </c>
      <c r="L47" s="83">
        <v>0.09</v>
      </c>
      <c r="M47" s="83">
        <v>0.09</v>
      </c>
      <c r="N47" s="83">
        <v>0.09</v>
      </c>
      <c r="O47" s="83">
        <v>0.09</v>
      </c>
      <c r="P47" s="83">
        <v>0.09</v>
      </c>
      <c r="Q47" s="83">
        <v>0.09</v>
      </c>
      <c r="R47" s="83">
        <v>0.09</v>
      </c>
      <c r="S47" s="83">
        <v>0.09</v>
      </c>
      <c r="T47" s="83">
        <v>0.09</v>
      </c>
      <c r="U47" s="83">
        <v>0.09</v>
      </c>
      <c r="V47" s="83">
        <v>0.09</v>
      </c>
    </row>
    <row r="48" spans="2:23" ht="16.899999999999999" customHeight="1">
      <c r="B48" s="25"/>
      <c r="C48" s="9"/>
      <c r="D48" s="9"/>
      <c r="E48" s="9"/>
      <c r="F48" s="9"/>
      <c r="G48" s="21"/>
      <c r="H48" s="21"/>
      <c r="I48" s="9"/>
      <c r="J48" s="9"/>
      <c r="K48" s="9"/>
      <c r="L48" s="164"/>
      <c r="M48" s="55"/>
      <c r="N48" s="55"/>
      <c r="O48" s="55"/>
      <c r="P48" s="55"/>
      <c r="Q48" s="55"/>
      <c r="R48" s="55"/>
      <c r="S48" s="55"/>
      <c r="T48" s="55"/>
      <c r="U48" s="55"/>
      <c r="V48" s="55"/>
    </row>
    <row r="49" spans="2:22" ht="17.100000000000001" customHeight="1">
      <c r="B49" s="7" t="s">
        <v>122</v>
      </c>
      <c r="C49" s="8">
        <v>0</v>
      </c>
      <c r="D49" s="8">
        <v>0</v>
      </c>
      <c r="E49" s="8">
        <v>0</v>
      </c>
      <c r="F49" s="8">
        <v>0</v>
      </c>
      <c r="G49" s="8">
        <v>10</v>
      </c>
      <c r="H49" s="8">
        <v>3.5</v>
      </c>
      <c r="I49" s="8">
        <v>200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2:22" ht="17.100000000000001" customHeight="1"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</row>
    <row r="51" spans="2:22" s="3" customFormat="1" ht="17.100000000000001" customHeight="1">
      <c r="B51" s="12" t="s">
        <v>152</v>
      </c>
      <c r="C51" s="8">
        <v>0</v>
      </c>
      <c r="D51" s="8">
        <v>0</v>
      </c>
      <c r="E51" s="8">
        <v>5</v>
      </c>
      <c r="F51" s="8">
        <v>4.0999999999999996</v>
      </c>
      <c r="G51" s="8">
        <v>6.2</v>
      </c>
      <c r="H51" s="8">
        <f>14.12+0.26</f>
        <v>14.379999999999999</v>
      </c>
      <c r="I51" s="8">
        <f>70.814+0.26</f>
        <v>71.073999999999998</v>
      </c>
      <c r="J51" s="30">
        <f>+SUM(J52:J57)</f>
        <v>0.58299999999996999</v>
      </c>
      <c r="K51" s="30">
        <f t="shared" ref="K51:V51" si="88">+SUM(K52:K56)</f>
        <v>0</v>
      </c>
      <c r="L51" s="30">
        <f>+SUM(L52:L56)</f>
        <v>12</v>
      </c>
      <c r="M51" s="30">
        <f t="shared" si="88"/>
        <v>28</v>
      </c>
      <c r="N51" s="30">
        <f t="shared" si="88"/>
        <v>32</v>
      </c>
      <c r="O51" s="30">
        <f t="shared" si="88"/>
        <v>39</v>
      </c>
      <c r="P51" s="30">
        <f t="shared" si="88"/>
        <v>46</v>
      </c>
      <c r="Q51" s="30">
        <f t="shared" si="88"/>
        <v>52</v>
      </c>
      <c r="R51" s="30">
        <f t="shared" si="88"/>
        <v>55</v>
      </c>
      <c r="S51" s="30">
        <f t="shared" si="88"/>
        <v>70</v>
      </c>
      <c r="T51" s="30">
        <f t="shared" si="88"/>
        <v>81</v>
      </c>
      <c r="U51" s="30">
        <f t="shared" si="88"/>
        <v>83</v>
      </c>
      <c r="V51" s="30">
        <f t="shared" si="88"/>
        <v>0</v>
      </c>
    </row>
    <row r="52" spans="2:22" s="3" customFormat="1" ht="17.100000000000001" customHeight="1">
      <c r="B52" s="3" t="str">
        <f>+B41</f>
        <v>QUIPORT US$400M 12.0% due Mar. 2033</v>
      </c>
      <c r="C52" s="26"/>
      <c r="D52" s="11"/>
      <c r="E52" s="11"/>
      <c r="F52" s="9"/>
      <c r="G52" s="16"/>
      <c r="H52" s="16"/>
      <c r="I52" s="13"/>
      <c r="J52" s="13">
        <f>I41</f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</row>
    <row r="53" spans="2:22" s="3" customFormat="1" ht="17.100000000000001" customHeight="1">
      <c r="B53" s="3" t="str">
        <f>+B42</f>
        <v>Local Banks</v>
      </c>
      <c r="C53" s="26"/>
      <c r="D53" s="11"/>
      <c r="E53" s="11"/>
      <c r="F53" s="11"/>
      <c r="G53" s="16"/>
      <c r="H53" s="16"/>
      <c r="I53" s="13"/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</row>
    <row r="54" spans="2:22" s="3" customFormat="1" ht="17.100000000000001" customHeight="1">
      <c r="B54" s="3" t="s">
        <v>147</v>
      </c>
      <c r="C54" s="26"/>
      <c r="D54" s="11"/>
      <c r="E54" s="11"/>
      <c r="F54" s="11"/>
      <c r="G54" s="16"/>
      <c r="H54" s="16"/>
      <c r="I54" s="13"/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</row>
    <row r="55" spans="2:22" s="3" customFormat="1" ht="17.100000000000001" customHeight="1">
      <c r="B55" s="3" t="str">
        <f t="shared" ref="B55" si="89">+B44</f>
        <v>QUIPORT US$300M 9.0% due Dec. 2037</v>
      </c>
      <c r="C55" s="26"/>
      <c r="D55" s="11"/>
      <c r="E55" s="11"/>
      <c r="F55" s="9"/>
      <c r="G55" s="16"/>
      <c r="H55" s="16"/>
      <c r="I55" s="13"/>
      <c r="J55" s="13">
        <v>0</v>
      </c>
      <c r="K55" s="13">
        <v>0</v>
      </c>
      <c r="L55" s="13">
        <v>0</v>
      </c>
      <c r="M55" s="13">
        <v>0</v>
      </c>
      <c r="N55" s="13">
        <v>19</v>
      </c>
      <c r="O55" s="13">
        <v>19</v>
      </c>
      <c r="P55" s="13">
        <v>20</v>
      </c>
      <c r="Q55" s="13">
        <f>346-294-Q56</f>
        <v>20</v>
      </c>
      <c r="R55" s="13">
        <v>20</v>
      </c>
      <c r="S55" s="13">
        <v>37</v>
      </c>
      <c r="T55" s="13">
        <f>171-90</f>
        <v>81</v>
      </c>
      <c r="U55" s="13">
        <v>83</v>
      </c>
      <c r="V55" s="13">
        <v>0</v>
      </c>
    </row>
    <row r="56" spans="2:22" s="3" customFormat="1" ht="17.100000000000001" customHeight="1">
      <c r="B56" s="3" t="str">
        <f>+B45</f>
        <v>Ecuadorian Loans due 2035</v>
      </c>
      <c r="C56" s="26"/>
      <c r="D56" s="11"/>
      <c r="E56" s="11"/>
      <c r="F56" s="11"/>
      <c r="G56" s="16"/>
      <c r="H56" s="16"/>
      <c r="I56" s="13"/>
      <c r="J56" s="13">
        <v>0</v>
      </c>
      <c r="K56" s="13">
        <v>0</v>
      </c>
      <c r="L56" s="13">
        <v>12</v>
      </c>
      <c r="M56" s="13">
        <v>28</v>
      </c>
      <c r="N56" s="13">
        <v>13</v>
      </c>
      <c r="O56" s="13">
        <v>20</v>
      </c>
      <c r="P56" s="13">
        <v>26</v>
      </c>
      <c r="Q56" s="13">
        <v>32</v>
      </c>
      <c r="R56" s="13">
        <v>35</v>
      </c>
      <c r="S56" s="13">
        <v>33</v>
      </c>
      <c r="T56" s="13">
        <v>0</v>
      </c>
      <c r="U56" s="13">
        <v>0</v>
      </c>
      <c r="V56" s="13">
        <v>0</v>
      </c>
    </row>
    <row r="57" spans="2:22" s="3" customFormat="1" ht="17.100000000000001" customHeight="1">
      <c r="B57" s="3" t="str">
        <f t="shared" ref="B57" si="90">+B46</f>
        <v>Others (incl. accrued interest)</v>
      </c>
      <c r="C57" s="26"/>
      <c r="D57" s="11"/>
      <c r="E57" s="11"/>
      <c r="F57" s="11"/>
      <c r="G57" s="11"/>
      <c r="H57" s="11"/>
      <c r="I57" s="11">
        <f>H46</f>
        <v>0.67000000000002657</v>
      </c>
      <c r="J57" s="11">
        <f>I46</f>
        <v>0.58299999999996999</v>
      </c>
      <c r="K57" s="11">
        <f>+K51-K52-K53</f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</row>
    <row r="58" spans="2:22" s="7" customFormat="1" ht="17.100000000000001" customHeight="1">
      <c r="B58" s="24"/>
      <c r="C58" s="37"/>
      <c r="D58" s="37"/>
      <c r="E58" s="37"/>
      <c r="F58" s="37"/>
      <c r="G58" s="77"/>
      <c r="H58" s="7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2:22" ht="17.100000000000001" customHeight="1">
      <c r="B59" s="12" t="s">
        <v>153</v>
      </c>
      <c r="C59" s="9">
        <f t="shared" ref="C59:V59" si="91">+C40-C37</f>
        <v>329.82799999999997</v>
      </c>
      <c r="D59" s="9">
        <f t="shared" si="91"/>
        <v>361.59999999999997</v>
      </c>
      <c r="E59" s="9">
        <f t="shared" si="91"/>
        <v>356.01100000000002</v>
      </c>
      <c r="F59" s="9">
        <f t="shared" si="91"/>
        <v>343.2</v>
      </c>
      <c r="G59" s="9">
        <f t="shared" si="91"/>
        <v>340.5</v>
      </c>
      <c r="H59" s="9">
        <f t="shared" si="91"/>
        <v>342.52499999999998</v>
      </c>
      <c r="I59" s="9">
        <f>+I40-I37</f>
        <v>404.74699999999996</v>
      </c>
      <c r="J59" s="9">
        <f>+J40-J37</f>
        <v>394.59072993658378</v>
      </c>
      <c r="K59" s="9">
        <f t="shared" si="91"/>
        <v>377.51099084182169</v>
      </c>
      <c r="L59" s="9">
        <f t="shared" si="91"/>
        <v>362.76734400817236</v>
      </c>
      <c r="M59" s="9">
        <f t="shared" si="91"/>
        <v>346.87954663569315</v>
      </c>
      <c r="N59" s="9">
        <f t="shared" si="91"/>
        <v>313.74545295097499</v>
      </c>
      <c r="O59" s="9">
        <f t="shared" si="91"/>
        <v>276.27790182075881</v>
      </c>
      <c r="P59" s="9">
        <f t="shared" si="91"/>
        <v>237.01820937945917</v>
      </c>
      <c r="Q59" s="9">
        <f t="shared" si="91"/>
        <v>165.01808090320424</v>
      </c>
      <c r="R59" s="9">
        <f t="shared" si="91"/>
        <v>99.658383369160447</v>
      </c>
      <c r="S59" s="9">
        <f t="shared" si="91"/>
        <v>29.222890221365901</v>
      </c>
      <c r="T59" s="9">
        <f t="shared" si="91"/>
        <v>-51.738975882941531</v>
      </c>
      <c r="U59" s="9">
        <f t="shared" si="91"/>
        <v>-139.84342394724604</v>
      </c>
      <c r="V59" s="9">
        <f t="shared" si="91"/>
        <v>-221.65824871606355</v>
      </c>
    </row>
    <row r="60" spans="2:22" ht="17.100000000000001" customHeight="1">
      <c r="B60" s="12" t="s">
        <v>154</v>
      </c>
      <c r="C60" s="23">
        <f t="shared" ref="C60:V60" si="92">+C59/C6</f>
        <v>2.6997241571240309</v>
      </c>
      <c r="D60" s="23">
        <f t="shared" si="92"/>
        <v>7.3300764225334971</v>
      </c>
      <c r="E60" s="23">
        <f t="shared" si="92"/>
        <v>5.250667374599943</v>
      </c>
      <c r="F60" s="23">
        <f t="shared" si="92"/>
        <v>3.1165717710518428</v>
      </c>
      <c r="G60" s="23">
        <f t="shared" si="92"/>
        <v>2.4341945353941177</v>
      </c>
      <c r="H60" s="23">
        <f t="shared" si="92"/>
        <v>2.3306569591399309</v>
      </c>
      <c r="I60" s="23">
        <f>+I59/I6</f>
        <v>2.4875819725027193</v>
      </c>
      <c r="J60" s="23">
        <f t="shared" si="92"/>
        <v>2.3675537174888612</v>
      </c>
      <c r="K60" s="23">
        <f t="shared" si="92"/>
        <v>2.2092153352858546</v>
      </c>
      <c r="L60" s="23">
        <f t="shared" si="92"/>
        <v>2.0490685761574521</v>
      </c>
      <c r="M60" s="23">
        <f t="shared" si="92"/>
        <v>1.8936374691288533</v>
      </c>
      <c r="N60" s="23">
        <f t="shared" si="92"/>
        <v>1.6544859065574267</v>
      </c>
      <c r="O60" s="23">
        <f t="shared" si="92"/>
        <v>1.40367100575769</v>
      </c>
      <c r="P60" s="23">
        <f t="shared" si="92"/>
        <v>1.1653697604857944</v>
      </c>
      <c r="Q60" s="23">
        <f t="shared" si="92"/>
        <v>0.78489497238874562</v>
      </c>
      <c r="R60" s="23">
        <f t="shared" si="92"/>
        <v>0.45860341034875296</v>
      </c>
      <c r="S60" s="23">
        <f t="shared" si="92"/>
        <v>0.13013127505950417</v>
      </c>
      <c r="T60" s="23">
        <f t="shared" si="92"/>
        <v>-0.22768178231489444</v>
      </c>
      <c r="U60" s="23">
        <f t="shared" si="92"/>
        <v>-0.60705846833763444</v>
      </c>
      <c r="V60" s="23">
        <f t="shared" si="92"/>
        <v>-0.94989272851525919</v>
      </c>
    </row>
    <row r="61" spans="2:22" s="165" customFormat="1" ht="17.100000000000001" customHeight="1">
      <c r="B61" s="166" t="s">
        <v>155</v>
      </c>
      <c r="C61" s="167"/>
      <c r="D61" s="168">
        <v>0.63</v>
      </c>
      <c r="E61" s="168">
        <v>1.0900000000000001</v>
      </c>
      <c r="F61" s="168">
        <v>1.63</v>
      </c>
      <c r="G61" s="168">
        <v>2</v>
      </c>
      <c r="H61" s="168">
        <v>2</v>
      </c>
      <c r="I61" s="167">
        <f>+I70/(I73+I71)</f>
        <v>1.0551725248880439</v>
      </c>
      <c r="J61" s="167">
        <f>+J70/(J73+J71)</f>
        <v>3.2578864412647253</v>
      </c>
      <c r="K61" s="167">
        <f>+K70/(K73+K71)</f>
        <v>3.6250892496993359</v>
      </c>
      <c r="L61" s="167">
        <f>+L70/(L73+L71)</f>
        <v>2.7957476979386771</v>
      </c>
      <c r="M61" s="167">
        <f t="shared" ref="M61:V61" si="93">+M70/(M73+M71)</f>
        <v>1.9141430242175426</v>
      </c>
      <c r="N61" s="167">
        <f t="shared" si="93"/>
        <v>2.0323357069753287</v>
      </c>
      <c r="O61" s="167">
        <f t="shared" si="93"/>
        <v>2.0285775973720508</v>
      </c>
      <c r="P61" s="167">
        <f t="shared" si="93"/>
        <v>1.9995623134519123</v>
      </c>
      <c r="Q61" s="167">
        <f t="shared" si="93"/>
        <v>1.9687688543476822</v>
      </c>
      <c r="R61" s="167">
        <f t="shared" si="93"/>
        <v>1.9327211916493545</v>
      </c>
      <c r="S61" s="167">
        <f t="shared" si="93"/>
        <v>1.7677585914891534</v>
      </c>
      <c r="T61" s="167">
        <f t="shared" si="93"/>
        <v>1.7609879350136142</v>
      </c>
      <c r="U61" s="167">
        <f t="shared" si="93"/>
        <v>1.9142112738888899</v>
      </c>
      <c r="V61" s="167">
        <f t="shared" si="93"/>
        <v>-41.16343385404533</v>
      </c>
    </row>
    <row r="62" spans="2:22" ht="17.100000000000001" customHeight="1">
      <c r="B62" s="10" t="s">
        <v>156</v>
      </c>
      <c r="C62" s="23"/>
      <c r="D62" s="57"/>
      <c r="E62" s="57"/>
      <c r="F62" s="57"/>
      <c r="G62" s="57"/>
      <c r="H62" s="57"/>
      <c r="I62" s="78"/>
      <c r="J62" s="78">
        <f>+J51+J71</f>
        <v>36.078947516797541</v>
      </c>
      <c r="K62" s="78">
        <f>+K51+K71</f>
        <v>35.360358172171807</v>
      </c>
      <c r="L62" s="78">
        <f>+L51+L71</f>
        <v>46.855307716665521</v>
      </c>
      <c r="M62" s="78">
        <f t="shared" ref="M62:V62" si="94">+M51+M71</f>
        <v>62.639975203584093</v>
      </c>
      <c r="N62" s="78">
        <f t="shared" si="94"/>
        <v>69.993370932713873</v>
      </c>
      <c r="O62" s="78">
        <f t="shared" si="94"/>
        <v>74.090689059019496</v>
      </c>
      <c r="P62" s="78">
        <f t="shared" si="94"/>
        <v>77.611338036415177</v>
      </c>
      <c r="Q62" s="78">
        <f t="shared" si="94"/>
        <v>79.60614418758918</v>
      </c>
      <c r="R62" s="78">
        <f t="shared" si="94"/>
        <v>77.526141618064088</v>
      </c>
      <c r="S62" s="78">
        <f t="shared" si="94"/>
        <v>87.36894766738321</v>
      </c>
      <c r="T62" s="78">
        <f t="shared" si="94"/>
        <v>92.060237804427317</v>
      </c>
      <c r="U62" s="78">
        <f t="shared" si="94"/>
        <v>86.771000482341165</v>
      </c>
      <c r="V62" s="78">
        <f t="shared" si="94"/>
        <v>-3.8010884789449211</v>
      </c>
    </row>
    <row r="63" spans="2:22" ht="17.100000000000001" customHeight="1">
      <c r="B63" s="24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2:22" s="27" customFormat="1" ht="17.100000000000001" customHeight="1">
      <c r="B64" s="4" t="s">
        <v>157</v>
      </c>
      <c r="C64" s="5">
        <f t="shared" ref="C64:V64" si="95">+C2</f>
        <v>2019</v>
      </c>
      <c r="D64" s="5">
        <f t="shared" si="95"/>
        <v>2020</v>
      </c>
      <c r="E64" s="5">
        <f t="shared" si="95"/>
        <v>2021</v>
      </c>
      <c r="F64" s="5">
        <f t="shared" si="95"/>
        <v>2022</v>
      </c>
      <c r="G64" s="5">
        <f t="shared" si="95"/>
        <v>2023</v>
      </c>
      <c r="H64" s="5">
        <f t="shared" si="95"/>
        <v>2024</v>
      </c>
      <c r="I64" s="5">
        <f t="shared" si="95"/>
        <v>2025</v>
      </c>
      <c r="J64" s="6" t="str">
        <f t="shared" si="95"/>
        <v>2026E</v>
      </c>
      <c r="K64" s="6" t="str">
        <f t="shared" si="95"/>
        <v>2027E</v>
      </c>
      <c r="L64" s="6" t="str">
        <f t="shared" si="95"/>
        <v>2028E</v>
      </c>
      <c r="M64" s="6" t="str">
        <f t="shared" si="95"/>
        <v>2029E</v>
      </c>
      <c r="N64" s="6" t="str">
        <f t="shared" si="95"/>
        <v>2030E</v>
      </c>
      <c r="O64" s="6" t="str">
        <f t="shared" si="95"/>
        <v>2031E</v>
      </c>
      <c r="P64" s="6" t="str">
        <f t="shared" si="95"/>
        <v>2032E</v>
      </c>
      <c r="Q64" s="6" t="str">
        <f t="shared" si="95"/>
        <v>2033E</v>
      </c>
      <c r="R64" s="6" t="str">
        <f t="shared" si="95"/>
        <v>2034E</v>
      </c>
      <c r="S64" s="6" t="str">
        <f t="shared" si="95"/>
        <v>2035E</v>
      </c>
      <c r="T64" s="6" t="str">
        <f t="shared" si="95"/>
        <v>2036E</v>
      </c>
      <c r="U64" s="6" t="str">
        <f t="shared" si="95"/>
        <v>2037E</v>
      </c>
      <c r="V64" s="6" t="str">
        <f t="shared" si="95"/>
        <v>2038E</v>
      </c>
    </row>
    <row r="65" spans="2:22" ht="17.100000000000001" customHeight="1">
      <c r="B65" s="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2:22" ht="17.100000000000001" customHeight="1">
      <c r="B66" s="18" t="s">
        <v>100</v>
      </c>
      <c r="C66" s="11"/>
      <c r="D66" s="11">
        <f t="shared" ref="D66:V66" si="96">+D6</f>
        <v>49.331000000000003</v>
      </c>
      <c r="E66" s="11">
        <f t="shared" si="96"/>
        <v>67.803000000000011</v>
      </c>
      <c r="F66" s="11">
        <f t="shared" si="96"/>
        <v>110.12100000000001</v>
      </c>
      <c r="G66" s="11">
        <f t="shared" si="96"/>
        <v>139.88200000000001</v>
      </c>
      <c r="H66" s="11">
        <f t="shared" si="96"/>
        <v>146.965</v>
      </c>
      <c r="I66" s="11">
        <f t="shared" si="96"/>
        <v>162.70699999999999</v>
      </c>
      <c r="J66" s="11">
        <f t="shared" si="96"/>
        <v>166.66600931661446</v>
      </c>
      <c r="K66" s="11">
        <f t="shared" si="96"/>
        <v>170.88012418353725</v>
      </c>
      <c r="L66" s="11">
        <f t="shared" si="96"/>
        <v>177.04011872968033</v>
      </c>
      <c r="M66" s="11">
        <f t="shared" si="96"/>
        <v>183.18160275697923</v>
      </c>
      <c r="N66" s="11">
        <f t="shared" si="96"/>
        <v>189.63319766428302</v>
      </c>
      <c r="O66" s="11">
        <f t="shared" si="96"/>
        <v>196.82525370083161</v>
      </c>
      <c r="P66" s="11">
        <f t="shared" si="96"/>
        <v>203.38455434149594</v>
      </c>
      <c r="Q66" s="11">
        <f t="shared" si="96"/>
        <v>210.24224476937212</v>
      </c>
      <c r="R66" s="11">
        <f t="shared" si="96"/>
        <v>217.30842187452006</v>
      </c>
      <c r="S66" s="11">
        <f t="shared" si="96"/>
        <v>224.564695981065</v>
      </c>
      <c r="T66" s="11">
        <f t="shared" si="96"/>
        <v>227.2424932592285</v>
      </c>
      <c r="U66" s="11">
        <f t="shared" si="96"/>
        <v>230.36236415611251</v>
      </c>
      <c r="V66" s="11">
        <f t="shared" si="96"/>
        <v>233.35082168965442</v>
      </c>
    </row>
    <row r="67" spans="2:22" ht="17.100000000000001" customHeight="1">
      <c r="B67" s="18" t="s">
        <v>158</v>
      </c>
      <c r="C67" s="11"/>
      <c r="D67" s="11">
        <f>+Operations!F62</f>
        <v>20.722999999999999</v>
      </c>
      <c r="E67" s="11">
        <f>+Operations!G62</f>
        <v>16.128</v>
      </c>
      <c r="F67" s="11">
        <f>+Operations!H62</f>
        <v>7.9</v>
      </c>
      <c r="G67" s="11">
        <f>+Operations!I62</f>
        <v>34.799999999999997</v>
      </c>
      <c r="H67" s="11">
        <f>+Operations!J62</f>
        <v>30.198</v>
      </c>
      <c r="I67" s="11">
        <f>+Operations!K62</f>
        <v>58.067999999999998</v>
      </c>
      <c r="J67" s="11">
        <f>+Operations!L62</f>
        <v>19.5</v>
      </c>
      <c r="K67" s="11">
        <f>+Operations!M62</f>
        <v>17.100000000000001</v>
      </c>
      <c r="L67" s="11">
        <f>+Operations!N62</f>
        <v>18.899999999999999</v>
      </c>
      <c r="M67" s="11">
        <f>+Operations!O62</f>
        <v>36.6</v>
      </c>
      <c r="N67" s="11">
        <f>+Operations!P62</f>
        <v>14.4</v>
      </c>
      <c r="O67" s="11">
        <f>+Operations!Q62</f>
        <v>13.7</v>
      </c>
      <c r="P67" s="11">
        <f>+Operations!R62</f>
        <v>12.7</v>
      </c>
      <c r="Q67" s="11">
        <f>+Operations!S62</f>
        <v>15.6</v>
      </c>
      <c r="R67" s="11">
        <f>+Operations!T62</f>
        <v>27.6</v>
      </c>
      <c r="S67" s="11">
        <f>+Operations!U62</f>
        <v>25.1</v>
      </c>
      <c r="T67" s="11">
        <f>+Operations!V62</f>
        <v>17.3</v>
      </c>
      <c r="U67" s="11">
        <f>+Operations!W62</f>
        <v>14.3</v>
      </c>
      <c r="V67" s="11">
        <f>+Operations!X62</f>
        <v>26.2</v>
      </c>
    </row>
    <row r="68" spans="2:22" ht="17.100000000000001" customHeight="1">
      <c r="B68" s="18" t="s">
        <v>116</v>
      </c>
      <c r="C68" s="11"/>
      <c r="D68" s="11">
        <f>+D12</f>
        <v>1.0229999999999997</v>
      </c>
      <c r="E68" s="11">
        <f>+E12</f>
        <v>1.111000000000014</v>
      </c>
      <c r="F68" s="11">
        <f>+F12</f>
        <v>1.1210000000000164</v>
      </c>
      <c r="G68" s="16">
        <v>-2.1000000000000001E-2</v>
      </c>
      <c r="H68" s="16">
        <v>0.29899999999999999</v>
      </c>
      <c r="I68" s="16">
        <v>-3.9E-2</v>
      </c>
      <c r="J68" s="11">
        <f t="shared" ref="J68:V68" si="97">+J12</f>
        <v>23.962965449954222</v>
      </c>
      <c r="K68" s="11">
        <f t="shared" si="97"/>
        <v>25.24811900284136</v>
      </c>
      <c r="L68" s="11">
        <f t="shared" si="97"/>
        <v>27.132221378253707</v>
      </c>
      <c r="M68" s="11">
        <f t="shared" si="97"/>
        <v>28.905874582098782</v>
      </c>
      <c r="N68" s="11">
        <f t="shared" si="97"/>
        <v>29.634400991954788</v>
      </c>
      <c r="O68" s="11">
        <f t="shared" si="97"/>
        <v>32.3918632540624</v>
      </c>
      <c r="P68" s="11">
        <f t="shared" si="97"/>
        <v>35.132365065199103</v>
      </c>
      <c r="Q68" s="11">
        <f t="shared" si="97"/>
        <v>38.079883084928198</v>
      </c>
      <c r="R68" s="11">
        <f t="shared" si="97"/>
        <v>41.300385106622329</v>
      </c>
      <c r="S68" s="11">
        <f t="shared" si="97"/>
        <v>44.42851136880337</v>
      </c>
      <c r="T68" s="11">
        <f t="shared" si="97"/>
        <v>46.729909439564068</v>
      </c>
      <c r="U68" s="11">
        <f t="shared" si="97"/>
        <v>49.481719215513422</v>
      </c>
      <c r="V68" s="11">
        <f t="shared" si="97"/>
        <v>52.301411924366896</v>
      </c>
    </row>
    <row r="69" spans="2:22" ht="17.45" customHeight="1">
      <c r="B69" s="18" t="s">
        <v>117</v>
      </c>
      <c r="C69" s="11"/>
      <c r="D69" s="11">
        <f t="shared" ref="D69:V69" si="98">(C23-C29)-(D23-D29)</f>
        <v>6.8969999999999985</v>
      </c>
      <c r="E69" s="11">
        <f t="shared" si="98"/>
        <v>4.6439999999999984</v>
      </c>
      <c r="F69" s="11">
        <f t="shared" si="98"/>
        <v>-3.4190000000000005</v>
      </c>
      <c r="G69" s="11">
        <f t="shared" si="98"/>
        <v>10.080000000000002</v>
      </c>
      <c r="H69" s="11">
        <f>(G23-G29)-(H23-H29)</f>
        <v>-12.314999999999998</v>
      </c>
      <c r="I69" s="11">
        <f>(H23-H29)-(I23-I29)</f>
        <v>26.327999999999996</v>
      </c>
      <c r="J69" s="11">
        <f t="shared" si="98"/>
        <v>-5.6619299365839098</v>
      </c>
      <c r="K69" s="11">
        <f t="shared" si="98"/>
        <v>-0.34755090523782428</v>
      </c>
      <c r="L69" s="11">
        <f t="shared" si="98"/>
        <v>-1.2278666350660217E-2</v>
      </c>
      <c r="M69" s="11">
        <f t="shared" si="98"/>
        <v>2.2261433982198895</v>
      </c>
      <c r="N69" s="11">
        <f t="shared" si="98"/>
        <v>-3.3487696742047728</v>
      </c>
      <c r="O69" s="11">
        <f t="shared" si="98"/>
        <v>-0.43467844778375664</v>
      </c>
      <c r="P69" s="11">
        <f t="shared" si="98"/>
        <v>-0.36348264210412751</v>
      </c>
      <c r="Q69" s="11">
        <f t="shared" si="98"/>
        <v>0.16373560679242161</v>
      </c>
      <c r="R69" s="11">
        <f t="shared" si="98"/>
        <v>1.4283800441437347</v>
      </c>
      <c r="S69" s="11">
        <f t="shared" si="98"/>
        <v>-0.58897674387877075</v>
      </c>
      <c r="T69" s="11">
        <f t="shared" si="98"/>
        <v>-1.0956157515836793</v>
      </c>
      <c r="U69" s="11">
        <f t="shared" si="98"/>
        <v>-0.48261757068333111</v>
      </c>
      <c r="V69" s="11">
        <f t="shared" si="98"/>
        <v>1.6164444111354772</v>
      </c>
    </row>
    <row r="70" spans="2:22" ht="17.45" customHeight="1">
      <c r="B70" s="19" t="s">
        <v>118</v>
      </c>
      <c r="C70" s="9"/>
      <c r="D70" s="9">
        <f t="shared" ref="D70" si="99">+D66-D67-D68+D69</f>
        <v>34.481999999999999</v>
      </c>
      <c r="E70" s="9">
        <f t="shared" ref="E70" si="100">+E66-E67-E68+E69</f>
        <v>55.207999999999998</v>
      </c>
      <c r="F70" s="9">
        <f t="shared" ref="F70" si="101">+F66-F67-F68+F69</f>
        <v>97.680999999999997</v>
      </c>
      <c r="G70" s="9">
        <f>+G66-G67-G68+G69</f>
        <v>115.18300000000001</v>
      </c>
      <c r="H70" s="9">
        <f>+H66-H67-H68+H69</f>
        <v>104.15299999999999</v>
      </c>
      <c r="I70" s="9">
        <f>+I66-I67-I68+I69</f>
        <v>131.006</v>
      </c>
      <c r="J70" s="9">
        <f>+J66-J67-J68+J69</f>
        <v>117.54111393007634</v>
      </c>
      <c r="K70" s="9">
        <f t="shared" ref="K70:N70" si="102">+K66-K67-K68+K69</f>
        <v>128.18445427545808</v>
      </c>
      <c r="L70" s="9">
        <f t="shared" si="102"/>
        <v>130.99561868507595</v>
      </c>
      <c r="M70" s="9">
        <f t="shared" si="102"/>
        <v>119.90187157310034</v>
      </c>
      <c r="N70" s="9">
        <f t="shared" si="102"/>
        <v>142.25002699812347</v>
      </c>
      <c r="O70" s="9">
        <f t="shared" ref="O70:Q70" si="103">+O66-O67-O68+O69</f>
        <v>150.29871199898545</v>
      </c>
      <c r="P70" s="9">
        <f t="shared" si="103"/>
        <v>155.18870663419273</v>
      </c>
      <c r="Q70" s="9">
        <f t="shared" si="103"/>
        <v>156.72609729123636</v>
      </c>
      <c r="R70" s="9">
        <f t="shared" ref="R70:V70" si="104">+R66-R67-R68+R69</f>
        <v>149.83641681204145</v>
      </c>
      <c r="S70" s="9">
        <f t="shared" si="104"/>
        <v>154.44720786838289</v>
      </c>
      <c r="T70" s="9">
        <f t="shared" si="104"/>
        <v>162.11696806808072</v>
      </c>
      <c r="U70" s="9">
        <f t="shared" si="104"/>
        <v>166.09802736991577</v>
      </c>
      <c r="V70" s="9">
        <f t="shared" si="104"/>
        <v>156.46585417642302</v>
      </c>
    </row>
    <row r="71" spans="2:22" ht="17.100000000000001" customHeight="1">
      <c r="B71" s="18" t="s">
        <v>159</v>
      </c>
      <c r="C71" s="11"/>
      <c r="D71" s="16">
        <v>48</v>
      </c>
      <c r="E71" s="16">
        <v>48</v>
      </c>
      <c r="F71" s="16">
        <v>48</v>
      </c>
      <c r="G71" s="16">
        <v>47.4</v>
      </c>
      <c r="H71" s="16">
        <f>46.527+1</f>
        <v>47.527000000000001</v>
      </c>
      <c r="I71" s="16">
        <f>51.877+1.205</f>
        <v>53.082000000000001</v>
      </c>
      <c r="J71" s="11">
        <f>+J10-J9</f>
        <v>35.495947516797571</v>
      </c>
      <c r="K71" s="11">
        <f t="shared" ref="K71:V71" si="105">+K10-K9</f>
        <v>35.360358172171807</v>
      </c>
      <c r="L71" s="11">
        <f t="shared" si="105"/>
        <v>34.855307716665521</v>
      </c>
      <c r="M71" s="11">
        <f t="shared" si="105"/>
        <v>34.639975203584093</v>
      </c>
      <c r="N71" s="11">
        <f t="shared" si="105"/>
        <v>37.993370932713866</v>
      </c>
      <c r="O71" s="11">
        <f t="shared" si="105"/>
        <v>35.090689059019496</v>
      </c>
      <c r="P71" s="11">
        <f t="shared" si="105"/>
        <v>31.611338036415177</v>
      </c>
      <c r="Q71" s="11">
        <f t="shared" si="105"/>
        <v>27.606144187589184</v>
      </c>
      <c r="R71" s="11">
        <f t="shared" si="105"/>
        <v>22.526141618064084</v>
      </c>
      <c r="S71" s="11">
        <f t="shared" si="105"/>
        <v>17.36894766738321</v>
      </c>
      <c r="T71" s="11">
        <f t="shared" si="105"/>
        <v>11.060237804427317</v>
      </c>
      <c r="U71" s="11">
        <f t="shared" si="105"/>
        <v>3.7710004823411687</v>
      </c>
      <c r="V71" s="11">
        <f t="shared" si="105"/>
        <v>-3.8010884789449211</v>
      </c>
    </row>
    <row r="72" spans="2:22" ht="17.100000000000001" customHeight="1">
      <c r="B72" s="19" t="s">
        <v>120</v>
      </c>
      <c r="C72" s="9"/>
      <c r="D72" s="9">
        <f t="shared" ref="D72:I72" si="106">+D70-D71</f>
        <v>-13.518000000000001</v>
      </c>
      <c r="E72" s="9">
        <f t="shared" si="106"/>
        <v>7.2079999999999984</v>
      </c>
      <c r="F72" s="9">
        <f t="shared" si="106"/>
        <v>49.680999999999997</v>
      </c>
      <c r="G72" s="9">
        <f t="shared" si="106"/>
        <v>67.783000000000015</v>
      </c>
      <c r="H72" s="9">
        <f t="shared" si="106"/>
        <v>56.625999999999991</v>
      </c>
      <c r="I72" s="9">
        <f t="shared" si="106"/>
        <v>77.924000000000007</v>
      </c>
      <c r="J72" s="9">
        <f t="shared" ref="J72:N72" si="107">+J70-J71</f>
        <v>82.045166413278764</v>
      </c>
      <c r="K72" s="9">
        <f t="shared" si="107"/>
        <v>92.82409610328628</v>
      </c>
      <c r="L72" s="9">
        <f t="shared" si="107"/>
        <v>96.140310968410432</v>
      </c>
      <c r="M72" s="9">
        <f t="shared" si="107"/>
        <v>85.261896369516251</v>
      </c>
      <c r="N72" s="9">
        <f t="shared" si="107"/>
        <v>104.2566560654096</v>
      </c>
      <c r="O72" s="9">
        <f t="shared" ref="O72:Q72" si="108">+O70-O71</f>
        <v>115.20802293996596</v>
      </c>
      <c r="P72" s="9">
        <f t="shared" si="108"/>
        <v>123.57736859777755</v>
      </c>
      <c r="Q72" s="9">
        <f t="shared" si="108"/>
        <v>129.11995310364716</v>
      </c>
      <c r="R72" s="9">
        <f t="shared" ref="R72:V72" si="109">+R70-R71</f>
        <v>127.31027519397736</v>
      </c>
      <c r="S72" s="9">
        <f t="shared" si="109"/>
        <v>137.07826020099969</v>
      </c>
      <c r="T72" s="9">
        <f t="shared" si="109"/>
        <v>151.05673026365341</v>
      </c>
      <c r="U72" s="9">
        <f t="shared" si="109"/>
        <v>162.32702688757459</v>
      </c>
      <c r="V72" s="9">
        <f t="shared" si="109"/>
        <v>160.26694265536796</v>
      </c>
    </row>
    <row r="73" spans="2:22" ht="17.100000000000001" customHeight="1">
      <c r="B73" s="18" t="s">
        <v>160</v>
      </c>
      <c r="C73" s="11"/>
      <c r="D73" s="11">
        <f t="shared" ref="D73:Q73" si="110">+D51</f>
        <v>0</v>
      </c>
      <c r="E73" s="11">
        <f t="shared" si="110"/>
        <v>5</v>
      </c>
      <c r="F73" s="11">
        <f t="shared" si="110"/>
        <v>4.0999999999999996</v>
      </c>
      <c r="G73" s="11">
        <f t="shared" si="110"/>
        <v>6.2</v>
      </c>
      <c r="H73" s="11">
        <f t="shared" si="110"/>
        <v>14.379999999999999</v>
      </c>
      <c r="I73" s="11">
        <f>+I51</f>
        <v>71.073999999999998</v>
      </c>
      <c r="J73" s="11">
        <f t="shared" si="110"/>
        <v>0.58299999999996999</v>
      </c>
      <c r="K73" s="11">
        <f t="shared" si="110"/>
        <v>0</v>
      </c>
      <c r="L73" s="11">
        <f t="shared" si="110"/>
        <v>12</v>
      </c>
      <c r="M73" s="11">
        <f t="shared" si="110"/>
        <v>28</v>
      </c>
      <c r="N73" s="11">
        <f t="shared" si="110"/>
        <v>32</v>
      </c>
      <c r="O73" s="11">
        <f t="shared" si="110"/>
        <v>39</v>
      </c>
      <c r="P73" s="11">
        <f t="shared" si="110"/>
        <v>46</v>
      </c>
      <c r="Q73" s="11">
        <f t="shared" si="110"/>
        <v>52</v>
      </c>
      <c r="R73" s="11">
        <f t="shared" ref="R73:U73" si="111">+R51</f>
        <v>55</v>
      </c>
      <c r="S73" s="11">
        <f t="shared" si="111"/>
        <v>70</v>
      </c>
      <c r="T73" s="11">
        <f t="shared" si="111"/>
        <v>81</v>
      </c>
      <c r="U73" s="11">
        <f t="shared" si="111"/>
        <v>83</v>
      </c>
      <c r="V73" s="11">
        <f>+V51</f>
        <v>0</v>
      </c>
    </row>
    <row r="74" spans="2:22" ht="17.100000000000001" customHeight="1">
      <c r="B74" s="18" t="s">
        <v>122</v>
      </c>
      <c r="C74" s="11"/>
      <c r="D74" s="11">
        <f t="shared" ref="D74:Q74" si="112">+D49</f>
        <v>0</v>
      </c>
      <c r="E74" s="11">
        <f t="shared" si="112"/>
        <v>0</v>
      </c>
      <c r="F74" s="11">
        <f t="shared" si="112"/>
        <v>0</v>
      </c>
      <c r="G74" s="11">
        <f t="shared" si="112"/>
        <v>10</v>
      </c>
      <c r="H74" s="11">
        <f t="shared" si="112"/>
        <v>3.5</v>
      </c>
      <c r="I74" s="179">
        <f>+I49</f>
        <v>200</v>
      </c>
      <c r="J74" s="11">
        <f t="shared" si="112"/>
        <v>0</v>
      </c>
      <c r="K74" s="11">
        <f t="shared" si="112"/>
        <v>0</v>
      </c>
      <c r="L74" s="11">
        <f t="shared" si="112"/>
        <v>0</v>
      </c>
      <c r="M74" s="11">
        <f t="shared" si="112"/>
        <v>0</v>
      </c>
      <c r="N74" s="11">
        <f t="shared" si="112"/>
        <v>0</v>
      </c>
      <c r="O74" s="11">
        <f t="shared" si="112"/>
        <v>0</v>
      </c>
      <c r="P74" s="11">
        <f t="shared" si="112"/>
        <v>0</v>
      </c>
      <c r="Q74" s="11">
        <f t="shared" si="112"/>
        <v>0</v>
      </c>
      <c r="R74" s="11">
        <f t="shared" ref="R74:U74" si="113">+R49</f>
        <v>0</v>
      </c>
      <c r="S74" s="11">
        <f t="shared" si="113"/>
        <v>0</v>
      </c>
      <c r="T74" s="11">
        <f t="shared" si="113"/>
        <v>0</v>
      </c>
      <c r="U74" s="11">
        <f t="shared" si="113"/>
        <v>0</v>
      </c>
      <c r="V74" s="11">
        <f>+V49</f>
        <v>0</v>
      </c>
    </row>
    <row r="75" spans="2:22" ht="17.100000000000001" customHeight="1">
      <c r="B75" s="18" t="s">
        <v>123</v>
      </c>
      <c r="C75" s="11"/>
      <c r="D75" s="11">
        <f t="shared" ref="D75:V75" si="114">+D15</f>
        <v>0</v>
      </c>
      <c r="E75" s="11">
        <f t="shared" si="114"/>
        <v>0</v>
      </c>
      <c r="F75" s="11">
        <f t="shared" si="114"/>
        <v>31.3</v>
      </c>
      <c r="G75" s="11">
        <f t="shared" si="114"/>
        <v>65.8</v>
      </c>
      <c r="H75" s="11">
        <f t="shared" si="114"/>
        <v>51.51</v>
      </c>
      <c r="I75" s="11">
        <f>+I15</f>
        <v>152.49</v>
      </c>
      <c r="J75" s="11">
        <f t="shared" si="114"/>
        <v>71.888896349862662</v>
      </c>
      <c r="K75" s="11">
        <f t="shared" si="114"/>
        <v>75.744357008524076</v>
      </c>
      <c r="L75" s="11">
        <f t="shared" si="114"/>
        <v>81.396664134761124</v>
      </c>
      <c r="M75" s="11">
        <f t="shared" si="114"/>
        <v>69.37409899703708</v>
      </c>
      <c r="N75" s="11">
        <f t="shared" si="114"/>
        <v>71.122562380691491</v>
      </c>
      <c r="O75" s="11">
        <f t="shared" si="114"/>
        <v>77.740471809749764</v>
      </c>
      <c r="P75" s="11">
        <f t="shared" si="114"/>
        <v>84.317676156477845</v>
      </c>
      <c r="Q75" s="11">
        <f t="shared" si="114"/>
        <v>57.119824627392298</v>
      </c>
      <c r="R75" s="11">
        <f t="shared" si="114"/>
        <v>61.950577659933494</v>
      </c>
      <c r="S75" s="11">
        <f t="shared" si="114"/>
        <v>66.642767053205063</v>
      </c>
      <c r="T75" s="11">
        <f t="shared" si="114"/>
        <v>70.094864159346102</v>
      </c>
      <c r="U75" s="11">
        <f t="shared" si="114"/>
        <v>74.22257882327014</v>
      </c>
      <c r="V75" s="11">
        <f t="shared" si="114"/>
        <v>78.45211788655034</v>
      </c>
    </row>
    <row r="76" spans="2:22" ht="17.100000000000001" customHeight="1">
      <c r="B76" s="18" t="s">
        <v>87</v>
      </c>
      <c r="C76" s="11"/>
      <c r="D76" s="11">
        <f>+D77-(D72+D74-D75)</f>
        <v>-21.282000000000004</v>
      </c>
      <c r="E76" s="11">
        <f>+E77-(E72+E74-E75)</f>
        <v>-3.607999999999997</v>
      </c>
      <c r="F76" s="11">
        <f>+F77-(F72+F74-F75)</f>
        <v>-8.7810000000000024</v>
      </c>
      <c r="G76" s="11">
        <f>+G77-(G72+G74-G75)</f>
        <v>-4.683000000000014</v>
      </c>
      <c r="H76" s="11">
        <f>+H77-(H72+H74-H75)</f>
        <v>-19.947999999999993</v>
      </c>
      <c r="I76" s="11">
        <f t="shared" ref="I76:Q76" si="115">+I77-(I72+I74-I73-I75)</f>
        <v>-17.137999999999963</v>
      </c>
      <c r="J76" s="11">
        <f t="shared" si="115"/>
        <v>8.5265128291212022E-14</v>
      </c>
      <c r="K76" s="11">
        <f t="shared" si="115"/>
        <v>-1.2789769243681803E-13</v>
      </c>
      <c r="L76" s="11">
        <f t="shared" si="115"/>
        <v>4.2632564145606011E-14</v>
      </c>
      <c r="M76" s="11">
        <f t="shared" si="115"/>
        <v>7.1054273576010019E-14</v>
      </c>
      <c r="N76" s="11">
        <f t="shared" si="115"/>
        <v>1.4210854715202004E-14</v>
      </c>
      <c r="O76" s="11">
        <f t="shared" si="115"/>
        <v>-1.4210854715202004E-14</v>
      </c>
      <c r="P76" s="11">
        <f t="shared" si="115"/>
        <v>-5.6843418860808015E-14</v>
      </c>
      <c r="Q76" s="11">
        <f t="shared" si="115"/>
        <v>6.3948846218409017E-14</v>
      </c>
      <c r="R76" s="11">
        <f t="shared" ref="R76:V76" si="116">+R77-(R72+R74-R73-R75)</f>
        <v>-7.815970093361102E-14</v>
      </c>
      <c r="S76" s="11">
        <f t="shared" si="116"/>
        <v>-8.5265128291212022E-14</v>
      </c>
      <c r="T76" s="11">
        <f t="shared" si="116"/>
        <v>1.2789769243681803E-13</v>
      </c>
      <c r="U76" s="11">
        <f t="shared" si="116"/>
        <v>5.6843418860808015E-14</v>
      </c>
      <c r="V76" s="11">
        <f t="shared" si="116"/>
        <v>0</v>
      </c>
    </row>
    <row r="77" spans="2:22" ht="17.100000000000001" customHeight="1">
      <c r="B77" s="19" t="s">
        <v>161</v>
      </c>
      <c r="C77" s="9"/>
      <c r="D77" s="9">
        <f t="shared" ref="D77:F77" si="117">+D37-C37</f>
        <v>-34.800000000000004</v>
      </c>
      <c r="E77" s="9">
        <f t="shared" si="117"/>
        <v>3.6000000000000014</v>
      </c>
      <c r="F77" s="9">
        <f t="shared" si="117"/>
        <v>9.5999999999999943</v>
      </c>
      <c r="G77" s="9">
        <f t="shared" ref="G77:Q77" si="118">+G37-F37</f>
        <v>7.3000000000000043</v>
      </c>
      <c r="H77" s="23">
        <f t="shared" si="118"/>
        <v>-11.332000000000001</v>
      </c>
      <c r="I77" s="23">
        <f t="shared" si="118"/>
        <v>37.221999999999994</v>
      </c>
      <c r="J77" s="9">
        <f t="shared" si="118"/>
        <v>9.5732700634162171</v>
      </c>
      <c r="K77" s="9">
        <f t="shared" si="118"/>
        <v>17.079739094762076</v>
      </c>
      <c r="L77" s="9">
        <f t="shared" si="118"/>
        <v>2.7436468336493505</v>
      </c>
      <c r="M77" s="9">
        <f t="shared" si="118"/>
        <v>-12.112202627520759</v>
      </c>
      <c r="N77" s="9">
        <f t="shared" si="118"/>
        <v>1.134093684718124</v>
      </c>
      <c r="O77" s="9">
        <f t="shared" si="118"/>
        <v>-1.5324488697838206</v>
      </c>
      <c r="P77" s="9">
        <f t="shared" si="118"/>
        <v>-6.7403075587003514</v>
      </c>
      <c r="Q77" s="9">
        <f t="shared" si="118"/>
        <v>20.000128476254929</v>
      </c>
      <c r="R77" s="9">
        <f t="shared" ref="R77" si="119">+R37-Q37</f>
        <v>10.359697534043789</v>
      </c>
      <c r="S77" s="9">
        <f t="shared" ref="S77" si="120">+S37-R37</f>
        <v>0.43549314779454562</v>
      </c>
      <c r="T77" s="9">
        <f t="shared" ref="T77" si="121">+T37-S37</f>
        <v>-3.8133895692567421E-2</v>
      </c>
      <c r="U77" s="9">
        <f t="shared" ref="U77:V77" si="122">+U37-T37</f>
        <v>5.1044480643045063</v>
      </c>
      <c r="V77" s="9">
        <f t="shared" si="122"/>
        <v>81.814824768817516</v>
      </c>
    </row>
    <row r="78" spans="2:22" ht="17.100000000000001" customHeight="1"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2:22" ht="17.100000000000001" customHeight="1"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</sheetData>
  <conditionalFormatting sqref="C34:H34">
    <cfRule type="cellIs" dxfId="0" priority="1" operator="notBetween">
      <formula>-10</formula>
      <formula>10</formula>
    </cfRule>
  </conditionalFormatting>
  <pageMargins left="0.7" right="0.7" top="0.75" bottom="0.75" header="0.3" footer="0.3"/>
  <pageSetup orientation="portrait" r:id="rId1"/>
  <headerFooter>
    <oddFooter>&amp;C_x000D_&amp;1#&amp;"Aptos"&amp;10&amp;K000000 Barings-Corporate</oddFooter>
  </headerFooter>
  <ignoredErrors>
    <ignoredError sqref="J72:N72 C6:G6 I6:P6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autoPageBreaks="0"/>
  </sheetPr>
  <dimension ref="B2:X73"/>
  <sheetViews>
    <sheetView showGridLines="0" zoomScale="85" zoomScaleNormal="85" workbookViewId="0">
      <selection activeCell="P2" sqref="P2"/>
    </sheetView>
  </sheetViews>
  <sheetFormatPr defaultColWidth="11.5703125" defaultRowHeight="17.100000000000001" customHeight="1"/>
  <cols>
    <col min="1" max="1" width="5" style="3" customWidth="1"/>
    <col min="2" max="2" width="33.28515625" style="3" customWidth="1"/>
    <col min="3" max="3" width="10.28515625" style="2" hidden="1" customWidth="1"/>
    <col min="4" max="24" width="10.28515625" style="2" customWidth="1"/>
    <col min="25" max="16384" width="11.5703125" style="3"/>
  </cols>
  <sheetData>
    <row r="2" spans="2:24" ht="17.100000000000001" customHeight="1">
      <c r="B2" s="7"/>
      <c r="C2" s="1">
        <f>DATE(2018,12,31)</f>
        <v>43465</v>
      </c>
      <c r="D2" s="1"/>
      <c r="E2" s="1">
        <v>43830</v>
      </c>
      <c r="F2" s="1">
        <f t="shared" ref="F2:J2" si="0">DATE(YEAR(E2+1),12,31)</f>
        <v>44196</v>
      </c>
      <c r="G2" s="1">
        <f t="shared" si="0"/>
        <v>44561</v>
      </c>
      <c r="H2" s="1">
        <f t="shared" si="0"/>
        <v>44926</v>
      </c>
      <c r="I2" s="1">
        <f t="shared" si="0"/>
        <v>45291</v>
      </c>
      <c r="J2" s="1">
        <f t="shared" si="0"/>
        <v>45657</v>
      </c>
      <c r="K2" s="1">
        <f t="shared" ref="K2:S2" si="1">DATE(YEAR(J2+1),12,31)</f>
        <v>46022</v>
      </c>
      <c r="L2" s="1">
        <f t="shared" si="1"/>
        <v>46387</v>
      </c>
      <c r="M2" s="1">
        <f t="shared" si="1"/>
        <v>46752</v>
      </c>
      <c r="N2" s="1">
        <f t="shared" si="1"/>
        <v>47118</v>
      </c>
      <c r="O2" s="1">
        <f t="shared" si="1"/>
        <v>47483</v>
      </c>
      <c r="P2" s="1">
        <f t="shared" si="1"/>
        <v>47848</v>
      </c>
      <c r="Q2" s="1">
        <f t="shared" si="1"/>
        <v>48213</v>
      </c>
      <c r="R2" s="1">
        <f t="shared" si="1"/>
        <v>48579</v>
      </c>
      <c r="S2" s="1">
        <f t="shared" si="1"/>
        <v>48944</v>
      </c>
      <c r="T2" s="1">
        <f t="shared" ref="T2" si="2">DATE(YEAR(S2+1),12,31)</f>
        <v>49309</v>
      </c>
      <c r="U2" s="1">
        <f t="shared" ref="U2" si="3">DATE(YEAR(T2+1),12,31)</f>
        <v>49674</v>
      </c>
      <c r="V2" s="1">
        <f t="shared" ref="V2" si="4">DATE(YEAR(U2+1),12,31)</f>
        <v>50040</v>
      </c>
      <c r="W2" s="1">
        <f t="shared" ref="W2" si="5">DATE(YEAR(V2+1),12,31)</f>
        <v>50405</v>
      </c>
      <c r="X2" s="1">
        <f t="shared" ref="X2" si="6">DATE(YEAR(W2+1),12,31)</f>
        <v>50770</v>
      </c>
    </row>
    <row r="3" spans="2:24" s="7" customFormat="1" ht="17.100000000000001" customHeight="1">
      <c r="B3" s="4" t="s">
        <v>2</v>
      </c>
      <c r="C3" s="5">
        <v>2018</v>
      </c>
      <c r="D3" s="5"/>
      <c r="E3" s="5">
        <f>+[36]PG!I3</f>
        <v>2019</v>
      </c>
      <c r="F3" s="5">
        <v>2020</v>
      </c>
      <c r="G3" s="5">
        <v>2021</v>
      </c>
      <c r="H3" s="5">
        <v>2022</v>
      </c>
      <c r="I3" s="5">
        <v>2023</v>
      </c>
      <c r="J3" s="5">
        <v>2024</v>
      </c>
      <c r="K3" s="5">
        <v>2025</v>
      </c>
      <c r="L3" s="6" t="str">
        <f t="shared" ref="L3" si="7">+(CONCATENATE((LEFT(K3,4)*1+1),"E"))</f>
        <v>2026E</v>
      </c>
      <c r="M3" s="6" t="str">
        <f t="shared" ref="M3" si="8">+(CONCATENATE((LEFT(L3,4)*1+1),"E"))</f>
        <v>2027E</v>
      </c>
      <c r="N3" s="6" t="str">
        <f t="shared" ref="N3" si="9">+(CONCATENATE((LEFT(M3,4)*1+1),"E"))</f>
        <v>2028E</v>
      </c>
      <c r="O3" s="6" t="str">
        <f t="shared" ref="O3" si="10">+(CONCATENATE((LEFT(N3,4)*1+1),"E"))</f>
        <v>2029E</v>
      </c>
      <c r="P3" s="6" t="str">
        <f t="shared" ref="P3" si="11">+(CONCATENATE((LEFT(O3,4)*1+1),"E"))</f>
        <v>2030E</v>
      </c>
      <c r="Q3" s="6" t="str">
        <f t="shared" ref="Q3" si="12">+(CONCATENATE((LEFT(P3,4)*1+1),"E"))</f>
        <v>2031E</v>
      </c>
      <c r="R3" s="6" t="str">
        <f t="shared" ref="R3" si="13">+(CONCATENATE((LEFT(Q3,4)*1+1),"E"))</f>
        <v>2032E</v>
      </c>
      <c r="S3" s="6" t="str">
        <f t="shared" ref="S3" si="14">+(CONCATENATE((LEFT(R3,4)*1+1),"E"))</f>
        <v>2033E</v>
      </c>
      <c r="T3" s="6" t="str">
        <f t="shared" ref="T3" si="15">+(CONCATENATE((LEFT(S3,4)*1+1),"E"))</f>
        <v>2034E</v>
      </c>
      <c r="U3" s="6" t="str">
        <f t="shared" ref="U3" si="16">+(CONCATENATE((LEFT(T3,4)*1+1),"E"))</f>
        <v>2035E</v>
      </c>
      <c r="V3" s="6" t="str">
        <f t="shared" ref="V3" si="17">+(CONCATENATE((LEFT(U3,4)*1+1),"E"))</f>
        <v>2036E</v>
      </c>
      <c r="W3" s="6" t="str">
        <f t="shared" ref="W3" si="18">+(CONCATENATE((LEFT(V3,4)*1+1),"E"))</f>
        <v>2037E</v>
      </c>
      <c r="X3" s="6" t="str">
        <f t="shared" ref="X3" si="19">+(CONCATENATE((LEFT(W3,4)*1+1),"E"))</f>
        <v>2038E</v>
      </c>
    </row>
    <row r="4" spans="2:24" ht="17.100000000000001" customHeight="1">
      <c r="K4" s="171"/>
    </row>
    <row r="5" spans="2:24" ht="17.100000000000001" customHeight="1">
      <c r="B5" s="7" t="s">
        <v>74</v>
      </c>
      <c r="C5" s="77">
        <f t="shared" ref="C5:F5" si="20">+C8+C6</f>
        <v>2.6026290000000003</v>
      </c>
      <c r="D5" s="77">
        <f>1.431+1.17</f>
        <v>2.601</v>
      </c>
      <c r="E5" s="77">
        <f t="shared" si="20"/>
        <v>2.520575</v>
      </c>
      <c r="F5" s="77">
        <f t="shared" si="20"/>
        <v>0.77338399999999996</v>
      </c>
      <c r="G5" s="77">
        <f>+G8+G6</f>
        <v>1.2153879999999999</v>
      </c>
      <c r="H5" s="77">
        <f>+H8+H6</f>
        <v>2.1798299999999999</v>
      </c>
      <c r="I5" s="77">
        <f>+I8+I6</f>
        <v>2.732586</v>
      </c>
      <c r="J5" s="77">
        <f>+J6+J8</f>
        <v>2.6770160000000001</v>
      </c>
      <c r="K5" s="174">
        <f>K6+K8</f>
        <v>2.6787520000000002</v>
      </c>
      <c r="L5" s="77">
        <f>+L6+L8</f>
        <v>2.7259624599999999</v>
      </c>
      <c r="M5" s="77">
        <f t="shared" ref="M5:S5" si="21">+M6+M8</f>
        <v>2.7740216604999999</v>
      </c>
      <c r="N5" s="77">
        <f t="shared" si="21"/>
        <v>2.8229451442794997</v>
      </c>
      <c r="O5" s="77">
        <f t="shared" si="21"/>
        <v>2.872748743493132</v>
      </c>
      <c r="P5" s="77">
        <f t="shared" si="21"/>
        <v>2.923448585135958</v>
      </c>
      <c r="Q5" s="77">
        <f t="shared" si="21"/>
        <v>2.9750610966132345</v>
      </c>
      <c r="R5" s="77">
        <f t="shared" si="21"/>
        <v>3.0276030114166748</v>
      </c>
      <c r="S5" s="77">
        <f t="shared" si="21"/>
        <v>3.0810913749092519</v>
      </c>
      <c r="T5" s="77">
        <f t="shared" ref="T5:X5" si="22">+T6+T8</f>
        <v>3.1355435502206443</v>
      </c>
      <c r="U5" s="77">
        <f t="shared" si="22"/>
        <v>3.1909772242554624</v>
      </c>
      <c r="V5" s="77">
        <f t="shared" si="22"/>
        <v>3.247410413816433</v>
      </c>
      <c r="W5" s="77">
        <f t="shared" si="22"/>
        <v>3.3048614718447609</v>
      </c>
      <c r="X5" s="77">
        <f t="shared" si="22"/>
        <v>3.3633490937799353</v>
      </c>
    </row>
    <row r="6" spans="2:24" s="7" customFormat="1" ht="17.100000000000001" customHeight="1">
      <c r="B6" s="10" t="s">
        <v>13</v>
      </c>
      <c r="C6" s="56">
        <v>1.17089</v>
      </c>
      <c r="D6" s="56"/>
      <c r="E6" s="56">
        <v>1.1671210000000001</v>
      </c>
      <c r="F6" s="56">
        <v>0.36962699999999998</v>
      </c>
      <c r="G6" s="56">
        <v>0.63877099999999998</v>
      </c>
      <c r="H6" s="56">
        <v>0.93400000000000005</v>
      </c>
      <c r="I6" s="56">
        <v>1.244688</v>
      </c>
      <c r="J6" s="56">
        <v>1.2496119999999999</v>
      </c>
      <c r="K6" s="170">
        <v>1.2729159999999999</v>
      </c>
      <c r="L6" s="89">
        <f>+K6*(1+L7)</f>
        <v>1.2920097399999999</v>
      </c>
      <c r="M6" s="89">
        <f t="shared" ref="M6:S6" si="23">+L6*(1+M7)</f>
        <v>1.3113898860999997</v>
      </c>
      <c r="N6" s="89">
        <f t="shared" si="23"/>
        <v>1.3310607343914995</v>
      </c>
      <c r="O6" s="89">
        <f t="shared" si="23"/>
        <v>1.3510266454073718</v>
      </c>
      <c r="P6" s="89">
        <f t="shared" si="23"/>
        <v>1.3712920450884822</v>
      </c>
      <c r="Q6" s="89">
        <f t="shared" si="23"/>
        <v>1.3918614257648094</v>
      </c>
      <c r="R6" s="89">
        <f t="shared" si="23"/>
        <v>1.4127393471512815</v>
      </c>
      <c r="S6" s="89">
        <f t="shared" si="23"/>
        <v>1.4339304373585506</v>
      </c>
      <c r="T6" s="89">
        <f t="shared" ref="T6" si="24">+S6*(1+T7)</f>
        <v>1.4554393939189287</v>
      </c>
      <c r="U6" s="89">
        <f t="shared" ref="U6" si="25">+T6*(1+U7)</f>
        <v>1.4772709848277126</v>
      </c>
      <c r="V6" s="89">
        <f t="shared" ref="V6" si="26">+U6*(1+V7)</f>
        <v>1.499430049600128</v>
      </c>
      <c r="W6" s="89">
        <f t="shared" ref="W6" si="27">+V6*(1+W7)</f>
        <v>1.5219215003441298</v>
      </c>
      <c r="X6" s="89">
        <f t="shared" ref="X6" si="28">+W6*(1+X7)</f>
        <v>1.5447503228492916</v>
      </c>
    </row>
    <row r="7" spans="2:24" s="7" customFormat="1" ht="17.100000000000001" customHeight="1">
      <c r="B7" s="10" t="s">
        <v>162</v>
      </c>
      <c r="C7" s="56"/>
      <c r="D7" s="56"/>
      <c r="E7" s="55">
        <f>+E6/C6-1</f>
        <v>-3.2189189420013253E-3</v>
      </c>
      <c r="F7" s="55">
        <f t="shared" ref="F7:J7" si="29">+F6/E6-1</f>
        <v>-0.68330018909778856</v>
      </c>
      <c r="G7" s="55">
        <f t="shared" si="29"/>
        <v>0.72815027040773539</v>
      </c>
      <c r="H7" s="55">
        <f t="shared" si="29"/>
        <v>0.46218284800030074</v>
      </c>
      <c r="I7" s="55">
        <f t="shared" si="29"/>
        <v>0.33264239828693776</v>
      </c>
      <c r="J7" s="55">
        <f t="shared" si="29"/>
        <v>3.9560114663272916E-3</v>
      </c>
      <c r="K7" s="55">
        <f>+K6/J6-1</f>
        <v>1.864898864607567E-2</v>
      </c>
      <c r="L7" s="88">
        <v>1.4999999999999999E-2</v>
      </c>
      <c r="M7" s="88">
        <v>1.4999999999999999E-2</v>
      </c>
      <c r="N7" s="88">
        <v>1.4999999999999999E-2</v>
      </c>
      <c r="O7" s="88">
        <v>1.4999999999999999E-2</v>
      </c>
      <c r="P7" s="88">
        <v>1.4999999999999999E-2</v>
      </c>
      <c r="Q7" s="88">
        <v>1.4999999999999999E-2</v>
      </c>
      <c r="R7" s="88">
        <v>1.4999999999999999E-2</v>
      </c>
      <c r="S7" s="88">
        <v>1.4999999999999999E-2</v>
      </c>
      <c r="T7" s="88">
        <v>1.4999999999999999E-2</v>
      </c>
      <c r="U7" s="88">
        <v>1.4999999999999999E-2</v>
      </c>
      <c r="V7" s="88">
        <v>1.4999999999999999E-2</v>
      </c>
      <c r="W7" s="88">
        <v>1.4999999999999999E-2</v>
      </c>
      <c r="X7" s="88">
        <v>1.4999999999999999E-2</v>
      </c>
    </row>
    <row r="8" spans="2:24" s="7" customFormat="1" ht="17.100000000000001" customHeight="1">
      <c r="B8" s="10" t="s">
        <v>14</v>
      </c>
      <c r="C8" s="56">
        <v>1.4317390000000001</v>
      </c>
      <c r="D8" s="56"/>
      <c r="E8" s="56">
        <v>1.3534539999999999</v>
      </c>
      <c r="F8" s="56">
        <v>0.40375699999999998</v>
      </c>
      <c r="G8" s="56">
        <v>0.57661700000000005</v>
      </c>
      <c r="H8" s="56">
        <v>1.24583</v>
      </c>
      <c r="I8" s="56">
        <v>1.4878979999999999</v>
      </c>
      <c r="J8" s="56">
        <v>1.4274039999999999</v>
      </c>
      <c r="K8" s="170">
        <v>1.4058360000000001</v>
      </c>
      <c r="L8" s="89">
        <f>+K8*(1+L9)</f>
        <v>1.4339527200000002</v>
      </c>
      <c r="M8" s="89">
        <f t="shared" ref="M8" si="30">+L8*(1+M9)</f>
        <v>1.4626317744000001</v>
      </c>
      <c r="N8" s="89">
        <f t="shared" ref="N8" si="31">+M8*(1+N9)</f>
        <v>1.4918844098880002</v>
      </c>
      <c r="O8" s="89">
        <f t="shared" ref="O8" si="32">+N8*(1+O9)</f>
        <v>1.5217220980857602</v>
      </c>
      <c r="P8" s="89">
        <f t="shared" ref="P8" si="33">+O8*(1+P9)</f>
        <v>1.5521565400474755</v>
      </c>
      <c r="Q8" s="89">
        <f t="shared" ref="Q8" si="34">+P8*(1+Q9)</f>
        <v>1.5831996708484251</v>
      </c>
      <c r="R8" s="89">
        <f t="shared" ref="R8" si="35">+Q8*(1+R9)</f>
        <v>1.6148636642653935</v>
      </c>
      <c r="S8" s="89">
        <f t="shared" ref="S8" si="36">+R8*(1+S9)</f>
        <v>1.6471609375507015</v>
      </c>
      <c r="T8" s="89">
        <f t="shared" ref="T8" si="37">+S8*(1+T9)</f>
        <v>1.6801041563017156</v>
      </c>
      <c r="U8" s="89">
        <f t="shared" ref="U8" si="38">+T8*(1+U9)</f>
        <v>1.71370623942775</v>
      </c>
      <c r="V8" s="89">
        <f t="shared" ref="V8" si="39">+U8*(1+V9)</f>
        <v>1.747980364216305</v>
      </c>
      <c r="W8" s="89">
        <f t="shared" ref="W8" si="40">+V8*(1+W9)</f>
        <v>1.7829399715006311</v>
      </c>
      <c r="X8" s="89">
        <f t="shared" ref="X8" si="41">+W8*(1+X9)</f>
        <v>1.8185987709306437</v>
      </c>
    </row>
    <row r="9" spans="2:24" s="7" customFormat="1" ht="17.100000000000001" customHeight="1">
      <c r="B9" s="10" t="s">
        <v>162</v>
      </c>
      <c r="C9" s="56"/>
      <c r="D9" s="56"/>
      <c r="E9" s="55">
        <f>+E8/C8-1</f>
        <v>-5.467826188991165E-2</v>
      </c>
      <c r="F9" s="55">
        <f t="shared" ref="F9" si="42">+F8/E8-1</f>
        <v>-0.70168398778237018</v>
      </c>
      <c r="G9" s="55">
        <f t="shared" ref="G9" si="43">+G8/F8-1</f>
        <v>0.42812880024371114</v>
      </c>
      <c r="H9" s="55">
        <f t="shared" ref="H9" si="44">+H8/G8-1</f>
        <v>1.160584928990994</v>
      </c>
      <c r="I9" s="55">
        <f t="shared" ref="I9" si="45">+I8/H8-1</f>
        <v>0.19430259345175505</v>
      </c>
      <c r="J9" s="55">
        <f>+J8/I8-1</f>
        <v>-4.0657356888711527E-2</v>
      </c>
      <c r="K9" s="55">
        <f>+K8/J8-1</f>
        <v>-1.5109947849382355E-2</v>
      </c>
      <c r="L9" s="88">
        <f>+L7+0.005</f>
        <v>0.02</v>
      </c>
      <c r="M9" s="88">
        <f>+M7+0.005</f>
        <v>0.02</v>
      </c>
      <c r="N9" s="88">
        <f t="shared" ref="N9:S9" si="46">+N7+0.005</f>
        <v>0.02</v>
      </c>
      <c r="O9" s="88">
        <f t="shared" si="46"/>
        <v>0.02</v>
      </c>
      <c r="P9" s="88">
        <f t="shared" si="46"/>
        <v>0.02</v>
      </c>
      <c r="Q9" s="88">
        <f t="shared" si="46"/>
        <v>0.02</v>
      </c>
      <c r="R9" s="88">
        <f t="shared" si="46"/>
        <v>0.02</v>
      </c>
      <c r="S9" s="88">
        <f t="shared" si="46"/>
        <v>0.02</v>
      </c>
      <c r="T9" s="88">
        <f t="shared" ref="T9:X9" si="47">+T7+0.005</f>
        <v>0.02</v>
      </c>
      <c r="U9" s="88">
        <f t="shared" si="47"/>
        <v>0.02</v>
      </c>
      <c r="V9" s="88">
        <f t="shared" si="47"/>
        <v>0.02</v>
      </c>
      <c r="W9" s="88">
        <f t="shared" si="47"/>
        <v>0.02</v>
      </c>
      <c r="X9" s="88">
        <f t="shared" si="47"/>
        <v>0.02</v>
      </c>
    </row>
    <row r="10" spans="2:24" ht="16.5" customHeight="1">
      <c r="B10" s="3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2:24" s="7" customFormat="1" ht="16.5" customHeight="1">
      <c r="B11" s="4" t="s">
        <v>32</v>
      </c>
      <c r="C11" s="5">
        <f t="shared" ref="C11:S11" si="48">+C3</f>
        <v>2018</v>
      </c>
      <c r="D11" s="5"/>
      <c r="E11" s="5">
        <f t="shared" si="48"/>
        <v>2019</v>
      </c>
      <c r="F11" s="5">
        <f t="shared" si="48"/>
        <v>2020</v>
      </c>
      <c r="G11" s="5">
        <f t="shared" si="48"/>
        <v>2021</v>
      </c>
      <c r="H11" s="5">
        <f t="shared" si="48"/>
        <v>2022</v>
      </c>
      <c r="I11" s="5">
        <f t="shared" si="48"/>
        <v>2023</v>
      </c>
      <c r="J11" s="5">
        <f t="shared" si="48"/>
        <v>2024</v>
      </c>
      <c r="K11" s="5">
        <f t="shared" si="48"/>
        <v>2025</v>
      </c>
      <c r="L11" s="6" t="str">
        <f t="shared" si="48"/>
        <v>2026E</v>
      </c>
      <c r="M11" s="6" t="str">
        <f t="shared" si="48"/>
        <v>2027E</v>
      </c>
      <c r="N11" s="6" t="str">
        <f t="shared" si="48"/>
        <v>2028E</v>
      </c>
      <c r="O11" s="6" t="str">
        <f t="shared" si="48"/>
        <v>2029E</v>
      </c>
      <c r="P11" s="6" t="str">
        <f t="shared" si="48"/>
        <v>2030E</v>
      </c>
      <c r="Q11" s="6" t="str">
        <f t="shared" si="48"/>
        <v>2031E</v>
      </c>
      <c r="R11" s="6" t="str">
        <f t="shared" si="48"/>
        <v>2032E</v>
      </c>
      <c r="S11" s="6" t="str">
        <f t="shared" si="48"/>
        <v>2033E</v>
      </c>
      <c r="T11" s="6" t="str">
        <f t="shared" ref="T11:X11" si="49">+T3</f>
        <v>2034E</v>
      </c>
      <c r="U11" s="6" t="str">
        <f t="shared" si="49"/>
        <v>2035E</v>
      </c>
      <c r="V11" s="6" t="str">
        <f t="shared" si="49"/>
        <v>2036E</v>
      </c>
      <c r="W11" s="6" t="str">
        <f t="shared" si="49"/>
        <v>2037E</v>
      </c>
      <c r="X11" s="6" t="str">
        <f t="shared" si="49"/>
        <v>2038E</v>
      </c>
    </row>
    <row r="12" spans="2:24" ht="17.100000000000001" customHeight="1">
      <c r="B12" s="10"/>
      <c r="C12" s="13"/>
      <c r="D12" s="13"/>
      <c r="E12" s="13"/>
      <c r="F12" s="13"/>
      <c r="G12" s="13"/>
      <c r="H12" s="13"/>
      <c r="I12" s="13"/>
      <c r="J12" s="1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2:24" ht="17.100000000000001" customHeight="1">
      <c r="B13" s="12" t="s">
        <v>76</v>
      </c>
      <c r="C13" s="31"/>
      <c r="D13" s="31"/>
      <c r="E13" s="8">
        <v>174.155</v>
      </c>
      <c r="F13" s="8">
        <v>80.653000000000006</v>
      </c>
      <c r="G13" s="8">
        <v>103.831</v>
      </c>
      <c r="H13" s="8">
        <v>152.4</v>
      </c>
      <c r="I13" s="8">
        <v>191.7</v>
      </c>
      <c r="J13" s="8">
        <v>203.7</v>
      </c>
      <c r="K13" s="31">
        <v>214.27199999999999</v>
      </c>
      <c r="L13" s="31">
        <f t="shared" ref="L13:S13" si="50">+L15+L25</f>
        <v>217.93589431271593</v>
      </c>
      <c r="M13" s="31">
        <f t="shared" si="50"/>
        <v>226.05672100394446</v>
      </c>
      <c r="N13" s="31">
        <f t="shared" si="50"/>
        <v>234.48149153810172</v>
      </c>
      <c r="O13" s="31">
        <f t="shared" si="50"/>
        <v>243.22163319073655</v>
      </c>
      <c r="P13" s="31">
        <f t="shared" si="50"/>
        <v>252.28900482176354</v>
      </c>
      <c r="Q13" s="31">
        <f t="shared" si="50"/>
        <v>261.69591324973328</v>
      </c>
      <c r="R13" s="31">
        <f t="shared" si="50"/>
        <v>271.45513025014395</v>
      </c>
      <c r="S13" s="31">
        <f t="shared" si="50"/>
        <v>281.57991020168197</v>
      </c>
      <c r="T13" s="31">
        <f t="shared" ref="T13:X13" si="51">+T15+T25</f>
        <v>292.08400840519909</v>
      </c>
      <c r="U13" s="31">
        <f t="shared" si="51"/>
        <v>302.98170010118565</v>
      </c>
      <c r="V13" s="31">
        <f t="shared" si="51"/>
        <v>308.12529432597211</v>
      </c>
      <c r="W13" s="31">
        <f t="shared" si="51"/>
        <v>313.35801983859574</v>
      </c>
      <c r="X13" s="31">
        <f t="shared" si="51"/>
        <v>318.68145315586338</v>
      </c>
    </row>
    <row r="14" spans="2:24" ht="17.100000000000001" customHeight="1">
      <c r="B14" s="12"/>
      <c r="C14" s="31"/>
      <c r="D14" s="31"/>
      <c r="E14" s="8"/>
      <c r="F14" s="8"/>
      <c r="G14" s="8"/>
      <c r="H14" s="8"/>
      <c r="I14" s="87"/>
      <c r="J14" s="8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2:24" ht="17.100000000000001" customHeight="1">
      <c r="B15" s="12" t="s">
        <v>77</v>
      </c>
      <c r="C15" s="31"/>
      <c r="D15" s="31"/>
      <c r="E15" s="8">
        <v>122.34399999999999</v>
      </c>
      <c r="F15" s="8">
        <v>53.863</v>
      </c>
      <c r="G15" s="8">
        <v>73.497</v>
      </c>
      <c r="H15" s="8">
        <v>105.17400000000001</v>
      </c>
      <c r="I15" s="8">
        <v>139.1</v>
      </c>
      <c r="J15" s="8">
        <v>145.5</v>
      </c>
      <c r="K15" s="31">
        <v>154.12899999999999</v>
      </c>
      <c r="L15" s="31">
        <f t="shared" ref="L15:S15" si="52">+L16+L21</f>
        <v>159.83100606650771</v>
      </c>
      <c r="M15" s="31">
        <f t="shared" si="52"/>
        <v>165.74484754277003</v>
      </c>
      <c r="N15" s="31">
        <f t="shared" si="52"/>
        <v>171.87842862441386</v>
      </c>
      <c r="O15" s="31">
        <f t="shared" si="52"/>
        <v>178.23994975196041</v>
      </c>
      <c r="P15" s="31">
        <f t="shared" si="52"/>
        <v>184.83791876423243</v>
      </c>
      <c r="Q15" s="31">
        <f t="shared" si="52"/>
        <v>191.68116247359313</v>
      </c>
      <c r="R15" s="31">
        <f t="shared" si="52"/>
        <v>198.77883867904444</v>
      </c>
      <c r="S15" s="31">
        <f t="shared" si="52"/>
        <v>206.14044863382156</v>
      </c>
      <c r="T15" s="31">
        <f t="shared" ref="T15:X15" si="53">+T16+T21</f>
        <v>213.77584998475831</v>
      </c>
      <c r="U15" s="31">
        <f t="shared" si="53"/>
        <v>221.6952702013553</v>
      </c>
      <c r="V15" s="31">
        <f t="shared" si="53"/>
        <v>225.40129462075339</v>
      </c>
      <c r="W15" s="31">
        <f t="shared" si="53"/>
        <v>229.17052131377</v>
      </c>
      <c r="X15" s="31">
        <f t="shared" si="53"/>
        <v>233.00405055265597</v>
      </c>
    </row>
    <row r="16" spans="2:24" ht="17.100000000000001" customHeight="1">
      <c r="B16" s="12" t="s">
        <v>78</v>
      </c>
      <c r="C16" s="31"/>
      <c r="D16" s="31"/>
      <c r="E16" s="8">
        <v>77.483000000000004</v>
      </c>
      <c r="F16" s="8">
        <v>24.516999999999999</v>
      </c>
      <c r="G16" s="8">
        <v>39.350999999999999</v>
      </c>
      <c r="H16" s="8">
        <v>66.093999999999994</v>
      </c>
      <c r="I16" s="8">
        <v>91.375</v>
      </c>
      <c r="J16" s="8">
        <v>93.763999999999996</v>
      </c>
      <c r="K16" s="8">
        <v>97.411000000000001</v>
      </c>
      <c r="L16" s="31">
        <f t="shared" ref="L16:S16" si="54">+((L19*L6)+(L20*L8))*L18</f>
        <v>100.95905316366131</v>
      </c>
      <c r="M16" s="31">
        <f t="shared" si="54"/>
        <v>104.63677417649177</v>
      </c>
      <c r="N16" s="31">
        <f t="shared" si="54"/>
        <v>108.44891894509573</v>
      </c>
      <c r="O16" s="31">
        <f t="shared" si="54"/>
        <v>112.40041847629446</v>
      </c>
      <c r="P16" s="31">
        <f t="shared" si="54"/>
        <v>116.49638534971892</v>
      </c>
      <c r="Q16" s="31">
        <f t="shared" si="54"/>
        <v>120.74212043066423</v>
      </c>
      <c r="R16" s="31">
        <f t="shared" si="54"/>
        <v>125.14311983216216</v>
      </c>
      <c r="S16" s="31">
        <f t="shared" si="54"/>
        <v>129.70508213556488</v>
      </c>
      <c r="T16" s="31">
        <f t="shared" ref="T16:X16" si="55">+((T19*T6)+(T20*T8))*T18</f>
        <v>134.43391587928014</v>
      </c>
      <c r="U16" s="31">
        <f t="shared" si="55"/>
        <v>139.33574732565947</v>
      </c>
      <c r="V16" s="31">
        <f t="shared" si="55"/>
        <v>141.58522403570194</v>
      </c>
      <c r="W16" s="31">
        <f t="shared" si="55"/>
        <v>143.87163170639818</v>
      </c>
      <c r="X16" s="31">
        <f t="shared" si="55"/>
        <v>146.1955880783581</v>
      </c>
    </row>
    <row r="17" spans="2:24" ht="17.100000000000001" customHeight="1">
      <c r="B17" s="10" t="s">
        <v>79</v>
      </c>
      <c r="C17" s="31"/>
      <c r="D17" s="31"/>
      <c r="E17" s="78">
        <f>+E16/E$5</f>
        <v>30.740208087440369</v>
      </c>
      <c r="F17" s="78">
        <f t="shared" ref="F17:H17" si="56">+F16/F$5</f>
        <v>31.700940283222824</v>
      </c>
      <c r="G17" s="78">
        <f t="shared" si="56"/>
        <v>32.377314898616739</v>
      </c>
      <c r="H17" s="78">
        <f t="shared" si="56"/>
        <v>30.320713083130332</v>
      </c>
      <c r="I17" s="78">
        <f>+I16/I$5</f>
        <v>33.439020766409548</v>
      </c>
      <c r="J17" s="78">
        <f t="shared" ref="J17" si="57">+J16/J$5</f>
        <v>35.025565779210879</v>
      </c>
      <c r="K17" s="78">
        <f>+K16/K$5</f>
        <v>36.364321893180104</v>
      </c>
      <c r="L17" s="78">
        <f t="shared" ref="L17" si="58">+L16/L$5</f>
        <v>37.036112802397625</v>
      </c>
      <c r="M17" s="78">
        <f t="shared" ref="M17" si="59">+M16/M$5</f>
        <v>37.720244101349827</v>
      </c>
      <c r="N17" s="78">
        <f t="shared" ref="N17" si="60">+N16/N$5</f>
        <v>38.416941669893887</v>
      </c>
      <c r="O17" s="78">
        <f t="shared" ref="O17" si="61">+O16/O$5</f>
        <v>39.126435519599482</v>
      </c>
      <c r="P17" s="78">
        <f t="shared" ref="P17" si="62">+P16/P$5</f>
        <v>39.848959869530638</v>
      </c>
      <c r="Q17" s="78">
        <f t="shared" ref="Q17" si="63">+Q16/Q$5</f>
        <v>40.584753223426326</v>
      </c>
      <c r="R17" s="78">
        <f t="shared" ref="R17" si="64">+R16/R$5</f>
        <v>41.334058448305363</v>
      </c>
      <c r="S17" s="78">
        <f t="shared" ref="S17:X17" si="65">+S16/S$5</f>
        <v>42.097122854522652</v>
      </c>
      <c r="T17" s="78">
        <f t="shared" si="65"/>
        <v>42.874198277303528</v>
      </c>
      <c r="U17" s="78">
        <f t="shared" si="65"/>
        <v>43.665541159783771</v>
      </c>
      <c r="V17" s="78">
        <f t="shared" si="65"/>
        <v>43.599424154493505</v>
      </c>
      <c r="W17" s="78">
        <f t="shared" si="65"/>
        <v>43.533332011671156</v>
      </c>
      <c r="X17" s="78">
        <f t="shared" si="65"/>
        <v>43.467265514818934</v>
      </c>
    </row>
    <row r="18" spans="2:24" ht="17.100000000000001" customHeight="1">
      <c r="B18" s="10" t="s">
        <v>80</v>
      </c>
      <c r="C18" s="31"/>
      <c r="D18" s="31"/>
      <c r="E18" s="59">
        <v>0.89</v>
      </c>
      <c r="F18" s="59">
        <v>0.89</v>
      </c>
      <c r="G18" s="59">
        <v>0.89</v>
      </c>
      <c r="H18" s="59">
        <v>0.89</v>
      </c>
      <c r="I18" s="59">
        <v>0.89</v>
      </c>
      <c r="J18" s="59">
        <v>0.89</v>
      </c>
      <c r="K18" s="59">
        <v>0.89</v>
      </c>
      <c r="L18" s="32">
        <v>0.89</v>
      </c>
      <c r="M18" s="32">
        <f>+L18</f>
        <v>0.89</v>
      </c>
      <c r="N18" s="32">
        <f t="shared" ref="N18:S18" si="66">+M18</f>
        <v>0.89</v>
      </c>
      <c r="O18" s="32">
        <f t="shared" si="66"/>
        <v>0.89</v>
      </c>
      <c r="P18" s="32">
        <f t="shared" si="66"/>
        <v>0.89</v>
      </c>
      <c r="Q18" s="32">
        <f t="shared" si="66"/>
        <v>0.89</v>
      </c>
      <c r="R18" s="32">
        <f t="shared" si="66"/>
        <v>0.89</v>
      </c>
      <c r="S18" s="32">
        <f t="shared" si="66"/>
        <v>0.89</v>
      </c>
      <c r="T18" s="32">
        <f t="shared" ref="T18" si="67">+S18</f>
        <v>0.89</v>
      </c>
      <c r="U18" s="32">
        <f t="shared" ref="U18" si="68">+T18</f>
        <v>0.89</v>
      </c>
      <c r="V18" s="32">
        <f t="shared" ref="V18" si="69">+U18</f>
        <v>0.89</v>
      </c>
      <c r="W18" s="32">
        <f t="shared" ref="W18" si="70">+V18</f>
        <v>0.89</v>
      </c>
      <c r="X18" s="32">
        <f t="shared" ref="X18" si="71">+W18</f>
        <v>0.89</v>
      </c>
    </row>
    <row r="19" spans="2:24" ht="17.100000000000001" customHeight="1">
      <c r="B19" s="29" t="s">
        <v>81</v>
      </c>
      <c r="C19" s="57">
        <v>55.57</v>
      </c>
      <c r="D19" s="57"/>
      <c r="E19" s="57">
        <v>55.8</v>
      </c>
      <c r="F19" s="78">
        <f t="shared" ref="F19:S19" si="72">+E19*(1+F$33)</f>
        <v>56.581199999999995</v>
      </c>
      <c r="G19" s="78">
        <f t="shared" si="72"/>
        <v>60.541883999999996</v>
      </c>
      <c r="H19" s="78">
        <f>+G19*(1+H$33)</f>
        <v>64.477106459999987</v>
      </c>
      <c r="I19" s="78">
        <f t="shared" si="72"/>
        <v>66.604850973179978</v>
      </c>
      <c r="J19" s="57">
        <v>64.900000000000006</v>
      </c>
      <c r="K19" s="172">
        <f t="shared" si="72"/>
        <v>67.041700000000006</v>
      </c>
      <c r="L19" s="78">
        <f t="shared" si="72"/>
        <v>68.382534000000007</v>
      </c>
      <c r="M19" s="78">
        <f t="shared" si="72"/>
        <v>69.750184680000004</v>
      </c>
      <c r="N19" s="78">
        <f t="shared" si="72"/>
        <v>71.145188373600007</v>
      </c>
      <c r="O19" s="78">
        <f t="shared" si="72"/>
        <v>72.568092141072015</v>
      </c>
      <c r="P19" s="78">
        <f t="shared" si="72"/>
        <v>74.019453983893456</v>
      </c>
      <c r="Q19" s="78">
        <f t="shared" si="72"/>
        <v>75.499843063571333</v>
      </c>
      <c r="R19" s="78">
        <f t="shared" si="72"/>
        <v>77.009839924842765</v>
      </c>
      <c r="S19" s="78">
        <f t="shared" si="72"/>
        <v>78.550036723339616</v>
      </c>
      <c r="T19" s="78">
        <f t="shared" ref="T19:T20" si="73">+S19*(1+T$33)</f>
        <v>80.121037457806409</v>
      </c>
      <c r="U19" s="78">
        <f t="shared" ref="U19:U20" si="74">+T19*(1+U$33)</f>
        <v>81.723458206962533</v>
      </c>
      <c r="V19" s="78">
        <f t="shared" ref="V19:V20" si="75">+U19*(1+V$33)</f>
        <v>81.723458206962533</v>
      </c>
      <c r="W19" s="78">
        <f t="shared" ref="W19:W20" si="76">+V19*(1+W$33)</f>
        <v>81.723458206962533</v>
      </c>
      <c r="X19" s="78">
        <f t="shared" ref="X19:X20" si="77">+W19*(1+X$33)</f>
        <v>81.723458206962533</v>
      </c>
    </row>
    <row r="20" spans="2:24" ht="17.100000000000001" customHeight="1">
      <c r="B20" s="29" t="s">
        <v>82</v>
      </c>
      <c r="C20" s="85"/>
      <c r="D20" s="85"/>
      <c r="E20" s="78">
        <f t="shared" ref="E20:K20" si="78">((E16-(E19*E6*E18)))/E18/E8</f>
        <v>16.206091054293495</v>
      </c>
      <c r="F20" s="78">
        <f t="shared" si="78"/>
        <v>16.428821788441947</v>
      </c>
      <c r="G20" s="78">
        <f t="shared" si="78"/>
        <v>9.6115913284017616</v>
      </c>
      <c r="H20" s="78">
        <f t="shared" si="78"/>
        <v>11.270641993429768</v>
      </c>
      <c r="I20" s="78">
        <f t="shared" si="78"/>
        <v>13.284701355695923</v>
      </c>
      <c r="J20" s="57">
        <v>14.4</v>
      </c>
      <c r="K20" s="172">
        <f t="shared" si="78"/>
        <v>17.151438148228387</v>
      </c>
      <c r="L20" s="78">
        <f t="shared" ref="L20:S20" si="79">+K20*(1+L$33)</f>
        <v>17.494466911192955</v>
      </c>
      <c r="M20" s="78">
        <f t="shared" si="79"/>
        <v>17.844356249416816</v>
      </c>
      <c r="N20" s="78">
        <f t="shared" si="79"/>
        <v>18.201243374405152</v>
      </c>
      <c r="O20" s="78">
        <f t="shared" si="79"/>
        <v>18.565268241893257</v>
      </c>
      <c r="P20" s="78">
        <f t="shared" si="79"/>
        <v>18.936573606731123</v>
      </c>
      <c r="Q20" s="78">
        <f t="shared" si="79"/>
        <v>19.315305078865745</v>
      </c>
      <c r="R20" s="78">
        <f t="shared" si="79"/>
        <v>19.701611180443059</v>
      </c>
      <c r="S20" s="78">
        <f t="shared" si="79"/>
        <v>20.09564340405192</v>
      </c>
      <c r="T20" s="78">
        <f t="shared" si="73"/>
        <v>20.497556272132957</v>
      </c>
      <c r="U20" s="78">
        <f t="shared" si="74"/>
        <v>20.907507397575618</v>
      </c>
      <c r="V20" s="78">
        <f t="shared" si="75"/>
        <v>20.907507397575618</v>
      </c>
      <c r="W20" s="78">
        <f t="shared" si="76"/>
        <v>20.907507397575618</v>
      </c>
      <c r="X20" s="78">
        <f t="shared" si="77"/>
        <v>20.907507397575618</v>
      </c>
    </row>
    <row r="21" spans="2:24" ht="17.100000000000001" customHeight="1">
      <c r="B21" s="12" t="s">
        <v>83</v>
      </c>
      <c r="C21" s="31"/>
      <c r="D21" s="31"/>
      <c r="E21" s="31">
        <f t="shared" ref="E21:K21" si="80">+E15-E16</f>
        <v>44.86099999999999</v>
      </c>
      <c r="F21" s="31">
        <f t="shared" si="80"/>
        <v>29.346</v>
      </c>
      <c r="G21" s="31">
        <f t="shared" si="80"/>
        <v>34.146000000000001</v>
      </c>
      <c r="H21" s="31">
        <f t="shared" si="80"/>
        <v>39.080000000000013</v>
      </c>
      <c r="I21" s="31">
        <f t="shared" si="80"/>
        <v>47.724999999999994</v>
      </c>
      <c r="J21" s="31">
        <f t="shared" si="80"/>
        <v>51.736000000000004</v>
      </c>
      <c r="K21" s="31">
        <f t="shared" si="80"/>
        <v>56.717999999999989</v>
      </c>
      <c r="L21" s="31">
        <f t="shared" ref="L21:S21" si="81">+L23*L5*L22</f>
        <v>58.871952902846388</v>
      </c>
      <c r="M21" s="31">
        <f t="shared" si="81"/>
        <v>61.108073366278262</v>
      </c>
      <c r="N21" s="31">
        <f t="shared" si="81"/>
        <v>63.429509679318123</v>
      </c>
      <c r="O21" s="31">
        <f t="shared" si="81"/>
        <v>65.839531275665962</v>
      </c>
      <c r="P21" s="31">
        <f t="shared" si="81"/>
        <v>68.341533414513492</v>
      </c>
      <c r="Q21" s="31">
        <f t="shared" si="81"/>
        <v>70.939042042928918</v>
      </c>
      <c r="R21" s="31">
        <f t="shared" si="81"/>
        <v>73.635718846882284</v>
      </c>
      <c r="S21" s="31">
        <f t="shared" si="81"/>
        <v>76.43536649825667</v>
      </c>
      <c r="T21" s="31">
        <f t="shared" ref="T21:X21" si="82">+T23*T5*T22</f>
        <v>79.341934105478174</v>
      </c>
      <c r="U21" s="31">
        <f t="shared" si="82"/>
        <v>82.359522875695845</v>
      </c>
      <c r="V21" s="31">
        <f t="shared" si="82"/>
        <v>83.816070585051463</v>
      </c>
      <c r="W21" s="31">
        <f t="shared" si="82"/>
        <v>85.298889607371819</v>
      </c>
      <c r="X21" s="31">
        <f t="shared" si="82"/>
        <v>86.808462474297869</v>
      </c>
    </row>
    <row r="22" spans="2:24" ht="17.100000000000001" customHeight="1">
      <c r="B22" s="10" t="s">
        <v>80</v>
      </c>
      <c r="C22" s="31"/>
      <c r="D22" s="31"/>
      <c r="E22" s="32">
        <f>+E18</f>
        <v>0.89</v>
      </c>
      <c r="F22" s="32">
        <f t="shared" ref="F22:S22" si="83">+F18</f>
        <v>0.89</v>
      </c>
      <c r="G22" s="32">
        <f t="shared" si="83"/>
        <v>0.89</v>
      </c>
      <c r="H22" s="32">
        <f t="shared" si="83"/>
        <v>0.89</v>
      </c>
      <c r="I22" s="32">
        <f t="shared" si="83"/>
        <v>0.89</v>
      </c>
      <c r="J22" s="32">
        <f t="shared" ref="J22" si="84">+J18</f>
        <v>0.89</v>
      </c>
      <c r="K22" s="47">
        <f t="shared" si="83"/>
        <v>0.89</v>
      </c>
      <c r="L22" s="32">
        <f t="shared" si="83"/>
        <v>0.89</v>
      </c>
      <c r="M22" s="32">
        <f t="shared" si="83"/>
        <v>0.89</v>
      </c>
      <c r="N22" s="32">
        <f t="shared" si="83"/>
        <v>0.89</v>
      </c>
      <c r="O22" s="32">
        <f t="shared" si="83"/>
        <v>0.89</v>
      </c>
      <c r="P22" s="32">
        <f t="shared" si="83"/>
        <v>0.89</v>
      </c>
      <c r="Q22" s="32">
        <f t="shared" si="83"/>
        <v>0.89</v>
      </c>
      <c r="R22" s="32">
        <f t="shared" si="83"/>
        <v>0.89</v>
      </c>
      <c r="S22" s="32">
        <f t="shared" si="83"/>
        <v>0.89</v>
      </c>
      <c r="T22" s="32">
        <f t="shared" ref="T22:X22" si="85">+T18</f>
        <v>0.89</v>
      </c>
      <c r="U22" s="32">
        <f t="shared" si="85"/>
        <v>0.89</v>
      </c>
      <c r="V22" s="32">
        <f t="shared" si="85"/>
        <v>0.89</v>
      </c>
      <c r="W22" s="32">
        <f t="shared" si="85"/>
        <v>0.89</v>
      </c>
      <c r="X22" s="32">
        <f t="shared" si="85"/>
        <v>0.89</v>
      </c>
    </row>
    <row r="23" spans="2:24" ht="17.100000000000001" customHeight="1">
      <c r="B23" s="10" t="s">
        <v>79</v>
      </c>
      <c r="C23" s="31"/>
      <c r="D23" s="31"/>
      <c r="E23" s="78">
        <f t="shared" ref="E23:K23" si="86">+E21/E$5/E22</f>
        <v>19.997666396567482</v>
      </c>
      <c r="F23" s="78">
        <f t="shared" si="86"/>
        <v>42.634750276531669</v>
      </c>
      <c r="G23" s="78">
        <f t="shared" si="86"/>
        <v>31.567114480998217</v>
      </c>
      <c r="H23" s="78">
        <f t="shared" si="86"/>
        <v>20.143824224618701</v>
      </c>
      <c r="I23" s="78">
        <f t="shared" si="86"/>
        <v>19.623754021142599</v>
      </c>
      <c r="J23" s="78">
        <f t="shared" si="86"/>
        <v>21.714602034000428</v>
      </c>
      <c r="K23" s="78">
        <f t="shared" si="86"/>
        <v>23.790216446927687</v>
      </c>
      <c r="L23" s="78">
        <f t="shared" ref="L23:S23" si="87">+K23*(1+L$33)</f>
        <v>24.266020775866242</v>
      </c>
      <c r="M23" s="78">
        <f t="shared" si="87"/>
        <v>24.751341191383567</v>
      </c>
      <c r="N23" s="78">
        <f t="shared" si="87"/>
        <v>25.246368015211239</v>
      </c>
      <c r="O23" s="78">
        <f t="shared" si="87"/>
        <v>25.751295375515465</v>
      </c>
      <c r="P23" s="78">
        <f t="shared" si="87"/>
        <v>26.266321283025775</v>
      </c>
      <c r="Q23" s="78">
        <f t="shared" si="87"/>
        <v>26.791647708686291</v>
      </c>
      <c r="R23" s="78">
        <f>+Q23*(1+R$33)</f>
        <v>27.327480662860019</v>
      </c>
      <c r="S23" s="78">
        <f t="shared" si="87"/>
        <v>27.874030276117221</v>
      </c>
      <c r="T23" s="78">
        <f t="shared" ref="T23" si="88">+S23*(1+T$33)</f>
        <v>28.431510881639564</v>
      </c>
      <c r="U23" s="78">
        <f t="shared" ref="U23" si="89">+T23*(1+U$33)</f>
        <v>29.000141099272355</v>
      </c>
      <c r="V23" s="78">
        <f t="shared" ref="V23" si="90">+U23*(1+V$33)</f>
        <v>29.000141099272355</v>
      </c>
      <c r="W23" s="78">
        <f t="shared" ref="W23" si="91">+V23*(1+W$33)</f>
        <v>29.000141099272355</v>
      </c>
      <c r="X23" s="78">
        <f t="shared" ref="X23" si="92">+W23*(1+X$33)</f>
        <v>29.000141099272355</v>
      </c>
    </row>
    <row r="24" spans="2:24" ht="17.100000000000001" customHeight="1">
      <c r="B24" s="12"/>
      <c r="C24" s="31"/>
      <c r="D24" s="31"/>
      <c r="E24" s="8"/>
      <c r="F24" s="8"/>
      <c r="G24" s="8"/>
      <c r="H24" s="8"/>
      <c r="I24" s="87"/>
      <c r="J24" s="87"/>
      <c r="K24" s="87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spans="2:24" ht="17.100000000000001" customHeight="1">
      <c r="B25" s="12" t="s">
        <v>84</v>
      </c>
      <c r="C25" s="31"/>
      <c r="D25" s="31"/>
      <c r="E25" s="8">
        <v>44.651000000000003</v>
      </c>
      <c r="F25" s="8">
        <v>18.41</v>
      </c>
      <c r="G25" s="8">
        <v>27.667999999999999</v>
      </c>
      <c r="H25" s="8">
        <v>39.893999999999998</v>
      </c>
      <c r="I25" s="8">
        <v>50.579000000000001</v>
      </c>
      <c r="J25" s="8">
        <v>53.48</v>
      </c>
      <c r="K25" s="8">
        <v>55.978999999999999</v>
      </c>
      <c r="L25" s="31">
        <f t="shared" ref="L25:S25" si="93">+L26+L28</f>
        <v>58.104888246208219</v>
      </c>
      <c r="M25" s="31">
        <f t="shared" si="93"/>
        <v>60.311873461174415</v>
      </c>
      <c r="N25" s="31">
        <f t="shared" si="93"/>
        <v>62.603062913687864</v>
      </c>
      <c r="O25" s="31">
        <f t="shared" si="93"/>
        <v>64.98168343877613</v>
      </c>
      <c r="P25" s="31">
        <f t="shared" si="93"/>
        <v>67.451086057531114</v>
      </c>
      <c r="Q25" s="31">
        <f t="shared" si="93"/>
        <v>70.014750776140147</v>
      </c>
      <c r="R25" s="31">
        <f t="shared" si="93"/>
        <v>72.676291571099497</v>
      </c>
      <c r="S25" s="31">
        <f t="shared" si="93"/>
        <v>75.439461567860434</v>
      </c>
      <c r="T25" s="31">
        <f t="shared" ref="T25:X25" si="94">+T26+T28</f>
        <v>78.30815842044079</v>
      </c>
      <c r="U25" s="31">
        <f t="shared" si="94"/>
        <v>81.286429899830324</v>
      </c>
      <c r="V25" s="31">
        <f t="shared" si="94"/>
        <v>82.723999705218702</v>
      </c>
      <c r="W25" s="31">
        <f t="shared" si="94"/>
        <v>84.187498524825713</v>
      </c>
      <c r="X25" s="31">
        <f t="shared" si="94"/>
        <v>85.677402603207412</v>
      </c>
    </row>
    <row r="26" spans="2:24" ht="17.100000000000001" customHeight="1">
      <c r="B26" s="12" t="s">
        <v>85</v>
      </c>
      <c r="C26" s="31"/>
      <c r="D26" s="31"/>
      <c r="E26" s="8">
        <v>19.835000000000001</v>
      </c>
      <c r="F26" s="8">
        <v>10.201000000000001</v>
      </c>
      <c r="G26" s="8">
        <v>14.775</v>
      </c>
      <c r="H26" s="8">
        <v>18.503</v>
      </c>
      <c r="I26" s="8">
        <v>21.893999999999998</v>
      </c>
      <c r="J26" s="8">
        <v>23.055</v>
      </c>
      <c r="K26" s="8">
        <v>24.681999999999999</v>
      </c>
      <c r="L26" s="31">
        <f t="shared" ref="L26:S26" si="95">+L27*L5</f>
        <v>25.619336745795945</v>
      </c>
      <c r="M26" s="31">
        <f t="shared" si="95"/>
        <v>26.592430389408648</v>
      </c>
      <c r="N26" s="31">
        <f t="shared" si="95"/>
        <v>27.60265097332292</v>
      </c>
      <c r="O26" s="31">
        <f t="shared" si="95"/>
        <v>28.651421258612558</v>
      </c>
      <c r="P26" s="31">
        <f t="shared" si="95"/>
        <v>29.740218761892546</v>
      </c>
      <c r="Q26" s="31">
        <f t="shared" si="95"/>
        <v>30.870577871285498</v>
      </c>
      <c r="R26" s="31">
        <f t="shared" si="95"/>
        <v>32.044092044478781</v>
      </c>
      <c r="S26" s="31">
        <f t="shared" si="95"/>
        <v>33.26241609206901</v>
      </c>
      <c r="T26" s="31">
        <f t="shared" ref="T26:X26" si="96">+T27*T5</f>
        <v>34.527268549515341</v>
      </c>
      <c r="U26" s="31">
        <f t="shared" si="96"/>
        <v>35.840434141153139</v>
      </c>
      <c r="V26" s="31">
        <f t="shared" si="96"/>
        <v>36.474280725347143</v>
      </c>
      <c r="W26" s="31">
        <f t="shared" si="96"/>
        <v>37.119559809745581</v>
      </c>
      <c r="X26" s="31">
        <f t="shared" si="96"/>
        <v>37.776481377880366</v>
      </c>
    </row>
    <row r="27" spans="2:24" ht="17.100000000000001" customHeight="1">
      <c r="B27" s="10" t="s">
        <v>34</v>
      </c>
      <c r="C27" s="31"/>
      <c r="D27" s="31"/>
      <c r="E27" s="78">
        <f t="shared" ref="E27:I27" si="97">+E26/E5</f>
        <v>7.8692361861876758</v>
      </c>
      <c r="F27" s="78">
        <f t="shared" si="97"/>
        <v>13.190084097938412</v>
      </c>
      <c r="G27" s="78">
        <f t="shared" si="97"/>
        <v>12.156611715764843</v>
      </c>
      <c r="H27" s="78">
        <f t="shared" si="97"/>
        <v>8.4882766087263697</v>
      </c>
      <c r="I27" s="78">
        <f t="shared" si="97"/>
        <v>8.0121906501753273</v>
      </c>
      <c r="J27" s="78">
        <f>+J26/J5</f>
        <v>8.6122010477337447</v>
      </c>
      <c r="K27" s="78">
        <f>+K26/K5</f>
        <v>9.2139921874066708</v>
      </c>
      <c r="L27" s="78">
        <f>+K27*(1+L$33)</f>
        <v>9.3982720311548036</v>
      </c>
      <c r="M27" s="78">
        <f t="shared" ref="M27:S27" si="98">+L27*(1+M$33)</f>
        <v>9.5862374717778991</v>
      </c>
      <c r="N27" s="78">
        <f t="shared" si="98"/>
        <v>9.7779622212134569</v>
      </c>
      <c r="O27" s="78">
        <f t="shared" si="98"/>
        <v>9.9735214656377256</v>
      </c>
      <c r="P27" s="78">
        <f t="shared" si="98"/>
        <v>10.17299189495048</v>
      </c>
      <c r="Q27" s="78">
        <f t="shared" si="98"/>
        <v>10.376451732849489</v>
      </c>
      <c r="R27" s="78">
        <f t="shared" si="98"/>
        <v>10.583980767506478</v>
      </c>
      <c r="S27" s="78">
        <f t="shared" si="98"/>
        <v>10.795660382856608</v>
      </c>
      <c r="T27" s="78">
        <f t="shared" ref="T27" si="99">+S27*(1+T$33)</f>
        <v>11.011573590513741</v>
      </c>
      <c r="U27" s="78">
        <f t="shared" ref="U27" si="100">+T27*(1+U$33)</f>
        <v>11.231805062324016</v>
      </c>
      <c r="V27" s="78">
        <f t="shared" ref="V27" si="101">+U27*(1+V$33)</f>
        <v>11.231805062324016</v>
      </c>
      <c r="W27" s="78">
        <f t="shared" ref="W27" si="102">+V27*(1+W$33)</f>
        <v>11.231805062324016</v>
      </c>
      <c r="X27" s="78">
        <f t="shared" ref="X27" si="103">+W27*(1+X$33)</f>
        <v>11.231805062324016</v>
      </c>
    </row>
    <row r="28" spans="2:24" ht="17.100000000000001" customHeight="1">
      <c r="B28" s="12" t="s">
        <v>86</v>
      </c>
      <c r="C28" s="31"/>
      <c r="D28" s="31"/>
      <c r="E28" s="9">
        <f t="shared" ref="E28:H28" si="104">+E25-E26</f>
        <v>24.816000000000003</v>
      </c>
      <c r="F28" s="9">
        <f t="shared" si="104"/>
        <v>8.2089999999999996</v>
      </c>
      <c r="G28" s="9">
        <f t="shared" si="104"/>
        <v>12.892999999999999</v>
      </c>
      <c r="H28" s="9">
        <f t="shared" si="104"/>
        <v>21.390999999999998</v>
      </c>
      <c r="I28" s="9">
        <f>+I25-I26</f>
        <v>28.685000000000002</v>
      </c>
      <c r="J28" s="9">
        <f>+J25-J26</f>
        <v>30.424999999999997</v>
      </c>
      <c r="K28" s="9">
        <f>+K25-K26</f>
        <v>31.297000000000001</v>
      </c>
      <c r="L28" s="9">
        <f>+K28*L27/K27*L5/K5</f>
        <v>32.485551500412278</v>
      </c>
      <c r="M28" s="9">
        <f t="shared" ref="M28:S28" si="105">+L28*M27/L27*M5/L5</f>
        <v>33.719443071765767</v>
      </c>
      <c r="N28" s="9">
        <f t="shared" si="105"/>
        <v>35.000411940364941</v>
      </c>
      <c r="O28" s="9">
        <f t="shared" si="105"/>
        <v>36.330262180163572</v>
      </c>
      <c r="P28" s="9">
        <f t="shared" si="105"/>
        <v>37.710867295638565</v>
      </c>
      <c r="Q28" s="9">
        <f t="shared" si="105"/>
        <v>39.144172904854642</v>
      </c>
      <c r="R28" s="9">
        <f t="shared" si="105"/>
        <v>40.632199526620717</v>
      </c>
      <c r="S28" s="9">
        <f t="shared" si="105"/>
        <v>42.177045475791424</v>
      </c>
      <c r="T28" s="9">
        <f t="shared" ref="T28" si="106">+S28*T27/S27*T5/S5</f>
        <v>43.780889870925449</v>
      </c>
      <c r="U28" s="9">
        <f t="shared" ref="U28" si="107">+T28*U27/T27*U5/T5</f>
        <v>45.445995758677178</v>
      </c>
      <c r="V28" s="9">
        <f t="shared" ref="V28" si="108">+U28*V27/U27*V5/U5</f>
        <v>46.24971897987156</v>
      </c>
      <c r="W28" s="9">
        <f t="shared" ref="W28" si="109">+V28*W27/V27*W5/V5</f>
        <v>47.067938715080139</v>
      </c>
      <c r="X28" s="9">
        <f t="shared" ref="X28" si="110">+W28*X27/W27*X5/W5</f>
        <v>47.900921225327053</v>
      </c>
    </row>
    <row r="29" spans="2:24" ht="17.100000000000001" customHeight="1">
      <c r="B29" s="10" t="s">
        <v>34</v>
      </c>
      <c r="C29" s="31"/>
      <c r="D29" s="31"/>
      <c r="E29" s="78">
        <f t="shared" ref="E29:K29" si="111">+E28/E8</f>
        <v>18.33531098951276</v>
      </c>
      <c r="F29" s="78">
        <f t="shared" si="111"/>
        <v>20.331536047672238</v>
      </c>
      <c r="G29" s="78">
        <f t="shared" si="111"/>
        <v>22.359729248357226</v>
      </c>
      <c r="H29" s="78">
        <f t="shared" si="111"/>
        <v>17.170079384827783</v>
      </c>
      <c r="I29" s="78">
        <f t="shared" si="111"/>
        <v>19.278875299247666</v>
      </c>
      <c r="J29" s="78">
        <f t="shared" si="111"/>
        <v>21.314918551440236</v>
      </c>
      <c r="K29" s="78">
        <f t="shared" si="111"/>
        <v>22.262198435663905</v>
      </c>
      <c r="L29" s="78">
        <f t="shared" ref="L29" si="112">+K29*(1+L$33)</f>
        <v>22.707442404377183</v>
      </c>
      <c r="M29" s="78">
        <f t="shared" ref="M29" si="113">+L29*(1+M$33)</f>
        <v>23.161591252464728</v>
      </c>
      <c r="N29" s="78">
        <f t="shared" ref="N29" si="114">+M29*(1+N$33)</f>
        <v>23.624823077514023</v>
      </c>
      <c r="O29" s="78">
        <f t="shared" ref="O29" si="115">+N29*(1+O$33)</f>
        <v>24.097319539064305</v>
      </c>
      <c r="P29" s="78">
        <f t="shared" ref="P29" si="116">+O29*(1+P$33)</f>
        <v>24.57926592984559</v>
      </c>
      <c r="Q29" s="78">
        <f t="shared" ref="Q29" si="117">+P29*(1+Q$33)</f>
        <v>25.070851248442501</v>
      </c>
      <c r="R29" s="78">
        <f t="shared" ref="R29" si="118">+Q29*(1+R$33)</f>
        <v>25.572268273411353</v>
      </c>
      <c r="S29" s="78">
        <f t="shared" ref="S29" si="119">+R29*(1+S$33)</f>
        <v>26.08371363887958</v>
      </c>
      <c r="T29" s="78">
        <f t="shared" ref="T29" si="120">+S29*(1+T$33)</f>
        <v>26.605387911657171</v>
      </c>
      <c r="U29" s="78">
        <f t="shared" ref="U29" si="121">+T29*(1+U$33)</f>
        <v>27.137495669890317</v>
      </c>
      <c r="V29" s="78">
        <f t="shared" ref="V29" si="122">+U29*(1+V$33)</f>
        <v>27.137495669890317</v>
      </c>
      <c r="W29" s="78">
        <f t="shared" ref="W29" si="123">+V29*(1+W$33)</f>
        <v>27.137495669890317</v>
      </c>
      <c r="X29" s="78">
        <f t="shared" ref="X29" si="124">+W29*(1+X$33)</f>
        <v>27.137495669890317</v>
      </c>
    </row>
    <row r="30" spans="2:24" ht="17.100000000000001" customHeight="1">
      <c r="B30" s="12"/>
      <c r="C30" s="31"/>
      <c r="D30" s="31"/>
      <c r="E30" s="45"/>
      <c r="F30" s="8"/>
      <c r="G30" s="8"/>
      <c r="H30" s="8"/>
      <c r="I30" s="8"/>
      <c r="J30" s="8"/>
      <c r="K30" s="8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2:24" ht="17.100000000000001" customHeight="1">
      <c r="B31" s="12" t="s">
        <v>87</v>
      </c>
      <c r="C31" s="31"/>
      <c r="D31" s="31"/>
      <c r="E31" s="9">
        <f t="shared" ref="E31:K31" si="125">+E13-E15-E25</f>
        <v>7.1600000000000037</v>
      </c>
      <c r="F31" s="9">
        <f t="shared" si="125"/>
        <v>8.3800000000000061</v>
      </c>
      <c r="G31" s="9">
        <f t="shared" si="125"/>
        <v>2.6660000000000039</v>
      </c>
      <c r="H31" s="9">
        <f t="shared" si="125"/>
        <v>7.3320000000000007</v>
      </c>
      <c r="I31" s="9">
        <f t="shared" si="125"/>
        <v>2.0209999999999937</v>
      </c>
      <c r="J31" s="9">
        <f t="shared" si="125"/>
        <v>4.7199999999999918</v>
      </c>
      <c r="K31" s="9">
        <f t="shared" si="125"/>
        <v>4.1640000000000015</v>
      </c>
      <c r="L31" s="30">
        <v>1</v>
      </c>
      <c r="M31" s="31">
        <f t="shared" ref="M31:S31" si="126">+L31*(1+M$33)</f>
        <v>1.02</v>
      </c>
      <c r="N31" s="31">
        <f t="shared" si="126"/>
        <v>1.0404</v>
      </c>
      <c r="O31" s="31">
        <f t="shared" si="126"/>
        <v>1.0612079999999999</v>
      </c>
      <c r="P31" s="31">
        <f t="shared" si="126"/>
        <v>1.08243216</v>
      </c>
      <c r="Q31" s="31">
        <f t="shared" si="126"/>
        <v>1.1040808032</v>
      </c>
      <c r="R31" s="31">
        <f t="shared" si="126"/>
        <v>1.1261624192640001</v>
      </c>
      <c r="S31" s="31">
        <f t="shared" si="126"/>
        <v>1.14868566764928</v>
      </c>
      <c r="T31" s="31">
        <f t="shared" ref="T31" si="127">+S31*(1+T$33)</f>
        <v>1.1716593810022657</v>
      </c>
      <c r="U31" s="31">
        <f t="shared" ref="U31" si="128">+T31*(1+U$33)</f>
        <v>1.1950925686223111</v>
      </c>
      <c r="V31" s="31">
        <f t="shared" ref="V31" si="129">+U31*(1+V$33)</f>
        <v>1.1950925686223111</v>
      </c>
      <c r="W31" s="31">
        <f t="shared" ref="W31" si="130">+V31*(1+W$33)</f>
        <v>1.1950925686223111</v>
      </c>
      <c r="X31" s="31">
        <f t="shared" ref="X31" si="131">+W31*(1+X$33)</f>
        <v>1.1950925686223111</v>
      </c>
    </row>
    <row r="32" spans="2:24" ht="17.100000000000001" customHeight="1">
      <c r="B32" s="12"/>
      <c r="C32" s="31"/>
      <c r="D32" s="31"/>
      <c r="E32" s="8"/>
      <c r="F32" s="8"/>
      <c r="G32" s="8"/>
      <c r="H32" s="8"/>
      <c r="I32" s="8"/>
      <c r="J32" s="8"/>
      <c r="K32" s="8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2:24" ht="17.100000000000001" customHeight="1">
      <c r="B33" s="10" t="s">
        <v>135</v>
      </c>
      <c r="C33" s="31"/>
      <c r="D33" s="31"/>
      <c r="E33" s="79">
        <v>2.3E-2</v>
      </c>
      <c r="F33" s="79">
        <v>1.4E-2</v>
      </c>
      <c r="G33" s="79">
        <v>7.0000000000000007E-2</v>
      </c>
      <c r="H33" s="79">
        <v>6.5000000000000002E-2</v>
      </c>
      <c r="I33" s="79">
        <v>3.3000000000000002E-2</v>
      </c>
      <c r="J33" s="79">
        <v>2.3E-2</v>
      </c>
      <c r="K33" s="79">
        <v>3.3000000000000002E-2</v>
      </c>
      <c r="L33" s="80">
        <v>0.02</v>
      </c>
      <c r="M33" s="80">
        <v>0.02</v>
      </c>
      <c r="N33" s="80">
        <v>0.02</v>
      </c>
      <c r="O33" s="80">
        <v>0.02</v>
      </c>
      <c r="P33" s="80">
        <v>0.02</v>
      </c>
      <c r="Q33" s="80">
        <v>0.02</v>
      </c>
      <c r="R33" s="80">
        <v>0.02</v>
      </c>
      <c r="S33" s="80">
        <v>0.02</v>
      </c>
      <c r="T33" s="80">
        <v>0.02</v>
      </c>
      <c r="U33" s="80">
        <v>0.02</v>
      </c>
      <c r="V33" s="80">
        <v>0</v>
      </c>
      <c r="W33" s="80">
        <v>0</v>
      </c>
      <c r="X33" s="80">
        <v>0</v>
      </c>
    </row>
    <row r="34" spans="2:24" ht="17.100000000000001" customHeight="1">
      <c r="B34" s="12"/>
      <c r="C34" s="31"/>
      <c r="D34" s="31"/>
      <c r="E34" s="8"/>
      <c r="F34" s="8"/>
      <c r="G34" s="8"/>
      <c r="H34" s="8"/>
      <c r="I34" s="8"/>
      <c r="J34" s="8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2:24" ht="17.100000000000001" customHeight="1">
      <c r="B35" s="4" t="s">
        <v>46</v>
      </c>
      <c r="C35" s="5">
        <f t="shared" ref="C35:S35" si="132">+C11</f>
        <v>2018</v>
      </c>
      <c r="D35" s="5"/>
      <c r="E35" s="5">
        <f t="shared" si="132"/>
        <v>2019</v>
      </c>
      <c r="F35" s="5">
        <f t="shared" si="132"/>
        <v>2020</v>
      </c>
      <c r="G35" s="5">
        <f t="shared" si="132"/>
        <v>2021</v>
      </c>
      <c r="H35" s="5">
        <f t="shared" si="132"/>
        <v>2022</v>
      </c>
      <c r="I35" s="5">
        <f t="shared" si="132"/>
        <v>2023</v>
      </c>
      <c r="J35" s="5">
        <f t="shared" ref="J35" si="133">+J11</f>
        <v>2024</v>
      </c>
      <c r="K35" s="5">
        <f t="shared" si="132"/>
        <v>2025</v>
      </c>
      <c r="L35" s="6" t="str">
        <f t="shared" si="132"/>
        <v>2026E</v>
      </c>
      <c r="M35" s="6" t="str">
        <f t="shared" si="132"/>
        <v>2027E</v>
      </c>
      <c r="N35" s="6" t="str">
        <f t="shared" si="132"/>
        <v>2028E</v>
      </c>
      <c r="O35" s="6" t="str">
        <f t="shared" si="132"/>
        <v>2029E</v>
      </c>
      <c r="P35" s="6" t="str">
        <f t="shared" si="132"/>
        <v>2030E</v>
      </c>
      <c r="Q35" s="6" t="str">
        <f t="shared" si="132"/>
        <v>2031E</v>
      </c>
      <c r="R35" s="6" t="str">
        <f t="shared" si="132"/>
        <v>2032E</v>
      </c>
      <c r="S35" s="6" t="str">
        <f t="shared" si="132"/>
        <v>2033E</v>
      </c>
      <c r="T35" s="6" t="str">
        <f t="shared" ref="T35:X35" si="134">+T11</f>
        <v>2034E</v>
      </c>
      <c r="U35" s="6" t="str">
        <f t="shared" si="134"/>
        <v>2035E</v>
      </c>
      <c r="V35" s="6" t="str">
        <f t="shared" si="134"/>
        <v>2036E</v>
      </c>
      <c r="W35" s="6" t="str">
        <f t="shared" si="134"/>
        <v>2037E</v>
      </c>
      <c r="X35" s="6" t="str">
        <f t="shared" si="134"/>
        <v>2038E</v>
      </c>
    </row>
    <row r="36" spans="2:24" ht="17.100000000000001" customHeight="1">
      <c r="B36" s="12"/>
      <c r="C36" s="31"/>
      <c r="D36" s="31"/>
      <c r="E36" s="8"/>
      <c r="F36" s="8"/>
      <c r="G36" s="8"/>
      <c r="H36" s="8"/>
      <c r="I36" s="8"/>
      <c r="J36" s="8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spans="2:24" ht="17.100000000000001" customHeight="1">
      <c r="B37" s="12" t="s">
        <v>89</v>
      </c>
      <c r="C37" s="31"/>
      <c r="D37" s="31">
        <v>171.7</v>
      </c>
      <c r="E37" s="31">
        <f t="shared" ref="E37:S37" si="135">+E13</f>
        <v>174.155</v>
      </c>
      <c r="F37" s="31">
        <f t="shared" si="135"/>
        <v>80.653000000000006</v>
      </c>
      <c r="G37" s="31">
        <f t="shared" si="135"/>
        <v>103.831</v>
      </c>
      <c r="H37" s="31">
        <f t="shared" si="135"/>
        <v>152.4</v>
      </c>
      <c r="I37" s="31">
        <f t="shared" si="135"/>
        <v>191.7</v>
      </c>
      <c r="J37" s="31">
        <f t="shared" ref="J37" si="136">+J13</f>
        <v>203.7</v>
      </c>
      <c r="K37" s="31">
        <f t="shared" si="135"/>
        <v>214.27199999999999</v>
      </c>
      <c r="L37" s="31">
        <f t="shared" si="135"/>
        <v>217.93589431271593</v>
      </c>
      <c r="M37" s="31">
        <f t="shared" si="135"/>
        <v>226.05672100394446</v>
      </c>
      <c r="N37" s="31">
        <f t="shared" si="135"/>
        <v>234.48149153810172</v>
      </c>
      <c r="O37" s="31">
        <f t="shared" si="135"/>
        <v>243.22163319073655</v>
      </c>
      <c r="P37" s="31">
        <f t="shared" si="135"/>
        <v>252.28900482176354</v>
      </c>
      <c r="Q37" s="31">
        <f t="shared" si="135"/>
        <v>261.69591324973328</v>
      </c>
      <c r="R37" s="31">
        <f t="shared" si="135"/>
        <v>271.45513025014395</v>
      </c>
      <c r="S37" s="31">
        <f t="shared" si="135"/>
        <v>281.57991020168197</v>
      </c>
      <c r="T37" s="31">
        <f t="shared" ref="T37:X37" si="137">+T13</f>
        <v>292.08400840519909</v>
      </c>
      <c r="U37" s="31">
        <f t="shared" si="137"/>
        <v>302.98170010118565</v>
      </c>
      <c r="V37" s="31">
        <f t="shared" si="137"/>
        <v>308.12529432597211</v>
      </c>
      <c r="W37" s="31">
        <f t="shared" si="137"/>
        <v>313.35801983859574</v>
      </c>
      <c r="X37" s="31">
        <f t="shared" si="137"/>
        <v>318.68145315586338</v>
      </c>
    </row>
    <row r="38" spans="2:24" ht="17.100000000000001" customHeight="1">
      <c r="B38" s="12"/>
      <c r="C38" s="31"/>
      <c r="D38" s="31"/>
      <c r="E38" s="8"/>
      <c r="F38" s="8"/>
      <c r="G38" s="8"/>
      <c r="H38" s="8"/>
      <c r="I38" s="8"/>
      <c r="J38" s="8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spans="2:24" ht="17.100000000000001" customHeight="1">
      <c r="B39" s="12" t="s">
        <v>90</v>
      </c>
      <c r="C39" s="31"/>
      <c r="D39" s="31"/>
      <c r="E39" s="9">
        <f t="shared" ref="E39:I39" si="138">+SUM(E41:E48)</f>
        <v>43.542999999999999</v>
      </c>
      <c r="F39" s="9">
        <f t="shared" si="138"/>
        <v>31.322000000000003</v>
      </c>
      <c r="G39" s="9">
        <f t="shared" si="138"/>
        <v>34.579000000000001</v>
      </c>
      <c r="H39" s="9">
        <f t="shared" si="138"/>
        <v>35.884</v>
      </c>
      <c r="I39" s="9">
        <f t="shared" si="138"/>
        <v>41.997999999999998</v>
      </c>
      <c r="J39" s="9">
        <f>+SUM(J41:J48)</f>
        <v>45.515000000000001</v>
      </c>
      <c r="K39" s="9">
        <f>+SUM(K41:K48)</f>
        <v>41.204000000000001</v>
      </c>
      <c r="L39" s="9">
        <f t="shared" ref="L39:S39" si="139">+L40*L5</f>
        <v>42.768784996101466</v>
      </c>
      <c r="M39" s="9">
        <f t="shared" si="139"/>
        <v>44.393262367927811</v>
      </c>
      <c r="N39" s="9">
        <f t="shared" si="139"/>
        <v>46.07971925714277</v>
      </c>
      <c r="O39" s="9">
        <f t="shared" si="139"/>
        <v>47.830530813543156</v>
      </c>
      <c r="P39" s="9">
        <f t="shared" si="139"/>
        <v>49.648163595536062</v>
      </c>
      <c r="Q39" s="9">
        <f t="shared" si="139"/>
        <v>51.535179102522008</v>
      </c>
      <c r="R39" s="9">
        <f t="shared" si="139"/>
        <v>53.494237444319921</v>
      </c>
      <c r="S39" s="9">
        <f t="shared" si="139"/>
        <v>55.528101152970258</v>
      </c>
      <c r="T39" s="9">
        <f t="shared" ref="T39:X39" si="140">+T40*T5</f>
        <v>57.639639142461334</v>
      </c>
      <c r="U39" s="9">
        <f t="shared" si="140"/>
        <v>59.831830822140603</v>
      </c>
      <c r="V39" s="9">
        <f t="shared" si="140"/>
        <v>60.889970950782107</v>
      </c>
      <c r="W39" s="9">
        <f t="shared" si="140"/>
        <v>61.967196434679416</v>
      </c>
      <c r="X39" s="9">
        <f t="shared" si="140"/>
        <v>63.063857819227898</v>
      </c>
    </row>
    <row r="40" spans="2:24" ht="17.45" customHeight="1">
      <c r="B40" s="10" t="s">
        <v>34</v>
      </c>
      <c r="C40" s="40"/>
      <c r="D40" s="40"/>
      <c r="E40" s="78">
        <f t="shared" ref="E40:K40" si="141">+E39/E5</f>
        <v>17.275026531644563</v>
      </c>
      <c r="F40" s="78">
        <f t="shared" si="141"/>
        <v>40.499932763025875</v>
      </c>
      <c r="G40" s="78">
        <f t="shared" si="141"/>
        <v>28.450996718743319</v>
      </c>
      <c r="H40" s="78">
        <f t="shared" si="141"/>
        <v>16.461834179729614</v>
      </c>
      <c r="I40" s="78">
        <f t="shared" si="141"/>
        <v>15.369324149358885</v>
      </c>
      <c r="J40" s="78">
        <f t="shared" si="141"/>
        <v>17.002139695840444</v>
      </c>
      <c r="K40" s="78">
        <f t="shared" si="141"/>
        <v>15.381789728948405</v>
      </c>
      <c r="L40" s="90">
        <f t="shared" ref="L40:S40" si="142">+K40*(1+L$33)</f>
        <v>15.689425523527374</v>
      </c>
      <c r="M40" s="90">
        <f t="shared" si="142"/>
        <v>16.003214033997921</v>
      </c>
      <c r="N40" s="90">
        <f t="shared" si="142"/>
        <v>16.323278314677879</v>
      </c>
      <c r="O40" s="90">
        <f t="shared" si="142"/>
        <v>16.649743880971435</v>
      </c>
      <c r="P40" s="90">
        <f t="shared" si="142"/>
        <v>16.982738758590866</v>
      </c>
      <c r="Q40" s="90">
        <f t="shared" si="142"/>
        <v>17.322393533762682</v>
      </c>
      <c r="R40" s="90">
        <f t="shared" si="142"/>
        <v>17.668841404437934</v>
      </c>
      <c r="S40" s="90">
        <f t="shared" si="142"/>
        <v>18.022218232526694</v>
      </c>
      <c r="T40" s="90">
        <f t="shared" ref="T40" si="143">+S40*(1+T$33)</f>
        <v>18.382662597177227</v>
      </c>
      <c r="U40" s="90">
        <f t="shared" ref="U40" si="144">+T40*(1+U$33)</f>
        <v>18.750315849120771</v>
      </c>
      <c r="V40" s="90">
        <f t="shared" ref="V40" si="145">+U40*(1+V$33)</f>
        <v>18.750315849120771</v>
      </c>
      <c r="W40" s="90">
        <f t="shared" ref="W40" si="146">+V40*(1+W$33)</f>
        <v>18.750315849120771</v>
      </c>
      <c r="X40" s="90">
        <f t="shared" ref="X40" si="147">+W40*(1+X$33)</f>
        <v>18.750315849120771</v>
      </c>
    </row>
    <row r="41" spans="2:24" ht="17.100000000000001" customHeight="1">
      <c r="B41" s="10" t="s">
        <v>91</v>
      </c>
      <c r="C41" s="31"/>
      <c r="D41" s="31"/>
      <c r="E41" s="16">
        <v>10.459</v>
      </c>
      <c r="F41" s="16">
        <v>9.5950000000000006</v>
      </c>
      <c r="G41" s="16">
        <v>9.407</v>
      </c>
      <c r="H41" s="16">
        <v>9.0389999999999997</v>
      </c>
      <c r="I41" s="16">
        <v>10.045999999999999</v>
      </c>
      <c r="J41" s="16">
        <v>10.076000000000001</v>
      </c>
      <c r="K41" s="16">
        <v>10.255000000000001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spans="2:24" ht="17.100000000000001" customHeight="1">
      <c r="B42" s="10" t="s">
        <v>92</v>
      </c>
      <c r="C42" s="31"/>
      <c r="D42" s="31"/>
      <c r="E42" s="16">
        <v>9.4049999999999994</v>
      </c>
      <c r="F42" s="16">
        <v>6.3049999999999997</v>
      </c>
      <c r="G42" s="16">
        <v>6.5129999999999999</v>
      </c>
      <c r="H42" s="16">
        <v>8.27</v>
      </c>
      <c r="I42" s="16">
        <v>9.5609999999999999</v>
      </c>
      <c r="J42" s="16">
        <v>9.4789999999999992</v>
      </c>
      <c r="K42" s="16">
        <v>9.3070000000000004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spans="2:24" ht="17.100000000000001" customHeight="1">
      <c r="B43" s="10" t="s">
        <v>93</v>
      </c>
      <c r="C43" s="31"/>
      <c r="D43" s="31"/>
      <c r="E43" s="81">
        <v>7.1</v>
      </c>
      <c r="F43" s="81">
        <v>2.4</v>
      </c>
      <c r="G43" s="81">
        <v>3.9</v>
      </c>
      <c r="H43" s="81">
        <v>6.2</v>
      </c>
      <c r="I43" s="81">
        <v>8.4</v>
      </c>
      <c r="J43" s="81">
        <v>8.7769999999999992</v>
      </c>
      <c r="K43" s="81">
        <v>9.44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spans="2:24" ht="17.100000000000001" customHeight="1">
      <c r="B44" s="10" t="s">
        <v>94</v>
      </c>
      <c r="C44" s="31"/>
      <c r="D44" s="31"/>
      <c r="E44" s="16">
        <v>6.9109999999999996</v>
      </c>
      <c r="F44" s="16">
        <v>5.6870000000000003</v>
      </c>
      <c r="G44" s="16">
        <v>6.7859999999999996</v>
      </c>
      <c r="H44" s="16">
        <v>3.1859999999999999</v>
      </c>
      <c r="I44" s="16">
        <v>3.3849999999999998</v>
      </c>
      <c r="J44" s="16">
        <v>3.63</v>
      </c>
      <c r="K44" s="16">
        <v>3.431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spans="2:24" ht="17.100000000000001" customHeight="1">
      <c r="B45" s="10" t="s">
        <v>95</v>
      </c>
      <c r="C45" s="31"/>
      <c r="D45" s="31"/>
      <c r="E45" s="16">
        <v>2.286</v>
      </c>
      <c r="F45" s="16">
        <v>2.3959999999999999</v>
      </c>
      <c r="G45" s="16">
        <v>2.5110000000000001</v>
      </c>
      <c r="H45" s="16">
        <v>2.383</v>
      </c>
      <c r="I45" s="16">
        <v>3.024</v>
      </c>
      <c r="J45" s="16">
        <v>3.238</v>
      </c>
      <c r="K45" s="16">
        <v>2.9660000000000002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spans="2:24" ht="17.100000000000001" customHeight="1">
      <c r="B46" s="10" t="s">
        <v>96</v>
      </c>
      <c r="C46" s="31"/>
      <c r="D46" s="31"/>
      <c r="E46" s="81">
        <v>3.2</v>
      </c>
      <c r="F46" s="81">
        <v>2.4</v>
      </c>
      <c r="G46" s="81">
        <v>2.4</v>
      </c>
      <c r="H46" s="81">
        <v>2.7</v>
      </c>
      <c r="I46" s="81">
        <v>2.2999999999999998</v>
      </c>
      <c r="J46" s="81">
        <v>2.66</v>
      </c>
      <c r="K46" s="81">
        <v>2.3820000000000001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spans="2:24" ht="17.100000000000001" customHeight="1">
      <c r="B47" s="10" t="s">
        <v>97</v>
      </c>
      <c r="C47" s="31"/>
      <c r="D47" s="31"/>
      <c r="E47" s="16">
        <v>2.4950000000000001</v>
      </c>
      <c r="F47" s="16">
        <v>1.661</v>
      </c>
      <c r="G47" s="16">
        <v>1.7410000000000001</v>
      </c>
      <c r="H47" s="16">
        <v>1.9359999999999999</v>
      </c>
      <c r="I47" s="16">
        <v>2.1339999999999999</v>
      </c>
      <c r="J47" s="16">
        <v>2.2069999999999999</v>
      </c>
      <c r="K47" s="16">
        <v>2.3340000000000001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spans="2:24" ht="17.100000000000001" customHeight="1">
      <c r="B48" s="10" t="s">
        <v>98</v>
      </c>
      <c r="C48" s="31"/>
      <c r="D48" s="31"/>
      <c r="E48" s="16">
        <v>1.6870000000000001</v>
      </c>
      <c r="F48" s="16">
        <v>0.878</v>
      </c>
      <c r="G48" s="16">
        <v>1.321</v>
      </c>
      <c r="H48" s="16">
        <v>2.17</v>
      </c>
      <c r="I48" s="16">
        <v>3.1480000000000001</v>
      </c>
      <c r="J48" s="16">
        <v>5.4480000000000004</v>
      </c>
      <c r="K48" s="16">
        <v>1.089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spans="2:24" ht="17.100000000000001" customHeight="1">
      <c r="B49" s="12" t="s">
        <v>99</v>
      </c>
      <c r="C49" s="31"/>
      <c r="D49" s="31"/>
      <c r="E49" s="8">
        <v>8.4410000000000007</v>
      </c>
      <c r="F49" s="8">
        <v>0</v>
      </c>
      <c r="G49" s="8">
        <v>1.4490000000000001</v>
      </c>
      <c r="H49" s="8">
        <v>6.3949999999999996</v>
      </c>
      <c r="I49" s="8">
        <v>9.82</v>
      </c>
      <c r="J49" s="8">
        <v>11.22</v>
      </c>
      <c r="K49" s="8">
        <v>10.361000000000001</v>
      </c>
      <c r="L49" s="31">
        <f>+L50*Financials!I13</f>
        <v>8.5010999999999992</v>
      </c>
      <c r="M49" s="31">
        <f>+M50*Financials!J13</f>
        <v>10.7833344524794</v>
      </c>
      <c r="N49" s="31">
        <f>+N50*Financials!K13</f>
        <v>11.361653551278611</v>
      </c>
      <c r="O49" s="31">
        <f>+O50*Financials!L13</f>
        <v>12.209499620214169</v>
      </c>
      <c r="P49" s="31">
        <f>+P50*Financials!M13</f>
        <v>13.00764356194445</v>
      </c>
      <c r="Q49" s="31">
        <f>+Q50*Financials!N13</f>
        <v>13.335480446379654</v>
      </c>
      <c r="R49" s="31">
        <f>+R50*Financials!O13</f>
        <v>14.57633846432808</v>
      </c>
      <c r="S49" s="31">
        <f>+S50*Financials!P13</f>
        <v>15.809564279339595</v>
      </c>
      <c r="T49" s="31">
        <f>+T50*Financials!Q13</f>
        <v>17.135947388217687</v>
      </c>
      <c r="U49" s="31">
        <f>+U50*Financials!R13</f>
        <v>18.585173297980049</v>
      </c>
      <c r="V49" s="31">
        <f>+V50*Financials!S13</f>
        <v>19.992830115961517</v>
      </c>
      <c r="W49" s="31">
        <f>+W50*Financials!T13</f>
        <v>21.028459247803831</v>
      </c>
      <c r="X49" s="31">
        <f>+X50*Financials!U13</f>
        <v>22.26677364698104</v>
      </c>
    </row>
    <row r="50" spans="2:24" ht="17.100000000000001" customHeight="1">
      <c r="B50" s="10" t="s">
        <v>163</v>
      </c>
      <c r="C50" s="31"/>
      <c r="D50" s="31"/>
      <c r="E50" s="32">
        <f>+E49/Financials!C13</f>
        <v>0.17658995815899584</v>
      </c>
      <c r="F50" s="32">
        <f>+F49/Financials!D13</f>
        <v>0</v>
      </c>
      <c r="G50" s="32">
        <f>+G49/Financials!E13</f>
        <v>0.65863636363636358</v>
      </c>
      <c r="H50" s="32">
        <f>+H49/Financials!F13</f>
        <v>0.17665745856353587</v>
      </c>
      <c r="I50" s="32">
        <f>+I49/Financials!G13</f>
        <v>0.17258347978910371</v>
      </c>
      <c r="J50" s="32">
        <f>+J49/Financials!H13</f>
        <v>0.1764678127113446</v>
      </c>
      <c r="K50" s="32">
        <f>+K49/Financials!I13</f>
        <v>0.18281751773299929</v>
      </c>
      <c r="L50" s="58">
        <v>0.15</v>
      </c>
      <c r="M50" s="58">
        <v>0.15</v>
      </c>
      <c r="N50" s="58">
        <v>0.15</v>
      </c>
      <c r="O50" s="58">
        <v>0.15</v>
      </c>
      <c r="P50" s="58">
        <v>0.15</v>
      </c>
      <c r="Q50" s="58">
        <v>0.15</v>
      </c>
      <c r="R50" s="58">
        <v>0.15</v>
      </c>
      <c r="S50" s="58">
        <v>0.15</v>
      </c>
      <c r="T50" s="58">
        <v>0.15</v>
      </c>
      <c r="U50" s="58">
        <v>0.15</v>
      </c>
      <c r="V50" s="58">
        <v>0.15</v>
      </c>
      <c r="W50" s="58">
        <v>0.15</v>
      </c>
      <c r="X50" s="58">
        <v>0.15</v>
      </c>
    </row>
    <row r="51" spans="2:24" ht="17.100000000000001" customHeight="1">
      <c r="B51" s="12"/>
      <c r="C51" s="31"/>
      <c r="D51" s="31"/>
      <c r="E51" s="8"/>
      <c r="F51" s="8"/>
      <c r="G51" s="8"/>
      <c r="H51" s="8"/>
      <c r="I51" s="8"/>
      <c r="J51" s="8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2:24" ht="17.100000000000001" customHeight="1">
      <c r="B52" s="12" t="s">
        <v>100</v>
      </c>
      <c r="C52" s="31"/>
      <c r="D52" s="31"/>
      <c r="E52" s="9">
        <f t="shared" ref="E52:H52" si="148">+E37-E39-E49</f>
        <v>122.17099999999999</v>
      </c>
      <c r="F52" s="9">
        <f t="shared" si="148"/>
        <v>49.331000000000003</v>
      </c>
      <c r="G52" s="9">
        <f t="shared" si="148"/>
        <v>67.803000000000011</v>
      </c>
      <c r="H52" s="9">
        <f t="shared" si="148"/>
        <v>110.12100000000001</v>
      </c>
      <c r="I52" s="9">
        <f>+I37-I39-I49</f>
        <v>139.88200000000001</v>
      </c>
      <c r="J52" s="9">
        <f>+J37-J39-J49</f>
        <v>146.965</v>
      </c>
      <c r="K52" s="9">
        <f>+K37-K39-K49</f>
        <v>162.70699999999999</v>
      </c>
      <c r="L52" s="9">
        <f>+L37-L39-L49</f>
        <v>166.66600931661446</v>
      </c>
      <c r="M52" s="9">
        <f t="shared" ref="M52:S52" si="149">+M37-M39-M49</f>
        <v>170.88012418353725</v>
      </c>
      <c r="N52" s="9">
        <f t="shared" si="149"/>
        <v>177.04011872968033</v>
      </c>
      <c r="O52" s="9">
        <f t="shared" si="149"/>
        <v>183.18160275697923</v>
      </c>
      <c r="P52" s="9">
        <f t="shared" si="149"/>
        <v>189.63319766428302</v>
      </c>
      <c r="Q52" s="9">
        <f t="shared" si="149"/>
        <v>196.82525370083161</v>
      </c>
      <c r="R52" s="9">
        <f t="shared" si="149"/>
        <v>203.38455434149594</v>
      </c>
      <c r="S52" s="9">
        <f t="shared" si="149"/>
        <v>210.24224476937212</v>
      </c>
      <c r="T52" s="9">
        <f t="shared" ref="T52:X52" si="150">+T37-T39-T49</f>
        <v>217.30842187452006</v>
      </c>
      <c r="U52" s="9">
        <f t="shared" si="150"/>
        <v>224.564695981065</v>
      </c>
      <c r="V52" s="9">
        <f t="shared" si="150"/>
        <v>227.2424932592285</v>
      </c>
      <c r="W52" s="9">
        <f t="shared" si="150"/>
        <v>230.36236415611251</v>
      </c>
      <c r="X52" s="9">
        <f t="shared" si="150"/>
        <v>233.35082168965442</v>
      </c>
    </row>
    <row r="53" spans="2:24" ht="17.100000000000001" customHeight="1">
      <c r="B53" s="10" t="s">
        <v>101</v>
      </c>
      <c r="C53" s="40"/>
      <c r="D53" s="40"/>
      <c r="E53" s="32">
        <f>+E52/E37</f>
        <v>0.7015072779994832</v>
      </c>
      <c r="F53" s="32">
        <f t="shared" ref="F53:S53" si="151">+F52/F37</f>
        <v>0.61164494811104364</v>
      </c>
      <c r="G53" s="32">
        <f t="shared" si="151"/>
        <v>0.65301306931455938</v>
      </c>
      <c r="H53" s="32">
        <f t="shared" si="151"/>
        <v>0.72257874015748036</v>
      </c>
      <c r="I53" s="32">
        <f t="shared" si="151"/>
        <v>0.72969222743870643</v>
      </c>
      <c r="J53" s="32">
        <f t="shared" ref="J53" si="152">+J52/J37</f>
        <v>0.72147766323024065</v>
      </c>
      <c r="K53" s="32">
        <f t="shared" si="151"/>
        <v>0.75934793160095582</v>
      </c>
      <c r="L53" s="32">
        <f t="shared" si="151"/>
        <v>0.76474786240336168</v>
      </c>
      <c r="M53" s="32">
        <f t="shared" si="151"/>
        <v>0.75591702571212449</v>
      </c>
      <c r="N53" s="32">
        <f t="shared" si="151"/>
        <v>0.75502811573045825</v>
      </c>
      <c r="O53" s="32">
        <f t="shared" si="151"/>
        <v>0.75314683300940832</v>
      </c>
      <c r="P53" s="32">
        <f t="shared" si="151"/>
        <v>0.75165066269239345</v>
      </c>
      <c r="Q53" s="32">
        <f t="shared" si="151"/>
        <v>0.75211435767819435</v>
      </c>
      <c r="R53" s="32">
        <f t="shared" si="151"/>
        <v>0.7492382043178869</v>
      </c>
      <c r="S53" s="32">
        <f t="shared" si="151"/>
        <v>0.74665214794189627</v>
      </c>
      <c r="T53" s="32">
        <f t="shared" ref="T53:X53" si="153">+T52/T37</f>
        <v>0.74399287746371523</v>
      </c>
      <c r="U53" s="32">
        <f t="shared" si="153"/>
        <v>0.74118237473110749</v>
      </c>
      <c r="V53" s="32">
        <f t="shared" si="153"/>
        <v>0.73750028784986399</v>
      </c>
      <c r="W53" s="32">
        <f t="shared" si="153"/>
        <v>0.73514111518437419</v>
      </c>
      <c r="X53" s="32">
        <f t="shared" si="153"/>
        <v>0.73223847631799666</v>
      </c>
    </row>
    <row r="54" spans="2:24" ht="17.100000000000001" customHeight="1">
      <c r="B54" s="10"/>
      <c r="C54" s="40"/>
      <c r="D54" s="40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2:24" ht="17.45" customHeight="1">
      <c r="B55" s="10" t="s">
        <v>102</v>
      </c>
      <c r="C55" s="31"/>
      <c r="D55" s="31"/>
      <c r="E55" s="81">
        <v>34.151000000000003</v>
      </c>
      <c r="F55" s="81">
        <v>28.608000000000001</v>
      </c>
      <c r="G55" s="81">
        <v>16.192</v>
      </c>
      <c r="H55" s="81">
        <f>24+2.3</f>
        <v>26.3</v>
      </c>
      <c r="I55" s="81">
        <f>33.4+2.8</f>
        <v>36.199999999999996</v>
      </c>
      <c r="J55" s="81">
        <f>35.826+1.856</f>
        <v>37.682000000000002</v>
      </c>
      <c r="K55" s="81">
        <f>41.371+3.648</f>
        <v>45.019000000000005</v>
      </c>
      <c r="L55" s="40">
        <f>+L57*K56</f>
        <v>35.318200000000004</v>
      </c>
      <c r="M55" s="40">
        <f t="shared" ref="M55:S55" si="154">+M57*L56</f>
        <v>34.527290000000001</v>
      </c>
      <c r="N55" s="40">
        <f t="shared" si="154"/>
        <v>33.655925500000002</v>
      </c>
      <c r="O55" s="40">
        <f t="shared" si="154"/>
        <v>32.918129225000001</v>
      </c>
      <c r="P55" s="40">
        <f t="shared" si="154"/>
        <v>33.10222276375</v>
      </c>
      <c r="Q55" s="40">
        <f t="shared" si="154"/>
        <v>32.167111625562505</v>
      </c>
      <c r="R55" s="40">
        <f t="shared" si="154"/>
        <v>31.243756044284382</v>
      </c>
      <c r="S55" s="40">
        <f t="shared" si="154"/>
        <v>30.316568242070161</v>
      </c>
      <c r="T55" s="40">
        <f t="shared" ref="T55" si="155">+T57*S56</f>
        <v>29.580739829966657</v>
      </c>
      <c r="U55" s="40">
        <f t="shared" ref="U55" si="156">+U57*T56</f>
        <v>29.481702838468323</v>
      </c>
      <c r="V55" s="40">
        <f t="shared" ref="V55" si="157">+V57*U56</f>
        <v>29.262617696544908</v>
      </c>
      <c r="W55" s="40">
        <f t="shared" ref="W55" si="158">+W57*V56</f>
        <v>28.664486811717662</v>
      </c>
      <c r="X55" s="40">
        <f t="shared" ref="X55" si="159">+X57*W56</f>
        <v>27.946262471131774</v>
      </c>
    </row>
    <row r="56" spans="2:24" ht="17.100000000000001" customHeight="1">
      <c r="B56" s="10" t="s">
        <v>164</v>
      </c>
      <c r="C56" s="31"/>
      <c r="D56" s="31"/>
      <c r="E56" s="16">
        <v>732.94899999999996</v>
      </c>
      <c r="F56" s="16">
        <v>725.06200000000001</v>
      </c>
      <c r="G56" s="16">
        <v>725</v>
      </c>
      <c r="H56" s="81">
        <f>700+8.9</f>
        <v>708.9</v>
      </c>
      <c r="I56" s="81">
        <f>11.8+696</f>
        <v>707.8</v>
      </c>
      <c r="J56" s="81">
        <f>686.9+14.8</f>
        <v>701.69999999999993</v>
      </c>
      <c r="K56" s="81">
        <f>682.477+23.887</f>
        <v>706.36400000000003</v>
      </c>
      <c r="L56" s="40">
        <f>+K56-L55+L62</f>
        <v>690.54579999999999</v>
      </c>
      <c r="M56" s="40">
        <f t="shared" ref="M56:S56" si="160">+L56-M55+M62</f>
        <v>673.11851000000001</v>
      </c>
      <c r="N56" s="40">
        <f t="shared" si="160"/>
        <v>658.36258450000003</v>
      </c>
      <c r="O56" s="40">
        <f t="shared" si="160"/>
        <v>662.04445527500002</v>
      </c>
      <c r="P56" s="40">
        <f t="shared" si="160"/>
        <v>643.34223251125002</v>
      </c>
      <c r="Q56" s="40">
        <f t="shared" si="160"/>
        <v>624.87512088568758</v>
      </c>
      <c r="R56" s="40">
        <f t="shared" si="160"/>
        <v>606.33136484140323</v>
      </c>
      <c r="S56" s="40">
        <f t="shared" si="160"/>
        <v>591.61479659933309</v>
      </c>
      <c r="T56" s="40">
        <f t="shared" ref="T56" si="161">+S56-T55+T62</f>
        <v>589.63405676936645</v>
      </c>
      <c r="U56" s="40">
        <f t="shared" ref="U56" si="162">+T56-U55+U62</f>
        <v>585.25235393089815</v>
      </c>
      <c r="V56" s="40">
        <f t="shared" ref="V56" si="163">+U56-V55+V62</f>
        <v>573.2897362343532</v>
      </c>
      <c r="W56" s="40">
        <f t="shared" ref="W56" si="164">+V56-W55+W62</f>
        <v>558.92524942263549</v>
      </c>
      <c r="X56" s="40">
        <f t="shared" ref="X56" si="165">+W56-X55+X62</f>
        <v>557.1789869515037</v>
      </c>
    </row>
    <row r="57" spans="2:24" ht="17.100000000000001" customHeight="1">
      <c r="B57" s="10" t="s">
        <v>75</v>
      </c>
      <c r="C57" s="31"/>
      <c r="D57" s="31"/>
      <c r="E57" s="55">
        <f>+E55/E56</f>
        <v>4.659396492798272E-2</v>
      </c>
      <c r="F57" s="55">
        <f t="shared" ref="F57:K57" si="166">+F55/E56</f>
        <v>3.9031365074514053E-2</v>
      </c>
      <c r="G57" s="55">
        <f t="shared" si="166"/>
        <v>2.233188334239003E-2</v>
      </c>
      <c r="H57" s="55">
        <f t="shared" si="166"/>
        <v>3.627586206896552E-2</v>
      </c>
      <c r="I57" s="55">
        <f t="shared" si="166"/>
        <v>5.1065030328678228E-2</v>
      </c>
      <c r="J57" s="55">
        <f t="shared" si="166"/>
        <v>5.3238202882170113E-2</v>
      </c>
      <c r="K57" s="55">
        <f t="shared" si="166"/>
        <v>6.4157047171155779E-2</v>
      </c>
      <c r="L57" s="80">
        <v>0.05</v>
      </c>
      <c r="M57" s="55">
        <f>+L57</f>
        <v>0.05</v>
      </c>
      <c r="N57" s="55">
        <f t="shared" ref="N57:S57" si="167">+M57</f>
        <v>0.05</v>
      </c>
      <c r="O57" s="55">
        <f t="shared" si="167"/>
        <v>0.05</v>
      </c>
      <c r="P57" s="55">
        <f t="shared" si="167"/>
        <v>0.05</v>
      </c>
      <c r="Q57" s="55">
        <f t="shared" si="167"/>
        <v>0.05</v>
      </c>
      <c r="R57" s="55">
        <f t="shared" si="167"/>
        <v>0.05</v>
      </c>
      <c r="S57" s="55">
        <f t="shared" si="167"/>
        <v>0.05</v>
      </c>
      <c r="T57" s="55">
        <f t="shared" ref="T57" si="168">+S57</f>
        <v>0.05</v>
      </c>
      <c r="U57" s="55">
        <f t="shared" ref="U57" si="169">+T57</f>
        <v>0.05</v>
      </c>
      <c r="V57" s="55">
        <f t="shared" ref="V57" si="170">+U57</f>
        <v>0.05</v>
      </c>
      <c r="W57" s="55">
        <f t="shared" ref="W57" si="171">+V57</f>
        <v>0.05</v>
      </c>
      <c r="X57" s="55">
        <f t="shared" ref="X57" si="172">+W57</f>
        <v>0.05</v>
      </c>
    </row>
    <row r="58" spans="2:24" ht="17.100000000000001" customHeight="1">
      <c r="B58" s="12" t="s">
        <v>104</v>
      </c>
      <c r="C58" s="31"/>
      <c r="D58" s="31"/>
      <c r="E58" s="9">
        <f>+E52-E55</f>
        <v>88.019999999999982</v>
      </c>
      <c r="F58" s="9">
        <f t="shared" ref="F58:S58" si="173">+F52-F55</f>
        <v>20.723000000000003</v>
      </c>
      <c r="G58" s="9">
        <f t="shared" si="173"/>
        <v>51.611000000000011</v>
      </c>
      <c r="H58" s="9">
        <f t="shared" si="173"/>
        <v>83.821000000000012</v>
      </c>
      <c r="I58" s="9">
        <f t="shared" si="173"/>
        <v>103.68200000000002</v>
      </c>
      <c r="J58" s="9">
        <f t="shared" ref="J58" si="174">+J52-J55</f>
        <v>109.283</v>
      </c>
      <c r="K58" s="9">
        <f t="shared" si="173"/>
        <v>117.68799999999999</v>
      </c>
      <c r="L58" s="9">
        <f t="shared" si="173"/>
        <v>131.34780931661447</v>
      </c>
      <c r="M58" s="9">
        <f t="shared" si="173"/>
        <v>136.35283418353725</v>
      </c>
      <c r="N58" s="9">
        <f t="shared" si="173"/>
        <v>143.38419322968033</v>
      </c>
      <c r="O58" s="9">
        <f t="shared" si="173"/>
        <v>150.26347353197923</v>
      </c>
      <c r="P58" s="9">
        <f t="shared" si="173"/>
        <v>156.53097490053301</v>
      </c>
      <c r="Q58" s="9">
        <f t="shared" si="173"/>
        <v>164.6581420752691</v>
      </c>
      <c r="R58" s="9">
        <f t="shared" si="173"/>
        <v>172.14079829721157</v>
      </c>
      <c r="S58" s="9">
        <f t="shared" si="173"/>
        <v>179.92567652730196</v>
      </c>
      <c r="T58" s="9">
        <f t="shared" ref="T58:X58" si="175">+T52-T55</f>
        <v>187.7276820445534</v>
      </c>
      <c r="U58" s="9">
        <f t="shared" si="175"/>
        <v>195.08299314259668</v>
      </c>
      <c r="V58" s="9">
        <f t="shared" si="175"/>
        <v>197.97987556268359</v>
      </c>
      <c r="W58" s="9">
        <f t="shared" si="175"/>
        <v>201.69787734439484</v>
      </c>
      <c r="X58" s="9">
        <f t="shared" si="175"/>
        <v>205.40455921852265</v>
      </c>
    </row>
    <row r="59" spans="2:24" ht="17.100000000000001" customHeight="1">
      <c r="B59" s="27"/>
      <c r="E59" s="2">
        <f>+E55/E5</f>
        <v>13.548892613788523</v>
      </c>
    </row>
    <row r="60" spans="2:24" s="7" customFormat="1" ht="17.100000000000001" customHeight="1">
      <c r="B60" s="4" t="s">
        <v>51</v>
      </c>
      <c r="C60" s="5"/>
      <c r="D60" s="5"/>
      <c r="E60" s="5">
        <f t="shared" ref="E60:X60" si="176">+E$3</f>
        <v>2019</v>
      </c>
      <c r="F60" s="5">
        <f t="shared" si="176"/>
        <v>2020</v>
      </c>
      <c r="G60" s="5">
        <f t="shared" si="176"/>
        <v>2021</v>
      </c>
      <c r="H60" s="5">
        <f t="shared" si="176"/>
        <v>2022</v>
      </c>
      <c r="I60" s="5">
        <f t="shared" si="176"/>
        <v>2023</v>
      </c>
      <c r="J60" s="5">
        <f t="shared" si="176"/>
        <v>2024</v>
      </c>
      <c r="K60" s="5">
        <f t="shared" si="176"/>
        <v>2025</v>
      </c>
      <c r="L60" s="6" t="str">
        <f t="shared" si="176"/>
        <v>2026E</v>
      </c>
      <c r="M60" s="6" t="str">
        <f t="shared" si="176"/>
        <v>2027E</v>
      </c>
      <c r="N60" s="6" t="str">
        <f t="shared" si="176"/>
        <v>2028E</v>
      </c>
      <c r="O60" s="6" t="str">
        <f t="shared" si="176"/>
        <v>2029E</v>
      </c>
      <c r="P60" s="6" t="str">
        <f t="shared" si="176"/>
        <v>2030E</v>
      </c>
      <c r="Q60" s="6" t="str">
        <f t="shared" si="176"/>
        <v>2031E</v>
      </c>
      <c r="R60" s="6" t="str">
        <f t="shared" si="176"/>
        <v>2032E</v>
      </c>
      <c r="S60" s="6" t="str">
        <f t="shared" si="176"/>
        <v>2033E</v>
      </c>
      <c r="T60" s="6" t="str">
        <f t="shared" si="176"/>
        <v>2034E</v>
      </c>
      <c r="U60" s="6" t="str">
        <f t="shared" si="176"/>
        <v>2035E</v>
      </c>
      <c r="V60" s="6" t="str">
        <f t="shared" si="176"/>
        <v>2036E</v>
      </c>
      <c r="W60" s="6" t="str">
        <f t="shared" si="176"/>
        <v>2037E</v>
      </c>
      <c r="X60" s="6" t="str">
        <f t="shared" si="176"/>
        <v>2038E</v>
      </c>
    </row>
    <row r="61" spans="2:24" ht="17.100000000000001" customHeight="1">
      <c r="B61" s="27"/>
    </row>
    <row r="62" spans="2:24" ht="17.100000000000001" customHeight="1">
      <c r="B62" s="41" t="s">
        <v>165</v>
      </c>
      <c r="D62" s="46">
        <f>2.084+20.499</f>
        <v>22.582999999999998</v>
      </c>
      <c r="E62" s="46">
        <f>3.13+21.752</f>
        <v>24.881999999999998</v>
      </c>
      <c r="F62" s="46">
        <f>17.617+3.106</f>
        <v>20.722999999999999</v>
      </c>
      <c r="G62" s="46">
        <f>2.092+14.036</f>
        <v>16.128</v>
      </c>
      <c r="H62" s="46">
        <f>2.6+5.3</f>
        <v>7.9</v>
      </c>
      <c r="I62" s="46">
        <f>5.1+29.7</f>
        <v>34.799999999999997</v>
      </c>
      <c r="J62" s="46">
        <f>4.922+25.276</f>
        <v>30.198</v>
      </c>
      <c r="K62" s="46">
        <f>(23.487)+(34.581)</f>
        <v>58.067999999999998</v>
      </c>
      <c r="L62" s="86">
        <v>19.5</v>
      </c>
      <c r="M62" s="86">
        <v>17.100000000000001</v>
      </c>
      <c r="N62" s="86">
        <v>18.899999999999999</v>
      </c>
      <c r="O62" s="86">
        <v>36.6</v>
      </c>
      <c r="P62" s="86">
        <v>14.4</v>
      </c>
      <c r="Q62" s="86">
        <v>13.7</v>
      </c>
      <c r="R62" s="86">
        <v>12.7</v>
      </c>
      <c r="S62" s="86">
        <v>15.6</v>
      </c>
      <c r="T62" s="86">
        <v>27.6</v>
      </c>
      <c r="U62" s="86">
        <v>25.1</v>
      </c>
      <c r="V62" s="86">
        <v>17.3</v>
      </c>
      <c r="W62" s="86">
        <v>14.3</v>
      </c>
      <c r="X62" s="86">
        <v>26.2</v>
      </c>
    </row>
    <row r="63" spans="2:24" ht="17.45" customHeight="1">
      <c r="B63" s="10" t="s">
        <v>34</v>
      </c>
      <c r="C63" s="40"/>
      <c r="D63" s="78">
        <f>+D62/D$5</f>
        <v>8.6824298346789686</v>
      </c>
      <c r="E63" s="78">
        <f>+E62/E$5</f>
        <v>9.8715570851888952</v>
      </c>
      <c r="F63" s="78">
        <f t="shared" ref="F63:P63" si="177">+F62/F$5</f>
        <v>26.795227209251809</v>
      </c>
      <c r="G63" s="78">
        <f t="shared" si="177"/>
        <v>13.269836463746557</v>
      </c>
      <c r="H63" s="78">
        <f t="shared" si="177"/>
        <v>3.6241358271057837</v>
      </c>
      <c r="I63" s="78">
        <f t="shared" si="177"/>
        <v>12.735189304197561</v>
      </c>
      <c r="J63" s="78">
        <f t="shared" ref="J63" si="178">+J62/J$5</f>
        <v>11.280470494012736</v>
      </c>
      <c r="K63" s="78">
        <f t="shared" si="177"/>
        <v>21.677258663735945</v>
      </c>
      <c r="L63" s="78">
        <f t="shared" si="177"/>
        <v>7.153436735148583</v>
      </c>
      <c r="M63" s="78">
        <f t="shared" si="177"/>
        <v>6.1643354280506353</v>
      </c>
      <c r="N63" s="78">
        <f t="shared" si="177"/>
        <v>6.6951354114335242</v>
      </c>
      <c r="O63" s="78">
        <f t="shared" si="177"/>
        <v>12.74041110727145</v>
      </c>
      <c r="P63" s="78">
        <f t="shared" si="177"/>
        <v>4.9256895001388621</v>
      </c>
      <c r="Q63" s="78">
        <v>8</v>
      </c>
      <c r="R63" s="78">
        <f>+Q63*R40/Q40</f>
        <v>8.16</v>
      </c>
      <c r="S63" s="78">
        <f>+R63*S40/R40</f>
        <v>8.3231999999999999</v>
      </c>
      <c r="T63" s="78">
        <f t="shared" ref="T63:X63" si="179">+S63*T40/S40</f>
        <v>8.4896639999999994</v>
      </c>
      <c r="U63" s="78">
        <f t="shared" si="179"/>
        <v>8.659457279999998</v>
      </c>
      <c r="V63" s="78">
        <f t="shared" si="179"/>
        <v>8.659457279999998</v>
      </c>
      <c r="W63" s="78">
        <f t="shared" si="179"/>
        <v>8.659457279999998</v>
      </c>
      <c r="X63" s="78">
        <f t="shared" si="179"/>
        <v>8.659457279999998</v>
      </c>
    </row>
    <row r="64" spans="2:24" ht="17.100000000000001" customHeight="1">
      <c r="B64" s="3" t="s">
        <v>166</v>
      </c>
      <c r="D64" s="32">
        <f t="shared" ref="D64:G64" si="180">+D62/D37</f>
        <v>0.13152591729761212</v>
      </c>
      <c r="E64" s="32">
        <f t="shared" si="180"/>
        <v>0.14287272831672934</v>
      </c>
      <c r="F64" s="32">
        <f t="shared" si="180"/>
        <v>0.2569402254100901</v>
      </c>
      <c r="G64" s="32">
        <f t="shared" si="180"/>
        <v>0.15532933324344367</v>
      </c>
      <c r="H64" s="32">
        <f>+H62/H37</f>
        <v>5.1837270341207352E-2</v>
      </c>
      <c r="I64" s="32">
        <f t="shared" ref="I64:S64" si="181">+I62/I37</f>
        <v>0.1815336463223787</v>
      </c>
      <c r="J64" s="32">
        <f t="shared" ref="J64" si="182">+J62/J37</f>
        <v>0.14824742268041238</v>
      </c>
      <c r="K64" s="32">
        <f>+K62/K37</f>
        <v>0.2710013440860215</v>
      </c>
      <c r="L64" s="32">
        <f>+L62/L37</f>
        <v>8.9475852802932382E-2</v>
      </c>
      <c r="M64" s="32">
        <f t="shared" si="181"/>
        <v>7.5644731658748701E-2</v>
      </c>
      <c r="N64" s="32">
        <f t="shared" si="181"/>
        <v>8.0603376735723598E-2</v>
      </c>
      <c r="O64" s="32">
        <f t="shared" si="181"/>
        <v>0.15048003551270442</v>
      </c>
      <c r="P64" s="32">
        <f t="shared" si="181"/>
        <v>5.7077398240851888E-2</v>
      </c>
      <c r="Q64" s="32">
        <f t="shared" si="181"/>
        <v>5.2350836625126254E-2</v>
      </c>
      <c r="R64" s="32">
        <f t="shared" si="181"/>
        <v>4.6784895862152398E-2</v>
      </c>
      <c r="S64" s="32">
        <f t="shared" si="181"/>
        <v>5.540167971794039E-2</v>
      </c>
      <c r="T64" s="32">
        <f t="shared" ref="T64:X64" si="183">+T62/T37</f>
        <v>9.4493362203217163E-2</v>
      </c>
      <c r="U64" s="32">
        <f t="shared" si="183"/>
        <v>8.2843287207172739E-2</v>
      </c>
      <c r="V64" s="32">
        <f t="shared" si="183"/>
        <v>5.614599099318985E-2</v>
      </c>
      <c r="W64" s="32">
        <f t="shared" si="183"/>
        <v>4.5634702463864293E-2</v>
      </c>
      <c r="X64" s="32">
        <f t="shared" si="183"/>
        <v>8.2213758411556773E-2</v>
      </c>
    </row>
    <row r="65" spans="2:24" ht="17.100000000000001" customHeight="1">
      <c r="B65" s="3" t="s">
        <v>167</v>
      </c>
      <c r="D65" s="11"/>
      <c r="E65" s="11">
        <f t="shared" ref="E65:G65" si="184">+E62+E39</f>
        <v>68.424999999999997</v>
      </c>
      <c r="F65" s="11">
        <f t="shared" si="184"/>
        <v>52.045000000000002</v>
      </c>
      <c r="G65" s="11">
        <f t="shared" si="184"/>
        <v>50.707000000000001</v>
      </c>
      <c r="H65" s="11">
        <f>+H62+H39</f>
        <v>43.783999999999999</v>
      </c>
      <c r="I65" s="11">
        <f>+I62+I39</f>
        <v>76.798000000000002</v>
      </c>
      <c r="J65" s="11">
        <f>+J62+J39</f>
        <v>75.712999999999994</v>
      </c>
      <c r="K65" s="11">
        <f>+K62+K39</f>
        <v>99.271999999999991</v>
      </c>
      <c r="L65" s="11">
        <f>+L62+L39</f>
        <v>62.268784996101466</v>
      </c>
      <c r="M65" s="11">
        <f t="shared" ref="M65:S65" si="185">+M62+M39</f>
        <v>61.493262367927812</v>
      </c>
      <c r="N65" s="11">
        <f t="shared" si="185"/>
        <v>64.979719257142762</v>
      </c>
      <c r="O65" s="11">
        <f t="shared" si="185"/>
        <v>84.430530813543157</v>
      </c>
      <c r="P65" s="11">
        <f t="shared" si="185"/>
        <v>64.048163595536067</v>
      </c>
      <c r="Q65" s="11">
        <f t="shared" si="185"/>
        <v>65.235179102522011</v>
      </c>
      <c r="R65" s="11">
        <f t="shared" si="185"/>
        <v>66.194237444319924</v>
      </c>
      <c r="S65" s="11">
        <f t="shared" si="185"/>
        <v>71.12810115297026</v>
      </c>
      <c r="T65" s="11">
        <f t="shared" ref="T65:X65" si="186">+T62+T39</f>
        <v>85.239639142461328</v>
      </c>
      <c r="U65" s="11">
        <f t="shared" si="186"/>
        <v>84.931830822140597</v>
      </c>
      <c r="V65" s="11">
        <f t="shared" si="186"/>
        <v>78.189970950782111</v>
      </c>
      <c r="W65" s="11">
        <f t="shared" si="186"/>
        <v>76.26719643467942</v>
      </c>
      <c r="X65" s="11">
        <f t="shared" si="186"/>
        <v>89.263857819227894</v>
      </c>
    </row>
    <row r="67" spans="2:24" ht="17.100000000000001" customHeight="1"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2:24" ht="17.100000000000001" customHeight="1">
      <c r="D68" s="93"/>
      <c r="E68" s="93"/>
      <c r="F68" s="93"/>
      <c r="G68" s="93"/>
      <c r="H68" s="93"/>
      <c r="I68" s="93"/>
      <c r="J68" s="93"/>
      <c r="K68" s="93"/>
      <c r="L68" s="93"/>
      <c r="M68" s="93"/>
    </row>
    <row r="69" spans="2:24" ht="17.100000000000001" customHeight="1">
      <c r="D69" s="32"/>
      <c r="E69" s="32"/>
      <c r="F69" s="32"/>
      <c r="G69" s="32"/>
      <c r="H69" s="32"/>
      <c r="I69" s="32"/>
      <c r="J69" s="173"/>
      <c r="K69" s="32"/>
      <c r="L69" s="11"/>
      <c r="M69" s="11"/>
      <c r="N69" s="11"/>
      <c r="O69" s="11"/>
      <c r="P69" s="11"/>
    </row>
    <row r="70" spans="2:24" ht="17.100000000000001" customHeight="1">
      <c r="J70" s="173"/>
    </row>
    <row r="71" spans="2:24" ht="17.100000000000001" customHeight="1">
      <c r="E71" s="11"/>
      <c r="F71" s="11"/>
      <c r="G71" s="11"/>
      <c r="H71" s="11"/>
      <c r="I71" s="11"/>
      <c r="J71" s="11"/>
    </row>
    <row r="72" spans="2:24" ht="17.100000000000001" customHeight="1">
      <c r="I72" s="11"/>
      <c r="J72" s="11"/>
      <c r="M72" s="11"/>
    </row>
    <row r="73" spans="2:24" ht="17.100000000000001" customHeight="1">
      <c r="I73" s="108"/>
      <c r="J73" s="108"/>
      <c r="M73" s="108"/>
    </row>
  </sheetData>
  <pageMargins left="0.7" right="0.7" top="0.75" bottom="0.75" header="0.3" footer="0.3"/>
  <pageSetup orientation="portrait" verticalDpi="1200" r:id="rId1"/>
  <headerFooter>
    <oddFooter>&amp;C_x000D_&amp;1#&amp;"Aptos"&amp;10&amp;K000000 Barings-Corporate</oddFooter>
  </headerFooter>
  <ignoredErrors>
    <ignoredError sqref="E39 G39:I39" formulaRange="1"/>
    <ignoredError sqref="E28:I28 L28:R28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4591-A4ED-4391-A2B7-368116E810E2}">
  <sheetPr>
    <tabColor rgb="FF92D050"/>
  </sheetPr>
  <dimension ref="B1:N45"/>
  <sheetViews>
    <sheetView showGridLines="0" tabSelected="1" zoomScale="115" zoomScaleNormal="100" workbookViewId="0">
      <selection activeCell="K7" sqref="K7"/>
    </sheetView>
  </sheetViews>
  <sheetFormatPr defaultColWidth="10.85546875" defaultRowHeight="18" customHeight="1"/>
  <cols>
    <col min="1" max="1" width="3.85546875" style="64" customWidth="1"/>
    <col min="2" max="2" width="25.7109375" style="64" customWidth="1"/>
    <col min="3" max="3" width="10.42578125" style="64" customWidth="1"/>
    <col min="4" max="4" width="10.42578125" style="64" customWidth="1" collapsed="1"/>
    <col min="5" max="8" width="10.42578125" style="64" customWidth="1"/>
    <col min="9" max="16384" width="10.85546875" style="64"/>
  </cols>
  <sheetData>
    <row r="1" spans="2:12" ht="18" customHeight="1">
      <c r="C1" s="35"/>
      <c r="D1" s="35"/>
      <c r="E1" s="35"/>
      <c r="F1" s="35"/>
      <c r="G1" s="70"/>
      <c r="H1" s="73"/>
      <c r="I1" s="69"/>
    </row>
    <row r="2" spans="2:12" ht="22.15" customHeight="1">
      <c r="B2" s="63" t="s">
        <v>168</v>
      </c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2:12" ht="10.15" customHeight="1">
      <c r="B3" s="94"/>
      <c r="C3" s="94"/>
      <c r="D3" s="94"/>
      <c r="E3" s="94"/>
      <c r="F3" s="94"/>
      <c r="G3" s="94"/>
      <c r="H3" s="94"/>
      <c r="I3" s="73"/>
      <c r="J3" s="73"/>
    </row>
    <row r="4" spans="2:12" ht="19.149999999999999" customHeight="1">
      <c r="B4" s="65"/>
      <c r="C4" s="66" t="str">
        <f>+Quarterlies!L12</f>
        <v>2Q24</v>
      </c>
      <c r="D4" s="66" t="str">
        <f>+Quarterlies!M12</f>
        <v>3Q24</v>
      </c>
      <c r="E4" s="66" t="str">
        <f>+Quarterlies!N12</f>
        <v>4Q24</v>
      </c>
      <c r="F4" s="66" t="str">
        <f>+Quarterlies!O12</f>
        <v>1Q25</v>
      </c>
      <c r="G4" s="66" t="str">
        <f>+Quarterlies!P12</f>
        <v>2Q25</v>
      </c>
      <c r="H4" s="66" t="str">
        <f>+Quarterlies!Q12</f>
        <v>3Q25</v>
      </c>
      <c r="I4" s="66" t="str">
        <f>+Quarterlies!R12</f>
        <v>4Q25</v>
      </c>
      <c r="J4" s="66" t="str">
        <f>+Quarterlies!S12</f>
        <v>1Q26</v>
      </c>
      <c r="K4" s="66" t="s">
        <v>162</v>
      </c>
      <c r="L4" s="66" t="s">
        <v>169</v>
      </c>
    </row>
    <row r="5" spans="2:12" ht="19.149999999999999" customHeight="1">
      <c r="B5" s="67" t="s">
        <v>170</v>
      </c>
      <c r="C5" s="74">
        <f>+Quarterlies!L5</f>
        <v>0.66287399999999996</v>
      </c>
      <c r="D5" s="74">
        <f>+Quarterlies!M5</f>
        <v>0.72768900000000003</v>
      </c>
      <c r="E5" s="74">
        <f>+Quarterlies!N5</f>
        <v>0.63894699999999971</v>
      </c>
      <c r="F5" s="74">
        <f>+Quarterlies!O5</f>
        <v>0.61909999999999998</v>
      </c>
      <c r="G5" s="74">
        <f>+Quarterlies!P5</f>
        <v>0.64568700000000001</v>
      </c>
      <c r="H5" s="74">
        <f>+Quarterlies!Q5</f>
        <v>0.74326099999999995</v>
      </c>
      <c r="I5" s="95">
        <f>+Quarterlies!R5</f>
        <v>0.67070399999999997</v>
      </c>
      <c r="J5" s="95">
        <f>+Quarterlies!S5</f>
        <v>0.66208900000000004</v>
      </c>
      <c r="K5" s="111">
        <f t="shared" ref="K5:L13" si="0">++IFERROR(J5/F5-1,"-")</f>
        <v>6.9437893716685517E-2</v>
      </c>
      <c r="L5" s="111">
        <f>++IFERROR(J5/I5-1,"-")</f>
        <v>-1.2844712421574811E-2</v>
      </c>
    </row>
    <row r="6" spans="2:12" ht="19.149999999999999" customHeight="1">
      <c r="B6" s="68" t="s">
        <v>171</v>
      </c>
      <c r="C6" s="100">
        <f>+Quarterlies!L7</f>
        <v>0.306423</v>
      </c>
      <c r="D6" s="100">
        <f>+Quarterlies!M7</f>
        <v>0.34755200000000003</v>
      </c>
      <c r="E6" s="100">
        <f>+Quarterlies!N7</f>
        <v>0.28400999999999987</v>
      </c>
      <c r="F6" s="100">
        <f>+Quarterlies!O7</f>
        <v>0.2969</v>
      </c>
      <c r="G6" s="100">
        <f>+Quarterlies!P7</f>
        <v>0.29937699999999995</v>
      </c>
      <c r="H6" s="100">
        <f>+Quarterlies!Q7</f>
        <v>0.37283100000000002</v>
      </c>
      <c r="I6" s="101">
        <f>+Quarterlies!R7</f>
        <v>0.30380800000000002</v>
      </c>
      <c r="J6" s="101">
        <f>+Quarterlies!S7</f>
        <v>0.32004500000000002</v>
      </c>
      <c r="K6" s="112">
        <f t="shared" si="0"/>
        <v>7.7955540586055916E-2</v>
      </c>
      <c r="L6" s="109">
        <f t="shared" ref="L6:L13" si="1">++IFERROR(J6/I6-1,"-")</f>
        <v>5.3444938908784545E-2</v>
      </c>
    </row>
    <row r="7" spans="2:12" ht="19.149999999999999" customHeight="1">
      <c r="B7" s="68" t="s">
        <v>172</v>
      </c>
      <c r="C7" s="100">
        <f>+Quarterlies!L9</f>
        <v>0.35645100000000002</v>
      </c>
      <c r="D7" s="100">
        <f>+Quarterlies!M9</f>
        <v>0.380137</v>
      </c>
      <c r="E7" s="100">
        <f>+Quarterlies!N9</f>
        <v>0.35493699999999984</v>
      </c>
      <c r="F7" s="100">
        <f>+Quarterlies!O9</f>
        <v>0.32219999999999999</v>
      </c>
      <c r="G7" s="100">
        <f>+Quarterlies!P9</f>
        <v>0.34631000000000006</v>
      </c>
      <c r="H7" s="100">
        <f>+Quarterlies!Q9</f>
        <v>0.37042999999999998</v>
      </c>
      <c r="I7" s="101">
        <f>+Quarterlies!R9</f>
        <v>0.366896</v>
      </c>
      <c r="J7" s="101">
        <f>+Quarterlies!S9</f>
        <v>0.34204400000000001</v>
      </c>
      <c r="K7" s="112">
        <f t="shared" si="0"/>
        <v>6.1589075108628322E-2</v>
      </c>
      <c r="L7" s="109">
        <f t="shared" si="1"/>
        <v>-6.7735816144084415E-2</v>
      </c>
    </row>
    <row r="8" spans="2:12" ht="19.149999999999999" customHeight="1">
      <c r="B8" s="67" t="s">
        <v>89</v>
      </c>
      <c r="C8" s="71">
        <f>+Quarterlies!L14</f>
        <v>50.78</v>
      </c>
      <c r="D8" s="71">
        <f>+Quarterlies!M14</f>
        <v>53.634999999999998</v>
      </c>
      <c r="E8" s="71">
        <f>+Quarterlies!N14</f>
        <v>49.220999999999997</v>
      </c>
      <c r="F8" s="71">
        <f>+Quarterlies!O14</f>
        <v>49.66</v>
      </c>
      <c r="G8" s="71">
        <f>+Quarterlies!P14</f>
        <v>51.740000000000009</v>
      </c>
      <c r="H8" s="71">
        <f>+Quarterlies!Q14</f>
        <v>58.491</v>
      </c>
      <c r="I8" s="96">
        <f>+Quarterlies!R14</f>
        <v>54.381</v>
      </c>
      <c r="J8" s="96">
        <f>+Quarterlies!S14</f>
        <v>54.87</v>
      </c>
      <c r="K8" s="118">
        <f t="shared" si="0"/>
        <v>0.10491341119613384</v>
      </c>
      <c r="L8" s="111">
        <f t="shared" si="1"/>
        <v>8.9921112153141802E-3</v>
      </c>
    </row>
    <row r="9" spans="2:12" ht="19.149999999999999" customHeight="1">
      <c r="B9" s="68" t="s">
        <v>173</v>
      </c>
      <c r="C9" s="69">
        <f t="shared" ref="C9:H9" si="2">+C8/C5</f>
        <v>76.605810455682388</v>
      </c>
      <c r="D9" s="69">
        <f t="shared" si="2"/>
        <v>73.705937563986808</v>
      </c>
      <c r="E9" s="69">
        <f t="shared" si="2"/>
        <v>77.034558421903569</v>
      </c>
      <c r="F9" s="69">
        <f t="shared" si="2"/>
        <v>80.213212728153763</v>
      </c>
      <c r="G9" s="69">
        <f t="shared" si="2"/>
        <v>80.13170468044116</v>
      </c>
      <c r="H9" s="69">
        <f t="shared" si="2"/>
        <v>78.695101720660716</v>
      </c>
      <c r="I9" s="97">
        <f t="shared" ref="I9:J9" si="3">+I8/I5</f>
        <v>81.080476633507487</v>
      </c>
      <c r="J9" s="97">
        <f t="shared" si="3"/>
        <v>82.874054696574021</v>
      </c>
      <c r="K9" s="112">
        <f t="shared" si="0"/>
        <v>3.3172115639326982E-2</v>
      </c>
      <c r="L9" s="109">
        <f t="shared" si="1"/>
        <v>2.2120961019675534E-2</v>
      </c>
    </row>
    <row r="10" spans="2:12" ht="19.149999999999999" customHeight="1">
      <c r="B10" s="68" t="s">
        <v>174</v>
      </c>
      <c r="C10" s="69">
        <f>+Quarterlies!L16</f>
        <v>36.151000000000003</v>
      </c>
      <c r="D10" s="69">
        <f>+Quarterlies!M16</f>
        <v>38.371000000000002</v>
      </c>
      <c r="E10" s="69">
        <f>+Quarterlies!N16</f>
        <v>34.517999999999979</v>
      </c>
      <c r="F10" s="69">
        <f>+Quarterlies!O16</f>
        <v>36.241</v>
      </c>
      <c r="G10" s="69">
        <f>+Quarterlies!P16</f>
        <v>37.432000000000002</v>
      </c>
      <c r="H10" s="69">
        <f>+Quarterlies!Q16</f>
        <v>42.290999999999997</v>
      </c>
      <c r="I10" s="97">
        <f>+Quarterlies!R16</f>
        <v>38.164999999999992</v>
      </c>
      <c r="J10" s="97">
        <f>+Quarterlies!S16</f>
        <v>39.555</v>
      </c>
      <c r="K10" s="112">
        <f t="shared" si="0"/>
        <v>9.1443392842360804E-2</v>
      </c>
      <c r="L10" s="109">
        <f t="shared" si="1"/>
        <v>3.6420804401939177E-2</v>
      </c>
    </row>
    <row r="11" spans="2:12" ht="19.149999999999999" customHeight="1">
      <c r="B11" s="68" t="s">
        <v>84</v>
      </c>
      <c r="C11" s="69">
        <f>+Quarterlies!L26</f>
        <v>13.311999999999999</v>
      </c>
      <c r="D11" s="69">
        <f>+Quarterlies!M26</f>
        <v>13.891999999999999</v>
      </c>
      <c r="E11" s="69">
        <f>+Quarterlies!N26</f>
        <v>13.549999999999995</v>
      </c>
      <c r="F11" s="69">
        <f>+Quarterlies!O26</f>
        <v>12.771000000000001</v>
      </c>
      <c r="G11" s="69">
        <f>+Quarterlies!P26</f>
        <v>13.945999999999998</v>
      </c>
      <c r="H11" s="69">
        <f>+Quarterlies!Q26</f>
        <v>14.465999999999999</v>
      </c>
      <c r="I11" s="97">
        <f>+Quarterlies!R26</f>
        <v>14.795999999999999</v>
      </c>
      <c r="J11" s="97">
        <f>+Quarterlies!S26</f>
        <v>14.314</v>
      </c>
      <c r="K11" s="112">
        <f t="shared" si="0"/>
        <v>0.12082060919270221</v>
      </c>
      <c r="L11" s="109">
        <f t="shared" si="1"/>
        <v>-3.2576371992430353E-2</v>
      </c>
    </row>
    <row r="12" spans="2:12" ht="19.149999999999999" customHeight="1">
      <c r="B12" s="64" t="s">
        <v>90</v>
      </c>
      <c r="C12" s="69">
        <f>+Quarterlies!L38</f>
        <v>10.756000000000002</v>
      </c>
      <c r="D12" s="69">
        <f>+Quarterlies!M38</f>
        <v>11.184000000000001</v>
      </c>
      <c r="E12" s="69">
        <f>+Quarterlies!N38</f>
        <v>13.361000000000001</v>
      </c>
      <c r="F12" s="69">
        <f>+Quarterlies!O38</f>
        <v>9.7979999999999983</v>
      </c>
      <c r="G12" s="69">
        <f>+Quarterlies!P38</f>
        <v>9.8000000000000007</v>
      </c>
      <c r="H12" s="69">
        <f>+Quarterlies!Q38</f>
        <v>10.689000000000002</v>
      </c>
      <c r="I12" s="97">
        <f>+Quarterlies!R38</f>
        <v>10.917000000000003</v>
      </c>
      <c r="J12" s="97">
        <f>+Quarterlies!S38</f>
        <v>10.53</v>
      </c>
      <c r="K12" s="112">
        <f t="shared" si="0"/>
        <v>7.4709124311084008E-2</v>
      </c>
      <c r="L12" s="109">
        <f>++IFERROR(J12/I12-1,"-")</f>
        <v>-3.5449299258038303E-2</v>
      </c>
    </row>
    <row r="13" spans="2:12" ht="19.149999999999999" customHeight="1">
      <c r="B13" s="67" t="s">
        <v>100</v>
      </c>
      <c r="C13" s="71">
        <f>+Quarterlies!L51</f>
        <v>37.044000000000004</v>
      </c>
      <c r="D13" s="71">
        <f>+Quarterlies!M51</f>
        <v>39.47699999999999</v>
      </c>
      <c r="E13" s="71">
        <f>+Quarterlies!N51</f>
        <v>33.506000000000014</v>
      </c>
      <c r="F13" s="71">
        <f>+Quarterlies!O51</f>
        <v>37.272999999999996</v>
      </c>
      <c r="G13" s="71">
        <f>+Quarterlies!P51</f>
        <v>38.933000000000014</v>
      </c>
      <c r="H13" s="71">
        <f>+Quarterlies!Q51</f>
        <v>44.319000000000003</v>
      </c>
      <c r="I13" s="96">
        <f>+Quarterlies!R51</f>
        <v>42.181999999999988</v>
      </c>
      <c r="J13" s="96">
        <f>+Quarterlies!S51</f>
        <v>41.285999999999994</v>
      </c>
      <c r="K13" s="112">
        <f t="shared" si="0"/>
        <v>0.10766506586537172</v>
      </c>
      <c r="L13" s="109">
        <f t="shared" si="1"/>
        <v>-2.1241287753069882E-2</v>
      </c>
    </row>
    <row r="14" spans="2:12" ht="19.149999999999999" customHeight="1">
      <c r="B14" s="64" t="s">
        <v>175</v>
      </c>
      <c r="C14" s="109">
        <f>+Quarterlies!L52</f>
        <v>0.72949980307207574</v>
      </c>
      <c r="D14" s="109">
        <f>+Quarterlies!M52</f>
        <v>0.73603057704856889</v>
      </c>
      <c r="E14" s="109">
        <f>+Quarterlies!N52</f>
        <v>0.6807257065073854</v>
      </c>
      <c r="F14" s="109">
        <f>+Quarterlies!O52</f>
        <v>0.75056383407168747</v>
      </c>
      <c r="G14" s="112">
        <f>+Quarterlies!P52</f>
        <v>0.75247390800154634</v>
      </c>
      <c r="H14" s="112">
        <f>+Quarterlies!Q52</f>
        <v>0.75770631379186548</v>
      </c>
      <c r="I14" s="110">
        <f>+Quarterlies!R52</f>
        <v>0.77567532777992287</v>
      </c>
      <c r="J14" s="110">
        <f>+Quarterlies!S52</f>
        <v>0.75243302351011476</v>
      </c>
      <c r="K14" s="113">
        <f>+(J14-F14)*100</f>
        <v>0.18691894384272878</v>
      </c>
      <c r="L14" s="113">
        <f>+(J14-I14)*100</f>
        <v>-2.3242304269808112</v>
      </c>
    </row>
    <row r="15" spans="2:12" ht="19.149999999999999" customHeight="1">
      <c r="B15" s="67" t="s">
        <v>158</v>
      </c>
      <c r="C15" s="71">
        <f>+Quarterlies!L73</f>
        <v>2.2600000000000002</v>
      </c>
      <c r="D15" s="71">
        <f>+Quarterlies!M73</f>
        <v>5.5589999999999993</v>
      </c>
      <c r="E15" s="71">
        <f>+Quarterlies!N73</f>
        <v>21.097000000000001</v>
      </c>
      <c r="F15" s="71">
        <f>+Quarterlies!O73</f>
        <v>10.024000000000001</v>
      </c>
      <c r="G15" s="71">
        <f>+Quarterlies!P73</f>
        <v>24.631</v>
      </c>
      <c r="H15" s="71">
        <f>+Quarterlies!Q73</f>
        <v>0.47800000000000153</v>
      </c>
      <c r="I15" s="96">
        <f>+Quarterlies!R73</f>
        <v>22.934999999999995</v>
      </c>
      <c r="J15" s="96">
        <f>+Quarterlies!S73</f>
        <v>4.766</v>
      </c>
      <c r="K15" s="111">
        <f>++IFERROR(J15/F15-1,"-")</f>
        <v>-0.52454110135674381</v>
      </c>
      <c r="L15" s="111">
        <f>++IFERROR(J15/I15-1,"-")</f>
        <v>-0.7921953346413777</v>
      </c>
    </row>
    <row r="16" spans="2:12" ht="19.149999999999999" customHeight="1">
      <c r="B16" s="67" t="s">
        <v>113</v>
      </c>
      <c r="C16" s="71">
        <f>+Quarterlies!L69</f>
        <v>323.35399999999998</v>
      </c>
      <c r="D16" s="71">
        <f>+Quarterlies!M69</f>
        <v>284.24400000000003</v>
      </c>
      <c r="E16" s="71">
        <f>+Quarterlies!N69</f>
        <v>342.52499999999998</v>
      </c>
      <c r="F16" s="71">
        <f>+Quarterlies!O69</f>
        <v>313.32800000000003</v>
      </c>
      <c r="G16" s="71">
        <f>+Quarterlies!P69</f>
        <v>326.64799999999997</v>
      </c>
      <c r="H16" s="71">
        <f>+Quarterlies!Q69</f>
        <v>309.41699999999997</v>
      </c>
      <c r="I16" s="96">
        <f>+Quarterlies!R69</f>
        <v>404.74699999999996</v>
      </c>
      <c r="J16" s="96">
        <f>+Quarterlies!S69</f>
        <v>379.798</v>
      </c>
      <c r="K16" s="111">
        <f>++IFERROR(J16/F16-1,"-")</f>
        <v>0.21214190879844752</v>
      </c>
      <c r="L16" s="111">
        <f>++IFERROR(J16/I16-1,"-")</f>
        <v>-6.1640975720635205E-2</v>
      </c>
    </row>
    <row r="17" spans="2:14" ht="19.149999999999999" customHeight="1">
      <c r="B17" s="68" t="s">
        <v>106</v>
      </c>
      <c r="C17" s="69">
        <f>+Quarterlies!L61</f>
        <v>71.009</v>
      </c>
      <c r="D17" s="69">
        <f>+Quarterlies!M61</f>
        <v>88.888000000000005</v>
      </c>
      <c r="E17" s="69">
        <f>+Quarterlies!N61</f>
        <v>42.268000000000001</v>
      </c>
      <c r="F17" s="69">
        <f>+Quarterlies!O61</f>
        <v>53.4</v>
      </c>
      <c r="G17" s="69">
        <f>+Quarterlies!P61</f>
        <v>51.362000000000002</v>
      </c>
      <c r="H17" s="69">
        <f>+Quarterlies!Q61</f>
        <v>44.509</v>
      </c>
      <c r="I17" s="97">
        <f>+Quarterlies!R61</f>
        <v>79.489999999999995</v>
      </c>
      <c r="J17" s="97">
        <f>+Quarterlies!S61</f>
        <v>115.69499999999999</v>
      </c>
      <c r="K17" s="109">
        <f>++IFERROR(J17/F17-1,"-")</f>
        <v>1.166573033707865</v>
      </c>
      <c r="L17" s="109">
        <f>++IFERROR(J17/I17-1,"-")</f>
        <v>0.45546609636432267</v>
      </c>
    </row>
    <row r="18" spans="2:14" ht="19.149999999999999" customHeight="1">
      <c r="B18" s="68" t="s">
        <v>109</v>
      </c>
      <c r="C18" s="69">
        <f>+Quarterlies!L64</f>
        <v>394.363</v>
      </c>
      <c r="D18" s="69">
        <f>+Quarterlies!M64</f>
        <v>373.13200000000001</v>
      </c>
      <c r="E18" s="69">
        <f>+Quarterlies!N64</f>
        <v>384.79300000000001</v>
      </c>
      <c r="F18" s="69">
        <f>+Quarterlies!O64</f>
        <v>366.72800000000001</v>
      </c>
      <c r="G18" s="69">
        <f>+Quarterlies!P64</f>
        <v>378.01</v>
      </c>
      <c r="H18" s="69">
        <f>+Quarterlies!Q64</f>
        <v>353.92599999999999</v>
      </c>
      <c r="I18" s="97">
        <f>+Quarterlies!R64</f>
        <v>484.23699999999997</v>
      </c>
      <c r="J18" s="97">
        <f>+Quarterlies!S64</f>
        <v>495.49299999999999</v>
      </c>
      <c r="K18" s="109">
        <f>++IFERROR(J18/F18-1,"-")</f>
        <v>0.35111854017146227</v>
      </c>
      <c r="L18" s="109">
        <f>++IFERROR(J18/I18-1,"-")</f>
        <v>2.324481607146911E-2</v>
      </c>
    </row>
    <row r="19" spans="2:14" ht="19.5" customHeight="1">
      <c r="B19" s="67" t="s">
        <v>154</v>
      </c>
      <c r="C19" s="98">
        <f>+Quarterlies!L70</f>
        <v>2.1926021359552466</v>
      </c>
      <c r="D19" s="98">
        <f>+Quarterlies!M70</f>
        <v>1.9300744885279526</v>
      </c>
      <c r="E19" s="98">
        <f>+Quarterlies!N70</f>
        <v>2.3306569591399309</v>
      </c>
      <c r="F19" s="98">
        <f>+Quarterlies!O70</f>
        <v>2.1271418873048202</v>
      </c>
      <c r="G19" s="98">
        <f>+Quarterlies!P70</f>
        <v>2.1894911823257743</v>
      </c>
      <c r="H19" s="98">
        <f>+Quarterlies!Q70</f>
        <v>2.0087969304880184</v>
      </c>
      <c r="I19" s="99">
        <f>+Quarterlies!R70</f>
        <v>2.4875819725027193</v>
      </c>
      <c r="J19" s="99">
        <f>+Quarterlies!S70</f>
        <v>2.2780590211132439</v>
      </c>
      <c r="K19" s="98">
        <f>+J19-F19</f>
        <v>0.15091713380842364</v>
      </c>
      <c r="L19" s="98">
        <f>+J19-I19</f>
        <v>-0.20952295138947541</v>
      </c>
    </row>
    <row r="20" spans="2:14" ht="12" hidden="1" customHeight="1">
      <c r="B20" s="102" t="s">
        <v>123</v>
      </c>
      <c r="C20" s="69">
        <f>+Quarterlies!H81</f>
        <v>0</v>
      </c>
      <c r="D20" s="69">
        <f>+Quarterlies!I81</f>
        <v>15</v>
      </c>
      <c r="E20" s="69">
        <f>+Quarterlies!J81</f>
        <v>50.879999999999995</v>
      </c>
      <c r="F20" s="69">
        <f>+Quarterlies!K81</f>
        <v>0</v>
      </c>
      <c r="G20" s="97">
        <f>+Quarterlies!L81</f>
        <v>0</v>
      </c>
      <c r="H20" s="70" t="str">
        <f>++IFERROR(G20/C20-1,"-")</f>
        <v>-</v>
      </c>
    </row>
    <row r="21" spans="2:14" ht="10.15" customHeight="1">
      <c r="B21" s="72"/>
      <c r="H21" s="73"/>
      <c r="I21" s="69"/>
      <c r="N21" s="64" t="s">
        <v>176</v>
      </c>
    </row>
    <row r="22" spans="2:14" ht="19.149999999999999" customHeight="1">
      <c r="B22" s="115"/>
      <c r="C22" s="35"/>
      <c r="D22" s="35"/>
      <c r="E22" s="35"/>
      <c r="F22" s="35"/>
      <c r="G22" s="70"/>
      <c r="H22" s="73"/>
      <c r="I22" s="69"/>
    </row>
    <row r="23" spans="2:14" ht="19.149999999999999" customHeight="1">
      <c r="C23" s="35"/>
      <c r="D23" s="35"/>
      <c r="E23" s="35"/>
      <c r="F23" s="35"/>
      <c r="G23" s="70"/>
      <c r="H23" s="73"/>
      <c r="I23" s="69"/>
    </row>
    <row r="24" spans="2:14" ht="22.15" customHeight="1">
      <c r="B24" s="63" t="s">
        <v>177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</row>
    <row r="25" spans="2:14" ht="10.15" customHeight="1">
      <c r="B25" s="94"/>
      <c r="C25" s="94"/>
      <c r="D25" s="94"/>
      <c r="E25" s="94"/>
      <c r="F25" s="94"/>
      <c r="G25" s="94"/>
      <c r="H25" s="73"/>
      <c r="I25" s="69"/>
      <c r="J25" s="69"/>
      <c r="K25" s="69"/>
      <c r="L25" s="69"/>
    </row>
    <row r="26" spans="2:14" ht="19.149999999999999" customHeight="1">
      <c r="B26" s="65"/>
      <c r="C26" s="66">
        <f>+Operations!G3</f>
        <v>2021</v>
      </c>
      <c r="D26" s="66">
        <f>+Operations!H3</f>
        <v>2022</v>
      </c>
      <c r="E26" s="66">
        <f>+Operations!I3</f>
        <v>2023</v>
      </c>
      <c r="F26" s="66">
        <f>+Operations!J3</f>
        <v>2024</v>
      </c>
      <c r="G26" s="66">
        <f>+Operations!K3</f>
        <v>2025</v>
      </c>
      <c r="H26" s="66" t="str">
        <f>+Operations!L3</f>
        <v>2026E</v>
      </c>
      <c r="I26" s="66" t="str">
        <f>+Operations!M3</f>
        <v>2027E</v>
      </c>
      <c r="J26" s="66" t="str">
        <f>+Operations!N3</f>
        <v>2028E</v>
      </c>
      <c r="K26" s="66" t="str">
        <f>+Operations!O3</f>
        <v>2029E</v>
      </c>
      <c r="L26" s="66" t="str">
        <f>+Operations!P3</f>
        <v>2030E</v>
      </c>
    </row>
    <row r="27" spans="2:14" ht="19.149999999999999" customHeight="1">
      <c r="B27" s="67" t="s">
        <v>170</v>
      </c>
      <c r="C27" s="74">
        <f>+Operations!G5</f>
        <v>1.2153879999999999</v>
      </c>
      <c r="D27" s="74">
        <f>+Operations!H5</f>
        <v>2.1798299999999999</v>
      </c>
      <c r="E27" s="74">
        <f>+Operations!I5</f>
        <v>2.732586</v>
      </c>
      <c r="F27" s="74">
        <f>+Operations!J5</f>
        <v>2.6770160000000001</v>
      </c>
      <c r="G27" s="74">
        <f>+Operations!K5</f>
        <v>2.6787520000000002</v>
      </c>
      <c r="H27" s="74">
        <f>+Operations!L5</f>
        <v>2.7259624599999999</v>
      </c>
      <c r="I27" s="74">
        <f>+Operations!M5</f>
        <v>2.7740216604999999</v>
      </c>
      <c r="J27" s="74">
        <f>+Operations!N5</f>
        <v>2.8229451442794997</v>
      </c>
      <c r="K27" s="74">
        <f>+Operations!O5</f>
        <v>2.872748743493132</v>
      </c>
      <c r="L27" s="74">
        <f>+Operations!P5</f>
        <v>2.923448585135958</v>
      </c>
    </row>
    <row r="28" spans="2:14" ht="19.149999999999999" customHeight="1">
      <c r="B28" s="68" t="s">
        <v>171</v>
      </c>
      <c r="C28" s="100">
        <f>+Operations!G6</f>
        <v>0.63877099999999998</v>
      </c>
      <c r="D28" s="100">
        <f>+Operations!H6</f>
        <v>0.93400000000000005</v>
      </c>
      <c r="E28" s="100">
        <f>+Operations!I6</f>
        <v>1.244688</v>
      </c>
      <c r="F28" s="100">
        <f>+Operations!J6</f>
        <v>1.2496119999999999</v>
      </c>
      <c r="G28" s="100">
        <f>+Operations!K6</f>
        <v>1.2729159999999999</v>
      </c>
      <c r="H28" s="100">
        <f>+Operations!L6</f>
        <v>1.2920097399999999</v>
      </c>
      <c r="I28" s="100">
        <f>+Operations!M6</f>
        <v>1.3113898860999997</v>
      </c>
      <c r="J28" s="100">
        <f>+Operations!N6</f>
        <v>1.3310607343914995</v>
      </c>
      <c r="K28" s="100">
        <f>+Operations!O6</f>
        <v>1.3510266454073718</v>
      </c>
      <c r="L28" s="100">
        <f>+Operations!P6</f>
        <v>1.3712920450884822</v>
      </c>
    </row>
    <row r="29" spans="2:14" ht="19.149999999999999" customHeight="1">
      <c r="B29" s="68" t="s">
        <v>172</v>
      </c>
      <c r="C29" s="100">
        <f>+Operations!G8</f>
        <v>0.57661700000000005</v>
      </c>
      <c r="D29" s="100">
        <f>+Operations!H8</f>
        <v>1.24583</v>
      </c>
      <c r="E29" s="100">
        <f>+Operations!I8</f>
        <v>1.4878979999999999</v>
      </c>
      <c r="F29" s="100">
        <f>+Operations!J8</f>
        <v>1.4274039999999999</v>
      </c>
      <c r="G29" s="100">
        <f>+Operations!K8</f>
        <v>1.4058360000000001</v>
      </c>
      <c r="H29" s="100">
        <f>+Operations!L8</f>
        <v>1.4339527200000002</v>
      </c>
      <c r="I29" s="100">
        <f>+Operations!M8</f>
        <v>1.4626317744000001</v>
      </c>
      <c r="J29" s="100">
        <f>+Operations!N8</f>
        <v>1.4918844098880002</v>
      </c>
      <c r="K29" s="100">
        <f>+Operations!O8</f>
        <v>1.5217220980857602</v>
      </c>
      <c r="L29" s="100">
        <f>+Operations!P8</f>
        <v>1.5521565400474755</v>
      </c>
    </row>
    <row r="30" spans="2:14" ht="19.149999999999999" customHeight="1">
      <c r="B30" s="67" t="s">
        <v>89</v>
      </c>
      <c r="C30" s="71">
        <f>+Operations!G13</f>
        <v>103.831</v>
      </c>
      <c r="D30" s="71">
        <f>+Operations!H13</f>
        <v>152.4</v>
      </c>
      <c r="E30" s="71">
        <f>+Operations!I13</f>
        <v>191.7</v>
      </c>
      <c r="F30" s="71">
        <f>+Operations!J13</f>
        <v>203.7</v>
      </c>
      <c r="G30" s="71">
        <f>+Operations!K13</f>
        <v>214.27199999999999</v>
      </c>
      <c r="H30" s="71">
        <f>+Operations!L13</f>
        <v>217.93589431271593</v>
      </c>
      <c r="I30" s="71">
        <f>+Operations!M13</f>
        <v>226.05672100394446</v>
      </c>
      <c r="J30" s="71">
        <f>+Operations!N13</f>
        <v>234.48149153810172</v>
      </c>
      <c r="K30" s="71">
        <f>+Operations!O13</f>
        <v>243.22163319073655</v>
      </c>
      <c r="L30" s="71">
        <f>+Operations!P13</f>
        <v>252.28900482176354</v>
      </c>
    </row>
    <row r="31" spans="2:14" ht="19.149999999999999" customHeight="1">
      <c r="B31" s="68" t="s">
        <v>173</v>
      </c>
      <c r="C31" s="69">
        <f t="shared" ref="C31:H31" si="4">+C30/C27</f>
        <v>85.430331713000299</v>
      </c>
      <c r="D31" s="69">
        <f t="shared" si="4"/>
        <v>69.913708867205244</v>
      </c>
      <c r="E31" s="69">
        <f t="shared" si="4"/>
        <v>70.153327287777941</v>
      </c>
      <c r="F31" s="69">
        <f t="shared" si="4"/>
        <v>76.092186225259766</v>
      </c>
      <c r="G31" s="69">
        <f t="shared" si="4"/>
        <v>79.989487642006409</v>
      </c>
      <c r="H31" s="69">
        <f t="shared" si="4"/>
        <v>79.948237553027766</v>
      </c>
      <c r="I31" s="69">
        <f t="shared" ref="I31:J31" si="5">+I30/I27</f>
        <v>81.490611346992566</v>
      </c>
      <c r="J31" s="69">
        <f t="shared" si="5"/>
        <v>83.062716260449491</v>
      </c>
      <c r="K31" s="69">
        <f t="shared" ref="K31:L31" si="6">+K30/K27</f>
        <v>84.665125601966182</v>
      </c>
      <c r="L31" s="69">
        <f t="shared" si="6"/>
        <v>86.298423753544682</v>
      </c>
    </row>
    <row r="32" spans="2:14" ht="19.149999999999999" customHeight="1">
      <c r="B32" s="68" t="s">
        <v>174</v>
      </c>
      <c r="C32" s="69">
        <f>+Operations!G15</f>
        <v>73.497</v>
      </c>
      <c r="D32" s="69">
        <f>+Operations!H15</f>
        <v>105.17400000000001</v>
      </c>
      <c r="E32" s="69">
        <f>+Operations!I15</f>
        <v>139.1</v>
      </c>
      <c r="F32" s="69">
        <f>+Operations!J15</f>
        <v>145.5</v>
      </c>
      <c r="G32" s="69">
        <f>+Operations!K15</f>
        <v>154.12899999999999</v>
      </c>
      <c r="H32" s="69">
        <f>+Operations!L15</f>
        <v>159.83100606650771</v>
      </c>
      <c r="I32" s="69">
        <f>+Operations!M15</f>
        <v>165.74484754277003</v>
      </c>
      <c r="J32" s="69">
        <f>+Operations!N15</f>
        <v>171.87842862441386</v>
      </c>
      <c r="K32" s="69">
        <f>+Operations!O15</f>
        <v>178.23994975196041</v>
      </c>
      <c r="L32" s="69">
        <f>+Operations!P15</f>
        <v>184.83791876423243</v>
      </c>
    </row>
    <row r="33" spans="2:12" ht="19.149999999999999" customHeight="1">
      <c r="B33" s="68" t="s">
        <v>84</v>
      </c>
      <c r="C33" s="69">
        <f>+Operations!G25</f>
        <v>27.667999999999999</v>
      </c>
      <c r="D33" s="69">
        <f>+Operations!H25</f>
        <v>39.893999999999998</v>
      </c>
      <c r="E33" s="69">
        <f>+Operations!I25</f>
        <v>50.579000000000001</v>
      </c>
      <c r="F33" s="69">
        <f>+Operations!J25</f>
        <v>53.48</v>
      </c>
      <c r="G33" s="69">
        <f>+Operations!K25</f>
        <v>55.978999999999999</v>
      </c>
      <c r="H33" s="69">
        <f>+Operations!L25</f>
        <v>58.104888246208219</v>
      </c>
      <c r="I33" s="69">
        <f>+Operations!M25</f>
        <v>60.311873461174415</v>
      </c>
      <c r="J33" s="69">
        <f>+Operations!N25</f>
        <v>62.603062913687864</v>
      </c>
      <c r="K33" s="69">
        <f>+Operations!O25</f>
        <v>64.98168343877613</v>
      </c>
      <c r="L33" s="69">
        <f>+Operations!P25</f>
        <v>67.451086057531114</v>
      </c>
    </row>
    <row r="34" spans="2:12" ht="19.149999999999999" customHeight="1">
      <c r="B34" s="64" t="s">
        <v>90</v>
      </c>
      <c r="C34" s="69">
        <f t="shared" ref="C34:H34" si="7">+C30-C35</f>
        <v>36.027999999999992</v>
      </c>
      <c r="D34" s="69">
        <f t="shared" si="7"/>
        <v>42.278999999999996</v>
      </c>
      <c r="E34" s="69">
        <f t="shared" si="7"/>
        <v>51.817999999999984</v>
      </c>
      <c r="F34" s="69">
        <f t="shared" si="7"/>
        <v>56.734999999999985</v>
      </c>
      <c r="G34" s="69">
        <f t="shared" si="7"/>
        <v>51.564999999999998</v>
      </c>
      <c r="H34" s="69">
        <f t="shared" si="7"/>
        <v>51.269884996101467</v>
      </c>
      <c r="I34" s="69">
        <f t="shared" ref="I34:J34" si="8">+I30-I35</f>
        <v>55.176596820407212</v>
      </c>
      <c r="J34" s="69">
        <f t="shared" si="8"/>
        <v>57.441372808421391</v>
      </c>
      <c r="K34" s="69">
        <f t="shared" ref="K34:L34" si="9">+K30-K35</f>
        <v>60.040030433757323</v>
      </c>
      <c r="L34" s="69">
        <f t="shared" si="9"/>
        <v>62.655807157480524</v>
      </c>
    </row>
    <row r="35" spans="2:12" ht="19.149999999999999" customHeight="1">
      <c r="B35" s="67" t="s">
        <v>100</v>
      </c>
      <c r="C35" s="71">
        <f>+Operations!G52</f>
        <v>67.803000000000011</v>
      </c>
      <c r="D35" s="71">
        <f>+Operations!H52</f>
        <v>110.12100000000001</v>
      </c>
      <c r="E35" s="71">
        <f>+Operations!I52</f>
        <v>139.88200000000001</v>
      </c>
      <c r="F35" s="71">
        <f>+Operations!J52</f>
        <v>146.965</v>
      </c>
      <c r="G35" s="71">
        <f>+Operations!K52</f>
        <v>162.70699999999999</v>
      </c>
      <c r="H35" s="71">
        <f>+Operations!L52</f>
        <v>166.66600931661446</v>
      </c>
      <c r="I35" s="71">
        <f>+Operations!M52</f>
        <v>170.88012418353725</v>
      </c>
      <c r="J35" s="71">
        <f>+Operations!N52</f>
        <v>177.04011872968033</v>
      </c>
      <c r="K35" s="71">
        <f>+Operations!O52</f>
        <v>183.18160275697923</v>
      </c>
      <c r="L35" s="71">
        <f>+Operations!P52</f>
        <v>189.63319766428302</v>
      </c>
    </row>
    <row r="36" spans="2:12" ht="19.149999999999999" customHeight="1">
      <c r="B36" s="64" t="s">
        <v>175</v>
      </c>
      <c r="C36" s="109">
        <f>+Operations!G53</f>
        <v>0.65301306931455938</v>
      </c>
      <c r="D36" s="109">
        <f>+Operations!H53</f>
        <v>0.72257874015748036</v>
      </c>
      <c r="E36" s="109">
        <f>+Operations!I53</f>
        <v>0.72969222743870643</v>
      </c>
      <c r="F36" s="109">
        <f>+Operations!J53</f>
        <v>0.72147766323024065</v>
      </c>
      <c r="G36" s="109">
        <f>+Operations!K53</f>
        <v>0.75934793160095582</v>
      </c>
      <c r="H36" s="109">
        <f>+Operations!L53</f>
        <v>0.76474786240336168</v>
      </c>
      <c r="I36" s="109">
        <f>+Operations!M53</f>
        <v>0.75591702571212449</v>
      </c>
      <c r="J36" s="109">
        <f>+Operations!N53</f>
        <v>0.75502811573045825</v>
      </c>
      <c r="K36" s="109">
        <f>+Operations!O53</f>
        <v>0.75314683300940832</v>
      </c>
      <c r="L36" s="109">
        <f>+Operations!P53</f>
        <v>0.75165066269239345</v>
      </c>
    </row>
    <row r="37" spans="2:12" ht="19.149999999999999" customHeight="1">
      <c r="B37" s="67" t="s">
        <v>158</v>
      </c>
      <c r="C37" s="71">
        <f>+Operations!G62</f>
        <v>16.128</v>
      </c>
      <c r="D37" s="71">
        <f>+Operations!H62</f>
        <v>7.9</v>
      </c>
      <c r="E37" s="71">
        <f>+Operations!I62</f>
        <v>34.799999999999997</v>
      </c>
      <c r="F37" s="71">
        <f>+Operations!J62</f>
        <v>30.198</v>
      </c>
      <c r="G37" s="175">
        <f>+Operations!K62</f>
        <v>58.067999999999998</v>
      </c>
      <c r="H37" s="71">
        <f>+Operations!L62</f>
        <v>19.5</v>
      </c>
      <c r="I37" s="71">
        <f>+Operations!M62</f>
        <v>17.100000000000001</v>
      </c>
      <c r="J37" s="71">
        <f>+Operations!N62</f>
        <v>18.899999999999999</v>
      </c>
      <c r="K37" s="71">
        <f>+Operations!O62</f>
        <v>36.6</v>
      </c>
      <c r="L37" s="71">
        <f>+Operations!P62</f>
        <v>14.4</v>
      </c>
    </row>
    <row r="38" spans="2:12" ht="19.149999999999999" customHeight="1">
      <c r="B38" s="67" t="s">
        <v>113</v>
      </c>
      <c r="C38" s="71">
        <f>+Financials!E59</f>
        <v>356.01100000000002</v>
      </c>
      <c r="D38" s="71">
        <f>+Financials!F59</f>
        <v>343.2</v>
      </c>
      <c r="E38" s="71">
        <f>+Financials!G59</f>
        <v>340.5</v>
      </c>
      <c r="F38" s="71">
        <f>+Financials!H59</f>
        <v>342.52499999999998</v>
      </c>
      <c r="G38" s="71">
        <f>+Financials!I59</f>
        <v>404.74699999999996</v>
      </c>
      <c r="H38" s="71">
        <f>+Financials!J59</f>
        <v>394.59072993658378</v>
      </c>
      <c r="I38" s="71">
        <f>+Financials!K59</f>
        <v>377.51099084182169</v>
      </c>
      <c r="J38" s="71">
        <f>+Financials!L59</f>
        <v>362.76734400817236</v>
      </c>
      <c r="K38" s="71">
        <f>+Financials!M59</f>
        <v>346.87954663569315</v>
      </c>
      <c r="L38" s="71">
        <f>+Financials!N59</f>
        <v>313.74545295097499</v>
      </c>
    </row>
    <row r="39" spans="2:12" ht="19.149999999999999" customHeight="1">
      <c r="B39" s="68" t="s">
        <v>106</v>
      </c>
      <c r="C39" s="69">
        <f>+Financials!E37</f>
        <v>36.700000000000003</v>
      </c>
      <c r="D39" s="69">
        <f>+Financials!F37</f>
        <v>46.3</v>
      </c>
      <c r="E39" s="69">
        <f>+Financials!G37</f>
        <v>53.6</v>
      </c>
      <c r="F39" s="69">
        <f>+Financials!H37</f>
        <v>42.268000000000001</v>
      </c>
      <c r="G39" s="69">
        <f>+Financials!I37</f>
        <v>79.489999999999995</v>
      </c>
      <c r="H39" s="69">
        <f>+Financials!J37</f>
        <v>89.063270063416212</v>
      </c>
      <c r="I39" s="69">
        <f>+Financials!K37</f>
        <v>106.14300915817829</v>
      </c>
      <c r="J39" s="69">
        <f>+Financials!L37</f>
        <v>108.88665599182764</v>
      </c>
      <c r="K39" s="69">
        <f>+Financials!M37</f>
        <v>96.774453364306879</v>
      </c>
      <c r="L39" s="69">
        <f>+Financials!N37</f>
        <v>97.908547049025003</v>
      </c>
    </row>
    <row r="40" spans="2:12" ht="19.149999999999999" customHeight="1">
      <c r="B40" s="68" t="s">
        <v>109</v>
      </c>
      <c r="C40" s="69">
        <f t="shared" ref="C40:H40" si="10">+C38+C39</f>
        <v>392.71100000000001</v>
      </c>
      <c r="D40" s="69">
        <f t="shared" si="10"/>
        <v>389.5</v>
      </c>
      <c r="E40" s="69">
        <f t="shared" si="10"/>
        <v>394.1</v>
      </c>
      <c r="F40" s="69">
        <f t="shared" si="10"/>
        <v>384.79300000000001</v>
      </c>
      <c r="G40" s="69">
        <f t="shared" si="10"/>
        <v>484.23699999999997</v>
      </c>
      <c r="H40" s="69">
        <f t="shared" si="10"/>
        <v>483.654</v>
      </c>
      <c r="I40" s="69">
        <f t="shared" ref="I40:J40" si="11">+I38+I39</f>
        <v>483.654</v>
      </c>
      <c r="J40" s="69">
        <f t="shared" si="11"/>
        <v>471.654</v>
      </c>
      <c r="K40" s="69">
        <f t="shared" ref="K40:L40" si="12">+K38+K39</f>
        <v>443.654</v>
      </c>
      <c r="L40" s="69">
        <f t="shared" si="12"/>
        <v>411.654</v>
      </c>
    </row>
    <row r="41" spans="2:12" ht="19.149999999999999" customHeight="1">
      <c r="B41" s="67" t="s">
        <v>154</v>
      </c>
      <c r="C41" s="98">
        <f>+Financials!E60</f>
        <v>5.250667374599943</v>
      </c>
      <c r="D41" s="98">
        <f>+Financials!F60</f>
        <v>3.1165717710518428</v>
      </c>
      <c r="E41" s="98">
        <f>+Financials!G60</f>
        <v>2.4341945353941177</v>
      </c>
      <c r="F41" s="98">
        <f>+Financials!H60</f>
        <v>2.3306569591399309</v>
      </c>
      <c r="G41" s="98">
        <f>+Financials!I60</f>
        <v>2.4875819725027193</v>
      </c>
      <c r="H41" s="98">
        <f>+Financials!J60</f>
        <v>2.3675537174888612</v>
      </c>
      <c r="I41" s="98">
        <f>+Financials!K60</f>
        <v>2.2092153352858546</v>
      </c>
      <c r="J41" s="98">
        <f>+Financials!L60</f>
        <v>2.0490685761574521</v>
      </c>
      <c r="K41" s="98">
        <f>+Financials!M60</f>
        <v>1.8936374691288533</v>
      </c>
      <c r="L41" s="98">
        <f>+Financials!N60</f>
        <v>1.6544859065574267</v>
      </c>
    </row>
    <row r="42" spans="2:12" ht="19.149999999999999" customHeight="1">
      <c r="B42" s="102" t="s">
        <v>123</v>
      </c>
      <c r="C42" s="69">
        <f>+Financials!E15</f>
        <v>0</v>
      </c>
      <c r="D42" s="69">
        <f>+Financials!F15</f>
        <v>31.3</v>
      </c>
      <c r="E42" s="69">
        <f>+Financials!G15</f>
        <v>65.8</v>
      </c>
      <c r="F42" s="69">
        <f>+Financials!H15</f>
        <v>51.51</v>
      </c>
      <c r="G42" s="69">
        <f>+Financials!I15</f>
        <v>152.49</v>
      </c>
      <c r="H42" s="69">
        <f>+Financials!J15</f>
        <v>71.888896349862662</v>
      </c>
      <c r="I42" s="69">
        <f>+Financials!K15</f>
        <v>75.744357008524076</v>
      </c>
      <c r="J42" s="69">
        <f>+Financials!L15</f>
        <v>81.396664134761124</v>
      </c>
      <c r="K42" s="69">
        <f>+Financials!M15</f>
        <v>69.37409899703708</v>
      </c>
      <c r="L42" s="69">
        <f>+Financials!N15</f>
        <v>71.122562380691491</v>
      </c>
    </row>
    <row r="43" spans="2:12" ht="18" customHeight="1">
      <c r="B43" s="67" t="s">
        <v>178</v>
      </c>
      <c r="C43" s="98">
        <f>Financials!E61</f>
        <v>1.0900000000000001</v>
      </c>
      <c r="D43" s="98">
        <f>Financials!F61</f>
        <v>1.63</v>
      </c>
      <c r="E43" s="98">
        <f>Financials!G61</f>
        <v>2</v>
      </c>
      <c r="F43" s="98">
        <f>Financials!H61</f>
        <v>2</v>
      </c>
      <c r="G43" s="98">
        <f>Financials!I61</f>
        <v>1.0551725248880439</v>
      </c>
      <c r="H43" s="98">
        <f>Financials!J61</f>
        <v>3.2578864412647253</v>
      </c>
      <c r="I43" s="98">
        <f>Financials!K61</f>
        <v>3.6250892496993359</v>
      </c>
      <c r="J43" s="98">
        <f>Financials!L61</f>
        <v>2.7957476979386771</v>
      </c>
      <c r="K43" s="98">
        <f>Financials!M61</f>
        <v>1.9141430242175426</v>
      </c>
      <c r="L43" s="98">
        <f>Financials!N61</f>
        <v>2.0323357069753287</v>
      </c>
    </row>
    <row r="44" spans="2:12" ht="10.15" customHeight="1">
      <c r="B44" s="72"/>
      <c r="H44" s="73"/>
      <c r="I44" s="69"/>
    </row>
    <row r="45" spans="2:12" ht="19.149999999999999" customHeight="1">
      <c r="B45" s="115"/>
      <c r="C45" s="35"/>
      <c r="D45" s="35"/>
      <c r="E45" s="35"/>
      <c r="F45" s="35"/>
      <c r="G45" s="70"/>
      <c r="H45" s="73"/>
      <c r="I45" s="69"/>
    </row>
  </sheetData>
  <pageMargins left="0.7" right="0.7" top="0.75" bottom="0.75" header="0.3" footer="0.3"/>
  <pageSetup orientation="portrait" verticalDpi="300" r:id="rId1"/>
  <headerFooter>
    <oddFooter>&amp;C_x000D_&amp;1#&amp;"Aptos"&amp;10&amp;K000000 Barings-Corporate</oddFooter>
  </headerFooter>
  <ignoredErrors>
    <ignoredError sqref="C26 D26:H26 C4:G4" unlockedFormula="1"/>
    <ignoredError sqref="B2:G2 B5:B19" formula="1"/>
    <ignoredError sqref="B3:G3 B4" formula="1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9A61-CB12-4D26-9F8F-B1ACE0EBE1AF}">
  <sheetPr>
    <tabColor rgb="FF92D050"/>
  </sheetPr>
  <dimension ref="Q2:Z53"/>
  <sheetViews>
    <sheetView zoomScale="85" zoomScaleNormal="85" workbookViewId="0">
      <selection activeCell="Z4" sqref="Z4"/>
    </sheetView>
  </sheetViews>
  <sheetFormatPr defaultRowHeight="15"/>
  <cols>
    <col min="17" max="17" width="30.140625" bestFit="1" customWidth="1"/>
    <col min="18" max="20" width="10.7109375" customWidth="1"/>
    <col min="22" max="22" width="30.140625" bestFit="1" customWidth="1"/>
    <col min="23" max="25" width="10.7109375" customWidth="1"/>
  </cols>
  <sheetData>
    <row r="2" spans="17:26" ht="15.75" thickBot="1">
      <c r="Q2" s="180" t="s">
        <v>179</v>
      </c>
      <c r="R2" s="121"/>
      <c r="V2" s="180" t="s">
        <v>179</v>
      </c>
    </row>
    <row r="3" spans="17:26">
      <c r="Q3" s="129" t="s">
        <v>180</v>
      </c>
      <c r="R3" s="130"/>
      <c r="S3" s="131"/>
      <c r="T3" s="132"/>
      <c r="V3" s="129" t="s">
        <v>181</v>
      </c>
      <c r="W3" s="131"/>
      <c r="X3" s="131"/>
      <c r="Y3" s="132"/>
    </row>
    <row r="4" spans="17:26">
      <c r="Q4" s="159"/>
      <c r="R4" s="160" t="s">
        <v>73</v>
      </c>
      <c r="S4" s="134"/>
      <c r="T4" s="135"/>
      <c r="V4" s="133"/>
      <c r="W4" s="160" t="s">
        <v>73</v>
      </c>
      <c r="X4" s="134"/>
      <c r="Y4" s="135"/>
    </row>
    <row r="5" spans="17:26">
      <c r="Q5" s="136" t="s">
        <v>182</v>
      </c>
      <c r="R5" s="125">
        <f>SUM(Quarterlies!P14:S14)</f>
        <v>219.48200000000003</v>
      </c>
      <c r="S5" s="125">
        <f>R5*(1+S7)</f>
        <v>197.53380000000004</v>
      </c>
      <c r="T5" s="137">
        <f>R5*(1+T7)</f>
        <v>164.61150000000004</v>
      </c>
      <c r="U5" s="123"/>
      <c r="V5" s="136" t="s">
        <v>182</v>
      </c>
      <c r="W5" s="125">
        <f>R5</f>
        <v>219.48200000000003</v>
      </c>
      <c r="X5" s="125">
        <f>W5*(1+X7)</f>
        <v>171.19596000000001</v>
      </c>
      <c r="Y5" s="137">
        <f>W5*(1+Y7)</f>
        <v>131.6892</v>
      </c>
    </row>
    <row r="6" spans="17:26">
      <c r="Q6" s="138"/>
      <c r="T6" s="139"/>
      <c r="U6" s="124"/>
      <c r="V6" s="138"/>
      <c r="Y6" s="139"/>
    </row>
    <row r="7" spans="17:26">
      <c r="Q7" s="140" t="s">
        <v>183</v>
      </c>
      <c r="R7" s="141">
        <v>0</v>
      </c>
      <c r="S7" s="142">
        <v>-0.1</v>
      </c>
      <c r="T7" s="143">
        <v>-0.25</v>
      </c>
      <c r="U7" s="124"/>
      <c r="V7" s="140" t="s">
        <v>183</v>
      </c>
      <c r="W7" s="141">
        <f>R7</f>
        <v>0</v>
      </c>
      <c r="X7" s="142">
        <v>-0.22</v>
      </c>
      <c r="Y7" s="143">
        <v>-0.4</v>
      </c>
    </row>
    <row r="8" spans="17:26">
      <c r="Q8" s="140" t="s">
        <v>184</v>
      </c>
      <c r="R8" s="141">
        <f>R14/R5</f>
        <v>0.75960671034526739</v>
      </c>
      <c r="S8" s="144">
        <v>0.75</v>
      </c>
      <c r="T8" s="145">
        <f>S8</f>
        <v>0.75</v>
      </c>
      <c r="U8" s="124"/>
      <c r="V8" s="140" t="s">
        <v>184</v>
      </c>
      <c r="W8" s="141">
        <f>W14/W5</f>
        <v>0.75960671034526739</v>
      </c>
      <c r="X8" s="144">
        <f>S8</f>
        <v>0.75</v>
      </c>
      <c r="Y8" s="145">
        <f>T8</f>
        <v>0.75</v>
      </c>
    </row>
    <row r="9" spans="17:26">
      <c r="Q9" s="140" t="s">
        <v>185</v>
      </c>
      <c r="R9" s="141">
        <f>-R15/R5</f>
        <v>0.24061198640435202</v>
      </c>
      <c r="S9" s="144">
        <v>0.22</v>
      </c>
      <c r="T9" s="145">
        <f>S9</f>
        <v>0.22</v>
      </c>
      <c r="U9" s="124"/>
      <c r="V9" s="157"/>
      <c r="W9" s="124"/>
      <c r="X9" s="124"/>
      <c r="Y9" s="146"/>
      <c r="Z9" s="124"/>
    </row>
    <row r="10" spans="17:26">
      <c r="Q10" s="140" t="s">
        <v>186</v>
      </c>
      <c r="R10" s="141">
        <f>R16/R5</f>
        <v>5.3175203433538959E-2</v>
      </c>
      <c r="S10" s="144">
        <v>0.125</v>
      </c>
      <c r="T10" s="145">
        <f>S10</f>
        <v>0.125</v>
      </c>
      <c r="U10" s="125"/>
      <c r="V10" s="158"/>
      <c r="W10" s="125"/>
      <c r="X10" s="125"/>
      <c r="Y10" s="137"/>
      <c r="Z10" s="125"/>
    </row>
    <row r="11" spans="17:26">
      <c r="Q11" s="138"/>
      <c r="T11" s="139"/>
      <c r="V11" s="138"/>
      <c r="Y11" s="139"/>
    </row>
    <row r="12" spans="17:26">
      <c r="Q12" s="138"/>
      <c r="T12" s="139"/>
      <c r="U12" s="122"/>
      <c r="V12" s="138"/>
      <c r="Y12" s="139"/>
    </row>
    <row r="13" spans="17:26">
      <c r="Q13" s="162" t="s">
        <v>180</v>
      </c>
      <c r="R13" s="161" t="str">
        <f>R4</f>
        <v>1Q26</v>
      </c>
      <c r="S13" s="161"/>
      <c r="T13" s="163"/>
      <c r="U13" s="122"/>
      <c r="V13" s="162" t="s">
        <v>181</v>
      </c>
      <c r="W13" s="161" t="str">
        <f>W4</f>
        <v>1Q26</v>
      </c>
      <c r="X13" s="161"/>
      <c r="Y13" s="163"/>
    </row>
    <row r="14" spans="17:26">
      <c r="Q14" s="138" t="s">
        <v>46</v>
      </c>
      <c r="R14" s="124">
        <f>SUM(Quarterlies!P51:S51)</f>
        <v>166.72</v>
      </c>
      <c r="S14" s="124">
        <f>S8*S5</f>
        <v>148.15035000000003</v>
      </c>
      <c r="T14" s="146">
        <f>T8*T5</f>
        <v>123.45862500000003</v>
      </c>
      <c r="U14" s="122"/>
      <c r="V14" s="138" t="s">
        <v>46</v>
      </c>
      <c r="W14" s="124">
        <f>R14</f>
        <v>166.72</v>
      </c>
      <c r="X14" s="124">
        <f>X8*X5</f>
        <v>128.39697000000001</v>
      </c>
      <c r="Y14" s="146">
        <f>Y8*Y5</f>
        <v>98.766899999999993</v>
      </c>
    </row>
    <row r="15" spans="17:26">
      <c r="Q15" s="138" t="s">
        <v>51</v>
      </c>
      <c r="R15" s="124">
        <f>-SUM(Quarterlies!P73:S73)</f>
        <v>-52.809999999999995</v>
      </c>
      <c r="S15" s="124">
        <f>-S9*S5</f>
        <v>-43.457436000000008</v>
      </c>
      <c r="T15" s="146">
        <f>-T9*T5</f>
        <v>-36.214530000000011</v>
      </c>
      <c r="U15" s="126"/>
      <c r="V15" s="138"/>
      <c r="W15" s="124"/>
      <c r="X15" s="124"/>
      <c r="Y15" s="146"/>
    </row>
    <row r="16" spans="17:26">
      <c r="Q16" s="138" t="s">
        <v>187</v>
      </c>
      <c r="R16" s="124">
        <f>SUM(Quarterlies!P75:S75)</f>
        <v>11.670999999999999</v>
      </c>
      <c r="S16" s="124">
        <f>S10*S5</f>
        <v>24.691725000000005</v>
      </c>
      <c r="T16" s="146">
        <f>T10*T5</f>
        <v>20.576437500000004</v>
      </c>
      <c r="V16" s="138"/>
      <c r="W16" s="124"/>
      <c r="X16" s="124"/>
      <c r="Y16" s="146"/>
    </row>
    <row r="17" spans="17:25">
      <c r="Q17" s="138" t="s">
        <v>188</v>
      </c>
      <c r="R17" s="124">
        <f>-SUM(Quarterlies!P74:S74)</f>
        <v>-0.71600000000000008</v>
      </c>
      <c r="S17" s="147">
        <v>0</v>
      </c>
      <c r="T17" s="148">
        <f>S17</f>
        <v>0</v>
      </c>
      <c r="V17" s="138"/>
      <c r="W17" s="124"/>
      <c r="X17" s="124"/>
      <c r="Y17" s="146"/>
    </row>
    <row r="18" spans="17:25">
      <c r="Q18" s="136" t="s">
        <v>189</v>
      </c>
      <c r="R18" s="125">
        <f>SUM(R14:R17)</f>
        <v>124.86499999999999</v>
      </c>
      <c r="S18" s="125">
        <f>SUM(S14:S17)</f>
        <v>129.38463900000005</v>
      </c>
      <c r="T18" s="137">
        <f>SUM(T14:T17)</f>
        <v>107.82053250000001</v>
      </c>
      <c r="V18" s="136" t="s">
        <v>46</v>
      </c>
      <c r="W18" s="125">
        <f>SUM(W14:W17)</f>
        <v>166.72</v>
      </c>
      <c r="X18" s="125">
        <f t="shared" ref="X18:Y18" si="0">SUM(X14:X17)</f>
        <v>128.39697000000001</v>
      </c>
      <c r="Y18" s="137">
        <f t="shared" si="0"/>
        <v>98.766899999999993</v>
      </c>
    </row>
    <row r="19" spans="17:25">
      <c r="Q19" s="138"/>
      <c r="T19" s="139"/>
      <c r="U19" s="123"/>
      <c r="V19" s="138"/>
      <c r="Y19" s="139"/>
    </row>
    <row r="20" spans="17:25">
      <c r="Q20" s="140" t="s">
        <v>190</v>
      </c>
      <c r="S20" s="149">
        <v>-0.05</v>
      </c>
      <c r="T20" s="150">
        <v>-0.25</v>
      </c>
      <c r="U20" s="127"/>
      <c r="V20" s="140" t="s">
        <v>190</v>
      </c>
      <c r="X20" s="149">
        <v>-0.22</v>
      </c>
      <c r="Y20" s="150">
        <v>-0.4</v>
      </c>
    </row>
    <row r="21" spans="17:25">
      <c r="Q21" s="138" t="s">
        <v>191</v>
      </c>
      <c r="R21" s="122">
        <f>SUM(Quarterlies!P79:S79)</f>
        <v>63.901999999999994</v>
      </c>
      <c r="S21" s="122">
        <f>$R$21*(1+S20)</f>
        <v>60.70689999999999</v>
      </c>
      <c r="T21" s="151">
        <f>$R$21*(1+T20)</f>
        <v>47.926499999999997</v>
      </c>
      <c r="U21" s="122"/>
      <c r="V21" s="138" t="s">
        <v>191</v>
      </c>
      <c r="W21" s="122">
        <f>R21</f>
        <v>63.901999999999994</v>
      </c>
      <c r="X21" s="122">
        <f>$W$21*(1+X20)</f>
        <v>49.843559999999997</v>
      </c>
      <c r="Y21" s="151">
        <f>$W$21*(1+Y20)</f>
        <v>38.341199999999994</v>
      </c>
    </row>
    <row r="22" spans="17:25">
      <c r="Q22" s="138" t="s">
        <v>192</v>
      </c>
      <c r="R22" s="122">
        <f>SUM(Quarterlies!P80:S80)</f>
        <v>200</v>
      </c>
      <c r="S22" s="122">
        <f>R22</f>
        <v>200</v>
      </c>
      <c r="T22" s="151">
        <f>S22</f>
        <v>200</v>
      </c>
      <c r="U22" s="122"/>
      <c r="V22" s="138" t="s">
        <v>192</v>
      </c>
      <c r="W22" s="122">
        <f>R22</f>
        <v>200</v>
      </c>
      <c r="X22" s="122">
        <f>W22</f>
        <v>200</v>
      </c>
      <c r="Y22" s="151">
        <f>X22</f>
        <v>200</v>
      </c>
    </row>
    <row r="23" spans="17:25">
      <c r="Q23" s="138" t="s">
        <v>193</v>
      </c>
      <c r="R23" s="122">
        <f>SUM(Quarterlies!P77:S77)</f>
        <v>29.867000000000001</v>
      </c>
      <c r="S23" s="122">
        <f>R23</f>
        <v>29.867000000000001</v>
      </c>
      <c r="T23" s="151">
        <f>R23</f>
        <v>29.867000000000001</v>
      </c>
      <c r="U23" s="119"/>
      <c r="V23" s="138" t="s">
        <v>193</v>
      </c>
      <c r="W23" s="122">
        <f>R23</f>
        <v>29.867000000000001</v>
      </c>
      <c r="X23" s="122">
        <f>W23</f>
        <v>29.867000000000001</v>
      </c>
      <c r="Y23" s="151">
        <f>W23</f>
        <v>29.867000000000001</v>
      </c>
    </row>
    <row r="24" spans="17:25">
      <c r="Q24" s="136" t="s">
        <v>194</v>
      </c>
      <c r="R24" s="152">
        <f>SUM(R21:R23)</f>
        <v>293.76900000000001</v>
      </c>
      <c r="S24" s="152">
        <f>SUM(S21:S23)</f>
        <v>290.57390000000004</v>
      </c>
      <c r="T24" s="153">
        <f>SUM(T21:T23)</f>
        <v>277.79349999999999</v>
      </c>
      <c r="U24" s="122"/>
      <c r="V24" s="136" t="s">
        <v>194</v>
      </c>
      <c r="W24" s="152">
        <f>SUM(W21:W23)</f>
        <v>293.76900000000001</v>
      </c>
      <c r="X24" s="152">
        <f>SUM(X21:X23)</f>
        <v>279.71055999999999</v>
      </c>
      <c r="Y24" s="153">
        <f>SUM(Y21:Y23)</f>
        <v>268.20819999999998</v>
      </c>
    </row>
    <row r="25" spans="17:25" ht="15.75" thickBot="1">
      <c r="Q25" s="154" t="s">
        <v>195</v>
      </c>
      <c r="R25" s="155">
        <f>R18/(SUM(R24))</f>
        <v>0.42504484816301241</v>
      </c>
      <c r="S25" s="155">
        <f>S18/(SUM(S24))</f>
        <v>0.44527274817180768</v>
      </c>
      <c r="T25" s="156">
        <f>T18/(SUM(T24))</f>
        <v>0.38813194873170181</v>
      </c>
      <c r="U25" s="128"/>
      <c r="V25" s="154" t="s">
        <v>195</v>
      </c>
      <c r="W25" s="155">
        <f>W18/(SUM(W24))</f>
        <v>0.56752073908411027</v>
      </c>
      <c r="X25" s="155">
        <f>X18/(SUM(X24))</f>
        <v>0.45903511830229082</v>
      </c>
      <c r="Y25" s="156">
        <f>Y18/(SUM(Y24))</f>
        <v>0.36824713040093482</v>
      </c>
    </row>
    <row r="26" spans="17:25">
      <c r="V26" s="120"/>
      <c r="W26" s="120"/>
    </row>
    <row r="27" spans="17:25">
      <c r="T27" s="120"/>
      <c r="U27" s="120"/>
      <c r="V27" s="120"/>
      <c r="W27" s="120"/>
    </row>
    <row r="51" spans="20:23">
      <c r="T51" s="120"/>
      <c r="U51" s="120"/>
      <c r="V51" s="120"/>
      <c r="W51" s="120"/>
    </row>
    <row r="52" spans="20:23">
      <c r="T52" s="120"/>
      <c r="U52" s="120"/>
      <c r="V52" s="120"/>
      <c r="W52" s="120"/>
    </row>
    <row r="53" spans="20:23">
      <c r="T53" s="120"/>
      <c r="U53" s="120"/>
      <c r="V53" s="120"/>
      <c r="W53" s="120"/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FdsFormulaCache xmlns="urn:fdsformulacache" version="2" timestamp="1677855364"><![CDATA[{"US00110RAA59^FG_PRICE(0)":89.901,"ACU-US^FG_PRICE(0)":32.95,"PETRO^FG_PRICE(0)":null,"0Q3Q1F-E^FG_PRICE(0)":null,"US00110RAA59^FG_PRICE(NOW)":89.901,"ACU-US^FG_PRICE(NOW)":32.95,"PETRO^FG_PRICE(NOW)":null,"0Q3Q1F-E^FG_PRICE(NOW)":null,"US00110RAA59^FG_PRICE(NOW,0)":89.901,"ACU-US^FG_PRICE(NOW,0)":32.95,"PETRO^FG_PRICE(NOW,0)":null,"0Q3Q1F-E^FG_PRICE(NOW,0)":null,"US00110RAA59^FG_PRICE(NOW,NOW)":89.901,"ACU-US^FG_PRICE(NOW,NOW)":32.95,"PETRO^FG_PRICE(NOW,NOW)":null,"0Q3Q1F-E^FG_PRICE(NOW,NOW)":null,"AAPL-US^FG_PRICE(0)":149.64,"AAPL-US^FG_PRICE(0,0)":149.64,"AAPL-US^P_DATE(0,0)":"05/27/2022","AAPL-US^P_DATE(0,0,D)":"05/27/2022","AAPL-US^P_DATE(0,-1AY,D)":["05/27/2022","05/26/2022","05/25/2022","05/24/2022","05/23/2022","05/20/2022","05/19/2022","05/18/2022","05/17/2022","05/16/2022","05/13/2022","05/12/2022","05/11/2022","05/10/2022","05/09/2022","05/06/2022","05/05/2022","05/04/2022","05/03/2022","05/02/2022","04/29/2022","04/28/2022","04/27/2022","04/26/2022","04/25/2022","04/22/2022","04/21/2022","04/20/2022","04/19/2022","04/18/2022","04/14/2022","04/13/2022","04/12/2022","04/11/2022","04/08/2022","04/07/2022","04/06/2022","04/05/2022","04/04/2022","04/01/2022","03/31/2022","03/30/2022","03/29/2022","03/28/2022","03/25/2022","03/24/2022","03/23/2022","03/22/2022","03/21/2022","03/18/2022","03/17/2022","03/16/2022","03/15/2022","03/14/2022","03/11/2022","03/10/2022","03/09/2022","03/08/2022","03/07/2022","03/04/2022","03/03/2022","03/02/2022","03/01/2022","02/28/2022","02/25/2022","02/24/2022","02/23/2022","02/22/2022","02/18/2022","02/17/2022","02/16/2022","02/15/2022","02/14/2022","02/11/2022","02/10/2022","02/09/2022","02/08/2022","02/07/2022","02/04/2022","02/03/2022","02/02/2022","02/01/2022","01/31/2022","01/28/2022","01/27/2022","01/26/2022","01/25/2022","01/24/2022","01/21/2022","01/20/2022","01/19/2022","01/18/2022","01/14/2022","01/13/2022","01/12/2022","01/11/2022","01/10/2022","01/07/2022","01/06/2022","01/05/2022","01/04/2022","01/03/2022","12/31/2021","12/30/2021","12/29/2021","12/28/2021","12/27/2021","12/23/2021","12/22/2021","12/21/2021","12/20/2021","12/17/2021","12/16/2021","12/15/2021","12/14/2021","12/13/2021","12/10/2021","12/09/2021","12/08/2021","12/07/2021","12/06/2021","12/03/2021","12/02/2021","12/01/2021","11/30/2021","11/29/2021","11/26/2021","11/24/2021","11/23/2021","11/22/2021","11/19/2021","11/18/2021","11/17/2021","11/16/2021","11/15/2021","11/12/2021","11/11/2021","11/10/2021","11/09/2021","11/08/2021","11/05/2021","11/04/2021","11/03/2021","11/02/2021","11/01/2021","10/29/2021","10/28/2021","10/27/2021","10/26/2021","10/25/2021","10/22/2021","10/21/2021","10/20/2021","10/19/2021","10/18/2021","10/15/2021","10/14/2021","10/13/2021","10/12/2021","10/11/2021","10/08/2021","10/07/2021","10/06/2021","10/05/2021","10/04/2021","10/01/2021","09/30/2021","09/29/2021","09/28/2021","09/27/2021","09/24/2021","09/23/2021","09/22/2021","09/21/2021","09/20/2021","09/17/2021","09/16/2021","09/15/2021","09/14/2021","09/13/2021","09/10/2021","09/09/2021","09/08/2021","09/07/2021","09/03/2021","09/02/2021","09/01/2021","08/31/2021","08/30/2021","08/27/2021","08/26/2021","08/25/2021","08/24/2021","08/23/2021","08/20/2021","08/19/2021","08/18/2021","08/17/2021","08/16/2021","08/13/2021","08/12/2021","08/11/2021","08/10/2021","08/09/2021","08/06/2021","08/05/2021","08/04/2021","08/03/2021","08/02/2021","07/30/2021","07/29/2021","07/28/2021","07/27/2021","07/26/2021","07/23/2021","07/22/2021","07/21/2021","07/20/2021","07/19/2021","07/16/2021","07/15/2021","07/14/2021","07/13/2021","07/12/2021","07/09/2021","07/08/2021","07/07/2021","07/06/2021","07/02/2021","07/01/2021","06/30/2021","06/29/2021","06/28/2021","06/25/2021","06/24/2021","06/23/2021","06/22/2021","06/21/2021","06/18/2021","06/17/2021","06/16/2021","06/15/2021","06/14/2021","06/11/2021","06/10/2021","06/09/2021","06/08/2021","06/07/2021","06/04/2021","06/03/2021","06/02/2021","06/01/2021","05/28/2021","05/27/2021"],"AAPL-US^FG_PRICE(0,-1AY,D)":[149.64,143.78,140.52,140.36,143.11,137.59,137.35,140.82,149.24,145.54,147.11,142.56,146.5,154.51,152.06,157.28,156.77,166.02,159.48,157.96,157.65,163.64,156.57,156.8,162.88,161.79,166.42,167.23,167.4,165.07,165.29,170.4,167.66,165.75,170.09,172.14,171.83,175.06,178.44,174.31,174.61,177.77,178.96,175.6,174.72,174.07,170.21,168.82,165.38,163.98,160.62,159.59,155.09,150.62,154.73,158.52,162.95,157.44,159.3,163.17,166.23,166.56,163.2,165.12,164.85,162.74,160.07,164.32,167.3,168.88,172.55,172.79,168.88,168.64,172.12,176.28,174.83,171.66,172.39,172.9,175.84,174.61,174.78,170.33,159.22,159.69,159.78,161.62,162.41,164.51,166.23,169.8,173.07,172.19,175.53,175.08,172.19,172.17,172.0,174.92,179.7,182.01,177.57,178.2,179.38,179.29,180.33,176.28,175.64,172.99,169.75,171.14,172.26,179.3,174.33,175.74,179.45,174.56,175.08,171.18,165.32,161.84,163.76,164.77,165.3,160.24,156.81,161.94,161.41,161.02,160.55,157.87,153.49,151.0,150.0,149.99,147.87,147.92,150.81,150.44,151.28,150.96,151.49,150.02,148.96,149.8,152.57,148.85,149.32,148.64,148.69,149.48,149.26,148.76,146.55,144.84,143.76,140.91,141.51,142.81,142.9,143.29,142.0,141.11,139.14,142.65,141.5,142.83,141.91,145.37,146.92,146.83,145.85,143.43,142.94,146.06,148.79,149.03,148.12,149.55,148.97,154.07,155.11,156.69,154.3,153.65,152.51,151.83,153.12,148.6,147.54,148.36,149.62,149.71,148.19,146.7,146.36,150.19,151.12,149.1,148.89,145.86,145.6,146.09,146.14,147.06,146.95,147.36,145.52,145.86,145.64,144.98,146.77,148.99,148.56,146.8,145.4,146.15,142.45,146.39,148.48,149.15,145.64,144.5,145.11,143.24,144.57,142.02,139.96,137.27,136.96,136.33,134.78,133.11,133.41,133.7,133.98,132.3,130.46,131.79,130.15,129.64,130.48,127.35,126.11,127.13,126.74,125.9,125.89,123.54,125.06,124.28,124.61,125.28],"AAPL-US^FF_EBITDA_OPER(ANN_R,0,-1AY,D)":[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120233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,76395.0],"AAPL-US^FF_PE(ANN_R,0,-1AY,D)":[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26.1702885643035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,34.2797826219698],"AAPL-US^FF_ENTRPR_VAL_EBITDA_OPER(ANN_R,0,-1AY,D)":[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1.1316518716159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,26.0512581702991],"AAPL-US^FG_VOLUME(0,-1AY,D)":[90.97849,90.601555,92.482704,104.132706,117.7263,137.4261,136.0956,109.7429,78.33625,86.643776,113.9909,182.602,142.68979,115.36671,131.57791,116.1246,130.5253,108.25649,88.96653,123.0553,131.7476,130.2168,88.063194,95.62324,96.04639,84.882416,87.22777,67.92981,67.72383,69.02393,75.32938,70.61893,79.26518,72.24671,76.575516,77.59465,89.058784,73.401794,76.54598,78.75133,103.04929,92.63315,100.5894,90.37192,80.54616,90.131424,98.062675,81.532005,95.811356,123.511696,75.61538,102.3002,92.9643,108.73209,96.97009,105.342,91.45491,131.1483,96.418846,83.819595,76.67844,79.724754,83.474434,95.05663,91.97422,141.1475,90.00925,91.16276,82.772675,69.58934,61.1774,64.28632,86.18553,98.670685,90.865906,71.28504,74.829216,77.2512,82.4654,89.418076,84.91425,86.21391,115.5416,179.9357,121.9546,108.2753,115.7984,162.70671,122.84889,91.42052,94.814995,91.16873,80.44078,84.50576,74.80517,76.13831,106.7656,86.70915,96.90396,94.5376,99.31044,104.7012,64.06226,59.773006,62.348927,79.14433,74.919586,68.35657,92.1353,91.18591,107.49911,195.92339,150.18579,131.0633,139.3804,153.237,115.4027,108.9237,116.99889,120.4054,107.497,118.0231,136.7392,152.423,174.0481,88.74822,76.959755,69.463615,96.0419,117.4679,117.3056,137.8277,88.807,59.256207,59.2228,63.80401,40.99995,65.18709,56.78793,55.02087,65.46388,60.39462,54.511528,69.121994,74.58826,124.9532,100.0779,56.09493,60.8934,50.72056,58.88344,61.420994,58.418793,76.37889,85.58919,67.94033,69.907104,78.76272,73.03586,64.45222,58.77316,61.73266,83.22112,80.86105,98.32201,94.63959,89.056656,74.60204,108.972305,74.15073,53.47787,64.838165,76.404335,75.83396,123.4789,129.8688,68.03415,83.28132,109.2963,102.404305,140.8932,57.30573,74.42021,82.27826,57.866074,71.17132,80.31371,86.45312,90.95672,55.80239,48.5972,58.9913,48.606434,60.13181,60.549633,86.96031,86.32599,92.229744,103.5588,59.375008,73.77911,48.49346,69.02308,48.908688,54.12681,46.39767,56.36827,64.78662,62.87996,70.440636,56.69948,118.9312,104.8186,72.43409,71.447426,77.33816,74.993454,96.35004,121.4346,93.251434,106.820305,127.0508,100.8271,76.29972,99.8908,105.5755,104.9116,108.1818,78.945564,52.48578,63.26139,64.55608,62.1113,70.78375,68.711,60.2142,74.783615,79.66332,108.95329,96.72167,91.81503,62.746326,96.90649,53.52237,71.18642,56.87794,74.40377,71.05755,75.16934,76.22917,59.27886,67.63712,71.31111,94.6256],"AAPL-US^P_PRICE_RETURNS(0,0,-1AY,D)":[4.0756702,2.3199558,0.11399984,-1.9216001,4.011917,0.17472506,-2.4641395,-5.641919,2.5422692,-1.0672331,3.191638,-2.6894212,-5.184126,1.6112089,-3.3189237,0.32531023,-5.5716157,4.1008353,0.9622574,0.19664764,-3.6604762,4.5155525,-0.14668107,-3.7328124,0.6737232,-2.7821183,-0.48435926,-0.101554394,1.4115095,-0.13309121,-2.998829,1.6342521,1.1523366,-2.5515854,-1.1908948,0.18041134,-1.8450797,-1.8941939,2.3693442,-0.17181039,-1.7775774,-0.6649554,1.9134402,0.50367117,0.37341118,2.2677898,0.82336664,2.080059,0.853765,2.0918965,0.6453991,2.9015422,2.967739,-2.6562393,-2.3908734,-2.7186215,3.4997463,-1.1676073,-2.3717582,-1.8408239,-0.19812584,2.0588279,-1.1627913,0.16378164,1.2965441,1.6680241,-2.5864184,-1.7812312,-0.93557835,-2.1269202,-0.13889074,2.315247,0.14232397,-2.0218432,-2.359885,0.8293748,1.8466711,-0.42345524,-0.2949655,-1.6719759,0.7044196,-0.09726286,2.6125789,6.9777727,-0.29432178,-0.05632639,-1.1384726,-0.48642755,-1.276511,-1.0347128,-2.1024764,-1.8894136,0.51106215,-1.9028068,0.25702715,1.6783834,0.011622906,0.09883642,-1.6693354,-2.6599884,-1.2691617,2.5004148,-0.35352707,-0.65782666,0.05019903,-0.5767226,2.2974849,0.36438704,1.5318751,1.9086957,-0.8122027,-0.6501794,-3.9263844,2.850914,-0.8023262,-2.0674229,2.801323,-0.29700994,2.278304,3.5446286,2.1502733,-1.1724472,-0.6129801,-0.32063127,3.1577587,2.1873713,-3.1678438,0.32835007,0.24220943,0.29274225,1.6975999,2.8535962,1.6490102,0.66666603,0.0066637993,1.4336944,-0.033801794,-1.9163191,0.24594069,-0.555259,0.21196604,-0.34985542,0.9798646,0.711596,-0.5607426,-1.8155634,2.4991632,-0.3147602,0.4574895,-0.03362894,-0.5284965,0.14739037,0.3361106,1.5080094,1.180613,0.75125694,2.0225644,-0.42399168,-0.9103,-0.06297827,-0.2721727,0.9084463,0.6307125,1.4158368,-2.4605632,0.81272125,-0.9311795,0.6482959,-2.3801267,-1.0549963,0.061297417,0.67192316,1.6872406,0.34279823,-2.1361053,-1.8347979,-0.16104579,0.6143689,-0.9562075,0.38933754,-3.3101857,-0.6704867,-1.0083616,1.548934,0.42304993,0.7474899,0.4478693,-0.84246993,3.0417204,0.71846247,-0.5527139,-0.8421302,-0.060123205,1.0257125,1.015687,0.23230314,-2.5501072,-0.6154001,1.3547897,0.14104843,2.0773292,0.1785636,-0.3354013,-0.034213066,-0.62559247,0.07485151,-0.27823448,1.2644291,-0.23309588,0.15106201,0.45523643,-1.2196004,-1.4900327,0.28945208,1.1989117,0.96286535,-0.51317215,2.5974035,-2.6914418,-1.4075935,-0.4492104,2.4100542,0.7889271,-0.42037368,1.3054967,-0.9199679,1.7955184,1.4718413,1.9596457,0.22634268,0.4621148,1.1500239,1.2545943,-0.22487044,-0.2169013,-0.2089858,1.2698412,1.410389,-1.0091722,1.2600899,0.39339066,-0.6437719,2.4577856,0.98326206,-0.8023262,0.30771494,0.66719055,0.007939339,1.9022107,-1.2154162,0.62761307,-0.2648294,-0.5348027,-1.2376845],"US00110RAA59^FF_PE(ANN_R,0,-1AY,D)":null,"US00110RAA59^FG_PRICE(0,-1AY,D)":[89.901,89.72,88.097,86.126,85.876,85.876,86.001,85.626,86.501,86.626,87.0,87.959,88.5,89.1,87.626,89.251,89.585,89.036,89.558,89.65,90.63,90.626,91.279,91.45,91.25,92.251,92.251,92.501,91.756,91.75,91.75,91.75,91.375,91.97,92.924,92.674,92.551,93.001,92.799,92.375,92.251,92.52,91.451,90.85,90.501,90.597,90.126,90.251,90.426,91.05,90.542,90.991,89.125,88.776,88.75,88.75,89.927,88.5,88.5,89.0,91.0,91.65,91.47,92.5,93.5,92.876,93.97,94.5,94.5,94.751,94.831,94.876,95.001,95.25,96.375,96.8,96.376,96.717,96.751,97.5,97.25,97.147,97.75,97.3,97.79,97.97,96.97,95.501,97.1,97.01,97.378,96.687,97.75,97.845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US00110RAA59^P_DATE(0,-1AY,D)":["05/27/2022","05/26/2022","05/25/2022","05/24/2022","05/23/2022","05/20/2022","05/19/2022","05/18/2022","05/17/2022","05/16/2022","05/13/2022","05/12/2022","05/11/2022","05/10/2022","05/09/2022","05/06/2022","05/05/2022","05/04/2022","05/03/2022","05/02/2022","04/29/2022","04/28/2022","04/27/2022","04/26/2022","04/25/2022","04/22/2022","04/21/2022","04/20/2022","04/19/2022","04/18/2022","04/14/2022","04/13/2022","04/12/2022","04/11/2022","04/08/2022","04/07/2022","04/06/2022","04/05/2022","04/04/2022","04/01/2022","03/31/2022","03/30/2022","03/29/2022","03/28/2022","03/25/2022","03/24/2022","03/23/2022","03/22/2022","03/21/2022","03/18/2022","03/17/2022","03/16/2022","03/15/2022","03/14/2022","03/11/2022","03/10/2022","03/09/2022","03/08/2022","03/07/2022","03/04/2022","03/03/2022","03/02/2022","03/01/2022","02/28/2022","02/25/2022","02/24/2022","02/23/2022","02/22/2022","02/18/2022","02/17/2022","02/16/2022","02/15/2022","02/14/2022","02/11/2022","02/10/2022","02/09/2022","02/08/2022","02/07/2022","02/04/2022","02/03/2022","02/02/2022","02/01/2022","01/31/2022","01/28/2022","01/27/2022","01/26/2022","01/25/2022","01/24/2022","01/21/2022","01/20/2022","01/19/2022","01/18/2022","01/14/2022","01/13/2022","01/12/2022","01/11/2022","01/10/2022","01/07/2022","01/06/2022","01/05/2022","01/04/2022","01/03/2022","12/31/2021","12/30/2021","12/29/2021","12/28/2021","12/27/2021","12/23/2021","12/22/2021","12/21/2021","12/20/2021","12/17/2021","12/16/2021","12/15/2021","12/14/2021","12/13/2021","12/10/2021","12/09/2021","12/08/2021","12/07/2021","12/06/2021","12/03/2021","12/02/2021","12/01/2021","11/30/2021","11/29/2021","11/26/2021","11/24/2021","11/23/2021","11/22/2021","11/19/2021","11/18/2021","11/17/2021","11/16/2021","11/15/2021","11/12/2021","11/11/2021","11/10/2021","11/09/2021","11/08/2021","11/05/2021","11/04/2021","11/03/2021","11/02/2021","11/01/2021","10/29/2021","10/28/2021","10/27/2021","10/26/2021","10/25/2021","10/22/2021","10/21/2021","10/20/2021","10/19/2021","10/18/2021","10/15/2021","10/14/2021","10/13/2021","10/12/2021","10/11/2021","10/08/2021","10/07/2021","10/06/2021","10/05/2021","10/04/2021","10/01/2021","09/30/2021","09/29/2021","09/28/2021","09/27/2021","09/24/2021","09/23/2021","09/22/2021","09/21/2021","09/20/2021","09/17/2021","09/16/2021","09/15/2021","09/14/2021","09/13/2021","09/10/2021","09/09/2021","09/08/2021","09/07/2021","09/03/2021","09/02/2021","09/01/2021","08/31/2021","08/30/2021","08/27/2021","08/26/2021","08/25/2021","08/24/2021","08/23/2021","08/20/2021","08/19/2021","08/18/2021","08/17/2021","08/16/2021","08/13/2021","08/12/2021","08/11/2021","08/10/2021","08/09/2021","08/06/2021","08/05/2021","08/04/2021","08/03/2021","08/02/2021","07/30/2021","07/29/2021","07/28/2021","07/27/2021","07/26/2021","07/23/2021","07/22/2021","07/21/2021","07/20/2021","07/19/2021","07/16/2021","07/15/2021","07/14/2021","07/13/2021","07/12/2021","07/09/2021","07/08/2021","07/07/2021","07/06/2021","07/02/2021","07/01/2021","06/30/2021","06/29/2021","06/28/2021","06/25/2021","06/24/2021","06/23/2021","06/22/2021","06/21/2021","06/18/2021","06/17/2021","06/16/2021","06/15/2021","06/14/2021","06/11/2021","06/10/2021","06/09/2021","06/08/2021","06/07/2021","06/04/2021","06/03/2021","06/02/2021","06/01/2021","05/28/2021","05/27/2021"],"US00110RAA59^P_DATE(0,-3AM,D)":["05/27/2022","05/26/2022","05/25/2022","05/24/2022","05/23/2022","05/20/2022","05/19/2022","05/18/2022","05/17/2022","05/16/2022","05/13/2022","05/12/2022","05/11/2022","05/10/2022","05/09/2022","05/06/2022","05/05/2022","05/04/2022","05/03/2022","05/02/2022","04/29/2022","04/28/2022","04/27/2022","04/26/2022","04/25/2022","04/22/2022","04/21/2022","04/20/2022","04/19/2022","04/18/2022","04/14/2022","04/13/2022","04/12/2022","04/11/2022","04/08/2022","04/07/2022","04/06/2022","04/05/2022","04/04/2022","04/01/2022","03/31/2022","03/30/2022","03/29/2022","03/28/2022","03/25/2022","03/24/2022","03/23/2022","03/22/2022","03/21/2022","03/18/2022","03/17/2022","03/16/2022","03/15/2022","03/14/2022","03/11/2022","03/10/2022","03/09/2022","03/08/2022","03/07/2022","03/04/2022","03/03/2022","03/02/2022","03/01/2022","02/28/2022","02/25/2022"],"US00110RAA59^FG_PRICE(0,-3AM,D)":[89.901,89.72,88.097,86.126,85.876,85.876,86.001,85.626,86.501,86.626,87.0,87.959,88.5,89.1,87.626,89.251,89.585,89.036,89.558,89.65,90.63,90.626,91.279,91.45,91.25,92.251,92.251,92.501,91.756,91.75,91.75,91.75,91.375,91.97,92.924,92.674,92.551,93.001,92.799,92.375,92.251,92.52,91.451,90.85,90.501,90.597,90.126,90.251,90.426,91.05,90.542,90.991,89.125,88.776,88.75,88.75,89.927,88.5,88.5,89.0,91.0,91.65,91.47,92.5,93.5],"US00110RAA59^P_DATE(0,NOW,D)":"05/27/2022","US00110RAA59^FG_PRICE(0,NOW,D)":89.901,"US00110RAA59^P_DATE(NOW,NOW,D)":"05/27/2022","US00110RAA59^P_DATE(NOW,-6AM,D)":["05/27/2022","05/26/2022","05/25/2022","05/24/2022","05/23/2022","05/20/2022","05/19/2022","05/18/2022","05/17/2022","05/16/2022","05/13/2022","05/12/2022","05/11/2022","05/10/2022","05/09/2022","05/06/2022","05/05/2022","05/04/2022","05/03/2022","05/02/2022","04/29/2022","04/28/2022","04/27/2022","04/26/2022","04/25/2022","04/22/2022","04/21/2022","04/20/2022","04/19/2022","04/18/2022","04/14/2022","04/13/2022","04/12/2022","04/11/2022","04/08/2022","04/07/2022","04/06/2022","04/05/2022","04/04/2022","04/01/2022","03/31/2022","03/30/2022","03/29/2022","03/28/2022","03/25/2022","03/24/2022","03/23/2022","03/22/2022","03/21/2022","03/18/2022","03/17/2022","03/16/2022","03/15/2022","03/14/2022","03/11/2022","03/10/2022","03/09/2022","03/08/2022","03/07/2022","03/04/2022","03/03/2022","03/02/2022","03/01/2022","02/28/2022","02/25/2022","02/24/2022","02/23/2022","02/22/2022","02/18/2022","02/17/2022","02/16/2022","02/15/2022","02/14/2022","02/11/2022","02/10/2022","02/09/2022","02/08/2022","02/07/2022","02/04/2022","02/03/2022","02/02/2022","02/01/2022","01/31/2022","01/28/2022","01/27/2022","01/26/2022","01/25/2022","01/24/2022","01/21/2022","01/20/2022","01/19/2022","01/18/2022","01/14/2022","01/13/2022","01/12/2022","01/11/2022","01/10/2022","01/07/2022","01/06/2022","01/05/2022","01/04/2022","01/03/2022","12/31/2021","12/30/2021","12/29/2021","12/28/2021","12/27/2021","12/23/2021","12/22/2021","12/21/2021","12/20/2021","12/17/2021","12/16/2021","12/15/2021","12/14/2021","12/13/2021","12/10/2021","12/09/2021","12/08/2021","12/07/2021","12/06/2021","12/03/2021","12/02/2021","12/01/2021","11/30/2021","11/29/2021","11/26/2021"],"US00110RAA59^FG_PRICE(NOW,-6AM,D)":[89.901,89.72,88.097,86.126,85.876,85.876,86.001,85.626,86.501,86.626,87.0,87.959,88.5,89.1,87.626,89.251,89.585,89.036,89.558,89.65,90.63,90.626,91.279,91.45,91.25,92.251,92.251,92.501,91.756,91.75,91.75,91.75,91.375,91.97,92.924,92.674,92.551,93.001,92.799,92.375,92.251,92.52,91.451,90.85,90.501,90.597,90.126,90.251,90.426,91.05,90.542,90.991,89.125,88.776,88.75,88.75,89.927,88.5,88.5,89.0,91.0,91.65,91.47,92.5,93.5,92.876,93.97,94.5,94.5,94.751,94.831,94.876,95.001,95.25,96.375,96.8,96.376,96.717,96.751,97.5,97.25,97.147,97.75,97.3,97.79,97.97,96.97,95.501,97.1,97.01,97.378,96.687,97.75,97.845,null,null,null,null,null,null,null,null,null,null,null,null,null,null,null,null,null,null,null,null,null,null,null,null,null,null,null,null,null,null,null,null,null],"USL0R80QAA10^P_DATE(NOW,-6AM,D)":["05/27/2022","05/26/2022","05/25/2022","05/24/2022","05/23/2022","05/20/2022","05/19/2022","05/18/2022","05/17/2022","05/16/2022","05/13/2022","05/12/2022","05/11/2022","05/10/2022","05/09/2022","05/06/2022","05/05/2022","05/04/2022","05/03/2022","05/02/2022","04/29/2022","04/28/2022","04/27/2022","04/26/2022","04/25/2022","04/22/2022","04/21/2022","04/20/2022","04/19/2022","04/18/2022","04/14/2022","04/13/2022","04/12/2022","04/11/2022","04/08/2022","04/07/2022","04/06/2022","04/05/2022","04/04/2022","04/01/2022","03/31/2022","03/30/2022","03/29/2022","03/28/2022","03/25/2022","03/24/2022","03/23/2022","03/22/2022","03/21/2022","03/18/2022","03/17/2022","03/16/2022","03/15/2022","03/14/2022","03/11/2022","03/10/2022","03/09/2022","03/08/2022","03/07/2022","03/04/2022","03/03/2022","03/02/2022","03/01/2022","02/28/2022","02/25/2022","02/24/2022","02/23/2022","02/22/2022","02/18/2022","02/17/2022","02/16/2022","02/15/2022","02/14/2022","02/11/2022","02/10/2022","02/09/2022","02/08/2022","02/07/2022","02/04/2022","02/03/2022","02/02/2022","02/01/2022","01/31/2022","01/28/2022","01/27/2022","01/26/2022","01/25/2022","01/24/2022","01/21/2022","01/20/2022","01/19/2022","01/18/2022","01/14/2022","01/13/2022","01/12/2022","01/11/2022","01/10/2022","01/07/2022","01/06/2022","01/05/2022","01/04/2022","01/03/2022","12/31/2021","12/30/2021","12/29/2021","12/28/2021","12/27/2021","12/23/2021","12/22/2021","12/21/2021","12/20/2021","12/17/2021","12/16/2021","12/15/2021","12/14/2021","12/13/2021","12/10/2021","12/09/2021","12/08/2021","12/07/2021","12/06/2021","12/03/2021","12/02/2021","12/01/2021","11/30/2021","11/29/2021","11/26/2021"],"USL0R80QAA10^FG_PRICE(NOW,-6AM,D)":[89.901,89.72,88.097,86.126,85.876,85.876,86.001,85.626,86.501,86.626,87.0,87.959,88.5,89.1,87.626,89.251,89.585,89.036,89.558,89.65,90.63,90.626,91.279,91.45,91.25,92.251,92.251,92.501,91.756,91.75,91.75,91.75,91.375,91.97,92.924,92.674,92.551,93.001,92.799,92.375,92.251,92.52,91.451,90.85,90.501,90.597,90.126,90.251,90.426,91.05,90.542,90.991,89.125,88.776,88.75,88.75,89.927,88.5,88.5,89.0,91.0,91.65,91.47,92.5,93.5,92.876,93.97,94.5,94.5,94.751,94.831,94.876,95.001,95.25,96.375,96.8,96.376,96.717,96.751,97.5,97.25,97.147,97.75,97.3,97.79,97.97,96.97,95.501,97.1,97.01,97.378,96.687,97.75,97.845,null,null,null,null,null,null,null,null,null,null,null,null,null,null,null,null,null,null,null,null,null,null,null,null,null,null,null,null,null,null,null,null,null],"US105756BB58^FG_YIELD(0,-2AY,W,,\"YTM\")":[6.58492805740451,6.52481176279037,6.36022940427661,6.0875812331983,6.27089120473609,6.21818096507004,6.30591746898676,6.52412613242508,6.67045301470346,6.62370275186052,6.57280840066421,6.33940201453458,6.40856880549073,6.69397576529256,6.8642575975114,7.08513954286578,7.18605663295022,7.15700255502807,7.46035353544906,7.46657794068846,7.26804954380883,7.24530121270771,7.00088442830517,6.72182289159441,6.48918766877552,6.57582342583375,6.43772362681594,6.44406935143612,6.26221868667276,6.48024751494587,6.4079262725519,6.81358750063706,7.27243285059353,7.10296268452975,7.06550726147301,7.04081405951508,7.12670200697062,6.89450258759569,6.44067141096332,6.23643304126871,6.55354329934832,6.47848148318148,6.40027856946695,6.29015936590732,6.099216762449,5.9028259670908,5.90479752274376,5.59190082600772,5.73961882030668,5.50857164703388,5.54991234990764,5.41135212288354,5.38414940173302,5.48156927830452,5.45821013282213,5.26602163610468,5.23773687452202,5.1292619330248,5.20242533291926,5.13549271371537,4.86013291272851,4.91210844001596,4.839477560661,4.80235233840082,4.78253969022298,5.14817542242771,4.88368167837452,4.93409650621468,4.88514751398346,5.0888144444152,5.09179650361334,4.66803066650581,4.797749279216,4.68627242580365,4.58733239427106,4.39047893163976,4.38357479133314,4.3455473072704,4.36880027138721,4.48707432730407,4.347344044527,4.33455831058252,4.2497994663652,4.26027128777353,4.26576015684908,4.28039895409297,4.28170289415931,4.27123705728185,4.26501404107747,4.23692145368281,4.23513823378051,4.28768157677081,4.36375246139239,4.29185101721317,4.23166237803242,4.47686331427075,4.44195597456775,4.49659816502309,4.73217818385808,4.78601755486782,4.8855154973566,4.86693215682739,4.95893981164247,4.93973437668017,4.76847247159153]}]]></FdsFormulaCache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DF6F1-C95D-41AB-A537-73CB2F55676A}"/>
</file>

<file path=customXml/itemProps2.xml><?xml version="1.0" encoding="utf-8"?>
<ds:datastoreItem xmlns:ds="http://schemas.openxmlformats.org/officeDocument/2006/customXml" ds:itemID="{C04F85D5-F767-405F-BA90-5DEC494CF9DC}"/>
</file>

<file path=customXml/itemProps3.xml><?xml version="1.0" encoding="utf-8"?>
<ds:datastoreItem xmlns:ds="http://schemas.openxmlformats.org/officeDocument/2006/customXml" ds:itemID="{5A15BCC9-943D-4BDE-B958-292C2E943AB0}"/>
</file>

<file path=customXml/itemProps4.xml><?xml version="1.0" encoding="utf-8"?>
<ds:datastoreItem xmlns:ds="http://schemas.openxmlformats.org/officeDocument/2006/customXml" ds:itemID="{3E313135-7987-4EAC-AB11-AB13FE30EB1E}"/>
</file>

<file path=docMetadata/LabelInfo.xml><?xml version="1.0" encoding="utf-8"?>
<clbl:labelList xmlns:clbl="http://schemas.microsoft.com/office/2020/mipLabelMetadata">
  <clbl:label id="{69ef451a-42ab-4003-b1c2-bb6c523da8a7}" enabled="1" method="Privileged" siteId="{1123ebae-a006-42c7-9ea3-c84a2feb0e6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Fernandez</dc:creator>
  <cp:keywords/>
  <dc:description/>
  <cp:lastModifiedBy/>
  <cp:revision/>
  <dcterms:created xsi:type="dcterms:W3CDTF">2021-11-01T18:17:36Z</dcterms:created>
  <dcterms:modified xsi:type="dcterms:W3CDTF">2026-10-29T13:59:26Z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0x0101003A00EECCAA3DB94895FACE15614ECBE0</vt:lpwstr>
  </property>
  <property fmtid="{D5CDD505-2E9C-101B-9397-08002B2CF9AE}" pid="3" name="MediaServiceImageTags">
    <vt:lpwstr/>
  </property>
  <property fmtid="{D5CDD505-2E9C-101B-9397-08002B2CF9AE}" pid="4" name="=fdsSearchOrder">
    <vt:i4>0</vt:i4>
  </property>
  <property fmtid="{D5CDD505-2E9C-101B-9397-08002B2CF9AE}" pid="5" name="MSIP_Label_e23aaa83-1940-48a9-a4d6-4a193a1929ec_Enabled">
    <vt:lpwstr>true</vt:lpwstr>
  </property>
  <property fmtid="{D5CDD505-2E9C-101B-9397-08002B2CF9AE}" pid="6" name="MSIP_Label_e23aaa83-1940-48a9-a4d6-4a193a1929ec_SetDate">
    <vt:lpwstr>2026-01-06T11:08:08Z</vt:lpwstr>
  </property>
  <property fmtid="{D5CDD505-2E9C-101B-9397-08002B2CF9AE}" pid="7" name="MSIP_Label_e23aaa83-1940-48a9-a4d6-4a193a1929ec_Method">
    <vt:lpwstr>Standard</vt:lpwstr>
  </property>
  <property fmtid="{D5CDD505-2E9C-101B-9397-08002B2CF9AE}" pid="8" name="MSIP_Label_e23aaa83-1940-48a9-a4d6-4a193a1929ec_Name">
    <vt:lpwstr>Corporate</vt:lpwstr>
  </property>
  <property fmtid="{D5CDD505-2E9C-101B-9397-08002B2CF9AE}" pid="9" name="MSIP_Label_e23aaa83-1940-48a9-a4d6-4a193a1929ec_SiteId">
    <vt:lpwstr>ce78e7b0-e32a-4428-9390-1c2ec8a59c47</vt:lpwstr>
  </property>
  <property fmtid="{D5CDD505-2E9C-101B-9397-08002B2CF9AE}" pid="10" name="MSIP_Label_e23aaa83-1940-48a9-a4d6-4a193a1929ec_ActionId">
    <vt:lpwstr>14df4ba6-b85f-4b93-a45f-29028fc48cf4</vt:lpwstr>
  </property>
  <property fmtid="{D5CDD505-2E9C-101B-9397-08002B2CF9AE}" pid="11" name="MSIP_Label_e23aaa83-1940-48a9-a4d6-4a193a1929ec_ContentBits">
    <vt:lpwstr>2</vt:lpwstr>
  </property>
  <property fmtid="{D5CDD505-2E9C-101B-9397-08002B2CF9AE}" pid="12" name="MSIP_Label_e23aaa83-1940-48a9-a4d6-4a193a1929ec_Tag">
    <vt:lpwstr>10, 3, 0, 1</vt:lpwstr>
  </property>
  <property fmtid="{D5CDD505-2E9C-101B-9397-08002B2CF9AE}" pid="13" name="MSIP_Label_8c63c790-1b4f-473b-b88f-a693ca173b52_Enabled">
    <vt:lpwstr>true</vt:lpwstr>
  </property>
  <property fmtid="{D5CDD505-2E9C-101B-9397-08002B2CF9AE}" pid="14" name="MSIP_Label_8c63c790-1b4f-473b-b88f-a693ca173b52_SetDate">
    <vt:lpwstr>2026-01-07T01:56:37Z</vt:lpwstr>
  </property>
  <property fmtid="{D5CDD505-2E9C-101B-9397-08002B2CF9AE}" pid="15" name="MSIP_Label_8c63c790-1b4f-473b-b88f-a693ca173b52_Method">
    <vt:lpwstr>Privileged</vt:lpwstr>
  </property>
  <property fmtid="{D5CDD505-2E9C-101B-9397-08002B2CF9AE}" pid="16" name="MSIP_Label_8c63c790-1b4f-473b-b88f-a693ca173b52_Name">
    <vt:lpwstr>Internal</vt:lpwstr>
  </property>
  <property fmtid="{D5CDD505-2E9C-101B-9397-08002B2CF9AE}" pid="17" name="MSIP_Label_8c63c790-1b4f-473b-b88f-a693ca173b52_SiteId">
    <vt:lpwstr>4d8b04bf-7a7c-48a0-b6e3-38da5008297e</vt:lpwstr>
  </property>
  <property fmtid="{D5CDD505-2E9C-101B-9397-08002B2CF9AE}" pid="18" name="MSIP_Label_8c63c790-1b4f-473b-b88f-a693ca173b52_ActionId">
    <vt:lpwstr>7b90c5b1-2e1e-4642-aca8-fccdf221f0af</vt:lpwstr>
  </property>
  <property fmtid="{D5CDD505-2E9C-101B-9397-08002B2CF9AE}" pid="19" name="MSIP_Label_8c63c790-1b4f-473b-b88f-a693ca173b52_ContentBits">
    <vt:lpwstr>0</vt:lpwstr>
  </property>
  <property fmtid="{D5CDD505-2E9C-101B-9397-08002B2CF9AE}" pid="20" name="MSIP_Label_8c63c790-1b4f-473b-b88f-a693ca173b52_Tag">
    <vt:lpwstr>10, 0, 1, 1</vt:lpwstr>
  </property>
  <property fmtid="{D5CDD505-2E9C-101B-9397-08002B2CF9AE}" pid="21" name="{A44787D4-0540-4523-9961-78E4036D8C6D}">
    <vt:lpwstr>{8DE9B69F-C520-412B-A22A-5F2909E2A43C}</vt:lpwstr>
  </property>
</Properties>
</file>