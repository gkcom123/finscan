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codeName="ThisWorkbook"/>
  <mc:AlternateContent xmlns:mc="http://schemas.openxmlformats.org/markup-compatibility/2006">
    <mc:Choice Requires="x15">
      <x15ac:absPath xmlns:x15ac="http://schemas.microsoft.com/office/spreadsheetml/2010/11/ac" url="D:\working\waccache\AM4PEPF0000B6A9\EXCELCNV\385b23c3-4a1a-43b6-b187-c19611fad735\"/>
    </mc:Choice>
  </mc:AlternateContent>
  <xr:revisionPtr revIDLastSave="0" documentId="8_{533F0C81-D3DF-48E8-8715-98279AE883BB}" xr6:coauthVersionLast="47" xr6:coauthVersionMax="47" xr10:uidLastSave="{00000000-0000-0000-0000-000000000000}"/>
  <bookViews>
    <workbookView xWindow="-60" yWindow="-60" windowWidth="15480" windowHeight="11640" firstSheet="2" activeTab="2" xr2:uid="{263135A3-4E63-46B8-9DF8-806947F3482A}"/>
  </bookViews>
  <sheets>
    <sheet name="Capitalisation" sheetId="17" state="hidden" r:id="rId1"/>
    <sheet name="Model" sheetId="15" state="hidden" r:id="rId2"/>
    <sheet name="Capitalisation_IFRS" sheetId="19" r:id="rId3"/>
    <sheet name="Model_IFRS" sheetId="18" r:id="rId4"/>
    <sheet name="EBITDA_Reconciliation" sheetId="2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0">MonthlyOpStats</definedName>
    <definedName name="_01_30_04" localSheetId="2">MonthlyOpStats</definedName>
    <definedName name="_01_30_04" localSheetId="1">MonthlyOpStats</definedName>
    <definedName name="_01_30_04" localSheetId="3">MonthlyOpStats</definedName>
    <definedName name="_01_30_04">MonthlyOpStats</definedName>
    <definedName name="_1_30_01" localSheetId="0">MonthlyOpStats</definedName>
    <definedName name="_1_30_01" localSheetId="2">MonthlyOpStats</definedName>
    <definedName name="_1_30_01" localSheetId="1">MonthlyOpStats</definedName>
    <definedName name="_1_30_01" localSheetId="3">MonthlyOpStats</definedName>
    <definedName name="_1_30_01">MonthlyOpStats</definedName>
    <definedName name="_1_30_02" localSheetId="0">MonthlyOpStats</definedName>
    <definedName name="_1_30_02" localSheetId="2">MonthlyOpStats</definedName>
    <definedName name="_1_30_02" localSheetId="1">MonthlyOpStats</definedName>
    <definedName name="_1_30_02" localSheetId="3">MonthlyOpStats</definedName>
    <definedName name="_1_30_02">MonthlyOpStats</definedName>
    <definedName name="_1_31_01" localSheetId="0">MonthlyOpStats</definedName>
    <definedName name="_1_31_01" localSheetId="2">MonthlyOpStats</definedName>
    <definedName name="_1_31_01" localSheetId="1">MonthlyOpStats</definedName>
    <definedName name="_1_31_01" localSheetId="3">MonthlyOpStats</definedName>
    <definedName name="_1_31_01">MonthlyOpStats</definedName>
    <definedName name="_1_31_02" localSheetId="0">MonthlyOpStats</definedName>
    <definedName name="_1_31_02" localSheetId="2">MonthlyOpStats</definedName>
    <definedName name="_1_31_02" localSheetId="1">MonthlyOpStats</definedName>
    <definedName name="_1_31_02" localSheetId="3">MonthlyOpStats</definedName>
    <definedName name="_1_31_02">MonthlyOpStats</definedName>
    <definedName name="_12_31_05" localSheetId="0">MonthlyOpStats</definedName>
    <definedName name="_12_31_05" localSheetId="2">MonthlyOpStats</definedName>
    <definedName name="_12_31_05" localSheetId="1">MonthlyOpStats</definedName>
    <definedName name="_12_31_05" localSheetId="3">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localSheetId="1" hidden="1">[2]FxdChg!#REF!</definedName>
    <definedName name="_Fill" localSheetId="3" hidden="1">[2]FxdChg!#REF!</definedName>
    <definedName name="_Fill" hidden="1">[2]FxdChg!#REF!</definedName>
    <definedName name="_xlnm._FilterDatabase" localSheetId="1" hidden="1">#N/A</definedName>
    <definedName name="_xlnm._FilterDatabase" localSheetId="3" hidden="1">#N/A</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 localSheetId="1">[3]Model!#REF!</definedName>
    <definedName name="_GEI_Returns" localSheetId="3">[3]Model!#REF!</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 localSheetId="1">'[4]Tanning Assumptions'!#REF!</definedName>
    <definedName name="Accrued_Comp_Sales" localSheetId="3">'[4]Tanning Assumptions'!#REF!</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 localSheetId="1">#N/A</definedName>
    <definedName name="AICORR" localSheetId="3">#N/A</definedName>
    <definedName name="AICORR">#N/A</definedName>
    <definedName name="AllBH">#REF!</definedName>
    <definedName name="allProjects">#REF!</definedName>
    <definedName name="amort" localSheetId="1">[5]Inputs!#REF!</definedName>
    <definedName name="amort" localSheetId="3">[5]Inputs!#REF!</definedName>
    <definedName name="amort">[5]Inputs!#REF!</definedName>
    <definedName name="AP_Sales" localSheetId="1">'[4]Tanning Assumptions'!#REF!</definedName>
    <definedName name="AP_Sales" localSheetId="3">'[4]Tanning Assumptions'!#REF!</definedName>
    <definedName name="AP_Sales">'[4]Tanning Assumptions'!#REF!</definedName>
    <definedName name="AR_Other_Sales" localSheetId="1">'[4]Tanning Assumptions'!#REF!</definedName>
    <definedName name="AR_Other_Sales" localSheetId="3">'[4]Tanning Assumptions'!#REF!</definedName>
    <definedName name="AR_Other_Sales">'[4]Tanning Assumptions'!#REF!</definedName>
    <definedName name="AR_Trade_Sales" localSheetId="1">'[4]Tanning Assumptions'!#REF!</definedName>
    <definedName name="AR_Trade_Sales" localSheetId="3">'[4]Tanning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 localSheetId="1">#REF!</definedName>
    <definedName name="B_S" localSheetId="3">#REF!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 localSheetId="1">[5]Inputs!#REF!</definedName>
    <definedName name="bs" localSheetId="3">[5]Inputs!#REF!</definedName>
    <definedName name="bs">[5]Inputs!#REF!</definedName>
    <definedName name="case">#REF!</definedName>
    <definedName name="case1">[9]CONTROL!$A$12</definedName>
    <definedName name="case2">[9]CONTROL!$A$13</definedName>
    <definedName name="case3">[9]CONTROL!$A$14</definedName>
    <definedName name="CASH_FLOW" localSheetId="1">#REF!</definedName>
    <definedName name="CASH_FLOW" localSheetId="3">#REF!</definedName>
    <definedName name="CASH_FLOW">#REF!</definedName>
    <definedName name="Cash_Sales" localSheetId="1">'[4]Tanning Assumptions'!#REF!</definedName>
    <definedName name="Cash_Sales" localSheetId="3">'[4]Tanning Assumptions'!#REF!</definedName>
    <definedName name="Cash_Sales">'[4]Tanning Assumptions'!#REF!</definedName>
    <definedName name="CASHBUDGET" localSheetId="1">#REF!</definedName>
    <definedName name="CASHBUDGET" localSheetId="3">#REF!</definedName>
    <definedName name="CASHBUDGET">#REF!</definedName>
    <definedName name="CASHBUDGET___0" localSheetId="1">#REF!</definedName>
    <definedName name="CASHBUDGET___0" localSheetId="3">#REF!</definedName>
    <definedName name="CASHBUDGET___0">#REF!</definedName>
    <definedName name="CASHFLOWS_MONTH">#REF!</definedName>
    <definedName name="CASHFLOWS_MONTH___0">#REF!</definedName>
    <definedName name="CASHFLOWS_YEARS">#REF!</definedName>
    <definedName name="CASHFLOWS_YEARS___0">#REF!</definedName>
    <definedName name="cashint" localSheetId="1">#REF!</definedName>
    <definedName name="cashint" localSheetId="3">#REF!</definedName>
    <definedName name="cashint">#REF!</definedName>
    <definedName name="cashint___0" localSheetId="1">#REF!</definedName>
    <definedName name="cashint___0" localSheetId="3">#REF!</definedName>
    <definedName name="cashint___0">#REF!</definedName>
    <definedName name="CBHC">#REF!</definedName>
    <definedName name="cfl">#REF!</definedName>
    <definedName name="ChartDataRange">#REF!</definedName>
    <definedName name="CINC" localSheetId="1">#N/A</definedName>
    <definedName name="CINC" localSheetId="3">#N/A</definedName>
    <definedName name="CINC">#N/A</definedName>
    <definedName name="CIQWBGuid" hidden="1">"44d3b0c1-1097-43cd-8141-2b69d393db08"</definedName>
    <definedName name="CIQWBInfo" hidden="1">"{ ""CIQVersion"":""9.45.614.5792"" }"</definedName>
    <definedName name="circ" localSheetId="1">[5]Inputs!#REF!</definedName>
    <definedName name="circ" localSheetId="3">[5]Inputs!#REF!</definedName>
    <definedName name="circ">[5]Inputs!#REF!</definedName>
    <definedName name="CircRev">#REF!</definedName>
    <definedName name="Class_3_Agg_Cash" localSheetId="1">[10]Revolver!#REF!</definedName>
    <definedName name="Class_3_Agg_Cash" localSheetId="3">[10]Revolver!#REF!</definedName>
    <definedName name="Class_3_Agg_Cash">[10]Revolver!#REF!</definedName>
    <definedName name="Class_3_Amt_BET" localSheetId="1">[10]Revolver!#REF!</definedName>
    <definedName name="Class_3_Amt_BET" localSheetId="3">[10]Revolver!#REF!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 localSheetId="1">#REF!</definedName>
    <definedName name="Clients" localSheetId="3">#REF!</definedName>
    <definedName name="Clients">#REF!</definedName>
    <definedName name="closing_date">#REF!</definedName>
    <definedName name="closingttmrevenue">#REF!</definedName>
    <definedName name="CMBSIG" localSheetId="1">#N/A</definedName>
    <definedName name="CMBSIG" localSheetId="3">#N/A</definedName>
    <definedName name="CMBSIG">#N/A</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0" hidden="1">{"page1",#N/A,FALSE,"Temp";"page2",#N/A,FALSE,"Temp";"page3",#N/A,FALSE,"Temp";"page4",#N/A,FALSE,"Temp";"page5",#N/A,FALSE,"Temp";"page6",#N/A,FALSE,"Temp"}</definedName>
    <definedName name="contrib2" localSheetId="2"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localSheetId="2"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 localSheetId="1">'[14]Portfolio Input'!#REF!</definedName>
    <definedName name="counter" localSheetId="3">'[14]Portfolio Input'!#REF!</definedName>
    <definedName name="counter">'[14]Portfolio Input'!#REF!</definedName>
    <definedName name="counter2" localSheetId="1">'[14]Portfolio Input'!#REF!</definedName>
    <definedName name="counter2" localSheetId="3">'[14]Portfolio Input'!#REF!</definedName>
    <definedName name="counter2">'[14]Portfolio Input'!#REF!</definedName>
    <definedName name="Coupon">[15]Inputs!$J$30</definedName>
    <definedName name="CSEnd">#N/A</definedName>
    <definedName name="CSHO" localSheetId="1">#N/A</definedName>
    <definedName name="CSHO" localSheetId="3">#N/A</definedName>
    <definedName name="CSHO">#N/A</definedName>
    <definedName name="CSHPRI" localSheetId="1">#N/A</definedName>
    <definedName name="CSHPRI" localSheetId="3">#N/A</definedName>
    <definedName name="CSHPRI">#N/A</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 localSheetId="1">[16]Comps!#REF!</definedName>
    <definedName name="Date" localSheetId="3">[16]Comps!#REF!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 localSheetId="1">[5]Inputs!#REF!</definedName>
    <definedName name="debtsched" localSheetId="3">[5]Inputs!#REF!</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 localSheetId="1">#REF!</definedName>
    <definedName name="Default_Table" localSheetId="3">#REF!</definedName>
    <definedName name="Default_Table">#REF!</definedName>
    <definedName name="Default_Timing">#REF!</definedName>
    <definedName name="depsched" localSheetId="1">[5]Inputs!#REF!</definedName>
    <definedName name="depsched" localSheetId="3">[5]Inputs!#REF!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 localSheetId="3">#N/A</definedName>
    <definedName name="EBIT">#N/A</definedName>
    <definedName name="EBITDA">#N/A</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 localSheetId="1">[17]Consolidated!#REF!</definedName>
    <definedName name="ePrint" localSheetId="3">[17]Consolidated!#REF!</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0" hidden="1">{"BS",#N/A,FALSE,"USA"}</definedName>
    <definedName name="FSoPacific" localSheetId="2" hidden="1">{"BS",#N/A,FALSE,"USA"}</definedName>
    <definedName name="FSoPacific" hidden="1">{"BS",#N/A,FALSE,"USA"}</definedName>
    <definedName name="Fund">[6]Selections!$A$1</definedName>
    <definedName name="Fwd_Curve">#REF!</definedName>
    <definedName name="FYEMarker">#N/A</definedName>
    <definedName name="FYEMonth">#N/A</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 localSheetId="1">'[20]LBO Summary'!#REF!</definedName>
    <definedName name="hl" localSheetId="3">'[20]LBO Summary'!#REF!</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BONDRATING_FITCH" hidden="1">"IQ_BONDRATING_FITCH"</definedName>
    <definedName name="IQ_BONDRATING_SP" hidden="1">"IQ_BONDRATING_SP"</definedName>
    <definedName name="IQ_BOOK_VALUE" hidden="1">"IQ_BOOK_VALUE"</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IT_10K" hidden="1">"IQ_EBIT_10K"</definedName>
    <definedName name="IQ_EBIT_10Q" hidden="1">"IQ_EBIT_10Q"</definedName>
    <definedName name="IQ_EBIT_10Q1" hidden="1">"IQ_EBIT_10Q1"</definedName>
    <definedName name="IQ_EBIT_GROWTH_1" hidden="1">"IQ_EBIT_GROWTH_1"</definedName>
    <definedName name="IQ_EBIT_GROWTH_2" hidden="1">"IQ_EBIT_GROWTH_2"</definedName>
    <definedName name="IQ_EBITDA_10K" hidden="1">"IQ_EBITDA_10K"</definedName>
    <definedName name="IQ_EBITDA_10Q" hidden="1">"IQ_EBITDA_10Q"</definedName>
    <definedName name="IQ_EBITDA_10Q1" hidden="1">"IQ_EBITDA_10Q1"</definedName>
    <definedName name="IQ_EBITDA_GROWTH_1" hidden="1">"IQ_EBITDA_GROWTH_1"</definedName>
    <definedName name="IQ_EBITDA_GROWTH_2" hidden="1">"IQ_EBITDA_GROWTH_2"</definedName>
    <definedName name="IQ_EBT_BR" hidden="1">"c378"</definedName>
    <definedName name="IQ_EBT_EXCL_BR" hidden="1">"c381"</definedName>
    <definedName name="IQ_EPS" hidden="1">"IQ_EPS"</definedName>
    <definedName name="IQ_EPS_10K" hidden="1">"IQ_EPS_10K"</definedName>
    <definedName name="IQ_EPS_10Q" hidden="1">"IQ_EPS_10Q"</definedName>
    <definedName name="IQ_EPS_10Q1" hidden="1">"IQ_EPS_10Q1"</definedName>
    <definedName name="IQ_EPS_EST_1" hidden="1">"IQ_EPS_EST_1"</definedName>
    <definedName name="IQ_EST_EPS_SURPRISE" hidden="1">"c1635"</definedName>
    <definedName name="IQ_EV_OVER_REVENUE_EST" hidden="1">"IQ_EV_OVER_REVENUE_EST"</definedName>
    <definedName name="IQ_EV_OVER_REVENUE_EST_1" hidden="1">"IQ_EV_OVER_REVENUE_EST_1"</definedName>
    <definedName name="IQ_EXTRA_ACC_ITEMS_BR" hidden="1">"c412"</definedName>
    <definedName name="IQ_FH">100000</definedName>
    <definedName name="IQ_FQ">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TEREST_INC_10K" hidden="1">"IQ_INTEREST_INC_10K"</definedName>
    <definedName name="IQ_INTEREST_INC_10Q" hidden="1">"IQ_INTEREST_INC_10Q"</definedName>
    <definedName name="IQ_INTEREST_INC_10Q1" hidden="1">"IQ_INTEREST_INC_10Q1"</definedName>
    <definedName name="IQ_INVEST_LOANS_CF_BR" hidden="1">"c630"</definedName>
    <definedName name="IQ_INVEST_SECURITY_CF_BR" hidden="1">"c639"</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44229.1709606481</definedName>
    <definedName name="IQ_NET_DEBT_ISSUED_BR" hidden="1">"c753"</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EPS_EST" hidden="1">"IQ_PRICE_OVER_EPS_EST"</definedName>
    <definedName name="IQ_PRICE_OVER_EPS_EST_1" hidden="1">"IQ_PRICE_OVER_EPS_EST_1"</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ColHidden" hidden="1">FALSE</definedName>
    <definedName name="IsLTMColHidden" hidden="1">FALSE</definedName>
    <definedName name="Item">#N/A</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 localSheetId="1">'[9]S&amp;U'!#REF!</definedName>
    <definedName name="LBO" localSheetId="3">'[9]S&amp;U'!#REF!</definedName>
    <definedName name="LBO">'[9]S&amp;U'!#REF!</definedName>
    <definedName name="left">#REF!</definedName>
    <definedName name="lett" localSheetId="1">#REF!</definedName>
    <definedName name="lett" localSheetId="3">#REF!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 localSheetId="1">[10]Revolver!#REF!</definedName>
    <definedName name="LIBOR_Minus_1SD" localSheetId="3">[10]Revolver!#REF!</definedName>
    <definedName name="LIBOR_Minus_1SD">[10]Revolver!#REF!</definedName>
    <definedName name="Libor_Minus_2SD" localSheetId="1">[10]Revolver!#REF!</definedName>
    <definedName name="Libor_Minus_2SD" localSheetId="3">[10]Revolver!#REF!</definedName>
    <definedName name="Libor_Minus_2SD">[10]Revolver!#REF!</definedName>
    <definedName name="Libor_Plus_0SD" localSheetId="1">[10]Revolver!#REF!</definedName>
    <definedName name="Libor_Plus_0SD" localSheetId="3">[10]Revolver!#REF!</definedName>
    <definedName name="Libor_Plus_0SD">[10]Revolver!#REF!</definedName>
    <definedName name="Libor_Plus_1SD" localSheetId="1">[10]Revolver!#REF!</definedName>
    <definedName name="Libor_Plus_1SD" localSheetId="3">[10]Revolver!#REF!</definedName>
    <definedName name="Libor_Plus_1SD">[10]Revolver!#REF!</definedName>
    <definedName name="Libor_Plus_2SD" localSheetId="1">[10]Revolver!#REF!</definedName>
    <definedName name="Libor_Plus_2SD" localSheetId="3">[10]Revolver!#REF!</definedName>
    <definedName name="Libor_Plus_2SD">[10]Revolver!#REF!</definedName>
    <definedName name="Libor_Scenario">#REF!</definedName>
    <definedName name="Libor_Up">#REF!</definedName>
    <definedName name="longterm" localSheetId="1">[5]Inputs!#REF!</definedName>
    <definedName name="longterm" localSheetId="3">[5]Inputs!#REF!</definedName>
    <definedName name="longterm">[5]Inputs!#REF!</definedName>
    <definedName name="LTM_DATE">#REF!</definedName>
    <definedName name="Marketable_securities" localSheetId="1">'[22]Fly-by-night - problem 5'!#REF!</definedName>
    <definedName name="Marketable_securities" localSheetId="3">'[22]Fly-by-night - problem 5'!#REF!</definedName>
    <definedName name="Marketable_securities">'[22]Fly-by-night - problem 5'!#REF!</definedName>
    <definedName name="MaxMarkDate">[7]SaleData!$M$3</definedName>
    <definedName name="mcs03g.ReqArray" localSheetId="0">{"Price","ICTG","TS131","D","0","0","H"}</definedName>
    <definedName name="mcs03g.ReqArray" localSheetId="2">{"Price","ICTG","TS131","D","0","0","H"}</definedName>
    <definedName name="mcs03g.ReqArray">{"Price","ICTG","TS131","D","0","0","H"}</definedName>
    <definedName name="mcs03g.ReqArray___0">#N/A</definedName>
    <definedName name="mcs03g.ReqArray___12">#N/A</definedName>
    <definedName name="mcs03g.ReqArray___2">#N/A</definedName>
    <definedName name="MKVALM" localSheetId="1">#N/A</definedName>
    <definedName name="MKVALM" localSheetId="3">#N/A</definedName>
    <definedName name="MKVALM">#N/A</definedName>
    <definedName name="MONTHLYSALES" localSheetId="1">#REF!</definedName>
    <definedName name="MONTHLYSALES" localSheetId="3">#REF!</definedName>
    <definedName name="MONTHLYSALES">#REF!</definedName>
    <definedName name="MONTHLYSALES___0" localSheetId="1">#REF!</definedName>
    <definedName name="MONTHLYSALES___0" localSheetId="3">#REF!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 localSheetId="1">#N/A</definedName>
    <definedName name="NDY" localSheetId="3">#N/A</definedName>
    <definedName name="NDY">#N/A</definedName>
    <definedName name="NDYWGT" localSheetId="1">#N/A</definedName>
    <definedName name="NDYWGT" localSheetId="3">#N/A</definedName>
    <definedName name="NDYWGT">#N/A</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#N/A</definedName>
    <definedName name="Other_assets" localSheetId="1">'[22]Fly-by-night - problem 5'!#REF!</definedName>
    <definedName name="Other_assets" localSheetId="3">'[22]Fly-by-night - problem 5'!#REF!</definedName>
    <definedName name="Other_assets">'[22]Fly-by-night - problem 5'!#REF!</definedName>
    <definedName name="Other_current_liabilities_Sales" localSheetId="1">'[4]Tanning Assumptions'!#REF!</definedName>
    <definedName name="Other_current_liabilities_Sales" localSheetId="3">'[4]Tanning Assumptions'!#REF!</definedName>
    <definedName name="Other_current_liabilities_Sales">'[4]Tanning Assumptions'!#REF!</definedName>
    <definedName name="Other_long_term_liabilities" localSheetId="1">'[4]Tanning Assumptions'!#REF!</definedName>
    <definedName name="Other_long_term_liabilities" localSheetId="3">'[4]Tanning Assumptions'!#REF!</definedName>
    <definedName name="Other_long_term_liabilities">'[4]Tanning Assumptions'!#REF!</definedName>
    <definedName name="OtherRev">#REF!</definedName>
    <definedName name="P_L" localSheetId="1">#REF!</definedName>
    <definedName name="P_L" localSheetId="3">#REF!</definedName>
    <definedName name="P_L">#REF!</definedName>
    <definedName name="PCV">[6]Calcs!$B$1</definedName>
    <definedName name="Percentage">#N/A</definedName>
    <definedName name="Period">#N/A</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 localSheetId="1">#REF!</definedName>
    <definedName name="PERSONAL_FINANCIAL" localSheetId="3">#REF!</definedName>
    <definedName name="PERSONAL_FINANCIAL">#REF!</definedName>
    <definedName name="PERSONAL_FINANCIAL___0" localSheetId="1">#REF!</definedName>
    <definedName name="PERSONAL_FINANCIAL___0" localSheetId="3">#REF!</definedName>
    <definedName name="PERSONAL_FINANCIAL___0">#REF!</definedName>
    <definedName name="PFLTM" localSheetId="1">'[24]VeCTOR Import'!#REF!</definedName>
    <definedName name="PFLTM" localSheetId="3">'[24]VeCTOR Import'!#REF!</definedName>
    <definedName name="PFLTM">'[24]VeCTOR Import'!#REF!</definedName>
    <definedName name="pik" localSheetId="1">'[9]S&amp;U'!#REF!</definedName>
    <definedName name="pik" localSheetId="3">'[9]S&amp;U'!#REF!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 localSheetId="1">'[4]Tanning Assumptions'!#REF!</definedName>
    <definedName name="PP_E_Sales" localSheetId="3">'[4]Tanning Assumptions'!#REF!</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 localSheetId="1">'[4]Tanning Assumptions'!#REF!</definedName>
    <definedName name="Prepaids_Sales" localSheetId="3">'[4]Tanning Assumptions'!#REF!</definedName>
    <definedName name="Prepaids_Sales">'[4]Tanning Assumptions'!#REF!</definedName>
    <definedName name="PRICES">#REF!</definedName>
    <definedName name="PRICES___0">#REF!</definedName>
    <definedName name="_xlnm.Print_Area" localSheetId="1">#N/A</definedName>
    <definedName name="_xlnm.Print_Area" localSheetId="3">#N/A</definedName>
    <definedName name="_xlnm.Print_Area">#REF!</definedName>
    <definedName name="_xlnm.Print_Titles" localSheetId="1">#N/A</definedName>
    <definedName name="_xlnm.Print_Titles" localSheetId="3">#N/A</definedName>
    <definedName name="_xlnm.Print_Titles">#REF!</definedName>
    <definedName name="project">[12]CONTROL!$D$8</definedName>
    <definedName name="project___0">[8]CONTROL!$D$8</definedName>
    <definedName name="ProjList">#REF!</definedName>
    <definedName name="PublicCompany" localSheetId="1">#N/A</definedName>
    <definedName name="PublicCompany" localSheetId="3">#N/A</definedName>
    <definedName name="PublicCompany">#N/A</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 localSheetId="1">[27]MASTER!#REF!</definedName>
    <definedName name="RateTable" localSheetId="3">[27]MASTER!#REF!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 localSheetId="1">'[20]LBO Summary'!#REF!</definedName>
    <definedName name="rhl" localSheetId="3">'[20]LBO Summary'!#REF!</definedName>
    <definedName name="rhl">'[20]LBO Summary'!#REF!</definedName>
    <definedName name="RoyaltyRev">#REF!</definedName>
    <definedName name="rptData">#REF!</definedName>
    <definedName name="rr" localSheetId="1">'[20]LBO Summary'!#REF!</definedName>
    <definedName name="rr" localSheetId="3">'[20]LBO Summary'!#REF!</definedName>
    <definedName name="rr">'[20]LBO Summary'!#REF!</definedName>
    <definedName name="s" localSheetId="1">#REF!</definedName>
    <definedName name="s" localSheetId="3">#REF!</definedName>
    <definedName name="s">#REF!</definedName>
    <definedName name="s.outstand" localSheetId="1">[5]Inputs!#REF!</definedName>
    <definedName name="s.outstand" localSheetId="3">[5]Inputs!#REF!</definedName>
    <definedName name="s.outstand">[5]Inputs!#REF!</definedName>
    <definedName name="SALES" localSheetId="1">#REF!</definedName>
    <definedName name="SALES" localSheetId="3">#REF!</definedName>
    <definedName name="SALES">#REF!</definedName>
    <definedName name="SALES___0" localSheetId="1">#REF!</definedName>
    <definedName name="SALES___0" localSheetId="3">#REF!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 localSheetId="1">#REF!</definedName>
    <definedName name="Scenario_39" localSheetId="3">#REF!</definedName>
    <definedName name="Scenario_39">#REF!</definedName>
    <definedName name="Scenario_41" localSheetId="1">#REF!</definedName>
    <definedName name="Scenario_41" localSheetId="3">#REF!</definedName>
    <definedName name="Scenario_41">#REF!</definedName>
    <definedName name="Scenario_42" localSheetId="1">#REF!</definedName>
    <definedName name="Scenario_42" localSheetId="3">#REF!</definedName>
    <definedName name="Scenario_42">#REF!</definedName>
    <definedName name="Scenario_43" localSheetId="1">#REF!</definedName>
    <definedName name="Scenario_43" localSheetId="3">#REF!</definedName>
    <definedName name="Scenario_43">#REF!</definedName>
    <definedName name="Scenario_44" localSheetId="1">#REF!</definedName>
    <definedName name="Scenario_44" localSheetId="3">#REF!</definedName>
    <definedName name="Scenario_44">#REF!</definedName>
    <definedName name="Scenario_51">#REF!</definedName>
    <definedName name="Scenario_52">#REF!</definedName>
    <definedName name="Scenario_53">#REF!</definedName>
    <definedName name="Section">#N/A</definedName>
    <definedName name="SENSITIVITY">#REF!</definedName>
    <definedName name="SENSITIVITY___0">#REF!</definedName>
    <definedName name="sh.equity" localSheetId="1">[5]Inputs!#REF!</definedName>
    <definedName name="sh.equity" localSheetId="3">[5]Inputs!#REF!</definedName>
    <definedName name="sh.equity">[5]Inputs!#REF!</definedName>
    <definedName name="sl" localSheetId="1">'[20]LBO Summary'!#REF!</definedName>
    <definedName name="sl" localSheetId="3">'[20]LBO Summary'!#REF!</definedName>
    <definedName name="sl">'[20]LBO Summary'!#REF!</definedName>
    <definedName name="snapshotdate">#REF!</definedName>
    <definedName name="sort_range">#REF!</definedName>
    <definedName name="sponsor">'[9]S&amp;U'!$J$21</definedName>
    <definedName name="Start">#N/A</definedName>
    <definedName name="Start_Date">[6]Selections!$C$1</definedName>
    <definedName name="StartDay">[6]Selections!$P$3</definedName>
    <definedName name="StartMonth">[6]Selections!$P$2</definedName>
    <definedName name="StartRefresh" localSheetId="1">'[14]Portfolio Input'!#REF!</definedName>
    <definedName name="StartRefresh" localSheetId="3">'[14]Portfolio Input'!#REF!</definedName>
    <definedName name="StartRefresh">'[14]Portfolio Input'!#REF!</definedName>
    <definedName name="StartYear">[6]Selections!$P$1</definedName>
    <definedName name="Strip_Amount">#REF!</definedName>
    <definedName name="Strip_PV" localSheetId="1">#REF!</definedName>
    <definedName name="Strip_PV" localSheetId="3">#REF!</definedName>
    <definedName name="Strip_PV">#REF!</definedName>
    <definedName name="stub">#REF!</definedName>
    <definedName name="stubmonths">'[29]D&amp;A'!$C$5</definedName>
    <definedName name="sub" localSheetId="1">'[20]LBO Summary'!#REF!</definedName>
    <definedName name="sub" localSheetId="3">'[20]LBO Summary'!#REF!</definedName>
    <definedName name="sub">'[20]LBO Summary'!#REF!</definedName>
    <definedName name="subdebtamount">[15]Inputs!$J$26</definedName>
    <definedName name="subdebtdate">[15]Inputs!$J$28</definedName>
    <definedName name="Subhead1">[19]_01_05_v_Wicks_xls__01_05_v_Wic!$N$2</definedName>
    <definedName name="subHeading" localSheetId="1">#REF!</definedName>
    <definedName name="subHeading" localSheetId="3">#REF!</definedName>
    <definedName name="subHeading">#REF!</definedName>
    <definedName name="summary">#REF!</definedName>
    <definedName name="support">#REF!</definedName>
    <definedName name="sweep___9" localSheetId="1">[30]COVS_ACTUAL!#REF!</definedName>
    <definedName name="sweep___9" localSheetId="3">[30]COVS_ACTUAL!#REF!</definedName>
    <definedName name="sweep___9">[30]COVS_ACTUAL!#REF!</definedName>
    <definedName name="target">#REF!</definedName>
    <definedName name="tax" localSheetId="1">[31]ISCF!#REF!</definedName>
    <definedName name="tax" localSheetId="3">[31]ISCF!#REF!</definedName>
    <definedName name="tax">[31]ISCF!#REF!</definedName>
    <definedName name="Taxes_Receivable_Sales" localSheetId="1">'[4]Tanning Assumptions'!#REF!</definedName>
    <definedName name="Taxes_Receivable_Sales" localSheetId="3">'[4]Tanning Assumptions'!#REF!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 localSheetId="1">#REF!</definedName>
    <definedName name="Total_Europe" localSheetId="3">#REF!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 localSheetId="1">'[14]Portfolio Input'!#REF!</definedName>
    <definedName name="WBMIN" localSheetId="3">'[14]Portfolio Input'!#REF!</definedName>
    <definedName name="WBMIN">'[14]Portfolio Input'!#REF!</definedName>
    <definedName name="WHAT_IF">#REF!</definedName>
    <definedName name="WHAT_IF___0">#REF!</definedName>
    <definedName name="whec">[28]WHEC!$AX$2</definedName>
    <definedName name="wicksequity">[15]Inputs!$E$35</definedName>
    <definedName name="WORKING_CAPITAL" localSheetId="1">#REF!</definedName>
    <definedName name="WORKING_CAPITAL" localSheetId="3">#REF!</definedName>
    <definedName name="WORKING_CAPITAL">#REF!</definedName>
    <definedName name="WORKING_CAPITAL___0" localSheetId="1">#REF!</definedName>
    <definedName name="WORKING_CAPITAL___0" localSheetId="3">#REF!</definedName>
    <definedName name="WORKING_CAPITAL___0">#REF!</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0" hidden="1">{#N/A,#N/A,FALSE,"RENT ROLL";#N/A,#N/A,FALSE,"CAM";#N/A,#N/A,FALSE,"TAXES";#N/A,#N/A,FALSE,"INSURANCE";#N/A,#N/A,FALSE,"HVAC";#N/A,#N/A,FALSE,"MARKETING"}</definedName>
    <definedName name="wrn.crossroads." localSheetId="2"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0" hidden="1">{#N/A,#N/A,FALSE,"RENT ROLL";#N/A,#N/A,FALSE,"CAM";#N/A,#N/A,FALSE,"TAXES";#N/A,#N/A,FALSE,"INSURANCE";#N/A,#N/A,FALSE,"HVAC";#N/A,#N/A,FALSE,"MARKETING"}</definedName>
    <definedName name="wrn.crossroads2" localSheetId="2"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localSheetId="2"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0" hidden="1">{#N/A,#N/A,FALSE,"Integration Systems"}</definedName>
    <definedName name="wrn.Sales._.Activity." localSheetId="2" hidden="1">{#N/A,#N/A,FALSE,"Integration Systems"}</definedName>
    <definedName name="wrn.Sales._.Activity." hidden="1">{#N/A,#N/A,FALSE,"Integration Systems"}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0" hidden="1">{#N/A,#N/A,FALSE,"UHCO Statutory Info ----&gt;";#N/A,#N/A,FALSE,"UHCO Source_Use";#N/A,#N/A,FALSE,"UHCO_Debt Paydown";#N/A,#N/A,FALSE,"Union Bankers";#N/A,#N/A,FALSE,"Penn Life";#N/A,#N/A,FALSE,"Constitution"}</definedName>
    <definedName name="wrn.UHCO._.Statutory._.Results." localSheetId="2"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0" hidden="1">{#N/A,#N/A,FALSE,"Combo"}</definedName>
    <definedName name="wrn.Weekly._.Inventory._.Report." localSheetId="2" hidden="1">{#N/A,#N/A,FALSE,"Combo"}</definedName>
    <definedName name="wrn.Weekly._.Inventory._.Report." hidden="1">{#N/A,#N/A,FALSE,"Combo"}</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 localSheetId="1">#REF!</definedName>
    <definedName name="zip" localSheetId="3">#REF!</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9" l="1"/>
  <c r="C54" i="19"/>
  <c r="D54" i="19" s="1"/>
  <c r="C57" i="19"/>
  <c r="D57" i="19" s="1"/>
  <c r="C52" i="19"/>
  <c r="D52" i="19" s="1"/>
  <c r="C53" i="19"/>
  <c r="D53" i="19" s="1"/>
  <c r="C56" i="19"/>
  <c r="D56" i="19" s="1"/>
  <c r="D8" i="19"/>
  <c r="D38" i="19"/>
  <c r="K11" i="19"/>
  <c r="L91" i="18"/>
  <c r="AE72" i="18"/>
  <c r="Y72" i="18"/>
  <c r="J11" i="19"/>
  <c r="L8" i="19"/>
  <c r="J9" i="19"/>
  <c r="K9" i="19"/>
  <c r="C31" i="19"/>
  <c r="C27" i="19"/>
  <c r="C18" i="19"/>
  <c r="C11" i="19"/>
  <c r="AE10" i="20"/>
  <c r="AE16" i="20"/>
  <c r="AE18" i="20"/>
  <c r="AD17" i="20"/>
  <c r="AD15" i="20"/>
  <c r="AD14" i="20"/>
  <c r="AD13" i="20"/>
  <c r="AD12" i="20"/>
  <c r="AD11" i="20"/>
  <c r="AD9" i="20"/>
  <c r="AD8" i="20"/>
  <c r="X17" i="20"/>
  <c r="X15" i="20"/>
  <c r="X14" i="20"/>
  <c r="X13" i="20"/>
  <c r="X12" i="20"/>
  <c r="X11" i="20"/>
  <c r="X9" i="20"/>
  <c r="X8" i="20"/>
  <c r="K487" i="18"/>
  <c r="K486" i="18"/>
  <c r="K484" i="18"/>
  <c r="K488" i="18" s="1"/>
  <c r="K468" i="18"/>
  <c r="K472" i="18"/>
  <c r="K471" i="18"/>
  <c r="K470" i="18"/>
  <c r="K469" i="18"/>
  <c r="K463" i="18"/>
  <c r="K462" i="18"/>
  <c r="K461" i="18"/>
  <c r="K460" i="18"/>
  <c r="K459" i="18"/>
  <c r="K444" i="18"/>
  <c r="K443" i="18"/>
  <c r="K438" i="18"/>
  <c r="K437" i="18"/>
  <c r="K435" i="18"/>
  <c r="K434" i="18"/>
  <c r="K432" i="18"/>
  <c r="K431" i="18"/>
  <c r="K408" i="18"/>
  <c r="K407" i="18"/>
  <c r="K406" i="18"/>
  <c r="K405" i="18"/>
  <c r="K404" i="18"/>
  <c r="K396" i="18"/>
  <c r="K395" i="18"/>
  <c r="K394" i="18"/>
  <c r="K393" i="18"/>
  <c r="K392" i="18"/>
  <c r="K391" i="18"/>
  <c r="K390" i="18"/>
  <c r="K389" i="18"/>
  <c r="K386" i="18"/>
  <c r="K385" i="18"/>
  <c r="K382" i="18"/>
  <c r="K381" i="18"/>
  <c r="K380" i="18"/>
  <c r="K379" i="18"/>
  <c r="K378" i="18"/>
  <c r="K377" i="18"/>
  <c r="K376" i="18"/>
  <c r="K375" i="18"/>
  <c r="K374" i="18"/>
  <c r="K259" i="18"/>
  <c r="K258" i="18"/>
  <c r="K168" i="18"/>
  <c r="K167" i="18"/>
  <c r="K143" i="18"/>
  <c r="K338" i="18"/>
  <c r="K138" i="18"/>
  <c r="K124" i="18"/>
  <c r="K123" i="18"/>
  <c r="K122" i="18"/>
  <c r="K121" i="18"/>
  <c r="M92" i="18"/>
  <c r="M215" i="18"/>
  <c r="M88" i="18"/>
  <c r="N88" i="18"/>
  <c r="O88" i="18"/>
  <c r="Q92" i="18"/>
  <c r="Q88" i="18"/>
  <c r="Q212" i="18"/>
  <c r="C92" i="18"/>
  <c r="D92" i="18"/>
  <c r="F92" i="18"/>
  <c r="E92" i="18"/>
  <c r="E215" i="18"/>
  <c r="G92" i="18"/>
  <c r="G215" i="18"/>
  <c r="H92" i="18"/>
  <c r="H284" i="18"/>
  <c r="K3" i="18"/>
  <c r="J488" i="18"/>
  <c r="I488" i="18"/>
  <c r="H488" i="18"/>
  <c r="G488" i="18"/>
  <c r="F488" i="18"/>
  <c r="AE488" i="18"/>
  <c r="AD488" i="18"/>
  <c r="AC488" i="18"/>
  <c r="AB488" i="18"/>
  <c r="AA488" i="18"/>
  <c r="X488" i="18"/>
  <c r="W488" i="18"/>
  <c r="V488" i="18"/>
  <c r="U488" i="18"/>
  <c r="T488" i="18"/>
  <c r="Y488" i="18"/>
  <c r="J476" i="18"/>
  <c r="I476" i="18"/>
  <c r="AE476" i="18"/>
  <c r="AD476" i="18"/>
  <c r="AC476" i="18"/>
  <c r="AB476" i="18"/>
  <c r="AA476" i="18"/>
  <c r="Y476" i="18"/>
  <c r="W476" i="18"/>
  <c r="V476" i="18"/>
  <c r="U476" i="18"/>
  <c r="T476" i="18"/>
  <c r="X476" i="18"/>
  <c r="AE456" i="18"/>
  <c r="Y456" i="18"/>
  <c r="AE444" i="18"/>
  <c r="AE443" i="18"/>
  <c r="AE438" i="18"/>
  <c r="AE437" i="18"/>
  <c r="AE435" i="18"/>
  <c r="AE434" i="18"/>
  <c r="AE432" i="18"/>
  <c r="J409" i="18"/>
  <c r="I409" i="18"/>
  <c r="H409" i="18"/>
  <c r="G409" i="18"/>
  <c r="F409" i="18"/>
  <c r="AD409" i="18"/>
  <c r="AC409" i="18"/>
  <c r="AB409" i="18"/>
  <c r="AA409" i="18"/>
  <c r="Y409" i="18"/>
  <c r="X409" i="18"/>
  <c r="W409" i="18"/>
  <c r="V409" i="18"/>
  <c r="U409" i="18"/>
  <c r="T409" i="18"/>
  <c r="AE408" i="18"/>
  <c r="AE407" i="18"/>
  <c r="AE406" i="18"/>
  <c r="AE405" i="18"/>
  <c r="AE404" i="18"/>
  <c r="AE400" i="18"/>
  <c r="Y400" i="18"/>
  <c r="AE386" i="18"/>
  <c r="AE385" i="18"/>
  <c r="AE382" i="18"/>
  <c r="AE381" i="18"/>
  <c r="AE377" i="18"/>
  <c r="AE376" i="18"/>
  <c r="AE375" i="18"/>
  <c r="AE374" i="18"/>
  <c r="AE372" i="18"/>
  <c r="Y372" i="18"/>
  <c r="AE348" i="18"/>
  <c r="AD348" i="18"/>
  <c r="AC348" i="18"/>
  <c r="AB348" i="18"/>
  <c r="AA348" i="18"/>
  <c r="AH348" i="18"/>
  <c r="AG348" i="18"/>
  <c r="Y348" i="18"/>
  <c r="AE334" i="18"/>
  <c r="AD334" i="18"/>
  <c r="Y338" i="18"/>
  <c r="Y357" i="18"/>
  <c r="Y334" i="18"/>
  <c r="Y353" i="18"/>
  <c r="AE329" i="18"/>
  <c r="AD329" i="18"/>
  <c r="AC329" i="18"/>
  <c r="AB329" i="18"/>
  <c r="AA329" i="18"/>
  <c r="AH329" i="18"/>
  <c r="AG329" i="18"/>
  <c r="Y329" i="18"/>
  <c r="AA223" i="18"/>
  <c r="AA218" i="18"/>
  <c r="AA217" i="18"/>
  <c r="AA214" i="18"/>
  <c r="AA213" i="18"/>
  <c r="AA210" i="18"/>
  <c r="AA209" i="18"/>
  <c r="AC203" i="18"/>
  <c r="AE264" i="18"/>
  <c r="AD264" i="18"/>
  <c r="AC264" i="18"/>
  <c r="AB264" i="18"/>
  <c r="AA264" i="18"/>
  <c r="AE263" i="18"/>
  <c r="AD263" i="18"/>
  <c r="AC263" i="18"/>
  <c r="AB263" i="18"/>
  <c r="AA263" i="18"/>
  <c r="AE262" i="18"/>
  <c r="AD262" i="18"/>
  <c r="AC262" i="18"/>
  <c r="AB262" i="18"/>
  <c r="AA262" i="18"/>
  <c r="AH264" i="18"/>
  <c r="AG264" i="18"/>
  <c r="AH263" i="18"/>
  <c r="AG263" i="18"/>
  <c r="AH262" i="18"/>
  <c r="AG262" i="18"/>
  <c r="AE259" i="18"/>
  <c r="AE258" i="18"/>
  <c r="AE223" i="18"/>
  <c r="AE218" i="18"/>
  <c r="AE217" i="18"/>
  <c r="AE214" i="18"/>
  <c r="AE213" i="18"/>
  <c r="AE210" i="18"/>
  <c r="AE209" i="18"/>
  <c r="AE203" i="18"/>
  <c r="AE196" i="18"/>
  <c r="AD196" i="18"/>
  <c r="AC196" i="18"/>
  <c r="AE195" i="18"/>
  <c r="AD195" i="18"/>
  <c r="AC195" i="18"/>
  <c r="AE194" i="18"/>
  <c r="AD194" i="18"/>
  <c r="AC194" i="18"/>
  <c r="AB196" i="18"/>
  <c r="AA196" i="18"/>
  <c r="AB195" i="18"/>
  <c r="AA195" i="18"/>
  <c r="AB194" i="18"/>
  <c r="AA194" i="18"/>
  <c r="AH196" i="18"/>
  <c r="AG196" i="18"/>
  <c r="AH195" i="18"/>
  <c r="AG195" i="18"/>
  <c r="AH194" i="18"/>
  <c r="AG194" i="18"/>
  <c r="AE173" i="18"/>
  <c r="AD173" i="18"/>
  <c r="AC173" i="18"/>
  <c r="AB173" i="18"/>
  <c r="AA173" i="18"/>
  <c r="AH173" i="18"/>
  <c r="AG173" i="18"/>
  <c r="AE168" i="18"/>
  <c r="AE167" i="18"/>
  <c r="AE159" i="18"/>
  <c r="AD159" i="18"/>
  <c r="AD151" i="18"/>
  <c r="AE151" i="18"/>
  <c r="AE143" i="18"/>
  <c r="AE226" i="18"/>
  <c r="AE138" i="18"/>
  <c r="AE124" i="18"/>
  <c r="AE130" i="18"/>
  <c r="AE123" i="18"/>
  <c r="AE122" i="18"/>
  <c r="AE121" i="18"/>
  <c r="Y292" i="18"/>
  <c r="Y287" i="18"/>
  <c r="Y286" i="18"/>
  <c r="Y283" i="18"/>
  <c r="Y282" i="18"/>
  <c r="Y279" i="18"/>
  <c r="Y278" i="18"/>
  <c r="Y272" i="18"/>
  <c r="Y264" i="18"/>
  <c r="Y263" i="18"/>
  <c r="Y262" i="18"/>
  <c r="Y226" i="18"/>
  <c r="Y295" i="18"/>
  <c r="Y223" i="18"/>
  <c r="Y218" i="18"/>
  <c r="Y217" i="18"/>
  <c r="Y214" i="18"/>
  <c r="Y213" i="18"/>
  <c r="Y210" i="18"/>
  <c r="Y209" i="18"/>
  <c r="Y203" i="18"/>
  <c r="Y196" i="18"/>
  <c r="Y195" i="18"/>
  <c r="Y194" i="18"/>
  <c r="Y173" i="18"/>
  <c r="Y165" i="18"/>
  <c r="K165" i="18"/>
  <c r="Y159" i="18"/>
  <c r="Y140" i="18"/>
  <c r="K140" i="18"/>
  <c r="Y145" i="18"/>
  <c r="K145" i="18"/>
  <c r="Y137" i="18"/>
  <c r="Y136" i="18"/>
  <c r="K136" i="18"/>
  <c r="Y133" i="18"/>
  <c r="Y134" i="18"/>
  <c r="Y130" i="18"/>
  <c r="Y128" i="18"/>
  <c r="Y125" i="18"/>
  <c r="I92" i="18"/>
  <c r="J92" i="18"/>
  <c r="AG92" i="18"/>
  <c r="AA92" i="18"/>
  <c r="AB92" i="18"/>
  <c r="AA88" i="18"/>
  <c r="AB88" i="18"/>
  <c r="AE88" i="18"/>
  <c r="AE212" i="18"/>
  <c r="AH92" i="18"/>
  <c r="U92" i="18"/>
  <c r="V92" i="18"/>
  <c r="V284" i="18"/>
  <c r="U88" i="18"/>
  <c r="Y88" i="18"/>
  <c r="Y281" i="18"/>
  <c r="Y120" i="18"/>
  <c r="K120" i="18"/>
  <c r="AE118" i="18"/>
  <c r="AD118" i="18"/>
  <c r="AC118" i="18"/>
  <c r="AB118" i="18"/>
  <c r="AA118" i="18"/>
  <c r="AH118" i="18"/>
  <c r="AG118" i="18"/>
  <c r="AH106" i="18"/>
  <c r="AG106" i="18"/>
  <c r="AD112" i="18"/>
  <c r="AE112" i="18"/>
  <c r="Y118" i="18"/>
  <c r="X112" i="18"/>
  <c r="W112" i="18"/>
  <c r="V112" i="18"/>
  <c r="U112" i="18"/>
  <c r="T112" i="18"/>
  <c r="Y112" i="18"/>
  <c r="AE106" i="18"/>
  <c r="AD106" i="18"/>
  <c r="AC106" i="18"/>
  <c r="AB106" i="18"/>
  <c r="AA106" i="18"/>
  <c r="Y106" i="18"/>
  <c r="AE97" i="18"/>
  <c r="AE221" i="18"/>
  <c r="Y97" i="18"/>
  <c r="Y221" i="18"/>
  <c r="AE96" i="18"/>
  <c r="Y96" i="18"/>
  <c r="AE95" i="18"/>
  <c r="AE219" i="18"/>
  <c r="Y95" i="18"/>
  <c r="Y288" i="18"/>
  <c r="AE92" i="18"/>
  <c r="AE215" i="18"/>
  <c r="Y92" i="18"/>
  <c r="Y215" i="18"/>
  <c r="AE84" i="18"/>
  <c r="Y84" i="18"/>
  <c r="Y208" i="18"/>
  <c r="AE83" i="18"/>
  <c r="AE87" i="18" s="1"/>
  <c r="AE91" i="18" s="1"/>
  <c r="Y83" i="18"/>
  <c r="AE82" i="18"/>
  <c r="Y82" i="18"/>
  <c r="AE80" i="18"/>
  <c r="Y80" i="18"/>
  <c r="Y74" i="18"/>
  <c r="Y204" i="18"/>
  <c r="AE67" i="18"/>
  <c r="Y67" i="18"/>
  <c r="Y65" i="18"/>
  <c r="AE65" i="18"/>
  <c r="AE27" i="18"/>
  <c r="Y27" i="18"/>
  <c r="AE15" i="18"/>
  <c r="AE197" i="18"/>
  <c r="AE205" i="18"/>
  <c r="Y15" i="18"/>
  <c r="Y58" i="18"/>
  <c r="C72" i="19"/>
  <c r="H118" i="19"/>
  <c r="G118" i="19"/>
  <c r="F118" i="19"/>
  <c r="C118" i="19"/>
  <c r="E117" i="19"/>
  <c r="D117" i="19"/>
  <c r="E116" i="19"/>
  <c r="D116" i="19"/>
  <c r="E115" i="19"/>
  <c r="D115" i="19"/>
  <c r="E114" i="19"/>
  <c r="D114" i="19"/>
  <c r="D118" i="19"/>
  <c r="C92" i="19"/>
  <c r="C88" i="19"/>
  <c r="C79" i="19"/>
  <c r="C94" i="19" s="1"/>
  <c r="K17" i="20"/>
  <c r="K15" i="20"/>
  <c r="K14" i="20"/>
  <c r="K13" i="20"/>
  <c r="K12" i="20"/>
  <c r="K11" i="20"/>
  <c r="K9" i="20"/>
  <c r="K8" i="20"/>
  <c r="K3" i="20"/>
  <c r="K7" i="20"/>
  <c r="K10" i="20"/>
  <c r="I10" i="20"/>
  <c r="I16" i="20"/>
  <c r="I18" i="20"/>
  <c r="J10" i="20"/>
  <c r="X10" i="20" s="1"/>
  <c r="X16" i="20" s="1"/>
  <c r="X18" i="20" s="1"/>
  <c r="J16" i="20"/>
  <c r="J18" i="20"/>
  <c r="AD455" i="18"/>
  <c r="AD378" i="18"/>
  <c r="K334" i="18"/>
  <c r="J259" i="18"/>
  <c r="J278" i="18"/>
  <c r="J258" i="18"/>
  <c r="D82" i="19"/>
  <c r="I165" i="18"/>
  <c r="J165" i="18"/>
  <c r="X165" i="18"/>
  <c r="I145" i="18"/>
  <c r="J145" i="18"/>
  <c r="X145" i="18"/>
  <c r="I140" i="18"/>
  <c r="I137" i="18"/>
  <c r="I136" i="18"/>
  <c r="I133" i="18"/>
  <c r="I134" i="18"/>
  <c r="I139" i="18"/>
  <c r="J140" i="18"/>
  <c r="X140" i="18"/>
  <c r="J137" i="18"/>
  <c r="X137" i="18"/>
  <c r="J136" i="18"/>
  <c r="X136" i="18"/>
  <c r="J133" i="18"/>
  <c r="J134" i="18"/>
  <c r="X168" i="18"/>
  <c r="X167" i="18"/>
  <c r="X151" i="18"/>
  <c r="K151" i="18"/>
  <c r="X143" i="18"/>
  <c r="X138" i="18"/>
  <c r="J128" i="18"/>
  <c r="X124" i="18"/>
  <c r="X123" i="18"/>
  <c r="X122" i="18"/>
  <c r="X121" i="18"/>
  <c r="J120" i="18"/>
  <c r="X120" i="18"/>
  <c r="I120" i="18"/>
  <c r="J96" i="18"/>
  <c r="J220" i="18"/>
  <c r="J93" i="18"/>
  <c r="J217" i="18"/>
  <c r="J94" i="18"/>
  <c r="J218" i="18"/>
  <c r="J95" i="18"/>
  <c r="J219" i="18"/>
  <c r="J97" i="18"/>
  <c r="J88" i="18"/>
  <c r="J89" i="18"/>
  <c r="J84" i="18"/>
  <c r="J208" i="18"/>
  <c r="I96" i="18"/>
  <c r="I220" i="18"/>
  <c r="I95" i="18"/>
  <c r="I93" i="18"/>
  <c r="I94" i="18"/>
  <c r="I97" i="18"/>
  <c r="I221" i="18"/>
  <c r="I88" i="18"/>
  <c r="I115" i="18"/>
  <c r="I336" i="18"/>
  <c r="I84" i="18"/>
  <c r="J74" i="18"/>
  <c r="J204" i="18"/>
  <c r="AD35" i="18"/>
  <c r="AD33" i="18"/>
  <c r="AD31" i="18"/>
  <c r="AD30" i="18"/>
  <c r="AD29" i="18"/>
  <c r="AD28" i="18"/>
  <c r="AD25" i="18"/>
  <c r="AD24" i="18"/>
  <c r="AD23" i="18"/>
  <c r="AD22" i="18"/>
  <c r="AD21" i="18"/>
  <c r="AD18" i="18"/>
  <c r="AD67" i="18"/>
  <c r="AD17" i="18"/>
  <c r="AD13" i="18"/>
  <c r="AD8" i="18"/>
  <c r="K11" i="18"/>
  <c r="K10" i="18"/>
  <c r="K9" i="18"/>
  <c r="X38" i="18"/>
  <c r="K38" i="18"/>
  <c r="X35" i="18"/>
  <c r="X33" i="18"/>
  <c r="K33" i="18"/>
  <c r="X31" i="18"/>
  <c r="K31" i="18"/>
  <c r="X30" i="18"/>
  <c r="X29" i="18"/>
  <c r="X53" i="18" s="1"/>
  <c r="Y53" i="18"/>
  <c r="X28" i="18"/>
  <c r="X25" i="18"/>
  <c r="K25" i="18"/>
  <c r="X24" i="18"/>
  <c r="X23" i="18"/>
  <c r="K23" i="18"/>
  <c r="X22" i="18"/>
  <c r="X21" i="18"/>
  <c r="K21" i="18"/>
  <c r="X18" i="18"/>
  <c r="K18" i="18"/>
  <c r="X17" i="18"/>
  <c r="K17" i="18"/>
  <c r="X13" i="18"/>
  <c r="K13" i="18"/>
  <c r="X12" i="18"/>
  <c r="K12" i="18"/>
  <c r="X8" i="18"/>
  <c r="K8" i="18"/>
  <c r="J14" i="18"/>
  <c r="J15" i="18"/>
  <c r="I14" i="18"/>
  <c r="AD400" i="18"/>
  <c r="AD372" i="18"/>
  <c r="AD82" i="18"/>
  <c r="AD65" i="18"/>
  <c r="X400" i="18"/>
  <c r="X372" i="18"/>
  <c r="X348" i="18"/>
  <c r="X334" i="18"/>
  <c r="X353" i="18"/>
  <c r="X329" i="18"/>
  <c r="X264" i="18"/>
  <c r="X263" i="18"/>
  <c r="X262" i="18"/>
  <c r="X196" i="18"/>
  <c r="X195" i="18"/>
  <c r="X194" i="18"/>
  <c r="X173" i="18"/>
  <c r="X159" i="18"/>
  <c r="X118" i="18"/>
  <c r="X106" i="18"/>
  <c r="X82" i="18"/>
  <c r="X65" i="18"/>
  <c r="X36" i="18"/>
  <c r="J456" i="18"/>
  <c r="J400" i="18"/>
  <c r="J372" i="18"/>
  <c r="J348" i="18"/>
  <c r="J338" i="18"/>
  <c r="J334" i="18"/>
  <c r="J329" i="18"/>
  <c r="J262" i="18"/>
  <c r="J226" i="18"/>
  <c r="J295" i="18"/>
  <c r="J223" i="18"/>
  <c r="J214" i="18"/>
  <c r="J210" i="18"/>
  <c r="J209" i="18"/>
  <c r="J194" i="18"/>
  <c r="J173" i="18"/>
  <c r="J159" i="18"/>
  <c r="J130" i="18"/>
  <c r="J125" i="18"/>
  <c r="J118" i="18"/>
  <c r="J113" i="18"/>
  <c r="J335" i="18"/>
  <c r="J112" i="18"/>
  <c r="J106" i="18"/>
  <c r="J82" i="18"/>
  <c r="J67" i="18"/>
  <c r="J63" i="18"/>
  <c r="J65" i="18"/>
  <c r="J53" i="18"/>
  <c r="J27" i="18"/>
  <c r="I456" i="18"/>
  <c r="I400" i="18"/>
  <c r="I378" i="18"/>
  <c r="I372" i="18"/>
  <c r="I348" i="18"/>
  <c r="I338" i="18"/>
  <c r="I357" i="18"/>
  <c r="I334" i="18"/>
  <c r="I353" i="18"/>
  <c r="I329" i="18"/>
  <c r="I292" i="18"/>
  <c r="I283" i="18"/>
  <c r="I282" i="18"/>
  <c r="I279" i="18"/>
  <c r="I278" i="18"/>
  <c r="I262" i="18"/>
  <c r="I226" i="18"/>
  <c r="I295" i="18"/>
  <c r="I223" i="18"/>
  <c r="I214" i="18"/>
  <c r="I213" i="18"/>
  <c r="I210" i="18"/>
  <c r="I209" i="18"/>
  <c r="I194" i="18"/>
  <c r="I173" i="18"/>
  <c r="I159" i="18"/>
  <c r="I130" i="18"/>
  <c r="I128" i="18"/>
  <c r="I125" i="18"/>
  <c r="I118" i="18"/>
  <c r="I113" i="18"/>
  <c r="I335" i="18"/>
  <c r="I354" i="18"/>
  <c r="I112" i="18"/>
  <c r="I106" i="18"/>
  <c r="I82" i="18"/>
  <c r="I67" i="18"/>
  <c r="I65" i="18"/>
  <c r="I53" i="18"/>
  <c r="I27" i="18"/>
  <c r="D130" i="19"/>
  <c r="D159" i="19"/>
  <c r="K134" i="19"/>
  <c r="C152" i="19"/>
  <c r="C134" i="19"/>
  <c r="D181" i="19"/>
  <c r="C141" i="19"/>
  <c r="C154" i="19" s="1"/>
  <c r="AC454" i="18"/>
  <c r="AC453" i="18"/>
  <c r="AD453" i="18"/>
  <c r="W455" i="18"/>
  <c r="X455" i="18"/>
  <c r="W454" i="18"/>
  <c r="X454" i="18"/>
  <c r="W453" i="18"/>
  <c r="AC378" i="18"/>
  <c r="W378" i="18"/>
  <c r="W165" i="18"/>
  <c r="W145" i="18"/>
  <c r="W140" i="18"/>
  <c r="W137" i="18"/>
  <c r="W136" i="18"/>
  <c r="W133" i="18"/>
  <c r="W134" i="18"/>
  <c r="W120" i="18"/>
  <c r="K159" i="18"/>
  <c r="K112" i="18"/>
  <c r="AG99" i="18"/>
  <c r="AG97" i="18"/>
  <c r="AG96" i="18"/>
  <c r="AG95" i="18"/>
  <c r="AG89" i="18"/>
  <c r="AG88" i="18"/>
  <c r="AG84" i="18"/>
  <c r="AH99" i="18"/>
  <c r="AH97" i="18"/>
  <c r="AH96" i="18"/>
  <c r="AH95" i="18"/>
  <c r="AH88" i="18"/>
  <c r="AH84" i="18"/>
  <c r="AH14" i="18"/>
  <c r="AH15" i="18"/>
  <c r="AG14" i="18"/>
  <c r="AG15" i="18"/>
  <c r="W14" i="18"/>
  <c r="W15" i="18"/>
  <c r="W46" i="18"/>
  <c r="AC400" i="18"/>
  <c r="AC372" i="18"/>
  <c r="AC82" i="18"/>
  <c r="AC72" i="18"/>
  <c r="AC67" i="18"/>
  <c r="AC65" i="18"/>
  <c r="AC27" i="18"/>
  <c r="AC15" i="18"/>
  <c r="AH456" i="18"/>
  <c r="AG456" i="18"/>
  <c r="AH400" i="18"/>
  <c r="AG400" i="18"/>
  <c r="AH372" i="18"/>
  <c r="AG372" i="18"/>
  <c r="AH82" i="18"/>
  <c r="AG82" i="18"/>
  <c r="AG72" i="18"/>
  <c r="AH67" i="18"/>
  <c r="AG67" i="18"/>
  <c r="AH65" i="18"/>
  <c r="AG65" i="18"/>
  <c r="AH27" i="18"/>
  <c r="AG27" i="18"/>
  <c r="AH72" i="18"/>
  <c r="W400" i="18"/>
  <c r="W372" i="18"/>
  <c r="W348" i="18"/>
  <c r="W338" i="18"/>
  <c r="W357" i="18"/>
  <c r="W334" i="18"/>
  <c r="W353" i="18"/>
  <c r="W329" i="18"/>
  <c r="W264" i="18"/>
  <c r="W263" i="18"/>
  <c r="W262" i="18"/>
  <c r="W226" i="18"/>
  <c r="W295" i="18"/>
  <c r="W196" i="18"/>
  <c r="W195" i="18"/>
  <c r="W194" i="18"/>
  <c r="W173" i="18"/>
  <c r="W159" i="18"/>
  <c r="W130" i="18"/>
  <c r="W128" i="18"/>
  <c r="W125" i="18"/>
  <c r="W118" i="18"/>
  <c r="W106" i="18"/>
  <c r="W82" i="18"/>
  <c r="W67" i="18"/>
  <c r="W65" i="18"/>
  <c r="W27" i="18"/>
  <c r="E210" i="19"/>
  <c r="C230" i="19"/>
  <c r="D244" i="19"/>
  <c r="D213" i="19"/>
  <c r="D202" i="19"/>
  <c r="E202" i="19"/>
  <c r="D196" i="19"/>
  <c r="E196" i="19"/>
  <c r="AB99" i="18"/>
  <c r="AB94" i="18"/>
  <c r="AB93" i="18"/>
  <c r="AC93" i="18"/>
  <c r="AB90" i="18"/>
  <c r="AC90" i="18"/>
  <c r="AB89" i="18"/>
  <c r="AB213" i="18"/>
  <c r="AB86" i="18"/>
  <c r="AB85" i="18"/>
  <c r="AC85" i="18"/>
  <c r="AB67" i="18"/>
  <c r="AB456" i="18"/>
  <c r="AB400" i="18"/>
  <c r="AB372" i="18"/>
  <c r="AB82" i="18"/>
  <c r="AB72" i="18"/>
  <c r="AB65" i="18"/>
  <c r="AB27" i="18"/>
  <c r="AB15" i="18"/>
  <c r="V378" i="18"/>
  <c r="V165" i="18"/>
  <c r="V145" i="18"/>
  <c r="V140" i="18"/>
  <c r="V137" i="18"/>
  <c r="V136" i="18"/>
  <c r="V133" i="18"/>
  <c r="V134" i="18"/>
  <c r="V120" i="18"/>
  <c r="V99" i="18"/>
  <c r="V223" i="18"/>
  <c r="V94" i="18"/>
  <c r="V218" i="18"/>
  <c r="V93" i="18"/>
  <c r="V90" i="18"/>
  <c r="V283" i="18"/>
  <c r="V89" i="18"/>
  <c r="V213" i="18"/>
  <c r="V86" i="18"/>
  <c r="V279" i="18"/>
  <c r="V85" i="18"/>
  <c r="V67" i="18"/>
  <c r="V456" i="18"/>
  <c r="V400" i="18"/>
  <c r="V372" i="18"/>
  <c r="V348" i="18"/>
  <c r="V338" i="18"/>
  <c r="V357" i="18"/>
  <c r="V334" i="18"/>
  <c r="V353" i="18"/>
  <c r="V329" i="18"/>
  <c r="V264" i="18"/>
  <c r="V263" i="18"/>
  <c r="V262" i="18"/>
  <c r="V226" i="18"/>
  <c r="V295" i="18"/>
  <c r="V196" i="18"/>
  <c r="V195" i="18"/>
  <c r="V194" i="18"/>
  <c r="V173" i="18"/>
  <c r="V159" i="18"/>
  <c r="V130" i="18"/>
  <c r="V128" i="18"/>
  <c r="V125" i="18"/>
  <c r="V118" i="18"/>
  <c r="V106" i="18"/>
  <c r="V82" i="18"/>
  <c r="V65" i="18"/>
  <c r="V27" i="18"/>
  <c r="V72" i="18"/>
  <c r="V15" i="18"/>
  <c r="V59" i="18"/>
  <c r="D303" i="19"/>
  <c r="C299" i="19"/>
  <c r="U96" i="18"/>
  <c r="U95" i="18"/>
  <c r="AA84" i="18"/>
  <c r="P487" i="18"/>
  <c r="P486" i="18"/>
  <c r="P485" i="18"/>
  <c r="P484" i="18"/>
  <c r="P488" i="18"/>
  <c r="P479" i="18"/>
  <c r="P480" i="18"/>
  <c r="P481" i="18"/>
  <c r="P476" i="18"/>
  <c r="P475" i="18"/>
  <c r="P474" i="18"/>
  <c r="P473" i="18"/>
  <c r="P472" i="18"/>
  <c r="P471" i="18"/>
  <c r="P470" i="18"/>
  <c r="P469" i="18"/>
  <c r="P468" i="18"/>
  <c r="P467" i="18"/>
  <c r="P466" i="18"/>
  <c r="P465" i="18"/>
  <c r="P464" i="18"/>
  <c r="P463" i="18"/>
  <c r="P462" i="18"/>
  <c r="P461" i="18"/>
  <c r="P460" i="18"/>
  <c r="P459" i="18"/>
  <c r="P455" i="18"/>
  <c r="P454" i="18"/>
  <c r="P453" i="18"/>
  <c r="P427" i="18"/>
  <c r="P425" i="18"/>
  <c r="P424" i="18"/>
  <c r="P422" i="18"/>
  <c r="P421" i="18"/>
  <c r="P419" i="18"/>
  <c r="P418" i="18"/>
  <c r="P420" i="18" s="1"/>
  <c r="P400" i="18"/>
  <c r="P372" i="18"/>
  <c r="P348" i="18"/>
  <c r="P334" i="18"/>
  <c r="P329" i="18"/>
  <c r="P264" i="18"/>
  <c r="P263" i="18"/>
  <c r="P262" i="18"/>
  <c r="P196" i="18"/>
  <c r="P195" i="18"/>
  <c r="P194" i="18"/>
  <c r="P258" i="18"/>
  <c r="P168" i="18"/>
  <c r="P167" i="18"/>
  <c r="P143" i="18"/>
  <c r="P338" i="18"/>
  <c r="P138" i="18"/>
  <c r="P124" i="18"/>
  <c r="P123" i="18"/>
  <c r="P122" i="18"/>
  <c r="P121" i="18"/>
  <c r="P173" i="18"/>
  <c r="P159" i="18"/>
  <c r="P118" i="18"/>
  <c r="P112" i="18"/>
  <c r="P106" i="18"/>
  <c r="P93" i="18"/>
  <c r="P217" i="18"/>
  <c r="P82" i="18"/>
  <c r="P65" i="18"/>
  <c r="P38" i="18"/>
  <c r="P35" i="18"/>
  <c r="P33" i="18"/>
  <c r="P31" i="18"/>
  <c r="P30" i="18"/>
  <c r="P29" i="18"/>
  <c r="P28" i="18"/>
  <c r="P25" i="18"/>
  <c r="P23" i="18"/>
  <c r="P22" i="18"/>
  <c r="P21" i="18"/>
  <c r="P18" i="18"/>
  <c r="P67" i="18"/>
  <c r="P17" i="18"/>
  <c r="P36" i="18"/>
  <c r="P13" i="18"/>
  <c r="P12" i="18"/>
  <c r="P8" i="18"/>
  <c r="T8" i="18"/>
  <c r="G165" i="18"/>
  <c r="H88" i="18"/>
  <c r="G88" i="18"/>
  <c r="E88" i="18"/>
  <c r="Q120" i="18"/>
  <c r="R120" i="18"/>
  <c r="S120" i="18"/>
  <c r="D262" i="19"/>
  <c r="E262" i="19"/>
  <c r="D272" i="19"/>
  <c r="D256" i="19"/>
  <c r="D274" i="19" s="1"/>
  <c r="E256" i="19"/>
  <c r="U456" i="18"/>
  <c r="AA456" i="18"/>
  <c r="F456" i="18"/>
  <c r="T455" i="18"/>
  <c r="T454" i="18"/>
  <c r="T453" i="18"/>
  <c r="G456" i="18"/>
  <c r="H456" i="18"/>
  <c r="O24" i="18"/>
  <c r="N24" i="18"/>
  <c r="M95" i="18"/>
  <c r="N95" i="18"/>
  <c r="N219" i="18"/>
  <c r="M96" i="18"/>
  <c r="M84" i="18"/>
  <c r="M24" i="18"/>
  <c r="AA14" i="18"/>
  <c r="AA15" i="18"/>
  <c r="U14" i="18"/>
  <c r="U15" i="18"/>
  <c r="E194" i="18"/>
  <c r="E329" i="18"/>
  <c r="C329" i="18"/>
  <c r="E292" i="18"/>
  <c r="E286" i="18"/>
  <c r="E283" i="18"/>
  <c r="E282" i="18"/>
  <c r="E279" i="18"/>
  <c r="E278" i="18"/>
  <c r="E262" i="18"/>
  <c r="E223" i="18"/>
  <c r="E217" i="18"/>
  <c r="E214" i="18"/>
  <c r="E213" i="18"/>
  <c r="E210" i="18"/>
  <c r="E209" i="18"/>
  <c r="AA378" i="18"/>
  <c r="U400" i="18"/>
  <c r="U378" i="18"/>
  <c r="H378" i="18"/>
  <c r="U372" i="18"/>
  <c r="J5" i="17"/>
  <c r="D27" i="17"/>
  <c r="E27" i="17"/>
  <c r="E26" i="17"/>
  <c r="E25" i="17"/>
  <c r="E24" i="17"/>
  <c r="E23" i="17"/>
  <c r="E22" i="17"/>
  <c r="E21" i="17"/>
  <c r="E20" i="17"/>
  <c r="E19" i="17"/>
  <c r="E18" i="17"/>
  <c r="E17" i="17"/>
  <c r="D15" i="17"/>
  <c r="E14" i="17"/>
  <c r="E13" i="17"/>
  <c r="E12" i="17"/>
  <c r="D10" i="17"/>
  <c r="E10" i="17"/>
  <c r="J9" i="17"/>
  <c r="E9" i="17"/>
  <c r="E8" i="17"/>
  <c r="J7" i="17"/>
  <c r="E7" i="17"/>
  <c r="E6" i="17"/>
  <c r="E5" i="17"/>
  <c r="E30" i="17"/>
  <c r="C84" i="18"/>
  <c r="AA400" i="18"/>
  <c r="AA372" i="18"/>
  <c r="AA95" i="18"/>
  <c r="AA219" i="18"/>
  <c r="AA96" i="18"/>
  <c r="AA97" i="18"/>
  <c r="AA221" i="18"/>
  <c r="AA82" i="18"/>
  <c r="AA72" i="18"/>
  <c r="AA67" i="18"/>
  <c r="AA65" i="18"/>
  <c r="AA27" i="18"/>
  <c r="U194" i="18"/>
  <c r="U195" i="18"/>
  <c r="U196" i="18"/>
  <c r="U209" i="18"/>
  <c r="U210" i="18"/>
  <c r="U213" i="18"/>
  <c r="U214" i="18"/>
  <c r="U217" i="18"/>
  <c r="U218" i="18"/>
  <c r="U223" i="18"/>
  <c r="U226" i="18"/>
  <c r="U295" i="18"/>
  <c r="U262" i="18"/>
  <c r="U263" i="18"/>
  <c r="U264" i="18"/>
  <c r="U278" i="18"/>
  <c r="U279" i="18"/>
  <c r="U282" i="18"/>
  <c r="U283" i="18"/>
  <c r="U286" i="18"/>
  <c r="U287" i="18"/>
  <c r="U292" i="18"/>
  <c r="U329" i="18"/>
  <c r="U334" i="18"/>
  <c r="U353" i="18"/>
  <c r="U338" i="18"/>
  <c r="U357" i="18"/>
  <c r="U348" i="18"/>
  <c r="U173" i="18"/>
  <c r="T167" i="18"/>
  <c r="AD167" i="18"/>
  <c r="U165" i="18"/>
  <c r="AE165" i="18"/>
  <c r="U159" i="18"/>
  <c r="U145" i="18"/>
  <c r="U140" i="18"/>
  <c r="AE140" i="18"/>
  <c r="U137" i="18"/>
  <c r="AE137" i="18"/>
  <c r="U136" i="18"/>
  <c r="AE136" i="18"/>
  <c r="U133" i="18"/>
  <c r="AE133" i="18"/>
  <c r="AE134" i="18"/>
  <c r="U128" i="18"/>
  <c r="U130" i="18"/>
  <c r="U125" i="18"/>
  <c r="U120" i="18"/>
  <c r="AE120" i="18"/>
  <c r="U118" i="18"/>
  <c r="U72" i="18"/>
  <c r="U106" i="18"/>
  <c r="U97" i="18"/>
  <c r="U290" i="18"/>
  <c r="U84" i="18"/>
  <c r="U208" i="18"/>
  <c r="U82" i="18"/>
  <c r="U65" i="18"/>
  <c r="U67" i="18"/>
  <c r="U27" i="18"/>
  <c r="U51" i="18"/>
  <c r="R334" i="18"/>
  <c r="S334" i="18"/>
  <c r="T334" i="18"/>
  <c r="R338" i="18"/>
  <c r="S338" i="18"/>
  <c r="Q338" i="18"/>
  <c r="Q334" i="18"/>
  <c r="T259" i="18"/>
  <c r="T258" i="18"/>
  <c r="AD258" i="18"/>
  <c r="Q145" i="18"/>
  <c r="S145" i="18"/>
  <c r="R145" i="18"/>
  <c r="G145" i="18"/>
  <c r="H145" i="18"/>
  <c r="T145" i="18"/>
  <c r="AD145" i="18"/>
  <c r="T168" i="18"/>
  <c r="AD168" i="18"/>
  <c r="T143" i="18"/>
  <c r="AD143" i="18"/>
  <c r="T138" i="18"/>
  <c r="AD138" i="18"/>
  <c r="T124" i="18"/>
  <c r="AD124" i="18"/>
  <c r="T123" i="18"/>
  <c r="AD123" i="18"/>
  <c r="T122" i="18"/>
  <c r="AD122" i="18"/>
  <c r="AD128" i="18"/>
  <c r="T121" i="18"/>
  <c r="AD121" i="18"/>
  <c r="Q95" i="18"/>
  <c r="R95" i="18"/>
  <c r="Q96" i="18"/>
  <c r="Q220" i="18"/>
  <c r="T93" i="18"/>
  <c r="T217" i="18"/>
  <c r="Q84" i="18"/>
  <c r="Q24" i="18"/>
  <c r="Q72" i="18"/>
  <c r="R24" i="18"/>
  <c r="R72" i="18"/>
  <c r="T38" i="18"/>
  <c r="S24" i="18"/>
  <c r="S72" i="18"/>
  <c r="T36" i="18"/>
  <c r="K36" i="18"/>
  <c r="T35" i="18"/>
  <c r="T33" i="18"/>
  <c r="T12" i="18"/>
  <c r="T13" i="18"/>
  <c r="T17" i="18"/>
  <c r="T21" i="18"/>
  <c r="T22" i="18"/>
  <c r="T23" i="18"/>
  <c r="T25" i="18"/>
  <c r="T28" i="18"/>
  <c r="T29" i="18"/>
  <c r="T30" i="18"/>
  <c r="T31" i="18"/>
  <c r="T65" i="18"/>
  <c r="T82" i="18"/>
  <c r="T106" i="18"/>
  <c r="T118" i="18"/>
  <c r="T159" i="18"/>
  <c r="T173" i="18"/>
  <c r="T194" i="18"/>
  <c r="T195" i="18"/>
  <c r="T196" i="18"/>
  <c r="T262" i="18"/>
  <c r="T263" i="18"/>
  <c r="T264" i="18"/>
  <c r="T329" i="18"/>
  <c r="T348" i="18"/>
  <c r="T372" i="18"/>
  <c r="T400" i="18"/>
  <c r="G195" i="18"/>
  <c r="H165" i="18"/>
  <c r="T165" i="18"/>
  <c r="AD165" i="18"/>
  <c r="G140" i="18"/>
  <c r="H140" i="18"/>
  <c r="T140" i="18"/>
  <c r="AD140" i="18"/>
  <c r="G137" i="18"/>
  <c r="H137" i="18"/>
  <c r="T137" i="18"/>
  <c r="AD137" i="18"/>
  <c r="G136" i="18"/>
  <c r="H136" i="18"/>
  <c r="G133" i="18"/>
  <c r="G134" i="18"/>
  <c r="H133" i="18"/>
  <c r="T133" i="18"/>
  <c r="H120" i="18"/>
  <c r="T120" i="18"/>
  <c r="AD120" i="18"/>
  <c r="G120" i="18"/>
  <c r="E94" i="18"/>
  <c r="H97" i="18"/>
  <c r="H290" i="18"/>
  <c r="H96" i="18"/>
  <c r="H289" i="18"/>
  <c r="G96" i="18"/>
  <c r="G289" i="18"/>
  <c r="E96" i="18"/>
  <c r="E220" i="18"/>
  <c r="H94" i="18"/>
  <c r="G94" i="18"/>
  <c r="H95" i="18"/>
  <c r="G95" i="18"/>
  <c r="G219" i="18"/>
  <c r="E95" i="18"/>
  <c r="E219" i="18"/>
  <c r="E97" i="18"/>
  <c r="E221" i="18"/>
  <c r="G97" i="18"/>
  <c r="G221" i="18"/>
  <c r="H84" i="18"/>
  <c r="G84" i="18"/>
  <c r="E84" i="18"/>
  <c r="E277" i="18"/>
  <c r="G400" i="18"/>
  <c r="G372" i="18"/>
  <c r="G348" i="18"/>
  <c r="G338" i="18"/>
  <c r="G357" i="18"/>
  <c r="G334" i="18"/>
  <c r="G353" i="18"/>
  <c r="G329" i="18"/>
  <c r="G292" i="18"/>
  <c r="G286" i="18"/>
  <c r="G283" i="18"/>
  <c r="G282" i="18"/>
  <c r="G279" i="18"/>
  <c r="G278" i="18"/>
  <c r="G262" i="18"/>
  <c r="G226" i="18"/>
  <c r="G295" i="18"/>
  <c r="G223" i="18"/>
  <c r="G217" i="18"/>
  <c r="G214" i="18"/>
  <c r="G213" i="18"/>
  <c r="G210" i="18"/>
  <c r="G209" i="18"/>
  <c r="G194" i="18"/>
  <c r="G173" i="18"/>
  <c r="G159" i="18"/>
  <c r="G130" i="18"/>
  <c r="G128" i="18"/>
  <c r="G125" i="18"/>
  <c r="G118" i="18"/>
  <c r="G113" i="18"/>
  <c r="G335" i="18"/>
  <c r="G354" i="18"/>
  <c r="G112" i="18"/>
  <c r="G106" i="18"/>
  <c r="G82" i="18"/>
  <c r="G72" i="18"/>
  <c r="G67" i="18"/>
  <c r="G65" i="18"/>
  <c r="G53" i="18"/>
  <c r="G27" i="18"/>
  <c r="G15" i="18"/>
  <c r="G49" i="18"/>
  <c r="E400" i="18"/>
  <c r="E372" i="18"/>
  <c r="E173" i="18"/>
  <c r="E118" i="18"/>
  <c r="E113" i="18"/>
  <c r="E112" i="18"/>
  <c r="E106" i="18"/>
  <c r="E82" i="18"/>
  <c r="E72" i="18"/>
  <c r="E67" i="18"/>
  <c r="E65" i="18"/>
  <c r="E27" i="18"/>
  <c r="E15" i="18"/>
  <c r="E45" i="18"/>
  <c r="H400" i="18"/>
  <c r="H372" i="18"/>
  <c r="H348" i="18"/>
  <c r="H338" i="18"/>
  <c r="H357" i="18"/>
  <c r="H334" i="18"/>
  <c r="H353" i="18"/>
  <c r="H329" i="18"/>
  <c r="H292" i="18"/>
  <c r="H286" i="18"/>
  <c r="H283" i="18"/>
  <c r="H282" i="18"/>
  <c r="H279" i="18"/>
  <c r="H278" i="18"/>
  <c r="H262" i="18"/>
  <c r="H226" i="18"/>
  <c r="H295" i="18"/>
  <c r="H223" i="18"/>
  <c r="H217" i="18"/>
  <c r="H214" i="18"/>
  <c r="H213" i="18"/>
  <c r="H210" i="18"/>
  <c r="H209" i="18"/>
  <c r="H194" i="18"/>
  <c r="H173" i="18"/>
  <c r="H159" i="18"/>
  <c r="H130" i="18"/>
  <c r="H128" i="18"/>
  <c r="H125" i="18"/>
  <c r="H118" i="18"/>
  <c r="H113" i="18"/>
  <c r="H335" i="18"/>
  <c r="H354" i="18"/>
  <c r="H112" i="18"/>
  <c r="H106" i="18"/>
  <c r="H82" i="18"/>
  <c r="H72" i="18"/>
  <c r="H67" i="18"/>
  <c r="H65" i="18"/>
  <c r="H53" i="18"/>
  <c r="H27" i="18"/>
  <c r="H15" i="18"/>
  <c r="J312" i="19"/>
  <c r="K312" i="19"/>
  <c r="C350" i="19"/>
  <c r="D362" i="19"/>
  <c r="D333" i="19"/>
  <c r="E333" i="19"/>
  <c r="D319" i="19"/>
  <c r="D315" i="19"/>
  <c r="D335" i="19" s="1"/>
  <c r="S259" i="18"/>
  <c r="S286" i="18"/>
  <c r="S258" i="18"/>
  <c r="O259" i="18"/>
  <c r="O286" i="18"/>
  <c r="O258" i="18"/>
  <c r="S165" i="18"/>
  <c r="S140" i="18"/>
  <c r="S137" i="18"/>
  <c r="S136" i="18"/>
  <c r="S133" i="18"/>
  <c r="S134" i="18"/>
  <c r="S112" i="18"/>
  <c r="O456" i="18"/>
  <c r="O400" i="18"/>
  <c r="O329" i="18"/>
  <c r="O264" i="18"/>
  <c r="O263" i="18"/>
  <c r="O262" i="18"/>
  <c r="O217" i="18"/>
  <c r="O196" i="18"/>
  <c r="O195" i="18"/>
  <c r="O194" i="18"/>
  <c r="O106" i="18"/>
  <c r="O82" i="18"/>
  <c r="O65" i="18"/>
  <c r="O27" i="18"/>
  <c r="O15" i="18"/>
  <c r="O51" i="18"/>
  <c r="S456" i="18"/>
  <c r="S400" i="18"/>
  <c r="S372" i="18"/>
  <c r="S348" i="18"/>
  <c r="S329" i="18"/>
  <c r="S264" i="18"/>
  <c r="S263" i="18"/>
  <c r="S262" i="18"/>
  <c r="S226" i="18"/>
  <c r="S218" i="18"/>
  <c r="S217" i="18"/>
  <c r="S196" i="18"/>
  <c r="S195" i="18"/>
  <c r="S194" i="18"/>
  <c r="S173" i="18"/>
  <c r="S159" i="18"/>
  <c r="S130" i="18"/>
  <c r="S128" i="18"/>
  <c r="S125" i="18"/>
  <c r="S118" i="18"/>
  <c r="S106" i="18"/>
  <c r="S82" i="18"/>
  <c r="S65" i="18"/>
  <c r="S27" i="18"/>
  <c r="S15" i="18"/>
  <c r="S59" i="18"/>
  <c r="Q113" i="18"/>
  <c r="Q335" i="18"/>
  <c r="Q112" i="18"/>
  <c r="R112" i="18"/>
  <c r="R99" i="18"/>
  <c r="R223" i="18"/>
  <c r="J371" i="19"/>
  <c r="K371" i="19"/>
  <c r="D450" i="19"/>
  <c r="C464" i="19"/>
  <c r="D419" i="19"/>
  <c r="D390" i="19"/>
  <c r="E390" i="19"/>
  <c r="D378" i="19"/>
  <c r="E378" i="19"/>
  <c r="D374" i="19"/>
  <c r="E374" i="19"/>
  <c r="R259" i="18"/>
  <c r="R287" i="18"/>
  <c r="R258" i="18"/>
  <c r="AB258" i="18"/>
  <c r="R165" i="18"/>
  <c r="R140" i="18"/>
  <c r="R137" i="18"/>
  <c r="R136" i="18"/>
  <c r="R133" i="18"/>
  <c r="R134" i="18"/>
  <c r="N99" i="18"/>
  <c r="N94" i="18"/>
  <c r="N218" i="18"/>
  <c r="N90" i="18"/>
  <c r="N89" i="18"/>
  <c r="R90" i="18"/>
  <c r="R89" i="18"/>
  <c r="N86" i="18"/>
  <c r="N85" i="18"/>
  <c r="N209" i="18"/>
  <c r="R86" i="18"/>
  <c r="S86" i="18"/>
  <c r="R85" i="18"/>
  <c r="R209" i="18"/>
  <c r="T18" i="18"/>
  <c r="T67" i="18"/>
  <c r="N14" i="18"/>
  <c r="R14" i="18"/>
  <c r="N456" i="18"/>
  <c r="N400" i="18"/>
  <c r="N329" i="18"/>
  <c r="N264" i="18"/>
  <c r="N263" i="18"/>
  <c r="N262" i="18"/>
  <c r="N217" i="18"/>
  <c r="N196" i="18"/>
  <c r="N195" i="18"/>
  <c r="N194" i="18"/>
  <c r="N259" i="18"/>
  <c r="N258" i="18"/>
  <c r="N106" i="18"/>
  <c r="N82" i="18"/>
  <c r="N65" i="18"/>
  <c r="N27" i="18"/>
  <c r="R456" i="18"/>
  <c r="R400" i="18"/>
  <c r="R372" i="18"/>
  <c r="R348" i="18"/>
  <c r="R329" i="18"/>
  <c r="R264" i="18"/>
  <c r="R263" i="18"/>
  <c r="R262" i="18"/>
  <c r="R226" i="18"/>
  <c r="R295" i="18"/>
  <c r="R218" i="18"/>
  <c r="R217" i="18"/>
  <c r="R196" i="18"/>
  <c r="R195" i="18"/>
  <c r="R194" i="18"/>
  <c r="R173" i="18"/>
  <c r="R159" i="18"/>
  <c r="R130" i="18"/>
  <c r="R128" i="18"/>
  <c r="R125" i="18"/>
  <c r="R118" i="18"/>
  <c r="R106" i="18"/>
  <c r="R82" i="18"/>
  <c r="R65" i="18"/>
  <c r="R27" i="18"/>
  <c r="F173" i="18"/>
  <c r="M258" i="18"/>
  <c r="M259" i="18"/>
  <c r="M278" i="18"/>
  <c r="F120" i="18"/>
  <c r="P120" i="18"/>
  <c r="M97" i="18"/>
  <c r="M14" i="18"/>
  <c r="M456" i="18"/>
  <c r="M400" i="18"/>
  <c r="M329" i="18"/>
  <c r="M264" i="18"/>
  <c r="M263" i="18"/>
  <c r="M262" i="18"/>
  <c r="M223" i="18"/>
  <c r="M218" i="18"/>
  <c r="M217" i="18"/>
  <c r="M214" i="18"/>
  <c r="M213" i="18"/>
  <c r="M210" i="18"/>
  <c r="M209" i="18"/>
  <c r="M196" i="18"/>
  <c r="M195" i="18"/>
  <c r="M194" i="18"/>
  <c r="M106" i="18"/>
  <c r="M82" i="18"/>
  <c r="M67" i="18"/>
  <c r="M65" i="18"/>
  <c r="M27" i="18"/>
  <c r="D457" i="19"/>
  <c r="D452" i="19"/>
  <c r="E452" i="19"/>
  <c r="D476" i="19"/>
  <c r="D447" i="19"/>
  <c r="E447" i="19"/>
  <c r="D435" i="19"/>
  <c r="D431" i="19"/>
  <c r="E431" i="19"/>
  <c r="Q456" i="18"/>
  <c r="Q400" i="18"/>
  <c r="Q372" i="18"/>
  <c r="Q348" i="18"/>
  <c r="Q329" i="18"/>
  <c r="Q264" i="18"/>
  <c r="Q263" i="18"/>
  <c r="Q262" i="18"/>
  <c r="Q226" i="18"/>
  <c r="Q223" i="18"/>
  <c r="Q218" i="18"/>
  <c r="Q217" i="18"/>
  <c r="Q214" i="18"/>
  <c r="Q213" i="18"/>
  <c r="Q210" i="18"/>
  <c r="Q209" i="18"/>
  <c r="Q196" i="18"/>
  <c r="Q195" i="18"/>
  <c r="Q194" i="18"/>
  <c r="Q259" i="18"/>
  <c r="Q258" i="18"/>
  <c r="Q357" i="18"/>
  <c r="E430" i="19"/>
  <c r="Q173" i="18"/>
  <c r="Q165" i="18"/>
  <c r="Q159" i="18"/>
  <c r="Q140" i="18"/>
  <c r="Q137" i="18"/>
  <c r="Q136" i="18"/>
  <c r="Q133" i="18"/>
  <c r="Q134" i="18"/>
  <c r="Q130" i="18"/>
  <c r="Q128" i="18"/>
  <c r="Q125" i="18"/>
  <c r="Q118" i="18"/>
  <c r="Q106" i="18"/>
  <c r="Q97" i="18"/>
  <c r="Q82" i="18"/>
  <c r="Q67" i="18"/>
  <c r="Q65" i="18"/>
  <c r="Q27" i="18"/>
  <c r="Q14" i="18"/>
  <c r="Q15" i="18"/>
  <c r="C520" i="19"/>
  <c r="F145" i="18"/>
  <c r="P145" i="18"/>
  <c r="D504" i="19"/>
  <c r="E504" i="19"/>
  <c r="D492" i="19"/>
  <c r="E492" i="19"/>
  <c r="F165" i="18"/>
  <c r="P165" i="18"/>
  <c r="D165" i="18"/>
  <c r="D145" i="18"/>
  <c r="D140" i="18"/>
  <c r="D137" i="18"/>
  <c r="D136" i="18"/>
  <c r="D133" i="18"/>
  <c r="D134" i="18"/>
  <c r="D139" i="18"/>
  <c r="F137" i="18"/>
  <c r="P137" i="18"/>
  <c r="F140" i="18"/>
  <c r="P140" i="18"/>
  <c r="F136" i="18"/>
  <c r="P136" i="18"/>
  <c r="F133" i="18"/>
  <c r="D120" i="18"/>
  <c r="C97" i="18"/>
  <c r="C96" i="18"/>
  <c r="C95" i="18"/>
  <c r="C94" i="18"/>
  <c r="C89" i="18"/>
  <c r="C88" i="18"/>
  <c r="C115" i="18"/>
  <c r="D84" i="18"/>
  <c r="D533" i="19"/>
  <c r="D97" i="18"/>
  <c r="D221" i="18"/>
  <c r="D96" i="18"/>
  <c r="D220" i="18"/>
  <c r="D94" i="18"/>
  <c r="D287" i="18"/>
  <c r="D95" i="18"/>
  <c r="D288" i="18"/>
  <c r="D89" i="18"/>
  <c r="D88" i="18"/>
  <c r="F88" i="18"/>
  <c r="F281" i="18"/>
  <c r="F84" i="18"/>
  <c r="F277" i="18"/>
  <c r="F97" i="18"/>
  <c r="F96" i="18"/>
  <c r="F220" i="18"/>
  <c r="F95" i="18"/>
  <c r="F219" i="18"/>
  <c r="F94" i="18"/>
  <c r="F287" i="18"/>
  <c r="D72" i="18"/>
  <c r="C72" i="18"/>
  <c r="F72" i="18"/>
  <c r="D27" i="18"/>
  <c r="C27" i="18"/>
  <c r="C14" i="18"/>
  <c r="C15" i="18"/>
  <c r="C49" i="18"/>
  <c r="D14" i="18"/>
  <c r="D15" i="18"/>
  <c r="D129" i="18"/>
  <c r="F27" i="18"/>
  <c r="F14" i="18"/>
  <c r="F400" i="18"/>
  <c r="F372" i="18"/>
  <c r="F348" i="18"/>
  <c r="F338" i="18"/>
  <c r="F357" i="18"/>
  <c r="F334" i="18"/>
  <c r="F353" i="18"/>
  <c r="F329" i="18"/>
  <c r="F283" i="18"/>
  <c r="F279" i="18"/>
  <c r="F278" i="18"/>
  <c r="F262" i="18"/>
  <c r="F226" i="18"/>
  <c r="F295" i="18"/>
  <c r="F223" i="18"/>
  <c r="F217" i="18"/>
  <c r="F214" i="18"/>
  <c r="F213" i="18"/>
  <c r="F210" i="18"/>
  <c r="F209" i="18"/>
  <c r="F194" i="18"/>
  <c r="F159" i="18"/>
  <c r="F130" i="18"/>
  <c r="F128" i="18"/>
  <c r="F125" i="18"/>
  <c r="F118" i="18"/>
  <c r="F113" i="18"/>
  <c r="F335" i="18"/>
  <c r="F354" i="18"/>
  <c r="F112" i="18"/>
  <c r="F106" i="18"/>
  <c r="F82" i="18"/>
  <c r="F67" i="18"/>
  <c r="F65" i="18"/>
  <c r="F53" i="18"/>
  <c r="D456" i="18"/>
  <c r="C456" i="18"/>
  <c r="D400" i="18"/>
  <c r="C400" i="18"/>
  <c r="D372" i="18"/>
  <c r="C372" i="18"/>
  <c r="D348" i="18"/>
  <c r="D338" i="18"/>
  <c r="D357" i="18"/>
  <c r="B337" i="18"/>
  <c r="B336" i="18"/>
  <c r="B335" i="18"/>
  <c r="D334" i="18"/>
  <c r="D353" i="18"/>
  <c r="B334" i="18"/>
  <c r="B332" i="18"/>
  <c r="B331" i="18"/>
  <c r="D329" i="18"/>
  <c r="B325" i="18"/>
  <c r="B324" i="18"/>
  <c r="B322" i="18"/>
  <c r="B321" i="18"/>
  <c r="B316" i="18"/>
  <c r="B315" i="18"/>
  <c r="B313" i="18"/>
  <c r="B312" i="18"/>
  <c r="B294" i="18"/>
  <c r="B293" i="18"/>
  <c r="D292" i="18"/>
  <c r="B292" i="18"/>
  <c r="B291" i="18"/>
  <c r="B290" i="18"/>
  <c r="B289" i="18"/>
  <c r="B288" i="18"/>
  <c r="B287" i="18"/>
  <c r="D286" i="18"/>
  <c r="B286" i="18"/>
  <c r="B285" i="18"/>
  <c r="B284" i="18"/>
  <c r="D283" i="18"/>
  <c r="B283" i="18"/>
  <c r="B282" i="18"/>
  <c r="B281" i="18"/>
  <c r="B280" i="18"/>
  <c r="D279" i="18"/>
  <c r="B279" i="18"/>
  <c r="D278" i="18"/>
  <c r="B278" i="18"/>
  <c r="B277" i="18"/>
  <c r="B276" i="18"/>
  <c r="B274" i="18"/>
  <c r="B273" i="18"/>
  <c r="B272" i="18"/>
  <c r="B268" i="18"/>
  <c r="B266" i="18"/>
  <c r="B265" i="18"/>
  <c r="D262" i="18"/>
  <c r="D226" i="18"/>
  <c r="D295" i="18"/>
  <c r="B225" i="18"/>
  <c r="B224" i="18"/>
  <c r="D223" i="18"/>
  <c r="B223" i="18"/>
  <c r="B222" i="18"/>
  <c r="B221" i="18"/>
  <c r="B220" i="18"/>
  <c r="B219" i="18"/>
  <c r="B218" i="18"/>
  <c r="D217" i="18"/>
  <c r="B217" i="18"/>
  <c r="B215" i="18"/>
  <c r="D214" i="18"/>
  <c r="B214" i="18"/>
  <c r="B213" i="18"/>
  <c r="B212" i="18"/>
  <c r="B211" i="18"/>
  <c r="D210" i="18"/>
  <c r="B210" i="18"/>
  <c r="D209" i="18"/>
  <c r="D194" i="18"/>
  <c r="D173" i="18"/>
  <c r="C173" i="18"/>
  <c r="D159" i="18"/>
  <c r="D130" i="18"/>
  <c r="D128" i="18"/>
  <c r="D125" i="18"/>
  <c r="D118" i="18"/>
  <c r="C118" i="18"/>
  <c r="D113" i="18"/>
  <c r="D335" i="18"/>
  <c r="D354" i="18"/>
  <c r="C113" i="18"/>
  <c r="D112" i="18"/>
  <c r="C112" i="18"/>
  <c r="B107" i="18"/>
  <c r="B330" i="18"/>
  <c r="D106" i="18"/>
  <c r="C106" i="18"/>
  <c r="D82" i="18"/>
  <c r="C82" i="18"/>
  <c r="B72" i="18"/>
  <c r="D67" i="18"/>
  <c r="C67" i="18"/>
  <c r="D65" i="18"/>
  <c r="C65" i="18"/>
  <c r="B60" i="18"/>
  <c r="B59" i="18"/>
  <c r="B58" i="18"/>
  <c r="B57" i="18"/>
  <c r="B55" i="18"/>
  <c r="B54" i="18"/>
  <c r="B51" i="18"/>
  <c r="B50" i="18"/>
  <c r="B49" i="18"/>
  <c r="B48" i="18"/>
  <c r="B47" i="18"/>
  <c r="B46" i="18"/>
  <c r="B45" i="18"/>
  <c r="D53" i="18"/>
  <c r="C57" i="17"/>
  <c r="AL149" i="15"/>
  <c r="AT138" i="15"/>
  <c r="AP118" i="15"/>
  <c r="AL118" i="15"/>
  <c r="AP86" i="15"/>
  <c r="C81" i="15"/>
  <c r="D1161" i="17"/>
  <c r="D1160" i="17"/>
  <c r="D1155" i="17"/>
  <c r="C1155" i="17"/>
  <c r="D1154" i="17"/>
  <c r="D1148" i="17"/>
  <c r="D1147" i="17"/>
  <c r="D1146" i="17"/>
  <c r="E1129" i="17"/>
  <c r="E1128" i="17"/>
  <c r="E1127" i="17"/>
  <c r="E1126" i="17"/>
  <c r="E1125" i="17"/>
  <c r="E1124" i="17"/>
  <c r="E1123" i="17"/>
  <c r="E1121" i="17"/>
  <c r="E1120" i="17"/>
  <c r="E1119" i="17"/>
  <c r="E1118" i="17"/>
  <c r="J1117" i="17"/>
  <c r="K1117" i="17"/>
  <c r="E1117" i="17"/>
  <c r="K1116" i="17"/>
  <c r="E1116" i="17"/>
  <c r="D1116" i="17"/>
  <c r="D1130" i="17"/>
  <c r="E1115" i="17"/>
  <c r="D107" i="17"/>
  <c r="D51" i="17"/>
  <c r="D52" i="17"/>
  <c r="BG163" i="15"/>
  <c r="L443" i="15"/>
  <c r="L442" i="15"/>
  <c r="L440" i="15"/>
  <c r="L439" i="15"/>
  <c r="L437" i="15"/>
  <c r="L436" i="15"/>
  <c r="L434" i="15"/>
  <c r="L433" i="15"/>
  <c r="L431" i="15"/>
  <c r="L430" i="15"/>
  <c r="L418" i="15"/>
  <c r="L417" i="15"/>
  <c r="L426" i="15"/>
  <c r="L424" i="15"/>
  <c r="L423" i="15"/>
  <c r="L421" i="15"/>
  <c r="L420" i="15"/>
  <c r="L416" i="15"/>
  <c r="L415" i="15"/>
  <c r="L425" i="15"/>
  <c r="L413" i="15"/>
  <c r="L412" i="15"/>
  <c r="L408" i="15"/>
  <c r="L407" i="15"/>
  <c r="L406" i="15"/>
  <c r="L405" i="15"/>
  <c r="L404" i="15"/>
  <c r="L403" i="15"/>
  <c r="L395" i="15"/>
  <c r="L394" i="15"/>
  <c r="L393" i="15"/>
  <c r="L392" i="15"/>
  <c r="L391" i="15"/>
  <c r="L390" i="15"/>
  <c r="L389" i="15"/>
  <c r="L388" i="15"/>
  <c r="L385" i="15"/>
  <c r="L384" i="15"/>
  <c r="L381" i="15"/>
  <c r="L380" i="15"/>
  <c r="L379" i="15"/>
  <c r="L378" i="15"/>
  <c r="L377" i="15"/>
  <c r="L376" i="15"/>
  <c r="L375" i="15"/>
  <c r="L374" i="15"/>
  <c r="L373" i="15"/>
  <c r="BE399" i="15"/>
  <c r="BE371" i="15"/>
  <c r="BE350" i="15"/>
  <c r="BE340" i="15"/>
  <c r="BE359" i="15"/>
  <c r="BE336" i="15"/>
  <c r="BE355" i="15"/>
  <c r="BE331" i="15"/>
  <c r="BE293" i="15"/>
  <c r="BE289" i="15"/>
  <c r="BE288" i="15"/>
  <c r="BE287" i="15"/>
  <c r="BE284" i="15"/>
  <c r="BE283" i="15"/>
  <c r="BE282" i="15"/>
  <c r="BE281" i="15"/>
  <c r="BE279" i="15"/>
  <c r="BE278" i="15"/>
  <c r="BE264" i="15"/>
  <c r="BE263" i="15"/>
  <c r="BE262" i="15"/>
  <c r="BE229" i="15"/>
  <c r="BE296" i="15"/>
  <c r="BE226" i="15"/>
  <c r="BE222" i="15"/>
  <c r="BE221" i="15"/>
  <c r="BE220" i="15"/>
  <c r="BE217" i="15"/>
  <c r="BE216" i="15"/>
  <c r="BE215" i="15"/>
  <c r="BE214" i="15"/>
  <c r="BE212" i="15"/>
  <c r="BE211" i="15"/>
  <c r="BE198" i="15"/>
  <c r="BE197" i="15"/>
  <c r="BE196" i="15"/>
  <c r="BE171" i="15"/>
  <c r="BE157" i="15"/>
  <c r="BE128" i="15"/>
  <c r="BE126" i="15"/>
  <c r="BE123" i="15"/>
  <c r="BE116" i="15"/>
  <c r="BE110" i="15"/>
  <c r="BE104" i="15"/>
  <c r="BF97" i="15"/>
  <c r="BG97" i="15" s="1"/>
  <c r="BF93" i="15"/>
  <c r="BG93" i="15"/>
  <c r="BF92" i="15"/>
  <c r="BG92" i="15"/>
  <c r="BF91" i="15"/>
  <c r="BG91" i="15"/>
  <c r="BF88" i="15"/>
  <c r="BG88" i="15" s="1"/>
  <c r="BF87" i="15"/>
  <c r="BG87" i="15" s="1"/>
  <c r="BF86" i="15"/>
  <c r="BG86" i="15" s="1"/>
  <c r="BF85" i="15"/>
  <c r="BG85" i="15" s="1"/>
  <c r="BG83" i="15"/>
  <c r="BG82" i="15"/>
  <c r="BE79" i="15"/>
  <c r="BE64" i="15"/>
  <c r="BE62" i="15"/>
  <c r="BE25" i="15"/>
  <c r="J128" i="17"/>
  <c r="J126" i="17"/>
  <c r="BE455" i="15"/>
  <c r="L190" i="15"/>
  <c r="L166" i="15"/>
  <c r="L165" i="15"/>
  <c r="L163" i="15"/>
  <c r="L149" i="15"/>
  <c r="L141" i="15"/>
  <c r="L136" i="15"/>
  <c r="L122" i="15"/>
  <c r="L121" i="15"/>
  <c r="L120" i="15"/>
  <c r="L123" i="15" s="1"/>
  <c r="L119" i="15"/>
  <c r="L74" i="15"/>
  <c r="L2" i="15"/>
  <c r="L350" i="15"/>
  <c r="BF399" i="15"/>
  <c r="BF371" i="15"/>
  <c r="BF350" i="15"/>
  <c r="BF340" i="15"/>
  <c r="BF336" i="15"/>
  <c r="BF331" i="15"/>
  <c r="BF264" i="15"/>
  <c r="BF263" i="15"/>
  <c r="BF262" i="15"/>
  <c r="BF229" i="15"/>
  <c r="BF212" i="15"/>
  <c r="BF211" i="15"/>
  <c r="BF198" i="15"/>
  <c r="BF197" i="15"/>
  <c r="BF196" i="15"/>
  <c r="BF171" i="15"/>
  <c r="BF157" i="15"/>
  <c r="BF128" i="15"/>
  <c r="BF126" i="15"/>
  <c r="BF123" i="15"/>
  <c r="BF116" i="15"/>
  <c r="BF110" i="15"/>
  <c r="BF104" i="15"/>
  <c r="BF79" i="15"/>
  <c r="BF64" i="15"/>
  <c r="BF62" i="15"/>
  <c r="BF25" i="15"/>
  <c r="L262" i="15"/>
  <c r="J68" i="17"/>
  <c r="K68" i="17"/>
  <c r="BF455" i="15"/>
  <c r="BG143" i="15"/>
  <c r="L143" i="15" s="1"/>
  <c r="BG138" i="15"/>
  <c r="L138" i="15" s="1"/>
  <c r="BG135" i="15"/>
  <c r="L135" i="15" s="1"/>
  <c r="BG134" i="15"/>
  <c r="L134" i="15" s="1"/>
  <c r="BG131" i="15"/>
  <c r="L131" i="15" s="1"/>
  <c r="BG132" i="15"/>
  <c r="BG137" i="15"/>
  <c r="BG118" i="15"/>
  <c r="L118" i="15" s="1"/>
  <c r="BG29" i="15"/>
  <c r="BG23" i="15"/>
  <c r="BG68" i="15"/>
  <c r="BG13" i="15"/>
  <c r="BG14" i="15"/>
  <c r="BG56" i="15"/>
  <c r="BG455" i="15"/>
  <c r="BG399" i="15"/>
  <c r="BG371" i="15"/>
  <c r="BG350" i="15"/>
  <c r="BG340" i="15"/>
  <c r="BG359" i="15"/>
  <c r="BG336" i="15"/>
  <c r="BG331" i="15"/>
  <c r="BG264" i="15"/>
  <c r="BG263" i="15"/>
  <c r="BG262" i="15"/>
  <c r="BG229" i="15"/>
  <c r="BG296" i="15"/>
  <c r="BG198" i="15"/>
  <c r="BG197" i="15"/>
  <c r="BG196" i="15"/>
  <c r="BG171" i="15"/>
  <c r="BG157" i="15"/>
  <c r="L157" i="15" s="1"/>
  <c r="BG128" i="15"/>
  <c r="BG126" i="15"/>
  <c r="BG123" i="15"/>
  <c r="BG116" i="15"/>
  <c r="BG110" i="15"/>
  <c r="BG104" i="15"/>
  <c r="BG79" i="15"/>
  <c r="BG64" i="15"/>
  <c r="BG62" i="15"/>
  <c r="BG25" i="15"/>
  <c r="C117" i="17"/>
  <c r="C120" i="17"/>
  <c r="D87" i="17"/>
  <c r="E87" i="17"/>
  <c r="D76" i="17"/>
  <c r="D71" i="17"/>
  <c r="C106" i="17"/>
  <c r="D106" i="17"/>
  <c r="BF190" i="15"/>
  <c r="BF359" i="15" s="1"/>
  <c r="BF191" i="15"/>
  <c r="L132" i="15"/>
  <c r="BF163" i="15"/>
  <c r="BF143" i="15"/>
  <c r="BF138" i="15"/>
  <c r="BF135" i="15"/>
  <c r="BF134" i="15"/>
  <c r="BF131" i="15"/>
  <c r="BF132" i="15" s="1"/>
  <c r="BF137" i="15" s="1"/>
  <c r="BF144" i="15" s="1"/>
  <c r="BF118" i="15"/>
  <c r="BF13" i="15"/>
  <c r="BF14" i="15" s="1"/>
  <c r="BF29" i="15"/>
  <c r="BF51" i="15" s="1"/>
  <c r="BF23" i="15"/>
  <c r="BF68" i="15" s="1"/>
  <c r="E126" i="17"/>
  <c r="BE95" i="15"/>
  <c r="BE94" i="15"/>
  <c r="BE81" i="15"/>
  <c r="BA81" i="15"/>
  <c r="BA23" i="15"/>
  <c r="BA68" i="15"/>
  <c r="BE29" i="15"/>
  <c r="C177" i="17"/>
  <c r="D147" i="17"/>
  <c r="D136" i="17"/>
  <c r="D131" i="17"/>
  <c r="BE163" i="15"/>
  <c r="BE143" i="15"/>
  <c r="BE138" i="15"/>
  <c r="BE135" i="15"/>
  <c r="BE134" i="15"/>
  <c r="BE131" i="15"/>
  <c r="BE132" i="15" s="1"/>
  <c r="BE137" i="15" s="1"/>
  <c r="BE118" i="15"/>
  <c r="BE89" i="15"/>
  <c r="BE23" i="15"/>
  <c r="BE13" i="15"/>
  <c r="BE14" i="15" s="1"/>
  <c r="BC128" i="15"/>
  <c r="BB128" i="15"/>
  <c r="BA128" i="15"/>
  <c r="AY128" i="15"/>
  <c r="AX128" i="15"/>
  <c r="AW128" i="15"/>
  <c r="BC126" i="15"/>
  <c r="BB126" i="15"/>
  <c r="BA126" i="15"/>
  <c r="AY126" i="15"/>
  <c r="AX126" i="15"/>
  <c r="AW126" i="15"/>
  <c r="K128" i="15"/>
  <c r="I128" i="15"/>
  <c r="H128" i="15"/>
  <c r="G128" i="15"/>
  <c r="K126" i="15"/>
  <c r="I126" i="15"/>
  <c r="H126" i="15"/>
  <c r="G126" i="15"/>
  <c r="J128" i="15"/>
  <c r="J126" i="15"/>
  <c r="K23" i="15"/>
  <c r="K68" i="15"/>
  <c r="K27" i="15"/>
  <c r="J27" i="15"/>
  <c r="J23" i="15"/>
  <c r="BD165" i="15"/>
  <c r="BD110" i="15"/>
  <c r="BD454" i="15"/>
  <c r="L454" i="15" s="1"/>
  <c r="BD453" i="15"/>
  <c r="L453" i="15" s="1"/>
  <c r="BD452" i="15"/>
  <c r="L452" i="15" s="1"/>
  <c r="BD166" i="15"/>
  <c r="BD149" i="15"/>
  <c r="BD141" i="15"/>
  <c r="BD136" i="15"/>
  <c r="BD122" i="15"/>
  <c r="BD121" i="15"/>
  <c r="BD120" i="15"/>
  <c r="BD119" i="15"/>
  <c r="BD34" i="15"/>
  <c r="L34" i="15" s="1"/>
  <c r="BD33" i="15"/>
  <c r="L33" i="15" s="1"/>
  <c r="BD31" i="15"/>
  <c r="L31" i="15" s="1"/>
  <c r="BD29" i="15"/>
  <c r="L29" i="15" s="1"/>
  <c r="BD28" i="15"/>
  <c r="L28" i="15" s="1"/>
  <c r="BD26" i="15"/>
  <c r="BD22" i="15"/>
  <c r="L22" i="15" s="1"/>
  <c r="BD21" i="15"/>
  <c r="L21" i="15" s="1"/>
  <c r="BD20" i="15"/>
  <c r="L20" i="15" s="1"/>
  <c r="BD16" i="15"/>
  <c r="BD12" i="15"/>
  <c r="L12" i="15" s="1"/>
  <c r="BD11" i="15"/>
  <c r="L11" i="15" s="1"/>
  <c r="BD7" i="15"/>
  <c r="L7" i="15" s="1"/>
  <c r="BD399" i="15"/>
  <c r="BD371" i="15"/>
  <c r="BD350" i="15"/>
  <c r="BD336" i="15"/>
  <c r="BD355" i="15"/>
  <c r="BD331" i="15"/>
  <c r="BD264" i="15"/>
  <c r="BD263" i="15"/>
  <c r="BD262" i="15"/>
  <c r="BD198" i="15"/>
  <c r="BD197" i="15"/>
  <c r="BD196" i="15"/>
  <c r="BD171" i="15"/>
  <c r="BD157" i="15"/>
  <c r="BD116" i="15"/>
  <c r="BD104" i="15"/>
  <c r="BD79" i="15"/>
  <c r="BD62" i="15"/>
  <c r="C237" i="17"/>
  <c r="C240" i="17"/>
  <c r="D197" i="17"/>
  <c r="D207" i="17"/>
  <c r="D192" i="17"/>
  <c r="K143" i="15"/>
  <c r="BD143" i="15"/>
  <c r="K131" i="15"/>
  <c r="BD131" i="15"/>
  <c r="BD132" i="15"/>
  <c r="K134" i="15"/>
  <c r="BD134" i="15"/>
  <c r="K135" i="15"/>
  <c r="BD135" i="15"/>
  <c r="K138" i="15"/>
  <c r="BD138" i="15"/>
  <c r="K118" i="15"/>
  <c r="BD118" i="15"/>
  <c r="K95" i="15"/>
  <c r="K94" i="15"/>
  <c r="K290" i="15"/>
  <c r="K87" i="15"/>
  <c r="K81" i="15"/>
  <c r="K210" i="15"/>
  <c r="K455" i="15"/>
  <c r="K399" i="15"/>
  <c r="K371" i="15"/>
  <c r="K350" i="15"/>
  <c r="K340" i="15"/>
  <c r="K359" i="15"/>
  <c r="K336" i="15"/>
  <c r="K355" i="15"/>
  <c r="K331" i="15"/>
  <c r="K289" i="15"/>
  <c r="K288" i="15"/>
  <c r="K287" i="15"/>
  <c r="K284" i="15"/>
  <c r="K282" i="15"/>
  <c r="K279" i="15"/>
  <c r="K262" i="15"/>
  <c r="K229" i="15"/>
  <c r="K296" i="15"/>
  <c r="K226" i="15"/>
  <c r="K222" i="15"/>
  <c r="K221" i="15"/>
  <c r="K220" i="15"/>
  <c r="K217" i="15"/>
  <c r="K215" i="15"/>
  <c r="K214" i="15"/>
  <c r="K212" i="15"/>
  <c r="K211" i="15"/>
  <c r="K196" i="15"/>
  <c r="K171" i="15"/>
  <c r="K163" i="15"/>
  <c r="BD163" i="15"/>
  <c r="K157" i="15"/>
  <c r="K123" i="15"/>
  <c r="BD123" i="15"/>
  <c r="K116" i="15"/>
  <c r="K113" i="15"/>
  <c r="K338" i="15"/>
  <c r="K357" i="15"/>
  <c r="K111" i="15"/>
  <c r="K337" i="15"/>
  <c r="K356" i="15"/>
  <c r="K110" i="15"/>
  <c r="K104" i="15"/>
  <c r="K79" i="15"/>
  <c r="K64" i="15"/>
  <c r="K62" i="15"/>
  <c r="K14" i="15"/>
  <c r="K127" i="15"/>
  <c r="C297" i="17"/>
  <c r="C300" i="17"/>
  <c r="J249" i="17"/>
  <c r="C291" i="17"/>
  <c r="D267" i="17"/>
  <c r="D256" i="17"/>
  <c r="D252" i="17"/>
  <c r="BC163" i="15"/>
  <c r="BC143" i="15"/>
  <c r="BC135" i="15"/>
  <c r="BC134" i="15"/>
  <c r="BC138" i="15"/>
  <c r="BC131" i="15"/>
  <c r="BC118" i="15"/>
  <c r="BC64" i="15"/>
  <c r="BC13" i="15"/>
  <c r="BC455" i="15"/>
  <c r="BC399" i="15"/>
  <c r="BC371" i="15"/>
  <c r="BC350" i="15"/>
  <c r="BC340" i="15"/>
  <c r="BC359" i="15"/>
  <c r="BC336" i="15"/>
  <c r="BC355" i="15"/>
  <c r="BC331" i="15"/>
  <c r="BC287" i="15"/>
  <c r="BC264" i="15"/>
  <c r="BC263" i="15"/>
  <c r="BC262" i="15"/>
  <c r="BC229" i="15"/>
  <c r="BC296" i="15"/>
  <c r="BC198" i="15"/>
  <c r="BC197" i="15"/>
  <c r="BC196" i="15"/>
  <c r="BC171" i="15"/>
  <c r="BC157" i="15"/>
  <c r="BC123" i="15"/>
  <c r="BC116" i="15"/>
  <c r="BC110" i="15"/>
  <c r="BC104" i="15"/>
  <c r="BC220" i="15"/>
  <c r="BC79" i="15"/>
  <c r="BC68" i="15"/>
  <c r="BC62" i="15"/>
  <c r="BC25" i="15"/>
  <c r="D470" i="17"/>
  <c r="BB135" i="15"/>
  <c r="BB134" i="15"/>
  <c r="BB27" i="15"/>
  <c r="BB23" i="15"/>
  <c r="D347" i="17"/>
  <c r="J309" i="17"/>
  <c r="C360" i="17"/>
  <c r="D327" i="17"/>
  <c r="D316" i="17"/>
  <c r="D312" i="17"/>
  <c r="C346" i="17"/>
  <c r="BB163" i="15"/>
  <c r="BB143" i="15"/>
  <c r="BB138" i="15"/>
  <c r="BB131" i="15"/>
  <c r="BB132" i="15"/>
  <c r="BB137" i="15"/>
  <c r="BB118" i="15"/>
  <c r="BB97" i="15"/>
  <c r="BB293" i="15"/>
  <c r="BB83" i="15"/>
  <c r="BB92" i="15"/>
  <c r="BB88" i="15"/>
  <c r="BB217" i="15"/>
  <c r="BB86" i="15"/>
  <c r="BC86" i="15"/>
  <c r="BB85" i="15"/>
  <c r="BB82" i="15"/>
  <c r="BC82" i="15"/>
  <c r="BC211" i="15"/>
  <c r="BB455" i="15"/>
  <c r="BB399" i="15"/>
  <c r="BB371" i="15"/>
  <c r="BB350" i="15"/>
  <c r="BB340" i="15"/>
  <c r="BB359" i="15"/>
  <c r="BB336" i="15"/>
  <c r="BB355" i="15"/>
  <c r="BB331" i="15"/>
  <c r="BB264" i="15"/>
  <c r="BB263" i="15"/>
  <c r="BB262" i="15"/>
  <c r="BB229" i="15"/>
  <c r="BB296" i="15"/>
  <c r="BB198" i="15"/>
  <c r="BB197" i="15"/>
  <c r="BB196" i="15"/>
  <c r="BB171" i="15"/>
  <c r="BB157" i="15"/>
  <c r="BB123" i="15"/>
  <c r="BB116" i="15"/>
  <c r="BB110" i="15"/>
  <c r="BB104" i="15"/>
  <c r="BB93" i="15"/>
  <c r="BB222" i="15"/>
  <c r="BB91" i="15"/>
  <c r="BB79" i="15"/>
  <c r="BB64" i="15"/>
  <c r="BB62" i="15"/>
  <c r="BB14" i="15"/>
  <c r="BB60" i="15" s="1"/>
  <c r="BB127" i="15"/>
  <c r="E368" i="17"/>
  <c r="C412" i="17"/>
  <c r="C421" i="17"/>
  <c r="D388" i="17"/>
  <c r="D377" i="17"/>
  <c r="E377" i="17"/>
  <c r="D373" i="17"/>
  <c r="BA163" i="15"/>
  <c r="BA143" i="15"/>
  <c r="BA138" i="15"/>
  <c r="BA135" i="15"/>
  <c r="BA134" i="15"/>
  <c r="BA131" i="15"/>
  <c r="BA132" i="15"/>
  <c r="BA118" i="15"/>
  <c r="BA95" i="15"/>
  <c r="BA94" i="15"/>
  <c r="BA89" i="15"/>
  <c r="BA285" i="15"/>
  <c r="BA87" i="15"/>
  <c r="BA283" i="15"/>
  <c r="BA17" i="15"/>
  <c r="BD17" i="15"/>
  <c r="L17" i="15" s="1"/>
  <c r="BA13" i="15"/>
  <c r="BA14" i="15"/>
  <c r="BA455" i="15"/>
  <c r="BA399" i="15"/>
  <c r="BA371" i="15"/>
  <c r="BA350" i="15"/>
  <c r="BA340" i="15"/>
  <c r="BA359" i="15"/>
  <c r="BA336" i="15"/>
  <c r="BA355" i="15"/>
  <c r="BA331" i="15"/>
  <c r="BA293" i="15"/>
  <c r="BA289" i="15"/>
  <c r="BA288" i="15"/>
  <c r="BA287" i="15"/>
  <c r="BA284" i="15"/>
  <c r="BA282" i="15"/>
  <c r="BA281" i="15"/>
  <c r="BA279" i="15"/>
  <c r="BA278" i="15"/>
  <c r="BA264" i="15"/>
  <c r="BA263" i="15"/>
  <c r="BA262" i="15"/>
  <c r="BA229" i="15"/>
  <c r="BA296" i="15"/>
  <c r="BA226" i="15"/>
  <c r="BA222" i="15"/>
  <c r="BA221" i="15"/>
  <c r="BA220" i="15"/>
  <c r="BA217" i="15"/>
  <c r="BA215" i="15"/>
  <c r="BA214" i="15"/>
  <c r="BA212" i="15"/>
  <c r="BA211" i="15"/>
  <c r="BA198" i="15"/>
  <c r="BA197" i="15"/>
  <c r="BA196" i="15"/>
  <c r="BA171" i="15"/>
  <c r="BA157" i="15"/>
  <c r="BA123" i="15"/>
  <c r="BA116" i="15"/>
  <c r="BA110" i="15"/>
  <c r="BA104" i="15"/>
  <c r="BA79" i="15"/>
  <c r="BA62" i="15"/>
  <c r="BA25" i="15"/>
  <c r="AX14" i="15"/>
  <c r="AX127" i="15"/>
  <c r="AV12" i="15"/>
  <c r="AV11" i="15"/>
  <c r="AV10" i="15"/>
  <c r="AV9" i="15"/>
  <c r="AV8" i="15"/>
  <c r="E427" i="17"/>
  <c r="C480" i="17"/>
  <c r="D447" i="17"/>
  <c r="D436" i="17"/>
  <c r="D432" i="17"/>
  <c r="C466" i="17"/>
  <c r="AZ454" i="15"/>
  <c r="AZ453" i="15"/>
  <c r="AZ452" i="15"/>
  <c r="AZ455" i="15" s="1"/>
  <c r="AZ166" i="15"/>
  <c r="J429" i="17"/>
  <c r="AZ165" i="15"/>
  <c r="AZ149" i="15"/>
  <c r="AZ141" i="15"/>
  <c r="AZ136" i="15"/>
  <c r="AZ122" i="15"/>
  <c r="AZ121" i="15"/>
  <c r="AZ120" i="15"/>
  <c r="AZ119" i="15"/>
  <c r="AZ34" i="15"/>
  <c r="AZ33" i="15"/>
  <c r="AZ31" i="15"/>
  <c r="AZ29" i="15"/>
  <c r="AZ28" i="15"/>
  <c r="AZ26" i="15"/>
  <c r="AZ22" i="15"/>
  <c r="AZ21" i="15"/>
  <c r="AZ20" i="15"/>
  <c r="AZ17" i="15"/>
  <c r="AZ16" i="15"/>
  <c r="AZ128" i="15" s="1"/>
  <c r="AZ126" i="15"/>
  <c r="AZ12" i="15"/>
  <c r="AZ11" i="15"/>
  <c r="AZ7" i="15"/>
  <c r="AZ399" i="15"/>
  <c r="AZ371" i="15"/>
  <c r="AZ350" i="15"/>
  <c r="AZ336" i="15"/>
  <c r="AZ355" i="15"/>
  <c r="AZ331" i="15"/>
  <c r="AZ264" i="15"/>
  <c r="AZ263" i="15"/>
  <c r="AZ262" i="15"/>
  <c r="AZ198" i="15"/>
  <c r="AZ197" i="15"/>
  <c r="AZ196" i="15"/>
  <c r="AZ171" i="15"/>
  <c r="AZ157" i="15"/>
  <c r="AZ116" i="15"/>
  <c r="AZ110" i="15"/>
  <c r="AZ104" i="15"/>
  <c r="AZ79" i="15"/>
  <c r="AZ62" i="15"/>
  <c r="L110" i="15"/>
  <c r="J163" i="15"/>
  <c r="AZ163" i="15"/>
  <c r="J143" i="15"/>
  <c r="AZ143" i="15"/>
  <c r="J138" i="15"/>
  <c r="AZ138" i="15"/>
  <c r="J135" i="15"/>
  <c r="AZ135" i="15"/>
  <c r="J134" i="15"/>
  <c r="AZ134" i="15"/>
  <c r="J131" i="15"/>
  <c r="AZ131" i="15"/>
  <c r="AZ132" i="15"/>
  <c r="J118" i="15"/>
  <c r="AZ118" i="15"/>
  <c r="J95" i="15"/>
  <c r="J291" i="15"/>
  <c r="J94" i="15"/>
  <c r="J290" i="15"/>
  <c r="J92" i="15"/>
  <c r="J87" i="15"/>
  <c r="J89" i="15"/>
  <c r="J81" i="15"/>
  <c r="J50" i="15"/>
  <c r="H14" i="15"/>
  <c r="H18" i="15"/>
  <c r="F14" i="15"/>
  <c r="I14" i="15"/>
  <c r="I127" i="15"/>
  <c r="I59" i="15"/>
  <c r="J14" i="15"/>
  <c r="J127" i="15" s="1"/>
  <c r="J455" i="15"/>
  <c r="J399" i="15"/>
  <c r="J371" i="15"/>
  <c r="J350" i="15"/>
  <c r="J340" i="15"/>
  <c r="J359" i="15"/>
  <c r="J336" i="15"/>
  <c r="J355" i="15"/>
  <c r="J331" i="15"/>
  <c r="J293" i="15"/>
  <c r="J289" i="15"/>
  <c r="J287" i="15"/>
  <c r="J284" i="15"/>
  <c r="J282" i="15"/>
  <c r="J281" i="15"/>
  <c r="J279" i="15"/>
  <c r="J278" i="15"/>
  <c r="J262" i="15"/>
  <c r="J229" i="15"/>
  <c r="J296" i="15"/>
  <c r="J226" i="15"/>
  <c r="J222" i="15"/>
  <c r="J220" i="15"/>
  <c r="J217" i="15"/>
  <c r="J215" i="15"/>
  <c r="J214" i="15"/>
  <c r="J212" i="15"/>
  <c r="J211" i="15"/>
  <c r="J196" i="15"/>
  <c r="J171" i="15"/>
  <c r="J157" i="15"/>
  <c r="J123" i="15"/>
  <c r="AZ123" i="15"/>
  <c r="J116" i="15"/>
  <c r="J113" i="15"/>
  <c r="J338" i="15"/>
  <c r="J357" i="15"/>
  <c r="J111" i="15"/>
  <c r="J337" i="15"/>
  <c r="J356" i="15"/>
  <c r="J110" i="15"/>
  <c r="J104" i="15"/>
  <c r="J79" i="15"/>
  <c r="J64" i="15"/>
  <c r="J60" i="15" s="1"/>
  <c r="J62" i="15"/>
  <c r="J489" i="17"/>
  <c r="C531" i="17"/>
  <c r="C540" i="17"/>
  <c r="D530" i="17"/>
  <c r="D507" i="17"/>
  <c r="D496" i="17"/>
  <c r="D492" i="17"/>
  <c r="C526" i="17"/>
  <c r="C527" i="17"/>
  <c r="AY163" i="15"/>
  <c r="AY143" i="15"/>
  <c r="AY138" i="15"/>
  <c r="AY135" i="15"/>
  <c r="AY134" i="15"/>
  <c r="AY131" i="15"/>
  <c r="AY132" i="15"/>
  <c r="AY123" i="15"/>
  <c r="AY118" i="15"/>
  <c r="AY23" i="15"/>
  <c r="AY68" i="15"/>
  <c r="AY13" i="15"/>
  <c r="AY455" i="15"/>
  <c r="AY399" i="15"/>
  <c r="AY371" i="15"/>
  <c r="AY350" i="15"/>
  <c r="AY340" i="15"/>
  <c r="AY359" i="15"/>
  <c r="AY336" i="15"/>
  <c r="AY355" i="15"/>
  <c r="AY331" i="15"/>
  <c r="AY264" i="15"/>
  <c r="AY263" i="15"/>
  <c r="AY262" i="15"/>
  <c r="AY229" i="15"/>
  <c r="AY296" i="15"/>
  <c r="AY198" i="15"/>
  <c r="AY197" i="15"/>
  <c r="AY196" i="15"/>
  <c r="AY171" i="15"/>
  <c r="AY157" i="15"/>
  <c r="AY116" i="15"/>
  <c r="AY110" i="15"/>
  <c r="AY104" i="15"/>
  <c r="AY79" i="15"/>
  <c r="AY64" i="15"/>
  <c r="AY62" i="15"/>
  <c r="AY25" i="15"/>
  <c r="C599" i="17"/>
  <c r="D589" i="17"/>
  <c r="D567" i="17"/>
  <c r="D556" i="17"/>
  <c r="D552" i="17"/>
  <c r="C585" i="17"/>
  <c r="D585" i="17"/>
  <c r="AX455" i="15"/>
  <c r="AX399" i="15"/>
  <c r="AX371" i="15"/>
  <c r="AX350" i="15"/>
  <c r="AX340" i="15"/>
  <c r="AX359" i="15"/>
  <c r="AX336" i="15"/>
  <c r="AX355" i="15"/>
  <c r="AX331" i="15"/>
  <c r="AX264" i="15"/>
  <c r="AX263" i="15"/>
  <c r="AX262" i="15"/>
  <c r="AX229" i="15"/>
  <c r="AX296" i="15"/>
  <c r="AX198" i="15"/>
  <c r="AX197" i="15"/>
  <c r="AX196" i="15"/>
  <c r="AX171" i="15"/>
  <c r="AX163" i="15"/>
  <c r="AX157" i="15"/>
  <c r="AX143" i="15"/>
  <c r="AX138" i="15"/>
  <c r="AX135" i="15"/>
  <c r="AX134" i="15"/>
  <c r="AX131" i="15"/>
  <c r="AX132" i="15"/>
  <c r="AX123" i="15"/>
  <c r="AX118" i="15"/>
  <c r="AX116" i="15"/>
  <c r="AX110" i="15"/>
  <c r="AX104" i="15"/>
  <c r="AX97" i="15"/>
  <c r="AY97" i="15"/>
  <c r="AX92" i="15"/>
  <c r="AX91" i="15"/>
  <c r="AX93" i="15"/>
  <c r="AX88" i="15"/>
  <c r="AX217" i="15"/>
  <c r="AX86" i="15"/>
  <c r="AX85" i="15"/>
  <c r="AX83" i="15"/>
  <c r="AX212" i="15"/>
  <c r="AX82" i="15"/>
  <c r="AX79" i="15"/>
  <c r="AX68" i="15"/>
  <c r="AX64" i="15"/>
  <c r="AX62" i="15"/>
  <c r="AX25" i="15"/>
  <c r="AX48" i="15"/>
  <c r="H191" i="15"/>
  <c r="AS14" i="15"/>
  <c r="AS46" i="15"/>
  <c r="AW13" i="15"/>
  <c r="AW14" i="15"/>
  <c r="AW127" i="15"/>
  <c r="C649" i="17"/>
  <c r="J606" i="17"/>
  <c r="E613" i="17"/>
  <c r="C658" i="17"/>
  <c r="D648" i="17"/>
  <c r="D626" i="17"/>
  <c r="D615" i="17"/>
  <c r="D611" i="17"/>
  <c r="C644" i="17"/>
  <c r="AW163" i="15"/>
  <c r="AW143" i="15"/>
  <c r="AW340" i="15"/>
  <c r="AW359" i="15"/>
  <c r="AW138" i="15"/>
  <c r="AW135" i="15"/>
  <c r="AW134" i="15"/>
  <c r="AW131" i="15"/>
  <c r="AW132" i="15"/>
  <c r="AW137" i="15" s="1"/>
  <c r="AW118" i="15"/>
  <c r="AW95" i="15"/>
  <c r="AW94" i="15"/>
  <c r="AW223" i="15"/>
  <c r="AW89" i="15"/>
  <c r="AW87" i="15"/>
  <c r="AW216" i="15"/>
  <c r="AW81" i="15"/>
  <c r="AW277" i="15"/>
  <c r="AW455" i="15"/>
  <c r="AW399" i="15"/>
  <c r="AW371" i="15"/>
  <c r="AW350" i="15"/>
  <c r="AW336" i="15"/>
  <c r="AW355" i="15"/>
  <c r="AW331" i="15"/>
  <c r="AW293" i="15"/>
  <c r="AW289" i="15"/>
  <c r="AW288" i="15"/>
  <c r="AW287" i="15"/>
  <c r="AW284" i="15"/>
  <c r="AW282" i="15"/>
  <c r="AW281" i="15"/>
  <c r="AW279" i="15"/>
  <c r="AW278" i="15"/>
  <c r="AW264" i="15"/>
  <c r="AW263" i="15"/>
  <c r="AW262" i="15"/>
  <c r="AW229" i="15"/>
  <c r="AW296" i="15"/>
  <c r="AW226" i="15"/>
  <c r="AW222" i="15"/>
  <c r="AW221" i="15"/>
  <c r="AW220" i="15"/>
  <c r="AW217" i="15"/>
  <c r="AW215" i="15"/>
  <c r="AW214" i="15"/>
  <c r="AW212" i="15"/>
  <c r="AW211" i="15"/>
  <c r="AW198" i="15"/>
  <c r="AW197" i="15"/>
  <c r="AW196" i="15"/>
  <c r="AW171" i="15"/>
  <c r="AW157" i="15"/>
  <c r="AW123" i="15"/>
  <c r="AW116" i="15"/>
  <c r="AW110" i="15"/>
  <c r="AW104" i="15"/>
  <c r="AW79" i="15"/>
  <c r="AW68" i="15"/>
  <c r="AW64" i="15"/>
  <c r="AW62" i="15"/>
  <c r="AW25" i="15"/>
  <c r="D673" i="17"/>
  <c r="D684" i="17"/>
  <c r="E664" i="17"/>
  <c r="C716" i="17"/>
  <c r="D706" i="17"/>
  <c r="D669" i="17"/>
  <c r="AV454" i="15"/>
  <c r="AV453" i="15"/>
  <c r="AV452" i="15"/>
  <c r="AV166" i="15"/>
  <c r="E689" i="17"/>
  <c r="AV165" i="15"/>
  <c r="AV149" i="15"/>
  <c r="AV141" i="15"/>
  <c r="AV229" i="15"/>
  <c r="AV296" i="15"/>
  <c r="AV136" i="15"/>
  <c r="AV122" i="15"/>
  <c r="AV121" i="15"/>
  <c r="AV120" i="15"/>
  <c r="AV119" i="15"/>
  <c r="AV34" i="15"/>
  <c r="AV33" i="15"/>
  <c r="AV31" i="15"/>
  <c r="AV29" i="15"/>
  <c r="AV28" i="15"/>
  <c r="AV27" i="15"/>
  <c r="AV26" i="15"/>
  <c r="AW49" i="15" s="1"/>
  <c r="AV22" i="15"/>
  <c r="AV21" i="15"/>
  <c r="AV20" i="15"/>
  <c r="AV17" i="15"/>
  <c r="AV16" i="15"/>
  <c r="AV7" i="15"/>
  <c r="AV399" i="15"/>
  <c r="AV371" i="15"/>
  <c r="AV350" i="15"/>
  <c r="AV336" i="15"/>
  <c r="AV355" i="15"/>
  <c r="AV331" i="15"/>
  <c r="AV264" i="15"/>
  <c r="AV263" i="15"/>
  <c r="AV262" i="15"/>
  <c r="AV198" i="15"/>
  <c r="AV197" i="15"/>
  <c r="AV196" i="15"/>
  <c r="AV171" i="15"/>
  <c r="AV157" i="15"/>
  <c r="AV116" i="15"/>
  <c r="AV110" i="15"/>
  <c r="AV104" i="15"/>
  <c r="AV79" i="15"/>
  <c r="AV62" i="15"/>
  <c r="I163" i="15"/>
  <c r="AV163" i="15"/>
  <c r="I143" i="15"/>
  <c r="AV143" i="15"/>
  <c r="I131" i="15"/>
  <c r="I138" i="15"/>
  <c r="I135" i="15"/>
  <c r="AV135" i="15"/>
  <c r="I134" i="15"/>
  <c r="AV134" i="15"/>
  <c r="I118" i="15"/>
  <c r="AV118" i="15"/>
  <c r="I95" i="15"/>
  <c r="I94" i="15"/>
  <c r="I92" i="15"/>
  <c r="I288" i="15"/>
  <c r="I89" i="15"/>
  <c r="I218" i="15"/>
  <c r="I87" i="15"/>
  <c r="I216" i="15"/>
  <c r="I81" i="15"/>
  <c r="I210" i="15"/>
  <c r="I23" i="15"/>
  <c r="I455" i="15"/>
  <c r="I399" i="15"/>
  <c r="I371" i="15"/>
  <c r="I350" i="15"/>
  <c r="I340" i="15"/>
  <c r="I359" i="15"/>
  <c r="I336" i="15"/>
  <c r="I355" i="15"/>
  <c r="I331" i="15"/>
  <c r="I262" i="15"/>
  <c r="I229" i="15"/>
  <c r="I296" i="15"/>
  <c r="I226" i="15"/>
  <c r="I222" i="15"/>
  <c r="I220" i="15"/>
  <c r="I217" i="15"/>
  <c r="I215" i="15"/>
  <c r="I214" i="15"/>
  <c r="I212" i="15"/>
  <c r="I211" i="15"/>
  <c r="I196" i="15"/>
  <c r="I287" i="15"/>
  <c r="I171" i="15"/>
  <c r="I157" i="15"/>
  <c r="I123" i="15"/>
  <c r="I116" i="15"/>
  <c r="I113" i="15"/>
  <c r="I338" i="15"/>
  <c r="I357" i="15"/>
  <c r="I111" i="15"/>
  <c r="I337" i="15"/>
  <c r="I356" i="15"/>
  <c r="I110" i="15"/>
  <c r="I104" i="15"/>
  <c r="I79" i="15"/>
  <c r="I64" i="15"/>
  <c r="I62" i="15"/>
  <c r="I50" i="15"/>
  <c r="I25" i="15"/>
  <c r="C7" i="15"/>
  <c r="C14" i="15"/>
  <c r="C51" i="15"/>
  <c r="D7" i="15"/>
  <c r="D14" i="15"/>
  <c r="D44" i="15"/>
  <c r="E7" i="15"/>
  <c r="E14" i="15"/>
  <c r="AR7" i="15"/>
  <c r="Q7" i="15"/>
  <c r="Q14" i="15"/>
  <c r="R7" i="15"/>
  <c r="R14" i="15"/>
  <c r="R56" i="15"/>
  <c r="S7" i="15"/>
  <c r="S14" i="15"/>
  <c r="T7" i="15"/>
  <c r="T14" i="15"/>
  <c r="T43" i="15"/>
  <c r="U7" i="15"/>
  <c r="U14" i="15"/>
  <c r="V7" i="15"/>
  <c r="V14" i="15"/>
  <c r="W7" i="15"/>
  <c r="W14" i="15"/>
  <c r="X7" i="15"/>
  <c r="X14" i="15"/>
  <c r="X46" i="15"/>
  <c r="Y7" i="15"/>
  <c r="Y14" i="15"/>
  <c r="Z7" i="15"/>
  <c r="Z14" i="15"/>
  <c r="Z44" i="15"/>
  <c r="AA7" i="15"/>
  <c r="AA14" i="15"/>
  <c r="AA56" i="15"/>
  <c r="AB7" i="15"/>
  <c r="AB14" i="15"/>
  <c r="AB15" i="15"/>
  <c r="AC7" i="15"/>
  <c r="AC14" i="15"/>
  <c r="AD7" i="15"/>
  <c r="AD14" i="15"/>
  <c r="AD265" i="15"/>
  <c r="AE7" i="15"/>
  <c r="AE14" i="15"/>
  <c r="AF7" i="15"/>
  <c r="AF14" i="15"/>
  <c r="AL7" i="15"/>
  <c r="AR11" i="15"/>
  <c r="AL11" i="15"/>
  <c r="AN11" i="15"/>
  <c r="G13" i="15"/>
  <c r="AU13" i="15"/>
  <c r="AR13" i="15"/>
  <c r="AL13" i="15"/>
  <c r="AM13" i="15"/>
  <c r="AM14" i="15"/>
  <c r="AM199" i="15"/>
  <c r="AG14" i="15"/>
  <c r="AH14" i="15"/>
  <c r="AH42" i="15"/>
  <c r="AI14" i="15"/>
  <c r="AI199" i="15"/>
  <c r="AJ14" i="15"/>
  <c r="AK14" i="15"/>
  <c r="AO14" i="15"/>
  <c r="AO59" i="15"/>
  <c r="AP14" i="15"/>
  <c r="AQ14" i="15"/>
  <c r="AT14" i="15"/>
  <c r="AR16" i="15"/>
  <c r="AN16" i="15"/>
  <c r="AR17" i="15"/>
  <c r="AR64" i="15"/>
  <c r="AN17" i="15"/>
  <c r="AN64" i="15"/>
  <c r="AR20" i="15"/>
  <c r="AN20" i="15"/>
  <c r="AR21" i="15"/>
  <c r="AN21" i="15"/>
  <c r="AR22" i="15"/>
  <c r="AN22" i="15"/>
  <c r="G23" i="15"/>
  <c r="G68" i="15"/>
  <c r="AU23" i="15"/>
  <c r="AR23" i="15"/>
  <c r="AR68" i="15"/>
  <c r="AL23" i="15"/>
  <c r="AL68" i="15"/>
  <c r="AM23" i="15"/>
  <c r="N24" i="15"/>
  <c r="O24" i="15"/>
  <c r="P24" i="15"/>
  <c r="C25" i="15"/>
  <c r="D25" i="15"/>
  <c r="D48" i="15"/>
  <c r="E25" i="15"/>
  <c r="F25" i="15"/>
  <c r="G25" i="15"/>
  <c r="H25" i="15"/>
  <c r="AR26" i="15"/>
  <c r="AR27" i="15"/>
  <c r="AT50" i="15"/>
  <c r="AR28" i="15"/>
  <c r="N25" i="15"/>
  <c r="O25" i="15"/>
  <c r="P25" i="15"/>
  <c r="Q25" i="15"/>
  <c r="R25" i="15"/>
  <c r="S25" i="15"/>
  <c r="T25" i="15"/>
  <c r="U25" i="15"/>
  <c r="U48" i="15"/>
  <c r="V25" i="15"/>
  <c r="W25" i="15"/>
  <c r="X25" i="15"/>
  <c r="Y25" i="15"/>
  <c r="Z25" i="15"/>
  <c r="AA25" i="15"/>
  <c r="AB25" i="15"/>
  <c r="AC25" i="15"/>
  <c r="AC48" i="15"/>
  <c r="AD25" i="15"/>
  <c r="AE25" i="15"/>
  <c r="AF25" i="15"/>
  <c r="AG25" i="15"/>
  <c r="AH25" i="15"/>
  <c r="AI25" i="15"/>
  <c r="AJ25" i="15"/>
  <c r="AK25" i="15"/>
  <c r="AL27" i="15"/>
  <c r="AM25" i="15"/>
  <c r="AN26" i="15"/>
  <c r="AN28" i="15"/>
  <c r="AO25" i="15"/>
  <c r="AP25" i="15"/>
  <c r="AQ25" i="15"/>
  <c r="AQ48" i="15" s="1"/>
  <c r="AS25" i="15"/>
  <c r="AT25" i="15"/>
  <c r="AT48" i="15"/>
  <c r="AU25" i="15"/>
  <c r="AR29" i="15"/>
  <c r="AN29" i="15"/>
  <c r="AR31" i="15"/>
  <c r="AN31" i="15"/>
  <c r="AR33" i="15"/>
  <c r="AN33" i="15"/>
  <c r="AR34" i="15"/>
  <c r="AN34" i="15"/>
  <c r="B42" i="15"/>
  <c r="B43" i="15"/>
  <c r="B44" i="15"/>
  <c r="B45" i="15"/>
  <c r="B46" i="15"/>
  <c r="B47" i="15"/>
  <c r="B48" i="15"/>
  <c r="C131" i="15"/>
  <c r="C132" i="15"/>
  <c r="C134" i="15"/>
  <c r="C137" i="15" s="1"/>
  <c r="C144" i="15" s="1"/>
  <c r="C147" i="15" s="1"/>
  <c r="D131" i="15"/>
  <c r="D132" i="15"/>
  <c r="D134" i="15"/>
  <c r="D135" i="15"/>
  <c r="E131" i="15"/>
  <c r="AF131" i="15"/>
  <c r="E134" i="15"/>
  <c r="AF134" i="15"/>
  <c r="E135" i="15"/>
  <c r="AF135" i="15"/>
  <c r="F131" i="15"/>
  <c r="F134" i="15"/>
  <c r="AJ134" i="15"/>
  <c r="F135" i="15"/>
  <c r="AJ135" i="15"/>
  <c r="G131" i="15"/>
  <c r="AN131" i="15"/>
  <c r="AN132" i="15"/>
  <c r="G134" i="15"/>
  <c r="AN134" i="15"/>
  <c r="G135" i="15"/>
  <c r="H132" i="15"/>
  <c r="H134" i="15"/>
  <c r="H135" i="15"/>
  <c r="AR135" i="15"/>
  <c r="AU131" i="15"/>
  <c r="AU132" i="15"/>
  <c r="AU134" i="15"/>
  <c r="AU135" i="15"/>
  <c r="AC131" i="15"/>
  <c r="AC132" i="15"/>
  <c r="AC134" i="15"/>
  <c r="AC135" i="15"/>
  <c r="AC136" i="15"/>
  <c r="AD131" i="15"/>
  <c r="AD132" i="15"/>
  <c r="AD134" i="15"/>
  <c r="AD135" i="15"/>
  <c r="AD136" i="15"/>
  <c r="AE131" i="15"/>
  <c r="AE132" i="15"/>
  <c r="AE134" i="15"/>
  <c r="AE135" i="15"/>
  <c r="AF136" i="15"/>
  <c r="AG131" i="15"/>
  <c r="AG132" i="15"/>
  <c r="AG134" i="15"/>
  <c r="AG135" i="15"/>
  <c r="AH131" i="15"/>
  <c r="AH132" i="15"/>
  <c r="AH134" i="15"/>
  <c r="AH135" i="15"/>
  <c r="AI131" i="15"/>
  <c r="AI132" i="15"/>
  <c r="AI134" i="15"/>
  <c r="AI135" i="15"/>
  <c r="AJ136" i="15"/>
  <c r="AK131" i="15"/>
  <c r="AK132" i="15"/>
  <c r="AK134" i="15"/>
  <c r="AK135" i="15"/>
  <c r="AL131" i="15"/>
  <c r="AL132" i="15"/>
  <c r="AL134" i="15"/>
  <c r="AL135" i="15"/>
  <c r="AM131" i="15"/>
  <c r="AM132" i="15"/>
  <c r="AM134" i="15"/>
  <c r="AM135" i="15"/>
  <c r="AN136" i="15"/>
  <c r="AO131" i="15"/>
  <c r="AO132" i="15"/>
  <c r="AO134" i="15"/>
  <c r="AO135" i="15"/>
  <c r="AP131" i="15"/>
  <c r="AP132" i="15"/>
  <c r="AP134" i="15"/>
  <c r="AP135" i="15"/>
  <c r="AQ131" i="15"/>
  <c r="AQ132" i="15"/>
  <c r="AQ134" i="15"/>
  <c r="AQ135" i="15"/>
  <c r="AR131" i="15"/>
  <c r="AR132" i="15"/>
  <c r="AR136" i="15"/>
  <c r="AS132" i="15"/>
  <c r="AS134" i="15"/>
  <c r="AS135" i="15"/>
  <c r="AT132" i="15"/>
  <c r="AT134" i="15"/>
  <c r="AT135" i="15"/>
  <c r="C50" i="15"/>
  <c r="D50" i="15"/>
  <c r="E50" i="15"/>
  <c r="F50" i="15"/>
  <c r="G50" i="15"/>
  <c r="H50" i="15"/>
  <c r="AC50" i="15"/>
  <c r="AD50" i="15"/>
  <c r="AE50" i="15"/>
  <c r="AF141" i="15"/>
  <c r="AG50" i="15"/>
  <c r="AH50" i="15"/>
  <c r="AI50" i="15"/>
  <c r="AJ141" i="15"/>
  <c r="AJ340" i="15"/>
  <c r="AJ359" i="15"/>
  <c r="AK50" i="15"/>
  <c r="AL141" i="15"/>
  <c r="AN141" i="15"/>
  <c r="AN229" i="15"/>
  <c r="AN296" i="15"/>
  <c r="AR141" i="15"/>
  <c r="B51" i="15"/>
  <c r="B52" i="15"/>
  <c r="B54" i="15"/>
  <c r="B55" i="15"/>
  <c r="B56" i="15"/>
  <c r="B57" i="15"/>
  <c r="AP85" i="15"/>
  <c r="AT85" i="15"/>
  <c r="AT59" i="15"/>
  <c r="AD85" i="15"/>
  <c r="AH85" i="15"/>
  <c r="AL85" i="15"/>
  <c r="C64" i="15"/>
  <c r="D64" i="15"/>
  <c r="E64" i="15"/>
  <c r="E60" i="15"/>
  <c r="F64" i="15"/>
  <c r="F60" i="15"/>
  <c r="G64" i="15"/>
  <c r="H64" i="15"/>
  <c r="Q64" i="15"/>
  <c r="R64" i="15"/>
  <c r="S64" i="15"/>
  <c r="T64" i="15"/>
  <c r="T60" i="15"/>
  <c r="U64" i="15"/>
  <c r="V64" i="15"/>
  <c r="W64" i="15"/>
  <c r="X64" i="15"/>
  <c r="X60" i="15"/>
  <c r="Y64" i="15"/>
  <c r="Z64" i="15"/>
  <c r="AA64" i="15"/>
  <c r="AB64" i="15"/>
  <c r="AB60" i="15"/>
  <c r="AC64" i="15"/>
  <c r="AC60" i="15"/>
  <c r="AD64" i="15"/>
  <c r="AE64" i="15"/>
  <c r="AF64" i="15"/>
  <c r="AG64" i="15"/>
  <c r="AH64" i="15"/>
  <c r="AI64" i="15"/>
  <c r="AI60" i="15"/>
  <c r="AJ64" i="15"/>
  <c r="AJ60" i="15"/>
  <c r="AK64" i="15"/>
  <c r="AL64" i="15"/>
  <c r="AM64" i="15"/>
  <c r="AO64" i="15"/>
  <c r="AP64" i="15"/>
  <c r="AQ64" i="15"/>
  <c r="AS64" i="15"/>
  <c r="AT64" i="15"/>
  <c r="AT60" i="15"/>
  <c r="AU64" i="15"/>
  <c r="AV64" i="15" s="1"/>
  <c r="C62" i="15"/>
  <c r="D62" i="15"/>
  <c r="E62" i="15"/>
  <c r="F62" i="15"/>
  <c r="G62" i="15"/>
  <c r="H62" i="15"/>
  <c r="N62" i="15"/>
  <c r="O62" i="15"/>
  <c r="P62" i="15"/>
  <c r="Q62" i="15"/>
  <c r="R62" i="15"/>
  <c r="S62" i="15"/>
  <c r="T62" i="15"/>
  <c r="U62" i="15"/>
  <c r="V62" i="15"/>
  <c r="W62" i="15"/>
  <c r="X62" i="15"/>
  <c r="Y62" i="15"/>
  <c r="Z62" i="15"/>
  <c r="AA62" i="15"/>
  <c r="AB62" i="15"/>
  <c r="AC62" i="15"/>
  <c r="AD62" i="15"/>
  <c r="AE62" i="15"/>
  <c r="AF62" i="15"/>
  <c r="AG62" i="15"/>
  <c r="AH62" i="15"/>
  <c r="AI62" i="15"/>
  <c r="AJ62" i="15"/>
  <c r="AK62" i="15"/>
  <c r="AL62" i="15"/>
  <c r="AM62" i="15"/>
  <c r="AN62" i="15"/>
  <c r="AO62" i="15"/>
  <c r="AP62" i="15"/>
  <c r="AQ62" i="15"/>
  <c r="AR62" i="15"/>
  <c r="AS62" i="15"/>
  <c r="AT62" i="15"/>
  <c r="AU62" i="15"/>
  <c r="B68" i="15"/>
  <c r="C68" i="15"/>
  <c r="D68" i="15"/>
  <c r="E68" i="15"/>
  <c r="F68" i="15"/>
  <c r="H68" i="15"/>
  <c r="Q68" i="15"/>
  <c r="R68" i="15"/>
  <c r="S68" i="15"/>
  <c r="T68" i="15"/>
  <c r="U68" i="15"/>
  <c r="V68" i="15"/>
  <c r="W68" i="15"/>
  <c r="X68" i="15"/>
  <c r="Y68" i="15"/>
  <c r="Z68" i="15"/>
  <c r="AA68" i="15"/>
  <c r="AB68" i="15"/>
  <c r="AC68" i="15"/>
  <c r="AD68" i="15"/>
  <c r="AE68" i="15"/>
  <c r="AF68" i="15"/>
  <c r="AG68" i="15"/>
  <c r="AH68" i="15"/>
  <c r="AI68" i="15"/>
  <c r="AJ68" i="15"/>
  <c r="AK68" i="15"/>
  <c r="AO68" i="15"/>
  <c r="AP68" i="15"/>
  <c r="AQ68" i="15"/>
  <c r="AS68" i="15"/>
  <c r="AT68" i="15"/>
  <c r="C74" i="15"/>
  <c r="C336" i="15"/>
  <c r="C355" i="15"/>
  <c r="L336" i="15"/>
  <c r="AC74" i="15"/>
  <c r="AC157" i="15"/>
  <c r="AD74" i="15"/>
  <c r="AE74" i="15"/>
  <c r="AE157" i="15"/>
  <c r="AF74" i="15"/>
  <c r="AG74" i="15"/>
  <c r="AG157" i="15"/>
  <c r="AH74" i="15"/>
  <c r="AI74" i="15"/>
  <c r="AJ74" i="15"/>
  <c r="AM110" i="15"/>
  <c r="C79" i="15"/>
  <c r="D79" i="15"/>
  <c r="E79" i="15"/>
  <c r="F79" i="15"/>
  <c r="G79" i="15"/>
  <c r="H79" i="15"/>
  <c r="N79" i="15"/>
  <c r="O79" i="15"/>
  <c r="P79" i="15"/>
  <c r="Q79" i="15"/>
  <c r="R79" i="15"/>
  <c r="S79" i="15"/>
  <c r="T79" i="15"/>
  <c r="U79" i="15"/>
  <c r="V79" i="15"/>
  <c r="W79" i="15"/>
  <c r="X79" i="15"/>
  <c r="Y79" i="15"/>
  <c r="Z79" i="15"/>
  <c r="AA79" i="15"/>
  <c r="AB79" i="15"/>
  <c r="AC79" i="15"/>
  <c r="AD79" i="15"/>
  <c r="AE79" i="15"/>
  <c r="AF79" i="15"/>
  <c r="AG79" i="15"/>
  <c r="AH79" i="15"/>
  <c r="AI79" i="15"/>
  <c r="AJ79" i="15"/>
  <c r="AK79" i="15"/>
  <c r="AL79" i="15"/>
  <c r="AM79" i="15"/>
  <c r="AN79" i="15"/>
  <c r="AO79" i="15"/>
  <c r="AP79" i="15"/>
  <c r="AQ79" i="15"/>
  <c r="AR79" i="15"/>
  <c r="AS79" i="15"/>
  <c r="AT79" i="15"/>
  <c r="AU79" i="15"/>
  <c r="D81" i="15"/>
  <c r="E81" i="15"/>
  <c r="E210" i="15"/>
  <c r="F81" i="15"/>
  <c r="F210" i="15"/>
  <c r="G81" i="15"/>
  <c r="G210" i="15"/>
  <c r="H81" i="15"/>
  <c r="H277" i="15"/>
  <c r="AO81" i="15"/>
  <c r="AO210" i="15"/>
  <c r="AS81" i="15"/>
  <c r="AS277" i="15"/>
  <c r="AC81" i="15"/>
  <c r="AG81" i="15"/>
  <c r="AK81" i="15"/>
  <c r="AP82" i="15"/>
  <c r="AP278" i="15"/>
  <c r="AT82" i="15"/>
  <c r="AD82" i="15"/>
  <c r="AD278" i="15"/>
  <c r="AH82" i="15"/>
  <c r="AL82" i="15"/>
  <c r="AM82" i="15"/>
  <c r="AP83" i="15"/>
  <c r="AT83" i="15"/>
  <c r="AD83" i="15"/>
  <c r="AE83" i="15"/>
  <c r="AH83" i="15"/>
  <c r="AI83" i="15"/>
  <c r="AL83" i="15"/>
  <c r="AL212" i="15"/>
  <c r="AP282" i="15"/>
  <c r="AT86" i="15"/>
  <c r="AD86" i="15"/>
  <c r="AD215" i="15"/>
  <c r="AH86" i="15"/>
  <c r="AI86" i="15"/>
  <c r="AL86" i="15"/>
  <c r="AL215" i="15"/>
  <c r="C87" i="15"/>
  <c r="C283" i="15"/>
  <c r="G87" i="15"/>
  <c r="G283" i="15"/>
  <c r="H87" i="15"/>
  <c r="H216" i="15"/>
  <c r="AO87" i="15"/>
  <c r="AO283" i="15"/>
  <c r="AS87" i="15"/>
  <c r="AT87" i="15"/>
  <c r="AT216" i="15"/>
  <c r="AD87" i="15"/>
  <c r="AG87" i="15"/>
  <c r="AL87" i="15"/>
  <c r="AP88" i="15"/>
  <c r="AP217" i="15"/>
  <c r="AT88" i="15"/>
  <c r="AU88" i="15"/>
  <c r="AD88" i="15"/>
  <c r="AE88" i="15"/>
  <c r="AH88" i="15"/>
  <c r="AL88" i="15"/>
  <c r="C89" i="15"/>
  <c r="C218" i="15"/>
  <c r="D89" i="15"/>
  <c r="E89" i="15"/>
  <c r="E285" i="15"/>
  <c r="F89" i="15"/>
  <c r="G89" i="15"/>
  <c r="G218" i="15"/>
  <c r="H89" i="15"/>
  <c r="H285" i="15"/>
  <c r="AP89" i="15"/>
  <c r="AQ89" i="15"/>
  <c r="AS89" i="15"/>
  <c r="AT89" i="15"/>
  <c r="AC89" i="15"/>
  <c r="AG89" i="15"/>
  <c r="AK89" i="15"/>
  <c r="AL89" i="15"/>
  <c r="D91" i="15"/>
  <c r="D220" i="15"/>
  <c r="G91" i="15"/>
  <c r="AP91" i="15"/>
  <c r="AP287" i="15"/>
  <c r="AT91" i="15"/>
  <c r="AT287" i="15"/>
  <c r="AD91" i="15"/>
  <c r="AD287" i="15"/>
  <c r="AH91" i="15"/>
  <c r="AM91" i="15"/>
  <c r="AM220" i="15"/>
  <c r="C92" i="15"/>
  <c r="D92" i="15"/>
  <c r="D288" i="15"/>
  <c r="E92" i="15"/>
  <c r="F92" i="15"/>
  <c r="F288" i="15"/>
  <c r="G92" i="15"/>
  <c r="G288" i="15"/>
  <c r="H92" i="15"/>
  <c r="AP92" i="15"/>
  <c r="AT92" i="15"/>
  <c r="AT288" i="15"/>
  <c r="AD92" i="15"/>
  <c r="AH92" i="15"/>
  <c r="AH221" i="15"/>
  <c r="AL92" i="15"/>
  <c r="AP93" i="15"/>
  <c r="AP289" i="15"/>
  <c r="AT93" i="15"/>
  <c r="AU93" i="15"/>
  <c r="AV93" i="15"/>
  <c r="AD93" i="15"/>
  <c r="AH93" i="15"/>
  <c r="AH222" i="15"/>
  <c r="AM93" i="15"/>
  <c r="C94" i="15"/>
  <c r="D94" i="15"/>
  <c r="D223" i="15"/>
  <c r="E94" i="15"/>
  <c r="E223" i="15"/>
  <c r="F94" i="15"/>
  <c r="F223" i="15"/>
  <c r="G94" i="15"/>
  <c r="H94" i="15"/>
  <c r="H290" i="15"/>
  <c r="AO94" i="15"/>
  <c r="AP94" i="15"/>
  <c r="AQ94" i="15"/>
  <c r="AQ290" i="15"/>
  <c r="AS94" i="15"/>
  <c r="AC94" i="15"/>
  <c r="AG94" i="15"/>
  <c r="AG223" i="15"/>
  <c r="AK94" i="15"/>
  <c r="AL94" i="15"/>
  <c r="D95" i="15"/>
  <c r="E95" i="15"/>
  <c r="G95" i="15"/>
  <c r="G224" i="15"/>
  <c r="H95" i="15"/>
  <c r="AO95" i="15"/>
  <c r="AP95" i="15"/>
  <c r="AS95" i="15"/>
  <c r="AS224" i="15"/>
  <c r="AD95" i="15"/>
  <c r="AE95" i="15"/>
  <c r="AF95" i="15"/>
  <c r="AH95" i="15"/>
  <c r="AI95" i="15"/>
  <c r="AI291" i="15"/>
  <c r="AL95" i="15"/>
  <c r="AP97" i="15"/>
  <c r="AP293" i="15"/>
  <c r="AT97" i="15"/>
  <c r="AU97" i="15"/>
  <c r="AU226" i="15"/>
  <c r="AD97" i="15"/>
  <c r="AH97" i="15"/>
  <c r="AL97" i="15"/>
  <c r="C101" i="15"/>
  <c r="C104" i="15"/>
  <c r="D104" i="15"/>
  <c r="E104" i="15"/>
  <c r="F104" i="15"/>
  <c r="G104" i="15"/>
  <c r="H104" i="15"/>
  <c r="N104" i="15"/>
  <c r="O104" i="15"/>
  <c r="P104" i="15"/>
  <c r="Q104" i="15"/>
  <c r="R104" i="15"/>
  <c r="S104" i="15"/>
  <c r="T104" i="15"/>
  <c r="U104" i="15"/>
  <c r="V104" i="15"/>
  <c r="W104" i="15"/>
  <c r="X104" i="15"/>
  <c r="Y104" i="15"/>
  <c r="Z104" i="15"/>
  <c r="AA104" i="15"/>
  <c r="AB104" i="15"/>
  <c r="AC104" i="15"/>
  <c r="AD104" i="15"/>
  <c r="AE104" i="15"/>
  <c r="AF104" i="15"/>
  <c r="AG104" i="15"/>
  <c r="AH104" i="15"/>
  <c r="AI104" i="15"/>
  <c r="AJ104" i="15"/>
  <c r="AK104" i="15"/>
  <c r="AL104" i="15"/>
  <c r="AM104" i="15"/>
  <c r="AN104" i="15"/>
  <c r="AO104" i="15"/>
  <c r="AP104" i="15"/>
  <c r="AQ104" i="15"/>
  <c r="AR104" i="15"/>
  <c r="AS104" i="15"/>
  <c r="AT104" i="15"/>
  <c r="AU104" i="15"/>
  <c r="B105" i="15"/>
  <c r="B332" i="15"/>
  <c r="D110" i="15"/>
  <c r="E110" i="15"/>
  <c r="F110" i="15"/>
  <c r="G110" i="15"/>
  <c r="H110" i="15"/>
  <c r="AN110" i="15"/>
  <c r="AO110" i="15"/>
  <c r="AP110" i="15"/>
  <c r="AQ110" i="15"/>
  <c r="AR110" i="15"/>
  <c r="AS110" i="15"/>
  <c r="AT110" i="15"/>
  <c r="AU110" i="15"/>
  <c r="C111" i="15"/>
  <c r="C337" i="15"/>
  <c r="C356" i="15"/>
  <c r="D111" i="15"/>
  <c r="D337" i="15"/>
  <c r="D356" i="15"/>
  <c r="E111" i="15"/>
  <c r="E337" i="15"/>
  <c r="E356" i="15"/>
  <c r="F111" i="15"/>
  <c r="F337" i="15"/>
  <c r="F356" i="15"/>
  <c r="G111" i="15"/>
  <c r="G337" i="15"/>
  <c r="G356" i="15"/>
  <c r="H111" i="15"/>
  <c r="H337" i="15"/>
  <c r="H356" i="15"/>
  <c r="C113" i="15"/>
  <c r="C338" i="15"/>
  <c r="C357" i="15"/>
  <c r="D113" i="15"/>
  <c r="D338" i="15"/>
  <c r="D357" i="15"/>
  <c r="E113" i="15"/>
  <c r="E338" i="15"/>
  <c r="E357" i="15"/>
  <c r="F113" i="15"/>
  <c r="F338" i="15"/>
  <c r="F357" i="15"/>
  <c r="G113" i="15"/>
  <c r="G338" i="15"/>
  <c r="G357" i="15"/>
  <c r="H113" i="15"/>
  <c r="H338" i="15"/>
  <c r="H357" i="15"/>
  <c r="C116" i="15"/>
  <c r="D116" i="15"/>
  <c r="E116" i="15"/>
  <c r="F116" i="15"/>
  <c r="G116" i="15"/>
  <c r="H116" i="15"/>
  <c r="N116" i="15"/>
  <c r="O116" i="15"/>
  <c r="P116" i="15"/>
  <c r="Q116" i="15"/>
  <c r="R116" i="15"/>
  <c r="S116" i="15"/>
  <c r="T116" i="15"/>
  <c r="U116" i="15"/>
  <c r="V116" i="15"/>
  <c r="W116" i="15"/>
  <c r="X116" i="15"/>
  <c r="Y116" i="15"/>
  <c r="Z116" i="15"/>
  <c r="AA116" i="15"/>
  <c r="AB116" i="15"/>
  <c r="AC116" i="15"/>
  <c r="AD116" i="15"/>
  <c r="AE116" i="15"/>
  <c r="AF116" i="15"/>
  <c r="AG116" i="15"/>
  <c r="AH116" i="15"/>
  <c r="AI116" i="15"/>
  <c r="AJ116" i="15"/>
  <c r="AK116" i="15"/>
  <c r="AL116" i="15"/>
  <c r="AM116" i="15"/>
  <c r="AN116" i="15"/>
  <c r="AO116" i="15"/>
  <c r="AP116" i="15"/>
  <c r="AQ116" i="15"/>
  <c r="AR116" i="15"/>
  <c r="AS116" i="15"/>
  <c r="AT116" i="15"/>
  <c r="AU116" i="15"/>
  <c r="C118" i="15"/>
  <c r="D118" i="15"/>
  <c r="E118" i="15"/>
  <c r="AF118" i="15"/>
  <c r="F118" i="15"/>
  <c r="AJ118" i="15"/>
  <c r="G118" i="15"/>
  <c r="AN118" i="15"/>
  <c r="H118" i="15"/>
  <c r="AR118" i="15"/>
  <c r="AU118" i="15"/>
  <c r="AC118" i="15"/>
  <c r="AD118" i="15"/>
  <c r="AE118" i="15"/>
  <c r="AG118" i="15"/>
  <c r="AH118" i="15"/>
  <c r="AI118" i="15"/>
  <c r="AK118" i="15"/>
  <c r="AM118" i="15"/>
  <c r="AO118" i="15"/>
  <c r="AQ118" i="15"/>
  <c r="AS118" i="15"/>
  <c r="AT118" i="15"/>
  <c r="AF119" i="15"/>
  <c r="AJ119" i="15"/>
  <c r="AL119" i="15"/>
  <c r="AN119" i="15"/>
  <c r="AR119" i="15"/>
  <c r="AF120" i="15"/>
  <c r="AJ120" i="15"/>
  <c r="AL120" i="15"/>
  <c r="AN120" i="15"/>
  <c r="AR120" i="15"/>
  <c r="AF121" i="15"/>
  <c r="AJ121" i="15"/>
  <c r="AL121" i="15"/>
  <c r="AN121" i="15"/>
  <c r="AR121" i="15"/>
  <c r="AF122" i="15"/>
  <c r="AJ122" i="15"/>
  <c r="AJ123" i="15"/>
  <c r="AL122" i="15"/>
  <c r="AN122" i="15"/>
  <c r="AR122" i="15"/>
  <c r="C123" i="15"/>
  <c r="D123" i="15"/>
  <c r="E123" i="15"/>
  <c r="F123" i="15"/>
  <c r="G123" i="15"/>
  <c r="H123" i="15"/>
  <c r="AC123" i="15"/>
  <c r="AD123" i="15"/>
  <c r="AE123" i="15"/>
  <c r="AG123" i="15"/>
  <c r="AH123" i="15"/>
  <c r="AI123" i="15"/>
  <c r="AK123" i="15"/>
  <c r="AM123" i="15"/>
  <c r="AO123" i="15"/>
  <c r="AP123" i="15"/>
  <c r="AQ123" i="15"/>
  <c r="AS123" i="15"/>
  <c r="AT123" i="15"/>
  <c r="AU123" i="15"/>
  <c r="N137" i="15"/>
  <c r="N139" i="15"/>
  <c r="O137" i="15"/>
  <c r="O139" i="15"/>
  <c r="P137" i="15"/>
  <c r="P139" i="15"/>
  <c r="Q137" i="15"/>
  <c r="Q139" i="15"/>
  <c r="R137" i="15"/>
  <c r="R139" i="15"/>
  <c r="S137" i="15"/>
  <c r="S139" i="15"/>
  <c r="T137" i="15"/>
  <c r="T139" i="15"/>
  <c r="U137" i="15"/>
  <c r="U139" i="15"/>
  <c r="V137" i="15"/>
  <c r="V139" i="15"/>
  <c r="W137" i="15"/>
  <c r="W139" i="15"/>
  <c r="X137" i="15"/>
  <c r="X139" i="15"/>
  <c r="Y137" i="15"/>
  <c r="Y139" i="15"/>
  <c r="Z137" i="15"/>
  <c r="Z139" i="15"/>
  <c r="AA137" i="15"/>
  <c r="AA139" i="15"/>
  <c r="AB137" i="15"/>
  <c r="AB139" i="15"/>
  <c r="G138" i="15"/>
  <c r="AN138" i="15"/>
  <c r="H138" i="15"/>
  <c r="AU138" i="15"/>
  <c r="AO138" i="15"/>
  <c r="AP138" i="15"/>
  <c r="AQ138" i="15"/>
  <c r="AS138" i="15"/>
  <c r="G143" i="15"/>
  <c r="AN143" i="15"/>
  <c r="H143" i="15"/>
  <c r="AR143" i="15"/>
  <c r="AU143" i="15"/>
  <c r="AF143" i="15"/>
  <c r="AJ143" i="15"/>
  <c r="AL143" i="15"/>
  <c r="AM143" i="15"/>
  <c r="AO143" i="15"/>
  <c r="AP143" i="15"/>
  <c r="AQ143" i="15"/>
  <c r="AS143" i="15"/>
  <c r="AT143" i="15"/>
  <c r="AB146" i="15"/>
  <c r="C149" i="15"/>
  <c r="D149" i="15"/>
  <c r="E149" i="15"/>
  <c r="AF149" i="15"/>
  <c r="F149" i="15"/>
  <c r="AJ149" i="15"/>
  <c r="AC149" i="15"/>
  <c r="AD149" i="15"/>
  <c r="AE149" i="15"/>
  <c r="AG149" i="15"/>
  <c r="AH149" i="15"/>
  <c r="AI149" i="15"/>
  <c r="AK149" i="15"/>
  <c r="AM149" i="15"/>
  <c r="AN149" i="15"/>
  <c r="AR149" i="15"/>
  <c r="D157" i="15"/>
  <c r="E157" i="15"/>
  <c r="F157" i="15"/>
  <c r="G157" i="15"/>
  <c r="H157" i="15"/>
  <c r="AU157" i="15"/>
  <c r="AK157" i="15"/>
  <c r="AL157" i="15"/>
  <c r="AM157" i="15"/>
  <c r="AN157" i="15"/>
  <c r="AO157" i="15"/>
  <c r="AP157" i="15"/>
  <c r="AQ157" i="15"/>
  <c r="AR157" i="15"/>
  <c r="AS157" i="15"/>
  <c r="AT157" i="15"/>
  <c r="E163" i="15"/>
  <c r="AF163" i="15"/>
  <c r="F163" i="15"/>
  <c r="AJ163" i="15"/>
  <c r="G163" i="15"/>
  <c r="AN163" i="15"/>
  <c r="H163" i="15"/>
  <c r="AR163" i="15"/>
  <c r="AU163" i="15"/>
  <c r="AC163" i="15"/>
  <c r="AE163" i="15"/>
  <c r="AG163" i="15"/>
  <c r="AH163" i="15"/>
  <c r="AI163" i="15"/>
  <c r="AK163" i="15"/>
  <c r="AL163" i="15"/>
  <c r="AM163" i="15"/>
  <c r="AO163" i="15"/>
  <c r="AP163" i="15"/>
  <c r="AQ163" i="15"/>
  <c r="AS163" i="15"/>
  <c r="AT163" i="15"/>
  <c r="AF165" i="15"/>
  <c r="AJ165" i="15"/>
  <c r="AN165" i="15"/>
  <c r="AR165" i="15"/>
  <c r="AS165" i="15"/>
  <c r="AF166" i="15"/>
  <c r="AJ166" i="15"/>
  <c r="AL166" i="15"/>
  <c r="AN166" i="15"/>
  <c r="J1187" i="17"/>
  <c r="AR166" i="15"/>
  <c r="J899" i="17"/>
  <c r="C171" i="15"/>
  <c r="D171" i="15"/>
  <c r="E171" i="15"/>
  <c r="F171" i="15"/>
  <c r="G171" i="15"/>
  <c r="H171" i="15"/>
  <c r="N171" i="15"/>
  <c r="O171" i="15"/>
  <c r="P171" i="15"/>
  <c r="Q171" i="15"/>
  <c r="R171" i="15"/>
  <c r="S171" i="15"/>
  <c r="T171" i="15"/>
  <c r="U171" i="15"/>
  <c r="V171" i="15"/>
  <c r="W171" i="15"/>
  <c r="X171" i="15"/>
  <c r="Y171" i="15"/>
  <c r="Z171" i="15"/>
  <c r="AA171" i="15"/>
  <c r="AB171" i="15"/>
  <c r="AC171" i="15"/>
  <c r="AD171" i="15"/>
  <c r="AE171" i="15"/>
  <c r="AF171" i="15"/>
  <c r="AG171" i="15"/>
  <c r="AH171" i="15"/>
  <c r="AI171" i="15"/>
  <c r="AJ171" i="15"/>
  <c r="AK171" i="15"/>
  <c r="AL171" i="15"/>
  <c r="AM171" i="15"/>
  <c r="AN171" i="15"/>
  <c r="AO171" i="15"/>
  <c r="AP171" i="15"/>
  <c r="AQ171" i="15"/>
  <c r="AR171" i="15"/>
  <c r="AS171" i="15"/>
  <c r="AT171" i="15"/>
  <c r="AU171" i="15"/>
  <c r="AL190" i="15"/>
  <c r="AL191" i="15"/>
  <c r="AL290" i="15" s="1"/>
  <c r="AL289" i="15"/>
  <c r="C196" i="15"/>
  <c r="D196" i="15"/>
  <c r="E196" i="15"/>
  <c r="F196" i="15"/>
  <c r="G196" i="15"/>
  <c r="H196" i="15"/>
  <c r="N196" i="15"/>
  <c r="O196" i="15"/>
  <c r="P196" i="15"/>
  <c r="Q196" i="15"/>
  <c r="R196" i="15"/>
  <c r="S196" i="15"/>
  <c r="T196" i="15"/>
  <c r="U196" i="15"/>
  <c r="V196" i="15"/>
  <c r="W196" i="15"/>
  <c r="X196" i="15"/>
  <c r="Y196" i="15"/>
  <c r="Z196" i="15"/>
  <c r="AA196" i="15"/>
  <c r="AB196" i="15"/>
  <c r="AC196" i="15"/>
  <c r="AD196" i="15"/>
  <c r="AE196" i="15"/>
  <c r="AF196" i="15"/>
  <c r="AG196" i="15"/>
  <c r="AH196" i="15"/>
  <c r="AI196" i="15"/>
  <c r="AJ196" i="15"/>
  <c r="AK196" i="15"/>
  <c r="AL196" i="15"/>
  <c r="AM196" i="15"/>
  <c r="AN196" i="15"/>
  <c r="AO196" i="15"/>
  <c r="AP196" i="15"/>
  <c r="AQ196" i="15"/>
  <c r="AR196" i="15"/>
  <c r="AS196" i="15"/>
  <c r="AT196" i="15"/>
  <c r="AU196" i="15"/>
  <c r="AM197" i="15"/>
  <c r="AN197" i="15"/>
  <c r="AO197" i="15"/>
  <c r="AP197" i="15"/>
  <c r="AQ197" i="15"/>
  <c r="AR197" i="15"/>
  <c r="AS197" i="15"/>
  <c r="AT197" i="15"/>
  <c r="AU197" i="15"/>
  <c r="AM198" i="15"/>
  <c r="AN198" i="15"/>
  <c r="AO198" i="15"/>
  <c r="AP198" i="15"/>
  <c r="AQ198" i="15"/>
  <c r="AR198" i="15"/>
  <c r="AS198" i="15"/>
  <c r="AT198" i="15"/>
  <c r="AU198" i="15"/>
  <c r="C211" i="15"/>
  <c r="D211" i="15"/>
  <c r="E211" i="15"/>
  <c r="F211" i="15"/>
  <c r="G211" i="15"/>
  <c r="H211" i="15"/>
  <c r="AC211" i="15"/>
  <c r="AG211" i="15"/>
  <c r="AK211" i="15"/>
  <c r="AO211" i="15"/>
  <c r="AS211" i="15"/>
  <c r="B212" i="15"/>
  <c r="C212" i="15"/>
  <c r="D212" i="15"/>
  <c r="E212" i="15"/>
  <c r="F212" i="15"/>
  <c r="G212" i="15"/>
  <c r="H212" i="15"/>
  <c r="AC212" i="15"/>
  <c r="AG212" i="15"/>
  <c r="AK212" i="15"/>
  <c r="AO212" i="15"/>
  <c r="AS212" i="15"/>
  <c r="B213" i="15"/>
  <c r="B214" i="15"/>
  <c r="C214" i="15"/>
  <c r="D214" i="15"/>
  <c r="E214" i="15"/>
  <c r="F214" i="15"/>
  <c r="G214" i="15"/>
  <c r="H214" i="15"/>
  <c r="AC214" i="15"/>
  <c r="AG214" i="15"/>
  <c r="AK214" i="15"/>
  <c r="AO214" i="15"/>
  <c r="AS214" i="15"/>
  <c r="B215" i="15"/>
  <c r="C215" i="15"/>
  <c r="D215" i="15"/>
  <c r="E215" i="15"/>
  <c r="F215" i="15"/>
  <c r="G215" i="15"/>
  <c r="H215" i="15"/>
  <c r="AC215" i="15"/>
  <c r="AG215" i="15"/>
  <c r="AK215" i="15"/>
  <c r="AO215" i="15"/>
  <c r="AS215" i="15"/>
  <c r="B216" i="15"/>
  <c r="D216" i="15"/>
  <c r="E216" i="15"/>
  <c r="F216" i="15"/>
  <c r="AC216" i="15"/>
  <c r="AK216" i="15"/>
  <c r="B217" i="15"/>
  <c r="C217" i="15"/>
  <c r="D217" i="15"/>
  <c r="E217" i="15"/>
  <c r="F217" i="15"/>
  <c r="G217" i="15"/>
  <c r="H217" i="15"/>
  <c r="AC217" i="15"/>
  <c r="AG217" i="15"/>
  <c r="AK217" i="15"/>
  <c r="AO217" i="15"/>
  <c r="AS217" i="15"/>
  <c r="B218" i="15"/>
  <c r="AO218" i="15"/>
  <c r="B220" i="15"/>
  <c r="C220" i="15"/>
  <c r="E220" i="15"/>
  <c r="F220" i="15"/>
  <c r="H220" i="15"/>
  <c r="AC220" i="15"/>
  <c r="AG220" i="15"/>
  <c r="AK220" i="15"/>
  <c r="AL220" i="15"/>
  <c r="AO220" i="15"/>
  <c r="AS220" i="15"/>
  <c r="B221" i="15"/>
  <c r="AC221" i="15"/>
  <c r="AG221" i="15"/>
  <c r="AK221" i="15"/>
  <c r="AO221" i="15"/>
  <c r="AS221" i="15"/>
  <c r="B222" i="15"/>
  <c r="C222" i="15"/>
  <c r="D222" i="15"/>
  <c r="E222" i="15"/>
  <c r="F222" i="15"/>
  <c r="G222" i="15"/>
  <c r="H222" i="15"/>
  <c r="AC222" i="15"/>
  <c r="AG222" i="15"/>
  <c r="AK222" i="15"/>
  <c r="AL222" i="15"/>
  <c r="AO222" i="15"/>
  <c r="AS222" i="15"/>
  <c r="B223" i="15"/>
  <c r="B224" i="15"/>
  <c r="C224" i="15"/>
  <c r="F224" i="15"/>
  <c r="AC224" i="15"/>
  <c r="AG224" i="15"/>
  <c r="AK224" i="15"/>
  <c r="B225" i="15"/>
  <c r="B226" i="15"/>
  <c r="C226" i="15"/>
  <c r="D226" i="15"/>
  <c r="E226" i="15"/>
  <c r="F226" i="15"/>
  <c r="G226" i="15"/>
  <c r="H226" i="15"/>
  <c r="AC226" i="15"/>
  <c r="AG226" i="15"/>
  <c r="AK226" i="15"/>
  <c r="AO226" i="15"/>
  <c r="AS226" i="15"/>
  <c r="B227" i="15"/>
  <c r="B228" i="15"/>
  <c r="C229" i="15"/>
  <c r="C296" i="15"/>
  <c r="D229" i="15"/>
  <c r="D296" i="15"/>
  <c r="E229" i="15"/>
  <c r="E296" i="15"/>
  <c r="F229" i="15"/>
  <c r="F296" i="15"/>
  <c r="G229" i="15"/>
  <c r="G296" i="15"/>
  <c r="H229" i="15"/>
  <c r="H296" i="15"/>
  <c r="AC229" i="15"/>
  <c r="AC296" i="15"/>
  <c r="AD229" i="15"/>
  <c r="AD296" i="15"/>
  <c r="AE229" i="15"/>
  <c r="AE296" i="15"/>
  <c r="AG229" i="15"/>
  <c r="AG296" i="15"/>
  <c r="AH229" i="15"/>
  <c r="AH296" i="15"/>
  <c r="AI229" i="15"/>
  <c r="AI296" i="15"/>
  <c r="AK229" i="15"/>
  <c r="AK296" i="15"/>
  <c r="AM229" i="15"/>
  <c r="AM296" i="15"/>
  <c r="AO229" i="15"/>
  <c r="AO296" i="15"/>
  <c r="AP229" i="15"/>
  <c r="AP296" i="15"/>
  <c r="AQ229" i="15"/>
  <c r="AQ296" i="15"/>
  <c r="AS229" i="15"/>
  <c r="AS296" i="15"/>
  <c r="AT229" i="15"/>
  <c r="AT296" i="15"/>
  <c r="AU229" i="15"/>
  <c r="AU296" i="15"/>
  <c r="C262" i="15"/>
  <c r="D262" i="15"/>
  <c r="E262" i="15"/>
  <c r="F262" i="15"/>
  <c r="G262" i="15"/>
  <c r="H262" i="15"/>
  <c r="N262" i="15"/>
  <c r="O262" i="15"/>
  <c r="P262" i="15"/>
  <c r="Q262" i="15"/>
  <c r="R262" i="15"/>
  <c r="S262" i="15"/>
  <c r="T262" i="15"/>
  <c r="U262" i="15"/>
  <c r="V262" i="15"/>
  <c r="W262" i="15"/>
  <c r="X262" i="15"/>
  <c r="Y262" i="15"/>
  <c r="Z262" i="15"/>
  <c r="AA262" i="15"/>
  <c r="AB262" i="15"/>
  <c r="AC262" i="15"/>
  <c r="AD262" i="15"/>
  <c r="AE262" i="15"/>
  <c r="AF262" i="15"/>
  <c r="AG262" i="15"/>
  <c r="AH262" i="15"/>
  <c r="AI262" i="15"/>
  <c r="AJ262" i="15"/>
  <c r="AK262" i="15"/>
  <c r="AL262" i="15"/>
  <c r="AM262" i="15"/>
  <c r="AN262" i="15"/>
  <c r="AO262" i="15"/>
  <c r="AP262" i="15"/>
  <c r="AQ262" i="15"/>
  <c r="AR262" i="15"/>
  <c r="AS262" i="15"/>
  <c r="AT262" i="15"/>
  <c r="AU262" i="15"/>
  <c r="L263" i="15"/>
  <c r="AQ263" i="15"/>
  <c r="AR263" i="15"/>
  <c r="AS263" i="15"/>
  <c r="AU263" i="15"/>
  <c r="L264" i="15"/>
  <c r="AK264" i="15"/>
  <c r="AL264" i="15"/>
  <c r="AM264" i="15"/>
  <c r="AN264" i="15"/>
  <c r="AO264" i="15"/>
  <c r="AP264" i="15"/>
  <c r="AQ264" i="15"/>
  <c r="AR264" i="15"/>
  <c r="AS264" i="15"/>
  <c r="AT264" i="15"/>
  <c r="AU264" i="15"/>
  <c r="B265" i="15"/>
  <c r="F265" i="15"/>
  <c r="B266" i="15"/>
  <c r="B268" i="15"/>
  <c r="B272" i="15"/>
  <c r="B273" i="15"/>
  <c r="B274" i="15"/>
  <c r="B276" i="15"/>
  <c r="B277" i="15"/>
  <c r="B278" i="15"/>
  <c r="C278" i="15"/>
  <c r="D278" i="15"/>
  <c r="E278" i="15"/>
  <c r="F278" i="15"/>
  <c r="G278" i="15"/>
  <c r="AC278" i="15"/>
  <c r="AG278" i="15"/>
  <c r="AK278" i="15"/>
  <c r="AO278" i="15"/>
  <c r="AS278" i="15"/>
  <c r="B279" i="15"/>
  <c r="C279" i="15"/>
  <c r="D279" i="15"/>
  <c r="E279" i="15"/>
  <c r="F279" i="15"/>
  <c r="G279" i="15"/>
  <c r="AC279" i="15"/>
  <c r="AG279" i="15"/>
  <c r="AK279" i="15"/>
  <c r="AO279" i="15"/>
  <c r="AS279" i="15"/>
  <c r="B280" i="15"/>
  <c r="B281" i="15"/>
  <c r="C281" i="15"/>
  <c r="D281" i="15"/>
  <c r="E281" i="15"/>
  <c r="F281" i="15"/>
  <c r="G281" i="15"/>
  <c r="AC281" i="15"/>
  <c r="AG281" i="15"/>
  <c r="AH281" i="15"/>
  <c r="AK281" i="15"/>
  <c r="AO281" i="15"/>
  <c r="AS281" i="15"/>
  <c r="B282" i="15"/>
  <c r="C282" i="15"/>
  <c r="D282" i="15"/>
  <c r="E282" i="15"/>
  <c r="F282" i="15"/>
  <c r="G282" i="15"/>
  <c r="AC282" i="15"/>
  <c r="AG282" i="15"/>
  <c r="AK282" i="15"/>
  <c r="AO282" i="15"/>
  <c r="AS282" i="15"/>
  <c r="B283" i="15"/>
  <c r="D283" i="15"/>
  <c r="E283" i="15"/>
  <c r="F283" i="15"/>
  <c r="AC283" i="15"/>
  <c r="AK283" i="15"/>
  <c r="B284" i="15"/>
  <c r="C284" i="15"/>
  <c r="D284" i="15"/>
  <c r="E284" i="15"/>
  <c r="F284" i="15"/>
  <c r="G284" i="15"/>
  <c r="AC284" i="15"/>
  <c r="AG284" i="15"/>
  <c r="AK284" i="15"/>
  <c r="AO284" i="15"/>
  <c r="AS284" i="15"/>
  <c r="B285" i="15"/>
  <c r="AO285" i="15"/>
  <c r="B286" i="15"/>
  <c r="B287" i="15"/>
  <c r="C287" i="15"/>
  <c r="E287" i="15"/>
  <c r="F287" i="15"/>
  <c r="AC287" i="15"/>
  <c r="AG287" i="15"/>
  <c r="AK287" i="15"/>
  <c r="AO287" i="15"/>
  <c r="AS287" i="15"/>
  <c r="B288" i="15"/>
  <c r="AC288" i="15"/>
  <c r="AG288" i="15"/>
  <c r="AK288" i="15"/>
  <c r="AO288" i="15"/>
  <c r="AS288" i="15"/>
  <c r="B289" i="15"/>
  <c r="C289" i="15"/>
  <c r="D289" i="15"/>
  <c r="E289" i="15"/>
  <c r="F289" i="15"/>
  <c r="G289" i="15"/>
  <c r="AC289" i="15"/>
  <c r="AG289" i="15"/>
  <c r="AK289" i="15"/>
  <c r="AO289" i="15"/>
  <c r="AS289" i="15"/>
  <c r="B290" i="15"/>
  <c r="B291" i="15"/>
  <c r="C291" i="15"/>
  <c r="F291" i="15"/>
  <c r="AC291" i="15"/>
  <c r="AG291" i="15"/>
  <c r="AK291" i="15"/>
  <c r="B292" i="15"/>
  <c r="B293" i="15"/>
  <c r="C293" i="15"/>
  <c r="D293" i="15"/>
  <c r="E293" i="15"/>
  <c r="F293" i="15"/>
  <c r="G293" i="15"/>
  <c r="AC293" i="15"/>
  <c r="AG293" i="15"/>
  <c r="AK293" i="15"/>
  <c r="AO293" i="15"/>
  <c r="AS293" i="15"/>
  <c r="B294" i="15"/>
  <c r="B295" i="15"/>
  <c r="B313" i="15"/>
  <c r="B314" i="15"/>
  <c r="B316" i="15"/>
  <c r="B317" i="15"/>
  <c r="B322" i="15"/>
  <c r="B323" i="15"/>
  <c r="B325" i="15"/>
  <c r="B326" i="15"/>
  <c r="C331" i="15"/>
  <c r="D331" i="15"/>
  <c r="E331" i="15"/>
  <c r="F331" i="15"/>
  <c r="G331" i="15"/>
  <c r="H331" i="15"/>
  <c r="N331" i="15"/>
  <c r="O331" i="15"/>
  <c r="P331" i="15"/>
  <c r="Q331" i="15"/>
  <c r="R331" i="15"/>
  <c r="S331" i="15"/>
  <c r="T331" i="15"/>
  <c r="U331" i="15"/>
  <c r="V331" i="15"/>
  <c r="W331" i="15"/>
  <c r="X331" i="15"/>
  <c r="Y331" i="15"/>
  <c r="Z331" i="15"/>
  <c r="AA331" i="15"/>
  <c r="AB331" i="15"/>
  <c r="AC331" i="15"/>
  <c r="AD331" i="15"/>
  <c r="AE331" i="15"/>
  <c r="AF331" i="15"/>
  <c r="AG331" i="15"/>
  <c r="AH331" i="15"/>
  <c r="AI331" i="15"/>
  <c r="AJ331" i="15"/>
  <c r="AK331" i="15"/>
  <c r="AL331" i="15"/>
  <c r="AM331" i="15"/>
  <c r="AN331" i="15"/>
  <c r="AO331" i="15"/>
  <c r="AP331" i="15"/>
  <c r="AQ331" i="15"/>
  <c r="AR331" i="15"/>
  <c r="AS331" i="15"/>
  <c r="AT331" i="15"/>
  <c r="AU331" i="15"/>
  <c r="B333" i="15"/>
  <c r="B334" i="15"/>
  <c r="B336" i="15"/>
  <c r="D336" i="15"/>
  <c r="D355" i="15"/>
  <c r="E336" i="15"/>
  <c r="E355" i="15"/>
  <c r="F336" i="15"/>
  <c r="F355" i="15"/>
  <c r="G336" i="15"/>
  <c r="G355" i="15"/>
  <c r="H336" i="15"/>
  <c r="AK336" i="15"/>
  <c r="AK355" i="15"/>
  <c r="AL336" i="15"/>
  <c r="AM336" i="15"/>
  <c r="AN336" i="15"/>
  <c r="AO336" i="15"/>
  <c r="AP336" i="15"/>
  <c r="AP355" i="15"/>
  <c r="AQ336" i="15"/>
  <c r="AQ355" i="15"/>
  <c r="AR336" i="15"/>
  <c r="AR355" i="15"/>
  <c r="AS336" i="15"/>
  <c r="AS355" i="15"/>
  <c r="AT336" i="15"/>
  <c r="AT355" i="15"/>
  <c r="AU336" i="15"/>
  <c r="AU355" i="15"/>
  <c r="B337" i="15"/>
  <c r="B338" i="15"/>
  <c r="B339" i="15"/>
  <c r="C340" i="15"/>
  <c r="C359" i="15"/>
  <c r="D340" i="15"/>
  <c r="D359" i="15"/>
  <c r="E340" i="15"/>
  <c r="E359" i="15"/>
  <c r="F340" i="15"/>
  <c r="F359" i="15"/>
  <c r="G340" i="15"/>
  <c r="G359" i="15"/>
  <c r="H340" i="15"/>
  <c r="H359" i="15"/>
  <c r="AC340" i="15"/>
  <c r="AD340" i="15"/>
  <c r="AE340" i="15"/>
  <c r="AG340" i="15"/>
  <c r="AG359" i="15"/>
  <c r="AH340" i="15"/>
  <c r="AH359" i="15"/>
  <c r="AI340" i="15"/>
  <c r="AI359" i="15"/>
  <c r="AK340" i="15"/>
  <c r="AK359" i="15"/>
  <c r="AM340" i="15"/>
  <c r="AM359" i="15"/>
  <c r="AO340" i="15"/>
  <c r="AP340" i="15"/>
  <c r="AP359" i="15"/>
  <c r="AQ340" i="15"/>
  <c r="AQ359" i="15"/>
  <c r="AS340" i="15"/>
  <c r="AS359" i="15"/>
  <c r="AT340" i="15"/>
  <c r="AT359" i="15"/>
  <c r="AU340" i="15"/>
  <c r="AU359" i="15"/>
  <c r="C350" i="15"/>
  <c r="D350" i="15"/>
  <c r="E350" i="15"/>
  <c r="F350" i="15"/>
  <c r="G350" i="15"/>
  <c r="H350" i="15"/>
  <c r="N350" i="15"/>
  <c r="O350" i="15"/>
  <c r="P350" i="15"/>
  <c r="Q350" i="15"/>
  <c r="R350" i="15"/>
  <c r="S350" i="15"/>
  <c r="T350" i="15"/>
  <c r="U350" i="15"/>
  <c r="V350" i="15"/>
  <c r="W350" i="15"/>
  <c r="X350" i="15"/>
  <c r="Y350" i="15"/>
  <c r="Z350" i="15"/>
  <c r="AA350" i="15"/>
  <c r="AB350" i="15"/>
  <c r="AC350" i="15"/>
  <c r="AD350" i="15"/>
  <c r="AE350" i="15"/>
  <c r="AF350" i="15"/>
  <c r="AG350" i="15"/>
  <c r="AH350" i="15"/>
  <c r="AI350" i="15"/>
  <c r="AJ350" i="15"/>
  <c r="AK350" i="15"/>
  <c r="AL350" i="15"/>
  <c r="AM350" i="15"/>
  <c r="AN350" i="15"/>
  <c r="AO350" i="15"/>
  <c r="AP350" i="15"/>
  <c r="AQ350" i="15"/>
  <c r="AR350" i="15"/>
  <c r="AS350" i="15"/>
  <c r="AT350" i="15"/>
  <c r="AU350" i="15"/>
  <c r="C371" i="15"/>
  <c r="D371" i="15"/>
  <c r="E371" i="15"/>
  <c r="F371" i="15"/>
  <c r="G371" i="15"/>
  <c r="H371" i="15"/>
  <c r="N371" i="15"/>
  <c r="O371" i="15"/>
  <c r="P371" i="15"/>
  <c r="Q371" i="15"/>
  <c r="R371" i="15"/>
  <c r="S371" i="15"/>
  <c r="T371" i="15"/>
  <c r="U371" i="15"/>
  <c r="V371" i="15"/>
  <c r="W371" i="15"/>
  <c r="X371" i="15"/>
  <c r="Y371" i="15"/>
  <c r="Z371" i="15"/>
  <c r="AA371" i="15"/>
  <c r="AB371" i="15"/>
  <c r="AC371" i="15"/>
  <c r="AD371" i="15"/>
  <c r="AE371" i="15"/>
  <c r="AF371" i="15"/>
  <c r="AG371" i="15"/>
  <c r="AH371" i="15"/>
  <c r="AI371" i="15"/>
  <c r="AJ371" i="15"/>
  <c r="AK371" i="15"/>
  <c r="AL371" i="15"/>
  <c r="AM371" i="15"/>
  <c r="AN371" i="15"/>
  <c r="AO371" i="15"/>
  <c r="AP371" i="15"/>
  <c r="AQ371" i="15"/>
  <c r="AR371" i="15"/>
  <c r="AS371" i="15"/>
  <c r="AT371" i="15"/>
  <c r="AU371" i="15"/>
  <c r="C399" i="15"/>
  <c r="D399" i="15"/>
  <c r="E399" i="15"/>
  <c r="F399" i="15"/>
  <c r="G399" i="15"/>
  <c r="H399" i="15"/>
  <c r="N399" i="15"/>
  <c r="O399" i="15"/>
  <c r="P399" i="15"/>
  <c r="Q399" i="15"/>
  <c r="R399" i="15"/>
  <c r="S399" i="15"/>
  <c r="T399" i="15"/>
  <c r="U399" i="15"/>
  <c r="V399" i="15"/>
  <c r="W399" i="15"/>
  <c r="X399" i="15"/>
  <c r="Y399" i="15"/>
  <c r="Z399" i="15"/>
  <c r="AA399" i="15"/>
  <c r="AB399" i="15"/>
  <c r="AC399" i="15"/>
  <c r="AD399" i="15"/>
  <c r="AE399" i="15"/>
  <c r="AF399" i="15"/>
  <c r="AG399" i="15"/>
  <c r="AH399" i="15"/>
  <c r="AI399" i="15"/>
  <c r="AJ399" i="15"/>
  <c r="AK399" i="15"/>
  <c r="AL399" i="15"/>
  <c r="AM399" i="15"/>
  <c r="AN399" i="15"/>
  <c r="AO399" i="15"/>
  <c r="AP399" i="15"/>
  <c r="AQ399" i="15"/>
  <c r="AR399" i="15"/>
  <c r="AS399" i="15"/>
  <c r="AT399" i="15"/>
  <c r="AU399" i="15"/>
  <c r="F446" i="15"/>
  <c r="G446" i="15"/>
  <c r="AM446" i="15"/>
  <c r="AN446" i="15"/>
  <c r="AR452" i="15"/>
  <c r="AJ452" i="15"/>
  <c r="AN452" i="15"/>
  <c r="AR453" i="15"/>
  <c r="AJ453" i="15"/>
  <c r="AN453" i="15"/>
  <c r="AR454" i="15"/>
  <c r="AJ454" i="15"/>
  <c r="AJ455" i="15" s="1"/>
  <c r="AN454" i="15"/>
  <c r="AN455" i="15" s="1"/>
  <c r="F455" i="15"/>
  <c r="G455" i="15"/>
  <c r="H455" i="15"/>
  <c r="AG455" i="15"/>
  <c r="AH455" i="15"/>
  <c r="AI455" i="15"/>
  <c r="AK455" i="15"/>
  <c r="AL455" i="15"/>
  <c r="AM455" i="15"/>
  <c r="AO455" i="15"/>
  <c r="AP455" i="15"/>
  <c r="AQ455" i="15"/>
  <c r="AS455" i="15"/>
  <c r="AT455" i="15"/>
  <c r="AU455" i="15"/>
  <c r="D727" i="17"/>
  <c r="D730" i="17"/>
  <c r="D743" i="17"/>
  <c r="D745" i="17" s="1"/>
  <c r="J720" i="17" s="1"/>
  <c r="C766" i="17"/>
  <c r="J723" i="17"/>
  <c r="D765" i="17"/>
  <c r="C775" i="17"/>
  <c r="D786" i="17"/>
  <c r="D789" i="17"/>
  <c r="D801" i="17"/>
  <c r="D803" i="17" s="1"/>
  <c r="J782" i="17"/>
  <c r="D823" i="17"/>
  <c r="C823" i="17" s="1"/>
  <c r="C833" i="17"/>
  <c r="D844" i="17"/>
  <c r="D847" i="17"/>
  <c r="D858" i="17"/>
  <c r="E838" i="17"/>
  <c r="J838" i="17"/>
  <c r="J840" i="17"/>
  <c r="C890" i="17"/>
  <c r="D903" i="17"/>
  <c r="D906" i="17"/>
  <c r="D917" i="17"/>
  <c r="E911" i="17"/>
  <c r="C949" i="17"/>
  <c r="D962" i="17"/>
  <c r="D965" i="17"/>
  <c r="D976" i="17"/>
  <c r="E959" i="17"/>
  <c r="C1008" i="17"/>
  <c r="C1015" i="17"/>
  <c r="C1022" i="17"/>
  <c r="C1028" i="17"/>
  <c r="D1043" i="17"/>
  <c r="D1058" i="17"/>
  <c r="E1048" i="17"/>
  <c r="J1037" i="17"/>
  <c r="J1039" i="17"/>
  <c r="K1039" i="17"/>
  <c r="C1090" i="17"/>
  <c r="C1097" i="17"/>
  <c r="C1104" i="17"/>
  <c r="C1110" i="17"/>
  <c r="J1118" i="17"/>
  <c r="D1122" i="17"/>
  <c r="D1133" i="17"/>
  <c r="C1149" i="17"/>
  <c r="D1149" i="17"/>
  <c r="E1131" i="17"/>
  <c r="C1163" i="17"/>
  <c r="K1185" i="17"/>
  <c r="J1186" i="17"/>
  <c r="D1280" i="17"/>
  <c r="D1185" i="17"/>
  <c r="D1199" i="17"/>
  <c r="D1191" i="17"/>
  <c r="D1202" i="17"/>
  <c r="C1232" i="17"/>
  <c r="J1254" i="17"/>
  <c r="D1255" i="17"/>
  <c r="E1255" i="17"/>
  <c r="C1287" i="17"/>
  <c r="D1267" i="17"/>
  <c r="C1282" i="17"/>
  <c r="C1283" i="17"/>
  <c r="C1296" i="17"/>
  <c r="D1317" i="17"/>
  <c r="D1318" i="17"/>
  <c r="D1320" i="17"/>
  <c r="D1321" i="17"/>
  <c r="D1323" i="17"/>
  <c r="D1344" i="17"/>
  <c r="C1345" i="17"/>
  <c r="C1346" i="17"/>
  <c r="C1359" i="17"/>
  <c r="D1382" i="17"/>
  <c r="D1383" i="17"/>
  <c r="D1391" i="17"/>
  <c r="C1406" i="17"/>
  <c r="C1420" i="17"/>
  <c r="I281" i="15"/>
  <c r="I289" i="15"/>
  <c r="I293" i="15"/>
  <c r="I284" i="15"/>
  <c r="I278" i="15"/>
  <c r="I282" i="15"/>
  <c r="I279" i="15"/>
  <c r="AT265" i="15"/>
  <c r="AK218" i="15"/>
  <c r="AJ56" i="15"/>
  <c r="AI85" i="15"/>
  <c r="AI214" i="15"/>
  <c r="AH214" i="15"/>
  <c r="AD81" i="15"/>
  <c r="AC210" i="15"/>
  <c r="AC277" i="15"/>
  <c r="F42" i="15"/>
  <c r="AG18" i="15"/>
  <c r="AG24" i="15"/>
  <c r="AG42" i="15"/>
  <c r="AG46" i="15"/>
  <c r="AG45" i="15"/>
  <c r="AG44" i="15"/>
  <c r="AG55" i="15"/>
  <c r="AG43" i="15"/>
  <c r="AG51" i="15"/>
  <c r="AG59" i="15"/>
  <c r="AG56" i="15"/>
  <c r="AG199" i="15"/>
  <c r="AG265" i="15"/>
  <c r="AT18" i="15"/>
  <c r="AT19" i="15"/>
  <c r="F18" i="15"/>
  <c r="AX18" i="15"/>
  <c r="AX19" i="15"/>
  <c r="AX15" i="15"/>
  <c r="AX200" i="15"/>
  <c r="AX56" i="15"/>
  <c r="AX199" i="15"/>
  <c r="AJ55" i="15"/>
  <c r="Y42" i="15"/>
  <c r="Y46" i="15"/>
  <c r="Y55" i="15"/>
  <c r="Y60" i="15"/>
  <c r="AE93" i="15"/>
  <c r="AE91" i="15"/>
  <c r="AU92" i="15"/>
  <c r="AV92" i="15"/>
  <c r="AT221" i="15"/>
  <c r="J283" i="15"/>
  <c r="J216" i="15"/>
  <c r="AX55" i="15"/>
  <c r="AX265" i="15"/>
  <c r="AX46" i="15"/>
  <c r="AW283" i="15"/>
  <c r="AY93" i="15"/>
  <c r="AY289" i="15"/>
  <c r="AX51" i="15"/>
  <c r="AX221" i="15"/>
  <c r="AX42" i="15"/>
  <c r="BA223" i="15"/>
  <c r="BA216" i="15"/>
  <c r="BB46" i="15"/>
  <c r="BB55" i="15"/>
  <c r="BB56" i="15"/>
  <c r="BB42" i="15"/>
  <c r="BB279" i="15"/>
  <c r="BB18" i="15"/>
  <c r="BB24" i="15"/>
  <c r="BB51" i="15"/>
  <c r="BB44" i="15"/>
  <c r="BB45" i="15"/>
  <c r="AO359" i="15"/>
  <c r="BB94" i="15"/>
  <c r="BB223" i="15"/>
  <c r="BA290" i="15"/>
  <c r="I221" i="15"/>
  <c r="AT42" i="15"/>
  <c r="AT51" i="15"/>
  <c r="AT45" i="15"/>
  <c r="AT44" i="15"/>
  <c r="AT46" i="15"/>
  <c r="AT43" i="15"/>
  <c r="BB87" i="15"/>
  <c r="BB216" i="15"/>
  <c r="AD51" i="15"/>
  <c r="AJ86" i="15"/>
  <c r="AJ282" i="15"/>
  <c r="AH215" i="15"/>
  <c r="AP221" i="15"/>
  <c r="AF48" i="15"/>
  <c r="AQ56" i="15"/>
  <c r="F46" i="15"/>
  <c r="F199" i="15"/>
  <c r="BB284" i="15"/>
  <c r="F290" i="15"/>
  <c r="C157" i="15"/>
  <c r="AU68" i="15"/>
  <c r="AC46" i="15"/>
  <c r="AX24" i="15"/>
  <c r="AS291" i="15"/>
  <c r="AT95" i="15"/>
  <c r="AS285" i="15"/>
  <c r="AG336" i="15"/>
  <c r="AG355" i="15"/>
  <c r="AX222" i="15"/>
  <c r="AX289" i="15"/>
  <c r="I68" i="15"/>
  <c r="AV23" i="15"/>
  <c r="AV68" i="15"/>
  <c r="AK15" i="15"/>
  <c r="AK200" i="15"/>
  <c r="AK59" i="15"/>
  <c r="AK56" i="15"/>
  <c r="AK44" i="15"/>
  <c r="AK43" i="15"/>
  <c r="AK18" i="15"/>
  <c r="AK42" i="15"/>
  <c r="AD94" i="15"/>
  <c r="AE94" i="15"/>
  <c r="AJ51" i="15"/>
  <c r="AJ18" i="15"/>
  <c r="AJ42" i="15"/>
  <c r="AJ45" i="15"/>
  <c r="AJ46" i="15"/>
  <c r="F44" i="15"/>
  <c r="AD282" i="15"/>
  <c r="AX45" i="15"/>
  <c r="AX44" i="15"/>
  <c r="AX60" i="15"/>
  <c r="AX43" i="15"/>
  <c r="AX87" i="15"/>
  <c r="AX216" i="15"/>
  <c r="AN93" i="15"/>
  <c r="C210" i="15"/>
  <c r="C277" i="15"/>
  <c r="AX220" i="15"/>
  <c r="U45" i="15"/>
  <c r="U42" i="15"/>
  <c r="U55" i="15"/>
  <c r="U51" i="15"/>
  <c r="U44" i="15"/>
  <c r="G14" i="15"/>
  <c r="G127" i="15"/>
  <c r="BC97" i="15"/>
  <c r="BB226" i="15"/>
  <c r="Y43" i="15"/>
  <c r="Y18" i="15"/>
  <c r="Y24" i="15"/>
  <c r="H278" i="15"/>
  <c r="H279" i="15"/>
  <c r="H287" i="15"/>
  <c r="H293" i="15"/>
  <c r="E218" i="15"/>
  <c r="D55" i="15"/>
  <c r="AZ27" i="15"/>
  <c r="BC50" i="15"/>
  <c r="J25" i="15"/>
  <c r="J48" i="15"/>
  <c r="AR134" i="15"/>
  <c r="K59" i="15"/>
  <c r="K42" i="15"/>
  <c r="K199" i="15"/>
  <c r="K18" i="15"/>
  <c r="K105" i="15"/>
  <c r="K56" i="15"/>
  <c r="K44" i="15"/>
  <c r="K265" i="15"/>
  <c r="K51" i="15"/>
  <c r="K43" i="15"/>
  <c r="K46" i="15"/>
  <c r="K45" i="15"/>
  <c r="K55" i="15"/>
  <c r="AD277" i="15"/>
  <c r="AB18" i="15"/>
  <c r="AB24" i="15"/>
  <c r="AB43" i="15"/>
  <c r="AB56" i="15"/>
  <c r="AB44" i="15"/>
  <c r="H284" i="15"/>
  <c r="H281" i="15"/>
  <c r="K223" i="15"/>
  <c r="AS290" i="15"/>
  <c r="AT293" i="15"/>
  <c r="AO291" i="15"/>
  <c r="AO224" i="15"/>
  <c r="AP224" i="15"/>
  <c r="AT94" i="15"/>
  <c r="AU94" i="15"/>
  <c r="AS223" i="15"/>
  <c r="AX287" i="15"/>
  <c r="AY91" i="15"/>
  <c r="AY287" i="15"/>
  <c r="BC132" i="15"/>
  <c r="BC137" i="15"/>
  <c r="BC49" i="15"/>
  <c r="X15" i="15"/>
  <c r="BD229" i="15"/>
  <c r="BD296" i="15"/>
  <c r="BB25" i="15"/>
  <c r="BB48" i="15"/>
  <c r="H223" i="15"/>
  <c r="J210" i="15"/>
  <c r="J277" i="15"/>
  <c r="D224" i="15"/>
  <c r="D291" i="15"/>
  <c r="AG283" i="15"/>
  <c r="AH87" i="15"/>
  <c r="AH283" i="15"/>
  <c r="AG216" i="15"/>
  <c r="AP42" i="15"/>
  <c r="AP265" i="15"/>
  <c r="X44" i="15"/>
  <c r="X55" i="15"/>
  <c r="X51" i="15"/>
  <c r="X18" i="15"/>
  <c r="X43" i="15"/>
  <c r="AJ157" i="15"/>
  <c r="AC45" i="15"/>
  <c r="AC15" i="15"/>
  <c r="AC200" i="15"/>
  <c r="AG15" i="15"/>
  <c r="AG200" i="15"/>
  <c r="AC59" i="15"/>
  <c r="AW290" i="15"/>
  <c r="AX94" i="15"/>
  <c r="AY94" i="15"/>
  <c r="AB51" i="15"/>
  <c r="AB55" i="15"/>
  <c r="Y15" i="15"/>
  <c r="U56" i="15"/>
  <c r="AY14" i="15"/>
  <c r="AE92" i="15"/>
  <c r="AD288" i="15"/>
  <c r="AD221" i="15"/>
  <c r="K277" i="15"/>
  <c r="X48" i="15"/>
  <c r="AG19" i="15"/>
  <c r="T55" i="15"/>
  <c r="AK285" i="15"/>
  <c r="AM289" i="15"/>
  <c r="AM222" i="15"/>
  <c r="AT199" i="15"/>
  <c r="AT56" i="15"/>
  <c r="AT55" i="15"/>
  <c r="AB42" i="15"/>
  <c r="AM287" i="15"/>
  <c r="BB68" i="15"/>
  <c r="L196" i="15"/>
  <c r="BA64" i="15"/>
  <c r="E384" i="17"/>
  <c r="D1216" i="17"/>
  <c r="E1198" i="17"/>
  <c r="E549" i="17"/>
  <c r="D597" i="17"/>
  <c r="E560" i="17"/>
  <c r="E554" i="17"/>
  <c r="E1190" i="17"/>
  <c r="E1195" i="17"/>
  <c r="D569" i="17"/>
  <c r="J546" i="17"/>
  <c r="E1184" i="17"/>
  <c r="E1185" i="17"/>
  <c r="C1407" i="17"/>
  <c r="E1196" i="17"/>
  <c r="E1194" i="17"/>
  <c r="E1197" i="17"/>
  <c r="C935" i="17"/>
  <c r="E256" i="17"/>
  <c r="E247" i="17"/>
  <c r="K278" i="15"/>
  <c r="K293" i="15"/>
  <c r="K281" i="15"/>
  <c r="AZ91" i="15"/>
  <c r="AZ220" i="15"/>
  <c r="AI87" i="15"/>
  <c r="AM42" i="15"/>
  <c r="AZ50" i="15"/>
  <c r="H283" i="15"/>
  <c r="G277" i="15"/>
  <c r="AM83" i="15"/>
  <c r="AM212" i="15"/>
  <c r="AQ93" i="15"/>
  <c r="F221" i="15"/>
  <c r="H218" i="15"/>
  <c r="AP226" i="15"/>
  <c r="AQ86" i="15"/>
  <c r="AR86" i="15"/>
  <c r="AQ215" i="15"/>
  <c r="AD217" i="15"/>
  <c r="AF88" i="15"/>
  <c r="AP222" i="15"/>
  <c r="AD284" i="15"/>
  <c r="AP215" i="15"/>
  <c r="AQ97" i="15"/>
  <c r="AZ23" i="15"/>
  <c r="AZ68" i="15"/>
  <c r="AR123" i="15"/>
  <c r="H210" i="15"/>
  <c r="AI281" i="15"/>
  <c r="AO216" i="15"/>
  <c r="AB30" i="15"/>
  <c r="AQ293" i="15"/>
  <c r="AT24" i="15"/>
  <c r="AT30" i="15"/>
  <c r="I42" i="15"/>
  <c r="AV340" i="15"/>
  <c r="AV359" i="15"/>
  <c r="I199" i="15"/>
  <c r="AX81" i="15"/>
  <c r="AX210" i="15"/>
  <c r="AH94" i="15"/>
  <c r="AM68" i="15"/>
  <c r="BC85" i="15"/>
  <c r="I45" i="15"/>
  <c r="G132" i="15"/>
  <c r="I18" i="15"/>
  <c r="I24" i="15"/>
  <c r="I106" i="15"/>
  <c r="J68" i="15"/>
  <c r="BC94" i="15"/>
  <c r="J224" i="15"/>
  <c r="AA46" i="15"/>
  <c r="J15" i="15"/>
  <c r="J200" i="15"/>
  <c r="I277" i="15"/>
  <c r="AX279" i="15"/>
  <c r="AT290" i="15"/>
  <c r="J56" i="15"/>
  <c r="AQ95" i="15"/>
  <c r="AQ224" i="15"/>
  <c r="I51" i="15"/>
  <c r="AI92" i="15"/>
  <c r="AJ92" i="15"/>
  <c r="AJ288" i="15"/>
  <c r="I44" i="15"/>
  <c r="AW210" i="15"/>
  <c r="I105" i="15"/>
  <c r="I332" i="15"/>
  <c r="I351" i="15"/>
  <c r="AL355" i="15"/>
  <c r="AM355" i="15"/>
  <c r="E1257" i="17"/>
  <c r="E795" i="17"/>
  <c r="I43" i="15"/>
  <c r="AY83" i="15"/>
  <c r="AY212" i="15"/>
  <c r="AH18" i="15"/>
  <c r="AH24" i="15"/>
  <c r="AP291" i="15"/>
  <c r="AD212" i="15"/>
  <c r="D830" i="17"/>
  <c r="AT223" i="15"/>
  <c r="AT266" i="15"/>
  <c r="AI55" i="15"/>
  <c r="AF123" i="15"/>
  <c r="AP60" i="15"/>
  <c r="AR25" i="15"/>
  <c r="AV97" i="15"/>
  <c r="AP48" i="15"/>
  <c r="E788" i="17"/>
  <c r="AH288" i="15"/>
  <c r="AT226" i="15"/>
  <c r="E277" i="15"/>
  <c r="AU87" i="15"/>
  <c r="J51" i="15"/>
  <c r="AS210" i="15"/>
  <c r="AP284" i="15"/>
  <c r="AS216" i="15"/>
  <c r="AY220" i="15"/>
  <c r="D1406" i="17"/>
  <c r="AD279" i="15"/>
  <c r="E18" i="15"/>
  <c r="AS283" i="15"/>
  <c r="AZ13" i="15"/>
  <c r="BB278" i="15"/>
  <c r="C110" i="15"/>
  <c r="AT283" i="15"/>
  <c r="J44" i="15"/>
  <c r="AO223" i="15"/>
  <c r="AT81" i="15"/>
  <c r="AU81" i="15"/>
  <c r="AQ88" i="15"/>
  <c r="AR88" i="15"/>
  <c r="AR284" i="15"/>
  <c r="J223" i="15"/>
  <c r="AG290" i="15"/>
  <c r="AL211" i="15"/>
  <c r="D290" i="15"/>
  <c r="AH199" i="15"/>
  <c r="AL137" i="15"/>
  <c r="AL139" i="15"/>
  <c r="H137" i="15"/>
  <c r="H144" i="15"/>
  <c r="H147" i="15"/>
  <c r="AR14" i="15"/>
  <c r="AR46" i="15"/>
  <c r="AP55" i="15"/>
  <c r="BB211" i="15"/>
  <c r="J45" i="15"/>
  <c r="D1293" i="17"/>
  <c r="G15" i="15"/>
  <c r="G200" i="15"/>
  <c r="C285" i="15"/>
  <c r="AJ336" i="15"/>
  <c r="AJ355" i="15"/>
  <c r="AP18" i="15"/>
  <c r="D221" i="15"/>
  <c r="AJ229" i="15"/>
  <c r="AJ296" i="15"/>
  <c r="AI59" i="15"/>
  <c r="BB289" i="15"/>
  <c r="AO290" i="15"/>
  <c r="AJ85" i="15"/>
  <c r="C216" i="15"/>
  <c r="J18" i="15"/>
  <c r="AH211" i="15"/>
  <c r="J265" i="15"/>
  <c r="AH289" i="15"/>
  <c r="AP81" i="15"/>
  <c r="AJ48" i="15"/>
  <c r="AB48" i="15"/>
  <c r="AX282" i="15"/>
  <c r="E1205" i="17"/>
  <c r="K1256" i="17"/>
  <c r="E1253" i="17"/>
  <c r="D1418" i="17"/>
  <c r="D831" i="17"/>
  <c r="AP56" i="15"/>
  <c r="AX293" i="15"/>
  <c r="AJ50" i="15"/>
  <c r="K15" i="15"/>
  <c r="K200" i="15"/>
  <c r="AT15" i="15"/>
  <c r="AT200" i="15"/>
  <c r="G291" i="15"/>
  <c r="AO277" i="15"/>
  <c r="AS218" i="15"/>
  <c r="AL25" i="15"/>
  <c r="J42" i="15"/>
  <c r="J55" i="15"/>
  <c r="AE86" i="15"/>
  <c r="AF86" i="15"/>
  <c r="AI93" i="15"/>
  <c r="AO355" i="15"/>
  <c r="E55" i="15"/>
  <c r="D287" i="15"/>
  <c r="AP46" i="15"/>
  <c r="AX226" i="15"/>
  <c r="AH278" i="15"/>
  <c r="J59" i="15"/>
  <c r="AU86" i="15"/>
  <c r="AL288" i="15"/>
  <c r="AL123" i="15"/>
  <c r="AI110" i="15"/>
  <c r="AT137" i="15"/>
  <c r="Z48" i="15"/>
  <c r="AJ105" i="15"/>
  <c r="AJ332" i="15"/>
  <c r="AJ351" i="15"/>
  <c r="BB49" i="15"/>
  <c r="BD86" i="15"/>
  <c r="BC282" i="15"/>
  <c r="BC215" i="15"/>
  <c r="V42" i="15"/>
  <c r="V18" i="15"/>
  <c r="V19" i="15"/>
  <c r="Z15" i="15"/>
  <c r="AJ95" i="15"/>
  <c r="AJ291" i="15"/>
  <c r="T48" i="15"/>
  <c r="BB282" i="15"/>
  <c r="AI18" i="15"/>
  <c r="AI24" i="15"/>
  <c r="AA45" i="15"/>
  <c r="AA51" i="15"/>
  <c r="AI56" i="15"/>
  <c r="AY88" i="15"/>
  <c r="BB215" i="15"/>
  <c r="AI48" i="15"/>
  <c r="AA44" i="15"/>
  <c r="J132" i="15"/>
  <c r="J137" i="15"/>
  <c r="AX284" i="15"/>
  <c r="AI224" i="15"/>
  <c r="AI45" i="15"/>
  <c r="AA60" i="15"/>
  <c r="C18" i="15"/>
  <c r="C24" i="15"/>
  <c r="AZ93" i="15"/>
  <c r="AZ289" i="15"/>
  <c r="AY199" i="15"/>
  <c r="T46" i="15"/>
  <c r="AI46" i="15"/>
  <c r="AI43" i="15"/>
  <c r="AA55" i="15"/>
  <c r="AY87" i="15"/>
  <c r="AY216" i="15"/>
  <c r="AY222" i="15"/>
  <c r="T42" i="15"/>
  <c r="T51" i="15"/>
  <c r="AI51" i="15"/>
  <c r="AI42" i="15"/>
  <c r="BB89" i="15"/>
  <c r="C265" i="15"/>
  <c r="C48" i="15"/>
  <c r="T56" i="15"/>
  <c r="T18" i="15"/>
  <c r="T24" i="15"/>
  <c r="T30" i="15"/>
  <c r="AI265" i="15"/>
  <c r="AI44" i="15"/>
  <c r="BA218" i="15"/>
  <c r="AA18" i="15"/>
  <c r="AT217" i="15"/>
  <c r="AZ64" i="15"/>
  <c r="AT284" i="15"/>
  <c r="T45" i="15"/>
  <c r="T44" i="15"/>
  <c r="AH212" i="15"/>
  <c r="AR455" i="15"/>
  <c r="AI279" i="15"/>
  <c r="AI212" i="15"/>
  <c r="E1037" i="17"/>
  <c r="D1087" i="17"/>
  <c r="D1075" i="17"/>
  <c r="E736" i="17"/>
  <c r="E1055" i="17"/>
  <c r="E1053" i="17"/>
  <c r="AI282" i="15"/>
  <c r="AI215" i="15"/>
  <c r="AI88" i="15"/>
  <c r="AH217" i="15"/>
  <c r="AH284" i="15"/>
  <c r="AD211" i="15"/>
  <c r="AE82" i="15"/>
  <c r="AE278" i="15"/>
  <c r="AH157" i="15"/>
  <c r="AK110" i="15"/>
  <c r="AJ110" i="15"/>
  <c r="AP59" i="15"/>
  <c r="AX89" i="15"/>
  <c r="AW218" i="15"/>
  <c r="AW285" i="15"/>
  <c r="I48" i="15"/>
  <c r="I56" i="15"/>
  <c r="I265" i="15"/>
  <c r="J266" i="15"/>
  <c r="I55" i="15"/>
  <c r="BA210" i="15"/>
  <c r="BB81" i="15"/>
  <c r="BB210" i="15"/>
  <c r="J958" i="17"/>
  <c r="C940" i="17"/>
  <c r="C941" i="17"/>
  <c r="AR229" i="15"/>
  <c r="AR296" i="15"/>
  <c r="AR340" i="15"/>
  <c r="AR359" i="15"/>
  <c r="K1257" i="17"/>
  <c r="D1074" i="17"/>
  <c r="G43" i="15"/>
  <c r="G265" i="15"/>
  <c r="G266" i="15"/>
  <c r="E1038" i="17"/>
  <c r="G42" i="15"/>
  <c r="BB19" i="15"/>
  <c r="AH279" i="15"/>
  <c r="E44" i="15"/>
  <c r="E45" i="15"/>
  <c r="E48" i="15"/>
  <c r="E56" i="15"/>
  <c r="F43" i="15"/>
  <c r="F105" i="15"/>
  <c r="F45" i="15"/>
  <c r="F51" i="15"/>
  <c r="F56" i="15"/>
  <c r="F59" i="15"/>
  <c r="F15" i="15"/>
  <c r="F200" i="15"/>
  <c r="F55" i="15"/>
  <c r="AY81" i="15"/>
  <c r="AZ81" i="15"/>
  <c r="AM211" i="15"/>
  <c r="AM278" i="15"/>
  <c r="AH224" i="15"/>
  <c r="AH291" i="15"/>
  <c r="K291" i="15"/>
  <c r="K224" i="15"/>
  <c r="E1045" i="17"/>
  <c r="E1054" i="17"/>
  <c r="G220" i="15"/>
  <c r="G216" i="15"/>
  <c r="AQ289" i="15"/>
  <c r="AR93" i="15"/>
  <c r="AR222" i="15"/>
  <c r="AQ222" i="15"/>
  <c r="AH15" i="15"/>
  <c r="AH200" i="15"/>
  <c r="I46" i="15"/>
  <c r="AJ215" i="15"/>
  <c r="AQ82" i="15"/>
  <c r="AP211" i="15"/>
  <c r="E1056" i="17"/>
  <c r="E1050" i="17"/>
  <c r="AH336" i="15"/>
  <c r="AH355" i="15"/>
  <c r="E1039" i="17"/>
  <c r="BD82" i="15"/>
  <c r="BD211" i="15"/>
  <c r="BC278" i="15"/>
  <c r="AP87" i="15"/>
  <c r="G56" i="15"/>
  <c r="G45" i="15"/>
  <c r="G59" i="15"/>
  <c r="G44" i="15"/>
  <c r="G51" i="15"/>
  <c r="G199" i="15"/>
  <c r="G105" i="15"/>
  <c r="G124" i="15" s="1"/>
  <c r="G332" i="15"/>
  <c r="G351" i="15"/>
  <c r="G18" i="15"/>
  <c r="G24" i="15"/>
  <c r="G63" i="15"/>
  <c r="AJ83" i="15"/>
  <c r="AL111" i="15"/>
  <c r="AL337" i="15"/>
  <c r="AL356" i="15"/>
  <c r="AG47" i="15"/>
  <c r="D1073" i="17"/>
  <c r="E290" i="15"/>
  <c r="G221" i="15"/>
  <c r="AM92" i="15"/>
  <c r="AM221" i="15"/>
  <c r="AL221" i="15"/>
  <c r="G48" i="15"/>
  <c r="BA50" i="15"/>
  <c r="BB50" i="15"/>
  <c r="AU89" i="15"/>
  <c r="AU285" i="15"/>
  <c r="AT218" i="15"/>
  <c r="AT285" i="15"/>
  <c r="F277" i="15"/>
  <c r="AD210" i="15"/>
  <c r="AE81" i="15"/>
  <c r="E796" i="17"/>
  <c r="E783" i="17"/>
  <c r="G285" i="15"/>
  <c r="Q45" i="15"/>
  <c r="Q43" i="15"/>
  <c r="Q44" i="15"/>
  <c r="I60" i="15"/>
  <c r="AL278" i="15"/>
  <c r="AN355" i="15"/>
  <c r="AV455" i="15"/>
  <c r="AM279" i="15"/>
  <c r="AQ42" i="15"/>
  <c r="AQ51" i="15"/>
  <c r="X56" i="15"/>
  <c r="X45" i="15"/>
  <c r="X42" i="15"/>
  <c r="AX266" i="15"/>
  <c r="AD222" i="15"/>
  <c r="AD289" i="15"/>
  <c r="AD220" i="15"/>
  <c r="AF91" i="15"/>
  <c r="AT281" i="15"/>
  <c r="AU85" i="15"/>
  <c r="AU214" i="15"/>
  <c r="AT214" i="15"/>
  <c r="AS137" i="15"/>
  <c r="AS49" i="15"/>
  <c r="AN27" i="15"/>
  <c r="AM50" i="15"/>
  <c r="AP199" i="15"/>
  <c r="AP51" i="15"/>
  <c r="AP45" i="15"/>
  <c r="AP43" i="15"/>
  <c r="AP44" i="15"/>
  <c r="BC83" i="15"/>
  <c r="BC279" i="15"/>
  <c r="BB212" i="15"/>
  <c r="BB265" i="15"/>
  <c r="BB266" i="15"/>
  <c r="BB43" i="15"/>
  <c r="BB15" i="15"/>
  <c r="BB200" i="15"/>
  <c r="BB199" i="15"/>
  <c r="AL287" i="15"/>
  <c r="AE284" i="15"/>
  <c r="AE217" i="15"/>
  <c r="AL279" i="15"/>
  <c r="AN340" i="15"/>
  <c r="AN359" i="15"/>
  <c r="C1223" i="17"/>
  <c r="AO137" i="15"/>
  <c r="AO144" i="15"/>
  <c r="AO146" i="15"/>
  <c r="AO188" i="15"/>
  <c r="AF132" i="15"/>
  <c r="AF137" i="15"/>
  <c r="AF139" i="15"/>
  <c r="E132" i="15"/>
  <c r="E137" i="15"/>
  <c r="E139" i="15"/>
  <c r="AK55" i="15"/>
  <c r="AK51" i="15"/>
  <c r="AK45" i="15"/>
  <c r="AK199" i="15"/>
  <c r="AU14" i="15"/>
  <c r="AV13" i="15"/>
  <c r="AV14" i="15"/>
  <c r="AV105" i="15"/>
  <c r="AV332" i="15"/>
  <c r="AV351" i="15"/>
  <c r="AC55" i="15"/>
  <c r="AD105" i="15"/>
  <c r="AD332" i="15"/>
  <c r="AC18" i="15"/>
  <c r="AC105" i="15"/>
  <c r="AC332" i="15"/>
  <c r="H282" i="15"/>
  <c r="H289" i="15"/>
  <c r="J43" i="15"/>
  <c r="J199" i="15"/>
  <c r="J105" i="15"/>
  <c r="J332" i="15"/>
  <c r="AW48" i="15"/>
  <c r="K266" i="15"/>
  <c r="H355" i="15"/>
  <c r="AG60" i="15"/>
  <c r="AG48" i="15"/>
  <c r="K132" i="15"/>
  <c r="K137" i="15"/>
  <c r="K49" i="15"/>
  <c r="F48" i="15"/>
  <c r="AF60" i="15"/>
  <c r="AF46" i="15"/>
  <c r="AF43" i="15"/>
  <c r="AJ15" i="15"/>
  <c r="AJ200" i="15"/>
  <c r="AF51" i="15"/>
  <c r="AF42" i="15"/>
  <c r="AF55" i="15"/>
  <c r="AF45" i="15"/>
  <c r="AI105" i="15"/>
  <c r="AF199" i="15"/>
  <c r="AF56" i="15"/>
  <c r="AF265" i="15"/>
  <c r="AF18" i="15"/>
  <c r="AF24" i="15"/>
  <c r="AF19" i="15"/>
  <c r="AP24" i="15"/>
  <c r="AP47" i="15"/>
  <c r="AP19" i="15"/>
  <c r="AM95" i="15"/>
  <c r="AN95" i="15"/>
  <c r="AL291" i="15"/>
  <c r="AL224" i="15"/>
  <c r="E224" i="15"/>
  <c r="E291" i="15"/>
  <c r="E386" i="17"/>
  <c r="E375" i="17"/>
  <c r="E372" i="17"/>
  <c r="D408" i="17"/>
  <c r="E379" i="17"/>
  <c r="D419" i="17"/>
  <c r="E369" i="17"/>
  <c r="E383" i="17"/>
  <c r="E381" i="17"/>
  <c r="E382" i="17"/>
  <c r="E370" i="17"/>
  <c r="E380" i="17"/>
  <c r="E385" i="17"/>
  <c r="E371" i="17"/>
  <c r="E387" i="17"/>
  <c r="D418" i="17"/>
  <c r="BC92" i="15"/>
  <c r="BB288" i="15"/>
  <c r="BB221" i="15"/>
  <c r="H221" i="15"/>
  <c r="H288" i="15"/>
  <c r="R51" i="15"/>
  <c r="R42" i="15"/>
  <c r="R43" i="15"/>
  <c r="R46" i="15"/>
  <c r="R44" i="15"/>
  <c r="R55" i="15"/>
  <c r="R18" i="15"/>
  <c r="R24" i="15"/>
  <c r="R30" i="15"/>
  <c r="R53" i="15"/>
  <c r="R45" i="15"/>
  <c r="AF15" i="15"/>
  <c r="AF200" i="15"/>
  <c r="AK48" i="15"/>
  <c r="AO46" i="15"/>
  <c r="AO42" i="15"/>
  <c r="AO56" i="15"/>
  <c r="AO265" i="15"/>
  <c r="AO15" i="15"/>
  <c r="AO200" i="15"/>
  <c r="AS15" i="15"/>
  <c r="AS200" i="15"/>
  <c r="AO43" i="15"/>
  <c r="AO44" i="15"/>
  <c r="AO199" i="15"/>
  <c r="AO55" i="15"/>
  <c r="AX281" i="15"/>
  <c r="AX59" i="15"/>
  <c r="AY85" i="15"/>
  <c r="AX214" i="15"/>
  <c r="BD23" i="15"/>
  <c r="L23" i="15" s="1"/>
  <c r="BD68" i="15"/>
  <c r="AE212" i="15"/>
  <c r="AI19" i="15"/>
  <c r="AF44" i="15"/>
  <c r="AW50" i="15"/>
  <c r="AY50" i="15"/>
  <c r="AV50" i="15"/>
  <c r="AX50" i="15"/>
  <c r="AE221" i="15"/>
  <c r="AF92" i="15"/>
  <c r="AF221" i="15"/>
  <c r="AE288" i="15"/>
  <c r="AR289" i="15"/>
  <c r="V24" i="15"/>
  <c r="V30" i="15"/>
  <c r="V53" i="15"/>
  <c r="AK137" i="15"/>
  <c r="AK144" i="15"/>
  <c r="AK146" i="15"/>
  <c r="H42" i="15"/>
  <c r="H43" i="15"/>
  <c r="H44" i="15"/>
  <c r="H45" i="15"/>
  <c r="I15" i="15"/>
  <c r="I200" i="15"/>
  <c r="H265" i="15"/>
  <c r="H266" i="15"/>
  <c r="H15" i="15"/>
  <c r="H200" i="15"/>
  <c r="H199" i="15"/>
  <c r="AG277" i="15"/>
  <c r="AG210" i="15"/>
  <c r="AH81" i="15"/>
  <c r="R60" i="15"/>
  <c r="AT144" i="15"/>
  <c r="AT147" i="15"/>
  <c r="AT152" i="15"/>
  <c r="AT49" i="15"/>
  <c r="AW139" i="15"/>
  <c r="AW155" i="15"/>
  <c r="AW238" i="15"/>
  <c r="AW305" i="15"/>
  <c r="AH89" i="15"/>
  <c r="AH218" i="15"/>
  <c r="AG218" i="15"/>
  <c r="AG285" i="15"/>
  <c r="C56" i="15"/>
  <c r="C59" i="15"/>
  <c r="C42" i="15"/>
  <c r="C60" i="15"/>
  <c r="C45" i="15"/>
  <c r="C15" i="15"/>
  <c r="C200" i="15"/>
  <c r="C43" i="15"/>
  <c r="C55" i="15"/>
  <c r="C44" i="15"/>
  <c r="C46" i="15"/>
  <c r="C105" i="15"/>
  <c r="C332" i="15"/>
  <c r="C199" i="15"/>
  <c r="I291" i="15"/>
  <c r="I224" i="15"/>
  <c r="D210" i="15"/>
  <c r="D277" i="15"/>
  <c r="AL214" i="15"/>
  <c r="AL281" i="15"/>
  <c r="AM85" i="15"/>
  <c r="AN85" i="15"/>
  <c r="D45" i="15"/>
  <c r="D15" i="15"/>
  <c r="D200" i="15"/>
  <c r="D42" i="15"/>
  <c r="D43" i="15"/>
  <c r="D51" i="15"/>
  <c r="D199" i="15"/>
  <c r="D46" i="15"/>
  <c r="D105" i="15"/>
  <c r="D124" i="15"/>
  <c r="D265" i="15"/>
  <c r="D266" i="15" s="1"/>
  <c r="D59" i="15"/>
  <c r="H19" i="15"/>
  <c r="H24" i="15"/>
  <c r="H30" i="15"/>
  <c r="AH287" i="15"/>
  <c r="AH220" i="15"/>
  <c r="AI91" i="15"/>
  <c r="AI287" i="15"/>
  <c r="S43" i="15"/>
  <c r="S46" i="15"/>
  <c r="AQ137" i="15"/>
  <c r="H60" i="15"/>
  <c r="AG137" i="15"/>
  <c r="AG144" i="15"/>
  <c r="D218" i="15"/>
  <c r="D285" i="15"/>
  <c r="AL216" i="15"/>
  <c r="AL283" i="15"/>
  <c r="AM87" i="15"/>
  <c r="AM86" i="15"/>
  <c r="AN86" i="15"/>
  <c r="AN215" i="15"/>
  <c r="AL282" i="15"/>
  <c r="AU83" i="15"/>
  <c r="AT212" i="15"/>
  <c r="AT279" i="15"/>
  <c r="AE46" i="15"/>
  <c r="AE42" i="15"/>
  <c r="AE56" i="15"/>
  <c r="AE45" i="15"/>
  <c r="AE105" i="15"/>
  <c r="AE332" i="15"/>
  <c r="AE199" i="15"/>
  <c r="AE15" i="15"/>
  <c r="AE200" i="15"/>
  <c r="AE44" i="15"/>
  <c r="AE43" i="15"/>
  <c r="AE265" i="15"/>
  <c r="AI266" i="15"/>
  <c r="AE18" i="15"/>
  <c r="AE51" i="15"/>
  <c r="AF105" i="15"/>
  <c r="AF124" i="15"/>
  <c r="AI15" i="15"/>
  <c r="AI200" i="15"/>
  <c r="AE48" i="15"/>
  <c r="AE60" i="15"/>
  <c r="AH105" i="15"/>
  <c r="AH332" i="15"/>
  <c r="AH351" i="15"/>
  <c r="AE55" i="15"/>
  <c r="W55" i="15"/>
  <c r="W18" i="15"/>
  <c r="W24" i="15"/>
  <c r="W47" i="15"/>
  <c r="W48" i="15"/>
  <c r="W45" i="15"/>
  <c r="AA15" i="15"/>
  <c r="W44" i="15"/>
  <c r="W60" i="15"/>
  <c r="W43" i="15"/>
  <c r="W51" i="15"/>
  <c r="W42" i="15"/>
  <c r="W15" i="15"/>
  <c r="W46" i="15"/>
  <c r="W56" i="15"/>
  <c r="AW224" i="15"/>
  <c r="AW291" i="15"/>
  <c r="AX95" i="15"/>
  <c r="AH19" i="15"/>
  <c r="AT52" i="15"/>
  <c r="AT53" i="15"/>
  <c r="AT47" i="15"/>
  <c r="AT63" i="15"/>
  <c r="AT65" i="15"/>
  <c r="X19" i="15"/>
  <c r="X24" i="15"/>
  <c r="AV88" i="15"/>
  <c r="AV217" i="15"/>
  <c r="K24" i="15"/>
  <c r="K19" i="15"/>
  <c r="AC218" i="15"/>
  <c r="AC285" i="15"/>
  <c r="AD18" i="15"/>
  <c r="AG105" i="15"/>
  <c r="AG124" i="15"/>
  <c r="AD45" i="15"/>
  <c r="AD43" i="15"/>
  <c r="AD46" i="15"/>
  <c r="AD44" i="15"/>
  <c r="AD56" i="15"/>
  <c r="AD42" i="15"/>
  <c r="AD55" i="15"/>
  <c r="AD199" i="15"/>
  <c r="AZ229" i="15"/>
  <c r="AZ296" i="15"/>
  <c r="AZ340" i="15"/>
  <c r="AZ359" i="15"/>
  <c r="C471" i="17"/>
  <c r="AU91" i="15"/>
  <c r="AT220" i="15"/>
  <c r="AD214" i="15"/>
  <c r="AD59" i="15"/>
  <c r="AE85" i="15"/>
  <c r="AE59" i="15"/>
  <c r="AD281" i="15"/>
  <c r="AC42" i="15"/>
  <c r="AC56" i="15"/>
  <c r="AC43" i="15"/>
  <c r="AC51" i="15"/>
  <c r="AC44" i="15"/>
  <c r="Q56" i="15"/>
  <c r="Q48" i="15"/>
  <c r="Q46" i="15"/>
  <c r="H49" i="15"/>
  <c r="AD223" i="15"/>
  <c r="AD290" i="15"/>
  <c r="E288" i="15"/>
  <c r="E221" i="15"/>
  <c r="J285" i="15"/>
  <c r="J218" i="15"/>
  <c r="L79" i="15"/>
  <c r="L104" i="15"/>
  <c r="L116" i="15"/>
  <c r="AU293" i="15"/>
  <c r="K332" i="15"/>
  <c r="K351" i="15"/>
  <c r="K124" i="15"/>
  <c r="AC290" i="15"/>
  <c r="AC223" i="15"/>
  <c r="AN23" i="15"/>
  <c r="AN68" i="15"/>
  <c r="AH46" i="15"/>
  <c r="AH51" i="15"/>
  <c r="AH44" i="15"/>
  <c r="AH55" i="15"/>
  <c r="AH43" i="15"/>
  <c r="AH48" i="15"/>
  <c r="AH56" i="15"/>
  <c r="AK105" i="15"/>
  <c r="AK124" i="15"/>
  <c r="AH265" i="15"/>
  <c r="AH266" i="15"/>
  <c r="AH45" i="15"/>
  <c r="U18" i="15"/>
  <c r="U60" i="15"/>
  <c r="I283" i="15"/>
  <c r="AV87" i="15"/>
  <c r="AV283" i="15"/>
  <c r="BD340" i="15"/>
  <c r="BD359" i="15"/>
  <c r="J187" i="17"/>
  <c r="K187" i="17"/>
  <c r="F132" i="15"/>
  <c r="F137" i="15"/>
  <c r="F139" i="15"/>
  <c r="AJ131" i="15"/>
  <c r="AJ132" i="15"/>
  <c r="AJ137" i="15"/>
  <c r="AJ144" i="15"/>
  <c r="AJ146" i="15"/>
  <c r="D60" i="15"/>
  <c r="E15" i="15"/>
  <c r="E200" i="15"/>
  <c r="D18" i="15"/>
  <c r="D56" i="15"/>
  <c r="AW43" i="15"/>
  <c r="AW55" i="15"/>
  <c r="AW44" i="15"/>
  <c r="AW56" i="15"/>
  <c r="AW59" i="15"/>
  <c r="AW45" i="15"/>
  <c r="AW15" i="15"/>
  <c r="AW200" i="15"/>
  <c r="AW199" i="15"/>
  <c r="AY92" i="15"/>
  <c r="AX288" i="15"/>
  <c r="J368" i="17"/>
  <c r="K368" i="17"/>
  <c r="BD91" i="15"/>
  <c r="BB287" i="15"/>
  <c r="AY46" i="15"/>
  <c r="AD89" i="15"/>
  <c r="H291" i="15"/>
  <c r="H224" i="15"/>
  <c r="AF157" i="15"/>
  <c r="AH110" i="15"/>
  <c r="AF110" i="15"/>
  <c r="AF336" i="15"/>
  <c r="AF355" i="15"/>
  <c r="S56" i="15"/>
  <c r="S42" i="15"/>
  <c r="S45" i="15"/>
  <c r="S51" i="15"/>
  <c r="S44" i="15"/>
  <c r="S18" i="15"/>
  <c r="S19" i="15"/>
  <c r="AS56" i="15"/>
  <c r="AS18" i="15"/>
  <c r="AS59" i="15"/>
  <c r="AS199" i="15"/>
  <c r="AS42" i="15"/>
  <c r="AS265" i="15"/>
  <c r="AS48" i="15"/>
  <c r="AS45" i="15"/>
  <c r="AS43" i="15"/>
  <c r="AS55" i="15"/>
  <c r="AS51" i="15"/>
  <c r="AS44" i="15"/>
  <c r="AX278" i="15"/>
  <c r="AX211" i="15"/>
  <c r="AY82" i="15"/>
  <c r="AX223" i="15"/>
  <c r="AY51" i="15"/>
  <c r="AK277" i="15"/>
  <c r="AK210" i="15"/>
  <c r="AL81" i="15"/>
  <c r="AL210" i="15"/>
  <c r="AD48" i="15"/>
  <c r="AD60" i="15"/>
  <c r="AH59" i="15"/>
  <c r="AV25" i="15"/>
  <c r="AY137" i="15"/>
  <c r="AY144" i="15"/>
  <c r="L419" i="15"/>
  <c r="AZ222" i="15"/>
  <c r="AN82" i="15"/>
  <c r="AN278" i="15"/>
  <c r="AS60" i="15"/>
  <c r="AH137" i="15"/>
  <c r="AE137" i="15"/>
  <c r="AE139" i="15"/>
  <c r="J46" i="15"/>
  <c r="AH60" i="15"/>
  <c r="AC137" i="15"/>
  <c r="AC139" i="15"/>
  <c r="AQ284" i="15"/>
  <c r="R48" i="15"/>
  <c r="Y48" i="15"/>
  <c r="BA137" i="15"/>
  <c r="BA49" i="15"/>
  <c r="BA139" i="15"/>
  <c r="BD455" i="15"/>
  <c r="AP223" i="15"/>
  <c r="AP290" i="15"/>
  <c r="AV288" i="15"/>
  <c r="AV221" i="15"/>
  <c r="AI283" i="15"/>
  <c r="AB32" i="15"/>
  <c r="AB53" i="15"/>
  <c r="AB52" i="15"/>
  <c r="AB63" i="15"/>
  <c r="AB65" i="15"/>
  <c r="AB67" i="15"/>
  <c r="AB47" i="15"/>
  <c r="AX290" i="15"/>
  <c r="AN135" i="15"/>
  <c r="AN137" i="15"/>
  <c r="G137" i="15"/>
  <c r="AS50" i="15"/>
  <c r="AR50" i="15"/>
  <c r="AU50" i="15"/>
  <c r="BD97" i="15"/>
  <c r="BC226" i="15"/>
  <c r="BC293" i="15"/>
  <c r="AX63" i="15"/>
  <c r="AX65" i="15"/>
  <c r="AX67" i="15"/>
  <c r="AX30" i="15"/>
  <c r="AX53" i="15"/>
  <c r="AX47" i="15"/>
  <c r="AB19" i="15"/>
  <c r="AE291" i="15"/>
  <c r="AY42" i="15"/>
  <c r="AH226" i="15"/>
  <c r="AH293" i="15"/>
  <c r="AI97" i="15"/>
  <c r="AJ97" i="15"/>
  <c r="AD157" i="15"/>
  <c r="AG110" i="15"/>
  <c r="AU288" i="15"/>
  <c r="AU221" i="15"/>
  <c r="AD226" i="15"/>
  <c r="AE97" i="15"/>
  <c r="AD293" i="15"/>
  <c r="AD291" i="15"/>
  <c r="AD224" i="15"/>
  <c r="AT289" i="15"/>
  <c r="AT222" i="15"/>
  <c r="AI157" i="15"/>
  <c r="AI336" i="15"/>
  <c r="AI355" i="15"/>
  <c r="AL110" i="15"/>
  <c r="E310" i="17"/>
  <c r="BD64" i="15"/>
  <c r="K60" i="15"/>
  <c r="AT32" i="15"/>
  <c r="AT35" i="15"/>
  <c r="AR138" i="15"/>
  <c r="BC87" i="15"/>
  <c r="BB283" i="15"/>
  <c r="I285" i="15"/>
  <c r="H48" i="15"/>
  <c r="H56" i="15"/>
  <c r="H55" i="15"/>
  <c r="H105" i="15"/>
  <c r="H46" i="15"/>
  <c r="H51" i="15"/>
  <c r="H59" i="15"/>
  <c r="AO60" i="15"/>
  <c r="AO45" i="15"/>
  <c r="AO51" i="15"/>
  <c r="AO48" i="15"/>
  <c r="AO18" i="15"/>
  <c r="AO19" i="15"/>
  <c r="D583" i="17"/>
  <c r="E562" i="17"/>
  <c r="BB220" i="15"/>
  <c r="BD13" i="15"/>
  <c r="L13" i="15" s="1"/>
  <c r="AA42" i="15"/>
  <c r="AA48" i="15"/>
  <c r="AA43" i="15"/>
  <c r="J288" i="15"/>
  <c r="J221" i="15"/>
  <c r="BC93" i="15"/>
  <c r="K25" i="15"/>
  <c r="K30" i="15" s="1"/>
  <c r="K32" i="15" s="1"/>
  <c r="K35" i="15" s="1"/>
  <c r="BD27" i="15"/>
  <c r="K50" i="15"/>
  <c r="AJ43" i="15"/>
  <c r="AJ44" i="15"/>
  <c r="AQ91" i="15"/>
  <c r="AQ287" i="15"/>
  <c r="AP220" i="15"/>
  <c r="Y56" i="15"/>
  <c r="Y44" i="15"/>
  <c r="AV123" i="15"/>
  <c r="AW51" i="15"/>
  <c r="AW18" i="15"/>
  <c r="AW24" i="15"/>
  <c r="AW30" i="15"/>
  <c r="AW42" i="15"/>
  <c r="AW265" i="15"/>
  <c r="BA277" i="15"/>
  <c r="BC88" i="15"/>
  <c r="BC14" i="15"/>
  <c r="BC15" i="15" s="1"/>
  <c r="BC200" i="15" s="1"/>
  <c r="K89" i="15"/>
  <c r="K285" i="15"/>
  <c r="C30" i="15"/>
  <c r="C53" i="15"/>
  <c r="C47" i="15"/>
  <c r="AR44" i="15"/>
  <c r="C19" i="15"/>
  <c r="AR95" i="15"/>
  <c r="AR291" i="15"/>
  <c r="AS105" i="15"/>
  <c r="AS124" i="15"/>
  <c r="AQ226" i="15"/>
  <c r="AR97" i="15"/>
  <c r="AY59" i="15"/>
  <c r="I124" i="15"/>
  <c r="AL144" i="15"/>
  <c r="AL147" i="15"/>
  <c r="AL232" i="15"/>
  <c r="AJ59" i="15"/>
  <c r="AL49" i="15"/>
  <c r="C139" i="15"/>
  <c r="AL113" i="15"/>
  <c r="AL338" i="15"/>
  <c r="AL357" i="15"/>
  <c r="AL299" i="15"/>
  <c r="AR217" i="15"/>
  <c r="I63" i="15"/>
  <c r="I65" i="15"/>
  <c r="AY49" i="15"/>
  <c r="AQ291" i="15"/>
  <c r="AV89" i="15"/>
  <c r="AV285" i="15"/>
  <c r="AV85" i="15"/>
  <c r="AZ87" i="15"/>
  <c r="K139" i="15"/>
  <c r="K154" i="15"/>
  <c r="AU281" i="15"/>
  <c r="AM214" i="15"/>
  <c r="BC221" i="15"/>
  <c r="AY283" i="15"/>
  <c r="AO49" i="15"/>
  <c r="AI288" i="15"/>
  <c r="AI221" i="15"/>
  <c r="AO139" i="15"/>
  <c r="AF144" i="15"/>
  <c r="AF146" i="15"/>
  <c r="AJ111" i="15"/>
  <c r="AJ337" i="15"/>
  <c r="AJ356" i="15"/>
  <c r="R19" i="15"/>
  <c r="AP210" i="15"/>
  <c r="AQ81" i="15"/>
  <c r="AQ277" i="15"/>
  <c r="AP277" i="15"/>
  <c r="H139" i="15"/>
  <c r="H154" i="15"/>
  <c r="BC144" i="15"/>
  <c r="BC147" i="15"/>
  <c r="BC152" i="15"/>
  <c r="BC235" i="15"/>
  <c r="BC302" i="15"/>
  <c r="AU59" i="15"/>
  <c r="AI289" i="15"/>
  <c r="AI222" i="15"/>
  <c r="AU55" i="15"/>
  <c r="C146" i="15"/>
  <c r="C151" i="15"/>
  <c r="C168" i="15"/>
  <c r="AF85" i="15"/>
  <c r="AF281" i="15"/>
  <c r="AU105" i="15"/>
  <c r="AU124" i="15"/>
  <c r="J664" i="17"/>
  <c r="AE215" i="15"/>
  <c r="AE282" i="15"/>
  <c r="AJ221" i="15"/>
  <c r="AU56" i="15"/>
  <c r="AJ224" i="15"/>
  <c r="AJ124" i="15"/>
  <c r="J19" i="15"/>
  <c r="J24" i="15"/>
  <c r="J106" i="15"/>
  <c r="AT210" i="15"/>
  <c r="AT277" i="15"/>
  <c r="BC81" i="15"/>
  <c r="BC210" i="15"/>
  <c r="C49" i="15"/>
  <c r="AJ93" i="15"/>
  <c r="AR105" i="15"/>
  <c r="AU283" i="15"/>
  <c r="AU216" i="15"/>
  <c r="BB277" i="15"/>
  <c r="AE144" i="15"/>
  <c r="AE146" i="15"/>
  <c r="AE188" i="15"/>
  <c r="T19" i="15"/>
  <c r="AK111" i="15"/>
  <c r="AK337" i="15"/>
  <c r="AK356" i="15"/>
  <c r="BB285" i="15"/>
  <c r="BC89" i="15"/>
  <c r="BB218" i="15"/>
  <c r="AY217" i="15"/>
  <c r="AY284" i="15"/>
  <c r="AZ88" i="15"/>
  <c r="AZ284" i="15"/>
  <c r="H146" i="15"/>
  <c r="H151" i="15"/>
  <c r="BD282" i="15"/>
  <c r="BD215" i="15"/>
  <c r="AO113" i="15"/>
  <c r="AO338" i="15"/>
  <c r="AO357" i="15"/>
  <c r="AN92" i="15"/>
  <c r="AN221" i="15"/>
  <c r="AY278" i="15"/>
  <c r="J351" i="15"/>
  <c r="J124" i="15"/>
  <c r="AQ87" i="15"/>
  <c r="AP216" i="15"/>
  <c r="AP283" i="15"/>
  <c r="AR82" i="15"/>
  <c r="AR211" i="15"/>
  <c r="AC19" i="15"/>
  <c r="AC24" i="15"/>
  <c r="AC63" i="15"/>
  <c r="AC65" i="15"/>
  <c r="AC268" i="15"/>
  <c r="AR224" i="15"/>
  <c r="AF82" i="15"/>
  <c r="AF278" i="15"/>
  <c r="AE211" i="15"/>
  <c r="H152" i="15"/>
  <c r="H232" i="15"/>
  <c r="H299" i="15"/>
  <c r="AQ49" i="15"/>
  <c r="BA144" i="15"/>
  <c r="AF30" i="15"/>
  <c r="AI47" i="15"/>
  <c r="AO50" i="15"/>
  <c r="AN50" i="15"/>
  <c r="BD278" i="15"/>
  <c r="AY210" i="15"/>
  <c r="AY277" i="15"/>
  <c r="AE277" i="15"/>
  <c r="AE210" i="15"/>
  <c r="AF81" i="15"/>
  <c r="AF277" i="15"/>
  <c r="AL223" i="15"/>
  <c r="BD83" i="15"/>
  <c r="BC212" i="15"/>
  <c r="BB47" i="15"/>
  <c r="BB63" i="15"/>
  <c r="BB65" i="15"/>
  <c r="BB30" i="15"/>
  <c r="BB53" i="15"/>
  <c r="F124" i="15"/>
  <c r="F332" i="15"/>
  <c r="F351" i="15"/>
  <c r="AM288" i="15"/>
  <c r="AU51" i="15"/>
  <c r="AU265" i="15"/>
  <c r="AU43" i="15"/>
  <c r="AU18" i="15"/>
  <c r="AU19" i="15"/>
  <c r="AU46" i="15"/>
  <c r="AU42" i="15"/>
  <c r="AU48" i="15"/>
  <c r="AU199" i="15"/>
  <c r="AU45" i="15"/>
  <c r="AU44" i="15"/>
  <c r="AJ212" i="15"/>
  <c r="AM111" i="15"/>
  <c r="AM337" i="15"/>
  <c r="AM356" i="15"/>
  <c r="AJ279" i="15"/>
  <c r="AX285" i="15"/>
  <c r="AX218" i="15"/>
  <c r="AY89" i="15"/>
  <c r="AZ89" i="15"/>
  <c r="D332" i="15"/>
  <c r="D351" i="15"/>
  <c r="AF288" i="15"/>
  <c r="AM281" i="15"/>
  <c r="AI89" i="15"/>
  <c r="AH285" i="15"/>
  <c r="AH210" i="15"/>
  <c r="C351" i="15"/>
  <c r="C124" i="15"/>
  <c r="AW154" i="15"/>
  <c r="AW237" i="15"/>
  <c r="AW304" i="15"/>
  <c r="V63" i="15"/>
  <c r="V65" i="15"/>
  <c r="V69" i="15"/>
  <c r="V71" i="15"/>
  <c r="AY214" i="15"/>
  <c r="H63" i="15"/>
  <c r="H65" i="15"/>
  <c r="AI81" i="15"/>
  <c r="AI277" i="15"/>
  <c r="AY139" i="15"/>
  <c r="AY154" i="15"/>
  <c r="AY237" i="15"/>
  <c r="AY304" i="15"/>
  <c r="AE214" i="15"/>
  <c r="AG139" i="15"/>
  <c r="AG49" i="15"/>
  <c r="AI220" i="15"/>
  <c r="AM291" i="15"/>
  <c r="AP63" i="15"/>
  <c r="AP65" i="15"/>
  <c r="AP30" i="15"/>
  <c r="AC49" i="15"/>
  <c r="W19" i="15"/>
  <c r="AE49" i="15"/>
  <c r="AL277" i="15"/>
  <c r="AM81" i="15"/>
  <c r="AM277" i="15"/>
  <c r="S24" i="15"/>
  <c r="AV216" i="15"/>
  <c r="AV284" i="15"/>
  <c r="AE19" i="15"/>
  <c r="AE24" i="15"/>
  <c r="AE47" i="15"/>
  <c r="BD287" i="15"/>
  <c r="BD220" i="15"/>
  <c r="AL152" i="15"/>
  <c r="AL235" i="15"/>
  <c r="AL302" i="15"/>
  <c r="AF47" i="15"/>
  <c r="AO151" i="15"/>
  <c r="AO234" i="15"/>
  <c r="AO301" i="15"/>
  <c r="AE281" i="15"/>
  <c r="AM215" i="15"/>
  <c r="AH144" i="15"/>
  <c r="AU287" i="15"/>
  <c r="AV91" i="15"/>
  <c r="AU220" i="15"/>
  <c r="K63" i="15"/>
  <c r="K65" i="15"/>
  <c r="K107" i="15"/>
  <c r="K106" i="15"/>
  <c r="X30" i="15"/>
  <c r="X32" i="15"/>
  <c r="X54" i="15"/>
  <c r="AM283" i="15"/>
  <c r="AO147" i="15"/>
  <c r="F49" i="15"/>
  <c r="AH124" i="15"/>
  <c r="AY288" i="15"/>
  <c r="C1412" i="17"/>
  <c r="AT69" i="15"/>
  <c r="AT205" i="15"/>
  <c r="AT207" i="15"/>
  <c r="AH30" i="15"/>
  <c r="AH32" i="15"/>
  <c r="AH35" i="15"/>
  <c r="AH57" i="15"/>
  <c r="AH47" i="15"/>
  <c r="AH63" i="15"/>
  <c r="AH65" i="15"/>
  <c r="AH67" i="15"/>
  <c r="AW266" i="15"/>
  <c r="AG332" i="15"/>
  <c r="AG351" i="15"/>
  <c r="K237" i="15"/>
  <c r="K304" i="15"/>
  <c r="K155" i="15"/>
  <c r="AN211" i="15"/>
  <c r="R63" i="15"/>
  <c r="R65" i="15"/>
  <c r="R67" i="15"/>
  <c r="AS24" i="15"/>
  <c r="AS63" i="15"/>
  <c r="AS19" i="15"/>
  <c r="AD285" i="15"/>
  <c r="D24" i="15"/>
  <c r="D19" i="15"/>
  <c r="AK332" i="15"/>
  <c r="AK351" i="15"/>
  <c r="AD19" i="15"/>
  <c r="AD24" i="15"/>
  <c r="AO154" i="15"/>
  <c r="AO237" i="15"/>
  <c r="AO304" i="15"/>
  <c r="AO155" i="15"/>
  <c r="AN144" i="15"/>
  <c r="AE226" i="15"/>
  <c r="AI293" i="15"/>
  <c r="AI226" i="15"/>
  <c r="L64" i="15"/>
  <c r="AU289" i="15"/>
  <c r="AU222" i="15"/>
  <c r="AB69" i="15"/>
  <c r="AB71" i="15"/>
  <c r="C232" i="15"/>
  <c r="C299" i="15"/>
  <c r="AX52" i="15"/>
  <c r="AX32" i="15"/>
  <c r="AT54" i="15"/>
  <c r="AX69" i="15"/>
  <c r="AX201" i="15"/>
  <c r="AX203" i="15"/>
  <c r="C32" i="15"/>
  <c r="C54" i="15"/>
  <c r="AQ220" i="15"/>
  <c r="AR91" i="15"/>
  <c r="AQ223" i="15"/>
  <c r="BA265" i="15"/>
  <c r="BA48" i="15"/>
  <c r="BA43" i="15"/>
  <c r="BA18" i="15"/>
  <c r="BA19" i="15"/>
  <c r="BA44" i="15"/>
  <c r="BA56" i="15"/>
  <c r="BA199" i="15"/>
  <c r="BA45" i="15"/>
  <c r="BA42" i="15"/>
  <c r="BA60" i="15"/>
  <c r="BA46" i="15"/>
  <c r="BC60" i="15"/>
  <c r="BC18" i="15"/>
  <c r="BC19" i="15"/>
  <c r="BC46" i="15"/>
  <c r="BC45" i="15"/>
  <c r="BC56" i="15"/>
  <c r="BC51" i="15"/>
  <c r="BC265" i="15"/>
  <c r="BC55" i="15"/>
  <c r="BC199" i="15"/>
  <c r="K48" i="15"/>
  <c r="AO24" i="15"/>
  <c r="H155" i="15"/>
  <c r="H238" i="15"/>
  <c r="H305" i="15"/>
  <c r="AN281" i="15"/>
  <c r="BD93" i="15"/>
  <c r="BC222" i="15"/>
  <c r="BC289" i="15"/>
  <c r="AE147" i="15"/>
  <c r="AE152" i="15"/>
  <c r="BD25" i="15"/>
  <c r="AV45" i="15"/>
  <c r="AV265" i="15"/>
  <c r="AV43" i="15"/>
  <c r="AV48" i="15"/>
  <c r="AX105" i="15"/>
  <c r="AX332" i="15"/>
  <c r="AX351" i="15"/>
  <c r="AV18" i="15"/>
  <c r="AY105" i="15"/>
  <c r="AY124" i="15"/>
  <c r="AV56" i="15"/>
  <c r="BC217" i="15"/>
  <c r="G49" i="15"/>
  <c r="G144" i="15"/>
  <c r="G139" i="15"/>
  <c r="G154" i="15"/>
  <c r="AS332" i="15"/>
  <c r="AS351" i="15"/>
  <c r="H188" i="15"/>
  <c r="AV214" i="15"/>
  <c r="AR226" i="15"/>
  <c r="AR293" i="15"/>
  <c r="AF147" i="15"/>
  <c r="AF232" i="15"/>
  <c r="AF299" i="15"/>
  <c r="I69" i="15"/>
  <c r="I71" i="15"/>
  <c r="AN288" i="15"/>
  <c r="AK147" i="15"/>
  <c r="AN113" i="15"/>
  <c r="AN338" i="15"/>
  <c r="AN357" i="15"/>
  <c r="AN214" i="15"/>
  <c r="AF63" i="15"/>
  <c r="AF65" i="15"/>
  <c r="AF201" i="15"/>
  <c r="AF203" i="15"/>
  <c r="AP113" i="15"/>
  <c r="AP338" i="15"/>
  <c r="AP357" i="15"/>
  <c r="AV81" i="15"/>
  <c r="J63" i="15"/>
  <c r="J65" i="15"/>
  <c r="AR124" i="15"/>
  <c r="AR332" i="15"/>
  <c r="AR351" i="15"/>
  <c r="AJ222" i="15"/>
  <c r="AJ289" i="15"/>
  <c r="AQ210" i="15"/>
  <c r="T32" i="15"/>
  <c r="T35" i="15"/>
  <c r="BC285" i="15"/>
  <c r="BC218" i="15"/>
  <c r="AZ217" i="15"/>
  <c r="BB268" i="15"/>
  <c r="BB201" i="15"/>
  <c r="AR87" i="15"/>
  <c r="AR278" i="15"/>
  <c r="AY285" i="15"/>
  <c r="AY218" i="15"/>
  <c r="H234" i="15"/>
  <c r="H301" i="15"/>
  <c r="H159" i="15"/>
  <c r="H168" i="15"/>
  <c r="G30" i="15"/>
  <c r="G52" i="15"/>
  <c r="G106" i="15"/>
  <c r="G47" i="15"/>
  <c r="G65" i="15"/>
  <c r="G69" i="15"/>
  <c r="AF210" i="15"/>
  <c r="AC47" i="15"/>
  <c r="AC30" i="15"/>
  <c r="AP268" i="15"/>
  <c r="AP53" i="15"/>
  <c r="AN224" i="15"/>
  <c r="AN291" i="15"/>
  <c r="AI210" i="15"/>
  <c r="AJ89" i="15"/>
  <c r="AJ218" i="15"/>
  <c r="H69" i="15"/>
  <c r="H107" i="15"/>
  <c r="H185" i="15"/>
  <c r="V52" i="15"/>
  <c r="AT232" i="15"/>
  <c r="AT299" i="15"/>
  <c r="AG147" i="15"/>
  <c r="AG232" i="15"/>
  <c r="AG299" i="15"/>
  <c r="AG146" i="15"/>
  <c r="H32" i="15"/>
  <c r="H35" i="15"/>
  <c r="H112" i="15"/>
  <c r="AW342" i="15"/>
  <c r="AW361" i="15"/>
  <c r="AS47" i="15"/>
  <c r="AS65" i="15"/>
  <c r="AS67" i="15"/>
  <c r="AS30" i="15"/>
  <c r="AS32" i="15"/>
  <c r="AS35" i="15"/>
  <c r="K238" i="15"/>
  <c r="K305" i="15"/>
  <c r="K342" i="15"/>
  <c r="AO152" i="15"/>
  <c r="AO232" i="15"/>
  <c r="AO299" i="15"/>
  <c r="AN81" i="15"/>
  <c r="AM210" i="15"/>
  <c r="AE30" i="15"/>
  <c r="AE63" i="15"/>
  <c r="AE65" i="15"/>
  <c r="AH106" i="15"/>
  <c r="W30" i="15"/>
  <c r="W53" i="15"/>
  <c r="W63" i="15"/>
  <c r="W65" i="15"/>
  <c r="D63" i="15"/>
  <c r="D65" i="15"/>
  <c r="D47" i="15"/>
  <c r="D106" i="15"/>
  <c r="D30" i="15"/>
  <c r="AO168" i="15"/>
  <c r="AF53" i="15"/>
  <c r="AV124" i="15"/>
  <c r="AH268" i="15"/>
  <c r="AH270" i="15"/>
  <c r="K268" i="15"/>
  <c r="K270" i="15"/>
  <c r="AL160" i="15"/>
  <c r="AL342" i="15"/>
  <c r="AL241" i="15"/>
  <c r="AL308" i="15"/>
  <c r="AD30" i="15"/>
  <c r="AE106" i="15"/>
  <c r="AD63" i="15"/>
  <c r="AD65" i="15"/>
  <c r="AD268" i="15"/>
  <c r="AD270" i="15"/>
  <c r="AD47" i="15"/>
  <c r="S47" i="15"/>
  <c r="S63" i="15"/>
  <c r="S65" i="15"/>
  <c r="S30" i="15"/>
  <c r="S52" i="15"/>
  <c r="R32" i="15"/>
  <c r="R52" i="15"/>
  <c r="AT71" i="15"/>
  <c r="AT80" i="15"/>
  <c r="AV220" i="15"/>
  <c r="AV287" i="15"/>
  <c r="AN282" i="15"/>
  <c r="R69" i="15"/>
  <c r="R71" i="15"/>
  <c r="BC24" i="15"/>
  <c r="BC30" i="15"/>
  <c r="BC53" i="15"/>
  <c r="K53" i="15"/>
  <c r="BC232" i="15"/>
  <c r="BC299" i="15"/>
  <c r="AJ147" i="15"/>
  <c r="BD289" i="15"/>
  <c r="BD222" i="15"/>
  <c r="AK151" i="15"/>
  <c r="AK168" i="15"/>
  <c r="AK188" i="15"/>
  <c r="G155" i="15"/>
  <c r="G342" i="15"/>
  <c r="AF152" i="15"/>
  <c r="AJ293" i="15"/>
  <c r="AJ226" i="15"/>
  <c r="AW47" i="15"/>
  <c r="AW63" i="15"/>
  <c r="AW65" i="15"/>
  <c r="C159" i="15"/>
  <c r="C231" i="15"/>
  <c r="C298" i="15"/>
  <c r="C234" i="15"/>
  <c r="C301" i="15"/>
  <c r="G146" i="15"/>
  <c r="G151" i="15"/>
  <c r="G234" i="15"/>
  <c r="G301" i="15"/>
  <c r="G147" i="15"/>
  <c r="AY332" i="15"/>
  <c r="AY351" i="15"/>
  <c r="AT57" i="15"/>
  <c r="H237" i="15"/>
  <c r="H304" i="15"/>
  <c r="AE151" i="15"/>
  <c r="AO47" i="15"/>
  <c r="AO63" i="15"/>
  <c r="AO65" i="15"/>
  <c r="AO201" i="15"/>
  <c r="AO30" i="15"/>
  <c r="AO52" i="15"/>
  <c r="AV222" i="15"/>
  <c r="AV289" i="15"/>
  <c r="AX124" i="15"/>
  <c r="AF69" i="15"/>
  <c r="AF71" i="15"/>
  <c r="AF66" i="15"/>
  <c r="I108" i="15"/>
  <c r="I243" i="15"/>
  <c r="I310" i="15"/>
  <c r="I76" i="15"/>
  <c r="I109" i="15"/>
  <c r="I244" i="15"/>
  <c r="I311" i="15"/>
  <c r="T54" i="15"/>
  <c r="T57" i="15"/>
  <c r="G268" i="15"/>
  <c r="G270" i="15"/>
  <c r="AC32" i="15"/>
  <c r="AC67" i="15"/>
  <c r="AC69" i="15"/>
  <c r="AC71" i="15"/>
  <c r="G32" i="15"/>
  <c r="G35" i="15"/>
  <c r="G112" i="15"/>
  <c r="G53" i="15"/>
  <c r="AZ285" i="15"/>
  <c r="AZ218" i="15"/>
  <c r="AP270" i="15"/>
  <c r="H205" i="15"/>
  <c r="H207" i="15"/>
  <c r="AG188" i="15"/>
  <c r="AG151" i="15"/>
  <c r="AG159" i="15"/>
  <c r="AT162" i="15"/>
  <c r="AT341" i="15"/>
  <c r="AT235" i="15"/>
  <c r="AT302" i="15"/>
  <c r="AG152" i="15"/>
  <c r="AJ285" i="15"/>
  <c r="D32" i="15"/>
  <c r="D54" i="15"/>
  <c r="AE32" i="15"/>
  <c r="AE35" i="15"/>
  <c r="AE52" i="15"/>
  <c r="AE53" i="15"/>
  <c r="K344" i="15"/>
  <c r="K363" i="15"/>
  <c r="K361" i="15"/>
  <c r="R35" i="15"/>
  <c r="R57" i="15"/>
  <c r="R54" i="15"/>
  <c r="AH54" i="15"/>
  <c r="AD201" i="15"/>
  <c r="AD203" i="15"/>
  <c r="AF107" i="15"/>
  <c r="AE107" i="15"/>
  <c r="AN277" i="15"/>
  <c r="AN210" i="15"/>
  <c r="AT276" i="15"/>
  <c r="X35" i="15"/>
  <c r="X57" i="15"/>
  <c r="S67" i="15"/>
  <c r="S69" i="15"/>
  <c r="S71" i="15"/>
  <c r="AD52" i="15"/>
  <c r="AD53" i="15"/>
  <c r="AD32" i="15"/>
  <c r="D107" i="15"/>
  <c r="D186" i="15"/>
  <c r="D201" i="15"/>
  <c r="D203" i="15"/>
  <c r="D268" i="15"/>
  <c r="AF205" i="15"/>
  <c r="AF207" i="15"/>
  <c r="AS53" i="15"/>
  <c r="AS52" i="15"/>
  <c r="AS69" i="15"/>
  <c r="AS205" i="15"/>
  <c r="AS207" i="15"/>
  <c r="AF235" i="15"/>
  <c r="AF302" i="15"/>
  <c r="AJ152" i="15"/>
  <c r="AJ160" i="15"/>
  <c r="AJ232" i="15"/>
  <c r="AJ299" i="15"/>
  <c r="BC167" i="15"/>
  <c r="AJ188" i="15"/>
  <c r="AJ151" i="15"/>
  <c r="AN146" i="15"/>
  <c r="AN151" i="15"/>
  <c r="AW32" i="15"/>
  <c r="AW35" i="15"/>
  <c r="AW52" i="15"/>
  <c r="AW53" i="15"/>
  <c r="AK159" i="15"/>
  <c r="AK240" i="15"/>
  <c r="AK307" i="15"/>
  <c r="AK234" i="15"/>
  <c r="AK301" i="15"/>
  <c r="AO203" i="15"/>
  <c r="AO268" i="15"/>
  <c r="AO69" i="15"/>
  <c r="AO53" i="15"/>
  <c r="AO32" i="15"/>
  <c r="AO35" i="15"/>
  <c r="G237" i="15"/>
  <c r="G304" i="15"/>
  <c r="BC63" i="15"/>
  <c r="BC65" i="15"/>
  <c r="BC67" i="15"/>
  <c r="BC47" i="15"/>
  <c r="AF76" i="15"/>
  <c r="AF70" i="15"/>
  <c r="AF206" i="15"/>
  <c r="I334" i="15"/>
  <c r="I353" i="15"/>
  <c r="I333" i="15"/>
  <c r="AC272" i="15"/>
  <c r="G54" i="15"/>
  <c r="AC35" i="15"/>
  <c r="AC57" i="15"/>
  <c r="AC54" i="15"/>
  <c r="G205" i="15"/>
  <c r="G207" i="15"/>
  <c r="G76" i="15"/>
  <c r="G109" i="15"/>
  <c r="AT343" i="15"/>
  <c r="AT362" i="15"/>
  <c r="AT360" i="15"/>
  <c r="AG234" i="15"/>
  <c r="AG301" i="15"/>
  <c r="AG168" i="15"/>
  <c r="H258" i="15"/>
  <c r="H325" i="15"/>
  <c r="AS80" i="15"/>
  <c r="AS84" i="15"/>
  <c r="D270" i="15"/>
  <c r="AD54" i="15"/>
  <c r="AD35" i="15"/>
  <c r="G361" i="15"/>
  <c r="G344" i="15"/>
  <c r="G168" i="15"/>
  <c r="G159" i="15"/>
  <c r="G231" i="15"/>
  <c r="AW54" i="15"/>
  <c r="AO205" i="15"/>
  <c r="AO207" i="15"/>
  <c r="AJ168" i="15"/>
  <c r="AJ234" i="15"/>
  <c r="AJ301" i="15"/>
  <c r="AJ159" i="15"/>
  <c r="AJ231" i="15"/>
  <c r="AJ298" i="15"/>
  <c r="AO54" i="15"/>
  <c r="AO270" i="15"/>
  <c r="AJ167" i="15"/>
  <c r="AJ341" i="15"/>
  <c r="AJ235" i="15"/>
  <c r="AJ302" i="15"/>
  <c r="I335" i="15"/>
  <c r="I352" i="15"/>
  <c r="I354" i="15"/>
  <c r="G57" i="15"/>
  <c r="AS209" i="15"/>
  <c r="AS276" i="15"/>
  <c r="AE57" i="15"/>
  <c r="AS57" i="15"/>
  <c r="G298" i="15"/>
  <c r="G240" i="15"/>
  <c r="G307" i="15"/>
  <c r="G363" i="15"/>
  <c r="AJ240" i="15"/>
  <c r="AJ307" i="15"/>
  <c r="AN168" i="15"/>
  <c r="C994" i="17"/>
  <c r="C995" i="17"/>
  <c r="C180" i="17"/>
  <c r="C589" i="17"/>
  <c r="C881" i="17"/>
  <c r="C882" i="17"/>
  <c r="C286" i="17"/>
  <c r="C702" i="17"/>
  <c r="C703" i="17"/>
  <c r="E501" i="17"/>
  <c r="C1154" i="17"/>
  <c r="E393" i="17"/>
  <c r="J370" i="17"/>
  <c r="K370" i="17"/>
  <c r="C166" i="17"/>
  <c r="AG240" i="15"/>
  <c r="AG307" i="15"/>
  <c r="AG231" i="15"/>
  <c r="AG298" i="15"/>
  <c r="J268" i="15"/>
  <c r="J107" i="15"/>
  <c r="AG235" i="15"/>
  <c r="AG302" i="15"/>
  <c r="AG162" i="15"/>
  <c r="AG160" i="15"/>
  <c r="AG241" i="15"/>
  <c r="AG308" i="15"/>
  <c r="AJ342" i="15"/>
  <c r="AJ241" i="15"/>
  <c r="AJ308" i="15"/>
  <c r="AQ218" i="15"/>
  <c r="AQ285" i="15"/>
  <c r="AJ162" i="15"/>
  <c r="BC268" i="15"/>
  <c r="AN188" i="15"/>
  <c r="AH269" i="15"/>
  <c r="C240" i="15"/>
  <c r="C307" i="15"/>
  <c r="AW344" i="15"/>
  <c r="AW363" i="15"/>
  <c r="AE234" i="15"/>
  <c r="AE301" i="15"/>
  <c r="AE159" i="15"/>
  <c r="AE231" i="15"/>
  <c r="AE298" i="15"/>
  <c r="K67" i="15"/>
  <c r="AY155" i="15"/>
  <c r="AI218" i="15"/>
  <c r="AI285" i="15"/>
  <c r="AT160" i="15"/>
  <c r="AT241" i="15"/>
  <c r="AT308" i="15"/>
  <c r="AT167" i="15"/>
  <c r="AJ281" i="15"/>
  <c r="AM113" i="15"/>
  <c r="AM338" i="15"/>
  <c r="AM357" i="15"/>
  <c r="AK113" i="15"/>
  <c r="AK338" i="15"/>
  <c r="AK357" i="15"/>
  <c r="AJ113" i="15"/>
  <c r="AJ338" i="15"/>
  <c r="AJ357" i="15"/>
  <c r="AJ214" i="15"/>
  <c r="AS71" i="15"/>
  <c r="AF272" i="15"/>
  <c r="AF274" i="15"/>
  <c r="G188" i="15"/>
  <c r="H54" i="15"/>
  <c r="I205" i="15"/>
  <c r="I207" i="15"/>
  <c r="C35" i="15"/>
  <c r="H342" i="15"/>
  <c r="AE69" i="15"/>
  <c r="AU24" i="15"/>
  <c r="AU30" i="15"/>
  <c r="AU53" i="15"/>
  <c r="AK152" i="15"/>
  <c r="AK232" i="15"/>
  <c r="AK299" i="15"/>
  <c r="BB66" i="15"/>
  <c r="BB202" i="15"/>
  <c r="BB69" i="15"/>
  <c r="BB70" i="15" s="1"/>
  <c r="BB67" i="15"/>
  <c r="AF32" i="15"/>
  <c r="AF52" i="15"/>
  <c r="BC284" i="15"/>
  <c r="BD88" i="15"/>
  <c r="H332" i="15"/>
  <c r="H351" i="15"/>
  <c r="H124" i="15"/>
  <c r="AO238" i="15"/>
  <c r="AO305" i="15"/>
  <c r="AO342" i="15"/>
  <c r="AP52" i="15"/>
  <c r="AP32" i="15"/>
  <c r="BC277" i="15"/>
  <c r="BD81" i="15"/>
  <c r="BD210" i="15"/>
  <c r="AF188" i="15"/>
  <c r="AF151" i="15"/>
  <c r="AF168" i="15"/>
  <c r="AJ81" i="15"/>
  <c r="AH277" i="15"/>
  <c r="AP67" i="15"/>
  <c r="AP201" i="15"/>
  <c r="AP203" i="15"/>
  <c r="AP69" i="15"/>
  <c r="AT66" i="15"/>
  <c r="AT202" i="15"/>
  <c r="AV83" i="15"/>
  <c r="AX111" i="15"/>
  <c r="AX337" i="15"/>
  <c r="AX356" i="15"/>
  <c r="AU279" i="15"/>
  <c r="AU212" i="15"/>
  <c r="W52" i="15"/>
  <c r="W32" i="15"/>
  <c r="AE162" i="15"/>
  <c r="AE235" i="15"/>
  <c r="AE302" i="15"/>
  <c r="AX70" i="15"/>
  <c r="AX206" i="15"/>
  <c r="AX205" i="15"/>
  <c r="AX207" i="15"/>
  <c r="AE167" i="15"/>
  <c r="AE232" i="15"/>
  <c r="AE299" i="15"/>
  <c r="AF167" i="15"/>
  <c r="AF341" i="15"/>
  <c r="AF162" i="15"/>
  <c r="AO341" i="15"/>
  <c r="AO167" i="15"/>
  <c r="AC52" i="15"/>
  <c r="AC53" i="15"/>
  <c r="AU332" i="15"/>
  <c r="AU351" i="15"/>
  <c r="H57" i="15"/>
  <c r="AC80" i="15"/>
  <c r="AO67" i="15"/>
  <c r="AE168" i="15"/>
  <c r="AF160" i="15"/>
  <c r="AF80" i="15"/>
  <c r="AX272" i="15"/>
  <c r="AX274" i="15"/>
  <c r="AL167" i="15"/>
  <c r="H67" i="15"/>
  <c r="H201" i="15"/>
  <c r="H203" i="15"/>
  <c r="H268" i="15"/>
  <c r="BD279" i="15"/>
  <c r="BD212" i="15"/>
  <c r="BD293" i="15"/>
  <c r="BD226" i="15"/>
  <c r="H53" i="15"/>
  <c r="H52" i="15"/>
  <c r="AA24" i="15"/>
  <c r="AA19" i="15"/>
  <c r="AX76" i="15"/>
  <c r="D69" i="15"/>
  <c r="D67" i="15"/>
  <c r="AF211" i="15"/>
  <c r="H240" i="15"/>
  <c r="H307" i="15"/>
  <c r="H231" i="15"/>
  <c r="H298" i="15"/>
  <c r="AH69" i="15"/>
  <c r="AH201" i="15"/>
  <c r="AH203" i="15"/>
  <c r="AM94" i="15"/>
  <c r="H167" i="15"/>
  <c r="H341" i="15"/>
  <c r="H162" i="15"/>
  <c r="AZ283" i="15"/>
  <c r="AZ216" i="15"/>
  <c r="AI284" i="15"/>
  <c r="AJ88" i="15"/>
  <c r="AI217" i="15"/>
  <c r="BC214" i="15"/>
  <c r="BD85" i="15"/>
  <c r="BC281" i="15"/>
  <c r="BC160" i="15"/>
  <c r="BC241" i="15"/>
  <c r="BC308" i="15"/>
  <c r="BC162" i="15"/>
  <c r="BC341" i="15"/>
  <c r="H71" i="15"/>
  <c r="H108" i="15"/>
  <c r="AR89" i="15"/>
  <c r="AQ283" i="15"/>
  <c r="AQ216" i="15"/>
  <c r="C52" i="15"/>
  <c r="K47" i="15"/>
  <c r="AM282" i="15"/>
  <c r="V47" i="15"/>
  <c r="AS144" i="15"/>
  <c r="BC139" i="15"/>
  <c r="I19" i="15"/>
  <c r="AB54" i="15"/>
  <c r="AB35" i="15"/>
  <c r="AB57" i="15"/>
  <c r="AZ277" i="15"/>
  <c r="AZ210" i="15"/>
  <c r="AQ18" i="15"/>
  <c r="J721" i="17"/>
  <c r="K721" i="17"/>
  <c r="AM97" i="15"/>
  <c r="AL226" i="15"/>
  <c r="AL293" i="15"/>
  <c r="AN91" i="15"/>
  <c r="G287" i="15"/>
  <c r="AQ60" i="15"/>
  <c r="AP214" i="15"/>
  <c r="AQ85" i="15"/>
  <c r="AP281" i="15"/>
  <c r="AF340" i="15"/>
  <c r="AF359" i="15"/>
  <c r="AF50" i="15"/>
  <c r="AF229" i="15"/>
  <c r="AF296" i="15"/>
  <c r="BA291" i="15"/>
  <c r="BB95" i="15"/>
  <c r="BA266" i="15"/>
  <c r="F144" i="15"/>
  <c r="AT146" i="15"/>
  <c r="AU218" i="15"/>
  <c r="I30" i="15"/>
  <c r="I53" i="15"/>
  <c r="I47" i="15"/>
  <c r="BC43" i="15"/>
  <c r="BC48" i="15"/>
  <c r="BC42" i="15"/>
  <c r="BC44" i="15"/>
  <c r="AE224" i="15"/>
  <c r="AD15" i="15"/>
  <c r="AD200" i="15"/>
  <c r="AN25" i="15"/>
  <c r="AQ50" i="15"/>
  <c r="AP50" i="15"/>
  <c r="E1122" i="17"/>
  <c r="AU277" i="15"/>
  <c r="AU210" i="15"/>
  <c r="E19" i="15"/>
  <c r="E24" i="15"/>
  <c r="BC223" i="15"/>
  <c r="BC290" i="15"/>
  <c r="BD94" i="15"/>
  <c r="AF284" i="15"/>
  <c r="AF217" i="15"/>
  <c r="AI216" i="15"/>
  <c r="AJ87" i="15"/>
  <c r="AG113" i="15"/>
  <c r="AG338" i="15"/>
  <c r="AG357" i="15"/>
  <c r="V32" i="15"/>
  <c r="C188" i="15"/>
  <c r="BD50" i="15"/>
  <c r="R47" i="15"/>
  <c r="AC144" i="15"/>
  <c r="AK139" i="15"/>
  <c r="AF49" i="15"/>
  <c r="AY113" i="15"/>
  <c r="AY338" i="15"/>
  <c r="AY357" i="15"/>
  <c r="AN87" i="15"/>
  <c r="AM216" i="15"/>
  <c r="AF215" i="15"/>
  <c r="AF282" i="15"/>
  <c r="AU95" i="15"/>
  <c r="AT224" i="15"/>
  <c r="V44" i="15"/>
  <c r="V55" i="15"/>
  <c r="V43" i="15"/>
  <c r="V46" i="15"/>
  <c r="V48" i="15"/>
  <c r="V60" i="15"/>
  <c r="V51" i="15"/>
  <c r="V45" i="15"/>
  <c r="V56" i="15"/>
  <c r="V15" i="15"/>
  <c r="I132" i="15"/>
  <c r="I137" i="15"/>
  <c r="AV131" i="15"/>
  <c r="AV132" i="15"/>
  <c r="AV137" i="15"/>
  <c r="AY226" i="15"/>
  <c r="AY293" i="15"/>
  <c r="AZ97" i="15"/>
  <c r="AH113" i="15"/>
  <c r="AH338" i="15"/>
  <c r="AH357" i="15"/>
  <c r="AF214" i="15"/>
  <c r="AI113" i="15"/>
  <c r="AI338" i="15"/>
  <c r="AI357" i="15"/>
  <c r="BC146" i="15"/>
  <c r="AV218" i="15"/>
  <c r="AX291" i="15"/>
  <c r="AY95" i="15"/>
  <c r="AX224" i="15"/>
  <c r="AK49" i="15"/>
  <c r="AZ85" i="15"/>
  <c r="AZ113" i="15"/>
  <c r="AZ338" i="15"/>
  <c r="AZ357" i="15"/>
  <c r="AY281" i="15"/>
  <c r="T53" i="15"/>
  <c r="T52" i="15"/>
  <c r="AK24" i="15"/>
  <c r="AK30" i="15"/>
  <c r="AK19" i="15"/>
  <c r="AE222" i="15"/>
  <c r="AF93" i="15"/>
  <c r="AE289" i="15"/>
  <c r="G223" i="15"/>
  <c r="G290" i="15"/>
  <c r="I66" i="15"/>
  <c r="I202" i="15"/>
  <c r="AZ92" i="15"/>
  <c r="AY221" i="15"/>
  <c r="AV226" i="15"/>
  <c r="AV293" i="15"/>
  <c r="AN289" i="15"/>
  <c r="AN222" i="15"/>
  <c r="AG30" i="15"/>
  <c r="AG63" i="15"/>
  <c r="AG65" i="15"/>
  <c r="AD216" i="15"/>
  <c r="AD283" i="15"/>
  <c r="AE87" i="15"/>
  <c r="I290" i="15"/>
  <c r="I223" i="15"/>
  <c r="AV94" i="15"/>
  <c r="BA155" i="15"/>
  <c r="BA154" i="15"/>
  <c r="BA237" i="15"/>
  <c r="BA304" i="15"/>
  <c r="AY127" i="15"/>
  <c r="AY44" i="15"/>
  <c r="AY48" i="15"/>
  <c r="AY55" i="15"/>
  <c r="AY43" i="15"/>
  <c r="AY265" i="15"/>
  <c r="AY266" i="15"/>
  <c r="AY56" i="15"/>
  <c r="AK290" i="15"/>
  <c r="AK223" i="15"/>
  <c r="AP218" i="15"/>
  <c r="AP285" i="15"/>
  <c r="AM88" i="15"/>
  <c r="AL284" i="15"/>
  <c r="AL217" i="15"/>
  <c r="AQ43" i="15"/>
  <c r="AQ199" i="15"/>
  <c r="AQ55" i="15"/>
  <c r="AQ45" i="15"/>
  <c r="AQ44" i="15"/>
  <c r="AQ265" i="15"/>
  <c r="AU266" i="15"/>
  <c r="AQ46" i="15"/>
  <c r="AQ15" i="15"/>
  <c r="AQ200" i="15"/>
  <c r="AT105" i="15"/>
  <c r="AU15" i="15"/>
  <c r="AU200" i="15"/>
  <c r="AM51" i="15"/>
  <c r="AM265" i="15"/>
  <c r="AM266" i="15"/>
  <c r="AM48" i="15"/>
  <c r="AM44" i="15"/>
  <c r="AM15" i="15"/>
  <c r="AM200" i="15"/>
  <c r="AM45" i="15"/>
  <c r="AM56" i="15"/>
  <c r="AM43" i="15"/>
  <c r="AM18" i="15"/>
  <c r="AM60" i="15"/>
  <c r="AM55" i="15"/>
  <c r="AM59" i="15"/>
  <c r="Z42" i="15"/>
  <c r="Z45" i="15"/>
  <c r="Z46" i="15"/>
  <c r="Z43" i="15"/>
  <c r="Z55" i="15"/>
  <c r="Z51" i="15"/>
  <c r="Z60" i="15"/>
  <c r="Z18" i="15"/>
  <c r="Z56" i="15"/>
  <c r="AB105" i="15"/>
  <c r="AY86" i="15"/>
  <c r="AX215" i="15"/>
  <c r="BD113" i="15"/>
  <c r="BD338" i="15"/>
  <c r="BD357" i="15"/>
  <c r="I266" i="15"/>
  <c r="AR56" i="15"/>
  <c r="AR137" i="15"/>
  <c r="AR139" i="15"/>
  <c r="Q18" i="15"/>
  <c r="U15" i="15"/>
  <c r="Q55" i="15"/>
  <c r="Q60" i="15"/>
  <c r="Q51" i="15"/>
  <c r="Q42" i="15"/>
  <c r="AR55" i="15"/>
  <c r="AY15" i="15"/>
  <c r="AY200" i="15"/>
  <c r="AU60" i="15"/>
  <c r="C288" i="15"/>
  <c r="C221" i="15"/>
  <c r="AM89" i="15"/>
  <c r="AL285" i="15"/>
  <c r="AL218" i="15"/>
  <c r="AX137" i="15"/>
  <c r="AX139" i="15"/>
  <c r="E547" i="17"/>
  <c r="D582" i="17"/>
  <c r="E548" i="17"/>
  <c r="E550" i="17"/>
  <c r="E565" i="17"/>
  <c r="E561" i="17"/>
  <c r="E558" i="17"/>
  <c r="E559" i="17"/>
  <c r="D596" i="17"/>
  <c r="D599" i="17"/>
  <c r="E564" i="17"/>
  <c r="E551" i="17"/>
  <c r="E552" i="17" s="1"/>
  <c r="E566" i="17"/>
  <c r="E555" i="17"/>
  <c r="E563" i="17"/>
  <c r="D584" i="17"/>
  <c r="K283" i="15"/>
  <c r="K216" i="15"/>
  <c r="BB203" i="15"/>
  <c r="AP288" i="15"/>
  <c r="AQ92" i="15"/>
  <c r="AE279" i="15"/>
  <c r="AF83" i="15"/>
  <c r="AG111" i="15" s="1"/>
  <c r="AG337" i="15" s="1"/>
  <c r="AG356" i="15" s="1"/>
  <c r="AU82" i="15"/>
  <c r="AT278" i="15"/>
  <c r="E265" i="15"/>
  <c r="E266" i="15" s="1"/>
  <c r="F266" i="15"/>
  <c r="E59" i="15"/>
  <c r="E199" i="15"/>
  <c r="E46" i="15"/>
  <c r="E51" i="15"/>
  <c r="E105" i="15"/>
  <c r="AZ137" i="15"/>
  <c r="BB139" i="15"/>
  <c r="BB144" i="15"/>
  <c r="BB281" i="15"/>
  <c r="BB214" i="15"/>
  <c r="BB59" i="15"/>
  <c r="E725" i="17"/>
  <c r="AS139" i="15"/>
  <c r="D137" i="15"/>
  <c r="D144" i="15"/>
  <c r="D147" i="15"/>
  <c r="AN13" i="15"/>
  <c r="AT139" i="15"/>
  <c r="AT155" i="15"/>
  <c r="AL50" i="15"/>
  <c r="AM137" i="15"/>
  <c r="AI137" i="15"/>
  <c r="AU137" i="15"/>
  <c r="AW46" i="15"/>
  <c r="AZ14" i="15"/>
  <c r="E748" i="17"/>
  <c r="AH216" i="15"/>
  <c r="AM46" i="15"/>
  <c r="AW60" i="15"/>
  <c r="H127" i="15"/>
  <c r="G182" i="15"/>
  <c r="G255" i="15"/>
  <c r="G334" i="15"/>
  <c r="G244" i="15"/>
  <c r="G311" i="15"/>
  <c r="G322" i="15"/>
  <c r="BC270" i="15"/>
  <c r="AU32" i="15"/>
  <c r="AU52" i="15"/>
  <c r="AK341" i="15"/>
  <c r="AK167" i="15"/>
  <c r="AK162" i="15"/>
  <c r="AK235" i="15"/>
  <c r="AK302" i="15"/>
  <c r="AK160" i="15"/>
  <c r="AN234" i="15"/>
  <c r="AN301" i="15"/>
  <c r="AD57" i="15"/>
  <c r="BC69" i="15"/>
  <c r="AO80" i="15"/>
  <c r="AO272" i="15"/>
  <c r="AS70" i="15"/>
  <c r="AS206" i="15"/>
  <c r="AO71" i="15"/>
  <c r="BC201" i="15"/>
  <c r="BC203" i="15"/>
  <c r="AG342" i="15"/>
  <c r="AN159" i="15"/>
  <c r="AS90" i="15"/>
  <c r="AS213" i="15"/>
  <c r="AS280" i="15"/>
  <c r="AO57" i="15"/>
  <c r="AO76" i="15"/>
  <c r="D326" i="15"/>
  <c r="D259" i="15"/>
  <c r="BC32" i="15"/>
  <c r="BC54" i="15"/>
  <c r="BC52" i="15"/>
  <c r="W69" i="15"/>
  <c r="W66" i="15"/>
  <c r="W67" i="15"/>
  <c r="AJ343" i="15"/>
  <c r="AJ360" i="15"/>
  <c r="G80" i="15"/>
  <c r="G272" i="15"/>
  <c r="H70" i="15"/>
  <c r="H206" i="15"/>
  <c r="G108" i="15"/>
  <c r="G71" i="15"/>
  <c r="AE272" i="15"/>
  <c r="AE274" i="15"/>
  <c r="AE80" i="15"/>
  <c r="J270" i="15"/>
  <c r="K269" i="15"/>
  <c r="AK231" i="15"/>
  <c r="AK298" i="15"/>
  <c r="D35" i="15"/>
  <c r="AS272" i="15"/>
  <c r="AE54" i="15"/>
  <c r="D185" i="15"/>
  <c r="AS54" i="15"/>
  <c r="H174" i="15"/>
  <c r="H247" i="15"/>
  <c r="AG341" i="15"/>
  <c r="AC76" i="15"/>
  <c r="G238" i="15"/>
  <c r="G305" i="15"/>
  <c r="AW66" i="15"/>
  <c r="AW202" i="15"/>
  <c r="AO235" i="15"/>
  <c r="AO302" i="15"/>
  <c r="I70" i="15"/>
  <c r="I206" i="15"/>
  <c r="AN147" i="15"/>
  <c r="G152" i="15"/>
  <c r="G232" i="15"/>
  <c r="G299" i="15"/>
  <c r="AW268" i="15"/>
  <c r="AW69" i="15"/>
  <c r="AW67" i="15"/>
  <c r="AW201" i="15"/>
  <c r="AW203" i="15"/>
  <c r="AR283" i="15"/>
  <c r="AR216" i="15"/>
  <c r="AS76" i="15"/>
  <c r="AG167" i="15"/>
  <c r="H186" i="15"/>
  <c r="K186" i="15"/>
  <c r="K185" i="15"/>
  <c r="AE160" i="15"/>
  <c r="AE341" i="15"/>
  <c r="D53" i="15"/>
  <c r="D52" i="15"/>
  <c r="J201" i="15"/>
  <c r="J203" i="15"/>
  <c r="J67" i="15"/>
  <c r="J66" i="15"/>
  <c r="J202" i="15"/>
  <c r="J69" i="15"/>
  <c r="V70" i="15"/>
  <c r="G67" i="15"/>
  <c r="G201" i="15"/>
  <c r="G203" i="15"/>
  <c r="G107" i="15"/>
  <c r="BB270" i="15"/>
  <c r="K52" i="15"/>
  <c r="H344" i="15"/>
  <c r="H361" i="15"/>
  <c r="AS268" i="15"/>
  <c r="AS66" i="15"/>
  <c r="AS202" i="15"/>
  <c r="AS201" i="15"/>
  <c r="AS203" i="15"/>
  <c r="H76" i="15"/>
  <c r="H109" i="15"/>
  <c r="H272" i="15"/>
  <c r="H80" i="15"/>
  <c r="AF159" i="15"/>
  <c r="AF234" i="15"/>
  <c r="AF301" i="15"/>
  <c r="AT209" i="15"/>
  <c r="AT84" i="15"/>
  <c r="AD69" i="15"/>
  <c r="AE108" i="15"/>
  <c r="AD67" i="15"/>
  <c r="AH66" i="15"/>
  <c r="AH202" i="15"/>
  <c r="AG107" i="15"/>
  <c r="AE201" i="15"/>
  <c r="AE203" i="15"/>
  <c r="AE268" i="15"/>
  <c r="AE270" i="15"/>
  <c r="AE67" i="15"/>
  <c r="AO162" i="15"/>
  <c r="AO160" i="15"/>
  <c r="AC201" i="15"/>
  <c r="AG66" i="15"/>
  <c r="AG202" i="15"/>
  <c r="AU63" i="15"/>
  <c r="AU65" i="15"/>
  <c r="AU47" i="15"/>
  <c r="H179" i="15"/>
  <c r="H252" i="15"/>
  <c r="H333" i="15"/>
  <c r="AC205" i="15"/>
  <c r="S53" i="15"/>
  <c r="S32" i="15"/>
  <c r="BA24" i="15"/>
  <c r="BA30" i="15" s="1"/>
  <c r="BB205" i="15"/>
  <c r="BB207" i="15"/>
  <c r="BB206" i="15"/>
  <c r="AV277" i="15"/>
  <c r="AV210" i="15"/>
  <c r="AV24" i="15"/>
  <c r="AV19" i="15"/>
  <c r="AH146" i="15"/>
  <c r="AH147" i="15"/>
  <c r="I80" i="15"/>
  <c r="I272" i="15"/>
  <c r="AR220" i="15"/>
  <c r="AR287" i="15"/>
  <c r="AX54" i="15"/>
  <c r="AX35" i="15"/>
  <c r="AX71" i="15"/>
  <c r="AX80" i="15"/>
  <c r="X52" i="15"/>
  <c r="BD277" i="15"/>
  <c r="AH52" i="15"/>
  <c r="AG106" i="15"/>
  <c r="AO159" i="15"/>
  <c r="BB32" i="15"/>
  <c r="BB35" i="15"/>
  <c r="BB57" i="15"/>
  <c r="AR81" i="15"/>
  <c r="J47" i="15"/>
  <c r="AF268" i="15"/>
  <c r="AF270" i="15"/>
  <c r="AF67" i="15"/>
  <c r="AW19" i="15"/>
  <c r="AJ139" i="15"/>
  <c r="I67" i="15"/>
  <c r="I107" i="15"/>
  <c r="I268" i="15"/>
  <c r="J269" i="15"/>
  <c r="I201" i="15"/>
  <c r="I203" i="15"/>
  <c r="AE293" i="15"/>
  <c r="AF97" i="15"/>
  <c r="AH139" i="15"/>
  <c r="AH49" i="15"/>
  <c r="BC288" i="15"/>
  <c r="BD92" i="15"/>
  <c r="AI332" i="15"/>
  <c r="AI351" i="15"/>
  <c r="AI124" i="15"/>
  <c r="J139" i="15"/>
  <c r="J144" i="15"/>
  <c r="J49" i="15"/>
  <c r="AI63" i="15"/>
  <c r="AI65" i="15"/>
  <c r="AI30" i="15"/>
  <c r="AI106" i="15"/>
  <c r="AU215" i="15"/>
  <c r="AV86" i="15"/>
  <c r="AU282" i="15"/>
  <c r="X53" i="15"/>
  <c r="AH53" i="15"/>
  <c r="AF106" i="15"/>
  <c r="BB52" i="15"/>
  <c r="H66" i="15"/>
  <c r="H202" i="15"/>
  <c r="BD111" i="15"/>
  <c r="BD337" i="15"/>
  <c r="BD356" i="15"/>
  <c r="J30" i="15"/>
  <c r="J53" i="15"/>
  <c r="AR94" i="15"/>
  <c r="AJ49" i="15"/>
  <c r="AF332" i="15"/>
  <c r="AF351" i="15"/>
  <c r="G19" i="15"/>
  <c r="AY211" i="15"/>
  <c r="AZ82" i="15"/>
  <c r="AJ91" i="15"/>
  <c r="AF220" i="15"/>
  <c r="AF287" i="15"/>
  <c r="H160" i="15"/>
  <c r="H235" i="15"/>
  <c r="H302" i="15"/>
  <c r="U24" i="15"/>
  <c r="U19" i="15"/>
  <c r="BD87" i="15"/>
  <c r="BC216" i="15"/>
  <c r="BC283" i="15"/>
  <c r="BD89" i="15"/>
  <c r="K218" i="15"/>
  <c r="BD14" i="15"/>
  <c r="AV46" i="15"/>
  <c r="AV42" i="15"/>
  <c r="AW105" i="15"/>
  <c r="AV44" i="15"/>
  <c r="AV51" i="15"/>
  <c r="AV199" i="15"/>
  <c r="AV55" i="15"/>
  <c r="AV15" i="15"/>
  <c r="AV200" i="15"/>
  <c r="AV60" i="15"/>
  <c r="AR49" i="15"/>
  <c r="AH223" i="15"/>
  <c r="AI94" i="15"/>
  <c r="AX113" i="15"/>
  <c r="AX338" i="15"/>
  <c r="AX357" i="15"/>
  <c r="AV59" i="15"/>
  <c r="AV113" i="15"/>
  <c r="AV338" i="15"/>
  <c r="AV357" i="15"/>
  <c r="AV281" i="15"/>
  <c r="AW113" i="15"/>
  <c r="AW338" i="15"/>
  <c r="AW357" i="15"/>
  <c r="I32" i="15"/>
  <c r="AX66" i="15"/>
  <c r="AX202" i="15"/>
  <c r="AX268" i="15"/>
  <c r="BB269" i="15"/>
  <c r="AN49" i="15"/>
  <c r="AN139" i="15"/>
  <c r="AD218" i="15"/>
  <c r="AE89" i="15"/>
  <c r="H47" i="15"/>
  <c r="H106" i="15"/>
  <c r="E49" i="15"/>
  <c r="E144" i="15"/>
  <c r="AT272" i="15"/>
  <c r="AT76" i="15"/>
  <c r="V66" i="15"/>
  <c r="V67" i="15"/>
  <c r="BA147" i="15"/>
  <c r="BA146" i="15"/>
  <c r="AY147" i="15"/>
  <c r="AY146" i="15"/>
  <c r="AT67" i="15"/>
  <c r="AT268" i="15"/>
  <c r="AT201" i="15"/>
  <c r="AT203" i="15"/>
  <c r="AS266" i="15"/>
  <c r="AH290" i="15"/>
  <c r="K69" i="15"/>
  <c r="K66" i="15"/>
  <c r="K202" i="15"/>
  <c r="K201" i="15"/>
  <c r="K203" i="15"/>
  <c r="AL162" i="15"/>
  <c r="AL341" i="15"/>
  <c r="AF113" i="15"/>
  <c r="AF59" i="15"/>
  <c r="AG268" i="15"/>
  <c r="AG69" i="15"/>
  <c r="AG67" i="15"/>
  <c r="AQ211" i="15"/>
  <c r="AQ278" i="15"/>
  <c r="BA127" i="15"/>
  <c r="BA51" i="15"/>
  <c r="BA15" i="15"/>
  <c r="BA200" i="15"/>
  <c r="BA59" i="15"/>
  <c r="BA55" i="15"/>
  <c r="BC105" i="15"/>
  <c r="L229" i="15"/>
  <c r="L296" i="15"/>
  <c r="L340" i="15"/>
  <c r="L359" i="15"/>
  <c r="X47" i="15"/>
  <c r="X63" i="15"/>
  <c r="X65" i="15"/>
  <c r="E30" i="15"/>
  <c r="E106" i="15"/>
  <c r="T47" i="15"/>
  <c r="T63" i="15"/>
  <c r="T65" i="15"/>
  <c r="C106" i="15"/>
  <c r="C63" i="15"/>
  <c r="C65" i="15"/>
  <c r="D49" i="15"/>
  <c r="D139" i="15"/>
  <c r="K144" i="15"/>
  <c r="AR18" i="15"/>
  <c r="AQ144" i="15"/>
  <c r="AQ139" i="15"/>
  <c r="C707" i="17"/>
  <c r="AR48" i="15"/>
  <c r="AU290" i="15"/>
  <c r="AU223" i="15"/>
  <c r="Y30" i="15"/>
  <c r="Y63" i="15"/>
  <c r="Y65" i="15"/>
  <c r="Y47" i="15"/>
  <c r="AJ19" i="15"/>
  <c r="AJ24" i="15"/>
  <c r="AK106" i="15"/>
  <c r="AE290" i="15"/>
  <c r="AF94" i="15"/>
  <c r="AM139" i="15"/>
  <c r="AM144" i="15"/>
  <c r="AM49" i="15"/>
  <c r="AE223" i="15"/>
  <c r="AM224" i="15"/>
  <c r="AR265" i="15"/>
  <c r="AR51" i="15"/>
  <c r="AR199" i="15"/>
  <c r="AR60" i="15"/>
  <c r="AR42" i="15"/>
  <c r="AR43" i="15"/>
  <c r="AR45" i="15"/>
  <c r="AX144" i="15"/>
  <c r="AX49" i="15"/>
  <c r="AE287" i="15"/>
  <c r="AE220" i="15"/>
  <c r="F19" i="15"/>
  <c r="F24" i="15"/>
  <c r="AV138" i="15"/>
  <c r="AV139" i="15"/>
  <c r="I139" i="15"/>
  <c r="AL146" i="15"/>
  <c r="BC127" i="15"/>
  <c r="BC59" i="15"/>
  <c r="AF224" i="15"/>
  <c r="AF291" i="15"/>
  <c r="AY290" i="15"/>
  <c r="AZ94" i="15"/>
  <c r="AY223" i="15"/>
  <c r="AN7" i="15"/>
  <c r="AL14" i="15"/>
  <c r="C1350" i="17"/>
  <c r="D1350" i="17"/>
  <c r="D1351" i="17"/>
  <c r="AL229" i="15"/>
  <c r="AL296" i="15"/>
  <c r="AL340" i="15"/>
  <c r="AI139" i="15"/>
  <c r="AI144" i="15"/>
  <c r="AI49" i="15"/>
  <c r="Z24" i="15"/>
  <c r="Z19" i="15"/>
  <c r="AK47" i="15"/>
  <c r="AK63" i="15"/>
  <c r="AK65" i="15"/>
  <c r="F285" i="15"/>
  <c r="F218" i="15"/>
  <c r="AU284" i="15"/>
  <c r="AU217" i="15"/>
  <c r="AT282" i="15"/>
  <c r="AT215" i="15"/>
  <c r="AQ83" i="15"/>
  <c r="AP212" i="15"/>
  <c r="AP279" i="15"/>
  <c r="S48" i="15"/>
  <c r="S60" i="15"/>
  <c r="S55" i="15"/>
  <c r="C223" i="15"/>
  <c r="C290" i="15"/>
  <c r="AY60" i="15"/>
  <c r="AX277" i="15"/>
  <c r="G46" i="15"/>
  <c r="AQ217" i="15"/>
  <c r="E784" i="17"/>
  <c r="E1263" i="17"/>
  <c r="E43" i="15"/>
  <c r="AZ287" i="15"/>
  <c r="AZ25" i="15"/>
  <c r="AZ48" i="15"/>
  <c r="BB290" i="15"/>
  <c r="U46" i="15"/>
  <c r="U43" i="15"/>
  <c r="AW144" i="15"/>
  <c r="AZ83" i="15"/>
  <c r="AN83" i="15"/>
  <c r="AX283" i="15"/>
  <c r="AK46" i="15"/>
  <c r="AK265" i="15"/>
  <c r="AK266" i="15"/>
  <c r="AY18" i="15"/>
  <c r="Y19" i="15"/>
  <c r="G55" i="15"/>
  <c r="AI82" i="15"/>
  <c r="AJ82" i="15"/>
  <c r="AK60" i="15"/>
  <c r="AJ199" i="15"/>
  <c r="AJ265" i="15"/>
  <c r="Y45" i="15"/>
  <c r="Y51" i="15"/>
  <c r="AZ127" i="15"/>
  <c r="AC199" i="15"/>
  <c r="AC207" i="15" s="1"/>
  <c r="AC265" i="15"/>
  <c r="AY279" i="15"/>
  <c r="AY45" i="15"/>
  <c r="E1040" i="17"/>
  <c r="G60" i="15"/>
  <c r="AT291" i="15"/>
  <c r="E42" i="15"/>
  <c r="AB46" i="15"/>
  <c r="AB45" i="15"/>
  <c r="AH282" i="15"/>
  <c r="AT211" i="15"/>
  <c r="BA224" i="15"/>
  <c r="AN97" i="15"/>
  <c r="AM226" i="15"/>
  <c r="AM293" i="15"/>
  <c r="W35" i="15"/>
  <c r="W57" i="15"/>
  <c r="W54" i="15"/>
  <c r="AX106" i="15"/>
  <c r="AZ51" i="15"/>
  <c r="AZ42" i="15"/>
  <c r="AZ44" i="15"/>
  <c r="AZ55" i="15"/>
  <c r="AZ15" i="15"/>
  <c r="AZ200" i="15"/>
  <c r="AZ199" i="15"/>
  <c r="AZ43" i="15"/>
  <c r="AZ45" i="15"/>
  <c r="AZ18" i="15"/>
  <c r="BB105" i="15"/>
  <c r="AZ265" i="15"/>
  <c r="AZ266" i="15"/>
  <c r="AZ56" i="15"/>
  <c r="AZ144" i="15"/>
  <c r="AZ49" i="15"/>
  <c r="AZ139" i="15"/>
  <c r="AU211" i="15"/>
  <c r="AU278" i="15"/>
  <c r="AV82" i="15"/>
  <c r="BB113" i="15"/>
  <c r="BB338" i="15"/>
  <c r="BB357" i="15"/>
  <c r="AV144" i="15"/>
  <c r="AV49" i="15"/>
  <c r="F147" i="15"/>
  <c r="F146" i="15"/>
  <c r="AQ59" i="15"/>
  <c r="AR85" i="15"/>
  <c r="AT113" i="15" s="1"/>
  <c r="AT338" i="15" s="1"/>
  <c r="AT357" i="15" s="1"/>
  <c r="AQ214" i="15"/>
  <c r="AQ113" i="15"/>
  <c r="AQ338" i="15"/>
  <c r="AQ357" i="15"/>
  <c r="AQ281" i="15"/>
  <c r="BC155" i="15"/>
  <c r="BC154" i="15"/>
  <c r="BC237" i="15"/>
  <c r="BC304" i="15"/>
  <c r="BA113" i="15"/>
  <c r="BA338" i="15"/>
  <c r="BA357" i="15"/>
  <c r="AN94" i="15"/>
  <c r="AM223" i="15"/>
  <c r="AM290" i="15"/>
  <c r="AP54" i="15"/>
  <c r="AP35" i="15"/>
  <c r="AP57" i="15"/>
  <c r="BD284" i="15"/>
  <c r="BD217" i="15"/>
  <c r="AY342" i="15"/>
  <c r="AY238" i="15"/>
  <c r="AY305" i="15"/>
  <c r="AY282" i="15"/>
  <c r="AY215" i="15"/>
  <c r="AZ86" i="15"/>
  <c r="AV290" i="15"/>
  <c r="AV223" i="15"/>
  <c r="AT188" i="15"/>
  <c r="AT151" i="15"/>
  <c r="AQ19" i="15"/>
  <c r="AQ24" i="15"/>
  <c r="BC343" i="15"/>
  <c r="BC362" i="15"/>
  <c r="BC360" i="15"/>
  <c r="D272" i="15"/>
  <c r="D274" i="15"/>
  <c r="D71" i="15"/>
  <c r="D80" i="15"/>
  <c r="D205" i="15"/>
  <c r="D207" i="15"/>
  <c r="D108" i="15"/>
  <c r="D76" i="15"/>
  <c r="D109" i="15"/>
  <c r="I52" i="15"/>
  <c r="AV106" i="15"/>
  <c r="AE240" i="15"/>
  <c r="AE307" i="15"/>
  <c r="E124" i="15"/>
  <c r="E332" i="15"/>
  <c r="E351" i="15"/>
  <c r="AF111" i="15"/>
  <c r="AF212" i="15"/>
  <c r="AH111" i="15"/>
  <c r="AH337" i="15"/>
  <c r="AH356" i="15"/>
  <c r="AI111" i="15"/>
  <c r="AI337" i="15"/>
  <c r="AI356" i="15"/>
  <c r="AF279" i="15"/>
  <c r="BC151" i="15"/>
  <c r="BC188" i="15"/>
  <c r="I49" i="15"/>
  <c r="I144" i="15"/>
  <c r="AN216" i="15"/>
  <c r="AN283" i="15"/>
  <c r="BD223" i="15"/>
  <c r="BD290" i="15"/>
  <c r="AS146" i="15"/>
  <c r="AS147" i="15"/>
  <c r="AF209" i="15"/>
  <c r="AF213" i="15"/>
  <c r="AF84" i="15"/>
  <c r="AF280" i="15"/>
  <c r="AF276" i="15"/>
  <c r="AN14" i="15"/>
  <c r="AR144" i="15"/>
  <c r="AQ266" i="15"/>
  <c r="AE283" i="15"/>
  <c r="AF87" i="15"/>
  <c r="AE216" i="15"/>
  <c r="AF222" i="15"/>
  <c r="AF289" i="15"/>
  <c r="V35" i="15"/>
  <c r="V57" i="15"/>
  <c r="V54" i="15"/>
  <c r="BB291" i="15"/>
  <c r="BB224" i="15"/>
  <c r="BC95" i="15"/>
  <c r="AH80" i="15"/>
  <c r="AH76" i="15"/>
  <c r="AH71" i="15"/>
  <c r="AH272" i="15"/>
  <c r="AH274" i="15"/>
  <c r="AH205" i="15"/>
  <c r="AH207" i="15"/>
  <c r="H269" i="15"/>
  <c r="H270" i="15"/>
  <c r="AF342" i="15"/>
  <c r="AF241" i="15"/>
  <c r="AF308" i="15"/>
  <c r="AJ210" i="15"/>
  <c r="AJ277" i="15"/>
  <c r="AO344" i="15"/>
  <c r="AO363" i="15"/>
  <c r="AO361" i="15"/>
  <c r="BC266" i="15"/>
  <c r="J185" i="15"/>
  <c r="J186" i="15"/>
  <c r="AZ59" i="15"/>
  <c r="BC113" i="15"/>
  <c r="BC338" i="15"/>
  <c r="BC357" i="15"/>
  <c r="AZ214" i="15"/>
  <c r="AZ281" i="15"/>
  <c r="BD214" i="15"/>
  <c r="BD281" i="15"/>
  <c r="AA63" i="15"/>
  <c r="AA65" i="15"/>
  <c r="AA47" i="15"/>
  <c r="AD106" i="15"/>
  <c r="AA30" i="15"/>
  <c r="AF35" i="15"/>
  <c r="AF54" i="15"/>
  <c r="BB146" i="15"/>
  <c r="BB147" i="15"/>
  <c r="AR92" i="15"/>
  <c r="AQ221" i="15"/>
  <c r="AQ288" i="15"/>
  <c r="Q19" i="15"/>
  <c r="Q24" i="15"/>
  <c r="AM217" i="15"/>
  <c r="AM284" i="15"/>
  <c r="AN88" i="15"/>
  <c r="E47" i="15"/>
  <c r="E63" i="15"/>
  <c r="E65" i="15"/>
  <c r="AN287" i="15"/>
  <c r="AN220" i="15"/>
  <c r="AR285" i="15"/>
  <c r="AR218" i="15"/>
  <c r="AO343" i="15"/>
  <c r="AO362" i="15"/>
  <c r="AO360" i="15"/>
  <c r="AV111" i="15"/>
  <c r="AV337" i="15"/>
  <c r="AV356" i="15"/>
  <c r="AV279" i="15"/>
  <c r="AV212" i="15"/>
  <c r="AY111" i="15"/>
  <c r="AY337" i="15"/>
  <c r="AY356" i="15"/>
  <c r="AW111" i="15"/>
  <c r="AW337" i="15"/>
  <c r="AW356" i="15"/>
  <c r="AE205" i="15"/>
  <c r="AE207" i="15"/>
  <c r="AE76" i="15"/>
  <c r="AE71" i="15"/>
  <c r="AJ361" i="15"/>
  <c r="AJ344" i="15"/>
  <c r="AJ363" i="15"/>
  <c r="D152" i="15"/>
  <c r="D174" i="15"/>
  <c r="D247" i="15"/>
  <c r="D232" i="15"/>
  <c r="D299" i="15"/>
  <c r="BB155" i="15"/>
  <c r="BB154" i="15"/>
  <c r="BB237" i="15"/>
  <c r="BB304" i="15"/>
  <c r="AR154" i="15"/>
  <c r="AR237" i="15"/>
  <c r="AR304" i="15"/>
  <c r="AR155" i="15"/>
  <c r="AM19" i="15"/>
  <c r="AM24" i="15"/>
  <c r="AG201" i="15"/>
  <c r="AG203" i="15"/>
  <c r="AH107" i="15"/>
  <c r="AZ288" i="15"/>
  <c r="AZ221" i="15"/>
  <c r="AK32" i="15"/>
  <c r="AK53" i="15"/>
  <c r="AK52" i="15"/>
  <c r="AZ293" i="15"/>
  <c r="AZ226" i="15"/>
  <c r="AU224" i="15"/>
  <c r="AU291" i="15"/>
  <c r="AV95" i="15"/>
  <c r="AC146" i="15"/>
  <c r="AC147" i="15"/>
  <c r="AJ283" i="15"/>
  <c r="AJ216" i="15"/>
  <c r="H176" i="15"/>
  <c r="H249" i="15"/>
  <c r="H173" i="15"/>
  <c r="H246" i="15"/>
  <c r="H243" i="15"/>
  <c r="H310" i="15"/>
  <c r="H313" i="15"/>
  <c r="AC209" i="15"/>
  <c r="AC213" i="15"/>
  <c r="AC219" i="15"/>
  <c r="AC225" i="15"/>
  <c r="AC276" i="15"/>
  <c r="AC84" i="15"/>
  <c r="BB76" i="15"/>
  <c r="BB272" i="15"/>
  <c r="BB80" i="15"/>
  <c r="BB71" i="15"/>
  <c r="AU49" i="15"/>
  <c r="AU139" i="15"/>
  <c r="AU144" i="15"/>
  <c r="D146" i="15"/>
  <c r="AC203" i="15"/>
  <c r="AS154" i="15"/>
  <c r="AS237" i="15"/>
  <c r="AS304" i="15"/>
  <c r="AS155" i="15"/>
  <c r="AN89" i="15"/>
  <c r="AM218" i="15"/>
  <c r="AM285" i="15"/>
  <c r="BA342" i="15"/>
  <c r="BA238" i="15"/>
  <c r="BA305" i="15"/>
  <c r="AG32" i="15"/>
  <c r="AG52" i="15"/>
  <c r="AG53" i="15"/>
  <c r="AY291" i="15"/>
  <c r="AY224" i="15"/>
  <c r="AZ95" i="15"/>
  <c r="AJ284" i="15"/>
  <c r="AJ217" i="15"/>
  <c r="H343" i="15"/>
  <c r="H362" i="15"/>
  <c r="H360" i="15"/>
  <c r="AF360" i="15"/>
  <c r="AF343" i="15"/>
  <c r="AF362" i="15"/>
  <c r="AP71" i="15"/>
  <c r="AP80" i="15"/>
  <c r="AP76" i="15"/>
  <c r="AT70" i="15"/>
  <c r="AT206" i="15"/>
  <c r="AP205" i="15"/>
  <c r="AP207" i="15"/>
  <c r="AP272" i="15"/>
  <c r="AP274" i="15"/>
  <c r="C57" i="15"/>
  <c r="C112" i="15"/>
  <c r="H180" i="15"/>
  <c r="H253" i="15"/>
  <c r="H177" i="15"/>
  <c r="H250" i="15"/>
  <c r="AT332" i="15"/>
  <c r="AT351" i="15"/>
  <c r="AT124" i="15"/>
  <c r="AE173" i="15"/>
  <c r="AE246" i="15"/>
  <c r="AE177" i="15"/>
  <c r="AE250" i="15"/>
  <c r="AE176" i="15"/>
  <c r="AE249" i="15"/>
  <c r="AE174" i="15"/>
  <c r="AE247" i="15"/>
  <c r="AE243" i="15"/>
  <c r="AE333" i="15"/>
  <c r="AE335" i="15"/>
  <c r="AJ211" i="15"/>
  <c r="AJ278" i="15"/>
  <c r="AL359" i="15"/>
  <c r="AZ279" i="15"/>
  <c r="BB111" i="15"/>
  <c r="BB337" i="15"/>
  <c r="BB356" i="15"/>
  <c r="AZ111" i="15"/>
  <c r="AZ337" i="15"/>
  <c r="AZ356" i="15"/>
  <c r="AZ212" i="15"/>
  <c r="BC111" i="15"/>
  <c r="BC337" i="15"/>
  <c r="BC356" i="15"/>
  <c r="Y67" i="15"/>
  <c r="Y69" i="15"/>
  <c r="AN154" i="15"/>
  <c r="AN155" i="15"/>
  <c r="AH152" i="15"/>
  <c r="AH232" i="15"/>
  <c r="AH299" i="15"/>
  <c r="H84" i="15"/>
  <c r="H209" i="15"/>
  <c r="H213" i="15"/>
  <c r="H219" i="15"/>
  <c r="H225" i="15"/>
  <c r="H276" i="15"/>
  <c r="W70" i="15"/>
  <c r="W71" i="15"/>
  <c r="AO274" i="15"/>
  <c r="AO111" i="15"/>
  <c r="AO337" i="15"/>
  <c r="AO356" i="15"/>
  <c r="AP111" i="15"/>
  <c r="AP337" i="15"/>
  <c r="AP356" i="15"/>
  <c r="AQ111" i="15"/>
  <c r="AQ337" i="15"/>
  <c r="AQ356" i="15"/>
  <c r="AN212" i="15"/>
  <c r="AN279" i="15"/>
  <c r="AM147" i="15"/>
  <c r="AM146" i="15"/>
  <c r="X69" i="15"/>
  <c r="AB66" i="15"/>
  <c r="X67" i="15"/>
  <c r="X66" i="15"/>
  <c r="K76" i="15"/>
  <c r="K109" i="15"/>
  <c r="K80" i="15"/>
  <c r="K108" i="15"/>
  <c r="K205" i="15"/>
  <c r="K207" i="15"/>
  <c r="K70" i="15"/>
  <c r="K206" i="15"/>
  <c r="K71" i="15"/>
  <c r="K272" i="15"/>
  <c r="AX57" i="15"/>
  <c r="AW70" i="15"/>
  <c r="AW206" i="15"/>
  <c r="AW71" i="15"/>
  <c r="AW272" i="15"/>
  <c r="AW80" i="15"/>
  <c r="AW76" i="15"/>
  <c r="AW205" i="15"/>
  <c r="AW207" i="15"/>
  <c r="AY19" i="15"/>
  <c r="AY24" i="15"/>
  <c r="AW147" i="15"/>
  <c r="AW146" i="15"/>
  <c r="F63" i="15"/>
  <c r="F65" i="15"/>
  <c r="F30" i="15"/>
  <c r="F47" i="15"/>
  <c r="F106" i="15"/>
  <c r="AV154" i="15"/>
  <c r="AV155" i="15"/>
  <c r="Y32" i="15"/>
  <c r="Y53" i="15"/>
  <c r="Y52" i="15"/>
  <c r="AQ154" i="15"/>
  <c r="AQ155" i="15"/>
  <c r="AX273" i="15"/>
  <c r="AT274" i="15"/>
  <c r="AT273" i="15"/>
  <c r="AJ220" i="15"/>
  <c r="AJ287" i="15"/>
  <c r="AR223" i="15"/>
  <c r="AR290" i="15"/>
  <c r="AH188" i="15"/>
  <c r="AH151" i="15"/>
  <c r="AO241" i="15"/>
  <c r="AO308" i="15"/>
  <c r="H274" i="15"/>
  <c r="H273" i="15"/>
  <c r="AE343" i="15"/>
  <c r="AE345" i="15"/>
  <c r="AW269" i="15"/>
  <c r="AW270" i="15"/>
  <c r="AS274" i="15"/>
  <c r="AS273" i="15"/>
  <c r="G333" i="15"/>
  <c r="G173" i="15"/>
  <c r="G246" i="15"/>
  <c r="G174" i="15"/>
  <c r="G247" i="15"/>
  <c r="G243" i="15"/>
  <c r="G310" i="15"/>
  <c r="G320" i="15"/>
  <c r="G176" i="15"/>
  <c r="G249" i="15"/>
  <c r="G179" i="15"/>
  <c r="G252" i="15"/>
  <c r="G180" i="15"/>
  <c r="G253" i="15"/>
  <c r="AS219" i="15"/>
  <c r="AS286" i="15"/>
  <c r="AS96" i="15"/>
  <c r="AO209" i="15"/>
  <c r="AO84" i="15"/>
  <c r="AO276" i="15"/>
  <c r="AU54" i="15"/>
  <c r="AU35" i="15"/>
  <c r="AX154" i="15"/>
  <c r="AX155" i="15"/>
  <c r="AY151" i="15"/>
  <c r="AY188" i="15"/>
  <c r="H334" i="15"/>
  <c r="H244" i="15"/>
  <c r="H311" i="15"/>
  <c r="H322" i="15"/>
  <c r="D57" i="15"/>
  <c r="D112" i="15"/>
  <c r="C268" i="15"/>
  <c r="C201" i="15"/>
  <c r="C203" i="15"/>
  <c r="C69" i="15"/>
  <c r="C67" i="15"/>
  <c r="D66" i="15"/>
  <c r="D202" i="15"/>
  <c r="C107" i="15"/>
  <c r="C66" i="15"/>
  <c r="C202" i="15"/>
  <c r="I270" i="15"/>
  <c r="I269" i="15"/>
  <c r="AN199" i="15"/>
  <c r="AN265" i="15"/>
  <c r="AN266" i="15"/>
  <c r="AN45" i="15"/>
  <c r="AN55" i="15"/>
  <c r="AN56" i="15"/>
  <c r="AP105" i="15"/>
  <c r="AN46" i="15"/>
  <c r="AN42" i="15"/>
  <c r="AQ105" i="15"/>
  <c r="AN60" i="15"/>
  <c r="AN15" i="15"/>
  <c r="AN200" i="15"/>
  <c r="AN44" i="15"/>
  <c r="AN18" i="15"/>
  <c r="AN48" i="15"/>
  <c r="AN51" i="15"/>
  <c r="AN43" i="15"/>
  <c r="AN59" i="15"/>
  <c r="AF223" i="15"/>
  <c r="AF290" i="15"/>
  <c r="AR19" i="15"/>
  <c r="AR24" i="15"/>
  <c r="AF338" i="15"/>
  <c r="AF357" i="15"/>
  <c r="AF185" i="15"/>
  <c r="AO266" i="15"/>
  <c r="AY232" i="15"/>
  <c r="AY299" i="15"/>
  <c r="AY152" i="15"/>
  <c r="AI290" i="15"/>
  <c r="AI223" i="15"/>
  <c r="BD127" i="15"/>
  <c r="BD18" i="15"/>
  <c r="BD51" i="15"/>
  <c r="BD45" i="15"/>
  <c r="BD265" i="15"/>
  <c r="BD266" i="15"/>
  <c r="BD199" i="15"/>
  <c r="BD46" i="15"/>
  <c r="BD56" i="15"/>
  <c r="BD44" i="15"/>
  <c r="BD15" i="15"/>
  <c r="BD200" i="15"/>
  <c r="BD42" i="15"/>
  <c r="BD105" i="15"/>
  <c r="BD60" i="15"/>
  <c r="BD43" i="15"/>
  <c r="BD59" i="15"/>
  <c r="BD55" i="15"/>
  <c r="J52" i="15"/>
  <c r="AI32" i="15"/>
  <c r="AI53" i="15"/>
  <c r="AI52" i="15"/>
  <c r="BD288" i="15"/>
  <c r="BD221" i="15"/>
  <c r="I185" i="15"/>
  <c r="I186" i="15"/>
  <c r="AO240" i="15"/>
  <c r="AO307" i="15"/>
  <c r="AO231" i="15"/>
  <c r="AO298" i="15"/>
  <c r="AV63" i="15"/>
  <c r="AV65" i="15"/>
  <c r="AW107" i="15"/>
  <c r="AV30" i="15"/>
  <c r="AY106" i="15"/>
  <c r="AV47" i="15"/>
  <c r="AW106" i="15"/>
  <c r="BD48" i="15"/>
  <c r="AT90" i="15"/>
  <c r="AT280" i="15"/>
  <c r="AT213" i="15"/>
  <c r="K325" i="15"/>
  <c r="K258" i="15"/>
  <c r="G235" i="15"/>
  <c r="G302" i="15"/>
  <c r="G177" i="15"/>
  <c r="G250" i="15"/>
  <c r="G162" i="15"/>
  <c r="G341" i="15"/>
  <c r="G167" i="15"/>
  <c r="G160" i="15"/>
  <c r="AE276" i="15"/>
  <c r="AE84" i="15"/>
  <c r="AE209" i="15"/>
  <c r="AE213" i="15"/>
  <c r="G274" i="15"/>
  <c r="AJ362" i="15"/>
  <c r="AN240" i="15"/>
  <c r="AN307" i="15"/>
  <c r="AN231" i="15"/>
  <c r="AN298" i="15"/>
  <c r="BC80" i="15"/>
  <c r="BC71" i="15"/>
  <c r="BC76" i="15"/>
  <c r="BC205" i="15"/>
  <c r="BC207" i="15"/>
  <c r="BC272" i="15"/>
  <c r="AK342" i="15"/>
  <c r="AK241" i="15"/>
  <c r="AK308" i="15"/>
  <c r="AC106" i="15"/>
  <c r="Z30" i="15"/>
  <c r="AB106" i="15"/>
  <c r="Z63" i="15"/>
  <c r="Z65" i="15"/>
  <c r="Z47" i="15"/>
  <c r="AL56" i="15"/>
  <c r="AL265" i="15"/>
  <c r="AN105" i="15"/>
  <c r="AL51" i="15"/>
  <c r="AL59" i="15"/>
  <c r="AL48" i="15"/>
  <c r="AP15" i="15"/>
  <c r="AP200" i="15"/>
  <c r="AL45" i="15"/>
  <c r="AL42" i="15"/>
  <c r="AL55" i="15"/>
  <c r="AL105" i="15"/>
  <c r="AL46" i="15"/>
  <c r="AL18" i="15"/>
  <c r="AL199" i="15"/>
  <c r="AL15" i="15"/>
  <c r="AL200" i="15"/>
  <c r="AL44" i="15"/>
  <c r="AL43" i="15"/>
  <c r="AM105" i="15"/>
  <c r="AL60" i="15"/>
  <c r="AO105" i="15"/>
  <c r="E146" i="15"/>
  <c r="E147" i="15"/>
  <c r="AG266" i="15"/>
  <c r="AC270" i="15"/>
  <c r="AC274" i="15"/>
  <c r="AK67" i="15"/>
  <c r="AK201" i="15"/>
  <c r="AK203" i="15"/>
  <c r="AK268" i="15"/>
  <c r="AK69" i="15"/>
  <c r="AK66" i="15"/>
  <c r="AK202" i="15"/>
  <c r="AO66" i="15"/>
  <c r="AO202" i="15"/>
  <c r="AL188" i="15"/>
  <c r="AL151" i="15"/>
  <c r="AL159" i="15"/>
  <c r="K147" i="15"/>
  <c r="K146" i="15"/>
  <c r="T67" i="15"/>
  <c r="T69" i="15"/>
  <c r="T71" i="15"/>
  <c r="BA188" i="15"/>
  <c r="BA151" i="15"/>
  <c r="AJ94" i="15"/>
  <c r="AI67" i="15"/>
  <c r="AI268" i="15"/>
  <c r="AI69" i="15"/>
  <c r="AI201" i="15"/>
  <c r="AI203" i="15"/>
  <c r="AI107" i="15"/>
  <c r="AI66" i="15"/>
  <c r="AI202" i="15"/>
  <c r="AX84" i="15"/>
  <c r="AX209" i="15"/>
  <c r="AX276" i="15"/>
  <c r="I274" i="15"/>
  <c r="I273" i="15"/>
  <c r="BA63" i="15"/>
  <c r="BA65" i="15"/>
  <c r="BA47" i="15"/>
  <c r="S54" i="15"/>
  <c r="S35" i="15"/>
  <c r="S57" i="15"/>
  <c r="AU67" i="15"/>
  <c r="AU69" i="15"/>
  <c r="AX107" i="15"/>
  <c r="AU201" i="15"/>
  <c r="AU203" i="15"/>
  <c r="AU268" i="15"/>
  <c r="G185" i="15"/>
  <c r="G186" i="15"/>
  <c r="K259" i="15"/>
  <c r="K326" i="15"/>
  <c r="AN152" i="15"/>
  <c r="AN232" i="15"/>
  <c r="AN299" i="15"/>
  <c r="AG360" i="15"/>
  <c r="AG343" i="15"/>
  <c r="G276" i="15"/>
  <c r="G209" i="15"/>
  <c r="G213" i="15"/>
  <c r="G219" i="15"/>
  <c r="G225" i="15"/>
  <c r="G84" i="15"/>
  <c r="AR266" i="15"/>
  <c r="AX270" i="15"/>
  <c r="AX269" i="15"/>
  <c r="U30" i="15"/>
  <c r="U63" i="15"/>
  <c r="U65" i="15"/>
  <c r="U47" i="15"/>
  <c r="G314" i="15"/>
  <c r="AI211" i="15"/>
  <c r="AI278" i="15"/>
  <c r="AQ212" i="15"/>
  <c r="AQ279" i="15"/>
  <c r="AR83" i="15"/>
  <c r="AS111" i="15"/>
  <c r="AS337" i="15"/>
  <c r="AS356" i="15"/>
  <c r="AT111" i="15"/>
  <c r="AT337" i="15"/>
  <c r="AT356" i="15"/>
  <c r="AR111" i="15"/>
  <c r="AR337" i="15"/>
  <c r="AR356" i="15"/>
  <c r="AI146" i="15"/>
  <c r="AI147" i="15"/>
  <c r="AZ223" i="15"/>
  <c r="AZ290" i="15"/>
  <c r="I155" i="15"/>
  <c r="I154" i="15"/>
  <c r="AJ30" i="15"/>
  <c r="AJ47" i="15"/>
  <c r="AJ63" i="15"/>
  <c r="AJ65" i="15"/>
  <c r="AK107" i="15"/>
  <c r="AJ106" i="15"/>
  <c r="AR15" i="15"/>
  <c r="AR200" i="15"/>
  <c r="BC332" i="15"/>
  <c r="BC351" i="15"/>
  <c r="BC124" i="15"/>
  <c r="AT270" i="15"/>
  <c r="AT269" i="15"/>
  <c r="BA232" i="15"/>
  <c r="BA299" i="15"/>
  <c r="BA152" i="15"/>
  <c r="I35" i="15"/>
  <c r="I54" i="15"/>
  <c r="BD285" i="15"/>
  <c r="BD218" i="15"/>
  <c r="AR210" i="15"/>
  <c r="AR277" i="15"/>
  <c r="I84" i="15"/>
  <c r="I209" i="15"/>
  <c r="I213" i="15"/>
  <c r="I219" i="15"/>
  <c r="I225" i="15"/>
  <c r="I276" i="15"/>
  <c r="H182" i="15"/>
  <c r="H255" i="15"/>
  <c r="H335" i="15"/>
  <c r="H352" i="15"/>
  <c r="H345" i="15"/>
  <c r="H346" i="15"/>
  <c r="AC66" i="15"/>
  <c r="AS270" i="15"/>
  <c r="AS269" i="15"/>
  <c r="J80" i="15"/>
  <c r="J70" i="15"/>
  <c r="J206" i="15"/>
  <c r="J272" i="15"/>
  <c r="J108" i="15"/>
  <c r="J76" i="15"/>
  <c r="J109" i="15"/>
  <c r="J71" i="15"/>
  <c r="J205" i="15"/>
  <c r="J207" i="15"/>
  <c r="G353" i="15"/>
  <c r="G348" i="15"/>
  <c r="G347" i="15"/>
  <c r="E53" i="15"/>
  <c r="E32" i="15"/>
  <c r="E52" i="15"/>
  <c r="AQ147" i="15"/>
  <c r="AQ146" i="15"/>
  <c r="AZ211" i="15"/>
  <c r="AZ278" i="15"/>
  <c r="AD205" i="15"/>
  <c r="AD207" i="15"/>
  <c r="AG108" i="15"/>
  <c r="AH70" i="15"/>
  <c r="AH206" i="15"/>
  <c r="AD71" i="15"/>
  <c r="AD76" i="15"/>
  <c r="AF109" i="15"/>
  <c r="AF182" i="15"/>
  <c r="AF255" i="15"/>
  <c r="AD80" i="15"/>
  <c r="AD272" i="15"/>
  <c r="AF108" i="15"/>
  <c r="AE241" i="15"/>
  <c r="AE308" i="15"/>
  <c r="AE342" i="15"/>
  <c r="AE344" i="15"/>
  <c r="AN111" i="15"/>
  <c r="AN337" i="15"/>
  <c r="AN356" i="15"/>
  <c r="AX146" i="15"/>
  <c r="AX147" i="15"/>
  <c r="AG205" i="15"/>
  <c r="AG207" i="15"/>
  <c r="AG272" i="15"/>
  <c r="AG71" i="15"/>
  <c r="AG80" i="15"/>
  <c r="AG76" i="15"/>
  <c r="AG70" i="15"/>
  <c r="AG206" i="15"/>
  <c r="AH108" i="15"/>
  <c r="AH173" i="15"/>
  <c r="AH246" i="15"/>
  <c r="AE218" i="15"/>
  <c r="AF89" i="15"/>
  <c r="AE285" i="15"/>
  <c r="BA111" i="15"/>
  <c r="BA337" i="15"/>
  <c r="BA356" i="15"/>
  <c r="BD283" i="15"/>
  <c r="BD216" i="15"/>
  <c r="H241" i="15"/>
  <c r="H308" i="15"/>
  <c r="H323" i="15"/>
  <c r="H183" i="15"/>
  <c r="H256" i="15"/>
  <c r="AV282" i="15"/>
  <c r="AV215" i="15"/>
  <c r="J147" i="15"/>
  <c r="J146" i="15"/>
  <c r="D151" i="15"/>
  <c r="D188" i="15"/>
  <c r="D173" i="15"/>
  <c r="D246" i="15"/>
  <c r="AF231" i="15"/>
  <c r="AF298" i="15"/>
  <c r="AF240" i="15"/>
  <c r="AF307" i="15"/>
  <c r="H326" i="15"/>
  <c r="H259" i="15"/>
  <c r="AV107" i="15"/>
  <c r="AG270" i="15"/>
  <c r="AG269" i="15"/>
  <c r="AR146" i="15"/>
  <c r="AR147" i="15"/>
  <c r="AW332" i="15"/>
  <c r="AW351" i="15"/>
  <c r="AW124" i="15"/>
  <c r="J155" i="15"/>
  <c r="J154" i="15"/>
  <c r="AF226" i="15"/>
  <c r="AF293" i="15"/>
  <c r="AV266" i="15"/>
  <c r="AG186" i="15"/>
  <c r="AG185" i="15"/>
  <c r="H348" i="15"/>
  <c r="H363" i="15"/>
  <c r="D258" i="15"/>
  <c r="D325" i="15"/>
  <c r="AG361" i="15"/>
  <c r="AG344" i="15"/>
  <c r="AK360" i="15"/>
  <c r="AK343" i="15"/>
  <c r="BA361" i="15"/>
  <c r="BA344" i="15"/>
  <c r="BA363" i="15"/>
  <c r="BB274" i="15"/>
  <c r="BB273" i="15"/>
  <c r="AH186" i="15"/>
  <c r="AH185" i="15"/>
  <c r="Q47" i="15"/>
  <c r="Q30" i="15"/>
  <c r="Q63" i="15"/>
  <c r="Q65" i="15"/>
  <c r="AR59" i="15"/>
  <c r="AU113" i="15"/>
  <c r="AU338" i="15"/>
  <c r="AU357" i="15"/>
  <c r="AR281" i="15"/>
  <c r="AR214" i="15"/>
  <c r="AV146" i="15"/>
  <c r="AV147" i="15"/>
  <c r="AZ224" i="15"/>
  <c r="AZ291" i="15"/>
  <c r="AF57" i="15"/>
  <c r="AF112" i="15"/>
  <c r="AR113" i="15"/>
  <c r="AR338" i="15"/>
  <c r="AR357" i="15"/>
  <c r="AM47" i="15"/>
  <c r="AM30" i="15"/>
  <c r="AM63" i="15"/>
  <c r="AM65" i="15"/>
  <c r="D162" i="15"/>
  <c r="D177" i="15"/>
  <c r="D250" i="15"/>
  <c r="D235" i="15"/>
  <c r="D302" i="15"/>
  <c r="D160" i="15"/>
  <c r="D341" i="15"/>
  <c r="D167" i="15"/>
  <c r="AA52" i="15"/>
  <c r="AA53" i="15"/>
  <c r="AA32" i="15"/>
  <c r="AZ215" i="15"/>
  <c r="AZ282" i="15"/>
  <c r="AS113" i="15"/>
  <c r="AS338" i="15"/>
  <c r="AS357" i="15"/>
  <c r="AV278" i="15"/>
  <c r="AV211" i="15"/>
  <c r="BB332" i="15"/>
  <c r="BB351" i="15"/>
  <c r="BB124" i="15"/>
  <c r="AU146" i="15"/>
  <c r="AU147" i="15"/>
  <c r="E69" i="15"/>
  <c r="E201" i="15"/>
  <c r="E203" i="15"/>
  <c r="E67" i="15"/>
  <c r="E66" i="15"/>
  <c r="E202" i="15"/>
  <c r="E268" i="15"/>
  <c r="E107" i="15"/>
  <c r="AS232" i="15"/>
  <c r="AS299" i="15"/>
  <c r="AS152" i="15"/>
  <c r="AZ19" i="15"/>
  <c r="AZ24" i="15"/>
  <c r="BB106" i="15"/>
  <c r="AE219" i="15"/>
  <c r="AE225" i="15"/>
  <c r="AN218" i="15"/>
  <c r="AN285" i="15"/>
  <c r="AU154" i="15"/>
  <c r="AU237" i="15"/>
  <c r="AU304" i="15"/>
  <c r="AU155" i="15"/>
  <c r="AC90" i="15"/>
  <c r="AC280" i="15"/>
  <c r="AC152" i="15"/>
  <c r="AC232" i="15"/>
  <c r="AC299" i="15"/>
  <c r="AR238" i="15"/>
  <c r="AR305" i="15"/>
  <c r="AR342" i="15"/>
  <c r="AH209" i="15"/>
  <c r="AH213" i="15"/>
  <c r="AH219" i="15"/>
  <c r="AH225" i="15"/>
  <c r="AH84" i="15"/>
  <c r="AH276" i="15"/>
  <c r="AS188" i="15"/>
  <c r="AS151" i="15"/>
  <c r="I147" i="15"/>
  <c r="I146" i="15"/>
  <c r="D334" i="15"/>
  <c r="D353" i="15"/>
  <c r="D244" i="15"/>
  <c r="D311" i="15"/>
  <c r="AQ63" i="15"/>
  <c r="AQ65" i="15"/>
  <c r="AQ47" i="15"/>
  <c r="AQ30" i="15"/>
  <c r="BC238" i="15"/>
  <c r="BC305" i="15"/>
  <c r="BC342" i="15"/>
  <c r="AN293" i="15"/>
  <c r="AN226" i="15"/>
  <c r="AC151" i="15"/>
  <c r="AC188" i="15"/>
  <c r="AK54" i="15"/>
  <c r="AK35" i="15"/>
  <c r="AK57" i="15"/>
  <c r="AN284" i="15"/>
  <c r="AN217" i="15"/>
  <c r="AR288" i="15"/>
  <c r="AR221" i="15"/>
  <c r="AA67" i="15"/>
  <c r="AD107" i="15"/>
  <c r="AE66" i="15"/>
  <c r="AA66" i="15"/>
  <c r="AA69" i="15"/>
  <c r="J326" i="15"/>
  <c r="J259" i="15"/>
  <c r="AF361" i="15"/>
  <c r="AF344" i="15"/>
  <c r="AF363" i="15"/>
  <c r="D333" i="15"/>
  <c r="D243" i="15"/>
  <c r="D310" i="15"/>
  <c r="F188" i="15"/>
  <c r="F151" i="15"/>
  <c r="AZ154" i="15"/>
  <c r="AZ237" i="15"/>
  <c r="AZ304" i="15"/>
  <c r="AZ155" i="15"/>
  <c r="H317" i="15"/>
  <c r="AJ107" i="15"/>
  <c r="AJ186" i="15"/>
  <c r="AG54" i="15"/>
  <c r="AG35" i="15"/>
  <c r="AH112" i="15" s="1"/>
  <c r="AG57" i="15"/>
  <c r="AV224" i="15"/>
  <c r="AV291" i="15"/>
  <c r="BB232" i="15"/>
  <c r="BB299" i="15"/>
  <c r="BB152" i="15"/>
  <c r="J325" i="15"/>
  <c r="J258" i="15"/>
  <c r="BD95" i="15"/>
  <c r="BC291" i="15"/>
  <c r="BC224" i="15"/>
  <c r="AT168" i="15"/>
  <c r="AT234" i="15"/>
  <c r="AT301" i="15"/>
  <c r="AT159" i="15"/>
  <c r="F152" i="15"/>
  <c r="F232" i="15"/>
  <c r="F299" i="15"/>
  <c r="AP209" i="15"/>
  <c r="AP84" i="15"/>
  <c r="AP276" i="15"/>
  <c r="AS238" i="15"/>
  <c r="AS305" i="15"/>
  <c r="AS342" i="15"/>
  <c r="BB209" i="15"/>
  <c r="BB276" i="15"/>
  <c r="BB84" i="15"/>
  <c r="H316" i="15"/>
  <c r="H320" i="15"/>
  <c r="H314" i="15"/>
  <c r="H319" i="15"/>
  <c r="BB342" i="15"/>
  <c r="BB238" i="15"/>
  <c r="BB305" i="15"/>
  <c r="BB188" i="15"/>
  <c r="BB151" i="15"/>
  <c r="AF283" i="15"/>
  <c r="AF216" i="15"/>
  <c r="BC234" i="15"/>
  <c r="BC301" i="15"/>
  <c r="BC168" i="15"/>
  <c r="BC159" i="15"/>
  <c r="AF337" i="15"/>
  <c r="AF356" i="15"/>
  <c r="AF186" i="15"/>
  <c r="D276" i="15"/>
  <c r="D84" i="15"/>
  <c r="D209" i="15"/>
  <c r="D213" i="15"/>
  <c r="D219" i="15"/>
  <c r="D225" i="15"/>
  <c r="AY344" i="15"/>
  <c r="AY363" i="15"/>
  <c r="AY361" i="15"/>
  <c r="AN223" i="15"/>
  <c r="AN290" i="15"/>
  <c r="AZ147" i="15"/>
  <c r="AZ146" i="15"/>
  <c r="AK186" i="15"/>
  <c r="AK185" i="15"/>
  <c r="AW186" i="15"/>
  <c r="AW185" i="15"/>
  <c r="AJ53" i="15"/>
  <c r="AJ52" i="15"/>
  <c r="AJ32" i="15"/>
  <c r="AR63" i="15"/>
  <c r="AR65" i="15"/>
  <c r="AV66" i="15"/>
  <c r="AV202" i="15"/>
  <c r="AS106" i="15"/>
  <c r="AR47" i="15"/>
  <c r="AR30" i="15"/>
  <c r="AU106" i="15"/>
  <c r="AR106" i="15"/>
  <c r="AT106" i="15"/>
  <c r="AG363" i="15"/>
  <c r="AI108" i="15"/>
  <c r="AI174" i="15"/>
  <c r="AI247" i="15"/>
  <c r="I237" i="15"/>
  <c r="I304" i="15"/>
  <c r="I319" i="15"/>
  <c r="I179" i="15"/>
  <c r="I252" i="15"/>
  <c r="AJ290" i="15"/>
  <c r="AJ223" i="15"/>
  <c r="G343" i="15"/>
  <c r="G360" i="15"/>
  <c r="G345" i="15"/>
  <c r="AI54" i="15"/>
  <c r="AI35" i="15"/>
  <c r="AG209" i="15"/>
  <c r="AG213" i="15"/>
  <c r="AG219" i="15"/>
  <c r="AG225" i="15"/>
  <c r="AG84" i="15"/>
  <c r="AG276" i="15"/>
  <c r="AG176" i="15"/>
  <c r="AG249" i="15"/>
  <c r="AG333" i="15"/>
  <c r="AG243" i="15"/>
  <c r="AG310" i="15"/>
  <c r="AG174" i="15"/>
  <c r="AG247" i="15"/>
  <c r="AG173" i="15"/>
  <c r="AG246" i="15"/>
  <c r="AG177" i="15"/>
  <c r="AG250" i="15"/>
  <c r="H364" i="15"/>
  <c r="H354" i="15"/>
  <c r="H365" i="15"/>
  <c r="K188" i="15"/>
  <c r="K151" i="15"/>
  <c r="K173" i="15"/>
  <c r="K246" i="15"/>
  <c r="AE90" i="15"/>
  <c r="AE280" i="15"/>
  <c r="C270" i="15"/>
  <c r="D269" i="15"/>
  <c r="AY30" i="15"/>
  <c r="AY52" i="15"/>
  <c r="AY47" i="15"/>
  <c r="AY63" i="15"/>
  <c r="AY65" i="15"/>
  <c r="AY107" i="15"/>
  <c r="AW276" i="15"/>
  <c r="AW84" i="15"/>
  <c r="AW209" i="15"/>
  <c r="AR232" i="15"/>
  <c r="AR299" i="15"/>
  <c r="AR152" i="15"/>
  <c r="AF218" i="15"/>
  <c r="AF285" i="15"/>
  <c r="AF90" i="15"/>
  <c r="AF243" i="15"/>
  <c r="AF310" i="15"/>
  <c r="AF176" i="15"/>
  <c r="AF249" i="15"/>
  <c r="AF333" i="15"/>
  <c r="AF177" i="15"/>
  <c r="AF250" i="15"/>
  <c r="AF173" i="15"/>
  <c r="AF246" i="15"/>
  <c r="AF174" i="15"/>
  <c r="AF247" i="15"/>
  <c r="E35" i="15"/>
  <c r="E54" i="15"/>
  <c r="J209" i="15"/>
  <c r="J213" i="15"/>
  <c r="J219" i="15"/>
  <c r="J225" i="15"/>
  <c r="J276" i="15"/>
  <c r="J84" i="15"/>
  <c r="I57" i="15"/>
  <c r="I112" i="15"/>
  <c r="AR279" i="15"/>
  <c r="AU111" i="15"/>
  <c r="AU337" i="15"/>
  <c r="AU356" i="15"/>
  <c r="AR212" i="15"/>
  <c r="U67" i="15"/>
  <c r="U69" i="15"/>
  <c r="Y70" i="15"/>
  <c r="U66" i="15"/>
  <c r="BA168" i="15"/>
  <c r="BA159" i="15"/>
  <c r="BA234" i="15"/>
  <c r="BA301" i="15"/>
  <c r="K232" i="15"/>
  <c r="K299" i="15"/>
  <c r="K152" i="15"/>
  <c r="K174" i="15"/>
  <c r="K247" i="15"/>
  <c r="E151" i="15"/>
  <c r="E188" i="15"/>
  <c r="Z67" i="15"/>
  <c r="Z69" i="15"/>
  <c r="Z66" i="15"/>
  <c r="AC107" i="15"/>
  <c r="AD66" i="15"/>
  <c r="BC274" i="15"/>
  <c r="I326" i="15"/>
  <c r="I259" i="15"/>
  <c r="AY341" i="15"/>
  <c r="AY160" i="15"/>
  <c r="AY235" i="15"/>
  <c r="AY302" i="15"/>
  <c r="AY162" i="15"/>
  <c r="AY167" i="15"/>
  <c r="H353" i="15"/>
  <c r="H366" i="15"/>
  <c r="H347" i="15"/>
  <c r="F67" i="15"/>
  <c r="F201" i="15"/>
  <c r="F203" i="15"/>
  <c r="F268" i="15"/>
  <c r="F107" i="15"/>
  <c r="F66" i="15"/>
  <c r="F202" i="15"/>
  <c r="F69" i="15"/>
  <c r="G66" i="15"/>
  <c r="G202" i="15"/>
  <c r="AW273" i="15"/>
  <c r="AW274" i="15"/>
  <c r="K274" i="15"/>
  <c r="K273" i="15"/>
  <c r="AH160" i="15"/>
  <c r="AH341" i="15"/>
  <c r="AH235" i="15"/>
  <c r="AH302" i="15"/>
  <c r="AH177" i="15"/>
  <c r="AH250" i="15"/>
  <c r="AH162" i="15"/>
  <c r="AH167" i="15"/>
  <c r="AN235" i="15"/>
  <c r="AN302" i="15"/>
  <c r="AN167" i="15"/>
  <c r="AN162" i="15"/>
  <c r="AN341" i="15"/>
  <c r="AN160" i="15"/>
  <c r="AI185" i="15"/>
  <c r="AI186" i="15"/>
  <c r="C70" i="15"/>
  <c r="C206" i="15"/>
  <c r="C76" i="15"/>
  <c r="C109" i="15"/>
  <c r="C108" i="15"/>
  <c r="C272" i="15"/>
  <c r="C71" i="15"/>
  <c r="C80" i="15"/>
  <c r="C205" i="15"/>
  <c r="C207" i="15"/>
  <c r="D70" i="15"/>
  <c r="D206" i="15"/>
  <c r="J188" i="15"/>
  <c r="J151" i="15"/>
  <c r="J173" i="15"/>
  <c r="J246" i="15"/>
  <c r="AQ232" i="15"/>
  <c r="AQ299" i="15"/>
  <c r="AQ152" i="15"/>
  <c r="AK344" i="15"/>
  <c r="AK361" i="15"/>
  <c r="J152" i="15"/>
  <c r="J232" i="15"/>
  <c r="J299" i="15"/>
  <c r="J174" i="15"/>
  <c r="J247" i="15"/>
  <c r="I238" i="15"/>
  <c r="I305" i="15"/>
  <c r="I320" i="15"/>
  <c r="I342" i="15"/>
  <c r="I180" i="15"/>
  <c r="I253" i="15"/>
  <c r="AU270" i="15"/>
  <c r="E232" i="15"/>
  <c r="E299" i="15"/>
  <c r="E152" i="15"/>
  <c r="AE346" i="15"/>
  <c r="AQ237" i="15"/>
  <c r="AQ304" i="15"/>
  <c r="F53" i="15"/>
  <c r="F52" i="15"/>
  <c r="F32" i="15"/>
  <c r="AM232" i="15"/>
  <c r="AM299" i="15"/>
  <c r="AM152" i="15"/>
  <c r="AR151" i="15"/>
  <c r="AR188" i="15"/>
  <c r="AG274" i="15"/>
  <c r="AG273" i="15"/>
  <c r="AD274" i="15"/>
  <c r="AH273" i="15"/>
  <c r="G367" i="15"/>
  <c r="G366" i="15"/>
  <c r="U32" i="15"/>
  <c r="U52" i="15"/>
  <c r="U53" i="15"/>
  <c r="G280" i="15"/>
  <c r="G90" i="15"/>
  <c r="AG362" i="15"/>
  <c r="AK70" i="15"/>
  <c r="AK206" i="15"/>
  <c r="AK205" i="15"/>
  <c r="AK207" i="15"/>
  <c r="AK71" i="15"/>
  <c r="AK80" i="15"/>
  <c r="AK272" i="15"/>
  <c r="AK76" i="15"/>
  <c r="AO70" i="15"/>
  <c r="AO206" i="15"/>
  <c r="G317" i="15"/>
  <c r="I258" i="15"/>
  <c r="I325" i="15"/>
  <c r="BD124" i="15"/>
  <c r="BD332" i="15"/>
  <c r="BD351" i="15"/>
  <c r="AQ332" i="15"/>
  <c r="AQ351" i="15"/>
  <c r="AQ124" i="15"/>
  <c r="AO213" i="15"/>
  <c r="AO90" i="15"/>
  <c r="AO280" i="15"/>
  <c r="Y66" i="15"/>
  <c r="AP266" i="15"/>
  <c r="AL266" i="15"/>
  <c r="AU57" i="15"/>
  <c r="AK362" i="15"/>
  <c r="AD209" i="15"/>
  <c r="AD213" i="15"/>
  <c r="AD219" i="15"/>
  <c r="AD225" i="15"/>
  <c r="AD276" i="15"/>
  <c r="AD84" i="15"/>
  <c r="AI152" i="15"/>
  <c r="AI232" i="15"/>
  <c r="AI299" i="15"/>
  <c r="AX90" i="15"/>
  <c r="AX213" i="15"/>
  <c r="AX280" i="15"/>
  <c r="C186" i="15"/>
  <c r="C185" i="15"/>
  <c r="G316" i="15"/>
  <c r="G319" i="15"/>
  <c r="G313" i="15"/>
  <c r="Y35" i="15"/>
  <c r="Y57" i="15"/>
  <c r="Y54" i="15"/>
  <c r="X70" i="15"/>
  <c r="X71" i="15"/>
  <c r="AB70" i="15"/>
  <c r="J342" i="15"/>
  <c r="J238" i="15"/>
  <c r="J305" i="15"/>
  <c r="J180" i="15"/>
  <c r="J253" i="15"/>
  <c r="AV186" i="15"/>
  <c r="AV185" i="15"/>
  <c r="AX232" i="15"/>
  <c r="AX299" i="15"/>
  <c r="AX152" i="15"/>
  <c r="AG109" i="15"/>
  <c r="AJ268" i="15"/>
  <c r="AJ270" i="15"/>
  <c r="AJ67" i="15"/>
  <c r="AJ201" i="15"/>
  <c r="AJ203" i="15"/>
  <c r="AJ69" i="15"/>
  <c r="AJ66" i="15"/>
  <c r="AI151" i="15"/>
  <c r="AI188" i="15"/>
  <c r="AI173" i="15"/>
  <c r="AI246" i="15"/>
  <c r="AU205" i="15"/>
  <c r="AU207" i="15"/>
  <c r="AU80" i="15"/>
  <c r="AU76" i="15"/>
  <c r="AU71" i="15"/>
  <c r="AU272" i="15"/>
  <c r="BA53" i="15"/>
  <c r="BA32" i="15"/>
  <c r="BA52" i="15"/>
  <c r="AI270" i="15"/>
  <c r="AI269" i="15"/>
  <c r="AO332" i="15"/>
  <c r="AO351" i="15"/>
  <c r="AO124" i="15"/>
  <c r="AV32" i="15"/>
  <c r="AV52" i="15"/>
  <c r="AV53" i="15"/>
  <c r="BD19" i="15"/>
  <c r="BD24" i="15"/>
  <c r="AF325" i="15"/>
  <c r="AF258" i="15"/>
  <c r="AY168" i="15"/>
  <c r="AY234" i="15"/>
  <c r="AY301" i="15"/>
  <c r="AY159" i="15"/>
  <c r="AS292" i="15"/>
  <c r="AS98" i="15"/>
  <c r="AS99" i="15"/>
  <c r="AS225" i="15"/>
  <c r="AV238" i="15"/>
  <c r="AV305" i="15"/>
  <c r="AV342" i="15"/>
  <c r="AN342" i="15"/>
  <c r="AN238" i="15"/>
  <c r="AN305" i="15"/>
  <c r="AG326" i="15"/>
  <c r="AG259" i="15"/>
  <c r="D168" i="15"/>
  <c r="D176" i="15"/>
  <c r="D249" i="15"/>
  <c r="D159" i="15"/>
  <c r="D234" i="15"/>
  <c r="D301" i="15"/>
  <c r="D316" i="15"/>
  <c r="AQ151" i="15"/>
  <c r="AQ188" i="15"/>
  <c r="J243" i="15"/>
  <c r="J310" i="15"/>
  <c r="J333" i="15"/>
  <c r="G326" i="15"/>
  <c r="G259" i="15"/>
  <c r="AM332" i="15"/>
  <c r="AM351" i="15"/>
  <c r="AM124" i="15"/>
  <c r="BC276" i="15"/>
  <c r="BC84" i="15"/>
  <c r="BC209" i="15"/>
  <c r="G352" i="15"/>
  <c r="G354" i="15"/>
  <c r="G335" i="15"/>
  <c r="H367" i="15"/>
  <c r="J237" i="15"/>
  <c r="J304" i="15"/>
  <c r="J179" i="15"/>
  <c r="J252" i="15"/>
  <c r="AF313" i="15"/>
  <c r="AH243" i="15"/>
  <c r="AH310" i="15"/>
  <c r="AH314" i="15"/>
  <c r="AH333" i="15"/>
  <c r="BA160" i="15"/>
  <c r="BA235" i="15"/>
  <c r="BA302" i="15"/>
  <c r="BA341" i="15"/>
  <c r="BA162" i="15"/>
  <c r="BA167" i="15"/>
  <c r="AX185" i="15"/>
  <c r="AX186" i="15"/>
  <c r="AI76" i="15"/>
  <c r="AI205" i="15"/>
  <c r="AI207" i="15"/>
  <c r="AI272" i="15"/>
  <c r="AI80" i="15"/>
  <c r="AI71" i="15"/>
  <c r="AK108" i="15"/>
  <c r="AI70" i="15"/>
  <c r="AI206" i="15"/>
  <c r="AK270" i="15"/>
  <c r="AK269" i="15"/>
  <c r="AO269" i="15"/>
  <c r="AF334" i="15"/>
  <c r="AF183" i="15"/>
  <c r="AF256" i="15"/>
  <c r="AF244" i="15"/>
  <c r="AF311" i="15"/>
  <c r="AF323" i="15"/>
  <c r="AL24" i="15"/>
  <c r="AL19" i="15"/>
  <c r="Z53" i="15"/>
  <c r="Z32" i="15"/>
  <c r="Z52" i="15"/>
  <c r="AH176" i="15"/>
  <c r="AH249" i="15"/>
  <c r="AH168" i="15"/>
  <c r="AH234" i="15"/>
  <c r="AH301" i="15"/>
  <c r="AH159" i="15"/>
  <c r="Y71" i="15"/>
  <c r="AC70" i="15"/>
  <c r="AC206" i="15"/>
  <c r="AG258" i="15"/>
  <c r="AG325" i="15"/>
  <c r="AJ108" i="15"/>
  <c r="AX188" i="15"/>
  <c r="AX151" i="15"/>
  <c r="J334" i="15"/>
  <c r="J353" i="15"/>
  <c r="J244" i="15"/>
  <c r="J311" i="15"/>
  <c r="BA67" i="15"/>
  <c r="BA268" i="15"/>
  <c r="BA66" i="15"/>
  <c r="BA202" i="15"/>
  <c r="BA201" i="15"/>
  <c r="BA203" i="15"/>
  <c r="BA69" i="15"/>
  <c r="AL124" i="15"/>
  <c r="AL332" i="15"/>
  <c r="AL351" i="15"/>
  <c r="AN332" i="15"/>
  <c r="AN351" i="15"/>
  <c r="G183" i="15"/>
  <c r="G256" i="15"/>
  <c r="G241" i="15"/>
  <c r="G308" i="15"/>
  <c r="G323" i="15"/>
  <c r="AV201" i="15"/>
  <c r="AV203" i="15"/>
  <c r="AV67" i="15"/>
  <c r="AV69" i="15"/>
  <c r="AV268" i="15"/>
  <c r="AP124" i="15"/>
  <c r="AP332" i="15"/>
  <c r="AP351" i="15"/>
  <c r="AV237" i="15"/>
  <c r="AV304" i="15"/>
  <c r="K179" i="15"/>
  <c r="K252" i="15"/>
  <c r="K243" i="15"/>
  <c r="K310" i="15"/>
  <c r="K314" i="15" s="1"/>
  <c r="K180" i="15"/>
  <c r="K253" i="15"/>
  <c r="K333" i="15"/>
  <c r="H280" i="15"/>
  <c r="H90" i="15"/>
  <c r="AN237" i="15"/>
  <c r="AN304" i="15"/>
  <c r="AB107" i="15"/>
  <c r="AN19" i="15"/>
  <c r="AN24" i="15"/>
  <c r="AW151" i="15"/>
  <c r="AW188" i="15"/>
  <c r="AH109" i="15"/>
  <c r="I280" i="15"/>
  <c r="I90" i="15"/>
  <c r="AX342" i="15"/>
  <c r="AX238" i="15"/>
  <c r="AX305" i="15"/>
  <c r="K276" i="15"/>
  <c r="K84" i="15"/>
  <c r="K209" i="15"/>
  <c r="K213" i="15"/>
  <c r="K219" i="15"/>
  <c r="K225" i="15"/>
  <c r="J274" i="15"/>
  <c r="J273" i="15"/>
  <c r="G325" i="15"/>
  <c r="G258" i="15"/>
  <c r="AT219" i="15"/>
  <c r="AT96" i="15"/>
  <c r="AT286" i="15"/>
  <c r="AX237" i="15"/>
  <c r="AX304" i="15"/>
  <c r="AQ238" i="15"/>
  <c r="AQ305" i="15"/>
  <c r="AQ342" i="15"/>
  <c r="AW152" i="15"/>
  <c r="AW232" i="15"/>
  <c r="AW299" i="15"/>
  <c r="K334" i="15"/>
  <c r="K244" i="15"/>
  <c r="K311" i="15"/>
  <c r="AM151" i="15"/>
  <c r="AM188" i="15"/>
  <c r="AH174" i="15"/>
  <c r="AH247" i="15"/>
  <c r="AH258" i="15"/>
  <c r="AH325" i="15"/>
  <c r="I232" i="15"/>
  <c r="I299" i="15"/>
  <c r="I314" i="15"/>
  <c r="I152" i="15"/>
  <c r="I174" i="15"/>
  <c r="I247" i="15"/>
  <c r="D280" i="15"/>
  <c r="D90" i="15"/>
  <c r="F234" i="15"/>
  <c r="F301" i="15"/>
  <c r="F159" i="15"/>
  <c r="F168" i="15"/>
  <c r="AS159" i="15"/>
  <c r="AS168" i="15"/>
  <c r="AS234" i="15"/>
  <c r="AS301" i="15"/>
  <c r="AC160" i="15"/>
  <c r="AC167" i="15"/>
  <c r="AC235" i="15"/>
  <c r="AC302" i="15"/>
  <c r="AC162" i="15"/>
  <c r="AC341" i="15"/>
  <c r="AC343" i="15"/>
  <c r="BA106" i="15"/>
  <c r="AZ188" i="15"/>
  <c r="AZ151" i="15"/>
  <c r="AP280" i="15"/>
  <c r="AP213" i="15"/>
  <c r="AP90" i="15"/>
  <c r="AU232" i="15"/>
  <c r="AU299" i="15"/>
  <c r="AU152" i="15"/>
  <c r="AM52" i="15"/>
  <c r="AM53" i="15"/>
  <c r="AM32" i="15"/>
  <c r="AV188" i="15"/>
  <c r="AV151" i="15"/>
  <c r="AZ232" i="15"/>
  <c r="AZ299" i="15"/>
  <c r="AZ152" i="15"/>
  <c r="AF259" i="15"/>
  <c r="AF326" i="15"/>
  <c r="BD224" i="15"/>
  <c r="BD291" i="15"/>
  <c r="D317" i="15"/>
  <c r="AC96" i="15"/>
  <c r="AC286" i="15"/>
  <c r="AU151" i="15"/>
  <c r="AU188" i="15"/>
  <c r="F162" i="15"/>
  <c r="F341" i="15"/>
  <c r="F160" i="15"/>
  <c r="F235" i="15"/>
  <c r="F302" i="15"/>
  <c r="F167" i="15"/>
  <c r="BB361" i="15"/>
  <c r="BB344" i="15"/>
  <c r="BB363" i="15"/>
  <c r="AS361" i="15"/>
  <c r="AS344" i="15"/>
  <c r="AS363" i="15"/>
  <c r="AZ238" i="15"/>
  <c r="AZ305" i="15"/>
  <c r="AZ342" i="15"/>
  <c r="I151" i="15"/>
  <c r="I188" i="15"/>
  <c r="I173" i="15"/>
  <c r="I246" i="15"/>
  <c r="AJ185" i="15"/>
  <c r="BC344" i="15"/>
  <c r="BC363" i="15"/>
  <c r="BC361" i="15"/>
  <c r="AH317" i="15"/>
  <c r="AA71" i="15"/>
  <c r="AE70" i="15"/>
  <c r="AE206" i="15"/>
  <c r="AD108" i="15"/>
  <c r="AA70" i="15"/>
  <c r="AZ63" i="15"/>
  <c r="AZ65" i="15"/>
  <c r="AZ47" i="15"/>
  <c r="AZ30" i="15"/>
  <c r="AZ32" i="15"/>
  <c r="BC106" i="15"/>
  <c r="E272" i="15"/>
  <c r="E80" i="15"/>
  <c r="E76" i="15"/>
  <c r="E109" i="15"/>
  <c r="E108" i="15"/>
  <c r="E70" i="15"/>
  <c r="E206" i="15"/>
  <c r="E71" i="15"/>
  <c r="E205" i="15"/>
  <c r="E207" i="15"/>
  <c r="AM67" i="15"/>
  <c r="AM268" i="15"/>
  <c r="AM69" i="15"/>
  <c r="AM201" i="15"/>
  <c r="AM203" i="15"/>
  <c r="AM66" i="15"/>
  <c r="AM202" i="15"/>
  <c r="AV152" i="15"/>
  <c r="AV232" i="15"/>
  <c r="AV299" i="15"/>
  <c r="Q69" i="15"/>
  <c r="Q71" i="15"/>
  <c r="Q67" i="15"/>
  <c r="AQ52" i="15"/>
  <c r="AQ32" i="15"/>
  <c r="AQ53" i="15"/>
  <c r="Q32" i="15"/>
  <c r="Q52" i="15"/>
  <c r="Q53" i="15"/>
  <c r="J320" i="15"/>
  <c r="AF219" i="15"/>
  <c r="AF225" i="15"/>
  <c r="AZ106" i="15"/>
  <c r="BB168" i="15"/>
  <c r="BB234" i="15"/>
  <c r="BB301" i="15"/>
  <c r="BB159" i="15"/>
  <c r="BB280" i="15"/>
  <c r="BB90" i="15"/>
  <c r="BB213" i="15"/>
  <c r="D335" i="15"/>
  <c r="D352" i="15"/>
  <c r="D354" i="15"/>
  <c r="AQ69" i="15"/>
  <c r="AQ268" i="15"/>
  <c r="AQ201" i="15"/>
  <c r="AQ203" i="15"/>
  <c r="AQ67" i="15"/>
  <c r="AQ66" i="15"/>
  <c r="AQ202" i="15"/>
  <c r="AU66" i="15"/>
  <c r="AU202" i="15"/>
  <c r="AH90" i="15"/>
  <c r="AH280" i="15"/>
  <c r="AU238" i="15"/>
  <c r="AU305" i="15"/>
  <c r="AU342" i="15"/>
  <c r="E186" i="15"/>
  <c r="E185" i="15"/>
  <c r="D345" i="15"/>
  <c r="D360" i="15"/>
  <c r="D364" i="15"/>
  <c r="D343" i="15"/>
  <c r="AG112" i="15"/>
  <c r="D314" i="15"/>
  <c r="BC231" i="15"/>
  <c r="BC298" i="15"/>
  <c r="BC240" i="15"/>
  <c r="BC307" i="15"/>
  <c r="AS162" i="15"/>
  <c r="AS167" i="15"/>
  <c r="AS235" i="15"/>
  <c r="AS302" i="15"/>
  <c r="AS341" i="15"/>
  <c r="AS160" i="15"/>
  <c r="AS241" i="15"/>
  <c r="AS308" i="15"/>
  <c r="AT240" i="15"/>
  <c r="AT307" i="15"/>
  <c r="AT231" i="15"/>
  <c r="AT298" i="15"/>
  <c r="BB235" i="15"/>
  <c r="BB302" i="15"/>
  <c r="BB167" i="15"/>
  <c r="BB341" i="15"/>
  <c r="BB160" i="15"/>
  <c r="BB241" i="15"/>
  <c r="BB308" i="15"/>
  <c r="BB162" i="15"/>
  <c r="AR361" i="15"/>
  <c r="AR344" i="15"/>
  <c r="AR363" i="15"/>
  <c r="AH259" i="15"/>
  <c r="AH326" i="15"/>
  <c r="AC159" i="15"/>
  <c r="AC168" i="15"/>
  <c r="AC234" i="15"/>
  <c r="AC301" i="15"/>
  <c r="AA35" i="15"/>
  <c r="AA57" i="15"/>
  <c r="AA54" i="15"/>
  <c r="E269" i="15"/>
  <c r="E270" i="15"/>
  <c r="D241" i="15"/>
  <c r="D308" i="15"/>
  <c r="D323" i="15"/>
  <c r="D183" i="15"/>
  <c r="D256" i="15"/>
  <c r="D342" i="15"/>
  <c r="AS295" i="15"/>
  <c r="AS228" i="15"/>
  <c r="AT292" i="15"/>
  <c r="AT98" i="15"/>
  <c r="AT99" i="15"/>
  <c r="AT225" i="15"/>
  <c r="AW168" i="15"/>
  <c r="AW234" i="15"/>
  <c r="AW301" i="15"/>
  <c r="AW159" i="15"/>
  <c r="AY185" i="15"/>
  <c r="AY186" i="15"/>
  <c r="AJ243" i="15"/>
  <c r="AJ310" i="15"/>
  <c r="AJ333" i="15"/>
  <c r="AJ174" i="15"/>
  <c r="AJ247" i="15"/>
  <c r="AJ177" i="15"/>
  <c r="AJ250" i="15"/>
  <c r="AJ173" i="15"/>
  <c r="AJ246" i="15"/>
  <c r="AJ176" i="15"/>
  <c r="AJ249" i="15"/>
  <c r="AV325" i="15"/>
  <c r="AV258" i="15"/>
  <c r="AW213" i="15"/>
  <c r="AW90" i="15"/>
  <c r="AW280" i="15"/>
  <c r="I286" i="15"/>
  <c r="I96" i="15"/>
  <c r="I114" i="15"/>
  <c r="I339" i="15"/>
  <c r="I358" i="15"/>
  <c r="AV270" i="15"/>
  <c r="BA272" i="15"/>
  <c r="BA80" i="15"/>
  <c r="BA71" i="15"/>
  <c r="BA76" i="15"/>
  <c r="BA70" i="15"/>
  <c r="BA206" i="15"/>
  <c r="BA205" i="15"/>
  <c r="BA207" i="15"/>
  <c r="AH182" i="15"/>
  <c r="AH255" i="15"/>
  <c r="AH240" i="15"/>
  <c r="AH307" i="15"/>
  <c r="AH231" i="15"/>
  <c r="AH298" i="15"/>
  <c r="AH313" i="15"/>
  <c r="AX326" i="15"/>
  <c r="AX259" i="15"/>
  <c r="AU274" i="15"/>
  <c r="AV326" i="15"/>
  <c r="AV259" i="15"/>
  <c r="U35" i="15"/>
  <c r="U57" i="15"/>
  <c r="U54" i="15"/>
  <c r="AM167" i="15"/>
  <c r="AM162" i="15"/>
  <c r="AM235" i="15"/>
  <c r="AM302" i="15"/>
  <c r="AM341" i="15"/>
  <c r="AM160" i="15"/>
  <c r="J314" i="15"/>
  <c r="AQ162" i="15"/>
  <c r="AQ167" i="15"/>
  <c r="AQ341" i="15"/>
  <c r="AQ235" i="15"/>
  <c r="AQ302" i="15"/>
  <c r="AQ160" i="15"/>
  <c r="AH345" i="15"/>
  <c r="AH360" i="15"/>
  <c r="AH343" i="15"/>
  <c r="AY241" i="15"/>
  <c r="AY308" i="15"/>
  <c r="AF314" i="15"/>
  <c r="AF317" i="15"/>
  <c r="AF316" i="15"/>
  <c r="AI57" i="15"/>
  <c r="AI112" i="15"/>
  <c r="AJ35" i="15"/>
  <c r="AJ112" i="15"/>
  <c r="AJ54" i="15"/>
  <c r="BC90" i="15"/>
  <c r="BC280" i="15"/>
  <c r="BC213" i="15"/>
  <c r="J668" i="17"/>
  <c r="AX286" i="15"/>
  <c r="AX96" i="15"/>
  <c r="AX219" i="15"/>
  <c r="AG352" i="15"/>
  <c r="AG335" i="15"/>
  <c r="AG345" i="15"/>
  <c r="AN63" i="15"/>
  <c r="AN65" i="15"/>
  <c r="AN47" i="15"/>
  <c r="AP106" i="15"/>
  <c r="AN30" i="15"/>
  <c r="AQ106" i="15"/>
  <c r="AM168" i="15"/>
  <c r="AM234" i="15"/>
  <c r="AM301" i="15"/>
  <c r="AM159" i="15"/>
  <c r="AQ361" i="15"/>
  <c r="AQ344" i="15"/>
  <c r="K335" i="15"/>
  <c r="K352" i="15"/>
  <c r="K354" i="15"/>
  <c r="AH316" i="15"/>
  <c r="AO106" i="15"/>
  <c r="AL63" i="15"/>
  <c r="AL65" i="15"/>
  <c r="AL47" i="15"/>
  <c r="AN106" i="15"/>
  <c r="AL30" i="15"/>
  <c r="AL106" i="15"/>
  <c r="AM106" i="15"/>
  <c r="AX258" i="15"/>
  <c r="AX325" i="15"/>
  <c r="BA343" i="15"/>
  <c r="BA360" i="15"/>
  <c r="J319" i="15"/>
  <c r="AQ159" i="15"/>
  <c r="AQ234" i="15"/>
  <c r="AQ301" i="15"/>
  <c r="AQ168" i="15"/>
  <c r="AV35" i="15"/>
  <c r="AV54" i="15"/>
  <c r="J162" i="15"/>
  <c r="J341" i="15"/>
  <c r="J167" i="15"/>
  <c r="J160" i="15"/>
  <c r="J235" i="15"/>
  <c r="J302" i="15"/>
  <c r="J317" i="15"/>
  <c r="J177" i="15"/>
  <c r="J250" i="15"/>
  <c r="C84" i="15"/>
  <c r="C209" i="15"/>
  <c r="C213" i="15" s="1"/>
  <c r="C219" i="15" s="1"/>
  <c r="C225" i="15" s="1"/>
  <c r="C276" i="15"/>
  <c r="AH241" i="15"/>
  <c r="AH308" i="15"/>
  <c r="AH342" i="15"/>
  <c r="AH183" i="15"/>
  <c r="AH256" i="15"/>
  <c r="AY360" i="15"/>
  <c r="AY343" i="15"/>
  <c r="K235" i="15"/>
  <c r="K302" i="15"/>
  <c r="K317" i="15"/>
  <c r="K341" i="15"/>
  <c r="K160" i="15"/>
  <c r="K162" i="15"/>
  <c r="K167" i="15"/>
  <c r="K177" i="15"/>
  <c r="K250" i="15"/>
  <c r="AF96" i="15"/>
  <c r="AF286" i="15"/>
  <c r="AH244" i="15"/>
  <c r="AH311" i="15"/>
  <c r="AH334" i="15"/>
  <c r="AH353" i="15"/>
  <c r="K353" i="15"/>
  <c r="K348" i="15"/>
  <c r="K347" i="15"/>
  <c r="K320" i="15"/>
  <c r="K319" i="15"/>
  <c r="AV80" i="15"/>
  <c r="AV76" i="15"/>
  <c r="AX109" i="15"/>
  <c r="AV272" i="15"/>
  <c r="AV71" i="15"/>
  <c r="AV205" i="15"/>
  <c r="AV207" i="15"/>
  <c r="BA241" i="15"/>
  <c r="BA308" i="15"/>
  <c r="D240" i="15"/>
  <c r="D307" i="15"/>
  <c r="D322" i="15"/>
  <c r="D182" i="15"/>
  <c r="D255" i="15"/>
  <c r="D231" i="15"/>
  <c r="D298" i="15"/>
  <c r="D313" i="15"/>
  <c r="AN361" i="15"/>
  <c r="AN344" i="15"/>
  <c r="AS102" i="15"/>
  <c r="AS227" i="15"/>
  <c r="AS294" i="15"/>
  <c r="AW108" i="15"/>
  <c r="AI176" i="15"/>
  <c r="AI249" i="15"/>
  <c r="AI234" i="15"/>
  <c r="AI301" i="15"/>
  <c r="AI168" i="15"/>
  <c r="AI159" i="15"/>
  <c r="AG334" i="15"/>
  <c r="AG244" i="15"/>
  <c r="AG311" i="15"/>
  <c r="AG182" i="15"/>
  <c r="AG255" i="15"/>
  <c r="AG183" i="15"/>
  <c r="AG256" i="15"/>
  <c r="J361" i="15"/>
  <c r="J366" i="15"/>
  <c r="J344" i="15"/>
  <c r="J347" i="15"/>
  <c r="AI235" i="15"/>
  <c r="AI302" i="15"/>
  <c r="AI162" i="15"/>
  <c r="AI167" i="15"/>
  <c r="AI160" i="15"/>
  <c r="AI177" i="15"/>
  <c r="AI250" i="15"/>
  <c r="AI341" i="15"/>
  <c r="AO286" i="15"/>
  <c r="AO219" i="15"/>
  <c r="AO96" i="15"/>
  <c r="AG346" i="15"/>
  <c r="AR168" i="15"/>
  <c r="AR159" i="15"/>
  <c r="AR234" i="15"/>
  <c r="AR301" i="15"/>
  <c r="J168" i="15"/>
  <c r="J159" i="15"/>
  <c r="J234" i="15"/>
  <c r="J301" i="15"/>
  <c r="J316" i="15"/>
  <c r="J176" i="15"/>
  <c r="J249" i="15"/>
  <c r="C274" i="15"/>
  <c r="D273" i="15"/>
  <c r="AI258" i="15"/>
  <c r="AI325" i="15"/>
  <c r="F76" i="15"/>
  <c r="F109" i="15"/>
  <c r="F108" i="15"/>
  <c r="F80" i="15"/>
  <c r="F272" i="15"/>
  <c r="F205" i="15"/>
  <c r="F207" i="15"/>
  <c r="F71" i="15"/>
  <c r="F70" i="15"/>
  <c r="F206" i="15"/>
  <c r="G70" i="15"/>
  <c r="G206" i="15"/>
  <c r="AE96" i="15"/>
  <c r="AE286" i="15"/>
  <c r="AG90" i="15"/>
  <c r="AH114" i="15"/>
  <c r="AH339" i="15"/>
  <c r="AH358" i="15"/>
  <c r="AG280" i="15"/>
  <c r="G364" i="15"/>
  <c r="AR32" i="15"/>
  <c r="AR53" i="15"/>
  <c r="AR52" i="15"/>
  <c r="AW258" i="15"/>
  <c r="AW325" i="15"/>
  <c r="K90" i="15"/>
  <c r="K280" i="15"/>
  <c r="AK333" i="15"/>
  <c r="AK243" i="15"/>
  <c r="AK310" i="15"/>
  <c r="AK173" i="15"/>
  <c r="AK246" i="15"/>
  <c r="AK176" i="15"/>
  <c r="AK249" i="15"/>
  <c r="AK174" i="15"/>
  <c r="AK247" i="15"/>
  <c r="AK177" i="15"/>
  <c r="AK250" i="15"/>
  <c r="F569" i="17"/>
  <c r="H96" i="15"/>
  <c r="H286" i="15"/>
  <c r="H114" i="15"/>
  <c r="H339" i="15"/>
  <c r="H358" i="15"/>
  <c r="BA270" i="15"/>
  <c r="BA269" i="15"/>
  <c r="AF353" i="15"/>
  <c r="AF347" i="15"/>
  <c r="AF348" i="15"/>
  <c r="AI84" i="15"/>
  <c r="AI276" i="15"/>
  <c r="AI209" i="15"/>
  <c r="AI213" i="15"/>
  <c r="AI219" i="15"/>
  <c r="AI225" i="15"/>
  <c r="BD47" i="15"/>
  <c r="BD63" i="15"/>
  <c r="BD65" i="15"/>
  <c r="BD30" i="15"/>
  <c r="BD53" i="15"/>
  <c r="BD106" i="15"/>
  <c r="AK274" i="15"/>
  <c r="AK273" i="15"/>
  <c r="AO273" i="15"/>
  <c r="G286" i="15"/>
  <c r="G96" i="15"/>
  <c r="G114" i="15"/>
  <c r="G339" i="15"/>
  <c r="G358" i="15"/>
  <c r="F54" i="15"/>
  <c r="F35" i="15"/>
  <c r="E162" i="15"/>
  <c r="E177" i="15"/>
  <c r="E250" i="15"/>
  <c r="E341" i="15"/>
  <c r="E167" i="15"/>
  <c r="E235" i="15"/>
  <c r="E302" i="15"/>
  <c r="E160" i="15"/>
  <c r="C173" i="15"/>
  <c r="C246" i="15"/>
  <c r="C176" i="15"/>
  <c r="C249" i="15"/>
  <c r="C333" i="15"/>
  <c r="C243" i="15"/>
  <c r="C310" i="15"/>
  <c r="C174" i="15"/>
  <c r="C247" i="15"/>
  <c r="AN241" i="15"/>
  <c r="AN308" i="15"/>
  <c r="AF322" i="15"/>
  <c r="AY67" i="15"/>
  <c r="AY268" i="15"/>
  <c r="AY201" i="15"/>
  <c r="AY203" i="15"/>
  <c r="AY69" i="15"/>
  <c r="AZ107" i="15"/>
  <c r="BB107" i="15"/>
  <c r="AY66" i="15"/>
  <c r="AY202" i="15"/>
  <c r="BC66" i="15"/>
  <c r="BC202" i="15"/>
  <c r="G346" i="15"/>
  <c r="G362" i="15"/>
  <c r="G365" i="15"/>
  <c r="AW326" i="15"/>
  <c r="AW259" i="15"/>
  <c r="AK363" i="15"/>
  <c r="AI326" i="15"/>
  <c r="AI259" i="15"/>
  <c r="Z71" i="15"/>
  <c r="Z70" i="15"/>
  <c r="AC108" i="15"/>
  <c r="AD70" i="15"/>
  <c r="AD206" i="15"/>
  <c r="AJ325" i="15"/>
  <c r="AJ258" i="15"/>
  <c r="AX361" i="15"/>
  <c r="AX344" i="15"/>
  <c r="AX168" i="15"/>
  <c r="AX159" i="15"/>
  <c r="AX234" i="15"/>
  <c r="AX301" i="15"/>
  <c r="AI274" i="15"/>
  <c r="AI273" i="15"/>
  <c r="AH335" i="15"/>
  <c r="AH352" i="15"/>
  <c r="AH354" i="15"/>
  <c r="J335" i="15"/>
  <c r="J352" i="15"/>
  <c r="J354" i="15"/>
  <c r="BA54" i="15"/>
  <c r="BA35" i="15"/>
  <c r="AX162" i="15"/>
  <c r="AX167" i="15"/>
  <c r="AX341" i="15"/>
  <c r="AX160" i="15"/>
  <c r="AX235" i="15"/>
  <c r="AX302" i="15"/>
  <c r="C325" i="15"/>
  <c r="C258" i="15"/>
  <c r="AD90" i="15"/>
  <c r="AD280" i="15"/>
  <c r="AK84" i="15"/>
  <c r="AK209" i="15"/>
  <c r="AK276" i="15"/>
  <c r="I344" i="15"/>
  <c r="I361" i="15"/>
  <c r="I366" i="15"/>
  <c r="I347" i="15"/>
  <c r="C244" i="15"/>
  <c r="C311" i="15"/>
  <c r="C334" i="15"/>
  <c r="C182" i="15"/>
  <c r="C255" i="15"/>
  <c r="AN343" i="15"/>
  <c r="AN360" i="15"/>
  <c r="F185" i="15"/>
  <c r="F186" i="15"/>
  <c r="BA240" i="15"/>
  <c r="BA307" i="15"/>
  <c r="BA231" i="15"/>
  <c r="BA298" i="15"/>
  <c r="AI333" i="15"/>
  <c r="AI243" i="15"/>
  <c r="AI310" i="15"/>
  <c r="AI317" i="15" s="1"/>
  <c r="AI314" i="15"/>
  <c r="AK258" i="15"/>
  <c r="AK325" i="15"/>
  <c r="AW160" i="15"/>
  <c r="AW235" i="15"/>
  <c r="AW302" i="15"/>
  <c r="AW167" i="15"/>
  <c r="AW162" i="15"/>
  <c r="AW341" i="15"/>
  <c r="AW177" i="15"/>
  <c r="AW250" i="15"/>
  <c r="E57" i="15"/>
  <c r="E112" i="15"/>
  <c r="AI109" i="15"/>
  <c r="AJ326" i="15"/>
  <c r="AJ259" i="15"/>
  <c r="AB108" i="15"/>
  <c r="Z35" i="15"/>
  <c r="Z57" i="15"/>
  <c r="Z54" i="15"/>
  <c r="AV361" i="15"/>
  <c r="AV344" i="15"/>
  <c r="AY231" i="15"/>
  <c r="AY298" i="15"/>
  <c r="AY240" i="15"/>
  <c r="AY307" i="15"/>
  <c r="AU209" i="15"/>
  <c r="AU276" i="15"/>
  <c r="AU84" i="15"/>
  <c r="AJ71" i="15"/>
  <c r="AJ76" i="15"/>
  <c r="AJ272" i="15"/>
  <c r="AJ274" i="15"/>
  <c r="AJ70" i="15"/>
  <c r="AJ206" i="15"/>
  <c r="AJ205" i="15"/>
  <c r="AJ207" i="15"/>
  <c r="AJ80" i="15"/>
  <c r="C326" i="15"/>
  <c r="C259" i="15"/>
  <c r="F270" i="15"/>
  <c r="F269" i="15"/>
  <c r="G269" i="15"/>
  <c r="E168" i="15"/>
  <c r="E159" i="15"/>
  <c r="E234" i="15"/>
  <c r="E301" i="15"/>
  <c r="U70" i="15"/>
  <c r="U71" i="15"/>
  <c r="J280" i="15"/>
  <c r="J90" i="15"/>
  <c r="AF352" i="15"/>
  <c r="AF335" i="15"/>
  <c r="AF345" i="15"/>
  <c r="AF346" i="15"/>
  <c r="AR235" i="15"/>
  <c r="AR302" i="15"/>
  <c r="AR167" i="15"/>
  <c r="AR160" i="15"/>
  <c r="AR341" i="15"/>
  <c r="AR162" i="15"/>
  <c r="AY53" i="15"/>
  <c r="K168" i="15"/>
  <c r="K234" i="15"/>
  <c r="K301" i="15"/>
  <c r="K316" i="15"/>
  <c r="K159" i="15"/>
  <c r="K176" i="15"/>
  <c r="K249" i="15"/>
  <c r="AG316" i="15"/>
  <c r="AG317" i="15"/>
  <c r="AG313" i="15"/>
  <c r="AG314" i="15"/>
  <c r="AR69" i="15"/>
  <c r="AS107" i="15"/>
  <c r="AR67" i="15"/>
  <c r="AR201" i="15"/>
  <c r="AR203" i="15"/>
  <c r="AR268" i="15"/>
  <c r="AV269" i="15"/>
  <c r="AU107" i="15"/>
  <c r="AR107" i="15"/>
  <c r="AT107" i="15"/>
  <c r="AR66" i="15"/>
  <c r="AR202" i="15"/>
  <c r="AK326" i="15"/>
  <c r="AK259" i="15"/>
  <c r="AQ272" i="15"/>
  <c r="AQ76" i="15"/>
  <c r="AQ205" i="15"/>
  <c r="AQ207" i="15"/>
  <c r="AQ71" i="15"/>
  <c r="AQ80" i="15"/>
  <c r="AQ70" i="15"/>
  <c r="AQ206" i="15"/>
  <c r="AU70" i="15"/>
  <c r="AU206" i="15"/>
  <c r="AZ268" i="15"/>
  <c r="AZ69" i="15"/>
  <c r="AZ201" i="15"/>
  <c r="AZ203" i="15"/>
  <c r="AZ67" i="15"/>
  <c r="BC107" i="15"/>
  <c r="AZ66" i="15"/>
  <c r="AZ202" i="15"/>
  <c r="I234" i="15"/>
  <c r="I301" i="15"/>
  <c r="I316" i="15"/>
  <c r="I159" i="15"/>
  <c r="I168" i="15"/>
  <c r="I176" i="15"/>
  <c r="I249" i="15"/>
  <c r="AV159" i="15"/>
  <c r="AV234" i="15"/>
  <c r="AV301" i="15"/>
  <c r="AV168" i="15"/>
  <c r="I162" i="15"/>
  <c r="I177" i="15"/>
  <c r="I250" i="15"/>
  <c r="I167" i="15"/>
  <c r="I235" i="15"/>
  <c r="I302" i="15"/>
  <c r="I317" i="15"/>
  <c r="I341" i="15"/>
  <c r="I160" i="15"/>
  <c r="AM270" i="15"/>
  <c r="AM269" i="15"/>
  <c r="F342" i="15"/>
  <c r="F241" i="15"/>
  <c r="F308" i="15"/>
  <c r="AP219" i="15"/>
  <c r="AP286" i="15"/>
  <c r="AP96" i="15"/>
  <c r="AC240" i="15"/>
  <c r="AC307" i="15"/>
  <c r="AC231" i="15"/>
  <c r="AC298" i="15"/>
  <c r="AH286" i="15"/>
  <c r="AH96" i="15"/>
  <c r="AH292" i="15"/>
  <c r="AD333" i="15"/>
  <c r="AD335" i="15"/>
  <c r="AD243" i="15"/>
  <c r="AV109" i="15"/>
  <c r="AV244" i="15"/>
  <c r="AV311" i="15"/>
  <c r="AW109" i="15"/>
  <c r="AW244" i="15"/>
  <c r="AW311" i="15"/>
  <c r="BA107" i="15"/>
  <c r="BA185" i="15"/>
  <c r="E259" i="15"/>
  <c r="E326" i="15"/>
  <c r="BB286" i="15"/>
  <c r="BB219" i="15"/>
  <c r="BB96" i="15"/>
  <c r="E274" i="15"/>
  <c r="E273" i="15"/>
  <c r="AZ159" i="15"/>
  <c r="AZ234" i="15"/>
  <c r="AZ301" i="15"/>
  <c r="AZ168" i="15"/>
  <c r="D286" i="15"/>
  <c r="D96" i="15"/>
  <c r="D114" i="15"/>
  <c r="D339" i="15"/>
  <c r="D358" i="15"/>
  <c r="AM272" i="15"/>
  <c r="AM76" i="15"/>
  <c r="AM80" i="15"/>
  <c r="AM205" i="15"/>
  <c r="AM207" i="15"/>
  <c r="AM71" i="15"/>
  <c r="AM70" i="15"/>
  <c r="AM206" i="15"/>
  <c r="AS240" i="15"/>
  <c r="AS307" i="15"/>
  <c r="AS231" i="15"/>
  <c r="AS298" i="15"/>
  <c r="D361" i="15"/>
  <c r="D366" i="15"/>
  <c r="D347" i="15"/>
  <c r="D344" i="15"/>
  <c r="E333" i="15"/>
  <c r="E243" i="15"/>
  <c r="E310" i="15"/>
  <c r="E314" i="15"/>
  <c r="E174" i="15"/>
  <c r="E247" i="15"/>
  <c r="E173" i="15"/>
  <c r="E246" i="15"/>
  <c r="AZ344" i="15"/>
  <c r="AZ363" i="15"/>
  <c r="AZ361" i="15"/>
  <c r="E334" i="15"/>
  <c r="E353" i="15"/>
  <c r="E244" i="15"/>
  <c r="E311" i="15"/>
  <c r="F360" i="15"/>
  <c r="F343" i="15"/>
  <c r="F362" i="15"/>
  <c r="AM35" i="15"/>
  <c r="AM57" i="15"/>
  <c r="AM54" i="15"/>
  <c r="F240" i="15"/>
  <c r="F307" i="15"/>
  <c r="F231" i="15"/>
  <c r="F298" i="15"/>
  <c r="E176" i="15"/>
  <c r="E249" i="15"/>
  <c r="E258" i="15"/>
  <c r="E325" i="15"/>
  <c r="E84" i="15"/>
  <c r="E276" i="15"/>
  <c r="E209" i="15"/>
  <c r="E213" i="15"/>
  <c r="E219" i="15"/>
  <c r="E225" i="15"/>
  <c r="AS360" i="15"/>
  <c r="AS343" i="15"/>
  <c r="AS362" i="15"/>
  <c r="D346" i="15"/>
  <c r="D362" i="15"/>
  <c r="D365" i="15"/>
  <c r="AV341" i="15"/>
  <c r="AV162" i="15"/>
  <c r="AV167" i="15"/>
  <c r="AV160" i="15"/>
  <c r="AV241" i="15"/>
  <c r="AV308" i="15"/>
  <c r="AV235" i="15"/>
  <c r="AV302" i="15"/>
  <c r="AU168" i="15"/>
  <c r="AU159" i="15"/>
  <c r="AU234" i="15"/>
  <c r="AU301" i="15"/>
  <c r="AC241" i="15"/>
  <c r="AC308" i="15"/>
  <c r="AC342" i="15"/>
  <c r="AC344" i="15"/>
  <c r="BB360" i="15"/>
  <c r="BB343" i="15"/>
  <c r="BB362" i="15"/>
  <c r="BB231" i="15"/>
  <c r="BB298" i="15"/>
  <c r="BB240" i="15"/>
  <c r="BB307" i="15"/>
  <c r="Q54" i="15"/>
  <c r="Q35" i="15"/>
  <c r="Q57" i="15"/>
  <c r="AZ167" i="15"/>
  <c r="AZ160" i="15"/>
  <c r="AZ241" i="15"/>
  <c r="AZ308" i="15"/>
  <c r="AZ235" i="15"/>
  <c r="AZ302" i="15"/>
  <c r="AZ341" i="15"/>
  <c r="AZ162" i="15"/>
  <c r="AU361" i="15"/>
  <c r="AU344" i="15"/>
  <c r="AU363" i="15"/>
  <c r="AQ270" i="15"/>
  <c r="AQ269" i="15"/>
  <c r="AU269" i="15"/>
  <c r="AC292" i="15"/>
  <c r="AC98" i="15"/>
  <c r="AC99" i="15"/>
  <c r="AC295" i="15"/>
  <c r="AU235" i="15"/>
  <c r="AU302" i="15"/>
  <c r="AU162" i="15"/>
  <c r="AU160" i="15"/>
  <c r="AU241" i="15"/>
  <c r="AU308" i="15"/>
  <c r="AU341" i="15"/>
  <c r="AU167" i="15"/>
  <c r="AQ54" i="15"/>
  <c r="AQ35" i="15"/>
  <c r="AQ57" i="15"/>
  <c r="AR186" i="15"/>
  <c r="AR185" i="15"/>
  <c r="E231" i="15"/>
  <c r="E298" i="15"/>
  <c r="E240" i="15"/>
  <c r="E307" i="15"/>
  <c r="E182" i="15"/>
  <c r="E255" i="15"/>
  <c r="AF365" i="15"/>
  <c r="AF354" i="15"/>
  <c r="AF364" i="15"/>
  <c r="AJ276" i="15"/>
  <c r="AJ209" i="15"/>
  <c r="AJ213" i="15"/>
  <c r="AJ219" i="15"/>
  <c r="AJ225" i="15"/>
  <c r="AJ84" i="15"/>
  <c r="AS186" i="15"/>
  <c r="AS185" i="15"/>
  <c r="K240" i="15"/>
  <c r="K307" i="15"/>
  <c r="K322" i="15"/>
  <c r="K231" i="15"/>
  <c r="K298" i="15"/>
  <c r="K313" i="15"/>
  <c r="K182" i="15"/>
  <c r="K255" i="15"/>
  <c r="AR360" i="15"/>
  <c r="AR343" i="15"/>
  <c r="J114" i="15"/>
  <c r="J339" i="15"/>
  <c r="J358" i="15"/>
  <c r="J96" i="15"/>
  <c r="J286" i="15"/>
  <c r="AW343" i="15"/>
  <c r="AW360" i="15"/>
  <c r="AI352" i="15"/>
  <c r="AI354" i="15"/>
  <c r="AI335" i="15"/>
  <c r="F326" i="15"/>
  <c r="F259" i="15"/>
  <c r="AV334" i="15"/>
  <c r="AX231" i="15"/>
  <c r="AX298" i="15"/>
  <c r="AX240" i="15"/>
  <c r="AX307" i="15"/>
  <c r="AX182" i="15"/>
  <c r="AX255" i="15"/>
  <c r="H98" i="15"/>
  <c r="H99" i="15"/>
  <c r="H295" i="15"/>
  <c r="H292" i="15"/>
  <c r="F244" i="15"/>
  <c r="F311" i="15"/>
  <c r="F334" i="15"/>
  <c r="F183" i="15"/>
  <c r="F256" i="15"/>
  <c r="F182" i="15"/>
  <c r="F255" i="15"/>
  <c r="AG353" i="15"/>
  <c r="AG347" i="15"/>
  <c r="AG348" i="15"/>
  <c r="AN363" i="15"/>
  <c r="J183" i="15"/>
  <c r="J256" i="15"/>
  <c r="J241" i="15"/>
  <c r="J308" i="15"/>
  <c r="J323" i="15"/>
  <c r="AQ240" i="15"/>
  <c r="AQ307" i="15"/>
  <c r="AQ231" i="15"/>
  <c r="AQ298" i="15"/>
  <c r="BC96" i="15"/>
  <c r="BC286" i="15"/>
  <c r="BC219" i="15"/>
  <c r="AR241" i="15"/>
  <c r="AR308" i="15"/>
  <c r="AO292" i="15"/>
  <c r="AO225" i="15"/>
  <c r="AO98" i="15"/>
  <c r="AO99" i="15"/>
  <c r="AH362" i="15"/>
  <c r="AH365" i="15"/>
  <c r="AH346" i="15"/>
  <c r="AT185" i="15"/>
  <c r="AT186" i="15"/>
  <c r="C353" i="15"/>
  <c r="AX334" i="15"/>
  <c r="AX348" i="15"/>
  <c r="AX244" i="15"/>
  <c r="AX311" i="15"/>
  <c r="AZ186" i="15"/>
  <c r="AZ185" i="15"/>
  <c r="F112" i="15"/>
  <c r="F57" i="15"/>
  <c r="AK314" i="15"/>
  <c r="AK316" i="15"/>
  <c r="AK313" i="15"/>
  <c r="AK317" i="15"/>
  <c r="K96" i="15"/>
  <c r="K286" i="15"/>
  <c r="K114" i="15"/>
  <c r="K339" i="15"/>
  <c r="K358" i="15"/>
  <c r="AG286" i="15"/>
  <c r="AG96" i="15"/>
  <c r="AR240" i="15"/>
  <c r="AR307" i="15"/>
  <c r="AR231" i="15"/>
  <c r="AR298" i="15"/>
  <c r="AV84" i="15"/>
  <c r="AV209" i="15"/>
  <c r="AV276" i="15"/>
  <c r="AF292" i="15"/>
  <c r="AY362" i="15"/>
  <c r="J360" i="15"/>
  <c r="J364" i="15"/>
  <c r="J343" i="15"/>
  <c r="J345" i="15"/>
  <c r="AH364" i="15"/>
  <c r="AW96" i="15"/>
  <c r="AW219" i="15"/>
  <c r="AW286" i="15"/>
  <c r="AJ352" i="15"/>
  <c r="AJ335" i="15"/>
  <c r="AJ345" i="15"/>
  <c r="AJ346" i="15"/>
  <c r="AR80" i="15"/>
  <c r="AR76" i="15"/>
  <c r="AR205" i="15"/>
  <c r="AR207" i="15"/>
  <c r="AU108" i="15"/>
  <c r="AR71" i="15"/>
  <c r="AR272" i="15"/>
  <c r="AS108" i="15"/>
  <c r="AT108" i="15"/>
  <c r="AR108" i="15"/>
  <c r="F325" i="15"/>
  <c r="F258" i="15"/>
  <c r="J231" i="15"/>
  <c r="J298" i="15"/>
  <c r="J313" i="15"/>
  <c r="J240" i="15"/>
  <c r="J307" i="15"/>
  <c r="J322" i="15"/>
  <c r="J182" i="15"/>
  <c r="J255" i="15"/>
  <c r="AX292" i="15"/>
  <c r="AX225" i="15"/>
  <c r="C322" i="15"/>
  <c r="BA57" i="15"/>
  <c r="AY71" i="15"/>
  <c r="AY80" i="15"/>
  <c r="AY272" i="15"/>
  <c r="AY205" i="15"/>
  <c r="AY207" i="15"/>
  <c r="AY76" i="15"/>
  <c r="AY70" i="15"/>
  <c r="AY206" i="15"/>
  <c r="BB108" i="15"/>
  <c r="AZ108" i="15"/>
  <c r="BC70" i="15"/>
  <c r="BC206" i="15"/>
  <c r="AK352" i="15"/>
  <c r="AK335" i="15"/>
  <c r="AK345" i="15"/>
  <c r="AK346" i="15"/>
  <c r="J363" i="15"/>
  <c r="J367" i="15"/>
  <c r="J348" i="15"/>
  <c r="AI316" i="15"/>
  <c r="AV57" i="15"/>
  <c r="AV112" i="15"/>
  <c r="AQ363" i="15"/>
  <c r="AN53" i="15"/>
  <c r="AN52" i="15"/>
  <c r="AN32" i="15"/>
  <c r="AJ57" i="15"/>
  <c r="AQ241" i="15"/>
  <c r="AQ308" i="15"/>
  <c r="AJ317" i="15"/>
  <c r="AJ314" i="15"/>
  <c r="AJ313" i="15"/>
  <c r="AJ316" i="15"/>
  <c r="AT228" i="15"/>
  <c r="AT295" i="15"/>
  <c r="AI334" i="15"/>
  <c r="AI353" i="15"/>
  <c r="AI244" i="15"/>
  <c r="AI311" i="15"/>
  <c r="AU185" i="15"/>
  <c r="AU186" i="15"/>
  <c r="AW241" i="15"/>
  <c r="AW308" i="15"/>
  <c r="AW183" i="15"/>
  <c r="AW256" i="15"/>
  <c r="AX241" i="15"/>
  <c r="AX308" i="15"/>
  <c r="AX183" i="15"/>
  <c r="AX256" i="15"/>
  <c r="C314" i="15"/>
  <c r="C313" i="15"/>
  <c r="C316" i="15"/>
  <c r="E241" i="15"/>
  <c r="E308" i="15"/>
  <c r="E323" i="15"/>
  <c r="E183" i="15"/>
  <c r="E256" i="15"/>
  <c r="E342" i="15"/>
  <c r="AI280" i="15"/>
  <c r="AI90" i="15"/>
  <c r="AI343" i="15"/>
  <c r="AI360" i="15"/>
  <c r="AI364" i="15"/>
  <c r="AI345" i="15"/>
  <c r="C280" i="15"/>
  <c r="C90" i="15"/>
  <c r="C114" i="15"/>
  <c r="C339" i="15"/>
  <c r="C358" i="15"/>
  <c r="BA362" i="15"/>
  <c r="AL66" i="15"/>
  <c r="AL202" i="15"/>
  <c r="AP66" i="15"/>
  <c r="AP202" i="15"/>
  <c r="AL201" i="15"/>
  <c r="AL203" i="15"/>
  <c r="AL69" i="15"/>
  <c r="AL67" i="15"/>
  <c r="AO107" i="15"/>
  <c r="AL268" i="15"/>
  <c r="AN107" i="15"/>
  <c r="AM107" i="15"/>
  <c r="AL107" i="15"/>
  <c r="AM342" i="15"/>
  <c r="AM241" i="15"/>
  <c r="AM308" i="15"/>
  <c r="AH322" i="15"/>
  <c r="AY326" i="15"/>
  <c r="AY259" i="15"/>
  <c r="AT227" i="15"/>
  <c r="AT294" i="15"/>
  <c r="AT102" i="15"/>
  <c r="AG354" i="15"/>
  <c r="AG364" i="15"/>
  <c r="AR270" i="15"/>
  <c r="AU90" i="15"/>
  <c r="AU280" i="15"/>
  <c r="AU213" i="15"/>
  <c r="AV363" i="15"/>
  <c r="AK280" i="15"/>
  <c r="AK90" i="15"/>
  <c r="AK213" i="15"/>
  <c r="AX360" i="15"/>
  <c r="AX343" i="15"/>
  <c r="AX363" i="15"/>
  <c r="AG365" i="15"/>
  <c r="AY270" i="15"/>
  <c r="AY269" i="15"/>
  <c r="BC269" i="15"/>
  <c r="C352" i="15"/>
  <c r="C335" i="15"/>
  <c r="G98" i="15"/>
  <c r="G292" i="15"/>
  <c r="G99" i="15"/>
  <c r="G295" i="15"/>
  <c r="AJ109" i="15"/>
  <c r="AE292" i="15"/>
  <c r="F273" i="15"/>
  <c r="F274" i="15"/>
  <c r="G273" i="15"/>
  <c r="AW179" i="15"/>
  <c r="AW252" i="15"/>
  <c r="K610" i="17"/>
  <c r="AW333" i="15"/>
  <c r="AW345" i="15" s="1"/>
  <c r="AW243" i="15"/>
  <c r="AW310" i="15"/>
  <c r="AW316" i="15"/>
  <c r="AW180" i="15"/>
  <c r="AW253" i="15"/>
  <c r="AW173" i="15"/>
  <c r="AW246" i="15"/>
  <c r="AW174" i="15"/>
  <c r="AW247" i="15"/>
  <c r="AH344" i="15"/>
  <c r="AH361" i="15"/>
  <c r="AH366" i="15"/>
  <c r="AH347" i="15"/>
  <c r="AQ360" i="15"/>
  <c r="AQ343" i="15"/>
  <c r="AM343" i="15"/>
  <c r="AM360" i="15"/>
  <c r="BA84" i="15"/>
  <c r="BA276" i="15"/>
  <c r="BA209" i="15"/>
  <c r="AK109" i="15"/>
  <c r="AY258" i="15"/>
  <c r="AY325" i="15"/>
  <c r="BB185" i="15"/>
  <c r="BB186" i="15"/>
  <c r="AV70" i="15"/>
  <c r="AV206" i="15"/>
  <c r="I363" i="15"/>
  <c r="I367" i="15"/>
  <c r="I348" i="15"/>
  <c r="AC243" i="15"/>
  <c r="AC173" i="15"/>
  <c r="AC246" i="15"/>
  <c r="AC177" i="15"/>
  <c r="AC250" i="15"/>
  <c r="AC176" i="15"/>
  <c r="AC249" i="15"/>
  <c r="AC333" i="15"/>
  <c r="AC174" i="15"/>
  <c r="AC247" i="15"/>
  <c r="BD69" i="15"/>
  <c r="BD67" i="15"/>
  <c r="BD268" i="15"/>
  <c r="BD66" i="15"/>
  <c r="BD202" i="15"/>
  <c r="BD201" i="15"/>
  <c r="BD203" i="15"/>
  <c r="BD107" i="15"/>
  <c r="F276" i="15"/>
  <c r="F84" i="15"/>
  <c r="F209" i="15"/>
  <c r="F213" i="15"/>
  <c r="F219" i="15"/>
  <c r="F225" i="15"/>
  <c r="AI342" i="15"/>
  <c r="AI241" i="15"/>
  <c r="AI308" i="15"/>
  <c r="AI183" i="15"/>
  <c r="AI256" i="15"/>
  <c r="AV274" i="15"/>
  <c r="AV273" i="15"/>
  <c r="K183" i="15"/>
  <c r="K256" i="15"/>
  <c r="K241" i="15"/>
  <c r="K308" i="15"/>
  <c r="K323" i="15"/>
  <c r="AH323" i="15"/>
  <c r="AM231" i="15"/>
  <c r="AM298" i="15"/>
  <c r="AM240" i="15"/>
  <c r="AM307" i="15"/>
  <c r="AN66" i="15"/>
  <c r="AN202" i="15"/>
  <c r="AN67" i="15"/>
  <c r="AN268" i="15"/>
  <c r="AR269" i="15"/>
  <c r="AN201" i="15"/>
  <c r="AN203" i="15"/>
  <c r="AP107" i="15"/>
  <c r="AQ107" i="15"/>
  <c r="AN69" i="15"/>
  <c r="AR70" i="15"/>
  <c r="AR206" i="15"/>
  <c r="BA273" i="15"/>
  <c r="BA274" i="15"/>
  <c r="AW176" i="15"/>
  <c r="AW249" i="15"/>
  <c r="AI231" i="15"/>
  <c r="AI298" i="15"/>
  <c r="AI313" i="15"/>
  <c r="AI182" i="15"/>
  <c r="AI255" i="15"/>
  <c r="AI240" i="15"/>
  <c r="AI307" i="15"/>
  <c r="AL52" i="15"/>
  <c r="AL32" i="15"/>
  <c r="AL53" i="15"/>
  <c r="AN362" i="15"/>
  <c r="AD96" i="15"/>
  <c r="AD286" i="15"/>
  <c r="AG114" i="15"/>
  <c r="AG339" i="15"/>
  <c r="AG358" i="15"/>
  <c r="AF114" i="15"/>
  <c r="AF339" i="15"/>
  <c r="AF358" i="15"/>
  <c r="E343" i="15"/>
  <c r="E360" i="15"/>
  <c r="E345" i="15"/>
  <c r="AF367" i="15"/>
  <c r="AF366" i="15"/>
  <c r="AR54" i="15"/>
  <c r="AR35" i="15"/>
  <c r="F333" i="15"/>
  <c r="F174" i="15"/>
  <c r="F247" i="15"/>
  <c r="F243" i="15"/>
  <c r="F310" i="15"/>
  <c r="F173" i="15"/>
  <c r="F246" i="15"/>
  <c r="F177" i="15"/>
  <c r="F250" i="15"/>
  <c r="F176" i="15"/>
  <c r="F249" i="15"/>
  <c r="AG322" i="15"/>
  <c r="AG323" i="15"/>
  <c r="AY108" i="15"/>
  <c r="K367" i="15"/>
  <c r="K366" i="15"/>
  <c r="K345" i="15"/>
  <c r="K343" i="15"/>
  <c r="K360" i="15"/>
  <c r="K364" i="15"/>
  <c r="AK112" i="15"/>
  <c r="I98" i="15"/>
  <c r="I99" i="15"/>
  <c r="I295" i="15"/>
  <c r="I292" i="15"/>
  <c r="AW231" i="15"/>
  <c r="AW298" i="15"/>
  <c r="AW240" i="15"/>
  <c r="AW307" i="15"/>
  <c r="AW182" i="15"/>
  <c r="AW255" i="15"/>
  <c r="D292" i="15"/>
  <c r="D98" i="15"/>
  <c r="D99" i="15"/>
  <c r="E316" i="15"/>
  <c r="BA186" i="15"/>
  <c r="BA259" i="15"/>
  <c r="AW334" i="15"/>
  <c r="E322" i="15"/>
  <c r="AM276" i="15"/>
  <c r="AM84" i="15"/>
  <c r="AM209" i="15"/>
  <c r="AV231" i="15"/>
  <c r="AV298" i="15"/>
  <c r="AV240" i="15"/>
  <c r="AV307" i="15"/>
  <c r="E313" i="15"/>
  <c r="AC294" i="15"/>
  <c r="AC102" i="15"/>
  <c r="AC227" i="15"/>
  <c r="AC228" i="15"/>
  <c r="AQ274" i="15"/>
  <c r="AQ273" i="15"/>
  <c r="AU273" i="15"/>
  <c r="AV343" i="15"/>
  <c r="AV360" i="15"/>
  <c r="E280" i="15"/>
  <c r="E90" i="15"/>
  <c r="AM274" i="15"/>
  <c r="AM273" i="15"/>
  <c r="AZ270" i="15"/>
  <c r="AZ269" i="15"/>
  <c r="AW317" i="15"/>
  <c r="BB292" i="15"/>
  <c r="BB225" i="15"/>
  <c r="AW313" i="15"/>
  <c r="D363" i="15"/>
  <c r="D367" i="15"/>
  <c r="D348" i="15"/>
  <c r="AZ231" i="15"/>
  <c r="AZ298" i="15"/>
  <c r="AZ240" i="15"/>
  <c r="AZ307" i="15"/>
  <c r="I241" i="15"/>
  <c r="I308" i="15"/>
  <c r="I323" i="15"/>
  <c r="I183" i="15"/>
  <c r="I256" i="15"/>
  <c r="AV183" i="15"/>
  <c r="AV256" i="15"/>
  <c r="I343" i="15"/>
  <c r="I360" i="15"/>
  <c r="I364" i="15"/>
  <c r="I345" i="15"/>
  <c r="AZ272" i="15"/>
  <c r="AZ71" i="15"/>
  <c r="AZ205" i="15"/>
  <c r="AZ207" i="15"/>
  <c r="AZ76" i="15"/>
  <c r="BC109" i="15"/>
  <c r="BC334" i="15"/>
  <c r="AZ80" i="15"/>
  <c r="AZ70" i="15"/>
  <c r="AZ206" i="15"/>
  <c r="BC108" i="15"/>
  <c r="AI322" i="15"/>
  <c r="BA108" i="15"/>
  <c r="BA174" i="15"/>
  <c r="BA247" i="15"/>
  <c r="AV182" i="15"/>
  <c r="AV255" i="15"/>
  <c r="AZ360" i="15"/>
  <c r="AZ343" i="15"/>
  <c r="AZ362" i="15"/>
  <c r="E317" i="15"/>
  <c r="I182" i="15"/>
  <c r="I255" i="15"/>
  <c r="I240" i="15"/>
  <c r="I307" i="15"/>
  <c r="I322" i="15"/>
  <c r="I231" i="15"/>
  <c r="I298" i="15"/>
  <c r="I313" i="15"/>
  <c r="E335" i="15"/>
  <c r="E352" i="15"/>
  <c r="E354" i="15"/>
  <c r="F344" i="15"/>
  <c r="F363" i="15"/>
  <c r="F361" i="15"/>
  <c r="AQ276" i="15"/>
  <c r="AQ209" i="15"/>
  <c r="AQ84" i="15"/>
  <c r="AU240" i="15"/>
  <c r="AU307" i="15"/>
  <c r="AU231" i="15"/>
  <c r="AU298" i="15"/>
  <c r="BC186" i="15"/>
  <c r="BC185" i="15"/>
  <c r="AU343" i="15"/>
  <c r="AU362" i="15"/>
  <c r="AU360" i="15"/>
  <c r="AO228" i="15"/>
  <c r="AO295" i="15"/>
  <c r="AY180" i="15"/>
  <c r="AY253" i="15"/>
  <c r="AY333" i="15"/>
  <c r="AY243" i="15"/>
  <c r="AY310" i="15"/>
  <c r="K491" i="17"/>
  <c r="AY179" i="15"/>
  <c r="AY252" i="15"/>
  <c r="AY173" i="15"/>
  <c r="AY246" i="15"/>
  <c r="AY174" i="15"/>
  <c r="AY247" i="15"/>
  <c r="AY176" i="15"/>
  <c r="AY249" i="15"/>
  <c r="AY177" i="15"/>
  <c r="AY250" i="15"/>
  <c r="C354" i="15"/>
  <c r="AU259" i="15"/>
  <c r="AU326" i="15"/>
  <c r="AK354" i="15"/>
  <c r="AK364" i="15"/>
  <c r="AK365" i="15"/>
  <c r="AZ180" i="15"/>
  <c r="AZ253" i="15"/>
  <c r="AZ243" i="15"/>
  <c r="AZ310" i="15"/>
  <c r="AZ179" i="15"/>
  <c r="AZ252" i="15"/>
  <c r="J431" i="17"/>
  <c r="AZ333" i="15"/>
  <c r="AZ174" i="15"/>
  <c r="AZ247" i="15"/>
  <c r="AZ173" i="15"/>
  <c r="AZ246" i="15"/>
  <c r="AZ176" i="15"/>
  <c r="AZ249" i="15"/>
  <c r="AZ177" i="15"/>
  <c r="AZ250" i="15"/>
  <c r="J362" i="15"/>
  <c r="J365" i="15"/>
  <c r="J346" i="15"/>
  <c r="AG292" i="15"/>
  <c r="AG98" i="15"/>
  <c r="AG99" i="15"/>
  <c r="AG295" i="15"/>
  <c r="AZ326" i="15"/>
  <c r="AZ259" i="15"/>
  <c r="F323" i="15"/>
  <c r="F322" i="15"/>
  <c r="AV322" i="15"/>
  <c r="AV323" i="15"/>
  <c r="J98" i="15"/>
  <c r="J99" i="15" s="1"/>
  <c r="J295" i="15" s="1"/>
  <c r="J292" i="15"/>
  <c r="AS325" i="15"/>
  <c r="AS258" i="15"/>
  <c r="F317" i="15"/>
  <c r="F316" i="15"/>
  <c r="F314" i="15"/>
  <c r="F313" i="15"/>
  <c r="AQ186" i="15"/>
  <c r="AQ185" i="15"/>
  <c r="BB326" i="15"/>
  <c r="BB259" i="15"/>
  <c r="AX362" i="15"/>
  <c r="AU258" i="15"/>
  <c r="AU325" i="15"/>
  <c r="BB173" i="15"/>
  <c r="BB246" i="15"/>
  <c r="BB179" i="15"/>
  <c r="BB252" i="15"/>
  <c r="J311" i="17"/>
  <c r="BB180" i="15"/>
  <c r="BB253" i="15"/>
  <c r="BB177" i="15"/>
  <c r="BB250" i="15"/>
  <c r="BB174" i="15"/>
  <c r="BB247" i="15"/>
  <c r="BB243" i="15"/>
  <c r="BB310" i="15"/>
  <c r="BB176" i="15"/>
  <c r="BB249" i="15"/>
  <c r="BB333" i="15"/>
  <c r="AU243" i="15"/>
  <c r="AU310" i="15"/>
  <c r="K725" i="17"/>
  <c r="AU180" i="15"/>
  <c r="AU253" i="15"/>
  <c r="AU179" i="15"/>
  <c r="AU252" i="15"/>
  <c r="AU333" i="15"/>
  <c r="AU174" i="15"/>
  <c r="AU247" i="15"/>
  <c r="AU173" i="15"/>
  <c r="AU246" i="15"/>
  <c r="AU177" i="15"/>
  <c r="AU250" i="15"/>
  <c r="AU176" i="15"/>
  <c r="AU249" i="15"/>
  <c r="AJ354" i="15"/>
  <c r="AJ364" i="15"/>
  <c r="AJ365" i="15"/>
  <c r="AV280" i="15"/>
  <c r="AV90" i="15"/>
  <c r="AV114" i="15"/>
  <c r="AV339" i="15"/>
  <c r="AV358" i="15"/>
  <c r="AV213" i="15"/>
  <c r="AT259" i="15"/>
  <c r="AT326" i="15"/>
  <c r="AS326" i="15"/>
  <c r="AS259" i="15"/>
  <c r="AM361" i="15"/>
  <c r="AM344" i="15"/>
  <c r="AL186" i="15"/>
  <c r="AL185" i="15"/>
  <c r="AV353" i="15"/>
  <c r="AV366" i="15"/>
  <c r="AV347" i="15"/>
  <c r="AJ280" i="15"/>
  <c r="AJ90" i="15"/>
  <c r="AW322" i="15"/>
  <c r="F352" i="15"/>
  <c r="F335" i="15"/>
  <c r="F345" i="15"/>
  <c r="F346" i="15"/>
  <c r="BA280" i="15"/>
  <c r="BA90" i="15"/>
  <c r="BA213" i="15"/>
  <c r="AX323" i="15"/>
  <c r="BA179" i="15"/>
  <c r="BA252" i="15"/>
  <c r="H294" i="15"/>
  <c r="H227" i="15"/>
  <c r="H228" i="15"/>
  <c r="H102" i="15"/>
  <c r="K346" i="15"/>
  <c r="K362" i="15"/>
  <c r="K365" i="15"/>
  <c r="AR57" i="15"/>
  <c r="AU112" i="15"/>
  <c r="AR112" i="15"/>
  <c r="AS112" i="15"/>
  <c r="AT112" i="15"/>
  <c r="AD292" i="15"/>
  <c r="AD98" i="15"/>
  <c r="AD99" i="15"/>
  <c r="AD295" i="15"/>
  <c r="AL35" i="15"/>
  <c r="AL54" i="15"/>
  <c r="AN269" i="15"/>
  <c r="AN270" i="15"/>
  <c r="AI323" i="15"/>
  <c r="AW320" i="15"/>
  <c r="AW319" i="15"/>
  <c r="AW314" i="15"/>
  <c r="AK96" i="15"/>
  <c r="AK219" i="15"/>
  <c r="AK286" i="15"/>
  <c r="AN186" i="15"/>
  <c r="AN185" i="15"/>
  <c r="AI362" i="15"/>
  <c r="AI365" i="15"/>
  <c r="AI346" i="15"/>
  <c r="BA109" i="15"/>
  <c r="BB109" i="15"/>
  <c r="AZ109" i="15"/>
  <c r="AR333" i="15"/>
  <c r="AR346" i="15"/>
  <c r="AR180" i="15"/>
  <c r="AR253" i="15"/>
  <c r="J901" i="17"/>
  <c r="AR243" i="15"/>
  <c r="AR310" i="15"/>
  <c r="AR179" i="15"/>
  <c r="AR252" i="15"/>
  <c r="AR174" i="15"/>
  <c r="AR247" i="15"/>
  <c r="AR173" i="15"/>
  <c r="AR246" i="15"/>
  <c r="AR176" i="15"/>
  <c r="AR249" i="15"/>
  <c r="AR177" i="15"/>
  <c r="AR250" i="15"/>
  <c r="AT109" i="15"/>
  <c r="AU109" i="15"/>
  <c r="AS109" i="15"/>
  <c r="AR109" i="15"/>
  <c r="K98" i="15"/>
  <c r="K99" i="15"/>
  <c r="K295" i="15"/>
  <c r="K292" i="15"/>
  <c r="AG366" i="15"/>
  <c r="AG367" i="15"/>
  <c r="AW362" i="15"/>
  <c r="AW346" i="15"/>
  <c r="AR326" i="15"/>
  <c r="AR259" i="15"/>
  <c r="AP186" i="15"/>
  <c r="AP185" i="15"/>
  <c r="BB325" i="15"/>
  <c r="BB258" i="15"/>
  <c r="AT258" i="15"/>
  <c r="AT325" i="15"/>
  <c r="AU219" i="15"/>
  <c r="AU286" i="15"/>
  <c r="AU96" i="15"/>
  <c r="AX114" i="15"/>
  <c r="AX339" i="15"/>
  <c r="AX358" i="15"/>
  <c r="AM186" i="15"/>
  <c r="AM185" i="15"/>
  <c r="AX353" i="15"/>
  <c r="AX366" i="15"/>
  <c r="AX347" i="15"/>
  <c r="BC292" i="15"/>
  <c r="BC225" i="15"/>
  <c r="AR362" i="15"/>
  <c r="AR325" i="15"/>
  <c r="AR258" i="15"/>
  <c r="E362" i="15"/>
  <c r="E365" i="15"/>
  <c r="E346" i="15"/>
  <c r="AI347" i="15"/>
  <c r="AI361" i="15"/>
  <c r="AI366" i="15"/>
  <c r="AI344" i="15"/>
  <c r="AK334" i="15"/>
  <c r="AK244" i="15"/>
  <c r="AK311" i="15"/>
  <c r="AK182" i="15"/>
  <c r="AK255" i="15"/>
  <c r="AK183" i="15"/>
  <c r="AK256" i="15"/>
  <c r="AW352" i="15"/>
  <c r="AW354" i="15"/>
  <c r="AW335" i="15"/>
  <c r="G227" i="15"/>
  <c r="G228" i="15"/>
  <c r="G294" i="15"/>
  <c r="G102" i="15"/>
  <c r="AL269" i="15"/>
  <c r="AP269" i="15"/>
  <c r="AL270" i="15"/>
  <c r="AN54" i="15"/>
  <c r="AN35" i="15"/>
  <c r="AT176" i="15"/>
  <c r="AT249" i="15"/>
  <c r="AT177" i="15"/>
  <c r="AT250" i="15"/>
  <c r="J784" i="17"/>
  <c r="AT333" i="15"/>
  <c r="AT243" i="15"/>
  <c r="AT310" i="15"/>
  <c r="AT174" i="15"/>
  <c r="AT247" i="15"/>
  <c r="AT173" i="15"/>
  <c r="AT246" i="15"/>
  <c r="AR84" i="15"/>
  <c r="AR276" i="15"/>
  <c r="AR209" i="15"/>
  <c r="AW225" i="15"/>
  <c r="AW292" i="15"/>
  <c r="AW98" i="15"/>
  <c r="AW99" i="15"/>
  <c r="AY109" i="15"/>
  <c r="AX322" i="15"/>
  <c r="BD269" i="15"/>
  <c r="BD270" i="15"/>
  <c r="BD186" i="15"/>
  <c r="BD185" i="15"/>
  <c r="BA325" i="15"/>
  <c r="BA258" i="15"/>
  <c r="AM362" i="15"/>
  <c r="AO185" i="15"/>
  <c r="AO186" i="15"/>
  <c r="C96" i="15"/>
  <c r="C292" i="15"/>
  <c r="AI286" i="15"/>
  <c r="AI96" i="15"/>
  <c r="AK114" i="15"/>
  <c r="AK339" i="15"/>
  <c r="AK358" i="15"/>
  <c r="AI114" i="15"/>
  <c r="AI339" i="15"/>
  <c r="AI358" i="15"/>
  <c r="AW323" i="15"/>
  <c r="AY274" i="15"/>
  <c r="AY273" i="15"/>
  <c r="BC273" i="15"/>
  <c r="AS179" i="15"/>
  <c r="AS252" i="15"/>
  <c r="AS333" i="15"/>
  <c r="AS176" i="15"/>
  <c r="AS249" i="15"/>
  <c r="AS174" i="15"/>
  <c r="AS247" i="15"/>
  <c r="AS243" i="15"/>
  <c r="AS310" i="15"/>
  <c r="AS177" i="15"/>
  <c r="AS250" i="15"/>
  <c r="AS180" i="15"/>
  <c r="AS253" i="15"/>
  <c r="AS173" i="15"/>
  <c r="AS246" i="15"/>
  <c r="I294" i="15"/>
  <c r="I227" i="15"/>
  <c r="I228" i="15"/>
  <c r="I102" i="15"/>
  <c r="AC335" i="15"/>
  <c r="AC345" i="15"/>
  <c r="AC346" i="15"/>
  <c r="AH363" i="15"/>
  <c r="AH367" i="15"/>
  <c r="AH348" i="15"/>
  <c r="AJ244" i="15"/>
  <c r="AJ311" i="15"/>
  <c r="AJ334" i="15"/>
  <c r="AJ183" i="15"/>
  <c r="AJ256" i="15"/>
  <c r="AJ182" i="15"/>
  <c r="AJ255" i="15"/>
  <c r="AV348" i="15"/>
  <c r="AW347" i="15"/>
  <c r="AW348" i="15"/>
  <c r="AW353" i="15"/>
  <c r="AY276" i="15"/>
  <c r="AY209" i="15"/>
  <c r="AY84" i="15"/>
  <c r="AR274" i="15"/>
  <c r="AJ114" i="15"/>
  <c r="AJ339" i="15"/>
  <c r="AJ358" i="15"/>
  <c r="AZ325" i="15"/>
  <c r="AZ258" i="15"/>
  <c r="F353" i="15"/>
  <c r="F347" i="15"/>
  <c r="F348" i="15"/>
  <c r="AQ108" i="15"/>
  <c r="AN205" i="15"/>
  <c r="AN207" i="15"/>
  <c r="AN71" i="15"/>
  <c r="AN70" i="15"/>
  <c r="AN206" i="15"/>
  <c r="AN272" i="15"/>
  <c r="AN76" i="15"/>
  <c r="AN80" i="15"/>
  <c r="AP108" i="15"/>
  <c r="F90" i="15"/>
  <c r="F280" i="15"/>
  <c r="BD71" i="15"/>
  <c r="BD205" i="15"/>
  <c r="BD207" i="15"/>
  <c r="BD76" i="15"/>
  <c r="BD272" i="15"/>
  <c r="BD80" i="15"/>
  <c r="BD70" i="15"/>
  <c r="BD206" i="15"/>
  <c r="BD108" i="15"/>
  <c r="AQ362" i="15"/>
  <c r="AO108" i="15"/>
  <c r="AL80" i="15"/>
  <c r="AL71" i="15"/>
  <c r="AL70" i="15"/>
  <c r="AL206" i="15"/>
  <c r="AL272" i="15"/>
  <c r="AL76" i="15"/>
  <c r="AP70" i="15"/>
  <c r="AP206" i="15"/>
  <c r="AL205" i="15"/>
  <c r="AL207" i="15"/>
  <c r="AN108" i="15"/>
  <c r="AL108" i="15"/>
  <c r="AM108" i="15"/>
  <c r="E361" i="15"/>
  <c r="E366" i="15"/>
  <c r="E347" i="15"/>
  <c r="E344" i="15"/>
  <c r="AO227" i="15"/>
  <c r="AO294" i="15"/>
  <c r="AO102" i="15"/>
  <c r="BA326" i="15"/>
  <c r="BC244" i="15"/>
  <c r="BC311" i="15"/>
  <c r="BC322" i="15"/>
  <c r="BC183" i="15"/>
  <c r="BC256" i="15"/>
  <c r="BC182" i="15"/>
  <c r="BC255" i="15"/>
  <c r="AM90" i="15"/>
  <c r="AM213" i="15"/>
  <c r="AM280" i="15"/>
  <c r="AQ90" i="15"/>
  <c r="AQ96" i="15"/>
  <c r="AQ213" i="15"/>
  <c r="AQ280" i="15"/>
  <c r="BC243" i="15"/>
  <c r="BC310" i="15"/>
  <c r="BC180" i="15"/>
  <c r="BC253" i="15"/>
  <c r="BC333" i="15"/>
  <c r="BC179" i="15"/>
  <c r="BC252" i="15"/>
  <c r="BC177" i="15"/>
  <c r="BC250" i="15"/>
  <c r="K251" i="17"/>
  <c r="BC173" i="15"/>
  <c r="BC246" i="15"/>
  <c r="BC174" i="15"/>
  <c r="BC247" i="15"/>
  <c r="BC176" i="15"/>
  <c r="BC249" i="15"/>
  <c r="D100" i="15"/>
  <c r="D295" i="15"/>
  <c r="AE98" i="15"/>
  <c r="BA243" i="15"/>
  <c r="BA310" i="15"/>
  <c r="BA320" i="15"/>
  <c r="E114" i="15"/>
  <c r="E339" i="15"/>
  <c r="E358" i="15"/>
  <c r="E96" i="15"/>
  <c r="E286" i="15"/>
  <c r="D102" i="15"/>
  <c r="D294" i="15"/>
  <c r="D227" i="15"/>
  <c r="D228" i="15"/>
  <c r="AZ84" i="15"/>
  <c r="AZ276" i="15"/>
  <c r="AZ209" i="15"/>
  <c r="AW114" i="15"/>
  <c r="AW339" i="15"/>
  <c r="AW358" i="15"/>
  <c r="BA173" i="15"/>
  <c r="BA246" i="15"/>
  <c r="AX367" i="15"/>
  <c r="AV367" i="15"/>
  <c r="BA333" i="15"/>
  <c r="BA180" i="15"/>
  <c r="BA253" i="15"/>
  <c r="E364" i="15"/>
  <c r="BA176" i="15"/>
  <c r="BA249" i="15"/>
  <c r="I362" i="15"/>
  <c r="I365" i="15"/>
  <c r="I346" i="15"/>
  <c r="BA177" i="15"/>
  <c r="BA250" i="15"/>
  <c r="BC325" i="15"/>
  <c r="BC258" i="15"/>
  <c r="AV362" i="15"/>
  <c r="AZ274" i="15"/>
  <c r="AZ273" i="15"/>
  <c r="BC326" i="15"/>
  <c r="BC259" i="15"/>
  <c r="F366" i="15"/>
  <c r="F367" i="15"/>
  <c r="BC323" i="15"/>
  <c r="AM325" i="15"/>
  <c r="AM258" i="15"/>
  <c r="AL326" i="15"/>
  <c r="AL259" i="15"/>
  <c r="AW228" i="15"/>
  <c r="AW295" i="15"/>
  <c r="AM259" i="15"/>
  <c r="AM326" i="15"/>
  <c r="AT334" i="15"/>
  <c r="AT244" i="15"/>
  <c r="AT311" i="15"/>
  <c r="AT183" i="15"/>
  <c r="AT256" i="15"/>
  <c r="AT182" i="15"/>
  <c r="AT255" i="15"/>
  <c r="F354" i="15"/>
  <c r="F364" i="15"/>
  <c r="F365" i="15"/>
  <c r="AV219" i="15"/>
  <c r="AV96" i="15"/>
  <c r="AV286" i="15"/>
  <c r="BB320" i="15"/>
  <c r="BB319" i="15"/>
  <c r="BB316" i="15"/>
  <c r="BB317" i="15"/>
  <c r="BB314" i="15"/>
  <c r="BB313" i="15"/>
  <c r="K431" i="17"/>
  <c r="J491" i="17"/>
  <c r="AP273" i="15"/>
  <c r="AL273" i="15"/>
  <c r="AL274" i="15"/>
  <c r="BB335" i="15"/>
  <c r="BB345" i="15"/>
  <c r="BB346" i="15"/>
  <c r="BB352" i="15"/>
  <c r="BD109" i="15"/>
  <c r="AM333" i="15"/>
  <c r="AM243" i="15"/>
  <c r="AM310" i="15"/>
  <c r="L1256" i="17"/>
  <c r="AM173" i="15"/>
  <c r="AM246" i="15"/>
  <c r="AM174" i="15"/>
  <c r="AM247" i="15"/>
  <c r="AM176" i="15"/>
  <c r="AM249" i="15"/>
  <c r="AM177" i="15"/>
  <c r="AM250" i="15"/>
  <c r="AL243" i="15"/>
  <c r="AL310" i="15"/>
  <c r="AL317" i="15" s="1"/>
  <c r="AL333" i="15"/>
  <c r="AL345" i="15" s="1"/>
  <c r="AL177" i="15"/>
  <c r="AL250" i="15"/>
  <c r="AL174" i="15"/>
  <c r="AL247" i="15"/>
  <c r="AL173" i="15"/>
  <c r="AL246" i="15"/>
  <c r="AL176" i="15"/>
  <c r="AL249" i="15"/>
  <c r="AL209" i="15"/>
  <c r="AL84" i="15"/>
  <c r="AL276" i="15"/>
  <c r="AS335" i="15"/>
  <c r="AS352" i="15"/>
  <c r="AS345" i="15"/>
  <c r="AS346" i="15"/>
  <c r="AY244" i="15"/>
  <c r="AY311" i="15"/>
  <c r="AY334" i="15"/>
  <c r="AY183" i="15"/>
  <c r="AY256" i="15"/>
  <c r="AY182" i="15"/>
  <c r="AY255" i="15"/>
  <c r="AW227" i="15"/>
  <c r="AW294" i="15"/>
  <c r="AW102" i="15"/>
  <c r="AX98" i="15"/>
  <c r="AQ112" i="15"/>
  <c r="AN57" i="15"/>
  <c r="AP112" i="15"/>
  <c r="AK322" i="15"/>
  <c r="AK323" i="15"/>
  <c r="AP258" i="15"/>
  <c r="AP325" i="15"/>
  <c r="AR335" i="15"/>
  <c r="AR352" i="15"/>
  <c r="AR345" i="15"/>
  <c r="AN325" i="15"/>
  <c r="AN258" i="15"/>
  <c r="AD294" i="15"/>
  <c r="AD227" i="15"/>
  <c r="AD228" i="15"/>
  <c r="AD102" i="15"/>
  <c r="AM363" i="15"/>
  <c r="AU352" i="15"/>
  <c r="AU335" i="15"/>
  <c r="AU345" i="15"/>
  <c r="AU346" i="15"/>
  <c r="AY319" i="15"/>
  <c r="AY320" i="15"/>
  <c r="AY314" i="15"/>
  <c r="AY317" i="15"/>
  <c r="AY316" i="15"/>
  <c r="AY313" i="15"/>
  <c r="AQ109" i="15"/>
  <c r="AP109" i="15"/>
  <c r="AS320" i="15"/>
  <c r="AS316" i="15"/>
  <c r="AS314" i="15"/>
  <c r="AS319" i="15"/>
  <c r="AS313" i="15"/>
  <c r="AS317" i="15"/>
  <c r="AR320" i="15"/>
  <c r="AR319" i="15"/>
  <c r="AR314" i="15"/>
  <c r="AR316" i="15"/>
  <c r="AR317" i="15"/>
  <c r="AL325" i="15"/>
  <c r="AL258" i="15"/>
  <c r="AN273" i="15"/>
  <c r="AN274" i="15"/>
  <c r="AI292" i="15"/>
  <c r="AR313" i="15"/>
  <c r="AN112" i="15"/>
  <c r="AO112" i="15"/>
  <c r="AL57" i="15"/>
  <c r="AM112" i="15"/>
  <c r="AL112" i="15"/>
  <c r="AN243" i="15"/>
  <c r="AN310" i="15"/>
  <c r="K1189" i="17"/>
  <c r="AN333" i="15"/>
  <c r="AN176" i="15"/>
  <c r="AN249" i="15"/>
  <c r="AN173" i="15"/>
  <c r="AN246" i="15"/>
  <c r="AN174" i="15"/>
  <c r="AN247" i="15"/>
  <c r="AN177" i="15"/>
  <c r="AN250" i="15"/>
  <c r="AN180" i="15"/>
  <c r="AN253" i="15"/>
  <c r="AN179" i="15"/>
  <c r="AN252" i="15"/>
  <c r="AO177" i="15"/>
  <c r="AO250" i="15"/>
  <c r="AO179" i="15"/>
  <c r="AO252" i="15"/>
  <c r="AO333" i="15"/>
  <c r="AO180" i="15"/>
  <c r="AO253" i="15"/>
  <c r="K1120" i="17"/>
  <c r="M1115" i="17"/>
  <c r="AO174" i="15"/>
  <c r="AO247" i="15"/>
  <c r="AO243" i="15"/>
  <c r="AO310" i="15"/>
  <c r="AO173" i="15"/>
  <c r="AO246" i="15"/>
  <c r="AO176" i="15"/>
  <c r="AO249" i="15"/>
  <c r="BD243" i="15"/>
  <c r="BD310" i="15"/>
  <c r="BD333" i="15"/>
  <c r="J191" i="17"/>
  <c r="BC347" i="15"/>
  <c r="BC348" i="15"/>
  <c r="BC353" i="15"/>
  <c r="AK353" i="15"/>
  <c r="AK347" i="15"/>
  <c r="AK348" i="15"/>
  <c r="AP326" i="15"/>
  <c r="AP259" i="15"/>
  <c r="AZ334" i="15"/>
  <c r="AZ244" i="15"/>
  <c r="AZ311" i="15"/>
  <c r="AZ182" i="15"/>
  <c r="AZ255" i="15"/>
  <c r="AZ183" i="15"/>
  <c r="AZ256" i="15"/>
  <c r="AN326" i="15"/>
  <c r="AN259" i="15"/>
  <c r="AK225" i="15"/>
  <c r="AK292" i="15"/>
  <c r="AK98" i="15"/>
  <c r="AK99" i="15"/>
  <c r="BA96" i="15"/>
  <c r="BA219" i="15"/>
  <c r="BA286" i="15"/>
  <c r="AJ286" i="15"/>
  <c r="AJ96" i="15"/>
  <c r="AZ320" i="15"/>
  <c r="AZ319" i="15"/>
  <c r="AZ314" i="15"/>
  <c r="AZ316" i="15"/>
  <c r="AZ317" i="15"/>
  <c r="AZ313" i="15"/>
  <c r="AY352" i="15"/>
  <c r="AY335" i="15"/>
  <c r="AY345" i="15"/>
  <c r="AY346" i="15"/>
  <c r="AS244" i="15"/>
  <c r="AS311" i="15"/>
  <c r="AS334" i="15"/>
  <c r="AS182" i="15"/>
  <c r="AS255" i="15"/>
  <c r="AS183" i="15"/>
  <c r="AS256" i="15"/>
  <c r="AW365" i="15"/>
  <c r="F96" i="15"/>
  <c r="F286" i="15"/>
  <c r="F114" i="15"/>
  <c r="F339" i="15"/>
  <c r="F358" i="15"/>
  <c r="AQ243" i="15"/>
  <c r="AQ310" i="15"/>
  <c r="J960" i="17"/>
  <c r="AQ333" i="15"/>
  <c r="AQ180" i="15"/>
  <c r="AQ253" i="15"/>
  <c r="AQ179" i="15"/>
  <c r="AQ252" i="15"/>
  <c r="AQ174" i="15"/>
  <c r="AQ247" i="15"/>
  <c r="AQ173" i="15"/>
  <c r="AQ246" i="15"/>
  <c r="AQ176" i="15"/>
  <c r="AQ249" i="15"/>
  <c r="AQ177" i="15"/>
  <c r="AQ250" i="15"/>
  <c r="AJ353" i="15"/>
  <c r="AJ348" i="15"/>
  <c r="AJ347" i="15"/>
  <c r="BD258" i="15"/>
  <c r="BD325" i="15"/>
  <c r="AT314" i="15"/>
  <c r="AT317" i="15"/>
  <c r="AT316" i="15"/>
  <c r="AT313" i="15"/>
  <c r="AI363" i="15"/>
  <c r="AI367" i="15"/>
  <c r="AI348" i="15"/>
  <c r="BB334" i="15"/>
  <c r="BB182" i="15"/>
  <c r="BB255" i="15"/>
  <c r="BB244" i="15"/>
  <c r="BB311" i="15"/>
  <c r="BB183" i="15"/>
  <c r="BB256" i="15"/>
  <c r="AE294" i="15"/>
  <c r="AE227" i="15"/>
  <c r="AE228" i="15"/>
  <c r="AE102" i="15"/>
  <c r="AE99" i="15"/>
  <c r="AE295" i="15"/>
  <c r="BD274" i="15"/>
  <c r="BD273" i="15"/>
  <c r="AG227" i="15"/>
  <c r="AG228" i="15"/>
  <c r="AG294" i="15"/>
  <c r="AG102" i="15"/>
  <c r="AU334" i="15"/>
  <c r="AU244" i="15"/>
  <c r="AU311" i="15"/>
  <c r="AU182" i="15"/>
  <c r="AU255" i="15"/>
  <c r="AU183" i="15"/>
  <c r="AU256" i="15"/>
  <c r="AZ352" i="15"/>
  <c r="AZ345" i="15"/>
  <c r="AZ346" i="15"/>
  <c r="J1041" i="17"/>
  <c r="AP333" i="15"/>
  <c r="AP243" i="15"/>
  <c r="AP310" i="15"/>
  <c r="AR273" i="15"/>
  <c r="AW367" i="15"/>
  <c r="AW366" i="15"/>
  <c r="AJ323" i="15"/>
  <c r="AJ322" i="15"/>
  <c r="AO326" i="15"/>
  <c r="AO259" i="15"/>
  <c r="BD326" i="15"/>
  <c r="BD259" i="15"/>
  <c r="AW364" i="15"/>
  <c r="AU292" i="15"/>
  <c r="AU98" i="15"/>
  <c r="AU99" i="15"/>
  <c r="AU225" i="15"/>
  <c r="K294" i="15"/>
  <c r="K227" i="15"/>
  <c r="K228" i="15"/>
  <c r="K102" i="15"/>
  <c r="BA244" i="15"/>
  <c r="BA311" i="15"/>
  <c r="BA334" i="15"/>
  <c r="BA183" i="15"/>
  <c r="BA256" i="15"/>
  <c r="BA182" i="15"/>
  <c r="BA255" i="15"/>
  <c r="J725" i="17"/>
  <c r="AQ325" i="15"/>
  <c r="AQ258" i="15"/>
  <c r="AR280" i="15"/>
  <c r="AR213" i="15"/>
  <c r="E348" i="15"/>
  <c r="E363" i="15"/>
  <c r="E367" i="15"/>
  <c r="AO109" i="15"/>
  <c r="AN109" i="15"/>
  <c r="AL109" i="15"/>
  <c r="AM109" i="15"/>
  <c r="BD84" i="15"/>
  <c r="BD276" i="15"/>
  <c r="BD209" i="15"/>
  <c r="AN84" i="15"/>
  <c r="AN276" i="15"/>
  <c r="AN209" i="15"/>
  <c r="AY213" i="15"/>
  <c r="AY280" i="15"/>
  <c r="AY90" i="15"/>
  <c r="AO258" i="15"/>
  <c r="AO325" i="15"/>
  <c r="AT335" i="15"/>
  <c r="AT352" i="15"/>
  <c r="AT345" i="15"/>
  <c r="AT346" i="15"/>
  <c r="AR334" i="15"/>
  <c r="AR244" i="15"/>
  <c r="AR311" i="15"/>
  <c r="AR183" i="15"/>
  <c r="AR256" i="15"/>
  <c r="AR182" i="15"/>
  <c r="AR255" i="15"/>
  <c r="BA352" i="15"/>
  <c r="BA345" i="15"/>
  <c r="BA346" i="15"/>
  <c r="AU320" i="15"/>
  <c r="AU319" i="15"/>
  <c r="AU314" i="15"/>
  <c r="AU316" i="15"/>
  <c r="AU317" i="15"/>
  <c r="AU313" i="15"/>
  <c r="AQ326" i="15"/>
  <c r="AQ259" i="15"/>
  <c r="J294" i="15"/>
  <c r="J227" i="15"/>
  <c r="J228" i="15"/>
  <c r="J102" i="15"/>
  <c r="AH98" i="15"/>
  <c r="BA316" i="15"/>
  <c r="BA317" i="15"/>
  <c r="BA319" i="15"/>
  <c r="BA313" i="15"/>
  <c r="AC100" i="15"/>
  <c r="D101" i="15"/>
  <c r="BC313" i="15"/>
  <c r="BC320" i="15"/>
  <c r="BC314" i="15"/>
  <c r="BC317" i="15"/>
  <c r="BC316" i="15"/>
  <c r="BC319" i="15"/>
  <c r="J251" i="17"/>
  <c r="AQ219" i="15"/>
  <c r="E292" i="15"/>
  <c r="E98" i="15"/>
  <c r="E99" i="15"/>
  <c r="BA314" i="15"/>
  <c r="AZ90" i="15"/>
  <c r="AZ213" i="15"/>
  <c r="AZ280" i="15"/>
  <c r="BC346" i="15"/>
  <c r="BC335" i="15"/>
  <c r="BC352" i="15"/>
  <c r="BC345" i="15"/>
  <c r="AM96" i="15"/>
  <c r="AM219" i="15"/>
  <c r="AM286" i="15"/>
  <c r="AU228" i="15"/>
  <c r="AU295" i="15"/>
  <c r="AK295" i="15"/>
  <c r="AK228" i="15"/>
  <c r="AY286" i="15"/>
  <c r="AY219" i="15"/>
  <c r="BB114" i="15"/>
  <c r="BB339" i="15"/>
  <c r="BB358" i="15"/>
  <c r="AY96" i="15"/>
  <c r="BA114" i="15"/>
  <c r="BA339" i="15"/>
  <c r="BA358" i="15"/>
  <c r="AZ114" i="15"/>
  <c r="AZ339" i="15"/>
  <c r="AZ358" i="15"/>
  <c r="AR353" i="15"/>
  <c r="AR347" i="15"/>
  <c r="AR348" i="15"/>
  <c r="BD90" i="15"/>
  <c r="BD280" i="15"/>
  <c r="BD213" i="15"/>
  <c r="BA347" i="15"/>
  <c r="BA348" i="15"/>
  <c r="BA353" i="15"/>
  <c r="AS353" i="15"/>
  <c r="AS347" i="15"/>
  <c r="AS348" i="15"/>
  <c r="AJ292" i="15"/>
  <c r="AZ323" i="15"/>
  <c r="AZ322" i="15"/>
  <c r="AO316" i="15"/>
  <c r="AO314" i="15"/>
  <c r="AO319" i="15"/>
  <c r="AO320" i="15"/>
  <c r="AO317" i="15"/>
  <c r="AO313" i="15"/>
  <c r="AU354" i="15"/>
  <c r="AU364" i="15"/>
  <c r="AU365" i="15"/>
  <c r="AL90" i="15"/>
  <c r="AL280" i="15"/>
  <c r="AL213" i="15"/>
  <c r="AL314" i="15"/>
  <c r="AM335" i="15"/>
  <c r="AM352" i="15"/>
  <c r="AM345" i="15"/>
  <c r="AM346" i="15"/>
  <c r="AR323" i="15"/>
  <c r="AR322" i="15"/>
  <c r="AU294" i="15"/>
  <c r="AU227" i="15"/>
  <c r="AU102" i="15"/>
  <c r="AV98" i="15"/>
  <c r="AN316" i="15"/>
  <c r="AN314" i="15"/>
  <c r="AN313" i="15"/>
  <c r="AN319" i="15"/>
  <c r="AN320" i="15"/>
  <c r="AN317" i="15"/>
  <c r="AM244" i="15"/>
  <c r="AM311" i="15"/>
  <c r="AM334" i="15"/>
  <c r="AM183" i="15"/>
  <c r="AM256" i="15"/>
  <c r="AM182" i="15"/>
  <c r="AM255" i="15"/>
  <c r="BA323" i="15"/>
  <c r="BA322" i="15"/>
  <c r="AZ364" i="15"/>
  <c r="AZ365" i="15"/>
  <c r="F292" i="15"/>
  <c r="F98" i="15"/>
  <c r="F99" i="15"/>
  <c r="AS322" i="15"/>
  <c r="AS323" i="15"/>
  <c r="AK227" i="15"/>
  <c r="AK294" i="15"/>
  <c r="AK102" i="15"/>
  <c r="AZ353" i="15"/>
  <c r="AZ347" i="15"/>
  <c r="AZ348" i="15"/>
  <c r="AK366" i="15"/>
  <c r="AK367" i="15"/>
  <c r="AP334" i="15"/>
  <c r="AP244" i="15"/>
  <c r="AP311" i="15"/>
  <c r="BD334" i="15"/>
  <c r="BD244" i="15"/>
  <c r="BD311" i="15"/>
  <c r="BB322" i="15"/>
  <c r="BB323" i="15"/>
  <c r="AJ367" i="15"/>
  <c r="AJ366" i="15"/>
  <c r="BD335" i="15"/>
  <c r="BD352" i="15"/>
  <c r="AS354" i="15"/>
  <c r="AS364" i="15"/>
  <c r="AS365" i="15"/>
  <c r="BB364" i="15"/>
  <c r="BB354" i="15"/>
  <c r="BB365" i="15"/>
  <c r="AY114" i="15"/>
  <c r="AY339" i="15"/>
  <c r="AY358" i="15"/>
  <c r="AT323" i="15"/>
  <c r="AT322" i="15"/>
  <c r="AN334" i="15"/>
  <c r="AN244" i="15"/>
  <c r="AN311" i="15"/>
  <c r="AN182" i="15"/>
  <c r="AN255" i="15"/>
  <c r="AN183" i="15"/>
  <c r="AN256" i="15"/>
  <c r="AN280" i="15"/>
  <c r="AN90" i="15"/>
  <c r="AN213" i="15"/>
  <c r="BB348" i="15"/>
  <c r="BB347" i="15"/>
  <c r="BB353" i="15"/>
  <c r="AQ335" i="15"/>
  <c r="AQ352" i="15"/>
  <c r="AQ345" i="15"/>
  <c r="AQ346" i="15"/>
  <c r="BC366" i="15"/>
  <c r="BC367" i="15"/>
  <c r="AO335" i="15"/>
  <c r="AO352" i="15"/>
  <c r="AO345" i="15"/>
  <c r="AO346" i="15"/>
  <c r="AY348" i="15"/>
  <c r="AY353" i="15"/>
  <c r="AY347" i="15"/>
  <c r="AV225" i="15"/>
  <c r="AV292" i="15"/>
  <c r="AT353" i="15"/>
  <c r="AR354" i="15"/>
  <c r="AR364" i="15"/>
  <c r="AT364" i="15"/>
  <c r="AT354" i="15"/>
  <c r="AT365" i="15"/>
  <c r="AH227" i="15"/>
  <c r="AH228" i="15"/>
  <c r="AH294" i="15"/>
  <c r="AH102" i="15"/>
  <c r="AH99" i="15"/>
  <c r="AH295" i="15"/>
  <c r="BA364" i="15"/>
  <c r="BA365" i="15"/>
  <c r="AO334" i="15"/>
  <c r="AO244" i="15"/>
  <c r="AO311" i="15"/>
  <c r="AO182" i="15"/>
  <c r="AO255" i="15"/>
  <c r="AO183" i="15"/>
  <c r="AO256" i="15"/>
  <c r="AP335" i="15"/>
  <c r="AP352" i="15"/>
  <c r="AU322" i="15"/>
  <c r="AU323" i="15"/>
  <c r="AY354" i="15"/>
  <c r="AY364" i="15"/>
  <c r="AY365" i="15"/>
  <c r="AN335" i="15"/>
  <c r="AN352" i="15"/>
  <c r="AN345" i="15"/>
  <c r="AN346" i="15"/>
  <c r="AY323" i="15"/>
  <c r="AY322" i="15"/>
  <c r="AL334" i="15"/>
  <c r="AL244" i="15"/>
  <c r="AL311" i="15"/>
  <c r="AL323" i="15" s="1"/>
  <c r="AQ244" i="15"/>
  <c r="AQ311" i="15"/>
  <c r="AQ334" i="15"/>
  <c r="AQ182" i="15"/>
  <c r="AQ255" i="15"/>
  <c r="AQ183" i="15"/>
  <c r="AQ256" i="15"/>
  <c r="AU347" i="15"/>
  <c r="AU353" i="15"/>
  <c r="AU348" i="15"/>
  <c r="AQ314" i="15"/>
  <c r="AQ319" i="15"/>
  <c r="AQ320" i="15"/>
  <c r="AQ317" i="15"/>
  <c r="AQ316" i="15"/>
  <c r="AQ313" i="15"/>
  <c r="BA292" i="15"/>
  <c r="BA225" i="15"/>
  <c r="BA98" i="15"/>
  <c r="AR365" i="15"/>
  <c r="AI98" i="15"/>
  <c r="AX227" i="15"/>
  <c r="AX294" i="15"/>
  <c r="AX102" i="15"/>
  <c r="AX99" i="15"/>
  <c r="AL352" i="15"/>
  <c r="AL335" i="15"/>
  <c r="AM314" i="15"/>
  <c r="AM317" i="15"/>
  <c r="AM316" i="15"/>
  <c r="AM313" i="15"/>
  <c r="BA99" i="15"/>
  <c r="BA228" i="15"/>
  <c r="E295" i="15"/>
  <c r="E100" i="15"/>
  <c r="E101" i="15"/>
  <c r="BC354" i="15"/>
  <c r="BC365" i="15"/>
  <c r="BC364" i="15"/>
  <c r="E227" i="15"/>
  <c r="E228" i="15"/>
  <c r="E294" i="15"/>
  <c r="E102" i="15"/>
  <c r="AF102" i="15"/>
  <c r="AF98" i="15"/>
  <c r="AZ96" i="15"/>
  <c r="AZ286" i="15"/>
  <c r="AZ219" i="15"/>
  <c r="BC114" i="15"/>
  <c r="BC339" i="15"/>
  <c r="BC358" i="15"/>
  <c r="AM292" i="15"/>
  <c r="AM225" i="15"/>
  <c r="AC101" i="15"/>
  <c r="AD100" i="15"/>
  <c r="AP354" i="15"/>
  <c r="AL353" i="15"/>
  <c r="AV294" i="15"/>
  <c r="AV227" i="15"/>
  <c r="AV102" i="15"/>
  <c r="BB367" i="15"/>
  <c r="BB366" i="15"/>
  <c r="AZ366" i="15"/>
  <c r="AZ367" i="15"/>
  <c r="AP353" i="15"/>
  <c r="AY98" i="15"/>
  <c r="AY99" i="15"/>
  <c r="AY292" i="15"/>
  <c r="AY225" i="15"/>
  <c r="AU366" i="15"/>
  <c r="AU367" i="15"/>
  <c r="BD354" i="15"/>
  <c r="AI294" i="15"/>
  <c r="AI227" i="15"/>
  <c r="AI228" i="15"/>
  <c r="AI102" i="15"/>
  <c r="AI99" i="15"/>
  <c r="AI295" i="15"/>
  <c r="AN322" i="15"/>
  <c r="AN323" i="15"/>
  <c r="AL96" i="15"/>
  <c r="AO114" i="15"/>
  <c r="AO339" i="15"/>
  <c r="AO358" i="15"/>
  <c r="AL286" i="15"/>
  <c r="AL219" i="15"/>
  <c r="AN114" i="15"/>
  <c r="AN339" i="15"/>
  <c r="AN358" i="15"/>
  <c r="AL114" i="15"/>
  <c r="AL339" i="15"/>
  <c r="AL358" i="15"/>
  <c r="AM114" i="15"/>
  <c r="AM339" i="15"/>
  <c r="AM358" i="15"/>
  <c r="AO347" i="15"/>
  <c r="AO348" i="15"/>
  <c r="AO353" i="15"/>
  <c r="BD353" i="15"/>
  <c r="AL354" i="15"/>
  <c r="BA227" i="15"/>
  <c r="BA294" i="15"/>
  <c r="BA102" i="15"/>
  <c r="AQ353" i="15"/>
  <c r="AQ347" i="15"/>
  <c r="AQ348" i="15"/>
  <c r="AN354" i="15"/>
  <c r="AN364" i="15"/>
  <c r="AN365" i="15"/>
  <c r="AN219" i="15"/>
  <c r="AN96" i="15"/>
  <c r="AN286" i="15"/>
  <c r="AM353" i="15"/>
  <c r="AM347" i="15"/>
  <c r="AM348" i="15"/>
  <c r="BA366" i="15"/>
  <c r="BA367" i="15"/>
  <c r="AO322" i="15"/>
  <c r="AO323" i="15"/>
  <c r="F295" i="15"/>
  <c r="AM354" i="15"/>
  <c r="AM364" i="15"/>
  <c r="AM365" i="15"/>
  <c r="AY367" i="15"/>
  <c r="AY366" i="15"/>
  <c r="AN353" i="15"/>
  <c r="AN347" i="15"/>
  <c r="AN348" i="15"/>
  <c r="F294" i="15"/>
  <c r="AJ98" i="15"/>
  <c r="F227" i="15"/>
  <c r="F228" i="15"/>
  <c r="F102" i="15"/>
  <c r="AJ102" i="15"/>
  <c r="BD96" i="15"/>
  <c r="BD286" i="15"/>
  <c r="BD219" i="15"/>
  <c r="BD114" i="15"/>
  <c r="BD339" i="15"/>
  <c r="BD358" i="15"/>
  <c r="AQ322" i="15"/>
  <c r="AQ323" i="15"/>
  <c r="AV99" i="15"/>
  <c r="AO354" i="15"/>
  <c r="AO364" i="15"/>
  <c r="AO365" i="15"/>
  <c r="AM323" i="15"/>
  <c r="AM322" i="15"/>
  <c r="AS366" i="15"/>
  <c r="AS367" i="15"/>
  <c r="AX228" i="15"/>
  <c r="AX295" i="15"/>
  <c r="AQ354" i="15"/>
  <c r="AQ364" i="15"/>
  <c r="AQ365" i="15"/>
  <c r="AR366" i="15"/>
  <c r="AR367" i="15"/>
  <c r="BA295" i="15"/>
  <c r="AZ292" i="15"/>
  <c r="AZ225" i="15"/>
  <c r="AF227" i="15"/>
  <c r="AF228" i="15"/>
  <c r="AF294" i="15"/>
  <c r="AF99" i="15"/>
  <c r="AF295" i="15"/>
  <c r="F100" i="15"/>
  <c r="AD101" i="15"/>
  <c r="AE100" i="15"/>
  <c r="AY295" i="15"/>
  <c r="AY228" i="15"/>
  <c r="AJ227" i="15"/>
  <c r="AJ228" i="15"/>
  <c r="AJ294" i="15"/>
  <c r="AJ99" i="15"/>
  <c r="AJ295" i="15"/>
  <c r="AV228" i="15"/>
  <c r="AV295" i="15"/>
  <c r="F101" i="15"/>
  <c r="G100" i="15"/>
  <c r="AN292" i="15"/>
  <c r="AN225" i="15"/>
  <c r="BD225" i="15"/>
  <c r="BD292" i="15"/>
  <c r="AM366" i="15"/>
  <c r="AM367" i="15"/>
  <c r="AY227" i="15"/>
  <c r="AY294" i="15"/>
  <c r="AY102" i="15"/>
  <c r="AZ98" i="15"/>
  <c r="AO367" i="15"/>
  <c r="AO366" i="15"/>
  <c r="AN366" i="15"/>
  <c r="AN367" i="15"/>
  <c r="AL225" i="15"/>
  <c r="AL98" i="15"/>
  <c r="AL99" i="15"/>
  <c r="AL292" i="15"/>
  <c r="AM98" i="15"/>
  <c r="AQ366" i="15"/>
  <c r="AQ367" i="15"/>
  <c r="AF100" i="15"/>
  <c r="AE101" i="15"/>
  <c r="AM294" i="15"/>
  <c r="AM227" i="15"/>
  <c r="AM102" i="15"/>
  <c r="AN98" i="15"/>
  <c r="AM99" i="15"/>
  <c r="G101" i="15"/>
  <c r="H100" i="15"/>
  <c r="AL228" i="15"/>
  <c r="AL295" i="15"/>
  <c r="AL294" i="15"/>
  <c r="AL227" i="15"/>
  <c r="AL102" i="15"/>
  <c r="AN102" i="15"/>
  <c r="AZ227" i="15"/>
  <c r="AZ294" i="15"/>
  <c r="AZ102" i="15"/>
  <c r="AZ99" i="15"/>
  <c r="AG100" i="15"/>
  <c r="AF101" i="15"/>
  <c r="AM228" i="15"/>
  <c r="AM295" i="15"/>
  <c r="H101" i="15"/>
  <c r="I100" i="15"/>
  <c r="AZ228" i="15"/>
  <c r="AZ295" i="15"/>
  <c r="AN227" i="15"/>
  <c r="AN294" i="15"/>
  <c r="AN99" i="15"/>
  <c r="AG101" i="15"/>
  <c r="AH100" i="15"/>
  <c r="J100" i="15"/>
  <c r="I101" i="15"/>
  <c r="AN295" i="15"/>
  <c r="AN228" i="15"/>
  <c r="AH101" i="15"/>
  <c r="AI100" i="15"/>
  <c r="J101" i="15"/>
  <c r="K100" i="15"/>
  <c r="K101" i="15"/>
  <c r="AI101" i="15"/>
  <c r="AJ100" i="15"/>
  <c r="AJ101" i="15"/>
  <c r="AK100" i="15"/>
  <c r="AK101" i="15"/>
  <c r="AL100" i="15"/>
  <c r="AL101" i="15"/>
  <c r="AM100" i="15"/>
  <c r="AM101" i="15"/>
  <c r="AN100" i="15"/>
  <c r="AO100" i="15"/>
  <c r="AN101" i="15"/>
  <c r="AO101" i="15"/>
  <c r="BC35" i="15"/>
  <c r="BC57" i="15"/>
  <c r="BB54" i="15"/>
  <c r="AY32" i="15"/>
  <c r="AW112" i="15"/>
  <c r="AW57" i="15"/>
  <c r="AX112" i="15"/>
  <c r="AZ35" i="15"/>
  <c r="AZ54" i="15"/>
  <c r="J32" i="15"/>
  <c r="AZ52" i="15"/>
  <c r="AZ53" i="15"/>
  <c r="BD32" i="15"/>
  <c r="BD52" i="15"/>
  <c r="K57" i="15"/>
  <c r="K112" i="15"/>
  <c r="K54" i="15"/>
  <c r="J842" i="17"/>
  <c r="K842" i="17"/>
  <c r="D225" i="17"/>
  <c r="E205" i="17"/>
  <c r="E196" i="17"/>
  <c r="D224" i="17"/>
  <c r="E204" i="17"/>
  <c r="E195" i="17"/>
  <c r="E189" i="17"/>
  <c r="D223" i="17"/>
  <c r="E203" i="17"/>
  <c r="E194" i="17"/>
  <c r="E188" i="17"/>
  <c r="D222" i="17"/>
  <c r="E202" i="17"/>
  <c r="D238" i="17"/>
  <c r="E201" i="17"/>
  <c r="E187" i="17"/>
  <c r="D237" i="17"/>
  <c r="E200" i="17"/>
  <c r="D227" i="17"/>
  <c r="E199" i="17"/>
  <c r="E191" i="17"/>
  <c r="E840" i="17"/>
  <c r="D875" i="17"/>
  <c r="E855" i="17"/>
  <c r="E853" i="17"/>
  <c r="D888" i="17"/>
  <c r="E839" i="17"/>
  <c r="J608" i="17"/>
  <c r="E190" i="17"/>
  <c r="E197" i="17"/>
  <c r="E207" i="17"/>
  <c r="E206" i="17"/>
  <c r="E373" i="17"/>
  <c r="C407" i="17"/>
  <c r="D407" i="17"/>
  <c r="C999" i="17"/>
  <c r="C1000" i="17"/>
  <c r="J956" i="17"/>
  <c r="E505" i="17"/>
  <c r="E490" i="17"/>
  <c r="E504" i="17"/>
  <c r="E487" i="17"/>
  <c r="D524" i="17"/>
  <c r="E495" i="17"/>
  <c r="D523" i="17"/>
  <c r="E499" i="17"/>
  <c r="D526" i="17"/>
  <c r="E489" i="17"/>
  <c r="E488" i="17"/>
  <c r="D525" i="17"/>
  <c r="D537" i="17"/>
  <c r="E502" i="17"/>
  <c r="E498" i="17"/>
  <c r="C530" i="17"/>
  <c r="D522" i="17"/>
  <c r="E491" i="17"/>
  <c r="E503" i="17"/>
  <c r="E506" i="17"/>
  <c r="D538" i="17"/>
  <c r="E494" i="17"/>
  <c r="E500" i="17"/>
  <c r="C226" i="17"/>
  <c r="D226" i="17"/>
  <c r="AY54" i="15"/>
  <c r="AY35" i="15"/>
  <c r="BB112" i="15"/>
  <c r="BD54" i="15"/>
  <c r="BD35" i="15"/>
  <c r="J35" i="15"/>
  <c r="J54" i="15"/>
  <c r="BC112" i="15"/>
  <c r="AZ112" i="15"/>
  <c r="AZ57" i="15"/>
  <c r="BA112" i="15"/>
  <c r="AY57" i="15"/>
  <c r="AY112" i="15"/>
  <c r="J112" i="15"/>
  <c r="J57" i="15"/>
  <c r="BD57" i="15"/>
  <c r="BD112" i="15"/>
  <c r="E666" i="17"/>
  <c r="K668" i="17"/>
  <c r="K664" i="17"/>
  <c r="E682" i="17"/>
  <c r="E570" i="17"/>
  <c r="D590" i="17"/>
  <c r="D591" i="17"/>
  <c r="J551" i="17"/>
  <c r="D934" i="17"/>
  <c r="E910" i="17"/>
  <c r="E681" i="17"/>
  <c r="E920" i="17"/>
  <c r="D940" i="17"/>
  <c r="D941" i="17"/>
  <c r="E909" i="17"/>
  <c r="E915" i="17"/>
  <c r="D699" i="17"/>
  <c r="E901" i="17"/>
  <c r="K608" i="17"/>
  <c r="E1063" i="17"/>
  <c r="E687" i="17"/>
  <c r="D707" i="17"/>
  <c r="D708" i="17"/>
  <c r="E316" i="17"/>
  <c r="E922" i="17"/>
  <c r="E912" i="17"/>
  <c r="E1061" i="17"/>
  <c r="E675" i="17"/>
  <c r="J666" i="17"/>
  <c r="D463" i="17"/>
  <c r="D344" i="17"/>
  <c r="D714" i="17"/>
  <c r="E665" i="17"/>
  <c r="E312" i="17"/>
  <c r="D329" i="17"/>
  <c r="J306" i="17"/>
  <c r="J310" i="17"/>
  <c r="E900" i="17"/>
  <c r="D933" i="17"/>
  <c r="E606" i="17"/>
  <c r="E899" i="17"/>
  <c r="C706" i="17"/>
  <c r="D935" i="17"/>
  <c r="D1230" i="17"/>
  <c r="D1229" i="17"/>
  <c r="D644" i="17"/>
  <c r="E908" i="17"/>
  <c r="D947" i="17"/>
  <c r="C1081" i="17"/>
  <c r="E610" i="17"/>
  <c r="E677" i="17"/>
  <c r="D702" i="17"/>
  <c r="D932" i="17"/>
  <c r="E914" i="17"/>
  <c r="D656" i="17"/>
  <c r="E667" i="17"/>
  <c r="D713" i="17"/>
  <c r="E678" i="17"/>
  <c r="E1192" i="17"/>
  <c r="E1189" i="17"/>
  <c r="C761" i="17"/>
  <c r="E440" i="17"/>
  <c r="E212" i="17"/>
  <c r="J897" i="17"/>
  <c r="K897" i="17"/>
  <c r="E898" i="17"/>
  <c r="D946" i="17"/>
  <c r="E905" i="17"/>
  <c r="D701" i="17"/>
  <c r="D700" i="17"/>
  <c r="E668" i="17"/>
  <c r="E669" i="17" s="1"/>
  <c r="E676" i="17"/>
  <c r="E964" i="17"/>
  <c r="D1217" i="17"/>
  <c r="E672" i="17"/>
  <c r="E671" i="17"/>
  <c r="K551" i="17"/>
  <c r="E897" i="17"/>
  <c r="E903" i="17"/>
  <c r="E906" i="17"/>
  <c r="E1200" i="17"/>
  <c r="D358" i="17"/>
  <c r="E680" i="17"/>
  <c r="E679" i="17"/>
  <c r="C819" i="17"/>
  <c r="C820" i="17"/>
  <c r="D1215" i="17"/>
  <c r="E683" i="17"/>
  <c r="E1187" i="17"/>
  <c r="D406" i="17"/>
  <c r="D1163" i="17"/>
  <c r="E631" i="17"/>
  <c r="D642" i="17"/>
  <c r="E619" i="17"/>
  <c r="D655" i="17"/>
  <c r="D833" i="17"/>
  <c r="D1282" i="17"/>
  <c r="E443" i="17"/>
  <c r="D478" i="17"/>
  <c r="K840" i="17"/>
  <c r="K606" i="17"/>
  <c r="D571" i="17"/>
  <c r="F571" i="17"/>
  <c r="K489" i="17"/>
  <c r="J1189" i="17"/>
  <c r="C470" i="17"/>
  <c r="E609" i="17"/>
  <c r="E618" i="17"/>
  <c r="E617" i="17"/>
  <c r="D1417" i="17"/>
  <c r="D1420" i="17"/>
  <c r="D1404" i="17"/>
  <c r="E429" i="17"/>
  <c r="K838" i="17"/>
  <c r="E804" i="17"/>
  <c r="D824" i="17"/>
  <c r="D825" i="17"/>
  <c r="D749" i="17"/>
  <c r="D573" i="17"/>
  <c r="E979" i="17"/>
  <c r="D999" i="17"/>
  <c r="D1000" i="17"/>
  <c r="D477" i="17"/>
  <c r="E607" i="17"/>
  <c r="E623" i="17"/>
  <c r="D643" i="17"/>
  <c r="D1342" i="17"/>
  <c r="E434" i="17"/>
  <c r="E436" i="17"/>
  <c r="D465" i="17"/>
  <c r="D464" i="17"/>
  <c r="E438" i="17"/>
  <c r="L546" i="17"/>
  <c r="D403" i="17"/>
  <c r="E620" i="17"/>
  <c r="C648" i="17"/>
  <c r="C650" i="17"/>
  <c r="E614" i="17"/>
  <c r="D1403" i="17"/>
  <c r="E430" i="17"/>
  <c r="E445" i="17"/>
  <c r="E442" i="17"/>
  <c r="D466" i="17"/>
  <c r="D1411" i="17"/>
  <c r="D1412" i="17"/>
  <c r="D462" i="17"/>
  <c r="E452" i="17"/>
  <c r="C936" i="17"/>
  <c r="E622" i="17"/>
  <c r="E625" i="17"/>
  <c r="D1405" i="17"/>
  <c r="D1343" i="17"/>
  <c r="D404" i="17"/>
  <c r="E444" i="17"/>
  <c r="E431" i="17"/>
  <c r="K784" i="17"/>
  <c r="E439" i="17"/>
  <c r="E621" i="17"/>
  <c r="E629" i="17"/>
  <c r="D649" i="17"/>
  <c r="D650" i="17"/>
  <c r="E608" i="17"/>
  <c r="D405" i="17"/>
  <c r="E441" i="17"/>
  <c r="D1345" i="17"/>
  <c r="K429" i="17"/>
  <c r="C532" i="17"/>
  <c r="K1041" i="17"/>
  <c r="E624" i="17"/>
  <c r="D641" i="17"/>
  <c r="D1356" i="17"/>
  <c r="D1357" i="17"/>
  <c r="E428" i="17"/>
  <c r="E446" i="17"/>
  <c r="D1223" i="17"/>
  <c r="D1224" i="17"/>
  <c r="C1224" i="17"/>
  <c r="C1288" i="17"/>
  <c r="D1287" i="17"/>
  <c r="D1288" i="17"/>
  <c r="J1119" i="17"/>
  <c r="K1118" i="17"/>
  <c r="K1119" i="17"/>
  <c r="D117" i="17"/>
  <c r="C350" i="17"/>
  <c r="E326" i="17"/>
  <c r="E319" i="17"/>
  <c r="E324" i="17"/>
  <c r="E1258" i="17"/>
  <c r="E1262" i="17"/>
  <c r="K1186" i="17"/>
  <c r="K1184" i="17"/>
  <c r="E66" i="17"/>
  <c r="E73" i="17"/>
  <c r="E82" i="17"/>
  <c r="D102" i="17"/>
  <c r="D118" i="17"/>
  <c r="E1133" i="17"/>
  <c r="E70" i="17"/>
  <c r="E90" i="17"/>
  <c r="C230" i="17"/>
  <c r="D346" i="17"/>
  <c r="E71" i="17"/>
  <c r="E92" i="17"/>
  <c r="E861" i="17"/>
  <c r="D881" i="17"/>
  <c r="D882" i="17"/>
  <c r="J427" i="17"/>
  <c r="K427" i="17"/>
  <c r="C590" i="17"/>
  <c r="C591" i="17"/>
  <c r="D527" i="17"/>
  <c r="D874" i="17"/>
  <c r="D887" i="17"/>
  <c r="D890" i="17"/>
  <c r="D816" i="17"/>
  <c r="E806" i="17"/>
  <c r="E450" i="17"/>
  <c r="D471" i="17"/>
  <c r="D1256" i="17"/>
  <c r="D1264" i="17"/>
  <c r="D873" i="17"/>
  <c r="E323" i="17"/>
  <c r="D342" i="17"/>
  <c r="E322" i="17"/>
  <c r="E391" i="17"/>
  <c r="D412" i="17"/>
  <c r="D357" i="17"/>
  <c r="D421" i="17"/>
  <c r="E1051" i="17"/>
  <c r="E1052" i="17"/>
  <c r="D1088" i="17"/>
  <c r="E1260" i="17"/>
  <c r="D1279" i="17"/>
  <c r="E782" i="17"/>
  <c r="E1186" i="17"/>
  <c r="C876" i="17"/>
  <c r="L1254" i="17"/>
  <c r="E1188" i="17"/>
  <c r="D1137" i="17"/>
  <c r="K1037" i="17"/>
  <c r="D509" i="17"/>
  <c r="J486" i="17"/>
  <c r="E74" i="17"/>
  <c r="E83" i="17"/>
  <c r="D103" i="17"/>
  <c r="E1136" i="17"/>
  <c r="E842" i="17"/>
  <c r="E849" i="17"/>
  <c r="J780" i="17"/>
  <c r="K780" i="17"/>
  <c r="J549" i="17"/>
  <c r="K549" i="17"/>
  <c r="E308" i="17"/>
  <c r="D345" i="17"/>
  <c r="D343" i="17"/>
  <c r="E318" i="17"/>
  <c r="E799" i="17"/>
  <c r="E1261" i="17"/>
  <c r="J247" i="17"/>
  <c r="K247" i="17"/>
  <c r="K1115" i="17"/>
  <c r="E1049" i="17"/>
  <c r="E1058" i="17"/>
  <c r="D449" i="17"/>
  <c r="J426" i="17"/>
  <c r="C50" i="17"/>
  <c r="E67" i="17"/>
  <c r="E75" i="17"/>
  <c r="E84" i="17"/>
  <c r="D104" i="17"/>
  <c r="K5" i="17"/>
  <c r="E556" i="17"/>
  <c r="C824" i="17"/>
  <c r="C825" i="17"/>
  <c r="E325" i="17"/>
  <c r="C290" i="17"/>
  <c r="C292" i="17"/>
  <c r="E793" i="17"/>
  <c r="D818" i="17"/>
  <c r="E68" i="17"/>
  <c r="E76" i="17"/>
  <c r="E85" i="17"/>
  <c r="D105" i="17"/>
  <c r="J547" i="17"/>
  <c r="K547" i="17"/>
  <c r="M1117" i="17"/>
  <c r="E1265" i="17"/>
  <c r="E307" i="17"/>
  <c r="E321" i="17"/>
  <c r="E309" i="17"/>
  <c r="D817" i="17"/>
  <c r="K1255" i="17"/>
  <c r="K1254" i="17"/>
  <c r="K1258" i="17"/>
  <c r="E1191" i="17"/>
  <c r="E1269" i="17"/>
  <c r="K309" i="17"/>
  <c r="D269" i="17"/>
  <c r="F269" i="17"/>
  <c r="E78" i="17"/>
  <c r="E86" i="17"/>
  <c r="D57" i="17"/>
  <c r="D360" i="17"/>
  <c r="E32" i="17"/>
  <c r="E80" i="17"/>
  <c r="C110" i="17"/>
  <c r="E512" i="17"/>
  <c r="K191" i="17"/>
  <c r="E320" i="17"/>
  <c r="E311" i="17"/>
  <c r="D58" i="17"/>
  <c r="E81" i="17"/>
  <c r="E863" i="17"/>
  <c r="E496" i="17"/>
  <c r="E846" i="17"/>
  <c r="E856" i="17"/>
  <c r="E841" i="17"/>
  <c r="J724" i="17"/>
  <c r="E851" i="17"/>
  <c r="E852" i="17"/>
  <c r="E850" i="17"/>
  <c r="D1294" i="17"/>
  <c r="D1296" i="17"/>
  <c r="D1281" i="17"/>
  <c r="E332" i="17"/>
  <c r="E327" i="17"/>
  <c r="E329" i="17"/>
  <c r="E314" i="17"/>
  <c r="E791" i="17"/>
  <c r="E1041" i="17"/>
  <c r="E1043" i="17" s="1"/>
  <c r="E1046" i="17" s="1"/>
  <c r="E798" i="17"/>
  <c r="E781" i="17"/>
  <c r="E1254" i="17"/>
  <c r="E1256" i="17"/>
  <c r="E1259" i="17"/>
  <c r="E780" i="17"/>
  <c r="E786" i="17"/>
  <c r="E789" i="17"/>
  <c r="E1193" i="17"/>
  <c r="E1199" i="17"/>
  <c r="E1267" i="17"/>
  <c r="D686" i="17"/>
  <c r="F686" i="17"/>
  <c r="E69" i="17"/>
  <c r="E79" i="17"/>
  <c r="AT238" i="15"/>
  <c r="AT305" i="15"/>
  <c r="AT320" i="15"/>
  <c r="AT180" i="15"/>
  <c r="AT253" i="15"/>
  <c r="AT342" i="15"/>
  <c r="AQ292" i="15"/>
  <c r="AQ225" i="15"/>
  <c r="AL361" i="15"/>
  <c r="AL366" i="15"/>
  <c r="AL344" i="15"/>
  <c r="AL347" i="15"/>
  <c r="AL240" i="15"/>
  <c r="AL307" i="15"/>
  <c r="AL322" i="15"/>
  <c r="AL182" i="15"/>
  <c r="AL255" i="15"/>
  <c r="AL231" i="15"/>
  <c r="AL298" i="15"/>
  <c r="AL313" i="15"/>
  <c r="AR282" i="15"/>
  <c r="AR90" i="15"/>
  <c r="AR114" i="15" s="1"/>
  <c r="AR339" i="15" s="1"/>
  <c r="AR358" i="15" s="1"/>
  <c r="AR215" i="15"/>
  <c r="AQ282" i="15"/>
  <c r="AQ114" i="15"/>
  <c r="AQ339" i="15"/>
  <c r="AQ358" i="15"/>
  <c r="AP98" i="15"/>
  <c r="AQ98" i="15" s="1"/>
  <c r="AQ99" i="15" s="1"/>
  <c r="AT114" i="15"/>
  <c r="AT339" i="15"/>
  <c r="AT358" i="15"/>
  <c r="C98" i="15"/>
  <c r="AP114" i="15"/>
  <c r="AP339" i="15"/>
  <c r="AP358" i="15"/>
  <c r="AL183" i="15"/>
  <c r="AL256" i="15"/>
  <c r="AL234" i="15"/>
  <c r="AL301" i="15"/>
  <c r="AL316" i="15"/>
  <c r="AL360" i="15"/>
  <c r="AL364" i="15"/>
  <c r="AQ286" i="15"/>
  <c r="AP292" i="15"/>
  <c r="C286" i="15"/>
  <c r="AP225" i="15"/>
  <c r="AL343" i="15"/>
  <c r="AL168" i="15"/>
  <c r="AT154" i="15"/>
  <c r="D540" i="17"/>
  <c r="K311" i="17"/>
  <c r="E1130" i="17"/>
  <c r="C231" i="17"/>
  <c r="C232" i="17"/>
  <c r="C472" i="17"/>
  <c r="D1322" i="17"/>
  <c r="K782" i="17"/>
  <c r="D89" i="17"/>
  <c r="E210" i="17"/>
  <c r="D231" i="17"/>
  <c r="D232" i="17"/>
  <c r="D240" i="17"/>
  <c r="J610" i="17"/>
  <c r="D1090" i="17"/>
  <c r="D978" i="17"/>
  <c r="D980" i="17"/>
  <c r="E572" i="17"/>
  <c r="K7" i="17"/>
  <c r="K960" i="17"/>
  <c r="D1393" i="17"/>
  <c r="D1399" i="17"/>
  <c r="J189" i="17"/>
  <c r="K189" i="17"/>
  <c r="C586" i="17"/>
  <c r="C51" i="17"/>
  <c r="D1005" i="17"/>
  <c r="D1132" i="17"/>
  <c r="D1395" i="17"/>
  <c r="E956" i="17"/>
  <c r="C645" i="17"/>
  <c r="D586" i="17"/>
  <c r="D1134" i="17"/>
  <c r="F1134" i="17"/>
  <c r="J1258" i="17"/>
  <c r="D860" i="17"/>
  <c r="J837" i="17"/>
  <c r="J548" i="17"/>
  <c r="K956" i="17"/>
  <c r="C1150" i="17"/>
  <c r="E510" i="17"/>
  <c r="D531" i="17"/>
  <c r="D532" i="17"/>
  <c r="F1130" i="17"/>
  <c r="D645" i="17"/>
  <c r="E615" i="17"/>
  <c r="D919" i="17"/>
  <c r="F919" i="17"/>
  <c r="C60" i="17"/>
  <c r="L720" i="17"/>
  <c r="C1351" i="17"/>
  <c r="J1120" i="17"/>
  <c r="L1115" i="17"/>
  <c r="D936" i="17"/>
  <c r="C708" i="17"/>
  <c r="J487" i="17"/>
  <c r="K487" i="17"/>
  <c r="D149" i="17"/>
  <c r="D151" i="17"/>
  <c r="D158" i="17"/>
  <c r="D578" i="17"/>
  <c r="D579" i="17"/>
  <c r="E492" i="17"/>
  <c r="E388" i="17"/>
  <c r="E390" i="17"/>
  <c r="D390" i="17"/>
  <c r="K899" i="17"/>
  <c r="F1199" i="17"/>
  <c r="D1201" i="17"/>
  <c r="D1206" i="17"/>
  <c r="D1203" i="17"/>
  <c r="F1203" i="17"/>
  <c r="E507" i="17"/>
  <c r="E509" i="17"/>
  <c r="F803" i="17"/>
  <c r="D807" i="17"/>
  <c r="J779" i="17"/>
  <c r="D805" i="17"/>
  <c r="J372" i="17"/>
  <c r="K372" i="17"/>
  <c r="D1150" i="17"/>
  <c r="E734" i="17"/>
  <c r="D772" i="17"/>
  <c r="E735" i="17"/>
  <c r="K666" i="17"/>
  <c r="E738" i="17"/>
  <c r="E721" i="17"/>
  <c r="E733" i="17"/>
  <c r="D773" i="17"/>
  <c r="E724" i="17"/>
  <c r="E741" i="17"/>
  <c r="E723" i="17"/>
  <c r="D758" i="17"/>
  <c r="D759" i="17"/>
  <c r="D760" i="17"/>
  <c r="E722" i="17"/>
  <c r="E746" i="17"/>
  <c r="D766" i="17"/>
  <c r="D767" i="17"/>
  <c r="E740" i="17"/>
  <c r="E729" i="17"/>
  <c r="E737" i="17"/>
  <c r="C765" i="17"/>
  <c r="C767" i="17"/>
  <c r="E732" i="17"/>
  <c r="D513" i="17"/>
  <c r="F509" i="17"/>
  <c r="D511" i="17"/>
  <c r="C467" i="17"/>
  <c r="L306" i="17"/>
  <c r="J550" i="17"/>
  <c r="D761" i="17"/>
  <c r="C762" i="17"/>
  <c r="D921" i="17"/>
  <c r="K1187" i="17"/>
  <c r="J1188" i="17"/>
  <c r="D209" i="17"/>
  <c r="E192" i="17"/>
  <c r="E209" i="17"/>
  <c r="D1346" i="17"/>
  <c r="M1186" i="17"/>
  <c r="F745" i="17"/>
  <c r="D747" i="17"/>
  <c r="D688" i="17"/>
  <c r="D690" i="17"/>
  <c r="J663" i="17"/>
  <c r="E250" i="17"/>
  <c r="E259" i="17"/>
  <c r="D286" i="17"/>
  <c r="E258" i="17"/>
  <c r="E262" i="17"/>
  <c r="E265" i="17"/>
  <c r="E270" i="17"/>
  <c r="D291" i="17"/>
  <c r="D292" i="17"/>
  <c r="E252" i="17"/>
  <c r="E263" i="17"/>
  <c r="D283" i="17"/>
  <c r="E260" i="17"/>
  <c r="E266" i="17"/>
  <c r="D284" i="17"/>
  <c r="E264" i="17"/>
  <c r="K249" i="17"/>
  <c r="E261" i="17"/>
  <c r="D287" i="17"/>
  <c r="E254" i="17"/>
  <c r="E272" i="17"/>
  <c r="D285" i="17"/>
  <c r="E248" i="17"/>
  <c r="E249" i="17"/>
  <c r="D297" i="17"/>
  <c r="E251" i="17"/>
  <c r="D298" i="17"/>
  <c r="D271" i="17"/>
  <c r="C1076" i="17"/>
  <c r="D1046" i="17"/>
  <c r="D1060" i="17"/>
  <c r="D992" i="17"/>
  <c r="E960" i="17"/>
  <c r="E973" i="17"/>
  <c r="K958" i="17"/>
  <c r="E981" i="17"/>
  <c r="E958" i="17"/>
  <c r="E957" i="17"/>
  <c r="D993" i="17"/>
  <c r="D994" i="17"/>
  <c r="D1006" i="17"/>
  <c r="E972" i="17"/>
  <c r="E968" i="17"/>
  <c r="E969" i="17"/>
  <c r="E971" i="17"/>
  <c r="E974" i="17"/>
  <c r="E970" i="17"/>
  <c r="D991" i="17"/>
  <c r="E967" i="17"/>
  <c r="F329" i="17"/>
  <c r="D333" i="17"/>
  <c r="D331" i="17"/>
  <c r="D282" i="17"/>
  <c r="D1330" i="17"/>
  <c r="E1322" i="17"/>
  <c r="E330" i="17"/>
  <c r="C351" i="17"/>
  <c r="J307" i="17"/>
  <c r="K307" i="17"/>
  <c r="D472" i="17"/>
  <c r="D411" i="17"/>
  <c r="D153" i="17"/>
  <c r="J125" i="17"/>
  <c r="J129" i="17"/>
  <c r="J66" i="17"/>
  <c r="K66" i="17"/>
  <c r="C111" i="17"/>
  <c r="C112" i="17"/>
  <c r="D178" i="17"/>
  <c r="E142" i="17"/>
  <c r="E567" i="17"/>
  <c r="E569" i="17"/>
  <c r="E917" i="17"/>
  <c r="D1232" i="17"/>
  <c r="D982" i="17"/>
  <c r="K723" i="17"/>
  <c r="E267" i="17"/>
  <c r="D1266" i="17"/>
  <c r="F1264" i="17"/>
  <c r="D1270" i="17"/>
  <c r="C1218" i="17"/>
  <c r="E1202" i="17"/>
  <c r="D628" i="17"/>
  <c r="K901" i="17"/>
  <c r="E794" i="17"/>
  <c r="E792" i="17"/>
  <c r="L455" i="15"/>
  <c r="K128" i="17"/>
  <c r="BE139" i="15"/>
  <c r="BE49" i="15"/>
  <c r="BE144" i="15"/>
  <c r="E127" i="17"/>
  <c r="K126" i="17"/>
  <c r="E141" i="17"/>
  <c r="BE44" i="15"/>
  <c r="BE265" i="15"/>
  <c r="BE266" i="15"/>
  <c r="D166" i="17"/>
  <c r="E130" i="17"/>
  <c r="E144" i="17"/>
  <c r="E150" i="17"/>
  <c r="D171" i="17"/>
  <c r="D172" i="17"/>
  <c r="E131" i="17"/>
  <c r="D162" i="17"/>
  <c r="BE127" i="15"/>
  <c r="E152" i="17"/>
  <c r="E128" i="17"/>
  <c r="E139" i="17"/>
  <c r="C170" i="17"/>
  <c r="E133" i="17"/>
  <c r="D163" i="17"/>
  <c r="BE56" i="15"/>
  <c r="BE199" i="15"/>
  <c r="D165" i="17"/>
  <c r="E129" i="17"/>
  <c r="E134" i="17"/>
  <c r="D164" i="17"/>
  <c r="BE105" i="15"/>
  <c r="E145" i="17"/>
  <c r="D177" i="17"/>
  <c r="E138" i="17"/>
  <c r="D167" i="17"/>
  <c r="BE15" i="15"/>
  <c r="BE200" i="15"/>
  <c r="BE42" i="15"/>
  <c r="BE59" i="15"/>
  <c r="E146" i="17"/>
  <c r="E135" i="17"/>
  <c r="E147" i="17"/>
  <c r="E136" i="17"/>
  <c r="E140" i="17"/>
  <c r="BE43" i="15"/>
  <c r="C171" i="17"/>
  <c r="L137" i="15"/>
  <c r="L144" i="15" s="1"/>
  <c r="L139" i="15"/>
  <c r="L331" i="15"/>
  <c r="L371" i="15"/>
  <c r="D111" i="17"/>
  <c r="D112" i="17"/>
  <c r="BF42" i="15"/>
  <c r="BF105" i="15"/>
  <c r="BF332" i="15"/>
  <c r="BF351" i="15"/>
  <c r="BF265" i="15"/>
  <c r="BF266" i="15"/>
  <c r="BF44" i="15"/>
  <c r="BF146" i="15"/>
  <c r="BF15" i="15"/>
  <c r="BF200" i="15"/>
  <c r="BF45" i="15"/>
  <c r="L62" i="15"/>
  <c r="BF46" i="15"/>
  <c r="BF127" i="15"/>
  <c r="BF199" i="15"/>
  <c r="L171" i="15"/>
  <c r="BF55" i="15"/>
  <c r="BF139" i="15"/>
  <c r="L399" i="15"/>
  <c r="BF18" i="15"/>
  <c r="L68" i="15"/>
  <c r="BG48" i="15"/>
  <c r="BG60" i="15"/>
  <c r="BG144" i="15"/>
  <c r="BG146" i="15"/>
  <c r="BG139" i="15"/>
  <c r="BG49" i="15"/>
  <c r="BG15" i="15"/>
  <c r="BG200" i="15"/>
  <c r="BG42" i="15"/>
  <c r="BG265" i="15"/>
  <c r="BG266" i="15"/>
  <c r="BG18" i="15"/>
  <c r="BG43" i="15"/>
  <c r="BG51" i="15"/>
  <c r="BG44" i="15"/>
  <c r="BG45" i="15"/>
  <c r="BG199" i="15"/>
  <c r="BG46" i="15"/>
  <c r="BG127" i="15"/>
  <c r="BG55" i="15"/>
  <c r="BG105" i="15"/>
  <c r="E447" i="17"/>
  <c r="E684" i="17"/>
  <c r="D716" i="17"/>
  <c r="E626" i="17"/>
  <c r="D949" i="17"/>
  <c r="E611" i="17"/>
  <c r="D467" i="17"/>
  <c r="L548" i="17"/>
  <c r="E844" i="17"/>
  <c r="E847" i="17"/>
  <c r="D120" i="17"/>
  <c r="E432" i="17"/>
  <c r="D703" i="17"/>
  <c r="D60" i="17"/>
  <c r="D819" i="17"/>
  <c r="D820" i="17"/>
  <c r="F978" i="17"/>
  <c r="E1264" i="17"/>
  <c r="E1266" i="17"/>
  <c r="J246" i="17"/>
  <c r="J250" i="17"/>
  <c r="D658" i="17"/>
  <c r="E673" i="17"/>
  <c r="E686" i="17" s="1"/>
  <c r="K663" i="17" s="1"/>
  <c r="D1081" i="17"/>
  <c r="D1082" i="17"/>
  <c r="C1082" i="17"/>
  <c r="E1206" i="17"/>
  <c r="G1199" i="17"/>
  <c r="E1201" i="17"/>
  <c r="E1060" i="17"/>
  <c r="E1064" i="17"/>
  <c r="L1184" i="17"/>
  <c r="L1186" i="17"/>
  <c r="E919" i="17"/>
  <c r="E923" i="17"/>
  <c r="D1359" i="17"/>
  <c r="D480" i="17"/>
  <c r="D1407" i="17"/>
  <c r="D862" i="17"/>
  <c r="C52" i="17"/>
  <c r="D453" i="17"/>
  <c r="D864" i="17"/>
  <c r="E858" i="17"/>
  <c r="E860" i="17"/>
  <c r="E1270" i="17"/>
  <c r="G1264" i="17"/>
  <c r="K306" i="17"/>
  <c r="M306" i="17"/>
  <c r="E333" i="17"/>
  <c r="G329" i="17"/>
  <c r="J308" i="17"/>
  <c r="L308" i="17"/>
  <c r="C877" i="17"/>
  <c r="D876" i="17"/>
  <c r="D877" i="17"/>
  <c r="C352" i="17"/>
  <c r="D1008" i="17"/>
  <c r="F860" i="17"/>
  <c r="E1203" i="17"/>
  <c r="G1203" i="17"/>
  <c r="D451" i="17"/>
  <c r="D458" i="17"/>
  <c r="D459" i="17"/>
  <c r="D1283" i="17"/>
  <c r="E962" i="17"/>
  <c r="E965" i="17"/>
  <c r="E628" i="17"/>
  <c r="G628" i="17"/>
  <c r="D273" i="17"/>
  <c r="F449" i="17"/>
  <c r="AQ295" i="15"/>
  <c r="AQ228" i="15"/>
  <c r="AP102" i="15"/>
  <c r="AP294" i="15"/>
  <c r="AP227" i="15"/>
  <c r="AR286" i="15"/>
  <c r="AR219" i="15"/>
  <c r="AU114" i="15"/>
  <c r="AU339" i="15"/>
  <c r="AU358" i="15"/>
  <c r="AR96" i="15"/>
  <c r="AS114" i="15"/>
  <c r="AS339" i="15"/>
  <c r="AS358" i="15"/>
  <c r="AP99" i="15"/>
  <c r="C227" i="15"/>
  <c r="C228" i="15"/>
  <c r="C99" i="15"/>
  <c r="C295" i="15"/>
  <c r="C102" i="15"/>
  <c r="C294" i="15"/>
  <c r="AT237" i="15"/>
  <c r="AT304" i="15"/>
  <c r="AT319" i="15"/>
  <c r="AT179" i="15"/>
  <c r="AT252" i="15"/>
  <c r="AT361" i="15"/>
  <c r="AT366" i="15"/>
  <c r="AT344" i="15"/>
  <c r="AT347" i="15"/>
  <c r="AQ294" i="15"/>
  <c r="AR98" i="15"/>
  <c r="AQ227" i="15"/>
  <c r="AQ102" i="15"/>
  <c r="AL363" i="15"/>
  <c r="AL367" i="15"/>
  <c r="AL348" i="15"/>
  <c r="AL346" i="15"/>
  <c r="AL362" i="15"/>
  <c r="AL365" i="15"/>
  <c r="M1254" i="17"/>
  <c r="M1256" i="17"/>
  <c r="D93" i="17"/>
  <c r="J65" i="17"/>
  <c r="D91" i="17"/>
  <c r="D98" i="17"/>
  <c r="E89" i="17"/>
  <c r="K65" i="17"/>
  <c r="K67" i="17"/>
  <c r="J127" i="17"/>
  <c r="J955" i="17"/>
  <c r="L955" i="17"/>
  <c r="D1135" i="17"/>
  <c r="F1135" i="17"/>
  <c r="D1142" i="17"/>
  <c r="D1143" i="17"/>
  <c r="F1132" i="17"/>
  <c r="J428" i="17"/>
  <c r="L428" i="17"/>
  <c r="L426" i="17"/>
  <c r="J430" i="17"/>
  <c r="E149" i="17"/>
  <c r="K125" i="17"/>
  <c r="K127" i="17"/>
  <c r="E269" i="17"/>
  <c r="E271" i="17"/>
  <c r="G271" i="17"/>
  <c r="E1132" i="17"/>
  <c r="G1130" i="17"/>
  <c r="E1134" i="17"/>
  <c r="G1134" i="17"/>
  <c r="E1137" i="17"/>
  <c r="J896" i="17"/>
  <c r="D923" i="17"/>
  <c r="E743" i="17"/>
  <c r="L1117" i="17"/>
  <c r="G509" i="17"/>
  <c r="E513" i="17"/>
  <c r="K486" i="17"/>
  <c r="E511" i="17"/>
  <c r="G511" i="17"/>
  <c r="K896" i="17"/>
  <c r="G569" i="17"/>
  <c r="E573" i="17"/>
  <c r="K546" i="17"/>
  <c r="E571" i="17"/>
  <c r="G571" i="17"/>
  <c r="G209" i="17"/>
  <c r="E211" i="17"/>
  <c r="G211" i="17"/>
  <c r="E213" i="17"/>
  <c r="K186" i="17"/>
  <c r="D413" i="17"/>
  <c r="C411" i="17"/>
  <c r="C413" i="17"/>
  <c r="K1188" i="17"/>
  <c r="M1184" i="17"/>
  <c r="D762" i="17"/>
  <c r="J839" i="17"/>
  <c r="L839" i="17"/>
  <c r="J841" i="17"/>
  <c r="L837" i="17"/>
  <c r="E394" i="17"/>
  <c r="G390" i="17"/>
  <c r="K367" i="17"/>
  <c r="E392" i="17"/>
  <c r="G392" i="17"/>
  <c r="D180" i="17"/>
  <c r="F331" i="17"/>
  <c r="D338" i="17"/>
  <c r="D339" i="17"/>
  <c r="J667" i="17"/>
  <c r="L663" i="17"/>
  <c r="J665" i="17"/>
  <c r="L665" i="17"/>
  <c r="D812" i="17"/>
  <c r="D813" i="17"/>
  <c r="F805" i="17"/>
  <c r="C1219" i="17"/>
  <c r="D1218" i="17"/>
  <c r="D1219" i="17"/>
  <c r="D300" i="17"/>
  <c r="D775" i="17"/>
  <c r="J781" i="17"/>
  <c r="L781" i="17"/>
  <c r="J783" i="17"/>
  <c r="L779" i="17"/>
  <c r="F1201" i="17"/>
  <c r="D1211" i="17"/>
  <c r="D1212" i="17"/>
  <c r="D1204" i="17"/>
  <c r="F1204" i="17"/>
  <c r="F271" i="17"/>
  <c r="D278" i="17"/>
  <c r="D279" i="17"/>
  <c r="D928" i="17"/>
  <c r="D929" i="17"/>
  <c r="F921" i="17"/>
  <c r="F511" i="17"/>
  <c r="D518" i="17"/>
  <c r="D519" i="17"/>
  <c r="D987" i="17"/>
  <c r="D988" i="17"/>
  <c r="F980" i="17"/>
  <c r="D351" i="17"/>
  <c r="D352" i="17"/>
  <c r="E331" i="17"/>
  <c r="G331" i="17"/>
  <c r="J248" i="17"/>
  <c r="L248" i="17"/>
  <c r="L246" i="17"/>
  <c r="E801" i="17"/>
  <c r="E803" i="17"/>
  <c r="E976" i="17"/>
  <c r="D695" i="17"/>
  <c r="D696" i="17"/>
  <c r="F688" i="17"/>
  <c r="D995" i="17"/>
  <c r="F747" i="17"/>
  <c r="D754" i="17"/>
  <c r="D755" i="17"/>
  <c r="F862" i="17"/>
  <c r="D869" i="17"/>
  <c r="D870" i="17"/>
  <c r="G1201" i="17"/>
  <c r="E1204" i="17"/>
  <c r="G1204" i="17"/>
  <c r="D1275" i="17"/>
  <c r="D1276" i="17"/>
  <c r="F1266" i="17"/>
  <c r="D1268" i="17"/>
  <c r="F1268" i="17"/>
  <c r="D1332" i="17"/>
  <c r="D1334" i="17"/>
  <c r="E1330" i="17"/>
  <c r="D1064" i="17"/>
  <c r="J1036" i="17"/>
  <c r="D1062" i="17"/>
  <c r="F1060" i="17"/>
  <c r="J488" i="17"/>
  <c r="L488" i="17"/>
  <c r="J490" i="17"/>
  <c r="L486" i="17"/>
  <c r="E727" i="17"/>
  <c r="E730" i="17"/>
  <c r="F628" i="17"/>
  <c r="D630" i="17"/>
  <c r="J605" i="17"/>
  <c r="D632" i="17"/>
  <c r="C1077" i="17"/>
  <c r="D1076" i="17"/>
  <c r="D1077" i="17"/>
  <c r="K308" i="17"/>
  <c r="M308" i="17"/>
  <c r="F209" i="17"/>
  <c r="D213" i="17"/>
  <c r="D211" i="17"/>
  <c r="J186" i="17"/>
  <c r="F390" i="17"/>
  <c r="D394" i="17"/>
  <c r="D392" i="17"/>
  <c r="J367" i="17"/>
  <c r="BF124" i="15"/>
  <c r="E153" i="17"/>
  <c r="BE146" i="15"/>
  <c r="BE147" i="15"/>
  <c r="C172" i="17"/>
  <c r="BE124" i="15"/>
  <c r="BE332" i="15"/>
  <c r="BE351" i="15"/>
  <c r="BE155" i="15"/>
  <c r="BE154" i="15"/>
  <c r="K129" i="17"/>
  <c r="BF19" i="15"/>
  <c r="BF24" i="15"/>
  <c r="BF154" i="15"/>
  <c r="BF155" i="15"/>
  <c r="L146" i="15"/>
  <c r="L147" i="15"/>
  <c r="BF188" i="15"/>
  <c r="BF151" i="15"/>
  <c r="L155" i="15"/>
  <c r="L154" i="15"/>
  <c r="L237" i="15"/>
  <c r="L304" i="15"/>
  <c r="K69" i="17"/>
  <c r="BG332" i="15"/>
  <c r="BG155" i="15"/>
  <c r="BG154" i="15"/>
  <c r="BG24" i="15"/>
  <c r="BG19" i="15"/>
  <c r="BG151" i="15"/>
  <c r="BG188" i="15"/>
  <c r="BG147" i="15"/>
  <c r="BG124" i="15"/>
  <c r="G269" i="17"/>
  <c r="E449" i="17"/>
  <c r="K246" i="17"/>
  <c r="M246" i="17"/>
  <c r="K605" i="17"/>
  <c r="K607" i="17"/>
  <c r="M607" i="17"/>
  <c r="E630" i="17"/>
  <c r="G630" i="17"/>
  <c r="J959" i="17"/>
  <c r="E690" i="17"/>
  <c r="E632" i="17"/>
  <c r="E688" i="17"/>
  <c r="G688" i="17"/>
  <c r="G686" i="17"/>
  <c r="E273" i="17"/>
  <c r="E745" i="17"/>
  <c r="E749" i="17"/>
  <c r="G1060" i="17"/>
  <c r="G919" i="17"/>
  <c r="E1062" i="17"/>
  <c r="G1062" i="17"/>
  <c r="E93" i="17"/>
  <c r="E921" i="17"/>
  <c r="G921" i="17"/>
  <c r="K1036" i="17"/>
  <c r="M1036" i="17"/>
  <c r="F451" i="17"/>
  <c r="K310" i="17"/>
  <c r="E1268" i="17"/>
  <c r="G1268" i="17"/>
  <c r="G1266" i="17"/>
  <c r="E978" i="17"/>
  <c r="K955" i="17"/>
  <c r="AR99" i="15"/>
  <c r="AR225" i="15"/>
  <c r="AR292" i="15"/>
  <c r="E91" i="17"/>
  <c r="AT363" i="15"/>
  <c r="AT367" i="15"/>
  <c r="AT348" i="15"/>
  <c r="AR294" i="15"/>
  <c r="AR102" i="15"/>
  <c r="AR227" i="15"/>
  <c r="AP100" i="15"/>
  <c r="AP295" i="15"/>
  <c r="AP228" i="15"/>
  <c r="L896" i="17"/>
  <c r="J898" i="17"/>
  <c r="L898" i="17"/>
  <c r="J900" i="17"/>
  <c r="E151" i="17"/>
  <c r="K1038" i="17"/>
  <c r="M1038" i="17"/>
  <c r="J69" i="17"/>
  <c r="J67" i="17"/>
  <c r="J957" i="17"/>
  <c r="L957" i="17"/>
  <c r="G1132" i="17"/>
  <c r="E1135" i="17"/>
  <c r="G1135" i="17"/>
  <c r="E862" i="17"/>
  <c r="G862" i="17"/>
  <c r="E864" i="17"/>
  <c r="G860" i="17"/>
  <c r="K837" i="17"/>
  <c r="K779" i="17"/>
  <c r="G803" i="17"/>
  <c r="E805" i="17"/>
  <c r="G805" i="17"/>
  <c r="E807" i="17"/>
  <c r="K369" i="17"/>
  <c r="M369" i="17"/>
  <c r="M367" i="17"/>
  <c r="K371" i="17"/>
  <c r="K548" i="17"/>
  <c r="M548" i="17"/>
  <c r="K550" i="17"/>
  <c r="M546" i="17"/>
  <c r="J609" i="17"/>
  <c r="L605" i="17"/>
  <c r="J607" i="17"/>
  <c r="L607" i="17"/>
  <c r="D1069" i="17"/>
  <c r="D1070" i="17"/>
  <c r="F1062" i="17"/>
  <c r="K609" i="17"/>
  <c r="M605" i="17"/>
  <c r="K900" i="17"/>
  <c r="K898" i="17"/>
  <c r="M898" i="17"/>
  <c r="M896" i="17"/>
  <c r="F211" i="17"/>
  <c r="D218" i="17"/>
  <c r="D219" i="17"/>
  <c r="F630" i="17"/>
  <c r="D637" i="17"/>
  <c r="D638" i="17"/>
  <c r="J1038" i="17"/>
  <c r="L1038" i="17"/>
  <c r="J1040" i="17"/>
  <c r="L1036" i="17"/>
  <c r="K667" i="17"/>
  <c r="K665" i="17"/>
  <c r="M665" i="17"/>
  <c r="M663" i="17"/>
  <c r="K188" i="17"/>
  <c r="M188" i="17"/>
  <c r="M186" i="17"/>
  <c r="K190" i="17"/>
  <c r="D399" i="17"/>
  <c r="D400" i="17"/>
  <c r="F392" i="17"/>
  <c r="J188" i="17"/>
  <c r="L188" i="17"/>
  <c r="L186" i="17"/>
  <c r="J190" i="17"/>
  <c r="M486" i="17"/>
  <c r="K490" i="17"/>
  <c r="K488" i="17"/>
  <c r="M488" i="17"/>
  <c r="J369" i="17"/>
  <c r="L369" i="17"/>
  <c r="J371" i="17"/>
  <c r="L367" i="17"/>
  <c r="D1338" i="17"/>
  <c r="D1339" i="17"/>
  <c r="E1332" i="17"/>
  <c r="K250" i="17"/>
  <c r="K720" i="17"/>
  <c r="E747" i="17"/>
  <c r="G747" i="17"/>
  <c r="BE237" i="15"/>
  <c r="BE304" i="15"/>
  <c r="BE238" i="15"/>
  <c r="BE305" i="15"/>
  <c r="BE342" i="15"/>
  <c r="BE152" i="15"/>
  <c r="BE232" i="15"/>
  <c r="BE299" i="15"/>
  <c r="BE151" i="15"/>
  <c r="BE188" i="15"/>
  <c r="L232" i="15"/>
  <c r="L299" i="15"/>
  <c r="L152" i="15"/>
  <c r="L151" i="15"/>
  <c r="L188" i="15"/>
  <c r="L238" i="15"/>
  <c r="L305" i="15"/>
  <c r="L342" i="15"/>
  <c r="BF238" i="15"/>
  <c r="BF305" i="15"/>
  <c r="BF342" i="15"/>
  <c r="BF237" i="15"/>
  <c r="BF304" i="15"/>
  <c r="BF234" i="15"/>
  <c r="BF301" i="15"/>
  <c r="BF168" i="15"/>
  <c r="BF159" i="15"/>
  <c r="BF47" i="15"/>
  <c r="BF63" i="15"/>
  <c r="BF65" i="15"/>
  <c r="BF30" i="15"/>
  <c r="BG351" i="15"/>
  <c r="BG152" i="15"/>
  <c r="BG232" i="15"/>
  <c r="BG299" i="15"/>
  <c r="BG159" i="15"/>
  <c r="BG168" i="15"/>
  <c r="BG234" i="15"/>
  <c r="BG301" i="15"/>
  <c r="BG47" i="15"/>
  <c r="BG30" i="15"/>
  <c r="BG63" i="15"/>
  <c r="BG65" i="15"/>
  <c r="BG237" i="15"/>
  <c r="BG304" i="15"/>
  <c r="BG238" i="15"/>
  <c r="BG305" i="15"/>
  <c r="BG342" i="15"/>
  <c r="G745" i="17"/>
  <c r="E453" i="17"/>
  <c r="G449" i="17"/>
  <c r="K426" i="17"/>
  <c r="E451" i="17"/>
  <c r="G451" i="17"/>
  <c r="K1040" i="17"/>
  <c r="K248" i="17"/>
  <c r="M248" i="17"/>
  <c r="E980" i="17"/>
  <c r="G980" i="17"/>
  <c r="G978" i="17"/>
  <c r="E982" i="17"/>
  <c r="AR228" i="15"/>
  <c r="AR295" i="15"/>
  <c r="AQ100" i="15"/>
  <c r="AP101" i="15"/>
  <c r="K839" i="17"/>
  <c r="M839" i="17"/>
  <c r="M837" i="17"/>
  <c r="K841" i="17"/>
  <c r="M720" i="17"/>
  <c r="K722" i="17"/>
  <c r="M722" i="17"/>
  <c r="K724" i="17"/>
  <c r="M955" i="17"/>
  <c r="K959" i="17"/>
  <c r="K957" i="17"/>
  <c r="M957" i="17"/>
  <c r="K783" i="17"/>
  <c r="M779" i="17"/>
  <c r="K781" i="17"/>
  <c r="M781" i="17"/>
  <c r="BE168" i="15"/>
  <c r="BE234" i="15"/>
  <c r="BE301" i="15"/>
  <c r="BE159" i="15"/>
  <c r="BE235" i="15"/>
  <c r="BE302" i="15"/>
  <c r="BE160" i="15"/>
  <c r="BE341" i="15"/>
  <c r="BE167" i="15"/>
  <c r="BE162" i="15"/>
  <c r="BE361" i="15"/>
  <c r="BE344" i="15"/>
  <c r="L168" i="15"/>
  <c r="L234" i="15"/>
  <c r="L301" i="15"/>
  <c r="L159" i="15"/>
  <c r="L235" i="15"/>
  <c r="L302" i="15"/>
  <c r="L162" i="15"/>
  <c r="L341" i="15"/>
  <c r="L160" i="15"/>
  <c r="L241" i="15"/>
  <c r="L308" i="15"/>
  <c r="L167" i="15"/>
  <c r="L361" i="15"/>
  <c r="L344" i="15"/>
  <c r="L363" i="15"/>
  <c r="BF67" i="15"/>
  <c r="BF201" i="15"/>
  <c r="BF203" i="15"/>
  <c r="BF66" i="15"/>
  <c r="BF202" i="15"/>
  <c r="BF69" i="15"/>
  <c r="BF268" i="15"/>
  <c r="BF32" i="15"/>
  <c r="BF53" i="15"/>
  <c r="BF52" i="15"/>
  <c r="BF361" i="15"/>
  <c r="BF344" i="15"/>
  <c r="BF240" i="15"/>
  <c r="BF307" i="15"/>
  <c r="BF231" i="15"/>
  <c r="BF298" i="15"/>
  <c r="BG361" i="15"/>
  <c r="BG344" i="15"/>
  <c r="BG240" i="15"/>
  <c r="BG307" i="15"/>
  <c r="BG231" i="15"/>
  <c r="BG298" i="15"/>
  <c r="BG235" i="15"/>
  <c r="BG302" i="15"/>
  <c r="BG160" i="15"/>
  <c r="BG341" i="15"/>
  <c r="BG167" i="15"/>
  <c r="BG162" i="15"/>
  <c r="BG66" i="15"/>
  <c r="BG202" i="15"/>
  <c r="BG201" i="15"/>
  <c r="BG203" i="15"/>
  <c r="BG67" i="15"/>
  <c r="BG268" i="15"/>
  <c r="BG69" i="15"/>
  <c r="BG32" i="15"/>
  <c r="BG53" i="15"/>
  <c r="BG52" i="15"/>
  <c r="M426" i="17"/>
  <c r="K428" i="17"/>
  <c r="M428" i="17"/>
  <c r="K430" i="17"/>
  <c r="AQ101" i="15"/>
  <c r="AR100" i="15"/>
  <c r="BE240" i="15"/>
  <c r="BE307" i="15"/>
  <c r="BE231" i="15"/>
  <c r="BE298" i="15"/>
  <c r="BE363" i="15"/>
  <c r="BE360" i="15"/>
  <c r="BE343" i="15"/>
  <c r="BE241" i="15"/>
  <c r="BE308" i="15"/>
  <c r="BF35" i="15"/>
  <c r="BF54" i="15"/>
  <c r="L231" i="15"/>
  <c r="L298" i="15"/>
  <c r="L240" i="15"/>
  <c r="L307" i="15"/>
  <c r="BF270" i="15"/>
  <c r="BF269" i="15"/>
  <c r="BF80" i="15"/>
  <c r="BF205" i="15"/>
  <c r="BF207" i="15"/>
  <c r="BF272" i="15"/>
  <c r="BF76" i="15"/>
  <c r="BF71" i="15"/>
  <c r="BF70" i="15"/>
  <c r="BF206" i="15"/>
  <c r="BF363" i="15"/>
  <c r="L343" i="15"/>
  <c r="L362" i="15"/>
  <c r="L360" i="15"/>
  <c r="BG270" i="15"/>
  <c r="BG269" i="15"/>
  <c r="BG360" i="15"/>
  <c r="BG343" i="15"/>
  <c r="BG80" i="15"/>
  <c r="BG272" i="15"/>
  <c r="BG76" i="15"/>
  <c r="BG71" i="15"/>
  <c r="BG70" i="15"/>
  <c r="BG206" i="15"/>
  <c r="BG205" i="15"/>
  <c r="BG207" i="15"/>
  <c r="BG241" i="15"/>
  <c r="BG308" i="15"/>
  <c r="BG363" i="15"/>
  <c r="BG54" i="15"/>
  <c r="BG35" i="15"/>
  <c r="AS100" i="15"/>
  <c r="AR101" i="15"/>
  <c r="BE362" i="15"/>
  <c r="BF274" i="15"/>
  <c r="BF273" i="15"/>
  <c r="BF209" i="15"/>
  <c r="BF276" i="15"/>
  <c r="BF57" i="15"/>
  <c r="BG57" i="15"/>
  <c r="BG274" i="15"/>
  <c r="BG273" i="15"/>
  <c r="BG209" i="15"/>
  <c r="BG276" i="15"/>
  <c r="BG362" i="15"/>
  <c r="AS101" i="15"/>
  <c r="AT100" i="15"/>
  <c r="K9" i="17"/>
  <c r="F149" i="17"/>
  <c r="J130" i="17"/>
  <c r="F151" i="17"/>
  <c r="D159" i="17"/>
  <c r="E1383" i="17"/>
  <c r="E1391" i="17"/>
  <c r="E1393" i="17"/>
  <c r="D1400" i="17"/>
  <c r="D99" i="17"/>
  <c r="J70" i="17"/>
  <c r="F91" i="17"/>
  <c r="F89" i="17"/>
  <c r="AT101" i="15"/>
  <c r="AU100" i="15"/>
  <c r="K130" i="17"/>
  <c r="G149" i="17"/>
  <c r="G151" i="17"/>
  <c r="L125" i="17"/>
  <c r="L127" i="17"/>
  <c r="G89" i="17"/>
  <c r="K70" i="17"/>
  <c r="G91" i="17"/>
  <c r="L65" i="17"/>
  <c r="L67" i="17"/>
  <c r="AU101" i="15"/>
  <c r="AV100" i="15"/>
  <c r="M125" i="17"/>
  <c r="M127" i="17"/>
  <c r="M65" i="17"/>
  <c r="M67" i="17"/>
  <c r="L91" i="15"/>
  <c r="L220" i="15"/>
  <c r="L86" i="15"/>
  <c r="L215" i="15"/>
  <c r="L87" i="15"/>
  <c r="L216" i="15"/>
  <c r="L83" i="15"/>
  <c r="L111" i="15"/>
  <c r="L212" i="15"/>
  <c r="L92" i="15"/>
  <c r="L221" i="15"/>
  <c r="L85" i="15"/>
  <c r="L113" i="15"/>
  <c r="L214" i="15"/>
  <c r="L97" i="15"/>
  <c r="L226" i="15" s="1"/>
  <c r="L88" i="15"/>
  <c r="L217" i="15"/>
  <c r="L82" i="15"/>
  <c r="L211" i="15" s="1"/>
  <c r="L93" i="15"/>
  <c r="L222" i="15"/>
  <c r="BF113" i="15"/>
  <c r="BF338" i="15"/>
  <c r="BF357" i="15"/>
  <c r="BG113" i="15"/>
  <c r="BG338" i="15"/>
  <c r="BG357" i="15"/>
  <c r="BG279" i="15"/>
  <c r="BG212" i="15"/>
  <c r="BF217" i="15"/>
  <c r="BF284" i="15"/>
  <c r="BG283" i="15"/>
  <c r="BG216" i="15"/>
  <c r="BG211" i="15"/>
  <c r="BG278" i="15"/>
  <c r="BF288" i="15"/>
  <c r="BF221" i="15"/>
  <c r="BG282" i="15"/>
  <c r="BG215" i="15"/>
  <c r="BG284" i="15"/>
  <c r="BG217" i="15"/>
  <c r="BG111" i="15"/>
  <c r="BG221" i="15"/>
  <c r="BG288" i="15"/>
  <c r="BF289" i="15"/>
  <c r="BF222" i="15"/>
  <c r="BF220" i="15"/>
  <c r="BF287" i="15"/>
  <c r="BF216" i="15"/>
  <c r="BF283" i="15"/>
  <c r="BF226" i="15"/>
  <c r="BF293" i="15"/>
  <c r="BF215" i="15"/>
  <c r="BF282" i="15"/>
  <c r="BG220" i="15"/>
  <c r="BG287" i="15"/>
  <c r="BF59" i="15"/>
  <c r="BF214" i="15"/>
  <c r="BF281" i="15"/>
  <c r="BG226" i="15"/>
  <c r="BG293" i="15"/>
  <c r="BG214" i="15"/>
  <c r="BG59" i="15"/>
  <c r="BG281" i="15"/>
  <c r="BG222" i="15"/>
  <c r="BG289" i="15"/>
  <c r="AW100" i="15"/>
  <c r="AV101" i="15"/>
  <c r="L337" i="15"/>
  <c r="L338" i="15"/>
  <c r="BG337" i="15"/>
  <c r="BG356" i="15"/>
  <c r="AW101" i="15"/>
  <c r="AX100" i="15"/>
  <c r="AX101" i="15"/>
  <c r="AY100" i="15"/>
  <c r="AZ100" i="15"/>
  <c r="AY101" i="15"/>
  <c r="BA100" i="15"/>
  <c r="AZ101" i="15"/>
  <c r="BA101" i="15"/>
  <c r="D488" i="19"/>
  <c r="E488" i="19"/>
  <c r="R67" i="18"/>
  <c r="N67" i="18"/>
  <c r="S67" i="18"/>
  <c r="O67" i="18"/>
  <c r="O63" i="18"/>
  <c r="F282" i="18"/>
  <c r="F286" i="18"/>
  <c r="F292" i="18"/>
  <c r="J134" i="19"/>
  <c r="L131" i="19"/>
  <c r="C174" i="19"/>
  <c r="D146" i="19"/>
  <c r="D149" i="19"/>
  <c r="D157" i="19"/>
  <c r="D132" i="19"/>
  <c r="D131" i="19"/>
  <c r="D150" i="19"/>
  <c r="J132" i="19"/>
  <c r="K132" i="19"/>
  <c r="D155" i="19"/>
  <c r="D168" i="19"/>
  <c r="D169" i="19"/>
  <c r="C176" i="19"/>
  <c r="D138" i="19"/>
  <c r="D140" i="19"/>
  <c r="D148" i="19"/>
  <c r="C175" i="19"/>
  <c r="C168" i="19"/>
  <c r="C169" i="19"/>
  <c r="C177" i="19"/>
  <c r="D143" i="19"/>
  <c r="D151" i="19"/>
  <c r="C178" i="19"/>
  <c r="D144" i="19"/>
  <c r="C179" i="19"/>
  <c r="D133" i="19"/>
  <c r="D137" i="19"/>
  <c r="D145" i="19"/>
  <c r="C180" i="19"/>
  <c r="C181" i="19"/>
  <c r="D139" i="19"/>
  <c r="D147" i="19"/>
  <c r="W16" i="20"/>
  <c r="W18" i="20"/>
  <c r="C238" i="19"/>
  <c r="E192" i="19"/>
  <c r="C289" i="19"/>
  <c r="C242" i="19"/>
  <c r="E191" i="19"/>
  <c r="E204" i="19"/>
  <c r="E498" i="19"/>
  <c r="E484" i="19"/>
  <c r="C407" i="19"/>
  <c r="C298" i="19"/>
  <c r="E266" i="19"/>
  <c r="C296" i="19"/>
  <c r="E265" i="19"/>
  <c r="E255" i="19"/>
  <c r="C530" i="19"/>
  <c r="E486" i="19"/>
  <c r="E499" i="19"/>
  <c r="E491" i="19"/>
  <c r="E487" i="19"/>
  <c r="E485" i="19"/>
  <c r="E503" i="19"/>
  <c r="E497" i="19"/>
  <c r="C529" i="19"/>
  <c r="E490" i="19"/>
  <c r="C237" i="19"/>
  <c r="E494" i="19"/>
  <c r="E500" i="19"/>
  <c r="E495" i="19"/>
  <c r="C531" i="19"/>
  <c r="E509" i="19"/>
  <c r="E501" i="19"/>
  <c r="E502" i="19"/>
  <c r="C528" i="19"/>
  <c r="E496" i="19"/>
  <c r="C527" i="19"/>
  <c r="C533" i="19" s="1"/>
  <c r="E258" i="19"/>
  <c r="E208" i="19"/>
  <c r="E275" i="19"/>
  <c r="D289" i="19"/>
  <c r="D290" i="19"/>
  <c r="E251" i="19"/>
  <c r="E193" i="19"/>
  <c r="E199" i="19"/>
  <c r="E270" i="19"/>
  <c r="E268" i="19"/>
  <c r="E209" i="19"/>
  <c r="E205" i="19"/>
  <c r="C300" i="19"/>
  <c r="E261" i="19"/>
  <c r="E259" i="19"/>
  <c r="E212" i="19"/>
  <c r="E200" i="19"/>
  <c r="E277" i="19"/>
  <c r="J253" i="19"/>
  <c r="K253" i="19"/>
  <c r="C229" i="19"/>
  <c r="C231" i="19"/>
  <c r="E264" i="19"/>
  <c r="E253" i="19"/>
  <c r="C295" i="19"/>
  <c r="E254" i="19"/>
  <c r="E267" i="19"/>
  <c r="C239" i="19"/>
  <c r="C236" i="19"/>
  <c r="C288" i="19"/>
  <c r="C290" i="19"/>
  <c r="E198" i="19"/>
  <c r="E216" i="19"/>
  <c r="D230" i="19"/>
  <c r="D231" i="19"/>
  <c r="E201" i="19"/>
  <c r="E218" i="19"/>
  <c r="J193" i="19"/>
  <c r="K193" i="19"/>
  <c r="E443" i="19"/>
  <c r="C521" i="19"/>
  <c r="C522" i="19" s="1"/>
  <c r="E507" i="19"/>
  <c r="D521" i="19"/>
  <c r="D522" i="19"/>
  <c r="O72" i="18"/>
  <c r="W72" i="18"/>
  <c r="E260" i="19"/>
  <c r="C301" i="19"/>
  <c r="E194" i="19"/>
  <c r="E206" i="19"/>
  <c r="C240" i="19"/>
  <c r="E195" i="19"/>
  <c r="E207" i="19"/>
  <c r="C241" i="19"/>
  <c r="E314" i="19"/>
  <c r="E318" i="19"/>
  <c r="E323" i="19"/>
  <c r="E338" i="19"/>
  <c r="E311" i="19"/>
  <c r="E317" i="19"/>
  <c r="C359" i="19"/>
  <c r="C349" i="19"/>
  <c r="E313" i="19"/>
  <c r="E327" i="19"/>
  <c r="E326" i="19"/>
  <c r="C357" i="19"/>
  <c r="E329" i="19"/>
  <c r="E324" i="19"/>
  <c r="E321" i="19"/>
  <c r="E325" i="19"/>
  <c r="C360" i="19"/>
  <c r="E328" i="19"/>
  <c r="E322" i="19"/>
  <c r="E336" i="19"/>
  <c r="D350" i="19"/>
  <c r="D351" i="19"/>
  <c r="E331" i="19"/>
  <c r="E312" i="19"/>
  <c r="C356" i="19"/>
  <c r="C362" i="19"/>
  <c r="E332" i="19"/>
  <c r="C358" i="19"/>
  <c r="E330" i="19"/>
  <c r="J485" i="19"/>
  <c r="K485" i="19"/>
  <c r="C472" i="19"/>
  <c r="E252" i="19"/>
  <c r="E269" i="19"/>
  <c r="E271" i="19"/>
  <c r="C297" i="19"/>
  <c r="E211" i="19"/>
  <c r="E386" i="19"/>
  <c r="C415" i="19"/>
  <c r="E382" i="19"/>
  <c r="C416" i="19"/>
  <c r="E380" i="19"/>
  <c r="E372" i="19"/>
  <c r="E389" i="19"/>
  <c r="E383" i="19"/>
  <c r="C413" i="19"/>
  <c r="E373" i="19"/>
  <c r="E377" i="19"/>
  <c r="E388" i="19"/>
  <c r="C406" i="19"/>
  <c r="C408" i="19"/>
  <c r="C417" i="19"/>
  <c r="E387" i="19"/>
  <c r="E393" i="19"/>
  <c r="D407" i="19"/>
  <c r="D408" i="19"/>
  <c r="E376" i="19"/>
  <c r="E384" i="19"/>
  <c r="E395" i="19"/>
  <c r="C414" i="19"/>
  <c r="E371" i="19"/>
  <c r="E385" i="19"/>
  <c r="E381" i="19"/>
  <c r="E370" i="19"/>
  <c r="O16" i="20"/>
  <c r="O18" i="20"/>
  <c r="G16" i="20"/>
  <c r="G18" i="20"/>
  <c r="O7" i="20"/>
  <c r="G7" i="20"/>
  <c r="AG80" i="18"/>
  <c r="AH74" i="18"/>
  <c r="AH83" i="18"/>
  <c r="AH87" i="18"/>
  <c r="AH91" i="18" s="1"/>
  <c r="AH80" i="18"/>
  <c r="AG83" i="18"/>
  <c r="AC83" i="18"/>
  <c r="AC207" i="18"/>
  <c r="AC80" i="18"/>
  <c r="W203" i="18"/>
  <c r="W80" i="18"/>
  <c r="AB16" i="20"/>
  <c r="AB18" i="20"/>
  <c r="AB7" i="20"/>
  <c r="M7" i="20"/>
  <c r="M16" i="20"/>
  <c r="M18" i="20"/>
  <c r="F7" i="20"/>
  <c r="F16" i="20"/>
  <c r="F18" i="20"/>
  <c r="E16" i="20"/>
  <c r="E18" i="20"/>
  <c r="E7" i="20"/>
  <c r="W272" i="18"/>
  <c r="W74" i="18"/>
  <c r="W83" i="18"/>
  <c r="R16" i="20"/>
  <c r="R18" i="20"/>
  <c r="R7" i="20"/>
  <c r="N16" i="20"/>
  <c r="N18" i="20"/>
  <c r="N7" i="20"/>
  <c r="V16" i="20"/>
  <c r="V18" i="20"/>
  <c r="V7" i="20"/>
  <c r="H16" i="20"/>
  <c r="H18" i="20"/>
  <c r="H7" i="20"/>
  <c r="U7" i="20"/>
  <c r="U16" i="20"/>
  <c r="U18" i="20"/>
  <c r="D16" i="20"/>
  <c r="D18" i="20"/>
  <c r="D7" i="20"/>
  <c r="AA7" i="20"/>
  <c r="AA16" i="20"/>
  <c r="AA18" i="20"/>
  <c r="C7" i="20"/>
  <c r="C16" i="20"/>
  <c r="C18" i="20"/>
  <c r="S7" i="20"/>
  <c r="S16" i="20"/>
  <c r="S18" i="20"/>
  <c r="Q7" i="20"/>
  <c r="Q16" i="20"/>
  <c r="Q18" i="20"/>
  <c r="P16" i="20"/>
  <c r="P18" i="20"/>
  <c r="P7" i="20"/>
  <c r="T7" i="20"/>
  <c r="T16" i="20"/>
  <c r="T18" i="20"/>
  <c r="J487" i="19"/>
  <c r="L484" i="19"/>
  <c r="K487" i="19"/>
  <c r="J373" i="19"/>
  <c r="L370" i="19"/>
  <c r="J430" i="19"/>
  <c r="L427" i="19"/>
  <c r="K373" i="19"/>
  <c r="J255" i="19"/>
  <c r="L252" i="19"/>
  <c r="K430" i="19"/>
  <c r="J195" i="19"/>
  <c r="L192" i="19"/>
  <c r="J314" i="19"/>
  <c r="L311" i="19"/>
  <c r="K195" i="19"/>
  <c r="K314" i="19"/>
  <c r="K255" i="19"/>
  <c r="C473" i="19"/>
  <c r="E428" i="19"/>
  <c r="E429" i="19"/>
  <c r="C471" i="19"/>
  <c r="E444" i="19"/>
  <c r="C474" i="19"/>
  <c r="E438" i="19"/>
  <c r="E445" i="19"/>
  <c r="E437" i="19"/>
  <c r="E446" i="19"/>
  <c r="E442" i="19"/>
  <c r="E434" i="19"/>
  <c r="C463" i="19"/>
  <c r="E427" i="19"/>
  <c r="C470" i="19"/>
  <c r="E440" i="19"/>
  <c r="E441" i="19"/>
  <c r="E433" i="19"/>
  <c r="E439" i="19"/>
  <c r="Q282" i="18"/>
  <c r="N15" i="18"/>
  <c r="N46" i="18"/>
  <c r="I355" i="18"/>
  <c r="J83" i="18"/>
  <c r="J276" i="18" s="1"/>
  <c r="J87" i="18"/>
  <c r="J91" i="18" s="1"/>
  <c r="J80" i="18"/>
  <c r="J111" i="18"/>
  <c r="J110" i="18"/>
  <c r="J203" i="18"/>
  <c r="I272" i="18"/>
  <c r="I80" i="18"/>
  <c r="I111" i="18"/>
  <c r="I110" i="18"/>
  <c r="I240" i="18"/>
  <c r="I309" i="18"/>
  <c r="I203" i="18"/>
  <c r="I83" i="18"/>
  <c r="H215" i="18"/>
  <c r="W53" i="18"/>
  <c r="V209" i="18"/>
  <c r="Q292" i="18"/>
  <c r="Q279" i="18"/>
  <c r="Q283" i="18"/>
  <c r="Y277" i="18"/>
  <c r="G290" i="18"/>
  <c r="J221" i="18"/>
  <c r="AE287" i="18"/>
  <c r="I281" i="18"/>
  <c r="K16" i="20"/>
  <c r="K18" i="20"/>
  <c r="Y129" i="18"/>
  <c r="Q219" i="18"/>
  <c r="F115" i="18"/>
  <c r="F336" i="18"/>
  <c r="F355" i="18"/>
  <c r="AE207" i="18"/>
  <c r="O45" i="18"/>
  <c r="F212" i="18"/>
  <c r="K29" i="18"/>
  <c r="K53" i="18"/>
  <c r="S89" i="18"/>
  <c r="AB209" i="18"/>
  <c r="Q115" i="18"/>
  <c r="Q336" i="18"/>
  <c r="Q355" i="18"/>
  <c r="G288" i="18"/>
  <c r="Q281" i="18"/>
  <c r="AB214" i="18"/>
  <c r="Y49" i="18"/>
  <c r="Y54" i="18"/>
  <c r="X67" i="18"/>
  <c r="K67" i="18"/>
  <c r="K476" i="18"/>
  <c r="U49" i="18"/>
  <c r="U45" i="18"/>
  <c r="AA46" i="18"/>
  <c r="AA54" i="18"/>
  <c r="R96" i="18"/>
  <c r="S96" i="18"/>
  <c r="S220" i="18"/>
  <c r="S90" i="18"/>
  <c r="R283" i="18"/>
  <c r="D219" i="18"/>
  <c r="AA197" i="18"/>
  <c r="W273" i="18"/>
  <c r="W204" i="18"/>
  <c r="H115" i="18"/>
  <c r="H336" i="18"/>
  <c r="H355" i="18"/>
  <c r="H212" i="18"/>
  <c r="H281" i="18"/>
  <c r="U54" i="18"/>
  <c r="J107" i="18"/>
  <c r="J330" i="18"/>
  <c r="J59" i="18"/>
  <c r="M72" i="18"/>
  <c r="AA49" i="18"/>
  <c r="J357" i="18"/>
  <c r="R92" i="18"/>
  <c r="R215" i="18"/>
  <c r="Q215" i="18"/>
  <c r="R214" i="18"/>
  <c r="AC86" i="18"/>
  <c r="M212" i="18"/>
  <c r="AB259" i="18"/>
  <c r="AB292" i="18" s="1"/>
  <c r="AB286" i="18"/>
  <c r="H129" i="18"/>
  <c r="H197" i="18"/>
  <c r="AG59" i="18"/>
  <c r="I288" i="18"/>
  <c r="I219" i="18"/>
  <c r="I212" i="18"/>
  <c r="C19" i="18"/>
  <c r="C20" i="18"/>
  <c r="C58" i="18"/>
  <c r="U288" i="18"/>
  <c r="V95" i="18"/>
  <c r="U219" i="18"/>
  <c r="AA259" i="18"/>
  <c r="Q278" i="18"/>
  <c r="Q287" i="18"/>
  <c r="Q284" i="18"/>
  <c r="Q286" i="18"/>
  <c r="Q289" i="18"/>
  <c r="Q288" i="18"/>
  <c r="AH59" i="18"/>
  <c r="V292" i="18"/>
  <c r="N286" i="18"/>
  <c r="V96" i="18"/>
  <c r="K226" i="18"/>
  <c r="U289" i="18"/>
  <c r="H48" i="18"/>
  <c r="H54" i="18"/>
  <c r="H107" i="18"/>
  <c r="H330" i="18"/>
  <c r="H349" i="18"/>
  <c r="H47" i="18"/>
  <c r="H58" i="18"/>
  <c r="H19" i="18"/>
  <c r="H20" i="18"/>
  <c r="H45" i="18"/>
  <c r="H265" i="18"/>
  <c r="H59" i="18"/>
  <c r="H62" i="18"/>
  <c r="H46" i="18"/>
  <c r="H49" i="18"/>
  <c r="Y207" i="18"/>
  <c r="Y87" i="18"/>
  <c r="Y91" i="18" s="1"/>
  <c r="Y280" i="18"/>
  <c r="Y276" i="18"/>
  <c r="T338" i="18"/>
  <c r="T357" i="18"/>
  <c r="T226" i="18"/>
  <c r="T295" i="18"/>
  <c r="U220" i="18"/>
  <c r="V286" i="18"/>
  <c r="V217" i="18"/>
  <c r="W93" i="18"/>
  <c r="AG58" i="18"/>
  <c r="U19" i="18"/>
  <c r="U20" i="18"/>
  <c r="AB217" i="18"/>
  <c r="AC217" i="18"/>
  <c r="I290" i="18"/>
  <c r="AC89" i="18"/>
  <c r="AC213" i="18"/>
  <c r="D76" i="19"/>
  <c r="Y289" i="18"/>
  <c r="R88" i="18"/>
  <c r="S88" i="18"/>
  <c r="AE208" i="18"/>
  <c r="H63" i="18"/>
  <c r="H219" i="18"/>
  <c r="H288" i="18"/>
  <c r="P125" i="18"/>
  <c r="K173" i="18"/>
  <c r="K106" i="18"/>
  <c r="K372" i="18"/>
  <c r="K400" i="18"/>
  <c r="K194" i="18"/>
  <c r="K262" i="18"/>
  <c r="K65" i="18"/>
  <c r="K118" i="18"/>
  <c r="K348" i="18"/>
  <c r="K329" i="18"/>
  <c r="K82" i="18"/>
  <c r="G115" i="18"/>
  <c r="G336" i="18"/>
  <c r="G355" i="18"/>
  <c r="G281" i="18"/>
  <c r="G212" i="18"/>
  <c r="P128" i="18"/>
  <c r="R53" i="18"/>
  <c r="Q53" i="18"/>
  <c r="S53" i="18"/>
  <c r="D208" i="18"/>
  <c r="D277" i="18"/>
  <c r="K22" i="18"/>
  <c r="K137" i="18"/>
  <c r="S213" i="18"/>
  <c r="T89" i="18"/>
  <c r="J45" i="18"/>
  <c r="J62" i="18"/>
  <c r="J54" i="18"/>
  <c r="N214" i="18"/>
  <c r="E218" i="18"/>
  <c r="E287" i="18"/>
  <c r="AD338" i="18"/>
  <c r="AD53" i="18"/>
  <c r="AD226" i="18"/>
  <c r="R279" i="18"/>
  <c r="O94" i="18"/>
  <c r="M15" i="18"/>
  <c r="M58" i="18"/>
  <c r="J212" i="18"/>
  <c r="C108" i="19"/>
  <c r="C109" i="19"/>
  <c r="AB282" i="18"/>
  <c r="Y290" i="18"/>
  <c r="N84" i="18"/>
  <c r="N208" i="18"/>
  <c r="M208" i="18"/>
  <c r="E281" i="18"/>
  <c r="E115" i="18"/>
  <c r="E62" i="18"/>
  <c r="E212" i="18"/>
  <c r="V278" i="18"/>
  <c r="W85" i="18"/>
  <c r="W209" i="18"/>
  <c r="O89" i="18"/>
  <c r="N213" i="18"/>
  <c r="P27" i="18"/>
  <c r="W86" i="18"/>
  <c r="V210" i="18"/>
  <c r="AC51" i="18"/>
  <c r="D282" i="18"/>
  <c r="D213" i="18"/>
  <c r="R97" i="18"/>
  <c r="S97" i="18"/>
  <c r="Q290" i="18"/>
  <c r="Q221" i="18"/>
  <c r="U197" i="18"/>
  <c r="U265" i="18"/>
  <c r="U16" i="18"/>
  <c r="U266" i="18"/>
  <c r="U58" i="18"/>
  <c r="U46" i="18"/>
  <c r="U59" i="18"/>
  <c r="U48" i="18"/>
  <c r="X453" i="18"/>
  <c r="K453" i="18"/>
  <c r="AA208" i="18"/>
  <c r="E59" i="18"/>
  <c r="E265" i="18"/>
  <c r="E54" i="18"/>
  <c r="E46" i="18"/>
  <c r="H287" i="18"/>
  <c r="T94" i="18"/>
  <c r="H218" i="18"/>
  <c r="P130" i="18"/>
  <c r="V48" i="18"/>
  <c r="AB63" i="18"/>
  <c r="AB283" i="18"/>
  <c r="R289" i="18"/>
  <c r="G19" i="18"/>
  <c r="G26" i="18"/>
  <c r="G66" i="18"/>
  <c r="G68" i="18"/>
  <c r="I215" i="18"/>
  <c r="I284" i="18"/>
  <c r="Q48" i="18"/>
  <c r="AG45" i="18"/>
  <c r="U215" i="18"/>
  <c r="U284" i="18"/>
  <c r="R286" i="18"/>
  <c r="AA212" i="18"/>
  <c r="AB278" i="18"/>
  <c r="S92" i="18"/>
  <c r="R284" i="18"/>
  <c r="T90" i="18"/>
  <c r="S214" i="18"/>
  <c r="R220" i="18"/>
  <c r="W286" i="18"/>
  <c r="W217" i="18"/>
  <c r="V289" i="18"/>
  <c r="V220" i="18"/>
  <c r="V288" i="18"/>
  <c r="V219" i="18"/>
  <c r="T213" i="18"/>
  <c r="P89" i="18"/>
  <c r="O282" i="18"/>
  <c r="O213" i="18"/>
  <c r="R290" i="18"/>
  <c r="O84" i="18"/>
  <c r="O208" i="18"/>
  <c r="J72" i="19"/>
  <c r="L69" i="19"/>
  <c r="Y10" i="20"/>
  <c r="Y16" i="20"/>
  <c r="Y18" i="20"/>
  <c r="AC10" i="20"/>
  <c r="AC16" i="20"/>
  <c r="AC18" i="20"/>
  <c r="D34" i="19"/>
  <c r="C476" i="19"/>
  <c r="C303" i="19"/>
  <c r="D69" i="19"/>
  <c r="D97" i="19"/>
  <c r="C33" i="19"/>
  <c r="E118" i="19"/>
  <c r="D16" i="19"/>
  <c r="D24" i="19"/>
  <c r="D17" i="19"/>
  <c r="D25" i="19"/>
  <c r="D26" i="19"/>
  <c r="D10" i="19"/>
  <c r="C351" i="19"/>
  <c r="D23" i="19"/>
  <c r="D9" i="19"/>
  <c r="D20" i="19"/>
  <c r="D36" i="19"/>
  <c r="D7" i="19"/>
  <c r="D21" i="19"/>
  <c r="D29" i="19"/>
  <c r="D15" i="19"/>
  <c r="J428" i="19"/>
  <c r="K428" i="19"/>
  <c r="E315" i="19"/>
  <c r="D14" i="19"/>
  <c r="D18" i="19" s="1"/>
  <c r="D22" i="19"/>
  <c r="D30" i="19"/>
  <c r="D31" i="19" s="1"/>
  <c r="C419" i="19"/>
  <c r="J70" i="19"/>
  <c r="K70" i="19"/>
  <c r="D99" i="19"/>
  <c r="K72" i="19"/>
  <c r="D78" i="19"/>
  <c r="D85" i="19"/>
  <c r="E435" i="19"/>
  <c r="E449" i="19"/>
  <c r="D70" i="19"/>
  <c r="D77" i="19"/>
  <c r="D68" i="19"/>
  <c r="E213" i="19"/>
  <c r="D75" i="19"/>
  <c r="D90" i="19"/>
  <c r="D108" i="19"/>
  <c r="D109" i="19"/>
  <c r="D95" i="19"/>
  <c r="D81" i="19"/>
  <c r="D91" i="19"/>
  <c r="D86" i="19"/>
  <c r="D84" i="19"/>
  <c r="D71" i="19"/>
  <c r="D87" i="19"/>
  <c r="D83" i="19"/>
  <c r="D88" i="19" s="1"/>
  <c r="AD10" i="20"/>
  <c r="X7" i="20"/>
  <c r="C37" i="19"/>
  <c r="J6" i="19"/>
  <c r="J7" i="19"/>
  <c r="K7" i="19"/>
  <c r="AD16" i="20"/>
  <c r="AD18" i="20"/>
  <c r="AD7" i="20"/>
  <c r="C96" i="19"/>
  <c r="E94" i="19"/>
  <c r="J67" i="19"/>
  <c r="J68" i="19"/>
  <c r="K68" i="19"/>
  <c r="C98" i="19"/>
  <c r="C156" i="19"/>
  <c r="C163" i="19"/>
  <c r="C164" i="19"/>
  <c r="J129" i="19"/>
  <c r="C158" i="19"/>
  <c r="E154" i="19"/>
  <c r="F335" i="19"/>
  <c r="J309" i="19"/>
  <c r="J310" i="19"/>
  <c r="K310" i="19"/>
  <c r="D92" i="19"/>
  <c r="D72" i="19"/>
  <c r="D134" i="19"/>
  <c r="E319" i="19"/>
  <c r="E335" i="19"/>
  <c r="E215" i="19"/>
  <c r="G215" i="19"/>
  <c r="E33" i="19"/>
  <c r="D215" i="19"/>
  <c r="D217" i="19"/>
  <c r="D152" i="19"/>
  <c r="D392" i="19"/>
  <c r="D79" i="19"/>
  <c r="C244" i="19"/>
  <c r="E506" i="19"/>
  <c r="G506" i="19"/>
  <c r="E272" i="19"/>
  <c r="E274" i="19"/>
  <c r="D506" i="19"/>
  <c r="D510" i="19"/>
  <c r="C465" i="19"/>
  <c r="D11" i="19"/>
  <c r="D27" i="19"/>
  <c r="C58" i="19"/>
  <c r="C59" i="19" s="1"/>
  <c r="J482" i="19"/>
  <c r="D94" i="19"/>
  <c r="K425" i="19"/>
  <c r="K429" i="19"/>
  <c r="E453" i="19"/>
  <c r="G449" i="19"/>
  <c r="E392" i="19"/>
  <c r="J190" i="19"/>
  <c r="F215" i="19"/>
  <c r="D219" i="19"/>
  <c r="F392" i="19"/>
  <c r="D396" i="19"/>
  <c r="J368" i="19"/>
  <c r="D394" i="19"/>
  <c r="D33" i="19"/>
  <c r="E156" i="19"/>
  <c r="E508" i="19"/>
  <c r="G508" i="19"/>
  <c r="E510" i="19"/>
  <c r="D278" i="19"/>
  <c r="F274" i="19"/>
  <c r="J250" i="19"/>
  <c r="D276" i="19"/>
  <c r="D339" i="19"/>
  <c r="C35" i="19"/>
  <c r="C42" i="19"/>
  <c r="C43" i="19"/>
  <c r="J71" i="19"/>
  <c r="L309" i="19"/>
  <c r="J10" i="19"/>
  <c r="L67" i="19"/>
  <c r="D337" i="19"/>
  <c r="D449" i="19"/>
  <c r="L6" i="19"/>
  <c r="C47" i="19"/>
  <c r="S212" i="18"/>
  <c r="S62" i="18"/>
  <c r="T97" i="18"/>
  <c r="T221" i="18"/>
  <c r="S221" i="18"/>
  <c r="AB215" i="18"/>
  <c r="AB284" i="18"/>
  <c r="AC92" i="18"/>
  <c r="AC215" i="18"/>
  <c r="I217" i="18"/>
  <c r="AB223" i="18"/>
  <c r="C26" i="18"/>
  <c r="C108" i="18"/>
  <c r="M59" i="18"/>
  <c r="AD89" i="18"/>
  <c r="AD213" i="18"/>
  <c r="R281" i="18"/>
  <c r="T92" i="18"/>
  <c r="T215" i="18"/>
  <c r="F288" i="18"/>
  <c r="E107" i="18"/>
  <c r="W456" i="18"/>
  <c r="Q295" i="18"/>
  <c r="C46" i="18"/>
  <c r="O58" i="18"/>
  <c r="W96" i="18"/>
  <c r="J290" i="18"/>
  <c r="AA284" i="18"/>
  <c r="R353" i="18"/>
  <c r="J349" i="18"/>
  <c r="F289" i="18"/>
  <c r="Y212" i="18"/>
  <c r="E58" i="18"/>
  <c r="AA16" i="18"/>
  <c r="AA198" i="18"/>
  <c r="S289" i="18"/>
  <c r="O197" i="18"/>
  <c r="E49" i="18"/>
  <c r="V84" i="18"/>
  <c r="W84" i="18"/>
  <c r="W277" i="18"/>
  <c r="C63" i="18"/>
  <c r="C47" i="18"/>
  <c r="O49" i="18"/>
  <c r="D218" i="18"/>
  <c r="O54" i="18"/>
  <c r="S353" i="18"/>
  <c r="J280" i="18"/>
  <c r="E197" i="18"/>
  <c r="U277" i="18"/>
  <c r="I286" i="18"/>
  <c r="M288" i="18"/>
  <c r="W95" i="18"/>
  <c r="W288" i="18"/>
  <c r="D58" i="18"/>
  <c r="G284" i="18"/>
  <c r="Y284" i="18"/>
  <c r="G139" i="18"/>
  <c r="G146" i="18"/>
  <c r="X133" i="18"/>
  <c r="X134" i="18"/>
  <c r="D289" i="18"/>
  <c r="N278" i="18"/>
  <c r="J265" i="18"/>
  <c r="Y139" i="18"/>
  <c r="R221" i="18"/>
  <c r="R212" i="18"/>
  <c r="C62" i="18"/>
  <c r="H221" i="18"/>
  <c r="AA215" i="18"/>
  <c r="I331" i="18"/>
  <c r="I350" i="18"/>
  <c r="C54" i="18"/>
  <c r="O85" i="18"/>
  <c r="E19" i="18"/>
  <c r="AC63" i="18"/>
  <c r="AC99" i="18"/>
  <c r="AD99" i="18"/>
  <c r="K353" i="18"/>
  <c r="T96" i="18"/>
  <c r="E48" i="18"/>
  <c r="E63" i="18"/>
  <c r="E47" i="18"/>
  <c r="F218" i="18"/>
  <c r="E208" i="18"/>
  <c r="AE295" i="18"/>
  <c r="X96" i="18"/>
  <c r="W220" i="18"/>
  <c r="W289" i="18"/>
  <c r="R219" i="18"/>
  <c r="R288" i="18"/>
  <c r="S95" i="18"/>
  <c r="S281" i="18"/>
  <c r="S215" i="18"/>
  <c r="G59" i="18"/>
  <c r="X338" i="18"/>
  <c r="X357" i="18"/>
  <c r="O265" i="18"/>
  <c r="J207" i="18"/>
  <c r="H126" i="18"/>
  <c r="AD14" i="18"/>
  <c r="AD15" i="18"/>
  <c r="T88" i="18"/>
  <c r="T212" i="18"/>
  <c r="Y211" i="18"/>
  <c r="S49" i="18"/>
  <c r="X226" i="18"/>
  <c r="X295" i="18"/>
  <c r="I325" i="18"/>
  <c r="H26" i="18"/>
  <c r="N62" i="18"/>
  <c r="G51" i="18"/>
  <c r="S16" i="18"/>
  <c r="T130" i="18"/>
  <c r="G62" i="18"/>
  <c r="W94" i="18"/>
  <c r="S58" i="18"/>
  <c r="G45" i="18"/>
  <c r="Y219" i="18"/>
  <c r="V47" i="18"/>
  <c r="S284" i="18"/>
  <c r="T286" i="18"/>
  <c r="S46" i="18"/>
  <c r="AA258" i="18"/>
  <c r="V287" i="18"/>
  <c r="U134" i="18"/>
  <c r="U139" i="18"/>
  <c r="S19" i="18"/>
  <c r="S26" i="18"/>
  <c r="S50" i="18"/>
  <c r="V58" i="18"/>
  <c r="N283" i="18"/>
  <c r="R292" i="18"/>
  <c r="Q353" i="18"/>
  <c r="AB279" i="18"/>
  <c r="W99" i="18"/>
  <c r="V49" i="18"/>
  <c r="S48" i="18"/>
  <c r="E289" i="18"/>
  <c r="V129" i="18"/>
  <c r="V139" i="18"/>
  <c r="V52" i="18"/>
  <c r="C32" i="18"/>
  <c r="C34" i="18"/>
  <c r="V19" i="18"/>
  <c r="V265" i="18"/>
  <c r="M51" i="18"/>
  <c r="P259" i="18"/>
  <c r="P286" i="18"/>
  <c r="T125" i="18"/>
  <c r="T456" i="18"/>
  <c r="J289" i="18"/>
  <c r="O277" i="18"/>
  <c r="AA288" i="18"/>
  <c r="R115" i="18"/>
  <c r="R336" i="18"/>
  <c r="R355" i="18"/>
  <c r="N212" i="18"/>
  <c r="T53" i="18"/>
  <c r="P226" i="18"/>
  <c r="P295" i="18"/>
  <c r="W139" i="18"/>
  <c r="W141" i="18"/>
  <c r="AD72" i="18"/>
  <c r="J211" i="18"/>
  <c r="C55" i="18"/>
  <c r="S210" i="18"/>
  <c r="S279" i="18"/>
  <c r="T86" i="18"/>
  <c r="T113" i="18"/>
  <c r="T335" i="18"/>
  <c r="T354" i="18"/>
  <c r="AD90" i="18"/>
  <c r="AC214" i="18"/>
  <c r="T134" i="18"/>
  <c r="AD133" i="18"/>
  <c r="AD134" i="18"/>
  <c r="W52" i="18"/>
  <c r="AD85" i="18"/>
  <c r="AC209" i="18"/>
  <c r="S32" i="18"/>
  <c r="W223" i="18"/>
  <c r="W292" i="18"/>
  <c r="AE280" i="18"/>
  <c r="AE211" i="18"/>
  <c r="AB212" i="18"/>
  <c r="AB281" i="18"/>
  <c r="Y141" i="18"/>
  <c r="Y146" i="18"/>
  <c r="N277" i="18"/>
  <c r="AD125" i="18"/>
  <c r="T284" i="18"/>
  <c r="H16" i="18"/>
  <c r="H198" i="18"/>
  <c r="S265" i="18"/>
  <c r="AC47" i="18"/>
  <c r="J286" i="18"/>
  <c r="N287" i="18"/>
  <c r="N265" i="18"/>
  <c r="O90" i="18"/>
  <c r="J19" i="18"/>
  <c r="J20" i="18"/>
  <c r="J47" i="18"/>
  <c r="J288" i="18"/>
  <c r="AD259" i="18"/>
  <c r="AD353" i="18"/>
  <c r="K133" i="18"/>
  <c r="K134" i="18"/>
  <c r="J283" i="18"/>
  <c r="E284" i="18"/>
  <c r="S99" i="18"/>
  <c r="W89" i="18"/>
  <c r="X89" i="18"/>
  <c r="I289" i="18"/>
  <c r="E290" i="18"/>
  <c r="X456" i="18"/>
  <c r="I15" i="18"/>
  <c r="I51" i="18"/>
  <c r="K30" i="18"/>
  <c r="N92" i="18"/>
  <c r="N284" i="18"/>
  <c r="M45" i="18"/>
  <c r="AC19" i="18"/>
  <c r="T115" i="18"/>
  <c r="T336" i="18"/>
  <c r="T355" i="18"/>
  <c r="C50" i="18"/>
  <c r="X85" i="18"/>
  <c r="M47" i="18"/>
  <c r="M265" i="18"/>
  <c r="U26" i="18"/>
  <c r="S287" i="18"/>
  <c r="V214" i="18"/>
  <c r="J277" i="18"/>
  <c r="W51" i="18"/>
  <c r="J281" i="18"/>
  <c r="W129" i="18"/>
  <c r="R210" i="18"/>
  <c r="S85" i="18"/>
  <c r="J51" i="18"/>
  <c r="J58" i="18"/>
  <c r="J354" i="18"/>
  <c r="M219" i="18"/>
  <c r="W45" i="18"/>
  <c r="V53" i="18"/>
  <c r="E288" i="18"/>
  <c r="F208" i="18"/>
  <c r="H134" i="18"/>
  <c r="H139" i="18"/>
  <c r="P357" i="18"/>
  <c r="P456" i="18"/>
  <c r="K125" i="18"/>
  <c r="K139" i="18"/>
  <c r="K141" i="18"/>
  <c r="W278" i="18"/>
  <c r="AE139" i="18"/>
  <c r="AE52" i="18"/>
  <c r="K85" i="18"/>
  <c r="C66" i="18"/>
  <c r="C68" i="18"/>
  <c r="C73" i="18"/>
  <c r="M49" i="18"/>
  <c r="M197" i="18"/>
  <c r="V208" i="18"/>
  <c r="T282" i="18"/>
  <c r="S283" i="18"/>
  <c r="AB97" i="18"/>
  <c r="AC259" i="18"/>
  <c r="AC283" i="18"/>
  <c r="W90" i="18"/>
  <c r="X14" i="18"/>
  <c r="X15" i="18"/>
  <c r="X48" i="18"/>
  <c r="J279" i="18"/>
  <c r="W197" i="18"/>
  <c r="W205" i="18"/>
  <c r="AD357" i="18"/>
  <c r="R278" i="18"/>
  <c r="J49" i="18"/>
  <c r="J46" i="18"/>
  <c r="AC59" i="18"/>
  <c r="U53" i="18"/>
  <c r="N63" i="18"/>
  <c r="H220" i="18"/>
  <c r="G16" i="18"/>
  <c r="G198" i="18"/>
  <c r="AB95" i="18"/>
  <c r="AD130" i="18"/>
  <c r="AB210" i="18"/>
  <c r="AD92" i="18"/>
  <c r="M48" i="18"/>
  <c r="M19" i="18"/>
  <c r="V277" i="18"/>
  <c r="O95" i="18"/>
  <c r="O219" i="18"/>
  <c r="N281" i="18"/>
  <c r="AC16" i="18"/>
  <c r="AC198" i="18"/>
  <c r="J292" i="18"/>
  <c r="W75" i="18"/>
  <c r="N282" i="18"/>
  <c r="J129" i="18"/>
  <c r="S282" i="18"/>
  <c r="X93" i="18"/>
  <c r="AC75" i="18"/>
  <c r="K295" i="18"/>
  <c r="N54" i="18"/>
  <c r="N51" i="18"/>
  <c r="AC197" i="18"/>
  <c r="AC205" i="18"/>
  <c r="E51" i="18"/>
  <c r="R357" i="18"/>
  <c r="X139" i="18"/>
  <c r="X146" i="18"/>
  <c r="S139" i="18"/>
  <c r="S146" i="18"/>
  <c r="S148" i="18"/>
  <c r="M46" i="18"/>
  <c r="M54" i="18"/>
  <c r="X107" i="18"/>
  <c r="X330" i="18"/>
  <c r="X349" i="18"/>
  <c r="G20" i="18"/>
  <c r="N288" i="18"/>
  <c r="AC45" i="18"/>
  <c r="J272" i="18"/>
  <c r="W47" i="18"/>
  <c r="N292" i="18"/>
  <c r="J48" i="18"/>
  <c r="J287" i="18"/>
  <c r="G220" i="18"/>
  <c r="N48" i="18"/>
  <c r="AC49" i="18"/>
  <c r="G47" i="18"/>
  <c r="V282" i="18"/>
  <c r="R139" i="18"/>
  <c r="R146" i="18"/>
  <c r="T353" i="18"/>
  <c r="V63" i="18"/>
  <c r="T290" i="18"/>
  <c r="M63" i="18"/>
  <c r="W48" i="18"/>
  <c r="S290" i="18"/>
  <c r="M62" i="18"/>
  <c r="G265" i="18"/>
  <c r="H266" i="18"/>
  <c r="AC58" i="18"/>
  <c r="J353" i="18"/>
  <c r="D290" i="18"/>
  <c r="I324" i="18"/>
  <c r="P426" i="18"/>
  <c r="K357" i="18"/>
  <c r="AE48" i="18"/>
  <c r="AE47" i="18"/>
  <c r="AE51" i="18"/>
  <c r="AE58" i="18"/>
  <c r="Y16" i="18"/>
  <c r="Y198" i="18"/>
  <c r="AE49" i="18"/>
  <c r="AE19" i="18"/>
  <c r="AE75" i="18"/>
  <c r="AE46" i="18"/>
  <c r="AE45" i="18"/>
  <c r="AE59" i="18"/>
  <c r="AE62" i="18"/>
  <c r="AE54" i="18"/>
  <c r="AE129" i="18"/>
  <c r="AE16" i="18"/>
  <c r="AE198" i="18"/>
  <c r="S52" i="18"/>
  <c r="S141" i="18"/>
  <c r="V26" i="18"/>
  <c r="V66" i="18"/>
  <c r="V68" i="18"/>
  <c r="V20" i="18"/>
  <c r="F290" i="18"/>
  <c r="F221" i="18"/>
  <c r="M220" i="18"/>
  <c r="N96" i="18"/>
  <c r="M289" i="18"/>
  <c r="J26" i="18"/>
  <c r="D52" i="18"/>
  <c r="D146" i="18"/>
  <c r="S219" i="18"/>
  <c r="T95" i="18"/>
  <c r="S288" i="18"/>
  <c r="T27" i="18"/>
  <c r="U52" i="18"/>
  <c r="AE145" i="18"/>
  <c r="AG75" i="18"/>
  <c r="AG54" i="18"/>
  <c r="AG48" i="18"/>
  <c r="AG47" i="18"/>
  <c r="AG49" i="18"/>
  <c r="AG63" i="18"/>
  <c r="AG46" i="18"/>
  <c r="AG19" i="18"/>
  <c r="I277" i="18"/>
  <c r="I208" i="18"/>
  <c r="J282" i="18"/>
  <c r="J213" i="18"/>
  <c r="Q277" i="18"/>
  <c r="R84" i="18"/>
  <c r="Q208" i="18"/>
  <c r="P213" i="18"/>
  <c r="T218" i="18"/>
  <c r="T287" i="18"/>
  <c r="O281" i="18"/>
  <c r="S115" i="18"/>
  <c r="S336" i="18"/>
  <c r="S355" i="18"/>
  <c r="O62" i="18"/>
  <c r="O212" i="18"/>
  <c r="J241" i="18"/>
  <c r="J310" i="18"/>
  <c r="J332" i="18"/>
  <c r="J351" i="18"/>
  <c r="D63" i="18"/>
  <c r="AH16" i="18"/>
  <c r="AH48" i="18"/>
  <c r="AH63" i="18"/>
  <c r="AH62" i="18"/>
  <c r="AH51" i="18"/>
  <c r="AC88" i="18"/>
  <c r="AG62" i="18"/>
  <c r="X58" i="18"/>
  <c r="K35" i="18"/>
  <c r="AD27" i="18"/>
  <c r="D215" i="18"/>
  <c r="D284" i="18"/>
  <c r="AA220" i="18"/>
  <c r="AB96" i="18"/>
  <c r="AA289" i="18"/>
  <c r="AD454" i="18"/>
  <c r="AD456" i="18"/>
  <c r="AC456" i="18"/>
  <c r="U198" i="18"/>
  <c r="W276" i="18"/>
  <c r="W87" i="18"/>
  <c r="W207" i="18"/>
  <c r="F15" i="18"/>
  <c r="P14" i="18"/>
  <c r="P15" i="18"/>
  <c r="P47" i="18"/>
  <c r="P133" i="18"/>
  <c r="P134" i="18"/>
  <c r="P139" i="18"/>
  <c r="P141" i="18"/>
  <c r="P156" i="18"/>
  <c r="F134" i="18"/>
  <c r="F139" i="18"/>
  <c r="F146" i="18"/>
  <c r="T14" i="18"/>
  <c r="T15" i="18"/>
  <c r="T54" i="18"/>
  <c r="R15" i="18"/>
  <c r="O86" i="18"/>
  <c r="N210" i="18"/>
  <c r="R113" i="18"/>
  <c r="R335" i="18"/>
  <c r="R354" i="18"/>
  <c r="N279" i="18"/>
  <c r="P353" i="18"/>
  <c r="G287" i="18"/>
  <c r="G218" i="18"/>
  <c r="U146" i="18"/>
  <c r="U149" i="18" s="1"/>
  <c r="U148" i="18"/>
  <c r="U141" i="18"/>
  <c r="AC210" i="18"/>
  <c r="AC279" i="18"/>
  <c r="AD86" i="18"/>
  <c r="AD113" i="18"/>
  <c r="AD335" i="18"/>
  <c r="H208" i="18"/>
  <c r="H277" i="18"/>
  <c r="AA277" i="18"/>
  <c r="AB84" i="18"/>
  <c r="AB265" i="18"/>
  <c r="AB266" i="18"/>
  <c r="AB48" i="18"/>
  <c r="AB54" i="18"/>
  <c r="AB46" i="18"/>
  <c r="AB47" i="18"/>
  <c r="AB62" i="18"/>
  <c r="V16" i="18"/>
  <c r="AC94" i="18"/>
  <c r="AD94" i="18"/>
  <c r="AB287" i="18"/>
  <c r="AB218" i="18"/>
  <c r="K28" i="18"/>
  <c r="Y52" i="18"/>
  <c r="X27" i="18"/>
  <c r="V88" i="18"/>
  <c r="W88" i="18"/>
  <c r="X88" i="18"/>
  <c r="U115" i="18"/>
  <c r="U336" i="18"/>
  <c r="U355" i="18"/>
  <c r="J215" i="18"/>
  <c r="J284" i="18"/>
  <c r="AE128" i="18"/>
  <c r="AE125" i="18"/>
  <c r="AE353" i="18"/>
  <c r="AE272" i="18"/>
  <c r="AE292" i="18"/>
  <c r="AE290" i="18"/>
  <c r="AE286" i="18"/>
  <c r="AE265" i="18"/>
  <c r="AE279" i="18"/>
  <c r="AE282" i="18"/>
  <c r="AE277" i="18"/>
  <c r="AE278" i="18"/>
  <c r="AE281" i="18"/>
  <c r="AE283" i="18"/>
  <c r="D141" i="18"/>
  <c r="AE141" i="18"/>
  <c r="D46" i="18"/>
  <c r="D59" i="18"/>
  <c r="D107" i="18"/>
  <c r="D19" i="18"/>
  <c r="D49" i="18"/>
  <c r="D48" i="18"/>
  <c r="D51" i="18"/>
  <c r="D197" i="18"/>
  <c r="D265" i="18"/>
  <c r="D47" i="18"/>
  <c r="D54" i="18"/>
  <c r="D45" i="18"/>
  <c r="N97" i="18"/>
  <c r="M290" i="18"/>
  <c r="M221" i="18"/>
  <c r="AE276" i="18"/>
  <c r="T214" i="18"/>
  <c r="T283" i="18"/>
  <c r="AA265" i="18"/>
  <c r="AA282" i="18"/>
  <c r="AA281" i="18"/>
  <c r="AA279" i="18"/>
  <c r="AA287" i="18"/>
  <c r="AA292" i="18"/>
  <c r="AA290" i="18"/>
  <c r="AA283" i="18"/>
  <c r="AA286" i="18"/>
  <c r="AA278" i="18"/>
  <c r="Q19" i="18"/>
  <c r="Q62" i="18"/>
  <c r="Q16" i="18"/>
  <c r="Q45" i="18"/>
  <c r="Q197" i="18"/>
  <c r="Q47" i="18"/>
  <c r="Q58" i="18"/>
  <c r="Q51" i="18"/>
  <c r="Q46" i="18"/>
  <c r="Q63" i="18"/>
  <c r="Q59" i="18"/>
  <c r="Q265" i="18"/>
  <c r="Q129" i="18"/>
  <c r="Q49" i="18"/>
  <c r="Q54" i="18"/>
  <c r="S357" i="18"/>
  <c r="AC258" i="18"/>
  <c r="J126" i="18"/>
  <c r="I46" i="18"/>
  <c r="I45" i="18"/>
  <c r="I63" i="18"/>
  <c r="I48" i="18"/>
  <c r="I49" i="18"/>
  <c r="J16" i="18"/>
  <c r="J198" i="18"/>
  <c r="I197" i="18"/>
  <c r="I205" i="18"/>
  <c r="I265" i="18"/>
  <c r="Y220" i="18"/>
  <c r="AG87" i="18"/>
  <c r="AG91" i="18" s="1"/>
  <c r="K128" i="18"/>
  <c r="AE63" i="18"/>
  <c r="AB51" i="18"/>
  <c r="AE409" i="18"/>
  <c r="P84" i="18"/>
  <c r="X63" i="18"/>
  <c r="Q139" i="18"/>
  <c r="T24" i="18"/>
  <c r="T72" i="18"/>
  <c r="Q354" i="18"/>
  <c r="S295" i="18"/>
  <c r="K96" i="18"/>
  <c r="K289" i="18"/>
  <c r="H51" i="18"/>
  <c r="T128" i="18"/>
  <c r="AG51" i="18"/>
  <c r="AE284" i="18"/>
  <c r="AD295" i="18"/>
  <c r="K409" i="18"/>
  <c r="E35" i="19"/>
  <c r="C103" i="19"/>
  <c r="C104" i="19"/>
  <c r="E96" i="19"/>
  <c r="I141" i="18"/>
  <c r="I146" i="18"/>
  <c r="I52" i="18"/>
  <c r="G73" i="18"/>
  <c r="G109" i="18"/>
  <c r="G268" i="18"/>
  <c r="G70" i="18"/>
  <c r="G199" i="18"/>
  <c r="C109" i="18"/>
  <c r="W279" i="18"/>
  <c r="W210" i="18"/>
  <c r="X86" i="18"/>
  <c r="W219" i="18"/>
  <c r="X95" i="18"/>
  <c r="K95" i="18"/>
  <c r="P107" i="18"/>
  <c r="P46" i="18"/>
  <c r="G50" i="18"/>
  <c r="G108" i="18"/>
  <c r="G32" i="18"/>
  <c r="O218" i="18"/>
  <c r="P94" i="18"/>
  <c r="O287" i="18"/>
  <c r="I207" i="18"/>
  <c r="I87" i="18"/>
  <c r="I91" i="18" s="1"/>
  <c r="I276" i="18"/>
  <c r="T45" i="18"/>
  <c r="T197" i="18"/>
  <c r="T49" i="18"/>
  <c r="V107" i="18"/>
  <c r="T51" i="18"/>
  <c r="T59" i="18"/>
  <c r="T63" i="18"/>
  <c r="P85" i="18"/>
  <c r="O278" i="18"/>
  <c r="O209" i="18"/>
  <c r="N59" i="18"/>
  <c r="R16" i="18"/>
  <c r="N45" i="18"/>
  <c r="N58" i="18"/>
  <c r="N197" i="18"/>
  <c r="N19" i="18"/>
  <c r="N47" i="18"/>
  <c r="M282" i="18"/>
  <c r="M281" i="18"/>
  <c r="M286" i="18"/>
  <c r="M279" i="18"/>
  <c r="M277" i="18"/>
  <c r="M292" i="18"/>
  <c r="M283" i="18"/>
  <c r="M284" i="18"/>
  <c r="M287" i="18"/>
  <c r="G63" i="18"/>
  <c r="G46" i="18"/>
  <c r="G54" i="18"/>
  <c r="G197" i="18"/>
  <c r="G58" i="18"/>
  <c r="G48" i="18"/>
  <c r="G129" i="18"/>
  <c r="G107" i="18"/>
  <c r="J197" i="18"/>
  <c r="J205" i="18"/>
  <c r="J75" i="18"/>
  <c r="AE289" i="18"/>
  <c r="AE220" i="18"/>
  <c r="V215" i="18"/>
  <c r="W92" i="18"/>
  <c r="D212" i="18"/>
  <c r="D62" i="18"/>
  <c r="S51" i="18"/>
  <c r="S54" i="18"/>
  <c r="S45" i="18"/>
  <c r="S129" i="18"/>
  <c r="S47" i="18"/>
  <c r="S197" i="18"/>
  <c r="U47" i="18"/>
  <c r="U129" i="18"/>
  <c r="U63" i="18"/>
  <c r="AC54" i="18"/>
  <c r="AC46" i="18"/>
  <c r="AC48" i="18"/>
  <c r="W49" i="18"/>
  <c r="W16" i="18"/>
  <c r="W265" i="18"/>
  <c r="W274" i="18"/>
  <c r="W54" i="18"/>
  <c r="W58" i="18"/>
  <c r="W63" i="18"/>
  <c r="W59" i="18"/>
  <c r="W19" i="18"/>
  <c r="I218" i="18"/>
  <c r="I287" i="18"/>
  <c r="C51" i="18"/>
  <c r="C48" i="18"/>
  <c r="D16" i="18"/>
  <c r="D198" i="18"/>
  <c r="C45" i="18"/>
  <c r="C59" i="18"/>
  <c r="C107" i="18"/>
  <c r="E16" i="18"/>
  <c r="E198" i="18"/>
  <c r="O19" i="18"/>
  <c r="O46" i="18"/>
  <c r="O47" i="18"/>
  <c r="O48" i="18"/>
  <c r="O59" i="18"/>
  <c r="AA58" i="18"/>
  <c r="AA48" i="18"/>
  <c r="AA19" i="18"/>
  <c r="AA51" i="18"/>
  <c r="AA62" i="18"/>
  <c r="AA45" i="18"/>
  <c r="AA59" i="18"/>
  <c r="AA47" i="18"/>
  <c r="AA63" i="18"/>
  <c r="V54" i="18"/>
  <c r="V45" i="18"/>
  <c r="V46" i="18"/>
  <c r="V197" i="18"/>
  <c r="K130" i="18"/>
  <c r="T136" i="18"/>
  <c r="K455" i="18"/>
  <c r="K24" i="18"/>
  <c r="X72" i="18"/>
  <c r="X125" i="18"/>
  <c r="X128" i="18"/>
  <c r="D281" i="18"/>
  <c r="V146" i="18"/>
  <c r="I332" i="18"/>
  <c r="I351" i="18"/>
  <c r="I241" i="18"/>
  <c r="I310" i="18"/>
  <c r="G277" i="18"/>
  <c r="G208" i="18"/>
  <c r="V51" i="18"/>
  <c r="J139" i="18"/>
  <c r="AE53" i="18"/>
  <c r="AE338" i="18"/>
  <c r="F265" i="18"/>
  <c r="F266" i="18"/>
  <c r="O99" i="18"/>
  <c r="N223" i="18"/>
  <c r="V97" i="18"/>
  <c r="U221" i="18"/>
  <c r="AB197" i="18"/>
  <c r="AB45" i="18"/>
  <c r="AB58" i="18"/>
  <c r="AB19" i="18"/>
  <c r="AB59" i="18"/>
  <c r="AB16" i="18"/>
  <c r="AB198" i="18"/>
  <c r="AB49" i="18"/>
  <c r="AH47" i="18"/>
  <c r="AH75" i="18"/>
  <c r="AH58" i="18"/>
  <c r="AH54" i="18"/>
  <c r="AH49" i="18"/>
  <c r="AH46" i="18"/>
  <c r="AH19" i="18"/>
  <c r="AH45" i="18"/>
  <c r="X130" i="18"/>
  <c r="O92" i="18"/>
  <c r="N215" i="18"/>
  <c r="P88" i="18"/>
  <c r="P115" i="18"/>
  <c r="P336" i="18"/>
  <c r="P355" i="18"/>
  <c r="S63" i="18"/>
  <c r="R282" i="18"/>
  <c r="R213" i="18"/>
  <c r="I59" i="18"/>
  <c r="I75" i="18"/>
  <c r="I19" i="18"/>
  <c r="I129" i="18"/>
  <c r="I54" i="18"/>
  <c r="I58" i="18"/>
  <c r="I47" i="18"/>
  <c r="I62" i="18"/>
  <c r="D115" i="18"/>
  <c r="D336" i="18"/>
  <c r="D355" i="18"/>
  <c r="J331" i="18"/>
  <c r="J240" i="18"/>
  <c r="J309" i="18"/>
  <c r="N49" i="18"/>
  <c r="P24" i="18"/>
  <c r="N72" i="18"/>
  <c r="J115" i="18"/>
  <c r="U212" i="18"/>
  <c r="U281" i="18"/>
  <c r="U62" i="18"/>
  <c r="F284" i="18"/>
  <c r="F215" i="18"/>
  <c r="K454" i="18"/>
  <c r="AE288" i="18"/>
  <c r="X99" i="18"/>
  <c r="Y63" i="18"/>
  <c r="Y59" i="18"/>
  <c r="Y48" i="18"/>
  <c r="Y19" i="18"/>
  <c r="Y51" i="18"/>
  <c r="Y45" i="18"/>
  <c r="Y46" i="18"/>
  <c r="Y47" i="18"/>
  <c r="Y265" i="18"/>
  <c r="Y62" i="18"/>
  <c r="Y75" i="18"/>
  <c r="Y197" i="18"/>
  <c r="Y205" i="18"/>
  <c r="E450" i="19"/>
  <c r="G274" i="19"/>
  <c r="E276" i="19"/>
  <c r="G276" i="19"/>
  <c r="E278" i="19"/>
  <c r="K250" i="19"/>
  <c r="K482" i="19"/>
  <c r="K486" i="19"/>
  <c r="E219" i="19"/>
  <c r="K190" i="19"/>
  <c r="D508" i="19"/>
  <c r="F508" i="19"/>
  <c r="J130" i="19"/>
  <c r="K130" i="19"/>
  <c r="L129" i="19"/>
  <c r="J133" i="19"/>
  <c r="E217" i="19"/>
  <c r="G217" i="19"/>
  <c r="J313" i="19"/>
  <c r="F506" i="19"/>
  <c r="L368" i="19"/>
  <c r="J369" i="19"/>
  <c r="K369" i="19"/>
  <c r="J372" i="19"/>
  <c r="F449" i="19"/>
  <c r="J425" i="19"/>
  <c r="D453" i="19"/>
  <c r="K194" i="19"/>
  <c r="M190" i="19"/>
  <c r="G335" i="19"/>
  <c r="E337" i="19"/>
  <c r="G337" i="19"/>
  <c r="K309" i="19"/>
  <c r="E339" i="19"/>
  <c r="D515" i="19"/>
  <c r="D516" i="19"/>
  <c r="D451" i="19"/>
  <c r="M250" i="19"/>
  <c r="K254" i="19"/>
  <c r="D344" i="19"/>
  <c r="D345" i="19"/>
  <c r="F337" i="19"/>
  <c r="F276" i="19"/>
  <c r="D283" i="19"/>
  <c r="D284" i="19"/>
  <c r="F217" i="19"/>
  <c r="D224" i="19"/>
  <c r="D225" i="19"/>
  <c r="J254" i="19"/>
  <c r="J251" i="19"/>
  <c r="K251" i="19"/>
  <c r="L250" i="19"/>
  <c r="K6" i="19"/>
  <c r="F33" i="19"/>
  <c r="D35" i="19"/>
  <c r="F35" i="19"/>
  <c r="D37" i="19"/>
  <c r="F394" i="19"/>
  <c r="D401" i="19"/>
  <c r="D402" i="19"/>
  <c r="J194" i="19"/>
  <c r="L190" i="19"/>
  <c r="J191" i="19"/>
  <c r="K191" i="19"/>
  <c r="K192" i="19" s="1"/>
  <c r="M192" i="19" s="1"/>
  <c r="M425" i="19"/>
  <c r="L482" i="19"/>
  <c r="J486" i="19"/>
  <c r="J483" i="19"/>
  <c r="K483" i="19"/>
  <c r="E394" i="19"/>
  <c r="G394" i="19"/>
  <c r="E396" i="19"/>
  <c r="G392" i="19"/>
  <c r="K368" i="19"/>
  <c r="K67" i="19"/>
  <c r="D98" i="19"/>
  <c r="F94" i="19"/>
  <c r="D96" i="19"/>
  <c r="F96" i="19"/>
  <c r="D47" i="19"/>
  <c r="D48" i="19"/>
  <c r="C48" i="19"/>
  <c r="P45" i="18"/>
  <c r="C70" i="18"/>
  <c r="S66" i="18"/>
  <c r="S68" i="18"/>
  <c r="S70" i="18"/>
  <c r="AC278" i="18"/>
  <c r="C56" i="18"/>
  <c r="P59" i="18"/>
  <c r="R52" i="18"/>
  <c r="X84" i="18"/>
  <c r="K84" i="18"/>
  <c r="K208" i="18"/>
  <c r="G141" i="18"/>
  <c r="E20" i="18"/>
  <c r="E26" i="18"/>
  <c r="P197" i="18"/>
  <c r="K27" i="18"/>
  <c r="G52" i="18"/>
  <c r="W146" i="18"/>
  <c r="X126" i="18"/>
  <c r="P19" i="18"/>
  <c r="S20" i="18"/>
  <c r="V113" i="18"/>
  <c r="V335" i="18"/>
  <c r="V354" i="18"/>
  <c r="T289" i="18"/>
  <c r="T220" i="18"/>
  <c r="K146" i="18"/>
  <c r="P129" i="18"/>
  <c r="P58" i="18"/>
  <c r="R107" i="18"/>
  <c r="R330" i="18"/>
  <c r="R349" i="18"/>
  <c r="AC223" i="18"/>
  <c r="W208" i="18"/>
  <c r="P54" i="18"/>
  <c r="P51" i="18"/>
  <c r="K220" i="18"/>
  <c r="P282" i="18"/>
  <c r="V141" i="18"/>
  <c r="AA266" i="18"/>
  <c r="R141" i="18"/>
  <c r="R157" i="18"/>
  <c r="X54" i="18"/>
  <c r="H108" i="18"/>
  <c r="H50" i="18"/>
  <c r="H32" i="18"/>
  <c r="H66" i="18"/>
  <c r="H68" i="18"/>
  <c r="H69" i="18"/>
  <c r="H200" i="18"/>
  <c r="T281" i="18"/>
  <c r="AD282" i="18"/>
  <c r="X94" i="18"/>
  <c r="K94" i="18"/>
  <c r="W218" i="18"/>
  <c r="W287" i="18"/>
  <c r="G266" i="18"/>
  <c r="I211" i="18"/>
  <c r="I216" i="18"/>
  <c r="Y107" i="18"/>
  <c r="S198" i="18"/>
  <c r="S266" i="18"/>
  <c r="X289" i="18"/>
  <c r="X220" i="18"/>
  <c r="F47" i="18"/>
  <c r="F45" i="18"/>
  <c r="P157" i="18"/>
  <c r="AC97" i="18"/>
  <c r="AB290" i="18"/>
  <c r="AB221" i="18"/>
  <c r="I16" i="18"/>
  <c r="I198" i="18"/>
  <c r="I107" i="18"/>
  <c r="G157" i="18"/>
  <c r="G156" i="18"/>
  <c r="G234" i="18"/>
  <c r="G303" i="18"/>
  <c r="F49" i="18"/>
  <c r="X217" i="18"/>
  <c r="X286" i="18"/>
  <c r="G148" i="18"/>
  <c r="G149" i="18"/>
  <c r="F51" i="18"/>
  <c r="Y149" i="18"/>
  <c r="Y148" i="18"/>
  <c r="AE146" i="18"/>
  <c r="AE148" i="18"/>
  <c r="AE153" i="18"/>
  <c r="F19" i="18"/>
  <c r="F20" i="18"/>
  <c r="S107" i="18"/>
  <c r="AE113" i="18"/>
  <c r="AE335" i="18"/>
  <c r="AE354" i="18"/>
  <c r="X141" i="18"/>
  <c r="X156" i="18"/>
  <c r="O288" i="18"/>
  <c r="M20" i="18"/>
  <c r="M26" i="18"/>
  <c r="U32" i="18"/>
  <c r="U66" i="18"/>
  <c r="U68" i="18"/>
  <c r="U50" i="18"/>
  <c r="AC20" i="18"/>
  <c r="AC26" i="18"/>
  <c r="W282" i="18"/>
  <c r="W213" i="18"/>
  <c r="Y157" i="18"/>
  <c r="Y156" i="18"/>
  <c r="Y234" i="18"/>
  <c r="Y303" i="18"/>
  <c r="K14" i="18"/>
  <c r="K15" i="18"/>
  <c r="K59" i="18"/>
  <c r="AC292" i="18"/>
  <c r="AC95" i="18"/>
  <c r="AD95" i="18"/>
  <c r="AB288" i="18"/>
  <c r="AB219" i="18"/>
  <c r="AD354" i="18"/>
  <c r="S209" i="18"/>
  <c r="T85" i="18"/>
  <c r="S278" i="18"/>
  <c r="U113" i="18"/>
  <c r="U335" i="18"/>
  <c r="U354" i="18"/>
  <c r="W113" i="18"/>
  <c r="W335" i="18"/>
  <c r="W354" i="18"/>
  <c r="T210" i="18"/>
  <c r="T279" i="18"/>
  <c r="K93" i="18"/>
  <c r="K286" i="18"/>
  <c r="S149" i="18"/>
  <c r="F129" i="18"/>
  <c r="AD279" i="18"/>
  <c r="X52" i="18"/>
  <c r="P95" i="18"/>
  <c r="P219" i="18"/>
  <c r="AC284" i="18"/>
  <c r="X277" i="18"/>
  <c r="X208" i="18"/>
  <c r="J273" i="18"/>
  <c r="J274" i="18"/>
  <c r="X47" i="18"/>
  <c r="X49" i="18"/>
  <c r="X45" i="18"/>
  <c r="X265" i="18"/>
  <c r="X59" i="18"/>
  <c r="X19" i="18"/>
  <c r="X46" i="18"/>
  <c r="X197" i="18"/>
  <c r="X129" i="18"/>
  <c r="S292" i="18"/>
  <c r="T99" i="18"/>
  <c r="S223" i="18"/>
  <c r="AC282" i="18"/>
  <c r="W157" i="18"/>
  <c r="W156" i="18"/>
  <c r="W234" i="18"/>
  <c r="W303" i="18"/>
  <c r="AD278" i="18"/>
  <c r="AD209" i="18"/>
  <c r="AD210" i="18"/>
  <c r="AD215" i="18"/>
  <c r="AD284" i="18"/>
  <c r="X90" i="18"/>
  <c r="W214" i="18"/>
  <c r="W283" i="18"/>
  <c r="O283" i="18"/>
  <c r="P90" i="18"/>
  <c r="O214" i="18"/>
  <c r="S34" i="18"/>
  <c r="S56" i="18"/>
  <c r="S55" i="18"/>
  <c r="AD223" i="18"/>
  <c r="AD292" i="18"/>
  <c r="AC286" i="18"/>
  <c r="AC276" i="18"/>
  <c r="AC265" i="18"/>
  <c r="AC266" i="18"/>
  <c r="AC272" i="18"/>
  <c r="K278" i="18"/>
  <c r="K209" i="18"/>
  <c r="X209" i="18"/>
  <c r="X278" i="18"/>
  <c r="AD214" i="18"/>
  <c r="AD283" i="18"/>
  <c r="C37" i="18"/>
  <c r="C57" i="18"/>
  <c r="AE20" i="18"/>
  <c r="AE26" i="18"/>
  <c r="AE190" i="18"/>
  <c r="Q266" i="18"/>
  <c r="Q198" i="18"/>
  <c r="V32" i="18"/>
  <c r="D157" i="18"/>
  <c r="D156" i="18"/>
  <c r="D234" i="18"/>
  <c r="D303" i="18"/>
  <c r="X51" i="18"/>
  <c r="V266" i="18"/>
  <c r="V198" i="18"/>
  <c r="F63" i="18"/>
  <c r="F59" i="18"/>
  <c r="F197" i="18"/>
  <c r="F62" i="18"/>
  <c r="F46" i="18"/>
  <c r="F16" i="18"/>
  <c r="F198" i="18"/>
  <c r="AD88" i="18"/>
  <c r="AE115" i="18"/>
  <c r="AE336" i="18"/>
  <c r="AE355" i="18"/>
  <c r="AC212" i="18"/>
  <c r="AC62" i="18"/>
  <c r="AC281" i="18"/>
  <c r="K63" i="18"/>
  <c r="F58" i="18"/>
  <c r="T16" i="18"/>
  <c r="T198" i="18"/>
  <c r="P146" i="18"/>
  <c r="I274" i="18"/>
  <c r="I266" i="18"/>
  <c r="J266" i="18"/>
  <c r="T288" i="18"/>
  <c r="T219" i="18"/>
  <c r="W280" i="18"/>
  <c r="W211" i="18"/>
  <c r="R54" i="18"/>
  <c r="R58" i="18"/>
  <c r="R59" i="18"/>
  <c r="R63" i="18"/>
  <c r="R129" i="18"/>
  <c r="R47" i="18"/>
  <c r="R46" i="18"/>
  <c r="R45" i="18"/>
  <c r="R265" i="18"/>
  <c r="R51" i="18"/>
  <c r="R197" i="18"/>
  <c r="R62" i="18"/>
  <c r="R19" i="18"/>
  <c r="R49" i="18"/>
  <c r="R48" i="18"/>
  <c r="V199" i="18"/>
  <c r="V201" i="18"/>
  <c r="V73" i="18"/>
  <c r="V268" i="18"/>
  <c r="V270" i="18"/>
  <c r="V70" i="18"/>
  <c r="U190" i="18"/>
  <c r="U153" i="18"/>
  <c r="W107" i="18"/>
  <c r="T265" i="18"/>
  <c r="T19" i="18"/>
  <c r="T62" i="18"/>
  <c r="T46" i="18"/>
  <c r="S156" i="18"/>
  <c r="S234" i="18"/>
  <c r="S303" i="18"/>
  <c r="S157" i="18"/>
  <c r="K48" i="18"/>
  <c r="U157" i="18"/>
  <c r="U156" i="18"/>
  <c r="U234" i="18"/>
  <c r="U303" i="18"/>
  <c r="S84" i="18"/>
  <c r="R277" i="18"/>
  <c r="R208" i="18"/>
  <c r="AG20" i="18"/>
  <c r="AG26" i="18"/>
  <c r="U154" i="18"/>
  <c r="U229" i="18"/>
  <c r="U298" i="18"/>
  <c r="U107" i="18"/>
  <c r="U126" i="18"/>
  <c r="K52" i="18"/>
  <c r="Q141" i="18"/>
  <c r="Q52" i="18"/>
  <c r="Q146" i="18"/>
  <c r="Q26" i="18"/>
  <c r="Q20" i="18"/>
  <c r="O97" i="18"/>
  <c r="N221" i="18"/>
  <c r="N290" i="18"/>
  <c r="F107" i="18"/>
  <c r="F126" i="18"/>
  <c r="F48" i="18"/>
  <c r="T129" i="18"/>
  <c r="T48" i="18"/>
  <c r="X282" i="18"/>
  <c r="K89" i="18"/>
  <c r="X213" i="18"/>
  <c r="Q107" i="18"/>
  <c r="D20" i="18"/>
  <c r="D26" i="18"/>
  <c r="Y273" i="18"/>
  <c r="AE274" i="18"/>
  <c r="V281" i="18"/>
  <c r="V62" i="18"/>
  <c r="V212" i="18"/>
  <c r="V115" i="18"/>
  <c r="V336" i="18"/>
  <c r="V355" i="18"/>
  <c r="R148" i="18"/>
  <c r="R149" i="18"/>
  <c r="F52" i="18"/>
  <c r="F141" i="18"/>
  <c r="D149" i="18"/>
  <c r="D148" i="18"/>
  <c r="O96" i="18"/>
  <c r="N289" i="18"/>
  <c r="N220" i="18"/>
  <c r="AE157" i="18"/>
  <c r="AE156" i="18"/>
  <c r="AE234" i="18"/>
  <c r="AE303" i="18"/>
  <c r="P86" i="18"/>
  <c r="P113" i="18"/>
  <c r="P335" i="18"/>
  <c r="P354" i="18"/>
  <c r="S113" i="18"/>
  <c r="S335" i="18"/>
  <c r="S354" i="18"/>
  <c r="O279" i="18"/>
  <c r="O210" i="18"/>
  <c r="K49" i="18"/>
  <c r="T107" i="18"/>
  <c r="T330" i="18"/>
  <c r="T349" i="18"/>
  <c r="H268" i="18"/>
  <c r="H270" i="18"/>
  <c r="H109" i="18"/>
  <c r="H73" i="18"/>
  <c r="H74" i="18"/>
  <c r="H204" i="18"/>
  <c r="H199" i="18"/>
  <c r="H201" i="18"/>
  <c r="H70" i="18"/>
  <c r="D330" i="18"/>
  <c r="D349" i="18"/>
  <c r="D126" i="18"/>
  <c r="W62" i="18"/>
  <c r="W281" i="18"/>
  <c r="W212" i="18"/>
  <c r="AD218" i="18"/>
  <c r="AD287" i="18"/>
  <c r="AC96" i="18"/>
  <c r="AB220" i="18"/>
  <c r="AB289" i="18"/>
  <c r="J216" i="18"/>
  <c r="J222" i="18"/>
  <c r="K107" i="18"/>
  <c r="K330" i="18"/>
  <c r="K349" i="18"/>
  <c r="K456" i="18"/>
  <c r="F54" i="18"/>
  <c r="T47" i="18"/>
  <c r="T58" i="18"/>
  <c r="V50" i="18"/>
  <c r="P208" i="18"/>
  <c r="P277" i="18"/>
  <c r="W115" i="18"/>
  <c r="W336" i="18"/>
  <c r="W355" i="18"/>
  <c r="AC218" i="18"/>
  <c r="AC287" i="18"/>
  <c r="AB277" i="18"/>
  <c r="AB208" i="18"/>
  <c r="AC84" i="18"/>
  <c r="AD84" i="18"/>
  <c r="P265" i="18"/>
  <c r="P63" i="18"/>
  <c r="P48" i="18"/>
  <c r="J32" i="18"/>
  <c r="J108" i="18"/>
  <c r="J66" i="18"/>
  <c r="J68" i="18"/>
  <c r="J50" i="18"/>
  <c r="AH20" i="18"/>
  <c r="AH26" i="18"/>
  <c r="V148" i="18"/>
  <c r="V149" i="18"/>
  <c r="J333" i="18"/>
  <c r="J350" i="18"/>
  <c r="J352" i="18"/>
  <c r="O223" i="18"/>
  <c r="P99" i="18"/>
  <c r="O292" i="18"/>
  <c r="V156" i="18"/>
  <c r="V157" i="18"/>
  <c r="H146" i="18"/>
  <c r="H141" i="18"/>
  <c r="H52" i="18"/>
  <c r="S330" i="18"/>
  <c r="S349" i="18"/>
  <c r="S126" i="18"/>
  <c r="T266" i="18"/>
  <c r="X148" i="18"/>
  <c r="X149" i="18"/>
  <c r="S229" i="18"/>
  <c r="S298" i="18"/>
  <c r="S154" i="18"/>
  <c r="G270" i="18"/>
  <c r="I148" i="18"/>
  <c r="I149" i="18"/>
  <c r="X157" i="18"/>
  <c r="I20" i="18"/>
  <c r="I26" i="18"/>
  <c r="P212" i="18"/>
  <c r="P281" i="18"/>
  <c r="P62" i="18"/>
  <c r="AB20" i="18"/>
  <c r="AB26" i="18"/>
  <c r="R266" i="18"/>
  <c r="R198" i="18"/>
  <c r="S190" i="18"/>
  <c r="S153" i="18"/>
  <c r="C80" i="18"/>
  <c r="C111" i="18"/>
  <c r="C75" i="18"/>
  <c r="C83" i="18"/>
  <c r="C87" i="18"/>
  <c r="C91" i="18" s="1"/>
  <c r="C110" i="18"/>
  <c r="G187" i="18"/>
  <c r="G255" i="18"/>
  <c r="G188" i="18"/>
  <c r="G256" i="18"/>
  <c r="I156" i="18"/>
  <c r="I157" i="18"/>
  <c r="V221" i="18"/>
  <c r="V290" i="18"/>
  <c r="W97" i="18"/>
  <c r="J325" i="18"/>
  <c r="J324" i="18"/>
  <c r="V330" i="18"/>
  <c r="V349" i="18"/>
  <c r="V126" i="18"/>
  <c r="K217" i="18"/>
  <c r="G126" i="18"/>
  <c r="G330" i="18"/>
  <c r="G349" i="18"/>
  <c r="R126" i="18"/>
  <c r="P218" i="18"/>
  <c r="P287" i="18"/>
  <c r="G56" i="18"/>
  <c r="G34" i="18"/>
  <c r="G55" i="18"/>
  <c r="K288" i="18"/>
  <c r="K219" i="18"/>
  <c r="J52" i="18"/>
  <c r="J146" i="18"/>
  <c r="J141" i="18"/>
  <c r="X115" i="18"/>
  <c r="X336" i="18"/>
  <c r="X355" i="18"/>
  <c r="Y115" i="18"/>
  <c r="Y336" i="18"/>
  <c r="Y355" i="18"/>
  <c r="X281" i="18"/>
  <c r="K88" i="18"/>
  <c r="X62" i="18"/>
  <c r="X212" i="18"/>
  <c r="F148" i="18"/>
  <c r="F149" i="18"/>
  <c r="O284" i="18"/>
  <c r="O215" i="18"/>
  <c r="P92" i="18"/>
  <c r="O26" i="18"/>
  <c r="O20" i="18"/>
  <c r="W266" i="18"/>
  <c r="W198" i="18"/>
  <c r="I280" i="18"/>
  <c r="K156" i="18"/>
  <c r="K157" i="18"/>
  <c r="P26" i="18"/>
  <c r="P20" i="18"/>
  <c r="X288" i="18"/>
  <c r="X219" i="18"/>
  <c r="G80" i="18"/>
  <c r="G111" i="18"/>
  <c r="G203" i="18"/>
  <c r="G205" i="18"/>
  <c r="G75" i="18"/>
  <c r="I74" i="18"/>
  <c r="I204" i="18"/>
  <c r="G272" i="18"/>
  <c r="G83" i="18"/>
  <c r="G110" i="18"/>
  <c r="P340" i="18"/>
  <c r="P235" i="18"/>
  <c r="P304" i="18"/>
  <c r="T139" i="18"/>
  <c r="AD136" i="18"/>
  <c r="AD139" i="18"/>
  <c r="X223" i="18"/>
  <c r="X292" i="18"/>
  <c r="K99" i="18"/>
  <c r="AA20" i="18"/>
  <c r="AA26" i="18"/>
  <c r="W284" i="18"/>
  <c r="W215" i="18"/>
  <c r="X92" i="18"/>
  <c r="I222" i="18"/>
  <c r="K148" i="18"/>
  <c r="K149" i="18"/>
  <c r="P330" i="18"/>
  <c r="P349" i="18"/>
  <c r="P126" i="18"/>
  <c r="V56" i="18"/>
  <c r="V55" i="18"/>
  <c r="V34" i="18"/>
  <c r="P234" i="18"/>
  <c r="P303" i="18"/>
  <c r="J336" i="18"/>
  <c r="J355" i="18"/>
  <c r="P49" i="18"/>
  <c r="P72" i="18"/>
  <c r="AD129" i="18"/>
  <c r="X16" i="18"/>
  <c r="X198" i="18"/>
  <c r="AE107" i="18"/>
  <c r="AD59" i="18"/>
  <c r="AD16" i="18"/>
  <c r="AD198" i="18"/>
  <c r="AD197" i="18"/>
  <c r="AD265" i="18"/>
  <c r="AD48" i="18"/>
  <c r="AD63" i="18"/>
  <c r="AD51" i="18"/>
  <c r="AD47" i="18"/>
  <c r="AD62" i="18"/>
  <c r="AD45" i="18"/>
  <c r="AD58" i="18"/>
  <c r="AD46" i="18"/>
  <c r="AD54" i="18"/>
  <c r="AD19" i="18"/>
  <c r="AD107" i="18"/>
  <c r="AD49" i="18"/>
  <c r="AE357" i="18"/>
  <c r="W20" i="18"/>
  <c r="W26" i="18"/>
  <c r="N20" i="18"/>
  <c r="N26" i="18"/>
  <c r="P278" i="18"/>
  <c r="P209" i="18"/>
  <c r="Y113" i="18"/>
  <c r="Y335" i="18"/>
  <c r="Y354" i="18"/>
  <c r="X210" i="18"/>
  <c r="X279" i="18"/>
  <c r="X113" i="18"/>
  <c r="X335" i="18"/>
  <c r="X354" i="18"/>
  <c r="K86" i="18"/>
  <c r="G201" i="18"/>
  <c r="K126" i="18"/>
  <c r="Y20" i="18"/>
  <c r="Y26" i="18"/>
  <c r="Y266" i="18"/>
  <c r="Y274" i="18"/>
  <c r="D464" i="19"/>
  <c r="D465" i="19"/>
  <c r="E451" i="19"/>
  <c r="G451" i="19"/>
  <c r="K252" i="19"/>
  <c r="M252" i="19"/>
  <c r="M482" i="19"/>
  <c r="K484" i="19"/>
  <c r="M484" i="19"/>
  <c r="K71" i="19"/>
  <c r="M67" i="19"/>
  <c r="K69" i="19"/>
  <c r="M69" i="19"/>
  <c r="K370" i="19"/>
  <c r="M370" i="19"/>
  <c r="M368" i="19"/>
  <c r="K372" i="19"/>
  <c r="K10" i="19"/>
  <c r="K8" i="19"/>
  <c r="M8" i="19"/>
  <c r="M6" i="19"/>
  <c r="K313" i="19"/>
  <c r="K311" i="19"/>
  <c r="M311" i="19"/>
  <c r="M309" i="19"/>
  <c r="F451" i="19"/>
  <c r="D458" i="19"/>
  <c r="D459" i="19"/>
  <c r="L425" i="19"/>
  <c r="J429" i="19"/>
  <c r="J426" i="19"/>
  <c r="K426" i="19"/>
  <c r="K427" i="19"/>
  <c r="M427" i="19"/>
  <c r="F330" i="18"/>
  <c r="F349" i="18"/>
  <c r="K47" i="18"/>
  <c r="U330" i="18"/>
  <c r="U349" i="18"/>
  <c r="K265" i="18"/>
  <c r="K277" i="18"/>
  <c r="E108" i="18"/>
  <c r="E32" i="18"/>
  <c r="E66" i="18"/>
  <c r="E68" i="18"/>
  <c r="E50" i="18"/>
  <c r="K54" i="18"/>
  <c r="K46" i="18"/>
  <c r="K58" i="18"/>
  <c r="S268" i="18"/>
  <c r="S270" i="18"/>
  <c r="S73" i="18"/>
  <c r="S199" i="18"/>
  <c r="S201" i="18"/>
  <c r="K51" i="18"/>
  <c r="T126" i="18"/>
  <c r="K197" i="18"/>
  <c r="W148" i="18"/>
  <c r="W149" i="18"/>
  <c r="R156" i="18"/>
  <c r="R234" i="18"/>
  <c r="R303" i="18"/>
  <c r="X287" i="18"/>
  <c r="X218" i="18"/>
  <c r="Y330" i="18"/>
  <c r="Y349" i="18"/>
  <c r="Y126" i="18"/>
  <c r="P288" i="18"/>
  <c r="H56" i="18"/>
  <c r="H55" i="18"/>
  <c r="H34" i="18"/>
  <c r="G229" i="18"/>
  <c r="G298" i="18"/>
  <c r="G154" i="18"/>
  <c r="F26" i="18"/>
  <c r="F108" i="18"/>
  <c r="S57" i="18"/>
  <c r="S37" i="18"/>
  <c r="S60" i="18"/>
  <c r="AC288" i="18"/>
  <c r="AC219" i="18"/>
  <c r="AD97" i="18"/>
  <c r="AC290" i="18"/>
  <c r="AC221" i="18"/>
  <c r="AC274" i="18"/>
  <c r="P214" i="18"/>
  <c r="P283" i="18"/>
  <c r="AC66" i="18"/>
  <c r="AC68" i="18"/>
  <c r="AC32" i="18"/>
  <c r="AC50" i="18"/>
  <c r="Y340" i="18"/>
  <c r="Y235" i="18"/>
  <c r="Y304" i="18"/>
  <c r="T223" i="18"/>
  <c r="T292" i="18"/>
  <c r="AD288" i="18"/>
  <c r="AD219" i="18"/>
  <c r="AE149" i="18"/>
  <c r="AE154" i="18"/>
  <c r="C114" i="18"/>
  <c r="C60" i="18"/>
  <c r="T209" i="18"/>
  <c r="T278" i="18"/>
  <c r="Y153" i="18"/>
  <c r="Y190" i="18"/>
  <c r="G153" i="18"/>
  <c r="G190" i="18"/>
  <c r="Y229" i="18"/>
  <c r="Y298" i="18"/>
  <c r="Y154" i="18"/>
  <c r="G235" i="18"/>
  <c r="G304" i="18"/>
  <c r="G340" i="18"/>
  <c r="K90" i="18"/>
  <c r="X283" i="18"/>
  <c r="X214" i="18"/>
  <c r="U56" i="18"/>
  <c r="U34" i="18"/>
  <c r="U55" i="18"/>
  <c r="M32" i="18"/>
  <c r="M66" i="18"/>
  <c r="M68" i="18"/>
  <c r="M50" i="18"/>
  <c r="W340" i="18"/>
  <c r="W235" i="18"/>
  <c r="W304" i="18"/>
  <c r="X26" i="18"/>
  <c r="X20" i="18"/>
  <c r="K19" i="18"/>
  <c r="K129" i="18"/>
  <c r="K45" i="18"/>
  <c r="U70" i="18"/>
  <c r="U199" i="18"/>
  <c r="U201" i="18"/>
  <c r="U73" i="18"/>
  <c r="U268" i="18"/>
  <c r="U270" i="18"/>
  <c r="I126" i="18"/>
  <c r="I330" i="18"/>
  <c r="AE32" i="18"/>
  <c r="AE66" i="18"/>
  <c r="AE68" i="18"/>
  <c r="AE50" i="18"/>
  <c r="P149" i="18"/>
  <c r="P148" i="18"/>
  <c r="D340" i="18"/>
  <c r="D235" i="18"/>
  <c r="D304" i="18"/>
  <c r="H269" i="18"/>
  <c r="J72" i="18"/>
  <c r="J199" i="18"/>
  <c r="J201" i="18"/>
  <c r="J268" i="18"/>
  <c r="J270" i="18"/>
  <c r="J70" i="18"/>
  <c r="J109" i="18"/>
  <c r="H203" i="18"/>
  <c r="H205" i="18"/>
  <c r="H75" i="18"/>
  <c r="H110" i="18"/>
  <c r="H83" i="18"/>
  <c r="H80" i="18"/>
  <c r="H111" i="18"/>
  <c r="H272" i="18"/>
  <c r="H273" i="18"/>
  <c r="O220" i="18"/>
  <c r="P96" i="18"/>
  <c r="O289" i="18"/>
  <c r="R154" i="18"/>
  <c r="R229" i="18"/>
  <c r="R298" i="18"/>
  <c r="Q157" i="18"/>
  <c r="Q156" i="18"/>
  <c r="Q234" i="18"/>
  <c r="Q303" i="18"/>
  <c r="AE229" i="18"/>
  <c r="AE298" i="18"/>
  <c r="H188" i="18"/>
  <c r="H256" i="18"/>
  <c r="H187" i="18"/>
  <c r="H255" i="18"/>
  <c r="D153" i="18"/>
  <c r="D190" i="18"/>
  <c r="R190" i="18"/>
  <c r="R153" i="18"/>
  <c r="AC220" i="18"/>
  <c r="AC289" i="18"/>
  <c r="AD96" i="18"/>
  <c r="AD281" i="18"/>
  <c r="AD212" i="18"/>
  <c r="J55" i="18"/>
  <c r="J56" i="18"/>
  <c r="J34" i="18"/>
  <c r="D229" i="18"/>
  <c r="D298" i="18"/>
  <c r="D154" i="18"/>
  <c r="K213" i="18"/>
  <c r="K282" i="18"/>
  <c r="S277" i="18"/>
  <c r="S208" i="18"/>
  <c r="T84" i="18"/>
  <c r="V272" i="18"/>
  <c r="V274" i="18"/>
  <c r="V75" i="18"/>
  <c r="V80" i="18"/>
  <c r="V203" i="18"/>
  <c r="V205" i="18"/>
  <c r="V83" i="18"/>
  <c r="P279" i="18"/>
  <c r="P210" i="18"/>
  <c r="O221" i="18"/>
  <c r="O290" i="18"/>
  <c r="P97" i="18"/>
  <c r="T20" i="18"/>
  <c r="T26" i="18"/>
  <c r="W108" i="18"/>
  <c r="AD115" i="18"/>
  <c r="AD336" i="18"/>
  <c r="AD355" i="18"/>
  <c r="AC277" i="18"/>
  <c r="AC87" i="18"/>
  <c r="AC91" i="18" s="1"/>
  <c r="AC208" i="18"/>
  <c r="D32" i="18"/>
  <c r="D108" i="18"/>
  <c r="D50" i="18"/>
  <c r="D66" i="18"/>
  <c r="D68" i="18"/>
  <c r="U235" i="18"/>
  <c r="U304" i="18"/>
  <c r="U340" i="18"/>
  <c r="AE170" i="18"/>
  <c r="AE231" i="18"/>
  <c r="AE300" i="18"/>
  <c r="AE161" i="18"/>
  <c r="AE235" i="18"/>
  <c r="AE304" i="18"/>
  <c r="AE340" i="18"/>
  <c r="Q50" i="18"/>
  <c r="Q66" i="18"/>
  <c r="Q68" i="18"/>
  <c r="Q32" i="18"/>
  <c r="U164" i="18"/>
  <c r="U169" i="18"/>
  <c r="U162" i="18"/>
  <c r="U238" i="18"/>
  <c r="U307" i="18"/>
  <c r="U232" i="18"/>
  <c r="U301" i="18"/>
  <c r="U339" i="18"/>
  <c r="W330" i="18"/>
  <c r="W349" i="18"/>
  <c r="W126" i="18"/>
  <c r="R235" i="18"/>
  <c r="R304" i="18"/>
  <c r="R340" i="18"/>
  <c r="F156" i="18"/>
  <c r="F234" i="18"/>
  <c r="F303" i="18"/>
  <c r="F157" i="18"/>
  <c r="Q330" i="18"/>
  <c r="Q349" i="18"/>
  <c r="Q126" i="18"/>
  <c r="Q149" i="18"/>
  <c r="Q148" i="18"/>
  <c r="AG66" i="18"/>
  <c r="AG68" i="18"/>
  <c r="AG70" i="18"/>
  <c r="AG32" i="18"/>
  <c r="AG50" i="18"/>
  <c r="S340" i="18"/>
  <c r="S235" i="18"/>
  <c r="S304" i="18"/>
  <c r="U161" i="18"/>
  <c r="U231" i="18"/>
  <c r="U300" i="18"/>
  <c r="U170" i="18"/>
  <c r="R26" i="18"/>
  <c r="R20" i="18"/>
  <c r="AD277" i="18"/>
  <c r="AD208" i="18"/>
  <c r="G274" i="18"/>
  <c r="J156" i="18"/>
  <c r="J157" i="18"/>
  <c r="W221" i="18"/>
  <c r="X97" i="18"/>
  <c r="K97" i="18"/>
  <c r="W290" i="18"/>
  <c r="I190" i="18"/>
  <c r="I153" i="18"/>
  <c r="I175" i="18"/>
  <c r="I243" i="18"/>
  <c r="S164" i="18"/>
  <c r="S162" i="18"/>
  <c r="S232" i="18"/>
  <c r="S301" i="18"/>
  <c r="S169" i="18"/>
  <c r="S339" i="18"/>
  <c r="H157" i="18"/>
  <c r="H156" i="18"/>
  <c r="P50" i="18"/>
  <c r="P66" i="18"/>
  <c r="P68" i="18"/>
  <c r="P32" i="18"/>
  <c r="X284" i="18"/>
  <c r="X215" i="18"/>
  <c r="F154" i="18"/>
  <c r="F229" i="18"/>
  <c r="F298" i="18"/>
  <c r="I50" i="18"/>
  <c r="I108" i="18"/>
  <c r="I66" i="18"/>
  <c r="I68" i="18"/>
  <c r="I32" i="18"/>
  <c r="X229" i="18"/>
  <c r="X298" i="18"/>
  <c r="X154" i="18"/>
  <c r="V235" i="18"/>
  <c r="V304" i="18"/>
  <c r="V340" i="18"/>
  <c r="V229" i="18"/>
  <c r="V298" i="18"/>
  <c r="V154" i="18"/>
  <c r="G37" i="18"/>
  <c r="G57" i="18"/>
  <c r="K210" i="18"/>
  <c r="K279" i="18"/>
  <c r="K113" i="18"/>
  <c r="K335" i="18"/>
  <c r="K354" i="18"/>
  <c r="N32" i="18"/>
  <c r="N50" i="18"/>
  <c r="N66" i="18"/>
  <c r="N68" i="18"/>
  <c r="P108" i="18"/>
  <c r="AE330" i="18"/>
  <c r="AE349" i="18"/>
  <c r="AE126" i="18"/>
  <c r="K292" i="18"/>
  <c r="K223" i="18"/>
  <c r="AD52" i="18"/>
  <c r="AD141" i="18"/>
  <c r="AD146" i="18"/>
  <c r="K235" i="18"/>
  <c r="K304" i="18"/>
  <c r="K340" i="18"/>
  <c r="F190" i="18"/>
  <c r="F153" i="18"/>
  <c r="I182" i="18"/>
  <c r="I250" i="18"/>
  <c r="I235" i="18"/>
  <c r="I304" i="18"/>
  <c r="I319" i="18"/>
  <c r="I340" i="18"/>
  <c r="X190" i="18"/>
  <c r="X153" i="18"/>
  <c r="V234" i="18"/>
  <c r="V303" i="18"/>
  <c r="V153" i="18"/>
  <c r="V190" i="18"/>
  <c r="J148" i="18"/>
  <c r="J149" i="18"/>
  <c r="AD330" i="18"/>
  <c r="AD349" i="18"/>
  <c r="AD126" i="18"/>
  <c r="T52" i="18"/>
  <c r="T141" i="18"/>
  <c r="T146" i="18"/>
  <c r="P342" i="18"/>
  <c r="P359" i="18"/>
  <c r="K234" i="18"/>
  <c r="K303" i="18"/>
  <c r="O32" i="18"/>
  <c r="O66" i="18"/>
  <c r="O68" i="18"/>
  <c r="O50" i="18"/>
  <c r="I181" i="18"/>
  <c r="I249" i="18"/>
  <c r="I234" i="18"/>
  <c r="I303" i="18"/>
  <c r="I318" i="18"/>
  <c r="X340" i="18"/>
  <c r="X235" i="18"/>
  <c r="X304" i="18"/>
  <c r="AH32" i="18"/>
  <c r="AH66" i="18"/>
  <c r="AH68" i="18"/>
  <c r="AH50" i="18"/>
  <c r="V57" i="18"/>
  <c r="V37" i="18"/>
  <c r="W50" i="18"/>
  <c r="W66" i="18"/>
  <c r="W68" i="18"/>
  <c r="W32" i="18"/>
  <c r="X108" i="18"/>
  <c r="K92" i="18"/>
  <c r="G178" i="18"/>
  <c r="G246" i="18"/>
  <c r="G182" i="18"/>
  <c r="G250" i="18"/>
  <c r="G179" i="18"/>
  <c r="G247" i="18"/>
  <c r="G176" i="18"/>
  <c r="G244" i="18"/>
  <c r="G331" i="18"/>
  <c r="G175" i="18"/>
  <c r="G243" i="18"/>
  <c r="G240" i="18"/>
  <c r="G309" i="18"/>
  <c r="G181" i="18"/>
  <c r="G249" i="18"/>
  <c r="G332" i="18"/>
  <c r="G241" i="18"/>
  <c r="G310" i="18"/>
  <c r="AB50" i="18"/>
  <c r="AB32" i="18"/>
  <c r="AB66" i="18"/>
  <c r="AB68" i="18"/>
  <c r="X234" i="18"/>
  <c r="X303" i="18"/>
  <c r="P223" i="18"/>
  <c r="P292" i="18"/>
  <c r="H148" i="18"/>
  <c r="H149" i="18"/>
  <c r="AD26" i="18"/>
  <c r="AD108" i="18"/>
  <c r="AD20" i="18"/>
  <c r="P73" i="18"/>
  <c r="K229" i="18"/>
  <c r="K298" i="18"/>
  <c r="K154" i="18"/>
  <c r="AA50" i="18"/>
  <c r="AA32" i="18"/>
  <c r="AA66" i="18"/>
  <c r="AA68" i="18"/>
  <c r="G276" i="18"/>
  <c r="G87" i="18"/>
  <c r="G91" i="18" s="1"/>
  <c r="G207" i="18"/>
  <c r="G211" i="18"/>
  <c r="G216" i="18"/>
  <c r="G222" i="18"/>
  <c r="K115" i="18"/>
  <c r="K336" i="18"/>
  <c r="K355" i="18"/>
  <c r="K212" i="18"/>
  <c r="K281" i="18"/>
  <c r="K62" i="18"/>
  <c r="S231" i="18"/>
  <c r="S300" i="18"/>
  <c r="S170" i="18"/>
  <c r="S161" i="18"/>
  <c r="AD266" i="18"/>
  <c r="X266" i="18"/>
  <c r="K153" i="18"/>
  <c r="K190" i="18"/>
  <c r="F32" i="18"/>
  <c r="Q108" i="18"/>
  <c r="P284" i="18"/>
  <c r="P215" i="18"/>
  <c r="I176" i="18"/>
  <c r="I244" i="18"/>
  <c r="I154" i="18"/>
  <c r="I229" i="18"/>
  <c r="I298" i="18"/>
  <c r="I313" i="18"/>
  <c r="Y50" i="18"/>
  <c r="Y108" i="18"/>
  <c r="Y66" i="18"/>
  <c r="Y68" i="18"/>
  <c r="Y32" i="18"/>
  <c r="E34" i="18"/>
  <c r="E56" i="18"/>
  <c r="E55" i="18"/>
  <c r="S75" i="18"/>
  <c r="S203" i="18"/>
  <c r="S205" i="18"/>
  <c r="S83" i="18"/>
  <c r="S80" i="18"/>
  <c r="S272" i="18"/>
  <c r="S274" i="18"/>
  <c r="W229" i="18"/>
  <c r="W298" i="18"/>
  <c r="W154" i="18"/>
  <c r="W190" i="18"/>
  <c r="W153" i="18"/>
  <c r="E268" i="18"/>
  <c r="E69" i="18"/>
  <c r="E200" i="18"/>
  <c r="E109" i="18"/>
  <c r="G69" i="18"/>
  <c r="G200" i="18"/>
  <c r="E199" i="18"/>
  <c r="E201" i="18"/>
  <c r="E73" i="18"/>
  <c r="E70" i="18"/>
  <c r="K287" i="18"/>
  <c r="K218" i="18"/>
  <c r="S108" i="18"/>
  <c r="F66" i="18"/>
  <c r="F68" i="18"/>
  <c r="F70" i="18"/>
  <c r="F50" i="18"/>
  <c r="H37" i="18"/>
  <c r="H57" i="18"/>
  <c r="R108" i="18"/>
  <c r="W359" i="18"/>
  <c r="W342" i="18"/>
  <c r="W361" i="18"/>
  <c r="AC268" i="18"/>
  <c r="AC270" i="18"/>
  <c r="AC70" i="18"/>
  <c r="AC199" i="18"/>
  <c r="AC201" i="18"/>
  <c r="M56" i="18"/>
  <c r="M55" i="18"/>
  <c r="M34" i="18"/>
  <c r="AD290" i="18"/>
  <c r="AD221" i="18"/>
  <c r="K214" i="18"/>
  <c r="K283" i="18"/>
  <c r="M199" i="18"/>
  <c r="M201" i="18"/>
  <c r="M70" i="18"/>
  <c r="M73" i="18"/>
  <c r="M268" i="18"/>
  <c r="M270" i="18"/>
  <c r="G342" i="18"/>
  <c r="G361" i="18"/>
  <c r="G359" i="18"/>
  <c r="I349" i="18"/>
  <c r="I352" i="18"/>
  <c r="I333" i="18"/>
  <c r="K20" i="18"/>
  <c r="K26" i="18"/>
  <c r="Y232" i="18"/>
  <c r="Y301" i="18"/>
  <c r="Y164" i="18"/>
  <c r="Y162" i="18"/>
  <c r="Y238" i="18"/>
  <c r="Y307" i="18"/>
  <c r="Y169" i="18"/>
  <c r="Y339" i="18"/>
  <c r="AC56" i="18"/>
  <c r="AC55" i="18"/>
  <c r="AC34" i="18"/>
  <c r="U37" i="18"/>
  <c r="U60" i="18"/>
  <c r="U57" i="18"/>
  <c r="Y170" i="18"/>
  <c r="Y231" i="18"/>
  <c r="Y300" i="18"/>
  <c r="Y161" i="18"/>
  <c r="X50" i="18"/>
  <c r="X66" i="18"/>
  <c r="X68" i="18"/>
  <c r="X32" i="18"/>
  <c r="G339" i="18"/>
  <c r="G232" i="18"/>
  <c r="G301" i="18"/>
  <c r="G316" i="18"/>
  <c r="G162" i="18"/>
  <c r="G169" i="18"/>
  <c r="G164" i="18"/>
  <c r="U203" i="18"/>
  <c r="U205" i="18"/>
  <c r="U272" i="18"/>
  <c r="U274" i="18"/>
  <c r="X73" i="18"/>
  <c r="U83" i="18"/>
  <c r="U75" i="18"/>
  <c r="U80" i="18"/>
  <c r="G170" i="18"/>
  <c r="G231" i="18"/>
  <c r="G300" i="18"/>
  <c r="G315" i="18"/>
  <c r="G161" i="18"/>
  <c r="Y359" i="18"/>
  <c r="Y342" i="18"/>
  <c r="Y361" i="18"/>
  <c r="AE199" i="18"/>
  <c r="AE201" i="18"/>
  <c r="AE268" i="18"/>
  <c r="AE270" i="18"/>
  <c r="AE70" i="18"/>
  <c r="AE34" i="18"/>
  <c r="AE56" i="18"/>
  <c r="AE55" i="18"/>
  <c r="V276" i="18"/>
  <c r="V87" i="18"/>
  <c r="V91" i="18" s="1"/>
  <c r="V207" i="18"/>
  <c r="P229" i="18"/>
  <c r="P298" i="18"/>
  <c r="P154" i="18"/>
  <c r="D109" i="18"/>
  <c r="D69" i="18"/>
  <c r="D200" i="18"/>
  <c r="D73" i="18"/>
  <c r="D199" i="18"/>
  <c r="D201" i="18"/>
  <c r="D70" i="18"/>
  <c r="D268" i="18"/>
  <c r="D270" i="18"/>
  <c r="D161" i="18"/>
  <c r="D231" i="18"/>
  <c r="D300" i="18"/>
  <c r="D170" i="18"/>
  <c r="H241" i="18"/>
  <c r="H310" i="18"/>
  <c r="H332" i="18"/>
  <c r="H351" i="18"/>
  <c r="Q153" i="18"/>
  <c r="Q190" i="18"/>
  <c r="Q70" i="18"/>
  <c r="Q69" i="18"/>
  <c r="Q199" i="18"/>
  <c r="Q201" i="18"/>
  <c r="Q73" i="18"/>
  <c r="Q268" i="18"/>
  <c r="Q235" i="18"/>
  <c r="Q304" i="18"/>
  <c r="Q340" i="18"/>
  <c r="H276" i="18"/>
  <c r="H87" i="18"/>
  <c r="H91" i="18" s="1"/>
  <c r="H207" i="18"/>
  <c r="H211" i="18"/>
  <c r="H216" i="18"/>
  <c r="H222" i="18"/>
  <c r="U342" i="18"/>
  <c r="U361" i="18"/>
  <c r="U359" i="18"/>
  <c r="AE339" i="18"/>
  <c r="AE169" i="18"/>
  <c r="AE164" i="18"/>
  <c r="AE232" i="18"/>
  <c r="AE301" i="18"/>
  <c r="AE162" i="18"/>
  <c r="AE238" i="18"/>
  <c r="AE307" i="18"/>
  <c r="Q56" i="18"/>
  <c r="Q55" i="18"/>
  <c r="Q34" i="18"/>
  <c r="AE237" i="18"/>
  <c r="AE306" i="18"/>
  <c r="AE228" i="18"/>
  <c r="AE297" i="18"/>
  <c r="P290" i="18"/>
  <c r="P221" i="18"/>
  <c r="Q229" i="18"/>
  <c r="Q298" i="18"/>
  <c r="Q154" i="18"/>
  <c r="AD289" i="18"/>
  <c r="AD220" i="18"/>
  <c r="H331" i="18"/>
  <c r="H240" i="18"/>
  <c r="H309" i="18"/>
  <c r="AG55" i="18"/>
  <c r="AG34" i="18"/>
  <c r="AG56" i="18"/>
  <c r="H274" i="18"/>
  <c r="I273" i="18"/>
  <c r="R50" i="18"/>
  <c r="R66" i="18"/>
  <c r="R68" i="18"/>
  <c r="R109" i="18"/>
  <c r="R32" i="18"/>
  <c r="U108" i="18"/>
  <c r="T108" i="18"/>
  <c r="U237" i="18"/>
  <c r="U306" i="18"/>
  <c r="U228" i="18"/>
  <c r="U297" i="18"/>
  <c r="U358" i="18"/>
  <c r="U341" i="18"/>
  <c r="U360" i="18"/>
  <c r="AE359" i="18"/>
  <c r="AE342" i="18"/>
  <c r="AE361" i="18"/>
  <c r="D55" i="18"/>
  <c r="D56" i="18"/>
  <c r="D34" i="18"/>
  <c r="T208" i="18"/>
  <c r="T277" i="18"/>
  <c r="D162" i="18"/>
  <c r="D169" i="18"/>
  <c r="D164" i="18"/>
  <c r="D339" i="18"/>
  <c r="D232" i="18"/>
  <c r="D301" i="18"/>
  <c r="R164" i="18"/>
  <c r="R162" i="18"/>
  <c r="R238" i="18"/>
  <c r="R307" i="18"/>
  <c r="R339" i="18"/>
  <c r="R232" i="18"/>
  <c r="R301" i="18"/>
  <c r="R169" i="18"/>
  <c r="D359" i="18"/>
  <c r="D342" i="18"/>
  <c r="D361" i="18"/>
  <c r="T32" i="18"/>
  <c r="T66" i="18"/>
  <c r="T68" i="18"/>
  <c r="T50" i="18"/>
  <c r="V108" i="18"/>
  <c r="R359" i="18"/>
  <c r="R342" i="18"/>
  <c r="R361" i="18"/>
  <c r="AC211" i="18"/>
  <c r="AC280" i="18"/>
  <c r="S342" i="18"/>
  <c r="S361" i="18"/>
  <c r="S359" i="18"/>
  <c r="F235" i="18"/>
  <c r="F304" i="18"/>
  <c r="F340" i="18"/>
  <c r="J37" i="18"/>
  <c r="J57" i="18"/>
  <c r="R170" i="18"/>
  <c r="R161" i="18"/>
  <c r="R231" i="18"/>
  <c r="R300" i="18"/>
  <c r="P220" i="18"/>
  <c r="P289" i="18"/>
  <c r="J188" i="18"/>
  <c r="J256" i="18"/>
  <c r="J187" i="18"/>
  <c r="J255" i="18"/>
  <c r="P190" i="18"/>
  <c r="P153" i="18"/>
  <c r="K290" i="18"/>
  <c r="K221" i="18"/>
  <c r="K231" i="18"/>
  <c r="K300" i="18"/>
  <c r="K170" i="18"/>
  <c r="K161" i="18"/>
  <c r="O73" i="18"/>
  <c r="AC74" i="18" s="1"/>
  <c r="O268" i="18"/>
  <c r="S69" i="18"/>
  <c r="AC69" i="18"/>
  <c r="AC200" i="18"/>
  <c r="O70" i="18"/>
  <c r="O199" i="18"/>
  <c r="O201" i="18"/>
  <c r="T157" i="18"/>
  <c r="T156" i="18"/>
  <c r="J154" i="18"/>
  <c r="J176" i="18"/>
  <c r="J244" i="18"/>
  <c r="J229" i="18"/>
  <c r="J298" i="18"/>
  <c r="J313" i="18"/>
  <c r="X161" i="18"/>
  <c r="X170" i="18"/>
  <c r="X231" i="18"/>
  <c r="X300" i="18"/>
  <c r="N268" i="18"/>
  <c r="N270" i="18"/>
  <c r="N70" i="18"/>
  <c r="N199" i="18"/>
  <c r="N201" i="18"/>
  <c r="P109" i="18"/>
  <c r="N73" i="18"/>
  <c r="J175" i="18"/>
  <c r="J243" i="18"/>
  <c r="J190" i="18"/>
  <c r="J153" i="18"/>
  <c r="AA199" i="18"/>
  <c r="AA201" i="18"/>
  <c r="AA73" i="18"/>
  <c r="AE74" i="18" s="1"/>
  <c r="AA70" i="18"/>
  <c r="AA268" i="18"/>
  <c r="AA69" i="18"/>
  <c r="AA200" i="18"/>
  <c r="U69" i="18"/>
  <c r="H153" i="18"/>
  <c r="H190" i="18"/>
  <c r="H175" i="18"/>
  <c r="H243" i="18"/>
  <c r="W70" i="18"/>
  <c r="W199" i="18"/>
  <c r="W201" i="18"/>
  <c r="W268" i="18"/>
  <c r="W270" i="18"/>
  <c r="W69" i="18"/>
  <c r="X109" i="18"/>
  <c r="K359" i="18"/>
  <c r="K342" i="18"/>
  <c r="N55" i="18"/>
  <c r="N56" i="18"/>
  <c r="N34" i="18"/>
  <c r="G114" i="18"/>
  <c r="G60" i="18"/>
  <c r="X162" i="18"/>
  <c r="X232" i="18"/>
  <c r="X301" i="18"/>
  <c r="X164" i="18"/>
  <c r="X169" i="18"/>
  <c r="X339" i="18"/>
  <c r="P56" i="18"/>
  <c r="P55" i="18"/>
  <c r="P34" i="18"/>
  <c r="AA34" i="18"/>
  <c r="AA56" i="18"/>
  <c r="AA55" i="18"/>
  <c r="AD66" i="18"/>
  <c r="AD68" i="18"/>
  <c r="AD69" i="18" s="1"/>
  <c r="AE109" i="18"/>
  <c r="AD50" i="18"/>
  <c r="AD32" i="18"/>
  <c r="V60" i="18"/>
  <c r="I345" i="18"/>
  <c r="I359" i="18"/>
  <c r="I364" i="18"/>
  <c r="I342" i="18"/>
  <c r="P268" i="18"/>
  <c r="P270" i="18"/>
  <c r="P70" i="18"/>
  <c r="P199" i="18"/>
  <c r="P201" i="18"/>
  <c r="S238" i="18"/>
  <c r="S307" i="18"/>
  <c r="J182" i="18"/>
  <c r="J250" i="18"/>
  <c r="J235" i="18"/>
  <c r="J304" i="18"/>
  <c r="J319" i="18"/>
  <c r="J340" i="18"/>
  <c r="G333" i="18"/>
  <c r="G350" i="18"/>
  <c r="G343" i="18"/>
  <c r="G351" i="18"/>
  <c r="G345" i="18"/>
  <c r="G346" i="18"/>
  <c r="X359" i="18"/>
  <c r="X342" i="18"/>
  <c r="V231" i="18"/>
  <c r="V300" i="18"/>
  <c r="V161" i="18"/>
  <c r="V170" i="18"/>
  <c r="V232" i="18"/>
  <c r="V301" i="18"/>
  <c r="V339" i="18"/>
  <c r="V164" i="18"/>
  <c r="V162" i="18"/>
  <c r="V169" i="18"/>
  <c r="J181" i="18"/>
  <c r="J249" i="18"/>
  <c r="J234" i="18"/>
  <c r="J303" i="18"/>
  <c r="J318" i="18"/>
  <c r="W55" i="18"/>
  <c r="W56" i="18"/>
  <c r="W34" i="18"/>
  <c r="X290" i="18"/>
  <c r="X221" i="18"/>
  <c r="S237" i="18"/>
  <c r="S306" i="18"/>
  <c r="S228" i="18"/>
  <c r="S297" i="18"/>
  <c r="F56" i="18"/>
  <c r="F55" i="18"/>
  <c r="F34" i="18"/>
  <c r="AB268" i="18"/>
  <c r="V69" i="18"/>
  <c r="AB199" i="18"/>
  <c r="AB201" i="18"/>
  <c r="AB69" i="18"/>
  <c r="AB200" i="18"/>
  <c r="AB73" i="18"/>
  <c r="AB70" i="18"/>
  <c r="AD148" i="18"/>
  <c r="AD149" i="18"/>
  <c r="H234" i="18"/>
  <c r="H303" i="18"/>
  <c r="H181" i="18"/>
  <c r="H249" i="18"/>
  <c r="P80" i="18"/>
  <c r="P83" i="18"/>
  <c r="P75" i="18"/>
  <c r="P272" i="18"/>
  <c r="P274" i="18"/>
  <c r="P203" i="18"/>
  <c r="P205" i="18"/>
  <c r="O34" i="18"/>
  <c r="O55" i="18"/>
  <c r="O56" i="18"/>
  <c r="G280" i="18"/>
  <c r="K232" i="18"/>
  <c r="K301" i="18"/>
  <c r="K164" i="18"/>
  <c r="K339" i="18"/>
  <c r="K169" i="18"/>
  <c r="K162" i="18"/>
  <c r="AE108" i="18"/>
  <c r="K284" i="18"/>
  <c r="K215" i="18"/>
  <c r="AH70" i="18"/>
  <c r="AH69" i="18"/>
  <c r="P361" i="18"/>
  <c r="AD157" i="18"/>
  <c r="AD156" i="18"/>
  <c r="I34" i="18"/>
  <c r="I55" i="18"/>
  <c r="I56" i="18"/>
  <c r="H235" i="18"/>
  <c r="H304" i="18"/>
  <c r="H319" i="18"/>
  <c r="H340" i="18"/>
  <c r="H182" i="18"/>
  <c r="H250" i="18"/>
  <c r="I178" i="18"/>
  <c r="I246" i="18"/>
  <c r="I231" i="18"/>
  <c r="I300" i="18"/>
  <c r="I315" i="18"/>
  <c r="I161" i="18"/>
  <c r="I170" i="18"/>
  <c r="H154" i="18"/>
  <c r="H229" i="18"/>
  <c r="H298" i="18"/>
  <c r="H176" i="18"/>
  <c r="H244" i="18"/>
  <c r="F162" i="18"/>
  <c r="F232" i="18"/>
  <c r="F301" i="18"/>
  <c r="F164" i="18"/>
  <c r="F339" i="18"/>
  <c r="F169" i="18"/>
  <c r="I169" i="18"/>
  <c r="I162" i="18"/>
  <c r="I339" i="18"/>
  <c r="I232" i="18"/>
  <c r="I301" i="18"/>
  <c r="I316" i="18"/>
  <c r="I179" i="18"/>
  <c r="I247" i="18"/>
  <c r="I164" i="18"/>
  <c r="AB34" i="18"/>
  <c r="AB56" i="18"/>
  <c r="AB55" i="18"/>
  <c r="G313" i="18"/>
  <c r="G318" i="18"/>
  <c r="G325" i="18"/>
  <c r="G319" i="18"/>
  <c r="G324" i="18"/>
  <c r="AH56" i="18"/>
  <c r="AH55" i="18"/>
  <c r="AH34" i="18"/>
  <c r="T149" i="18"/>
  <c r="T148" i="18"/>
  <c r="F161" i="18"/>
  <c r="F231" i="18"/>
  <c r="F300" i="18"/>
  <c r="F170" i="18"/>
  <c r="V359" i="18"/>
  <c r="V342" i="18"/>
  <c r="I268" i="18"/>
  <c r="I72" i="18"/>
  <c r="I199" i="18"/>
  <c r="I201" i="18"/>
  <c r="I109" i="18"/>
  <c r="J69" i="18"/>
  <c r="J200" i="18"/>
  <c r="I69" i="18"/>
  <c r="I200" i="18"/>
  <c r="I70" i="18"/>
  <c r="S341" i="18"/>
  <c r="S358" i="18"/>
  <c r="Y55" i="18"/>
  <c r="Y56" i="18"/>
  <c r="Y34" i="18"/>
  <c r="Y268" i="18"/>
  <c r="Y109" i="18"/>
  <c r="Y70" i="18"/>
  <c r="Y199" i="18"/>
  <c r="Y201" i="18"/>
  <c r="Y69" i="18"/>
  <c r="Y200" i="18"/>
  <c r="S109" i="18"/>
  <c r="R69" i="18"/>
  <c r="R200" i="18"/>
  <c r="S276" i="18"/>
  <c r="S207" i="18"/>
  <c r="S87" i="18"/>
  <c r="S91" i="18" s="1"/>
  <c r="E270" i="18"/>
  <c r="G269" i="18"/>
  <c r="F109" i="18"/>
  <c r="W170" i="18"/>
  <c r="W231" i="18"/>
  <c r="W300" i="18"/>
  <c r="W161" i="18"/>
  <c r="F69" i="18"/>
  <c r="F200" i="18"/>
  <c r="E80" i="18"/>
  <c r="E111" i="18"/>
  <c r="E83" i="18"/>
  <c r="G74" i="18"/>
  <c r="G204" i="18"/>
  <c r="E110" i="18"/>
  <c r="E272" i="18"/>
  <c r="E74" i="18"/>
  <c r="E204" i="18"/>
  <c r="E203" i="18"/>
  <c r="E205" i="18"/>
  <c r="E75" i="18"/>
  <c r="W339" i="18"/>
  <c r="W162" i="18"/>
  <c r="W238" i="18"/>
  <c r="W307" i="18"/>
  <c r="W232" i="18"/>
  <c r="W301" i="18"/>
  <c r="W164" i="18"/>
  <c r="W169" i="18"/>
  <c r="F199" i="18"/>
  <c r="F201" i="18"/>
  <c r="E37" i="18"/>
  <c r="E57" i="18"/>
  <c r="F73" i="18"/>
  <c r="F268" i="18"/>
  <c r="H114" i="18"/>
  <c r="H60" i="18"/>
  <c r="Q109" i="18"/>
  <c r="K32" i="18"/>
  <c r="K108" i="18"/>
  <c r="K50" i="18"/>
  <c r="K66" i="18"/>
  <c r="K68" i="18"/>
  <c r="M37" i="18"/>
  <c r="M60" i="18"/>
  <c r="M57" i="18"/>
  <c r="H313" i="18"/>
  <c r="U87" i="18"/>
  <c r="U91" i="18" s="1"/>
  <c r="U276" i="18"/>
  <c r="U207" i="18"/>
  <c r="G358" i="18"/>
  <c r="G362" i="18"/>
  <c r="G341" i="18"/>
  <c r="Y358" i="18"/>
  <c r="Y341" i="18"/>
  <c r="Y360" i="18"/>
  <c r="Y110" i="18"/>
  <c r="K73" i="18"/>
  <c r="X80" i="18"/>
  <c r="X110" i="18"/>
  <c r="X203" i="18"/>
  <c r="X205" i="18"/>
  <c r="X75" i="18"/>
  <c r="X272" i="18"/>
  <c r="X274" i="18"/>
  <c r="X83" i="18"/>
  <c r="X34" i="18"/>
  <c r="X55" i="18"/>
  <c r="X56" i="18"/>
  <c r="X268" i="18"/>
  <c r="X270" i="18"/>
  <c r="X70" i="18"/>
  <c r="X199" i="18"/>
  <c r="X201" i="18"/>
  <c r="G237" i="18"/>
  <c r="G306" i="18"/>
  <c r="G321" i="18"/>
  <c r="G228" i="18"/>
  <c r="G297" i="18"/>
  <c r="G312" i="18"/>
  <c r="G184" i="18"/>
  <c r="G252" i="18"/>
  <c r="AC37" i="18"/>
  <c r="AC60" i="18"/>
  <c r="AC57" i="18"/>
  <c r="G238" i="18"/>
  <c r="G307" i="18"/>
  <c r="G322" i="18"/>
  <c r="G185" i="18"/>
  <c r="G253" i="18"/>
  <c r="H318" i="18"/>
  <c r="Y237" i="18"/>
  <c r="Y306" i="18"/>
  <c r="Y228" i="18"/>
  <c r="Y297" i="18"/>
  <c r="M83" i="18"/>
  <c r="M75" i="18"/>
  <c r="M80" i="18"/>
  <c r="M203" i="18"/>
  <c r="M205" i="18"/>
  <c r="M272" i="18"/>
  <c r="M274" i="18"/>
  <c r="AE57" i="18"/>
  <c r="AE37" i="18"/>
  <c r="AE60" i="18"/>
  <c r="D341" i="18"/>
  <c r="D358" i="18"/>
  <c r="Q270" i="18"/>
  <c r="J60" i="18"/>
  <c r="J114" i="18"/>
  <c r="T56" i="18"/>
  <c r="T34" i="18"/>
  <c r="T55" i="18"/>
  <c r="R358" i="18"/>
  <c r="R341" i="18"/>
  <c r="R360" i="18"/>
  <c r="D57" i="18"/>
  <c r="D37" i="18"/>
  <c r="AE204" i="18"/>
  <c r="Q75" i="18"/>
  <c r="Q203" i="18"/>
  <c r="Q205" i="18"/>
  <c r="Q80" i="18"/>
  <c r="Q272" i="18"/>
  <c r="Q83" i="18"/>
  <c r="Q74" i="18"/>
  <c r="AG57" i="18"/>
  <c r="AG37" i="18"/>
  <c r="AG60" i="18"/>
  <c r="H280" i="18"/>
  <c r="D188" i="18"/>
  <c r="D256" i="18"/>
  <c r="D187" i="18"/>
  <c r="D255" i="18"/>
  <c r="T268" i="18"/>
  <c r="T270" i="18"/>
  <c r="T73" i="18"/>
  <c r="V109" i="18"/>
  <c r="T70" i="18"/>
  <c r="T199" i="18"/>
  <c r="T201" i="18"/>
  <c r="T69" i="18"/>
  <c r="T200" i="18"/>
  <c r="R55" i="18"/>
  <c r="R34" i="18"/>
  <c r="R56" i="18"/>
  <c r="H325" i="18"/>
  <c r="H324" i="18"/>
  <c r="Q342" i="18"/>
  <c r="Q361" i="18"/>
  <c r="Q359" i="18"/>
  <c r="D228" i="18"/>
  <c r="D297" i="18"/>
  <c r="D237" i="18"/>
  <c r="D306" i="18"/>
  <c r="Q162" i="18"/>
  <c r="Q238" i="18"/>
  <c r="Q307" i="18"/>
  <c r="Q169" i="18"/>
  <c r="Q164" i="18"/>
  <c r="Q339" i="18"/>
  <c r="Q232" i="18"/>
  <c r="Q301" i="18"/>
  <c r="D238" i="18"/>
  <c r="D307" i="18"/>
  <c r="P339" i="18"/>
  <c r="P164" i="18"/>
  <c r="P232" i="18"/>
  <c r="P301" i="18"/>
  <c r="P169" i="18"/>
  <c r="P162" i="18"/>
  <c r="P238" i="18"/>
  <c r="P307" i="18"/>
  <c r="F359" i="18"/>
  <c r="F342" i="18"/>
  <c r="F361" i="18"/>
  <c r="R73" i="18"/>
  <c r="R110" i="18"/>
  <c r="R70" i="18"/>
  <c r="R199" i="18"/>
  <c r="R201" i="18"/>
  <c r="R268" i="18"/>
  <c r="R270" i="18"/>
  <c r="U109" i="18"/>
  <c r="H350" i="18"/>
  <c r="H352" i="18"/>
  <c r="H333" i="18"/>
  <c r="Q200" i="18"/>
  <c r="Q269" i="18"/>
  <c r="W109" i="18"/>
  <c r="W187" i="18"/>
  <c r="W255" i="18"/>
  <c r="R237" i="18"/>
  <c r="R306" i="18"/>
  <c r="R228" i="18"/>
  <c r="R297" i="18"/>
  <c r="T109" i="18"/>
  <c r="AE358" i="18"/>
  <c r="AE341" i="18"/>
  <c r="AE360" i="18"/>
  <c r="V280" i="18"/>
  <c r="V211" i="18"/>
  <c r="D74" i="18"/>
  <c r="D204" i="18"/>
  <c r="D75" i="18"/>
  <c r="D83" i="18"/>
  <c r="D272" i="18"/>
  <c r="D274" i="18"/>
  <c r="D203" i="18"/>
  <c r="D205" i="18"/>
  <c r="D80" i="18"/>
  <c r="D111" i="18"/>
  <c r="D185" i="18"/>
  <c r="D253" i="18"/>
  <c r="D110" i="18"/>
  <c r="P170" i="18"/>
  <c r="P161" i="18"/>
  <c r="P231" i="18"/>
  <c r="P300" i="18"/>
  <c r="Q57" i="18"/>
  <c r="Q37" i="18"/>
  <c r="Q60" i="18"/>
  <c r="Q161" i="18"/>
  <c r="Q170" i="18"/>
  <c r="Q231" i="18"/>
  <c r="Q300" i="18"/>
  <c r="I57" i="18"/>
  <c r="I37" i="18"/>
  <c r="V341" i="18"/>
  <c r="V358" i="18"/>
  <c r="AD70" i="18"/>
  <c r="AD268" i="18"/>
  <c r="AD199" i="18"/>
  <c r="AD201" i="18"/>
  <c r="AD200" i="18"/>
  <c r="X69" i="18"/>
  <c r="X200" i="18"/>
  <c r="X358" i="18"/>
  <c r="X341" i="18"/>
  <c r="W200" i="18"/>
  <c r="W269" i="18"/>
  <c r="Q188" i="18"/>
  <c r="Q256" i="18"/>
  <c r="Q187" i="18"/>
  <c r="Q255" i="18"/>
  <c r="T234" i="18"/>
  <c r="T303" i="18"/>
  <c r="S360" i="18"/>
  <c r="I269" i="18"/>
  <c r="I270" i="18"/>
  <c r="J269" i="18"/>
  <c r="AD234" i="18"/>
  <c r="AD303" i="18"/>
  <c r="AE187" i="18"/>
  <c r="AE255" i="18"/>
  <c r="AE188" i="18"/>
  <c r="AE256" i="18"/>
  <c r="R188" i="18"/>
  <c r="R256" i="18"/>
  <c r="R187" i="18"/>
  <c r="R255" i="18"/>
  <c r="V200" i="18"/>
  <c r="V269" i="18"/>
  <c r="T190" i="18"/>
  <c r="T153" i="18"/>
  <c r="AB57" i="18"/>
  <c r="AB37" i="18"/>
  <c r="H342" i="18"/>
  <c r="H359" i="18"/>
  <c r="H364" i="18"/>
  <c r="H345" i="18"/>
  <c r="AD340" i="18"/>
  <c r="AD235" i="18"/>
  <c r="AD304" i="18"/>
  <c r="AB270" i="18"/>
  <c r="AB269" i="18"/>
  <c r="F57" i="18"/>
  <c r="F37" i="18"/>
  <c r="W57" i="18"/>
  <c r="W37" i="18"/>
  <c r="G364" i="18"/>
  <c r="G365" i="18"/>
  <c r="AA57" i="18"/>
  <c r="AA37" i="18"/>
  <c r="K361" i="18"/>
  <c r="H161" i="18"/>
  <c r="H231" i="18"/>
  <c r="H300" i="18"/>
  <c r="H315" i="18"/>
  <c r="H170" i="18"/>
  <c r="H178" i="18"/>
  <c r="H246" i="18"/>
  <c r="N83" i="18"/>
  <c r="N80" i="18"/>
  <c r="N272" i="18"/>
  <c r="N274" i="18"/>
  <c r="N75" i="18"/>
  <c r="N203" i="18"/>
  <c r="N205" i="18"/>
  <c r="P110" i="18"/>
  <c r="K237" i="18"/>
  <c r="K306" i="18"/>
  <c r="K228" i="18"/>
  <c r="K297" i="18"/>
  <c r="J359" i="18"/>
  <c r="J364" i="18"/>
  <c r="J342" i="18"/>
  <c r="J345" i="18"/>
  <c r="V361" i="18"/>
  <c r="V228" i="18"/>
  <c r="V297" i="18"/>
  <c r="V237" i="18"/>
  <c r="V306" i="18"/>
  <c r="T269" i="18"/>
  <c r="P57" i="18"/>
  <c r="P37" i="18"/>
  <c r="P60" i="18"/>
  <c r="X238" i="18"/>
  <c r="X307" i="18"/>
  <c r="U200" i="18"/>
  <c r="U269" i="18"/>
  <c r="F110" i="18"/>
  <c r="F272" i="18"/>
  <c r="F80" i="18"/>
  <c r="F83" i="18"/>
  <c r="F75" i="18"/>
  <c r="F203" i="18"/>
  <c r="F205" i="18"/>
  <c r="S110" i="18"/>
  <c r="F74" i="18"/>
  <c r="F204" i="18"/>
  <c r="Q110" i="18"/>
  <c r="P187" i="18"/>
  <c r="P255" i="18"/>
  <c r="P188" i="18"/>
  <c r="P256" i="18"/>
  <c r="X228" i="18"/>
  <c r="X297" i="18"/>
  <c r="X237" i="18"/>
  <c r="X306" i="18"/>
  <c r="F228" i="18"/>
  <c r="F297" i="18"/>
  <c r="F237" i="18"/>
  <c r="F306" i="18"/>
  <c r="O57" i="18"/>
  <c r="O37" i="18"/>
  <c r="O60" i="18"/>
  <c r="AA80" i="18"/>
  <c r="AA203" i="18"/>
  <c r="AA205" i="18"/>
  <c r="AA83" i="18"/>
  <c r="AA272" i="18"/>
  <c r="AA75" i="18"/>
  <c r="AD73" i="18"/>
  <c r="AD74" i="18" s="1"/>
  <c r="AE110" i="18"/>
  <c r="AA74" i="18"/>
  <c r="AA204" i="18"/>
  <c r="U74" i="18"/>
  <c r="T154" i="18"/>
  <c r="T229" i="18"/>
  <c r="T298" i="18"/>
  <c r="I358" i="18"/>
  <c r="I362" i="18"/>
  <c r="I341" i="18"/>
  <c r="I343" i="18"/>
  <c r="AH37" i="18"/>
  <c r="AH60" i="18"/>
  <c r="AH57" i="18"/>
  <c r="I185" i="18"/>
  <c r="I253" i="18"/>
  <c r="I238" i="18"/>
  <c r="I307" i="18"/>
  <c r="I322" i="18"/>
  <c r="K238" i="18"/>
  <c r="K307" i="18"/>
  <c r="P87" i="18"/>
  <c r="P91" i="18" s="1"/>
  <c r="P276" i="18"/>
  <c r="P207" i="18"/>
  <c r="F270" i="18"/>
  <c r="F269" i="18"/>
  <c r="S269" i="18"/>
  <c r="S200" i="18"/>
  <c r="F358" i="18"/>
  <c r="F341" i="18"/>
  <c r="T340" i="18"/>
  <c r="T235" i="18"/>
  <c r="T304" i="18"/>
  <c r="F238" i="18"/>
  <c r="F307" i="18"/>
  <c r="AD154" i="18"/>
  <c r="AD229" i="18"/>
  <c r="AD298" i="18"/>
  <c r="AB80" i="18"/>
  <c r="AB74" i="18"/>
  <c r="AB204" i="18"/>
  <c r="AB75" i="18"/>
  <c r="AB203" i="18"/>
  <c r="AB205" i="18"/>
  <c r="AB83" i="18"/>
  <c r="AB272" i="18"/>
  <c r="V74" i="18"/>
  <c r="V238" i="18"/>
  <c r="V307" i="18"/>
  <c r="AD34" i="18"/>
  <c r="AD55" i="18"/>
  <c r="AD56" i="18"/>
  <c r="X187" i="18"/>
  <c r="X255" i="18"/>
  <c r="X188" i="18"/>
  <c r="X256" i="18"/>
  <c r="AA270" i="18"/>
  <c r="AA269" i="18"/>
  <c r="F187" i="18"/>
  <c r="F255" i="18"/>
  <c r="F188" i="18"/>
  <c r="F256" i="18"/>
  <c r="S188" i="18"/>
  <c r="S256" i="18"/>
  <c r="S187" i="18"/>
  <c r="S255" i="18"/>
  <c r="R269" i="18"/>
  <c r="O270" i="18"/>
  <c r="AC269" i="18"/>
  <c r="I188" i="18"/>
  <c r="I256" i="18"/>
  <c r="I187" i="18"/>
  <c r="I255" i="18"/>
  <c r="H232" i="18"/>
  <c r="H301" i="18"/>
  <c r="H316" i="18"/>
  <c r="H164" i="18"/>
  <c r="H162" i="18"/>
  <c r="H169" i="18"/>
  <c r="H179" i="18"/>
  <c r="H247" i="18"/>
  <c r="H339" i="18"/>
  <c r="I228" i="18"/>
  <c r="I297" i="18"/>
  <c r="I312" i="18"/>
  <c r="I237" i="18"/>
  <c r="I306" i="18"/>
  <c r="I321" i="18"/>
  <c r="I184" i="18"/>
  <c r="I252" i="18"/>
  <c r="K358" i="18"/>
  <c r="K341" i="18"/>
  <c r="AD153" i="18"/>
  <c r="AD190" i="18"/>
  <c r="X361" i="18"/>
  <c r="G352" i="18"/>
  <c r="I361" i="18"/>
  <c r="I365" i="18"/>
  <c r="I346" i="18"/>
  <c r="N37" i="18"/>
  <c r="N57" i="18"/>
  <c r="AD109" i="18"/>
  <c r="J161" i="18"/>
  <c r="J178" i="18"/>
  <c r="J246" i="18"/>
  <c r="J170" i="18"/>
  <c r="J231" i="18"/>
  <c r="J300" i="18"/>
  <c r="J315" i="18"/>
  <c r="J232" i="18"/>
  <c r="J301" i="18"/>
  <c r="J316" i="18"/>
  <c r="J339" i="18"/>
  <c r="J169" i="18"/>
  <c r="J162" i="18"/>
  <c r="J164" i="18"/>
  <c r="J179" i="18"/>
  <c r="J247" i="18"/>
  <c r="O80" i="18"/>
  <c r="O203" i="18"/>
  <c r="O205" i="18"/>
  <c r="O272" i="18"/>
  <c r="AC204" i="18"/>
  <c r="S74" i="18"/>
  <c r="O83" i="18"/>
  <c r="O75" i="18"/>
  <c r="Y188" i="18"/>
  <c r="Y256" i="18"/>
  <c r="Y187" i="18"/>
  <c r="Y255" i="18"/>
  <c r="Y270" i="18"/>
  <c r="Y269" i="18"/>
  <c r="Y57" i="18"/>
  <c r="Y37" i="18"/>
  <c r="E207" i="18"/>
  <c r="E211" i="18"/>
  <c r="E216" i="18"/>
  <c r="E222" i="18"/>
  <c r="E87" i="18"/>
  <c r="E91" i="18" s="1"/>
  <c r="E276" i="18"/>
  <c r="W341" i="18"/>
  <c r="W360" i="18"/>
  <c r="W358" i="18"/>
  <c r="S211" i="18"/>
  <c r="S280" i="18"/>
  <c r="E114" i="18"/>
  <c r="E60" i="18"/>
  <c r="W237" i="18"/>
  <c r="W306" i="18"/>
  <c r="W228" i="18"/>
  <c r="W297" i="18"/>
  <c r="E274" i="18"/>
  <c r="G273" i="18"/>
  <c r="R74" i="18"/>
  <c r="R273" i="18"/>
  <c r="K110" i="18"/>
  <c r="K83" i="18"/>
  <c r="K203" i="18"/>
  <c r="K205" i="18"/>
  <c r="K75" i="18"/>
  <c r="K72" i="18"/>
  <c r="K80" i="18"/>
  <c r="K111" i="18"/>
  <c r="K272" i="18"/>
  <c r="K274" i="18"/>
  <c r="Y179" i="18"/>
  <c r="Y247" i="18"/>
  <c r="Y175" i="18"/>
  <c r="Y243" i="18"/>
  <c r="Y178" i="18"/>
  <c r="Y246" i="18"/>
  <c r="Y181" i="18"/>
  <c r="Y249" i="18"/>
  <c r="Y182" i="18"/>
  <c r="Y250" i="18"/>
  <c r="Y331" i="18"/>
  <c r="Y176" i="18"/>
  <c r="Y244" i="18"/>
  <c r="Y240" i="18"/>
  <c r="Y309" i="18"/>
  <c r="X207" i="18"/>
  <c r="X87" i="18"/>
  <c r="X91" i="18" s="1"/>
  <c r="X276" i="18"/>
  <c r="K56" i="18"/>
  <c r="K34" i="18"/>
  <c r="K55" i="18"/>
  <c r="U211" i="18"/>
  <c r="U280" i="18"/>
  <c r="K268" i="18"/>
  <c r="K270" i="18"/>
  <c r="K109" i="18"/>
  <c r="K70" i="18"/>
  <c r="K199" i="18"/>
  <c r="K201" i="18"/>
  <c r="W188" i="18"/>
  <c r="W256" i="18"/>
  <c r="M207" i="18"/>
  <c r="M87" i="18"/>
  <c r="M91" i="18" s="1"/>
  <c r="M276" i="18"/>
  <c r="X181" i="18"/>
  <c r="X249" i="18"/>
  <c r="X176" i="18"/>
  <c r="X244" i="18"/>
  <c r="X178" i="18"/>
  <c r="X246" i="18"/>
  <c r="X182" i="18"/>
  <c r="X250" i="18"/>
  <c r="X175" i="18"/>
  <c r="X243" i="18"/>
  <c r="X331" i="18"/>
  <c r="X344" i="18"/>
  <c r="X240" i="18"/>
  <c r="X309" i="18"/>
  <c r="X179" i="18"/>
  <c r="X247" i="18"/>
  <c r="X57" i="18"/>
  <c r="X37" i="18"/>
  <c r="X60" i="18"/>
  <c r="G360" i="18"/>
  <c r="G363" i="18"/>
  <c r="G344" i="18"/>
  <c r="Y111" i="18"/>
  <c r="X111" i="18"/>
  <c r="Q204" i="18"/>
  <c r="Q273" i="18"/>
  <c r="Q228" i="18"/>
  <c r="Q297" i="18"/>
  <c r="Q237" i="18"/>
  <c r="Q306" i="18"/>
  <c r="Q87" i="18"/>
  <c r="Q91" i="18" s="1"/>
  <c r="Q207" i="18"/>
  <c r="Q276" i="18"/>
  <c r="V110" i="18"/>
  <c r="T80" i="18"/>
  <c r="T272" i="18"/>
  <c r="T274" i="18"/>
  <c r="T203" i="18"/>
  <c r="T205" i="18"/>
  <c r="T83" i="18"/>
  <c r="T75" i="18"/>
  <c r="T74" i="18"/>
  <c r="W110" i="18"/>
  <c r="D60" i="18"/>
  <c r="D114" i="18"/>
  <c r="P358" i="18"/>
  <c r="P341" i="18"/>
  <c r="P360" i="18"/>
  <c r="D184" i="18"/>
  <c r="D252" i="18"/>
  <c r="R57" i="18"/>
  <c r="R37" i="18"/>
  <c r="R114" i="18"/>
  <c r="Q274" i="18"/>
  <c r="D207" i="18"/>
  <c r="D211" i="18"/>
  <c r="D216" i="18"/>
  <c r="D222" i="18"/>
  <c r="D276" i="18"/>
  <c r="D87" i="18"/>
  <c r="D91" i="18" s="1"/>
  <c r="R272" i="18"/>
  <c r="R274" i="18"/>
  <c r="R203" i="18"/>
  <c r="R205" i="18"/>
  <c r="R80" i="18"/>
  <c r="R75" i="18"/>
  <c r="R83" i="18"/>
  <c r="U110" i="18"/>
  <c r="T110" i="18"/>
  <c r="P228" i="18"/>
  <c r="P297" i="18"/>
  <c r="P237" i="18"/>
  <c r="P306" i="18"/>
  <c r="T37" i="18"/>
  <c r="W114" i="18" s="1"/>
  <c r="T57" i="18"/>
  <c r="D332" i="18"/>
  <c r="D241" i="18"/>
  <c r="D310" i="18"/>
  <c r="D321" i="18"/>
  <c r="T187" i="18"/>
  <c r="T255" i="18"/>
  <c r="T188" i="18"/>
  <c r="T256" i="18"/>
  <c r="Q358" i="18"/>
  <c r="Q341" i="18"/>
  <c r="Q360" i="18"/>
  <c r="D175" i="18"/>
  <c r="D243" i="18"/>
  <c r="D178" i="18"/>
  <c r="D246" i="18"/>
  <c r="D181" i="18"/>
  <c r="D249" i="18"/>
  <c r="D331" i="18"/>
  <c r="D344" i="18"/>
  <c r="D182" i="18"/>
  <c r="D250" i="18"/>
  <c r="D176" i="18"/>
  <c r="D244" i="18"/>
  <c r="D179" i="18"/>
  <c r="D247" i="18"/>
  <c r="D240" i="18"/>
  <c r="D309" i="18"/>
  <c r="U188" i="18"/>
  <c r="U256" i="18"/>
  <c r="U187" i="18"/>
  <c r="U255" i="18"/>
  <c r="V187" i="18"/>
  <c r="V255" i="18"/>
  <c r="V188" i="18"/>
  <c r="V256" i="18"/>
  <c r="D360" i="18"/>
  <c r="N60" i="18"/>
  <c r="P114" i="18"/>
  <c r="I360" i="18"/>
  <c r="I363" i="18"/>
  <c r="I344" i="18"/>
  <c r="J228" i="18"/>
  <c r="J297" i="18"/>
  <c r="J312" i="18"/>
  <c r="J237" i="18"/>
  <c r="J306" i="18"/>
  <c r="J321" i="18"/>
  <c r="J184" i="18"/>
  <c r="J252" i="18"/>
  <c r="AD231" i="18"/>
  <c r="AD300" i="18"/>
  <c r="AD170" i="18"/>
  <c r="AD161" i="18"/>
  <c r="AD57" i="18"/>
  <c r="AD37" i="18"/>
  <c r="AD60" i="18"/>
  <c r="AB207" i="18"/>
  <c r="AB87" i="18"/>
  <c r="AB91" i="18" s="1"/>
  <c r="AB276" i="18"/>
  <c r="AD232" i="18"/>
  <c r="AD301" i="18"/>
  <c r="AD169" i="18"/>
  <c r="AD339" i="18"/>
  <c r="AD164" i="18"/>
  <c r="AD162" i="18"/>
  <c r="AD203" i="18"/>
  <c r="AD205" i="18"/>
  <c r="AD204" i="18"/>
  <c r="AD80" i="18"/>
  <c r="AD111" i="18"/>
  <c r="AD272" i="18"/>
  <c r="AD83" i="18"/>
  <c r="AD75" i="18"/>
  <c r="X74" i="18"/>
  <c r="X204" i="18"/>
  <c r="F274" i="18"/>
  <c r="F273" i="18"/>
  <c r="N207" i="18"/>
  <c r="N87" i="18"/>
  <c r="N91" i="18" s="1"/>
  <c r="N276" i="18"/>
  <c r="AA60" i="18"/>
  <c r="AD359" i="18"/>
  <c r="AD342" i="18"/>
  <c r="T231" i="18"/>
  <c r="T300" i="18"/>
  <c r="T170" i="18"/>
  <c r="T161" i="18"/>
  <c r="J238" i="18"/>
  <c r="J307" i="18"/>
  <c r="J322" i="18"/>
  <c r="J185" i="18"/>
  <c r="J253" i="18"/>
  <c r="H341" i="18"/>
  <c r="H358" i="18"/>
  <c r="H362" i="18"/>
  <c r="H343" i="18"/>
  <c r="AD110" i="18"/>
  <c r="AD178" i="18"/>
  <c r="AD246" i="18"/>
  <c r="F240" i="18"/>
  <c r="F309" i="18"/>
  <c r="F312" i="18"/>
  <c r="F181" i="18"/>
  <c r="F249" i="18"/>
  <c r="F331" i="18"/>
  <c r="F344" i="18"/>
  <c r="F182" i="18"/>
  <c r="F250" i="18"/>
  <c r="F176" i="18"/>
  <c r="F244" i="18"/>
  <c r="F175" i="18"/>
  <c r="F243" i="18"/>
  <c r="F179" i="18"/>
  <c r="F247" i="18"/>
  <c r="F178" i="18"/>
  <c r="F246" i="18"/>
  <c r="P175" i="18"/>
  <c r="P243" i="18"/>
  <c r="P179" i="18"/>
  <c r="P247" i="18"/>
  <c r="P331" i="18"/>
  <c r="P176" i="18"/>
  <c r="P244" i="18"/>
  <c r="P240" i="18"/>
  <c r="P309" i="18"/>
  <c r="P178" i="18"/>
  <c r="P246" i="18"/>
  <c r="P181" i="18"/>
  <c r="P249" i="18"/>
  <c r="P182" i="18"/>
  <c r="P250" i="18"/>
  <c r="AD188" i="18"/>
  <c r="AD256" i="18"/>
  <c r="AD187" i="18"/>
  <c r="AD255" i="18"/>
  <c r="R331" i="18"/>
  <c r="R176" i="18"/>
  <c r="R244" i="18"/>
  <c r="R182" i="18"/>
  <c r="R250" i="18"/>
  <c r="R240" i="18"/>
  <c r="R309" i="18"/>
  <c r="R175" i="18"/>
  <c r="R243" i="18"/>
  <c r="R178" i="18"/>
  <c r="R246" i="18"/>
  <c r="R181" i="18"/>
  <c r="R249" i="18"/>
  <c r="R179" i="18"/>
  <c r="R247" i="18"/>
  <c r="S204" i="18"/>
  <c r="S273" i="18"/>
  <c r="J358" i="18"/>
  <c r="J362" i="18"/>
  <c r="J343" i="18"/>
  <c r="J341" i="18"/>
  <c r="F360" i="18"/>
  <c r="AA274" i="18"/>
  <c r="AA273" i="18"/>
  <c r="S181" i="18"/>
  <c r="S249" i="18"/>
  <c r="S240" i="18"/>
  <c r="S309" i="18"/>
  <c r="S182" i="18"/>
  <c r="S250" i="18"/>
  <c r="S331" i="18"/>
  <c r="S176" i="18"/>
  <c r="S244" i="18"/>
  <c r="S175" i="18"/>
  <c r="S243" i="18"/>
  <c r="S178" i="18"/>
  <c r="S246" i="18"/>
  <c r="S179" i="18"/>
  <c r="S247" i="18"/>
  <c r="S114" i="18"/>
  <c r="F60" i="18"/>
  <c r="Q114" i="18"/>
  <c r="F114" i="18"/>
  <c r="H361" i="18"/>
  <c r="H365" i="18"/>
  <c r="H346" i="18"/>
  <c r="I114" i="18"/>
  <c r="I60" i="18"/>
  <c r="O207" i="18"/>
  <c r="O276" i="18"/>
  <c r="O87" i="18"/>
  <c r="O91" i="18" s="1"/>
  <c r="O274" i="18"/>
  <c r="AC273" i="18"/>
  <c r="AE176" i="18"/>
  <c r="AE244" i="18"/>
  <c r="AE331" i="18"/>
  <c r="AE181" i="18"/>
  <c r="AE249" i="18"/>
  <c r="AE178" i="18"/>
  <c r="AE246" i="18"/>
  <c r="AE182" i="18"/>
  <c r="AE250" i="18"/>
  <c r="AE179" i="18"/>
  <c r="AE247" i="18"/>
  <c r="AE240" i="18"/>
  <c r="AE309" i="18"/>
  <c r="AE175" i="18"/>
  <c r="AE243" i="18"/>
  <c r="AA87" i="18"/>
  <c r="AA91" i="18" s="1"/>
  <c r="AA276" i="18"/>
  <c r="AA207" i="18"/>
  <c r="J361" i="18"/>
  <c r="J365" i="18"/>
  <c r="J346" i="18"/>
  <c r="H237" i="18"/>
  <c r="H306" i="18"/>
  <c r="H321" i="18"/>
  <c r="H228" i="18"/>
  <c r="H297" i="18"/>
  <c r="H312" i="18"/>
  <c r="H184" i="18"/>
  <c r="H252" i="18"/>
  <c r="X360" i="18"/>
  <c r="AD270" i="18"/>
  <c r="AD269" i="18"/>
  <c r="X269" i="18"/>
  <c r="W60" i="18"/>
  <c r="K360" i="18"/>
  <c r="T164" i="18"/>
  <c r="T162" i="18"/>
  <c r="T339" i="18"/>
  <c r="T169" i="18"/>
  <c r="T232" i="18"/>
  <c r="T301" i="18"/>
  <c r="AB60" i="18"/>
  <c r="T359" i="18"/>
  <c r="T342" i="18"/>
  <c r="V360" i="18"/>
  <c r="H238" i="18"/>
  <c r="H307" i="18"/>
  <c r="H322" i="18"/>
  <c r="H185" i="18"/>
  <c r="H253" i="18"/>
  <c r="V273" i="18"/>
  <c r="V204" i="18"/>
  <c r="P211" i="18"/>
  <c r="P280" i="18"/>
  <c r="U273" i="18"/>
  <c r="U204" i="18"/>
  <c r="F207" i="18"/>
  <c r="F211" i="18"/>
  <c r="F216" i="18"/>
  <c r="F222" i="18"/>
  <c r="F87" i="18"/>
  <c r="F91" i="18" s="1"/>
  <c r="F276" i="18"/>
  <c r="Q181" i="18"/>
  <c r="Q249" i="18"/>
  <c r="Q175" i="18"/>
  <c r="Q243" i="18"/>
  <c r="Q182" i="18"/>
  <c r="Q250" i="18"/>
  <c r="Q240" i="18"/>
  <c r="Q309" i="18"/>
  <c r="Q331" i="18"/>
  <c r="Q178" i="18"/>
  <c r="Q246" i="18"/>
  <c r="Q176" i="18"/>
  <c r="Q244" i="18"/>
  <c r="Q179" i="18"/>
  <c r="Q247" i="18"/>
  <c r="AB274" i="18"/>
  <c r="AB273" i="18"/>
  <c r="F111" i="18"/>
  <c r="S111" i="18"/>
  <c r="Q111" i="18"/>
  <c r="P111" i="18"/>
  <c r="Y60" i="18"/>
  <c r="E280" i="18"/>
  <c r="R204" i="18"/>
  <c r="K188" i="18"/>
  <c r="K256" i="18"/>
  <c r="K187" i="18"/>
  <c r="K255" i="18"/>
  <c r="Y114" i="18"/>
  <c r="Y343" i="18"/>
  <c r="Y344" i="18"/>
  <c r="Y350" i="18"/>
  <c r="Y333" i="18"/>
  <c r="X185" i="18"/>
  <c r="X253" i="18"/>
  <c r="X332" i="18"/>
  <c r="X241" i="18"/>
  <c r="X310" i="18"/>
  <c r="X184" i="18"/>
  <c r="X252" i="18"/>
  <c r="X318" i="18"/>
  <c r="X313" i="18"/>
  <c r="X319" i="18"/>
  <c r="X315" i="18"/>
  <c r="X316" i="18"/>
  <c r="X325" i="18"/>
  <c r="X324" i="18"/>
  <c r="M211" i="18"/>
  <c r="M280" i="18"/>
  <c r="K57" i="18"/>
  <c r="K37" i="18"/>
  <c r="Y185" i="18"/>
  <c r="Y253" i="18"/>
  <c r="Y241" i="18"/>
  <c r="Y310" i="18"/>
  <c r="Y184" i="18"/>
  <c r="Y252" i="18"/>
  <c r="Y332" i="18"/>
  <c r="X350" i="18"/>
  <c r="X363" i="18"/>
  <c r="X343" i="18"/>
  <c r="X333" i="18"/>
  <c r="X280" i="18"/>
  <c r="X211" i="18"/>
  <c r="K87" i="18"/>
  <c r="K91" i="18" s="1"/>
  <c r="K207" i="18"/>
  <c r="K211" i="18"/>
  <c r="K216" i="18"/>
  <c r="K222" i="18"/>
  <c r="K276" i="18"/>
  <c r="X114" i="18"/>
  <c r="K179" i="18"/>
  <c r="K247" i="18"/>
  <c r="K181" i="18"/>
  <c r="K249" i="18"/>
  <c r="K176" i="18"/>
  <c r="K244" i="18"/>
  <c r="K331" i="18"/>
  <c r="K178" i="18"/>
  <c r="K246" i="18"/>
  <c r="K175" i="18"/>
  <c r="K243" i="18"/>
  <c r="K182" i="18"/>
  <c r="K250" i="18"/>
  <c r="K240" i="18"/>
  <c r="K309" i="18"/>
  <c r="K332" i="18"/>
  <c r="K184" i="18"/>
  <c r="K252" i="18"/>
  <c r="K241" i="18"/>
  <c r="K310" i="18"/>
  <c r="K185" i="18"/>
  <c r="K253" i="18"/>
  <c r="Y324" i="18"/>
  <c r="Y318" i="18"/>
  <c r="Y312" i="18"/>
  <c r="Y319" i="18"/>
  <c r="Y313" i="18"/>
  <c r="Y325" i="18"/>
  <c r="Y316" i="18"/>
  <c r="Y315" i="18"/>
  <c r="X312" i="18"/>
  <c r="U111" i="18"/>
  <c r="T111" i="18"/>
  <c r="T185" i="18"/>
  <c r="T253" i="18"/>
  <c r="R111" i="18"/>
  <c r="R241" i="18"/>
  <c r="R310" i="18"/>
  <c r="D316" i="18"/>
  <c r="D313" i="18"/>
  <c r="D324" i="18"/>
  <c r="D315" i="18"/>
  <c r="D318" i="18"/>
  <c r="D325" i="18"/>
  <c r="D319" i="18"/>
  <c r="D322" i="18"/>
  <c r="W240" i="18"/>
  <c r="W309" i="18"/>
  <c r="W178" i="18"/>
  <c r="W246" i="18"/>
  <c r="W176" i="18"/>
  <c r="W244" i="18"/>
  <c r="W182" i="18"/>
  <c r="W250" i="18"/>
  <c r="W331" i="18"/>
  <c r="W179" i="18"/>
  <c r="W247" i="18"/>
  <c r="W175" i="18"/>
  <c r="W243" i="18"/>
  <c r="W181" i="18"/>
  <c r="W249" i="18"/>
  <c r="AE114" i="18"/>
  <c r="D280" i="18"/>
  <c r="T207" i="18"/>
  <c r="T87" i="18"/>
  <c r="T91" i="18" s="1"/>
  <c r="T276" i="18"/>
  <c r="D346" i="18"/>
  <c r="D351" i="18"/>
  <c r="D345" i="18"/>
  <c r="T181" i="18"/>
  <c r="T249" i="18"/>
  <c r="T182" i="18"/>
  <c r="T250" i="18"/>
  <c r="T176" i="18"/>
  <c r="T244" i="18"/>
  <c r="T175" i="18"/>
  <c r="T243" i="18"/>
  <c r="T240" i="18"/>
  <c r="T309" i="18"/>
  <c r="T316" i="18"/>
  <c r="T331" i="18"/>
  <c r="T343" i="18"/>
  <c r="Q280" i="18"/>
  <c r="Q211" i="18"/>
  <c r="T179" i="18"/>
  <c r="T247" i="18"/>
  <c r="T178" i="18"/>
  <c r="T246" i="18"/>
  <c r="U175" i="18"/>
  <c r="U243" i="18"/>
  <c r="U178" i="18"/>
  <c r="U246" i="18"/>
  <c r="U179" i="18"/>
  <c r="U247" i="18"/>
  <c r="U331" i="18"/>
  <c r="U240" i="18"/>
  <c r="U309" i="18"/>
  <c r="U182" i="18"/>
  <c r="U250" i="18"/>
  <c r="U176" i="18"/>
  <c r="U244" i="18"/>
  <c r="U181" i="18"/>
  <c r="U249" i="18"/>
  <c r="D350" i="18"/>
  <c r="D333" i="18"/>
  <c r="D343" i="18"/>
  <c r="V114" i="18"/>
  <c r="T60" i="18"/>
  <c r="R87" i="18"/>
  <c r="R91" i="18" s="1"/>
  <c r="R276" i="18"/>
  <c r="R207" i="18"/>
  <c r="V111" i="18"/>
  <c r="W111" i="18"/>
  <c r="V331" i="18"/>
  <c r="V182" i="18"/>
  <c r="V250" i="18"/>
  <c r="V181" i="18"/>
  <c r="V249" i="18"/>
  <c r="V178" i="18"/>
  <c r="V246" i="18"/>
  <c r="V176" i="18"/>
  <c r="V244" i="18"/>
  <c r="V240" i="18"/>
  <c r="V309" i="18"/>
  <c r="V175" i="18"/>
  <c r="V243" i="18"/>
  <c r="V179" i="18"/>
  <c r="V247" i="18"/>
  <c r="R60" i="18"/>
  <c r="U114" i="18"/>
  <c r="T114" i="18"/>
  <c r="D312" i="18"/>
  <c r="T204" i="18"/>
  <c r="T273" i="18"/>
  <c r="AD241" i="18"/>
  <c r="AD310" i="18"/>
  <c r="AD332" i="18"/>
  <c r="AD346" i="18"/>
  <c r="P241" i="18"/>
  <c r="P310" i="18"/>
  <c r="P332" i="18"/>
  <c r="P185" i="18"/>
  <c r="P253" i="18"/>
  <c r="P184" i="18"/>
  <c r="P252" i="18"/>
  <c r="R319" i="18"/>
  <c r="R324" i="18"/>
  <c r="R325" i="18"/>
  <c r="R318" i="18"/>
  <c r="R315" i="18"/>
  <c r="R313" i="18"/>
  <c r="R312" i="18"/>
  <c r="R316" i="18"/>
  <c r="AD361" i="18"/>
  <c r="AD87" i="18"/>
  <c r="AD91" i="18" s="1"/>
  <c r="AD276" i="18"/>
  <c r="AD207" i="18"/>
  <c r="AD358" i="18"/>
  <c r="AD341" i="18"/>
  <c r="T358" i="18"/>
  <c r="T341" i="18"/>
  <c r="S325" i="18"/>
  <c r="S324" i="18"/>
  <c r="S318" i="18"/>
  <c r="S319" i="18"/>
  <c r="S313" i="18"/>
  <c r="S315" i="18"/>
  <c r="S316" i="18"/>
  <c r="S312" i="18"/>
  <c r="P350" i="18"/>
  <c r="P344" i="18"/>
  <c r="P333" i="18"/>
  <c r="P343" i="18"/>
  <c r="AD274" i="18"/>
  <c r="AD273" i="18"/>
  <c r="X273" i="18"/>
  <c r="N280" i="18"/>
  <c r="N211" i="18"/>
  <c r="Q241" i="18"/>
  <c r="Q310" i="18"/>
  <c r="Q332" i="18"/>
  <c r="Q184" i="18"/>
  <c r="Q252" i="18"/>
  <c r="Q185" i="18"/>
  <c r="Q253" i="18"/>
  <c r="F280" i="18"/>
  <c r="T361" i="18"/>
  <c r="AA211" i="18"/>
  <c r="AA280" i="18"/>
  <c r="AE333" i="18"/>
  <c r="AE343" i="18"/>
  <c r="AE350" i="18"/>
  <c r="AE344" i="18"/>
  <c r="R350" i="18"/>
  <c r="R333" i="18"/>
  <c r="R343" i="18"/>
  <c r="R344" i="18"/>
  <c r="T238" i="18"/>
  <c r="T307" i="18"/>
  <c r="AE111" i="18"/>
  <c r="R185" i="18"/>
  <c r="R253" i="18"/>
  <c r="AD179" i="18"/>
  <c r="AD247" i="18"/>
  <c r="AB280" i="18"/>
  <c r="AB211" i="18"/>
  <c r="O280" i="18"/>
  <c r="O211" i="18"/>
  <c r="F324" i="18"/>
  <c r="F325" i="18"/>
  <c r="F318" i="18"/>
  <c r="F319" i="18"/>
  <c r="F313" i="18"/>
  <c r="F316" i="18"/>
  <c r="F315" i="18"/>
  <c r="T228" i="18"/>
  <c r="T297" i="18"/>
  <c r="T237" i="18"/>
  <c r="T306" i="18"/>
  <c r="Q333" i="18"/>
  <c r="Q350" i="18"/>
  <c r="Q343" i="18"/>
  <c r="Q344" i="18"/>
  <c r="AE315" i="18"/>
  <c r="AE313" i="18"/>
  <c r="AE316" i="18"/>
  <c r="AE319" i="18"/>
  <c r="AE312" i="18"/>
  <c r="AE318" i="18"/>
  <c r="AE324" i="18"/>
  <c r="AE325" i="18"/>
  <c r="AD331" i="18"/>
  <c r="AD343" i="18"/>
  <c r="AD240" i="18"/>
  <c r="AD309" i="18"/>
  <c r="AD315" i="18"/>
  <c r="AD181" i="18"/>
  <c r="AD249" i="18"/>
  <c r="AD182" i="18"/>
  <c r="AD250" i="18"/>
  <c r="AD176" i="18"/>
  <c r="AD244" i="18"/>
  <c r="H360" i="18"/>
  <c r="H363" i="18"/>
  <c r="H344" i="18"/>
  <c r="AD114" i="18"/>
  <c r="AD238" i="18"/>
  <c r="AD307" i="18"/>
  <c r="AD185" i="18"/>
  <c r="AD253" i="18"/>
  <c r="AD237" i="18"/>
  <c r="AD306" i="18"/>
  <c r="AD228" i="18"/>
  <c r="AD297" i="18"/>
  <c r="AD184" i="18"/>
  <c r="AD252" i="18"/>
  <c r="F333" i="18"/>
  <c r="F350" i="18"/>
  <c r="F343" i="18"/>
  <c r="S241" i="18"/>
  <c r="S310" i="18"/>
  <c r="S332" i="18"/>
  <c r="S185" i="18"/>
  <c r="S253" i="18"/>
  <c r="S184" i="18"/>
  <c r="S252" i="18"/>
  <c r="F332" i="18"/>
  <c r="F241" i="18"/>
  <c r="F310" i="18"/>
  <c r="F185" i="18"/>
  <c r="F253" i="18"/>
  <c r="F184" i="18"/>
  <c r="F252" i="18"/>
  <c r="Q315" i="18"/>
  <c r="Q312" i="18"/>
  <c r="Q324" i="18"/>
  <c r="Q325" i="18"/>
  <c r="Q318" i="18"/>
  <c r="Q319" i="18"/>
  <c r="Q313" i="18"/>
  <c r="Q316" i="18"/>
  <c r="S350" i="18"/>
  <c r="S333" i="18"/>
  <c r="S343" i="18"/>
  <c r="S344" i="18"/>
  <c r="J344" i="18"/>
  <c r="J360" i="18"/>
  <c r="J363" i="18"/>
  <c r="P312" i="18"/>
  <c r="P324" i="18"/>
  <c r="P313" i="18"/>
  <c r="P316" i="18"/>
  <c r="P315" i="18"/>
  <c r="P325" i="18"/>
  <c r="P319" i="18"/>
  <c r="P318" i="18"/>
  <c r="T184" i="18"/>
  <c r="T252" i="18"/>
  <c r="K280" i="18"/>
  <c r="T312" i="18"/>
  <c r="K346" i="18"/>
  <c r="K345" i="18"/>
  <c r="K351" i="18"/>
  <c r="K343" i="18"/>
  <c r="K350" i="18"/>
  <c r="K333" i="18"/>
  <c r="K344" i="18"/>
  <c r="Y322" i="18"/>
  <c r="Y321" i="18"/>
  <c r="Y362" i="18"/>
  <c r="Y363" i="18"/>
  <c r="Y352" i="18"/>
  <c r="K321" i="18"/>
  <c r="K322" i="18"/>
  <c r="Y345" i="18"/>
  <c r="Y351" i="18"/>
  <c r="Y346" i="18"/>
  <c r="R184" i="18"/>
  <c r="R252" i="18"/>
  <c r="K114" i="18"/>
  <c r="K60" i="18"/>
  <c r="R332" i="18"/>
  <c r="R346" i="18"/>
  <c r="X322" i="18"/>
  <c r="X321" i="18"/>
  <c r="K316" i="18"/>
  <c r="K315" i="18"/>
  <c r="K325" i="18"/>
  <c r="K319" i="18"/>
  <c r="K324" i="18"/>
  <c r="K313" i="18"/>
  <c r="K318" i="18"/>
  <c r="K312" i="18"/>
  <c r="X346" i="18"/>
  <c r="X351" i="18"/>
  <c r="X345" i="18"/>
  <c r="AD312" i="18"/>
  <c r="X352" i="18"/>
  <c r="X362" i="18"/>
  <c r="U318" i="18"/>
  <c r="U319" i="18"/>
  <c r="U313" i="18"/>
  <c r="U324" i="18"/>
  <c r="U312" i="18"/>
  <c r="U325" i="18"/>
  <c r="U315" i="18"/>
  <c r="U316" i="18"/>
  <c r="R280" i="18"/>
  <c r="R211" i="18"/>
  <c r="U344" i="18"/>
  <c r="U350" i="18"/>
  <c r="U333" i="18"/>
  <c r="U343" i="18"/>
  <c r="D365" i="18"/>
  <c r="D364" i="18"/>
  <c r="AD321" i="18"/>
  <c r="V184" i="18"/>
  <c r="V252" i="18"/>
  <c r="V185" i="18"/>
  <c r="V253" i="18"/>
  <c r="V241" i="18"/>
  <c r="V310" i="18"/>
  <c r="V332" i="18"/>
  <c r="D362" i="18"/>
  <c r="D352" i="18"/>
  <c r="T350" i="18"/>
  <c r="T362" i="18" s="1"/>
  <c r="T352" i="18"/>
  <c r="T333" i="18"/>
  <c r="W313" i="18"/>
  <c r="W315" i="18"/>
  <c r="W324" i="18"/>
  <c r="W316" i="18"/>
  <c r="W325" i="18"/>
  <c r="W318" i="18"/>
  <c r="W312" i="18"/>
  <c r="W319" i="18"/>
  <c r="W332" i="18"/>
  <c r="W184" i="18"/>
  <c r="W252" i="18"/>
  <c r="W241" i="18"/>
  <c r="W310" i="18"/>
  <c r="W185" i="18"/>
  <c r="W253" i="18"/>
  <c r="V343" i="18"/>
  <c r="V350" i="18"/>
  <c r="V333" i="18"/>
  <c r="V344" i="18"/>
  <c r="T319" i="18"/>
  <c r="T318" i="18"/>
  <c r="T325" i="18"/>
  <c r="T324" i="18"/>
  <c r="T313" i="18"/>
  <c r="T315" i="18"/>
  <c r="AD322" i="18"/>
  <c r="D363" i="18"/>
  <c r="T211" i="18"/>
  <c r="T280" i="18"/>
  <c r="T332" i="18"/>
  <c r="T241" i="18"/>
  <c r="T310" i="18"/>
  <c r="T322" i="18"/>
  <c r="V316" i="18"/>
  <c r="V315" i="18"/>
  <c r="V325" i="18"/>
  <c r="V313" i="18"/>
  <c r="V324" i="18"/>
  <c r="V318" i="18"/>
  <c r="V312" i="18"/>
  <c r="V319" i="18"/>
  <c r="W344" i="18"/>
  <c r="W333" i="18"/>
  <c r="W350" i="18"/>
  <c r="W343" i="18"/>
  <c r="U332" i="18"/>
  <c r="U241" i="18"/>
  <c r="U310" i="18"/>
  <c r="U184" i="18"/>
  <c r="U252" i="18"/>
  <c r="U185" i="18"/>
  <c r="U253" i="18"/>
  <c r="F321" i="18"/>
  <c r="F322" i="18"/>
  <c r="AE185" i="18"/>
  <c r="AE253" i="18"/>
  <c r="AE184" i="18"/>
  <c r="AE252" i="18"/>
  <c r="AE332" i="18"/>
  <c r="AE241" i="18"/>
  <c r="AE310" i="18"/>
  <c r="Q346" i="18"/>
  <c r="Q345" i="18"/>
  <c r="Q351" i="18"/>
  <c r="P362" i="18"/>
  <c r="P363" i="18"/>
  <c r="P352" i="18"/>
  <c r="Q352" i="18"/>
  <c r="Q362" i="18"/>
  <c r="Q363" i="18"/>
  <c r="AD211" i="18"/>
  <c r="AD280" i="18"/>
  <c r="F351" i="18"/>
  <c r="F345" i="18"/>
  <c r="F346" i="18"/>
  <c r="S352" i="18"/>
  <c r="S362" i="18"/>
  <c r="S363" i="18"/>
  <c r="AD360" i="18"/>
  <c r="AD344" i="18"/>
  <c r="P351" i="18"/>
  <c r="P345" i="18"/>
  <c r="P346" i="18"/>
  <c r="S321" i="18"/>
  <c r="S322" i="18"/>
  <c r="AD324" i="18"/>
  <c r="AD325" i="18"/>
  <c r="AD313" i="18"/>
  <c r="AD319" i="18"/>
  <c r="AD318" i="18"/>
  <c r="R352" i="18"/>
  <c r="R362" i="18"/>
  <c r="R363" i="18"/>
  <c r="AD316" i="18"/>
  <c r="T360" i="18"/>
  <c r="T344" i="18"/>
  <c r="P321" i="18"/>
  <c r="P322" i="18"/>
  <c r="Q321" i="18"/>
  <c r="Q322" i="18"/>
  <c r="S351" i="18"/>
  <c r="S345" i="18"/>
  <c r="S346" i="18"/>
  <c r="AD350" i="18"/>
  <c r="AD352" i="18"/>
  <c r="AD333" i="18"/>
  <c r="AD351" i="18"/>
  <c r="AD364" i="18"/>
  <c r="AD345" i="18"/>
  <c r="F352" i="18"/>
  <c r="F362" i="18"/>
  <c r="F363" i="18"/>
  <c r="R321" i="18"/>
  <c r="R322" i="18"/>
  <c r="AE352" i="18"/>
  <c r="AE362" i="18"/>
  <c r="AE363" i="18"/>
  <c r="T321" i="18"/>
  <c r="X364" i="18"/>
  <c r="X365" i="18"/>
  <c r="R345" i="18"/>
  <c r="K364" i="18"/>
  <c r="K365" i="18"/>
  <c r="R351" i="18"/>
  <c r="T363" i="18"/>
  <c r="Y364" i="18"/>
  <c r="Y365" i="18"/>
  <c r="K352" i="18"/>
  <c r="K363" i="18"/>
  <c r="K362" i="18"/>
  <c r="U363" i="18"/>
  <c r="U352" i="18"/>
  <c r="U362" i="18"/>
  <c r="U346" i="18"/>
  <c r="U351" i="18"/>
  <c r="U345" i="18"/>
  <c r="V352" i="18"/>
  <c r="V363" i="18"/>
  <c r="V362" i="18"/>
  <c r="U322" i="18"/>
  <c r="U321" i="18"/>
  <c r="W352" i="18"/>
  <c r="W362" i="18"/>
  <c r="W363" i="18"/>
  <c r="T351" i="18"/>
  <c r="T345" i="18"/>
  <c r="T346" i="18"/>
  <c r="W321" i="18"/>
  <c r="W322" i="18"/>
  <c r="V346" i="18"/>
  <c r="V351" i="18"/>
  <c r="V345" i="18"/>
  <c r="V322" i="18"/>
  <c r="V321" i="18"/>
  <c r="W346" i="18"/>
  <c r="W345" i="18"/>
  <c r="W351" i="18"/>
  <c r="AE321" i="18"/>
  <c r="AE322" i="18"/>
  <c r="AE351" i="18"/>
  <c r="AE345" i="18"/>
  <c r="AE346" i="18"/>
  <c r="AD363" i="18"/>
  <c r="P364" i="18"/>
  <c r="P365" i="18"/>
  <c r="AD365" i="18"/>
  <c r="AD362" i="18"/>
  <c r="F364" i="18"/>
  <c r="F365" i="18"/>
  <c r="S364" i="18"/>
  <c r="S365" i="18"/>
  <c r="R364" i="18"/>
  <c r="R365" i="18"/>
  <c r="Q364" i="18"/>
  <c r="Q365" i="18"/>
  <c r="W365" i="18"/>
  <c r="W364" i="18"/>
  <c r="T364" i="18"/>
  <c r="T365" i="18"/>
  <c r="V365" i="18"/>
  <c r="V364" i="18"/>
  <c r="U364" i="18"/>
  <c r="U365" i="18"/>
  <c r="AE364" i="18"/>
  <c r="AE365" i="18"/>
  <c r="C98" i="18"/>
  <c r="C116" i="18"/>
  <c r="C100" i="18"/>
  <c r="C104" i="18"/>
  <c r="C101" i="18"/>
  <c r="C102" i="18"/>
  <c r="V116" i="18"/>
  <c r="V337" i="18"/>
  <c r="V356" i="18"/>
  <c r="AD116" i="18"/>
  <c r="AD337" i="18"/>
  <c r="AD356" i="18"/>
  <c r="D116" i="18"/>
  <c r="D337" i="18"/>
  <c r="D356" i="18"/>
  <c r="P116" i="18"/>
  <c r="P337" i="18" s="1"/>
  <c r="P356" i="18" s="1"/>
  <c r="T116" i="18"/>
  <c r="T337" i="18" s="1"/>
  <c r="T356" i="18" s="1"/>
  <c r="R116" i="18"/>
  <c r="R337" i="18"/>
  <c r="R356" i="18"/>
  <c r="I116" i="18"/>
  <c r="I337" i="18"/>
  <c r="I356" i="18"/>
  <c r="U116" i="18"/>
  <c r="U337" i="18"/>
  <c r="U356" i="18"/>
  <c r="J285" i="18"/>
  <c r="AH98" i="18"/>
  <c r="AH100" i="18"/>
  <c r="AH104" i="18"/>
  <c r="Q116" i="18"/>
  <c r="Q337" i="18"/>
  <c r="Q356" i="18"/>
  <c r="AE116" i="18"/>
  <c r="AE337" i="18"/>
  <c r="AE356" i="18"/>
  <c r="X98" i="18"/>
  <c r="X222" i="18" s="1"/>
  <c r="X291" i="18"/>
  <c r="K98" i="18"/>
  <c r="K291" i="18"/>
  <c r="G116" i="18"/>
  <c r="G337" i="18" s="1"/>
  <c r="G356" i="18" s="1"/>
  <c r="K116" i="18"/>
  <c r="K337" i="18" s="1"/>
  <c r="K356" i="18" s="1"/>
  <c r="AE285" i="18"/>
  <c r="AE216" i="18"/>
  <c r="I285" i="18"/>
  <c r="S116" i="18"/>
  <c r="S337" i="18"/>
  <c r="S356" i="18"/>
  <c r="U216" i="18"/>
  <c r="U285" i="18"/>
  <c r="N285" i="18"/>
  <c r="N216" i="18"/>
  <c r="D285" i="18"/>
  <c r="F285" i="18"/>
  <c r="J116" i="18"/>
  <c r="J337" i="18"/>
  <c r="J356" i="18"/>
  <c r="G285" i="18"/>
  <c r="AC98" i="18"/>
  <c r="AC222" i="18" s="1"/>
  <c r="AC291" i="18"/>
  <c r="O216" i="18"/>
  <c r="O285" i="18"/>
  <c r="F116" i="18"/>
  <c r="F337" i="18"/>
  <c r="F356" i="18" s="1"/>
  <c r="AB216" i="18"/>
  <c r="AB285" i="18"/>
  <c r="N98" i="18"/>
  <c r="N222" i="18" s="1"/>
  <c r="N291" i="18"/>
  <c r="D98" i="18"/>
  <c r="D291" i="18" s="1"/>
  <c r="D100" i="18"/>
  <c r="D101" i="18" s="1"/>
  <c r="D293" i="18"/>
  <c r="AG98" i="18"/>
  <c r="AG100" i="18"/>
  <c r="AG101" i="18" s="1"/>
  <c r="AG102" i="18" s="1"/>
  <c r="AG104" i="18"/>
  <c r="K285" i="18"/>
  <c r="Y216" i="18"/>
  <c r="Y285" i="18"/>
  <c r="AE98" i="18"/>
  <c r="AE222" i="18"/>
  <c r="J98" i="18"/>
  <c r="Y98" i="18"/>
  <c r="Y222" i="18" s="1"/>
  <c r="S285" i="18"/>
  <c r="S216" i="18"/>
  <c r="E285" i="18"/>
  <c r="E116" i="18"/>
  <c r="H116" i="18"/>
  <c r="H337" i="18"/>
  <c r="H356" i="18"/>
  <c r="V285" i="18"/>
  <c r="V216" i="18"/>
  <c r="AC216" i="18"/>
  <c r="AC285" i="18"/>
  <c r="H285" i="18"/>
  <c r="AA216" i="18"/>
  <c r="AA285" i="18"/>
  <c r="M216" i="18"/>
  <c r="M285" i="18"/>
  <c r="G98" i="18"/>
  <c r="G100" i="18"/>
  <c r="X285" i="18"/>
  <c r="X216" i="18"/>
  <c r="Q285" i="18"/>
  <c r="Q216" i="18"/>
  <c r="P285" i="18"/>
  <c r="P216" i="18"/>
  <c r="R285" i="18"/>
  <c r="R216" i="18"/>
  <c r="AD285" i="18"/>
  <c r="AD216" i="18"/>
  <c r="H98" i="18"/>
  <c r="H100" i="18"/>
  <c r="H291" i="18"/>
  <c r="T216" i="18"/>
  <c r="T285" i="18"/>
  <c r="E98" i="18"/>
  <c r="E291" i="18"/>
  <c r="M98" i="18"/>
  <c r="M291" i="18" s="1"/>
  <c r="M222" i="18"/>
  <c r="U98" i="18"/>
  <c r="U222" i="18"/>
  <c r="AA98" i="18"/>
  <c r="AA291" i="18"/>
  <c r="Q98" i="18"/>
  <c r="Q291" i="18" s="1"/>
  <c r="Q100" i="18"/>
  <c r="F98" i="18"/>
  <c r="F291" i="18"/>
  <c r="R98" i="18"/>
  <c r="R222" i="18"/>
  <c r="O98" i="18"/>
  <c r="O222" i="18" s="1"/>
  <c r="AB98" i="18"/>
  <c r="AB222" i="18"/>
  <c r="S98" i="18"/>
  <c r="S291" i="18" s="1"/>
  <c r="S222" i="18"/>
  <c r="V98" i="18"/>
  <c r="V222" i="18" s="1"/>
  <c r="V291" i="18"/>
  <c r="P98" i="18"/>
  <c r="I98" i="18"/>
  <c r="I100" i="18"/>
  <c r="T98" i="18"/>
  <c r="T222" i="18" s="1"/>
  <c r="T291" i="18"/>
  <c r="I104" i="18"/>
  <c r="I224" i="18"/>
  <c r="I225" i="18"/>
  <c r="I293" i="18"/>
  <c r="I101" i="18"/>
  <c r="G104" i="18"/>
  <c r="G224" i="18"/>
  <c r="G225" i="18"/>
  <c r="G293" i="18"/>
  <c r="H293" i="18"/>
  <c r="H104" i="18"/>
  <c r="H224" i="18"/>
  <c r="H225" i="18"/>
  <c r="Q224" i="18"/>
  <c r="Q101" i="18"/>
  <c r="R100" i="18"/>
  <c r="Q293" i="18"/>
  <c r="Q104" i="18"/>
  <c r="Y100" i="18"/>
  <c r="Y101" i="18"/>
  <c r="Y291" i="18"/>
  <c r="M100" i="18"/>
  <c r="N100" i="18" s="1"/>
  <c r="P291" i="18"/>
  <c r="R291" i="18"/>
  <c r="G291" i="18"/>
  <c r="I291" i="18"/>
  <c r="G101" i="18"/>
  <c r="G294" i="18"/>
  <c r="P222" i="18"/>
  <c r="F100" i="18"/>
  <c r="AE100" i="18"/>
  <c r="D104" i="18"/>
  <c r="F101" i="18"/>
  <c r="F294" i="18"/>
  <c r="H101" i="18"/>
  <c r="H294" i="18"/>
  <c r="AH101" i="18"/>
  <c r="AH102" i="18"/>
  <c r="D224" i="18"/>
  <c r="D225" i="18"/>
  <c r="O291" i="18"/>
  <c r="AE291" i="18"/>
  <c r="Q222" i="18"/>
  <c r="AB291" i="18"/>
  <c r="E100" i="18"/>
  <c r="Y294" i="18"/>
  <c r="Y225" i="18"/>
  <c r="Y102" i="18"/>
  <c r="AE104" i="18"/>
  <c r="AE293" i="18"/>
  <c r="AE224" i="18"/>
  <c r="AE101" i="18"/>
  <c r="Q294" i="18"/>
  <c r="Q225" i="18"/>
  <c r="Q102" i="18"/>
  <c r="Q103" i="18"/>
  <c r="R104" i="18"/>
  <c r="R224" i="18"/>
  <c r="R293" i="18"/>
  <c r="R101" i="18"/>
  <c r="F104" i="18"/>
  <c r="F224" i="18"/>
  <c r="F225" i="18"/>
  <c r="F293" i="18"/>
  <c r="M104" i="18"/>
  <c r="M293" i="18"/>
  <c r="M224" i="18"/>
  <c r="M101" i="18"/>
  <c r="S100" i="18"/>
  <c r="E104" i="18"/>
  <c r="E293" i="18"/>
  <c r="E224" i="18"/>
  <c r="E225" i="18"/>
  <c r="E101" i="18"/>
  <c r="Y293" i="18"/>
  <c r="Y104" i="18"/>
  <c r="Y224" i="18"/>
  <c r="O100" i="18"/>
  <c r="N293" i="18"/>
  <c r="N104" i="18"/>
  <c r="N224" i="18"/>
  <c r="N101" i="18"/>
  <c r="I294" i="18"/>
  <c r="I102" i="18"/>
  <c r="E102" i="18"/>
  <c r="G102" i="18"/>
  <c r="E294" i="18"/>
  <c r="AE225" i="18"/>
  <c r="AE294" i="18"/>
  <c r="AE102" i="18"/>
  <c r="I103" i="18"/>
  <c r="O293" i="18"/>
  <c r="O104" i="18"/>
  <c r="O224" i="18"/>
  <c r="P100" i="18"/>
  <c r="O101" i="18"/>
  <c r="R102" i="18"/>
  <c r="R103" i="18"/>
  <c r="R225" i="18"/>
  <c r="R294" i="18"/>
  <c r="M102" i="18"/>
  <c r="M103" i="18"/>
  <c r="M294" i="18"/>
  <c r="M225" i="18"/>
  <c r="N225" i="18"/>
  <c r="N294" i="18"/>
  <c r="N102" i="18"/>
  <c r="N103" i="18"/>
  <c r="T100" i="18"/>
  <c r="S104" i="18"/>
  <c r="S293" i="18"/>
  <c r="S224" i="18"/>
  <c r="S101" i="18"/>
  <c r="K102" i="18"/>
  <c r="K103" i="18"/>
  <c r="Y103" i="18"/>
  <c r="T104" i="18"/>
  <c r="T224" i="18"/>
  <c r="T293" i="18"/>
  <c r="T101" i="18"/>
  <c r="H102" i="18"/>
  <c r="H103" i="18"/>
  <c r="G103" i="18"/>
  <c r="P104" i="18"/>
  <c r="P293" i="18"/>
  <c r="P224" i="18"/>
  <c r="P101" i="18"/>
  <c r="O294" i="18"/>
  <c r="O225" i="18"/>
  <c r="O102" i="18"/>
  <c r="O103" i="18"/>
  <c r="S294" i="18"/>
  <c r="S102" i="18"/>
  <c r="S103" i="18"/>
  <c r="S225" i="18"/>
  <c r="T102" i="18"/>
  <c r="T103" i="18"/>
  <c r="T225" i="18"/>
  <c r="T294" i="18"/>
  <c r="P294" i="18"/>
  <c r="P225" i="18"/>
  <c r="P102" i="18"/>
  <c r="P103" i="18"/>
  <c r="AA100" i="18" l="1"/>
  <c r="AA222" i="18"/>
  <c r="U291" i="18"/>
  <c r="U100" i="18"/>
  <c r="J100" i="18"/>
  <c r="J291" i="18"/>
  <c r="D102" i="18"/>
  <c r="D294" i="18"/>
  <c r="AD175" i="18"/>
  <c r="AD243" i="18" s="1"/>
  <c r="AE269" i="18"/>
  <c r="AE69" i="18"/>
  <c r="AE200" i="18" s="1"/>
  <c r="AE266" i="18"/>
  <c r="AE273" i="18"/>
  <c r="W91" i="18"/>
  <c r="D141" i="19"/>
  <c r="D154" i="19" s="1"/>
  <c r="BB98" i="15"/>
  <c r="AX108" i="15"/>
  <c r="AV108" i="15"/>
  <c r="BA105" i="15"/>
  <c r="AZ46" i="15"/>
  <c r="AZ105" i="15"/>
  <c r="AZ60" i="15"/>
  <c r="L27" i="15"/>
  <c r="L50" i="15" s="1"/>
  <c r="BF50" i="15"/>
  <c r="BG50" i="15"/>
  <c r="BF111" i="15"/>
  <c r="BF337" i="15" s="1"/>
  <c r="BF356" i="15" s="1"/>
  <c r="J722" i="17"/>
  <c r="L722" i="17" s="1"/>
  <c r="AN123" i="15"/>
  <c r="AN124" i="15" s="1"/>
  <c r="AP137" i="15"/>
  <c r="AD137" i="15"/>
  <c r="C152" i="15"/>
  <c r="BE113" i="15"/>
  <c r="BE338" i="15" s="1"/>
  <c r="BE357" i="15" s="1"/>
  <c r="BE111" i="15"/>
  <c r="BE337" i="15" s="1"/>
  <c r="BE356" i="15" s="1"/>
  <c r="BE50" i="15"/>
  <c r="BD137" i="15"/>
  <c r="L14" i="15"/>
  <c r="L16" i="15"/>
  <c r="BD128" i="15"/>
  <c r="BD126" i="15"/>
  <c r="L26" i="15"/>
  <c r="BF49" i="15"/>
  <c r="BE60" i="15"/>
  <c r="BE55" i="15"/>
  <c r="BE45" i="15"/>
  <c r="BE48" i="15"/>
  <c r="BE18" i="15"/>
  <c r="BE68" i="15"/>
  <c r="BE46" i="15"/>
  <c r="BE285" i="15"/>
  <c r="BE218" i="15"/>
  <c r="BF89" i="15"/>
  <c r="BE51" i="15"/>
  <c r="BE277" i="15"/>
  <c r="BE210" i="15"/>
  <c r="BF81" i="15"/>
  <c r="BE290" i="15"/>
  <c r="BE223" i="15"/>
  <c r="BF94" i="15"/>
  <c r="BE291" i="15"/>
  <c r="BE224" i="15"/>
  <c r="BF95" i="15"/>
  <c r="BF60" i="15"/>
  <c r="BF43" i="15"/>
  <c r="BF48" i="15"/>
  <c r="BF56" i="15"/>
  <c r="BF147" i="15"/>
  <c r="L191" i="15"/>
  <c r="BF355" i="15"/>
  <c r="BF279" i="15"/>
  <c r="BF278" i="15"/>
  <c r="BG355" i="15"/>
  <c r="BF296" i="15"/>
  <c r="D29" i="17"/>
  <c r="E15" i="17"/>
  <c r="E29" i="17" s="1"/>
  <c r="AD93" i="18"/>
  <c r="D58" i="19"/>
  <c r="AD217" i="18" l="1"/>
  <c r="AD286" i="18"/>
  <c r="AD98" i="18"/>
  <c r="K4" i="17"/>
  <c r="E31" i="17"/>
  <c r="G31" i="17" s="1"/>
  <c r="G29" i="17"/>
  <c r="E33" i="17"/>
  <c r="D31" i="17"/>
  <c r="J4" i="17"/>
  <c r="F29" i="17"/>
  <c r="D33" i="17"/>
  <c r="L355" i="15"/>
  <c r="L287" i="15"/>
  <c r="L282" i="15"/>
  <c r="L293" i="15"/>
  <c r="L284" i="15"/>
  <c r="L278" i="15"/>
  <c r="L289" i="15"/>
  <c r="L356" i="15"/>
  <c r="L357" i="15"/>
  <c r="L279" i="15"/>
  <c r="L288" i="15"/>
  <c r="L281" i="15"/>
  <c r="L283" i="15"/>
  <c r="BF152" i="15"/>
  <c r="BF232" i="15"/>
  <c r="BF299" i="15" s="1"/>
  <c r="BG95" i="15"/>
  <c r="L95" i="15"/>
  <c r="BF224" i="15"/>
  <c r="BF291" i="15"/>
  <c r="BG94" i="15"/>
  <c r="L94" i="15"/>
  <c r="BF290" i="15"/>
  <c r="BF223" i="15"/>
  <c r="BG81" i="15"/>
  <c r="BF84" i="15"/>
  <c r="L81" i="15"/>
  <c r="BF210" i="15"/>
  <c r="BF277" i="15"/>
  <c r="BG89" i="15"/>
  <c r="L89" i="15"/>
  <c r="BF218" i="15"/>
  <c r="BF285" i="15"/>
  <c r="BE19" i="15"/>
  <c r="BE24" i="15"/>
  <c r="L25" i="15"/>
  <c r="L48" i="15" s="1"/>
  <c r="L49" i="15"/>
  <c r="L126" i="15"/>
  <c r="L128" i="15"/>
  <c r="L42" i="15"/>
  <c r="L60" i="15"/>
  <c r="L199" i="15"/>
  <c r="L265" i="15"/>
  <c r="L56" i="15"/>
  <c r="L105" i="15"/>
  <c r="L45" i="15"/>
  <c r="L127" i="15"/>
  <c r="L55" i="15"/>
  <c r="L43" i="15"/>
  <c r="L44" i="15"/>
  <c r="L51" i="15"/>
  <c r="L18" i="15"/>
  <c r="L46" i="15"/>
  <c r="L59" i="15"/>
  <c r="BD139" i="15"/>
  <c r="BD144" i="15"/>
  <c r="BD49" i="15"/>
  <c r="C160" i="15"/>
  <c r="C341" i="15"/>
  <c r="C167" i="15"/>
  <c r="C235" i="15"/>
  <c r="C302" i="15" s="1"/>
  <c r="C317" i="15" s="1"/>
  <c r="C162" i="15"/>
  <c r="C177" i="15"/>
  <c r="C250" i="15" s="1"/>
  <c r="AD49" i="15"/>
  <c r="AD139" i="15"/>
  <c r="AD144" i="15"/>
  <c r="AP139" i="15"/>
  <c r="AP144" i="15"/>
  <c r="AP49" i="15"/>
  <c r="AZ124" i="15"/>
  <c r="AZ332" i="15"/>
  <c r="BA124" i="15"/>
  <c r="BA332" i="15"/>
  <c r="AV174" i="15"/>
  <c r="AV247" i="15" s="1"/>
  <c r="AV333" i="15"/>
  <c r="AV177" i="15"/>
  <c r="AV250" i="15" s="1"/>
  <c r="AV243" i="15"/>
  <c r="AV310" i="15" s="1"/>
  <c r="AV173" i="15"/>
  <c r="AV246" i="15" s="1"/>
  <c r="AV179" i="15"/>
  <c r="AV252" i="15" s="1"/>
  <c r="AV180" i="15"/>
  <c r="AV253" i="15" s="1"/>
  <c r="AV176" i="15"/>
  <c r="AV249" i="15" s="1"/>
  <c r="AX243" i="15"/>
  <c r="AX310" i="15" s="1"/>
  <c r="AX333" i="15"/>
  <c r="AX180" i="15"/>
  <c r="AX253" i="15" s="1"/>
  <c r="AX179" i="15"/>
  <c r="AX252" i="15" s="1"/>
  <c r="AX173" i="15"/>
  <c r="AX246" i="15" s="1"/>
  <c r="AX174" i="15"/>
  <c r="AX247" i="15" s="1"/>
  <c r="AX176" i="15"/>
  <c r="AX249" i="15" s="1"/>
  <c r="AX177" i="15"/>
  <c r="AX250" i="15" s="1"/>
  <c r="BB294" i="15"/>
  <c r="BB102" i="15"/>
  <c r="BB227" i="15"/>
  <c r="BB99" i="15"/>
  <c r="BC98" i="15"/>
  <c r="D158" i="19"/>
  <c r="D156" i="19"/>
  <c r="F156" i="19" s="1"/>
  <c r="K129" i="19"/>
  <c r="F154" i="19"/>
  <c r="X116" i="18"/>
  <c r="X337" i="18" s="1"/>
  <c r="X356" i="18" s="1"/>
  <c r="W116" i="18"/>
  <c r="W337" i="18" s="1"/>
  <c r="W356" i="18" s="1"/>
  <c r="Y116" i="18"/>
  <c r="Y337" i="18" s="1"/>
  <c r="Y356" i="18" s="1"/>
  <c r="W98" i="18"/>
  <c r="W216" i="18"/>
  <c r="W285" i="18"/>
  <c r="D103" i="18"/>
  <c r="F102" i="18"/>
  <c r="F103" i="18" s="1"/>
  <c r="J293" i="18"/>
  <c r="J224" i="18"/>
  <c r="J225" i="18" s="1"/>
  <c r="J104" i="18"/>
  <c r="J101" i="18"/>
  <c r="U293" i="18"/>
  <c r="U101" i="18"/>
  <c r="U104" i="18"/>
  <c r="V100" i="18"/>
  <c r="U224" i="18"/>
  <c r="AA293" i="18"/>
  <c r="AA101" i="18"/>
  <c r="AB100" i="18"/>
  <c r="AA224" i="18"/>
  <c r="AA104" i="18"/>
  <c r="AB293" i="18" l="1"/>
  <c r="AB104" i="18"/>
  <c r="AB224" i="18"/>
  <c r="AB101" i="18"/>
  <c r="AC100" i="18"/>
  <c r="AA294" i="18"/>
  <c r="AA225" i="18"/>
  <c r="AA102" i="18"/>
  <c r="V104" i="18"/>
  <c r="V224" i="18"/>
  <c r="V101" i="18"/>
  <c r="V293" i="18"/>
  <c r="U225" i="18"/>
  <c r="U102" i="18"/>
  <c r="U103" i="18" s="1"/>
  <c r="U294" i="18"/>
  <c r="J294" i="18"/>
  <c r="J102" i="18"/>
  <c r="J103" i="18" s="1"/>
  <c r="W222" i="18"/>
  <c r="W291" i="18"/>
  <c r="W100" i="18"/>
  <c r="W101" i="18"/>
  <c r="K133" i="19"/>
  <c r="M129" i="19"/>
  <c r="K131" i="19"/>
  <c r="M131" i="19" s="1"/>
  <c r="BC227" i="15"/>
  <c r="BC294" i="15"/>
  <c r="BC102" i="15"/>
  <c r="BC99" i="15"/>
  <c r="BD98" i="15"/>
  <c r="BB295" i="15"/>
  <c r="BB228" i="15"/>
  <c r="BB100" i="15"/>
  <c r="AX352" i="15"/>
  <c r="AX335" i="15"/>
  <c r="AX345" i="15"/>
  <c r="AX346" i="15"/>
  <c r="AX320" i="15"/>
  <c r="AX319" i="15"/>
  <c r="AX316" i="15"/>
  <c r="AX317" i="15"/>
  <c r="AX314" i="15"/>
  <c r="AX313" i="15"/>
  <c r="AV320" i="15"/>
  <c r="AV319" i="15"/>
  <c r="AV317" i="15"/>
  <c r="AV314" i="15"/>
  <c r="AV316" i="15"/>
  <c r="AV313" i="15"/>
  <c r="AV335" i="15"/>
  <c r="AV352" i="15"/>
  <c r="AV345" i="15"/>
  <c r="AV346" i="15"/>
  <c r="BA351" i="15"/>
  <c r="BA354" i="15" s="1"/>
  <c r="BA335" i="15"/>
  <c r="AZ351" i="15"/>
  <c r="AZ354" i="15" s="1"/>
  <c r="AZ335" i="15"/>
  <c r="AP147" i="15"/>
  <c r="AP146" i="15"/>
  <c r="AP155" i="15"/>
  <c r="AP154" i="15"/>
  <c r="AD146" i="15"/>
  <c r="AD147" i="15"/>
  <c r="C360" i="15"/>
  <c r="C364" i="15" s="1"/>
  <c r="C343" i="15"/>
  <c r="C345" i="15"/>
  <c r="C342" i="15"/>
  <c r="C241" i="15"/>
  <c r="C308" i="15" s="1"/>
  <c r="C323" i="15" s="1"/>
  <c r="C183" i="15"/>
  <c r="C256" i="15" s="1"/>
  <c r="BD147" i="15"/>
  <c r="BD146" i="15"/>
  <c r="BD155" i="15"/>
  <c r="BD154" i="15"/>
  <c r="L19" i="15"/>
  <c r="L24" i="15"/>
  <c r="L332" i="15"/>
  <c r="L351" i="15" s="1"/>
  <c r="L124" i="15"/>
  <c r="BE106" i="15"/>
  <c r="BE47" i="15"/>
  <c r="BE63" i="15"/>
  <c r="BE65" i="15" s="1"/>
  <c r="BE30" i="15"/>
  <c r="BF106" i="15"/>
  <c r="BG106" i="15"/>
  <c r="L285" i="15"/>
  <c r="L218" i="15"/>
  <c r="BG218" i="15"/>
  <c r="BG285" i="15"/>
  <c r="L277" i="15"/>
  <c r="L210" i="15"/>
  <c r="BF213" i="15"/>
  <c r="BF90" i="15"/>
  <c r="BF280" i="15"/>
  <c r="BG84" i="15"/>
  <c r="BG210" i="15"/>
  <c r="BG277" i="15"/>
  <c r="L223" i="15"/>
  <c r="L290" i="15"/>
  <c r="BG223" i="15"/>
  <c r="BG290" i="15"/>
  <c r="L224" i="15"/>
  <c r="L291" i="15"/>
  <c r="BG291" i="15"/>
  <c r="BG224" i="15"/>
  <c r="BF160" i="15"/>
  <c r="BF167" i="15"/>
  <c r="BF162" i="15"/>
  <c r="BF235" i="15"/>
  <c r="BF302" i="15" s="1"/>
  <c r="BF341" i="15"/>
  <c r="J8" i="17"/>
  <c r="J6" i="17"/>
  <c r="L6" i="17" s="1"/>
  <c r="L4" i="17"/>
  <c r="F31" i="17"/>
  <c r="D38" i="17"/>
  <c r="D39" i="17" s="1"/>
  <c r="K6" i="17"/>
  <c r="M6" i="17" s="1"/>
  <c r="M4" i="17"/>
  <c r="K8" i="17"/>
  <c r="AD291" i="18"/>
  <c r="AD222" i="18"/>
  <c r="BF360" i="15" l="1"/>
  <c r="BF343" i="15"/>
  <c r="BF241" i="15"/>
  <c r="BF308" i="15" s="1"/>
  <c r="BG280" i="15"/>
  <c r="BG90" i="15"/>
  <c r="BG213" i="15"/>
  <c r="BF286" i="15"/>
  <c r="BF96" i="15"/>
  <c r="BF219" i="15"/>
  <c r="BE53" i="15"/>
  <c r="BE32" i="15"/>
  <c r="BE52" i="15"/>
  <c r="BE107" i="15"/>
  <c r="BE201" i="15"/>
  <c r="BE203" i="15" s="1"/>
  <c r="BE67" i="15"/>
  <c r="BE66" i="15"/>
  <c r="BE202" i="15" s="1"/>
  <c r="BE268" i="15"/>
  <c r="BF107" i="15"/>
  <c r="BG107" i="15"/>
  <c r="BE69" i="15"/>
  <c r="L47" i="15"/>
  <c r="L30" i="15"/>
  <c r="L106" i="15"/>
  <c r="L63" i="15"/>
  <c r="L65" i="15" s="1"/>
  <c r="BD237" i="15"/>
  <c r="BD304" i="15" s="1"/>
  <c r="BD319" i="15" s="1"/>
  <c r="BD179" i="15"/>
  <c r="BD252" i="15" s="1"/>
  <c r="BD238" i="15"/>
  <c r="BD305" i="15" s="1"/>
  <c r="BD320" i="15" s="1"/>
  <c r="BD342" i="15"/>
  <c r="BD180" i="15"/>
  <c r="BD253" i="15" s="1"/>
  <c r="BD151" i="15"/>
  <c r="BD188" i="15"/>
  <c r="BD173" i="15"/>
  <c r="BD246" i="15" s="1"/>
  <c r="BD232" i="15"/>
  <c r="BD299" i="15" s="1"/>
  <c r="BD314" i="15" s="1"/>
  <c r="BD152" i="15"/>
  <c r="BD174" i="15"/>
  <c r="BD247" i="15" s="1"/>
  <c r="C361" i="15"/>
  <c r="C366" i="15" s="1"/>
  <c r="C344" i="15"/>
  <c r="C347" i="15"/>
  <c r="C362" i="15"/>
  <c r="C365" i="15" s="1"/>
  <c r="C346" i="15"/>
  <c r="AD232" i="15"/>
  <c r="AD299" i="15" s="1"/>
  <c r="AD152" i="15"/>
  <c r="AD174" i="15"/>
  <c r="AD247" i="15" s="1"/>
  <c r="AD151" i="15"/>
  <c r="AD188" i="15"/>
  <c r="AD173" i="15"/>
  <c r="AD246" i="15" s="1"/>
  <c r="AP237" i="15"/>
  <c r="AP304" i="15" s="1"/>
  <c r="AP319" i="15" s="1"/>
  <c r="AP179" i="15"/>
  <c r="AP252" i="15" s="1"/>
  <c r="AP238" i="15"/>
  <c r="AP305" i="15" s="1"/>
  <c r="AP320" i="15" s="1"/>
  <c r="AP342" i="15"/>
  <c r="AP180" i="15"/>
  <c r="AP253" i="15" s="1"/>
  <c r="AP151" i="15"/>
  <c r="AP188" i="15"/>
  <c r="AP173" i="15"/>
  <c r="AP246" i="15" s="1"/>
  <c r="AP152" i="15"/>
  <c r="AP232" i="15"/>
  <c r="AP299" i="15" s="1"/>
  <c r="AP314" i="15" s="1"/>
  <c r="AP174" i="15"/>
  <c r="AP247" i="15" s="1"/>
  <c r="AV354" i="15"/>
  <c r="AV364" i="15"/>
  <c r="AV365" i="15"/>
  <c r="AX354" i="15"/>
  <c r="AX364" i="15"/>
  <c r="AX365" i="15"/>
  <c r="BC100" i="15"/>
  <c r="BB101" i="15"/>
  <c r="BD99" i="15"/>
  <c r="BD294" i="15"/>
  <c r="BD227" i="15"/>
  <c r="BD102" i="15"/>
  <c r="BC295" i="15"/>
  <c r="BC228" i="15"/>
  <c r="W102" i="18"/>
  <c r="W103" i="18" s="1"/>
  <c r="W225" i="18"/>
  <c r="W294" i="18"/>
  <c r="W224" i="18"/>
  <c r="W293" i="18"/>
  <c r="W104" i="18"/>
  <c r="X100" i="18"/>
  <c r="K100" i="18"/>
  <c r="V102" i="18"/>
  <c r="V103" i="18" s="1"/>
  <c r="V225" i="18"/>
  <c r="V294" i="18"/>
  <c r="AC293" i="18"/>
  <c r="AC101" i="18"/>
  <c r="AC224" i="18"/>
  <c r="AC104" i="18"/>
  <c r="AD100" i="18"/>
  <c r="AB225" i="18"/>
  <c r="AB102" i="18"/>
  <c r="AB294" i="18"/>
  <c r="AD224" i="18" l="1"/>
  <c r="AD104" i="18"/>
  <c r="AD293" i="18"/>
  <c r="AC102" i="18"/>
  <c r="AC294" i="18"/>
  <c r="AC225" i="18"/>
  <c r="AD101" i="18"/>
  <c r="AD102" i="18"/>
  <c r="K293" i="18"/>
  <c r="K101" i="18"/>
  <c r="K224" i="18"/>
  <c r="X293" i="18"/>
  <c r="X224" i="18"/>
  <c r="X101" i="18"/>
  <c r="X104" i="18"/>
  <c r="BD228" i="15"/>
  <c r="BD295" i="15"/>
  <c r="BD100" i="15"/>
  <c r="BC101" i="15"/>
  <c r="AP235" i="15"/>
  <c r="AP302" i="15" s="1"/>
  <c r="AP317" i="15" s="1"/>
  <c r="AP341" i="15"/>
  <c r="AP162" i="15"/>
  <c r="AP167" i="15"/>
  <c r="AP160" i="15"/>
  <c r="AP177" i="15"/>
  <c r="AP250" i="15" s="1"/>
  <c r="AP168" i="15"/>
  <c r="AP159" i="15"/>
  <c r="AP234" i="15"/>
  <c r="AP301" i="15" s="1"/>
  <c r="AP316" i="15" s="1"/>
  <c r="AP176" i="15"/>
  <c r="AP249" i="15" s="1"/>
  <c r="AP361" i="15"/>
  <c r="AP366" i="15" s="1"/>
  <c r="AP344" i="15"/>
  <c r="AP347" i="15"/>
  <c r="AD159" i="15"/>
  <c r="AD168" i="15"/>
  <c r="AD234" i="15"/>
  <c r="AD301" i="15" s="1"/>
  <c r="AD176" i="15"/>
  <c r="AD249" i="15" s="1"/>
  <c r="AD235" i="15"/>
  <c r="AD302" i="15" s="1"/>
  <c r="AD167" i="15"/>
  <c r="AD160" i="15"/>
  <c r="AD162" i="15"/>
  <c r="AD341" i="15"/>
  <c r="AD177" i="15"/>
  <c r="AD250" i="15" s="1"/>
  <c r="C363" i="15"/>
  <c r="C367" i="15" s="1"/>
  <c r="C348" i="15"/>
  <c r="BD235" i="15"/>
  <c r="BD302" i="15" s="1"/>
  <c r="BD317" i="15" s="1"/>
  <c r="BD167" i="15"/>
  <c r="BD160" i="15"/>
  <c r="BD162" i="15"/>
  <c r="BD341" i="15"/>
  <c r="BD177" i="15"/>
  <c r="BD250" i="15" s="1"/>
  <c r="BD159" i="15"/>
  <c r="BD234" i="15"/>
  <c r="BD301" i="15" s="1"/>
  <c r="BD316" i="15" s="1"/>
  <c r="BD168" i="15"/>
  <c r="BD176" i="15"/>
  <c r="BD249" i="15" s="1"/>
  <c r="BD344" i="15"/>
  <c r="BD361" i="15"/>
  <c r="BD366" i="15" s="1"/>
  <c r="BD347" i="15"/>
  <c r="L69" i="15"/>
  <c r="L268" i="15"/>
  <c r="L270" i="15" s="1"/>
  <c r="L201" i="15"/>
  <c r="L203" i="15" s="1"/>
  <c r="L67" i="15"/>
  <c r="L107" i="15"/>
  <c r="L52" i="15"/>
  <c r="L32" i="15"/>
  <c r="L53" i="15"/>
  <c r="BE71" i="15"/>
  <c r="BE272" i="15"/>
  <c r="BE80" i="15"/>
  <c r="BE205" i="15"/>
  <c r="BE207" i="15" s="1"/>
  <c r="BE76" i="15"/>
  <c r="BE108" i="15"/>
  <c r="BE70" i="15"/>
  <c r="BE206" i="15" s="1"/>
  <c r="BF108" i="15"/>
  <c r="BG108" i="15"/>
  <c r="BG185" i="15"/>
  <c r="BG186" i="15"/>
  <c r="BF186" i="15"/>
  <c r="BF185" i="15"/>
  <c r="BE270" i="15"/>
  <c r="BE269" i="15"/>
  <c r="BE186" i="15"/>
  <c r="BE185" i="15"/>
  <c r="BE35" i="15"/>
  <c r="BE54" i="15"/>
  <c r="BF225" i="15"/>
  <c r="BF292" i="15"/>
  <c r="BG219" i="15"/>
  <c r="BG286" i="15"/>
  <c r="BG96" i="15"/>
  <c r="BF362" i="15"/>
  <c r="BG292" i="15" l="1"/>
  <c r="BG225" i="15"/>
  <c r="BE57" i="15"/>
  <c r="BE112" i="15"/>
  <c r="BF112" i="15"/>
  <c r="BG112" i="15"/>
  <c r="BE325" i="15"/>
  <c r="BE258" i="15"/>
  <c r="BE259" i="15"/>
  <c r="BE326" i="15"/>
  <c r="BF258" i="15"/>
  <c r="BF325" i="15"/>
  <c r="BF259" i="15"/>
  <c r="BF326" i="15"/>
  <c r="BG326" i="15"/>
  <c r="BG259" i="15"/>
  <c r="BG258" i="15"/>
  <c r="BG325" i="15"/>
  <c r="BG333" i="15"/>
  <c r="BG243" i="15"/>
  <c r="BG310" i="15" s="1"/>
  <c r="BG173" i="15"/>
  <c r="BG246" i="15" s="1"/>
  <c r="BG174" i="15"/>
  <c r="BG247" i="15" s="1"/>
  <c r="BG176" i="15"/>
  <c r="BG249" i="15" s="1"/>
  <c r="BG180" i="15"/>
  <c r="BG253" i="15" s="1"/>
  <c r="BG179" i="15"/>
  <c r="BG252" i="15" s="1"/>
  <c r="BG177" i="15"/>
  <c r="BG250" i="15" s="1"/>
  <c r="BF243" i="15"/>
  <c r="BF310" i="15" s="1"/>
  <c r="BF333" i="15"/>
  <c r="BF173" i="15"/>
  <c r="BF246" i="15" s="1"/>
  <c r="BF180" i="15"/>
  <c r="BF253" i="15" s="1"/>
  <c r="BF179" i="15"/>
  <c r="BF252" i="15" s="1"/>
  <c r="BF176" i="15"/>
  <c r="BF249" i="15" s="1"/>
  <c r="BF174" i="15"/>
  <c r="BF247" i="15" s="1"/>
  <c r="BF177" i="15"/>
  <c r="BF250" i="15" s="1"/>
  <c r="BE180" i="15"/>
  <c r="BE253" i="15" s="1"/>
  <c r="BE176" i="15"/>
  <c r="BE249" i="15" s="1"/>
  <c r="BE177" i="15"/>
  <c r="BE250" i="15" s="1"/>
  <c r="BE173" i="15"/>
  <c r="BE246" i="15" s="1"/>
  <c r="BE179" i="15"/>
  <c r="BE252" i="15" s="1"/>
  <c r="BE174" i="15"/>
  <c r="BE247" i="15" s="1"/>
  <c r="BE243" i="15"/>
  <c r="BE310" i="15" s="1"/>
  <c r="BE333" i="15"/>
  <c r="BE109" i="15"/>
  <c r="BF109" i="15"/>
  <c r="BG109" i="15"/>
  <c r="BE209" i="15"/>
  <c r="BE84" i="15"/>
  <c r="BE276" i="15"/>
  <c r="BE274" i="15"/>
  <c r="BE273" i="15"/>
  <c r="L54" i="15"/>
  <c r="L35" i="15"/>
  <c r="L186" i="15"/>
  <c r="L185" i="15"/>
  <c r="L80" i="15"/>
  <c r="L71" i="15"/>
  <c r="L76" i="15"/>
  <c r="L109" i="15" s="1"/>
  <c r="L108" i="15"/>
  <c r="L272" i="15"/>
  <c r="L274" i="15" s="1"/>
  <c r="L205" i="15"/>
  <c r="L207" i="15" s="1"/>
  <c r="BD363" i="15"/>
  <c r="BD367" i="15" s="1"/>
  <c r="BD348" i="15"/>
  <c r="BD240" i="15"/>
  <c r="BD307" i="15" s="1"/>
  <c r="BD322" i="15" s="1"/>
  <c r="BD231" i="15"/>
  <c r="BD298" i="15" s="1"/>
  <c r="BD313" i="15" s="1"/>
  <c r="BD182" i="15"/>
  <c r="BD255" i="15" s="1"/>
  <c r="BD360" i="15"/>
  <c r="BD364" i="15" s="1"/>
  <c r="BD343" i="15"/>
  <c r="BD345" i="15"/>
  <c r="BD241" i="15"/>
  <c r="BD308" i="15" s="1"/>
  <c r="BD323" i="15" s="1"/>
  <c r="BD183" i="15"/>
  <c r="BD256" i="15" s="1"/>
  <c r="AD343" i="15"/>
  <c r="AD346" i="15" s="1"/>
  <c r="AD345" i="15"/>
  <c r="AD342" i="15"/>
  <c r="AD344" i="15" s="1"/>
  <c r="AD241" i="15"/>
  <c r="AD308" i="15" s="1"/>
  <c r="AD231" i="15"/>
  <c r="AD298" i="15" s="1"/>
  <c r="AD240" i="15"/>
  <c r="AD307" i="15" s="1"/>
  <c r="AP363" i="15"/>
  <c r="AP367" i="15" s="1"/>
  <c r="AP348" i="15"/>
  <c r="AP231" i="15"/>
  <c r="AP298" i="15" s="1"/>
  <c r="AP313" i="15" s="1"/>
  <c r="AP240" i="15"/>
  <c r="AP307" i="15" s="1"/>
  <c r="AP322" i="15" s="1"/>
  <c r="AP182" i="15"/>
  <c r="AP255" i="15" s="1"/>
  <c r="AP241" i="15"/>
  <c r="AP308" i="15" s="1"/>
  <c r="AP323" i="15" s="1"/>
  <c r="AP183" i="15"/>
  <c r="AP256" i="15" s="1"/>
  <c r="AP360" i="15"/>
  <c r="AP364" i="15" s="1"/>
  <c r="AP343" i="15"/>
  <c r="AP345" i="15"/>
  <c r="BD101" i="15"/>
  <c r="X225" i="18"/>
  <c r="X294" i="18"/>
  <c r="X102" i="18"/>
  <c r="X103" i="18" s="1"/>
  <c r="K294" i="18"/>
  <c r="K225" i="18"/>
  <c r="AD225" i="18"/>
  <c r="AD294" i="18"/>
  <c r="AP362" i="15" l="1"/>
  <c r="AP365" i="15" s="1"/>
  <c r="AP346" i="15"/>
  <c r="BD362" i="15"/>
  <c r="BD365" i="15" s="1"/>
  <c r="BD346" i="15"/>
  <c r="L333" i="15"/>
  <c r="L173" i="15"/>
  <c r="L246" i="15" s="1"/>
  <c r="L176" i="15"/>
  <c r="L249" i="15" s="1"/>
  <c r="L243" i="15"/>
  <c r="L310" i="15" s="1"/>
  <c r="L177" i="15"/>
  <c r="L250" i="15" s="1"/>
  <c r="L174" i="15"/>
  <c r="L247" i="15" s="1"/>
  <c r="L179" i="15"/>
  <c r="L252" i="15" s="1"/>
  <c r="L180" i="15"/>
  <c r="L253" i="15" s="1"/>
  <c r="L334" i="15"/>
  <c r="L244" i="15"/>
  <c r="L311" i="15" s="1"/>
  <c r="L182" i="15"/>
  <c r="L255" i="15" s="1"/>
  <c r="L183" i="15"/>
  <c r="L256" i="15" s="1"/>
  <c r="L209" i="15"/>
  <c r="L213" i="15" s="1"/>
  <c r="L219" i="15" s="1"/>
  <c r="L225" i="15" s="1"/>
  <c r="L276" i="15"/>
  <c r="L84" i="15"/>
  <c r="L325" i="15"/>
  <c r="L258" i="15"/>
  <c r="L259" i="15"/>
  <c r="L326" i="15"/>
  <c r="L57" i="15"/>
  <c r="L112" i="15"/>
  <c r="BE280" i="15"/>
  <c r="BE90" i="15"/>
  <c r="BE213" i="15"/>
  <c r="BG183" i="15"/>
  <c r="BG256" i="15" s="1"/>
  <c r="BG334" i="15"/>
  <c r="BG244" i="15"/>
  <c r="BG311" i="15" s="1"/>
  <c r="BG182" i="15"/>
  <c r="BG255" i="15" s="1"/>
  <c r="BF334" i="15"/>
  <c r="BF244" i="15"/>
  <c r="BF311" i="15" s="1"/>
  <c r="BF182" i="15"/>
  <c r="BF255" i="15" s="1"/>
  <c r="BF183" i="15"/>
  <c r="BF256" i="15" s="1"/>
  <c r="BE334" i="15"/>
  <c r="BE244" i="15"/>
  <c r="BE311" i="15" s="1"/>
  <c r="BE182" i="15"/>
  <c r="BE255" i="15" s="1"/>
  <c r="BE183" i="15"/>
  <c r="BE256" i="15" s="1"/>
  <c r="BE352" i="15"/>
  <c r="BE335" i="15"/>
  <c r="BE345" i="15"/>
  <c r="BE346" i="15"/>
  <c r="BE314" i="15"/>
  <c r="BE317" i="15"/>
  <c r="BE319" i="15"/>
  <c r="BE313" i="15"/>
  <c r="BE320" i="15"/>
  <c r="BE316" i="15"/>
  <c r="BF352" i="15"/>
  <c r="BF335" i="15"/>
  <c r="BF345" i="15"/>
  <c r="BF346" i="15"/>
  <c r="BF319" i="15"/>
  <c r="BF320" i="15"/>
  <c r="BF316" i="15"/>
  <c r="BF313" i="15"/>
  <c r="BF314" i="15"/>
  <c r="BF317" i="15"/>
  <c r="BG314" i="15"/>
  <c r="BG313" i="15"/>
  <c r="BG319" i="15"/>
  <c r="BG320" i="15"/>
  <c r="BG316" i="15"/>
  <c r="BG317" i="15"/>
  <c r="BG346" i="15"/>
  <c r="BG352" i="15"/>
  <c r="BG335" i="15"/>
  <c r="BG345" i="15"/>
  <c r="BG354" i="15" l="1"/>
  <c r="BG364" i="15"/>
  <c r="BG365" i="15"/>
  <c r="BF354" i="15"/>
  <c r="BF364" i="15"/>
  <c r="BF365" i="15"/>
  <c r="BE354" i="15"/>
  <c r="BE364" i="15"/>
  <c r="BE365" i="15"/>
  <c r="BE322" i="15"/>
  <c r="BE323" i="15"/>
  <c r="BE353" i="15"/>
  <c r="BE347" i="15"/>
  <c r="BE348" i="15"/>
  <c r="BF322" i="15"/>
  <c r="BF323" i="15"/>
  <c r="BF353" i="15"/>
  <c r="BF347" i="15"/>
  <c r="BF348" i="15"/>
  <c r="BG322" i="15"/>
  <c r="BG323" i="15"/>
  <c r="BG353" i="15"/>
  <c r="BG347" i="15"/>
  <c r="BG348" i="15"/>
  <c r="BE96" i="15"/>
  <c r="BE219" i="15"/>
  <c r="BE114" i="15"/>
  <c r="BE339" i="15" s="1"/>
  <c r="BE358" i="15" s="1"/>
  <c r="BE286" i="15"/>
  <c r="BG114" i="15"/>
  <c r="BG339" i="15" s="1"/>
  <c r="BG358" i="15" s="1"/>
  <c r="BF114" i="15"/>
  <c r="BF339" i="15" s="1"/>
  <c r="BF358" i="15" s="1"/>
  <c r="L90" i="15"/>
  <c r="L280" i="15"/>
  <c r="L322" i="15"/>
  <c r="L323" i="15"/>
  <c r="L353" i="15"/>
  <c r="L347" i="15"/>
  <c r="L348" i="15"/>
  <c r="L313" i="15"/>
  <c r="L314" i="15"/>
  <c r="L317" i="15"/>
  <c r="L316" i="15"/>
  <c r="L319" i="15"/>
  <c r="L320" i="15"/>
  <c r="L352" i="15"/>
  <c r="L335" i="15"/>
  <c r="L346" i="15"/>
  <c r="L345" i="15"/>
  <c r="L354" i="15" l="1"/>
  <c r="L364" i="15"/>
  <c r="L365" i="15"/>
  <c r="L366" i="15"/>
  <c r="L367" i="15"/>
  <c r="L114" i="15"/>
  <c r="L339" i="15" s="1"/>
  <c r="L358" i="15" s="1"/>
  <c r="L96" i="15"/>
  <c r="L286" i="15"/>
  <c r="BE225" i="15"/>
  <c r="BE98" i="15"/>
  <c r="BE292" i="15"/>
  <c r="BE99" i="15"/>
  <c r="BF98" i="15"/>
  <c r="BG366" i="15"/>
  <c r="BG367" i="15"/>
  <c r="BF366" i="15"/>
  <c r="BF367" i="15"/>
  <c r="BE367" i="15"/>
  <c r="BE366" i="15"/>
  <c r="BF227" i="15" l="1"/>
  <c r="BF294" i="15"/>
  <c r="BF102" i="15"/>
  <c r="BF99" i="15"/>
  <c r="BG98" i="15"/>
  <c r="BE228" i="15"/>
  <c r="BE295" i="15"/>
  <c r="BE100" i="15"/>
  <c r="BE227" i="15"/>
  <c r="BE294" i="15"/>
  <c r="L98" i="15"/>
  <c r="BE102" i="15"/>
  <c r="L292" i="15"/>
  <c r="L99" i="15"/>
  <c r="L295" i="15" l="1"/>
  <c r="L100" i="15"/>
  <c r="L101" i="15" s="1"/>
  <c r="L227" i="15"/>
  <c r="L228" i="15" s="1"/>
  <c r="L294" i="15"/>
  <c r="BE101" i="15"/>
  <c r="BF100" i="15"/>
  <c r="BG227" i="15"/>
  <c r="BG294" i="15"/>
  <c r="BG102" i="15"/>
  <c r="BG99" i="15"/>
  <c r="BF295" i="15"/>
  <c r="BF228" i="15"/>
  <c r="BG228" i="15" l="1"/>
  <c r="BG295" i="15"/>
  <c r="BF101" i="15"/>
  <c r="BG100" i="15"/>
  <c r="BG10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Crisil GR&amp;A</author>
    <author>Roshni Arunkumar</author>
  </authors>
  <commentList>
    <comment ref="J5" authorId="0" shapeId="0" xr:uid="{99D244FD-5579-4C2D-AB4C-9C8ECA6EE82C}">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B41" authorId="1" shapeId="0" xr:uid="{3F34C175-14B2-462C-A51F-DD832B2E7DCA}">
      <text>
        <r>
          <rPr>
            <b/>
            <sz val="9"/>
            <color indexed="81"/>
            <rFont val="Tahoma"/>
            <family val="2"/>
          </rPr>
          <t>Crisil GR&amp;A:</t>
        </r>
        <r>
          <rPr>
            <sz val="9"/>
            <color indexed="81"/>
            <rFont val="Tahoma"/>
            <family val="2"/>
          </rPr>
          <t xml:space="preserve">
Breakdown unavailable</t>
        </r>
      </text>
    </comment>
    <comment ref="C42" authorId="1" shapeId="0" xr:uid="{68EAC930-6D15-486C-B4C3-7097C62EEAA7}">
      <text>
        <r>
          <rPr>
            <b/>
            <sz val="9"/>
            <color indexed="81"/>
            <rFont val="Tahoma"/>
            <family val="2"/>
          </rPr>
          <t>Crisil GR&amp;A:</t>
        </r>
        <r>
          <rPr>
            <sz val="9"/>
            <color indexed="81"/>
            <rFont val="Tahoma"/>
            <family val="2"/>
          </rPr>
          <t xml:space="preserve">
Breakdown unavailable</t>
        </r>
      </text>
    </comment>
    <comment ref="C43" authorId="1" shapeId="0" xr:uid="{E323408B-F722-456F-A872-2E2EF12AE747}">
      <text>
        <r>
          <rPr>
            <b/>
            <sz val="9"/>
            <color indexed="81"/>
            <rFont val="Tahoma"/>
            <family val="2"/>
          </rPr>
          <t>Crisil GR&amp;A:</t>
        </r>
        <r>
          <rPr>
            <sz val="9"/>
            <color indexed="81"/>
            <rFont val="Tahoma"/>
            <family val="2"/>
          </rPr>
          <t xml:space="preserve">
Breakdown unavailable</t>
        </r>
      </text>
    </comment>
    <comment ref="C44" authorId="1" shapeId="0" xr:uid="{73F9D411-46BD-4DEE-A2BF-9B2D8B2494DE}">
      <text>
        <r>
          <rPr>
            <b/>
            <sz val="9"/>
            <color indexed="81"/>
            <rFont val="Tahoma"/>
            <family val="2"/>
          </rPr>
          <t>Crisil GR&amp;A:</t>
        </r>
        <r>
          <rPr>
            <sz val="9"/>
            <color indexed="81"/>
            <rFont val="Tahoma"/>
            <family val="2"/>
          </rPr>
          <t xml:space="preserve">
Breakdown unavailable</t>
        </r>
      </text>
    </comment>
    <comment ref="C45" authorId="1" shapeId="0" xr:uid="{E520925B-23CD-4E4C-B9F0-00D925D25251}">
      <text>
        <r>
          <rPr>
            <b/>
            <sz val="9"/>
            <color indexed="81"/>
            <rFont val="Tahoma"/>
            <family val="2"/>
          </rPr>
          <t>Crisil GR&amp;A:</t>
        </r>
        <r>
          <rPr>
            <sz val="9"/>
            <color indexed="81"/>
            <rFont val="Tahoma"/>
            <family val="2"/>
          </rPr>
          <t xml:space="preserve">
Breakdown unavailable</t>
        </r>
      </text>
    </comment>
    <comment ref="D50" authorId="2" shapeId="0" xr:uid="{E8A15DE1-7968-4BE3-87E5-05770D98220D}">
      <text>
        <r>
          <rPr>
            <b/>
            <sz val="9"/>
            <color indexed="81"/>
            <rFont val="Tahoma"/>
            <family val="2"/>
          </rPr>
          <t xml:space="preserve">CRISIL GRA: 
</t>
        </r>
        <r>
          <rPr>
            <sz val="9"/>
            <color indexed="81"/>
            <rFont val="Tahoma"/>
            <family val="2"/>
          </rPr>
          <t>Data unavailable</t>
        </r>
      </text>
    </comment>
    <comment ref="J66" authorId="0" shapeId="0" xr:uid="{B46BC1CC-02C7-4F19-846C-29535422FC74}">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102" authorId="1" shapeId="0" xr:uid="{EC9E46F1-CC52-468A-BF34-3BD95FB92315}">
      <text>
        <r>
          <rPr>
            <b/>
            <sz val="9"/>
            <color indexed="81"/>
            <rFont val="Tahoma"/>
            <family val="2"/>
          </rPr>
          <t>Crisil GR&amp;A:</t>
        </r>
        <r>
          <rPr>
            <sz val="9"/>
            <color indexed="81"/>
            <rFont val="Tahoma"/>
            <family val="2"/>
          </rPr>
          <t xml:space="preserve">
Breakdown unavailable</t>
        </r>
      </text>
    </comment>
    <comment ref="C103" authorId="1" shapeId="0" xr:uid="{49BD2295-0EF7-43DC-8AEB-AC463C474ABB}">
      <text>
        <r>
          <rPr>
            <b/>
            <sz val="9"/>
            <color indexed="81"/>
            <rFont val="Tahoma"/>
            <family val="2"/>
          </rPr>
          <t>Crisil GR&amp;A:</t>
        </r>
        <r>
          <rPr>
            <sz val="9"/>
            <color indexed="81"/>
            <rFont val="Tahoma"/>
            <family val="2"/>
          </rPr>
          <t xml:space="preserve">
Breakdown unavailable</t>
        </r>
      </text>
    </comment>
    <comment ref="C104" authorId="1" shapeId="0" xr:uid="{21668BFB-1E7A-4761-BD22-371C6E0348EB}">
      <text>
        <r>
          <rPr>
            <b/>
            <sz val="9"/>
            <color indexed="81"/>
            <rFont val="Tahoma"/>
            <family val="2"/>
          </rPr>
          <t>Crisil GR&amp;A:</t>
        </r>
        <r>
          <rPr>
            <sz val="9"/>
            <color indexed="81"/>
            <rFont val="Tahoma"/>
            <family val="2"/>
          </rPr>
          <t xml:space="preserve">
Breakdown unavailable</t>
        </r>
      </text>
    </comment>
    <comment ref="C105" authorId="1" shapeId="0" xr:uid="{997E698F-70B3-4B30-AF99-54FA79427C4C}">
      <text>
        <r>
          <rPr>
            <b/>
            <sz val="9"/>
            <color indexed="81"/>
            <rFont val="Tahoma"/>
            <family val="2"/>
          </rPr>
          <t>Crisil GR&amp;A:</t>
        </r>
        <r>
          <rPr>
            <sz val="9"/>
            <color indexed="81"/>
            <rFont val="Tahoma"/>
            <family val="2"/>
          </rPr>
          <t xml:space="preserve">
Breakdown unavailable</t>
        </r>
      </text>
    </comment>
    <comment ref="D110" authorId="2" shapeId="0" xr:uid="{BF36C927-CBD6-4502-9B9C-9B976C879E76}">
      <text>
        <r>
          <rPr>
            <b/>
            <sz val="9"/>
            <color indexed="81"/>
            <rFont val="Tahoma"/>
            <family val="2"/>
          </rPr>
          <t xml:space="preserve">CRISIL GRA: 
</t>
        </r>
        <r>
          <rPr>
            <sz val="9"/>
            <color indexed="81"/>
            <rFont val="Tahoma"/>
            <family val="2"/>
          </rPr>
          <t>Data unavailable</t>
        </r>
      </text>
    </comment>
    <comment ref="J126" authorId="0" shapeId="0" xr:uid="{2145D557-57A6-4062-B7FE-A197CE0EAA5D}">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162" authorId="1" shapeId="0" xr:uid="{4814C84B-68E7-401F-8DC2-0630AE3ED1A8}">
      <text>
        <r>
          <rPr>
            <b/>
            <sz val="9"/>
            <color indexed="81"/>
            <rFont val="Tahoma"/>
            <family val="2"/>
          </rPr>
          <t>Crisil GR&amp;A:</t>
        </r>
        <r>
          <rPr>
            <sz val="9"/>
            <color indexed="81"/>
            <rFont val="Tahoma"/>
            <family val="2"/>
          </rPr>
          <t xml:space="preserve">
Breakdown unavailable</t>
        </r>
      </text>
    </comment>
    <comment ref="C163" authorId="1" shapeId="0" xr:uid="{586D505C-3F11-42A0-B1D0-75A1041CBC24}">
      <text>
        <r>
          <rPr>
            <b/>
            <sz val="9"/>
            <color indexed="81"/>
            <rFont val="Tahoma"/>
            <family val="2"/>
          </rPr>
          <t>Crisil GR&amp;A:</t>
        </r>
        <r>
          <rPr>
            <sz val="9"/>
            <color indexed="81"/>
            <rFont val="Tahoma"/>
            <family val="2"/>
          </rPr>
          <t xml:space="preserve">
Breakdown unavailable</t>
        </r>
      </text>
    </comment>
    <comment ref="C164" authorId="1" shapeId="0" xr:uid="{7A390941-EA5F-478E-9C6E-3AF232093C80}">
      <text>
        <r>
          <rPr>
            <b/>
            <sz val="9"/>
            <color indexed="81"/>
            <rFont val="Tahoma"/>
            <family val="2"/>
          </rPr>
          <t>Crisil GR&amp;A:</t>
        </r>
        <r>
          <rPr>
            <sz val="9"/>
            <color indexed="81"/>
            <rFont val="Tahoma"/>
            <family val="2"/>
          </rPr>
          <t xml:space="preserve">
Breakdown unavailable</t>
        </r>
      </text>
    </comment>
    <comment ref="C165" authorId="1" shapeId="0" xr:uid="{9D9CEEEE-1E7E-46B7-9FAC-8D34E0909EFB}">
      <text>
        <r>
          <rPr>
            <b/>
            <sz val="9"/>
            <color indexed="81"/>
            <rFont val="Tahoma"/>
            <family val="2"/>
          </rPr>
          <t>Crisil GR&amp;A:</t>
        </r>
        <r>
          <rPr>
            <sz val="9"/>
            <color indexed="81"/>
            <rFont val="Tahoma"/>
            <family val="2"/>
          </rPr>
          <t xml:space="preserve">
Breakdown unavailable</t>
        </r>
      </text>
    </comment>
    <comment ref="D170" authorId="2" shapeId="0" xr:uid="{8FF02F9A-8239-4187-AF9E-F5FE07919009}">
      <text>
        <r>
          <rPr>
            <b/>
            <sz val="9"/>
            <color indexed="81"/>
            <rFont val="Tahoma"/>
            <family val="2"/>
          </rPr>
          <t xml:space="preserve">CRISIL GRA: 
</t>
        </r>
        <r>
          <rPr>
            <sz val="9"/>
            <color indexed="81"/>
            <rFont val="Tahoma"/>
            <family val="2"/>
          </rPr>
          <t>Data unavailable</t>
        </r>
      </text>
    </comment>
    <comment ref="J187" authorId="0" shapeId="0" xr:uid="{9862F4BA-C553-4E7A-B620-6B48DFFCCCD2}">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222" authorId="1" shapeId="0" xr:uid="{0294AC90-4420-479F-954C-77E0E8334DFC}">
      <text>
        <r>
          <rPr>
            <b/>
            <sz val="9"/>
            <color indexed="81"/>
            <rFont val="Tahoma"/>
            <family val="2"/>
          </rPr>
          <t>Crisil GR&amp;A:</t>
        </r>
        <r>
          <rPr>
            <sz val="9"/>
            <color indexed="81"/>
            <rFont val="Tahoma"/>
            <family val="2"/>
          </rPr>
          <t xml:space="preserve">
Breakdown unavailable</t>
        </r>
      </text>
    </comment>
    <comment ref="C223" authorId="1" shapeId="0" xr:uid="{2899DFB7-08B1-4842-B0B3-54CB82D63681}">
      <text>
        <r>
          <rPr>
            <b/>
            <sz val="9"/>
            <color indexed="81"/>
            <rFont val="Tahoma"/>
            <family val="2"/>
          </rPr>
          <t>Crisil GR&amp;A:</t>
        </r>
        <r>
          <rPr>
            <sz val="9"/>
            <color indexed="81"/>
            <rFont val="Tahoma"/>
            <family val="2"/>
          </rPr>
          <t xml:space="preserve">
Breakdown unavailable</t>
        </r>
      </text>
    </comment>
    <comment ref="C224" authorId="1" shapeId="0" xr:uid="{8D34FC6E-026A-49C9-A5AA-2933878B2B73}">
      <text>
        <r>
          <rPr>
            <b/>
            <sz val="9"/>
            <color indexed="81"/>
            <rFont val="Tahoma"/>
            <family val="2"/>
          </rPr>
          <t>Crisil GR&amp;A:</t>
        </r>
        <r>
          <rPr>
            <sz val="9"/>
            <color indexed="81"/>
            <rFont val="Tahoma"/>
            <family val="2"/>
          </rPr>
          <t xml:space="preserve">
Breakdown unavailable</t>
        </r>
      </text>
    </comment>
    <comment ref="C225" authorId="1" shapeId="0" xr:uid="{CF87D37D-C05B-4A5F-9114-502C62B9F6C2}">
      <text>
        <r>
          <rPr>
            <b/>
            <sz val="9"/>
            <color indexed="81"/>
            <rFont val="Tahoma"/>
            <family val="2"/>
          </rPr>
          <t>Crisil GR&amp;A:</t>
        </r>
        <r>
          <rPr>
            <sz val="9"/>
            <color indexed="81"/>
            <rFont val="Tahoma"/>
            <family val="2"/>
          </rPr>
          <t xml:space="preserve">
Breakdown unavailable</t>
        </r>
      </text>
    </comment>
    <comment ref="D230" authorId="2" shapeId="0" xr:uid="{A5DEF2EF-9803-46A1-B51D-B1F43FC6EEF3}">
      <text>
        <r>
          <rPr>
            <b/>
            <sz val="9"/>
            <color indexed="81"/>
            <rFont val="Tahoma"/>
            <family val="2"/>
          </rPr>
          <t xml:space="preserve">CRISIL GRA: 
</t>
        </r>
        <r>
          <rPr>
            <sz val="9"/>
            <color indexed="81"/>
            <rFont val="Tahoma"/>
            <family val="2"/>
          </rPr>
          <t>Data unavailable</t>
        </r>
      </text>
    </comment>
    <comment ref="J247" authorId="0" shapeId="0" xr:uid="{21D8F048-BDC5-4990-BE08-C71839F6F25A}">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282" authorId="1" shapeId="0" xr:uid="{C0387596-7FF4-4990-AA95-2B9E4E054B2F}">
      <text>
        <r>
          <rPr>
            <b/>
            <sz val="9"/>
            <color indexed="81"/>
            <rFont val="Tahoma"/>
            <family val="2"/>
          </rPr>
          <t>Crisil GR&amp;A:</t>
        </r>
        <r>
          <rPr>
            <sz val="9"/>
            <color indexed="81"/>
            <rFont val="Tahoma"/>
            <family val="2"/>
          </rPr>
          <t xml:space="preserve">
Breakdown unavailable</t>
        </r>
      </text>
    </comment>
    <comment ref="C283" authorId="1" shapeId="0" xr:uid="{E30F777D-3316-40DB-B1AF-46A504AC40ED}">
      <text>
        <r>
          <rPr>
            <b/>
            <sz val="9"/>
            <color indexed="81"/>
            <rFont val="Tahoma"/>
            <family val="2"/>
          </rPr>
          <t>Crisil GR&amp;A:</t>
        </r>
        <r>
          <rPr>
            <sz val="9"/>
            <color indexed="81"/>
            <rFont val="Tahoma"/>
            <family val="2"/>
          </rPr>
          <t xml:space="preserve">
Breakdown unavailable</t>
        </r>
      </text>
    </comment>
    <comment ref="C284" authorId="1" shapeId="0" xr:uid="{DF5BFD79-B654-4725-9297-8A42F8D0D143}">
      <text>
        <r>
          <rPr>
            <b/>
            <sz val="9"/>
            <color indexed="81"/>
            <rFont val="Tahoma"/>
            <family val="2"/>
          </rPr>
          <t>Crisil GR&amp;A:</t>
        </r>
        <r>
          <rPr>
            <sz val="9"/>
            <color indexed="81"/>
            <rFont val="Tahoma"/>
            <family val="2"/>
          </rPr>
          <t xml:space="preserve">
Breakdown unavailable</t>
        </r>
      </text>
    </comment>
    <comment ref="C285" authorId="1" shapeId="0" xr:uid="{E9B4177A-9876-47CC-849A-7E9BF09D0709}">
      <text>
        <r>
          <rPr>
            <b/>
            <sz val="9"/>
            <color indexed="81"/>
            <rFont val="Tahoma"/>
            <family val="2"/>
          </rPr>
          <t>Crisil GR&amp;A:</t>
        </r>
        <r>
          <rPr>
            <sz val="9"/>
            <color indexed="81"/>
            <rFont val="Tahoma"/>
            <family val="2"/>
          </rPr>
          <t xml:space="preserve">
Breakdown unavailable</t>
        </r>
      </text>
    </comment>
    <comment ref="D290" authorId="2" shapeId="0" xr:uid="{AC13D2C9-65FE-46A1-9504-9B4159A4C3E5}">
      <text>
        <r>
          <rPr>
            <b/>
            <sz val="9"/>
            <color indexed="81"/>
            <rFont val="Tahoma"/>
            <family val="2"/>
          </rPr>
          <t xml:space="preserve">CRISIL GRA: 
</t>
        </r>
        <r>
          <rPr>
            <sz val="9"/>
            <color indexed="81"/>
            <rFont val="Tahoma"/>
            <family val="2"/>
          </rPr>
          <t>Data unavailable</t>
        </r>
      </text>
    </comment>
    <comment ref="J307" authorId="0" shapeId="0" xr:uid="{CC4CB597-6B2D-4172-A4B1-BCC96DB8FBBB}">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342" authorId="1" shapeId="0" xr:uid="{6FFFD7A1-0785-4896-A7AC-165F904F5ADF}">
      <text>
        <r>
          <rPr>
            <b/>
            <sz val="9"/>
            <color indexed="81"/>
            <rFont val="Tahoma"/>
            <family val="2"/>
          </rPr>
          <t>Crisil GR&amp;A:</t>
        </r>
        <r>
          <rPr>
            <sz val="9"/>
            <color indexed="81"/>
            <rFont val="Tahoma"/>
            <family val="2"/>
          </rPr>
          <t xml:space="preserve">
Breakdown unavailable</t>
        </r>
      </text>
    </comment>
    <comment ref="C343" authorId="1" shapeId="0" xr:uid="{04360872-D51C-40BF-B1D1-B60C3FC945DA}">
      <text>
        <r>
          <rPr>
            <b/>
            <sz val="9"/>
            <color indexed="81"/>
            <rFont val="Tahoma"/>
            <family val="2"/>
          </rPr>
          <t>Crisil GR&amp;A:</t>
        </r>
        <r>
          <rPr>
            <sz val="9"/>
            <color indexed="81"/>
            <rFont val="Tahoma"/>
            <family val="2"/>
          </rPr>
          <t xml:space="preserve">
Breakdown unavailable</t>
        </r>
      </text>
    </comment>
    <comment ref="C344" authorId="1" shapeId="0" xr:uid="{31D3641D-6F6D-4CFB-BA48-B98D2419B920}">
      <text>
        <r>
          <rPr>
            <b/>
            <sz val="9"/>
            <color indexed="81"/>
            <rFont val="Tahoma"/>
            <family val="2"/>
          </rPr>
          <t>Crisil GR&amp;A:</t>
        </r>
        <r>
          <rPr>
            <sz val="9"/>
            <color indexed="81"/>
            <rFont val="Tahoma"/>
            <family val="2"/>
          </rPr>
          <t xml:space="preserve">
Breakdown unavailable</t>
        </r>
      </text>
    </comment>
    <comment ref="C345" authorId="1" shapeId="0" xr:uid="{7E2082E5-C1D5-40F0-A2AA-E3E921BA09C1}">
      <text>
        <r>
          <rPr>
            <b/>
            <sz val="9"/>
            <color indexed="81"/>
            <rFont val="Tahoma"/>
            <family val="2"/>
          </rPr>
          <t>Crisil GR&amp;A:</t>
        </r>
        <r>
          <rPr>
            <sz val="9"/>
            <color indexed="81"/>
            <rFont val="Tahoma"/>
            <family val="2"/>
          </rPr>
          <t xml:space="preserve">
Breakdown unavailable</t>
        </r>
      </text>
    </comment>
    <comment ref="D350" authorId="2" shapeId="0" xr:uid="{D182AA9D-DCC3-450F-8CE4-24FF8713B129}">
      <text>
        <r>
          <rPr>
            <b/>
            <sz val="9"/>
            <color indexed="81"/>
            <rFont val="Tahoma"/>
            <family val="2"/>
          </rPr>
          <t xml:space="preserve">CRISIL GRA: 
</t>
        </r>
        <r>
          <rPr>
            <sz val="9"/>
            <color indexed="81"/>
            <rFont val="Tahoma"/>
            <family val="2"/>
          </rPr>
          <t>Data unavailable</t>
        </r>
      </text>
    </comment>
    <comment ref="J368" authorId="0" shapeId="0" xr:uid="{6F6E6271-1502-4A8C-AB13-163DF7DE6078}">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C403" authorId="1" shapeId="0" xr:uid="{6F12D139-BEF0-490C-8567-DCED05A4F69F}">
      <text>
        <r>
          <rPr>
            <b/>
            <sz val="9"/>
            <color indexed="81"/>
            <rFont val="Tahoma"/>
            <family val="2"/>
          </rPr>
          <t>Crisil GR&amp;A:</t>
        </r>
        <r>
          <rPr>
            <sz val="9"/>
            <color indexed="81"/>
            <rFont val="Tahoma"/>
            <family val="2"/>
          </rPr>
          <t xml:space="preserve">
Breakdown unavailable</t>
        </r>
      </text>
    </comment>
    <comment ref="C404" authorId="1" shapeId="0" xr:uid="{725556B4-DDB3-41F4-A2CA-68EA8EDF2AF2}">
      <text>
        <r>
          <rPr>
            <b/>
            <sz val="9"/>
            <color indexed="81"/>
            <rFont val="Tahoma"/>
            <family val="2"/>
          </rPr>
          <t>Crisil GR&amp;A:</t>
        </r>
        <r>
          <rPr>
            <sz val="9"/>
            <color indexed="81"/>
            <rFont val="Tahoma"/>
            <family val="2"/>
          </rPr>
          <t xml:space="preserve">
Breakdown unavailable</t>
        </r>
      </text>
    </comment>
    <comment ref="C405" authorId="1" shapeId="0" xr:uid="{23780A3F-9719-401D-9F28-5D25BF9E2DF2}">
      <text>
        <r>
          <rPr>
            <b/>
            <sz val="9"/>
            <color indexed="81"/>
            <rFont val="Tahoma"/>
            <family val="2"/>
          </rPr>
          <t>Crisil GR&amp;A:</t>
        </r>
        <r>
          <rPr>
            <sz val="9"/>
            <color indexed="81"/>
            <rFont val="Tahoma"/>
            <family val="2"/>
          </rPr>
          <t xml:space="preserve">
Breakdown unavailable</t>
        </r>
      </text>
    </comment>
    <comment ref="C406" authorId="1" shapeId="0" xr:uid="{B77EB079-A9B1-425E-A367-3C715A7627A7}">
      <text>
        <r>
          <rPr>
            <b/>
            <sz val="9"/>
            <color indexed="81"/>
            <rFont val="Tahoma"/>
            <family val="2"/>
          </rPr>
          <t>Crisil GR&amp;A:</t>
        </r>
        <r>
          <rPr>
            <sz val="9"/>
            <color indexed="81"/>
            <rFont val="Tahoma"/>
            <family val="2"/>
          </rPr>
          <t xml:space="preserve">
Breakdown unavailable</t>
        </r>
      </text>
    </comment>
    <comment ref="D411" authorId="2" shapeId="0" xr:uid="{1BECD9DB-8D35-40A5-BDC7-7F592899F7E8}">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J427" authorId="0" shapeId="0" xr:uid="{62090E80-F62D-4F58-A6D8-97D15B2A0963}">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470" authorId="2" shapeId="0" xr:uid="{B482A791-A2D4-4B3A-A5B6-35696E8BBB34}">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530" authorId="2" shapeId="0" xr:uid="{ED9E1EEF-86C2-419A-9B0A-906B5CF329BB}">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589" authorId="2" shapeId="0" xr:uid="{C4AB684C-7438-4900-BA0F-4F074EBF38B5}">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648" authorId="2" shapeId="0" xr:uid="{9266D9F7-8AB4-4EDA-9434-F86F145E12B0}">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706" authorId="2" shapeId="0" xr:uid="{2869DED0-4A6E-4463-B02B-6AC0A12005CE}">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765" authorId="2" shapeId="0" xr:uid="{B687FA5A-E522-4691-A3E9-37AE4E19D94D}">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 xml:space="preserve">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
</t>
        </r>
        <r>
          <rPr>
            <b/>
            <sz val="9"/>
            <color indexed="81"/>
            <rFont val="Tahoma"/>
            <family val="2"/>
          </rPr>
          <t xml:space="preserve">From 3Q20 report: </t>
        </r>
        <r>
          <rPr>
            <sz val="9"/>
            <color indexed="81"/>
            <rFont val="Tahoma"/>
            <family val="2"/>
          </rPr>
          <t>The company has used loans in accordance with the loan agreement previously signed with J.P.Morgan and AB Svensk Exportkredit under the Swedish Export Credit Organization (“EKN”) insurance. As of 30 September 2020, the Company has used USD 47,100 loan on 1 April 2020, with a fixed interest rate of 3.84%.</t>
        </r>
      </text>
    </comment>
    <comment ref="D823" authorId="2" shapeId="0" xr:uid="{E6ED1C3A-C2C8-475D-9F28-5DC2E2414247}">
      <text>
        <r>
          <rPr>
            <b/>
            <sz val="9"/>
            <color indexed="81"/>
            <rFont val="Tahoma"/>
            <family val="2"/>
          </rPr>
          <t>From 2Q19 report:</t>
        </r>
        <r>
          <rPr>
            <sz val="9"/>
            <color indexed="81"/>
            <rFont val="Tahoma"/>
            <family val="2"/>
          </rPr>
          <t xml:space="preserve"> The Company signed a loan agreement of USD 150,000 with J.P.Morgan Chase Bank N.A., London Branch and AB Svensk Exportkredit within the framework of the insurance of the Swedish Export Credit Agency (EKN). The availability period of the loan is until April 2021, to be utilized in three equal tranches each with a maturity of 10 years. The total annual cost of the loan is LIBOR+2.1% for the first tranche and fixed 5.4% for the second and third tranches. As at 30 June 2019, the Company has utilized USD 50,000 under this agreement.
</t>
        </r>
        <r>
          <rPr>
            <b/>
            <sz val="9"/>
            <color indexed="81"/>
            <rFont val="Tahoma"/>
            <family val="2"/>
          </rPr>
          <t xml:space="preserve">From 2Q20 report: </t>
        </r>
        <r>
          <rPr>
            <sz val="9"/>
            <color indexed="81"/>
            <rFont val="Tahoma"/>
            <family val="2"/>
          </rPr>
          <t>The company has used loans in accordance with the loan agreement previously signed with J.P.Morgan and AB Svensk Exportkredit under the Swedish Export Credit Organization (“EKN”) insurance. As of 30 June 2020, the Company has used USD 47,100 loan on 1 April 2020, with a fixed interest rate of
3,84%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Harshit Bharat Tanna</author>
    <author>Onabule, Yejide</author>
    <author>Yogesh Sheth</author>
    <author>Vivek Panchal</author>
    <author>Nikhil Arora</author>
    <author>Crisil GR&amp;A</author>
    <author>CRISIL GR&amp;A</author>
    <author>Stuti Menon</author>
    <author>Rishabh Saraf</author>
    <author>CRISIL GR&amp;RS</author>
  </authors>
  <commentList>
    <comment ref="AW12" authorId="0" shapeId="0" xr:uid="{581582DE-59A4-4AFF-9EC6-D4042065E235}">
      <text>
        <r>
          <rPr>
            <b/>
            <sz val="9"/>
            <color indexed="81"/>
            <rFont val="Tahoma"/>
            <family val="2"/>
          </rPr>
          <t>New segment added from 1Q'21</t>
        </r>
      </text>
    </comment>
    <comment ref="AX12" authorId="0" shapeId="0" xr:uid="{88237AAF-EF0A-40B1-B997-E49A12E3266B}">
      <text>
        <r>
          <rPr>
            <b/>
            <sz val="9"/>
            <color indexed="81"/>
            <rFont val="Tahoma"/>
            <family val="2"/>
          </rPr>
          <t>New segment added from 1Q'21</t>
        </r>
      </text>
    </comment>
    <comment ref="AY12" authorId="0" shapeId="0" xr:uid="{57C03173-53AC-4B95-B717-4041FA9FC3BE}">
      <text>
        <r>
          <rPr>
            <b/>
            <sz val="9"/>
            <color indexed="81"/>
            <rFont val="Tahoma"/>
            <family val="2"/>
          </rPr>
          <t>New segment added from 1Q'21</t>
        </r>
      </text>
    </comment>
    <comment ref="B14" authorId="1" shapeId="0" xr:uid="{E1A49843-B1C3-424C-8425-68CD9740416C}">
      <text>
        <r>
          <rPr>
            <b/>
            <sz val="9"/>
            <color indexed="81"/>
            <rFont val="Tahoma"/>
            <family val="2"/>
          </rPr>
          <t>Onabule, Yejide:</t>
        </r>
        <r>
          <rPr>
            <sz val="9"/>
            <color indexed="81"/>
            <rFont val="Tahoma"/>
            <family val="2"/>
          </rPr>
          <t xml:space="preserve">
please input the income statement exactly how the company have put it in.
if you have to change the tiles, pls do…..</t>
        </r>
      </text>
    </comment>
    <comment ref="B17" authorId="2" shapeId="0" xr:uid="{78AD5BE5-6A72-4FAA-8101-1E0280BB088C}">
      <text>
        <r>
          <rPr>
            <b/>
            <sz val="9"/>
            <color indexed="81"/>
            <rFont val="Tahoma"/>
            <family val="2"/>
          </rPr>
          <t xml:space="preserve">CRISIL GR&amp;A: </t>
        </r>
        <r>
          <rPr>
            <sz val="9"/>
            <color indexed="81"/>
            <rFont val="Tahoma"/>
            <family val="2"/>
          </rPr>
          <t xml:space="preserve">D&amp;A included in Direct cost of revenues
</t>
        </r>
      </text>
    </comment>
    <comment ref="BA23" authorId="3" shapeId="0" xr:uid="{8E6FABA9-74FC-414D-B119-6F2CDAA2503E}">
      <text>
        <r>
          <rPr>
            <b/>
            <sz val="9"/>
            <color indexed="81"/>
            <rFont val="Tahoma"/>
            <family val="2"/>
          </rPr>
          <t xml:space="preserve">Restated
</t>
        </r>
      </text>
    </comment>
    <comment ref="BA26" authorId="3" shapeId="0" xr:uid="{CF68096D-6513-4D0D-8A22-0B5D5F7F95D6}">
      <text>
        <r>
          <rPr>
            <b/>
            <sz val="9"/>
            <color indexed="81"/>
            <rFont val="Tahoma"/>
            <family val="2"/>
          </rPr>
          <t xml:space="preserve">Restated
</t>
        </r>
      </text>
    </comment>
    <comment ref="BA27" authorId="3" shapeId="0" xr:uid="{6AF7510C-A23E-49D9-9F8B-D6507330BDC4}">
      <text>
        <r>
          <rPr>
            <b/>
            <sz val="9"/>
            <color indexed="81"/>
            <rFont val="Tahoma"/>
            <family val="2"/>
          </rPr>
          <t xml:space="preserve">Restated
</t>
        </r>
      </text>
    </comment>
    <comment ref="BA29" authorId="3" shapeId="0" xr:uid="{6ABFFD28-4DEA-46F7-84EF-170D4C79F793}">
      <text>
        <r>
          <rPr>
            <b/>
            <sz val="9"/>
            <color indexed="81"/>
            <rFont val="Tahoma"/>
            <family val="2"/>
          </rPr>
          <t>Added Net investment income/exp</t>
        </r>
      </text>
    </comment>
    <comment ref="BE29" authorId="3" shapeId="0" xr:uid="{332BE5E1-02D6-4B59-AC8F-E03045319ADE}">
      <text>
        <r>
          <rPr>
            <b/>
            <sz val="9"/>
            <color indexed="81"/>
            <rFont val="Tahoma"/>
            <family val="2"/>
          </rPr>
          <t>Added Net investment income/exp</t>
        </r>
      </text>
    </comment>
    <comment ref="C74" authorId="2" shapeId="0" xr:uid="{31218B77-FD9A-4966-BCE8-83E1C0E18BD1}">
      <text>
        <r>
          <rPr>
            <b/>
            <sz val="9"/>
            <color indexed="81"/>
            <rFont val="Tahoma"/>
            <family val="2"/>
          </rPr>
          <t xml:space="preserve">CRISIL GR&amp;A: </t>
        </r>
        <r>
          <rPr>
            <sz val="9"/>
            <color indexed="81"/>
            <rFont val="Tahoma"/>
            <family val="2"/>
          </rPr>
          <t xml:space="preserve">Assumed to be same as in FY15 due to lack of data
</t>
        </r>
      </text>
    </comment>
    <comment ref="AC74" authorId="2" shapeId="0" xr:uid="{704EED01-8B44-457A-BB16-4B6CAF57E5FD}">
      <text>
        <r>
          <rPr>
            <b/>
            <sz val="9"/>
            <color indexed="81"/>
            <rFont val="Tahoma"/>
            <family val="2"/>
          </rPr>
          <t xml:space="preserve">CRISIL GR&amp;A: </t>
        </r>
        <r>
          <rPr>
            <sz val="9"/>
            <color indexed="81"/>
            <rFont val="Tahoma"/>
            <family val="2"/>
          </rPr>
          <t xml:space="preserve">Assumed to be 25% of FY16 value due to lack of data in quarterly reports
</t>
        </r>
      </text>
    </comment>
    <comment ref="AD74" authorId="2" shapeId="0" xr:uid="{FB69094F-D44D-4E91-9D6D-20B64A95104E}">
      <text>
        <r>
          <rPr>
            <b/>
            <sz val="9"/>
            <color indexed="81"/>
            <rFont val="Tahoma"/>
            <family val="2"/>
          </rPr>
          <t xml:space="preserve">CRISIL GR&amp;A: </t>
        </r>
        <r>
          <rPr>
            <sz val="9"/>
            <color indexed="81"/>
            <rFont val="Tahoma"/>
            <family val="2"/>
          </rPr>
          <t xml:space="preserve">Assumed to be 25% of FY16 value due to lack of data in quarterly reports
</t>
        </r>
      </text>
    </comment>
    <comment ref="AE74" authorId="2" shapeId="0" xr:uid="{1C6F774E-EAA1-4B4D-8ED7-82BEDBA5C212}">
      <text>
        <r>
          <rPr>
            <b/>
            <sz val="9"/>
            <color indexed="81"/>
            <rFont val="Tahoma"/>
            <family val="2"/>
          </rPr>
          <t xml:space="preserve">CRISIL GR&amp;A: </t>
        </r>
        <r>
          <rPr>
            <sz val="9"/>
            <color indexed="81"/>
            <rFont val="Tahoma"/>
            <family val="2"/>
          </rPr>
          <t xml:space="preserve">Assumed to be 25% of FY16 value due to lack of data in quarterly reports
</t>
        </r>
      </text>
    </comment>
    <comment ref="AF74" authorId="2" shapeId="0" xr:uid="{2370387E-08AF-4577-8DF4-F75AF79A3D18}">
      <text>
        <r>
          <rPr>
            <b/>
            <sz val="9"/>
            <color indexed="81"/>
            <rFont val="Tahoma"/>
            <family val="2"/>
          </rPr>
          <t xml:space="preserve">CRISIL GR&amp;A: </t>
        </r>
        <r>
          <rPr>
            <sz val="9"/>
            <color indexed="81"/>
            <rFont val="Tahoma"/>
            <family val="2"/>
          </rPr>
          <t xml:space="preserve">Assumed to be 25% of FY16 value due to lack of data in quarterly reports
</t>
        </r>
      </text>
    </comment>
    <comment ref="AG74" authorId="2" shapeId="0" xr:uid="{C641290D-15C0-4068-9733-56E568D70DAB}">
      <text>
        <r>
          <rPr>
            <b/>
            <sz val="9"/>
            <color indexed="81"/>
            <rFont val="Tahoma"/>
            <family val="2"/>
          </rPr>
          <t xml:space="preserve">CRISIL GR&amp;A: </t>
        </r>
        <r>
          <rPr>
            <sz val="9"/>
            <color indexed="81"/>
            <rFont val="Tahoma"/>
            <family val="2"/>
          </rPr>
          <t xml:space="preserve">Assumed to be 25% of FY17 value due to lack of data in quarterly reports
</t>
        </r>
      </text>
    </comment>
    <comment ref="AH74" authorId="2" shapeId="0" xr:uid="{0CC8D962-FA99-42DB-BDF1-674805FB27CC}">
      <text>
        <r>
          <rPr>
            <b/>
            <sz val="9"/>
            <color indexed="81"/>
            <rFont val="Tahoma"/>
            <family val="2"/>
          </rPr>
          <t xml:space="preserve">CRISIL GR&amp;A: </t>
        </r>
        <r>
          <rPr>
            <sz val="9"/>
            <color indexed="81"/>
            <rFont val="Tahoma"/>
            <family val="2"/>
          </rPr>
          <t xml:space="preserve">Assumed to be 25% of FY17 value due to lack of data in quarterly reports
</t>
        </r>
      </text>
    </comment>
    <comment ref="AI74" authorId="2" shapeId="0" xr:uid="{C3EA6320-C153-4920-B4A1-4AADF03D915D}">
      <text>
        <r>
          <rPr>
            <b/>
            <sz val="9"/>
            <color indexed="81"/>
            <rFont val="Tahoma"/>
            <family val="2"/>
          </rPr>
          <t xml:space="preserve">CRISIL GR&amp;A: </t>
        </r>
        <r>
          <rPr>
            <sz val="9"/>
            <color indexed="81"/>
            <rFont val="Tahoma"/>
            <family val="2"/>
          </rPr>
          <t xml:space="preserve">Assumed to be 25% of FY17 value due to lack of data in quarterly reports
</t>
        </r>
      </text>
    </comment>
    <comment ref="AJ74" authorId="2" shapeId="0" xr:uid="{93A09116-819C-4265-B10F-E325373FD4A5}">
      <text>
        <r>
          <rPr>
            <b/>
            <sz val="9"/>
            <color indexed="81"/>
            <rFont val="Tahoma"/>
            <family val="2"/>
          </rPr>
          <t xml:space="preserve">CRISIL GR&amp;A: </t>
        </r>
        <r>
          <rPr>
            <sz val="9"/>
            <color indexed="81"/>
            <rFont val="Tahoma"/>
            <family val="2"/>
          </rPr>
          <t xml:space="preserve">Assumed to be 25% of FY17 value due to lack of data in quarterly reports
</t>
        </r>
      </text>
    </comment>
    <comment ref="B79" authorId="1" shapeId="0" xr:uid="{1A74C5ED-B7AB-4E06-89D9-70B126DEDD06}">
      <text>
        <r>
          <rPr>
            <b/>
            <sz val="9"/>
            <color indexed="81"/>
            <rFont val="Tahoma"/>
            <family val="2"/>
          </rPr>
          <t>Onabule, Yejide:</t>
        </r>
        <r>
          <rPr>
            <sz val="9"/>
            <color indexed="81"/>
            <rFont val="Tahoma"/>
            <family val="2"/>
          </rPr>
          <t xml:space="preserve">
Pls feel free to change the text, where necessary</t>
        </r>
      </text>
    </comment>
    <comment ref="B81" authorId="2" shapeId="0" xr:uid="{39D23CC3-2412-4B42-A6F5-6220D87E3D61}">
      <text>
        <r>
          <rPr>
            <b/>
            <sz val="9"/>
            <color indexed="81"/>
            <rFont val="Tahoma"/>
            <family val="2"/>
          </rPr>
          <t xml:space="preserve">CRISIL GR&amp;A:
Includes:
</t>
        </r>
        <r>
          <rPr>
            <sz val="9"/>
            <color indexed="81"/>
            <rFont val="Tahoma"/>
            <family val="2"/>
          </rPr>
          <t xml:space="preserve">Change in trade receivables
Change in due from related parties
Change in inventories
Change in due to related parties
Change in trade and other payables
Change in other working capital
</t>
        </r>
      </text>
    </comment>
    <comment ref="BA81" authorId="3" shapeId="0" xr:uid="{3B7D5F1B-5FFB-4B5B-AB04-8778CA334B55}">
      <text>
        <r>
          <rPr>
            <b/>
            <sz val="9"/>
            <color indexed="81"/>
            <rFont val="Tahoma"/>
            <family val="2"/>
          </rPr>
          <t>Restated</t>
        </r>
      </text>
    </comment>
    <comment ref="B95" authorId="4" shapeId="0" xr:uid="{0A4AB2FF-7A73-4156-92D2-DB1919EADF4A}">
      <text>
        <r>
          <rPr>
            <b/>
            <sz val="9"/>
            <color indexed="81"/>
            <rFont val="Tahoma"/>
            <family val="2"/>
          </rPr>
          <t>CRISIL GR&amp;A:</t>
        </r>
        <r>
          <rPr>
            <sz val="9"/>
            <color indexed="81"/>
            <rFont val="Tahoma"/>
            <family val="2"/>
          </rPr>
          <t xml:space="preserve">
Includes:
- Payment of contingent liability
- Derivative financial instruments collected
- Acquisition of non-controlling interest</t>
        </r>
      </text>
    </comment>
    <comment ref="K98" authorId="5" shapeId="0" xr:uid="{A8B6E572-0A0F-449A-A186-0CC9725A57DE}">
      <text>
        <r>
          <rPr>
            <b/>
            <sz val="9"/>
            <color indexed="81"/>
            <rFont val="Tahoma"/>
            <family val="2"/>
          </rPr>
          <t>Crisil GR&amp;A:</t>
        </r>
        <r>
          <rPr>
            <sz val="9"/>
            <color indexed="81"/>
            <rFont val="Tahoma"/>
            <family val="2"/>
          </rPr>
          <t xml:space="preserve">
Balance is high due to adjustments made to EBITDA</t>
        </r>
      </text>
    </comment>
    <comment ref="L101" authorId="6" shapeId="0" xr:uid="{42D450D6-67F8-4A62-918B-EAD11F11378F}">
      <text>
        <r>
          <rPr>
            <b/>
            <sz val="9"/>
            <color indexed="81"/>
            <rFont val="Tahoma"/>
            <family val="2"/>
          </rPr>
          <t>CRISIL GR&amp;A:</t>
        </r>
        <r>
          <rPr>
            <sz val="9"/>
            <color indexed="81"/>
            <rFont val="Tahoma"/>
            <family val="2"/>
          </rPr>
          <t xml:space="preserve">
As of 30 September 2023, the net amout of cash and cash equivalents is TL 39,005,163 excluding the interest income accrual amounting to TL 48,317.</t>
        </r>
      </text>
    </comment>
    <comment ref="BG101" authorId="6" shapeId="0" xr:uid="{CD51CC06-296A-46B8-9F0F-D0FFBDB0790F}">
      <text>
        <r>
          <rPr>
            <b/>
            <sz val="9"/>
            <color indexed="81"/>
            <rFont val="Tahoma"/>
            <family val="2"/>
          </rPr>
          <t>CRISIL GR&amp;A:</t>
        </r>
        <r>
          <rPr>
            <sz val="9"/>
            <color indexed="81"/>
            <rFont val="Tahoma"/>
            <family val="2"/>
          </rPr>
          <t xml:space="preserve">
As of 30 September 2023, the net amout of cash and cash equivalents is TL 39,005,163 excluding the interest income accrual amounting to TL 48,317.</t>
        </r>
      </text>
    </comment>
    <comment ref="H118" authorId="5" shapeId="0" xr:uid="{D3989536-D622-4B02-B113-651F1613C2FB}">
      <text>
        <r>
          <rPr>
            <b/>
            <sz val="9"/>
            <color indexed="81"/>
            <rFont val="Tahoma"/>
            <family val="2"/>
          </rPr>
          <t>Crisil GR&amp;A:</t>
        </r>
        <r>
          <rPr>
            <sz val="9"/>
            <color indexed="81"/>
            <rFont val="Tahoma"/>
            <family val="2"/>
          </rPr>
          <t xml:space="preserve">
Also includes right of use assets
</t>
        </r>
      </text>
    </comment>
    <comment ref="I118" authorId="5" shapeId="0" xr:uid="{CABE1B3C-7D31-4C6E-8B6F-FEFB9104C217}">
      <text>
        <r>
          <rPr>
            <b/>
            <sz val="9"/>
            <color indexed="81"/>
            <rFont val="Tahoma"/>
            <family val="2"/>
          </rPr>
          <t>Crisil GR&amp;A:</t>
        </r>
        <r>
          <rPr>
            <sz val="9"/>
            <color indexed="81"/>
            <rFont val="Tahoma"/>
            <family val="2"/>
          </rPr>
          <t xml:space="preserve">
Also includes right of use assets
</t>
        </r>
      </text>
    </comment>
    <comment ref="J118" authorId="5" shapeId="0" xr:uid="{856759C6-660B-4A90-9CA2-2CD32B1BC9CB}">
      <text>
        <r>
          <rPr>
            <b/>
            <sz val="9"/>
            <color indexed="81"/>
            <rFont val="Tahoma"/>
            <family val="2"/>
          </rPr>
          <t>Crisil GR&amp;A:</t>
        </r>
        <r>
          <rPr>
            <sz val="9"/>
            <color indexed="81"/>
            <rFont val="Tahoma"/>
            <family val="2"/>
          </rPr>
          <t xml:space="preserve">
Also includes right of use assets
</t>
        </r>
      </text>
    </comment>
    <comment ref="K118" authorId="5" shapeId="0" xr:uid="{587A50C5-5F8E-4B08-9A5B-85162CC04A43}">
      <text>
        <r>
          <rPr>
            <b/>
            <sz val="9"/>
            <color indexed="81"/>
            <rFont val="Tahoma"/>
            <family val="2"/>
          </rPr>
          <t>Crisil GR&amp;A:</t>
        </r>
        <r>
          <rPr>
            <sz val="9"/>
            <color indexed="81"/>
            <rFont val="Tahoma"/>
            <family val="2"/>
          </rPr>
          <t xml:space="preserve">
Also includes right of use assets
</t>
        </r>
      </text>
    </comment>
    <comment ref="AO118" authorId="5" shapeId="0" xr:uid="{F638B0BA-66F9-4A00-9698-07312144E8C6}">
      <text>
        <r>
          <rPr>
            <b/>
            <sz val="9"/>
            <color indexed="81"/>
            <rFont val="Tahoma"/>
            <family val="2"/>
          </rPr>
          <t>Crisil GR&amp;A:</t>
        </r>
        <r>
          <rPr>
            <sz val="9"/>
            <color indexed="81"/>
            <rFont val="Tahoma"/>
            <family val="2"/>
          </rPr>
          <t xml:space="preserve">
Also includes right of use assets
</t>
        </r>
      </text>
    </comment>
    <comment ref="AP118" authorId="5" shapeId="0" xr:uid="{32507FAA-08C5-455D-A343-43FCF603DA61}">
      <text>
        <r>
          <rPr>
            <b/>
            <sz val="9"/>
            <color indexed="81"/>
            <rFont val="Tahoma"/>
            <family val="2"/>
          </rPr>
          <t>Crisil GR&amp;A:</t>
        </r>
        <r>
          <rPr>
            <sz val="9"/>
            <color indexed="81"/>
            <rFont val="Tahoma"/>
            <family val="2"/>
          </rPr>
          <t xml:space="preserve">
Also includes right of use assets
</t>
        </r>
      </text>
    </comment>
    <comment ref="AQ118" authorId="5" shapeId="0" xr:uid="{AEB61129-2F9A-4C1C-9A66-7C388E5DDB84}">
      <text>
        <r>
          <rPr>
            <b/>
            <sz val="9"/>
            <color indexed="81"/>
            <rFont val="Tahoma"/>
            <family val="2"/>
          </rPr>
          <t>Crisil GR&amp;A:</t>
        </r>
        <r>
          <rPr>
            <sz val="9"/>
            <color indexed="81"/>
            <rFont val="Tahoma"/>
            <family val="2"/>
          </rPr>
          <t xml:space="preserve">
Also includes right of use assets
</t>
        </r>
      </text>
    </comment>
    <comment ref="AR118" authorId="5" shapeId="0" xr:uid="{D350F1E9-B8B7-439C-B791-7CE776F577FB}">
      <text>
        <r>
          <rPr>
            <b/>
            <sz val="9"/>
            <color indexed="81"/>
            <rFont val="Tahoma"/>
            <family val="2"/>
          </rPr>
          <t>Crisil GR&amp;A:</t>
        </r>
        <r>
          <rPr>
            <sz val="9"/>
            <color indexed="81"/>
            <rFont val="Tahoma"/>
            <family val="2"/>
          </rPr>
          <t xml:space="preserve">
Also includes right of use assets
</t>
        </r>
      </text>
    </comment>
    <comment ref="AS118" authorId="5" shapeId="0" xr:uid="{E3E91A9F-3111-4001-BBD3-7519E3BFA115}">
      <text>
        <r>
          <rPr>
            <b/>
            <sz val="9"/>
            <color indexed="81"/>
            <rFont val="Tahoma"/>
            <family val="2"/>
          </rPr>
          <t>Crisil GR&amp;A:</t>
        </r>
        <r>
          <rPr>
            <sz val="9"/>
            <color indexed="81"/>
            <rFont val="Tahoma"/>
            <family val="2"/>
          </rPr>
          <t xml:space="preserve">
Also includes right of use assets
</t>
        </r>
      </text>
    </comment>
    <comment ref="AT118" authorId="5" shapeId="0" xr:uid="{68C44807-051D-451D-AB30-57494C782D90}">
      <text>
        <r>
          <rPr>
            <b/>
            <sz val="9"/>
            <color indexed="81"/>
            <rFont val="Tahoma"/>
            <family val="2"/>
          </rPr>
          <t>Crisil GR&amp;A:</t>
        </r>
        <r>
          <rPr>
            <sz val="9"/>
            <color indexed="81"/>
            <rFont val="Tahoma"/>
            <family val="2"/>
          </rPr>
          <t xml:space="preserve">
Also includes right of use assets
</t>
        </r>
      </text>
    </comment>
    <comment ref="AU118" authorId="5" shapeId="0" xr:uid="{891F92A3-9354-4CEC-B1DB-DC203B52670C}">
      <text>
        <r>
          <rPr>
            <b/>
            <sz val="9"/>
            <color indexed="81"/>
            <rFont val="Tahoma"/>
            <family val="2"/>
          </rPr>
          <t>Crisil GR&amp;A:</t>
        </r>
        <r>
          <rPr>
            <sz val="9"/>
            <color indexed="81"/>
            <rFont val="Tahoma"/>
            <family val="2"/>
          </rPr>
          <t xml:space="preserve">
Also includes right of use assets
</t>
        </r>
      </text>
    </comment>
    <comment ref="AV118" authorId="5" shapeId="0" xr:uid="{14F35814-8E67-410A-BE26-4B47F660A08E}">
      <text>
        <r>
          <rPr>
            <b/>
            <sz val="9"/>
            <color indexed="81"/>
            <rFont val="Tahoma"/>
            <family val="2"/>
          </rPr>
          <t>Crisil GR&amp;A:</t>
        </r>
        <r>
          <rPr>
            <sz val="9"/>
            <color indexed="81"/>
            <rFont val="Tahoma"/>
            <family val="2"/>
          </rPr>
          <t xml:space="preserve">
Also includes right of use assets
</t>
        </r>
      </text>
    </comment>
    <comment ref="AW118" authorId="5" shapeId="0" xr:uid="{D154EE50-7FD5-4F7B-ABF7-C393504F83E7}">
      <text>
        <r>
          <rPr>
            <b/>
            <sz val="9"/>
            <color indexed="81"/>
            <rFont val="Tahoma"/>
            <family val="2"/>
          </rPr>
          <t>Crisil GR&amp;A:</t>
        </r>
        <r>
          <rPr>
            <sz val="9"/>
            <color indexed="81"/>
            <rFont val="Tahoma"/>
            <family val="2"/>
          </rPr>
          <t xml:space="preserve">
Also includes right of use assets
</t>
        </r>
      </text>
    </comment>
    <comment ref="AX118" authorId="5" shapeId="0" xr:uid="{EAFD13D8-81A5-4624-A845-649845EBB605}">
      <text>
        <r>
          <rPr>
            <b/>
            <sz val="9"/>
            <color indexed="81"/>
            <rFont val="Tahoma"/>
            <family val="2"/>
          </rPr>
          <t>Crisil GR&amp;A:</t>
        </r>
        <r>
          <rPr>
            <sz val="9"/>
            <color indexed="81"/>
            <rFont val="Tahoma"/>
            <family val="2"/>
          </rPr>
          <t xml:space="preserve">
Also includes right of use assets
</t>
        </r>
      </text>
    </comment>
    <comment ref="AY118" authorId="5" shapeId="0" xr:uid="{8533E0EE-2230-4D79-8802-49C157127603}">
      <text>
        <r>
          <rPr>
            <b/>
            <sz val="9"/>
            <color indexed="81"/>
            <rFont val="Tahoma"/>
            <family val="2"/>
          </rPr>
          <t>Crisil GR&amp;A:</t>
        </r>
        <r>
          <rPr>
            <sz val="9"/>
            <color indexed="81"/>
            <rFont val="Tahoma"/>
            <family val="2"/>
          </rPr>
          <t xml:space="preserve">
Also includes right of use assets
</t>
        </r>
      </text>
    </comment>
    <comment ref="AZ118" authorId="5" shapeId="0" xr:uid="{6B6F291D-1686-4738-9A39-26084A34FF56}">
      <text>
        <r>
          <rPr>
            <b/>
            <sz val="9"/>
            <color indexed="81"/>
            <rFont val="Tahoma"/>
            <family val="2"/>
          </rPr>
          <t>Crisil GR&amp;A:</t>
        </r>
        <r>
          <rPr>
            <sz val="9"/>
            <color indexed="81"/>
            <rFont val="Tahoma"/>
            <family val="2"/>
          </rPr>
          <t xml:space="preserve">
Also includes right of use assets
</t>
        </r>
      </text>
    </comment>
    <comment ref="BA118" authorId="5" shapeId="0" xr:uid="{C069DB62-9F16-48E2-9B4F-BC1A5C992607}">
      <text>
        <r>
          <rPr>
            <b/>
            <sz val="9"/>
            <color indexed="81"/>
            <rFont val="Tahoma"/>
            <family val="2"/>
          </rPr>
          <t>Crisil GR&amp;A:</t>
        </r>
        <r>
          <rPr>
            <sz val="9"/>
            <color indexed="81"/>
            <rFont val="Tahoma"/>
            <family val="2"/>
          </rPr>
          <t xml:space="preserve">
Also includes right of use assets
</t>
        </r>
      </text>
    </comment>
    <comment ref="BB118" authorId="5" shapeId="0" xr:uid="{BDC08A9C-1103-4C4A-8483-527133E99FC5}">
      <text>
        <r>
          <rPr>
            <b/>
            <sz val="9"/>
            <color indexed="81"/>
            <rFont val="Tahoma"/>
            <family val="2"/>
          </rPr>
          <t>Crisil GR&amp;A:</t>
        </r>
        <r>
          <rPr>
            <sz val="9"/>
            <color indexed="81"/>
            <rFont val="Tahoma"/>
            <family val="2"/>
          </rPr>
          <t xml:space="preserve">
Also includes right of use assets
</t>
        </r>
      </text>
    </comment>
    <comment ref="BC118" authorId="5" shapeId="0" xr:uid="{AFF469D5-8B84-477F-9DE1-72331D24A82B}">
      <text>
        <r>
          <rPr>
            <b/>
            <sz val="9"/>
            <color indexed="81"/>
            <rFont val="Tahoma"/>
            <family val="2"/>
          </rPr>
          <t>Crisil GR&amp;A:</t>
        </r>
        <r>
          <rPr>
            <sz val="9"/>
            <color indexed="81"/>
            <rFont val="Tahoma"/>
            <family val="2"/>
          </rPr>
          <t xml:space="preserve">
Also includes right of use assets
</t>
        </r>
      </text>
    </comment>
    <comment ref="BD118" authorId="5" shapeId="0" xr:uid="{97B7DAE3-DA1E-4161-847A-6A49EE73A7B0}">
      <text>
        <r>
          <rPr>
            <b/>
            <sz val="9"/>
            <color indexed="81"/>
            <rFont val="Tahoma"/>
            <family val="2"/>
          </rPr>
          <t>Crisil GR&amp;A:</t>
        </r>
        <r>
          <rPr>
            <sz val="9"/>
            <color indexed="81"/>
            <rFont val="Tahoma"/>
            <family val="2"/>
          </rPr>
          <t xml:space="preserve">
Also includes right of use assets
</t>
        </r>
      </text>
    </comment>
    <comment ref="BE118" authorId="5" shapeId="0" xr:uid="{00CCD981-EEA9-4E91-8025-A792D1EAF78B}">
      <text>
        <r>
          <rPr>
            <b/>
            <sz val="9"/>
            <color indexed="81"/>
            <rFont val="Tahoma"/>
            <family val="2"/>
          </rPr>
          <t>Crisil GR&amp;A:</t>
        </r>
        <r>
          <rPr>
            <sz val="9"/>
            <color indexed="81"/>
            <rFont val="Tahoma"/>
            <family val="2"/>
          </rPr>
          <t xml:space="preserve">
Also includes right of use assets
</t>
        </r>
      </text>
    </comment>
    <comment ref="BF118" authorId="5" shapeId="0" xr:uid="{10B603BF-E06A-4460-9CA3-7BF701023718}">
      <text>
        <r>
          <rPr>
            <b/>
            <sz val="9"/>
            <color indexed="81"/>
            <rFont val="Tahoma"/>
            <family val="2"/>
          </rPr>
          <t>Crisil GR&amp;A:</t>
        </r>
        <r>
          <rPr>
            <sz val="9"/>
            <color indexed="81"/>
            <rFont val="Tahoma"/>
            <family val="2"/>
          </rPr>
          <t xml:space="preserve">
Also includes right of use assets
</t>
        </r>
      </text>
    </comment>
    <comment ref="BG118" authorId="5" shapeId="0" xr:uid="{471B415A-FA1F-43E5-BA42-E7F3CA30E7E9}">
      <text>
        <r>
          <rPr>
            <b/>
            <sz val="9"/>
            <color indexed="81"/>
            <rFont val="Tahoma"/>
            <family val="2"/>
          </rPr>
          <t>Crisil GR&amp;A:</t>
        </r>
        <r>
          <rPr>
            <sz val="9"/>
            <color indexed="81"/>
            <rFont val="Tahoma"/>
            <family val="2"/>
          </rPr>
          <t xml:space="preserve">
Also includes right of use assets
</t>
        </r>
      </text>
    </comment>
    <comment ref="B134" authorId="1" shapeId="0" xr:uid="{25BF1A6B-0F94-46A9-9D39-370CF08AF91A}">
      <text>
        <r>
          <rPr>
            <b/>
            <sz val="9"/>
            <color indexed="81"/>
            <rFont val="Tahoma"/>
            <family val="2"/>
          </rPr>
          <t>Onabule, Yejide:</t>
        </r>
        <r>
          <rPr>
            <sz val="9"/>
            <color indexed="81"/>
            <rFont val="Tahoma"/>
            <family val="2"/>
          </rPr>
          <t xml:space="preserve">
please feel free to edit thi section depending on info availab;le</t>
        </r>
      </text>
    </comment>
    <comment ref="B136" authorId="2" shapeId="0" xr:uid="{79E09B8A-C603-43FF-9AF1-33E4F453E612}">
      <text>
        <r>
          <rPr>
            <b/>
            <sz val="9"/>
            <color indexed="81"/>
            <rFont val="Tahoma"/>
            <family val="2"/>
          </rPr>
          <t xml:space="preserve">CRISIL GR&amp;A: </t>
        </r>
        <r>
          <rPr>
            <sz val="9"/>
            <color indexed="81"/>
            <rFont val="Tahoma"/>
            <family val="2"/>
          </rPr>
          <t xml:space="preserve">Includes currency swap contracts and currency forward contracts
</t>
        </r>
      </text>
    </comment>
    <comment ref="AK149" authorId="7" shapeId="0" xr:uid="{2F9575EA-2321-4119-B7D8-72F2AA6F1474}">
      <text>
        <r>
          <rPr>
            <b/>
            <sz val="9"/>
            <color indexed="81"/>
            <rFont val="Tahoma"/>
            <family val="2"/>
          </rPr>
          <t>CRISIL GR&amp;A:</t>
        </r>
        <r>
          <rPr>
            <sz val="9"/>
            <color indexed="81"/>
            <rFont val="Tahoma"/>
            <family val="2"/>
          </rPr>
          <t>Includes rent lease obligations of TRY1.1bn that were added from the implementation of IFRS16 starting 1Q18</t>
        </r>
        <r>
          <rPr>
            <sz val="9"/>
            <color indexed="81"/>
            <rFont val="Tahoma"/>
            <family val="2"/>
          </rPr>
          <t xml:space="preserve">
</t>
        </r>
      </text>
    </comment>
    <comment ref="B165" authorId="2" shapeId="0" xr:uid="{EB0255FA-0210-4F48-B167-75D9376CCEFF}">
      <text>
        <r>
          <rPr>
            <b/>
            <sz val="9"/>
            <color indexed="81"/>
            <rFont val="Tahoma"/>
            <family val="2"/>
          </rPr>
          <t xml:space="preserve">CRISIL GR&amp;A: </t>
        </r>
        <r>
          <rPr>
            <sz val="9"/>
            <color indexed="81"/>
            <rFont val="Tahoma"/>
            <family val="2"/>
          </rPr>
          <t xml:space="preserve">Sourced from Bloomberg
</t>
        </r>
      </text>
    </comment>
    <comment ref="AS165" authorId="8" shapeId="0" xr:uid="{84B7C6CD-8377-4F71-9387-2C6CA63849A2}">
      <text>
        <r>
          <rPr>
            <b/>
            <sz val="9"/>
            <color indexed="81"/>
            <rFont val="Tahoma"/>
            <family val="2"/>
          </rPr>
          <t>Rishabh Saraf:</t>
        </r>
        <r>
          <rPr>
            <sz val="9"/>
            <color indexed="81"/>
            <rFont val="Tahoma"/>
            <family val="2"/>
          </rPr>
          <t xml:space="preserve">
Sourced from Bloomberg website for date 29/04/2020</t>
        </r>
      </text>
    </comment>
    <comment ref="BE165" authorId="3" shapeId="0" xr:uid="{04C65029-B231-495A-B7F9-5CBAB61FA71C}">
      <text>
        <r>
          <rPr>
            <b/>
            <sz val="9"/>
            <color indexed="81"/>
            <rFont val="Tahoma"/>
            <family val="2"/>
          </rPr>
          <t>As on May 11,2023</t>
        </r>
      </text>
    </comment>
    <comment ref="BF165" authorId="9" shapeId="0" xr:uid="{B743BB6C-CDB0-440A-9874-936434CCFAD0}">
      <text>
        <r>
          <rPr>
            <b/>
            <sz val="9"/>
            <color indexed="81"/>
            <rFont val="Tahoma"/>
            <family val="2"/>
          </rPr>
          <t>CRISIL GR&amp;RS:</t>
        </r>
        <r>
          <rPr>
            <sz val="9"/>
            <color indexed="81"/>
            <rFont val="Tahoma"/>
            <family val="2"/>
          </rPr>
          <t xml:space="preserve">
From BBG</t>
        </r>
      </text>
    </comment>
    <comment ref="B190" authorId="7" shapeId="0" xr:uid="{5A3C8131-989A-4359-9C4A-718FAF6E4B41}">
      <text>
        <r>
          <rPr>
            <b/>
            <sz val="9"/>
            <color indexed="81"/>
            <rFont val="Tahoma"/>
            <family val="2"/>
          </rPr>
          <t xml:space="preserve">CRISIL GR&amp;A: </t>
        </r>
        <r>
          <rPr>
            <sz val="9"/>
            <color indexed="81"/>
            <rFont val="Tahoma"/>
            <family val="2"/>
          </rPr>
          <t xml:space="preserve">Sourced from quarterly reports
</t>
        </r>
      </text>
    </comment>
    <comment ref="B191" authorId="7" shapeId="0" xr:uid="{51A14537-C506-4F1E-AE86-6676798D7D0B}">
      <text>
        <r>
          <rPr>
            <b/>
            <sz val="9"/>
            <color indexed="81"/>
            <rFont val="Tahoma"/>
            <family val="2"/>
          </rPr>
          <t xml:space="preserve">CRISIL GR&amp;A: </t>
        </r>
        <r>
          <rPr>
            <sz val="9"/>
            <color indexed="81"/>
            <rFont val="Tahoma"/>
            <family val="2"/>
          </rPr>
          <t xml:space="preserve">Sourced from quarterly reports
</t>
        </r>
      </text>
    </comment>
    <comment ref="B195" authorId="1" shapeId="0" xr:uid="{19A8AA76-5831-4A5E-AB4F-C160F2F61BCB}">
      <text>
        <r>
          <rPr>
            <b/>
            <sz val="9"/>
            <color indexed="81"/>
            <rFont val="Tahoma"/>
            <family val="2"/>
          </rPr>
          <t>Onabule, Yejide:</t>
        </r>
        <r>
          <rPr>
            <sz val="9"/>
            <color indexed="81"/>
            <rFont val="Tahoma"/>
            <family val="2"/>
          </rPr>
          <t xml:space="preserve">
PLS LINK THIS TO THE INFO ABOVE WHERE RELEVANT LIKE THE TABLE BELOW</t>
        </r>
      </text>
    </comment>
    <comment ref="B451" authorId="5" shapeId="0" xr:uid="{1F2E670C-3C86-47C4-A6CF-1540541F2FFB}">
      <text>
        <r>
          <rPr>
            <b/>
            <sz val="9"/>
            <color indexed="81"/>
            <rFont val="Tahoma"/>
            <family val="2"/>
          </rPr>
          <t>Crisil GR&amp;A:</t>
        </r>
        <r>
          <rPr>
            <sz val="9"/>
            <color indexed="81"/>
            <rFont val="Tahoma"/>
            <family val="2"/>
          </rPr>
          <t xml:space="preserve">
Breakdown of capex for 1Q18 has been restated in 1Q19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CRISIL GR&amp;RS</author>
    <author>Roshni Arunkumar</author>
  </authors>
  <commentList>
    <comment ref="C7" authorId="0" shapeId="0" xr:uid="{0028EEA7-046B-461D-9B12-89161568C26D}">
      <text>
        <r>
          <rPr>
            <b/>
            <sz val="9"/>
            <color indexed="81"/>
            <rFont val="Tahoma"/>
            <charset val="1"/>
          </rPr>
          <t>CRISIL:</t>
        </r>
        <r>
          <rPr>
            <sz val="9"/>
            <color indexed="81"/>
            <rFont val="Tahoma"/>
            <charset val="1"/>
          </rPr>
          <t xml:space="preserve">
FS 1Q26 Pg 26/38</t>
        </r>
      </text>
    </comment>
    <comment ref="J8" authorId="0" shapeId="0" xr:uid="{B62CFDF4-3F87-4E0F-B059-B2D0199D5F85}">
      <text>
        <r>
          <rPr>
            <b/>
            <sz val="9"/>
            <color indexed="81"/>
            <rFont val="Tahoma"/>
            <family val="2"/>
          </rPr>
          <t>CRISIL:</t>
        </r>
        <r>
          <rPr>
            <sz val="9"/>
            <color indexed="81"/>
            <rFont val="Tahoma"/>
            <family val="2"/>
          </rPr>
          <t xml:space="preserve">
net debt calculation includes financial assets at fair value, whether through other comprehensive income or through profit and loss, reported under
current and non-current assets, as well as financial assets at amortized cost. Required reserves held in CBRT balances are not included in total cash and net
debt calculation
PR 1Q26 Pg 9/19</t>
        </r>
      </text>
    </comment>
    <comment ref="B51" authorId="1" shapeId="0" xr:uid="{0D6FC355-50F6-4BE3-B765-AB49A1D76CC5}">
      <text>
        <r>
          <rPr>
            <b/>
            <sz val="9"/>
            <color indexed="81"/>
            <rFont val="Tahoma"/>
            <family val="2"/>
          </rPr>
          <t>CRISIL GR&amp;RS:</t>
        </r>
        <r>
          <rPr>
            <sz val="9"/>
            <color indexed="81"/>
            <rFont val="Tahoma"/>
            <family val="2"/>
          </rPr>
          <t xml:space="preserve">
From PPT 1Q26 - Pg 14/18</t>
        </r>
      </text>
    </comment>
    <comment ref="J69" authorId="0" shapeId="0" xr:uid="{90564D70-0168-4D1D-8D6D-86126ED16696}">
      <text>
        <r>
          <rPr>
            <b/>
            <sz val="9"/>
            <color indexed="81"/>
            <rFont val="Tahoma"/>
            <family val="2"/>
          </rPr>
          <t>CRISIL:</t>
        </r>
        <r>
          <rPr>
            <sz val="9"/>
            <color indexed="81"/>
            <rFont val="Tahoma"/>
            <family val="2"/>
          </rPr>
          <t xml:space="preserve">
net debt calculation includes financial assets at fair value, whether through other comprehensive income or through profit and loss, reported under
current and non-current assets, as well as financial assets at amortized cost. Required reserves held in CBRT balances are not included in total cash and net
debt calculation</t>
        </r>
      </text>
    </comment>
    <comment ref="B113" authorId="1" shapeId="0" xr:uid="{A950FE04-6FB9-4A3C-8067-ADA37AB85AC9}">
      <text>
        <r>
          <rPr>
            <b/>
            <sz val="9"/>
            <color indexed="81"/>
            <rFont val="Tahoma"/>
            <family val="2"/>
          </rPr>
          <t>CRISIL GR&amp;RS:</t>
        </r>
        <r>
          <rPr>
            <sz val="9"/>
            <color indexed="81"/>
            <rFont val="Tahoma"/>
            <family val="2"/>
          </rPr>
          <t xml:space="preserve">
From FS</t>
        </r>
      </text>
    </comment>
    <comment ref="J130" authorId="0" shapeId="0" xr:uid="{63F0635F-0110-407C-A199-7C897061409B}">
      <text>
        <r>
          <rPr>
            <b/>
            <sz val="9"/>
            <color indexed="81"/>
            <rFont val="Tahoma"/>
            <family val="2"/>
          </rPr>
          <t>CRISIL:</t>
        </r>
        <r>
          <rPr>
            <sz val="9"/>
            <color indexed="81"/>
            <rFont val="Tahoma"/>
            <family val="2"/>
          </rPr>
          <t xml:space="preserve">
The company have revised the definition of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B173" authorId="1" shapeId="0" xr:uid="{871433A0-103D-4B84-9030-65465E7F8B6F}">
      <text>
        <r>
          <rPr>
            <b/>
            <sz val="9"/>
            <color indexed="81"/>
            <rFont val="Tahoma"/>
            <family val="2"/>
          </rPr>
          <t>CRISIL GR&amp;RS:</t>
        </r>
        <r>
          <rPr>
            <sz val="9"/>
            <color indexed="81"/>
            <rFont val="Tahoma"/>
            <family val="2"/>
          </rPr>
          <t xml:space="preserve">
From PPT</t>
        </r>
      </text>
    </comment>
    <comment ref="J191" authorId="0" shapeId="0" xr:uid="{A86D63B4-9750-4713-9378-687298CA9C8D}">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229" authorId="2" shapeId="0" xr:uid="{A33F75A4-1439-4133-9ABE-08E2BD974462}">
      <text>
        <r>
          <rPr>
            <b/>
            <sz val="9"/>
            <color indexed="81"/>
            <rFont val="Tahoma"/>
            <family val="2"/>
          </rPr>
          <t xml:space="preserve">CRISIL GRA: 
</t>
        </r>
        <r>
          <rPr>
            <sz val="9"/>
            <color indexed="81"/>
            <rFont val="Tahoma"/>
            <family val="2"/>
          </rPr>
          <t>Data unavailable</t>
        </r>
      </text>
    </comment>
    <comment ref="B235" authorId="1" shapeId="0" xr:uid="{9679DC61-834E-4E80-92A1-808D2CCBEF8D}">
      <text>
        <r>
          <rPr>
            <b/>
            <sz val="9"/>
            <color indexed="81"/>
            <rFont val="Tahoma"/>
            <family val="2"/>
          </rPr>
          <t>CRISIL GR&amp;RS:</t>
        </r>
        <r>
          <rPr>
            <sz val="9"/>
            <color indexed="81"/>
            <rFont val="Tahoma"/>
            <family val="2"/>
          </rPr>
          <t xml:space="preserve">
From PPT</t>
        </r>
      </text>
    </comment>
    <comment ref="J251" authorId="0" shapeId="0" xr:uid="{3CD7EE6C-7AC0-4DFF-AF88-E2B7AAF11039}">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288" authorId="2" shapeId="0" xr:uid="{A1E66D40-E21B-48DD-823C-ACA813D7C97B}">
      <text>
        <r>
          <rPr>
            <b/>
            <sz val="9"/>
            <color indexed="81"/>
            <rFont val="Tahoma"/>
            <family val="2"/>
          </rPr>
          <t xml:space="preserve">CRISIL GRA: 
</t>
        </r>
        <r>
          <rPr>
            <sz val="9"/>
            <color indexed="81"/>
            <rFont val="Tahoma"/>
            <family val="2"/>
          </rPr>
          <t>Data unavailable</t>
        </r>
      </text>
    </comment>
    <comment ref="B294" authorId="1" shapeId="0" xr:uid="{7B2E1491-233D-4661-8356-725F172F37DA}">
      <text>
        <r>
          <rPr>
            <b/>
            <sz val="9"/>
            <color indexed="81"/>
            <rFont val="Tahoma"/>
            <family val="2"/>
          </rPr>
          <t>CRISIL GR&amp;RS:</t>
        </r>
        <r>
          <rPr>
            <sz val="9"/>
            <color indexed="81"/>
            <rFont val="Tahoma"/>
            <family val="2"/>
          </rPr>
          <t xml:space="preserve">
From PPT</t>
        </r>
      </text>
    </comment>
    <comment ref="J310" authorId="0" shapeId="0" xr:uid="{569FDE0F-5B88-4E83-8219-9ADA07C0EAD4}">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349" authorId="2" shapeId="0" xr:uid="{103E133D-E458-4B67-A557-0CE1467911B0}">
      <text>
        <r>
          <rPr>
            <b/>
            <sz val="9"/>
            <color indexed="81"/>
            <rFont val="Tahoma"/>
            <family val="2"/>
          </rPr>
          <t xml:space="preserve">CRISIL GRA: 
</t>
        </r>
        <r>
          <rPr>
            <sz val="9"/>
            <color indexed="81"/>
            <rFont val="Tahoma"/>
            <family val="2"/>
          </rPr>
          <t>Data unavailable</t>
        </r>
      </text>
    </comment>
    <comment ref="B355" authorId="1" shapeId="0" xr:uid="{816ADD61-C540-437B-8A7C-8A497704515F}">
      <text>
        <r>
          <rPr>
            <b/>
            <sz val="9"/>
            <color indexed="81"/>
            <rFont val="Tahoma"/>
            <family val="2"/>
          </rPr>
          <t>CRISIL GR&amp;RS:</t>
        </r>
        <r>
          <rPr>
            <sz val="9"/>
            <color indexed="81"/>
            <rFont val="Tahoma"/>
            <family val="2"/>
          </rPr>
          <t xml:space="preserve">
From PPT</t>
        </r>
      </text>
    </comment>
    <comment ref="J369" authorId="0" shapeId="0" xr:uid="{68ED6DB1-90D9-40B0-9A7B-B9C291BE2F80}">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406" authorId="2" shapeId="0" xr:uid="{4FB14EA6-121C-4D84-B293-1F5CD78772DF}">
      <text>
        <r>
          <rPr>
            <b/>
            <sz val="9"/>
            <color indexed="81"/>
            <rFont val="Tahoma"/>
            <family val="2"/>
          </rPr>
          <t xml:space="preserve">CRISIL GRA: 
</t>
        </r>
        <r>
          <rPr>
            <sz val="9"/>
            <color indexed="81"/>
            <rFont val="Tahoma"/>
            <family val="2"/>
          </rPr>
          <t>Data unavailable</t>
        </r>
      </text>
    </comment>
    <comment ref="B412" authorId="1" shapeId="0" xr:uid="{DC54C6CE-5F4C-447B-867C-5210BC1D3F20}">
      <text>
        <r>
          <rPr>
            <b/>
            <sz val="9"/>
            <color indexed="81"/>
            <rFont val="Tahoma"/>
            <family val="2"/>
          </rPr>
          <t>CRISIL GR&amp;RS:</t>
        </r>
        <r>
          <rPr>
            <sz val="9"/>
            <color indexed="81"/>
            <rFont val="Tahoma"/>
            <family val="2"/>
          </rPr>
          <t xml:space="preserve">
From PPT</t>
        </r>
      </text>
    </comment>
    <comment ref="J426" authorId="0" shapeId="0" xr:uid="{4F39FB2E-0DD4-4D88-9CAD-4B9D968CA9DC}">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463" authorId="2" shapeId="0" xr:uid="{8B2595DA-3F41-4B57-ABBE-C21951317B96}">
      <text>
        <r>
          <rPr>
            <b/>
            <sz val="9"/>
            <color indexed="81"/>
            <rFont val="Tahoma"/>
            <family val="2"/>
          </rPr>
          <t xml:space="preserve">CRISIL GRA: 
</t>
        </r>
        <r>
          <rPr>
            <sz val="9"/>
            <color indexed="81"/>
            <rFont val="Tahoma"/>
            <family val="2"/>
          </rPr>
          <t>Data unavailable</t>
        </r>
      </text>
    </comment>
    <comment ref="B469" authorId="1" shapeId="0" xr:uid="{AB5BBB7D-704F-4C6E-BDE7-BC5645FF8CCD}">
      <text>
        <r>
          <rPr>
            <b/>
            <sz val="9"/>
            <color indexed="81"/>
            <rFont val="Tahoma"/>
            <family val="2"/>
          </rPr>
          <t>CRISIL GR&amp;RS:</t>
        </r>
        <r>
          <rPr>
            <sz val="9"/>
            <color indexed="81"/>
            <rFont val="Tahoma"/>
            <family val="2"/>
          </rPr>
          <t xml:space="preserve">
From PPT</t>
        </r>
      </text>
    </comment>
    <comment ref="J483" authorId="0" shapeId="0" xr:uid="{671400C9-249B-4A8D-9768-0892137B0D28}">
      <text>
        <r>
          <rPr>
            <b/>
            <sz val="9"/>
            <color indexed="81"/>
            <rFont val="Tahoma"/>
            <family val="2"/>
          </rPr>
          <t>CRISIL:</t>
        </r>
        <r>
          <rPr>
            <sz val="9"/>
            <color indexed="81"/>
            <rFont val="Tahoma"/>
            <family val="2"/>
          </rPr>
          <t xml:space="preserve">
The company have revised the definition of our net debt calculation to include "financial assets at fair value through other comprehensive income” reported under current and non-current assets, and “financial assets at amortized cost”. The Company believe that these assets are highly liquid and can be easily converted to cash without significant change in value.</t>
        </r>
      </text>
    </comment>
    <comment ref="D520" authorId="2" shapeId="0" xr:uid="{B6D83C44-08A9-4656-8A95-5AA0702790F5}">
      <text>
        <r>
          <rPr>
            <b/>
            <sz val="9"/>
            <color indexed="81"/>
            <rFont val="Tahoma"/>
            <family val="2"/>
          </rPr>
          <t xml:space="preserve">CRISIL GRA: 
</t>
        </r>
        <r>
          <rPr>
            <sz val="9"/>
            <color indexed="81"/>
            <rFont val="Tahoma"/>
            <family val="2"/>
          </rPr>
          <t>Data unavailable</t>
        </r>
      </text>
    </comment>
    <comment ref="B526" authorId="1" shapeId="0" xr:uid="{77971DAC-2039-4065-881C-4B64D07359EB}">
      <text>
        <r>
          <rPr>
            <b/>
            <sz val="9"/>
            <color indexed="81"/>
            <rFont val="Tahoma"/>
            <family val="2"/>
          </rPr>
          <t>CRISIL GR&amp;RS:</t>
        </r>
        <r>
          <rPr>
            <sz val="9"/>
            <color indexed="81"/>
            <rFont val="Tahoma"/>
            <family val="2"/>
          </rPr>
          <t xml:space="preserve">
From PPT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Jatin Sukhwani</author>
    <author>Yogesh Sheth</author>
    <author>CRISIL</author>
    <author>CRISIL GR&amp;RS</author>
    <author>Crisil GR&amp;A</author>
  </authors>
  <commentList>
    <comment ref="I12" authorId="0" shapeId="0" xr:uid="{438916EA-7D18-41B1-BCC3-E454645B3F6B}">
      <text>
        <r>
          <rPr>
            <b/>
            <sz val="9"/>
            <color indexed="81"/>
            <rFont val="Tahoma"/>
            <family val="2"/>
          </rPr>
          <t>CRISIL:</t>
        </r>
        <r>
          <rPr>
            <sz val="9"/>
            <color indexed="81"/>
            <rFont val="Tahoma"/>
            <family val="2"/>
          </rPr>
          <t xml:space="preserve">
Consolidated into other</t>
        </r>
      </text>
    </comment>
    <comment ref="J12" authorId="0" shapeId="0" xr:uid="{3E18D1FA-D02C-48E5-8F9F-95D572768ADD}">
      <text>
        <r>
          <rPr>
            <b/>
            <sz val="9"/>
            <color indexed="81"/>
            <rFont val="Tahoma"/>
            <family val="2"/>
          </rPr>
          <t>CRISIL:</t>
        </r>
        <r>
          <rPr>
            <sz val="9"/>
            <color indexed="81"/>
            <rFont val="Tahoma"/>
            <family val="2"/>
          </rPr>
          <t xml:space="preserve">
Consolidated into other</t>
        </r>
      </text>
    </comment>
    <comment ref="U12" authorId="0" shapeId="0" xr:uid="{74095D71-BBDC-40BD-89AD-F6FB1E34F8CE}">
      <text>
        <r>
          <rPr>
            <b/>
            <sz val="9"/>
            <color indexed="81"/>
            <rFont val="Tahoma"/>
            <family val="2"/>
          </rPr>
          <t>CRISIL:</t>
        </r>
        <r>
          <rPr>
            <sz val="9"/>
            <color indexed="81"/>
            <rFont val="Tahoma"/>
            <family val="2"/>
          </rPr>
          <t xml:space="preserve">
Consolidated into other</t>
        </r>
      </text>
    </comment>
    <comment ref="V12" authorId="0" shapeId="0" xr:uid="{76BBBD58-47F9-4E2B-8C1B-674C0B2E43FF}">
      <text>
        <r>
          <rPr>
            <b/>
            <sz val="9"/>
            <color indexed="81"/>
            <rFont val="Tahoma"/>
            <family val="2"/>
          </rPr>
          <t>CRISIL:</t>
        </r>
        <r>
          <rPr>
            <sz val="9"/>
            <color indexed="81"/>
            <rFont val="Tahoma"/>
            <family val="2"/>
          </rPr>
          <t xml:space="preserve">
Consolidated into other</t>
        </r>
      </text>
    </comment>
    <comment ref="W12" authorId="0" shapeId="0" xr:uid="{FA4F1BC3-CC8F-494C-80FA-1FC2358FFCED}">
      <text>
        <r>
          <rPr>
            <b/>
            <sz val="9"/>
            <color indexed="81"/>
            <rFont val="Tahoma"/>
            <family val="2"/>
          </rPr>
          <t>CRISIL:</t>
        </r>
        <r>
          <rPr>
            <sz val="9"/>
            <color indexed="81"/>
            <rFont val="Tahoma"/>
            <family val="2"/>
          </rPr>
          <t xml:space="preserve">
Consolidated into other</t>
        </r>
      </text>
    </comment>
    <comment ref="Y12" authorId="0" shapeId="0" xr:uid="{CE7CB191-F6BA-423B-86EA-C348AEB83349}">
      <text>
        <r>
          <rPr>
            <b/>
            <sz val="9"/>
            <color indexed="81"/>
            <rFont val="Tahoma"/>
            <family val="2"/>
          </rPr>
          <t>CRISIL:</t>
        </r>
        <r>
          <rPr>
            <sz val="9"/>
            <color indexed="81"/>
            <rFont val="Tahoma"/>
            <family val="2"/>
          </rPr>
          <t xml:space="preserve">
Consolidated into other</t>
        </r>
      </text>
    </comment>
    <comment ref="AA12" authorId="0" shapeId="0" xr:uid="{AC06DFFB-BBD3-4F50-A715-5EC8087B4223}">
      <text>
        <r>
          <rPr>
            <b/>
            <sz val="9"/>
            <color indexed="81"/>
            <rFont val="Tahoma"/>
            <family val="2"/>
          </rPr>
          <t>CRISIL:</t>
        </r>
        <r>
          <rPr>
            <sz val="9"/>
            <color indexed="81"/>
            <rFont val="Tahoma"/>
            <family val="2"/>
          </rPr>
          <t xml:space="preserve">
Consolidated into other</t>
        </r>
      </text>
    </comment>
    <comment ref="AB12" authorId="0" shapeId="0" xr:uid="{D1C97B07-5733-4DEE-BEF8-428DEF0ACEDA}">
      <text>
        <r>
          <rPr>
            <b/>
            <sz val="9"/>
            <color indexed="81"/>
            <rFont val="Tahoma"/>
            <family val="2"/>
          </rPr>
          <t>CRISIL:</t>
        </r>
        <r>
          <rPr>
            <sz val="9"/>
            <color indexed="81"/>
            <rFont val="Tahoma"/>
            <family val="2"/>
          </rPr>
          <t xml:space="preserve">
Consolidated into other</t>
        </r>
      </text>
    </comment>
    <comment ref="AC12" authorId="0" shapeId="0" xr:uid="{19021EE3-0E71-410B-8FED-533B5884DC73}">
      <text>
        <r>
          <rPr>
            <b/>
            <sz val="9"/>
            <color indexed="81"/>
            <rFont val="Tahoma"/>
            <family val="2"/>
          </rPr>
          <t>CRISIL:</t>
        </r>
        <r>
          <rPr>
            <sz val="9"/>
            <color indexed="81"/>
            <rFont val="Tahoma"/>
            <family val="2"/>
          </rPr>
          <t xml:space="preserve">
Consolidated into other</t>
        </r>
      </text>
    </comment>
    <comment ref="AD12" authorId="0" shapeId="0" xr:uid="{53DA0170-C3E1-4F28-B0F1-3A0B6610867E}">
      <text>
        <r>
          <rPr>
            <b/>
            <sz val="9"/>
            <color indexed="81"/>
            <rFont val="Tahoma"/>
            <family val="2"/>
          </rPr>
          <t>CRISIL:</t>
        </r>
        <r>
          <rPr>
            <sz val="9"/>
            <color indexed="81"/>
            <rFont val="Tahoma"/>
            <family val="2"/>
          </rPr>
          <t xml:space="preserve">
Consolidated into other</t>
        </r>
      </text>
    </comment>
    <comment ref="AE12" authorId="0" shapeId="0" xr:uid="{F41B12D0-4514-4F71-B02E-B9B50F17421C}">
      <text>
        <r>
          <rPr>
            <b/>
            <sz val="9"/>
            <color indexed="81"/>
            <rFont val="Tahoma"/>
            <family val="2"/>
          </rPr>
          <t>CRISIL:</t>
        </r>
        <r>
          <rPr>
            <sz val="9"/>
            <color indexed="81"/>
            <rFont val="Tahoma"/>
            <family val="2"/>
          </rPr>
          <t xml:space="preserve">
Consolidated into other</t>
        </r>
      </text>
    </comment>
    <comment ref="AG12" authorId="0" shapeId="0" xr:uid="{025EF7FA-BA06-410B-BAEA-5644A1AD9E16}">
      <text>
        <r>
          <rPr>
            <b/>
            <sz val="9"/>
            <color indexed="81"/>
            <rFont val="Tahoma"/>
            <family val="2"/>
          </rPr>
          <t>CRISIL:</t>
        </r>
        <r>
          <rPr>
            <sz val="9"/>
            <color indexed="81"/>
            <rFont val="Tahoma"/>
            <family val="2"/>
          </rPr>
          <t xml:space="preserve">
Consolidated into other</t>
        </r>
      </text>
    </comment>
    <comment ref="AH12" authorId="0" shapeId="0" xr:uid="{FF3F8774-924A-4947-9F4F-2E9B3328A7CA}">
      <text>
        <r>
          <rPr>
            <b/>
            <sz val="9"/>
            <color indexed="81"/>
            <rFont val="Tahoma"/>
            <family val="2"/>
          </rPr>
          <t>CRISIL:</t>
        </r>
        <r>
          <rPr>
            <sz val="9"/>
            <color indexed="81"/>
            <rFont val="Tahoma"/>
            <family val="2"/>
          </rPr>
          <t xml:space="preserve">
Consolidated into other</t>
        </r>
      </text>
    </comment>
    <comment ref="B18" authorId="1" shapeId="0" xr:uid="{3A587266-89B9-49AF-9F6F-6D0E9D16ED3D}">
      <text>
        <r>
          <rPr>
            <b/>
            <sz val="9"/>
            <color indexed="81"/>
            <rFont val="Tahoma"/>
            <family val="2"/>
          </rPr>
          <t xml:space="preserve">CRISIL GR&amp;A: </t>
        </r>
        <r>
          <rPr>
            <sz val="9"/>
            <color indexed="81"/>
            <rFont val="Tahoma"/>
            <family val="2"/>
          </rPr>
          <t xml:space="preserve">D&amp;A included in Direct cost of revenues
</t>
        </r>
      </text>
    </comment>
    <comment ref="B36" authorId="0" shapeId="0" xr:uid="{5535FD0C-FBFE-47BD-8A44-4794E9316DD3}">
      <text>
        <r>
          <rPr>
            <b/>
            <sz val="9"/>
            <color indexed="81"/>
            <rFont val="Tahoma"/>
            <family val="2"/>
          </rPr>
          <t>CRISIL:</t>
        </r>
        <r>
          <rPr>
            <sz val="9"/>
            <color indexed="81"/>
            <rFont val="Tahoma"/>
            <family val="2"/>
          </rPr>
          <t xml:space="preserve">
Can be deleted, was taken incorrectly as net income was not matching with IS</t>
        </r>
      </text>
    </comment>
    <comment ref="J73" authorId="2" shapeId="0" xr:uid="{ED250786-9267-468B-85DF-73972E526F9B}">
      <text>
        <r>
          <rPr>
            <b/>
            <sz val="9"/>
            <color indexed="81"/>
            <rFont val="Tahoma"/>
            <family val="2"/>
          </rPr>
          <t>CRISIL:</t>
        </r>
        <r>
          <rPr>
            <sz val="9"/>
            <color indexed="81"/>
            <rFont val="Tahoma"/>
            <family val="2"/>
          </rPr>
          <t xml:space="preserve">
from FS</t>
        </r>
      </text>
    </comment>
    <comment ref="B84" authorId="2" shapeId="0" xr:uid="{3F8F9DEA-22DB-4FFB-BCE8-B584F5A14A7E}">
      <text>
        <r>
          <rPr>
            <b/>
            <sz val="9"/>
            <color indexed="81"/>
            <rFont val="Tahoma"/>
            <family val="2"/>
          </rPr>
          <t>CRISIL:</t>
        </r>
        <r>
          <rPr>
            <sz val="9"/>
            <color indexed="81"/>
            <rFont val="Tahoma"/>
            <family val="2"/>
          </rPr>
          <t xml:space="preserve">
Reoprted by company: Change in operating assets/liabilities includes
Change in trade receivables
Change in due from related parties
Change in receivables from financial services
Change in inventories
Change in other current assets
Change in other non-current assets
Change in due to related parties
Change in trade and other payables
Change in other non-current liabilities
Change in employee benefit obligations
Change in short term contract asset
Change in long term contract asset
Change in deferred revenue
Change in short term contract liability
Change in long term contract liability
Changes in other working capital</t>
        </r>
      </text>
    </comment>
    <comment ref="I92" authorId="2" shapeId="0" xr:uid="{ED89B3E9-795B-4CB5-A32F-C8CE36711E9C}">
      <text>
        <r>
          <rPr>
            <b/>
            <sz val="9"/>
            <color indexed="81"/>
            <rFont val="Tahoma"/>
            <family val="2"/>
          </rPr>
          <t>CRISIL:</t>
        </r>
        <r>
          <rPr>
            <sz val="9"/>
            <color indexed="81"/>
            <rFont val="Tahoma"/>
            <family val="2"/>
          </rPr>
          <t xml:space="preserve">
includes:
* Contribution of increase of share capital in joint ventures/associates: (0.089)
* Cash inflows from sale of shares or borrowing instruments of other enterprises or funds: 50,654.128
* Cash outflows from purchase of shares or borrowing instruments of other enterprises or funds: (78,769.158)
* Cash inflows from financial assets at fair value through profit or loss: 20,041.106
* Cash outflows from financial assets at fair value through profit or loss: (8,785.951)
* Change in other cash advances given: (920.190)
* Proceeds from disposal of subsidiary, net of cash disposed: 17,957.566</t>
        </r>
      </text>
    </comment>
    <comment ref="J92" authorId="2" shapeId="0" xr:uid="{B692AC2D-4F6C-4B28-8487-A4C72EAE0A2D}">
      <text>
        <r>
          <rPr>
            <b/>
            <sz val="9"/>
            <color indexed="81"/>
            <rFont val="Tahoma"/>
            <family val="2"/>
          </rPr>
          <t>CRISIL:</t>
        </r>
        <r>
          <rPr>
            <sz val="9"/>
            <color indexed="81"/>
            <rFont val="Tahoma"/>
            <family val="2"/>
          </rPr>
          <t xml:space="preserve">
includes:
* Cash inflows from sale of shares or borrowing instruments of other enterprises or funds: 81,869.801
* Cash outflows from purchase of shares or borrowing instruments of other enterprises or funds:  (108,053.208)
* Cash inflows from financial assets at fair value through profit or loss: 4,313.672
* Change in other cash advances given: 1,955.206
* Proceeds from disposal of subsidiary, net of cash disposed: 528.041 </t>
        </r>
      </text>
    </comment>
    <comment ref="Y92" authorId="2" shapeId="0" xr:uid="{E7AE7764-AC08-42CB-B219-45996845BE03}">
      <text>
        <r>
          <rPr>
            <b/>
            <sz val="9"/>
            <color indexed="81"/>
            <rFont val="Tahoma"/>
            <charset val="1"/>
          </rPr>
          <t>CRISIL:</t>
        </r>
        <r>
          <rPr>
            <sz val="9"/>
            <color indexed="81"/>
            <rFont val="Tahoma"/>
            <charset val="1"/>
          </rPr>
          <t xml:space="preserve">
This includes:
*Cash inflows from sale of shares or borrowing instruments of other enterprises or funds: 36,856.157
*Cash outflows from purchase of sahres or borrowing instruments of other enterprises or funds: 47,532.952
*Change in other cash advances given: 1,190.952</t>
        </r>
      </text>
    </comment>
    <comment ref="AE92" authorId="2" shapeId="0" xr:uid="{B93E4E57-919B-4898-AF49-AF6669C597FC}">
      <text>
        <r>
          <rPr>
            <b/>
            <sz val="9"/>
            <color indexed="81"/>
            <rFont val="Tahoma"/>
            <charset val="1"/>
          </rPr>
          <t>CRISIL:</t>
        </r>
        <r>
          <rPr>
            <sz val="9"/>
            <color indexed="81"/>
            <rFont val="Tahoma"/>
            <charset val="1"/>
          </rPr>
          <t xml:space="preserve">
This includes:
*Cash inflows from sale of shares or borrowing instruments of other enterprises or funds: 21,370.363
*Cash outflows from purchase of sahres or borrowing instruments of other enterprises or funds: 22,928.773
*Cash (outflows)/inflows from financial assets at amortized cost: 1,936.975
*Change in other cash advances given: 2,253.256</t>
        </r>
      </text>
    </comment>
    <comment ref="AG92" authorId="2" shapeId="0" xr:uid="{67130DDC-9919-42C5-A4EF-7FEC661265B8}">
      <text>
        <r>
          <rPr>
            <b/>
            <sz val="9"/>
            <color indexed="81"/>
            <rFont val="Tahoma"/>
            <family val="2"/>
          </rPr>
          <t>CRISIL:</t>
        </r>
        <r>
          <rPr>
            <sz val="9"/>
            <color indexed="81"/>
            <rFont val="Tahoma"/>
            <family val="2"/>
          </rPr>
          <t xml:space="preserve">
9M Includes: 
* Cash outflows from purchase of shares or borrowing instruments of other enterprises or funds:  (49,626.777)
* Change in other cash advances given: (1,455.252)
*Proceeds from sale of subsidiary: 18,287,061
*Cash inflows from sale of shares or borrowing instruments of other enterprises or funds: 37,391,976
* Cash inflows from financial assets at fair value through profit or loss: 8,113,697</t>
        </r>
      </text>
    </comment>
    <comment ref="AH92" authorId="2" shapeId="0" xr:uid="{EDDDE63B-16AF-4710-A38F-59FA8E68002B}">
      <text>
        <r>
          <rPr>
            <b/>
            <sz val="9"/>
            <color indexed="81"/>
            <rFont val="Tahoma"/>
            <family val="2"/>
          </rPr>
          <t>CRISIL:</t>
        </r>
        <r>
          <rPr>
            <sz val="9"/>
            <color indexed="81"/>
            <rFont val="Tahoma"/>
            <family val="2"/>
          </rPr>
          <t xml:space="preserve">
9M Includes: 
* Cash outflows from purchase of shares or borrowing instruments of other enterprises or funds:  (72,339.067)
* Change in other cash advances given: 2,794.296</t>
        </r>
      </text>
    </comment>
    <comment ref="Y96" authorId="2" shapeId="0" xr:uid="{4FD903BC-61D2-42A4-AF5E-FC337B5C8230}">
      <text>
        <r>
          <rPr>
            <b/>
            <sz val="9"/>
            <color indexed="81"/>
            <rFont val="Tahoma"/>
            <charset val="1"/>
          </rPr>
          <t>CRISIL:</t>
        </r>
        <r>
          <rPr>
            <sz val="9"/>
            <color indexed="81"/>
            <rFont val="Tahoma"/>
            <charset val="1"/>
          </rPr>
          <t xml:space="preserve">
including lease liabilities</t>
        </r>
      </text>
    </comment>
    <comment ref="I97" authorId="2" shapeId="0" xr:uid="{433C702F-4D9D-4D09-93B8-CF3D1E001DF1}">
      <text>
        <r>
          <rPr>
            <b/>
            <sz val="9"/>
            <color indexed="81"/>
            <rFont val="Tahoma"/>
            <family val="2"/>
          </rPr>
          <t>CRISIL:</t>
        </r>
        <r>
          <rPr>
            <sz val="9"/>
            <color indexed="81"/>
            <rFont val="Tahoma"/>
            <family val="2"/>
          </rPr>
          <t xml:space="preserve">
includes:
* Proceeds from derivative instruments: 7,091.034
* Repayments of derivative instruments: (7,580.966)
* Transactions with non controlling interests: (49.739)</t>
        </r>
      </text>
    </comment>
    <comment ref="J97" authorId="2" shapeId="0" xr:uid="{15BE9187-CA4A-4AAB-9D73-101FB23DF756}">
      <text>
        <r>
          <rPr>
            <b/>
            <sz val="9"/>
            <color indexed="81"/>
            <rFont val="Tahoma"/>
            <family val="2"/>
          </rPr>
          <t>CRISIL:</t>
        </r>
        <r>
          <rPr>
            <sz val="9"/>
            <color indexed="81"/>
            <rFont val="Tahoma"/>
            <family val="2"/>
          </rPr>
          <t xml:space="preserve">
includes:
* Proceeds from derivative instruments: 9,747.641
* Repayments of derivative instruments: ((9,136.039)
</t>
        </r>
      </text>
    </comment>
    <comment ref="Y97" authorId="2" shapeId="0" xr:uid="{00877565-A720-4410-9DE7-DE45A46B350C}">
      <text>
        <r>
          <rPr>
            <b/>
            <sz val="9"/>
            <color indexed="81"/>
            <rFont val="Tahoma"/>
            <charset val="1"/>
          </rPr>
          <t>CRISIL:</t>
        </r>
        <r>
          <rPr>
            <sz val="9"/>
            <color indexed="81"/>
            <rFont val="Tahoma"/>
            <charset val="1"/>
          </rPr>
          <t xml:space="preserve">
This includes:
* Proceeds from derivative instruments: 445.873
* Repayments of derivative instruments: -5,081.164</t>
        </r>
      </text>
    </comment>
    <comment ref="AE97" authorId="2" shapeId="0" xr:uid="{630F6EE9-640D-44B5-B436-F38049922DAA}">
      <text>
        <r>
          <rPr>
            <b/>
            <sz val="9"/>
            <color indexed="81"/>
            <rFont val="Tahoma"/>
            <charset val="1"/>
          </rPr>
          <t>CRISIL:</t>
        </r>
        <r>
          <rPr>
            <sz val="9"/>
            <color indexed="81"/>
            <rFont val="Tahoma"/>
            <charset val="1"/>
          </rPr>
          <t xml:space="preserve">
This includes:
* Proceeds from derivative instruments: 208.932
* Repayments of derivative instruments: -462.061</t>
        </r>
      </text>
    </comment>
    <comment ref="AG97" authorId="2" shapeId="0" xr:uid="{A6DE0CED-73A3-4D95-9CC4-F0626E784309}">
      <text>
        <r>
          <rPr>
            <b/>
            <sz val="9"/>
            <color indexed="81"/>
            <rFont val="Tahoma"/>
            <family val="2"/>
          </rPr>
          <t>CRISIL:</t>
        </r>
        <r>
          <rPr>
            <sz val="9"/>
            <color indexed="81"/>
            <rFont val="Tahoma"/>
            <family val="2"/>
          </rPr>
          <t xml:space="preserve">
9M Includes:
* Proceeds from derivative instruments: 3,173.193 
* Repayments of derivative instruments: (3,869.221)
* Transactions with non controlling interests: (50.652)
* Payments of lease liabilities: (5,265.837)</t>
        </r>
      </text>
    </comment>
    <comment ref="AH97" authorId="2" shapeId="0" xr:uid="{221A8A08-A55E-46B0-9219-4E6925472C4C}">
      <text>
        <r>
          <rPr>
            <b/>
            <sz val="9"/>
            <color indexed="81"/>
            <rFont val="Tahoma"/>
            <family val="2"/>
          </rPr>
          <t>CRISIL:</t>
        </r>
        <r>
          <rPr>
            <sz val="9"/>
            <color indexed="81"/>
            <rFont val="Tahoma"/>
            <family val="2"/>
          </rPr>
          <t xml:space="preserve">
9M Includes:
* Proceeds from derivative instruments: 3,623.908
* Repayments of derivative instruments: (4,139.506)
* Payments of lease liabilities: (6,863.674)</t>
        </r>
      </text>
    </comment>
    <comment ref="Q100" authorId="3" shapeId="0" xr:uid="{0B560BB3-4035-41A0-B064-9D275A461278}">
      <text>
        <r>
          <rPr>
            <b/>
            <sz val="9"/>
            <color indexed="81"/>
            <rFont val="Tahoma"/>
            <family val="2"/>
          </rPr>
          <t>CRISIL GR&amp;RS:</t>
        </r>
        <r>
          <rPr>
            <sz val="9"/>
            <color indexed="81"/>
            <rFont val="Tahoma"/>
            <family val="2"/>
          </rPr>
          <t xml:space="preserve">
Diff as CFO is calculated using EBITDA</t>
        </r>
      </text>
    </comment>
    <comment ref="R100" authorId="3" shapeId="0" xr:uid="{9EAD2741-8796-4EA5-858A-FB3763ACF9C3}">
      <text>
        <r>
          <rPr>
            <b/>
            <sz val="9"/>
            <color indexed="81"/>
            <rFont val="Tahoma"/>
            <family val="2"/>
          </rPr>
          <t>CRISIL GR&amp;RS:</t>
        </r>
        <r>
          <rPr>
            <sz val="9"/>
            <color indexed="81"/>
            <rFont val="Tahoma"/>
            <family val="2"/>
          </rPr>
          <t xml:space="preserve">
Diff as CFO is calculated using EBITDA</t>
        </r>
      </text>
    </comment>
    <comment ref="S100" authorId="3" shapeId="0" xr:uid="{296D8D01-16C5-45BF-8AB8-A2F6510D31F6}">
      <text>
        <r>
          <rPr>
            <b/>
            <sz val="9"/>
            <color indexed="81"/>
            <rFont val="Tahoma"/>
            <family val="2"/>
          </rPr>
          <t>CRISIL GR&amp;RS:</t>
        </r>
        <r>
          <rPr>
            <sz val="9"/>
            <color indexed="81"/>
            <rFont val="Tahoma"/>
            <family val="2"/>
          </rPr>
          <t xml:space="preserve">
Diff as CFO is calculated using EBITDA</t>
        </r>
      </text>
    </comment>
    <comment ref="U100" authorId="3" shapeId="0" xr:uid="{20059252-A693-4AF1-AAC2-A03AB2B38D6D}">
      <text>
        <r>
          <rPr>
            <b/>
            <sz val="9"/>
            <color indexed="81"/>
            <rFont val="Tahoma"/>
            <family val="2"/>
          </rPr>
          <t>CRISIL GR&amp;RS:</t>
        </r>
        <r>
          <rPr>
            <sz val="9"/>
            <color indexed="81"/>
            <rFont val="Tahoma"/>
            <family val="2"/>
          </rPr>
          <t xml:space="preserve">
Diff as CFO is calculated using EBITDA</t>
        </r>
      </text>
    </comment>
    <comment ref="V100" authorId="3" shapeId="0" xr:uid="{45DB9F09-E730-40E4-A573-9E84438AE66E}">
      <text>
        <r>
          <rPr>
            <b/>
            <sz val="9"/>
            <color indexed="81"/>
            <rFont val="Tahoma"/>
            <family val="2"/>
          </rPr>
          <t>CRISIL GR&amp;RS:</t>
        </r>
        <r>
          <rPr>
            <sz val="9"/>
            <color indexed="81"/>
            <rFont val="Tahoma"/>
            <family val="2"/>
          </rPr>
          <t xml:space="preserve">
Diff as CFO is calculated using EBITDA</t>
        </r>
      </text>
    </comment>
    <comment ref="W100" authorId="3" shapeId="0" xr:uid="{3BFCAD31-1890-4F05-8B49-FA413548B5DD}">
      <text>
        <r>
          <rPr>
            <b/>
            <sz val="9"/>
            <color indexed="81"/>
            <rFont val="Tahoma"/>
            <family val="2"/>
          </rPr>
          <t>CRISIL GR&amp;RS:</t>
        </r>
        <r>
          <rPr>
            <sz val="9"/>
            <color indexed="81"/>
            <rFont val="Tahoma"/>
            <family val="2"/>
          </rPr>
          <t xml:space="preserve">
Diff as CFO is calculated using EBITDA</t>
        </r>
      </text>
    </comment>
    <comment ref="Y100" authorId="3" shapeId="0" xr:uid="{33DBABE7-8214-43AA-921D-6558DEA6A5B0}">
      <text>
        <r>
          <rPr>
            <b/>
            <sz val="9"/>
            <color indexed="81"/>
            <rFont val="Tahoma"/>
            <family val="2"/>
          </rPr>
          <t>CRISIL GR&amp;RS:</t>
        </r>
        <r>
          <rPr>
            <sz val="9"/>
            <color indexed="81"/>
            <rFont val="Tahoma"/>
            <family val="2"/>
          </rPr>
          <t xml:space="preserve">
It is due to use of EBITDA instead of net profit to calculate CFO and other adjustments apart from working capital, majolry:
* Fair value adjustments to derivatives: 1,710.586
* Net finance expense: 1,014.159
* Effects of exchange rate changes and inflation adjustments: (924.816)
* Provisions: 1,563.560
* Non-cash other adjustments: 105.412</t>
        </r>
      </text>
    </comment>
    <comment ref="AB100" authorId="3" shapeId="0" xr:uid="{BC01F427-9794-40FB-B9E9-1B032247EE39}">
      <text>
        <r>
          <rPr>
            <b/>
            <sz val="9"/>
            <color indexed="81"/>
            <rFont val="Tahoma"/>
            <family val="2"/>
          </rPr>
          <t>CRISIL GR&amp;RS:</t>
        </r>
        <r>
          <rPr>
            <sz val="9"/>
            <color indexed="81"/>
            <rFont val="Tahoma"/>
            <family val="2"/>
          </rPr>
          <t xml:space="preserve">
Diff as CFO is calculated using EBITDA</t>
        </r>
      </text>
    </comment>
    <comment ref="AC100" authorId="3" shapeId="0" xr:uid="{C3D166FB-1EB3-4F61-A6FC-70ADCB6898B7}">
      <text>
        <r>
          <rPr>
            <b/>
            <sz val="9"/>
            <color indexed="81"/>
            <rFont val="Tahoma"/>
            <family val="2"/>
          </rPr>
          <t>CRISIL GR&amp;RS:</t>
        </r>
        <r>
          <rPr>
            <sz val="9"/>
            <color indexed="81"/>
            <rFont val="Tahoma"/>
            <family val="2"/>
          </rPr>
          <t xml:space="preserve">
Diff as CFO is calculated using EBITDA</t>
        </r>
      </text>
    </comment>
    <comment ref="AE100" authorId="3" shapeId="0" xr:uid="{7F1091B7-FF7A-42B4-8A61-CE5947EDF91C}">
      <text>
        <r>
          <rPr>
            <b/>
            <sz val="9"/>
            <color indexed="81"/>
            <rFont val="Tahoma"/>
            <family val="2"/>
          </rPr>
          <t>CRISIL GR&amp;RS:</t>
        </r>
        <r>
          <rPr>
            <sz val="9"/>
            <color indexed="81"/>
            <rFont val="Tahoma"/>
            <family val="2"/>
          </rPr>
          <t xml:space="preserve">
It is due to use of EBITDA instead of net profit to calculate CFO and other adjustments apart from working capital, majolry:
* Fair value adjustments to derivatives: (431.317)
* Net finance expense: 1,054.939
* Effects of exchange rate changes and inflation adjustments: 7,799.331
* Provisions: 1,335.304 
* Share of (profit)/loss of equity accounted investees : 1,130.689
</t>
        </r>
      </text>
    </comment>
    <comment ref="AG100" authorId="3" shapeId="0" xr:uid="{14E4F485-1887-4124-9B60-CFEC6BE8DDE5}">
      <text>
        <r>
          <rPr>
            <b/>
            <sz val="9"/>
            <color indexed="81"/>
            <rFont val="Tahoma"/>
            <family val="2"/>
          </rPr>
          <t>CRISIL GR&amp;RS:</t>
        </r>
        <r>
          <rPr>
            <sz val="9"/>
            <color indexed="81"/>
            <rFont val="Tahoma"/>
            <family val="2"/>
          </rPr>
          <t xml:space="preserve">
Diff as CFO is calculated using EBITDA</t>
        </r>
      </text>
    </comment>
    <comment ref="AH100" authorId="3" shapeId="0" xr:uid="{1DB68FFD-2441-4CD4-8613-E74BEED28E3A}">
      <text>
        <r>
          <rPr>
            <b/>
            <sz val="9"/>
            <color indexed="81"/>
            <rFont val="Tahoma"/>
            <family val="2"/>
          </rPr>
          <t>CRISIL GR&amp;RS:</t>
        </r>
        <r>
          <rPr>
            <sz val="9"/>
            <color indexed="81"/>
            <rFont val="Tahoma"/>
            <family val="2"/>
          </rPr>
          <t xml:space="preserve">
Diff as CFO is calculated using EBITDA</t>
        </r>
      </text>
    </comment>
    <comment ref="K102" authorId="2" shapeId="0" xr:uid="{891D667E-28D2-47CA-B327-19E5804ED3BD}">
      <text>
        <r>
          <rPr>
            <b/>
            <sz val="9"/>
            <color indexed="81"/>
            <rFont val="Tahoma"/>
            <charset val="1"/>
          </rPr>
          <t>CRISIL:</t>
        </r>
        <r>
          <rPr>
            <sz val="9"/>
            <color indexed="81"/>
            <rFont val="Tahoma"/>
            <charset val="1"/>
          </rPr>
          <t xml:space="preserve">
directly linked to 1Q26 because of restatements</t>
        </r>
      </text>
    </comment>
    <comment ref="Y102" authorId="2" shapeId="0" xr:uid="{2B0F07AF-654B-42BF-94DE-40F0CFBF6154}">
      <text>
        <r>
          <rPr>
            <b/>
            <sz val="9"/>
            <color indexed="81"/>
            <rFont val="Tahoma"/>
            <charset val="1"/>
          </rPr>
          <t>CRISIL:</t>
        </r>
        <r>
          <rPr>
            <sz val="9"/>
            <color indexed="81"/>
            <rFont val="Tahoma"/>
            <charset val="1"/>
          </rPr>
          <t xml:space="preserve">
opening balance manually entered due to restatements</t>
        </r>
      </text>
    </comment>
    <comment ref="AE102" authorId="2" shapeId="0" xr:uid="{140204B4-7276-471D-91D8-61A0C25BECFB}">
      <text>
        <r>
          <rPr>
            <b/>
            <sz val="9"/>
            <color indexed="81"/>
            <rFont val="Tahoma"/>
            <charset val="1"/>
          </rPr>
          <t>CRISIL:</t>
        </r>
        <r>
          <rPr>
            <sz val="9"/>
            <color indexed="81"/>
            <rFont val="Tahoma"/>
            <charset val="1"/>
          </rPr>
          <t xml:space="preserve">
opening balance manually entered due to restatements</t>
        </r>
      </text>
    </comment>
    <comment ref="D103" authorId="3" shapeId="0" xr:uid="{88C17074-4785-4FDB-B728-97DB43D446F1}">
      <text>
        <r>
          <rPr>
            <b/>
            <sz val="9"/>
            <color indexed="81"/>
            <rFont val="Tahoma"/>
            <family val="2"/>
          </rPr>
          <t>CRISIL GR&amp;RS:</t>
        </r>
        <r>
          <rPr>
            <sz val="9"/>
            <color indexed="81"/>
            <rFont val="Tahoma"/>
            <family val="2"/>
          </rPr>
          <t xml:space="preserve">
due to Interest accrual of cash and cash equivalents and Asset held for sale</t>
        </r>
      </text>
    </comment>
    <comment ref="F103" authorId="3" shapeId="0" xr:uid="{00A1BBB5-851C-4DE0-8CA2-7CE49EE807B6}">
      <text>
        <r>
          <rPr>
            <b/>
            <sz val="9"/>
            <color indexed="81"/>
            <rFont val="Tahoma"/>
            <family val="2"/>
          </rPr>
          <t>CRISIL GR&amp;RS:</t>
        </r>
        <r>
          <rPr>
            <sz val="9"/>
            <color indexed="81"/>
            <rFont val="Tahoma"/>
            <family val="2"/>
          </rPr>
          <t xml:space="preserve">
due to Interest accrual of cash and cash equivalents and Asset held for sale</t>
        </r>
      </text>
    </comment>
    <comment ref="G103" authorId="3" shapeId="0" xr:uid="{7FF7A388-06DD-48B6-B791-90F31EB82546}">
      <text>
        <r>
          <rPr>
            <b/>
            <sz val="9"/>
            <color indexed="81"/>
            <rFont val="Tahoma"/>
            <family val="2"/>
          </rPr>
          <t>CRISIL GR&amp;RS:</t>
        </r>
        <r>
          <rPr>
            <sz val="9"/>
            <color indexed="81"/>
            <rFont val="Tahoma"/>
            <family val="2"/>
          </rPr>
          <t xml:space="preserve">
due to Interest accrual of cash and cash equivalents and Asset held for sale</t>
        </r>
      </text>
    </comment>
    <comment ref="H103" authorId="3" shapeId="0" xr:uid="{89B06B47-89C4-45C9-9BC1-E27E473A8623}">
      <text>
        <r>
          <rPr>
            <b/>
            <sz val="9"/>
            <color indexed="81"/>
            <rFont val="Tahoma"/>
            <family val="2"/>
          </rPr>
          <t>CRISIL GR&amp;RS:</t>
        </r>
        <r>
          <rPr>
            <sz val="9"/>
            <color indexed="81"/>
            <rFont val="Tahoma"/>
            <family val="2"/>
          </rPr>
          <t xml:space="preserve">
due to Interest accrual of cash and cash equivalents and Asset held for sale</t>
        </r>
      </text>
    </comment>
    <comment ref="I103" authorId="3" shapeId="0" xr:uid="{F2ACA2FA-2FEF-42C0-B431-364F8D6A7149}">
      <text>
        <r>
          <rPr>
            <b/>
            <sz val="9"/>
            <color indexed="81"/>
            <rFont val="Tahoma"/>
            <family val="2"/>
          </rPr>
          <t>CRISIL GR&amp;RS:</t>
        </r>
        <r>
          <rPr>
            <sz val="9"/>
            <color indexed="81"/>
            <rFont val="Tahoma"/>
            <family val="2"/>
          </rPr>
          <t xml:space="preserve">
due to Interest accrual of cash and cash equivalents and Asset held for sale</t>
        </r>
      </text>
    </comment>
    <comment ref="J103" authorId="3" shapeId="0" xr:uid="{E5445E3C-39C3-482A-B894-D4ADB94F4B7B}">
      <text>
        <r>
          <rPr>
            <b/>
            <sz val="9"/>
            <color indexed="81"/>
            <rFont val="Tahoma"/>
            <family val="2"/>
          </rPr>
          <t>CRISIL GR&amp;RS:</t>
        </r>
        <r>
          <rPr>
            <sz val="9"/>
            <color indexed="81"/>
            <rFont val="Tahoma"/>
            <family val="2"/>
          </rPr>
          <t xml:space="preserve">
due to Interest accrual of cash and cash equivalents and Asset held for sale</t>
        </r>
      </text>
    </comment>
    <comment ref="K103" authorId="3" shapeId="0" xr:uid="{4795C350-A871-43F2-A5E0-BBD272E3C50F}">
      <text>
        <r>
          <rPr>
            <b/>
            <sz val="9"/>
            <color indexed="81"/>
            <rFont val="Tahoma"/>
            <family val="2"/>
          </rPr>
          <t>CRISIL GR&amp;RS:</t>
        </r>
        <r>
          <rPr>
            <sz val="9"/>
            <color indexed="81"/>
            <rFont val="Tahoma"/>
            <family val="2"/>
          </rPr>
          <t xml:space="preserve">
due to Interest accrual of cash and cash equivalents and Asset held for sale</t>
        </r>
      </text>
    </comment>
    <comment ref="M103" authorId="3" shapeId="0" xr:uid="{2B1AA7A8-3609-4701-BD4E-FA4B3555CFDF}">
      <text>
        <r>
          <rPr>
            <b/>
            <sz val="9"/>
            <color indexed="81"/>
            <rFont val="Tahoma"/>
            <family val="2"/>
          </rPr>
          <t>CRISIL GR&amp;RS:</t>
        </r>
        <r>
          <rPr>
            <sz val="9"/>
            <color indexed="81"/>
            <rFont val="Tahoma"/>
            <family val="2"/>
          </rPr>
          <t xml:space="preserve">
due to Interest accrual of cash and cash equivalents and Asset held for sale</t>
        </r>
      </text>
    </comment>
    <comment ref="N103" authorId="3" shapeId="0" xr:uid="{53F200B3-8430-4B4A-BB70-A75000A34D22}">
      <text>
        <r>
          <rPr>
            <b/>
            <sz val="9"/>
            <color indexed="81"/>
            <rFont val="Tahoma"/>
            <family val="2"/>
          </rPr>
          <t>CRISIL GR&amp;RS:</t>
        </r>
        <r>
          <rPr>
            <sz val="9"/>
            <color indexed="81"/>
            <rFont val="Tahoma"/>
            <family val="2"/>
          </rPr>
          <t xml:space="preserve">
due to Interest accrual of cash and cash equivalents and Asset held for sale</t>
        </r>
      </text>
    </comment>
    <comment ref="O103" authorId="3" shapeId="0" xr:uid="{FC43D956-3EF9-4A27-BDB2-28F727CEC06A}">
      <text>
        <r>
          <rPr>
            <b/>
            <sz val="9"/>
            <color indexed="81"/>
            <rFont val="Tahoma"/>
            <family val="2"/>
          </rPr>
          <t>CRISIL GR&amp;RS:</t>
        </r>
        <r>
          <rPr>
            <sz val="9"/>
            <color indexed="81"/>
            <rFont val="Tahoma"/>
            <family val="2"/>
          </rPr>
          <t xml:space="preserve">
due to Interest accrual of cash and cash equivalents and Asset held for sale</t>
        </r>
      </text>
    </comment>
    <comment ref="P103" authorId="3" shapeId="0" xr:uid="{616C8174-DC57-4E46-A52D-4347E8FBBAB5}">
      <text>
        <r>
          <rPr>
            <b/>
            <sz val="9"/>
            <color indexed="81"/>
            <rFont val="Tahoma"/>
            <family val="2"/>
          </rPr>
          <t>CRISIL GR&amp;RS:</t>
        </r>
        <r>
          <rPr>
            <sz val="9"/>
            <color indexed="81"/>
            <rFont val="Tahoma"/>
            <family val="2"/>
          </rPr>
          <t xml:space="preserve">
due to Interest accrual of cash and cash equivalents and Asset held for sale</t>
        </r>
      </text>
    </comment>
    <comment ref="Q103" authorId="3" shapeId="0" xr:uid="{E30FD514-5EA6-48E7-A272-D9BA1D05437A}">
      <text>
        <r>
          <rPr>
            <b/>
            <sz val="9"/>
            <color indexed="81"/>
            <rFont val="Tahoma"/>
            <family val="2"/>
          </rPr>
          <t>CRISIL GR&amp;RS:</t>
        </r>
        <r>
          <rPr>
            <sz val="9"/>
            <color indexed="81"/>
            <rFont val="Tahoma"/>
            <family val="2"/>
          </rPr>
          <t xml:space="preserve">
due to Interest accrual of cash and cash equivalents and Asset held for sale</t>
        </r>
      </text>
    </comment>
    <comment ref="R103" authorId="3" shapeId="0" xr:uid="{F2C069E6-48D1-494A-896E-F693FCE6DAB6}">
      <text>
        <r>
          <rPr>
            <b/>
            <sz val="9"/>
            <color indexed="81"/>
            <rFont val="Tahoma"/>
            <family val="2"/>
          </rPr>
          <t>CRISIL GR&amp;RS:</t>
        </r>
        <r>
          <rPr>
            <sz val="9"/>
            <color indexed="81"/>
            <rFont val="Tahoma"/>
            <family val="2"/>
          </rPr>
          <t xml:space="preserve">
due to Interest accrual of cash and cash equivalents and Asset held for sale</t>
        </r>
      </text>
    </comment>
    <comment ref="S103" authorId="3" shapeId="0" xr:uid="{25BA1495-37D0-4C90-8C05-8140D7FAD125}">
      <text>
        <r>
          <rPr>
            <b/>
            <sz val="9"/>
            <color indexed="81"/>
            <rFont val="Tahoma"/>
            <family val="2"/>
          </rPr>
          <t>CRISIL GR&amp;RS:</t>
        </r>
        <r>
          <rPr>
            <sz val="9"/>
            <color indexed="81"/>
            <rFont val="Tahoma"/>
            <family val="2"/>
          </rPr>
          <t xml:space="preserve">
due to Interest accrual of cash and cash equivalents 
</t>
        </r>
      </text>
    </comment>
    <comment ref="T103" authorId="3" shapeId="0" xr:uid="{FF22A4B2-C4C6-4A01-B102-E9A9CA75D664}">
      <text>
        <r>
          <rPr>
            <b/>
            <sz val="9"/>
            <color indexed="81"/>
            <rFont val="Tahoma"/>
            <family val="2"/>
          </rPr>
          <t>CRISIL GR&amp;RS:</t>
        </r>
        <r>
          <rPr>
            <sz val="9"/>
            <color indexed="81"/>
            <rFont val="Tahoma"/>
            <family val="2"/>
          </rPr>
          <t xml:space="preserve">
due to Interest accrual of cash and cash equivalents 
</t>
        </r>
      </text>
    </comment>
    <comment ref="U103" authorId="3" shapeId="0" xr:uid="{74881A54-5D03-4EF3-9242-ECB3F0DA113D}">
      <text>
        <r>
          <rPr>
            <b/>
            <sz val="9"/>
            <color indexed="81"/>
            <rFont val="Tahoma"/>
            <family val="2"/>
          </rPr>
          <t>CRISIL GR&amp;RS:</t>
        </r>
        <r>
          <rPr>
            <sz val="9"/>
            <color indexed="81"/>
            <rFont val="Tahoma"/>
            <family val="2"/>
          </rPr>
          <t xml:space="preserve">
due to Interest accrual of cash and cash equivalents 
</t>
        </r>
      </text>
    </comment>
    <comment ref="V103" authorId="3" shapeId="0" xr:uid="{4987175D-2B4F-4942-8D02-2245C996F017}">
      <text>
        <r>
          <rPr>
            <b/>
            <sz val="9"/>
            <color indexed="81"/>
            <rFont val="Tahoma"/>
            <family val="2"/>
          </rPr>
          <t>CRISIL GR&amp;RS:</t>
        </r>
        <r>
          <rPr>
            <sz val="9"/>
            <color indexed="81"/>
            <rFont val="Tahoma"/>
            <family val="2"/>
          </rPr>
          <t xml:space="preserve">
due to Interest accrual of cash and cash equivalents and Asset held for sale</t>
        </r>
      </text>
    </comment>
    <comment ref="W103" authorId="3" shapeId="0" xr:uid="{97BC7C67-5E8F-459D-83E0-1DA244CC0121}">
      <text>
        <r>
          <rPr>
            <b/>
            <sz val="9"/>
            <color indexed="81"/>
            <rFont val="Tahoma"/>
            <family val="2"/>
          </rPr>
          <t>CRISIL GR&amp;RS:</t>
        </r>
        <r>
          <rPr>
            <sz val="9"/>
            <color indexed="81"/>
            <rFont val="Tahoma"/>
            <family val="2"/>
          </rPr>
          <t xml:space="preserve">
due to Interest accrual of cash and cash equivalents 
</t>
        </r>
      </text>
    </comment>
    <comment ref="X103" authorId="3" shapeId="0" xr:uid="{3FFD5A17-93B1-4CB6-A272-DC4A9C4255D8}">
      <text>
        <r>
          <rPr>
            <b/>
            <sz val="9"/>
            <color indexed="81"/>
            <rFont val="Tahoma"/>
            <family val="2"/>
          </rPr>
          <t>CRISIL GR&amp;RS:</t>
        </r>
        <r>
          <rPr>
            <sz val="9"/>
            <color indexed="81"/>
            <rFont val="Tahoma"/>
            <family val="2"/>
          </rPr>
          <t xml:space="preserve">
due to Interest accrual of cash and cash equivalents 
</t>
        </r>
      </text>
    </comment>
    <comment ref="Y103" authorId="3" shapeId="0" xr:uid="{086369B9-7BE3-48CC-A78B-6E4C5B96E5DE}">
      <text>
        <r>
          <rPr>
            <b/>
            <sz val="9"/>
            <color indexed="81"/>
            <rFont val="Tahoma"/>
            <family val="2"/>
          </rPr>
          <t>CRISIL GR&amp;RS:</t>
        </r>
        <r>
          <rPr>
            <sz val="9"/>
            <color indexed="81"/>
            <rFont val="Tahoma"/>
            <family val="2"/>
          </rPr>
          <t xml:space="preserve">
due to Interest accrual of cash and cash equivalents 
</t>
        </r>
      </text>
    </comment>
    <comment ref="B120" authorId="2" shapeId="0" xr:uid="{ACE42FAA-FD5E-465B-9EA7-8DC5DDE53A6F}">
      <text>
        <r>
          <rPr>
            <b/>
            <sz val="9"/>
            <color indexed="81"/>
            <rFont val="Tahoma"/>
            <family val="2"/>
          </rPr>
          <t>CRISIL:</t>
        </r>
        <r>
          <rPr>
            <sz val="9"/>
            <color indexed="81"/>
            <rFont val="Tahoma"/>
            <family val="2"/>
          </rPr>
          <t xml:space="preserve">
Includes:
* Property, plant and equipment
* Right-of-use assets</t>
        </r>
      </text>
    </comment>
    <comment ref="Y121" authorId="2" shapeId="0" xr:uid="{666F18C1-8761-41E2-A230-1E6E5F83B01F}">
      <text>
        <r>
          <rPr>
            <b/>
            <sz val="9"/>
            <color indexed="81"/>
            <rFont val="Tahoma"/>
            <charset val="1"/>
          </rPr>
          <t>CRISIL:</t>
        </r>
        <r>
          <rPr>
            <sz val="9"/>
            <color indexed="81"/>
            <rFont val="Tahoma"/>
            <charset val="1"/>
          </rPr>
          <t xml:space="preserve">
employee benefit obligations</t>
        </r>
      </text>
    </comment>
    <comment ref="Y133" authorId="2" shapeId="0" xr:uid="{24218F81-71AD-4367-8149-BD530778A0AF}">
      <text>
        <r>
          <rPr>
            <b/>
            <sz val="9"/>
            <color indexed="81"/>
            <rFont val="Tahoma"/>
            <charset val="1"/>
          </rPr>
          <t>CRISIL:</t>
        </r>
        <r>
          <rPr>
            <sz val="9"/>
            <color indexed="81"/>
            <rFont val="Tahoma"/>
            <charset val="1"/>
          </rPr>
          <t xml:space="preserve">
FS 1Q26 Pg 25/38</t>
        </r>
      </text>
    </comment>
    <comment ref="Y165" authorId="2" shapeId="0" xr:uid="{2A2DBEC1-7D17-4CAC-A068-9CA4C3B52E40}">
      <text>
        <r>
          <rPr>
            <b/>
            <sz val="9"/>
            <color indexed="81"/>
            <rFont val="Tahoma"/>
            <charset val="1"/>
          </rPr>
          <t>CRISIL:</t>
        </r>
        <r>
          <rPr>
            <sz val="9"/>
            <color indexed="81"/>
            <rFont val="Tahoma"/>
            <charset val="1"/>
          </rPr>
          <t xml:space="preserve">
FS 1Q26 Pg 26/38, taken all numbers with TRY currency</t>
        </r>
      </text>
    </comment>
    <comment ref="P167" authorId="3" shapeId="0" xr:uid="{DD02C35A-7F29-4753-A445-91B4588830F1}">
      <text>
        <r>
          <rPr>
            <b/>
            <sz val="9"/>
            <color indexed="81"/>
            <rFont val="Tahoma"/>
            <family val="2"/>
          </rPr>
          <t>CRISIL GR&amp;RS:</t>
        </r>
        <r>
          <rPr>
            <sz val="9"/>
            <color indexed="81"/>
            <rFont val="Tahoma"/>
            <family val="2"/>
          </rPr>
          <t xml:space="preserve">
https://finance.yahoo.com/quote/TCELL.IS/</t>
        </r>
      </text>
    </comment>
    <comment ref="B258" authorId="3" shapeId="0" xr:uid="{C9CA6F57-8FFD-4E4D-82F4-32025BD42F28}">
      <text>
        <r>
          <rPr>
            <b/>
            <sz val="9"/>
            <color indexed="81"/>
            <rFont val="Tahoma"/>
            <family val="2"/>
          </rPr>
          <t>CRISIL GR&amp;RS:</t>
        </r>
        <r>
          <rPr>
            <sz val="9"/>
            <color indexed="81"/>
            <rFont val="Tahoma"/>
            <family val="2"/>
          </rPr>
          <t xml:space="preserve">
from company reported excel</t>
        </r>
      </text>
    </comment>
    <comment ref="R258" authorId="3" shapeId="0" xr:uid="{7D1DF98F-5C2E-43BD-9BBC-4BD6A363E2C9}">
      <text>
        <r>
          <rPr>
            <b/>
            <sz val="9"/>
            <color indexed="81"/>
            <rFont val="Tahoma"/>
            <family val="2"/>
          </rPr>
          <t>CRISIL GR&amp;RS:</t>
        </r>
        <r>
          <rPr>
            <sz val="9"/>
            <color indexed="81"/>
            <rFont val="Tahoma"/>
            <family val="2"/>
          </rPr>
          <t xml:space="preserve">
investing.com</t>
        </r>
      </text>
    </comment>
    <comment ref="S258" authorId="3" shapeId="0" xr:uid="{8BB24F6C-216A-4B85-8129-88917AC406CC}">
      <text>
        <r>
          <rPr>
            <b/>
            <sz val="9"/>
            <color indexed="81"/>
            <rFont val="Tahoma"/>
            <family val="2"/>
          </rPr>
          <t>CRISIL GR&amp;RS:</t>
        </r>
        <r>
          <rPr>
            <sz val="9"/>
            <color indexed="81"/>
            <rFont val="Tahoma"/>
            <family val="2"/>
          </rPr>
          <t xml:space="preserve">
investing.com</t>
        </r>
      </text>
    </comment>
    <comment ref="I374" authorId="2" shapeId="0" xr:uid="{94D742EA-782B-41F7-8652-38A96B06613A}">
      <text>
        <r>
          <rPr>
            <b/>
            <sz val="9"/>
            <color indexed="81"/>
            <rFont val="Tahoma"/>
            <family val="2"/>
          </rPr>
          <t>CRISIL:</t>
        </r>
        <r>
          <rPr>
            <sz val="9"/>
            <color indexed="81"/>
            <rFont val="Tahoma"/>
            <family val="2"/>
          </rPr>
          <t xml:space="preserve">
from PR</t>
        </r>
      </text>
    </comment>
    <comment ref="J374" authorId="2" shapeId="0" xr:uid="{1056162A-676A-49C8-938F-4B50765A5802}">
      <text>
        <r>
          <rPr>
            <b/>
            <sz val="9"/>
            <color indexed="81"/>
            <rFont val="Tahoma"/>
            <family val="2"/>
          </rPr>
          <t>CRISIL:</t>
        </r>
        <r>
          <rPr>
            <sz val="9"/>
            <color indexed="81"/>
            <rFont val="Tahoma"/>
            <family val="2"/>
          </rPr>
          <t xml:space="preserve">
from PR</t>
        </r>
      </text>
    </comment>
    <comment ref="W374" authorId="2" shapeId="0" xr:uid="{D81E2843-E78F-46C0-A2A0-0F13645EFDE7}">
      <text>
        <r>
          <rPr>
            <b/>
            <sz val="9"/>
            <color indexed="81"/>
            <rFont val="Tahoma"/>
            <family val="2"/>
          </rPr>
          <t>CRISIL:</t>
        </r>
        <r>
          <rPr>
            <sz val="9"/>
            <color indexed="81"/>
            <rFont val="Tahoma"/>
            <family val="2"/>
          </rPr>
          <t xml:space="preserve">
from PR</t>
        </r>
      </text>
    </comment>
    <comment ref="X374" authorId="2" shapeId="0" xr:uid="{3B83A65D-AE63-4AD4-88E1-65593E3B7226}">
      <text>
        <r>
          <rPr>
            <b/>
            <sz val="9"/>
            <color indexed="81"/>
            <rFont val="Tahoma"/>
            <family val="2"/>
          </rPr>
          <t>CRISIL:</t>
        </r>
        <r>
          <rPr>
            <sz val="9"/>
            <color indexed="81"/>
            <rFont val="Tahoma"/>
            <family val="2"/>
          </rPr>
          <t xml:space="preserve">
from PR</t>
        </r>
      </text>
    </comment>
    <comment ref="Y374" authorId="2" shapeId="0" xr:uid="{F76009CE-3DED-4C11-96E3-1F6A9CEA3E68}">
      <text>
        <r>
          <rPr>
            <b/>
            <sz val="9"/>
            <color indexed="81"/>
            <rFont val="Tahoma"/>
            <charset val="1"/>
          </rPr>
          <t>CRISIL:</t>
        </r>
        <r>
          <rPr>
            <sz val="9"/>
            <color indexed="81"/>
            <rFont val="Tahoma"/>
            <charset val="1"/>
          </rPr>
          <t xml:space="preserve">
PR 1Q26 Pg 10/19</t>
        </r>
      </text>
    </comment>
    <comment ref="AD374" authorId="2" shapeId="0" xr:uid="{BE272906-A596-4B1A-89A4-37A84D364496}">
      <text>
        <r>
          <rPr>
            <b/>
            <sz val="9"/>
            <color indexed="81"/>
            <rFont val="Tahoma"/>
            <family val="2"/>
          </rPr>
          <t>CRISIL:</t>
        </r>
        <r>
          <rPr>
            <sz val="9"/>
            <color indexed="81"/>
            <rFont val="Tahoma"/>
            <family val="2"/>
          </rPr>
          <t xml:space="preserve">
from PR</t>
        </r>
      </text>
    </comment>
    <comment ref="Y404" authorId="2" shapeId="0" xr:uid="{9339EBE2-A162-46DF-87D1-F35EA5B5EF9A}">
      <text>
        <r>
          <rPr>
            <b/>
            <sz val="9"/>
            <color indexed="81"/>
            <rFont val="Tahoma"/>
            <family val="2"/>
          </rPr>
          <t>CRISIL:</t>
        </r>
        <r>
          <rPr>
            <sz val="9"/>
            <color indexed="81"/>
            <rFont val="Tahoma"/>
            <family val="2"/>
          </rPr>
          <t xml:space="preserve">
PR 1Q26 Pg 13/19</t>
        </r>
      </text>
    </comment>
    <comment ref="K413" authorId="0" shapeId="0" xr:uid="{3161A8A1-E05C-473D-B071-61B5FA7E1EBB}">
      <text>
        <r>
          <rPr>
            <b/>
            <sz val="9"/>
            <color indexed="81"/>
            <rFont val="Tahoma"/>
            <family val="2"/>
          </rPr>
          <t>crisil:</t>
        </r>
        <r>
          <rPr>
            <sz val="9"/>
            <color indexed="81"/>
            <rFont val="Tahoma"/>
            <family val="2"/>
          </rPr>
          <t>The company sold Lifecell in Sept'24.</t>
        </r>
      </text>
    </comment>
    <comment ref="S418" authorId="3" shapeId="0" xr:uid="{55CCBD9B-BE91-404B-9FB0-CEF2C0BBB5F4}">
      <text>
        <r>
          <rPr>
            <b/>
            <sz val="9"/>
            <color indexed="81"/>
            <rFont val="Tahoma"/>
            <family val="2"/>
          </rPr>
          <t>CRISIL GR&amp;RS:</t>
        </r>
        <r>
          <rPr>
            <sz val="9"/>
            <color indexed="81"/>
            <rFont val="Tahoma"/>
            <family val="2"/>
          </rPr>
          <t xml:space="preserve">
Discontinued</t>
        </r>
      </text>
    </comment>
    <comment ref="W418" authorId="3" shapeId="0" xr:uid="{49D02E3F-F281-4D85-B937-766F7B867A97}">
      <text>
        <r>
          <rPr>
            <b/>
            <sz val="9"/>
            <color indexed="81"/>
            <rFont val="Tahoma"/>
            <family val="2"/>
          </rPr>
          <t>CRISIL GR&amp;RS:</t>
        </r>
        <r>
          <rPr>
            <sz val="9"/>
            <color indexed="81"/>
            <rFont val="Tahoma"/>
            <family val="2"/>
          </rPr>
          <t xml:space="preserve">
Discontinued</t>
        </r>
      </text>
    </comment>
    <comment ref="AC418" authorId="3" shapeId="0" xr:uid="{AABAFF9E-E0F5-4383-9A80-F1A2E7A3D60C}">
      <text>
        <r>
          <rPr>
            <b/>
            <sz val="9"/>
            <color indexed="81"/>
            <rFont val="Tahoma"/>
            <family val="2"/>
          </rPr>
          <t>CRISIL GR&amp;RS:</t>
        </r>
        <r>
          <rPr>
            <sz val="9"/>
            <color indexed="81"/>
            <rFont val="Tahoma"/>
            <family val="2"/>
          </rPr>
          <t xml:space="preserve">
Discontinued</t>
        </r>
      </text>
    </comment>
    <comment ref="AD418" authorId="3" shapeId="0" xr:uid="{2E7E74A8-F594-4A05-9260-535FA2F3E17E}">
      <text>
        <r>
          <rPr>
            <b/>
            <sz val="9"/>
            <color indexed="81"/>
            <rFont val="Tahoma"/>
            <family val="2"/>
          </rPr>
          <t>CRISIL GR&amp;RS:</t>
        </r>
        <r>
          <rPr>
            <sz val="9"/>
            <color indexed="81"/>
            <rFont val="Tahoma"/>
            <family val="2"/>
          </rPr>
          <t xml:space="preserve">
Discontinued</t>
        </r>
      </text>
    </comment>
    <comment ref="AH418" authorId="3" shapeId="0" xr:uid="{425C78A0-63F6-4B28-B8F9-C50E0F419428}">
      <text>
        <r>
          <rPr>
            <b/>
            <sz val="9"/>
            <color indexed="81"/>
            <rFont val="Tahoma"/>
            <family val="2"/>
          </rPr>
          <t>CRISIL GR&amp;RS:</t>
        </r>
        <r>
          <rPr>
            <sz val="9"/>
            <color indexed="81"/>
            <rFont val="Tahoma"/>
            <family val="2"/>
          </rPr>
          <t xml:space="preserve">
Discontinued</t>
        </r>
      </text>
    </comment>
    <comment ref="H431" authorId="2" shapeId="0" xr:uid="{2CAAF068-D094-4C02-B38F-AD79512DE761}">
      <text>
        <r>
          <rPr>
            <b/>
            <sz val="9"/>
            <color indexed="81"/>
            <rFont val="Tahoma"/>
            <family val="2"/>
          </rPr>
          <t>CRISIL:</t>
        </r>
        <r>
          <rPr>
            <sz val="9"/>
            <color indexed="81"/>
            <rFont val="Tahoma"/>
            <family val="2"/>
          </rPr>
          <t xml:space="preserve">
Data NA</t>
        </r>
      </text>
    </comment>
    <comment ref="B452" authorId="4" shapeId="0" xr:uid="{3AA596C0-13A3-4F84-BF15-3AE0F319D28A}">
      <text>
        <r>
          <rPr>
            <b/>
            <sz val="9"/>
            <color indexed="81"/>
            <rFont val="Tahoma"/>
            <family val="2"/>
          </rPr>
          <t>Crisil GR&amp;A:</t>
        </r>
        <r>
          <rPr>
            <sz val="9"/>
            <color indexed="81"/>
            <rFont val="Tahoma"/>
            <family val="2"/>
          </rPr>
          <t xml:space="preserve">
Breakdown of capex for 1Q18 has been restated in 1Q19</t>
        </r>
      </text>
    </comment>
    <comment ref="Y453" authorId="2" shapeId="0" xr:uid="{500A0990-3BDC-4E41-A503-5821A75A8CFC}">
      <text>
        <r>
          <rPr>
            <b/>
            <sz val="9"/>
            <color indexed="81"/>
            <rFont val="Tahoma"/>
            <charset val="1"/>
          </rPr>
          <t>CRISIL:</t>
        </r>
        <r>
          <rPr>
            <sz val="9"/>
            <color indexed="81"/>
            <rFont val="Tahoma"/>
            <charset val="1"/>
          </rPr>
          <t xml:space="preserve">
PR 1Q26 Pg 9/19</t>
        </r>
      </text>
    </comment>
    <comment ref="I459" authorId="2" shapeId="0" xr:uid="{1B446746-D906-406B-BEE7-594B70BDBF4C}">
      <text>
        <r>
          <rPr>
            <b/>
            <sz val="9"/>
            <color indexed="81"/>
            <rFont val="Tahoma"/>
            <family val="2"/>
          </rPr>
          <t>CRISIL:</t>
        </r>
        <r>
          <rPr>
            <sz val="9"/>
            <color indexed="81"/>
            <rFont val="Tahoma"/>
            <family val="2"/>
          </rPr>
          <t xml:space="preserve">
from operational excel</t>
        </r>
      </text>
    </comment>
    <comment ref="J459" authorId="2" shapeId="0" xr:uid="{BA2BD96D-D5A5-48CF-A255-F4BB8112B50E}">
      <text>
        <r>
          <rPr>
            <b/>
            <sz val="9"/>
            <color indexed="81"/>
            <rFont val="Tahoma"/>
            <family val="2"/>
          </rPr>
          <t>CRISIL:</t>
        </r>
        <r>
          <rPr>
            <sz val="9"/>
            <color indexed="81"/>
            <rFont val="Tahoma"/>
            <family val="2"/>
          </rPr>
          <t xml:space="preserve">
from operational excel</t>
        </r>
      </text>
    </comment>
    <comment ref="W459" authorId="2" shapeId="0" xr:uid="{32514CFF-2D10-40C8-9F88-A62628DED68E}">
      <text>
        <r>
          <rPr>
            <b/>
            <sz val="9"/>
            <color indexed="81"/>
            <rFont val="Tahoma"/>
            <family val="2"/>
          </rPr>
          <t>CRISIL:</t>
        </r>
        <r>
          <rPr>
            <sz val="9"/>
            <color indexed="81"/>
            <rFont val="Tahoma"/>
            <family val="2"/>
          </rPr>
          <t xml:space="preserve">
from operational excel</t>
        </r>
      </text>
    </comment>
    <comment ref="X459" authorId="2" shapeId="0" xr:uid="{F28C8A56-0A2C-4854-9039-B71B274304AF}">
      <text>
        <r>
          <rPr>
            <b/>
            <sz val="9"/>
            <color indexed="81"/>
            <rFont val="Tahoma"/>
            <family val="2"/>
          </rPr>
          <t>CRISIL:</t>
        </r>
        <r>
          <rPr>
            <sz val="9"/>
            <color indexed="81"/>
            <rFont val="Tahoma"/>
            <family val="2"/>
          </rPr>
          <t xml:space="preserve">
from operational excel</t>
        </r>
      </text>
    </comment>
    <comment ref="Y459" authorId="2" shapeId="0" xr:uid="{AB1468A4-C86F-455B-922A-5A727438D64B}">
      <text>
        <r>
          <rPr>
            <b/>
            <sz val="9"/>
            <color indexed="81"/>
            <rFont val="Tahoma"/>
            <charset val="1"/>
          </rPr>
          <t>CRISIL:</t>
        </r>
        <r>
          <rPr>
            <sz val="9"/>
            <color indexed="81"/>
            <rFont val="Tahoma"/>
            <charset val="1"/>
          </rPr>
          <t xml:space="preserve">
from operational excel </t>
        </r>
      </text>
    </comment>
    <comment ref="AD459" authorId="2" shapeId="0" xr:uid="{1F039E35-1493-4F00-BC26-28390BA7DD11}">
      <text>
        <r>
          <rPr>
            <b/>
            <sz val="9"/>
            <color indexed="81"/>
            <rFont val="Tahoma"/>
            <family val="2"/>
          </rPr>
          <t>CRISIL:</t>
        </r>
        <r>
          <rPr>
            <sz val="9"/>
            <color indexed="81"/>
            <rFont val="Tahoma"/>
            <family val="2"/>
          </rPr>
          <t xml:space="preserve">
from operational excel</t>
        </r>
      </text>
    </comment>
    <comment ref="U465" authorId="0" shapeId="0" xr:uid="{D211D1DC-62D0-4856-80D5-592C9CB32F6D}">
      <text>
        <r>
          <rPr>
            <b/>
            <sz val="9"/>
            <color indexed="81"/>
            <rFont val="Tahoma"/>
            <family val="2"/>
          </rPr>
          <t>CRISIL:</t>
        </r>
        <r>
          <rPr>
            <sz val="9"/>
            <color indexed="81"/>
            <rFont val="Tahoma"/>
            <family val="2"/>
          </rPr>
          <t xml:space="preserve">
Combined into other segments</t>
        </r>
      </text>
    </comment>
    <comment ref="AA465" authorId="0" shapeId="0" xr:uid="{1F60BC29-F372-4323-BF7D-F00DD7F82B99}">
      <text>
        <r>
          <rPr>
            <b/>
            <sz val="9"/>
            <color indexed="81"/>
            <rFont val="Tahoma"/>
            <family val="2"/>
          </rPr>
          <t>Jatin Sukhwani:</t>
        </r>
        <r>
          <rPr>
            <sz val="9"/>
            <color indexed="81"/>
            <rFont val="Tahoma"/>
            <family val="2"/>
          </rPr>
          <t xml:space="preserve">
Combined into other segments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I7" authorId="0" shapeId="0" xr:uid="{8A9EC04D-098D-4213-B057-56A2075F42BA}">
      <text>
        <r>
          <rPr>
            <b/>
            <sz val="9"/>
            <color indexed="81"/>
            <rFont val="Tahoma"/>
            <family val="2"/>
          </rPr>
          <t>CRISIL:</t>
        </r>
        <r>
          <rPr>
            <sz val="9"/>
            <color indexed="81"/>
            <rFont val="Tahoma"/>
            <family val="2"/>
          </rPr>
          <t xml:space="preserve">
from PR</t>
        </r>
      </text>
    </comment>
    <comment ref="J7" authorId="0" shapeId="0" xr:uid="{21EABF22-BF47-4E9F-8BC0-AF358FEF0469}">
      <text>
        <r>
          <rPr>
            <b/>
            <sz val="9"/>
            <color indexed="81"/>
            <rFont val="Tahoma"/>
            <family val="2"/>
          </rPr>
          <t>CRISIL:</t>
        </r>
        <r>
          <rPr>
            <sz val="9"/>
            <color indexed="81"/>
            <rFont val="Tahoma"/>
            <family val="2"/>
          </rPr>
          <t xml:space="preserve">
from PR</t>
        </r>
      </text>
    </comment>
    <comment ref="W7" authorId="0" shapeId="0" xr:uid="{9580BE8A-3C6E-4009-8854-9BFEA594F206}">
      <text>
        <r>
          <rPr>
            <b/>
            <sz val="9"/>
            <color indexed="81"/>
            <rFont val="Tahoma"/>
            <family val="2"/>
          </rPr>
          <t>CRISIL:</t>
        </r>
        <r>
          <rPr>
            <sz val="9"/>
            <color indexed="81"/>
            <rFont val="Tahoma"/>
            <family val="2"/>
          </rPr>
          <t xml:space="preserve">
from PR</t>
        </r>
      </text>
    </comment>
  </commentList>
</comments>
</file>

<file path=xl/sharedStrings.xml><?xml version="1.0" encoding="utf-8"?>
<sst xmlns="http://schemas.openxmlformats.org/spreadsheetml/2006/main" count="3655" uniqueCount="836">
  <si>
    <t>3Q23</t>
  </si>
  <si>
    <t>As per the Company</t>
  </si>
  <si>
    <t>Amount outstanding as on 30-Sep-2023</t>
  </si>
  <si>
    <t>Coupon</t>
  </si>
  <si>
    <t>TRY mn</t>
  </si>
  <si>
    <t>USD mn</t>
  </si>
  <si>
    <t xml:space="preserve">Leverage </t>
  </si>
  <si>
    <t>Leverage (Using USD)</t>
  </si>
  <si>
    <t>Total Loans &amp; Borrows</t>
  </si>
  <si>
    <t>Lease liabilities TRY  due 2023-2048</t>
  </si>
  <si>
    <t>9.8%-45.0%</t>
  </si>
  <si>
    <t>Cash &amp; Equivalents</t>
  </si>
  <si>
    <t>Lease liabilities UAH  due 2023-2072</t>
  </si>
  <si>
    <t>7.6%-47.7%</t>
  </si>
  <si>
    <t xml:space="preserve">Net debt </t>
  </si>
  <si>
    <t>Lease liabilities BYN due 2023-2037</t>
  </si>
  <si>
    <t>10.8%-20.0%</t>
  </si>
  <si>
    <t>Equity</t>
  </si>
  <si>
    <t>Lease liabilities EUR due 2023-2034</t>
  </si>
  <si>
    <t>1.0%-11.0%</t>
  </si>
  <si>
    <t xml:space="preserve">Total Capitalisation </t>
  </si>
  <si>
    <t>Lease liabilities USD due 2023-2052</t>
  </si>
  <si>
    <t>3.9%-11.6%</t>
  </si>
  <si>
    <t>LTM Adjusted EBITDA</t>
  </si>
  <si>
    <t>Total lease liabilities</t>
  </si>
  <si>
    <t>Secured bank loans 2022-2032</t>
  </si>
  <si>
    <t>1.5%-3.8%</t>
  </si>
  <si>
    <t>Secured bank loans 2022-2028</t>
  </si>
  <si>
    <t>Libor+0.6% &amp; Libor+1.6%</t>
  </si>
  <si>
    <t>Secured bank loans 2023</t>
  </si>
  <si>
    <t>16.2%-16.4%</t>
  </si>
  <si>
    <t>Total Secured Debt</t>
  </si>
  <si>
    <t>Unsecured Bank Loans (EUR) due 2023-2028</t>
  </si>
  <si>
    <t>Euribor+2.0%-Euribor+2.3%</t>
  </si>
  <si>
    <t>Unsecured Bank Loans (TL) due 2023</t>
  </si>
  <si>
    <t>11.5%-29.1%</t>
  </si>
  <si>
    <t>Unsecured Bank Loans (USD) due 2023-2026</t>
  </si>
  <si>
    <t>Sofr+ 2.2%</t>
  </si>
  <si>
    <t>Unsecured Bank Loans (RMB) due 2023-2028</t>
  </si>
  <si>
    <t>10.0%-20.0%</t>
  </si>
  <si>
    <t>Unsecured Bank Loans (UAH) due 2023-2024</t>
  </si>
  <si>
    <t>5.2%-5.5%</t>
  </si>
  <si>
    <t>Unsecured bank loans (EUR) due 2023-2024</t>
  </si>
  <si>
    <t>Unsecured bank loans (USD) 2023-2026</t>
  </si>
  <si>
    <t>Unsecured bank loans (BNY) 2023-2024</t>
  </si>
  <si>
    <t>Issued debt instruments 2023-2028</t>
  </si>
  <si>
    <t>Issued debt instruments 2023</t>
  </si>
  <si>
    <t>23.0%-35.0%</t>
  </si>
  <si>
    <t>Total Unsecured debt</t>
  </si>
  <si>
    <t xml:space="preserve">Total Loans &amp; Borrows </t>
  </si>
  <si>
    <t xml:space="preserve">Market cap </t>
  </si>
  <si>
    <t>EV</t>
  </si>
  <si>
    <t>EV/EBITDA</t>
  </si>
  <si>
    <t>Debt Breakdown by Business as at end-3Q23</t>
  </si>
  <si>
    <t>(TRY millions)</t>
  </si>
  <si>
    <t>(USD millions)</t>
  </si>
  <si>
    <t>Turkcell Turkey</t>
  </si>
  <si>
    <t>Lifecell</t>
  </si>
  <si>
    <t>Consumer Finance Company</t>
  </si>
  <si>
    <t>Other</t>
  </si>
  <si>
    <t>Lease Obligations</t>
  </si>
  <si>
    <t>Total</t>
  </si>
  <si>
    <t>Liquidity Table as at end-3Q23</t>
  </si>
  <si>
    <t>Loan facility</t>
  </si>
  <si>
    <t>Cash</t>
  </si>
  <si>
    <t>Total Liquidity</t>
  </si>
  <si>
    <t>Exchange rate as on 30-Sep-2023 (TRY/USD)</t>
  </si>
  <si>
    <t>Debt Maturity Profile USD and TRY (m) as at end-3Q23</t>
  </si>
  <si>
    <t>Upto one year</t>
  </si>
  <si>
    <t>After one year</t>
  </si>
  <si>
    <t>Total debt</t>
  </si>
  <si>
    <t>2Q23</t>
  </si>
  <si>
    <t>Amount outstanding as on 30-June-2023</t>
  </si>
  <si>
    <t>Lease liabilities TL  due 2022-2048</t>
  </si>
  <si>
    <t>Lease liabilities UAH  due 2022-2070</t>
  </si>
  <si>
    <t>Lease liabilities EUR due 2022-2034</t>
  </si>
  <si>
    <t>Lease liabilities BYN due 2022-2030</t>
  </si>
  <si>
    <t>11.5%-20.0%</t>
  </si>
  <si>
    <t>Lease liabilities USD due 2022-2028</t>
  </si>
  <si>
    <t>3.9%-11.5%</t>
  </si>
  <si>
    <t>Debt Breakdown by Business as at end-2Q23</t>
  </si>
  <si>
    <t>Liquidity Table as at end-2Q23</t>
  </si>
  <si>
    <t>Exchange rate as on 30-June-2023 (TRY/USD)</t>
  </si>
  <si>
    <t>Debt Maturity Profile USD and TRY (m) as at end-2Q23</t>
  </si>
  <si>
    <t>1Q23</t>
  </si>
  <si>
    <t>Amount outstanding as on 31-March-2023</t>
  </si>
  <si>
    <t>16.4%-19.5%</t>
  </si>
  <si>
    <t>12.2%-27.5%</t>
  </si>
  <si>
    <t>Libor 2.2%</t>
  </si>
  <si>
    <t>10.0%-21.0%</t>
  </si>
  <si>
    <t>20.5%-26.0%</t>
  </si>
  <si>
    <t>Debt Breakdown by Business as at end-1Q23</t>
  </si>
  <si>
    <t>Liquidity Table as at end-1Q23</t>
  </si>
  <si>
    <t>Exchange rate as on 31-March-2023 (TRY/USD)</t>
  </si>
  <si>
    <t>Debt Maturity Profile USD and TRY (m) as at end-1Q23</t>
  </si>
  <si>
    <t>4Q22</t>
  </si>
  <si>
    <t>Amount outstanding as on 31-Dec-2022</t>
  </si>
  <si>
    <t>12.4%-38.0%</t>
  </si>
  <si>
    <t>Libor+1.7%-Libor 2.2%</t>
  </si>
  <si>
    <t>3.7%-5.5%</t>
  </si>
  <si>
    <t>10%-21%</t>
  </si>
  <si>
    <t>Unsecured bank loans (USD) 2022-2026</t>
  </si>
  <si>
    <t>20.3%-25.5%</t>
  </si>
  <si>
    <t>Debt Breakdown by Business as at end-4Q22</t>
  </si>
  <si>
    <t>Liquidity Table as at end-4Q22</t>
  </si>
  <si>
    <t>Exchange rate as on 31-Dec-2022 (TRY/USD)</t>
  </si>
  <si>
    <t>Debt Maturity Profile USD and TRY (m) as at end-3Q22</t>
  </si>
  <si>
    <t>3Q22</t>
  </si>
  <si>
    <t>Amount outstanding as on 30-Sep-2022</t>
  </si>
  <si>
    <t>3.9%-11.0%</t>
  </si>
  <si>
    <t>Unsecured Bank Loans (EUR) due 2022-2028</t>
  </si>
  <si>
    <t>Unsecured Bank Loans (USD) due 2022-2028</t>
  </si>
  <si>
    <t>14.8%-38.0%</t>
  </si>
  <si>
    <t>Unsecured Bank Loans (EUR) 2022</t>
  </si>
  <si>
    <t>Unsecured Bank Loans (UAH) due 2022-2024</t>
  </si>
  <si>
    <t>9.5%-20.8%</t>
  </si>
  <si>
    <t>Unsecured Bank Loans (RMB) due 2022-2028</t>
  </si>
  <si>
    <t>Debt securities issued (USD) due 2022-2028</t>
  </si>
  <si>
    <t>Debt securities issued (TL) due 2022</t>
  </si>
  <si>
    <t>19.3%-23.8%</t>
  </si>
  <si>
    <t>Debt Breakdown by Business as at end-3Q22</t>
  </si>
  <si>
    <t>Liquidity Table as at end-3Q22</t>
  </si>
  <si>
    <t>Exchange rate as on 30-Sep-2022 (TRY/USD)</t>
  </si>
  <si>
    <t>2Q22</t>
  </si>
  <si>
    <t>Amount outstanding as on 30-Jun-2022</t>
  </si>
  <si>
    <t>Lease liabilities UAH  due 2022-2069</t>
  </si>
  <si>
    <t>7.6%-25.7%</t>
  </si>
  <si>
    <t>1.0%-10.0%</t>
  </si>
  <si>
    <t>Lease liabilities BYN due 2022-2028</t>
  </si>
  <si>
    <t>3.9%-10.9%</t>
  </si>
  <si>
    <t>Secured bank loans 2022-2026</t>
  </si>
  <si>
    <t>Libor+1.6% &amp; Libor+1.9%</t>
  </si>
  <si>
    <t>Euribor+1.9%-Euribor+2.3%</t>
  </si>
  <si>
    <t>Libor+2.1%-Libor 2.2%</t>
  </si>
  <si>
    <t>11.0%-29.8%</t>
  </si>
  <si>
    <t>Unsecured Bank Loans (EUR) 2022-2031</t>
  </si>
  <si>
    <t>1.7%-2.3%</t>
  </si>
  <si>
    <t>Unsecured bank loans (USD) 2022-2032</t>
  </si>
  <si>
    <t>1.6%-3.8%</t>
  </si>
  <si>
    <t>8.6%-20.5%</t>
  </si>
  <si>
    <t>17.3%-23.0%</t>
  </si>
  <si>
    <t>Debt Breakdown by Business as at end-2Q22</t>
  </si>
  <si>
    <t>Liquidity Table as at end-2Q22</t>
  </si>
  <si>
    <t>Exchange rate as on 30-Jun-2022 (TRY/USD)</t>
  </si>
  <si>
    <t>Debt Maturity Profile USD and TRY (m) as at end-2Q22</t>
  </si>
  <si>
    <t>1Q22</t>
  </si>
  <si>
    <t>Amount outstanding as on 31-Mar-2022</t>
  </si>
  <si>
    <t>Lease liabilities TL  due 2021-2048</t>
  </si>
  <si>
    <t>Unsecured Bank Loans (TL) due 2022</t>
  </si>
  <si>
    <t>14.8%-29.0%</t>
  </si>
  <si>
    <t>Unsecured Bank Loans (UAH) 2022-2024</t>
  </si>
  <si>
    <t>8.0%-10.9%</t>
  </si>
  <si>
    <t>Unsecured bank loans (USD) 2022-2030</t>
  </si>
  <si>
    <t>Unsecured Bank Loans (CNY) due 2022-2028</t>
  </si>
  <si>
    <t>4.9%-5.2%</t>
  </si>
  <si>
    <t>Unsecured Bank Loans (EUR) due 2022</t>
  </si>
  <si>
    <t>Debt Breakdown by Business as at end-1Q22</t>
  </si>
  <si>
    <t>Liquidity Table as at end-1Q22</t>
  </si>
  <si>
    <t>Exchange rate as on 31-Mar-2022 (TRY/USD)</t>
  </si>
  <si>
    <t>Debt Maturity Profile USD and TRY (m) as at end-1Q22</t>
  </si>
  <si>
    <t>4Q21</t>
  </si>
  <si>
    <t>Amount outstanding as on 31-Dec-2021</t>
  </si>
  <si>
    <t>11.5%-15.8%</t>
  </si>
  <si>
    <t>Debt Breakdown by Business as at end-4Q21</t>
  </si>
  <si>
    <t>Liquidity Table as at end-4Q21</t>
  </si>
  <si>
    <t>Exchange rate as on 31-Dec-2021 (TRY/USD)</t>
  </si>
  <si>
    <t>Debt Maturity Profile USD and TRY (m) as at end-4Q21</t>
  </si>
  <si>
    <t>3Q21</t>
  </si>
  <si>
    <t>Amount outstanding as on 30-Sep-2021</t>
  </si>
  <si>
    <t>Lease liabilities UAH  due 2021-2070</t>
  </si>
  <si>
    <t>8.5%-25.7%</t>
  </si>
  <si>
    <t>Lease liabilities EUR due 2021-2034</t>
  </si>
  <si>
    <t>1.0%-8.0%</t>
  </si>
  <si>
    <t>Lease liabilities BYN due 2021-2028</t>
  </si>
  <si>
    <t>11.5%-15.0%</t>
  </si>
  <si>
    <t>Lease liabilities USD due 2021-2028</t>
  </si>
  <si>
    <t>Secured bank loans 2021-2026</t>
  </si>
  <si>
    <t>Libor+1.8%-Libor+1.9%</t>
  </si>
  <si>
    <t>Secured bank loans 2026</t>
  </si>
  <si>
    <t>Unsecured Bank Loans (EUR) due 2021-2028</t>
  </si>
  <si>
    <t>Unsecured Bank Loans (USD) due 2021-2028</t>
  </si>
  <si>
    <t>Unsecured Bank Loans (TL) due 2021</t>
  </si>
  <si>
    <t>17.5%-20.5%</t>
  </si>
  <si>
    <t>Unsecured Bank Loans (UAH) 2021-2024</t>
  </si>
  <si>
    <t>8.1%-10.9%</t>
  </si>
  <si>
    <t>Unsecured bank loans (USD) 2021-2030</t>
  </si>
  <si>
    <t>Unsecured Bank Loans (CNY) due 2021-2028</t>
  </si>
  <si>
    <t>4.9%-5.5%</t>
  </si>
  <si>
    <t>Unsecured Bank Loans (EUR) due 2021-2022</t>
  </si>
  <si>
    <t>1.5%-1.7%</t>
  </si>
  <si>
    <t>Debt securities issued (USD) due 2020-2028</t>
  </si>
  <si>
    <t>Debt securities issued (TL) due 2021</t>
  </si>
  <si>
    <t>Debt Breakdown by Business as at end-3Q21</t>
  </si>
  <si>
    <t>Liquidity Table as at end-3Q21</t>
  </si>
  <si>
    <t>Exchange rate as on 30-Sep-2021 (TRY/USD)</t>
  </si>
  <si>
    <t>Debt Maturity Profile USD and TRY (m) as at end-3Q21</t>
  </si>
  <si>
    <t>2Q21</t>
  </si>
  <si>
    <t>Amount outstanding as on 30-Jun-2021</t>
  </si>
  <si>
    <t>Lease liabilities EUR  due 2021-2048</t>
  </si>
  <si>
    <t>Lease liabilities TL  due 2021-2069</t>
  </si>
  <si>
    <t>Lease liabilities USD due 2021-2034</t>
  </si>
  <si>
    <t>4.0%-10.9%</t>
  </si>
  <si>
    <t>Lease liabilities UAH due 2021-2028</t>
  </si>
  <si>
    <t>8.8%-24.0%</t>
  </si>
  <si>
    <t>Libor+1.7%</t>
  </si>
  <si>
    <t>Secured bank loans 2021</t>
  </si>
  <si>
    <t>Euribor+1.3%</t>
  </si>
  <si>
    <t>Unsecured Bank Loans (USD) due 2020-2028</t>
  </si>
  <si>
    <t>Libor+1.7%-Libor+2.2%</t>
  </si>
  <si>
    <t>Unsecured Bank Loans (EUR) due 2020-2026</t>
  </si>
  <si>
    <t>Euribor+1.3%-Euribor+2.2%</t>
  </si>
  <si>
    <t>6.3%-14.5%</t>
  </si>
  <si>
    <t>Unsecured Bank Loans (UAH) 2021-2023</t>
  </si>
  <si>
    <t>6.0%-9.0%</t>
  </si>
  <si>
    <t>Unsecured bank loans (USD) 2030</t>
  </si>
  <si>
    <t>4.1%-5.5%</t>
  </si>
  <si>
    <t>Unsecured Bank Loans (USD) due 2030</t>
  </si>
  <si>
    <t>Unsecured Bank Loans (EUR) due 2021</t>
  </si>
  <si>
    <t>Debt Breakdown by Business as at end-2Q21</t>
  </si>
  <si>
    <t>Liquidity Table as at end-2Q21</t>
  </si>
  <si>
    <t>Exchange rate as on 30-Jun-2021 (TRY/USD)</t>
  </si>
  <si>
    <t>Debt Maturity Profile USD and TRY (m) as at end-2Q21</t>
  </si>
  <si>
    <t>1Q21</t>
  </si>
  <si>
    <t>Amount outstanding as on 31-Mar-2021</t>
  </si>
  <si>
    <t>Debt Breakdown by Business as at end-1Q21</t>
  </si>
  <si>
    <t>Liquidity Table as at end-1Q21</t>
  </si>
  <si>
    <t>Exchange rate as on 31-Mar-2021 (TRY/USD)</t>
  </si>
  <si>
    <t>Debt Maturity Profile USD and TRY (m) as at end-1Q21</t>
  </si>
  <si>
    <t>4Q20</t>
  </si>
  <si>
    <t>Amount outstanding as on 31-Dec-2020</t>
  </si>
  <si>
    <t>Debt Breakdown by Business as at end-4Q20</t>
  </si>
  <si>
    <t>Liquidity Table as at end-4Q20</t>
  </si>
  <si>
    <t>Exchange rate as on 31-Dec-2020 (TRY/USD)</t>
  </si>
  <si>
    <t>Debt Maturity Profile USD and TRY (m) as at end-4Q20</t>
  </si>
  <si>
    <t>Amount outstanding as on 30-Sep-2020</t>
  </si>
  <si>
    <t>Lease liabilities EUR  due 2020-2029</t>
  </si>
  <si>
    <t>Lease liabilities TL  due 2020-2048</t>
  </si>
  <si>
    <t>Lease liabilities USD due 2020-2028</t>
  </si>
  <si>
    <t>Lease liabilities UAH due 2020-2067</t>
  </si>
  <si>
    <t>Lease liabilities BYN due 2020-2028</t>
  </si>
  <si>
    <t>Secured bank loans (BYN) due 2020</t>
  </si>
  <si>
    <t>Unsecured Bank Loans (TL) due 2020</t>
  </si>
  <si>
    <t>Unsecured Bank Loans (UAH) due 2020</t>
  </si>
  <si>
    <t>Unsecured Bank Loans (RMB) due 2020-2026</t>
  </si>
  <si>
    <t>Unsecured Bank Loans (USD) due 2029</t>
  </si>
  <si>
    <t>Debt securities issued (TL) due 2020</t>
  </si>
  <si>
    <t>Debt Breakdown by Business as at end-3Q20</t>
  </si>
  <si>
    <t>Liquidity Table as at end-3Q20</t>
  </si>
  <si>
    <t>Exchange rate as on 30-Sep-2020 (TRY/USD)</t>
  </si>
  <si>
    <t>Debt Maturity Profile USD and TRY (m) as at end-3Q20</t>
  </si>
  <si>
    <t>Amount outstanding as on 30-Jun-2020</t>
  </si>
  <si>
    <t>1.0%-9.0%</t>
  </si>
  <si>
    <t>12.8%-45.0%</t>
  </si>
  <si>
    <t>16.6%-24.0%</t>
  </si>
  <si>
    <t>11.7%-15.0%</t>
  </si>
  <si>
    <t>Libor+1.5%-Libor+2.2%</t>
  </si>
  <si>
    <t>10.1%-11.3%</t>
  </si>
  <si>
    <t>13.5%-15.0%</t>
  </si>
  <si>
    <t>Debt Breakdown by Business as at end-2Q20</t>
  </si>
  <si>
    <t>Liquidity Table as at end-2Q20</t>
  </si>
  <si>
    <t>Exchange rate as on 30-Jun-2020 (TRY/USD)</t>
  </si>
  <si>
    <t>Debt Maturity Profile USD and TRY (m) as at end-2Q20</t>
  </si>
  <si>
    <t>Amount outstanding as on 31-Mar-2020</t>
  </si>
  <si>
    <t>Debt Breakdown by Business as at end-1Q20</t>
  </si>
  <si>
    <t>Liquidity Table as at end-1Q20</t>
  </si>
  <si>
    <t>Exchange rate as on 31-Mar-2020 (TRY/USD)</t>
  </si>
  <si>
    <t>Debt Maturity Profile USD and TRY (m) as at end-1Q20</t>
  </si>
  <si>
    <t>Amount outstanding as on 31-Dec-2019</t>
  </si>
  <si>
    <t>Lease liabilities EUR  due 2020-2048</t>
  </si>
  <si>
    <t>1.0%-7.9%</t>
  </si>
  <si>
    <t>Lease liabilities USD due 2020-2027</t>
  </si>
  <si>
    <t>3.9%-10.8%</t>
  </si>
  <si>
    <t>9.5%-11.5%</t>
  </si>
  <si>
    <t>11.5%-18.0%</t>
  </si>
  <si>
    <t>Debt Breakdown by Business as at end-4Q19</t>
  </si>
  <si>
    <t>Liquidity Table as at end-4Q19</t>
  </si>
  <si>
    <t>Exchange rate as on 31-Dec-2019 (TRY/USD)</t>
  </si>
  <si>
    <t>Debt Maturity Profile USD and TRY (m) as at end-4Q19</t>
  </si>
  <si>
    <t>Amount outstanding as on 30-Sep-2019</t>
  </si>
  <si>
    <t>Lease liabilities EUR due 2019-2031</t>
  </si>
  <si>
    <t>1.0%-6.75%</t>
  </si>
  <si>
    <t>Lease liabilities TL  due 2019-2064</t>
  </si>
  <si>
    <t>15.0%-45.0%</t>
  </si>
  <si>
    <t>Lease liabilities USD due 2019-2052</t>
  </si>
  <si>
    <t>4.0%-10.5%</t>
  </si>
  <si>
    <t>Lease liabilities UAH due 2019-2068</t>
  </si>
  <si>
    <t>16.1%-24.0%</t>
  </si>
  <si>
    <t>Lease liabilities BYN due 2019-2027</t>
  </si>
  <si>
    <t>13.0%-15.0%</t>
  </si>
  <si>
    <t>Unsecured Bank Loans (EUR) due 2019-2026</t>
  </si>
  <si>
    <t>Euribor+1.2%-Euribor+2.2%</t>
  </si>
  <si>
    <t>Unsecured Bank Loans (TL) due 2019</t>
  </si>
  <si>
    <t>13.3%-14.9%</t>
  </si>
  <si>
    <t>Unsecured Bank Loans (UAH) due 2019</t>
  </si>
  <si>
    <t>16.3%-19.5%</t>
  </si>
  <si>
    <t>Unsecured Bank Loans (RMB) due 2026</t>
  </si>
  <si>
    <t>Unsecured Bank Loans (EUR) due 2019</t>
  </si>
  <si>
    <t>Debt securities issued (USD) due 2025-2028</t>
  </si>
  <si>
    <t>Debt securities issued (TL) due 2019</t>
  </si>
  <si>
    <t>Debt Breakdown by Business as at end-3Q19</t>
  </si>
  <si>
    <t>Liquidity Table as at end-3Q19</t>
  </si>
  <si>
    <t>Exchange rate as on 30-Sep-2019 (TRY/USD)</t>
  </si>
  <si>
    <t>Debt Maturity Profile USD and TRY (m) as at end-3Q19</t>
  </si>
  <si>
    <t>Currency break-up of debt (Before hedging)</t>
  </si>
  <si>
    <t>USD</t>
  </si>
  <si>
    <t>EUR</t>
  </si>
  <si>
    <t>TRY</t>
  </si>
  <si>
    <t>Currency break-up of debt (After hedging)</t>
  </si>
  <si>
    <t>Currency break-up of cash</t>
  </si>
  <si>
    <t>Amount outstanding as on 30-Jun-2019</t>
  </si>
  <si>
    <t>16.1%-45.0%</t>
  </si>
  <si>
    <t>Secured bank loans (BYN) due 2019-2020</t>
  </si>
  <si>
    <t>Unsecured Bank Loans (USD) due 2019-2028</t>
  </si>
  <si>
    <t>Libor+1.0%-Libor+4.8%</t>
  </si>
  <si>
    <t>20.8%-24.9%</t>
  </si>
  <si>
    <t>17.0%-19.0%</t>
  </si>
  <si>
    <t>Unsecured Bank Loans (RMB) due 2019-2026</t>
  </si>
  <si>
    <t>Unsecured Bank Loans (USD) due 2019</t>
  </si>
  <si>
    <t>Debt securities issued (USD) due 2019-2028</t>
  </si>
  <si>
    <t>Debt Breakdown by Business as at end-2Q19</t>
  </si>
  <si>
    <t>Liquidity Table as at end-2Q19</t>
  </si>
  <si>
    <t xml:space="preserve">RCF </t>
  </si>
  <si>
    <t>Exchange rate as on 30-Jun-2019 (TRY/USD)</t>
  </si>
  <si>
    <t>Debt Maturity Profile USD and TRY (m) as at end-2Q19</t>
  </si>
  <si>
    <t>Amount outstanding as on 31-Mar-2019</t>
  </si>
  <si>
    <t>12%-16%</t>
  </si>
  <si>
    <t>1.0%-8.3%</t>
  </si>
  <si>
    <t>15.9%-45.0%</t>
  </si>
  <si>
    <t>4.0%-10.1%</t>
  </si>
  <si>
    <t>Lease liabilities BYN due 2019-2025</t>
  </si>
  <si>
    <t>Libor+2.0%-Libor+4.4%</t>
  </si>
  <si>
    <t>Euribor+1.2%-Euribor+3.4%</t>
  </si>
  <si>
    <t>12.6%-23.9%</t>
  </si>
  <si>
    <t>16.8%-23.0%</t>
  </si>
  <si>
    <t>Total Loans &amp; Borrows (excluding lease obligations)</t>
  </si>
  <si>
    <t>Net debt (excluding lease obligations)</t>
  </si>
  <si>
    <t>Lease liabilities</t>
  </si>
  <si>
    <t>Total Loans &amp; Borrows (including lease obligations)</t>
  </si>
  <si>
    <t>Net debt (including lease obligations)</t>
  </si>
  <si>
    <t>Market cap (as on 31 Mar 2019)</t>
  </si>
  <si>
    <t>Debt Breakdown by Business as at end-1Q19</t>
  </si>
  <si>
    <t>Rent lease obligations</t>
  </si>
  <si>
    <t>Liquidity Table as at end-1Q19</t>
  </si>
  <si>
    <t>Exchange rate as on 31-Mar-2019 (TRY/USD)</t>
  </si>
  <si>
    <t>Debt Maturity Profile USD and TRY (m) as at end-1Q19</t>
  </si>
  <si>
    <t>Amount outstanding as on 31-Dec-2018</t>
  </si>
  <si>
    <t>Lease liabilities TL  due 2019-2048</t>
  </si>
  <si>
    <t>Lease liabilities USD due 2019-2027</t>
  </si>
  <si>
    <t>Lease liabilities UAH due 2019-2067</t>
  </si>
  <si>
    <t>Lease liabilities BYN due 2019-2028</t>
  </si>
  <si>
    <t>12.0%-15.0%</t>
  </si>
  <si>
    <t>Unsecured Bank Loans (USD) due 2019-2026</t>
  </si>
  <si>
    <t>Libor+2.0%-Libor+4.1%</t>
  </si>
  <si>
    <t>12.6%-31.2%</t>
  </si>
  <si>
    <t>21.5%-22.5%</t>
  </si>
  <si>
    <t>Market cap (as on 31 Dec 2018)</t>
  </si>
  <si>
    <t>Debt Breakdown by Business as at end-4Q18</t>
  </si>
  <si>
    <t>Liquidity Table as at end-4Q18</t>
  </si>
  <si>
    <t>Exchange rate as on 31-Dec-2018 (TRY/USD)</t>
  </si>
  <si>
    <t>Debt Maturity Profile USD and TRY (m) as at end-4Q18</t>
  </si>
  <si>
    <t>Amount outstanding as on 30-Sep-2018</t>
  </si>
  <si>
    <t>Secured bank loans (BYN) due 2018-2020</t>
  </si>
  <si>
    <t>Finance leases (EUR) due 2018-2031</t>
  </si>
  <si>
    <t>0-3.6%</t>
  </si>
  <si>
    <t>Finance leases (TL) due 2018-2020</t>
  </si>
  <si>
    <t>27.5%-27.7%</t>
  </si>
  <si>
    <t>Unsecured Bank Loans (USD) due 2018-2026</t>
  </si>
  <si>
    <t>Unsecured Bank Loans (EUR) due 2018-2026</t>
  </si>
  <si>
    <t>Euribor+1.0%-Euribor+2.2%</t>
  </si>
  <si>
    <t>Unsecured Bank Loans (TL) due 2018-2019</t>
  </si>
  <si>
    <t>Unsecured Bank Loans (UAH) due 2018</t>
  </si>
  <si>
    <t>14.5%-22.8%</t>
  </si>
  <si>
    <t>Unsecured Bank Loans (RMB) due 2018-2026</t>
  </si>
  <si>
    <t>Debt securities issued (USD) due 2018-2028</t>
  </si>
  <si>
    <t>Debt securities issued (TL) due 2018</t>
  </si>
  <si>
    <t>Rent Lease Obligations</t>
  </si>
  <si>
    <t>Market cap (as on 30 Sep 2018)</t>
  </si>
  <si>
    <t>Debt Breakdown by Business as at end-3Q18</t>
  </si>
  <si>
    <t>Liquidity Table as at end-3Q18</t>
  </si>
  <si>
    <t>Exchange rate as on 30-Sep-2018 (TRY/USD)</t>
  </si>
  <si>
    <t>Debt Maturity Profile USD and TRY (m) as at end-3Q18</t>
  </si>
  <si>
    <t>Amount outstaniding as on 30-Jun-2018</t>
  </si>
  <si>
    <t>Finance leases (USD) due 2018</t>
  </si>
  <si>
    <t>22.5%-33.7%</t>
  </si>
  <si>
    <t>Unsecured Bank Loans (USD) due 2018-2023</t>
  </si>
  <si>
    <t>Libor+2.0%-Libor+4.0%</t>
  </si>
  <si>
    <t>Euribor + 1.2% - Euribor + 3.4%</t>
  </si>
  <si>
    <t>12.6%-20.9%</t>
  </si>
  <si>
    <t>14.5%-17.3%</t>
  </si>
  <si>
    <t>Debt securities issued (USD) due 2018-2025</t>
  </si>
  <si>
    <t>Market cap (as on 30 June 2018)</t>
  </si>
  <si>
    <t>Debt Breakdown by Business as at end-2Q18</t>
  </si>
  <si>
    <t>Liquidity Table as at end-1Q18</t>
  </si>
  <si>
    <t>Exchange rate as on 31-Jun-2018 (TRY/USD)</t>
  </si>
  <si>
    <t>Debt Maturity Profile USD and TRY (m) as at end-1Q18</t>
  </si>
  <si>
    <t>Foreign Currency</t>
  </si>
  <si>
    <t>Local Currency</t>
  </si>
  <si>
    <t xml:space="preserve"> </t>
  </si>
  <si>
    <t>Amount outstaniding as on 31-March-2018</t>
  </si>
  <si>
    <t>11.1%-15.3%</t>
  </si>
  <si>
    <t>12.8%-17.0%</t>
  </si>
  <si>
    <t>Market cap (as on 31-March 2018)</t>
  </si>
  <si>
    <t>Liquidity Table as at end-2Q18</t>
  </si>
  <si>
    <t>Exchange rate as on 31-Mar-2018 (TRY/USD)</t>
  </si>
  <si>
    <t>Debt Maturity Profile USD and TRY (m) as at end-2Q18</t>
  </si>
  <si>
    <t>Turkcell</t>
  </si>
  <si>
    <t>Annual</t>
  </si>
  <si>
    <t>LTM</t>
  </si>
  <si>
    <t>Quarterly</t>
  </si>
  <si>
    <t>(TRY m )</t>
  </si>
  <si>
    <t>Act</t>
  </si>
  <si>
    <t>Proj</t>
  </si>
  <si>
    <t>FY</t>
  </si>
  <si>
    <t>Q1</t>
  </si>
  <si>
    <t>Q2</t>
  </si>
  <si>
    <t>Q3</t>
  </si>
  <si>
    <t>Q4</t>
  </si>
  <si>
    <t>INCOME STATEMENT</t>
  </si>
  <si>
    <t xml:space="preserve">    Consumer</t>
  </si>
  <si>
    <t xml:space="preserve">    Corporate</t>
  </si>
  <si>
    <t xml:space="preserve">    Other</t>
  </si>
  <si>
    <t>Turkcell International</t>
  </si>
  <si>
    <t>Techfin</t>
  </si>
  <si>
    <t>Total Revenues</t>
  </si>
  <si>
    <t xml:space="preserve">% y-o-y growth </t>
  </si>
  <si>
    <t>Direct cost of revenues</t>
  </si>
  <si>
    <t>Depreciation and amortization</t>
  </si>
  <si>
    <t>(700.5)</t>
  </si>
  <si>
    <t>Gross Profit</t>
  </si>
  <si>
    <t>Gross Profit margin</t>
  </si>
  <si>
    <t>Administrative expenses</t>
  </si>
  <si>
    <t>Selling &amp; marketing  expenses</t>
  </si>
  <si>
    <t>Net impairment losses on financial and contract assets`</t>
  </si>
  <si>
    <t>Other Operating Income / (Expense)</t>
  </si>
  <si>
    <t>Operating profit before financing costs/ EBIT</t>
  </si>
  <si>
    <t>Net financial income / (expense)</t>
  </si>
  <si>
    <t>Finance costs</t>
  </si>
  <si>
    <t>Finance income</t>
  </si>
  <si>
    <t>Share of profit of equity accounted investees</t>
  </si>
  <si>
    <t>Monetary gain/(loss)</t>
  </si>
  <si>
    <t>Income before tax and non-controlling interest</t>
  </si>
  <si>
    <t>Income tax expense</t>
  </si>
  <si>
    <t>Income from continuing operations before non-controlling interest</t>
  </si>
  <si>
    <t>Discontinued operations</t>
  </si>
  <si>
    <t>Non-controlling interests</t>
  </si>
  <si>
    <t xml:space="preserve">Net Income </t>
  </si>
  <si>
    <t>Net Income /share</t>
  </si>
  <si>
    <t>% of sales or stated otherwise</t>
  </si>
  <si>
    <t>Finance costs as a % of total debt</t>
  </si>
  <si>
    <t>Finance income as a % of cash &amp; cash equivalents</t>
  </si>
  <si>
    <t>Income tax expense as a % of Profit before tax</t>
  </si>
  <si>
    <t>capex/sales</t>
  </si>
  <si>
    <t>D/A/sales</t>
  </si>
  <si>
    <t xml:space="preserve">EBITDA </t>
  </si>
  <si>
    <t xml:space="preserve">Operating profit </t>
  </si>
  <si>
    <t>Depreciation &amp; amortisation</t>
  </si>
  <si>
    <t xml:space="preserve">% growth </t>
  </si>
  <si>
    <t>% margin</t>
  </si>
  <si>
    <t xml:space="preserve">Adj. EBITDA </t>
  </si>
  <si>
    <t>Rent Expense</t>
  </si>
  <si>
    <t>Adj. EBITDAR</t>
  </si>
  <si>
    <t>CASH FLOW</t>
  </si>
  <si>
    <t xml:space="preserve">Adjusted EBITDA </t>
  </si>
  <si>
    <t>Working Capital</t>
  </si>
  <si>
    <t>Taxes</t>
  </si>
  <si>
    <t>Cash interest paid</t>
  </si>
  <si>
    <t xml:space="preserve">Net cash from operations </t>
  </si>
  <si>
    <t>Gross Capex</t>
  </si>
  <si>
    <t>Net Payment for acquisition  of intangible assets</t>
  </si>
  <si>
    <t>Disposals/ Acquisition, of assets</t>
  </si>
  <si>
    <t>Deposits interest received</t>
  </si>
  <si>
    <t>Other investing activities</t>
  </si>
  <si>
    <t xml:space="preserve">Free cash flow </t>
  </si>
  <si>
    <t>Equity Issuance/Buyback</t>
  </si>
  <si>
    <t xml:space="preserve">Dividends received  / Dividends Paid </t>
  </si>
  <si>
    <t>Acquisition of bonds</t>
  </si>
  <si>
    <t>Change in debt /Finance Costs</t>
  </si>
  <si>
    <t>Other Finance</t>
  </si>
  <si>
    <t>Cash flow after financing activities</t>
  </si>
  <si>
    <t xml:space="preserve">FX </t>
  </si>
  <si>
    <t>Balancing figure</t>
  </si>
  <si>
    <t xml:space="preserve">Net change in cash </t>
  </si>
  <si>
    <t>Cash and cash equivalents</t>
  </si>
  <si>
    <t>Check 1</t>
  </si>
  <si>
    <t>Check 2</t>
  </si>
  <si>
    <t xml:space="preserve">LTM </t>
  </si>
  <si>
    <t>EBITDA</t>
  </si>
  <si>
    <t>Adjusted EBITDA</t>
  </si>
  <si>
    <t>Adjusted EBITDAR</t>
  </si>
  <si>
    <t>LTM Rent</t>
  </si>
  <si>
    <t>Net Income</t>
  </si>
  <si>
    <t>Capex</t>
  </si>
  <si>
    <t xml:space="preserve">BALANCE SHEET </t>
  </si>
  <si>
    <t>Tangible fixed assets</t>
  </si>
  <si>
    <t xml:space="preserve">Net pension liability </t>
  </si>
  <si>
    <t>Inventory</t>
  </si>
  <si>
    <t>Trade debtors/receivables</t>
  </si>
  <si>
    <t>Trade creditors /payables</t>
  </si>
  <si>
    <t>Net working capital</t>
  </si>
  <si>
    <t>% of revenues</t>
  </si>
  <si>
    <t>Inventory Days</t>
  </si>
  <si>
    <t>Receivable Days</t>
  </si>
  <si>
    <t>Payable Days</t>
  </si>
  <si>
    <t xml:space="preserve">Debt  Breakdown </t>
  </si>
  <si>
    <t>Secured Bank Loans</t>
  </si>
  <si>
    <t>Unsecured Bank Loans</t>
  </si>
  <si>
    <t>Debt securities</t>
  </si>
  <si>
    <t>Other debt</t>
  </si>
  <si>
    <t>Total Debt</t>
  </si>
  <si>
    <t>Total Debt including lease liabilities</t>
  </si>
  <si>
    <t>Cash and equivalents</t>
  </si>
  <si>
    <t>Short term debt (excl finance leases)</t>
  </si>
  <si>
    <t>Long term debt (excl finance leases)</t>
  </si>
  <si>
    <t xml:space="preserve">Gross total debt </t>
  </si>
  <si>
    <t>Finance Lease  Obligations</t>
  </si>
  <si>
    <t xml:space="preserve">Net debt including Finance leases </t>
  </si>
  <si>
    <t xml:space="preserve">Gross debt including Finance leases </t>
  </si>
  <si>
    <t>Net Debt including lease liabilities</t>
  </si>
  <si>
    <t>Gross Debt including lease liabilities</t>
  </si>
  <si>
    <t>Capitalized operating leases (rent*8)</t>
  </si>
  <si>
    <t>Net debt- including capitalized Operating leases</t>
  </si>
  <si>
    <t>Gross debt- including capitalized Operating leases</t>
  </si>
  <si>
    <t xml:space="preserve">Hard Currency FX debt </t>
  </si>
  <si>
    <t xml:space="preserve">LC debt </t>
  </si>
  <si>
    <t>Market Cap</t>
  </si>
  <si>
    <t>Equity (as reported on balance sheet)</t>
  </si>
  <si>
    <t>Total debt + Equity</t>
  </si>
  <si>
    <t>Net debt + Market Cap</t>
  </si>
  <si>
    <t>CREDIT RATIOS</t>
  </si>
  <si>
    <t>Total Net Leverage</t>
  </si>
  <si>
    <t xml:space="preserve">Total Gross Leverage </t>
  </si>
  <si>
    <t>Total Net Leverage- including finance leases</t>
  </si>
  <si>
    <t>Total Gross Leverage - including finance leases</t>
  </si>
  <si>
    <t>Total Net Leverage- including lease liabilities</t>
  </si>
  <si>
    <t>Total Gross Leverage - including lease liabilities</t>
  </si>
  <si>
    <t>Lease adjusted net leverage</t>
  </si>
  <si>
    <t>Lease adjusted gross leverage</t>
  </si>
  <si>
    <t>EBITDA - Capex / Interest</t>
  </si>
  <si>
    <t>EBITDA/Interest</t>
  </si>
  <si>
    <t xml:space="preserve">Gearing (Net debt / Equity) </t>
  </si>
  <si>
    <t>FX rate at the end of period - TRY/USD</t>
  </si>
  <si>
    <t>FX rate average - TRY/USD</t>
  </si>
  <si>
    <t>Summary Financials</t>
  </si>
  <si>
    <t>Revenues</t>
  </si>
  <si>
    <t>Ending cash balance</t>
  </si>
  <si>
    <t>Net Debt</t>
  </si>
  <si>
    <t>Gross Debt</t>
  </si>
  <si>
    <t>LTM Adjusted EBITDAR</t>
  </si>
  <si>
    <t>Key  Credit Metrics (TRY mn where applicable)</t>
  </si>
  <si>
    <t>Adjusted EBITDA margin</t>
  </si>
  <si>
    <t>Total Debt (including finance leases)</t>
  </si>
  <si>
    <t>Lease Adjusted Debt</t>
  </si>
  <si>
    <t>Net Debt (including finance leases)</t>
  </si>
  <si>
    <t>Net Lease Adjusted Debt</t>
  </si>
  <si>
    <t>Gross Leverage</t>
  </si>
  <si>
    <t xml:space="preserve">Net Leverage </t>
  </si>
  <si>
    <t>Gross lease adjusted Leverage</t>
  </si>
  <si>
    <t xml:space="preserve">Net lease adjusted  Leverage </t>
  </si>
  <si>
    <t>Key  Credit Metrics (USD mn where applicable)</t>
  </si>
  <si>
    <t>KPIs</t>
  </si>
  <si>
    <t>Number of total subscribers (million)</t>
  </si>
  <si>
    <t>Mobile postpaid subscribers (million)</t>
  </si>
  <si>
    <t xml:space="preserve">        Mobile M2M (million)</t>
  </si>
  <si>
    <t>Mobile prepaid subscribers (million)</t>
  </si>
  <si>
    <t>Fiber (thousand)</t>
  </si>
  <si>
    <t>1,156.5</t>
  </si>
  <si>
    <t>ADSL (thousand)</t>
  </si>
  <si>
    <r>
      <t>Superbox (thousand)</t>
    </r>
    <r>
      <rPr>
        <i/>
        <vertAlign val="superscript"/>
        <sz val="8"/>
        <color indexed="8"/>
        <rFont val="Calibri"/>
        <family val="2"/>
        <charset val="162"/>
      </rPr>
      <t>1</t>
    </r>
  </si>
  <si>
    <t>Cable (thousand)</t>
  </si>
  <si>
    <t>IPTV (thousand)</t>
  </si>
  <si>
    <t>Churn (%)</t>
  </si>
  <si>
    <r>
      <t>Mobile churn (%)</t>
    </r>
    <r>
      <rPr>
        <vertAlign val="superscript"/>
        <sz val="9"/>
        <color indexed="8"/>
        <rFont val="Calibri"/>
        <family val="2"/>
        <charset val="162"/>
      </rPr>
      <t>1</t>
    </r>
  </si>
  <si>
    <t>Fixed churn (%)</t>
  </si>
  <si>
    <t>ARPU (Average Monthly Revenue per User)</t>
  </si>
  <si>
    <r>
      <t xml:space="preserve">Mobile ARPU, </t>
    </r>
    <r>
      <rPr>
        <sz val="8"/>
        <color indexed="8"/>
        <rFont val="Calibri"/>
        <family val="2"/>
        <charset val="162"/>
      </rPr>
      <t>blended (TRY)</t>
    </r>
  </si>
  <si>
    <r>
      <t xml:space="preserve">Mobile ARPU, </t>
    </r>
    <r>
      <rPr>
        <sz val="8"/>
        <color indexed="8"/>
        <rFont val="Calibri"/>
        <family val="2"/>
        <charset val="162"/>
      </rPr>
      <t>blended (TRY) (excluding M2M)</t>
    </r>
  </si>
  <si>
    <t>Postpaid (TRY)</t>
  </si>
  <si>
    <r>
      <t xml:space="preserve">Postpaid </t>
    </r>
    <r>
      <rPr>
        <sz val="8"/>
        <color indexed="8"/>
        <rFont val="Calibri"/>
        <family val="2"/>
        <charset val="162"/>
      </rPr>
      <t>(excluding M2M)</t>
    </r>
  </si>
  <si>
    <t>Prepaid (TRY)</t>
  </si>
  <si>
    <r>
      <t xml:space="preserve">Fixed Residential ARPU, </t>
    </r>
    <r>
      <rPr>
        <sz val="8"/>
        <color indexed="8"/>
        <rFont val="Calibri"/>
        <family val="2"/>
        <charset val="162"/>
      </rPr>
      <t>blended (TRY)</t>
    </r>
  </si>
  <si>
    <r>
      <t>Residential Fiber ARPU</t>
    </r>
    <r>
      <rPr>
        <vertAlign val="superscript"/>
        <sz val="8"/>
        <color indexed="8"/>
        <rFont val="Calibri"/>
        <family val="2"/>
        <charset val="162"/>
      </rPr>
      <t>4</t>
    </r>
  </si>
  <si>
    <t>Average mobile data usage per user (GB/user)</t>
  </si>
  <si>
    <t>Mobile MOU (Average Monthly Minutes of usage per subscriber), blended</t>
  </si>
  <si>
    <t>Data</t>
  </si>
  <si>
    <r>
      <t>Turkcell Group Subscribers (million)</t>
    </r>
    <r>
      <rPr>
        <b/>
        <vertAlign val="superscript"/>
        <sz val="9"/>
        <color indexed="8"/>
        <rFont val="Calibri"/>
        <family val="2"/>
        <charset val="162"/>
      </rPr>
      <t>2</t>
    </r>
  </si>
  <si>
    <t xml:space="preserve">Ukraine </t>
  </si>
  <si>
    <r>
      <t>Belarus</t>
    </r>
    <r>
      <rPr>
        <vertAlign val="superscript"/>
        <sz val="10"/>
        <color indexed="8"/>
        <rFont val="Calibri"/>
        <family val="2"/>
        <charset val="162"/>
      </rPr>
      <t>3</t>
    </r>
  </si>
  <si>
    <t>n/a</t>
  </si>
  <si>
    <r>
      <t>Turkish Republic of Northern Cyprus</t>
    </r>
    <r>
      <rPr>
        <vertAlign val="superscript"/>
        <sz val="10"/>
        <color indexed="8"/>
        <rFont val="Calibri"/>
        <family val="2"/>
        <charset val="162"/>
      </rPr>
      <t>4</t>
    </r>
  </si>
  <si>
    <r>
      <t>Turkcell Europe</t>
    </r>
    <r>
      <rPr>
        <vertAlign val="superscript"/>
        <sz val="10"/>
        <color indexed="8"/>
        <rFont val="Calibri"/>
        <family val="2"/>
        <charset val="162"/>
      </rPr>
      <t>5</t>
    </r>
  </si>
  <si>
    <t>-</t>
  </si>
  <si>
    <t>TURKCELL GROUP</t>
  </si>
  <si>
    <t>Number of subscribers (million)*</t>
  </si>
  <si>
    <r>
      <t>Active (3 months)</t>
    </r>
    <r>
      <rPr>
        <vertAlign val="superscript"/>
        <sz val="10"/>
        <color indexed="8"/>
        <rFont val="Calibri"/>
        <family val="2"/>
        <charset val="162"/>
      </rPr>
      <t>1</t>
    </r>
  </si>
  <si>
    <t>Average Revenue per User(ARPU), blended UAH</t>
  </si>
  <si>
    <t>Active (3 months) (UAH)</t>
  </si>
  <si>
    <t>Revenue (million UAH)</t>
  </si>
  <si>
    <t>1.313.7</t>
  </si>
  <si>
    <r>
      <t>EBITDA</t>
    </r>
    <r>
      <rPr>
        <vertAlign val="superscript"/>
        <sz val="10"/>
        <color indexed="8"/>
        <rFont val="Calibri"/>
        <family val="2"/>
        <charset val="162"/>
      </rPr>
      <t>2</t>
    </r>
    <r>
      <rPr>
        <sz val="10"/>
        <color indexed="8"/>
        <rFont val="Calibri"/>
        <family val="2"/>
        <charset val="162"/>
      </rPr>
      <t>(million UAH)</t>
    </r>
  </si>
  <si>
    <t>EBITDA margin % (UAH)</t>
  </si>
  <si>
    <t> 59.7%</t>
  </si>
  <si>
    <t>Net Income/ Loss (million UAH)</t>
  </si>
  <si>
    <t>Capex (million UAH)</t>
  </si>
  <si>
    <t> 638.0</t>
  </si>
  <si>
    <t>Revenue (million TRY)</t>
  </si>
  <si>
    <r>
      <t>EBITDA</t>
    </r>
    <r>
      <rPr>
        <vertAlign val="superscript"/>
        <sz val="10"/>
        <color indexed="8"/>
        <rFont val="Calibri"/>
        <family val="2"/>
        <charset val="162"/>
      </rPr>
      <t>2</t>
    </r>
    <r>
      <rPr>
        <sz val="10"/>
        <color indexed="8"/>
        <rFont val="Calibri"/>
        <family val="2"/>
        <charset val="162"/>
      </rPr>
      <t>(million TRY)</t>
    </r>
  </si>
  <si>
    <t>EBITDA margin % (TRY)</t>
  </si>
  <si>
    <t>Net Income/ Loss (million TRY)</t>
  </si>
  <si>
    <t>GDP growth</t>
  </si>
  <si>
    <t>n.a</t>
  </si>
  <si>
    <t>Consumer price index</t>
  </si>
  <si>
    <t>2.1%</t>
  </si>
  <si>
    <t>4.3%</t>
  </si>
  <si>
    <t>TRY / US$ rate</t>
  </si>
  <si>
    <t>Closing rate</t>
  </si>
  <si>
    <t>Average rate</t>
  </si>
  <si>
    <t>EUR / TRY rate</t>
  </si>
  <si>
    <t>US$ / UAH rate</t>
  </si>
  <si>
    <t>US$ / BYN rate</t>
  </si>
  <si>
    <t>Capex and License</t>
  </si>
  <si>
    <t>(1,716.6)</t>
  </si>
  <si>
    <r>
      <t>Turkcell International</t>
    </r>
    <r>
      <rPr>
        <vertAlign val="superscript"/>
        <sz val="10"/>
        <color indexed="8"/>
        <rFont val="Calibri"/>
        <family val="2"/>
        <charset val="162"/>
      </rPr>
      <t>2</t>
    </r>
  </si>
  <si>
    <t>(82.8)</t>
  </si>
  <si>
    <r>
      <t>Other</t>
    </r>
    <r>
      <rPr>
        <vertAlign val="superscript"/>
        <sz val="10"/>
        <color indexed="8"/>
        <rFont val="Calibri"/>
        <family val="2"/>
        <charset val="162"/>
      </rPr>
      <t>3</t>
    </r>
  </si>
  <si>
    <t>(7.2)</t>
  </si>
  <si>
    <t>Capital expenditures (including non-operational items)</t>
  </si>
  <si>
    <t>Operational Capex</t>
  </si>
  <si>
    <t>License and Related Costs</t>
  </si>
  <si>
    <t>Non-operational Capex (Including IFRS15 &amp; IFRS16)</t>
  </si>
  <si>
    <t>Total Capex</t>
  </si>
  <si>
    <t>1Q26</t>
  </si>
  <si>
    <t>FX rate at the end of period - USD/TRY</t>
  </si>
  <si>
    <t>Average LTM - USD/TRY</t>
  </si>
  <si>
    <t>Amount outstanding as on 31-Mar-2026</t>
  </si>
  <si>
    <t>Leverage (TRY)</t>
  </si>
  <si>
    <t>Leverage (USD)</t>
  </si>
  <si>
    <t>Company Reported</t>
  </si>
  <si>
    <t>Lease liabilities EUR Fixed 2026-2034 2,9%-10,3%</t>
  </si>
  <si>
    <t>Lease liabilities TRY Fixed 2026-2070 7,5%-62,3%</t>
  </si>
  <si>
    <t>Lease liabilities USD Fixed 2026-2052 4%-11,6%</t>
  </si>
  <si>
    <t>Lease liabilities BYR Fixed 2026-2028 10,8%-20,0%</t>
  </si>
  <si>
    <t>Secured bank loans EUR Floating 2026-2038 EURIBOR+0,7%</t>
  </si>
  <si>
    <t>Secured bank loans USD Floating 2026-2028 SOFR + 0,6% -SOFR + 1,6%</t>
  </si>
  <si>
    <t>Secured bank loans USD Fixed 2026-2033 1,5% - 3,8%</t>
  </si>
  <si>
    <t>Secured bank loans CNY Fixed 2026-2034 4.0%</t>
  </si>
  <si>
    <t>Unsecured Bank Loans EUR Floating 2026-2030 Euribor+2%-Euribor+4,0%</t>
  </si>
  <si>
    <t>Unsecured Bank Loans EUR Fixed 2026 3.6%-4.2%</t>
  </si>
  <si>
    <t/>
  </si>
  <si>
    <t>Unsecured Bank Loans USD Floating 2026-2033 SOFR + 2% -SOFR + 2,2%</t>
  </si>
  <si>
    <t>Unsecured Bank Loans USD Fixed 2026 2.6%</t>
  </si>
  <si>
    <t>Unsecured Bank Loans TRY Floating 2026-2027 TLREF+2%</t>
  </si>
  <si>
    <t>Unsecured Bank Loans TRY Fixed 2026 35,5% - 45,5%</t>
  </si>
  <si>
    <t>Unsecured Bank Loans CNY Fixed 2026-2028 5,1% - 5,5%</t>
  </si>
  <si>
    <t>Debt securities issued TRY Fixed 2026 36,2%-41,0%</t>
  </si>
  <si>
    <t>Debt securities issued USD Fixed 2026-2032 5,8% - 7,7%</t>
  </si>
  <si>
    <t>Total debt securities issued</t>
  </si>
  <si>
    <t>check</t>
  </si>
  <si>
    <t>Liquidity Table as at end-1Q26</t>
  </si>
  <si>
    <t>Debt Maturity Profile USD and TRY (m) as at end-1Q26 (including leases)</t>
  </si>
  <si>
    <t>2032+</t>
  </si>
  <si>
    <t>FY25</t>
  </si>
  <si>
    <t>Amount outstanding as on 30-Dec-2025</t>
  </si>
  <si>
    <t>Secured bank loans EUR Floating 2026-2037 EURIBOR+0,7%</t>
  </si>
  <si>
    <t>Unsecured Bank Loans EUR Fixed 2026 3.6%-3.95%</t>
  </si>
  <si>
    <t>Unsecured Bank Loans USD Floating 2026-2032 SOFR + 2% -SOFR + 2,2%</t>
  </si>
  <si>
    <t>Unsecured Bank Loans USD Fixed 2026 2.5%</t>
  </si>
  <si>
    <t>Unsecured Bank Loans TRY Fixed 2026 36,25% - 45,5%</t>
  </si>
  <si>
    <t>Debt securities issued TRY Fixed 2026 37%-39,25%</t>
  </si>
  <si>
    <t>Liquidity Table as at end-FY25</t>
  </si>
  <si>
    <t>Debt Maturity Profile USD and TRY (m) as at end-FY25</t>
  </si>
  <si>
    <t>Carrying
Amount</t>
  </si>
  <si>
    <t>Contractual
cash flows</t>
  </si>
  <si>
    <t>Less than 1 year</t>
  </si>
  <si>
    <t>1 -2 years</t>
  </si>
  <si>
    <t>2 - 5 years</t>
  </si>
  <si>
    <t>More than 5 years</t>
  </si>
  <si>
    <t>Secured bank loans</t>
  </si>
  <si>
    <t>Unsecured bank loans</t>
  </si>
  <si>
    <t>Debt securities issued</t>
  </si>
  <si>
    <t>3Q25</t>
  </si>
  <si>
    <t>Amount outstanding as on 30-Sep-2025</t>
  </si>
  <si>
    <t>Lease liabilities TRY Fixed 2025-2070 7.5%-62.3%</t>
  </si>
  <si>
    <t>Lease liabilities EUR Fixed 2025-2034 2.9%-10.3%</t>
  </si>
  <si>
    <t>Lease liabilities BYN Fixed 2025-2028 10.8%-20.0%</t>
  </si>
  <si>
    <t>Lease liabilities USD Fixed 2025-2052 4.0%-11.6%</t>
  </si>
  <si>
    <t>Secured bank loans USD Fixed 2025-2033 1.5% - 3.8%</t>
  </si>
  <si>
    <t>Secured bank loans USD Floating 2025-2028 SOFR + 0.6% -SOFR + 1.6%</t>
  </si>
  <si>
    <t>Secured bank loans EUR Floating 2025-2037 EURIBOR+0.7%</t>
  </si>
  <si>
    <t>Secured bank loans CNY Fixed 2025-2034 4.0%</t>
  </si>
  <si>
    <t>Unsecured Bank Loans EUR Floating 2025-2030 Euribor+2.0%-Euribor+4.0%</t>
  </si>
  <si>
    <t>Unsecured Bank Loans TRY Fixed 2025-2026 38.8% - 45.5%</t>
  </si>
  <si>
    <t>Unsecured Bank Loans USD Floating 2025-2030 SOFR + 2.0% -SOFR + 2.2%</t>
  </si>
  <si>
    <t>Unsecured Bank Loans CNY Fixed 2025-2034 5.1% - 5.5%</t>
  </si>
  <si>
    <t>Unsecured Bank Loans EUR Fixed 2025 5.0%</t>
  </si>
  <si>
    <t>Unsecured Bank Loans USD Fixed 2025-2026 2.5%</t>
  </si>
  <si>
    <t>Unsecured Bank Loans TRY Floating 2025-2027 TLREF+2.0%</t>
  </si>
  <si>
    <t>Debt securities issued USD Fixed 2025-2031 5.8% - 7.7%</t>
  </si>
  <si>
    <t>Debt securities issued TRY Fixed 2025 39.0%-41.5%</t>
  </si>
  <si>
    <t>Liquidity Table as at end-3Q25</t>
  </si>
  <si>
    <t>Debt Maturity Profile USD and TRY (m) as at end-3Q25</t>
  </si>
  <si>
    <t>2031+</t>
  </si>
  <si>
    <t>2Q25</t>
  </si>
  <si>
    <t>Amount outstanding as on 30-Jun-2025</t>
  </si>
  <si>
    <t>Lease liabilities TRY  due 2025-2069</t>
  </si>
  <si>
    <t>7.5%-62.3%</t>
  </si>
  <si>
    <t>Lease liabilities GBP  due 2025</t>
  </si>
  <si>
    <t>2.7%-5.9%</t>
  </si>
  <si>
    <t>Lease liabilities BYR due 2025-2037</t>
  </si>
  <si>
    <t>Lease liabilities EUR due 2025-2034</t>
  </si>
  <si>
    <t>2.9%-10.3%</t>
  </si>
  <si>
    <t>Lease liabilities USD due 2025-2037</t>
  </si>
  <si>
    <t>4 %-11.6%</t>
  </si>
  <si>
    <t>Secured bank loans 2024-2033</t>
  </si>
  <si>
    <t>Secured bank loans 2024-2028</t>
  </si>
  <si>
    <t>Sofr+0.6% &amp; Sofr+1.6%</t>
  </si>
  <si>
    <t>Secured bank loans 2036</t>
  </si>
  <si>
    <t>Euribor+0.7%</t>
  </si>
  <si>
    <t>Secured bank loans 2034</t>
  </si>
  <si>
    <t>Unsecured Bank Loans (EUR) due 2025-2030</t>
  </si>
  <si>
    <t>Euribor+2.0%-Euribor+4.0%</t>
  </si>
  <si>
    <t>Unsecured Bank Loans (TRY) due 2025-2027</t>
  </si>
  <si>
    <t>40.5% - 53.0%</t>
  </si>
  <si>
    <t>TLREF+2.0%</t>
  </si>
  <si>
    <t>Unsecured Bank Loans (USD) due 2025-2030</t>
  </si>
  <si>
    <t>Sofr+ 2%-Sofr+ 2.2%</t>
  </si>
  <si>
    <t>Unsecured Bank Loans (RMB) due 2025-2028</t>
  </si>
  <si>
    <t>Unsecured bank loans (USD) 2025</t>
  </si>
  <si>
    <t>Unsecured Bank Loans (USD) due 2025-2026</t>
  </si>
  <si>
    <t>Issued debt instruments 2025-2031</t>
  </si>
  <si>
    <t>5.8%-7.7%</t>
  </si>
  <si>
    <t>Issued debt instruments 2025</t>
  </si>
  <si>
    <t>39.5%-46.0%</t>
  </si>
  <si>
    <t>Liquidity Table as at end-2Q25</t>
  </si>
  <si>
    <t>Exchange rate as on 30-Jun-2025 (TRY/USD)</t>
  </si>
  <si>
    <t>Debt Maturity Profile USD and TRY (m) as at end-2Q25</t>
  </si>
  <si>
    <t>1Q25</t>
  </si>
  <si>
    <t>Amount outstanding as on 31-Mar-2025</t>
  </si>
  <si>
    <t>28.8%-56.4%</t>
  </si>
  <si>
    <t>Unsecured Bank Loans (USD) due 2026-2029</t>
  </si>
  <si>
    <t>Unsecured Bank Loans (CNY) due 2026-2028</t>
  </si>
  <si>
    <t>Unsecured Bank Loans (EUR) due 2025</t>
  </si>
  <si>
    <t>Unsecured bank loans (USD) 2026</t>
  </si>
  <si>
    <t>Liquidity Table as at end-1Q25</t>
  </si>
  <si>
    <t>Exchange rate as on 31-Mar-2025 (TRY/USD)</t>
  </si>
  <si>
    <t>Debt Maturity Profile USD and TRY (m) as at end-1Q25</t>
  </si>
  <si>
    <t>3Q24</t>
  </si>
  <si>
    <t>Amount outstanding as on 30-Sept-2024</t>
  </si>
  <si>
    <t>Lease liabilities TRY  due 2024-2057</t>
  </si>
  <si>
    <t>9.8%-62.3%</t>
  </si>
  <si>
    <t>Lease liabilities BYN due 2024-2037</t>
  </si>
  <si>
    <t>Lease liabilities EUR due 2024-2034</t>
  </si>
  <si>
    <t>Lease liabilities USD due 2024-2052</t>
  </si>
  <si>
    <t>Unsecured Bank Loans (EUR) due 2024-2030</t>
  </si>
  <si>
    <t>Unsecured Bank Loans (TRY) due 2024-2027</t>
  </si>
  <si>
    <t>29.0%-66.0%</t>
  </si>
  <si>
    <t>Unsecured Bank Loans (USD) due 2024-2026</t>
  </si>
  <si>
    <t>Unsecured Bank Loans (CNY) due 2024-2028</t>
  </si>
  <si>
    <t>Unsecured Bank Loans (EUR) due 2024</t>
  </si>
  <si>
    <t>Unsecured bank loans (USD) 2024-2026</t>
  </si>
  <si>
    <t>Unsecured bank loans (BYN) 2024</t>
  </si>
  <si>
    <t>Issued debt instruments 2024-2028</t>
  </si>
  <si>
    <t>Issued debt instruments 2024</t>
  </si>
  <si>
    <t>46.0%-52.0%</t>
  </si>
  <si>
    <t>Issued debt instruments 2024-2036</t>
  </si>
  <si>
    <t>Euribor+0,7%</t>
  </si>
  <si>
    <t>TLREF+0,7%</t>
  </si>
  <si>
    <t>Liquidity Table as at end-3Q24</t>
  </si>
  <si>
    <t>Exchange rate as on 30-Sept-2024 (TRY/USD)</t>
  </si>
  <si>
    <t>Debt Maturity Profile USD and TRY (m) as at end-3Q24</t>
  </si>
  <si>
    <t>2028+</t>
  </si>
  <si>
    <t>2Q24</t>
  </si>
  <si>
    <t>Amount outstanding as on 30-Jun-2024</t>
  </si>
  <si>
    <t>Unsecured Bank Loans (TRY) due 2024-2025</t>
  </si>
  <si>
    <t>21.0%-62.1%</t>
  </si>
  <si>
    <t>Unsecured Bank Loans (USD) due 2024-2028</t>
  </si>
  <si>
    <t>47.0%-54.5%</t>
  </si>
  <si>
    <t>Liquidity Table as at end-2Q24</t>
  </si>
  <si>
    <t>Exchange rate as on 30-Jun-2024 (TRY/USD)</t>
  </si>
  <si>
    <t>Debt Maturity Profile USD and TRY (m) as at end-2Q24</t>
  </si>
  <si>
    <t>1Q24</t>
  </si>
  <si>
    <t>Amount outstanding as on 31-Mar-2024</t>
  </si>
  <si>
    <t>Unsecured Bank Loans (TL) due 2024-2025</t>
  </si>
  <si>
    <t>11.5%-58.9%</t>
  </si>
  <si>
    <t>Unsecured Bank Loans (UAH) due 2024-2028</t>
  </si>
  <si>
    <t>Unsecured bank loans (BYR) 2024</t>
  </si>
  <si>
    <t>43.5%-47.0%</t>
  </si>
  <si>
    <t>Liquidity Table as at end-1Q24</t>
  </si>
  <si>
    <t>Exchange rate as on 31-Mar-2024 (TRY/USD)</t>
  </si>
  <si>
    <t>Debt Maturity Profile USD and TRY (m) as at end-1Q24</t>
  </si>
  <si>
    <t>FY23</t>
  </si>
  <si>
    <t>Amount outstanding as on 31-Dec-2023</t>
  </si>
  <si>
    <t>Lease liabilities BYN due 2024-2052</t>
  </si>
  <si>
    <t>Unsecured Bank Loans (EUR) due 2024-2028</t>
  </si>
  <si>
    <t>29.5%-45.0%</t>
  </si>
  <si>
    <t>Liquidity Table as at end-FY23</t>
  </si>
  <si>
    <t>Exchange rate as on 31-Dec-2023 (TRY/USD)</t>
  </si>
  <si>
    <t>Debt Maturity Profile USD and TRY (m) as at end-FY23</t>
  </si>
  <si>
    <t>9M</t>
  </si>
  <si>
    <t>Restated</t>
  </si>
  <si>
    <t>Total cost of revenues</t>
  </si>
  <si>
    <t>Other income</t>
  </si>
  <si>
    <t>Other expenses</t>
  </si>
  <si>
    <t>Net Income /share (Continuing operations)</t>
  </si>
  <si>
    <t>Net Income /share (Discontinued operations)</t>
  </si>
  <si>
    <t>na</t>
  </si>
  <si>
    <t>Acquisition/Repayments of bonds</t>
  </si>
  <si>
    <t>Net debt excluding lease liabilities</t>
  </si>
  <si>
    <t>Gross total debt excluding lease liabilities</t>
  </si>
  <si>
    <t>FX rate average - USD/ TRY</t>
  </si>
  <si>
    <t>US$ / TRY rat</t>
  </si>
  <si>
    <t>Revenue Breakdown</t>
  </si>
  <si>
    <t>Turkcell Türkiye</t>
  </si>
  <si>
    <t>Consumer Revenues</t>
  </si>
  <si>
    <t>Corporate Revenues</t>
  </si>
  <si>
    <t>Wholesale</t>
  </si>
  <si>
    <t>BeST</t>
  </si>
  <si>
    <t>Kuzey Kıbrıs Turkcell</t>
  </si>
  <si>
    <t>Techfin Business</t>
  </si>
  <si>
    <t>Finance Business - Financell3</t>
  </si>
  <si>
    <t>Paycell</t>
  </si>
  <si>
    <t>Other Segment</t>
  </si>
  <si>
    <t>Turkcell Satış Other5</t>
  </si>
  <si>
    <t>Turkcell Enerji (non-group)6</t>
  </si>
  <si>
    <t>Other7</t>
  </si>
  <si>
    <t>Consolidated Revenues</t>
  </si>
  <si>
    <t>Revenues from Focus Strategic Areas</t>
  </si>
  <si>
    <t>Standalone Digital Revenues</t>
  </si>
  <si>
    <t>Digital Business Solutions Revenues</t>
  </si>
  <si>
    <t xml:space="preserve">EBITDA Breakdown </t>
  </si>
  <si>
    <t>Consolidated EBITDA</t>
  </si>
  <si>
    <t>Consolidated profit before minority interest</t>
  </si>
  <si>
    <t>Profit /(loss) from discontinued operations</t>
  </si>
  <si>
    <t>Consolidated profit before income tax &amp; minority interest</t>
  </si>
  <si>
    <t xml:space="preserve">Monetary gain / (loss) </t>
  </si>
  <si>
    <t xml:space="preserve">Other income / (expenses) </t>
  </si>
  <si>
    <t>EBIT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</si>
</sst>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5">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0.0_);\(#,##0.0\)"/>
    <numFmt numFmtId="166" formatCode="#0.0%_);\(#0.0%\)"/>
    <numFmt numFmtId="167" formatCode="#0.00\x"/>
    <numFmt numFmtId="168" formatCode="mmm\ yyyy"/>
    <numFmt numFmtId="169" formatCode="0.0%"/>
    <numFmt numFmtId="170" formatCode="_(* #,##0.0_);_(* \(#,##0.0\);_(* &quot;-&quot;??_);_(@_)"/>
    <numFmt numFmtId="171" formatCode="_(* #,##0.000_);_(* \(#,##0.000\);_(* &quot;-&quot;??_);_(@_)"/>
    <numFmt numFmtId="172" formatCode="_(* #,##0_);_(* \(#,##0\);_(* &quot;-&quot;??_);_(@_)"/>
    <numFmt numFmtId="173" formatCode="#,##0.0\ ;\(#,##0.0\)"/>
    <numFmt numFmtId="174" formatCode="&quot;$&quot;#,##0.00_)&quot;per share&quot;;\(&quot;$&quot;#,##0.00\)&quot; per share&quot;"/>
    <numFmt numFmtId="175" formatCode="0.0_)\%;\(0.0\)\%;0.0_)\%;@_)_%"/>
    <numFmt numFmtId="176" formatCode="#,##0.0_)_%;\(#,##0.0\)_%;0.0_)_%;@_)_%"/>
    <numFmt numFmtId="177" formatCode="#,##0.0_);\(#,##0.0\);#,##0.0_);@_)"/>
    <numFmt numFmtId="178" formatCode="&quot;$&quot;_(#,##0.00_);&quot;$&quot;\(#,##0.00\);&quot;$&quot;_(0.00_);@_)"/>
    <numFmt numFmtId="179" formatCode="&quot;$&quot;_(#,##0.00_);&quot;$&quot;\(#,##0.00\)"/>
    <numFmt numFmtId="180" formatCode="#,##0.00_);\(#,##0.00\);0.00_);@_)"/>
    <numFmt numFmtId="181" formatCode="\€_(#,##0.00_);\€\(#,##0.00\);\€_(0.00_);@_)"/>
    <numFmt numFmtId="182" formatCode="#,##0_)\x;\(#,##0\)\x;0_)\x;@_)_x"/>
    <numFmt numFmtId="183" formatCode="#,##0.0_)\x;\(#,##0.0\)\x"/>
    <numFmt numFmtId="184" formatCode="#,##0_)_x;\(#,##0\)_x;0_)_x;@_)_x"/>
    <numFmt numFmtId="185" formatCode="#,##0.0_)_x;\(#,##0.0\)_x"/>
    <numFmt numFmtId="186" formatCode="0.0_)\%;\(0.0\)\%"/>
    <numFmt numFmtId="187" formatCode="#,##0.0_)_%;\(#,##0.0\)_%"/>
    <numFmt numFmtId="188" formatCode="_(\£* #,##0_);_(\£* \(#,##0\);_(\£* &quot;-&quot;_);_(@_)"/>
    <numFmt numFmtId="189" formatCode="_(\£* #,##0.0_);_(\£* \(#,##0.0\);_(\£* &quot;-&quot;_);_(@_)"/>
    <numFmt numFmtId="190" formatCode="_(\£* #,##0.00_);_(\£* \(#,##0.00\);_(\£* &quot;-&quot;_);_(@_)"/>
    <numFmt numFmtId="191" formatCode="_(* #,##0\p_);_(* \(#,##0\p\);_(* &quot;-&quot;\ \p_);_(@_)"/>
    <numFmt numFmtId="192" formatCode="_(* #,##0.00\p_);_(* \(#,##0.00\p\);_(* &quot;-&quot;\ \p_);_(@_)"/>
    <numFmt numFmtId="193" formatCode="\£#,##0.00"/>
    <numFmt numFmtId="194" formatCode="&quot;$&quot;&quot; &quot;#,##0_);\(&quot;$&quot;&quot; &quot;#,##0\);\-_)"/>
    <numFmt numFmtId="195" formatCode="#,##0_);\(#,##0\);\-_)"/>
    <numFmt numFmtId="196" formatCode="&quot;$&quot;#,##0_);[Red]\(&quot;$&quot;#,##0\);&quot;-&quot;"/>
    <numFmt numFmtId="197" formatCode="[Blue]0.0%;[Blue]\-0.0%"/>
    <numFmt numFmtId="198" formatCode="\£#,##0_);\(\£#,##0\)"/>
    <numFmt numFmtId="199" formatCode="&quot;fl&quot;#,##0_);\(&quot;fl&quot;#,##0\)"/>
    <numFmt numFmtId="200" formatCode="&quot;$&quot;\ #,##0_);\(&quot;$&quot;\ #,##0\)"/>
    <numFmt numFmtId="201" formatCode="_(&quot;R$&quot;* #,##0.00_);_(&quot;R$&quot;* \(#,##0.00\);_(&quot;R$&quot;* &quot;-&quot;??_);_(@_)"/>
    <numFmt numFmtId="202" formatCode="0.0\x;[Red]\(0.0\x\)"/>
    <numFmt numFmtId="203" formatCode="#,##0.0_);\(#,##0.0\);&quot;—&quot;_)"/>
    <numFmt numFmtId="204" formatCode="&quot;$&quot;#,##0.0_);\(&quot;$&quot;#,##0.0\);&quot;—&quot;_)"/>
    <numFmt numFmtId="205" formatCode="0.000000000%"/>
    <numFmt numFmtId="206" formatCode="#,##0.0000"/>
    <numFmt numFmtId="207" formatCode="mm/dd/yy"/>
    <numFmt numFmtId="208" formatCode="&quot;$&quot;#,##0.00"/>
    <numFmt numFmtId="209" formatCode="_([$€-2]* #,##0.00_);_([$€-2]* \(#,##0.00\);_([$€-2]* &quot;-&quot;??_)"/>
    <numFmt numFmtId="210" formatCode="#&quot; mon&quot;"/>
    <numFmt numFmtId="211" formatCode="#,##0\ &quot;F&quot;;[Red]\-#,##0\ &quot;F&quot;"/>
    <numFmt numFmtId="212" formatCode="#,##0.00\ &quot;F&quot;;[Red]\-#,##0.00\ &quot;F&quot;"/>
    <numFmt numFmtId="213" formatCode="#,##0.0\x_)_);\(#,##0.0\x\)_);#,##0.0\x_)_);@_%_)"/>
    <numFmt numFmtId="214" formatCode="_(* #,##0.00\ ___);_(* \(#,##0.00\ __\);_(* &quot;-&quot;??_);_(@_)"/>
    <numFmt numFmtId="215" formatCode="0%\);[Red]\(0%"/>
    <numFmt numFmtId="216" formatCode="_(* #,##0\ ___);_(* \(#,##0\ __\);_(* &quot;-&quot;??_);_(@_)"/>
    <numFmt numFmtId="217" formatCode="_(* #,##0\ \x_);_(* \(#,##0\ \x\);_(* &quot;-&quot;??_);_(@_)"/>
    <numFmt numFmtId="218" formatCode="0%_);[Red]\(0%\)"/>
    <numFmt numFmtId="219" formatCode="_(* #,##0.0\ ___);_(* \(#,##0.0\ __\);_(* &quot;-&quot;??_);_(@_)"/>
    <numFmt numFmtId="220" formatCode="_(* #,##0.0\ \x_);_(* \(#,##0.0\ \x\);_(* &quot;-&quot;??_);_(@_)"/>
    <numFmt numFmtId="221" formatCode="#,##0&quot; F&quot;_);\(#,##0&quot; F&quot;\)"/>
    <numFmt numFmtId="222" formatCode="_(* #,##0.00_);_(* \(\ #,##0.00\ \);_(* &quot;&quot;??_);_(\ @_ \)"/>
    <numFmt numFmtId="223" formatCode="0.00_)"/>
    <numFmt numFmtId="224" formatCode="_(* #,##0.0_);_(* \(#,##0.0\);_(* &quot;-&quot;?_);_(@_)"/>
    <numFmt numFmtId="225" formatCode="0.00%\ &quot;Ramped&quot;\ "/>
    <numFmt numFmtId="226" formatCode="0.00%\ &quot;Ramped&quot;"/>
    <numFmt numFmtId="227" formatCode="0.0000"/>
    <numFmt numFmtId="228" formatCode="0.000"/>
    <numFmt numFmtId="229" formatCode="&quot;Diversity =&quot;\ #.0"/>
    <numFmt numFmtId="230" formatCode="&quot;Ratings Factor =&quot;\ #"/>
    <numFmt numFmtId="231" formatCode="&quot;Page &quot;0"/>
    <numFmt numFmtId="232" formatCode="&quot;\&quot;#,##0.00;[Red]\-&quot;\&quot;#,##0.00"/>
    <numFmt numFmtId="233" formatCode="0.0_%"/>
    <numFmt numFmtId="234" formatCode="_(0.0%;_(* \(0.0\)%"/>
    <numFmt numFmtId="235" formatCode="_(* #,##0.0000_);_(* \(#,##0.0000\);_(* &quot;-&quot;??_);_(@_)"/>
    <numFmt numFmtId="236" formatCode="0&quot; bps&quot;"/>
    <numFmt numFmtId="237" formatCode="&quot;WAS =&quot;\ #.00"/>
    <numFmt numFmtId="238" formatCode="&quot;Avg. Px.=&quot;#.00"/>
    <numFmt numFmtId="239" formatCode="&quot;WAL=&quot;#.00"/>
    <numFmt numFmtId="240" formatCode="#.00\ &quot;years&quot;"/>
    <numFmt numFmtId="241" formatCode="&quot;2nd Lien=&quot;#"/>
    <numFmt numFmtId="242" formatCode="&quot;WAPP=&quot;#.00"/>
    <numFmt numFmtId="243" formatCode="&quot;WAS=&quot;#.00"/>
    <numFmt numFmtId="244" formatCode="&quot;WAC=&quot;#.00"/>
    <numFmt numFmtId="245" formatCode="&quot;$&quot;#,##0.0_);\(&quot;$&quot;#,##0.0\)"/>
    <numFmt numFmtId="246" formatCode="#,###,;\(#,###,\)"/>
    <numFmt numFmtId="247" formatCode="000\-00\-0000"/>
    <numFmt numFmtId="248" formatCode="&quot;$&quot;#,##0.0000"/>
    <numFmt numFmtId="249" formatCode="&quot;$&quot;#,##0.000000"/>
    <numFmt numFmtId="250" formatCode="&quot;$&quot;#,##0.000"/>
    <numFmt numFmtId="251" formatCode="000000000"/>
    <numFmt numFmtId="252" formatCode="000"/>
    <numFmt numFmtId="253" formatCode="hh:mm\ AM/PM_)"/>
    <numFmt numFmtId="254" formatCode="#.0&quot;x&quot;"/>
    <numFmt numFmtId="255" formatCode="yyyy"/>
    <numFmt numFmtId="256" formatCode="\¥#,##0_);\(\¥#,##0\)"/>
    <numFmt numFmtId="257" formatCode="#0.0\x"/>
    <numFmt numFmtId="258" formatCode="0.0\x"/>
    <numFmt numFmtId="259" formatCode="0.0"/>
    <numFmt numFmtId="260" formatCode="#,##0.000"/>
    <numFmt numFmtId="261" formatCode="#,##0.00000_);\(#,##0.00000\)"/>
    <numFmt numFmtId="262" formatCode="#,##0.000_);\(#,##0.000\)"/>
    <numFmt numFmtId="263" formatCode="_-* #,##0.00\ _T_L_-;\-* #,##0.00\ _T_L_-;_-* &quot;-&quot;??\ _T_L_-;_-@_-"/>
    <numFmt numFmtId="264" formatCode="#,##0.0"/>
    <numFmt numFmtId="265" formatCode="#,##0.0;\(#,##0.0\)"/>
    <numFmt numFmtId="266" formatCode="#,##0.000;\(#,##0.000\)"/>
    <numFmt numFmtId="267" formatCode="#,##0.0000;\(#,##0.0000\)"/>
    <numFmt numFmtId="268" formatCode="0.0000\x"/>
    <numFmt numFmtId="269" formatCode="0.00000\x"/>
    <numFmt numFmtId="270" formatCode="0.00\x"/>
  </numFmts>
  <fonts count="171">
    <font>
      <sz val="10"/>
      <name val="Arial"/>
      <family val="2"/>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sz val="9"/>
      <color indexed="81"/>
      <name val="Tahoma"/>
      <family val="2"/>
    </font>
    <font>
      <b/>
      <sz val="9"/>
      <color indexed="81"/>
      <name val="Tahoma"/>
      <family val="2"/>
    </font>
    <font>
      <b/>
      <sz val="11"/>
      <color indexed="9"/>
      <name val="Calibri"/>
      <family val="2"/>
    </font>
    <font>
      <sz val="11"/>
      <color indexed="8"/>
      <name val="Calibri"/>
      <family val="2"/>
    </font>
    <font>
      <sz val="10"/>
      <name val="Calibri"/>
      <family val="2"/>
    </font>
    <font>
      <b/>
      <sz val="10"/>
      <color indexed="9"/>
      <name val="Calibri"/>
      <family val="2"/>
    </font>
    <font>
      <b/>
      <sz val="10"/>
      <color indexed="12"/>
      <name val="Calibri"/>
      <family val="2"/>
    </font>
    <font>
      <sz val="10"/>
      <color indexed="12"/>
      <name val="Calibri"/>
      <family val="2"/>
    </font>
    <font>
      <b/>
      <sz val="10"/>
      <name val="Calibri"/>
      <family val="2"/>
    </font>
    <font>
      <b/>
      <u/>
      <sz val="16"/>
      <name val="Calibri"/>
      <family val="2"/>
    </font>
    <font>
      <b/>
      <sz val="10"/>
      <color indexed="10"/>
      <name val="Calibri"/>
      <family val="2"/>
    </font>
    <font>
      <i/>
      <sz val="10"/>
      <name val="Calibri"/>
      <family val="2"/>
    </font>
    <font>
      <i/>
      <sz val="10"/>
      <color indexed="8"/>
      <name val="Calibri"/>
      <family val="2"/>
    </font>
    <font>
      <sz val="10"/>
      <color indexed="10"/>
      <name val="Calibri"/>
      <family val="2"/>
    </font>
    <font>
      <b/>
      <sz val="10"/>
      <color indexed="8"/>
      <name val="Calibri"/>
      <family val="2"/>
    </font>
    <font>
      <i/>
      <sz val="10"/>
      <color indexed="10"/>
      <name val="Calibri"/>
      <family val="2"/>
    </font>
    <font>
      <i/>
      <sz val="10"/>
      <color indexed="12"/>
      <name val="Calibri"/>
      <family val="2"/>
    </font>
    <font>
      <b/>
      <i/>
      <sz val="10"/>
      <color indexed="10"/>
      <name val="Calibri"/>
      <family val="2"/>
    </font>
    <font>
      <sz val="11"/>
      <color indexed="56"/>
      <name val="Calibri"/>
      <family val="2"/>
    </font>
    <font>
      <sz val="11"/>
      <color indexed="56"/>
      <name val="Calibri"/>
      <family val="2"/>
      <charset val="162"/>
    </font>
    <font>
      <sz val="11"/>
      <color indexed="8"/>
      <name val="Calibri"/>
      <family val="2"/>
      <charset val="162"/>
    </font>
    <font>
      <sz val="10"/>
      <color indexed="8"/>
      <name val="Times New Roman"/>
      <family val="1"/>
      <charset val="162"/>
    </font>
    <font>
      <b/>
      <sz val="10"/>
      <color indexed="8"/>
      <name val="Calibri"/>
      <family val="2"/>
      <charset val="162"/>
    </font>
    <font>
      <sz val="10"/>
      <color indexed="8"/>
      <name val="Calibri"/>
      <family val="2"/>
      <charset val="162"/>
    </font>
    <font>
      <vertAlign val="superscript"/>
      <sz val="10"/>
      <color indexed="8"/>
      <name val="Calibri"/>
      <family val="2"/>
      <charset val="162"/>
    </font>
    <font>
      <sz val="9"/>
      <color indexed="8"/>
      <name val="Franklin Gothic Book"/>
      <family val="2"/>
      <charset val="162"/>
    </font>
    <font>
      <sz val="10"/>
      <name val="Arial"/>
      <family val="2"/>
      <charset val="162"/>
    </font>
    <font>
      <b/>
      <vertAlign val="superscript"/>
      <sz val="9"/>
      <color indexed="8"/>
      <name val="Calibri"/>
      <family val="2"/>
      <charset val="162"/>
    </font>
    <font>
      <vertAlign val="superscript"/>
      <sz val="9"/>
      <color indexed="8"/>
      <name val="Calibri"/>
      <family val="2"/>
      <charset val="162"/>
    </font>
    <font>
      <sz val="8"/>
      <color indexed="8"/>
      <name val="Calibri"/>
      <family val="2"/>
      <charset val="162"/>
    </font>
    <font>
      <sz val="10"/>
      <color indexed="8"/>
      <name val="Calibri"/>
      <family val="2"/>
    </font>
    <font>
      <i/>
      <vertAlign val="superscript"/>
      <sz val="8"/>
      <color indexed="8"/>
      <name val="Calibri"/>
      <family val="2"/>
      <charset val="162"/>
    </font>
    <font>
      <vertAlign val="superscript"/>
      <sz val="8"/>
      <color indexed="8"/>
      <name val="Calibri"/>
      <family val="2"/>
      <charset val="162"/>
    </font>
    <font>
      <i/>
      <sz val="8"/>
      <color indexed="10"/>
      <name val="Calibri"/>
      <family val="2"/>
    </font>
    <font>
      <sz val="9"/>
      <color indexed="81"/>
      <name val="Tahoma"/>
      <charset val="1"/>
    </font>
    <font>
      <b/>
      <sz val="9"/>
      <color indexed="81"/>
      <name val="Tahoma"/>
      <charset val="1"/>
    </font>
    <font>
      <sz val="10"/>
      <name val="Calibri"/>
      <family val="2"/>
      <charset val="162"/>
    </font>
    <font>
      <sz val="8"/>
      <name val="Calibri"/>
      <family val="2"/>
    </font>
    <font>
      <sz val="11"/>
      <color theme="1"/>
      <name val="Calibri"/>
      <family val="2"/>
      <scheme val="minor"/>
    </font>
    <font>
      <sz val="11"/>
      <color theme="1"/>
      <name val="Calibri"/>
      <family val="2"/>
      <charset val="162"/>
      <scheme val="minor"/>
    </font>
    <font>
      <u/>
      <sz val="11"/>
      <color theme="10"/>
      <name val="Calibri"/>
      <family val="2"/>
    </font>
    <font>
      <u/>
      <sz val="11"/>
      <color theme="10"/>
      <name val="Calibri"/>
      <family val="2"/>
      <charset val="162"/>
    </font>
    <font>
      <sz val="11"/>
      <color theme="1"/>
      <name val="Calibri"/>
      <family val="2"/>
      <charset val="238"/>
      <scheme val="minor"/>
    </font>
    <font>
      <sz val="10"/>
      <color rgb="FF0000FF"/>
      <name val="Calibri"/>
      <family val="2"/>
    </font>
    <font>
      <i/>
      <sz val="10"/>
      <color rgb="FF0000FF"/>
      <name val="Calibri"/>
      <family val="2"/>
    </font>
    <font>
      <b/>
      <sz val="10"/>
      <name val="Calibri"/>
      <family val="2"/>
      <scheme val="minor"/>
    </font>
    <font>
      <sz val="10"/>
      <name val="Calibri"/>
      <family val="2"/>
      <scheme val="minor"/>
    </font>
    <font>
      <b/>
      <sz val="10"/>
      <color rgb="FF0000FF"/>
      <name val="Calibri"/>
      <family val="2"/>
    </font>
    <font>
      <sz val="10"/>
      <color rgb="FFFF0000"/>
      <name val="Calibri"/>
      <family val="2"/>
    </font>
    <font>
      <sz val="10"/>
      <color theme="1"/>
      <name val="Calibri"/>
      <family val="2"/>
    </font>
    <font>
      <b/>
      <sz val="10"/>
      <color theme="1"/>
      <name val="Calibri"/>
      <family val="2"/>
    </font>
    <font>
      <i/>
      <sz val="10"/>
      <color rgb="FF000000"/>
      <name val="Calibri"/>
      <family val="2"/>
      <charset val="162"/>
    </font>
    <font>
      <sz val="10"/>
      <color rgb="FF000000"/>
      <name val="Calibri"/>
      <family val="2"/>
      <charset val="162"/>
    </font>
    <font>
      <b/>
      <sz val="10"/>
      <color rgb="FF000000"/>
      <name val="Calibri"/>
      <family val="2"/>
    </font>
    <font>
      <sz val="10"/>
      <color theme="1"/>
      <name val="Calibri"/>
      <family val="2"/>
      <scheme val="minor"/>
    </font>
    <font>
      <b/>
      <sz val="10"/>
      <color rgb="FFFF0000"/>
      <name val="Calibri"/>
      <family val="2"/>
    </font>
    <font>
      <sz val="10"/>
      <color rgb="FF002060"/>
      <name val="Calibri"/>
      <family val="2"/>
      <charset val="162"/>
    </font>
    <font>
      <sz val="10"/>
      <color rgb="FF0000FF"/>
      <name val="Calibri"/>
      <family val="2"/>
      <charset val="162"/>
    </font>
    <font>
      <b/>
      <sz val="10"/>
      <color rgb="FF0000FF"/>
      <name val="Calibri"/>
      <family val="2"/>
      <charset val="162"/>
    </font>
    <font>
      <b/>
      <sz val="10"/>
      <color indexed="12"/>
      <name val="Calibri"/>
      <family val="2"/>
      <scheme val="minor"/>
    </font>
    <font>
      <i/>
      <sz val="10"/>
      <name val="Calibri"/>
      <family val="2"/>
      <scheme val="minor"/>
    </font>
    <font>
      <i/>
      <sz val="10"/>
      <color theme="1"/>
      <name val="Calibri"/>
      <family val="2"/>
      <scheme val="minor"/>
    </font>
    <font>
      <sz val="10"/>
      <color rgb="FF0000FF"/>
      <name val="Calibri"/>
      <family val="2"/>
      <scheme val="minor"/>
    </font>
    <font>
      <b/>
      <sz val="10"/>
      <color rgb="FF0000FF"/>
      <name val="Calibri"/>
      <family val="2"/>
      <scheme val="minor"/>
    </font>
    <font>
      <i/>
      <sz val="10"/>
      <color rgb="FFFF0000"/>
      <name val="Calibri"/>
      <family val="2"/>
    </font>
    <font>
      <sz val="10"/>
      <color rgb="FF0000FF"/>
      <name val="Arial"/>
      <family val="2"/>
    </font>
    <font>
      <i/>
      <sz val="8"/>
      <color rgb="FFFF0000"/>
      <name val="Calibri"/>
      <family val="2"/>
    </font>
  </fonts>
  <fills count="35">
    <fill>
      <patternFill patternType="none"/>
    </fill>
    <fill>
      <patternFill patternType="gray125"/>
    </fill>
    <fill>
      <patternFill patternType="solid">
        <fgColor indexed="43"/>
      </patternFill>
    </fill>
    <fill>
      <patternFill patternType="solid">
        <fgColor indexed="44"/>
      </patternFill>
    </fill>
    <fill>
      <patternFill patternType="solid">
        <fgColor indexed="49"/>
        <bgColor indexed="64"/>
      </patternFill>
    </fill>
    <fill>
      <patternFill patternType="lightGray">
        <fgColor indexed="15"/>
      </patternFill>
    </fill>
    <fill>
      <patternFill patternType="solid">
        <fgColor indexed="60"/>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69">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right style="thin">
        <color indexed="64"/>
      </right>
      <top/>
      <bottom style="thin">
        <color indexed="9"/>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bottom style="dotted">
        <color indexed="62"/>
      </bottom>
      <diagonal/>
    </border>
    <border>
      <left style="thin">
        <color indexed="64"/>
      </left>
      <right/>
      <top/>
      <bottom style="double">
        <color indexed="64"/>
      </bottom>
      <diagonal/>
    </border>
    <border>
      <left/>
      <right style="thin">
        <color indexed="64"/>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dotted">
        <color indexed="62"/>
      </top>
      <bottom style="dotted">
        <color indexed="64"/>
      </bottom>
      <diagonal/>
    </border>
    <border>
      <left/>
      <right/>
      <top style="dotted">
        <color indexed="64"/>
      </top>
      <bottom/>
      <diagonal/>
    </border>
    <border>
      <left/>
      <right/>
      <top style="dotted">
        <color indexed="64"/>
      </top>
      <bottom style="thin">
        <color indexed="64"/>
      </bottom>
      <diagonal/>
    </border>
    <border>
      <left/>
      <right/>
      <top/>
      <bottom style="thick">
        <color indexed="62"/>
      </bottom>
      <diagonal/>
    </border>
    <border>
      <left/>
      <right/>
      <top style="dotted">
        <color indexed="62"/>
      </top>
      <bottom style="thick">
        <color indexed="62"/>
      </bottom>
      <diagonal/>
    </border>
    <border>
      <left/>
      <right/>
      <top style="dotted">
        <color indexed="62"/>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dotted">
        <color rgb="FF333399"/>
      </bottom>
      <diagonal/>
    </border>
    <border>
      <left style="hair">
        <color rgb="FF002060"/>
      </left>
      <right/>
      <top style="hair">
        <color rgb="FF002060"/>
      </top>
      <bottom style="hair">
        <color rgb="FF002060"/>
      </bottom>
      <diagonal/>
    </border>
    <border>
      <left style="hair">
        <color rgb="FF002060"/>
      </left>
      <right style="hair">
        <color rgb="FF002060"/>
      </right>
      <top style="hair">
        <color rgb="FF002060"/>
      </top>
      <bottom style="hair">
        <color rgb="FF002060"/>
      </bottom>
      <diagonal/>
    </border>
    <border>
      <left/>
      <right/>
      <top style="hair">
        <color rgb="FF002060"/>
      </top>
      <bottom style="hair">
        <color rgb="FF002060"/>
      </bottom>
      <diagonal/>
    </border>
  </borders>
  <cellStyleXfs count="1218">
    <xf numFmtId="0" fontId="0" fillId="0" borderId="0"/>
    <xf numFmtId="173" fontId="26" fillId="0" borderId="0"/>
    <xf numFmtId="0" fontId="27" fillId="0" borderId="0">
      <alignment horizontal="right"/>
    </xf>
    <xf numFmtId="0" fontId="6" fillId="0" borderId="0"/>
    <xf numFmtId="174" fontId="22" fillId="0" borderId="0" applyFont="0" applyFill="0" applyBorder="0" applyAlignment="0"/>
    <xf numFmtId="175" fontId="6" fillId="0" borderId="0" applyFont="0" applyFill="0" applyBorder="0" applyAlignment="0" applyProtection="0"/>
    <xf numFmtId="176"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vertical="top"/>
    </xf>
    <xf numFmtId="0" fontId="6" fillId="0" borderId="0" applyNumberFormat="0" applyFill="0" applyBorder="0" applyAlignment="0" applyProtection="0">
      <alignment horizontal="left" wrapText="1"/>
    </xf>
    <xf numFmtId="0" fontId="6" fillId="0" borderId="0">
      <alignment vertical="top"/>
    </xf>
    <xf numFmtId="177" fontId="6" fillId="0" borderId="0" applyFont="0" applyFill="0" applyBorder="0" applyAlignment="0" applyProtection="0"/>
    <xf numFmtId="165" fontId="6" fillId="0" borderId="0" applyFont="0" applyFill="0" applyBorder="0" applyAlignment="0" applyProtection="0"/>
    <xf numFmtId="178" fontId="6" fillId="0" borderId="0" applyFont="0" applyFill="0" applyBorder="0" applyAlignment="0" applyProtection="0"/>
    <xf numFmtId="179" fontId="6" fillId="0" borderId="0" applyFont="0" applyFill="0" applyBorder="0" applyAlignment="0" applyProtection="0"/>
    <xf numFmtId="180" fontId="6" fillId="0" borderId="0" applyFont="0" applyFill="0" applyBorder="0" applyAlignment="0" applyProtection="0"/>
    <xf numFmtId="39" fontId="6" fillId="0" borderId="0" applyFont="0" applyFill="0" applyBorder="0" applyAlignment="0" applyProtection="0"/>
    <xf numFmtId="181"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8" fillId="0" borderId="0" applyNumberFormat="0" applyFill="0" applyBorder="0" applyAlignment="0" applyProtection="0"/>
    <xf numFmtId="0" fontId="28" fillId="0" borderId="0" applyNumberFormat="0" applyFill="0" applyBorder="0" applyAlignment="0" applyProtection="0"/>
    <xf numFmtId="0" fontId="6" fillId="2" borderId="0" applyNumberFormat="0" applyFont="0" applyAlignment="0" applyProtection="0"/>
    <xf numFmtId="0" fontId="6" fillId="0" borderId="0" applyFont="0" applyFill="0" applyBorder="0" applyAlignment="0" applyProtection="0"/>
    <xf numFmtId="182"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Protection="0">
      <alignment horizontal="right"/>
    </xf>
    <xf numFmtId="185" fontId="6" fillId="0" borderId="0" applyFont="0" applyFill="0" applyBorder="0" applyAlignment="0" applyProtection="0"/>
    <xf numFmtId="0" fontId="6" fillId="0" borderId="0">
      <alignment horizontal="left" wrapText="1"/>
    </xf>
    <xf numFmtId="0" fontId="6" fillId="0" borderId="0">
      <alignment horizontal="left" wrapText="1"/>
    </xf>
    <xf numFmtId="186" fontId="6" fillId="0" borderId="0" applyFont="0" applyFill="0" applyBorder="0" applyAlignment="0" applyProtection="0"/>
    <xf numFmtId="187"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Font="0" applyFill="0" applyBorder="0" applyAlignment="0" applyProtection="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9" fillId="0" borderId="0" applyNumberFormat="0" applyFill="0" applyBorder="0" applyProtection="0">
      <alignment vertical="top"/>
    </xf>
    <xf numFmtId="0" fontId="29" fillId="0" borderId="0" applyNumberFormat="0" applyFill="0" applyBorder="0" applyProtection="0">
      <alignment vertical="top"/>
    </xf>
    <xf numFmtId="0" fontId="30" fillId="0" borderId="1" applyNumberFormat="0" applyFill="0" applyAlignment="0" applyProtection="0"/>
    <xf numFmtId="0" fontId="31" fillId="0" borderId="2" applyNumberFormat="0" applyFill="0" applyProtection="0">
      <alignment horizontal="center"/>
    </xf>
    <xf numFmtId="0" fontId="31" fillId="0" borderId="0" applyNumberFormat="0" applyFill="0" applyBorder="0" applyProtection="0">
      <alignment horizontal="left"/>
    </xf>
    <xf numFmtId="0" fontId="32" fillId="0" borderId="0" applyNumberFormat="0" applyFill="0" applyBorder="0" applyProtection="0">
      <alignment horizontal="centerContinuous"/>
    </xf>
    <xf numFmtId="188" fontId="33" fillId="0" borderId="0" applyFont="0" applyFill="0" applyBorder="0" applyAlignment="0" applyProtection="0"/>
    <xf numFmtId="189" fontId="33" fillId="0" borderId="0" applyFont="0" applyFill="0" applyBorder="0" applyAlignment="0" applyProtection="0"/>
    <xf numFmtId="190" fontId="33" fillId="0" borderId="0" applyFont="0" applyFill="0" applyBorder="0" applyAlignment="0" applyProtection="0"/>
    <xf numFmtId="191" fontId="33" fillId="0" borderId="0" applyFont="0" applyFill="0" applyBorder="0" applyAlignment="0" applyProtection="0"/>
    <xf numFmtId="192" fontId="33" fillId="0" borderId="0" applyFont="0" applyFill="0" applyBorder="0" applyAlignment="0" applyProtection="0"/>
    <xf numFmtId="193" fontId="34" fillId="0" borderId="0" applyFont="0" applyFill="0" applyBorder="0" applyAlignment="0" applyProtection="0"/>
    <xf numFmtId="42" fontId="6" fillId="0" borderId="0" applyFont="0" applyFill="0" applyBorder="0" applyAlignment="0" applyProtection="0"/>
    <xf numFmtId="0" fontId="35" fillId="0" borderId="0" applyNumberFormat="0" applyFont="0" applyFill="0" applyBorder="0" applyProtection="0">
      <alignment horizontal="centerContinuous"/>
    </xf>
    <xf numFmtId="0" fontId="3" fillId="0" borderId="0" applyNumberFormat="0" applyFill="0" applyBorder="0" applyAlignment="0">
      <protection locked="0"/>
    </xf>
    <xf numFmtId="0" fontId="36" fillId="0" borderId="0"/>
    <xf numFmtId="0" fontId="37" fillId="0" borderId="0"/>
    <xf numFmtId="0" fontId="27" fillId="0" borderId="0">
      <alignment horizontal="center" wrapText="1"/>
      <protection locked="0"/>
    </xf>
    <xf numFmtId="0" fontId="6" fillId="0" borderId="0" applyNumberFormat="0" applyFill="0" applyBorder="0" applyAlignment="0" applyProtection="0"/>
    <xf numFmtId="0" fontId="38" fillId="0" borderId="0" applyNumberFormat="0" applyFill="0" applyBorder="0" applyAlignment="0" applyProtection="0"/>
    <xf numFmtId="0" fontId="22" fillId="3" borderId="0" applyNumberFormat="0" applyBorder="0" applyAlignment="0">
      <protection locked="0"/>
    </xf>
    <xf numFmtId="194" fontId="22" fillId="0" borderId="0" applyFont="0" applyFill="0" applyBorder="0" applyAlignment="0" applyProtection="0"/>
    <xf numFmtId="195" fontId="39" fillId="0" borderId="0" applyFont="0" applyFill="0" applyBorder="0" applyAlignment="0" applyProtection="0"/>
    <xf numFmtId="196" fontId="22" fillId="0" borderId="0" applyFont="0" applyFill="0" applyBorder="0" applyAlignment="0" applyProtection="0"/>
    <xf numFmtId="0" fontId="106" fillId="4" borderId="0"/>
    <xf numFmtId="0" fontId="40" fillId="0" borderId="0" applyNumberFormat="0" applyFill="0" applyBorder="0" applyAlignment="0" applyProtection="0"/>
    <xf numFmtId="197" fontId="41" fillId="0" borderId="0"/>
    <xf numFmtId="0" fontId="42" fillId="0" borderId="0" applyNumberFormat="0" applyFill="0" applyBorder="0" applyAlignment="0" applyProtection="0"/>
    <xf numFmtId="0" fontId="5" fillId="0" borderId="0"/>
    <xf numFmtId="0" fontId="43" fillId="0" borderId="0"/>
    <xf numFmtId="0" fontId="35" fillId="0" borderId="3" applyNumberFormat="0" applyFont="0" applyFill="0" applyAlignment="0" applyProtection="0"/>
    <xf numFmtId="0" fontId="44" fillId="0" borderId="4" applyFill="0" applyProtection="0">
      <alignment horizontal="right"/>
    </xf>
    <xf numFmtId="198" fontId="21" fillId="0" borderId="0" applyFont="0" applyFill="0" applyBorder="0" applyAlignment="0" applyProtection="0"/>
    <xf numFmtId="0" fontId="7" fillId="0" borderId="0" applyNumberFormat="0" applyFill="0" applyBorder="0" applyAlignment="0" applyProtection="0"/>
    <xf numFmtId="0" fontId="45" fillId="0" borderId="0"/>
    <xf numFmtId="0" fontId="26" fillId="0" borderId="0" applyFill="0" applyBorder="0" applyAlignment="0"/>
    <xf numFmtId="0" fontId="26" fillId="0" borderId="0" applyFill="0" applyBorder="0" applyAlignment="0"/>
    <xf numFmtId="199" fontId="26" fillId="0" borderId="0" applyFill="0" applyBorder="0" applyAlignment="0"/>
    <xf numFmtId="200" fontId="26" fillId="0" borderId="0" applyFill="0" applyBorder="0" applyAlignment="0"/>
    <xf numFmtId="201" fontId="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39" fontId="27" fillId="5" borderId="0" applyNumberFormat="0" applyFont="0" applyBorder="0" applyAlignment="0"/>
    <xf numFmtId="0" fontId="46" fillId="0" borderId="0"/>
    <xf numFmtId="0" fontId="35" fillId="0" borderId="0" applyNumberFormat="0" applyFont="0" applyFill="0" applyBorder="0" applyProtection="0">
      <alignment horizontal="center"/>
    </xf>
    <xf numFmtId="49" fontId="20" fillId="0" borderId="0" applyFill="0" applyBorder="0" applyProtection="0">
      <alignment horizontal="center"/>
    </xf>
    <xf numFmtId="49" fontId="47" fillId="0" borderId="0" applyFill="0" applyBorder="0" applyProtection="0">
      <alignment horizontal="center"/>
    </xf>
    <xf numFmtId="8" fontId="6" fillId="0" borderId="5" applyFont="0" applyFill="0" applyBorder="0" applyProtection="0">
      <alignment horizontal="right"/>
    </xf>
    <xf numFmtId="0" fontId="4" fillId="0" borderId="0"/>
    <xf numFmtId="0" fontId="2" fillId="0" borderId="0" applyNumberFormat="0" applyFill="0" applyBorder="0" applyAlignment="0" applyProtection="0"/>
    <xf numFmtId="0" fontId="48" fillId="0" borderId="0" applyNumberFormat="0" applyFill="0" applyBorder="0" applyAlignment="0" applyProtection="0"/>
    <xf numFmtId="0" fontId="2" fillId="0" borderId="0" applyNumberFormat="0" applyFill="0" applyBorder="0" applyAlignment="0" applyProtection="0"/>
    <xf numFmtId="0" fontId="49" fillId="0" borderId="3" applyNumberFormat="0" applyFill="0" applyBorder="0" applyAlignment="0" applyProtection="0">
      <alignment horizontal="center"/>
    </xf>
    <xf numFmtId="0" fontId="8" fillId="6" borderId="0"/>
    <xf numFmtId="43" fontId="1" fillId="0" borderId="0" applyFont="0" applyFill="0" applyBorder="0" applyAlignment="0" applyProtection="0"/>
    <xf numFmtId="202" fontId="6" fillId="0" borderId="0"/>
    <xf numFmtId="202" fontId="6" fillId="0" borderId="0"/>
    <xf numFmtId="202" fontId="6" fillId="0" borderId="0"/>
    <xf numFmtId="202" fontId="6" fillId="0" borderId="0"/>
    <xf numFmtId="202" fontId="6" fillId="0" borderId="0"/>
    <xf numFmtId="202" fontId="6" fillId="0" borderId="0"/>
    <xf numFmtId="202" fontId="6" fillId="0" borderId="0"/>
    <xf numFmtId="202" fontId="6" fillId="0" borderId="0"/>
    <xf numFmtId="203" fontId="50" fillId="0" borderId="0"/>
    <xf numFmtId="0" fontId="26" fillId="0" borderId="0" applyFont="0" applyFill="0" applyBorder="0" applyAlignment="0" applyProtection="0"/>
    <xf numFmtId="170" fontId="51"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24"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24"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24"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263" fontId="143" fillId="0" borderId="0" applyFont="0" applyFill="0" applyBorder="0" applyAlignment="0" applyProtection="0"/>
    <xf numFmtId="40" fontId="6" fillId="0" borderId="0" applyFont="0" applyFill="0" applyBorder="0" applyProtection="0">
      <alignment horizontal="right"/>
    </xf>
    <xf numFmtId="3" fontId="6" fillId="0" borderId="0" applyFill="0" applyBorder="0" applyAlignment="0" applyProtection="0"/>
    <xf numFmtId="3" fontId="2" fillId="0" borderId="0" applyFont="0" applyFill="0" applyBorder="0" applyAlignment="0" applyProtection="0"/>
    <xf numFmtId="3" fontId="20" fillId="0" borderId="0" applyFill="0" applyBorder="0" applyAlignment="0" applyProtection="0"/>
    <xf numFmtId="38" fontId="52" fillId="0" borderId="0" applyNumberFormat="0" applyFill="0" applyBorder="0">
      <alignment vertical="center"/>
    </xf>
    <xf numFmtId="0" fontId="53" fillId="0" borderId="0" applyNumberFormat="0" applyAlignment="0">
      <alignment horizontal="left"/>
    </xf>
    <xf numFmtId="7" fontId="6" fillId="0" borderId="0" applyFont="0" applyFill="0" applyBorder="0" applyAlignment="0" applyProtection="0"/>
    <xf numFmtId="204" fontId="50" fillId="0" borderId="0"/>
    <xf numFmtId="0" fontId="26" fillId="0" borderId="0" applyFont="0" applyFill="0" applyBorder="0" applyAlignment="0" applyProtection="0"/>
    <xf numFmtId="205" fontId="22" fillId="0" borderId="0" applyFont="0" applyFill="0" applyBorder="0" applyAlignment="0" applyProtection="0"/>
    <xf numFmtId="8" fontId="35" fillId="0" borderId="0" applyBorder="0"/>
    <xf numFmtId="206" fontId="6" fillId="0" borderId="0" applyNumberFormat="0">
      <alignment horizontal="right"/>
    </xf>
    <xf numFmtId="15" fontId="6" fillId="0" borderId="0" applyFont="0" applyFill="0" applyBorder="0" applyProtection="0">
      <alignment horizontal="right"/>
    </xf>
    <xf numFmtId="14" fontId="4" fillId="0" borderId="0" applyFill="0" applyBorder="0" applyAlignment="0"/>
    <xf numFmtId="15" fontId="6" fillId="0" borderId="0" applyFont="0" applyFill="0" applyBorder="0" applyProtection="0">
      <alignment horizontal="right"/>
    </xf>
    <xf numFmtId="207" fontId="20" fillId="0" borderId="0" applyFill="0" applyBorder="0" applyProtection="0">
      <alignment horizontal="left"/>
    </xf>
    <xf numFmtId="0" fontId="6" fillId="0" borderId="0">
      <alignment horizontal="left"/>
    </xf>
    <xf numFmtId="38" fontId="54" fillId="0" borderId="6">
      <alignment vertical="center"/>
    </xf>
    <xf numFmtId="208" fontId="34" fillId="0" borderId="0" applyFont="0" applyFill="0" applyBorder="0" applyAlignment="0" applyProtection="0"/>
    <xf numFmtId="4" fontId="55" fillId="0" borderId="0" applyFont="0" applyFill="0" applyBorder="0" applyAlignment="0" applyProtection="0"/>
    <xf numFmtId="0" fontId="34" fillId="0" borderId="0" applyFont="0" applyFill="0" applyBorder="0" applyAlignment="0" applyProtection="0"/>
    <xf numFmtId="0" fontId="35" fillId="0" borderId="7" applyNumberFormat="0" applyFont="0" applyFill="0" applyAlignment="0" applyProtection="0"/>
    <xf numFmtId="42" fontId="56" fillId="0" borderId="0" applyFill="0" applyBorder="0" applyAlignment="0" applyProtection="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57" fillId="0" borderId="0" applyNumberFormat="0" applyAlignment="0">
      <alignment horizontal="left"/>
    </xf>
    <xf numFmtId="209" fontId="6" fillId="0" borderId="0" applyFont="0" applyFill="0" applyBorder="0" applyAlignment="0" applyProtection="0"/>
    <xf numFmtId="169" fontId="35" fillId="0" borderId="0" applyNumberFormat="0" applyFont="0" applyAlignment="0">
      <alignment vertical="center"/>
    </xf>
    <xf numFmtId="0" fontId="58" fillId="0" borderId="0">
      <alignment horizontal="center"/>
    </xf>
    <xf numFmtId="0" fontId="59" fillId="0" borderId="0" applyNumberFormat="0" applyFill="0" applyBorder="0" applyAlignment="0" applyProtection="0"/>
    <xf numFmtId="38" fontId="2" fillId="7" borderId="0" applyNumberFormat="0" applyBorder="0" applyAlignment="0" applyProtection="0"/>
    <xf numFmtId="0" fontId="5" fillId="8" borderId="8" applyAlignment="0" applyProtection="0"/>
    <xf numFmtId="0" fontId="60" fillId="0" borderId="3" applyFill="0" applyProtection="0">
      <alignment horizontal="centerContinuous"/>
    </xf>
    <xf numFmtId="41" fontId="61" fillId="0" borderId="0">
      <alignment horizontal="center"/>
    </xf>
    <xf numFmtId="0" fontId="6" fillId="0" borderId="0">
      <alignment horizontal="center"/>
    </xf>
    <xf numFmtId="0" fontId="6" fillId="0" borderId="0">
      <alignment horizontal="left"/>
    </xf>
    <xf numFmtId="0" fontId="6" fillId="0" borderId="0">
      <alignment horizontal="right"/>
    </xf>
    <xf numFmtId="0" fontId="62" fillId="9" borderId="0"/>
    <xf numFmtId="0" fontId="63" fillId="0" borderId="0">
      <alignment horizontal="center" vertical="center"/>
    </xf>
    <xf numFmtId="0" fontId="64" fillId="0" borderId="9" applyNumberFormat="0" applyAlignment="0" applyProtection="0">
      <alignment horizontal="left" vertical="center"/>
    </xf>
    <xf numFmtId="0" fontId="64" fillId="0" borderId="8">
      <alignment horizontal="left" vertical="center"/>
    </xf>
    <xf numFmtId="0" fontId="65" fillId="0" borderId="0">
      <alignment horizontal="center"/>
    </xf>
    <xf numFmtId="0" fontId="66" fillId="0" borderId="0" applyFill="0" applyBorder="0" applyProtection="0">
      <alignment horizontal="right"/>
    </xf>
    <xf numFmtId="0" fontId="67" fillId="0" borderId="10">
      <alignment horizontal="center"/>
    </xf>
    <xf numFmtId="0" fontId="67" fillId="0" borderId="0">
      <alignment horizontal="center"/>
    </xf>
    <xf numFmtId="0" fontId="144" fillId="0" borderId="0" applyNumberFormat="0" applyFill="0" applyBorder="0" applyAlignment="0" applyProtection="0">
      <alignment vertical="top"/>
      <protection locked="0"/>
    </xf>
    <xf numFmtId="0" fontId="145" fillId="0" borderId="0" applyNumberFormat="0" applyFill="0" applyBorder="0" applyAlignment="0" applyProtection="0">
      <alignment vertical="top"/>
      <protection locked="0"/>
    </xf>
    <xf numFmtId="10" fontId="40" fillId="0" borderId="0" applyNumberFormat="0" applyFill="0" applyBorder="0" applyAlignment="0" applyProtection="0">
      <alignment horizontal="right"/>
    </xf>
    <xf numFmtId="10" fontId="2" fillId="10" borderId="11" applyNumberFormat="0" applyBorder="0" applyAlignment="0" applyProtection="0"/>
    <xf numFmtId="0" fontId="9" fillId="0" borderId="0"/>
    <xf numFmtId="0" fontId="68" fillId="0" borderId="0"/>
    <xf numFmtId="0" fontId="2" fillId="0" borderId="0" applyNumberFormat="0" applyFill="0" applyBorder="0" applyAlignment="0" applyProtection="0"/>
    <xf numFmtId="0" fontId="20" fillId="0" borderId="0" applyNumberFormat="0" applyFill="0" applyBorder="0" applyAlignment="0" applyProtection="0"/>
    <xf numFmtId="0" fontId="2" fillId="0" borderId="0" applyNumberFormat="0" applyFill="0" applyBorder="0" applyAlignment="0" applyProtection="0"/>
    <xf numFmtId="49" fontId="2" fillId="0" borderId="0" applyFont="0" applyFill="0" applyBorder="0" applyProtection="0">
      <alignment horizontal="left"/>
    </xf>
    <xf numFmtId="49" fontId="20" fillId="0" borderId="0" applyFill="0" applyBorder="0" applyProtection="0">
      <alignment horizontal="left"/>
    </xf>
    <xf numFmtId="49" fontId="20" fillId="0" borderId="3" applyFill="0" applyProtection="0">
      <alignment horizontal="left"/>
    </xf>
    <xf numFmtId="49" fontId="20" fillId="0" borderId="12" applyFill="0" applyProtection="0">
      <alignment horizontal="left"/>
    </xf>
    <xf numFmtId="0" fontId="69"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165" fontId="6" fillId="0" borderId="0" applyNumberFormat="0" applyFont="0" applyFill="0" applyBorder="0" applyAlignment="0"/>
    <xf numFmtId="17" fontId="22" fillId="0" borderId="0"/>
    <xf numFmtId="0" fontId="27" fillId="0" borderId="0" applyNumberFormat="0" applyFill="0" applyBorder="0" applyProtection="0"/>
    <xf numFmtId="0" fontId="22" fillId="0" borderId="0" applyNumberFormat="0" applyFill="0" applyBorder="0" applyProtection="0"/>
    <xf numFmtId="38" fontId="70" fillId="0" borderId="0" applyNumberFormat="0" applyFill="0" applyBorder="0">
      <alignment horizontal="left" vertical="center"/>
    </xf>
    <xf numFmtId="164" fontId="6" fillId="0" borderId="0" applyFont="0" applyFill="0" applyBorder="0" applyAlignment="0" applyProtection="0"/>
    <xf numFmtId="38" fontId="71" fillId="0" borderId="0" applyFont="0" applyFill="0" applyBorder="0" applyAlignment="0" applyProtection="0"/>
    <xf numFmtId="40" fontId="71" fillId="0" borderId="0" applyFont="0" applyFill="0" applyBorder="0" applyAlignment="0" applyProtection="0"/>
    <xf numFmtId="169" fontId="72" fillId="0" borderId="0" applyFill="0" applyBorder="0">
      <alignment vertical="center"/>
    </xf>
    <xf numFmtId="210" fontId="27" fillId="0" borderId="0">
      <alignment horizontal="center"/>
    </xf>
    <xf numFmtId="211" fontId="71" fillId="0" borderId="0" applyFont="0" applyFill="0" applyBorder="0" applyAlignment="0" applyProtection="0"/>
    <xf numFmtId="212" fontId="71" fillId="0" borderId="0" applyFont="0" applyFill="0" applyBorder="0" applyAlignment="0" applyProtection="0"/>
    <xf numFmtId="7" fontId="6" fillId="0" borderId="0"/>
    <xf numFmtId="213" fontId="73" fillId="0" borderId="0" applyFont="0" applyFill="0" applyBorder="0" applyProtection="0">
      <alignment horizontal="right"/>
    </xf>
    <xf numFmtId="214" fontId="55" fillId="0" borderId="0" applyFont="0" applyFill="0" applyBorder="0" applyAlignment="0" applyProtection="0"/>
    <xf numFmtId="215" fontId="22" fillId="0" borderId="0" applyFont="0" applyFill="0" applyBorder="0" applyAlignment="0" applyProtection="0"/>
    <xf numFmtId="216" fontId="55" fillId="0" borderId="0" applyFont="0" applyFill="0" applyBorder="0" applyAlignment="0" applyProtection="0"/>
    <xf numFmtId="217" fontId="27" fillId="0" borderId="0" applyFont="0" applyFill="0" applyBorder="0" applyAlignment="0" applyProtection="0"/>
    <xf numFmtId="218" fontId="22" fillId="0" borderId="0" applyFont="0" applyFill="0" applyBorder="0" applyAlignment="0" applyProtection="0"/>
    <xf numFmtId="219" fontId="55" fillId="0" borderId="0" applyFont="0" applyFill="0" applyBorder="0" applyAlignment="0" applyProtection="0"/>
    <xf numFmtId="220" fontId="55" fillId="0" borderId="0" applyFont="0" applyFill="0" applyBorder="0" applyAlignment="0" applyProtection="0"/>
    <xf numFmtId="221" fontId="22" fillId="0" borderId="0" applyFont="0" applyFill="0" applyBorder="0" applyAlignment="0" applyProtection="0"/>
    <xf numFmtId="222" fontId="6" fillId="0" borderId="0"/>
    <xf numFmtId="0" fontId="10" fillId="11" borderId="0"/>
    <xf numFmtId="0" fontId="11" fillId="12" borderId="0"/>
    <xf numFmtId="0" fontId="12" fillId="0" borderId="0"/>
    <xf numFmtId="223" fontId="74" fillId="0" borderId="0"/>
    <xf numFmtId="0" fontId="130" fillId="0" borderId="0"/>
    <xf numFmtId="0" fontId="146"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42" fillId="0" borderId="0"/>
    <xf numFmtId="0" fontId="142" fillId="0" borderId="0"/>
    <xf numFmtId="0" fontId="142"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6" fillId="0" borderId="0"/>
    <xf numFmtId="0" fontId="6" fillId="0" borderId="0"/>
    <xf numFmtId="0" fontId="143" fillId="0" borderId="0"/>
    <xf numFmtId="0" fontId="130"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77" fillId="0" borderId="0"/>
    <xf numFmtId="0" fontId="143" fillId="0" borderId="0"/>
    <xf numFmtId="0" fontId="143"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6"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30"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2"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75" fillId="0" borderId="0">
      <alignment horizontal="center"/>
    </xf>
    <xf numFmtId="0" fontId="23" fillId="0" borderId="0">
      <alignment horizontal="center" vertical="center"/>
    </xf>
    <xf numFmtId="0" fontId="22" fillId="0" borderId="13"/>
    <xf numFmtId="0" fontId="22" fillId="0" borderId="14"/>
    <xf numFmtId="49" fontId="22" fillId="0" borderId="14">
      <alignment horizontal="left"/>
    </xf>
    <xf numFmtId="0" fontId="22" fillId="0" borderId="15"/>
    <xf numFmtId="0" fontId="22" fillId="0" borderId="3"/>
    <xf numFmtId="0" fontId="22" fillId="0" borderId="16"/>
    <xf numFmtId="0" fontId="22" fillId="7" borderId="17"/>
    <xf numFmtId="0" fontId="23" fillId="7" borderId="12">
      <alignment horizontal="left"/>
    </xf>
    <xf numFmtId="0" fontId="23" fillId="7" borderId="18">
      <alignment horizontal="left"/>
    </xf>
    <xf numFmtId="0" fontId="22" fillId="7" borderId="12"/>
    <xf numFmtId="0" fontId="22" fillId="0" borderId="0">
      <alignment horizontal="left"/>
    </xf>
    <xf numFmtId="0" fontId="23" fillId="7" borderId="12">
      <alignment horizontal="left"/>
    </xf>
    <xf numFmtId="0" fontId="39" fillId="7" borderId="12">
      <alignment horizontal="left"/>
    </xf>
    <xf numFmtId="0" fontId="22" fillId="7" borderId="18"/>
    <xf numFmtId="0" fontId="22" fillId="0" borderId="13">
      <alignment horizontal="left"/>
    </xf>
    <xf numFmtId="0" fontId="22" fillId="0" borderId="0">
      <alignment horizontal="left"/>
    </xf>
    <xf numFmtId="0" fontId="22" fillId="0" borderId="14">
      <alignment horizontal="center"/>
    </xf>
    <xf numFmtId="0" fontId="22" fillId="0" borderId="0">
      <alignment horizontal="left"/>
    </xf>
    <xf numFmtId="0" fontId="23" fillId="7" borderId="17">
      <alignment horizontal="left"/>
    </xf>
    <xf numFmtId="0" fontId="22" fillId="0" borderId="13">
      <alignment horizontal="left"/>
    </xf>
    <xf numFmtId="0" fontId="22" fillId="0" borderId="13">
      <alignment horizontal="right"/>
    </xf>
    <xf numFmtId="172" fontId="23" fillId="0" borderId="0"/>
    <xf numFmtId="0" fontId="22" fillId="0" borderId="13"/>
    <xf numFmtId="169" fontId="22" fillId="0" borderId="14"/>
    <xf numFmtId="0" fontId="22" fillId="0" borderId="13"/>
    <xf numFmtId="0" fontId="22" fillId="0" borderId="13">
      <alignment horizontal="left"/>
    </xf>
    <xf numFmtId="0" fontId="23" fillId="7" borderId="17"/>
    <xf numFmtId="0" fontId="76" fillId="7" borderId="13">
      <alignment horizontal="left"/>
    </xf>
    <xf numFmtId="0" fontId="22" fillId="7" borderId="14"/>
    <xf numFmtId="0" fontId="23" fillId="7" borderId="13">
      <alignment horizontal="left"/>
    </xf>
    <xf numFmtId="0" fontId="22" fillId="0" borderId="13">
      <alignment horizontal="left"/>
    </xf>
    <xf numFmtId="0" fontId="22" fillId="0" borderId="13">
      <alignment horizontal="left"/>
    </xf>
    <xf numFmtId="14" fontId="75" fillId="0" borderId="0">
      <alignment horizontal="center"/>
    </xf>
    <xf numFmtId="49" fontId="77" fillId="0" borderId="13">
      <alignment horizontal="left"/>
    </xf>
    <xf numFmtId="0" fontId="77" fillId="0" borderId="13"/>
    <xf numFmtId="0" fontId="23" fillId="7" borderId="13">
      <alignment horizontal="left"/>
    </xf>
    <xf numFmtId="0" fontId="23" fillId="7" borderId="13"/>
    <xf numFmtId="49" fontId="22" fillId="0" borderId="14">
      <alignment horizontal="left"/>
    </xf>
    <xf numFmtId="0" fontId="75" fillId="0" borderId="13"/>
    <xf numFmtId="0" fontId="75" fillId="0" borderId="0">
      <alignment horizontal="center"/>
    </xf>
    <xf numFmtId="14" fontId="75" fillId="0" borderId="0">
      <alignment horizontal="center"/>
    </xf>
    <xf numFmtId="0" fontId="75" fillId="0" borderId="15"/>
    <xf numFmtId="0" fontId="22" fillId="0" borderId="3">
      <alignment horizontal="center"/>
    </xf>
    <xf numFmtId="0" fontId="22" fillId="0" borderId="0"/>
    <xf numFmtId="0" fontId="75" fillId="0" borderId="3">
      <alignment horizontal="center"/>
    </xf>
    <xf numFmtId="14" fontId="75" fillId="0" borderId="3">
      <alignment horizontal="center"/>
    </xf>
    <xf numFmtId="0" fontId="23" fillId="0" borderId="0">
      <alignment horizontal="left" vertical="center" wrapText="1"/>
    </xf>
    <xf numFmtId="0" fontId="23" fillId="7" borderId="9">
      <alignment horizontal="left" wrapText="1"/>
    </xf>
    <xf numFmtId="0" fontId="23" fillId="0" borderId="0">
      <alignment horizontal="right" vertical="center"/>
    </xf>
    <xf numFmtId="172" fontId="23" fillId="0" borderId="0">
      <alignment horizontal="right"/>
    </xf>
    <xf numFmtId="14" fontId="78" fillId="0" borderId="0">
      <alignment horizontal="center"/>
    </xf>
    <xf numFmtId="0" fontId="23" fillId="7" borderId="19">
      <alignment horizontal="center" wrapText="1"/>
    </xf>
    <xf numFmtId="0" fontId="55" fillId="0" borderId="0">
      <alignment horizontal="center" vertical="center"/>
    </xf>
    <xf numFmtId="1" fontId="79" fillId="0" borderId="0">
      <alignment horizontal="center" wrapText="1"/>
    </xf>
    <xf numFmtId="0" fontId="23" fillId="7" borderId="9">
      <alignment horizontal="center" wrapText="1"/>
    </xf>
    <xf numFmtId="0" fontId="79" fillId="7" borderId="20">
      <alignment horizontal="center" wrapText="1"/>
    </xf>
    <xf numFmtId="0" fontId="79" fillId="7" borderId="19">
      <alignment horizontal="left" wrapText="1"/>
    </xf>
    <xf numFmtId="0" fontId="22" fillId="0" borderId="14">
      <alignment horizontal="left"/>
    </xf>
    <xf numFmtId="0" fontId="55" fillId="0" borderId="0">
      <alignment horizontal="center"/>
    </xf>
    <xf numFmtId="2" fontId="55" fillId="13" borderId="0">
      <alignment horizontal="center"/>
    </xf>
    <xf numFmtId="0" fontId="22" fillId="0" borderId="0">
      <alignment horizontal="left" vertical="top"/>
    </xf>
    <xf numFmtId="16" fontId="22" fillId="0" borderId="0"/>
    <xf numFmtId="0" fontId="22" fillId="13" borderId="0"/>
    <xf numFmtId="14" fontId="22" fillId="0" borderId="0">
      <alignment horizontal="center"/>
    </xf>
    <xf numFmtId="2" fontId="55" fillId="0" borderId="12">
      <alignment horizontal="center" vertical="center"/>
    </xf>
    <xf numFmtId="0" fontId="23" fillId="7" borderId="0">
      <alignment horizontal="center"/>
    </xf>
    <xf numFmtId="2" fontId="55" fillId="0" borderId="0">
      <alignment horizontal="center"/>
    </xf>
    <xf numFmtId="2" fontId="55" fillId="0" borderId="0">
      <alignment horizontal="center"/>
    </xf>
    <xf numFmtId="0" fontId="22" fillId="0" borderId="0">
      <alignment horizontal="left" vertical="top"/>
    </xf>
    <xf numFmtId="15" fontId="22" fillId="0" borderId="0">
      <alignment horizontal="left" vertical="top"/>
    </xf>
    <xf numFmtId="0" fontId="22" fillId="0" borderId="0">
      <alignment horizontal="left" vertical="top"/>
    </xf>
    <xf numFmtId="14" fontId="22" fillId="0" borderId="0">
      <alignment horizontal="center" vertical="top"/>
    </xf>
    <xf numFmtId="0" fontId="55" fillId="0" borderId="0"/>
    <xf numFmtId="0" fontId="79" fillId="0" borderId="3"/>
    <xf numFmtId="14" fontId="79" fillId="0" borderId="3"/>
    <xf numFmtId="2" fontId="55" fillId="0" borderId="3">
      <alignment horizontal="center"/>
    </xf>
    <xf numFmtId="0" fontId="22" fillId="0" borderId="0">
      <alignment horizontal="center"/>
    </xf>
    <xf numFmtId="2" fontId="55" fillId="0" borderId="3">
      <alignment horizontal="center"/>
    </xf>
    <xf numFmtId="0" fontId="55" fillId="0" borderId="3"/>
    <xf numFmtId="0" fontId="55" fillId="0" borderId="3">
      <alignment horizontal="center"/>
    </xf>
    <xf numFmtId="0" fontId="55" fillId="0" borderId="3">
      <alignment horizontal="center"/>
    </xf>
    <xf numFmtId="0" fontId="23" fillId="0" borderId="0">
      <alignment horizontal="left" vertical="top"/>
    </xf>
    <xf numFmtId="0" fontId="23" fillId="0" borderId="0">
      <alignment horizontal="left" vertical="top"/>
    </xf>
    <xf numFmtId="0" fontId="22" fillId="0" borderId="0">
      <alignment horizontal="center" vertical="top"/>
    </xf>
    <xf numFmtId="43" fontId="55" fillId="0" borderId="0">
      <alignment horizontal="left"/>
    </xf>
    <xf numFmtId="172" fontId="22" fillId="0" borderId="0"/>
    <xf numFmtId="0" fontId="22" fillId="0" borderId="0">
      <alignment horizontal="center"/>
    </xf>
    <xf numFmtId="0" fontId="75" fillId="0" borderId="0"/>
    <xf numFmtId="43" fontId="22" fillId="0" borderId="0"/>
    <xf numFmtId="1" fontId="22" fillId="0" borderId="0"/>
    <xf numFmtId="0" fontId="23" fillId="0" borderId="0"/>
    <xf numFmtId="43" fontId="22" fillId="0" borderId="0">
      <alignment horizontal="center"/>
    </xf>
    <xf numFmtId="43" fontId="22" fillId="0" borderId="21"/>
    <xf numFmtId="43" fontId="22" fillId="0" borderId="22"/>
    <xf numFmtId="0" fontId="22" fillId="0" borderId="10"/>
    <xf numFmtId="43" fontId="22" fillId="0" borderId="0"/>
    <xf numFmtId="1" fontId="79" fillId="0" borderId="16">
      <alignment horizontal="center" wrapText="1"/>
    </xf>
    <xf numFmtId="0" fontId="55" fillId="0" borderId="0">
      <alignment horizontal="center"/>
    </xf>
    <xf numFmtId="0" fontId="22" fillId="0" borderId="0">
      <alignment horizontal="left"/>
    </xf>
    <xf numFmtId="0" fontId="55" fillId="0" borderId="0"/>
    <xf numFmtId="43" fontId="22" fillId="0" borderId="0">
      <alignment horizontal="center"/>
    </xf>
    <xf numFmtId="0" fontId="23" fillId="0" borderId="3">
      <alignment horizontal="left" vertical="top"/>
    </xf>
    <xf numFmtId="0" fontId="22" fillId="0" borderId="3">
      <alignment horizontal="center" vertical="top"/>
    </xf>
    <xf numFmtId="14" fontId="22" fillId="0" borderId="3">
      <alignment horizontal="center" vertical="top"/>
    </xf>
    <xf numFmtId="15" fontId="22" fillId="0" borderId="3">
      <alignment horizontal="left" vertical="top"/>
    </xf>
    <xf numFmtId="0" fontId="25" fillId="0" borderId="0"/>
    <xf numFmtId="224" fontId="22" fillId="0" borderId="0">
      <alignment vertical="top"/>
    </xf>
    <xf numFmtId="0" fontId="22" fillId="0" borderId="3">
      <alignment horizontal="left" vertical="top"/>
    </xf>
    <xf numFmtId="0" fontId="22" fillId="0" borderId="0">
      <alignment horizontal="center" wrapText="1"/>
    </xf>
    <xf numFmtId="0" fontId="22" fillId="0" borderId="0">
      <alignment horizontal="center"/>
    </xf>
    <xf numFmtId="0" fontId="22" fillId="0" borderId="0">
      <alignment horizontal="center" vertical="top"/>
    </xf>
    <xf numFmtId="0" fontId="23" fillId="0" borderId="0"/>
    <xf numFmtId="14" fontId="22" fillId="0" borderId="0">
      <alignment horizontal="center"/>
    </xf>
    <xf numFmtId="14" fontId="22" fillId="0" borderId="0">
      <alignment horizontal="left" vertical="top"/>
    </xf>
    <xf numFmtId="41" fontId="22" fillId="0" borderId="0"/>
    <xf numFmtId="3" fontId="23" fillId="0" borderId="23">
      <alignment horizontal="right" vertical="center"/>
    </xf>
    <xf numFmtId="172" fontId="23" fillId="0" borderId="22">
      <alignment horizontal="right"/>
    </xf>
    <xf numFmtId="225" fontId="79" fillId="0" borderId="0">
      <alignment wrapText="1"/>
    </xf>
    <xf numFmtId="0" fontId="22" fillId="0" borderId="0">
      <alignment horizontal="center"/>
    </xf>
    <xf numFmtId="226" fontId="23" fillId="0" borderId="10"/>
    <xf numFmtId="226" fontId="23" fillId="0" borderId="0"/>
    <xf numFmtId="0" fontId="22" fillId="0" borderId="0">
      <alignment vertical="top"/>
    </xf>
    <xf numFmtId="3" fontId="23" fillId="0" borderId="21">
      <alignment horizontal="right" vertical="center"/>
    </xf>
    <xf numFmtId="0" fontId="79" fillId="0" borderId="15">
      <alignment horizontal="center" wrapText="1"/>
    </xf>
    <xf numFmtId="3" fontId="23" fillId="0" borderId="24">
      <alignment horizontal="right" vertical="center"/>
    </xf>
    <xf numFmtId="3" fontId="23" fillId="0" borderId="0">
      <alignment horizontal="right" vertical="center"/>
    </xf>
    <xf numFmtId="172" fontId="23" fillId="0" borderId="10">
      <alignment horizontal="right"/>
    </xf>
    <xf numFmtId="0" fontId="4" fillId="0" borderId="25">
      <alignment wrapText="1"/>
    </xf>
    <xf numFmtId="227" fontId="4" fillId="0" borderId="25">
      <alignment horizontal="right" wrapText="1"/>
    </xf>
    <xf numFmtId="4" fontId="22" fillId="0" borderId="0">
      <alignment horizontal="center"/>
    </xf>
    <xf numFmtId="0" fontId="23" fillId="7" borderId="9">
      <alignment horizontal="center"/>
    </xf>
    <xf numFmtId="0" fontId="23" fillId="7" borderId="20">
      <alignment horizontal="center"/>
    </xf>
    <xf numFmtId="14" fontId="22" fillId="0" borderId="0">
      <alignment horizontal="center" vertical="top"/>
    </xf>
    <xf numFmtId="0" fontId="22" fillId="14" borderId="0">
      <alignment vertical="top"/>
    </xf>
    <xf numFmtId="0" fontId="22" fillId="14" borderId="0"/>
    <xf numFmtId="0" fontId="4" fillId="0" borderId="25">
      <alignment wrapText="1"/>
    </xf>
    <xf numFmtId="228" fontId="26" fillId="0" borderId="0">
      <alignment horizontal="right" vertical="center" wrapText="1"/>
    </xf>
    <xf numFmtId="0" fontId="26" fillId="0" borderId="0">
      <alignment horizontal="right" vertical="center" wrapText="1"/>
    </xf>
    <xf numFmtId="0" fontId="4" fillId="0" borderId="0">
      <alignment wrapText="1"/>
    </xf>
    <xf numFmtId="172" fontId="22" fillId="0" borderId="0"/>
    <xf numFmtId="0" fontId="22" fillId="14" borderId="0">
      <alignment horizontal="center"/>
    </xf>
    <xf numFmtId="0" fontId="23" fillId="14" borderId="0"/>
    <xf numFmtId="0" fontId="22" fillId="14" borderId="0">
      <alignment horizontal="center" vertical="top"/>
    </xf>
    <xf numFmtId="0" fontId="22" fillId="0" borderId="0">
      <alignment vertical="top"/>
    </xf>
    <xf numFmtId="14" fontId="22" fillId="14" borderId="0">
      <alignment horizontal="center" vertical="top"/>
    </xf>
    <xf numFmtId="15" fontId="22" fillId="14" borderId="0">
      <alignment horizontal="left" vertical="top"/>
    </xf>
    <xf numFmtId="0" fontId="22" fillId="14" borderId="0">
      <alignment horizontal="left" vertical="top"/>
    </xf>
    <xf numFmtId="14" fontId="22" fillId="14" borderId="0">
      <alignment horizontal="left" vertical="top"/>
    </xf>
    <xf numFmtId="0" fontId="22" fillId="15" borderId="0">
      <alignment horizontal="center"/>
    </xf>
    <xf numFmtId="0" fontId="23" fillId="15" borderId="0"/>
    <xf numFmtId="0" fontId="22" fillId="15" borderId="0">
      <alignment horizontal="center" vertical="top"/>
    </xf>
    <xf numFmtId="14" fontId="22" fillId="15" borderId="0">
      <alignment horizontal="center" vertical="top"/>
    </xf>
    <xf numFmtId="0" fontId="22" fillId="15" borderId="0">
      <alignment vertical="top"/>
    </xf>
    <xf numFmtId="15" fontId="22" fillId="15" borderId="0">
      <alignment horizontal="left" vertical="top"/>
    </xf>
    <xf numFmtId="15" fontId="75" fillId="0" borderId="0">
      <alignment horizontal="left"/>
    </xf>
    <xf numFmtId="0" fontId="22" fillId="15" borderId="0">
      <alignment horizontal="left" vertical="top"/>
    </xf>
    <xf numFmtId="172" fontId="22" fillId="15" borderId="0">
      <alignment vertical="top"/>
    </xf>
    <xf numFmtId="14" fontId="22" fillId="15" borderId="0">
      <alignment horizontal="left" vertical="top"/>
    </xf>
    <xf numFmtId="0" fontId="22" fillId="15" borderId="0">
      <alignment horizontal="center"/>
    </xf>
    <xf numFmtId="0" fontId="22" fillId="15" borderId="0"/>
    <xf numFmtId="0" fontId="23" fillId="15" borderId="0">
      <alignment horizontal="left" vertical="top"/>
    </xf>
    <xf numFmtId="14" fontId="22" fillId="15" borderId="0">
      <alignment horizontal="center" vertical="top"/>
    </xf>
    <xf numFmtId="0" fontId="55" fillId="15" borderId="0">
      <alignment horizontal="center"/>
    </xf>
    <xf numFmtId="0" fontId="75" fillId="15" borderId="0">
      <alignment horizontal="center"/>
    </xf>
    <xf numFmtId="0" fontId="22" fillId="15" borderId="0"/>
    <xf numFmtId="0" fontId="55" fillId="0" borderId="0"/>
    <xf numFmtId="0" fontId="23" fillId="0" borderId="0">
      <alignment horizontal="center"/>
    </xf>
    <xf numFmtId="0" fontId="23" fillId="0" borderId="0">
      <alignment horizontal="center"/>
    </xf>
    <xf numFmtId="172" fontId="23" fillId="7" borderId="23">
      <alignment horizontal="center"/>
    </xf>
    <xf numFmtId="172" fontId="23" fillId="7" borderId="24">
      <alignment horizontal="center"/>
    </xf>
    <xf numFmtId="2" fontId="55" fillId="0" borderId="0"/>
    <xf numFmtId="0" fontId="55" fillId="0" borderId="0"/>
    <xf numFmtId="2" fontId="55" fillId="0" borderId="0">
      <alignment horizontal="center"/>
    </xf>
    <xf numFmtId="0" fontId="55" fillId="0" borderId="0">
      <alignment horizontal="center"/>
    </xf>
    <xf numFmtId="0" fontId="75" fillId="0" borderId="0">
      <alignment wrapText="1"/>
    </xf>
    <xf numFmtId="0" fontId="55" fillId="0" borderId="0">
      <alignment horizontal="center"/>
    </xf>
    <xf numFmtId="0" fontId="79" fillId="0" borderId="0">
      <alignment horizontal="left" vertical="center"/>
    </xf>
    <xf numFmtId="2" fontId="55" fillId="0" borderId="12">
      <alignment horizontal="center" vertical="center"/>
    </xf>
    <xf numFmtId="0" fontId="55" fillId="0" borderId="12">
      <alignment horizontal="center" vertical="center"/>
    </xf>
    <xf numFmtId="0" fontId="55" fillId="0" borderId="18">
      <alignment horizontal="center" vertical="center"/>
    </xf>
    <xf numFmtId="0" fontId="55" fillId="0" borderId="0">
      <alignment horizontal="center" vertical="center"/>
    </xf>
    <xf numFmtId="0" fontId="55" fillId="0" borderId="0">
      <alignment horizontal="left" vertical="center"/>
    </xf>
    <xf numFmtId="0" fontId="79" fillId="0" borderId="0">
      <alignment horizontal="left"/>
    </xf>
    <xf numFmtId="0" fontId="79" fillId="0" borderId="0">
      <alignment horizontal="left"/>
    </xf>
    <xf numFmtId="0" fontId="79" fillId="0" borderId="0">
      <alignment horizontal="center"/>
    </xf>
    <xf numFmtId="0" fontId="22" fillId="0" borderId="0">
      <alignment horizontal="center" vertical="center" wrapText="1"/>
    </xf>
    <xf numFmtId="0" fontId="79" fillId="0" borderId="0">
      <alignment horizontal="center" wrapText="1"/>
    </xf>
    <xf numFmtId="0" fontId="79" fillId="0" borderId="13">
      <alignment horizontal="center" wrapText="1"/>
    </xf>
    <xf numFmtId="1" fontId="79" fillId="0" borderId="14">
      <alignment horizontal="center" wrapText="1"/>
    </xf>
    <xf numFmtId="0" fontId="79" fillId="0" borderId="0">
      <alignment horizontal="center"/>
    </xf>
    <xf numFmtId="229" fontId="79" fillId="0" borderId="0">
      <alignment horizontal="center" wrapText="1"/>
    </xf>
    <xf numFmtId="43" fontId="79" fillId="0" borderId="0"/>
    <xf numFmtId="0" fontId="79" fillId="0" borderId="0"/>
    <xf numFmtId="0" fontId="55" fillId="0" borderId="0">
      <alignment wrapText="1"/>
    </xf>
    <xf numFmtId="0" fontId="79" fillId="0" borderId="0">
      <alignment horizontal="center" wrapText="1"/>
    </xf>
    <xf numFmtId="0" fontId="79" fillId="0" borderId="0">
      <alignment horizontal="center" wrapText="1"/>
    </xf>
    <xf numFmtId="43" fontId="22" fillId="0" borderId="0">
      <alignment horizontal="center" vertical="center" wrapText="1"/>
    </xf>
    <xf numFmtId="0" fontId="79" fillId="0" borderId="0">
      <alignment horizontal="center" wrapText="1"/>
    </xf>
    <xf numFmtId="230" fontId="79" fillId="0" borderId="0">
      <alignment horizontal="center" wrapText="1"/>
    </xf>
    <xf numFmtId="0" fontId="79" fillId="7" borderId="9">
      <alignment horizontal="center" wrapText="1"/>
    </xf>
    <xf numFmtId="2" fontId="79" fillId="7" borderId="9">
      <alignment horizontal="center" wrapText="1"/>
    </xf>
    <xf numFmtId="0" fontId="79" fillId="7" borderId="9">
      <alignment horizontal="center" wrapText="1"/>
    </xf>
    <xf numFmtId="0" fontId="79" fillId="0" borderId="0">
      <alignment horizontal="center" wrapText="1"/>
    </xf>
    <xf numFmtId="0" fontId="22" fillId="0" borderId="0"/>
    <xf numFmtId="0" fontId="22" fillId="0" borderId="0"/>
    <xf numFmtId="0" fontId="80" fillId="0" borderId="0">
      <alignment horizontal="left" vertical="center"/>
    </xf>
    <xf numFmtId="172" fontId="80" fillId="0" borderId="0">
      <alignment horizontal="left" vertical="center"/>
    </xf>
    <xf numFmtId="0" fontId="23" fillId="0" borderId="0">
      <alignment horizontal="center" vertical="center" wrapText="1"/>
    </xf>
    <xf numFmtId="0" fontId="80" fillId="0" borderId="0">
      <alignment horizontal="center" vertical="center"/>
    </xf>
    <xf numFmtId="0" fontId="23" fillId="0" borderId="23">
      <alignment horizontal="left"/>
    </xf>
    <xf numFmtId="41" fontId="23" fillId="0" borderId="26"/>
    <xf numFmtId="0" fontId="23" fillId="0" borderId="23"/>
    <xf numFmtId="41" fontId="23" fillId="0" borderId="0"/>
    <xf numFmtId="0" fontId="23" fillId="0" borderId="21"/>
    <xf numFmtId="172" fontId="23" fillId="0" borderId="27"/>
    <xf numFmtId="172" fontId="23" fillId="0" borderId="0"/>
    <xf numFmtId="43" fontId="23" fillId="0" borderId="27"/>
    <xf numFmtId="43" fontId="23" fillId="0" borderId="0"/>
    <xf numFmtId="0" fontId="22" fillId="0" borderId="0">
      <alignment wrapText="1"/>
    </xf>
    <xf numFmtId="0" fontId="23" fillId="0" borderId="22"/>
    <xf numFmtId="43" fontId="23" fillId="0" borderId="28"/>
    <xf numFmtId="0" fontId="23" fillId="0" borderId="0">
      <alignment horizontal="center"/>
    </xf>
    <xf numFmtId="0" fontId="23" fillId="7" borderId="23">
      <alignment horizontal="center"/>
    </xf>
    <xf numFmtId="172" fontId="23" fillId="7" borderId="24">
      <alignment horizontal="center"/>
    </xf>
    <xf numFmtId="0" fontId="23" fillId="7" borderId="24">
      <alignment horizontal="center"/>
    </xf>
    <xf numFmtId="0" fontId="23" fillId="7" borderId="26">
      <alignment horizontal="center"/>
    </xf>
    <xf numFmtId="0" fontId="23" fillId="7" borderId="22">
      <alignment horizontal="center"/>
    </xf>
    <xf numFmtId="172" fontId="23" fillId="7" borderId="10">
      <alignment horizontal="right"/>
    </xf>
    <xf numFmtId="0" fontId="23" fillId="7" borderId="10">
      <alignment horizontal="center"/>
    </xf>
    <xf numFmtId="0" fontId="22" fillId="0" borderId="0">
      <alignment horizontal="left" vertical="center" wrapText="1"/>
    </xf>
    <xf numFmtId="0" fontId="23" fillId="7" borderId="28">
      <alignment horizontal="center"/>
    </xf>
    <xf numFmtId="0" fontId="23" fillId="16" borderId="0">
      <alignment horizontal="center"/>
    </xf>
    <xf numFmtId="172" fontId="23" fillId="7" borderId="22">
      <alignment horizontal="center"/>
    </xf>
    <xf numFmtId="172" fontId="23" fillId="7" borderId="10">
      <alignment horizontal="center"/>
    </xf>
    <xf numFmtId="0" fontId="23" fillId="7" borderId="10">
      <alignment horizontal="center"/>
    </xf>
    <xf numFmtId="172" fontId="23" fillId="7" borderId="28">
      <alignment horizontal="center"/>
    </xf>
    <xf numFmtId="0" fontId="23" fillId="7" borderId="29">
      <alignment horizontal="center"/>
    </xf>
    <xf numFmtId="0" fontId="23" fillId="7" borderId="3">
      <alignment horizontal="center"/>
    </xf>
    <xf numFmtId="0" fontId="23" fillId="7" borderId="3">
      <alignment horizontal="center"/>
    </xf>
    <xf numFmtId="0" fontId="23" fillId="7" borderId="30">
      <alignment horizontal="center"/>
    </xf>
    <xf numFmtId="0" fontId="22" fillId="0" borderId="0"/>
    <xf numFmtId="0" fontId="23" fillId="7" borderId="21">
      <alignment horizontal="center"/>
    </xf>
    <xf numFmtId="0" fontId="23" fillId="7" borderId="0">
      <alignment horizontal="center"/>
    </xf>
    <xf numFmtId="0" fontId="23" fillId="7" borderId="27">
      <alignment horizontal="center"/>
    </xf>
    <xf numFmtId="0" fontId="39" fillId="0" borderId="0">
      <alignment horizontal="left"/>
    </xf>
    <xf numFmtId="49" fontId="22" fillId="0" borderId="0">
      <alignment horizontal="left"/>
    </xf>
    <xf numFmtId="0" fontId="39" fillId="0" borderId="0">
      <alignment horizontal="left"/>
    </xf>
    <xf numFmtId="15" fontId="75" fillId="16" borderId="0">
      <alignment horizontal="left"/>
    </xf>
    <xf numFmtId="0" fontId="22" fillId="0" borderId="0">
      <alignment horizontal="right"/>
    </xf>
    <xf numFmtId="49" fontId="22" fillId="0" borderId="0">
      <alignment horizontal="left"/>
    </xf>
    <xf numFmtId="49" fontId="22" fillId="0" borderId="0">
      <alignment horizontal="left"/>
    </xf>
    <xf numFmtId="10" fontId="75" fillId="0" borderId="0"/>
    <xf numFmtId="0" fontId="2" fillId="0" borderId="0" applyNumberFormat="0" applyFill="0" applyBorder="0" applyAlignment="0" applyProtection="0"/>
    <xf numFmtId="0" fontId="6" fillId="0" borderId="0" applyNumberFormat="0" applyFill="0" applyBorder="0" applyAlignment="0" applyProtection="0"/>
    <xf numFmtId="0" fontId="48" fillId="0" borderId="0" applyNumberFormat="0" applyFill="0" applyBorder="0" applyAlignment="0" applyProtection="0"/>
    <xf numFmtId="0" fontId="6" fillId="0" borderId="0" applyNumberFormat="0" applyFill="0" applyBorder="0" applyAlignment="0" applyProtection="0"/>
    <xf numFmtId="0" fontId="70" fillId="0" borderId="0" applyNumberFormat="0" applyFill="0" applyBorder="0" applyAlignment="0" applyProtection="0"/>
    <xf numFmtId="0" fontId="2" fillId="0" borderId="0" applyNumberFormat="0" applyFill="0" applyBorder="0" applyAlignment="0" applyProtection="0"/>
    <xf numFmtId="0" fontId="81" fillId="0" borderId="0">
      <alignment horizontal="left" vertical="top"/>
      <protection locked="0"/>
    </xf>
    <xf numFmtId="0" fontId="35" fillId="0" borderId="11" applyNumberFormat="0" applyFont="0" applyFill="0" applyAlignment="0" applyProtection="0"/>
    <xf numFmtId="40" fontId="82" fillId="16" borderId="0">
      <alignment horizontal="right"/>
    </xf>
    <xf numFmtId="0" fontId="83" fillId="16" borderId="0">
      <alignment horizontal="right"/>
    </xf>
    <xf numFmtId="0" fontId="84" fillId="16" borderId="14"/>
    <xf numFmtId="0" fontId="84" fillId="0" borderId="0" applyBorder="0">
      <alignment horizontal="centerContinuous"/>
    </xf>
    <xf numFmtId="231" fontId="85" fillId="0" borderId="0" applyFill="0">
      <alignment horizontal="center" vertical="center"/>
    </xf>
    <xf numFmtId="0" fontId="23" fillId="0" borderId="31" applyNumberFormat="0" applyAlignment="0" applyProtection="0"/>
    <xf numFmtId="0" fontId="22" fillId="17" borderId="0" applyNumberFormat="0" applyFont="0" applyBorder="0" applyAlignment="0" applyProtection="0"/>
    <xf numFmtId="0" fontId="2" fillId="18" borderId="32" applyNumberFormat="0" applyFont="0" applyBorder="0" applyAlignment="0" applyProtection="0">
      <alignment horizontal="center"/>
    </xf>
    <xf numFmtId="0" fontId="2" fillId="19" borderId="32" applyNumberFormat="0" applyFont="0" applyBorder="0" applyAlignment="0" applyProtection="0">
      <alignment horizontal="center"/>
    </xf>
    <xf numFmtId="0" fontId="22" fillId="0" borderId="33" applyNumberFormat="0" applyAlignment="0" applyProtection="0"/>
    <xf numFmtId="0" fontId="22" fillId="0" borderId="34" applyNumberFormat="0" applyAlignment="0" applyProtection="0"/>
    <xf numFmtId="0" fontId="23" fillId="0" borderId="35" applyNumberFormat="0" applyAlignment="0" applyProtection="0"/>
    <xf numFmtId="14" fontId="27" fillId="0" borderId="0">
      <alignment horizontal="center" wrapText="1"/>
      <protection locked="0"/>
    </xf>
    <xf numFmtId="9" fontId="1" fillId="0" borderId="0" applyFont="0" applyFill="0" applyBorder="0" applyAlignment="0" applyProtection="0"/>
    <xf numFmtId="9" fontId="55" fillId="0" borderId="0" applyFont="0" applyFill="0" applyBorder="0" applyAlignment="0" applyProtection="0"/>
    <xf numFmtId="232" fontId="86" fillId="0" borderId="0" applyFont="0" applyFill="0" applyBorder="0" applyAlignment="0" applyProtection="0"/>
    <xf numFmtId="169" fontId="55" fillId="0" borderId="0" applyFont="0" applyFill="0" applyBorder="0" applyAlignment="0" applyProtection="0"/>
    <xf numFmtId="233" fontId="55" fillId="0" borderId="0" applyFont="0" applyFill="0" applyBorder="0" applyAlignment="0" applyProtection="0"/>
    <xf numFmtId="234" fontId="55" fillId="0" borderId="0" applyFont="0" applyFill="0" applyBorder="0" applyAlignment="0" applyProtection="0"/>
    <xf numFmtId="10" fontId="6" fillId="0" borderId="0" applyFont="0" applyFill="0" applyBorder="0" applyAlignment="0" applyProtection="0"/>
    <xf numFmtId="9" fontId="107"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30"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30"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30"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07"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07"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0" fontId="6" fillId="0" borderId="0" applyFont="0" applyFill="0" applyBorder="0" applyProtection="0">
      <alignment horizontal="right"/>
    </xf>
    <xf numFmtId="172" fontId="75" fillId="0" borderId="0">
      <alignment horizontal="right"/>
    </xf>
    <xf numFmtId="172" fontId="23" fillId="0" borderId="0">
      <alignment horizontal="left" vertical="center"/>
    </xf>
    <xf numFmtId="171" fontId="2" fillId="0" borderId="0"/>
    <xf numFmtId="172" fontId="75" fillId="0" borderId="0">
      <alignment horizontal="right"/>
    </xf>
    <xf numFmtId="172" fontId="75" fillId="0" borderId="0">
      <alignment horizontal="center"/>
    </xf>
    <xf numFmtId="170" fontId="75" fillId="0" borderId="0">
      <alignment horizontal="right"/>
    </xf>
    <xf numFmtId="172" fontId="75" fillId="0" borderId="3">
      <alignment horizontal="right"/>
    </xf>
    <xf numFmtId="172" fontId="75" fillId="0" borderId="3">
      <alignment horizontal="center"/>
    </xf>
    <xf numFmtId="170" fontId="75" fillId="0" borderId="3">
      <alignment horizontal="right"/>
    </xf>
    <xf numFmtId="43" fontId="75" fillId="0" borderId="3">
      <alignment horizontal="center"/>
    </xf>
    <xf numFmtId="235" fontId="75" fillId="0" borderId="12"/>
    <xf numFmtId="236" fontId="75" fillId="0" borderId="12">
      <alignment horizontal="center"/>
    </xf>
    <xf numFmtId="172" fontId="23" fillId="0" borderId="0">
      <alignment horizontal="right" vertical="center"/>
    </xf>
    <xf numFmtId="236" fontId="75" fillId="0" borderId="18">
      <alignment horizontal="center" wrapText="1"/>
    </xf>
    <xf numFmtId="236" fontId="75" fillId="0" borderId="0">
      <alignment horizontal="center"/>
    </xf>
    <xf numFmtId="236" fontId="75" fillId="0" borderId="14">
      <alignment horizontal="center" wrapText="1"/>
    </xf>
    <xf numFmtId="235" fontId="75" fillId="0" borderId="14">
      <alignment wrapText="1"/>
    </xf>
    <xf numFmtId="235" fontId="75" fillId="0" borderId="3"/>
    <xf numFmtId="235" fontId="75" fillId="0" borderId="16">
      <alignment wrapText="1"/>
    </xf>
    <xf numFmtId="237" fontId="23" fillId="0" borderId="0">
      <alignment horizontal="left"/>
    </xf>
    <xf numFmtId="238" fontId="23" fillId="0" borderId="0">
      <alignment horizontal="left"/>
    </xf>
    <xf numFmtId="239" fontId="23" fillId="0" borderId="0">
      <alignment horizontal="left"/>
    </xf>
    <xf numFmtId="172" fontId="22" fillId="0" borderId="0">
      <alignment vertical="top"/>
    </xf>
    <xf numFmtId="240" fontId="23" fillId="0" borderId="0">
      <alignment horizontal="center"/>
    </xf>
    <xf numFmtId="235" fontId="78" fillId="0" borderId="0"/>
    <xf numFmtId="172" fontId="55" fillId="0" borderId="0">
      <alignment horizontal="right"/>
    </xf>
    <xf numFmtId="172" fontId="55" fillId="0" borderId="0">
      <alignment horizontal="center"/>
    </xf>
    <xf numFmtId="236" fontId="22" fillId="0" borderId="0">
      <alignment horizontal="center" vertical="top"/>
    </xf>
    <xf numFmtId="172" fontId="20" fillId="0" borderId="3">
      <alignment horizontal="centerContinuous"/>
    </xf>
    <xf numFmtId="172" fontId="2" fillId="0" borderId="3">
      <alignment horizontal="center"/>
    </xf>
    <xf numFmtId="172" fontId="2" fillId="0" borderId="0"/>
    <xf numFmtId="172" fontId="2" fillId="0" borderId="3"/>
    <xf numFmtId="43" fontId="2" fillId="0" borderId="3"/>
    <xf numFmtId="43" fontId="20" fillId="0" borderId="0">
      <alignment horizontal="right"/>
    </xf>
    <xf numFmtId="170" fontId="23" fillId="0" borderId="0">
      <alignment horizontal="right" vertical="center"/>
    </xf>
    <xf numFmtId="165" fontId="79" fillId="0" borderId="0">
      <alignment horizontal="center" wrapText="1"/>
    </xf>
    <xf numFmtId="2" fontId="79" fillId="0" borderId="0">
      <alignment horizontal="center"/>
    </xf>
    <xf numFmtId="43" fontId="55" fillId="0" borderId="0"/>
    <xf numFmtId="0" fontId="2" fillId="0" borderId="0">
      <alignment horizontal="center"/>
    </xf>
    <xf numFmtId="43" fontId="22" fillId="0" borderId="0">
      <alignment horizontal="center" vertical="top"/>
    </xf>
    <xf numFmtId="235" fontId="22" fillId="0" borderId="0">
      <alignment horizontal="center" vertical="top"/>
    </xf>
    <xf numFmtId="236" fontId="22" fillId="0" borderId="0">
      <alignment horizontal="center" vertical="top" wrapText="1"/>
    </xf>
    <xf numFmtId="43" fontId="22" fillId="0" borderId="0">
      <alignment horizontal="left" vertical="top"/>
    </xf>
    <xf numFmtId="172" fontId="22" fillId="0" borderId="0">
      <alignment horizontal="right" vertical="top"/>
    </xf>
    <xf numFmtId="43" fontId="22" fillId="0" borderId="0">
      <alignment horizontal="center" vertical="top"/>
    </xf>
    <xf numFmtId="43" fontId="23" fillId="0" borderId="0">
      <alignment horizontal="center"/>
    </xf>
    <xf numFmtId="235" fontId="22" fillId="0" borderId="0">
      <alignment horizontal="center" vertical="top"/>
    </xf>
    <xf numFmtId="236" fontId="22" fillId="0" borderId="0">
      <alignment horizontal="center" vertical="top" wrapText="1"/>
    </xf>
    <xf numFmtId="172" fontId="22" fillId="0" borderId="0">
      <alignment horizontal="left" vertical="top"/>
    </xf>
    <xf numFmtId="43" fontId="22" fillId="0" borderId="0">
      <alignment horizontal="left" vertical="top"/>
    </xf>
    <xf numFmtId="172" fontId="2" fillId="0" borderId="0">
      <alignment horizontal="left"/>
    </xf>
    <xf numFmtId="172" fontId="20" fillId="0" borderId="0">
      <alignment horizontal="centerContinuous"/>
    </xf>
    <xf numFmtId="172" fontId="20" fillId="0" borderId="0">
      <alignment horizontal="left"/>
    </xf>
    <xf numFmtId="172" fontId="20" fillId="0" borderId="3">
      <alignment horizontal="left"/>
    </xf>
    <xf numFmtId="43" fontId="55" fillId="0" borderId="0"/>
    <xf numFmtId="43" fontId="55" fillId="0" borderId="3">
      <alignment horizontal="center"/>
    </xf>
    <xf numFmtId="235" fontId="23" fillId="0" borderId="0">
      <alignment horizontal="center"/>
    </xf>
    <xf numFmtId="43" fontId="55" fillId="0" borderId="3"/>
    <xf numFmtId="43" fontId="20" fillId="0" borderId="0"/>
    <xf numFmtId="172" fontId="2" fillId="15" borderId="0">
      <alignment horizontal="center"/>
    </xf>
    <xf numFmtId="172" fontId="2" fillId="15" borderId="0">
      <alignment horizontal="center"/>
    </xf>
    <xf numFmtId="172" fontId="20" fillId="15" borderId="0">
      <alignment horizontal="centerContinuous"/>
    </xf>
    <xf numFmtId="172" fontId="20" fillId="15" borderId="3">
      <alignment horizontal="center" wrapText="1"/>
    </xf>
    <xf numFmtId="172" fontId="2" fillId="20" borderId="0">
      <alignment horizontal="center"/>
    </xf>
    <xf numFmtId="172" fontId="2" fillId="20" borderId="0">
      <alignment horizontal="center"/>
    </xf>
    <xf numFmtId="172" fontId="20" fillId="20" borderId="0">
      <alignment horizontal="centerContinuous"/>
    </xf>
    <xf numFmtId="172" fontId="20" fillId="20" borderId="3">
      <alignment horizontal="centerContinuous"/>
    </xf>
    <xf numFmtId="235" fontId="23" fillId="0" borderId="0">
      <alignment horizontal="center" wrapText="1"/>
    </xf>
    <xf numFmtId="172" fontId="22" fillId="0" borderId="0"/>
    <xf numFmtId="43" fontId="22" fillId="0" borderId="0"/>
    <xf numFmtId="43" fontId="22" fillId="0" borderId="0">
      <alignment horizontal="center"/>
    </xf>
    <xf numFmtId="172" fontId="22" fillId="0" borderId="0"/>
    <xf numFmtId="171" fontId="22" fillId="0" borderId="0"/>
    <xf numFmtId="43" fontId="22" fillId="0" borderId="27"/>
    <xf numFmtId="172" fontId="22" fillId="0" borderId="3"/>
    <xf numFmtId="43" fontId="22" fillId="0" borderId="28"/>
    <xf numFmtId="171" fontId="22" fillId="0" borderId="10"/>
    <xf numFmtId="10" fontId="22" fillId="0" borderId="0"/>
    <xf numFmtId="237" fontId="23" fillId="0" borderId="0">
      <alignment horizontal="center"/>
    </xf>
    <xf numFmtId="43" fontId="22" fillId="0" borderId="0"/>
    <xf numFmtId="241" fontId="23" fillId="0" borderId="0">
      <alignment horizontal="center" vertical="top"/>
    </xf>
    <xf numFmtId="14" fontId="20" fillId="0" borderId="0">
      <alignment horizontal="center"/>
    </xf>
    <xf numFmtId="4" fontId="55" fillId="0" borderId="0">
      <alignment horizontal="right" vertical="top"/>
    </xf>
    <xf numFmtId="172" fontId="55" fillId="0" borderId="0">
      <alignment horizontal="center" vertical="top"/>
    </xf>
    <xf numFmtId="172" fontId="22" fillId="0" borderId="3">
      <alignment horizontal="right" vertical="top"/>
    </xf>
    <xf numFmtId="170" fontId="22" fillId="0" borderId="3">
      <alignment horizontal="center" vertical="top"/>
    </xf>
    <xf numFmtId="43" fontId="22" fillId="0" borderId="3">
      <alignment horizontal="center" vertical="top"/>
    </xf>
    <xf numFmtId="235" fontId="22" fillId="0" borderId="3">
      <alignment horizontal="center" vertical="top"/>
    </xf>
    <xf numFmtId="236" fontId="22" fillId="0" borderId="3">
      <alignment horizontal="center" vertical="top" wrapText="1"/>
    </xf>
    <xf numFmtId="237" fontId="23" fillId="0" borderId="0">
      <alignment horizontal="center" wrapText="1"/>
    </xf>
    <xf numFmtId="172" fontId="22" fillId="0" borderId="3">
      <alignment horizontal="center" vertical="top"/>
    </xf>
    <xf numFmtId="172" fontId="22" fillId="0" borderId="3">
      <alignment horizontal="left" vertical="top"/>
    </xf>
    <xf numFmtId="172" fontId="22" fillId="0" borderId="3">
      <alignment vertical="top"/>
    </xf>
    <xf numFmtId="43" fontId="22" fillId="0" borderId="3">
      <alignment horizontal="left" vertical="top"/>
    </xf>
    <xf numFmtId="236" fontId="22" fillId="0" borderId="3">
      <alignment horizontal="center" vertical="top"/>
    </xf>
    <xf numFmtId="43" fontId="2" fillId="0" borderId="0">
      <alignment horizontal="center"/>
    </xf>
    <xf numFmtId="172" fontId="23" fillId="0" borderId="24">
      <alignment horizontal="right" vertical="center"/>
    </xf>
    <xf numFmtId="239" fontId="23" fillId="0" borderId="24">
      <alignment horizontal="left"/>
    </xf>
    <xf numFmtId="242" fontId="23" fillId="0" borderId="24">
      <alignment horizontal="left"/>
    </xf>
    <xf numFmtId="170" fontId="23" fillId="0" borderId="24">
      <alignment horizontal="right" vertical="center"/>
    </xf>
    <xf numFmtId="172" fontId="23" fillId="0" borderId="0">
      <alignment horizontal="left"/>
    </xf>
    <xf numFmtId="172" fontId="23" fillId="0" borderId="10">
      <alignment horizontal="right" vertical="center"/>
    </xf>
    <xf numFmtId="239" fontId="23" fillId="0" borderId="10">
      <alignment horizontal="left"/>
    </xf>
    <xf numFmtId="242" fontId="23" fillId="0" borderId="10">
      <alignment horizontal="left"/>
    </xf>
    <xf numFmtId="170" fontId="23" fillId="0" borderId="10">
      <alignment horizontal="right"/>
    </xf>
    <xf numFmtId="243" fontId="23" fillId="0" borderId="28">
      <alignment horizontal="left"/>
    </xf>
    <xf numFmtId="172" fontId="23" fillId="0" borderId="10">
      <alignment horizontal="left" vertical="center"/>
    </xf>
    <xf numFmtId="171" fontId="2" fillId="0" borderId="0">
      <alignment horizontal="center"/>
    </xf>
    <xf numFmtId="43" fontId="2" fillId="15" borderId="0">
      <alignment horizontal="center"/>
    </xf>
    <xf numFmtId="43" fontId="2" fillId="20" borderId="0">
      <alignment horizontal="center"/>
    </xf>
    <xf numFmtId="242" fontId="23" fillId="0" borderId="0">
      <alignment horizontal="left"/>
    </xf>
    <xf numFmtId="169" fontId="20" fillId="0" borderId="0" applyFill="0" applyBorder="0" applyAlignment="0" applyProtection="0"/>
    <xf numFmtId="172" fontId="75" fillId="0" borderId="0">
      <alignment horizontal="center"/>
    </xf>
    <xf numFmtId="172" fontId="23" fillId="0" borderId="0">
      <alignment horizontal="right"/>
    </xf>
    <xf numFmtId="243" fontId="23" fillId="0" borderId="27">
      <alignment horizontal="left"/>
    </xf>
    <xf numFmtId="43" fontId="22" fillId="0" borderId="26">
      <alignment horizontal="center"/>
    </xf>
    <xf numFmtId="172" fontId="23" fillId="0" borderId="3">
      <alignment horizontal="right" vertical="center"/>
    </xf>
    <xf numFmtId="244" fontId="23" fillId="0" borderId="27">
      <alignment horizontal="left"/>
    </xf>
    <xf numFmtId="172" fontId="22" fillId="14" borderId="0"/>
    <xf numFmtId="172" fontId="22" fillId="14" borderId="0">
      <alignment horizontal="center" vertical="top"/>
    </xf>
    <xf numFmtId="172" fontId="22" fillId="0" borderId="10"/>
    <xf numFmtId="172" fontId="22" fillId="14" borderId="0">
      <alignment horizontal="center" vertical="top"/>
    </xf>
    <xf numFmtId="172" fontId="22" fillId="14" borderId="0">
      <alignment horizontal="right" vertical="top"/>
    </xf>
    <xf numFmtId="170" fontId="22" fillId="14" borderId="0">
      <alignment horizontal="center" vertical="top"/>
    </xf>
    <xf numFmtId="170" fontId="23" fillId="0" borderId="0">
      <alignment horizontal="right"/>
    </xf>
    <xf numFmtId="43" fontId="22" fillId="14" borderId="0">
      <alignment horizontal="center" vertical="top"/>
    </xf>
    <xf numFmtId="235" fontId="22" fillId="14" borderId="0">
      <alignment horizontal="center" vertical="top"/>
    </xf>
    <xf numFmtId="236" fontId="22" fillId="14" borderId="0">
      <alignment horizontal="center" vertical="top"/>
    </xf>
    <xf numFmtId="236" fontId="22" fillId="14" borderId="0">
      <alignment horizontal="center" vertical="top" wrapText="1"/>
    </xf>
    <xf numFmtId="172" fontId="22" fillId="14" borderId="0">
      <alignment horizontal="left" vertical="top"/>
    </xf>
    <xf numFmtId="43" fontId="22" fillId="14" borderId="0">
      <alignment horizontal="left" vertical="top"/>
    </xf>
    <xf numFmtId="43" fontId="22" fillId="14" borderId="0"/>
    <xf numFmtId="172" fontId="22" fillId="15" borderId="0">
      <alignment horizontal="center" vertical="top"/>
    </xf>
    <xf numFmtId="172" fontId="22" fillId="15" borderId="0">
      <alignment horizontal="right" vertical="top"/>
    </xf>
    <xf numFmtId="170" fontId="22" fillId="15" borderId="0">
      <alignment horizontal="center" vertical="top"/>
    </xf>
    <xf numFmtId="172" fontId="22" fillId="0" borderId="0">
      <alignment horizontal="right"/>
    </xf>
    <xf numFmtId="43" fontId="22" fillId="15" borderId="0">
      <alignment horizontal="center" vertical="top"/>
    </xf>
    <xf numFmtId="235" fontId="22" fillId="15" borderId="0">
      <alignment horizontal="center" vertical="top"/>
    </xf>
    <xf numFmtId="236" fontId="22" fillId="15" borderId="0">
      <alignment horizontal="center" vertical="top"/>
    </xf>
    <xf numFmtId="236" fontId="22" fillId="15" borderId="0">
      <alignment horizontal="center" vertical="top" wrapText="1"/>
    </xf>
    <xf numFmtId="172" fontId="22" fillId="15" borderId="0">
      <alignment horizontal="center" vertical="top"/>
    </xf>
    <xf numFmtId="172" fontId="22" fillId="15" borderId="0">
      <alignment horizontal="left" vertical="top"/>
    </xf>
    <xf numFmtId="172" fontId="22" fillId="15" borderId="0"/>
    <xf numFmtId="43" fontId="22" fillId="15" borderId="0">
      <alignment horizontal="left" vertical="top"/>
    </xf>
    <xf numFmtId="235" fontId="22" fillId="15" borderId="0">
      <alignment horizontal="center" vertical="top"/>
    </xf>
    <xf numFmtId="236" fontId="75" fillId="15" borderId="0">
      <alignment horizontal="center" wrapText="1"/>
    </xf>
    <xf numFmtId="172" fontId="22" fillId="0" borderId="0"/>
    <xf numFmtId="172" fontId="22" fillId="15" borderId="0">
      <alignment horizontal="left" vertical="top"/>
    </xf>
    <xf numFmtId="172" fontId="22" fillId="15" borderId="0">
      <alignment horizontal="right"/>
    </xf>
    <xf numFmtId="172" fontId="22" fillId="15" borderId="0">
      <alignment horizontal="right"/>
    </xf>
    <xf numFmtId="4" fontId="55" fillId="15" borderId="0">
      <alignment horizontal="right" vertical="top"/>
    </xf>
    <xf numFmtId="43" fontId="22" fillId="15" borderId="0">
      <alignment horizontal="center" vertical="top"/>
    </xf>
    <xf numFmtId="236" fontId="22" fillId="15" borderId="0">
      <alignment horizontal="center" vertical="top" wrapText="1"/>
    </xf>
    <xf numFmtId="43" fontId="22" fillId="15" borderId="0">
      <alignment horizontal="left" vertical="top"/>
    </xf>
    <xf numFmtId="172" fontId="23" fillId="7" borderId="9">
      <alignment horizontal="right" wrapText="1"/>
    </xf>
    <xf numFmtId="172" fontId="23" fillId="7" borderId="9">
      <alignment horizontal="center" wrapText="1"/>
    </xf>
    <xf numFmtId="170" fontId="23" fillId="7" borderId="9">
      <alignment horizontal="right" wrapText="1"/>
    </xf>
    <xf numFmtId="43" fontId="23" fillId="7" borderId="9">
      <alignment horizontal="center" wrapText="1"/>
    </xf>
    <xf numFmtId="235" fontId="23" fillId="7" borderId="9">
      <alignment horizontal="center" wrapText="1"/>
    </xf>
    <xf numFmtId="235" fontId="23" fillId="7" borderId="9">
      <alignment horizontal="center" wrapText="1"/>
    </xf>
    <xf numFmtId="207" fontId="24" fillId="0" borderId="0">
      <alignment horizontal="left" vertical="center" wrapText="1"/>
    </xf>
    <xf numFmtId="172" fontId="22" fillId="0" borderId="0">
      <alignment horizontal="right"/>
    </xf>
    <xf numFmtId="172" fontId="22" fillId="0" borderId="0"/>
    <xf numFmtId="170" fontId="22" fillId="0" borderId="0">
      <alignment horizontal="right"/>
    </xf>
    <xf numFmtId="43" fontId="22" fillId="0" borderId="0">
      <alignment horizontal="center"/>
    </xf>
    <xf numFmtId="235" fontId="22" fillId="0" borderId="0"/>
    <xf numFmtId="235" fontId="22" fillId="0" borderId="0">
      <alignment wrapText="1"/>
    </xf>
    <xf numFmtId="170" fontId="22" fillId="0" borderId="0">
      <alignment horizontal="center" vertical="top"/>
    </xf>
    <xf numFmtId="172" fontId="22" fillId="0" borderId="0">
      <alignment horizontal="center" vertical="top"/>
    </xf>
    <xf numFmtId="172" fontId="22" fillId="0" borderId="0">
      <alignment horizontal="center" vertical="top"/>
    </xf>
    <xf numFmtId="172" fontId="22" fillId="0" borderId="0">
      <alignment horizontal="left" vertical="top"/>
    </xf>
    <xf numFmtId="172" fontId="22" fillId="0" borderId="0">
      <alignment horizontal="right" vertical="center" wrapText="1"/>
    </xf>
    <xf numFmtId="172" fontId="22" fillId="0" borderId="0">
      <alignment horizontal="right" vertical="top"/>
    </xf>
    <xf numFmtId="170" fontId="22" fillId="0" borderId="0">
      <alignment horizontal="center" vertical="top"/>
    </xf>
    <xf numFmtId="170" fontId="75" fillId="0" borderId="0">
      <alignment horizontal="right"/>
    </xf>
    <xf numFmtId="43" fontId="75" fillId="0" borderId="0">
      <alignment horizontal="center"/>
    </xf>
    <xf numFmtId="235" fontId="75" fillId="0" borderId="0"/>
    <xf numFmtId="236" fontId="75" fillId="0" borderId="0">
      <alignment horizontal="center"/>
    </xf>
    <xf numFmtId="236" fontId="75" fillId="0" borderId="0">
      <alignment horizontal="center" wrapText="1"/>
    </xf>
    <xf numFmtId="235" fontId="75" fillId="0" borderId="0">
      <alignment wrapText="1"/>
    </xf>
    <xf numFmtId="43" fontId="55" fillId="0" borderId="0">
      <alignment horizontal="center"/>
    </xf>
    <xf numFmtId="43" fontId="55" fillId="0" borderId="0"/>
    <xf numFmtId="172" fontId="22" fillId="0" borderId="0">
      <alignment horizontal="center" vertical="center" wrapText="1"/>
    </xf>
    <xf numFmtId="43" fontId="55" fillId="0" borderId="17">
      <alignment horizontal="center" vertical="center"/>
    </xf>
    <xf numFmtId="43" fontId="55" fillId="0" borderId="12">
      <alignment horizontal="center" vertical="center"/>
    </xf>
    <xf numFmtId="43" fontId="79" fillId="0" borderId="12">
      <alignment horizontal="center" vertical="center"/>
    </xf>
    <xf numFmtId="43" fontId="79" fillId="0" borderId="13">
      <alignment horizontal="center"/>
    </xf>
    <xf numFmtId="43" fontId="79" fillId="0" borderId="0">
      <alignment horizontal="center"/>
    </xf>
    <xf numFmtId="2" fontId="79" fillId="0" borderId="0">
      <alignment horizontal="center"/>
    </xf>
    <xf numFmtId="43" fontId="79" fillId="0" borderId="14">
      <alignment horizontal="center"/>
    </xf>
    <xf numFmtId="43" fontId="79" fillId="0" borderId="0">
      <alignment horizontal="center"/>
    </xf>
    <xf numFmtId="172" fontId="79" fillId="0" borderId="0">
      <alignment horizontal="center" wrapText="1"/>
    </xf>
    <xf numFmtId="172" fontId="79" fillId="0" borderId="3">
      <alignment horizontal="center" wrapText="1"/>
    </xf>
    <xf numFmtId="170" fontId="22" fillId="0" borderId="0">
      <alignment horizontal="right" vertical="center" wrapText="1"/>
    </xf>
    <xf numFmtId="165" fontId="79" fillId="0" borderId="3">
      <alignment horizontal="center" wrapText="1"/>
    </xf>
    <xf numFmtId="43" fontId="87" fillId="0" borderId="0">
      <alignment horizontal="left"/>
    </xf>
    <xf numFmtId="43" fontId="79" fillId="0" borderId="0">
      <alignment horizontal="center" wrapText="1"/>
    </xf>
    <xf numFmtId="43" fontId="79" fillId="0" borderId="0">
      <alignment wrapText="1"/>
    </xf>
    <xf numFmtId="43" fontId="79" fillId="7" borderId="9">
      <alignment horizontal="right" wrapText="1"/>
    </xf>
    <xf numFmtId="43" fontId="79" fillId="7" borderId="9">
      <alignment horizontal="center" wrapText="1"/>
    </xf>
    <xf numFmtId="172" fontId="2" fillId="0" borderId="0"/>
    <xf numFmtId="172" fontId="2" fillId="0" borderId="0">
      <alignment horizontal="center"/>
    </xf>
    <xf numFmtId="172" fontId="2" fillId="0" borderId="0">
      <alignment horizontal="left"/>
    </xf>
    <xf numFmtId="172" fontId="2" fillId="0" borderId="0">
      <alignment horizontal="center"/>
    </xf>
    <xf numFmtId="43" fontId="23" fillId="0" borderId="0">
      <alignment horizontal="center" vertical="center" wrapText="1"/>
    </xf>
    <xf numFmtId="172" fontId="20" fillId="0" borderId="0">
      <alignment horizontal="center"/>
    </xf>
    <xf numFmtId="172" fontId="2" fillId="0" borderId="0"/>
    <xf numFmtId="172" fontId="80" fillId="0" borderId="0">
      <alignment horizontal="left" vertical="center"/>
    </xf>
    <xf numFmtId="172" fontId="23" fillId="0" borderId="27"/>
    <xf numFmtId="172" fontId="23" fillId="0" borderId="0"/>
    <xf numFmtId="43" fontId="23" fillId="0" borderId="0"/>
    <xf numFmtId="43" fontId="23" fillId="0" borderId="0">
      <alignment horizontal="center"/>
    </xf>
    <xf numFmtId="172" fontId="23" fillId="0" borderId="0">
      <alignment horizontal="center"/>
    </xf>
    <xf numFmtId="172" fontId="23" fillId="7" borderId="24">
      <alignment horizontal="center"/>
    </xf>
    <xf numFmtId="49" fontId="22" fillId="0" borderId="0">
      <alignment horizontal="left"/>
    </xf>
    <xf numFmtId="235" fontId="23" fillId="0" borderId="0">
      <alignment horizontal="center" vertical="center" wrapText="1"/>
    </xf>
    <xf numFmtId="49" fontId="22" fillId="0" borderId="13">
      <alignment horizontal="left"/>
    </xf>
    <xf numFmtId="49" fontId="22" fillId="0" borderId="15">
      <alignment horizontal="left"/>
    </xf>
    <xf numFmtId="172" fontId="77" fillId="0" borderId="14"/>
    <xf numFmtId="49" fontId="22" fillId="0" borderId="14">
      <alignment horizontal="left"/>
    </xf>
    <xf numFmtId="172" fontId="2" fillId="0" borderId="0">
      <alignment horizontal="center"/>
    </xf>
    <xf numFmtId="172" fontId="2" fillId="0" borderId="0"/>
    <xf numFmtId="172" fontId="2" fillId="0" borderId="0"/>
    <xf numFmtId="172" fontId="20" fillId="0" borderId="0">
      <alignment horizontal="right"/>
    </xf>
    <xf numFmtId="172" fontId="20" fillId="0" borderId="0">
      <alignment horizontal="center"/>
    </xf>
    <xf numFmtId="172" fontId="20" fillId="0" borderId="3"/>
    <xf numFmtId="172" fontId="23" fillId="0" borderId="0">
      <alignment horizontal="left" vertical="center" wrapText="1"/>
    </xf>
    <xf numFmtId="172" fontId="20" fillId="0" borderId="3">
      <alignment horizontal="center"/>
    </xf>
    <xf numFmtId="172" fontId="20" fillId="0" borderId="3">
      <alignment horizontal="center" wrapText="1"/>
    </xf>
    <xf numFmtId="172" fontId="20" fillId="0" borderId="0"/>
    <xf numFmtId="172" fontId="20" fillId="0" borderId="3">
      <alignment horizontal="center" wrapText="1"/>
    </xf>
    <xf numFmtId="172" fontId="20" fillId="0" borderId="0">
      <alignment horizontal="center"/>
    </xf>
    <xf numFmtId="172" fontId="20" fillId="0" borderId="3">
      <alignment horizontal="center"/>
    </xf>
    <xf numFmtId="172" fontId="20" fillId="0" borderId="0"/>
    <xf numFmtId="172" fontId="20" fillId="0" borderId="3">
      <alignment horizontal="left" wrapText="1"/>
    </xf>
    <xf numFmtId="236" fontId="2" fillId="0" borderId="0">
      <alignment horizontal="center"/>
    </xf>
    <xf numFmtId="236" fontId="2" fillId="0" borderId="0">
      <alignment horizontal="left"/>
    </xf>
    <xf numFmtId="0" fontId="88" fillId="0" borderId="0"/>
    <xf numFmtId="10" fontId="6"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227" fontId="6" fillId="0" borderId="0"/>
    <xf numFmtId="0" fontId="89" fillId="7" borderId="0"/>
    <xf numFmtId="0" fontId="54" fillId="0" borderId="0" applyNumberFormat="0" applyFont="0" applyFill="0" applyBorder="0" applyAlignment="0" applyProtection="0">
      <alignment horizontal="left"/>
    </xf>
    <xf numFmtId="15" fontId="54" fillId="0" borderId="0" applyFont="0" applyFill="0" applyBorder="0" applyAlignment="0" applyProtection="0"/>
    <xf numFmtId="4" fontId="54" fillId="0" borderId="0" applyFont="0" applyFill="0" applyBorder="0" applyAlignment="0" applyProtection="0"/>
    <xf numFmtId="0" fontId="90" fillId="0" borderId="10">
      <alignment horizontal="center"/>
    </xf>
    <xf numFmtId="3" fontId="54" fillId="0" borderId="0" applyFont="0" applyFill="0" applyBorder="0" applyAlignment="0" applyProtection="0"/>
    <xf numFmtId="0" fontId="54" fillId="21" borderId="0" applyNumberFormat="0" applyFont="0" applyBorder="0" applyAlignment="0" applyProtection="0"/>
    <xf numFmtId="0" fontId="22" fillId="0" borderId="0">
      <alignment vertical="top"/>
    </xf>
    <xf numFmtId="0" fontId="22" fillId="0" borderId="0">
      <alignment vertical="top"/>
    </xf>
    <xf numFmtId="0" fontId="22" fillId="0" borderId="0">
      <alignment vertical="top"/>
    </xf>
    <xf numFmtId="0" fontId="22" fillId="0" borderId="0">
      <alignment vertical="top"/>
    </xf>
    <xf numFmtId="245" fontId="91" fillId="0" borderId="0"/>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92" fillId="22" borderId="0" applyNumberFormat="0" applyFont="0" applyBorder="0" applyAlignment="0">
      <alignment horizontal="center"/>
    </xf>
    <xf numFmtId="14" fontId="41" fillId="0" borderId="0" applyNumberFormat="0" applyFill="0" applyBorder="0" applyAlignment="0" applyProtection="0">
      <alignment horizontal="left"/>
    </xf>
    <xf numFmtId="49" fontId="2" fillId="0" borderId="0" applyFont="0" applyFill="0" applyBorder="0" applyProtection="0">
      <alignment horizontal="right"/>
    </xf>
    <xf numFmtId="49" fontId="20" fillId="0" borderId="0" applyFill="0" applyBorder="0" applyProtection="0">
      <alignment horizontal="right"/>
    </xf>
    <xf numFmtId="49" fontId="20" fillId="0" borderId="3" applyFill="0" applyProtection="0">
      <alignment horizontal="right"/>
    </xf>
    <xf numFmtId="49" fontId="20" fillId="0" borderId="12" applyFill="0" applyProtection="0">
      <alignment horizontal="right"/>
    </xf>
    <xf numFmtId="0" fontId="64" fillId="0" borderId="0" applyFill="0" applyBorder="0" applyProtection="0">
      <alignment horizontal="left"/>
    </xf>
    <xf numFmtId="0" fontId="13" fillId="23" borderId="0"/>
    <xf numFmtId="0" fontId="92" fillId="1" borderId="8" applyNumberFormat="0" applyFont="0" applyAlignment="0">
      <alignment horizontal="center"/>
    </xf>
    <xf numFmtId="246" fontId="93" fillId="0" borderId="0" applyFont="0" applyFill="0" applyBorder="0" applyAlignment="0" applyProtection="0"/>
    <xf numFmtId="1" fontId="6" fillId="0" borderId="0"/>
    <xf numFmtId="0" fontId="2" fillId="0" borderId="0" applyFont="0" applyFill="0" applyBorder="0" applyAlignment="0" applyProtection="0"/>
    <xf numFmtId="0" fontId="20" fillId="0" borderId="0" applyFill="0" applyBorder="0" applyAlignment="0" applyProtection="0"/>
    <xf numFmtId="42" fontId="21" fillId="0" borderId="0" applyFill="0" applyBorder="0" applyAlignment="0" applyProtection="0"/>
    <xf numFmtId="0" fontId="94" fillId="0" borderId="0" applyNumberFormat="0" applyFill="0" applyBorder="0" applyAlignment="0">
      <alignment horizontal="center"/>
    </xf>
    <xf numFmtId="12" fontId="6" fillId="0" borderId="0" applyFont="0" applyFill="0" applyBorder="0" applyProtection="0">
      <alignment horizontal="right"/>
    </xf>
    <xf numFmtId="0" fontId="6" fillId="24" borderId="0" applyFont="0" applyFill="0" applyBorder="0" applyProtection="0">
      <alignment horizontal="right"/>
    </xf>
    <xf numFmtId="0" fontId="4" fillId="0" borderId="0">
      <alignment vertical="top"/>
    </xf>
    <xf numFmtId="0" fontId="79"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3" fillId="0" borderId="0" applyNumberFormat="0" applyFill="0" applyBorder="0" applyProtection="0">
      <alignment horizontal="left"/>
    </xf>
    <xf numFmtId="0" fontId="23" fillId="0" borderId="0" applyFill="0" applyBorder="0" applyProtection="0">
      <alignment horizontal="left" wrapText="1"/>
    </xf>
    <xf numFmtId="0" fontId="23" fillId="0" borderId="0" applyNumberFormat="0" applyFill="0" applyBorder="0" applyProtection="0">
      <alignment horizontal="right" wrapText="1"/>
    </xf>
    <xf numFmtId="1" fontId="22" fillId="0" borderId="0" applyFill="0" applyBorder="0" applyProtection="0">
      <alignment horizontal="left"/>
    </xf>
    <xf numFmtId="49" fontId="22" fillId="0" borderId="0" applyFill="0" applyBorder="0" applyProtection="0">
      <alignment horizontal="left"/>
    </xf>
    <xf numFmtId="1" fontId="22" fillId="0" borderId="0" applyFill="0" applyBorder="0" applyProtection="0">
      <alignment horizontal="center"/>
    </xf>
    <xf numFmtId="37" fontId="22" fillId="0" borderId="0" applyFill="0" applyBorder="0" applyProtection="0">
      <alignment horizontal="right"/>
    </xf>
    <xf numFmtId="7" fontId="22" fillId="0" borderId="0" applyFill="0" applyBorder="0" applyProtection="0">
      <alignment horizontal="right"/>
    </xf>
    <xf numFmtId="247" fontId="22" fillId="0" borderId="0" applyFill="0" applyBorder="0" applyProtection="0">
      <alignment horizontal="left"/>
    </xf>
    <xf numFmtId="37" fontId="23" fillId="0" borderId="0" applyFill="0" applyBorder="0" applyProtection="0">
      <alignment horizontal="right"/>
    </xf>
    <xf numFmtId="7" fontId="23" fillId="0" borderId="0" applyFill="0" applyBorder="0" applyProtection="0">
      <alignment horizontal="right"/>
    </xf>
    <xf numFmtId="248" fontId="22" fillId="0" borderId="0" applyFill="0" applyBorder="0" applyProtection="0">
      <alignment horizontal="right"/>
    </xf>
    <xf numFmtId="249" fontId="22" fillId="0" borderId="0" applyFill="0" applyBorder="0" applyProtection="0">
      <alignment horizontal="right"/>
    </xf>
    <xf numFmtId="250" fontId="22" fillId="0" borderId="0" applyFill="0" applyBorder="0" applyProtection="0">
      <alignment horizontal="right"/>
    </xf>
    <xf numFmtId="14" fontId="22" fillId="0" borderId="0" applyFill="0" applyBorder="0" applyProtection="0">
      <alignment horizontal="right"/>
    </xf>
    <xf numFmtId="14" fontId="22" fillId="0" borderId="0" applyFill="0" applyBorder="0" applyProtection="0">
      <alignment horizontal="right"/>
    </xf>
    <xf numFmtId="251" fontId="22" fillId="0" borderId="0" applyFill="0" applyBorder="0" applyProtection="0">
      <alignment horizontal="left"/>
    </xf>
    <xf numFmtId="252" fontId="22" fillId="0" borderId="0" applyFill="0" applyBorder="0" applyProtection="0">
      <alignment horizontal="left"/>
    </xf>
    <xf numFmtId="248" fontId="23" fillId="0" borderId="0" applyFill="0" applyBorder="0" applyProtection="0">
      <alignment horizontal="right"/>
    </xf>
    <xf numFmtId="1" fontId="23" fillId="0" borderId="0" applyFill="0" applyBorder="0" applyProtection="0">
      <alignment horizontal="left"/>
    </xf>
    <xf numFmtId="247" fontId="23" fillId="0" borderId="0" applyFill="0" applyBorder="0" applyProtection="0">
      <alignment horizontal="left"/>
    </xf>
    <xf numFmtId="37" fontId="23" fillId="0" borderId="0" applyFill="0" applyBorder="0" applyProtection="0">
      <alignment horizontal="right"/>
    </xf>
    <xf numFmtId="1" fontId="95" fillId="0" borderId="0" applyFill="0" applyBorder="0" applyProtection="0">
      <alignment horizontal="left"/>
    </xf>
    <xf numFmtId="49" fontId="22" fillId="0" borderId="0" applyFill="0" applyBorder="0" applyProtection="0">
      <alignment horizontal="left"/>
    </xf>
    <xf numFmtId="252" fontId="22" fillId="0" borderId="0" applyFill="0" applyBorder="0" applyProtection="0">
      <alignment horizontal="left"/>
    </xf>
    <xf numFmtId="0" fontId="4" fillId="0" borderId="0" applyNumberFormat="0" applyBorder="0" applyAlignment="0"/>
    <xf numFmtId="0" fontId="14" fillId="0" borderId="0"/>
    <xf numFmtId="40" fontId="96" fillId="0" borderId="0" applyBorder="0">
      <alignment horizontal="right"/>
    </xf>
    <xf numFmtId="6" fontId="70" fillId="0" borderId="36" applyFill="0">
      <alignment vertical="center"/>
    </xf>
    <xf numFmtId="0" fontId="15" fillId="0" borderId="0"/>
    <xf numFmtId="0" fontId="97" fillId="0" borderId="0"/>
    <xf numFmtId="0" fontId="2" fillId="0" borderId="0"/>
    <xf numFmtId="49" fontId="4" fillId="0" borderId="0" applyFill="0" applyBorder="0" applyAlignment="0"/>
    <xf numFmtId="0" fontId="26" fillId="0" borderId="0" applyFill="0" applyBorder="0" applyAlignment="0"/>
    <xf numFmtId="201" fontId="6" fillId="0" borderId="0" applyFill="0" applyBorder="0" applyAlignment="0"/>
    <xf numFmtId="0" fontId="16" fillId="0" borderId="0"/>
    <xf numFmtId="0" fontId="17" fillId="0" borderId="0"/>
    <xf numFmtId="0" fontId="18" fillId="0" borderId="0">
      <alignment vertical="top"/>
    </xf>
    <xf numFmtId="253" fontId="70" fillId="0" borderId="0" applyFill="0" applyBorder="0">
      <alignment vertical="center"/>
    </xf>
    <xf numFmtId="0" fontId="22" fillId="0" borderId="0" applyNumberFormat="0" applyFill="0" applyBorder="0" applyAlignment="0" applyProtection="0"/>
    <xf numFmtId="0" fontId="5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38" fontId="98" fillId="0" borderId="0" applyNumberFormat="0" applyFill="0" applyBorder="0">
      <alignment horizontal="left" vertical="center"/>
    </xf>
    <xf numFmtId="38" fontId="99" fillId="0" borderId="0" applyNumberFormat="0" applyFill="0" applyBorder="0">
      <alignment horizontal="centerContinuous" vertical="center"/>
    </xf>
    <xf numFmtId="0" fontId="19" fillId="0" borderId="0">
      <alignment vertical="top"/>
    </xf>
    <xf numFmtId="0" fontId="100" fillId="0" borderId="0" applyNumberFormat="0" applyFill="0" applyBorder="0" applyAlignment="0" applyProtection="0"/>
    <xf numFmtId="0" fontId="6" fillId="0" borderId="0" applyNumberFormat="0" applyFill="0" applyBorder="0" applyAlignment="0" applyProtection="0"/>
    <xf numFmtId="0" fontId="25" fillId="0" borderId="0" applyFill="0" applyBorder="0" applyAlignment="0" applyProtection="0"/>
    <xf numFmtId="0" fontId="16" fillId="0" borderId="0">
      <alignment wrapText="1"/>
    </xf>
    <xf numFmtId="0" fontId="101" fillId="0" borderId="0">
      <alignment horizontal="left"/>
      <protection locked="0"/>
    </xf>
    <xf numFmtId="5" fontId="86" fillId="0" borderId="0">
      <alignment vertical="center"/>
    </xf>
    <xf numFmtId="223" fontId="26" fillId="0" borderId="0"/>
    <xf numFmtId="254" fontId="27" fillId="0" borderId="0" applyFill="0" applyBorder="0" applyAlignment="0" applyProtection="0"/>
    <xf numFmtId="14" fontId="22" fillId="0" borderId="0" applyFont="0" applyFill="0" applyBorder="0" applyProtection="0"/>
    <xf numFmtId="255" fontId="102" fillId="0" borderId="0" applyFill="0" applyBorder="0">
      <alignment vertical="center"/>
    </xf>
    <xf numFmtId="0" fontId="70" fillId="25" borderId="37" applyNumberFormat="0" applyFont="0" applyBorder="0" applyAlignment="0" applyProtection="0">
      <alignment horizontal="right"/>
    </xf>
    <xf numFmtId="256" fontId="21" fillId="0" borderId="0" applyFont="0" applyFill="0" applyBorder="0" applyAlignment="0" applyProtection="0"/>
    <xf numFmtId="255" fontId="103" fillId="0" borderId="0">
      <alignment horizontal="center"/>
    </xf>
    <xf numFmtId="43" fontId="6" fillId="0" borderId="0" applyFont="0" applyFill="0" applyBorder="0" applyAlignment="0" applyProtection="0"/>
    <xf numFmtId="41" fontId="6" fillId="0" borderId="0" applyFont="0" applyFill="0" applyBorder="0" applyAlignment="0" applyProtection="0"/>
    <xf numFmtId="0" fontId="6" fillId="0" borderId="0"/>
    <xf numFmtId="44" fontId="6" fillId="0" borderId="0" applyFont="0" applyFill="0" applyBorder="0" applyAlignment="0" applyProtection="0"/>
    <xf numFmtId="42" fontId="6" fillId="0" borderId="0" applyFont="0" applyFill="0" applyBorder="0" applyAlignment="0" applyProtection="0"/>
  </cellStyleXfs>
  <cellXfs count="812">
    <xf numFmtId="0" fontId="0" fillId="0" borderId="0" xfId="0"/>
    <xf numFmtId="0" fontId="108" fillId="0" borderId="0" xfId="0" applyFont="1"/>
    <xf numFmtId="0" fontId="109" fillId="0" borderId="0" xfId="0" applyFont="1"/>
    <xf numFmtId="0" fontId="110" fillId="0" borderId="0" xfId="0" applyFont="1"/>
    <xf numFmtId="165" fontId="111" fillId="0" borderId="0" xfId="0" applyNumberFormat="1" applyFont="1"/>
    <xf numFmtId="0" fontId="112" fillId="0" borderId="0" xfId="0" applyFont="1"/>
    <xf numFmtId="165" fontId="108" fillId="0" borderId="0" xfId="0" applyNumberFormat="1" applyFont="1"/>
    <xf numFmtId="0" fontId="108" fillId="0" borderId="0" xfId="0" applyFont="1" applyAlignment="1">
      <alignment horizontal="left"/>
    </xf>
    <xf numFmtId="165" fontId="112" fillId="0" borderId="0" xfId="0" applyNumberFormat="1" applyFont="1"/>
    <xf numFmtId="167" fontId="108" fillId="0" borderId="0" xfId="0" applyNumberFormat="1" applyFont="1"/>
    <xf numFmtId="0" fontId="113" fillId="14" borderId="0" xfId="0" applyFont="1" applyFill="1" applyAlignment="1">
      <alignment horizontal="left"/>
    </xf>
    <xf numFmtId="0" fontId="112" fillId="14" borderId="0" xfId="0" applyFont="1" applyFill="1"/>
    <xf numFmtId="0" fontId="112" fillId="14" borderId="38" xfId="0" applyFont="1" applyFill="1" applyBorder="1" applyAlignment="1">
      <alignment horizontal="centerContinuous"/>
    </xf>
    <xf numFmtId="168" fontId="112" fillId="14" borderId="0" xfId="0" applyNumberFormat="1" applyFont="1" applyFill="1" applyAlignment="1">
      <alignment horizontal="centerContinuous"/>
    </xf>
    <xf numFmtId="168" fontId="112" fillId="14" borderId="0" xfId="0" applyNumberFormat="1" applyFont="1" applyFill="1" applyAlignment="1">
      <alignment horizontal="center"/>
    </xf>
    <xf numFmtId="168" fontId="114" fillId="14" borderId="0" xfId="0" applyNumberFormat="1" applyFont="1" applyFill="1" applyAlignment="1">
      <alignment horizontal="center"/>
    </xf>
    <xf numFmtId="0" fontId="112" fillId="0" borderId="0" xfId="0" applyFont="1" applyAlignment="1">
      <alignment horizontal="left"/>
    </xf>
    <xf numFmtId="0" fontId="112" fillId="14" borderId="3" xfId="0" applyFont="1" applyFill="1" applyBorder="1"/>
    <xf numFmtId="0" fontId="108" fillId="14" borderId="3" xfId="0" applyFont="1" applyFill="1" applyBorder="1"/>
    <xf numFmtId="0" fontId="112" fillId="0" borderId="3" xfId="0" applyFont="1" applyBorder="1"/>
    <xf numFmtId="0" fontId="115" fillId="14" borderId="0" xfId="0" applyFont="1" applyFill="1" applyAlignment="1">
      <alignment horizontal="left" indent="1"/>
    </xf>
    <xf numFmtId="169" fontId="116" fillId="14" borderId="0" xfId="756" applyNumberFormat="1" applyFont="1" applyFill="1"/>
    <xf numFmtId="0" fontId="115" fillId="14" borderId="0" xfId="0" applyFont="1" applyFill="1" applyAlignment="1">
      <alignment horizontal="left"/>
    </xf>
    <xf numFmtId="43" fontId="110" fillId="0" borderId="0" xfId="162" applyFont="1" applyFill="1" applyBorder="1" applyAlignment="1">
      <alignment horizontal="center"/>
    </xf>
    <xf numFmtId="37" fontId="108" fillId="0" borderId="0" xfId="0" applyNumberFormat="1" applyFont="1"/>
    <xf numFmtId="0" fontId="112" fillId="0" borderId="39" xfId="0" applyFont="1" applyBorder="1"/>
    <xf numFmtId="37" fontId="111" fillId="0" borderId="0" xfId="756" applyNumberFormat="1" applyFont="1" applyFill="1"/>
    <xf numFmtId="0" fontId="108" fillId="0" borderId="3" xfId="0" applyFont="1" applyBorder="1"/>
    <xf numFmtId="165" fontId="110" fillId="0" borderId="0" xfId="0" applyNumberFormat="1" applyFont="1"/>
    <xf numFmtId="0" fontId="115" fillId="0" borderId="0" xfId="0" applyFont="1"/>
    <xf numFmtId="0" fontId="115" fillId="14" borderId="0" xfId="0" applyFont="1" applyFill="1"/>
    <xf numFmtId="169" fontId="115" fillId="14" borderId="0" xfId="756" applyNumberFormat="1" applyFont="1" applyFill="1"/>
    <xf numFmtId="257" fontId="112" fillId="0" borderId="0" xfId="0" applyNumberFormat="1" applyFont="1"/>
    <xf numFmtId="257" fontId="108" fillId="0" borderId="0" xfId="0" applyNumberFormat="1" applyFont="1"/>
    <xf numFmtId="0" fontId="112" fillId="14" borderId="8" xfId="388" applyFont="1" applyFill="1" applyBorder="1" applyAlignment="1">
      <alignment horizontal="left" wrapText="1"/>
    </xf>
    <xf numFmtId="0" fontId="108" fillId="0" borderId="0" xfId="388" applyFont="1" applyAlignment="1">
      <alignment horizontal="center" wrapText="1"/>
    </xf>
    <xf numFmtId="0" fontId="108" fillId="0" borderId="0" xfId="388" applyFont="1"/>
    <xf numFmtId="0" fontId="112" fillId="14" borderId="8" xfId="388" applyFont="1" applyFill="1" applyBorder="1" applyAlignment="1">
      <alignment horizontal="right" wrapText="1"/>
    </xf>
    <xf numFmtId="166" fontId="112" fillId="0" borderId="0" xfId="0" applyNumberFormat="1" applyFont="1"/>
    <xf numFmtId="172" fontId="108" fillId="0" borderId="0" xfId="162" applyNumberFormat="1" applyFont="1"/>
    <xf numFmtId="165" fontId="117" fillId="0" borderId="0" xfId="0" applyNumberFormat="1" applyFont="1"/>
    <xf numFmtId="165" fontId="118" fillId="0" borderId="0" xfId="0" applyNumberFormat="1" applyFont="1"/>
    <xf numFmtId="169" fontId="115" fillId="14" borderId="0" xfId="0" applyNumberFormat="1" applyFont="1" applyFill="1"/>
    <xf numFmtId="165" fontId="111" fillId="0" borderId="0" xfId="0" applyNumberFormat="1" applyFont="1" applyAlignment="1">
      <alignment horizontal="right"/>
    </xf>
    <xf numFmtId="0" fontId="108" fillId="16" borderId="0" xfId="389" applyFont="1" applyFill="1"/>
    <xf numFmtId="0" fontId="112" fillId="16" borderId="8" xfId="389" applyFont="1" applyFill="1" applyBorder="1"/>
    <xf numFmtId="258" fontId="112" fillId="16" borderId="8" xfId="389" applyNumberFormat="1" applyFont="1" applyFill="1" applyBorder="1"/>
    <xf numFmtId="258" fontId="108" fillId="16" borderId="0" xfId="389" applyNumberFormat="1" applyFont="1" applyFill="1"/>
    <xf numFmtId="168" fontId="112" fillId="14" borderId="3" xfId="0" applyNumberFormat="1" applyFont="1" applyFill="1" applyBorder="1" applyAlignment="1">
      <alignment horizontal="centerContinuous"/>
    </xf>
    <xf numFmtId="165" fontId="111" fillId="13" borderId="0" xfId="0" applyNumberFormat="1" applyFont="1" applyFill="1"/>
    <xf numFmtId="0" fontId="112" fillId="13" borderId="0" xfId="0" applyFont="1" applyFill="1"/>
    <xf numFmtId="165" fontId="114" fillId="0" borderId="0" xfId="0" applyNumberFormat="1" applyFont="1"/>
    <xf numFmtId="0" fontId="108" fillId="0" borderId="0" xfId="0" applyFont="1" applyAlignment="1">
      <alignment horizontal="right"/>
    </xf>
    <xf numFmtId="258" fontId="112" fillId="0" borderId="0" xfId="0" applyNumberFormat="1" applyFont="1" applyAlignment="1">
      <alignment horizontal="right"/>
    </xf>
    <xf numFmtId="258" fontId="108" fillId="0" borderId="0" xfId="0" applyNumberFormat="1" applyFont="1" applyAlignment="1">
      <alignment horizontal="right"/>
    </xf>
    <xf numFmtId="9" fontId="115" fillId="14" borderId="0" xfId="756" applyFont="1" applyFill="1" applyAlignment="1">
      <alignment horizontal="right"/>
    </xf>
    <xf numFmtId="37" fontId="108" fillId="0" borderId="0" xfId="0" applyNumberFormat="1" applyFont="1" applyAlignment="1">
      <alignment horizontal="right"/>
    </xf>
    <xf numFmtId="169" fontId="115" fillId="0" borderId="0" xfId="756" applyNumberFormat="1" applyFont="1" applyFill="1" applyBorder="1"/>
    <xf numFmtId="165" fontId="112" fillId="0" borderId="0" xfId="0" applyNumberFormat="1" applyFont="1" applyAlignment="1">
      <alignment horizontal="right"/>
    </xf>
    <xf numFmtId="9" fontId="108" fillId="0" borderId="0" xfId="756" applyFont="1"/>
    <xf numFmtId="0" fontId="108" fillId="13" borderId="0" xfId="0" applyFont="1" applyFill="1" applyAlignment="1">
      <alignment horizontal="left"/>
    </xf>
    <xf numFmtId="37" fontId="108" fillId="13" borderId="0" xfId="0" applyNumberFormat="1" applyFont="1" applyFill="1"/>
    <xf numFmtId="260" fontId="108" fillId="0" borderId="0" xfId="0" applyNumberFormat="1" applyFont="1"/>
    <xf numFmtId="9" fontId="108" fillId="0" borderId="0" xfId="756" applyFont="1" applyFill="1"/>
    <xf numFmtId="0" fontId="108" fillId="0" borderId="7" xfId="0" applyFont="1" applyBorder="1"/>
    <xf numFmtId="169" fontId="119" fillId="14" borderId="0" xfId="756" applyNumberFormat="1" applyFont="1" applyFill="1"/>
    <xf numFmtId="169" fontId="115" fillId="0" borderId="0" xfId="756" applyNumberFormat="1" applyFont="1" applyFill="1"/>
    <xf numFmtId="165" fontId="112" fillId="0" borderId="39" xfId="0" applyNumberFormat="1" applyFont="1" applyBorder="1"/>
    <xf numFmtId="259" fontId="108" fillId="0" borderId="0" xfId="0" applyNumberFormat="1" applyFont="1"/>
    <xf numFmtId="259" fontId="112" fillId="0" borderId="39" xfId="0" applyNumberFormat="1" applyFont="1" applyBorder="1" applyAlignment="1">
      <alignment horizontal="right"/>
    </xf>
    <xf numFmtId="166" fontId="112" fillId="0" borderId="0" xfId="0" applyNumberFormat="1" applyFont="1" applyAlignment="1">
      <alignment horizontal="right"/>
    </xf>
    <xf numFmtId="259" fontId="112" fillId="0" borderId="39" xfId="0" applyNumberFormat="1" applyFont="1" applyBorder="1"/>
    <xf numFmtId="0" fontId="115" fillId="0" borderId="0" xfId="0" applyFont="1" applyAlignment="1">
      <alignment horizontal="left" indent="1"/>
    </xf>
    <xf numFmtId="169" fontId="116" fillId="0" borderId="0" xfId="756" applyNumberFormat="1" applyFont="1" applyFill="1"/>
    <xf numFmtId="1" fontId="108" fillId="0" borderId="0" xfId="0" applyNumberFormat="1" applyFont="1" applyAlignment="1">
      <alignment horizontal="right"/>
    </xf>
    <xf numFmtId="259" fontId="108" fillId="0" borderId="0" xfId="0" applyNumberFormat="1" applyFont="1" applyAlignment="1">
      <alignment horizontal="right"/>
    </xf>
    <xf numFmtId="0" fontId="112" fillId="0" borderId="7" xfId="0" applyFont="1" applyBorder="1"/>
    <xf numFmtId="259" fontId="112" fillId="0" borderId="0" xfId="0" applyNumberFormat="1" applyFont="1"/>
    <xf numFmtId="0" fontId="117" fillId="0" borderId="0" xfId="0" applyFont="1"/>
    <xf numFmtId="169" fontId="115" fillId="14" borderId="0" xfId="756" applyNumberFormat="1" applyFont="1" applyFill="1" applyAlignment="1">
      <alignment horizontal="right"/>
    </xf>
    <xf numFmtId="0" fontId="112" fillId="0" borderId="0" xfId="388" applyFont="1"/>
    <xf numFmtId="9" fontId="117" fillId="0" borderId="0" xfId="756" applyFont="1" applyFill="1"/>
    <xf numFmtId="168" fontId="112" fillId="14" borderId="8" xfId="0" applyNumberFormat="1" applyFont="1" applyFill="1" applyBorder="1" applyAlignment="1">
      <alignment horizontal="centerContinuous"/>
    </xf>
    <xf numFmtId="168" fontId="114" fillId="14" borderId="3" xfId="0" applyNumberFormat="1" applyFont="1" applyFill="1" applyBorder="1" applyAlignment="1">
      <alignment horizontal="centerContinuous"/>
    </xf>
    <xf numFmtId="0" fontId="112" fillId="16" borderId="0" xfId="389" applyFont="1" applyFill="1"/>
    <xf numFmtId="258" fontId="112" fillId="16" borderId="0" xfId="389" applyNumberFormat="1" applyFont="1" applyFill="1"/>
    <xf numFmtId="0" fontId="108" fillId="0" borderId="21" xfId="388" applyFont="1" applyBorder="1" applyAlignment="1">
      <alignment horizontal="left"/>
    </xf>
    <xf numFmtId="0" fontId="108" fillId="0" borderId="22" xfId="388" applyFont="1" applyBorder="1" applyAlignment="1">
      <alignment horizontal="left"/>
    </xf>
    <xf numFmtId="2" fontId="108" fillId="0" borderId="0" xfId="0" applyNumberFormat="1" applyFont="1"/>
    <xf numFmtId="259" fontId="108" fillId="0" borderId="7" xfId="0" applyNumberFormat="1" applyFont="1" applyBorder="1"/>
    <xf numFmtId="259" fontId="112" fillId="0" borderId="7" xfId="0" applyNumberFormat="1" applyFont="1" applyBorder="1"/>
    <xf numFmtId="0" fontId="112" fillId="14" borderId="40" xfId="0" applyFont="1" applyFill="1" applyBorder="1" applyAlignment="1">
      <alignment horizontal="centerContinuous"/>
    </xf>
    <xf numFmtId="168" fontId="112" fillId="14" borderId="14" xfId="0" applyNumberFormat="1" applyFont="1" applyFill="1" applyBorder="1" applyAlignment="1">
      <alignment horizontal="centerContinuous"/>
    </xf>
    <xf numFmtId="169" fontId="115" fillId="0" borderId="14" xfId="756" applyNumberFormat="1" applyFont="1" applyFill="1" applyBorder="1"/>
    <xf numFmtId="169" fontId="119" fillId="0" borderId="0" xfId="756" applyNumberFormat="1" applyFont="1" applyFill="1"/>
    <xf numFmtId="169" fontId="119" fillId="0" borderId="14" xfId="756" applyNumberFormat="1" applyFont="1" applyFill="1" applyBorder="1"/>
    <xf numFmtId="168" fontId="112" fillId="14" borderId="16" xfId="0" applyNumberFormat="1" applyFont="1" applyFill="1" applyBorder="1" applyAlignment="1">
      <alignment horizontal="centerContinuous"/>
    </xf>
    <xf numFmtId="165" fontId="117" fillId="0" borderId="14" xfId="0" applyNumberFormat="1" applyFont="1" applyBorder="1"/>
    <xf numFmtId="165" fontId="114" fillId="0" borderId="14" xfId="0" applyNumberFormat="1" applyFont="1" applyBorder="1"/>
    <xf numFmtId="169" fontId="119" fillId="14" borderId="14" xfId="756" applyNumberFormat="1" applyFont="1" applyFill="1" applyBorder="1"/>
    <xf numFmtId="169" fontId="116" fillId="14" borderId="14" xfId="756" applyNumberFormat="1" applyFont="1" applyFill="1" applyBorder="1"/>
    <xf numFmtId="37" fontId="108" fillId="0" borderId="14" xfId="0" applyNumberFormat="1" applyFont="1" applyBorder="1"/>
    <xf numFmtId="37" fontId="108" fillId="13" borderId="14" xfId="0" applyNumberFormat="1" applyFont="1" applyFill="1" applyBorder="1"/>
    <xf numFmtId="168" fontId="114" fillId="14" borderId="16" xfId="0" applyNumberFormat="1" applyFont="1" applyFill="1" applyBorder="1" applyAlignment="1">
      <alignment horizontal="centerContinuous"/>
    </xf>
    <xf numFmtId="260" fontId="108" fillId="0" borderId="14" xfId="0" applyNumberFormat="1" applyFont="1" applyBorder="1"/>
    <xf numFmtId="0" fontId="108" fillId="0" borderId="14" xfId="0" applyFont="1" applyBorder="1"/>
    <xf numFmtId="165" fontId="110" fillId="0" borderId="14" xfId="0" applyNumberFormat="1" applyFont="1" applyBorder="1"/>
    <xf numFmtId="9" fontId="117" fillId="0" borderId="14" xfId="756" applyFont="1" applyFill="1" applyBorder="1"/>
    <xf numFmtId="165" fontId="108" fillId="0" borderId="14" xfId="0" applyNumberFormat="1" applyFont="1" applyBorder="1"/>
    <xf numFmtId="37" fontId="111" fillId="0" borderId="14" xfId="756" applyNumberFormat="1" applyFont="1" applyFill="1" applyBorder="1"/>
    <xf numFmtId="165" fontId="111" fillId="0" borderId="14" xfId="0" applyNumberFormat="1" applyFont="1" applyBorder="1"/>
    <xf numFmtId="0" fontId="117" fillId="0" borderId="14" xfId="0" applyFont="1" applyBorder="1"/>
    <xf numFmtId="257" fontId="114" fillId="0" borderId="0" xfId="0" applyNumberFormat="1" applyFont="1"/>
    <xf numFmtId="257" fontId="117" fillId="0" borderId="0" xfId="0" applyNumberFormat="1" applyFont="1"/>
    <xf numFmtId="257" fontId="114" fillId="0" borderId="14" xfId="0" applyNumberFormat="1" applyFont="1" applyBorder="1"/>
    <xf numFmtId="257" fontId="117" fillId="0" borderId="14" xfId="0" applyNumberFormat="1" applyFont="1" applyBorder="1"/>
    <xf numFmtId="169" fontId="115" fillId="14" borderId="14" xfId="0" applyNumberFormat="1" applyFont="1" applyFill="1" applyBorder="1"/>
    <xf numFmtId="169" fontId="115" fillId="0" borderId="0" xfId="756" applyNumberFormat="1" applyFont="1" applyFill="1" applyAlignment="1">
      <alignment horizontal="right"/>
    </xf>
    <xf numFmtId="169" fontId="115" fillId="14" borderId="14" xfId="756" applyNumberFormat="1" applyFont="1" applyFill="1" applyBorder="1" applyAlignment="1">
      <alignment horizontal="right"/>
    </xf>
    <xf numFmtId="169" fontId="115" fillId="0" borderId="14" xfId="756" applyNumberFormat="1" applyFont="1" applyFill="1" applyBorder="1" applyAlignment="1">
      <alignment horizontal="right"/>
    </xf>
    <xf numFmtId="165" fontId="112" fillId="0" borderId="41" xfId="0" applyNumberFormat="1" applyFont="1" applyBorder="1"/>
    <xf numFmtId="9" fontId="115" fillId="14" borderId="14" xfId="756" applyFont="1" applyFill="1" applyBorder="1" applyAlignment="1">
      <alignment horizontal="right"/>
    </xf>
    <xf numFmtId="37" fontId="108" fillId="0" borderId="16" xfId="0" applyNumberFormat="1" applyFont="1" applyBorder="1" applyAlignment="1">
      <alignment horizontal="right"/>
    </xf>
    <xf numFmtId="169" fontId="115" fillId="14" borderId="42" xfId="756" applyNumberFormat="1" applyFont="1" applyFill="1" applyBorder="1" applyAlignment="1">
      <alignment horizontal="right"/>
    </xf>
    <xf numFmtId="0" fontId="109" fillId="0" borderId="8" xfId="0" applyFont="1" applyBorder="1"/>
    <xf numFmtId="0" fontId="112" fillId="14" borderId="8" xfId="0" applyFont="1" applyFill="1" applyBorder="1"/>
    <xf numFmtId="258" fontId="112" fillId="0" borderId="14" xfId="0" applyNumberFormat="1" applyFont="1" applyBorder="1" applyAlignment="1">
      <alignment horizontal="right"/>
    </xf>
    <xf numFmtId="258" fontId="108" fillId="0" borderId="14" xfId="0" applyNumberFormat="1" applyFont="1" applyBorder="1" applyAlignment="1">
      <alignment horizontal="right"/>
    </xf>
    <xf numFmtId="2" fontId="108" fillId="0" borderId="14" xfId="0" applyNumberFormat="1" applyFont="1" applyBorder="1"/>
    <xf numFmtId="259" fontId="112" fillId="0" borderId="41" xfId="0" applyNumberFormat="1" applyFont="1" applyBorder="1" applyAlignment="1">
      <alignment horizontal="right"/>
    </xf>
    <xf numFmtId="259" fontId="108" fillId="0" borderId="14" xfId="0" applyNumberFormat="1" applyFont="1" applyBorder="1"/>
    <xf numFmtId="259" fontId="112" fillId="0" borderId="43" xfId="0" applyNumberFormat="1" applyFont="1" applyBorder="1"/>
    <xf numFmtId="259" fontId="108" fillId="0" borderId="14" xfId="0" applyNumberFormat="1" applyFont="1" applyBorder="1" applyAlignment="1">
      <alignment horizontal="right"/>
    </xf>
    <xf numFmtId="259" fontId="108" fillId="0" borderId="43" xfId="0" applyNumberFormat="1" applyFont="1" applyBorder="1"/>
    <xf numFmtId="259" fontId="108" fillId="0" borderId="42" xfId="0" applyNumberFormat="1" applyFont="1" applyBorder="1"/>
    <xf numFmtId="1" fontId="108" fillId="0" borderId="14" xfId="0" applyNumberFormat="1" applyFont="1" applyBorder="1" applyAlignment="1">
      <alignment horizontal="right"/>
    </xf>
    <xf numFmtId="0" fontId="112" fillId="0" borderId="6" xfId="0" applyFont="1" applyBorder="1"/>
    <xf numFmtId="9" fontId="108" fillId="0" borderId="14" xfId="756" applyFont="1" applyBorder="1"/>
    <xf numFmtId="259" fontId="112" fillId="0" borderId="6" xfId="0" applyNumberFormat="1" applyFont="1" applyBorder="1"/>
    <xf numFmtId="168" fontId="114" fillId="14" borderId="14" xfId="0" applyNumberFormat="1" applyFont="1" applyFill="1" applyBorder="1" applyAlignment="1">
      <alignment horizontal="center"/>
    </xf>
    <xf numFmtId="0" fontId="112" fillId="0" borderId="44" xfId="388" applyFont="1" applyBorder="1" applyAlignment="1">
      <alignment horizontal="left" wrapText="1"/>
    </xf>
    <xf numFmtId="0" fontId="108" fillId="0" borderId="21" xfId="388" applyFont="1" applyBorder="1" applyAlignment="1">
      <alignment horizontal="left" wrapText="1"/>
    </xf>
    <xf numFmtId="1" fontId="108" fillId="0" borderId="27" xfId="388" applyNumberFormat="1" applyFont="1" applyBorder="1" applyAlignment="1">
      <alignment horizontal="left" wrapText="1"/>
    </xf>
    <xf numFmtId="0" fontId="108" fillId="0" borderId="45" xfId="388" applyFont="1" applyBorder="1"/>
    <xf numFmtId="259" fontId="112" fillId="0" borderId="41" xfId="0" applyNumberFormat="1" applyFont="1" applyBorder="1"/>
    <xf numFmtId="37" fontId="108" fillId="0" borderId="14" xfId="0" applyNumberFormat="1" applyFont="1" applyBorder="1" applyAlignment="1">
      <alignment horizontal="right"/>
    </xf>
    <xf numFmtId="259" fontId="112" fillId="0" borderId="14" xfId="0" applyNumberFormat="1" applyFont="1" applyBorder="1"/>
    <xf numFmtId="43" fontId="110" fillId="0" borderId="14" xfId="162" applyFont="1" applyFill="1" applyBorder="1" applyAlignment="1">
      <alignment horizontal="center"/>
    </xf>
    <xf numFmtId="0" fontId="108" fillId="14" borderId="16" xfId="0" applyFont="1" applyFill="1" applyBorder="1"/>
    <xf numFmtId="169" fontId="111" fillId="0" borderId="14" xfId="756" applyNumberFormat="1" applyFont="1" applyFill="1" applyBorder="1"/>
    <xf numFmtId="167" fontId="108" fillId="0" borderId="14" xfId="0" applyNumberFormat="1" applyFont="1" applyBorder="1"/>
    <xf numFmtId="166" fontId="112" fillId="0" borderId="14" xfId="0" applyNumberFormat="1" applyFont="1" applyBorder="1" applyAlignment="1">
      <alignment horizontal="right"/>
    </xf>
    <xf numFmtId="166" fontId="112" fillId="0" borderId="14" xfId="0" applyNumberFormat="1" applyFont="1" applyBorder="1"/>
    <xf numFmtId="165" fontId="112" fillId="0" borderId="14" xfId="0" applyNumberFormat="1" applyFont="1" applyBorder="1" applyAlignment="1">
      <alignment horizontal="right"/>
    </xf>
    <xf numFmtId="0" fontId="112" fillId="0" borderId="16" xfId="0" applyFont="1" applyBorder="1"/>
    <xf numFmtId="0" fontId="112" fillId="0" borderId="14" xfId="0" applyFont="1" applyBorder="1"/>
    <xf numFmtId="169" fontId="108" fillId="0" borderId="0" xfId="756" applyNumberFormat="1" applyFont="1"/>
    <xf numFmtId="165" fontId="118" fillId="0" borderId="14" xfId="0" applyNumberFormat="1" applyFont="1" applyBorder="1"/>
    <xf numFmtId="165" fontId="111" fillId="0" borderId="14" xfId="0" applyNumberFormat="1" applyFont="1" applyBorder="1" applyAlignment="1">
      <alignment horizontal="right"/>
    </xf>
    <xf numFmtId="169" fontId="120" fillId="14" borderId="0" xfId="756" applyNumberFormat="1" applyFont="1" applyFill="1"/>
    <xf numFmtId="261" fontId="112" fillId="0" borderId="0" xfId="0" applyNumberFormat="1" applyFont="1" applyAlignment="1">
      <alignment horizontal="right"/>
    </xf>
    <xf numFmtId="0" fontId="108" fillId="14" borderId="0" xfId="388" applyFont="1" applyFill="1" applyAlignment="1">
      <alignment horizontal="left" wrapText="1"/>
    </xf>
    <xf numFmtId="0" fontId="108" fillId="14" borderId="0" xfId="388" applyFont="1" applyFill="1" applyAlignment="1">
      <alignment horizontal="right" wrapText="1"/>
    </xf>
    <xf numFmtId="165" fontId="112" fillId="0" borderId="14" xfId="0" applyNumberFormat="1" applyFont="1" applyBorder="1"/>
    <xf numFmtId="0" fontId="119" fillId="0" borderId="0" xfId="0" applyFont="1"/>
    <xf numFmtId="169" fontId="112" fillId="0" borderId="0" xfId="756" applyNumberFormat="1" applyFont="1"/>
    <xf numFmtId="169" fontId="119" fillId="0" borderId="0" xfId="756" applyNumberFormat="1" applyFont="1" applyFill="1" applyBorder="1"/>
    <xf numFmtId="0" fontId="121" fillId="0" borderId="0" xfId="0" applyFont="1" applyAlignment="1">
      <alignment horizontal="left"/>
    </xf>
    <xf numFmtId="165" fontId="119" fillId="0" borderId="0" xfId="0" applyNumberFormat="1" applyFont="1"/>
    <xf numFmtId="165" fontId="119" fillId="0" borderId="14" xfId="0" applyNumberFormat="1" applyFont="1" applyBorder="1"/>
    <xf numFmtId="0" fontId="117" fillId="0" borderId="0" xfId="0" applyFont="1" applyAlignment="1">
      <alignment horizontal="left"/>
    </xf>
    <xf numFmtId="262" fontId="117" fillId="0" borderId="0" xfId="0" applyNumberFormat="1" applyFont="1"/>
    <xf numFmtId="262" fontId="114" fillId="0" borderId="0" xfId="0" applyNumberFormat="1" applyFont="1"/>
    <xf numFmtId="169" fontId="111" fillId="0" borderId="0" xfId="756" applyNumberFormat="1" applyFont="1" applyFill="1"/>
    <xf numFmtId="17" fontId="112" fillId="14" borderId="8" xfId="388" applyNumberFormat="1" applyFont="1" applyFill="1" applyBorder="1" applyAlignment="1">
      <alignment horizontal="center" wrapText="1"/>
    </xf>
    <xf numFmtId="172" fontId="112" fillId="16" borderId="8" xfId="162" applyNumberFormat="1" applyFont="1" applyFill="1" applyBorder="1" applyAlignment="1">
      <alignment horizontal="center"/>
    </xf>
    <xf numFmtId="172" fontId="108" fillId="16" borderId="0" xfId="162" applyNumberFormat="1" applyFont="1" applyFill="1" applyAlignment="1">
      <alignment horizontal="center"/>
    </xf>
    <xf numFmtId="172" fontId="112" fillId="16" borderId="0" xfId="162" applyNumberFormat="1" applyFont="1" applyFill="1" applyBorder="1" applyAlignment="1">
      <alignment horizontal="center"/>
    </xf>
    <xf numFmtId="261" fontId="112" fillId="13" borderId="0" xfId="0" applyNumberFormat="1" applyFont="1" applyFill="1" applyAlignment="1">
      <alignment horizontal="right"/>
    </xf>
    <xf numFmtId="166" fontId="112" fillId="13" borderId="0" xfId="0" applyNumberFormat="1" applyFont="1" applyFill="1"/>
    <xf numFmtId="166" fontId="112" fillId="13" borderId="14" xfId="0" applyNumberFormat="1" applyFont="1" applyFill="1" applyBorder="1"/>
    <xf numFmtId="165" fontId="112" fillId="13" borderId="0" xfId="0" applyNumberFormat="1" applyFont="1" applyFill="1" applyAlignment="1">
      <alignment horizontal="right"/>
    </xf>
    <xf numFmtId="165" fontId="112" fillId="13" borderId="14" xfId="0" applyNumberFormat="1" applyFont="1" applyFill="1" applyBorder="1" applyAlignment="1">
      <alignment horizontal="right"/>
    </xf>
    <xf numFmtId="169" fontId="116" fillId="14" borderId="0" xfId="756" applyNumberFormat="1" applyFont="1" applyFill="1" applyBorder="1"/>
    <xf numFmtId="169" fontId="119" fillId="14" borderId="0" xfId="756" applyNumberFormat="1" applyFont="1" applyFill="1" applyBorder="1"/>
    <xf numFmtId="9" fontId="117" fillId="0" borderId="0" xfId="756" applyFont="1" applyFill="1" applyBorder="1"/>
    <xf numFmtId="169" fontId="111" fillId="0" borderId="0" xfId="756" applyNumberFormat="1" applyFont="1" applyFill="1" applyBorder="1"/>
    <xf numFmtId="37" fontId="111" fillId="0" borderId="0" xfId="756" applyNumberFormat="1" applyFont="1" applyFill="1" applyBorder="1"/>
    <xf numFmtId="169" fontId="115" fillId="14" borderId="0" xfId="756" applyNumberFormat="1" applyFont="1" applyFill="1" applyBorder="1" applyAlignment="1">
      <alignment horizontal="right"/>
    </xf>
    <xf numFmtId="169" fontId="115" fillId="0" borderId="0" xfId="756" applyNumberFormat="1" applyFont="1" applyFill="1" applyBorder="1" applyAlignment="1">
      <alignment horizontal="right"/>
    </xf>
    <xf numFmtId="9" fontId="115" fillId="14" borderId="0" xfId="756" applyFont="1" applyFill="1" applyBorder="1" applyAlignment="1">
      <alignment horizontal="right"/>
    </xf>
    <xf numFmtId="9" fontId="108" fillId="0" borderId="0" xfId="756" applyFont="1" applyBorder="1"/>
    <xf numFmtId="259" fontId="108" fillId="0" borderId="47" xfId="0" applyNumberFormat="1" applyFont="1" applyBorder="1"/>
    <xf numFmtId="0" fontId="147" fillId="0" borderId="0" xfId="0" applyFont="1"/>
    <xf numFmtId="43" fontId="147" fillId="0" borderId="0" xfId="162" applyFont="1" applyFill="1" applyBorder="1"/>
    <xf numFmtId="170" fontId="147" fillId="0" borderId="0" xfId="162" applyNumberFormat="1" applyFont="1" applyFill="1" applyBorder="1"/>
    <xf numFmtId="170" fontId="108" fillId="0" borderId="0" xfId="162" applyNumberFormat="1" applyFont="1" applyFill="1" applyBorder="1"/>
    <xf numFmtId="170" fontId="108" fillId="0" borderId="14" xfId="162" applyNumberFormat="1" applyFont="1" applyFill="1" applyBorder="1"/>
    <xf numFmtId="170" fontId="112" fillId="0" borderId="0" xfId="162" applyNumberFormat="1" applyFont="1" applyFill="1"/>
    <xf numFmtId="170" fontId="110" fillId="0" borderId="0" xfId="162" applyNumberFormat="1" applyFont="1" applyFill="1"/>
    <xf numFmtId="170" fontId="110" fillId="0" borderId="14" xfId="162" applyNumberFormat="1" applyFont="1" applyFill="1" applyBorder="1"/>
    <xf numFmtId="0" fontId="108" fillId="0" borderId="0" xfId="0" applyFont="1" applyAlignment="1">
      <alignment horizontal="left" indent="1"/>
    </xf>
    <xf numFmtId="170" fontId="112" fillId="0" borderId="0" xfId="162" applyNumberFormat="1" applyFont="1" applyFill="1" applyBorder="1"/>
    <xf numFmtId="39" fontId="111" fillId="0" borderId="0" xfId="0" applyNumberFormat="1" applyFont="1"/>
    <xf numFmtId="39" fontId="147" fillId="0" borderId="0" xfId="0" applyNumberFormat="1" applyFont="1"/>
    <xf numFmtId="43" fontId="147" fillId="0" borderId="0" xfId="162" applyFont="1" applyFill="1"/>
    <xf numFmtId="169" fontId="148" fillId="14" borderId="0" xfId="756" applyNumberFormat="1" applyFont="1" applyFill="1"/>
    <xf numFmtId="170" fontId="134" fillId="0" borderId="46" xfId="162" applyNumberFormat="1" applyFont="1" applyFill="1" applyBorder="1" applyAlignment="1">
      <alignment horizontal="right" vertical="center" wrapText="1"/>
    </xf>
    <xf numFmtId="169" fontId="115" fillId="14" borderId="0" xfId="756" applyNumberFormat="1" applyFont="1" applyFill="1" applyBorder="1"/>
    <xf numFmtId="0" fontId="112" fillId="14" borderId="0" xfId="388" applyFont="1" applyFill="1" applyAlignment="1">
      <alignment horizontal="left" wrapText="1"/>
    </xf>
    <xf numFmtId="170" fontId="112" fillId="14" borderId="0" xfId="162" applyNumberFormat="1" applyFont="1" applyFill="1" applyBorder="1" applyAlignment="1">
      <alignment horizontal="center" wrapText="1"/>
    </xf>
    <xf numFmtId="170" fontId="147" fillId="14" borderId="0" xfId="162" applyNumberFormat="1" applyFont="1" applyFill="1" applyBorder="1" applyAlignment="1">
      <alignment horizontal="center" wrapText="1"/>
    </xf>
    <xf numFmtId="0" fontId="112" fillId="14" borderId="8" xfId="388" applyFont="1" applyFill="1" applyBorder="1" applyAlignment="1">
      <alignment horizontal="center" vertical="center" wrapText="1"/>
    </xf>
    <xf numFmtId="165" fontId="147" fillId="0" borderId="0" xfId="0" applyNumberFormat="1" applyFont="1"/>
    <xf numFmtId="170" fontId="108" fillId="0" borderId="0" xfId="162" applyNumberFormat="1" applyFont="1"/>
    <xf numFmtId="170" fontId="112" fillId="0" borderId="39" xfId="162" applyNumberFormat="1" applyFont="1" applyFill="1" applyBorder="1" applyAlignment="1">
      <alignment horizontal="right"/>
    </xf>
    <xf numFmtId="170" fontId="108" fillId="0" borderId="0" xfId="162" applyNumberFormat="1" applyFont="1" applyBorder="1"/>
    <xf numFmtId="170" fontId="108" fillId="0" borderId="7" xfId="162" applyNumberFormat="1" applyFont="1" applyBorder="1"/>
    <xf numFmtId="170" fontId="112" fillId="0" borderId="7" xfId="162" applyNumberFormat="1" applyFont="1" applyBorder="1"/>
    <xf numFmtId="170" fontId="112" fillId="0" borderId="6" xfId="162" applyNumberFormat="1" applyFont="1" applyBorder="1"/>
    <xf numFmtId="170" fontId="112" fillId="0" borderId="0" xfId="162" applyNumberFormat="1" applyFont="1" applyBorder="1"/>
    <xf numFmtId="259" fontId="112" fillId="0" borderId="48" xfId="0" applyNumberFormat="1" applyFont="1" applyBorder="1"/>
    <xf numFmtId="258" fontId="112" fillId="14" borderId="0" xfId="388" applyNumberFormat="1" applyFont="1" applyFill="1" applyAlignment="1">
      <alignment horizontal="right" wrapText="1"/>
    </xf>
    <xf numFmtId="168" fontId="112" fillId="14" borderId="3" xfId="0" applyNumberFormat="1" applyFont="1" applyFill="1" applyBorder="1" applyAlignment="1">
      <alignment horizontal="center" vertical="center"/>
    </xf>
    <xf numFmtId="0" fontId="149" fillId="0" borderId="0" xfId="0" applyFont="1"/>
    <xf numFmtId="0" fontId="150" fillId="0" borderId="0" xfId="0" applyFont="1"/>
    <xf numFmtId="9" fontId="108" fillId="0" borderId="0" xfId="388" applyNumberFormat="1" applyFont="1"/>
    <xf numFmtId="172" fontId="108" fillId="0" borderId="0" xfId="388" applyNumberFormat="1" applyFont="1"/>
    <xf numFmtId="258" fontId="112" fillId="0" borderId="0" xfId="388" applyNumberFormat="1" applyFont="1" applyAlignment="1">
      <alignment horizontal="right" wrapText="1"/>
    </xf>
    <xf numFmtId="0" fontId="108" fillId="14" borderId="0" xfId="388" applyFont="1" applyFill="1" applyAlignment="1">
      <alignment horizontal="left" vertical="center" wrapText="1"/>
    </xf>
    <xf numFmtId="170" fontId="147" fillId="0" borderId="0" xfId="162" applyNumberFormat="1" applyFont="1" applyFill="1" applyBorder="1" applyAlignment="1">
      <alignment horizontal="right"/>
    </xf>
    <xf numFmtId="169" fontId="110" fillId="0" borderId="0" xfId="756" applyNumberFormat="1" applyFont="1" applyFill="1"/>
    <xf numFmtId="0" fontId="112" fillId="0" borderId="49" xfId="388" applyFont="1" applyBorder="1" applyAlignment="1">
      <alignment horizontal="center" wrapText="1"/>
    </xf>
    <xf numFmtId="1" fontId="108" fillId="0" borderId="28" xfId="388" applyNumberFormat="1" applyFont="1" applyBorder="1" applyAlignment="1">
      <alignment horizontal="right"/>
    </xf>
    <xf numFmtId="0" fontId="112" fillId="0" borderId="44" xfId="388" applyFont="1" applyBorder="1"/>
    <xf numFmtId="170" fontId="108" fillId="0" borderId="27" xfId="162" applyNumberFormat="1" applyFont="1" applyFill="1" applyBorder="1" applyAlignment="1">
      <alignment horizontal="right" wrapText="1"/>
    </xf>
    <xf numFmtId="170" fontId="108" fillId="0" borderId="50" xfId="162" applyNumberFormat="1" applyFont="1" applyFill="1" applyBorder="1" applyAlignment="1">
      <alignment horizontal="right" wrapText="1"/>
    </xf>
    <xf numFmtId="170" fontId="108" fillId="0" borderId="27" xfId="162" applyNumberFormat="1" applyFont="1" applyFill="1" applyBorder="1" applyAlignment="1">
      <alignment horizontal="right"/>
    </xf>
    <xf numFmtId="170" fontId="112" fillId="0" borderId="0" xfId="162" applyNumberFormat="1" applyFont="1"/>
    <xf numFmtId="0" fontId="108" fillId="0" borderId="21" xfId="388" applyFont="1" applyBorder="1"/>
    <xf numFmtId="0" fontId="112" fillId="0" borderId="51" xfId="388" applyFont="1" applyBorder="1" applyAlignment="1">
      <alignment horizontal="center" wrapText="1"/>
    </xf>
    <xf numFmtId="1" fontId="108" fillId="0" borderId="52" xfId="388" applyNumberFormat="1" applyFont="1" applyBorder="1" applyAlignment="1">
      <alignment horizontal="left" wrapText="1"/>
    </xf>
    <xf numFmtId="170" fontId="108" fillId="0" borderId="52" xfId="162" applyNumberFormat="1" applyFont="1" applyFill="1" applyBorder="1" applyAlignment="1">
      <alignment horizontal="right" wrapText="1"/>
    </xf>
    <xf numFmtId="170" fontId="108" fillId="0" borderId="53" xfId="162" applyNumberFormat="1" applyFont="1" applyFill="1" applyBorder="1" applyAlignment="1">
      <alignment horizontal="right" wrapText="1"/>
    </xf>
    <xf numFmtId="1" fontId="108" fillId="0" borderId="54" xfId="388" applyNumberFormat="1" applyFont="1" applyBorder="1" applyAlignment="1">
      <alignment horizontal="right"/>
    </xf>
    <xf numFmtId="0" fontId="112" fillId="0" borderId="45" xfId="388" applyFont="1" applyBorder="1"/>
    <xf numFmtId="170" fontId="108" fillId="0" borderId="53" xfId="388" applyNumberFormat="1" applyFont="1" applyBorder="1"/>
    <xf numFmtId="170" fontId="112" fillId="0" borderId="50" xfId="162" applyNumberFormat="1" applyFont="1" applyFill="1" applyBorder="1" applyAlignment="1">
      <alignment horizontal="right" wrapText="1"/>
    </xf>
    <xf numFmtId="0" fontId="108" fillId="14" borderId="0" xfId="388" applyFont="1" applyFill="1" applyAlignment="1">
      <alignment horizontal="center" wrapText="1"/>
    </xf>
    <xf numFmtId="10" fontId="108" fillId="14" borderId="0" xfId="388" applyNumberFormat="1" applyFont="1" applyFill="1" applyAlignment="1">
      <alignment horizontal="center" wrapText="1"/>
    </xf>
    <xf numFmtId="0" fontId="112" fillId="14" borderId="0" xfId="388" applyFont="1" applyFill="1" applyAlignment="1">
      <alignment horizontal="center" wrapText="1"/>
    </xf>
    <xf numFmtId="0" fontId="108" fillId="14" borderId="0" xfId="388" applyFont="1" applyFill="1" applyAlignment="1">
      <alignment horizontal="center" vertical="center" wrapText="1"/>
    </xf>
    <xf numFmtId="9" fontId="117" fillId="0" borderId="0" xfId="756" applyFont="1" applyBorder="1"/>
    <xf numFmtId="170" fontId="111" fillId="0" borderId="52" xfId="162" applyNumberFormat="1" applyFont="1" applyFill="1" applyBorder="1" applyAlignment="1">
      <alignment horizontal="center" wrapText="1"/>
    </xf>
    <xf numFmtId="0" fontId="112" fillId="26" borderId="0" xfId="0" applyFont="1" applyFill="1" applyAlignment="1">
      <alignment horizontal="left"/>
    </xf>
    <xf numFmtId="172" fontId="108" fillId="27" borderId="0" xfId="162" applyNumberFormat="1" applyFont="1" applyFill="1"/>
    <xf numFmtId="17" fontId="112" fillId="14" borderId="3" xfId="388" applyNumberFormat="1" applyFont="1" applyFill="1" applyBorder="1" applyAlignment="1">
      <alignment wrapText="1"/>
    </xf>
    <xf numFmtId="170" fontId="108" fillId="14" borderId="0" xfId="162" applyNumberFormat="1" applyFont="1" applyFill="1" applyBorder="1" applyAlignment="1">
      <alignment horizontal="center" wrapText="1"/>
    </xf>
    <xf numFmtId="43" fontId="112" fillId="16" borderId="8" xfId="162" applyFont="1" applyFill="1" applyBorder="1" applyAlignment="1">
      <alignment horizontal="center"/>
    </xf>
    <xf numFmtId="172" fontId="151" fillId="16" borderId="8" xfId="162" applyNumberFormat="1" applyFont="1" applyFill="1" applyBorder="1" applyAlignment="1">
      <alignment horizontal="center"/>
    </xf>
    <xf numFmtId="172" fontId="147" fillId="16" borderId="0" xfId="162" applyNumberFormat="1" applyFont="1" applyFill="1" applyAlignment="1">
      <alignment horizontal="center"/>
    </xf>
    <xf numFmtId="165" fontId="108" fillId="0" borderId="14" xfId="0" applyNumberFormat="1" applyFont="1" applyBorder="1" applyAlignment="1">
      <alignment horizontal="right"/>
    </xf>
    <xf numFmtId="0" fontId="108" fillId="0" borderId="14" xfId="0" applyFont="1" applyBorder="1" applyAlignment="1">
      <alignment horizontal="right"/>
    </xf>
    <xf numFmtId="171" fontId="147" fillId="14" borderId="0" xfId="162" applyNumberFormat="1" applyFont="1" applyFill="1" applyBorder="1" applyAlignment="1">
      <alignment horizontal="center" wrapText="1"/>
    </xf>
    <xf numFmtId="171" fontId="112" fillId="14" borderId="0" xfId="162" applyNumberFormat="1" applyFont="1" applyFill="1" applyBorder="1" applyAlignment="1">
      <alignment horizontal="center" wrapText="1"/>
    </xf>
    <xf numFmtId="0" fontId="112" fillId="16" borderId="12" xfId="389" applyFont="1" applyFill="1" applyBorder="1"/>
    <xf numFmtId="172" fontId="112" fillId="16" borderId="12" xfId="162" applyNumberFormat="1" applyFont="1" applyFill="1" applyBorder="1" applyAlignment="1">
      <alignment horizontal="center"/>
    </xf>
    <xf numFmtId="258" fontId="112" fillId="16" borderId="12" xfId="389" applyNumberFormat="1" applyFont="1" applyFill="1" applyBorder="1"/>
    <xf numFmtId="0" fontId="112" fillId="16" borderId="3" xfId="389" applyFont="1" applyFill="1" applyBorder="1"/>
    <xf numFmtId="172" fontId="112" fillId="16" borderId="3" xfId="162" applyNumberFormat="1" applyFont="1" applyFill="1" applyBorder="1" applyAlignment="1">
      <alignment horizontal="center"/>
    </xf>
    <xf numFmtId="258" fontId="112" fillId="16" borderId="3" xfId="389" applyNumberFormat="1" applyFont="1" applyFill="1" applyBorder="1"/>
    <xf numFmtId="172" fontId="108" fillId="16" borderId="0" xfId="162" applyNumberFormat="1" applyFont="1" applyFill="1" applyBorder="1" applyAlignment="1">
      <alignment horizontal="center"/>
    </xf>
    <xf numFmtId="170" fontId="108" fillId="16" borderId="0" xfId="162" applyNumberFormat="1" applyFont="1" applyFill="1" applyBorder="1" applyAlignment="1">
      <alignment horizontal="center"/>
    </xf>
    <xf numFmtId="0" fontId="152" fillId="0" borderId="0" xfId="388" applyFont="1"/>
    <xf numFmtId="165" fontId="108" fillId="0" borderId="0" xfId="0" applyNumberFormat="1" applyFont="1" applyAlignment="1">
      <alignment horizontal="right"/>
    </xf>
    <xf numFmtId="170" fontId="153" fillId="0" borderId="0" xfId="162" applyNumberFormat="1" applyFont="1" applyFill="1" applyBorder="1"/>
    <xf numFmtId="165" fontId="153" fillId="0" borderId="0" xfId="0" applyNumberFormat="1" applyFont="1"/>
    <xf numFmtId="258" fontId="108" fillId="14" borderId="0" xfId="388" applyNumberFormat="1" applyFont="1" applyFill="1" applyAlignment="1">
      <alignment horizontal="right" wrapText="1"/>
    </xf>
    <xf numFmtId="165" fontId="154" fillId="0" borderId="0" xfId="0" applyNumberFormat="1" applyFont="1" applyAlignment="1">
      <alignment horizontal="right"/>
    </xf>
    <xf numFmtId="2" fontId="112" fillId="0" borderId="0" xfId="0" applyNumberFormat="1" applyFont="1"/>
    <xf numFmtId="2" fontId="112" fillId="0" borderId="14" xfId="0" applyNumberFormat="1" applyFont="1" applyBorder="1"/>
    <xf numFmtId="172" fontId="108" fillId="0" borderId="0" xfId="0" applyNumberFormat="1" applyFont="1"/>
    <xf numFmtId="172" fontId="108" fillId="14" borderId="0" xfId="162" applyNumberFormat="1" applyFont="1" applyFill="1" applyBorder="1" applyAlignment="1">
      <alignment horizontal="center" wrapText="1"/>
    </xf>
    <xf numFmtId="172" fontId="112" fillId="14" borderId="0" xfId="162" applyNumberFormat="1" applyFont="1" applyFill="1" applyBorder="1" applyAlignment="1">
      <alignment horizontal="center" wrapText="1"/>
    </xf>
    <xf numFmtId="172" fontId="147" fillId="14" borderId="0" xfId="162" applyNumberFormat="1" applyFont="1" applyFill="1" applyBorder="1" applyAlignment="1">
      <alignment horizontal="center" wrapText="1"/>
    </xf>
    <xf numFmtId="43" fontId="108" fillId="0" borderId="0" xfId="388" applyNumberFormat="1" applyFont="1"/>
    <xf numFmtId="165" fontId="111" fillId="28" borderId="0" xfId="0" applyNumberFormat="1" applyFont="1" applyFill="1"/>
    <xf numFmtId="168" fontId="112" fillId="0" borderId="3" xfId="0" applyNumberFormat="1" applyFont="1" applyBorder="1" applyAlignment="1">
      <alignment horizontal="centerContinuous"/>
    </xf>
    <xf numFmtId="169" fontId="108" fillId="0" borderId="0" xfId="756" applyNumberFormat="1" applyFont="1" applyFill="1"/>
    <xf numFmtId="9" fontId="108" fillId="0" borderId="14" xfId="756" applyFont="1" applyFill="1" applyBorder="1"/>
    <xf numFmtId="9" fontId="108" fillId="0" borderId="0" xfId="756" applyFont="1" applyFill="1" applyBorder="1"/>
    <xf numFmtId="168" fontId="112" fillId="0" borderId="3" xfId="0" applyNumberFormat="1" applyFont="1" applyBorder="1" applyAlignment="1">
      <alignment horizontal="left"/>
    </xf>
    <xf numFmtId="168" fontId="112" fillId="0" borderId="3" xfId="0" applyNumberFormat="1" applyFont="1" applyBorder="1" applyAlignment="1">
      <alignment horizontal="center"/>
    </xf>
    <xf numFmtId="168" fontId="112" fillId="0" borderId="3" xfId="0" applyNumberFormat="1" applyFont="1" applyBorder="1" applyAlignment="1">
      <alignment horizontal="center" vertical="center"/>
    </xf>
    <xf numFmtId="168" fontId="112" fillId="0" borderId="16" xfId="0" applyNumberFormat="1" applyFont="1" applyBorder="1" applyAlignment="1">
      <alignment horizontal="centerContinuous"/>
    </xf>
    <xf numFmtId="168" fontId="112" fillId="0" borderId="0" xfId="0" applyNumberFormat="1" applyFont="1" applyAlignment="1">
      <alignment horizontal="centerContinuous"/>
    </xf>
    <xf numFmtId="165" fontId="111" fillId="0" borderId="18" xfId="0" applyNumberFormat="1" applyFont="1" applyBorder="1"/>
    <xf numFmtId="0" fontId="127" fillId="0" borderId="46" xfId="465" applyFont="1" applyBorder="1" applyAlignment="1">
      <alignment wrapText="1"/>
    </xf>
    <xf numFmtId="265" fontId="127" fillId="0" borderId="46" xfId="464" applyNumberFormat="1" applyFont="1" applyBorder="1" applyAlignment="1">
      <alignment horizontal="center" vertical="center" wrapText="1"/>
    </xf>
    <xf numFmtId="265" fontId="127" fillId="0" borderId="0" xfId="464" applyNumberFormat="1" applyFont="1" applyAlignment="1">
      <alignment horizontal="center" vertical="center" wrapText="1"/>
    </xf>
    <xf numFmtId="265" fontId="127" fillId="0" borderId="46" xfId="466" applyNumberFormat="1" applyFont="1" applyBorder="1" applyAlignment="1">
      <alignment horizontal="center" vertical="center" wrapText="1"/>
    </xf>
    <xf numFmtId="0" fontId="127" fillId="0" borderId="46" xfId="465" applyFont="1" applyBorder="1" applyAlignment="1">
      <alignment horizontal="left" wrapText="1" indent="1"/>
    </xf>
    <xf numFmtId="0" fontId="127" fillId="0" borderId="0" xfId="465" applyFont="1" applyAlignment="1">
      <alignment horizontal="left" wrapText="1" indent="1"/>
    </xf>
    <xf numFmtId="265" fontId="127" fillId="0" borderId="0" xfId="466" applyNumberFormat="1" applyFont="1" applyAlignment="1">
      <alignment horizontal="center" vertical="center" wrapText="1"/>
    </xf>
    <xf numFmtId="0" fontId="126" fillId="0" borderId="0" xfId="465" applyFont="1" applyAlignment="1">
      <alignment wrapText="1"/>
    </xf>
    <xf numFmtId="0" fontId="126" fillId="0" borderId="0" xfId="244" applyNumberFormat="1" applyFont="1" applyFill="1" applyBorder="1" applyAlignment="1">
      <alignment horizontal="center"/>
    </xf>
    <xf numFmtId="169" fontId="127" fillId="0" borderId="46" xfId="851" applyNumberFormat="1" applyFont="1" applyFill="1" applyBorder="1" applyAlignment="1">
      <alignment horizontal="center" vertical="center"/>
    </xf>
    <xf numFmtId="169" fontId="127" fillId="0" borderId="0" xfId="851" applyNumberFormat="1" applyFont="1" applyFill="1" applyBorder="1" applyAlignment="1">
      <alignment horizontal="center" vertical="center"/>
    </xf>
    <xf numFmtId="169" fontId="127" fillId="0" borderId="46" xfId="853" applyNumberFormat="1" applyFont="1" applyFill="1" applyBorder="1" applyAlignment="1">
      <alignment horizontal="center" vertical="center"/>
    </xf>
    <xf numFmtId="0" fontId="127" fillId="0" borderId="46" xfId="465" applyFont="1" applyBorder="1" applyAlignment="1">
      <alignment horizontal="left" wrapText="1" indent="3"/>
    </xf>
    <xf numFmtId="0" fontId="127" fillId="0" borderId="46" xfId="465" applyFont="1" applyBorder="1" applyAlignment="1">
      <alignment horizontal="left" wrapText="1"/>
    </xf>
    <xf numFmtId="265" fontId="125" fillId="0" borderId="0" xfId="466" applyNumberFormat="1" applyFont="1" applyAlignment="1">
      <alignment wrapText="1"/>
    </xf>
    <xf numFmtId="169" fontId="127" fillId="0" borderId="0" xfId="853" applyNumberFormat="1" applyFont="1" applyFill="1" applyBorder="1" applyAlignment="1">
      <alignment horizontal="center" vertical="center"/>
    </xf>
    <xf numFmtId="0" fontId="126" fillId="0" borderId="55" xfId="465" applyFont="1" applyBorder="1" applyAlignment="1">
      <alignment wrapText="1"/>
    </xf>
    <xf numFmtId="265" fontId="127" fillId="0" borderId="55" xfId="464" applyNumberFormat="1" applyFont="1" applyBorder="1" applyAlignment="1">
      <alignment horizontal="center" vertical="center" wrapText="1"/>
    </xf>
    <xf numFmtId="169" fontId="116" fillId="0" borderId="0" xfId="756" applyNumberFormat="1" applyFont="1" applyFill="1" applyBorder="1"/>
    <xf numFmtId="169" fontId="116" fillId="0" borderId="14" xfId="756" applyNumberFormat="1" applyFont="1" applyFill="1" applyBorder="1"/>
    <xf numFmtId="265" fontId="127" fillId="0" borderId="55" xfId="466" applyNumberFormat="1" applyFont="1" applyBorder="1" applyAlignment="1">
      <alignment horizontal="center" vertical="center" wrapText="1"/>
    </xf>
    <xf numFmtId="0" fontId="126" fillId="0" borderId="56" xfId="465" applyFont="1" applyBorder="1" applyAlignment="1">
      <alignment wrapText="1"/>
    </xf>
    <xf numFmtId="265" fontId="126" fillId="0" borderId="56" xfId="464" applyNumberFormat="1" applyFont="1" applyBorder="1" applyAlignment="1">
      <alignment horizontal="center" vertical="center" wrapText="1"/>
    </xf>
    <xf numFmtId="265" fontId="126" fillId="0" borderId="56" xfId="466" applyNumberFormat="1" applyFont="1" applyBorder="1" applyAlignment="1">
      <alignment horizontal="center" vertical="center" wrapText="1"/>
    </xf>
    <xf numFmtId="265" fontId="126" fillId="0" borderId="57" xfId="466" applyNumberFormat="1" applyFont="1" applyBorder="1" applyAlignment="1">
      <alignment horizontal="center" vertical="center" wrapText="1"/>
    </xf>
    <xf numFmtId="0" fontId="122" fillId="0" borderId="12" xfId="0" applyFont="1" applyBorder="1" applyAlignment="1">
      <alignment horizontal="left" wrapText="1" readingOrder="1"/>
    </xf>
    <xf numFmtId="0" fontId="112" fillId="0" borderId="18" xfId="0" applyFont="1" applyBorder="1"/>
    <xf numFmtId="0" fontId="112" fillId="0" borderId="12" xfId="0" applyFont="1" applyBorder="1"/>
    <xf numFmtId="168" fontId="112" fillId="0" borderId="3" xfId="0" applyNumberFormat="1" applyFont="1" applyBorder="1" applyAlignment="1">
      <alignment horizontal="left" wrapText="1"/>
    </xf>
    <xf numFmtId="0" fontId="123" fillId="0" borderId="0" xfId="0" applyFont="1" applyAlignment="1">
      <alignment wrapText="1"/>
    </xf>
    <xf numFmtId="0" fontId="126" fillId="0" borderId="0" xfId="237" applyNumberFormat="1" applyFont="1" applyFill="1" applyBorder="1" applyAlignment="1">
      <alignment horizontal="left"/>
    </xf>
    <xf numFmtId="0" fontId="127" fillId="0" borderId="0" xfId="460" applyFont="1" applyAlignment="1">
      <alignment wrapText="1"/>
    </xf>
    <xf numFmtId="265" fontId="127" fillId="0" borderId="0" xfId="461" applyNumberFormat="1" applyFont="1" applyAlignment="1">
      <alignment horizontal="center" vertical="center" wrapText="1"/>
    </xf>
    <xf numFmtId="265" fontId="127" fillId="0" borderId="46" xfId="463" applyNumberFormat="1" applyFont="1" applyBorder="1" applyAlignment="1">
      <alignment horizontal="center" vertical="center" wrapText="1"/>
    </xf>
    <xf numFmtId="0" fontId="118" fillId="0" borderId="0" xfId="460" applyFont="1" applyAlignment="1">
      <alignment wrapText="1"/>
    </xf>
    <xf numFmtId="265" fontId="118" fillId="0" borderId="0" xfId="461" applyNumberFormat="1" applyFont="1" applyAlignment="1">
      <alignment horizontal="center" vertical="center" wrapText="1"/>
    </xf>
    <xf numFmtId="265" fontId="126" fillId="0" borderId="58" xfId="463" applyNumberFormat="1" applyFont="1" applyBorder="1" applyAlignment="1">
      <alignment horizontal="center" vertical="center" wrapText="1"/>
    </xf>
    <xf numFmtId="265" fontId="126" fillId="0" borderId="0" xfId="463" applyNumberFormat="1" applyFont="1" applyAlignment="1">
      <alignment horizontal="center" vertical="center" wrapText="1"/>
    </xf>
    <xf numFmtId="265" fontId="127" fillId="0" borderId="46" xfId="451" applyNumberFormat="1" applyFont="1" applyBorder="1" applyAlignment="1">
      <alignment horizontal="center" vertical="center" wrapText="1"/>
    </xf>
    <xf numFmtId="265" fontId="127" fillId="0" borderId="46" xfId="452" applyNumberFormat="1" applyFont="1" applyBorder="1" applyAlignment="1">
      <alignment horizontal="center" vertical="center" wrapText="1"/>
    </xf>
    <xf numFmtId="265" fontId="127" fillId="0" borderId="46" xfId="453" applyNumberFormat="1" applyFont="1" applyBorder="1" applyAlignment="1">
      <alignment horizontal="center" vertical="center" wrapText="1"/>
    </xf>
    <xf numFmtId="265" fontId="127" fillId="0" borderId="46" xfId="454" applyNumberFormat="1" applyFont="1" applyBorder="1" applyAlignment="1">
      <alignment horizontal="center" vertical="center" wrapText="1"/>
    </xf>
    <xf numFmtId="265" fontId="127" fillId="0" borderId="46" xfId="455" applyNumberFormat="1" applyFont="1" applyBorder="1" applyAlignment="1">
      <alignment horizontal="center" vertical="center" wrapText="1"/>
    </xf>
    <xf numFmtId="265" fontId="125" fillId="0" borderId="46" xfId="451" applyNumberFormat="1" applyFont="1" applyBorder="1" applyAlignment="1">
      <alignment wrapText="1"/>
    </xf>
    <xf numFmtId="265" fontId="125" fillId="0" borderId="46" xfId="452" applyNumberFormat="1" applyFont="1" applyBorder="1" applyAlignment="1">
      <alignment wrapText="1"/>
    </xf>
    <xf numFmtId="265" fontId="125" fillId="0" borderId="46" xfId="453" applyNumberFormat="1" applyFont="1" applyBorder="1" applyAlignment="1">
      <alignment wrapText="1"/>
    </xf>
    <xf numFmtId="265" fontId="125" fillId="0" borderId="46" xfId="454" applyNumberFormat="1" applyFont="1" applyBorder="1" applyAlignment="1">
      <alignment wrapText="1"/>
    </xf>
    <xf numFmtId="265" fontId="125" fillId="0" borderId="46" xfId="455" applyNumberFormat="1" applyFont="1" applyBorder="1" applyAlignment="1">
      <alignment wrapText="1"/>
    </xf>
    <xf numFmtId="169" fontId="127" fillId="0" borderId="0" xfId="843" applyNumberFormat="1" applyFont="1" applyFill="1" applyBorder="1" applyAlignment="1">
      <alignment horizontal="center" vertical="center" wrapText="1"/>
    </xf>
    <xf numFmtId="169" fontId="127" fillId="0" borderId="0" xfId="844" applyNumberFormat="1" applyFont="1" applyFill="1" applyBorder="1" applyAlignment="1">
      <alignment horizontal="center" vertical="center" wrapText="1"/>
    </xf>
    <xf numFmtId="169" fontId="127" fillId="0" borderId="0" xfId="845" applyNumberFormat="1" applyFont="1" applyFill="1" applyBorder="1" applyAlignment="1">
      <alignment horizontal="center" vertical="center" wrapText="1"/>
    </xf>
    <xf numFmtId="169" fontId="127" fillId="0" borderId="46" xfId="837" applyNumberFormat="1" applyFont="1" applyFill="1" applyBorder="1" applyAlignment="1">
      <alignment horizontal="center" vertical="center" wrapText="1"/>
    </xf>
    <xf numFmtId="169" fontId="127" fillId="0" borderId="46" xfId="838" applyNumberFormat="1" applyFont="1" applyFill="1" applyBorder="1" applyAlignment="1">
      <alignment horizontal="center" vertical="center" wrapText="1"/>
    </xf>
    <xf numFmtId="169" fontId="127" fillId="0" borderId="46" xfId="840" applyNumberFormat="1" applyFont="1" applyFill="1" applyBorder="1" applyAlignment="1">
      <alignment horizontal="center" vertical="center" wrapText="1"/>
    </xf>
    <xf numFmtId="169" fontId="127" fillId="0" borderId="46" xfId="841" applyNumberFormat="1" applyFont="1" applyFill="1" applyBorder="1" applyAlignment="1">
      <alignment horizontal="center" vertical="center" wrapText="1"/>
    </xf>
    <xf numFmtId="169" fontId="127" fillId="0" borderId="46" xfId="842" applyNumberFormat="1" applyFont="1" applyFill="1" applyBorder="1" applyAlignment="1">
      <alignment horizontal="center" vertical="center" wrapText="1"/>
    </xf>
    <xf numFmtId="0" fontId="129" fillId="0" borderId="0" xfId="456" applyFont="1" applyAlignment="1">
      <alignment vertical="center" wrapText="1"/>
    </xf>
    <xf numFmtId="0" fontId="129" fillId="0" borderId="0" xfId="457" applyFont="1" applyAlignment="1">
      <alignment vertical="center" wrapText="1"/>
    </xf>
    <xf numFmtId="0" fontId="129" fillId="0" borderId="0" xfId="458" applyFont="1" applyAlignment="1">
      <alignment vertical="center" wrapText="1"/>
    </xf>
    <xf numFmtId="0" fontId="129" fillId="0" borderId="0" xfId="451" applyFont="1" applyAlignment="1">
      <alignment vertical="center" wrapText="1"/>
    </xf>
    <xf numFmtId="0" fontId="129" fillId="0" borderId="0" xfId="452" applyFont="1" applyAlignment="1">
      <alignment vertical="center" wrapText="1"/>
    </xf>
    <xf numFmtId="0" fontId="129" fillId="0" borderId="0" xfId="453" applyFont="1" applyAlignment="1">
      <alignment vertical="center" wrapText="1"/>
    </xf>
    <xf numFmtId="0" fontId="129" fillId="0" borderId="0" xfId="454" applyFont="1" applyAlignment="1">
      <alignment vertical="center" wrapText="1"/>
    </xf>
    <xf numFmtId="264" fontId="143" fillId="0" borderId="0" xfId="454" applyNumberFormat="1"/>
    <xf numFmtId="0" fontId="129" fillId="0" borderId="0" xfId="455" applyFont="1" applyAlignment="1">
      <alignment vertical="center" wrapText="1"/>
    </xf>
    <xf numFmtId="264" fontId="143" fillId="0" borderId="0" xfId="455" applyNumberFormat="1"/>
    <xf numFmtId="265" fontId="126" fillId="0" borderId="0" xfId="451" applyNumberFormat="1" applyFont="1" applyAlignment="1">
      <alignment horizontal="center" vertical="center" wrapText="1"/>
    </xf>
    <xf numFmtId="264" fontId="143" fillId="0" borderId="0" xfId="451" applyNumberFormat="1"/>
    <xf numFmtId="169" fontId="127" fillId="0" borderId="46" xfId="829" applyNumberFormat="1" applyFont="1" applyFill="1" applyBorder="1" applyAlignment="1">
      <alignment horizontal="center" vertical="center" wrapText="1"/>
    </xf>
    <xf numFmtId="169" fontId="127" fillId="0" borderId="46" xfId="830" applyNumberFormat="1" applyFont="1" applyFill="1" applyBorder="1" applyAlignment="1">
      <alignment horizontal="center" vertical="center" wrapText="1"/>
    </xf>
    <xf numFmtId="169" fontId="127" fillId="0" borderId="46" xfId="831" applyNumberFormat="1" applyFont="1" applyFill="1" applyBorder="1" applyAlignment="1">
      <alignment horizontal="center" vertical="center" wrapText="1"/>
    </xf>
    <xf numFmtId="169" fontId="127" fillId="0" borderId="46" xfId="832" applyNumberFormat="1" applyFont="1" applyFill="1" applyBorder="1" applyAlignment="1">
      <alignment horizontal="center" vertical="center" wrapText="1"/>
    </xf>
    <xf numFmtId="169" fontId="127" fillId="0" borderId="46" xfId="833" applyNumberFormat="1" applyFont="1" applyFill="1" applyBorder="1" applyAlignment="1">
      <alignment horizontal="center" vertical="center" wrapText="1"/>
    </xf>
    <xf numFmtId="266" fontId="127" fillId="0" borderId="0" xfId="461" applyNumberFormat="1" applyFont="1" applyAlignment="1">
      <alignment horizontal="center" vertical="center" wrapText="1"/>
    </xf>
    <xf numFmtId="227" fontId="127" fillId="0" borderId="46" xfId="442" applyNumberFormat="1" applyFont="1" applyBorder="1" applyAlignment="1">
      <alignment horizontal="center" vertical="center" wrapText="1"/>
    </xf>
    <xf numFmtId="227" fontId="127" fillId="0" borderId="46" xfId="443" applyNumberFormat="1" applyFont="1" applyBorder="1" applyAlignment="1">
      <alignment horizontal="center" vertical="center" wrapText="1"/>
    </xf>
    <xf numFmtId="227" fontId="127" fillId="0" borderId="46" xfId="444" applyNumberFormat="1" applyFont="1" applyBorder="1" applyAlignment="1">
      <alignment horizontal="center" vertical="center" wrapText="1"/>
    </xf>
    <xf numFmtId="227" fontId="127" fillId="0" borderId="46" xfId="445" applyNumberFormat="1" applyFont="1" applyBorder="1" applyAlignment="1">
      <alignment horizontal="center" vertical="center" wrapText="1"/>
    </xf>
    <xf numFmtId="227" fontId="127" fillId="0" borderId="46" xfId="446" applyNumberFormat="1" applyFont="1" applyBorder="1" applyAlignment="1">
      <alignment horizontal="center" vertical="center" wrapText="1"/>
    </xf>
    <xf numFmtId="2" fontId="127" fillId="0" borderId="46" xfId="220" applyNumberFormat="1" applyFont="1" applyFill="1" applyBorder="1" applyAlignment="1">
      <alignment horizontal="center" vertical="center" wrapText="1"/>
    </xf>
    <xf numFmtId="2" fontId="127" fillId="0" borderId="46" xfId="221" applyNumberFormat="1" applyFont="1" applyFill="1" applyBorder="1" applyAlignment="1">
      <alignment horizontal="center" vertical="center" wrapText="1"/>
    </xf>
    <xf numFmtId="2" fontId="127" fillId="0" borderId="46" xfId="222" applyNumberFormat="1" applyFont="1" applyFill="1" applyBorder="1" applyAlignment="1">
      <alignment horizontal="center" vertical="center" wrapText="1"/>
    </xf>
    <xf numFmtId="2" fontId="127" fillId="0" borderId="46" xfId="223" applyNumberFormat="1" applyFont="1" applyFill="1" applyBorder="1" applyAlignment="1">
      <alignment horizontal="center" vertical="center" wrapText="1"/>
    </xf>
    <xf numFmtId="2" fontId="127" fillId="0" borderId="46" xfId="224" applyNumberFormat="1" applyFont="1" applyFill="1" applyBorder="1" applyAlignment="1">
      <alignment horizontal="center" vertical="center" wrapText="1"/>
    </xf>
    <xf numFmtId="206" fontId="127" fillId="0" borderId="59" xfId="442" applyNumberFormat="1" applyFont="1" applyBorder="1" applyAlignment="1">
      <alignment horizontal="center" vertical="center" wrapText="1"/>
    </xf>
    <xf numFmtId="206" fontId="127" fillId="0" borderId="59" xfId="443" applyNumberFormat="1" applyFont="1" applyBorder="1" applyAlignment="1">
      <alignment horizontal="center" vertical="center" wrapText="1"/>
    </xf>
    <xf numFmtId="206" fontId="127" fillId="0" borderId="60" xfId="444" applyNumberFormat="1" applyFont="1" applyBorder="1" applyAlignment="1">
      <alignment horizontal="center" vertical="center" wrapText="1"/>
    </xf>
    <xf numFmtId="206" fontId="127" fillId="0" borderId="60" xfId="445" applyNumberFormat="1" applyFont="1" applyBorder="1" applyAlignment="1">
      <alignment horizontal="center" vertical="center" wrapText="1"/>
    </xf>
    <xf numFmtId="206" fontId="127" fillId="0" borderId="60" xfId="446" applyNumberFormat="1" applyFont="1" applyBorder="1" applyAlignment="1">
      <alignment horizontal="center" vertical="center" wrapText="1"/>
    </xf>
    <xf numFmtId="267" fontId="127" fillId="0" borderId="0" xfId="458" applyNumberFormat="1" applyFont="1" applyAlignment="1">
      <alignment horizontal="center" vertical="center" wrapText="1"/>
    </xf>
    <xf numFmtId="172" fontId="108" fillId="0" borderId="0" xfId="162" applyNumberFormat="1" applyFont="1" applyFill="1"/>
    <xf numFmtId="165" fontId="151" fillId="0" borderId="0" xfId="0" applyNumberFormat="1" applyFont="1"/>
    <xf numFmtId="0" fontId="155" fillId="0" borderId="65" xfId="0" applyFont="1" applyBorder="1" applyAlignment="1">
      <alignment horizontal="left" wrapText="1" indent="1"/>
    </xf>
    <xf numFmtId="0" fontId="156" fillId="0" borderId="65" xfId="0" applyFont="1" applyBorder="1" applyAlignment="1">
      <alignment horizontal="left" wrapText="1" indent="1"/>
    </xf>
    <xf numFmtId="265" fontId="156" fillId="0" borderId="65" xfId="0" applyNumberFormat="1" applyFont="1" applyBorder="1" applyAlignment="1">
      <alignment horizontal="center" vertical="center" wrapText="1"/>
    </xf>
    <xf numFmtId="0" fontId="156" fillId="0" borderId="65" xfId="0" applyFont="1" applyBorder="1" applyAlignment="1">
      <alignment horizontal="left" wrapText="1" indent="3"/>
    </xf>
    <xf numFmtId="0" fontId="108" fillId="29" borderId="0" xfId="0" applyFont="1" applyFill="1"/>
    <xf numFmtId="0" fontId="108" fillId="0" borderId="0" xfId="0" applyFont="1" applyAlignment="1">
      <alignment horizontal="left" indent="2"/>
    </xf>
    <xf numFmtId="259" fontId="147" fillId="0" borderId="0" xfId="0" applyNumberFormat="1" applyFont="1"/>
    <xf numFmtId="170" fontId="112" fillId="16" borderId="3" xfId="162" applyNumberFormat="1" applyFont="1" applyFill="1" applyBorder="1" applyAlignment="1">
      <alignment horizontal="center"/>
    </xf>
    <xf numFmtId="170" fontId="108" fillId="0" borderId="0" xfId="0" applyNumberFormat="1" applyFont="1"/>
    <xf numFmtId="170" fontId="108" fillId="0" borderId="52" xfId="162" applyNumberFormat="1" applyFont="1" applyFill="1" applyBorder="1" applyAlignment="1">
      <alignment horizontal="center" wrapText="1"/>
    </xf>
    <xf numFmtId="170" fontId="112" fillId="16" borderId="12" xfId="162" applyNumberFormat="1" applyFont="1" applyFill="1" applyBorder="1" applyAlignment="1">
      <alignment horizontal="center"/>
    </xf>
    <xf numFmtId="170" fontId="112" fillId="16" borderId="0" xfId="162" applyNumberFormat="1" applyFont="1" applyFill="1" applyBorder="1" applyAlignment="1">
      <alignment horizontal="center"/>
    </xf>
    <xf numFmtId="170" fontId="151" fillId="16" borderId="8" xfId="162" applyNumberFormat="1" applyFont="1" applyFill="1" applyBorder="1" applyAlignment="1">
      <alignment horizontal="center"/>
    </xf>
    <xf numFmtId="170" fontId="112" fillId="16" borderId="8" xfId="162" applyNumberFormat="1" applyFont="1" applyFill="1" applyBorder="1" applyAlignment="1">
      <alignment horizontal="center"/>
    </xf>
    <xf numFmtId="170" fontId="147" fillId="16" borderId="0" xfId="162" applyNumberFormat="1" applyFont="1" applyFill="1" applyAlignment="1">
      <alignment horizontal="center"/>
    </xf>
    <xf numFmtId="170" fontId="108" fillId="16" borderId="0" xfId="162" applyNumberFormat="1" applyFont="1" applyFill="1" applyAlignment="1">
      <alignment horizontal="center"/>
    </xf>
    <xf numFmtId="9" fontId="147" fillId="0" borderId="0" xfId="388" applyNumberFormat="1" applyFont="1"/>
    <xf numFmtId="0" fontId="147" fillId="0" borderId="0" xfId="388" applyFont="1"/>
    <xf numFmtId="264" fontId="112" fillId="0" borderId="0" xfId="0" applyNumberFormat="1" applyFont="1"/>
    <xf numFmtId="169" fontId="108" fillId="14" borderId="0" xfId="388" applyNumberFormat="1" applyFont="1" applyFill="1" applyAlignment="1">
      <alignment horizontal="center" wrapText="1"/>
    </xf>
    <xf numFmtId="9" fontId="112" fillId="0" borderId="0" xfId="388" applyNumberFormat="1" applyFont="1"/>
    <xf numFmtId="268" fontId="108" fillId="0" borderId="0" xfId="388" applyNumberFormat="1" applyFont="1"/>
    <xf numFmtId="0" fontId="108" fillId="28" borderId="0" xfId="388" applyFont="1" applyFill="1"/>
    <xf numFmtId="170" fontId="112" fillId="0" borderId="53" xfId="388" applyNumberFormat="1" applyFont="1" applyBorder="1"/>
    <xf numFmtId="169" fontId="156" fillId="0" borderId="65" xfId="770" applyNumberFormat="1" applyFont="1" applyBorder="1" applyAlignment="1">
      <alignment horizontal="center" vertical="center" wrapText="1"/>
    </xf>
    <xf numFmtId="169" fontId="156" fillId="27" borderId="65" xfId="770" applyNumberFormat="1" applyFont="1" applyFill="1" applyBorder="1" applyAlignment="1">
      <alignment horizontal="center" vertical="center" wrapText="1"/>
    </xf>
    <xf numFmtId="169" fontId="156" fillId="0" borderId="65" xfId="771" applyNumberFormat="1" applyFont="1" applyBorder="1" applyAlignment="1">
      <alignment horizontal="center" vertical="center" wrapText="1"/>
    </xf>
    <xf numFmtId="269" fontId="108" fillId="0" borderId="0" xfId="388" applyNumberFormat="1" applyFont="1"/>
    <xf numFmtId="169" fontId="156" fillId="0" borderId="65" xfId="764" applyNumberFormat="1" applyFont="1" applyBorder="1" applyAlignment="1">
      <alignment horizontal="center" vertical="center" wrapText="1"/>
    </xf>
    <xf numFmtId="43" fontId="108" fillId="0" borderId="0" xfId="162" applyFont="1" applyFill="1" applyBorder="1"/>
    <xf numFmtId="169" fontId="157" fillId="0" borderId="65" xfId="771" applyNumberFormat="1" applyFont="1" applyBorder="1" applyAlignment="1">
      <alignment horizontal="center" vertical="center" wrapText="1"/>
    </xf>
    <xf numFmtId="227" fontId="118" fillId="0" borderId="46" xfId="445" applyNumberFormat="1" applyFont="1" applyBorder="1" applyAlignment="1">
      <alignment horizontal="center" vertical="center" wrapText="1"/>
    </xf>
    <xf numFmtId="2" fontId="118" fillId="0" borderId="46" xfId="223" applyNumberFormat="1" applyFont="1" applyFill="1" applyBorder="1" applyAlignment="1">
      <alignment horizontal="center" vertical="center" wrapText="1"/>
    </xf>
    <xf numFmtId="0" fontId="112" fillId="14" borderId="38" xfId="0" applyFont="1" applyFill="1" applyBorder="1" applyAlignment="1">
      <alignment horizontal="center"/>
    </xf>
    <xf numFmtId="168" fontId="112" fillId="0" borderId="0" xfId="0" applyNumberFormat="1" applyFont="1" applyAlignment="1">
      <alignment horizontal="center"/>
    </xf>
    <xf numFmtId="169" fontId="115" fillId="0" borderId="0" xfId="0" applyNumberFormat="1" applyFont="1"/>
    <xf numFmtId="265" fontId="126" fillId="0" borderId="0" xfId="464" applyNumberFormat="1" applyFont="1" applyAlignment="1">
      <alignment horizontal="center" vertical="center" wrapText="1"/>
    </xf>
    <xf numFmtId="0" fontId="112" fillId="0" borderId="0" xfId="0" applyFont="1" applyAlignment="1">
      <alignment horizontal="centerContinuous"/>
    </xf>
    <xf numFmtId="170" fontId="112" fillId="0" borderId="0" xfId="162" applyNumberFormat="1" applyFont="1" applyFill="1" applyBorder="1" applyAlignment="1">
      <alignment horizontal="right"/>
    </xf>
    <xf numFmtId="168" fontId="112" fillId="0" borderId="0" xfId="0" applyNumberFormat="1" applyFont="1" applyAlignment="1">
      <alignment horizontal="center" vertical="center"/>
    </xf>
    <xf numFmtId="169" fontId="108" fillId="0" borderId="0" xfId="756" applyNumberFormat="1" applyFont="1" applyFill="1" applyBorder="1"/>
    <xf numFmtId="169" fontId="156" fillId="0" borderId="65" xfId="764" applyNumberFormat="1" applyFont="1" applyFill="1" applyBorder="1" applyAlignment="1">
      <alignment horizontal="center" vertical="center" wrapText="1"/>
    </xf>
    <xf numFmtId="0" fontId="108" fillId="14" borderId="0" xfId="162" applyNumberFormat="1" applyFont="1" applyFill="1" applyBorder="1" applyAlignment="1">
      <alignment horizontal="center" wrapText="1"/>
    </xf>
    <xf numFmtId="259" fontId="108" fillId="14" borderId="0" xfId="162" applyNumberFormat="1" applyFont="1" applyFill="1" applyBorder="1" applyAlignment="1">
      <alignment horizontal="center" wrapText="1"/>
    </xf>
    <xf numFmtId="259" fontId="108" fillId="16" borderId="0" xfId="162" applyNumberFormat="1" applyFont="1" applyFill="1" applyBorder="1" applyAlignment="1">
      <alignment horizontal="center"/>
    </xf>
    <xf numFmtId="259" fontId="108" fillId="0" borderId="27" xfId="162" applyNumberFormat="1" applyFont="1" applyFill="1" applyBorder="1" applyAlignment="1">
      <alignment horizontal="right"/>
    </xf>
    <xf numFmtId="0" fontId="108" fillId="28" borderId="0" xfId="388" applyFont="1" applyFill="1" applyAlignment="1">
      <alignment horizontal="right"/>
    </xf>
    <xf numFmtId="259" fontId="108" fillId="14" borderId="0" xfId="162" applyNumberFormat="1" applyFont="1" applyFill="1" applyBorder="1" applyAlignment="1">
      <alignment horizontal="right" wrapText="1"/>
    </xf>
    <xf numFmtId="170" fontId="112" fillId="14" borderId="0" xfId="162" applyNumberFormat="1" applyFont="1" applyFill="1" applyBorder="1" applyAlignment="1">
      <alignment horizontal="right" wrapText="1"/>
    </xf>
    <xf numFmtId="170" fontId="108" fillId="14" borderId="0" xfId="162" applyNumberFormat="1" applyFont="1" applyFill="1" applyBorder="1" applyAlignment="1">
      <alignment horizontal="right" wrapText="1"/>
    </xf>
    <xf numFmtId="170" fontId="112" fillId="16" borderId="12" xfId="162" applyNumberFormat="1" applyFont="1" applyFill="1" applyBorder="1" applyAlignment="1">
      <alignment horizontal="right"/>
    </xf>
    <xf numFmtId="259" fontId="108" fillId="16" borderId="0" xfId="162" applyNumberFormat="1" applyFont="1" applyFill="1" applyBorder="1" applyAlignment="1">
      <alignment horizontal="right"/>
    </xf>
    <xf numFmtId="170" fontId="112" fillId="16" borderId="8" xfId="162" applyNumberFormat="1" applyFont="1" applyFill="1" applyBorder="1" applyAlignment="1">
      <alignment horizontal="right"/>
    </xf>
    <xf numFmtId="170" fontId="112" fillId="16" borderId="3" xfId="162" applyNumberFormat="1" applyFont="1" applyFill="1" applyBorder="1" applyAlignment="1">
      <alignment horizontal="right"/>
    </xf>
    <xf numFmtId="170" fontId="110" fillId="0" borderId="53" xfId="162" applyNumberFormat="1" applyFont="1" applyFill="1" applyBorder="1" applyAlignment="1">
      <alignment horizontal="center" wrapText="1"/>
    </xf>
    <xf numFmtId="37" fontId="158" fillId="0" borderId="0" xfId="0" applyNumberFormat="1" applyFont="1"/>
    <xf numFmtId="3" fontId="108" fillId="0" borderId="0" xfId="0" applyNumberFormat="1" applyFont="1"/>
    <xf numFmtId="3" fontId="112" fillId="0" borderId="0" xfId="0" applyNumberFormat="1" applyFont="1"/>
    <xf numFmtId="165" fontId="152" fillId="0" borderId="0" xfId="0" applyNumberFormat="1" applyFont="1"/>
    <xf numFmtId="265" fontId="126" fillId="29" borderId="57" xfId="466" applyNumberFormat="1" applyFont="1" applyFill="1" applyBorder="1" applyAlignment="1">
      <alignment horizontal="center" vertical="center" wrapText="1"/>
    </xf>
    <xf numFmtId="259" fontId="112" fillId="14" borderId="0" xfId="162" applyNumberFormat="1" applyFont="1" applyFill="1" applyBorder="1" applyAlignment="1">
      <alignment horizontal="right" wrapText="1"/>
    </xf>
    <xf numFmtId="3" fontId="108" fillId="0" borderId="0" xfId="388" applyNumberFormat="1" applyFont="1"/>
    <xf numFmtId="170" fontId="159" fillId="0" borderId="53" xfId="162" applyNumberFormat="1" applyFont="1" applyFill="1" applyBorder="1" applyAlignment="1">
      <alignment horizontal="center" wrapText="1"/>
    </xf>
    <xf numFmtId="43" fontId="108" fillId="0" borderId="27" xfId="162" applyFont="1" applyFill="1" applyBorder="1" applyAlignment="1">
      <alignment horizontal="right"/>
    </xf>
    <xf numFmtId="171" fontId="112" fillId="0" borderId="0" xfId="162" applyNumberFormat="1" applyFont="1" applyFill="1" applyBorder="1"/>
    <xf numFmtId="169" fontId="127" fillId="0" borderId="0" xfId="756" applyNumberFormat="1" applyFont="1" applyFill="1" applyBorder="1" applyAlignment="1">
      <alignment horizontal="center" vertical="center" wrapText="1"/>
    </xf>
    <xf numFmtId="227" fontId="108" fillId="0" borderId="0" xfId="388" applyNumberFormat="1" applyFont="1"/>
    <xf numFmtId="259" fontId="108" fillId="30" borderId="27" xfId="162" applyNumberFormat="1" applyFont="1" applyFill="1" applyBorder="1" applyAlignment="1">
      <alignment horizontal="right"/>
    </xf>
    <xf numFmtId="170" fontId="108" fillId="30" borderId="52" xfId="162" applyNumberFormat="1" applyFont="1" applyFill="1" applyBorder="1" applyAlignment="1">
      <alignment horizontal="center" wrapText="1"/>
    </xf>
    <xf numFmtId="170" fontId="159" fillId="30" borderId="53" xfId="162" applyNumberFormat="1" applyFont="1" applyFill="1" applyBorder="1" applyAlignment="1">
      <alignment horizontal="center" wrapText="1"/>
    </xf>
    <xf numFmtId="170" fontId="112" fillId="30" borderId="50" xfId="162" applyNumberFormat="1" applyFont="1" applyFill="1" applyBorder="1" applyAlignment="1">
      <alignment horizontal="right" wrapText="1"/>
    </xf>
    <xf numFmtId="170" fontId="151" fillId="0" borderId="8" xfId="162" applyNumberFormat="1" applyFont="1" applyFill="1" applyBorder="1" applyAlignment="1">
      <alignment horizontal="center" wrapText="1"/>
    </xf>
    <xf numFmtId="170" fontId="153" fillId="0" borderId="52" xfId="162" applyNumberFormat="1" applyFont="1" applyFill="1" applyBorder="1" applyAlignment="1">
      <alignment horizontal="center" wrapText="1"/>
    </xf>
    <xf numFmtId="43" fontId="110" fillId="0" borderId="0" xfId="255" applyFont="1" applyFill="1" applyBorder="1" applyAlignment="1">
      <alignment horizontal="center"/>
    </xf>
    <xf numFmtId="170" fontId="147" fillId="0" borderId="0" xfId="255" applyNumberFormat="1" applyFont="1" applyFill="1" applyBorder="1"/>
    <xf numFmtId="170" fontId="112" fillId="0" borderId="0" xfId="255" applyNumberFormat="1" applyFont="1" applyFill="1"/>
    <xf numFmtId="169" fontId="116" fillId="14" borderId="0" xfId="864" applyNumberFormat="1" applyFont="1" applyFill="1"/>
    <xf numFmtId="170" fontId="112" fillId="0" borderId="0" xfId="255" applyNumberFormat="1" applyFont="1" applyFill="1" applyBorder="1"/>
    <xf numFmtId="43" fontId="147" fillId="0" borderId="0" xfId="255" applyFont="1" applyFill="1" applyBorder="1"/>
    <xf numFmtId="169" fontId="116" fillId="0" borderId="0" xfId="864" applyNumberFormat="1" applyFont="1" applyFill="1"/>
    <xf numFmtId="169" fontId="115" fillId="0" borderId="0" xfId="864" applyNumberFormat="1" applyFont="1" applyFill="1"/>
    <xf numFmtId="9" fontId="108" fillId="0" borderId="0" xfId="864" applyFont="1" applyFill="1"/>
    <xf numFmtId="169" fontId="115" fillId="14" borderId="0" xfId="864" applyNumberFormat="1" applyFont="1" applyFill="1" applyAlignment="1">
      <alignment horizontal="right"/>
    </xf>
    <xf numFmtId="170" fontId="108" fillId="0" borderId="0" xfId="255" applyNumberFormat="1" applyFont="1"/>
    <xf numFmtId="170" fontId="112" fillId="0" borderId="39" xfId="255" applyNumberFormat="1" applyFont="1" applyFill="1" applyBorder="1" applyAlignment="1">
      <alignment horizontal="right"/>
    </xf>
    <xf numFmtId="170" fontId="108" fillId="0" borderId="0" xfId="255" applyNumberFormat="1" applyFont="1" applyBorder="1"/>
    <xf numFmtId="170" fontId="108" fillId="0" borderId="7" xfId="255" applyNumberFormat="1" applyFont="1" applyBorder="1"/>
    <xf numFmtId="170" fontId="112" fillId="0" borderId="7" xfId="255" applyNumberFormat="1" applyFont="1" applyBorder="1"/>
    <xf numFmtId="170" fontId="112" fillId="0" borderId="6" xfId="255" applyNumberFormat="1" applyFont="1" applyBorder="1"/>
    <xf numFmtId="169" fontId="115" fillId="0" borderId="0" xfId="864" applyNumberFormat="1" applyFont="1" applyFill="1" applyAlignment="1">
      <alignment horizontal="right"/>
    </xf>
    <xf numFmtId="9" fontId="115" fillId="14" borderId="0" xfId="864" applyFont="1" applyFill="1" applyAlignment="1">
      <alignment horizontal="right"/>
    </xf>
    <xf numFmtId="0" fontId="126" fillId="0" borderId="0" xfId="466" applyFont="1" applyAlignment="1">
      <alignment horizontal="center"/>
    </xf>
    <xf numFmtId="3" fontId="122" fillId="0" borderId="12" xfId="382" applyNumberFormat="1" applyFont="1" applyBorder="1" applyAlignment="1">
      <alignment horizontal="right" readingOrder="1"/>
    </xf>
    <xf numFmtId="3" fontId="123" fillId="0" borderId="0" xfId="380" applyNumberFormat="1" applyFont="1" applyAlignment="1">
      <alignment horizontal="right" vertical="center" readingOrder="1"/>
    </xf>
    <xf numFmtId="206" fontId="118" fillId="0" borderId="46" xfId="223" applyNumberFormat="1" applyFont="1" applyFill="1" applyBorder="1" applyAlignment="1">
      <alignment horizontal="center" vertical="center" wrapText="1"/>
    </xf>
    <xf numFmtId="170" fontId="112" fillId="16" borderId="8" xfId="255" applyNumberFormat="1" applyFont="1" applyFill="1" applyBorder="1" applyAlignment="1">
      <alignment horizontal="center"/>
    </xf>
    <xf numFmtId="170" fontId="147" fillId="14" borderId="0" xfId="255" applyNumberFormat="1" applyFont="1" applyFill="1" applyBorder="1" applyAlignment="1">
      <alignment horizontal="center" wrapText="1"/>
    </xf>
    <xf numFmtId="259" fontId="108" fillId="14" borderId="0" xfId="255" applyNumberFormat="1" applyFont="1" applyFill="1" applyBorder="1" applyAlignment="1">
      <alignment horizontal="right" wrapText="1"/>
    </xf>
    <xf numFmtId="170" fontId="108" fillId="16" borderId="0" xfId="255" applyNumberFormat="1" applyFont="1" applyFill="1" applyAlignment="1">
      <alignment horizontal="center"/>
    </xf>
    <xf numFmtId="170" fontId="151" fillId="0" borderId="8" xfId="255" applyNumberFormat="1" applyFont="1" applyFill="1" applyBorder="1" applyAlignment="1">
      <alignment horizontal="center" wrapText="1"/>
    </xf>
    <xf numFmtId="170" fontId="112" fillId="16" borderId="0" xfId="255" applyNumberFormat="1" applyFont="1" applyFill="1" applyBorder="1" applyAlignment="1">
      <alignment horizontal="center"/>
    </xf>
    <xf numFmtId="170" fontId="112" fillId="14" borderId="0" xfId="255" applyNumberFormat="1" applyFont="1" applyFill="1" applyBorder="1" applyAlignment="1">
      <alignment horizontal="center" wrapText="1"/>
    </xf>
    <xf numFmtId="259" fontId="112" fillId="14" borderId="0" xfId="255" applyNumberFormat="1" applyFont="1" applyFill="1" applyBorder="1" applyAlignment="1">
      <alignment horizontal="right" wrapText="1"/>
    </xf>
    <xf numFmtId="170" fontId="112" fillId="14" borderId="0" xfId="255" applyNumberFormat="1" applyFont="1" applyFill="1" applyBorder="1" applyAlignment="1">
      <alignment horizontal="right" wrapText="1"/>
    </xf>
    <xf numFmtId="170" fontId="108" fillId="14" borderId="0" xfId="255" applyNumberFormat="1" applyFont="1" applyFill="1" applyBorder="1" applyAlignment="1">
      <alignment horizontal="right" wrapText="1"/>
    </xf>
    <xf numFmtId="170" fontId="112" fillId="16" borderId="12" xfId="255" applyNumberFormat="1" applyFont="1" applyFill="1" applyBorder="1" applyAlignment="1">
      <alignment horizontal="center"/>
    </xf>
    <xf numFmtId="170" fontId="112" fillId="16" borderId="12" xfId="255" applyNumberFormat="1" applyFont="1" applyFill="1" applyBorder="1" applyAlignment="1">
      <alignment horizontal="right"/>
    </xf>
    <xf numFmtId="170" fontId="108" fillId="16" borderId="0" xfId="255" applyNumberFormat="1" applyFont="1" applyFill="1" applyBorder="1" applyAlignment="1">
      <alignment horizontal="center"/>
    </xf>
    <xf numFmtId="259" fontId="108" fillId="16" borderId="0" xfId="255" applyNumberFormat="1" applyFont="1" applyFill="1" applyBorder="1" applyAlignment="1">
      <alignment horizontal="right"/>
    </xf>
    <xf numFmtId="170" fontId="112" fillId="16" borderId="8" xfId="255" applyNumberFormat="1" applyFont="1" applyFill="1" applyBorder="1" applyAlignment="1">
      <alignment horizontal="right"/>
    </xf>
    <xf numFmtId="170" fontId="112" fillId="16" borderId="3" xfId="255" applyNumberFormat="1" applyFont="1" applyFill="1" applyBorder="1" applyAlignment="1">
      <alignment horizontal="center"/>
    </xf>
    <xf numFmtId="170" fontId="112" fillId="16" borderId="3" xfId="255" applyNumberFormat="1" applyFont="1" applyFill="1" applyBorder="1" applyAlignment="1">
      <alignment horizontal="right"/>
    </xf>
    <xf numFmtId="172" fontId="108" fillId="0" borderId="0" xfId="255" applyNumberFormat="1" applyFont="1" applyFill="1"/>
    <xf numFmtId="170" fontId="108" fillId="0" borderId="52" xfId="255" applyNumberFormat="1" applyFont="1" applyFill="1" applyBorder="1" applyAlignment="1">
      <alignment horizontal="right" wrapText="1"/>
    </xf>
    <xf numFmtId="170" fontId="111" fillId="0" borderId="52" xfId="255" applyNumberFormat="1" applyFont="1" applyFill="1" applyBorder="1" applyAlignment="1">
      <alignment horizontal="center" wrapText="1"/>
    </xf>
    <xf numFmtId="170" fontId="108" fillId="0" borderId="27" xfId="255" applyNumberFormat="1" applyFont="1" applyFill="1" applyBorder="1" applyAlignment="1">
      <alignment horizontal="right"/>
    </xf>
    <xf numFmtId="170" fontId="108" fillId="0" borderId="53" xfId="255" applyNumberFormat="1" applyFont="1" applyFill="1" applyBorder="1" applyAlignment="1">
      <alignment horizontal="right" wrapText="1"/>
    </xf>
    <xf numFmtId="170" fontId="108" fillId="0" borderId="50" xfId="255" applyNumberFormat="1" applyFont="1" applyFill="1" applyBorder="1" applyAlignment="1">
      <alignment horizontal="right" wrapText="1"/>
    </xf>
    <xf numFmtId="172" fontId="108" fillId="0" borderId="0" xfId="255" applyNumberFormat="1" applyFont="1"/>
    <xf numFmtId="170" fontId="153" fillId="0" borderId="52" xfId="255" applyNumberFormat="1" applyFont="1" applyFill="1" applyBorder="1" applyAlignment="1">
      <alignment horizontal="center" wrapText="1"/>
    </xf>
    <xf numFmtId="170" fontId="112" fillId="0" borderId="0" xfId="255" applyNumberFormat="1" applyFont="1"/>
    <xf numFmtId="170" fontId="112" fillId="0" borderId="0" xfId="255" applyNumberFormat="1" applyFont="1" applyBorder="1"/>
    <xf numFmtId="0" fontId="110" fillId="0" borderId="0" xfId="0" applyFont="1" applyAlignment="1">
      <alignment horizontal="center"/>
    </xf>
    <xf numFmtId="265" fontId="160" fillId="0" borderId="66" xfId="0" applyNumberFormat="1" applyFont="1" applyBorder="1" applyAlignment="1">
      <alignment horizontal="center" vertical="center" wrapText="1"/>
    </xf>
    <xf numFmtId="264" fontId="147" fillId="0" borderId="0" xfId="0" applyNumberFormat="1" applyFont="1"/>
    <xf numFmtId="265" fontId="147" fillId="0" borderId="0" xfId="0" applyNumberFormat="1" applyFont="1"/>
    <xf numFmtId="170" fontId="112" fillId="0" borderId="3" xfId="255" applyNumberFormat="1" applyFont="1" applyFill="1" applyBorder="1" applyAlignment="1">
      <alignment horizontal="center"/>
    </xf>
    <xf numFmtId="170" fontId="112" fillId="0" borderId="3" xfId="255" applyNumberFormat="1" applyFont="1" applyFill="1" applyBorder="1" applyAlignment="1">
      <alignment horizontal="right"/>
    </xf>
    <xf numFmtId="259" fontId="112" fillId="14" borderId="0" xfId="0" applyNumberFormat="1" applyFont="1" applyFill="1"/>
    <xf numFmtId="170" fontId="108" fillId="0" borderId="0" xfId="255" applyNumberFormat="1" applyFont="1" applyFill="1" applyBorder="1"/>
    <xf numFmtId="43" fontId="108" fillId="0" borderId="0" xfId="255" applyFont="1" applyFill="1" applyBorder="1"/>
    <xf numFmtId="170" fontId="147" fillId="31" borderId="0" xfId="255" applyNumberFormat="1" applyFont="1" applyFill="1" applyBorder="1"/>
    <xf numFmtId="170" fontId="112" fillId="31" borderId="0" xfId="255" applyNumberFormat="1" applyFont="1" applyFill="1" applyBorder="1"/>
    <xf numFmtId="39" fontId="108" fillId="0" borderId="0" xfId="0" applyNumberFormat="1" applyFont="1"/>
    <xf numFmtId="165" fontId="108" fillId="31" borderId="0" xfId="0" applyNumberFormat="1" applyFont="1" applyFill="1" applyAlignment="1">
      <alignment horizontal="right"/>
    </xf>
    <xf numFmtId="1" fontId="108" fillId="31" borderId="0" xfId="0" applyNumberFormat="1" applyFont="1" applyFill="1" applyAlignment="1">
      <alignment horizontal="right"/>
    </xf>
    <xf numFmtId="258" fontId="112" fillId="31" borderId="0" xfId="0" applyNumberFormat="1" applyFont="1" applyFill="1" applyAlignment="1">
      <alignment horizontal="right"/>
    </xf>
    <xf numFmtId="258" fontId="108" fillId="31" borderId="0" xfId="0" applyNumberFormat="1" applyFont="1" applyFill="1" applyAlignment="1">
      <alignment horizontal="right"/>
    </xf>
    <xf numFmtId="2" fontId="108" fillId="31" borderId="0" xfId="0" applyNumberFormat="1" applyFont="1" applyFill="1"/>
    <xf numFmtId="37" fontId="108" fillId="31" borderId="0" xfId="0" applyNumberFormat="1" applyFont="1" applyFill="1"/>
    <xf numFmtId="169" fontId="108" fillId="31" borderId="0" xfId="864" applyNumberFormat="1" applyFont="1" applyFill="1"/>
    <xf numFmtId="165" fontId="108" fillId="31" borderId="0" xfId="0" applyNumberFormat="1" applyFont="1" applyFill="1"/>
    <xf numFmtId="0" fontId="108" fillId="32" borderId="0" xfId="0" applyFont="1" applyFill="1"/>
    <xf numFmtId="43" fontId="147" fillId="31" borderId="0" xfId="255" applyFont="1" applyFill="1" applyBorder="1"/>
    <xf numFmtId="259" fontId="147" fillId="0" borderId="0" xfId="0" applyNumberFormat="1" applyFont="1" applyAlignment="1">
      <alignment horizontal="right"/>
    </xf>
    <xf numFmtId="169" fontId="160" fillId="0" borderId="67" xfId="764" applyNumberFormat="1" applyFont="1" applyFill="1" applyBorder="1" applyAlignment="1">
      <alignment horizontal="center" vertical="center"/>
    </xf>
    <xf numFmtId="259" fontId="0" fillId="0" borderId="0" xfId="0" applyNumberFormat="1"/>
    <xf numFmtId="0" fontId="113" fillId="33" borderId="0" xfId="0" applyFont="1" applyFill="1" applyAlignment="1">
      <alignment horizontal="left"/>
    </xf>
    <xf numFmtId="0" fontId="112" fillId="33" borderId="38" xfId="0" applyFont="1" applyFill="1" applyBorder="1" applyAlignment="1">
      <alignment horizontal="centerContinuous"/>
    </xf>
    <xf numFmtId="0" fontId="112" fillId="33" borderId="38" xfId="0" applyFont="1" applyFill="1" applyBorder="1" applyAlignment="1">
      <alignment horizontal="center"/>
    </xf>
    <xf numFmtId="0" fontId="112" fillId="33" borderId="0" xfId="0" applyFont="1" applyFill="1"/>
    <xf numFmtId="168" fontId="112" fillId="33" borderId="0" xfId="0" applyNumberFormat="1" applyFont="1" applyFill="1" applyAlignment="1">
      <alignment horizontal="centerContinuous"/>
    </xf>
    <xf numFmtId="168" fontId="112" fillId="33" borderId="0" xfId="0" applyNumberFormat="1" applyFont="1" applyFill="1" applyAlignment="1">
      <alignment horizontal="center"/>
    </xf>
    <xf numFmtId="168" fontId="159" fillId="33" borderId="0" xfId="0" applyNumberFormat="1" applyFont="1" applyFill="1" applyAlignment="1">
      <alignment horizontal="center"/>
    </xf>
    <xf numFmtId="0" fontId="112" fillId="33" borderId="3" xfId="0" applyFont="1" applyFill="1" applyBorder="1"/>
    <xf numFmtId="0" fontId="108" fillId="33" borderId="3" xfId="0" applyFont="1" applyFill="1" applyBorder="1"/>
    <xf numFmtId="0" fontId="108" fillId="33" borderId="0" xfId="0" applyFont="1" applyFill="1"/>
    <xf numFmtId="265" fontId="160" fillId="0" borderId="68" xfId="0" applyNumberFormat="1" applyFont="1" applyBorder="1" applyAlignment="1">
      <alignment horizontal="center" vertical="center" wrapText="1"/>
    </xf>
    <xf numFmtId="170" fontId="134" fillId="0" borderId="0" xfId="255" applyNumberFormat="1" applyFont="1" applyFill="1" applyBorder="1" applyAlignment="1">
      <alignment horizontal="right" vertical="center" wrapText="1"/>
    </xf>
    <xf numFmtId="170" fontId="112" fillId="0" borderId="0" xfId="255" applyNumberFormat="1" applyFont="1" applyFill="1" applyBorder="1" applyAlignment="1">
      <alignment horizontal="right"/>
    </xf>
    <xf numFmtId="2" fontId="127" fillId="0" borderId="0" xfId="223" applyNumberFormat="1" applyFont="1" applyFill="1" applyBorder="1" applyAlignment="1">
      <alignment horizontal="center" vertical="center" wrapText="1"/>
    </xf>
    <xf numFmtId="206" fontId="118" fillId="0" borderId="0" xfId="223" applyNumberFormat="1" applyFont="1" applyFill="1" applyBorder="1" applyAlignment="1">
      <alignment horizontal="center" vertical="center" wrapText="1"/>
    </xf>
    <xf numFmtId="4" fontId="112" fillId="0" borderId="0" xfId="0" applyNumberFormat="1" applyFont="1"/>
    <xf numFmtId="169" fontId="127" fillId="0" borderId="0" xfId="842" applyNumberFormat="1" applyFont="1" applyFill="1" applyBorder="1" applyAlignment="1">
      <alignment horizontal="center" vertical="center" wrapText="1"/>
    </xf>
    <xf numFmtId="2" fontId="118" fillId="0" borderId="0" xfId="223" applyNumberFormat="1" applyFont="1" applyFill="1" applyBorder="1" applyAlignment="1">
      <alignment horizontal="center" vertical="center" wrapText="1"/>
    </xf>
    <xf numFmtId="170" fontId="108" fillId="0" borderId="0" xfId="255" applyNumberFormat="1" applyFont="1" applyFill="1"/>
    <xf numFmtId="9" fontId="115" fillId="0" borderId="0" xfId="756" applyFont="1" applyFill="1" applyAlignment="1">
      <alignment horizontal="right"/>
    </xf>
    <xf numFmtId="9" fontId="115" fillId="0" borderId="0" xfId="864" applyFont="1" applyFill="1" applyAlignment="1">
      <alignment horizontal="right"/>
    </xf>
    <xf numFmtId="169" fontId="108" fillId="0" borderId="0" xfId="864" applyNumberFormat="1" applyFont="1" applyFill="1"/>
    <xf numFmtId="265" fontId="156" fillId="0" borderId="0" xfId="0" applyNumberFormat="1" applyFont="1" applyAlignment="1">
      <alignment horizontal="center" vertical="center" wrapText="1"/>
    </xf>
    <xf numFmtId="265" fontId="126" fillId="0" borderId="0" xfId="466" applyNumberFormat="1" applyFont="1" applyAlignment="1">
      <alignment horizontal="center" vertical="center" wrapText="1"/>
    </xf>
    <xf numFmtId="3" fontId="122" fillId="0" borderId="0" xfId="382" applyNumberFormat="1" applyFont="1" applyAlignment="1">
      <alignment horizontal="right" readingOrder="1"/>
    </xf>
    <xf numFmtId="265" fontId="127" fillId="0" borderId="0" xfId="463" applyNumberFormat="1" applyFont="1" applyAlignment="1">
      <alignment horizontal="center" vertical="center" wrapText="1"/>
    </xf>
    <xf numFmtId="265" fontId="127" fillId="0" borderId="0" xfId="455" applyNumberFormat="1" applyFont="1" applyAlignment="1">
      <alignment horizontal="center" vertical="center" wrapText="1"/>
    </xf>
    <xf numFmtId="265" fontId="125" fillId="0" borderId="0" xfId="455" applyNumberFormat="1" applyFont="1" applyAlignment="1">
      <alignment wrapText="1"/>
    </xf>
    <xf numFmtId="169" fontId="156" fillId="0" borderId="0" xfId="764" applyNumberFormat="1" applyFont="1" applyFill="1" applyBorder="1" applyAlignment="1">
      <alignment horizontal="center" vertical="center" wrapText="1"/>
    </xf>
    <xf numFmtId="169" fontId="157" fillId="0" borderId="0" xfId="771" applyNumberFormat="1" applyFont="1" applyFill="1" applyBorder="1" applyAlignment="1">
      <alignment horizontal="center" vertical="center" wrapText="1"/>
    </xf>
    <xf numFmtId="227" fontId="118" fillId="0" borderId="0" xfId="445" applyNumberFormat="1" applyFont="1" applyAlignment="1">
      <alignment horizontal="center" vertical="center" wrapText="1"/>
    </xf>
    <xf numFmtId="227" fontId="127" fillId="0" borderId="0" xfId="445" applyNumberFormat="1" applyFont="1" applyAlignment="1">
      <alignment horizontal="center" vertical="center" wrapText="1"/>
    </xf>
    <xf numFmtId="206" fontId="127" fillId="0" borderId="0" xfId="445" applyNumberFormat="1" applyFont="1" applyAlignment="1">
      <alignment horizontal="center" vertical="center" wrapText="1"/>
    </xf>
    <xf numFmtId="170" fontId="151" fillId="0" borderId="0" xfId="255" applyNumberFormat="1" applyFont="1" applyFill="1"/>
    <xf numFmtId="0" fontId="112" fillId="34" borderId="0" xfId="0" applyFont="1" applyFill="1"/>
    <xf numFmtId="0" fontId="108" fillId="34" borderId="0" xfId="0" applyFont="1" applyFill="1"/>
    <xf numFmtId="169" fontId="112" fillId="34" borderId="0" xfId="756" applyNumberFormat="1" applyFont="1" applyFill="1"/>
    <xf numFmtId="165" fontId="108" fillId="34" borderId="0" xfId="0" applyNumberFormat="1" applyFont="1" applyFill="1"/>
    <xf numFmtId="168" fontId="112" fillId="33" borderId="3" xfId="0" applyNumberFormat="1" applyFont="1" applyFill="1" applyBorder="1" applyAlignment="1">
      <alignment horizontal="centerContinuous"/>
    </xf>
    <xf numFmtId="168" fontId="112" fillId="33" borderId="3" xfId="0" applyNumberFormat="1" applyFont="1" applyFill="1" applyBorder="1" applyAlignment="1">
      <alignment horizontal="center" vertical="center"/>
    </xf>
    <xf numFmtId="168" fontId="112" fillId="33" borderId="3" xfId="0" applyNumberFormat="1" applyFont="1" applyFill="1" applyBorder="1" applyAlignment="1">
      <alignment horizontal="center"/>
    </xf>
    <xf numFmtId="168" fontId="112" fillId="33" borderId="3" xfId="0" applyNumberFormat="1" applyFont="1" applyFill="1" applyBorder="1" applyAlignment="1">
      <alignment horizontal="left"/>
    </xf>
    <xf numFmtId="265" fontId="161" fillId="0" borderId="46" xfId="464" applyNumberFormat="1" applyFont="1" applyBorder="1" applyAlignment="1">
      <alignment horizontal="center" vertical="center" wrapText="1"/>
    </xf>
    <xf numFmtId="265" fontId="161" fillId="0" borderId="65" xfId="0" applyNumberFormat="1" applyFont="1" applyBorder="1" applyAlignment="1">
      <alignment horizontal="center" vertical="center" wrapText="1"/>
    </xf>
    <xf numFmtId="265" fontId="161" fillId="0" borderId="46" xfId="466" applyNumberFormat="1" applyFont="1" applyBorder="1" applyAlignment="1">
      <alignment horizontal="center" vertical="center" wrapText="1"/>
    </xf>
    <xf numFmtId="169" fontId="161" fillId="0" borderId="46" xfId="851" applyNumberFormat="1" applyFont="1" applyFill="1" applyBorder="1" applyAlignment="1">
      <alignment horizontal="center" vertical="center"/>
    </xf>
    <xf numFmtId="169" fontId="161" fillId="0" borderId="46" xfId="853" applyNumberFormat="1" applyFont="1" applyFill="1" applyBorder="1" applyAlignment="1">
      <alignment horizontal="center" vertical="center"/>
    </xf>
    <xf numFmtId="265" fontId="161" fillId="0" borderId="55" xfId="464" applyNumberFormat="1" applyFont="1" applyBorder="1" applyAlignment="1">
      <alignment horizontal="center" vertical="center" wrapText="1"/>
    </xf>
    <xf numFmtId="265" fontId="161" fillId="0" borderId="55" xfId="466" applyNumberFormat="1" applyFont="1" applyBorder="1" applyAlignment="1">
      <alignment horizontal="center" vertical="center" wrapText="1"/>
    </xf>
    <xf numFmtId="265" fontId="161" fillId="0" borderId="0" xfId="464" applyNumberFormat="1" applyFont="1" applyAlignment="1">
      <alignment horizontal="center" vertical="center" wrapText="1"/>
    </xf>
    <xf numFmtId="265" fontId="161" fillId="0" borderId="0" xfId="466" applyNumberFormat="1" applyFont="1" applyAlignment="1">
      <alignment horizontal="center" vertical="center" wrapText="1"/>
    </xf>
    <xf numFmtId="0" fontId="162" fillId="0" borderId="0" xfId="464" applyFont="1" applyAlignment="1">
      <alignment horizontal="center"/>
    </xf>
    <xf numFmtId="0" fontId="162" fillId="0" borderId="0" xfId="466" applyFont="1" applyAlignment="1">
      <alignment horizontal="center"/>
    </xf>
    <xf numFmtId="168" fontId="112" fillId="33" borderId="3" xfId="0" applyNumberFormat="1" applyFont="1" applyFill="1" applyBorder="1" applyAlignment="1">
      <alignment horizontal="left" wrapText="1"/>
    </xf>
    <xf numFmtId="265" fontId="147" fillId="0" borderId="0" xfId="461" applyNumberFormat="1" applyFont="1" applyAlignment="1">
      <alignment horizontal="center" vertical="center" wrapText="1"/>
    </xf>
    <xf numFmtId="265" fontId="147" fillId="0" borderId="46" xfId="463" applyNumberFormat="1" applyFont="1" applyBorder="1" applyAlignment="1">
      <alignment horizontal="center" vertical="center" wrapText="1"/>
    </xf>
    <xf numFmtId="265" fontId="151" fillId="0" borderId="0" xfId="463" applyNumberFormat="1" applyFont="1" applyAlignment="1">
      <alignment horizontal="center" vertical="center" wrapText="1"/>
    </xf>
    <xf numFmtId="265" fontId="161" fillId="0" borderId="46" xfId="463" applyNumberFormat="1" applyFont="1" applyBorder="1" applyAlignment="1">
      <alignment horizontal="center" vertical="center" wrapText="1"/>
    </xf>
    <xf numFmtId="169" fontId="147" fillId="0" borderId="0" xfId="845" applyNumberFormat="1" applyFont="1" applyFill="1" applyBorder="1" applyAlignment="1">
      <alignment horizontal="center" vertical="center" wrapText="1"/>
    </xf>
    <xf numFmtId="265" fontId="151" fillId="0" borderId="0" xfId="222" applyNumberFormat="1" applyFont="1" applyFill="1" applyBorder="1" applyAlignment="1">
      <alignment horizontal="center" vertical="center" wrapText="1"/>
    </xf>
    <xf numFmtId="266" fontId="147" fillId="0" borderId="0" xfId="461" applyNumberFormat="1" applyFont="1" applyAlignment="1">
      <alignment horizontal="center" vertical="center" wrapText="1"/>
    </xf>
    <xf numFmtId="169" fontId="147" fillId="0" borderId="65" xfId="764" applyNumberFormat="1" applyFont="1" applyBorder="1" applyAlignment="1">
      <alignment horizontal="center" vertical="center" wrapText="1"/>
    </xf>
    <xf numFmtId="169" fontId="151" fillId="0" borderId="65" xfId="771" applyNumberFormat="1" applyFont="1" applyBorder="1" applyAlignment="1">
      <alignment horizontal="center" vertical="center" wrapText="1"/>
    </xf>
    <xf numFmtId="227" fontId="151" fillId="0" borderId="46" xfId="445" applyNumberFormat="1" applyFont="1" applyBorder="1" applyAlignment="1">
      <alignment horizontal="center" vertical="center" wrapText="1"/>
    </xf>
    <xf numFmtId="227" fontId="147" fillId="0" borderId="46" xfId="445" applyNumberFormat="1" applyFont="1" applyBorder="1" applyAlignment="1">
      <alignment horizontal="center" vertical="center" wrapText="1"/>
    </xf>
    <xf numFmtId="2" fontId="151" fillId="0" borderId="46" xfId="223" applyNumberFormat="1" applyFont="1" applyFill="1" applyBorder="1" applyAlignment="1">
      <alignment horizontal="center" vertical="center" wrapText="1"/>
    </xf>
    <xf numFmtId="2" fontId="147" fillId="0" borderId="46" xfId="223" applyNumberFormat="1" applyFont="1" applyFill="1" applyBorder="1" applyAlignment="1">
      <alignment horizontal="center" vertical="center" wrapText="1"/>
    </xf>
    <xf numFmtId="206" fontId="151" fillId="0" borderId="46" xfId="223" applyNumberFormat="1" applyFont="1" applyFill="1" applyBorder="1" applyAlignment="1">
      <alignment horizontal="center" vertical="center" wrapText="1"/>
    </xf>
    <xf numFmtId="206" fontId="147" fillId="0" borderId="60" xfId="445" applyNumberFormat="1" applyFont="1" applyBorder="1" applyAlignment="1">
      <alignment horizontal="center" vertical="center" wrapText="1"/>
    </xf>
    <xf numFmtId="259" fontId="151" fillId="0" borderId="0" xfId="0" applyNumberFormat="1" applyFont="1"/>
    <xf numFmtId="265" fontId="151" fillId="0" borderId="0" xfId="0" applyNumberFormat="1" applyFont="1"/>
    <xf numFmtId="264" fontId="151" fillId="0" borderId="0" xfId="0" applyNumberFormat="1" applyFont="1"/>
    <xf numFmtId="265" fontId="112" fillId="0" borderId="0" xfId="0" applyNumberFormat="1" applyFont="1"/>
    <xf numFmtId="0" fontId="112" fillId="33" borderId="8" xfId="0" applyFont="1" applyFill="1" applyBorder="1"/>
    <xf numFmtId="0" fontId="108" fillId="34" borderId="0" xfId="0" applyFont="1" applyFill="1" applyAlignment="1">
      <alignment horizontal="left" indent="1"/>
    </xf>
    <xf numFmtId="43" fontId="163" fillId="0" borderId="0" xfId="162" applyFont="1" applyFill="1" applyBorder="1" applyAlignment="1">
      <alignment horizontal="center"/>
    </xf>
    <xf numFmtId="0" fontId="149" fillId="30" borderId="0" xfId="0" applyFont="1" applyFill="1"/>
    <xf numFmtId="259" fontId="149" fillId="14" borderId="0" xfId="0" applyNumberFormat="1" applyFont="1" applyFill="1"/>
    <xf numFmtId="170" fontId="150" fillId="0" borderId="0" xfId="162" applyNumberFormat="1" applyFont="1" applyFill="1" applyBorder="1" applyAlignment="1">
      <alignment horizontal="right"/>
    </xf>
    <xf numFmtId="0" fontId="163" fillId="33" borderId="0" xfId="0" applyFont="1" applyFill="1"/>
    <xf numFmtId="43" fontId="163" fillId="33" borderId="0" xfId="162" applyFont="1" applyFill="1" applyBorder="1" applyAlignment="1">
      <alignment horizontal="center"/>
    </xf>
    <xf numFmtId="43" fontId="163" fillId="33" borderId="0" xfId="255" applyFont="1" applyFill="1" applyBorder="1" applyAlignment="1">
      <alignment horizontal="center"/>
    </xf>
    <xf numFmtId="0" fontId="163" fillId="33" borderId="0" xfId="0" applyFont="1" applyFill="1" applyAlignment="1">
      <alignment horizontal="center"/>
    </xf>
    <xf numFmtId="0" fontId="110" fillId="33" borderId="0" xfId="0" applyFont="1" applyFill="1"/>
    <xf numFmtId="0" fontId="108" fillId="0" borderId="0" xfId="388" applyFont="1" applyAlignment="1">
      <alignment horizontal="right"/>
    </xf>
    <xf numFmtId="0" fontId="108" fillId="0" borderId="0" xfId="388" applyFont="1" applyAlignment="1">
      <alignment horizontal="left" wrapText="1"/>
    </xf>
    <xf numFmtId="170" fontId="147" fillId="0" borderId="0" xfId="255" applyNumberFormat="1" applyFont="1" applyFill="1" applyBorder="1" applyAlignment="1">
      <alignment horizontal="center" wrapText="1"/>
    </xf>
    <xf numFmtId="259" fontId="108" fillId="0" borderId="0" xfId="255" applyNumberFormat="1" applyFont="1" applyFill="1" applyBorder="1" applyAlignment="1">
      <alignment horizontal="right" wrapText="1"/>
    </xf>
    <xf numFmtId="258" fontId="108" fillId="0" borderId="0" xfId="388" applyNumberFormat="1" applyFont="1" applyAlignment="1">
      <alignment horizontal="right" wrapText="1"/>
    </xf>
    <xf numFmtId="0" fontId="112" fillId="0" borderId="0" xfId="388" applyFont="1" applyAlignment="1">
      <alignment horizontal="left" wrapText="1"/>
    </xf>
    <xf numFmtId="170" fontId="112" fillId="0" borderId="0" xfId="255" applyNumberFormat="1" applyFont="1" applyFill="1" applyBorder="1" applyAlignment="1">
      <alignment horizontal="center" wrapText="1"/>
    </xf>
    <xf numFmtId="170" fontId="112" fillId="0" borderId="0" xfId="255" applyNumberFormat="1" applyFont="1" applyFill="1" applyBorder="1" applyAlignment="1">
      <alignment horizontal="right" wrapText="1"/>
    </xf>
    <xf numFmtId="0" fontId="108" fillId="0" borderId="0" xfId="388" applyFont="1" applyAlignment="1">
      <alignment horizontal="right" wrapText="1"/>
    </xf>
    <xf numFmtId="170" fontId="108" fillId="0" borderId="0" xfId="255" applyNumberFormat="1" applyFont="1" applyFill="1" applyBorder="1" applyAlignment="1">
      <alignment horizontal="right" wrapText="1"/>
    </xf>
    <xf numFmtId="0" fontId="108" fillId="0" borderId="0" xfId="388" applyFont="1" applyAlignment="1">
      <alignment horizontal="left" vertical="top" wrapText="1"/>
    </xf>
    <xf numFmtId="0" fontId="108" fillId="0" borderId="0" xfId="388" quotePrefix="1" applyFont="1" applyAlignment="1">
      <alignment horizontal="right" wrapText="1"/>
    </xf>
    <xf numFmtId="0" fontId="112" fillId="33" borderId="8" xfId="388" applyFont="1" applyFill="1" applyBorder="1" applyAlignment="1">
      <alignment horizontal="center" vertical="center" wrapText="1"/>
    </xf>
    <xf numFmtId="0" fontId="112" fillId="33" borderId="8" xfId="388" applyFont="1" applyFill="1" applyBorder="1" applyAlignment="1">
      <alignment horizontal="left" wrapText="1"/>
    </xf>
    <xf numFmtId="0" fontId="112" fillId="33" borderId="19" xfId="388" applyFont="1" applyFill="1" applyBorder="1" applyAlignment="1">
      <alignment horizontal="left" wrapText="1"/>
    </xf>
    <xf numFmtId="0" fontId="112" fillId="33" borderId="9" xfId="388" applyFont="1" applyFill="1" applyBorder="1" applyAlignment="1">
      <alignment horizontal="center" vertical="center" wrapText="1"/>
    </xf>
    <xf numFmtId="0" fontId="112" fillId="33" borderId="20" xfId="388" applyFont="1" applyFill="1" applyBorder="1" applyAlignment="1">
      <alignment horizontal="center" vertical="center" wrapText="1"/>
    </xf>
    <xf numFmtId="170" fontId="112" fillId="0" borderId="53" xfId="255" applyNumberFormat="1" applyFont="1" applyFill="1" applyBorder="1" applyAlignment="1">
      <alignment horizontal="right" wrapText="1"/>
    </xf>
    <xf numFmtId="170" fontId="112" fillId="0" borderId="50" xfId="255" applyNumberFormat="1" applyFont="1" applyFill="1" applyBorder="1" applyAlignment="1">
      <alignment horizontal="right" wrapText="1"/>
    </xf>
    <xf numFmtId="0" fontId="112" fillId="33" borderId="44" xfId="388" applyFont="1" applyFill="1" applyBorder="1"/>
    <xf numFmtId="0" fontId="112" fillId="0" borderId="19" xfId="388" applyFont="1" applyBorder="1"/>
    <xf numFmtId="170" fontId="112" fillId="0" borderId="20" xfId="255" applyNumberFormat="1" applyFont="1" applyBorder="1"/>
    <xf numFmtId="170" fontId="112" fillId="0" borderId="61" xfId="255" applyNumberFormat="1" applyFont="1" applyBorder="1"/>
    <xf numFmtId="17" fontId="159" fillId="14" borderId="44" xfId="388" applyNumberFormat="1" applyFont="1" applyFill="1" applyBorder="1" applyAlignment="1">
      <alignment wrapText="1"/>
    </xf>
    <xf numFmtId="0" fontId="112" fillId="14" borderId="62" xfId="388" applyFont="1" applyFill="1" applyBorder="1" applyAlignment="1">
      <alignment horizontal="left" wrapText="1"/>
    </xf>
    <xf numFmtId="0" fontId="112" fillId="14" borderId="62" xfId="388" applyFont="1" applyFill="1" applyBorder="1" applyAlignment="1">
      <alignment horizontal="right" wrapText="1"/>
    </xf>
    <xf numFmtId="0" fontId="112" fillId="14" borderId="49" xfId="388" applyFont="1" applyFill="1" applyBorder="1" applyAlignment="1">
      <alignment horizontal="right" wrapText="1"/>
    </xf>
    <xf numFmtId="0" fontId="112" fillId="16" borderId="63" xfId="389" applyFont="1" applyFill="1" applyBorder="1"/>
    <xf numFmtId="258" fontId="112" fillId="16" borderId="64" xfId="389" applyNumberFormat="1" applyFont="1" applyFill="1" applyBorder="1"/>
    <xf numFmtId="0" fontId="108" fillId="16" borderId="21" xfId="389" applyFont="1" applyFill="1" applyBorder="1"/>
    <xf numFmtId="258" fontId="108" fillId="16" borderId="27" xfId="389" applyNumberFormat="1" applyFont="1" applyFill="1" applyBorder="1"/>
    <xf numFmtId="0" fontId="112" fillId="16" borderId="21" xfId="389" applyFont="1" applyFill="1" applyBorder="1"/>
    <xf numFmtId="258" fontId="112" fillId="16" borderId="27" xfId="389" applyNumberFormat="1" applyFont="1" applyFill="1" applyBorder="1"/>
    <xf numFmtId="0" fontId="108" fillId="16" borderId="22" xfId="389" applyFont="1" applyFill="1" applyBorder="1"/>
    <xf numFmtId="170" fontId="108" fillId="0" borderId="10" xfId="0" applyNumberFormat="1" applyFont="1" applyBorder="1"/>
    <xf numFmtId="0" fontId="108" fillId="16" borderId="10" xfId="389" applyFont="1" applyFill="1" applyBorder="1"/>
    <xf numFmtId="0" fontId="108" fillId="16" borderId="28" xfId="389" applyFont="1" applyFill="1" applyBorder="1"/>
    <xf numFmtId="39" fontId="147" fillId="28" borderId="0" xfId="0" applyNumberFormat="1" applyFont="1" applyFill="1"/>
    <xf numFmtId="43" fontId="108" fillId="28" borderId="0" xfId="162" applyFont="1" applyFill="1" applyBorder="1"/>
    <xf numFmtId="165" fontId="108" fillId="28" borderId="0" xfId="0" applyNumberFormat="1" applyFont="1" applyFill="1"/>
    <xf numFmtId="0" fontId="108" fillId="28" borderId="0" xfId="0" applyFont="1" applyFill="1"/>
    <xf numFmtId="165" fontId="111" fillId="28" borderId="0" xfId="0" applyNumberFormat="1" applyFont="1" applyFill="1" applyAlignment="1">
      <alignment horizontal="right"/>
    </xf>
    <xf numFmtId="0" fontId="112" fillId="28" borderId="0" xfId="0" applyFont="1" applyFill="1"/>
    <xf numFmtId="165" fontId="110" fillId="28" borderId="0" xfId="0" applyNumberFormat="1" applyFont="1" applyFill="1"/>
    <xf numFmtId="0" fontId="115" fillId="28" borderId="0" xfId="0" applyFont="1" applyFill="1"/>
    <xf numFmtId="257" fontId="108" fillId="28" borderId="0" xfId="0" applyNumberFormat="1" applyFont="1" applyFill="1"/>
    <xf numFmtId="167" fontId="108" fillId="28" borderId="0" xfId="0" applyNumberFormat="1" applyFont="1" applyFill="1"/>
    <xf numFmtId="166" fontId="112" fillId="28" borderId="0" xfId="0" applyNumberFormat="1" applyFont="1" applyFill="1" applyAlignment="1">
      <alignment horizontal="right"/>
    </xf>
    <xf numFmtId="43" fontId="110" fillId="28" borderId="0" xfId="162" applyFont="1" applyFill="1" applyBorder="1" applyAlignment="1">
      <alignment horizontal="center"/>
    </xf>
    <xf numFmtId="165" fontId="112" fillId="28" borderId="0" xfId="0" applyNumberFormat="1" applyFont="1" applyFill="1" applyAlignment="1">
      <alignment horizontal="right"/>
    </xf>
    <xf numFmtId="169" fontId="115" fillId="28" borderId="0" xfId="756" applyNumberFormat="1" applyFont="1" applyFill="1" applyAlignment="1">
      <alignment horizontal="right"/>
    </xf>
    <xf numFmtId="165" fontId="112" fillId="28" borderId="39" xfId="0" applyNumberFormat="1" applyFont="1" applyFill="1" applyBorder="1"/>
    <xf numFmtId="170" fontId="112" fillId="28" borderId="0" xfId="162" applyNumberFormat="1" applyFont="1" applyFill="1"/>
    <xf numFmtId="170" fontId="108" fillId="28" borderId="0" xfId="162" applyNumberFormat="1" applyFont="1" applyFill="1"/>
    <xf numFmtId="170" fontId="112" fillId="28" borderId="39" xfId="162" applyNumberFormat="1" applyFont="1" applyFill="1" applyBorder="1" applyAlignment="1">
      <alignment horizontal="right"/>
    </xf>
    <xf numFmtId="170" fontId="108" fillId="28" borderId="0" xfId="162" applyNumberFormat="1" applyFont="1" applyFill="1" applyBorder="1"/>
    <xf numFmtId="170" fontId="108" fillId="28" borderId="7" xfId="162" applyNumberFormat="1" applyFont="1" applyFill="1" applyBorder="1"/>
    <xf numFmtId="170" fontId="112" fillId="28" borderId="7" xfId="162" applyNumberFormat="1" applyFont="1" applyFill="1" applyBorder="1"/>
    <xf numFmtId="170" fontId="112" fillId="28" borderId="6" xfId="162" applyNumberFormat="1" applyFont="1" applyFill="1" applyBorder="1"/>
    <xf numFmtId="165" fontId="108" fillId="28" borderId="0" xfId="0" applyNumberFormat="1" applyFont="1" applyFill="1" applyAlignment="1">
      <alignment horizontal="right"/>
    </xf>
    <xf numFmtId="0" fontId="108" fillId="28" borderId="0" xfId="0" applyFont="1" applyFill="1" applyAlignment="1">
      <alignment horizontal="right"/>
    </xf>
    <xf numFmtId="258" fontId="112" fillId="28" borderId="0" xfId="0" applyNumberFormat="1" applyFont="1" applyFill="1" applyAlignment="1">
      <alignment horizontal="right"/>
    </xf>
    <xf numFmtId="258" fontId="108" fillId="28" borderId="0" xfId="0" applyNumberFormat="1" applyFont="1" applyFill="1" applyAlignment="1">
      <alignment horizontal="right"/>
    </xf>
    <xf numFmtId="2" fontId="108" fillId="28" borderId="0" xfId="0" applyNumberFormat="1" applyFont="1" applyFill="1"/>
    <xf numFmtId="0" fontId="112" fillId="28" borderId="3" xfId="0" applyFont="1" applyFill="1" applyBorder="1"/>
    <xf numFmtId="37" fontId="108" fillId="28" borderId="0" xfId="0" applyNumberFormat="1" applyFont="1" applyFill="1"/>
    <xf numFmtId="265" fontId="127" fillId="28" borderId="46" xfId="464" applyNumberFormat="1" applyFont="1" applyFill="1" applyBorder="1" applyAlignment="1">
      <alignment horizontal="center" vertical="center" wrapText="1"/>
    </xf>
    <xf numFmtId="265" fontId="127" fillId="28" borderId="55" xfId="464" applyNumberFormat="1" applyFont="1" applyFill="1" applyBorder="1" applyAlignment="1">
      <alignment horizontal="center" vertical="center" wrapText="1"/>
    </xf>
    <xf numFmtId="169" fontId="115" fillId="28" borderId="0" xfId="756" applyNumberFormat="1" applyFont="1" applyFill="1" applyBorder="1"/>
    <xf numFmtId="265" fontId="126" fillId="28" borderId="57" xfId="466" applyNumberFormat="1" applyFont="1" applyFill="1" applyBorder="1" applyAlignment="1">
      <alignment horizontal="center" vertical="center" wrapText="1"/>
    </xf>
    <xf numFmtId="169" fontId="119" fillId="28" borderId="0" xfId="756" applyNumberFormat="1" applyFont="1" applyFill="1" applyBorder="1"/>
    <xf numFmtId="265" fontId="127" fillId="28" borderId="0" xfId="461" applyNumberFormat="1" applyFont="1" applyFill="1" applyAlignment="1">
      <alignment horizontal="center" vertical="center" wrapText="1"/>
    </xf>
    <xf numFmtId="265" fontId="127" fillId="28" borderId="46" xfId="455" applyNumberFormat="1" applyFont="1" applyFill="1" applyBorder="1" applyAlignment="1">
      <alignment horizontal="center" vertical="center" wrapText="1"/>
    </xf>
    <xf numFmtId="169" fontId="127" fillId="28" borderId="0" xfId="845" applyNumberFormat="1" applyFont="1" applyFill="1" applyBorder="1" applyAlignment="1">
      <alignment horizontal="center" vertical="center" wrapText="1"/>
    </xf>
    <xf numFmtId="169" fontId="127" fillId="28" borderId="46" xfId="842" applyNumberFormat="1" applyFont="1" applyFill="1" applyBorder="1" applyAlignment="1">
      <alignment horizontal="center" vertical="center" wrapText="1"/>
    </xf>
    <xf numFmtId="0" fontId="129" fillId="28" borderId="0" xfId="458" applyFont="1" applyFill="1" applyAlignment="1">
      <alignment vertical="center" wrapText="1"/>
    </xf>
    <xf numFmtId="0" fontId="129" fillId="28" borderId="0" xfId="455" applyFont="1" applyFill="1" applyAlignment="1">
      <alignment vertical="center" wrapText="1"/>
    </xf>
    <xf numFmtId="169" fontId="127" fillId="28" borderId="0" xfId="756" applyNumberFormat="1" applyFont="1" applyFill="1" applyBorder="1" applyAlignment="1">
      <alignment horizontal="center" vertical="center" wrapText="1"/>
    </xf>
    <xf numFmtId="266" fontId="127" fillId="28" borderId="0" xfId="461" applyNumberFormat="1" applyFont="1" applyFill="1" applyAlignment="1">
      <alignment horizontal="center" vertical="center" wrapText="1"/>
    </xf>
    <xf numFmtId="2" fontId="151" fillId="28" borderId="46" xfId="223" applyNumberFormat="1" applyFont="1" applyFill="1" applyBorder="1" applyAlignment="1">
      <alignment horizontal="center" vertical="center" wrapText="1"/>
    </xf>
    <xf numFmtId="2" fontId="147" fillId="28" borderId="46" xfId="223" applyNumberFormat="1" applyFont="1" applyFill="1" applyBorder="1" applyAlignment="1">
      <alignment horizontal="center" vertical="center" wrapText="1"/>
    </xf>
    <xf numFmtId="259" fontId="147" fillId="28" borderId="0" xfId="0" applyNumberFormat="1" applyFont="1" applyFill="1"/>
    <xf numFmtId="264" fontId="112" fillId="28" borderId="0" xfId="0" applyNumberFormat="1" applyFont="1" applyFill="1"/>
    <xf numFmtId="259" fontId="151" fillId="28" borderId="0" xfId="0" applyNumberFormat="1" applyFont="1" applyFill="1"/>
    <xf numFmtId="264" fontId="151" fillId="28" borderId="0" xfId="0" applyNumberFormat="1" applyFont="1" applyFill="1"/>
    <xf numFmtId="264" fontId="147" fillId="28" borderId="0" xfId="0" applyNumberFormat="1" applyFont="1" applyFill="1"/>
    <xf numFmtId="259" fontId="112" fillId="28" borderId="0" xfId="0" applyNumberFormat="1" applyFont="1" applyFill="1"/>
    <xf numFmtId="259" fontId="108" fillId="28" borderId="0" xfId="0" applyNumberFormat="1" applyFont="1" applyFill="1"/>
    <xf numFmtId="265" fontId="147" fillId="28" borderId="0" xfId="0" applyNumberFormat="1" applyFont="1" applyFill="1"/>
    <xf numFmtId="264" fontId="108" fillId="28" borderId="0" xfId="0" applyNumberFormat="1" applyFont="1" applyFill="1"/>
    <xf numFmtId="0" fontId="112" fillId="34" borderId="0" xfId="0" applyFont="1" applyFill="1" applyAlignment="1">
      <alignment horizontal="left"/>
    </xf>
    <xf numFmtId="165" fontId="110" fillId="34" borderId="0" xfId="0" applyNumberFormat="1" applyFont="1" applyFill="1"/>
    <xf numFmtId="169" fontId="115" fillId="28" borderId="0" xfId="756" applyNumberFormat="1" applyFont="1" applyFill="1"/>
    <xf numFmtId="169" fontId="115" fillId="28" borderId="0" xfId="864" applyNumberFormat="1" applyFont="1" applyFill="1"/>
    <xf numFmtId="0" fontId="115" fillId="28" borderId="0" xfId="0" applyFont="1" applyFill="1" applyAlignment="1">
      <alignment horizontal="left" indent="1"/>
    </xf>
    <xf numFmtId="169" fontId="116" fillId="28" borderId="0" xfId="756" applyNumberFormat="1" applyFont="1" applyFill="1"/>
    <xf numFmtId="169" fontId="116" fillId="28" borderId="0" xfId="864" applyNumberFormat="1" applyFont="1" applyFill="1"/>
    <xf numFmtId="0" fontId="117" fillId="34" borderId="0" xfId="0" applyFont="1" applyFill="1" applyAlignment="1">
      <alignment horizontal="left"/>
    </xf>
    <xf numFmtId="170" fontId="134" fillId="34" borderId="46" xfId="255" applyNumberFormat="1" applyFont="1" applyFill="1" applyBorder="1" applyAlignment="1">
      <alignment horizontal="right" vertical="center" wrapText="1"/>
    </xf>
    <xf numFmtId="0" fontId="137" fillId="0" borderId="0" xfId="0" applyFont="1" applyAlignment="1">
      <alignment horizontal="left"/>
    </xf>
    <xf numFmtId="165" fontId="137" fillId="0" borderId="0" xfId="0" applyNumberFormat="1" applyFont="1"/>
    <xf numFmtId="0" fontId="164" fillId="0" borderId="0" xfId="0" applyFont="1"/>
    <xf numFmtId="165" fontId="120" fillId="28" borderId="0" xfId="0" applyNumberFormat="1" applyFont="1" applyFill="1"/>
    <xf numFmtId="37" fontId="165" fillId="0" borderId="0" xfId="0" applyNumberFormat="1" applyFont="1"/>
    <xf numFmtId="257" fontId="112" fillId="28" borderId="0" xfId="0" applyNumberFormat="1" applyFont="1" applyFill="1" applyAlignment="1">
      <alignment horizontal="left" indent="3"/>
    </xf>
    <xf numFmtId="257" fontId="112" fillId="0" borderId="0" xfId="0" applyNumberFormat="1" applyFont="1" applyAlignment="1">
      <alignment horizontal="left" indent="3"/>
    </xf>
    <xf numFmtId="261" fontId="108" fillId="34" borderId="0" xfId="0" applyNumberFormat="1" applyFont="1" applyFill="1" applyAlignment="1">
      <alignment horizontal="right"/>
    </xf>
    <xf numFmtId="39" fontId="108" fillId="34" borderId="0" xfId="0" applyNumberFormat="1" applyFont="1" applyFill="1" applyAlignment="1">
      <alignment horizontal="right"/>
    </xf>
    <xf numFmtId="0" fontId="108" fillId="31" borderId="0" xfId="0" applyFont="1" applyFill="1"/>
    <xf numFmtId="0" fontId="112" fillId="31" borderId="0" xfId="0" applyFont="1" applyFill="1"/>
    <xf numFmtId="169" fontId="108" fillId="31" borderId="0" xfId="756" applyNumberFormat="1" applyFont="1" applyFill="1"/>
    <xf numFmtId="169" fontId="147" fillId="0" borderId="65" xfId="771" applyNumberFormat="1" applyFont="1" applyBorder="1" applyAlignment="1">
      <alignment horizontal="center" vertical="center" wrapText="1"/>
    </xf>
    <xf numFmtId="0" fontId="166" fillId="0" borderId="0" xfId="0" applyFont="1"/>
    <xf numFmtId="170" fontId="166" fillId="0" borderId="0" xfId="162" applyNumberFormat="1" applyFont="1" applyFill="1" applyBorder="1" applyAlignment="1">
      <alignment horizontal="right"/>
    </xf>
    <xf numFmtId="170" fontId="149" fillId="0" borderId="0" xfId="162" applyNumberFormat="1" applyFont="1" applyFill="1" applyBorder="1" applyAlignment="1">
      <alignment horizontal="right"/>
    </xf>
    <xf numFmtId="170" fontId="167" fillId="0" borderId="0" xfId="162" applyNumberFormat="1" applyFont="1" applyFill="1" applyBorder="1" applyAlignment="1">
      <alignment horizontal="right"/>
    </xf>
    <xf numFmtId="259" fontId="167" fillId="0" borderId="0" xfId="0" applyNumberFormat="1" applyFont="1"/>
    <xf numFmtId="259" fontId="149" fillId="0" borderId="0" xfId="0" applyNumberFormat="1" applyFont="1"/>
    <xf numFmtId="3" fontId="0" fillId="0" borderId="0" xfId="0" applyNumberFormat="1"/>
    <xf numFmtId="0" fontId="168" fillId="0" borderId="0" xfId="388" applyFont="1"/>
    <xf numFmtId="224" fontId="168" fillId="0" borderId="0" xfId="388" applyNumberFormat="1" applyFont="1"/>
    <xf numFmtId="0" fontId="112" fillId="33" borderId="19" xfId="388" applyFont="1" applyFill="1" applyBorder="1" applyAlignment="1">
      <alignment horizontal="center" vertical="center" wrapText="1"/>
    </xf>
    <xf numFmtId="170" fontId="111" fillId="0" borderId="27" xfId="255" applyNumberFormat="1" applyFont="1" applyFill="1" applyBorder="1" applyAlignment="1">
      <alignment horizontal="center" wrapText="1"/>
    </xf>
    <xf numFmtId="0" fontId="112" fillId="33" borderId="61" xfId="388" applyFont="1" applyFill="1" applyBorder="1" applyAlignment="1">
      <alignment horizontal="center" vertical="center" wrapText="1"/>
    </xf>
    <xf numFmtId="170" fontId="108" fillId="0" borderId="52" xfId="255" applyNumberFormat="1" applyFont="1" applyFill="1" applyBorder="1" applyAlignment="1">
      <alignment horizontal="center" wrapText="1"/>
    </xf>
    <xf numFmtId="0" fontId="112" fillId="33" borderId="8" xfId="388" applyFont="1" applyFill="1" applyBorder="1" applyAlignment="1">
      <alignment horizontal="center" vertical="center"/>
    </xf>
    <xf numFmtId="17" fontId="159" fillId="33" borderId="44" xfId="388" applyNumberFormat="1" applyFont="1" applyFill="1" applyBorder="1" applyAlignment="1">
      <alignment wrapText="1"/>
    </xf>
    <xf numFmtId="0" fontId="112" fillId="33" borderId="62" xfId="388" applyFont="1" applyFill="1" applyBorder="1" applyAlignment="1">
      <alignment horizontal="center"/>
    </xf>
    <xf numFmtId="0" fontId="112" fillId="33" borderId="49" xfId="388" applyFont="1" applyFill="1" applyBorder="1" applyAlignment="1">
      <alignment horizontal="center"/>
    </xf>
    <xf numFmtId="270" fontId="112" fillId="16" borderId="8" xfId="389" applyNumberFormat="1" applyFont="1" applyFill="1" applyBorder="1"/>
    <xf numFmtId="270" fontId="112" fillId="16" borderId="64" xfId="389" applyNumberFormat="1" applyFont="1" applyFill="1" applyBorder="1"/>
    <xf numFmtId="0" fontId="112" fillId="33" borderId="44" xfId="388" applyFont="1" applyFill="1" applyBorder="1" applyAlignment="1">
      <alignment horizontal="left" vertical="center"/>
    </xf>
    <xf numFmtId="9" fontId="108" fillId="28" borderId="0" xfId="864" applyFont="1" applyFill="1"/>
    <xf numFmtId="265" fontId="140" fillId="0" borderId="46" xfId="466" applyNumberFormat="1" applyFont="1" applyBorder="1" applyAlignment="1">
      <alignment horizontal="center" vertical="center" wrapText="1"/>
    </xf>
    <xf numFmtId="169" fontId="140" fillId="0" borderId="46" xfId="853" applyNumberFormat="1" applyFont="1" applyFill="1" applyBorder="1" applyAlignment="1">
      <alignment horizontal="center" vertical="center"/>
    </xf>
    <xf numFmtId="265" fontId="140" fillId="0" borderId="46" xfId="463" applyNumberFormat="1" applyFont="1" applyBorder="1" applyAlignment="1">
      <alignment horizontal="center" vertical="center" wrapText="1"/>
    </xf>
    <xf numFmtId="265" fontId="112" fillId="0" borderId="0" xfId="463" applyNumberFormat="1" applyFont="1" applyAlignment="1">
      <alignment horizontal="center" vertical="center" wrapText="1"/>
    </xf>
    <xf numFmtId="169" fontId="112" fillId="0" borderId="65" xfId="771" applyNumberFormat="1" applyFont="1" applyBorder="1" applyAlignment="1">
      <alignment horizontal="center" vertical="center" wrapText="1"/>
    </xf>
    <xf numFmtId="227" fontId="112" fillId="0" borderId="46" xfId="445" applyNumberFormat="1" applyFont="1" applyBorder="1" applyAlignment="1">
      <alignment horizontal="center" vertical="center" wrapText="1"/>
    </xf>
    <xf numFmtId="227" fontId="108" fillId="0" borderId="46" xfId="445" applyNumberFormat="1" applyFont="1" applyBorder="1" applyAlignment="1">
      <alignment horizontal="center" vertical="center" wrapText="1"/>
    </xf>
    <xf numFmtId="228" fontId="151" fillId="0" borderId="46" xfId="445" applyNumberFormat="1" applyFont="1" applyBorder="1" applyAlignment="1">
      <alignment horizontal="center" vertical="center" wrapText="1"/>
    </xf>
    <xf numFmtId="228" fontId="147" fillId="0" borderId="46" xfId="445" applyNumberFormat="1" applyFont="1" applyBorder="1" applyAlignment="1">
      <alignment horizontal="center" vertical="center" wrapText="1"/>
    </xf>
    <xf numFmtId="228" fontId="112" fillId="0" borderId="46" xfId="445" applyNumberFormat="1" applyFont="1" applyBorder="1" applyAlignment="1">
      <alignment horizontal="center" vertical="center" wrapText="1"/>
    </xf>
    <xf numFmtId="228" fontId="108" fillId="0" borderId="46" xfId="445" applyNumberFormat="1" applyFont="1" applyBorder="1" applyAlignment="1">
      <alignment horizontal="center" vertical="center" wrapText="1"/>
    </xf>
    <xf numFmtId="228" fontId="127" fillId="0" borderId="0" xfId="845" applyNumberFormat="1" applyFont="1" applyFill="1" applyBorder="1" applyAlignment="1">
      <alignment horizontal="center" vertical="center" wrapText="1"/>
    </xf>
    <xf numFmtId="170" fontId="108" fillId="0" borderId="0" xfId="162" applyNumberFormat="1" applyFont="1" applyFill="1" applyBorder="1" applyAlignment="1">
      <alignment horizontal="right"/>
    </xf>
    <xf numFmtId="0" fontId="169" fillId="0" borderId="0" xfId="0" applyFont="1"/>
    <xf numFmtId="43" fontId="112" fillId="0" borderId="0" xfId="162" applyFont="1" applyFill="1" applyBorder="1" applyAlignment="1">
      <alignment horizontal="center"/>
    </xf>
    <xf numFmtId="0" fontId="108" fillId="28" borderId="0" xfId="0" applyFont="1" applyFill="1" applyAlignment="1">
      <alignment horizontal="left"/>
    </xf>
    <xf numFmtId="224" fontId="108" fillId="0" borderId="0" xfId="388" applyNumberFormat="1" applyFont="1"/>
    <xf numFmtId="0" fontId="170" fillId="0" borderId="0" xfId="388" applyFont="1"/>
    <xf numFmtId="224" fontId="141" fillId="0" borderId="0" xfId="388" applyNumberFormat="1" applyFont="1"/>
    <xf numFmtId="224" fontId="170" fillId="0" borderId="0" xfId="388" applyNumberFormat="1" applyFont="1"/>
    <xf numFmtId="170" fontId="111" fillId="30" borderId="52" xfId="162" applyNumberFormat="1" applyFont="1" applyFill="1" applyBorder="1" applyAlignment="1">
      <alignment horizontal="center" wrapText="1"/>
    </xf>
    <xf numFmtId="170" fontId="111" fillId="14" borderId="0" xfId="162" applyNumberFormat="1" applyFont="1" applyFill="1" applyBorder="1" applyAlignment="1">
      <alignment horizontal="center" wrapText="1"/>
    </xf>
    <xf numFmtId="172" fontId="111" fillId="14" borderId="0" xfId="162" applyNumberFormat="1" applyFont="1" applyFill="1" applyBorder="1" applyAlignment="1">
      <alignment horizontal="center" wrapText="1"/>
    </xf>
    <xf numFmtId="171" fontId="111" fillId="14" borderId="0" xfId="162" applyNumberFormat="1" applyFont="1" applyFill="1" applyBorder="1" applyAlignment="1">
      <alignment horizontal="center" wrapText="1"/>
    </xf>
    <xf numFmtId="265" fontId="127" fillId="0" borderId="46" xfId="182" applyNumberFormat="1" applyFont="1" applyFill="1" applyBorder="1" applyAlignment="1">
      <alignment horizontal="center" vertical="center" wrapText="1"/>
    </xf>
    <xf numFmtId="265" fontId="127" fillId="0" borderId="46" xfId="202" applyNumberFormat="1" applyFont="1" applyFill="1" applyBorder="1" applyAlignment="1">
      <alignment horizontal="center" vertical="center" wrapText="1"/>
    </xf>
    <xf numFmtId="265" fontId="127" fillId="0" borderId="46" xfId="203" applyNumberFormat="1" applyFont="1" applyFill="1" applyBorder="1" applyAlignment="1">
      <alignment horizontal="center" vertical="center" wrapText="1"/>
    </xf>
    <xf numFmtId="265" fontId="127" fillId="0" borderId="46" xfId="204" applyNumberFormat="1" applyFont="1" applyFill="1" applyBorder="1" applyAlignment="1">
      <alignment horizontal="center" vertical="center" wrapText="1"/>
    </xf>
    <xf numFmtId="0" fontId="126" fillId="0" borderId="0" xfId="464" applyFont="1" applyAlignment="1">
      <alignment horizontal="center"/>
    </xf>
    <xf numFmtId="3" fontId="122" fillId="0" borderId="12" xfId="0" applyNumberFormat="1" applyFont="1" applyBorder="1" applyAlignment="1">
      <alignment horizontal="right" readingOrder="1"/>
    </xf>
    <xf numFmtId="3" fontId="122" fillId="0" borderId="0" xfId="0" applyNumberFormat="1" applyFont="1" applyAlignment="1">
      <alignment horizontal="right" readingOrder="1"/>
    </xf>
    <xf numFmtId="3" fontId="123" fillId="0" borderId="0" xfId="0" applyNumberFormat="1" applyFont="1" applyAlignment="1">
      <alignment horizontal="right"/>
    </xf>
    <xf numFmtId="0" fontId="123" fillId="0" borderId="0" xfId="459" applyFont="1" applyAlignment="1">
      <alignment horizontal="left" wrapText="1" indent="2" readingOrder="1"/>
    </xf>
    <xf numFmtId="169" fontId="118" fillId="0" borderId="46" xfId="829" applyNumberFormat="1" applyFont="1" applyFill="1" applyBorder="1" applyAlignment="1">
      <alignment horizontal="center" vertical="center" wrapText="1"/>
    </xf>
    <xf numFmtId="169" fontId="118" fillId="0" borderId="46" xfId="830" applyNumberFormat="1" applyFont="1" applyFill="1" applyBorder="1" applyAlignment="1">
      <alignment horizontal="center" vertical="center" wrapText="1"/>
    </xf>
    <xf numFmtId="169" fontId="118" fillId="0" borderId="46" xfId="831" applyNumberFormat="1" applyFont="1" applyFill="1" applyBorder="1" applyAlignment="1">
      <alignment horizontal="center" vertical="center" wrapText="1"/>
    </xf>
    <xf numFmtId="169" fontId="118" fillId="0" borderId="46" xfId="832" applyNumberFormat="1" applyFont="1" applyFill="1" applyBorder="1" applyAlignment="1">
      <alignment horizontal="center" vertical="center" wrapText="1"/>
    </xf>
    <xf numFmtId="169" fontId="118" fillId="0" borderId="46" xfId="833" applyNumberFormat="1" applyFont="1" applyFill="1" applyBorder="1" applyAlignment="1">
      <alignment horizontal="center" vertical="center" wrapText="1"/>
    </xf>
    <xf numFmtId="265" fontId="118" fillId="0" borderId="0" xfId="222" applyNumberFormat="1" applyFont="1" applyFill="1" applyBorder="1" applyAlignment="1">
      <alignment horizontal="center" vertical="center" wrapText="1"/>
    </xf>
    <xf numFmtId="265" fontId="118" fillId="0" borderId="46" xfId="220" applyNumberFormat="1" applyFont="1" applyFill="1" applyBorder="1" applyAlignment="1">
      <alignment horizontal="center" vertical="center" wrapText="1"/>
    </xf>
    <xf numFmtId="265" fontId="118" fillId="0" borderId="46" xfId="221" applyNumberFormat="1" applyFont="1" applyFill="1" applyBorder="1" applyAlignment="1">
      <alignment horizontal="center" vertical="center" wrapText="1"/>
    </xf>
    <xf numFmtId="265" fontId="118" fillId="0" borderId="46" xfId="222" applyNumberFormat="1" applyFont="1" applyFill="1" applyBorder="1" applyAlignment="1">
      <alignment horizontal="center" vertical="center" wrapText="1"/>
    </xf>
    <xf numFmtId="265" fontId="118" fillId="0" borderId="46" xfId="223" applyNumberFormat="1" applyFont="1" applyFill="1" applyBorder="1" applyAlignment="1">
      <alignment horizontal="center" vertical="center" wrapText="1"/>
    </xf>
    <xf numFmtId="265" fontId="118" fillId="0" borderId="46" xfId="224" applyNumberFormat="1" applyFont="1" applyFill="1" applyBorder="1" applyAlignment="1">
      <alignment horizontal="center" vertical="center" wrapText="1"/>
    </xf>
    <xf numFmtId="227" fontId="118" fillId="0" borderId="46" xfId="442" applyNumberFormat="1" applyFont="1" applyBorder="1" applyAlignment="1">
      <alignment horizontal="center" vertical="center" wrapText="1"/>
    </xf>
    <xf numFmtId="227" fontId="118" fillId="0" borderId="46" xfId="443" applyNumberFormat="1" applyFont="1" applyBorder="1" applyAlignment="1">
      <alignment horizontal="center" vertical="center" wrapText="1"/>
    </xf>
    <xf numFmtId="227" fontId="118" fillId="0" borderId="46" xfId="444" applyNumberFormat="1" applyFont="1" applyBorder="1" applyAlignment="1">
      <alignment horizontal="center" vertical="center" wrapText="1"/>
    </xf>
    <xf numFmtId="227" fontId="118" fillId="0" borderId="46" xfId="446" applyNumberFormat="1" applyFont="1" applyBorder="1" applyAlignment="1">
      <alignment horizontal="center" vertical="center" wrapText="1"/>
    </xf>
    <xf numFmtId="2" fontId="118" fillId="0" borderId="46" xfId="220" applyNumberFormat="1" applyFont="1" applyFill="1" applyBorder="1" applyAlignment="1">
      <alignment horizontal="center" vertical="center" wrapText="1"/>
    </xf>
    <xf numFmtId="2" fontId="118" fillId="0" borderId="46" xfId="221" applyNumberFormat="1" applyFont="1" applyFill="1" applyBorder="1" applyAlignment="1">
      <alignment horizontal="center" vertical="center" wrapText="1"/>
    </xf>
    <xf numFmtId="2" fontId="118" fillId="0" borderId="46" xfId="222" applyNumberFormat="1" applyFont="1" applyFill="1" applyBorder="1" applyAlignment="1">
      <alignment horizontal="center" vertical="center" wrapText="1"/>
    </xf>
    <xf numFmtId="2" fontId="118" fillId="0" borderId="46" xfId="224" applyNumberFormat="1" applyFont="1" applyFill="1" applyBorder="1" applyAlignment="1">
      <alignment horizontal="center" vertical="center" wrapText="1"/>
    </xf>
    <xf numFmtId="206" fontId="118" fillId="0" borderId="46" xfId="220" applyNumberFormat="1" applyFont="1" applyFill="1" applyBorder="1" applyAlignment="1">
      <alignment horizontal="center" vertical="center" wrapText="1"/>
    </xf>
    <xf numFmtId="206" fontId="118" fillId="0" borderId="46" xfId="221" applyNumberFormat="1" applyFont="1" applyFill="1" applyBorder="1" applyAlignment="1">
      <alignment horizontal="center" vertical="center" wrapText="1"/>
    </xf>
    <xf numFmtId="206" fontId="118" fillId="0" borderId="46" xfId="222" applyNumberFormat="1" applyFont="1" applyFill="1" applyBorder="1" applyAlignment="1">
      <alignment horizontal="center" vertical="center" wrapText="1"/>
    </xf>
    <xf numFmtId="206" fontId="118" fillId="0" borderId="46" xfId="224" applyNumberFormat="1" applyFont="1" applyFill="1" applyBorder="1" applyAlignment="1">
      <alignment horizontal="center" vertical="center" wrapText="1"/>
    </xf>
    <xf numFmtId="265" fontId="127" fillId="0" borderId="46" xfId="449" applyNumberFormat="1" applyFont="1" applyBorder="1" applyAlignment="1">
      <alignment horizontal="center" wrapText="1"/>
    </xf>
    <xf numFmtId="0" fontId="127" fillId="0" borderId="0" xfId="447" applyFont="1" applyAlignment="1">
      <alignment horizontal="left" wrapText="1" indent="2"/>
    </xf>
    <xf numFmtId="265" fontId="127" fillId="0" borderId="0" xfId="449" applyNumberFormat="1" applyFont="1" applyAlignment="1">
      <alignment horizontal="center" wrapText="1"/>
    </xf>
  </cellXfs>
  <cellStyles count="1218">
    <cellStyle name="$" xfId="1" xr:uid="{2C5306D2-48A6-4F15-9D16-A8F6B447C4FA}"/>
    <cellStyle name="$_TSA Model - 1 8 06 - v2" xfId="2" xr:uid="{E91D937B-3A52-4AC2-BBAD-45C333D77C7F}"/>
    <cellStyle name="%" xfId="3" xr:uid="{13A134C4-43D8-4F39-AC27-57846CA5FC20}"/>
    <cellStyle name=";;;" xfId="4" xr:uid="{A9C07279-E0E1-4967-93D3-B5EF08CB341E}"/>
    <cellStyle name="_%(SignOnly)" xfId="5" xr:uid="{6D03F232-A7B6-4384-96AD-4BFF40D502FF}"/>
    <cellStyle name="_%(SignSpaceOnly)" xfId="6" xr:uid="{19B571EB-B913-48DE-A3ED-98D44C80DD6E}"/>
    <cellStyle name="_0% CADR" xfId="7" xr:uid="{BCDEF0B8-389B-4D4A-AE63-048D3B5A6F9A}"/>
    <cellStyle name="_0% IRR" xfId="8" xr:uid="{919A62C4-ECF7-41E9-BBBF-D28C35786D5B}"/>
    <cellStyle name="_1% CADR" xfId="9" xr:uid="{F422F69C-909B-4F96-8870-0ECCBE87FA4E}"/>
    <cellStyle name="_10% CADR" xfId="10" xr:uid="{770AEF81-0946-46A6-AF7B-1EE428CF050E}"/>
    <cellStyle name="_10% CDR" xfId="11" xr:uid="{19E1C6FD-B576-432C-AC1F-C16DA7D4AE34}"/>
    <cellStyle name="_11% CADR" xfId="12" xr:uid="{96452871-5825-444C-93E5-1D4F36A13CBD}"/>
    <cellStyle name="_12% CADR" xfId="13" xr:uid="{D8B4661E-93FC-4ED4-AEF4-4F8084A1658A}"/>
    <cellStyle name="_12% CDR" xfId="14" xr:uid="{CDC9389D-6E8E-45D0-B86B-BD202216AA7A}"/>
    <cellStyle name="_13% CADR" xfId="15" xr:uid="{D3CA26A4-12D3-4323-91E6-020BAD2584E8}"/>
    <cellStyle name="_14% CADR" xfId="16" xr:uid="{1FFCBD86-6DAC-4F4A-9F6E-B1914A6ECBA7}"/>
    <cellStyle name="_14% CDR" xfId="17" xr:uid="{99A41ACA-528A-4879-A0EF-AE39F671C2DC}"/>
    <cellStyle name="_16% CDR" xfId="18" xr:uid="{E617B0A7-0062-4945-AA46-10C3BB161468}"/>
    <cellStyle name="_18% CDR" xfId="19" xr:uid="{734BB56E-4CC7-4E96-A831-F90015FA740C}"/>
    <cellStyle name="_19.6% CDR BBB Break In Yield" xfId="20" xr:uid="{BE73A1E2-8D49-45C7-B972-C1592EF314F7}"/>
    <cellStyle name="_2% CADR" xfId="21" xr:uid="{7576BCE9-B6AA-4CA3-8B5F-43C1EF87FAB8}"/>
    <cellStyle name="_20% CDR" xfId="22" xr:uid="{FFAD143F-19F7-4F88-B7DE-AD45850ED861}"/>
    <cellStyle name="_21.5% CDR BBB Break In Yield" xfId="23" xr:uid="{8EB84D75-1F98-4773-8D0D-414F16492F4C}"/>
    <cellStyle name="_3% CADR" xfId="24" xr:uid="{CFDED5EC-377B-40E1-96CE-937AFB5A3BB0}"/>
    <cellStyle name="_3% CDR" xfId="25" xr:uid="{88E56C30-4A0F-48A1-9472-6576F217EE53}"/>
    <cellStyle name="_4% CADR" xfId="26" xr:uid="{50CAF92B-65FE-42AF-992F-FE88F3DFA57E}"/>
    <cellStyle name="_5% CADR" xfId="27" xr:uid="{33572489-675E-4C2B-9766-2FDBEF5B1E38}"/>
    <cellStyle name="_5% CDR" xfId="28" xr:uid="{22FDC7CD-FFA6-41C5-AB37-1C77800572EE}"/>
    <cellStyle name="_6% CADR" xfId="29" xr:uid="{AC243E53-699E-422D-93D7-1A7A1D5EA8E6}"/>
    <cellStyle name="_7% CADR" xfId="30" xr:uid="{0A3DACDD-4E00-4449-A480-D994409D3B55}"/>
    <cellStyle name="_7% CDR" xfId="31" xr:uid="{4C7417DD-EEA6-4042-B48D-D244A3EF31C3}"/>
    <cellStyle name="_8% CADR" xfId="32" xr:uid="{927B79AF-91C0-421B-BCFF-61CB23A4FE94}"/>
    <cellStyle name="_8.0% CDR BB Break In Yield" xfId="33" xr:uid="{8F3F70CF-BECF-4471-8CAC-638F162E6464}"/>
    <cellStyle name="_8.1% CDR BB Break In Yield" xfId="34" xr:uid="{59C5CA0B-8450-4A9D-9FE8-F5F96D59A113}"/>
    <cellStyle name="_9% CADR" xfId="35" xr:uid="{C0EA49D9-5D89-48DF-87BF-C1C1889AC4A4}"/>
    <cellStyle name="_Assets" xfId="36" xr:uid="{730AFEF1-2839-4F99-8170-6AC13E8C892E}"/>
    <cellStyle name="_Assets_1" xfId="37" xr:uid="{2EE43758-54E9-4669-A5F6-AF3A3620D7DC}"/>
    <cellStyle name="_Assets_1_COMPS - B2B Publishers" xfId="38" xr:uid="{8E7218A1-1049-48B3-BAD2-B47861527A00}"/>
    <cellStyle name="_Assets_1_COMPS - Directories" xfId="39" xr:uid="{EF858A4B-8BFB-4899-9574-301ADFA2F5DA}"/>
    <cellStyle name="_Assets_1_F&amp;W Servicing Model" xfId="40" xr:uid="{CE0840FD-9C48-441E-9017-81143622A432}"/>
    <cellStyle name="_Assets_1_F&amp;W Servicing Model v2" xfId="41" xr:uid="{9E23B633-B339-48CB-A353-BC1E7DAB3C54}"/>
    <cellStyle name="_Assets_1_S&amp;P Analysis" xfId="42" xr:uid="{788F0BEA-0893-4FBF-ABD3-F498228A9184}"/>
    <cellStyle name="_Assets_1_Univision Annual Model" xfId="43" xr:uid="{415E0387-05FD-4790-9C23-30E4923C1F8C}"/>
    <cellStyle name="_Assets_1_Yell Servicing Model" xfId="44" xr:uid="{17E639EA-0F9A-4518-940B-8038B2D56661}"/>
    <cellStyle name="_Assets_S&amp;P Analysis" xfId="45" xr:uid="{A2853D02-F3D7-4C4C-8C2B-B5108DB5A970}"/>
    <cellStyle name="_Assets_S&amp;P Analysis_COMPS - B2B Publishers" xfId="46" xr:uid="{146D90E1-EA5C-4EE6-AB79-085D27CAE191}"/>
    <cellStyle name="_Assets_S&amp;P Analysis_COMPS - Directories" xfId="47" xr:uid="{0D86C2B3-436A-410E-BAEF-0B3BB57E7E4C}"/>
    <cellStyle name="_Assets_S&amp;P Analysis_F&amp;W Servicing Model" xfId="48" xr:uid="{3AF747B4-17FC-4DF5-9A4F-5243ACA2C0C8}"/>
    <cellStyle name="_Assets_S&amp;P Analysis_F&amp;W Servicing Model v2" xfId="49" xr:uid="{A6D6C8DC-52D0-44DD-A4C1-00EC084B1F33}"/>
    <cellStyle name="_Assets_S&amp;P Analysis_Univision Annual Model" xfId="50" xr:uid="{936B66EC-9FFA-4957-845B-DEE213C9C36E}"/>
    <cellStyle name="_Assets_S&amp;P Analysis_Yell Servicing Model" xfId="51" xr:uid="{701C0B0B-18F3-4605-ADFB-83305C3785CA}"/>
    <cellStyle name="_Assumptions" xfId="52" xr:uid="{8F237F3B-94DA-4EE8-9074-62CB1D33F757}"/>
    <cellStyle name="_Assumptions_1" xfId="53" xr:uid="{21178761-C4F5-4325-BF6A-30598DDEF2E1}"/>
    <cellStyle name="_Assumptions_1_COMPS - B2B Publishers" xfId="54" xr:uid="{812EE823-0B7A-47A7-8DCD-07361C0F77AF}"/>
    <cellStyle name="_Assumptions_1_COMPS - Directories" xfId="55" xr:uid="{0175CC08-2365-4748-9D5B-8E120D62A588}"/>
    <cellStyle name="_Assumptions_1_F&amp;W Servicing Model" xfId="56" xr:uid="{9A4613D0-8907-4CCD-9FE2-F80F29D152AB}"/>
    <cellStyle name="_Assumptions_1_F&amp;W Servicing Model v2" xfId="57" xr:uid="{8F34F300-AB46-4C6C-8A91-92C105D77B64}"/>
    <cellStyle name="_Assumptions_1_Univision Annual Model" xfId="58" xr:uid="{881297EB-BCDA-4ED6-8DA2-24E1EDDF0B85}"/>
    <cellStyle name="_Assumptions_1_Yell Servicing Model" xfId="59" xr:uid="{F7E4AB41-83D0-4AE9-AF9C-618A47B41D33}"/>
    <cellStyle name="_Blue Mountain TRS (7-5-05)" xfId="60" xr:uid="{4C59664F-B085-4F43-9ACE-AC312DB547BF}"/>
    <cellStyle name="_Book2" xfId="61" xr:uid="{A5710A94-F7FB-456D-B786-51B5A64DFD8A}"/>
    <cellStyle name="_CDO of CDO" xfId="62" xr:uid="{6A4CC5AA-9052-4277-B22E-17B7778F00E7}"/>
    <cellStyle name="_CLO Portfolio 10_07_2005" xfId="63" xr:uid="{1D33D2D9-6B7D-4635-9C87-B5C0E8354BA7}"/>
    <cellStyle name="_Comma" xfId="64" xr:uid="{0625A4C4-43BE-495A-925D-6EBC0FB232A0}"/>
    <cellStyle name="_Comma_dcf" xfId="65" xr:uid="{93BCE737-0CB6-472B-B7C4-44AC8EFF106D}"/>
    <cellStyle name="_Currency" xfId="66" xr:uid="{7C7C24F2-8E71-4C36-B508-F52635FB8ED6}"/>
    <cellStyle name="_Currency_dcf" xfId="67" xr:uid="{48E88BB1-2A69-4E45-A831-BEB519098721}"/>
    <cellStyle name="_CurrencySpace" xfId="68" xr:uid="{E2A5C0A7-2B9C-48C6-8472-266FB0BDFB57}"/>
    <cellStyle name="_CurrencySpace_dcf" xfId="69" xr:uid="{9A25E1F3-7A60-4EEB-9446-9FF8360C214D}"/>
    <cellStyle name="_Euro" xfId="70" xr:uid="{9CCF2AA8-6321-4D70-B7B8-5A37DB141D3A}"/>
    <cellStyle name="_EV8 Assumption List" xfId="71" xr:uid="{5ADBB2BD-EE4B-4F3D-B658-073CADEC003C}"/>
    <cellStyle name="_Exhibit I Babson Warehouse 2006-II CLO 8 18 06" xfId="72" xr:uid="{69CF37AF-DE59-4EA2-8325-BD440F948557}"/>
    <cellStyle name="_First PIK" xfId="73" xr:uid="{8D21DDC7-F283-4965-B41C-AE5448CF4F4F}"/>
    <cellStyle name="_Galaxy VI CLO - WestLB Request" xfId="74" xr:uid="{FF1B6A7F-99D3-4B65-8F6A-EB6573DE4DCF}"/>
    <cellStyle name="_Heading" xfId="75" xr:uid="{99C99458-1675-4B48-961B-6D86297C68AF}"/>
    <cellStyle name="_Heading_prestemp" xfId="76" xr:uid="{35405AF2-751B-49A7-B6D3-3B24F862584A}"/>
    <cellStyle name="_Highlight" xfId="77" xr:uid="{C568A85C-0125-4565-97EB-2BE4AA18B28D}"/>
    <cellStyle name="_Model FINAL (2)" xfId="78" xr:uid="{D95FA424-7664-493B-A514-73E5E1266240}"/>
    <cellStyle name="_Multiple" xfId="79" xr:uid="{F57B5BE7-23F4-44DE-A6E0-CC03F57CBC67}"/>
    <cellStyle name="_Multiple_dcf" xfId="80" xr:uid="{A88B4E7E-183F-4BF4-88A4-EE05ECA740B0}"/>
    <cellStyle name="_MultipleSpace" xfId="81" xr:uid="{5289FA21-A42C-40B2-B253-AC02100423D6}"/>
    <cellStyle name="_MultipleSpace_dcf" xfId="82" xr:uid="{DB4D08ED-58E6-4563-B162-782A9F660879}"/>
    <cellStyle name="_Other Defafult Scenario 1" xfId="83" xr:uid="{6E9C67DA-A18F-481F-A6AA-79545CA0C9E7}"/>
    <cellStyle name="_Other Default Scenario 2" xfId="84" xr:uid="{09FD29BA-1678-4409-A43C-6A42090A5FDD}"/>
    <cellStyle name="_Percent" xfId="85" xr:uid="{2BE08E76-C6C2-4729-9B7A-6A509743B75C}"/>
    <cellStyle name="_PercentSpace" xfId="86" xr:uid="{3A099A3A-8847-40DA-8833-88966EC9FF6D}"/>
    <cellStyle name="_Port" xfId="87" xr:uid="{C4975166-D014-4D39-9CBD-F2430A7371C4}"/>
    <cellStyle name="_Port For S&amp;P" xfId="88" xr:uid="{A4F4B6B4-5D3A-472F-97E2-E334E34217CE}"/>
    <cellStyle name="_Port_COMPS - B2B Publishers" xfId="89" xr:uid="{93094A1D-0141-452B-B4F6-E8F9BEA0F899}"/>
    <cellStyle name="_Port_COMPS - Directories" xfId="90" xr:uid="{AD50159D-47E8-4605-B5BB-AA6E24700E90}"/>
    <cellStyle name="_Port_F&amp;W Servicing Model" xfId="91" xr:uid="{42B97699-DD14-453A-8E5A-41DCD478CF51}"/>
    <cellStyle name="_Port_F&amp;W Servicing Model v2" xfId="92" xr:uid="{60FA60D0-6961-443D-A0D7-5C136909BF32}"/>
    <cellStyle name="_Port_Univision Annual Model" xfId="93" xr:uid="{8FCD3ABA-65F6-45B8-968C-D18FA1BF9439}"/>
    <cellStyle name="_Port_Yell Servicing Model" xfId="94" xr:uid="{271F2CD3-BCB2-4CE0-9E1C-7927E677E86B}"/>
    <cellStyle name="_Pro Forma TTM 9.30.07 (CW NEIRB Acquisition)" xfId="95" xr:uid="{B2FBDF02-E29E-4373-893C-2378CE4159C1}"/>
    <cellStyle name="_S&amp;P Analysis" xfId="96" xr:uid="{74FB4150-CEF1-4DD0-9EDA-609493CBB05A}"/>
    <cellStyle name="_S&amp;P Analysis_COMPS - B2B Publishers" xfId="97" xr:uid="{98E93003-8268-4D4E-A984-16B28CDCFE92}"/>
    <cellStyle name="_S&amp;P Analysis_COMPS - Directories" xfId="98" xr:uid="{A4EF67ED-901E-4A60-AC91-44380C93C1F3}"/>
    <cellStyle name="_S&amp;P Analysis_F&amp;W Servicing Model" xfId="99" xr:uid="{14DB623C-4AB0-496D-AD26-9263C8DDCD3B}"/>
    <cellStyle name="_S&amp;P Analysis_F&amp;W Servicing Model v2" xfId="100" xr:uid="{4B255DCB-85B3-4917-B212-3E0C8BB32942}"/>
    <cellStyle name="_S&amp;P Analysis_Univision Annual Model" xfId="101" xr:uid="{63EAA02D-A22D-480B-859F-23B31A643CD5}"/>
    <cellStyle name="_S&amp;P Analysis_Yell Servicing Model" xfId="102" xr:uid="{92EDB977-2960-4EF2-A581-69CB11FD3C59}"/>
    <cellStyle name="_S&amp;P Hypothetical Port Summary" xfId="103" xr:uid="{82F1EBFC-2A51-480B-8392-8A8083F6652E}"/>
    <cellStyle name="_S&amp;P Port 80Div_2099WARF" xfId="104" xr:uid="{BC4813B5-366B-46DA-A3BC-551FC9A69A19}"/>
    <cellStyle name="_S&amp;P Stress Scenarios" xfId="105" xr:uid="{2B5275C4-62CA-4D6A-8A44-A4A4738CF9A7}"/>
    <cellStyle name="_Sources and Uses" xfId="106" xr:uid="{03200505-05E8-4F70-A105-98B4FF8455CA}"/>
    <cellStyle name="_SubHeading" xfId="107" xr:uid="{792CA5BD-57F8-472F-8E09-341C86E74E60}"/>
    <cellStyle name="_SubHeading_prestemp" xfId="108" xr:uid="{2BBB5D64-1074-4B42-A244-7715DE05A094}"/>
    <cellStyle name="_Table" xfId="109" xr:uid="{4F238FCC-35E1-4E6B-92C3-CB6A96270168}"/>
    <cellStyle name="_TableHead" xfId="110" xr:uid="{C949768E-7859-4CDA-8CFE-E1CD06DBF891}"/>
    <cellStyle name="_TableRowHead" xfId="111" xr:uid="{2E910DBD-4944-4003-AF04-ED605A44EE45}"/>
    <cellStyle name="_TableSuperHead" xfId="112" xr:uid="{12976120-A2BD-4431-81DF-11C33CA4ECF8}"/>
    <cellStyle name="£Currency [0]" xfId="113" xr:uid="{DE39E58C-FF09-4145-A976-457912501B73}"/>
    <cellStyle name="£Currency [1]" xfId="114" xr:uid="{80D8630B-EC09-4ADB-AB28-D60E3F280DC3}"/>
    <cellStyle name="£Currency [2]" xfId="115" xr:uid="{649BD5C1-6459-4B58-853D-232A588878AF}"/>
    <cellStyle name="£Currency [p]" xfId="116" xr:uid="{1CB8C3CC-1897-425C-971A-3A0170F74BEA}"/>
    <cellStyle name="£Currency [p2]" xfId="117" xr:uid="{DEAC1A46-69FA-4011-8F07-CF2DA884BD0B}"/>
    <cellStyle name="£Pounds" xfId="118" xr:uid="{94A63CF8-A77E-4121-93C5-84A9718CC0DE}"/>
    <cellStyle name="Accounting $" xfId="119" xr:uid="{D73539C8-29AF-47FA-AD8F-F1AF1FFB2114}"/>
    <cellStyle name="Across" xfId="120" xr:uid="{631F9BA1-7CE1-43A3-8CB5-0EB16576AC03}"/>
    <cellStyle name="Adjustable" xfId="121" xr:uid="{0EB69935-935F-4DCF-B56C-C145E0802084}"/>
    <cellStyle name="AFE" xfId="122" xr:uid="{72E8BC98-688B-42FD-A2C7-B03657D84D48}"/>
    <cellStyle name="Andre's Title" xfId="123" xr:uid="{0B5CDC88-BA59-4784-9591-57275E3904BC}"/>
    <cellStyle name="args.style" xfId="124" xr:uid="{E5337289-DF35-469C-8F00-1FBE5C9E186D}"/>
    <cellStyle name="Arial 10" xfId="125" xr:uid="{4F8AECA1-C8D9-4302-9113-82282DAE03B4}"/>
    <cellStyle name="Arial 12" xfId="126" xr:uid="{8B55FDA3-AFBD-4CEC-A5D8-F4492E621222}"/>
    <cellStyle name="Best" xfId="127" xr:uid="{99D18548-8B86-4D9F-8E72-B1112B6F1B64}"/>
    <cellStyle name="Blank [$]" xfId="128" xr:uid="{4EBA2E4C-B0EF-4C8B-A031-4DBAD66679C1}"/>
    <cellStyle name="Blank [,]" xfId="129" xr:uid="{80BAF192-C3E2-4955-A7EB-FEB817337459}"/>
    <cellStyle name="BlankedZeros" xfId="130" xr:uid="{A79ECF6E-2C6F-43F1-AC67-ADAB8CD1C608}"/>
    <cellStyle name="blp_column_header" xfId="131" xr:uid="{5924B41D-01C0-46A9-882F-FEF0A59B680D}"/>
    <cellStyle name="Blue" xfId="132" xr:uid="{2FED2EC3-F4D5-4F01-933E-97269A74498C}"/>
    <cellStyle name="bluepercent" xfId="133" xr:uid="{3A14FD3C-4CAE-442F-825C-E3DA4BF19329}"/>
    <cellStyle name="Body" xfId="134" xr:uid="{55EFB0E2-F783-4F9B-B0B4-8F9EDEEFB880}"/>
    <cellStyle name="Bold" xfId="135" xr:uid="{3EC20043-686A-4EE5-B79A-A0E6DD3760FF}"/>
    <cellStyle name="BoldItalic" xfId="136" xr:uid="{F149F849-43BF-4098-A8D4-767BF8D5AB2C}"/>
    <cellStyle name="Bottom" xfId="137" xr:uid="{C07444EE-FCF2-4FDD-8DCB-338983B0444C}"/>
    <cellStyle name="Bottom Edge" xfId="138" xr:uid="{04A81CEC-2854-4E35-9B4E-38A1A8758F58}"/>
    <cellStyle name="British Pound" xfId="139" xr:uid="{ECC72673-8C61-4502-95C4-5867516DB7B5}"/>
    <cellStyle name="Business Description" xfId="140" xr:uid="{92CC3E00-6F8B-4367-A4BC-507F76BAA3A8}"/>
    <cellStyle name="c" xfId="141" xr:uid="{12812939-C77C-4026-A244-D8507548F5FF}"/>
    <cellStyle name="Calc Currency (0)" xfId="142" xr:uid="{863CC2D4-215D-4128-91C2-67544E1AB559}"/>
    <cellStyle name="Calc Currency (2)" xfId="143" xr:uid="{73479D35-04CD-403D-883A-81E07B847A10}"/>
    <cellStyle name="Calc Percent (0)" xfId="144" xr:uid="{5C009F7F-D795-4CF1-82BE-CE66EE18F7AD}"/>
    <cellStyle name="Calc Percent (1)" xfId="145" xr:uid="{5D066702-EAAE-49BD-A8B3-D9C698E791FA}"/>
    <cellStyle name="Calc Percent (2)" xfId="146" xr:uid="{4BF1D85A-5C14-4A85-848B-68AB1717769E}"/>
    <cellStyle name="Calc Units (0)" xfId="147" xr:uid="{BAC0D0A5-1EAA-4BAE-85D6-AFF877383CC6}"/>
    <cellStyle name="Calc Units (1)" xfId="148" xr:uid="{0C7BB48B-71B5-43B7-9D79-07C69C4DDAB7}"/>
    <cellStyle name="Calc Units (2)" xfId="149" xr:uid="{BE83AD9D-BBB4-45CB-A946-837CA34254A2}"/>
    <cellStyle name="Case" xfId="150" xr:uid="{F33DC0CE-105E-4813-8B04-2C493C79628D}"/>
    <cellStyle name="cc" xfId="151" xr:uid="{B6EA487F-1450-4B3D-A963-BF292623A95E}"/>
    <cellStyle name="Center" xfId="152" xr:uid="{34C53ECC-3CA8-4E98-8D3C-102D695580FF}"/>
    <cellStyle name="CenterBold" xfId="153" xr:uid="{F799BFB8-7DF0-4548-A362-B9945D36A469}"/>
    <cellStyle name="CenterItalic" xfId="154" xr:uid="{760A74F4-33A5-49C7-8773-D39960FA8367}"/>
    <cellStyle name="Cents" xfId="155" xr:uid="{ABB56B8F-61AA-46F2-88B2-CF748C6F18CD}"/>
    <cellStyle name="ChartingText" xfId="156" xr:uid="{E93F1E1E-2F37-4FDB-91E9-0701990B7FE6}"/>
    <cellStyle name="Co. Names" xfId="157" xr:uid="{9FBA1A16-F863-41FF-B87B-6A77C99B3FDB}"/>
    <cellStyle name="Co. Names - Bold" xfId="158" xr:uid="{D915EF08-C7AB-43CB-9980-989B7BAC67A3}"/>
    <cellStyle name="Co. Names_Break-Up" xfId="159" xr:uid="{65937C32-516A-4A83-BB78-CFEB8FE7588F}"/>
    <cellStyle name="COL HEADINGS" xfId="160" xr:uid="{700219AC-CE45-450F-9961-0E8227A2DD48}"/>
    <cellStyle name="ColumnHeaderNormal" xfId="161" xr:uid="{32D63C24-3B17-4A58-AAD5-C531DA736A06}"/>
    <cellStyle name="Comma" xfId="162" builtinId="3"/>
    <cellStyle name="Comma  - Style1" xfId="163" xr:uid="{F569C706-36CE-4684-AF95-547CBF67060E}"/>
    <cellStyle name="Comma  - Style2" xfId="164" xr:uid="{54EFDBF0-AD7E-441A-A9EF-13A606D43E5E}"/>
    <cellStyle name="Comma  - Style3" xfId="165" xr:uid="{3DC7E8EB-3A8F-4189-A9A6-64867ADF8454}"/>
    <cellStyle name="Comma  - Style4" xfId="166" xr:uid="{7EC3BEC8-B771-4230-8648-364B69273F38}"/>
    <cellStyle name="Comma  - Style5" xfId="167" xr:uid="{8E666E3A-1A7C-425D-9A13-1F32881B0648}"/>
    <cellStyle name="Comma  - Style6" xfId="168" xr:uid="{215F8A73-8F1B-4A3D-9321-60AB7D1CCF40}"/>
    <cellStyle name="Comma  - Style7" xfId="169" xr:uid="{2A9977BB-E48F-4AD7-8C84-603D05B511CD}"/>
    <cellStyle name="Comma  - Style8" xfId="170" xr:uid="{8381CDF4-B30F-48E2-B5A0-705408CA7A25}"/>
    <cellStyle name="Comma [0]; --" xfId="171" xr:uid="{9DF01109-A0BC-4470-8EDF-1B3428008C73}"/>
    <cellStyle name="Comma [00]" xfId="172" xr:uid="{D1AB2DD7-5893-4B7F-A601-349985D2CDF0}"/>
    <cellStyle name="Comma [1]" xfId="173" xr:uid="{9134BCA9-9FCE-47A2-BCFD-828FE1918AF6}"/>
    <cellStyle name="Comma 10" xfId="174" xr:uid="{46E6ABC5-469F-4C3C-BFD3-4A962506B893}"/>
    <cellStyle name="Comma 11" xfId="175" xr:uid="{ABDD1B9F-DA00-456A-B068-BD1DDC4A8BC0}"/>
    <cellStyle name="Comma 12" xfId="176" xr:uid="{633CC828-6F1D-4871-862C-083DB25C0A99}"/>
    <cellStyle name="Comma 13" xfId="177" xr:uid="{3E760916-3A6F-459D-BBB7-D7FF8ED39327}"/>
    <cellStyle name="Comma 14" xfId="178" xr:uid="{B0E5DD42-EC86-409E-B5C3-FE92E0D1E851}"/>
    <cellStyle name="Comma 15" xfId="179" xr:uid="{8AA79C3E-44FF-41BD-9CAA-44B2743BC4DE}"/>
    <cellStyle name="Comma 16" xfId="180" xr:uid="{EC296A81-B0F2-4E8B-AB08-04C9D086EFF3}"/>
    <cellStyle name="Comma 17" xfId="181" xr:uid="{55AB33BD-A13C-4D5B-A536-F658B2682B83}"/>
    <cellStyle name="Comma 18" xfId="182" xr:uid="{DA35A92A-6FE1-4510-810E-9C4FAFF8D206}"/>
    <cellStyle name="Comma 19" xfId="183" xr:uid="{92EBF51F-67D1-4420-BA07-7B7E415A6456}"/>
    <cellStyle name="Comma 2" xfId="184" xr:uid="{83DE7DB5-73F7-40E0-B919-547B6E26C202}"/>
    <cellStyle name="Comma 20" xfId="185" xr:uid="{CD9BBADE-1ACB-42DD-8F6E-A5EF3D00DC4B}"/>
    <cellStyle name="Comma 21" xfId="186" xr:uid="{60F53C3B-9EF6-4AE3-A0B7-BEFAE7A57AA3}"/>
    <cellStyle name="Comma 22" xfId="187" xr:uid="{7963F339-F4A6-4271-A131-507058C32C8C}"/>
    <cellStyle name="Comma 23" xfId="188" xr:uid="{DEB44010-4E8F-4221-B7E6-1981D508F56E}"/>
    <cellStyle name="Comma 24" xfId="189" xr:uid="{2A998954-258E-4A6C-B6B7-D97EB3D7386C}"/>
    <cellStyle name="Comma 25" xfId="190" xr:uid="{AC464331-B71E-40F3-AD2A-121A7B49A9D6}"/>
    <cellStyle name="Comma 26" xfId="191" xr:uid="{4B67EC54-E5E0-4133-9908-D64B60949160}"/>
    <cellStyle name="Comma 27" xfId="192" xr:uid="{9A2555B5-A4EC-42BF-ADDD-647BF98D81D4}"/>
    <cellStyle name="Comma 28" xfId="193" xr:uid="{7850E80D-681A-4A1E-8586-C5DDF7E24A36}"/>
    <cellStyle name="Comma 29" xfId="194" xr:uid="{0224D420-5D93-4581-9B36-F23F1A2C11D0}"/>
    <cellStyle name="Comma 3" xfId="195" xr:uid="{B6A793A2-6F3A-4F82-AE9C-10F190B89DA1}"/>
    <cellStyle name="Comma 30" xfId="196" xr:uid="{7C235C32-D894-4607-802F-8CE59F7C8981}"/>
    <cellStyle name="Comma 31" xfId="197" xr:uid="{828A2500-9220-4262-BF1F-57C738430DEA}"/>
    <cellStyle name="Comma 32" xfId="198" xr:uid="{5165D44A-D189-4969-B6B8-CD2D14C00C92}"/>
    <cellStyle name="Comma 33" xfId="199" xr:uid="{364216EF-1E62-42A6-9012-BD36802BC9C8}"/>
    <cellStyle name="Comma 34" xfId="200" xr:uid="{30C88513-8498-42DA-B462-44644695D9B9}"/>
    <cellStyle name="Comma 35" xfId="201" xr:uid="{4557F4EE-E70A-425F-8297-B80E7CC2E998}"/>
    <cellStyle name="Comma 36" xfId="202" xr:uid="{ADB0A49B-277B-44E6-AA82-26B6B99032D7}"/>
    <cellStyle name="Comma 37" xfId="203" xr:uid="{CB5397F1-EDB7-4F47-A460-F2935C8B2CC0}"/>
    <cellStyle name="Comma 38" xfId="204" xr:uid="{6E92291F-DB86-4201-ABDE-2D00D2752A70}"/>
    <cellStyle name="Comma 39" xfId="205" xr:uid="{26BA643E-3995-444E-9921-C71D2CB6C539}"/>
    <cellStyle name="Comma 4" xfId="206" xr:uid="{E8CD7333-6158-40ED-ABDC-6E951B72A5DB}"/>
    <cellStyle name="Comma 40" xfId="207" xr:uid="{A9FD456E-BC8F-4D26-8E5D-4DA7696ADB66}"/>
    <cellStyle name="Comma 41" xfId="208" xr:uid="{7086BE10-732C-4188-9A8D-D8B18D5761C9}"/>
    <cellStyle name="Comma 42" xfId="209" xr:uid="{0ECD5094-E1ED-4309-99DB-0684BBFC6900}"/>
    <cellStyle name="Comma 43" xfId="210" xr:uid="{E142A191-C60C-4C84-B3A0-2302FE63E3D1}"/>
    <cellStyle name="Comma 44" xfId="211" xr:uid="{210FCD78-ACE6-4EFE-88E4-819DE692C868}"/>
    <cellStyle name="Comma 45" xfId="212" xr:uid="{614A8ABE-2C35-480C-A9B7-5C478B1A7F73}"/>
    <cellStyle name="Comma 46" xfId="213" xr:uid="{BE5FFC36-C090-481B-AB6C-C33E99678490}"/>
    <cellStyle name="Comma 47" xfId="214" xr:uid="{8E0BDE10-9C70-49D6-8CDE-7380704D92A0}"/>
    <cellStyle name="Comma 48" xfId="215" xr:uid="{34BEE74C-064C-4384-8DA7-0E619E1F45CC}"/>
    <cellStyle name="Comma 49" xfId="216" xr:uid="{6BDA3451-9C82-47D2-AEF0-5B2F7AF110E3}"/>
    <cellStyle name="Comma 5" xfId="217" xr:uid="{6496D4C8-AADF-40C3-84D4-BEDE5435CF59}"/>
    <cellStyle name="Comma 50" xfId="218" xr:uid="{2F3F77D3-0BBE-4672-8543-BA16E4FE4094}"/>
    <cellStyle name="Comma 51" xfId="219" xr:uid="{93223A8F-8A82-47B0-B7AD-8C55C6A879B2}"/>
    <cellStyle name="Comma 52" xfId="220" xr:uid="{8C1C2B2F-217A-4AF6-AB5C-AEF8D9F1C182}"/>
    <cellStyle name="Comma 53" xfId="221" xr:uid="{07E2318C-4BA6-42B1-96E8-2B69823FB94F}"/>
    <cellStyle name="Comma 54" xfId="222" xr:uid="{6682FCF4-DF87-44A6-A6BB-C309E1528E46}"/>
    <cellStyle name="Comma 55" xfId="223" xr:uid="{E0267711-2436-4C77-8BF1-B557550F2C35}"/>
    <cellStyle name="Comma 56" xfId="224" xr:uid="{1A6312B1-0550-4E96-A595-F6E3682A0BBD}"/>
    <cellStyle name="Comma 57" xfId="225" xr:uid="{204DA62D-2543-40E1-84D2-21B4E22B4B91}"/>
    <cellStyle name="Comma 58" xfId="226" xr:uid="{0B130C11-7D46-40EE-B43D-5D5A8B05F75A}"/>
    <cellStyle name="Comma 59" xfId="227" xr:uid="{5862D3C8-00C6-42CC-98F3-BE1B91524897}"/>
    <cellStyle name="Comma 6" xfId="228" xr:uid="{48204A2B-B241-4584-B003-340BA0A88436}"/>
    <cellStyle name="Comma 60" xfId="229" xr:uid="{BBCE1552-D7DD-4652-A7AC-FFFB9BF67448}"/>
    <cellStyle name="Comma 61" xfId="230" xr:uid="{529C9AE3-5FD6-46FB-B690-0DE20EAEE7E5}"/>
    <cellStyle name="Comma 62" xfId="231" xr:uid="{EB4CB443-6913-4EC7-A087-BA86DE7F72EE}"/>
    <cellStyle name="Comma 63" xfId="232" xr:uid="{801A6251-BC8F-46F5-8366-F201BD0CDB73}"/>
    <cellStyle name="Comma 64" xfId="233" xr:uid="{C9D36F0B-8DEA-47ED-8CF3-A5954D152339}"/>
    <cellStyle name="Comma 65" xfId="234" xr:uid="{56DC36B5-63E3-4A0D-A51C-1072894F36BA}"/>
    <cellStyle name="Comma 66" xfId="235" xr:uid="{4C0A792F-FC17-49C9-A9F5-B9B26AE267D4}"/>
    <cellStyle name="Comma 67" xfId="236" xr:uid="{DD480452-BCD3-4CF2-96F5-F0F9FBFCFB6C}"/>
    <cellStyle name="Comma 68" xfId="237" xr:uid="{18A73E2F-0F8A-4E5D-A68A-1668C308AB7B}"/>
    <cellStyle name="Comma 69" xfId="238" xr:uid="{26C689DE-3D31-4E21-8C07-4022E22019D8}"/>
    <cellStyle name="Comma 7" xfId="239" xr:uid="{4E8F45E0-6C5A-403F-BA5B-19D3C93733C6}"/>
    <cellStyle name="Comma 70" xfId="240" xr:uid="{D325816D-BA95-4626-B612-C68DF327E22E}"/>
    <cellStyle name="Comma 71" xfId="241" xr:uid="{4D9FE3CA-1CCB-4AA7-BEC4-8BA99B72C021}"/>
    <cellStyle name="Comma 72" xfId="242" xr:uid="{725DEE0F-6736-4247-B119-F43779D2C6DB}"/>
    <cellStyle name="Comma 73" xfId="243" xr:uid="{140CF4A3-C953-40A1-BED2-4DAE1632EBD4}"/>
    <cellStyle name="Comma 74" xfId="244" xr:uid="{1953D123-4A35-4543-9B44-74FC039B903E}"/>
    <cellStyle name="Comma 75" xfId="245" xr:uid="{75C0D28C-9059-45D6-9258-C5FF729D63C6}"/>
    <cellStyle name="Comma 76" xfId="246" xr:uid="{A059205E-9456-4837-944E-9238F77C8C05}"/>
    <cellStyle name="Comma 77" xfId="247" xr:uid="{FEECEF81-3DB2-4D96-8E45-194E507AA581}"/>
    <cellStyle name="Comma 78" xfId="248" xr:uid="{BF9D2C9C-B920-470F-B499-2E8F85293071}"/>
    <cellStyle name="Comma 79" xfId="249" xr:uid="{4E3F84A1-7555-467A-9C8A-48B59D98E704}"/>
    <cellStyle name="Comma 8" xfId="250" xr:uid="{78CC8CE6-DC52-4E85-99F9-0F8FE3BD1693}"/>
    <cellStyle name="Comma 80" xfId="251" xr:uid="{1191C7DA-B895-45E5-A350-0647D6CC3C9C}"/>
    <cellStyle name="Comma 81" xfId="252" xr:uid="{0E4E7CFE-D5D6-4EE9-A6BC-AC601960BA4E}"/>
    <cellStyle name="Comma 82" xfId="253" xr:uid="{36A2CFB8-1123-405D-B90D-354F0CB12B9F}"/>
    <cellStyle name="Comma 83" xfId="254" xr:uid="{CCA842A5-C707-4238-B085-9C059642E0B1}"/>
    <cellStyle name="Comma 84" xfId="255" xr:uid="{4E208568-DB69-44A8-9352-CC6DE1E6FF6D}"/>
    <cellStyle name="Comma 85" xfId="256" xr:uid="{00B169B5-37A7-4880-B28F-D21389BE0479}"/>
    <cellStyle name="Comma 86" xfId="257" xr:uid="{3F43DE52-97A9-4864-9B6B-1DED7DB11323}"/>
    <cellStyle name="Comma 87" xfId="258" xr:uid="{99E4B4DF-DE41-4A76-BDC5-AE3BD537F5E8}"/>
    <cellStyle name="Comma 88" xfId="259" xr:uid="{801703CB-4533-466C-B7C3-1DC9A37ECFB1}"/>
    <cellStyle name="Comma 89" xfId="260" xr:uid="{53E353E0-18BF-404B-8EDF-9DAE0C4C19E1}"/>
    <cellStyle name="Comma 9" xfId="261" xr:uid="{640732F6-BC01-41CC-B289-DEB8ECEF144F}"/>
    <cellStyle name="Comma 90" xfId="262" xr:uid="{4CA4E2D0-C007-4ABD-9F5F-FFA9E6207C8C}"/>
    <cellStyle name="Comma 91" xfId="263" xr:uid="{C3F0571A-E542-4BA1-9789-7C78A90CAADC}"/>
    <cellStyle name="Comma 92" xfId="264" xr:uid="{CE555613-7DD6-4CEB-BC67-91CDE950F99A}"/>
    <cellStyle name="Comma 93" xfId="265" xr:uid="{1E677446-9BF5-4118-8959-D1D64C21112D}"/>
    <cellStyle name="Comma 94" xfId="266" xr:uid="{4086726C-8E6A-469D-AEC0-32A2C64F6FB4}"/>
    <cellStyle name="Comma 95" xfId="267" xr:uid="{997F8338-4797-4E05-9B1B-81434819E148}"/>
    <cellStyle name="Comma 96" xfId="268" xr:uid="{26AACB4E-AB76-4208-A2C0-7794375722EA}"/>
    <cellStyle name="Comma 97" xfId="269" xr:uid="{19239041-67D8-4BFF-A2F8-CA0C4A79DDC3}"/>
    <cellStyle name="Comma 98" xfId="270" xr:uid="{49949B8E-6EDF-4797-A0D9-4E69E2FC6A84}"/>
    <cellStyle name="Comma 99" xfId="271" xr:uid="{8B5E16FA-49E3-45F3-B968-2EFC8E218AE0}"/>
    <cellStyle name="Comma Cents" xfId="272" xr:uid="{E745D790-3B82-4941-A948-60A7360BDE0E}"/>
    <cellStyle name="Comma0" xfId="273" xr:uid="{60BB15DF-E9AB-4173-AB43-4E8B44219956}"/>
    <cellStyle name="Commas" xfId="274" xr:uid="{10A7F00D-ADE8-4826-B5D5-44D3AF9475C9}"/>
    <cellStyle name="CommasBold" xfId="275" xr:uid="{CA8B005C-1E1F-4A1C-9492-2E05692EB552}"/>
    <cellStyle name="CompanyTitle" xfId="276" xr:uid="{509C35D5-0C42-45B2-9E91-5A18E28C379C}"/>
    <cellStyle name="Copied" xfId="277" xr:uid="{9993D73A-F016-4224-B2ED-0212B10C04A1}"/>
    <cellStyle name="Currency $" xfId="278" xr:uid="{2D9722AB-488E-42E1-822E-D5CABBE6B7E8}"/>
    <cellStyle name="Currency [0]; --" xfId="279" xr:uid="{B2D13CDB-DB08-4F77-8947-A00839197EE9}"/>
    <cellStyle name="Currency [00]" xfId="280" xr:uid="{4752E7E9-AD9C-4AB5-BFA7-315B29BC0644}"/>
    <cellStyle name="Currency [1]" xfId="281" xr:uid="{1F137F14-5CA5-4ADA-BD27-B37AEB53ABAA}"/>
    <cellStyle name="Currency [2]" xfId="282" xr:uid="{A25D261E-2B9B-4675-9095-F687A429B548}"/>
    <cellStyle name="data" xfId="283" xr:uid="{B4ACF086-8A1B-453A-BF84-21AA568BB894}"/>
    <cellStyle name="Date" xfId="284" xr:uid="{BE8AE5A1-BB7F-4925-AC04-059B9E6ACAA0}"/>
    <cellStyle name="Date Short" xfId="285" xr:uid="{E1A5F273-75B6-4686-8CFC-1750265B37C1}"/>
    <cellStyle name="Date_COMPS - Directories" xfId="286" xr:uid="{294AB9F2-1189-4BAE-8A28-351B229FF857}"/>
    <cellStyle name="DateLeftBold" xfId="287" xr:uid="{DCFDF53B-1BFD-457A-9CC7-58D4EFED595F}"/>
    <cellStyle name="Default" xfId="288" xr:uid="{95C76EEE-F200-448E-AA81-2830ADF98729}"/>
    <cellStyle name="DELTA" xfId="289" xr:uid="{9713BDC6-F597-48C7-BC22-3B8A7C0EB319}"/>
    <cellStyle name="Dollars" xfId="290" xr:uid="{52EA840D-3FB2-4494-AB39-2420A365658A}"/>
    <cellStyle name="Dollars []" xfId="291" xr:uid="{281F0573-7A0A-439F-A63B-6E23A1478040}"/>
    <cellStyle name="Dollars_Pro Forma TTM 9.30.07 (CW NEIRB Acquisition)" xfId="292" xr:uid="{D01E1CB7-B630-461D-82CE-ED2AAC2A5218}"/>
    <cellStyle name="Double" xfId="293" xr:uid="{9FC4AF82-DCA9-4A32-A3FB-731B546053D2}"/>
    <cellStyle name="Double Accounting" xfId="294" xr:uid="{364CAFDF-F5FE-4928-9E95-921F31314198}"/>
    <cellStyle name="Enter Currency (0)" xfId="295" xr:uid="{DBDC21B2-1C5B-4326-89CE-E4AD20B9C45D}"/>
    <cellStyle name="Enter Currency (2)" xfId="296" xr:uid="{365A9226-BD83-460E-AC8D-E40A4E2AFF50}"/>
    <cellStyle name="Enter Units (0)" xfId="297" xr:uid="{79532038-48D8-494F-A04A-6D150C279493}"/>
    <cellStyle name="Enter Units (1)" xfId="298" xr:uid="{DB7FCA15-1524-4488-80E3-57DFD341C120}"/>
    <cellStyle name="Enter Units (2)" xfId="299" xr:uid="{4B7BE08F-C602-49EF-B4B7-D565E8A3BFDB}"/>
    <cellStyle name="Entered" xfId="300" xr:uid="{94D0FD37-6DB5-437A-8ACF-FEAB2A9279C2}"/>
    <cellStyle name="Euro" xfId="301" xr:uid="{DED281E8-5D22-49FD-9078-45794F88FEB0}"/>
    <cellStyle name="Fit" xfId="302" xr:uid="{032C5AE0-2613-4D91-8C57-E396F0003298}"/>
    <cellStyle name="Footer" xfId="303" xr:uid="{7E095029-3688-42CB-8F4E-98FB9A9ABD47}"/>
    <cellStyle name="Footnotes" xfId="304" xr:uid="{AF2EEC81-6E85-4D4A-B389-875F644B88F0}"/>
    <cellStyle name="Grey" xfId="305" xr:uid="{DAA9194D-2FFE-4DFA-81E3-DB89337DEC7C}"/>
    <cellStyle name="GreybarHeader" xfId="306" xr:uid="{BE6390F0-B8C7-4EBD-8527-1D981014D691}"/>
    <cellStyle name="Grouped Head" xfId="307" xr:uid="{9F117EAA-30A9-432B-B154-28FBA19EAF7A}"/>
    <cellStyle name="h" xfId="308" xr:uid="{BE8EC066-D2B9-404F-A8DF-924C67EB14AE}"/>
    <cellStyle name="HAlignCenter" xfId="309" xr:uid="{7BC5B10D-0B02-42DF-A2BF-FEF79DD3FBF9}"/>
    <cellStyle name="HAlignLeft" xfId="310" xr:uid="{F523436E-B42D-4E12-B589-C64B5D937AF4}"/>
    <cellStyle name="HAlignRight" xfId="311" xr:uid="{7C45B4EA-B307-4082-90CD-21679470BA3B}"/>
    <cellStyle name="Head 1" xfId="312" xr:uid="{C6659262-5535-48BC-9C69-D17991C0E62C}"/>
    <cellStyle name="Header" xfId="313" xr:uid="{F4DA9DD9-4147-4EDA-85D6-619581E053A3}"/>
    <cellStyle name="Header1" xfId="314" xr:uid="{A5E95134-7752-4EA3-BC66-7FCABC340869}"/>
    <cellStyle name="Header2" xfId="315" xr:uid="{12496DEE-1D7B-459D-9AEE-C2C10540D660}"/>
    <cellStyle name="headers" xfId="316" xr:uid="{4CC8B4EC-85D1-4711-9857-7BABC354B982}"/>
    <cellStyle name="Heading" xfId="317" xr:uid="{F21B669F-1117-403E-B2C4-B8918C445F40}"/>
    <cellStyle name="HEADINGS" xfId="318" xr:uid="{B63F862D-53FB-404D-A479-71F3DD5B68A9}"/>
    <cellStyle name="HEADINGSTOP" xfId="319" xr:uid="{A5652318-A09F-4E09-9C82-5E074B8CE47F}"/>
    <cellStyle name="Hyperlink 2" xfId="320" xr:uid="{2B27D0EA-82FD-4D71-BE3A-C12EEDA4CA33}"/>
    <cellStyle name="Hyperlink 3" xfId="321" xr:uid="{95A4AB02-B36D-4BAA-9EE8-1AC21D8FD0EC}"/>
    <cellStyle name="imput" xfId="322" xr:uid="{11C8BD56-9309-4ECF-86DA-B44850C99A33}"/>
    <cellStyle name="Input [yellow]" xfId="323" xr:uid="{0D8AD789-2427-4820-95E6-88B16C8EFB56}"/>
    <cellStyle name="Invisible" xfId="324" xr:uid="{9EA38822-4186-4A6E-B792-5F4CA6CA9FA6}"/>
    <cellStyle name="ItalicHeader" xfId="325" xr:uid="{95C047B2-BD8C-424F-8DF7-DF67066EAF22}"/>
    <cellStyle name="Item Descriptions" xfId="326" xr:uid="{0F65BD06-6376-4742-AD8F-EBAD54DAEE9E}"/>
    <cellStyle name="Item Descriptions - Bold" xfId="327" xr:uid="{892AF9B0-C23B-46E0-8EB3-077F00579A9C}"/>
    <cellStyle name="Item Descriptions_6079BX" xfId="328" xr:uid="{06DEAF8A-4CC2-40A2-9158-25FB45F4D084}"/>
    <cellStyle name="Left" xfId="329" xr:uid="{243D6087-0EC3-474A-AEE4-AFE49A0A5099}"/>
    <cellStyle name="LeftBold" xfId="330" xr:uid="{76701753-B2AE-4A35-BF24-F928ADD00E05}"/>
    <cellStyle name="LeftBoldBottomRule" xfId="331" xr:uid="{A705CF2E-1B06-4A1C-BCC6-46FF51464C2B}"/>
    <cellStyle name="LeftBoldCenterRule" xfId="332" xr:uid="{1048BD17-BBCC-422A-AF5F-029F6E3415C0}"/>
    <cellStyle name="Line" xfId="333" xr:uid="{CFFA52D3-054B-495B-9FB4-1E1A7FFF7F4E}"/>
    <cellStyle name="Link Currency (0)" xfId="334" xr:uid="{00290FE0-C503-4C6E-99A3-D12AA16A778E}"/>
    <cellStyle name="Link Currency (2)" xfId="335" xr:uid="{C39F6176-AE3C-4982-9655-435EB6F49F17}"/>
    <cellStyle name="Link Units (0)" xfId="336" xr:uid="{81EB23AE-AF27-41E2-9D25-6881CC06B002}"/>
    <cellStyle name="Link Units (1)" xfId="337" xr:uid="{0A43A87F-8BD3-45BC-B62B-8156328A0FA3}"/>
    <cellStyle name="Link Units (2)" xfId="338" xr:uid="{FDED970F-5E56-4849-9C26-2427679EC9FA}"/>
    <cellStyle name="locked" xfId="339" xr:uid="{48CE1500-D9F4-474C-A447-BB845AEB67F7}"/>
    <cellStyle name="m&amp;a" xfId="340" xr:uid="{3A1730F1-4CCB-4174-87D6-09BAE27E3564}"/>
    <cellStyle name="Map Labels" xfId="341" xr:uid="{164C2245-94BF-4EED-AF14-BE3EC7793E34}"/>
    <cellStyle name="Map Legend" xfId="342" xr:uid="{29D1418B-0E4B-4CBB-8F95-0B35CF67B56F}"/>
    <cellStyle name="Merrill" xfId="343" xr:uid="{4C295E88-6EFA-4B44-BAFB-E64C96A2E553}"/>
    <cellStyle name="Millares_Inv Detail A7" xfId="344" xr:uid="{AAFB83FA-4FB1-454B-890A-AE7342FA0F73}"/>
    <cellStyle name="Milliers [0]_r00SC" xfId="345" xr:uid="{57294B5F-0BA9-4A0B-96D1-439A201001B1}"/>
    <cellStyle name="Milliers_r00SC" xfId="346" xr:uid="{34AFD94A-EF20-4E9F-9E3A-D2F9F95DE49F}"/>
    <cellStyle name="Mix" xfId="347" xr:uid="{54F2AF3D-18DC-4D00-99B1-AE2DB303154E}"/>
    <cellStyle name="mon" xfId="348" xr:uid="{E2E5CC4E-8060-449F-8025-034B4403A084}"/>
    <cellStyle name="Monétaire [0]_r00SC" xfId="349" xr:uid="{A7B0DA60-53A3-47D7-A088-E9EFE825D7E7}"/>
    <cellStyle name="Monétaire_r00SC" xfId="350" xr:uid="{9D6502AB-9D5D-4FE2-AF17-E00CFD957EE3}"/>
    <cellStyle name="Money" xfId="351" xr:uid="{D92BE186-3F87-43E0-BDCF-64BB42F4301F}"/>
    <cellStyle name="Multiple" xfId="352" xr:uid="{39D1C982-9F94-475F-B1B0-CDE576AF1714}"/>
    <cellStyle name="Multiple []" xfId="353" xr:uid="{5A9008F2-1A72-4943-8647-3244D98E64D4}"/>
    <cellStyle name="Multiple [0]" xfId="354" xr:uid="{069E90B8-178D-44D5-8552-3F1EA7C5BF19}"/>
    <cellStyle name="Multiple [0] []" xfId="355" xr:uid="{4EFBF1AF-5137-4F90-82BC-4DBED54096BD}"/>
    <cellStyle name="Multiple [0]_New MA Public Comps and WACC Model" xfId="356" xr:uid="{1EF3018E-7871-4CD3-955B-85C43721F11D}"/>
    <cellStyle name="Multiple [1]" xfId="357" xr:uid="{C193CD20-B635-4348-85EB-35299A615512}"/>
    <cellStyle name="Multiple [1] []" xfId="358" xr:uid="{7353220A-47D1-4714-8528-8BAF9CCFE49D}"/>
    <cellStyle name="Multiple [1]_New MA Public Comps and WACC Model" xfId="359" xr:uid="{A4442664-AE6D-4D7C-845C-3BF000A22C85}"/>
    <cellStyle name="Multiple_CapitalSum" xfId="360" xr:uid="{0855A18F-9B7C-40C3-A030-2370B935EA32}"/>
    <cellStyle name="N2Style" xfId="361" xr:uid="{FF3E56B0-1CC8-4ACA-A70F-117458BFD4FF}"/>
    <cellStyle name="NewColumnHeaderNormal" xfId="362" xr:uid="{C3A4F28A-F648-47BD-8D60-B3AA0015E316}"/>
    <cellStyle name="NewSectionHeaderNormal" xfId="363" xr:uid="{6D2B9534-2941-4905-B37D-5EABAEF8E215}"/>
    <cellStyle name="NewTitleNormal" xfId="364" xr:uid="{234A0494-0086-4BB8-AD36-BDCC3CDD240C}"/>
    <cellStyle name="Normal" xfId="0" builtinId="0"/>
    <cellStyle name="Normal - Style1" xfId="365" xr:uid="{A3506E96-F1C0-45D7-B772-27D6BAD69911}"/>
    <cellStyle name="Normal - Style1 2" xfId="366" xr:uid="{1EEA13C9-4EF9-4302-B904-31A4FFA0459C}"/>
    <cellStyle name="Normal 10" xfId="367" xr:uid="{4B4A4866-910A-4D6C-85FE-99FF708C28C4}"/>
    <cellStyle name="Normal 100" xfId="368" xr:uid="{CDCDABEF-C9FC-4679-AB70-D617C4F34C75}"/>
    <cellStyle name="Normal 101" xfId="369" xr:uid="{9582DCF2-FA7C-4E3F-8BB9-2D6567E7D499}"/>
    <cellStyle name="Normal 102" xfId="370" xr:uid="{66B3F922-C662-43F4-8D86-09E4217338A4}"/>
    <cellStyle name="Normal 103" xfId="371" xr:uid="{D85994B0-3AA9-4130-A921-2349DB4650F0}"/>
    <cellStyle name="Normal 104" xfId="372" xr:uid="{6D8DEAF1-4D7C-4786-A14A-00E27A55846E}"/>
    <cellStyle name="Normal 105" xfId="373" xr:uid="{BE86619F-90A3-4B99-B877-7C1EBE6C4CEA}"/>
    <cellStyle name="Normal 106" xfId="374" xr:uid="{0FA7038B-1B7E-4152-85D8-9071AF33F5B1}"/>
    <cellStyle name="Normal 107" xfId="375" xr:uid="{E94567ED-9965-4FF5-9151-1B425C078986}"/>
    <cellStyle name="Normal 108" xfId="376" xr:uid="{6249CD54-B158-478B-8677-60E1D81934D6}"/>
    <cellStyle name="Normal 109" xfId="377" xr:uid="{6517446C-09DD-4339-A485-FC5C1FB6CFCC}"/>
    <cellStyle name="Normal 11" xfId="378" xr:uid="{A402FED8-682B-4843-9EB6-3279B1C6D2FF}"/>
    <cellStyle name="Normal 12" xfId="379" xr:uid="{7F8B1424-DED6-46EF-9F01-47552FC72FBA}"/>
    <cellStyle name="Normal 12 2" xfId="380" xr:uid="{E923F24A-9CFE-4D90-ABC9-856A8C3C14C8}"/>
    <cellStyle name="Normal 13" xfId="381" xr:uid="{84FA071D-1631-435F-A047-08A7D79CB0ED}"/>
    <cellStyle name="Normal 14" xfId="382" xr:uid="{53FD123B-13B7-42C1-A730-09CA3FCB7009}"/>
    <cellStyle name="Normal 15" xfId="383" xr:uid="{6DFCEB9C-77DC-45E0-B953-976A576CD050}"/>
    <cellStyle name="Normal 16" xfId="384" xr:uid="{F9FE6274-BFEF-4A83-96C5-5BF4501CFE47}"/>
    <cellStyle name="Normal 17" xfId="385" xr:uid="{890FD6F1-1172-4C34-9F31-60D07AE74301}"/>
    <cellStyle name="Normal 18" xfId="386" xr:uid="{C16097D5-C080-4A2E-ADBC-408100A375C2}"/>
    <cellStyle name="Normal 19" xfId="387" xr:uid="{D354FFED-E612-45AF-BF6F-92404E700F52}"/>
    <cellStyle name="Normal 2" xfId="388" xr:uid="{606C15C1-9C9F-4151-80FF-87DE99C5FE29}"/>
    <cellStyle name="Normal 2 2" xfId="389" xr:uid="{2E36D662-30E6-419A-9F5B-474BBBA46512}"/>
    <cellStyle name="Normal 2 3" xfId="390" xr:uid="{6D9A6EC8-0219-4FC4-B0A6-468A3F72CD8B}"/>
    <cellStyle name="Normal 2 4" xfId="391" xr:uid="{114793E2-2A92-4DC8-A686-094FF2413125}"/>
    <cellStyle name="Normal 20" xfId="392" xr:uid="{51824A5B-E249-417C-A727-EFD354EB80F2}"/>
    <cellStyle name="Normal 21" xfId="393" xr:uid="{D695B736-BEFB-45E0-BE4B-DBE65D865962}"/>
    <cellStyle name="Normal 22" xfId="394" xr:uid="{C48DB800-3CF2-47D0-8834-C73CFAC5FBFD}"/>
    <cellStyle name="Normal 23" xfId="395" xr:uid="{E02D4703-C9CF-4B2D-AF72-3600436BBBE2}"/>
    <cellStyle name="Normal 24" xfId="396" xr:uid="{E5C9C099-E99C-458A-A8BD-7332FEE1B5CA}"/>
    <cellStyle name="Normal 25" xfId="397" xr:uid="{392C87AA-6A99-4B1D-9F8A-618FBEDDABCE}"/>
    <cellStyle name="Normal 26" xfId="398" xr:uid="{5FECC831-7CF2-4A7C-88FD-1044990369DF}"/>
    <cellStyle name="Normal 27" xfId="399" xr:uid="{90DFCB87-53BA-4F86-B4D9-55D20457FE6C}"/>
    <cellStyle name="Normal 27 2" xfId="400" xr:uid="{99DCBFED-6A02-4CCE-BF7A-00F62DF93BFA}"/>
    <cellStyle name="Normal 28" xfId="401" xr:uid="{8B725051-D15A-41F1-B1D5-E08C21D7955F}"/>
    <cellStyle name="Normal 29" xfId="402" xr:uid="{1971847A-3C02-466F-B2FE-A297D3C30DC3}"/>
    <cellStyle name="Normal 3" xfId="403" xr:uid="{ABFA8A02-CAC6-420E-85A7-530D879C4897}"/>
    <cellStyle name="Normal 30" xfId="404" xr:uid="{592352D6-B1E6-4252-AE9F-6DC3DF131C59}"/>
    <cellStyle name="Normal 31" xfId="405" xr:uid="{A05D2D50-537F-416A-8C31-51625B61A3DF}"/>
    <cellStyle name="Normal 32" xfId="406" xr:uid="{D8D9E60F-4280-4A28-A994-C56D6A757BB5}"/>
    <cellStyle name="Normal 33" xfId="407" xr:uid="{9F6388C2-8D0C-44A5-B3A3-AC4ACE045953}"/>
    <cellStyle name="Normal 34" xfId="408" xr:uid="{F4F9C24C-19B8-42A0-B22C-8013B28F87CF}"/>
    <cellStyle name="Normal 35" xfId="409" xr:uid="{B6670E7F-394A-494D-B655-683FFDFC2905}"/>
    <cellStyle name="Normal 36" xfId="410" xr:uid="{2A6C84EA-0898-48DD-8F65-40F5FF5BD5C7}"/>
    <cellStyle name="Normal 37" xfId="411" xr:uid="{A21DF64A-3C24-4D53-802B-5DB665918415}"/>
    <cellStyle name="Normal 38" xfId="412" xr:uid="{6CFA5A80-60E8-452B-8B7B-07615E4D917D}"/>
    <cellStyle name="Normal 39" xfId="413" xr:uid="{A3E206BD-F38E-43C3-AEFA-1FCEB0663816}"/>
    <cellStyle name="Normal 4" xfId="414" xr:uid="{F9D1D738-1E2C-4EF5-9058-B08977419073}"/>
    <cellStyle name="Normal 40" xfId="415" xr:uid="{C45DD036-0914-45C4-ACCB-B506DEA0BA29}"/>
    <cellStyle name="Normal 41" xfId="416" xr:uid="{DF05C499-2F82-4DA8-A8CD-5C6C18AEF2FC}"/>
    <cellStyle name="Normal 42" xfId="417" xr:uid="{09DA6F32-83FD-4555-A9A8-35112CE89DC7}"/>
    <cellStyle name="Normal 43" xfId="418" xr:uid="{63577549-2D28-41D0-9E33-2058BD2AD178}"/>
    <cellStyle name="Normal 44" xfId="419" xr:uid="{056E44B8-BA18-4731-BB65-F7F4C7854387}"/>
    <cellStyle name="Normal 45" xfId="420" xr:uid="{CACE3A18-85C4-4052-9A8E-4C2C0881AF29}"/>
    <cellStyle name="Normal 46" xfId="421" xr:uid="{76600635-CEFF-42C0-B4F5-38C6A04DCB01}"/>
    <cellStyle name="Normal 47" xfId="422" xr:uid="{5C618387-B7EA-40DC-9101-1C2F2D27296F}"/>
    <cellStyle name="Normal 48" xfId="423" xr:uid="{692AD4B7-C9B8-4157-8274-87C661D74C2E}"/>
    <cellStyle name="Normal 49" xfId="424" xr:uid="{FA6C5468-A3D0-4F9E-9755-FFAF2A61B7A6}"/>
    <cellStyle name="Normal 5" xfId="425" xr:uid="{BF4AEFC8-05C7-4D1A-B8A6-62E7CD72261D}"/>
    <cellStyle name="Normal 50" xfId="426" xr:uid="{5AE36763-0ABC-47FD-8A38-B2AAB5C56722}"/>
    <cellStyle name="Normal 51" xfId="427" xr:uid="{8BFEA247-D6A7-4954-94F4-20127A71E492}"/>
    <cellStyle name="Normal 52" xfId="428" xr:uid="{8C6EC637-CFF6-4BA3-B98F-CAE6E3F9F73B}"/>
    <cellStyle name="Normal 53" xfId="429" xr:uid="{A02975AC-2BE1-449C-8036-05EE9C8269F3}"/>
    <cellStyle name="Normal 54" xfId="430" xr:uid="{FBABACAB-66BB-4A9A-B055-3D1ADF1B1B7C}"/>
    <cellStyle name="Normal 55" xfId="431" xr:uid="{946AE88E-D25E-4AA3-9AF8-8C4014899A3E}"/>
    <cellStyle name="Normal 56" xfId="432" xr:uid="{AAACE40A-836B-4F57-85E0-25779C0B1095}"/>
    <cellStyle name="Normal 57" xfId="433" xr:uid="{D307643B-2BA5-4541-9171-17317CD27475}"/>
    <cellStyle name="Normal 58" xfId="434" xr:uid="{0DB55FC9-FF42-4B4E-BBF4-49FC9D9ECD61}"/>
    <cellStyle name="Normal 59" xfId="435" xr:uid="{DB12222E-AAD2-42D7-B1B3-E34BD9CB9864}"/>
    <cellStyle name="Normal 6" xfId="436" xr:uid="{C6E31F6C-2B6F-4418-8F76-D14C54D10CE7}"/>
    <cellStyle name="Normal 6 2" xfId="437" xr:uid="{A9673955-35DA-4583-97A6-6D4EB432DD8A}"/>
    <cellStyle name="Normal 60" xfId="438" xr:uid="{B3F1FA79-FDA8-46F4-819D-923F3E25754D}"/>
    <cellStyle name="Normal 61" xfId="439" xr:uid="{E2CABD7E-E1DF-4433-BDEA-FF45E7029366}"/>
    <cellStyle name="Normal 62" xfId="440" xr:uid="{A3AE3D13-8A29-4244-937C-D94A26455379}"/>
    <cellStyle name="Normal 63" xfId="441" xr:uid="{D692755E-339D-47B1-96A5-13494CDE815D}"/>
    <cellStyle name="Normal 64" xfId="442" xr:uid="{A7B3BA4C-64F9-42C7-A5FC-8D8066A54FFD}"/>
    <cellStyle name="Normal 65" xfId="443" xr:uid="{CC21E6B4-CF8E-4AEF-96C2-65396930B947}"/>
    <cellStyle name="Normal 66" xfId="444" xr:uid="{CBF94D57-32B7-4286-A7DF-43B6E8A0DAFE}"/>
    <cellStyle name="Normal 67" xfId="445" xr:uid="{F53B24F0-A74A-49FE-884A-0339C0ECA55A}"/>
    <cellStyle name="Normal 68" xfId="446" xr:uid="{F5BE4355-F755-4BDE-B7FC-0FC166FC005F}"/>
    <cellStyle name="Normal 69" xfId="447" xr:uid="{EAF9730E-D518-47A2-96DE-429689D2C916}"/>
    <cellStyle name="Normal 7" xfId="448" xr:uid="{6651B1EF-698C-49F7-92B9-8B46FFEC1247}"/>
    <cellStyle name="Normal 70" xfId="449" xr:uid="{3F7F9E20-FE43-43FB-9601-A45263F19D29}"/>
    <cellStyle name="Normal 71" xfId="450" xr:uid="{CFC76EBA-CDDD-4DFF-8BF0-27559D4E977B}"/>
    <cellStyle name="Normal 72" xfId="451" xr:uid="{9292D7E7-3E8A-45FD-8E35-55BE614A0FD4}"/>
    <cellStyle name="Normal 73" xfId="452" xr:uid="{57D4B613-C3F5-492A-AEF6-906D93F68E99}"/>
    <cellStyle name="Normal 74" xfId="453" xr:uid="{B3041DAA-0743-4A3B-9F4E-FBDBFC0229B4}"/>
    <cellStyle name="Normal 75" xfId="454" xr:uid="{97072B11-E9DD-48AC-96B7-2397C02AB82F}"/>
    <cellStyle name="Normal 76" xfId="455" xr:uid="{33520770-339C-4090-B258-20157419B973}"/>
    <cellStyle name="Normal 77" xfId="456" xr:uid="{E9662034-E280-4CA2-862F-CE1B2DE5F573}"/>
    <cellStyle name="Normal 78" xfId="457" xr:uid="{E69961AC-EBBD-41B9-8C27-9D0424B280C8}"/>
    <cellStyle name="Normal 79" xfId="458" xr:uid="{8A3BE626-5BE6-44BF-BFA7-6ADDB758AAE8}"/>
    <cellStyle name="Normal 8" xfId="459" xr:uid="{E9EFE188-0025-44CE-A0DC-E27E96072647}"/>
    <cellStyle name="Normal 80" xfId="460" xr:uid="{9DFFFD24-DCBB-4161-A9A9-8098EDD18F2E}"/>
    <cellStyle name="Normal 81" xfId="461" xr:uid="{3923F2A3-874E-4726-BA1D-3A8D2F9911C1}"/>
    <cellStyle name="Normal 82" xfId="462" xr:uid="{1F43AAD9-217C-402F-B028-2E8A5BF5CC66}"/>
    <cellStyle name="Normal 83" xfId="463" xr:uid="{F70FEF1A-771A-48B6-9E50-9EC4E49B7A14}"/>
    <cellStyle name="Normal 84" xfId="464" xr:uid="{6672D4FD-856E-479C-8F92-5C23275B2082}"/>
    <cellStyle name="Normal 85" xfId="465" xr:uid="{573404D2-26DE-4790-8439-8F467AF08093}"/>
    <cellStyle name="Normal 86" xfId="466" xr:uid="{AE53C7F9-07F5-4583-9613-F8474D19C503}"/>
    <cellStyle name="Normal 87" xfId="467" xr:uid="{6C838BF1-3264-4963-A320-3794DFA95541}"/>
    <cellStyle name="Normal 88" xfId="468" xr:uid="{5144A9CA-632D-4651-9F7C-428D1EBF1413}"/>
    <cellStyle name="Normal 89" xfId="469" xr:uid="{C4486CE4-38F9-4ED9-BDAE-B54C6AED88F2}"/>
    <cellStyle name="Normal 9" xfId="470" xr:uid="{8DBBEECD-0883-4FEF-909C-DAF6897E0A1F}"/>
    <cellStyle name="Normal 90" xfId="471" xr:uid="{4F11654C-923E-450B-BD1D-A06983506519}"/>
    <cellStyle name="Normal 91" xfId="472" xr:uid="{6B5EBBA7-B418-413F-83F0-A3BFB86418CB}"/>
    <cellStyle name="Normal 92" xfId="473" xr:uid="{A9D73F41-E07E-4A32-9C5E-EB64780E2B9A}"/>
    <cellStyle name="Normal 93" xfId="474" xr:uid="{D7726BCA-3EF7-4395-B1CA-D69108A61BD2}"/>
    <cellStyle name="Normal 94" xfId="475" xr:uid="{23BB69D0-B08C-4FB2-A558-7980BD0796DB}"/>
    <cellStyle name="Normal 95" xfId="476" xr:uid="{F53C36D3-6A9D-47AF-8D50-5CFC72419256}"/>
    <cellStyle name="Normal 96" xfId="477" xr:uid="{6088F9FE-D111-4BDB-9E5D-DBF4F4430EB8}"/>
    <cellStyle name="Normal 97" xfId="478" xr:uid="{63BA7F38-5DDF-4833-9482-118B4CEDE4D1}"/>
    <cellStyle name="Normal 98" xfId="479" xr:uid="{BC2A0889-239D-4701-926B-8E06E6FD5249}"/>
    <cellStyle name="Normal 99" xfId="480" xr:uid="{998E6FD8-8C8E-42B6-BEA1-267E88D1A3F2}"/>
    <cellStyle name="Normal1" xfId="481" xr:uid="{C065F2E5-CBB6-445A-833A-FD30F5D1D58D}"/>
    <cellStyle name="Normal10" xfId="482" xr:uid="{BB62311C-F38F-414C-822D-19F2AFFC177E}"/>
    <cellStyle name="Normal100" xfId="483" xr:uid="{10E9BFCB-8473-47F8-A8FB-4D800C827AC6}"/>
    <cellStyle name="Normal101" xfId="484" xr:uid="{A6A6A60E-E930-4329-AC37-D22C593879D9}"/>
    <cellStyle name="Normal102" xfId="485" xr:uid="{56946CA7-6189-4217-BE18-8951D3737781}"/>
    <cellStyle name="Normal103" xfId="486" xr:uid="{3404B106-6FE8-432C-AE6A-F6DFC9B1B4C7}"/>
    <cellStyle name="Normal104" xfId="487" xr:uid="{C7697FBB-C500-492C-90DE-B91A7A0B1502}"/>
    <cellStyle name="Normal105" xfId="488" xr:uid="{D1CB4EDF-E96D-4BF0-975E-6BF56B6B9FAE}"/>
    <cellStyle name="Normal106" xfId="489" xr:uid="{456493CB-8D23-4DB4-BB9E-21E30A3E2999}"/>
    <cellStyle name="Normal107" xfId="490" xr:uid="{C238BE50-4C1F-4E1A-AF7D-A7575DA69211}"/>
    <cellStyle name="Normal108" xfId="491" xr:uid="{BEFEBFAE-7411-4998-9EAD-5F315CD45B50}"/>
    <cellStyle name="Normal109" xfId="492" xr:uid="{38DC4FDA-9208-4B48-8138-71D4F57EF6CB}"/>
    <cellStyle name="Normal11" xfId="493" xr:uid="{1AA8010B-D66C-4486-BB6B-0A7B8299F209}"/>
    <cellStyle name="Normal110" xfId="494" xr:uid="{209E0E97-8E36-4DDB-B48E-38CD5A244C18}"/>
    <cellStyle name="Normal111" xfId="495" xr:uid="{D1BB5ED0-0E97-4E51-94FD-8718F3DDFACE}"/>
    <cellStyle name="Normal112" xfId="496" xr:uid="{705C497C-2D4C-4CD0-A54A-41362C396126}"/>
    <cellStyle name="Normal113" xfId="497" xr:uid="{A0E10845-D964-4056-ABD0-0847313149DD}"/>
    <cellStyle name="Normal114" xfId="498" xr:uid="{45272206-2519-4695-BD40-DB1CE1A70810}"/>
    <cellStyle name="Normal115" xfId="499" xr:uid="{C28D175E-5E84-4A1F-82A1-4A30E6C3246F}"/>
    <cellStyle name="Normal116" xfId="500" xr:uid="{041FE43B-A1FA-453F-B149-0B018998EC83}"/>
    <cellStyle name="Normal117" xfId="501" xr:uid="{099E262A-1631-4A15-A542-218A62106778}"/>
    <cellStyle name="Normal118" xfId="502" xr:uid="{AEBB5D5C-69D9-4F06-8BB8-1E055DFE207A}"/>
    <cellStyle name="Normal119" xfId="503" xr:uid="{0A7ADE12-7163-47EC-B624-F3AF31EBF3C2}"/>
    <cellStyle name="Normal12" xfId="504" xr:uid="{F5B52982-AF1F-48D9-AAA9-4C830FD2E49F}"/>
    <cellStyle name="Normal120" xfId="505" xr:uid="{E46AD609-17C2-4B85-BA9A-4A87DC00585A}"/>
    <cellStyle name="Normal121" xfId="506" xr:uid="{2C6FD57B-AEA6-47AB-9A89-2E164A66862A}"/>
    <cellStyle name="Normal122" xfId="507" xr:uid="{264650CA-04BB-416A-BF1B-C132D7A08817}"/>
    <cellStyle name="Normal123" xfId="508" xr:uid="{27511172-A425-4CC6-9E55-2B1D8CFB49C4}"/>
    <cellStyle name="Normal124" xfId="509" xr:uid="{630E9FE6-A1CE-47F2-BA33-EC2407AB5C1D}"/>
    <cellStyle name="Normal125" xfId="510" xr:uid="{22265FD6-B415-4C8E-B861-5D014191B9F1}"/>
    <cellStyle name="Normal126" xfId="511" xr:uid="{B2FF4751-C599-499E-8F95-CA982D3ED9CF}"/>
    <cellStyle name="Normal127" xfId="512" xr:uid="{EDBB2B1B-06B5-494F-AC67-B9EBF63EE15F}"/>
    <cellStyle name="Normal128" xfId="513" xr:uid="{7F879DF5-583A-4819-8071-CECD3230C3ED}"/>
    <cellStyle name="Normal129" xfId="514" xr:uid="{E68E4F75-27D0-4C5C-850B-02984E7C51C8}"/>
    <cellStyle name="Normal13" xfId="515" xr:uid="{C0CD10E6-D4C4-4195-9246-A0E4C291A309}"/>
    <cellStyle name="Normal130" xfId="516" xr:uid="{2AA75AF7-7F40-45BC-B653-43B55125A01D}"/>
    <cellStyle name="Normal131" xfId="517" xr:uid="{B2F09276-BB78-4C1F-8C04-86C4916942AB}"/>
    <cellStyle name="Normal132" xfId="518" xr:uid="{35D2F9A6-8D9A-44D4-A113-5DE7D4B9E9A0}"/>
    <cellStyle name="Normal133" xfId="519" xr:uid="{3F4EB9C3-AD36-40AD-90DB-F101B981DABE}"/>
    <cellStyle name="Normal134" xfId="520" xr:uid="{EFC22726-31E2-4F99-B31F-3AF180578A2F}"/>
    <cellStyle name="Normal135" xfId="521" xr:uid="{E27C7332-CA7A-4960-94B0-065DE6D066FC}"/>
    <cellStyle name="Normal136" xfId="522" xr:uid="{AF713AEF-6DEC-4442-B6AB-A659778D8049}"/>
    <cellStyle name="Normal137" xfId="523" xr:uid="{B597F5E4-F560-452E-8B68-64F476721F72}"/>
    <cellStyle name="Normal138" xfId="524" xr:uid="{931633A7-A24D-443F-9535-8F40E19169D7}"/>
    <cellStyle name="Normal139" xfId="525" xr:uid="{4CEAFAFD-459E-4AC4-9ECA-87CFC8BF318E}"/>
    <cellStyle name="Normal14" xfId="526" xr:uid="{61663C74-D85E-4163-96C6-677A2000C4E4}"/>
    <cellStyle name="Normal140" xfId="527" xr:uid="{5AA7AFA9-A569-4614-9375-3EF6ADE7EC12}"/>
    <cellStyle name="Normal141" xfId="528" xr:uid="{A1FBE0CA-D853-4DE4-8BC5-17F0DFD72FAA}"/>
    <cellStyle name="Normal142" xfId="529" xr:uid="{909993C8-9A9A-499D-8D6B-8476029F0EC3}"/>
    <cellStyle name="Normal143" xfId="530" xr:uid="{2357E546-6E96-49DD-89C4-2AD208814E58}"/>
    <cellStyle name="Normal144" xfId="531" xr:uid="{7610099F-12D2-48B4-B1B8-5AEA124A407A}"/>
    <cellStyle name="Normal145" xfId="532" xr:uid="{5AD38470-1A29-4E8C-893A-58664ECA683A}"/>
    <cellStyle name="Normal146" xfId="533" xr:uid="{2F38D966-30A4-488C-B0AF-3BC6F801A112}"/>
    <cellStyle name="Normal147" xfId="534" xr:uid="{14A158A1-5E01-4213-807E-D49504811B58}"/>
    <cellStyle name="Normal148" xfId="535" xr:uid="{B54D5862-F7BC-494C-A30F-EBD6A29CA761}"/>
    <cellStyle name="Normal149" xfId="536" xr:uid="{18C0AD51-3B26-4DFF-AF4B-3AD538EB29ED}"/>
    <cellStyle name="Normal15" xfId="537" xr:uid="{CD7C08B1-542F-472F-9A0B-63F40DC264B1}"/>
    <cellStyle name="Normal150" xfId="538" xr:uid="{92C76CE4-A88D-4015-9B19-B5791240B792}"/>
    <cellStyle name="Normal151" xfId="539" xr:uid="{C906D9C2-A1E0-4B72-B407-DC8AA83A48B0}"/>
    <cellStyle name="Normal152" xfId="540" xr:uid="{99F7880A-1496-468C-B4F0-3FA8489E96A3}"/>
    <cellStyle name="Normal153" xfId="541" xr:uid="{E9456F16-86A3-48C7-B336-351426BF55EC}"/>
    <cellStyle name="Normal154" xfId="542" xr:uid="{7BA5AB73-1694-4328-AA42-F2E779446957}"/>
    <cellStyle name="Normal155" xfId="543" xr:uid="{2AB7E892-85C9-46E9-A174-1535AF5B9D7F}"/>
    <cellStyle name="Normal156" xfId="544" xr:uid="{2C6F3FB6-6118-4A9D-A789-C5B6D8A407D9}"/>
    <cellStyle name="Normal157" xfId="545" xr:uid="{F0B76CCD-8AAD-4C67-89B5-77E2618D2274}"/>
    <cellStyle name="Normal158" xfId="546" xr:uid="{414013C5-8B38-4A78-A351-54931EE514B8}"/>
    <cellStyle name="Normal159" xfId="547" xr:uid="{0960AB98-B0E5-4CB7-93B1-54268D355604}"/>
    <cellStyle name="Normal16" xfId="548" xr:uid="{58234772-B8B0-4428-8F8F-D3D2022C2B60}"/>
    <cellStyle name="Normal160" xfId="549" xr:uid="{EB931FF6-07F2-4D1D-8474-DA25F2CEAEFE}"/>
    <cellStyle name="Normal161" xfId="550" xr:uid="{51663D2A-C852-4085-A155-959284E3CFB8}"/>
    <cellStyle name="Normal162" xfId="551" xr:uid="{93BFEFBE-BBB3-468B-8D7A-ECDA9A1CEB85}"/>
    <cellStyle name="Normal163" xfId="552" xr:uid="{826DA3B6-D99A-4C19-B702-CCCC3A596671}"/>
    <cellStyle name="Normal164" xfId="553" xr:uid="{2CFCF276-8A9A-48E3-884B-6CB2B86AFAC9}"/>
    <cellStyle name="Normal165" xfId="554" xr:uid="{FF6578D8-61C5-4098-A3BC-95601542DFFF}"/>
    <cellStyle name="Normal166" xfId="555" xr:uid="{9EA8573D-2C92-4435-9CB6-BC6D018F5B6C}"/>
    <cellStyle name="Normal167" xfId="556" xr:uid="{B739AB1E-0B9B-474D-A7C4-55C834662275}"/>
    <cellStyle name="Normal168" xfId="557" xr:uid="{27EC4D0F-5849-453D-A4CA-D75089ACF66E}"/>
    <cellStyle name="Normal169" xfId="558" xr:uid="{92BFBAEC-B692-4BC0-81C3-1DC7BB144DD7}"/>
    <cellStyle name="Normal17" xfId="559" xr:uid="{AD1F6A88-D82C-477C-9520-F0310D1B5BEC}"/>
    <cellStyle name="Normal170" xfId="560" xr:uid="{EBC33F7A-D3CE-4123-8C66-D3237BA7CF93}"/>
    <cellStyle name="Normal171" xfId="561" xr:uid="{B9D17743-1985-4306-8A91-4CA90CFD3971}"/>
    <cellStyle name="Normal172" xfId="562" xr:uid="{1C90FA6E-0F84-447D-BD2F-E359F6D93136}"/>
    <cellStyle name="Normal173" xfId="563" xr:uid="{1E616A68-8A27-40A5-AD06-A5B409F5D478}"/>
    <cellStyle name="Normal174" xfId="564" xr:uid="{E035E84D-1F2A-44D5-8651-A80EA98ABEF6}"/>
    <cellStyle name="Normal175" xfId="565" xr:uid="{311075FB-5A20-4F1E-B610-FAD310374157}"/>
    <cellStyle name="Normal176" xfId="566" xr:uid="{6AFB7511-28C1-48C9-88AB-EC0B50641AA0}"/>
    <cellStyle name="Normal177" xfId="567" xr:uid="{5D5EFC03-CBD9-451F-9B8E-19E6658293A7}"/>
    <cellStyle name="Normal178" xfId="568" xr:uid="{34BA023D-B967-46BC-8026-ED744E393B39}"/>
    <cellStyle name="Normal179" xfId="569" xr:uid="{031C88DC-0E68-466E-AD01-340E74FDC508}"/>
    <cellStyle name="Normal18" xfId="570" xr:uid="{5947F1F5-0DDD-463B-8742-9200E58BF7C9}"/>
    <cellStyle name="Normal180" xfId="571" xr:uid="{7A799BDD-A3E5-4D35-94BE-3CB2E94EC52D}"/>
    <cellStyle name="Normal181" xfId="572" xr:uid="{C183A9B7-10BF-4744-A3A2-0814A11C16A8}"/>
    <cellStyle name="Normal182" xfId="573" xr:uid="{457DC887-D0A1-494C-BE3A-9506F9C26D44}"/>
    <cellStyle name="Normal183" xfId="574" xr:uid="{796E8E18-E97A-473D-81CF-F7FE32BEAE84}"/>
    <cellStyle name="Normal184" xfId="575" xr:uid="{1720F949-08AC-4097-991C-2EE6C366F4CF}"/>
    <cellStyle name="Normal185" xfId="576" xr:uid="{CA87E1CC-8306-4F81-A624-EF2407E5716E}"/>
    <cellStyle name="Normal186" xfId="577" xr:uid="{F0486DFE-266D-4927-AD23-5C7C59398ECD}"/>
    <cellStyle name="Normal187" xfId="578" xr:uid="{3D5C5CDC-8258-4CEE-9B30-6377A4DB93B9}"/>
    <cellStyle name="Normal188" xfId="579" xr:uid="{A772856F-6719-4E64-BAC9-B7DC64EF640B}"/>
    <cellStyle name="Normal189" xfId="580" xr:uid="{02EA4230-DDC9-4DEA-9346-8CDDB1617FDB}"/>
    <cellStyle name="Normal19" xfId="581" xr:uid="{A7B3528C-6E6E-41BD-B400-AE08EFFF3F94}"/>
    <cellStyle name="Normal190" xfId="582" xr:uid="{342B9993-476F-42F9-8DFF-E5828FEF51D4}"/>
    <cellStyle name="Normal191" xfId="583" xr:uid="{7F778B6A-7E0E-4176-947F-7F1BCA31E0D5}"/>
    <cellStyle name="Normal192" xfId="584" xr:uid="{DF471F52-2558-4FC3-93FC-DA9991839783}"/>
    <cellStyle name="Normal193" xfId="585" xr:uid="{C91E79C9-E5B1-45E4-8959-2F8CFE9E2619}"/>
    <cellStyle name="Normal194" xfId="586" xr:uid="{6ECC9A74-3A50-474F-9DAA-4B432F5F9586}"/>
    <cellStyle name="Normal195" xfId="587" xr:uid="{ABC95C0C-D0A7-4D30-BCCC-EE85F410447A}"/>
    <cellStyle name="Normal196" xfId="588" xr:uid="{EF47C2C0-E6EC-4F5F-9893-CD8D729AA5E3}"/>
    <cellStyle name="Normal197" xfId="589" xr:uid="{D70653C5-3DD6-43A7-A3C2-E39506967C2E}"/>
    <cellStyle name="Normal198" xfId="590" xr:uid="{06F989A3-8703-406E-9265-AC51F3649737}"/>
    <cellStyle name="Normal199" xfId="591" xr:uid="{66F2BCC2-9832-4CF9-A2F1-92C57A97502C}"/>
    <cellStyle name="Normal2" xfId="592" xr:uid="{96586B51-F7AF-4A3A-8E96-51B0ED1A8701}"/>
    <cellStyle name="Normal20" xfId="593" xr:uid="{1B82347C-15EF-4985-823D-151565F5ADE4}"/>
    <cellStyle name="Normal200" xfId="594" xr:uid="{8564F677-704C-4F8C-8029-70BEA349FCBD}"/>
    <cellStyle name="Normal201" xfId="595" xr:uid="{E26C6E43-B793-4170-961F-E341975D1117}"/>
    <cellStyle name="Normal202" xfId="596" xr:uid="{BB073CE3-4AFD-486F-B966-154F1AC4A142}"/>
    <cellStyle name="Normal203" xfId="597" xr:uid="{6DB84AA2-AB66-4456-8B13-56CD816AB3B2}"/>
    <cellStyle name="Normal204" xfId="598" xr:uid="{FA248CE4-26CC-4AFA-9F9C-74914DEF7275}"/>
    <cellStyle name="Normal205" xfId="599" xr:uid="{0C4984DA-FBF5-4FC7-B422-7E97ADD64F29}"/>
    <cellStyle name="Normal206" xfId="600" xr:uid="{41EA5391-74E3-4E18-8055-857948D4B4B9}"/>
    <cellStyle name="Normal207" xfId="601" xr:uid="{4CCAC853-EA35-407F-8D4B-A8F9C85A04C8}"/>
    <cellStyle name="Normal208" xfId="602" xr:uid="{E360F542-51BE-4469-8FFA-3D4C06B78E19}"/>
    <cellStyle name="Normal209" xfId="603" xr:uid="{6977F88C-668D-474A-9832-48BD9788FF62}"/>
    <cellStyle name="Normal21" xfId="604" xr:uid="{1316E660-7BD8-49AA-9F9E-05096B26CF35}"/>
    <cellStyle name="Normal210" xfId="605" xr:uid="{16B152EB-F5B6-43E8-998B-FFF38E4145BB}"/>
    <cellStyle name="Normal211" xfId="606" xr:uid="{68B29362-7C52-4E19-AFAB-E9DDB956B82E}"/>
    <cellStyle name="Normal212" xfId="607" xr:uid="{9C15415E-B604-4F51-B768-D75ADC53596B}"/>
    <cellStyle name="Normal213" xfId="608" xr:uid="{3DA6AE93-1864-4B87-9678-16ED01FEA359}"/>
    <cellStyle name="Normal214" xfId="609" xr:uid="{ECC2D03C-D4BE-4D5E-AC8E-90D217E8B600}"/>
    <cellStyle name="Normal215" xfId="610" xr:uid="{6D8DF599-FCB7-4197-8E3D-8001AE8B7A32}"/>
    <cellStyle name="Normal216" xfId="611" xr:uid="{DA343FA9-459A-40D2-A6D4-DBAA8A62F647}"/>
    <cellStyle name="Normal217" xfId="612" xr:uid="{735E0BBC-D1E3-4421-8870-163FFEAF5074}"/>
    <cellStyle name="Normal218" xfId="613" xr:uid="{1F3AD74C-7A9D-48A3-AC27-4B4D50F976B1}"/>
    <cellStyle name="Normal219" xfId="614" xr:uid="{74FDF791-5D37-4E50-AB28-DA46BCF23A67}"/>
    <cellStyle name="Normal22" xfId="615" xr:uid="{CF35D4AA-8049-4A17-AF9A-E866CE9CFD0F}"/>
    <cellStyle name="Normal220" xfId="616" xr:uid="{7EB1F7C9-FA9B-420F-9327-DB8A1A292027}"/>
    <cellStyle name="Normal221" xfId="617" xr:uid="{6754566C-64D5-40B2-BF3D-AEA2D9437828}"/>
    <cellStyle name="Normal222" xfId="618" xr:uid="{9ECA741C-611B-4663-987B-92A4C8A74153}"/>
    <cellStyle name="Normal223" xfId="619" xr:uid="{52432F07-7116-4B23-9475-B909068DC745}"/>
    <cellStyle name="Normal224" xfId="620" xr:uid="{EA6C4551-DB4A-437B-8E2F-B880B8F6FEC1}"/>
    <cellStyle name="Normal225" xfId="621" xr:uid="{17912174-9BF7-4F8C-8421-E1EC571B2162}"/>
    <cellStyle name="Normal226" xfId="622" xr:uid="{1A06E0FF-74C9-4ACD-A744-77BF6932971E}"/>
    <cellStyle name="Normal227" xfId="623" xr:uid="{C6775BE2-6335-442A-B975-91D891B4FDBC}"/>
    <cellStyle name="Normal228" xfId="624" xr:uid="{96062A27-6935-4D03-8632-72F44563E117}"/>
    <cellStyle name="Normal229" xfId="625" xr:uid="{B30B6D72-707A-4FAE-A014-614C671E4187}"/>
    <cellStyle name="Normal23" xfId="626" xr:uid="{E4D387A6-DA60-4970-8EAE-2C2427415282}"/>
    <cellStyle name="Normal230" xfId="627" xr:uid="{7294C98B-5D41-46A4-98BF-2D3BAB620804}"/>
    <cellStyle name="Normal231" xfId="628" xr:uid="{2AB237F0-F69A-41C6-B269-B57C8B51D7C0}"/>
    <cellStyle name="Normal232" xfId="629" xr:uid="{5DB2D58C-D21B-4C48-B537-D7BB271F119D}"/>
    <cellStyle name="Normal233" xfId="630" xr:uid="{34EA6378-B3CF-4074-AC9E-8AB5C7098D2C}"/>
    <cellStyle name="Normal234" xfId="631" xr:uid="{EE174609-69B1-444C-9777-74696CD46DE0}"/>
    <cellStyle name="Normal235" xfId="632" xr:uid="{51168692-FBF2-42F8-8902-EC635AF42F7D}"/>
    <cellStyle name="Normal236" xfId="633" xr:uid="{AFD5C1AA-401D-4875-BEFA-A1682829C63C}"/>
    <cellStyle name="Normal237" xfId="634" xr:uid="{81B610A7-4F7D-454B-9FE7-C9B7EE2F1673}"/>
    <cellStyle name="Normal238" xfId="635" xr:uid="{38AFD38D-8797-458B-B757-1FDF85937265}"/>
    <cellStyle name="Normal239" xfId="636" xr:uid="{D3A2AFDC-C72B-46BE-B13A-C98F6BE4F5EA}"/>
    <cellStyle name="Normal24" xfId="637" xr:uid="{34600356-2F15-40EF-85EF-D32728B00943}"/>
    <cellStyle name="Normal240" xfId="638" xr:uid="{A0BA22DA-4EE8-480B-A134-905F927F3905}"/>
    <cellStyle name="Normal241" xfId="639" xr:uid="{47807B82-BC05-4E6B-896C-999E72681877}"/>
    <cellStyle name="Normal242" xfId="640" xr:uid="{A399BD61-9824-45B2-83EC-499EDC52678D}"/>
    <cellStyle name="Normal243" xfId="641" xr:uid="{AC97A280-C6C0-4BB0-A773-487C4E85CF4E}"/>
    <cellStyle name="Normal244" xfId="642" xr:uid="{96675670-A246-49D6-80B3-14D09ED52E40}"/>
    <cellStyle name="Normal245" xfId="643" xr:uid="{7CD5FB7D-91A4-40CE-97C8-4504247A575E}"/>
    <cellStyle name="Normal246" xfId="644" xr:uid="{B77334E0-625F-414F-BA54-32B7A5E64DBD}"/>
    <cellStyle name="Normal247" xfId="645" xr:uid="{7FA285CF-FD68-45E8-8D2E-05D282FA54CD}"/>
    <cellStyle name="Normal248" xfId="646" xr:uid="{44805A49-F1A0-4A06-979A-0EE71614A587}"/>
    <cellStyle name="Normal249" xfId="647" xr:uid="{0909D91A-0F7F-4BF9-9906-13722BCF6C93}"/>
    <cellStyle name="Normal25" xfId="648" xr:uid="{A1BAB956-896D-401E-B712-F36208A2DAFE}"/>
    <cellStyle name="Normal250" xfId="649" xr:uid="{2F78787C-4A73-4E4A-AB5C-D5B0D317CC93}"/>
    <cellStyle name="Normal251" xfId="650" xr:uid="{7C16385F-C267-4618-9777-7B7DA648DC31}"/>
    <cellStyle name="Normal252" xfId="651" xr:uid="{673D45BD-276F-4CDC-AD74-06C20108BF38}"/>
    <cellStyle name="Normal253" xfId="652" xr:uid="{99C26A04-055D-40AD-BE06-6F7C4A806EB0}"/>
    <cellStyle name="Normal26" xfId="653" xr:uid="{D8830032-1581-44E6-BC8A-0ECD711BF2D8}"/>
    <cellStyle name="Normal27" xfId="654" xr:uid="{4F6879A3-0778-4606-8C51-4D0BAB2F044D}"/>
    <cellStyle name="Normal28" xfId="655" xr:uid="{E4CB40CA-DDFE-40A1-9BB8-3904E087048F}"/>
    <cellStyle name="Normal29" xfId="656" xr:uid="{761984E0-71AC-45F8-BA26-5049030BD4FA}"/>
    <cellStyle name="Normal3" xfId="657" xr:uid="{3EB82415-25BC-43C0-92CC-AD8651BC0CBF}"/>
    <cellStyle name="Normal30" xfId="658" xr:uid="{CB98D983-60CE-4B73-8B76-FE16CEE14151}"/>
    <cellStyle name="Normal31" xfId="659" xr:uid="{8F97CA10-5DF2-4D3E-B4A2-7C090BB1C4E3}"/>
    <cellStyle name="Normal32" xfId="660" xr:uid="{555CE67E-FC1B-4B42-A1EF-7EDE9E0740DA}"/>
    <cellStyle name="Normal33" xfId="661" xr:uid="{44460FF6-D37A-4EA6-9451-6AADF5F5E4E0}"/>
    <cellStyle name="Normal34" xfId="662" xr:uid="{9A9781A6-9684-4A3B-A6BB-FFBAAFDC322B}"/>
    <cellStyle name="Normal35" xfId="663" xr:uid="{0BED4CE4-893A-4492-B23E-2E1B37DDBFB2}"/>
    <cellStyle name="Normal36" xfId="664" xr:uid="{E3E536B7-7978-4423-8D96-3F5EE56B3A0D}"/>
    <cellStyle name="Normal37" xfId="665" xr:uid="{46966324-9B26-4F5C-9C75-B749360D341C}"/>
    <cellStyle name="Normal38" xfId="666" xr:uid="{EFE69A8F-732A-4041-8FCD-90E27FC2AFAC}"/>
    <cellStyle name="Normal39" xfId="667" xr:uid="{6CDE5F67-5240-4018-A4F9-49D4CEB9C98C}"/>
    <cellStyle name="Normal4" xfId="668" xr:uid="{399756CB-0A1C-4C5C-BB6C-06B6FF32E650}"/>
    <cellStyle name="Normal40" xfId="669" xr:uid="{B13E51C8-32EE-45AE-A87E-F13033B2FA0A}"/>
    <cellStyle name="Normal41" xfId="670" xr:uid="{E40A7399-E7F6-4290-A89E-7BC522D223E4}"/>
    <cellStyle name="Normal42" xfId="671" xr:uid="{9FE9D830-941C-4F9F-A8E4-DB0E261CEB2A}"/>
    <cellStyle name="Normal43" xfId="672" xr:uid="{91A9DBE8-28B7-4BD9-A4A7-59354F40FC5A}"/>
    <cellStyle name="Normal44" xfId="673" xr:uid="{CF4746EB-8C6C-405D-8F15-0808F4394632}"/>
    <cellStyle name="Normal45" xfId="674" xr:uid="{610FBB72-6848-4EDA-85A9-2E3C7B06B454}"/>
    <cellStyle name="Normal46" xfId="675" xr:uid="{2478F00B-6379-43DC-8EC2-6E642BC62722}"/>
    <cellStyle name="Normal47" xfId="676" xr:uid="{5AD9BDF9-5FC2-4429-BC05-FA35D7174307}"/>
    <cellStyle name="Normal48" xfId="677" xr:uid="{F617AEA7-D661-42A5-B1B3-46678366E440}"/>
    <cellStyle name="Normal49" xfId="678" xr:uid="{82DB0EEE-D42E-4D92-AD43-6CCBF2BE14E7}"/>
    <cellStyle name="Normal5" xfId="679" xr:uid="{98E08753-B311-464C-80BC-0C442789A9E1}"/>
    <cellStyle name="Normal50" xfId="680" xr:uid="{00561E51-1788-4CC8-84B9-6790A0F9C980}"/>
    <cellStyle name="Normal51" xfId="681" xr:uid="{F96FF0D7-EA36-47ED-B80C-100459D33B5A}"/>
    <cellStyle name="Normal52" xfId="682" xr:uid="{78E959FB-FF26-4D8F-804A-09A22838F157}"/>
    <cellStyle name="Normal53" xfId="683" xr:uid="{932E88B8-C246-45C4-B72B-473445D928D7}"/>
    <cellStyle name="Normal54" xfId="684" xr:uid="{6696768A-CE23-4E61-9E0E-7B83AB4250AB}"/>
    <cellStyle name="Normal55" xfId="685" xr:uid="{0E4E7D1B-9286-411E-B475-5E943B625DCD}"/>
    <cellStyle name="Normal56" xfId="686" xr:uid="{110EDE47-903E-49C0-96AD-A038EC5BD129}"/>
    <cellStyle name="Normal57" xfId="687" xr:uid="{DB59638D-CA51-425F-B910-3335A8839235}"/>
    <cellStyle name="Normal58" xfId="688" xr:uid="{5EA686E3-6A37-4702-9A8C-6CDDFF8CC4A4}"/>
    <cellStyle name="Normal59" xfId="689" xr:uid="{D04C36C7-8C3F-4CC2-ACF0-93D871500F5B}"/>
    <cellStyle name="Normal6" xfId="690" xr:uid="{A0B0C55D-68E3-46D0-BEBE-4BFC305368A2}"/>
    <cellStyle name="Normal60" xfId="691" xr:uid="{85564EBD-C1A4-4FC4-88AA-1FBEE19779E1}"/>
    <cellStyle name="Normal61" xfId="692" xr:uid="{436F1A3A-58C7-453B-8E54-328F50268EA5}"/>
    <cellStyle name="Normal62" xfId="693" xr:uid="{62434C9A-7384-456F-B407-65C044D1991C}"/>
    <cellStyle name="Normal63" xfId="694" xr:uid="{E02DA702-9E08-4EFF-857C-62117DB8646C}"/>
    <cellStyle name="Normal64" xfId="695" xr:uid="{72E22720-21BE-4BDA-9BC7-0374FC52D647}"/>
    <cellStyle name="Normal65" xfId="696" xr:uid="{38219A0F-4FA4-433A-98EE-3879C84FF899}"/>
    <cellStyle name="Normal66" xfId="697" xr:uid="{17E43BE2-C894-436C-9947-4F09A2AFEF6A}"/>
    <cellStyle name="Normal67" xfId="698" xr:uid="{F636595C-CF32-4F2D-9C45-DD70CE922354}"/>
    <cellStyle name="Normal68" xfId="699" xr:uid="{EA06A48D-C0CA-407E-A8B0-E06EF4628D1D}"/>
    <cellStyle name="Normal69" xfId="700" xr:uid="{9AB777F9-960B-4029-ABDC-2FD20B45B1B8}"/>
    <cellStyle name="Normal7" xfId="701" xr:uid="{3D57DAD4-5590-4277-A887-7B4BCF97E4A0}"/>
    <cellStyle name="Normal70" xfId="702" xr:uid="{DC945A9C-49F5-435E-A868-67CD69A34696}"/>
    <cellStyle name="Normal71" xfId="703" xr:uid="{08E1D74A-7CD8-4A8E-9CE2-523F96094545}"/>
    <cellStyle name="Normal72" xfId="704" xr:uid="{5D5E5747-54C8-4F60-A435-9ABDA94B11A3}"/>
    <cellStyle name="Normal73" xfId="705" xr:uid="{12B6A042-060F-4DB1-8B6E-DB7946A61A99}"/>
    <cellStyle name="Normal74" xfId="706" xr:uid="{28DB3ABB-512F-49B5-800D-E9D1C5F5E96C}"/>
    <cellStyle name="Normal75" xfId="707" xr:uid="{5DEFF31B-68C2-4808-B0E7-E465ED4469D3}"/>
    <cellStyle name="Normal76" xfId="708" xr:uid="{3500F4DC-EFD3-4423-A0E9-070F80DB892E}"/>
    <cellStyle name="Normal77" xfId="709" xr:uid="{D2935AF9-B601-4799-8BEA-0186E2ACAC66}"/>
    <cellStyle name="Normal78" xfId="710" xr:uid="{405C7D50-7F24-47DB-A336-53DBBBEAE6AB}"/>
    <cellStyle name="Normal79" xfId="711" xr:uid="{153BA435-C266-43C4-95A2-9CD340D3EB36}"/>
    <cellStyle name="Normal8" xfId="712" xr:uid="{98F9F45C-0046-499B-9E5A-81D344353ECD}"/>
    <cellStyle name="Normal80" xfId="713" xr:uid="{ABF05880-D23B-4295-A2DA-1F2918F2E394}"/>
    <cellStyle name="Normal81" xfId="714" xr:uid="{AC6B41E3-5EED-49E0-B6DE-1C0C26AE0F9D}"/>
    <cellStyle name="Normal82" xfId="715" xr:uid="{58BBD0A3-4CA4-4FD8-B213-1FF83C12209B}"/>
    <cellStyle name="Normal83" xfId="716" xr:uid="{E11A5B65-2E08-43B3-B3A3-59117CC4CF42}"/>
    <cellStyle name="Normal84" xfId="717" xr:uid="{6E88C9D0-6813-4AD6-981A-25050FF10763}"/>
    <cellStyle name="Normal85" xfId="718" xr:uid="{2130C69D-7243-4798-AFCB-254C45C98254}"/>
    <cellStyle name="Normal86" xfId="719" xr:uid="{D0747A8A-051A-408D-BA3F-CAD2B95696BC}"/>
    <cellStyle name="Normal87" xfId="720" xr:uid="{8C0FCC0E-10B4-4B7A-91E5-AEE67909E8BC}"/>
    <cellStyle name="Normal88" xfId="721" xr:uid="{7843CE3F-1CB0-4294-8D58-72A510339E53}"/>
    <cellStyle name="Normal89" xfId="722" xr:uid="{722B4E0B-4FD2-4DCD-938D-B812A36D73B5}"/>
    <cellStyle name="Normal9" xfId="723" xr:uid="{1EF85CF9-4EE7-4D26-9069-5CC873E2D509}"/>
    <cellStyle name="Normal90" xfId="724" xr:uid="{F2B4035D-3564-4171-B891-79AC7022FF6C}"/>
    <cellStyle name="Normal91" xfId="725" xr:uid="{2E8EAD18-7039-4622-B286-7C16EDBAAFAC}"/>
    <cellStyle name="Normal92" xfId="726" xr:uid="{859A9996-40BB-49BA-934B-3ECD23218997}"/>
    <cellStyle name="Normal93" xfId="727" xr:uid="{96EA4929-2C79-40A9-AD52-AB38CB93126C}"/>
    <cellStyle name="Normal94" xfId="728" xr:uid="{12548C09-430C-4F27-996D-224FD582E405}"/>
    <cellStyle name="Normal95" xfId="729" xr:uid="{5665582B-EEF6-4F47-8F7B-EEFF283FA17B}"/>
    <cellStyle name="Normal96" xfId="730" xr:uid="{30705CBF-BFFD-4392-A6BA-7745992D5E67}"/>
    <cellStyle name="Normal97" xfId="731" xr:uid="{335002C6-511F-4D28-98DE-1AC4B95653E8}"/>
    <cellStyle name="Normal98" xfId="732" xr:uid="{F8B2F1BC-96A2-4B15-8AD2-734E2F9550C0}"/>
    <cellStyle name="Normal99" xfId="733" xr:uid="{8FDB86C5-8C1D-4087-BAB5-108903FD297D}"/>
    <cellStyle name="NotDeclared_1" xfId="734" xr:uid="{BC67CE8C-7B38-4531-B27E-AF97A909EA9A}"/>
    <cellStyle name="Numbers" xfId="735" xr:uid="{0A648442-3E43-4028-B001-EF9BA8B7E9FB}"/>
    <cellStyle name="Numbers - Bold" xfId="736" xr:uid="{96E9DFAB-F67F-4C39-8DE1-117085A7DAC1}"/>
    <cellStyle name="Numbers - Bold - Italic" xfId="737" xr:uid="{32C661EC-347F-4856-95ED-C2E824058692}"/>
    <cellStyle name="Numbers - Bold_6079BX" xfId="738" xr:uid="{738687F4-83C1-4515-8641-87137D8E8D4F}"/>
    <cellStyle name="Numbers - Large" xfId="739" xr:uid="{7BC00133-994B-448B-BC4E-39CE664FECC0}"/>
    <cellStyle name="Numbers_6079BX" xfId="740" xr:uid="{9EBE1E5D-5C2E-46AD-B757-B3E6500CB3E7}"/>
    <cellStyle name="OSW_RowLabels" xfId="741" xr:uid="{4F12738C-3F30-42F2-8554-13BC62A93D9A}"/>
    <cellStyle name="Outline" xfId="742" xr:uid="{BED59B64-B638-4E3E-85A3-296216DAA2DF}"/>
    <cellStyle name="Output Amounts" xfId="743" xr:uid="{72E34CB6-D62E-4471-8F19-812FBA2DD48C}"/>
    <cellStyle name="Output Column Headings" xfId="744" xr:uid="{96201B10-1108-4651-9DDF-8F002F466C7D}"/>
    <cellStyle name="Output Line Items" xfId="745" xr:uid="{6577A00A-EA08-452E-89A1-97F472E9CBEA}"/>
    <cellStyle name="Output Report Heading" xfId="746" xr:uid="{81837B1C-B9B0-437A-87C2-894016A09DE8}"/>
    <cellStyle name="Page" xfId="747" xr:uid="{FD5E02AD-879D-4A5E-8C65-44E7231075B7}"/>
    <cellStyle name="PB Table Heading" xfId="748" xr:uid="{89441661-0908-495C-94C0-83EB6E1C5554}"/>
    <cellStyle name="PB Table Highlight1" xfId="749" xr:uid="{C2FC10C9-1EE7-4746-99B0-4D99153CF742}"/>
    <cellStyle name="PB Table Highlight2" xfId="750" xr:uid="{187B66AA-9380-4CD4-8FE3-3C1D4376E520}"/>
    <cellStyle name="PB Table Highlight3" xfId="751" xr:uid="{88C63DAE-896A-4811-B148-7D9C3E88A9AF}"/>
    <cellStyle name="PB Table Standard Row" xfId="752" xr:uid="{2D3EE3B8-D863-4EAA-861B-32F98B76F84F}"/>
    <cellStyle name="PB Table Subtotal Row" xfId="753" xr:uid="{429E408E-DC54-4912-A867-511CADFF2A5E}"/>
    <cellStyle name="PB Table Total Row" xfId="754" xr:uid="{65091FCD-8D70-4DE3-ACE2-5DF77B2C598F}"/>
    <cellStyle name="Per cent" xfId="756" builtinId="5"/>
    <cellStyle name="per.style" xfId="755" xr:uid="{F3FDEE08-6B3E-4AD5-AFBB-32E9F11F8844}"/>
    <cellStyle name="Percent [0]" xfId="757" xr:uid="{D097121E-0FF4-4B36-B732-12BBD92F8D21}"/>
    <cellStyle name="Percent [00]" xfId="758" xr:uid="{F35A3E77-D64C-4874-B0DA-B11F38D492C2}"/>
    <cellStyle name="Percent [1]" xfId="759" xr:uid="{0A564F9B-B1BC-41E9-A6CC-C9C05E636889}"/>
    <cellStyle name="Percent [1][]" xfId="760" xr:uid="{3431776F-BFC5-4250-83FC-3FEDED30B000}"/>
    <cellStyle name="Percent [1]_New MA Public Comps and WACC Model" xfId="761" xr:uid="{FA3963A5-B5CE-477D-BBC7-15C202ABD079}"/>
    <cellStyle name="Percent [2]" xfId="762" xr:uid="{FED19A54-A731-4716-971A-F3B51F6A474E}"/>
    <cellStyle name="Percent 10" xfId="763" xr:uid="{7ED60B8E-C3DE-4CF6-84DB-8A0DAAE8759A}"/>
    <cellStyle name="Percent 100" xfId="764" xr:uid="{626B39EB-1974-43FB-91B3-A44AEFB37A04}"/>
    <cellStyle name="Percent 101" xfId="765" xr:uid="{05140F4C-9595-4441-A606-F10918F55A8F}"/>
    <cellStyle name="Percent 102" xfId="766" xr:uid="{7311B337-2FC6-4F41-B345-45C3B7498603}"/>
    <cellStyle name="Percent 103" xfId="767" xr:uid="{FB625399-6A42-4E51-9B74-4B945B049953}"/>
    <cellStyle name="Percent 104" xfId="768" xr:uid="{6A8816F9-F808-4F4B-B60F-8A3197C2449C}"/>
    <cellStyle name="Percent 105" xfId="769" xr:uid="{77238F57-28C1-49BF-8B85-985BD92C3F8A}"/>
    <cellStyle name="Percent 106" xfId="770" xr:uid="{F01565AC-F5E8-48B0-A728-9DDA4FB203C0}"/>
    <cellStyle name="Percent 107" xfId="771" xr:uid="{5D1360CC-4B7C-4DDE-8695-7D97139F964D}"/>
    <cellStyle name="Percent 11" xfId="772" xr:uid="{736BD18B-78F1-40FD-8DB5-3CC3CB307DD6}"/>
    <cellStyle name="Percent 12" xfId="773" xr:uid="{DB6E34B8-DF21-4118-BA90-D013FA219A0F}"/>
    <cellStyle name="Percent 13" xfId="774" xr:uid="{43F54370-F504-4C0E-8BF2-1437CE5A7463}"/>
    <cellStyle name="Percent 14" xfId="775" xr:uid="{BBAAAECE-C724-4F9F-BA80-E634E92874B8}"/>
    <cellStyle name="Percent 15" xfId="776" xr:uid="{5958B0A3-DFB9-4410-9644-616E973198EC}"/>
    <cellStyle name="Percent 16" xfId="777" xr:uid="{02760504-6CB2-4100-97B9-DEE2D27F7148}"/>
    <cellStyle name="Percent 17" xfId="778" xr:uid="{1B3BBA81-EC19-42CE-88E4-0602E9D58277}"/>
    <cellStyle name="Percent 18" xfId="779" xr:uid="{D550BCDC-264D-4532-BAC9-3822882005DA}"/>
    <cellStyle name="Percent 19" xfId="780" xr:uid="{F2AF46E3-A918-4146-A88F-9D1FEA006543}"/>
    <cellStyle name="Percent 2" xfId="781" xr:uid="{5820230A-0A1F-4F7B-9C73-5C05EA2AF590}"/>
    <cellStyle name="Percent 20" xfId="782" xr:uid="{ECFEAB0A-E576-42F6-BE9B-B04A960CD561}"/>
    <cellStyle name="Percent 21" xfId="783" xr:uid="{F44164C8-E90C-4255-8CAA-5398355A7B40}"/>
    <cellStyle name="Percent 22" xfId="784" xr:uid="{CDE74E6C-C2B5-4F73-8075-736003FEC5E9}"/>
    <cellStyle name="Percent 23" xfId="785" xr:uid="{DF8BEF16-FC57-4E47-A0CD-799E30EDA7C0}"/>
    <cellStyle name="Percent 24" xfId="786" xr:uid="{3CCB684B-C8FD-451F-BB54-5C47C7F11E4D}"/>
    <cellStyle name="Percent 25" xfId="787" xr:uid="{84BD2371-05FF-47C8-8F1C-5D4C6376A0A9}"/>
    <cellStyle name="Percent 26" xfId="788" xr:uid="{352782DB-2AB1-4AE8-A425-9E1DA0A7F793}"/>
    <cellStyle name="Percent 27" xfId="789" xr:uid="{73A2389B-7A77-4972-9296-F0CDE727DEE2}"/>
    <cellStyle name="Percent 28" xfId="790" xr:uid="{05F49C55-24C2-4494-A004-E570DBE35B5C}"/>
    <cellStyle name="Percent 29" xfId="791" xr:uid="{80EF9536-5E1B-4051-9634-F43E7139EAFA}"/>
    <cellStyle name="Percent 3" xfId="792" xr:uid="{82AB5CA7-6FC4-40D2-A7FC-8F299855FC46}"/>
    <cellStyle name="Percent 3 2" xfId="793" xr:uid="{F888481B-AF9F-4096-99B9-12DC4E04B864}"/>
    <cellStyle name="Percent 30" xfId="794" xr:uid="{F1109366-5C3C-40B7-A473-B3A575C2756C}"/>
    <cellStyle name="Percent 31" xfId="795" xr:uid="{1AF4BD21-266E-4B5C-9960-034A55DDFAAE}"/>
    <cellStyle name="Percent 32" xfId="796" xr:uid="{95B79D9A-8F3D-4540-BECF-EA41029DD5C0}"/>
    <cellStyle name="Percent 33" xfId="797" xr:uid="{94175A35-9DCF-487B-A8D8-BD6983A0057B}"/>
    <cellStyle name="Percent 34" xfId="798" xr:uid="{D280D118-728B-4A1E-848E-486E43D7D262}"/>
    <cellStyle name="Percent 35" xfId="799" xr:uid="{31A5C427-66E6-4A25-89A5-6E2706FF6C41}"/>
    <cellStyle name="Percent 36" xfId="800" xr:uid="{0755FFED-F717-43B4-9400-17E7C9849EE4}"/>
    <cellStyle name="Percent 37" xfId="801" xr:uid="{8D70B5BB-403C-4EF2-BFB3-550EA181FB82}"/>
    <cellStyle name="Percent 38" xfId="802" xr:uid="{6F993486-81F3-400C-839D-C8C5771F4881}"/>
    <cellStyle name="Percent 39" xfId="803" xr:uid="{03726757-1436-433C-9947-26C6DF8A0923}"/>
    <cellStyle name="Percent 4" xfId="804" xr:uid="{566ABF12-3A87-43AC-840F-1C9F01078F75}"/>
    <cellStyle name="Percent 4 2" xfId="805" xr:uid="{3AECD9D5-A29D-4A59-AD7B-F610845E1C88}"/>
    <cellStyle name="Percent 40" xfId="806" xr:uid="{0192F5C4-3B05-40DD-84C1-1501E6D5734C}"/>
    <cellStyle name="Percent 41" xfId="807" xr:uid="{B509EB9A-B998-4528-89F4-2361FE1D5715}"/>
    <cellStyle name="Percent 42" xfId="808" xr:uid="{4E378DE6-659E-4754-9237-041449C68D4D}"/>
    <cellStyle name="Percent 43" xfId="809" xr:uid="{9B8D2853-7890-4A66-A525-108BEE8271E3}"/>
    <cellStyle name="Percent 44" xfId="810" xr:uid="{4F8195AB-B8D4-4979-8B3D-13932ECF8E49}"/>
    <cellStyle name="Percent 45" xfId="811" xr:uid="{A3EF3737-9970-469A-AD73-E4C32C560DC9}"/>
    <cellStyle name="Percent 46" xfId="812" xr:uid="{222E57E6-61B1-483D-9B9E-EB82CE403779}"/>
    <cellStyle name="Percent 47" xfId="813" xr:uid="{5B63007C-C961-4BAF-B5BF-CFAC70DACF36}"/>
    <cellStyle name="Percent 48" xfId="814" xr:uid="{7FBFB222-5D0B-4DB2-9C40-3FCDBE3394B8}"/>
    <cellStyle name="Percent 49" xfId="815" xr:uid="{001C3CFA-5FAD-4A88-B8E9-9B3800841771}"/>
    <cellStyle name="Percent 5" xfId="816" xr:uid="{7C328089-92C9-4DCC-82EB-478F43AF03A8}"/>
    <cellStyle name="Percent 5 2" xfId="817" xr:uid="{2091238E-5848-4A9A-9E13-6E8AE687C587}"/>
    <cellStyle name="Percent 50" xfId="818" xr:uid="{403383CD-C510-4CD3-B23A-AE29B713AEB0}"/>
    <cellStyle name="Percent 51" xfId="819" xr:uid="{8C6560CD-9452-4AEA-B299-9A687F0E1ABF}"/>
    <cellStyle name="Percent 52" xfId="820" xr:uid="{5A9DFCF1-92AE-40E5-8491-82162283CE63}"/>
    <cellStyle name="Percent 53" xfId="821" xr:uid="{0D601BEF-08FA-488C-A970-22D4D0A470E1}"/>
    <cellStyle name="Percent 54" xfId="822" xr:uid="{3382280E-17B3-453E-B907-7616F8F71A82}"/>
    <cellStyle name="Percent 55" xfId="823" xr:uid="{4522C588-AE45-4DB8-8AF2-D50B256B7EC9}"/>
    <cellStyle name="Percent 56" xfId="824" xr:uid="{BFCB647A-7941-4D6A-8F10-087844ED7A2C}"/>
    <cellStyle name="Percent 57" xfId="825" xr:uid="{40A4C2A4-52AC-4165-A5F3-716732CD4EFD}"/>
    <cellStyle name="Percent 58" xfId="826" xr:uid="{0A39FE1F-94D1-42AB-A386-848D4D18D949}"/>
    <cellStyle name="Percent 59" xfId="827" xr:uid="{C7A7AFEA-05AE-49E1-A836-FBA537B536AA}"/>
    <cellStyle name="Percent 6" xfId="828" xr:uid="{66552D35-BB5B-4C82-8BCB-8ECC30E867AE}"/>
    <cellStyle name="Percent 60" xfId="829" xr:uid="{B97DD59B-F11A-438F-B429-C6389E7E2842}"/>
    <cellStyle name="Percent 61" xfId="830" xr:uid="{4C3BDBD4-3ADB-4318-89A1-DCA996F58CEE}"/>
    <cellStyle name="Percent 62" xfId="831" xr:uid="{0C915909-6768-485F-A040-4BB94986DF81}"/>
    <cellStyle name="Percent 63" xfId="832" xr:uid="{DFE74D2C-0E44-4B9A-AEF0-B3FF81055355}"/>
    <cellStyle name="Percent 64" xfId="833" xr:uid="{9BEFED49-FD74-4C04-A449-0CC3419C2B88}"/>
    <cellStyle name="Percent 65" xfId="834" xr:uid="{2452AE0A-DE80-4E82-9552-11E77D1A2CD7}"/>
    <cellStyle name="Percent 66" xfId="835" xr:uid="{69544336-608C-4A89-85FD-2ADF06EE19CC}"/>
    <cellStyle name="Percent 67" xfId="836" xr:uid="{5FB73C48-6A4F-449A-82E8-746188F38764}"/>
    <cellStyle name="Percent 68" xfId="837" xr:uid="{0158B3EB-C3D6-4DEA-956D-364F235EF189}"/>
    <cellStyle name="Percent 69" xfId="838" xr:uid="{5808B998-C0D3-40A8-A3FB-31702CD091C9}"/>
    <cellStyle name="Percent 7" xfId="839" xr:uid="{23DF688A-D932-4215-A06B-FA40BC3B14DC}"/>
    <cellStyle name="Percent 70" xfId="840" xr:uid="{2FA0FD61-F2B8-4796-8DA0-E47E730B0687}"/>
    <cellStyle name="Percent 71" xfId="841" xr:uid="{A1797774-7930-412B-B471-A5439532A116}"/>
    <cellStyle name="Percent 72" xfId="842" xr:uid="{C7C3E333-B9A3-4D85-94D8-732FA6587B07}"/>
    <cellStyle name="Percent 73" xfId="843" xr:uid="{22EA2706-3D48-4DCD-A671-0A6CEF9A1D68}"/>
    <cellStyle name="Percent 74" xfId="844" xr:uid="{93A9BE7E-2CEE-454E-92AB-E02CF5363299}"/>
    <cellStyle name="Percent 75" xfId="845" xr:uid="{52C73406-720B-42EF-8EFF-B83EBA8F5A0D}"/>
    <cellStyle name="Percent 76" xfId="846" xr:uid="{D71E6273-AA73-441B-A4BF-F0759B6BEF9E}"/>
    <cellStyle name="Percent 77" xfId="847" xr:uid="{CFF35F4F-FDB7-426C-B997-3F44A928D13F}"/>
    <cellStyle name="Percent 78" xfId="848" xr:uid="{5C632018-0FEF-4804-ADF8-3B17E4EB8F35}"/>
    <cellStyle name="Percent 79" xfId="849" xr:uid="{F558AB98-B99D-473E-AEBD-128E2C80D872}"/>
    <cellStyle name="Percent 8" xfId="850" xr:uid="{A2DB8FC5-7E43-4178-A01B-ABBB1AC28787}"/>
    <cellStyle name="Percent 80" xfId="851" xr:uid="{D0FE6EBF-5435-4095-8086-101A01119AD5}"/>
    <cellStyle name="Percent 81" xfId="852" xr:uid="{E470C5E6-3055-4C69-8457-1882BB9C188C}"/>
    <cellStyle name="Percent 82" xfId="853" xr:uid="{C97EA93A-1E51-441A-8E33-9A403A0C4DA1}"/>
    <cellStyle name="Percent 83" xfId="854" xr:uid="{FFBD7A02-4F82-4FF8-BB9A-7CFAF0A8D3A2}"/>
    <cellStyle name="Percent 84" xfId="855" xr:uid="{763DDEAB-4CE8-4F59-B879-F598AE9C1E0E}"/>
    <cellStyle name="Percent 85" xfId="856" xr:uid="{6CEB2050-3340-4969-BC0A-A81E9DD2603D}"/>
    <cellStyle name="Percent 86" xfId="857" xr:uid="{7FB63542-A4FA-4311-B6C1-A37200406AC5}"/>
    <cellStyle name="Percent 87" xfId="858" xr:uid="{6AE742EB-7D15-4C52-94FA-EC29967BFB70}"/>
    <cellStyle name="Percent 88" xfId="859" xr:uid="{76513C3A-3428-4BEB-92D1-AC02558D345E}"/>
    <cellStyle name="Percent 89" xfId="860" xr:uid="{6A43E142-9517-44B1-9BD9-32C90D05BC2D}"/>
    <cellStyle name="Percent 9" xfId="861" xr:uid="{C5F680C9-F01C-43D4-A713-8EF34D2714DA}"/>
    <cellStyle name="Percent 90" xfId="862" xr:uid="{DD126C14-5367-4746-ACF1-A8089529756E}"/>
    <cellStyle name="Percent 91" xfId="863" xr:uid="{D7B93FE1-6870-47A6-B31E-1FC4F463E724}"/>
    <cellStyle name="Percent 92" xfId="864" xr:uid="{EFDDA28A-6528-4CB0-99E7-B897FB48DAD1}"/>
    <cellStyle name="Percent 93" xfId="865" xr:uid="{57D722EB-C881-4ABC-A422-E0E0706BFFB2}"/>
    <cellStyle name="Percent 94" xfId="866" xr:uid="{01EE2CD7-5866-4BC2-B05D-C53A05C8BAC6}"/>
    <cellStyle name="Percent 95" xfId="867" xr:uid="{5DCDC56E-CB63-4859-87F5-86A6D9BB64B0}"/>
    <cellStyle name="Percent 96" xfId="868" xr:uid="{F9A7D308-DD72-46C0-9EED-1516138CA20D}"/>
    <cellStyle name="Percent 97" xfId="869" xr:uid="{92E7F0AF-A81E-4DDA-A4FB-CAF69C14E2A2}"/>
    <cellStyle name="Percent 98" xfId="870" xr:uid="{E45718DB-2B0B-4E46-AD3E-C14894F92C2A}"/>
    <cellStyle name="Percent 99" xfId="871" xr:uid="{9B6359AA-B785-4689-8C15-60E061A90823}"/>
    <cellStyle name="Percent Comma" xfId="872" xr:uid="{EA63A2A4-AA2F-4602-8660-27C0B2ACC398}"/>
    <cellStyle name="Percent1" xfId="873" xr:uid="{33213F75-7655-4B08-A2C2-A1281603A15F}"/>
    <cellStyle name="Percent10" xfId="874" xr:uid="{2D29B98B-CD4C-40A3-ABFC-DC2BF4170518}"/>
    <cellStyle name="Percent100" xfId="875" xr:uid="{483F264B-114F-4AF9-89BD-F7C0BE0F0DAC}"/>
    <cellStyle name="Percent101" xfId="876" xr:uid="{7A594E76-CD3A-4673-98E9-3A87DB464D3E}"/>
    <cellStyle name="Percent102" xfId="877" xr:uid="{7B797F65-F5E1-4FA1-B174-28CA062262AE}"/>
    <cellStyle name="Percent103" xfId="878" xr:uid="{2F6DF3D8-FA03-4C29-817D-88009F44C947}"/>
    <cellStyle name="Percent104" xfId="879" xr:uid="{276EB711-0BFA-44BA-BF12-91FABD70FDE1}"/>
    <cellStyle name="Percent105" xfId="880" xr:uid="{6441FF6D-279C-405D-8638-AC38990B4609}"/>
    <cellStyle name="Percent106" xfId="881" xr:uid="{9379FFE9-8E3E-4541-9A7D-1ECFB1D406A5}"/>
    <cellStyle name="Percent107" xfId="882" xr:uid="{E52D1C48-B1FB-4C36-AF47-F51CF09310DD}"/>
    <cellStyle name="Percent108" xfId="883" xr:uid="{A1F74168-CC13-4CBE-B060-07975D84906E}"/>
    <cellStyle name="Percent109" xfId="884" xr:uid="{DFB5F0E1-0324-4D22-AD8E-C4FEC4347AD1}"/>
    <cellStyle name="Percent11" xfId="885" xr:uid="{FABA9BCD-58AF-4D79-BD1C-90AFC2434ED4}"/>
    <cellStyle name="Percent110" xfId="886" xr:uid="{05C2A4B1-A8FA-44F0-92B9-C759D2984B6E}"/>
    <cellStyle name="Percent111" xfId="887" xr:uid="{16DE12F0-3D3C-4B03-A2D8-09B135501866}"/>
    <cellStyle name="Percent112" xfId="888" xr:uid="{66A1C472-AA76-4519-A000-FB3C82128440}"/>
    <cellStyle name="Percent113" xfId="889" xr:uid="{2A6DD46F-BDF1-4B8C-AD1B-F28B0DDE663B}"/>
    <cellStyle name="Percent114" xfId="890" xr:uid="{F6E84740-CB4A-423E-8296-456EA0759A24}"/>
    <cellStyle name="Percent115" xfId="891" xr:uid="{61A86AA2-7C7E-4D68-9971-683200DEA2FE}"/>
    <cellStyle name="Percent116" xfId="892" xr:uid="{5E49AC80-19F8-4EC2-8F91-2328F5217A29}"/>
    <cellStyle name="Percent117" xfId="893" xr:uid="{DCCF2995-B775-449F-BB32-D04E784388B8}"/>
    <cellStyle name="Percent118" xfId="894" xr:uid="{B260C1EF-B6F8-4B0F-80B7-D831DAD69571}"/>
    <cellStyle name="Percent119" xfId="895" xr:uid="{A9C9F150-08CC-46CB-AD0C-8E2EDADE9BEE}"/>
    <cellStyle name="Percent12" xfId="896" xr:uid="{62E7FE32-577C-4C87-8B57-E5CF8D244B4A}"/>
    <cellStyle name="Percent120" xfId="897" xr:uid="{11A2C742-2AED-4681-B4DF-AADC4E0EF7E9}"/>
    <cellStyle name="Percent121" xfId="898" xr:uid="{DDCF075F-5B2A-48F8-904B-879F2DACD211}"/>
    <cellStyle name="Percent122" xfId="899" xr:uid="{A5823794-0ABC-43C2-B31F-C6615DECAF77}"/>
    <cellStyle name="Percent123" xfId="900" xr:uid="{796F15E4-7981-4D78-B398-F9D01AEA24B2}"/>
    <cellStyle name="Percent124" xfId="901" xr:uid="{BCA95819-E7BB-43BB-A134-DD89A428DE90}"/>
    <cellStyle name="Percent125" xfId="902" xr:uid="{D6A99959-603F-4E39-844B-F92A70B70FB2}"/>
    <cellStyle name="Percent126" xfId="903" xr:uid="{74396C40-66B3-4877-A7BA-2BC1CEA89FDC}"/>
    <cellStyle name="Percent127" xfId="904" xr:uid="{66435258-6EDB-4557-9512-2210896A76B7}"/>
    <cellStyle name="Percent128" xfId="905" xr:uid="{F9328773-7EBA-46DE-A34C-7F4B03168744}"/>
    <cellStyle name="Percent129" xfId="906" xr:uid="{0A0C3E92-9705-4AEF-B28F-162A5A6DCDC3}"/>
    <cellStyle name="Percent13" xfId="907" xr:uid="{71FBEDCF-5C9A-4D7C-B4E1-020C79642DCE}"/>
    <cellStyle name="Percent130" xfId="908" xr:uid="{317DC0DF-5B1F-4E45-933E-FE55B8EAAB17}"/>
    <cellStyle name="Percent131" xfId="909" xr:uid="{3D73ECAB-67A3-4B67-80AC-D96687910412}"/>
    <cellStyle name="Percent132" xfId="910" xr:uid="{3EB293D4-8629-4B7C-966F-AB57EAF91FC7}"/>
    <cellStyle name="Percent133" xfId="911" xr:uid="{AA8620DF-614A-4B55-8A3C-99CB7C3A26E1}"/>
    <cellStyle name="Percent134" xfId="912" xr:uid="{92F79BA1-2274-4680-8A91-FFA27B6292BF}"/>
    <cellStyle name="Percent135" xfId="913" xr:uid="{EA71F618-D234-4C88-AC2B-8F22206DAF95}"/>
    <cellStyle name="Percent136" xfId="914" xr:uid="{70320B45-B7A3-4B08-878D-3048AD42E029}"/>
    <cellStyle name="Percent137" xfId="915" xr:uid="{19BA2CC4-0EFB-403C-8CB5-1B3602590B3A}"/>
    <cellStyle name="Percent138" xfId="916" xr:uid="{EBF3C7C9-ACC3-48D6-A31E-108331B48523}"/>
    <cellStyle name="Percent139" xfId="917" xr:uid="{0152F8F4-5D75-4C61-8660-CFC06C911B9D}"/>
    <cellStyle name="Percent14" xfId="918" xr:uid="{4534EC1E-1C63-40D0-959A-3F50A1065951}"/>
    <cellStyle name="Percent140" xfId="919" xr:uid="{6CDE9961-D973-4649-921F-F509812FD091}"/>
    <cellStyle name="Percent141" xfId="920" xr:uid="{5AC5EFF1-3C83-428F-A048-CAEF1B9129C9}"/>
    <cellStyle name="Percent142" xfId="921" xr:uid="{F9253424-EF3F-42E0-A4C0-1D2F646C993E}"/>
    <cellStyle name="Percent143" xfId="922" xr:uid="{05782A30-501D-45B6-B886-DF5EF6810147}"/>
    <cellStyle name="Percent144" xfId="923" xr:uid="{5632D1AB-62A1-4577-A36F-5BFD2B8674B3}"/>
    <cellStyle name="Percent145" xfId="924" xr:uid="{CB7B4F32-4B6B-4AAC-9455-0F5835E2E4E6}"/>
    <cellStyle name="Percent146" xfId="925" xr:uid="{BA9EEAAB-B4CC-4CDF-BB70-FD812EBC6E86}"/>
    <cellStyle name="Percent147" xfId="926" xr:uid="{FF6DB167-6790-4060-BBBC-73DFC9DF6934}"/>
    <cellStyle name="Percent148" xfId="927" xr:uid="{212EB5FC-3455-44E6-8066-70DD35521F9A}"/>
    <cellStyle name="Percent149" xfId="928" xr:uid="{46B62B4B-A448-4D2C-B05A-8BAB68ABCE0C}"/>
    <cellStyle name="Percent15" xfId="929" xr:uid="{9A25DCAE-EDE5-4E4E-8E6F-A76B74231B28}"/>
    <cellStyle name="Percent150" xfId="930" xr:uid="{47E51AC3-4B1E-4F22-81CA-4E13DABA005F}"/>
    <cellStyle name="Percent151" xfId="931" xr:uid="{9798190D-BB8D-4534-A84A-ED89D1E43F3D}"/>
    <cellStyle name="Percent152" xfId="932" xr:uid="{F65335F6-DB74-4F58-B35E-15DB66EE6BD3}"/>
    <cellStyle name="Percent153" xfId="933" xr:uid="{3C16ED19-A409-4081-8FC8-77059CFFB65E}"/>
    <cellStyle name="Percent154" xfId="934" xr:uid="{D414993C-19FA-4158-8A69-BEC9347739C3}"/>
    <cellStyle name="Percent155" xfId="935" xr:uid="{71E62441-15E4-43B0-8F2D-BA21FD4FF6C7}"/>
    <cellStyle name="Percent156" xfId="936" xr:uid="{46F923E9-9151-4ECA-9D05-05E5151F728F}"/>
    <cellStyle name="Percent157" xfId="937" xr:uid="{B2DA871D-BCE1-4F1C-9F08-C04A2407BF41}"/>
    <cellStyle name="Percent158" xfId="938" xr:uid="{2CB4C8EA-F961-4B12-AE0F-275FEA64AF38}"/>
    <cellStyle name="Percent159" xfId="939" xr:uid="{792BF5F1-033E-4634-82E3-2EFE33C612F2}"/>
    <cellStyle name="Percent16" xfId="940" xr:uid="{1EFE149D-AC07-43AE-A4B4-B953C1721B29}"/>
    <cellStyle name="Percent160" xfId="941" xr:uid="{F8328EDE-6445-4834-BBF3-41717B97BADA}"/>
    <cellStyle name="Percent161" xfId="942" xr:uid="{6D3F2F0B-0F89-4507-9C1E-130A25A29CF7}"/>
    <cellStyle name="Percent162" xfId="943" xr:uid="{6E9C1AB9-9A80-4B36-A34A-FA3B0236EFEF}"/>
    <cellStyle name="Percent163" xfId="944" xr:uid="{BE84D22F-E808-4F96-A84D-06B8013C15E5}"/>
    <cellStyle name="Percent164" xfId="945" xr:uid="{66EFC706-CF56-4E84-A0E1-6BA8BCE1E46A}"/>
    <cellStyle name="Percent165" xfId="946" xr:uid="{D98CA511-0A5F-4E74-95D8-843E8F4F0F6A}"/>
    <cellStyle name="Percent166" xfId="947" xr:uid="{706F2F34-5AF3-4287-A6BD-78CBAE5C9928}"/>
    <cellStyle name="Percent167" xfId="948" xr:uid="{C4E0A1D7-84F2-46F2-9150-882ADBD598F6}"/>
    <cellStyle name="Percent168" xfId="949" xr:uid="{73A49DD9-6100-4296-A955-281516224896}"/>
    <cellStyle name="Percent169" xfId="950" xr:uid="{EBB13FAA-9661-42B6-8252-F2DA3FAE7DD4}"/>
    <cellStyle name="Percent17" xfId="951" xr:uid="{51BDA518-551B-448A-8783-931F70E14E5F}"/>
    <cellStyle name="Percent170" xfId="952" xr:uid="{BA150769-D0E1-4C4C-B357-8704C7B52CC2}"/>
    <cellStyle name="Percent171" xfId="953" xr:uid="{F825DEF8-165B-4FAC-9B0A-2EBBF1D2533E}"/>
    <cellStyle name="Percent172" xfId="954" xr:uid="{C944C836-A0EE-452A-BBD3-D03105E7EE66}"/>
    <cellStyle name="Percent173" xfId="955" xr:uid="{774A0531-1536-4E16-B5AC-F513719BA8E3}"/>
    <cellStyle name="Percent174" xfId="956" xr:uid="{A3D80577-1B61-46F3-A559-3D1B7DB0104C}"/>
    <cellStyle name="Percent175" xfId="957" xr:uid="{07FBEF6C-73A0-424A-BA26-2404E38F5843}"/>
    <cellStyle name="Percent176" xfId="958" xr:uid="{5B9088DD-B9B7-4F6A-BE3D-15343C8C3F95}"/>
    <cellStyle name="Percent177" xfId="959" xr:uid="{E66141ED-5CD2-4DD6-ADFA-14C0E674D863}"/>
    <cellStyle name="Percent178" xfId="960" xr:uid="{2E5BCCF4-1ACE-43BF-8971-F49813166C5C}"/>
    <cellStyle name="Percent179" xfId="961" xr:uid="{C2CAE51D-8A68-4B2C-AAC3-253D82797C6C}"/>
    <cellStyle name="Percent18" xfId="962" xr:uid="{6B7B0982-BF04-4F7D-BEA6-771C6E755B20}"/>
    <cellStyle name="Percent180" xfId="963" xr:uid="{0A09C17B-A1DB-4CF6-AF84-B6F88CC4D3AA}"/>
    <cellStyle name="Percent181" xfId="964" xr:uid="{8CC7D6D4-DCA9-4342-835D-5409950E8313}"/>
    <cellStyle name="Percent182" xfId="965" xr:uid="{AD37B12A-ADFB-45E6-B90B-2DB731811D3E}"/>
    <cellStyle name="Percent183" xfId="966" xr:uid="{44654B83-368A-421D-A288-0AEA7544AD08}"/>
    <cellStyle name="Percent184" xfId="967" xr:uid="{6367C296-DAD3-4806-B0D5-9608A1005765}"/>
    <cellStyle name="Percent185" xfId="968" xr:uid="{28771504-D9C0-472D-8704-B4E9586DA8F8}"/>
    <cellStyle name="Percent186" xfId="969" xr:uid="{BEB53AC9-8E1C-42EC-94FE-1C08C1B7612C}"/>
    <cellStyle name="Percent187" xfId="970" xr:uid="{842CB6A2-189E-48C4-916D-9480FDD6050A}"/>
    <cellStyle name="Percent188" xfId="971" xr:uid="{DEDC6B55-688F-40B4-8E3A-61D7496420AA}"/>
    <cellStyle name="Percent189" xfId="972" xr:uid="{62519858-10D8-4F99-A031-835118CE1CCC}"/>
    <cellStyle name="Percent19" xfId="973" xr:uid="{3ADA0EEF-E85B-4D10-9DDF-AAECE730E2D0}"/>
    <cellStyle name="Percent190" xfId="974" xr:uid="{5AD675A9-2A35-4D6B-8F2A-99F94E429A21}"/>
    <cellStyle name="Percent191" xfId="975" xr:uid="{070B5E1E-5589-4C9F-928C-FAEAF83EFD4F}"/>
    <cellStyle name="Percent192" xfId="976" xr:uid="{53BC649C-B53B-4C6D-B600-967A13F1638A}"/>
    <cellStyle name="Percent193" xfId="977" xr:uid="{17732524-3FB9-4C36-97BC-87E4DF6A58B9}"/>
    <cellStyle name="Percent194" xfId="978" xr:uid="{9EC2C076-D84D-4B1F-98C1-D66DFFD41E00}"/>
    <cellStyle name="Percent195" xfId="979" xr:uid="{F17404B8-2FC8-4EEA-815A-6176C4885027}"/>
    <cellStyle name="Percent196" xfId="980" xr:uid="{15E76DF5-4A7A-4DA2-BCC8-B753C5DEF353}"/>
    <cellStyle name="Percent197" xfId="981" xr:uid="{732492DC-BB94-48D1-BE96-237162F3FC8D}"/>
    <cellStyle name="Percent198" xfId="982" xr:uid="{B3983F73-B5FE-4FF3-8311-11F0C7AC953F}"/>
    <cellStyle name="Percent199" xfId="983" xr:uid="{EA0D324E-84D5-4DBA-A2A5-7E496B56C521}"/>
    <cellStyle name="Percent1Bold" xfId="984" xr:uid="{3333B520-5665-4FE7-BAB2-2CB0E7387B5A}"/>
    <cellStyle name="Percent2" xfId="985" xr:uid="{9F4C8B5F-CB25-4FC7-9922-10719A266F0D}"/>
    <cellStyle name="Percent20" xfId="986" xr:uid="{0F34E686-B226-408A-A648-88B9F1832D5F}"/>
    <cellStyle name="Percent200" xfId="987" xr:uid="{76E8F517-E874-4AC2-93DC-C9F094D7756D}"/>
    <cellStyle name="Percent201" xfId="988" xr:uid="{F0D8FF88-0FD3-4F94-9D9B-16A9547F8DD0}"/>
    <cellStyle name="Percent202" xfId="989" xr:uid="{A12CFFF7-0936-490C-BD3B-F6BCDAC43EC7}"/>
    <cellStyle name="Percent203" xfId="990" xr:uid="{D780EE67-29DA-41E5-AF78-E3F40C6248AD}"/>
    <cellStyle name="Percent204" xfId="991" xr:uid="{9A0402B2-A4CA-4ABB-A544-F3EA515D92AE}"/>
    <cellStyle name="Percent205" xfId="992" xr:uid="{CBA93E1E-6005-4933-9CB9-4150384E107B}"/>
    <cellStyle name="Percent206" xfId="993" xr:uid="{83347E9C-D32F-4350-901F-02B3D5872730}"/>
    <cellStyle name="Percent207" xfId="994" xr:uid="{76AB3637-2398-4D91-B785-A3B856E6E75E}"/>
    <cellStyle name="Percent208" xfId="995" xr:uid="{0D7B8815-EF0B-412C-85A8-CC869CBD7F65}"/>
    <cellStyle name="Percent209" xfId="996" xr:uid="{D091C0AC-F456-48D9-BF17-85C71653F679}"/>
    <cellStyle name="Percent21" xfId="997" xr:uid="{1132DF33-3B2F-4248-8795-091AE43CA7B0}"/>
    <cellStyle name="Percent210" xfId="998" xr:uid="{D782AEF2-C3DF-4077-A266-DE638B60F3D2}"/>
    <cellStyle name="Percent211" xfId="999" xr:uid="{819A22C5-24F0-4C51-912C-B860748655D4}"/>
    <cellStyle name="Percent212" xfId="1000" xr:uid="{7164A0D4-DB96-4507-A318-F0C58B3A8022}"/>
    <cellStyle name="Percent213" xfId="1001" xr:uid="{06D09510-B5EA-4926-AC52-5FA59335D367}"/>
    <cellStyle name="Percent214" xfId="1002" xr:uid="{E11C9C03-F56B-411E-9645-FC72B285E68A}"/>
    <cellStyle name="Percent215" xfId="1003" xr:uid="{001AE11E-3988-4D80-91C4-DBB141448A48}"/>
    <cellStyle name="Percent216" xfId="1004" xr:uid="{604331B7-B1DF-4CCD-BD2E-6B0E1B7D705D}"/>
    <cellStyle name="Percent217" xfId="1005" xr:uid="{6E330A00-3156-4F38-AB6A-1E747322C20C}"/>
    <cellStyle name="Percent218" xfId="1006" xr:uid="{85419D21-06E4-4748-906F-41676E690F7A}"/>
    <cellStyle name="Percent219" xfId="1007" xr:uid="{96F62F43-7A01-4D62-A342-589A446EEB93}"/>
    <cellStyle name="Percent22" xfId="1008" xr:uid="{7CF7D2B0-81D5-4762-988D-D9133946A526}"/>
    <cellStyle name="Percent220" xfId="1009" xr:uid="{CC155742-50E9-420B-93AF-7EB39BB386B4}"/>
    <cellStyle name="Percent221" xfId="1010" xr:uid="{70FF6498-A30B-4885-B041-4BD6A87BB226}"/>
    <cellStyle name="Percent222" xfId="1011" xr:uid="{5651390E-8BFA-4ED7-B6A5-07E568E97667}"/>
    <cellStyle name="Percent223" xfId="1012" xr:uid="{C950945C-69FC-4AC0-BC82-0CDF940DBEFB}"/>
    <cellStyle name="Percent224" xfId="1013" xr:uid="{F55DEAEF-A4F5-4DCE-A7B5-520C6EFDBB52}"/>
    <cellStyle name="Percent225" xfId="1014" xr:uid="{5E51B22A-4CF4-4216-B910-2DDA8CFFA7E0}"/>
    <cellStyle name="Percent226" xfId="1015" xr:uid="{8E3A8C2D-D142-4B88-8B81-31622677C2F4}"/>
    <cellStyle name="Percent227" xfId="1016" xr:uid="{54BD7803-8216-4E26-937A-2CA1E13ABD42}"/>
    <cellStyle name="Percent228" xfId="1017" xr:uid="{F2B034B7-CAB6-4279-A8E7-BDC567F6BD31}"/>
    <cellStyle name="Percent229" xfId="1018" xr:uid="{15D6F3FC-0C22-4EC7-AD44-E4B0D03DFBF7}"/>
    <cellStyle name="Percent23" xfId="1019" xr:uid="{2FD96EB4-D1A0-4480-A472-268E9AA01F46}"/>
    <cellStyle name="Percent230" xfId="1020" xr:uid="{96064528-A12B-4BBC-BA2B-A18701676A55}"/>
    <cellStyle name="Percent231" xfId="1021" xr:uid="{644A86BF-A97B-4E66-81CB-CEB0D33BFA01}"/>
    <cellStyle name="Percent232" xfId="1022" xr:uid="{F956987F-AE35-4F53-9327-9341E1391A59}"/>
    <cellStyle name="Percent233" xfId="1023" xr:uid="{C6FDFCC4-5399-44A0-B743-84FBB79B16D3}"/>
    <cellStyle name="Percent234" xfId="1024" xr:uid="{F6F017C7-597D-447B-9041-D976AF630849}"/>
    <cellStyle name="Percent235" xfId="1025" xr:uid="{67059D42-84D3-4DBD-B61F-2D725068E820}"/>
    <cellStyle name="Percent236" xfId="1026" xr:uid="{96959209-ED68-43F4-A3BC-1F28E3EBBCFF}"/>
    <cellStyle name="Percent24" xfId="1027" xr:uid="{F1063E82-5184-47AE-A405-D8C5747F0944}"/>
    <cellStyle name="Percent25" xfId="1028" xr:uid="{C7225677-AA3E-4708-B499-386D90A70E59}"/>
    <cellStyle name="Percent26" xfId="1029" xr:uid="{9D20F8D6-0FD0-4CE3-A3E6-CF3B45C08338}"/>
    <cellStyle name="Percent27" xfId="1030" xr:uid="{FC6BCA29-B26D-4A47-BF9E-110C6B1E0D68}"/>
    <cellStyle name="Percent28" xfId="1031" xr:uid="{58A3CF64-B101-48BD-BF28-AAD59C80665A}"/>
    <cellStyle name="Percent29" xfId="1032" xr:uid="{49BD7EB5-372D-4466-BCFD-2F86328072EE}"/>
    <cellStyle name="Percent3" xfId="1033" xr:uid="{AE04A635-1933-468B-B55F-71A53B9833F0}"/>
    <cellStyle name="Percent30" xfId="1034" xr:uid="{0103AD1C-A84E-4160-96B7-11F3757EDA5E}"/>
    <cellStyle name="Percent31" xfId="1035" xr:uid="{01B85F6C-95E4-469A-B681-E137DB23DBEE}"/>
    <cellStyle name="Percent32" xfId="1036" xr:uid="{5AB7A1E8-7367-497B-B07D-CDE4B9FD21E5}"/>
    <cellStyle name="Percent33" xfId="1037" xr:uid="{AA814A11-3108-4FBE-88C9-8C65FB25C1BE}"/>
    <cellStyle name="Percent34" xfId="1038" xr:uid="{B7285D83-CD3C-41BD-B9CE-71C967224476}"/>
    <cellStyle name="Percent35" xfId="1039" xr:uid="{365F7299-B453-433D-B346-90987FFA86CB}"/>
    <cellStyle name="Percent36" xfId="1040" xr:uid="{A7B21C24-EBF9-440E-9F7C-9D47025A6D71}"/>
    <cellStyle name="Percent37" xfId="1041" xr:uid="{907BDA3A-DE81-49B9-8710-25247FE95A39}"/>
    <cellStyle name="Percent38" xfId="1042" xr:uid="{90907644-CC59-4B14-892B-B86F3D169D90}"/>
    <cellStyle name="Percent39" xfId="1043" xr:uid="{8822B86E-10A4-485F-89DB-D69CB6F1503B}"/>
    <cellStyle name="Percent4" xfId="1044" xr:uid="{0D9BEB6C-3046-46C8-AB32-6F42526C1CD2}"/>
    <cellStyle name="Percent40" xfId="1045" xr:uid="{5E6E3641-7940-4D03-92DB-C8CC367E6399}"/>
    <cellStyle name="Percent41" xfId="1046" xr:uid="{BDD8CFB7-695D-4EEF-BFFB-29EBFB9D59C9}"/>
    <cellStyle name="Percent42" xfId="1047" xr:uid="{791C4116-CC65-42E9-B97D-7A3D39F0EDC1}"/>
    <cellStyle name="Percent43" xfId="1048" xr:uid="{626993F6-5512-40FF-B7E0-86DEECC71D8B}"/>
    <cellStyle name="Percent44" xfId="1049" xr:uid="{3C5972D9-54A1-4DD8-8B2D-708159EE4814}"/>
    <cellStyle name="Percent45" xfId="1050" xr:uid="{E51D396C-0254-4669-80BD-9E4B9036828E}"/>
    <cellStyle name="Percent46" xfId="1051" xr:uid="{0A2512E7-B1E0-43CE-818A-4969B66D21AA}"/>
    <cellStyle name="Percent47" xfId="1052" xr:uid="{A54140A3-58DC-464F-961D-090EAD3BC2AA}"/>
    <cellStyle name="Percent48" xfId="1053" xr:uid="{7BC287B2-965C-4F3E-B683-EAC7690B3C7D}"/>
    <cellStyle name="Percent49" xfId="1054" xr:uid="{4FCFE610-2CF3-4E08-A4EC-77BC928DAC59}"/>
    <cellStyle name="Percent5" xfId="1055" xr:uid="{E152CFA0-F2EA-4280-B3D3-EA44612C4546}"/>
    <cellStyle name="Percent50" xfId="1056" xr:uid="{115AB428-BDE9-4EC8-A141-476C828F02B1}"/>
    <cellStyle name="Percent51" xfId="1057" xr:uid="{81AC0315-6A84-4FC2-B065-257CED4D87F9}"/>
    <cellStyle name="Percent52" xfId="1058" xr:uid="{7432E439-3A46-4EE3-B324-428FC9D06EEA}"/>
    <cellStyle name="Percent53" xfId="1059" xr:uid="{652C73A7-D79C-4D91-9B5F-F6E948B45529}"/>
    <cellStyle name="Percent54" xfId="1060" xr:uid="{62C50566-C3F8-4009-AC07-0B41292E3243}"/>
    <cellStyle name="Percent55" xfId="1061" xr:uid="{FC120E1E-3458-47F2-B48C-53869712E6BE}"/>
    <cellStyle name="Percent56" xfId="1062" xr:uid="{44D32315-CFDC-4CB4-A91A-2E8B14E8D130}"/>
    <cellStyle name="Percent57" xfId="1063" xr:uid="{FCFD1F54-9ED4-4092-9F3E-C5C38067BD7A}"/>
    <cellStyle name="Percent58" xfId="1064" xr:uid="{5EC9E673-1754-48C6-8062-74A06E80B665}"/>
    <cellStyle name="Percent59" xfId="1065" xr:uid="{3815846E-F9CD-4A32-92A6-0B9EFFC81796}"/>
    <cellStyle name="Percent6" xfId="1066" xr:uid="{25546048-F5DC-4E42-82F2-6090F7A5AF5D}"/>
    <cellStyle name="Percent60" xfId="1067" xr:uid="{79532A97-5FFE-4D19-B8E4-9E840BE3AE31}"/>
    <cellStyle name="Percent61" xfId="1068" xr:uid="{1BD9CE80-36F2-40AF-8C0B-6DE61FFFA990}"/>
    <cellStyle name="Percent62" xfId="1069" xr:uid="{1AA5F0F1-7F2C-4F71-979B-7C236B2B44A0}"/>
    <cellStyle name="Percent63" xfId="1070" xr:uid="{BB6C0700-4425-4660-B5E2-00F9762AC320}"/>
    <cellStyle name="Percent64" xfId="1071" xr:uid="{02452CAC-6720-439D-A99B-6BE6ECD9073F}"/>
    <cellStyle name="Percent65" xfId="1072" xr:uid="{A878E13B-96A2-43E7-93B0-225FFE3B4F95}"/>
    <cellStyle name="Percent66" xfId="1073" xr:uid="{07E47270-43D1-4944-9B6E-1BE31523CA0A}"/>
    <cellStyle name="Percent67" xfId="1074" xr:uid="{660D9DFA-1DED-4C16-8828-BA8144F40C4C}"/>
    <cellStyle name="Percent68" xfId="1075" xr:uid="{FC694B32-CE83-4E12-8884-64A930EDD2AE}"/>
    <cellStyle name="Percent69" xfId="1076" xr:uid="{DE6C3CA3-0E14-4C42-B854-202DB87FBDFD}"/>
    <cellStyle name="Percent7" xfId="1077" xr:uid="{3853375E-E165-49D8-8EF3-07E586AFCFDF}"/>
    <cellStyle name="Percent70" xfId="1078" xr:uid="{096D61A4-F871-4765-9B4B-2CB31F164166}"/>
    <cellStyle name="Percent71" xfId="1079" xr:uid="{BD7A388D-5F03-4E49-83B6-4409AE47AAF3}"/>
    <cellStyle name="Percent72" xfId="1080" xr:uid="{796A6EC7-0D3D-4A90-A2E1-E465A29AA8D2}"/>
    <cellStyle name="Percent73" xfId="1081" xr:uid="{35D8B3D5-F7EF-4D6E-8887-75254E027494}"/>
    <cellStyle name="Percent74" xfId="1082" xr:uid="{827482B6-03B8-4689-A2EC-57A826727814}"/>
    <cellStyle name="Percent75" xfId="1083" xr:uid="{993D31AC-745C-435F-9A4F-CAA3B74B995B}"/>
    <cellStyle name="Percent76" xfId="1084" xr:uid="{F3A1F7E7-1073-44CE-AD48-1F5596F69409}"/>
    <cellStyle name="Percent77" xfId="1085" xr:uid="{302E6E54-F3F0-4814-AA41-AF80BB3DBA91}"/>
    <cellStyle name="Percent78" xfId="1086" xr:uid="{86537094-2388-4F23-BA99-9CF4965111C4}"/>
    <cellStyle name="Percent79" xfId="1087" xr:uid="{F3F70A01-11D5-48E1-B11B-6CADF651C5B8}"/>
    <cellStyle name="Percent8" xfId="1088" xr:uid="{C7D880DB-B85C-4D57-BD9D-D08C810307AA}"/>
    <cellStyle name="Percent80" xfId="1089" xr:uid="{D9E274AF-8010-4F3E-8C8E-C45DC98D6F87}"/>
    <cellStyle name="Percent81" xfId="1090" xr:uid="{67F33395-655C-40A3-B1D6-5A9CCC9D8BC0}"/>
    <cellStyle name="Percent82" xfId="1091" xr:uid="{A43FC53B-2944-43CE-B883-AAE1D5269DDF}"/>
    <cellStyle name="Percent83" xfId="1092" xr:uid="{023EF5E4-4C29-4BA8-8C56-8D4D8D905FD8}"/>
    <cellStyle name="Percent84" xfId="1093" xr:uid="{18BE7E51-56A9-4C1B-9FDC-5AC2C67100F1}"/>
    <cellStyle name="Percent85" xfId="1094" xr:uid="{9709B726-1222-4853-BA20-50B31826E3DA}"/>
    <cellStyle name="Percent86" xfId="1095" xr:uid="{30BE8441-45E9-47DF-A02E-B36ADAB859C5}"/>
    <cellStyle name="Percent87" xfId="1096" xr:uid="{47713507-74F8-41E5-914E-F07A4E97B08B}"/>
    <cellStyle name="Percent88" xfId="1097" xr:uid="{7B248881-25DF-4BC1-82C5-A5C21CEC6F14}"/>
    <cellStyle name="Percent89" xfId="1098" xr:uid="{5180CF2E-0DD6-4483-9659-972C2EBE90F0}"/>
    <cellStyle name="Percent9" xfId="1099" xr:uid="{97CE0B58-AD88-4C51-8DB9-9CAF5A8449AC}"/>
    <cellStyle name="Percent90" xfId="1100" xr:uid="{6CD7FA02-DC30-4278-B287-1355612E6709}"/>
    <cellStyle name="Percent91" xfId="1101" xr:uid="{3D7ACE5B-2778-4F41-BA53-E4D461BFB8FB}"/>
    <cellStyle name="Percent92" xfId="1102" xr:uid="{3535BD98-534E-4E41-8E84-656293225B80}"/>
    <cellStyle name="Percent93" xfId="1103" xr:uid="{7D2AC550-DBFB-40F0-A62C-3E225CFD4A57}"/>
    <cellStyle name="Percent94" xfId="1104" xr:uid="{913B8298-EEE6-44B8-8A4B-F2A42852BDFE}"/>
    <cellStyle name="Percent95" xfId="1105" xr:uid="{8D14A09C-219D-4A37-85D9-68EA97137CBF}"/>
    <cellStyle name="Percent96" xfId="1106" xr:uid="{6003B7F9-0150-4E6D-89FA-978DB3C4A7AF}"/>
    <cellStyle name="Percent97" xfId="1107" xr:uid="{3CF583C5-0CAC-4BC0-8D27-7D7AF1147916}"/>
    <cellStyle name="Percent98" xfId="1108" xr:uid="{C3E48E1B-76DC-4E2E-B25A-F5D50DC59640}"/>
    <cellStyle name="Percent99" xfId="1109" xr:uid="{9977F46C-FD2C-4735-A35D-B2750DAB7A8A}"/>
    <cellStyle name="Percentage" xfId="1110" xr:uid="{7B832FBA-B8CF-43C9-8BA1-CFDAE0C28011}"/>
    <cellStyle name="PercentStyle" xfId="1111" xr:uid="{EC2FED99-A808-494C-9EC2-9D193B5F24C3}"/>
    <cellStyle name="PrePop Currency (0)" xfId="1112" xr:uid="{C8A9339A-D570-43C8-8DA2-C4CE58E3788A}"/>
    <cellStyle name="PrePop Currency (2)" xfId="1113" xr:uid="{BE5F5AC0-BF61-460B-B95D-99229BA90CBE}"/>
    <cellStyle name="PrePop Units (0)" xfId="1114" xr:uid="{A803102A-E745-41DA-B86F-CF640A528E8C}"/>
    <cellStyle name="PrePop Units (1)" xfId="1115" xr:uid="{86B20D3A-78C4-42F4-ACDC-75193AB25021}"/>
    <cellStyle name="PrePop Units (2)" xfId="1116" xr:uid="{2E62CFF3-C723-4EFB-BEF8-8FC2C262F05F}"/>
    <cellStyle name="Price" xfId="1117" xr:uid="{630AD142-135E-4417-B48D-06D9B47F813B}"/>
    <cellStyle name="Product Header" xfId="1118" xr:uid="{B5F396AB-D321-483A-9084-A1F80E814C72}"/>
    <cellStyle name="PSChar" xfId="1119" xr:uid="{9D435BF4-5AB9-423F-A831-103D49ACB817}"/>
    <cellStyle name="PSDate" xfId="1120" xr:uid="{1A165055-0B59-4C21-BE81-A2AF7D8F1A8C}"/>
    <cellStyle name="PSDec" xfId="1121" xr:uid="{26D1D207-502A-4A1E-8F51-08D52DC7A27C}"/>
    <cellStyle name="PSHeading" xfId="1122" xr:uid="{12844229-7F26-400C-B21B-4BDA3706D853}"/>
    <cellStyle name="PSInt" xfId="1123" xr:uid="{72612E0B-0011-4CFC-A2F6-A90158C98656}"/>
    <cellStyle name="PSSpacer" xfId="1124" xr:uid="{67271779-247E-4128-B074-300ABE7113FC}"/>
    <cellStyle name="r" xfId="1125" xr:uid="{5EE4167A-9F14-4214-925D-AE1008C8D6BA}"/>
    <cellStyle name="r_F&amp;W Servicing Model" xfId="1126" xr:uid="{259AB5D1-4B13-4284-8408-ACB8A2DF64AA}"/>
    <cellStyle name="r_F&amp;W Servicing Model v2" xfId="1127" xr:uid="{440F6024-752B-4671-BD95-AA5FFCF4B466}"/>
    <cellStyle name="r_Yell Servicing Model" xfId="1128" xr:uid="{400C3543-92C9-4E56-983F-482627C3D50D}"/>
    <cellStyle name="rate" xfId="1129" xr:uid="{884544CD-82B6-4D12-8EF5-6B5DE88E44F0}"/>
    <cellStyle name="Ratio" xfId="1130" xr:uid="{3F4C3F0F-465D-4A17-8128-2B5707770010}"/>
    <cellStyle name="Ratio Comma" xfId="1131" xr:uid="{B1520C57-8A6D-40F9-BA5A-156264AAC68A}"/>
    <cellStyle name="Ratio_Private" xfId="1132" xr:uid="{EC196DE1-DED5-4EA5-A5E3-94E245A07A2D}"/>
    <cellStyle name="regstoresfromspecstores" xfId="1133" xr:uid="{3C374D0D-7806-4B8D-A612-8D921DB0322E}"/>
    <cellStyle name="RevList" xfId="1134" xr:uid="{8910B712-4047-4086-99B2-FB0A4648B7B8}"/>
    <cellStyle name="Right" xfId="1135" xr:uid="{C03A5E12-2178-402E-B6C5-7665B27EF388}"/>
    <cellStyle name="RightBold" xfId="1136" xr:uid="{533EE6A6-1A1B-46CB-A898-82A80A5FC7DA}"/>
    <cellStyle name="RightBoldBottomRule" xfId="1137" xr:uid="{18919CA5-B983-4947-AD5E-BBD2C72974C3}"/>
    <cellStyle name="RightBoldCenterRule" xfId="1138" xr:uid="{5008A4DF-3C8B-4DBD-AC78-B7E13EBBDBFA}"/>
    <cellStyle name="Section" xfId="1139" xr:uid="{225A0B7D-6AE3-4DC5-BE1D-D2AE6FB2F31E}"/>
    <cellStyle name="SectionHeaderNormal" xfId="1140" xr:uid="{87D0F3F9-97AB-44C4-83A4-38C5ED77FFE4}"/>
    <cellStyle name="SHADEDSTORES" xfId="1141" xr:uid="{62A9A13C-0EE6-487A-8B6B-FE28D2D8DB77}"/>
    <cellStyle name="Short $" xfId="1142" xr:uid="{0BC2378B-2F3C-4228-8530-1749A96F3680}"/>
    <cellStyle name="ShOut" xfId="1143" xr:uid="{B91D3CE7-BDCC-42AA-BD61-C24E7040C0DA}"/>
    <cellStyle name="Simple" xfId="1144" xr:uid="{C833A7B4-B8D1-4DA3-A77E-9A180E74D67D}"/>
    <cellStyle name="SimpleBold" xfId="1145" xr:uid="{38EA10C7-0A3B-4761-845F-837B39BB06B3}"/>
    <cellStyle name="Single Accounting" xfId="1146" xr:uid="{49C2CDEB-65B5-4B17-9CDF-08B41E6A9CC4}"/>
    <cellStyle name="specstores" xfId="1147" xr:uid="{AA523439-DAF5-4996-8DBC-594A923F8F42}"/>
    <cellStyle name="Stock Comma" xfId="1148" xr:uid="{49D34386-0E31-41E8-97E6-26BEF7D86C01}"/>
    <cellStyle name="Stock Price" xfId="1149" xr:uid="{D9DAE51A-0275-41B6-A97F-BFD5CF51974A}"/>
    <cellStyle name="Style 1" xfId="1150" xr:uid="{91AC8C89-A281-48A5-B250-08594C8B6A6F}"/>
    <cellStyle name="Style 21" xfId="1151" xr:uid="{6E01BD63-7A18-4BAB-AAE5-03785A437669}"/>
    <cellStyle name="Style 22" xfId="1152" xr:uid="{FA840897-36CF-4A25-BEA5-6D749061CCE5}"/>
    <cellStyle name="Style 23" xfId="1153" xr:uid="{1F4BF174-D0D3-483A-A0D2-248B39645B48}"/>
    <cellStyle name="Style 24" xfId="1154" xr:uid="{F580D9A2-436E-495C-A718-0827B980302A}"/>
    <cellStyle name="Style 25" xfId="1155" xr:uid="{0399AFDD-C629-4F63-90C6-7AB9203E2493}"/>
    <cellStyle name="Style 26" xfId="1156" xr:uid="{E8B647CA-2A09-4F1D-8E50-5891EF342CB5}"/>
    <cellStyle name="Style 27" xfId="1157" xr:uid="{E16E1265-B6F0-4C7A-87F7-86BF79A40C46}"/>
    <cellStyle name="Style 28" xfId="1158" xr:uid="{023CC941-E4AC-4F16-A560-4D9D35A49324}"/>
    <cellStyle name="Style 29" xfId="1159" xr:uid="{E989B705-0513-4658-BE75-F4181B16DBCD}"/>
    <cellStyle name="Style 30" xfId="1160" xr:uid="{3ECF5F5B-C399-4804-B19D-5F98DE584225}"/>
    <cellStyle name="Style 31" xfId="1161" xr:uid="{61A8CAC4-0CFC-4ADF-9BAF-01EC05F1893B}"/>
    <cellStyle name="Style 32" xfId="1162" xr:uid="{C56B1567-F949-4F85-A313-5030E7A02489}"/>
    <cellStyle name="Style 33" xfId="1163" xr:uid="{E9CFE83C-6657-4B0D-92B2-76FF55DC91A6}"/>
    <cellStyle name="Style 34" xfId="1164" xr:uid="{B1CF34A1-6332-4F9E-BDF6-6FC3C0668230}"/>
    <cellStyle name="Style 35" xfId="1165" xr:uid="{0479F5E0-EA8D-479B-B376-7585A27D6D72}"/>
    <cellStyle name="Style 36" xfId="1166" xr:uid="{5F3C495F-70CC-423F-8A58-1DEA04578EA7}"/>
    <cellStyle name="Style 37" xfId="1167" xr:uid="{337C8C67-6EB2-4CBD-8FC6-F1AB529F7CDF}"/>
    <cellStyle name="Style 38" xfId="1168" xr:uid="{CA7581E5-22ED-4634-BDDE-4D142A2A7647}"/>
    <cellStyle name="Style 39" xfId="1169" xr:uid="{F5686AFC-DC10-4703-9954-68C3F4603499}"/>
    <cellStyle name="Style 40" xfId="1170" xr:uid="{7519FBEB-CD3C-4B2E-A965-11CBFCAA0422}"/>
    <cellStyle name="Style 41" xfId="1171" xr:uid="{685319EE-00E4-43BE-BB2E-C08AC7EA68FA}"/>
    <cellStyle name="Style 42" xfId="1172" xr:uid="{B54641C0-D916-408F-B8AD-219226E559F1}"/>
    <cellStyle name="Style 43" xfId="1173" xr:uid="{C43D4375-8CD1-4B2C-9993-C90539BF0544}"/>
    <cellStyle name="Style 44" xfId="1174" xr:uid="{80813E9E-3523-4EEA-97FB-A905E086683D}"/>
    <cellStyle name="Style 45" xfId="1175" xr:uid="{AFA96231-E224-439D-8282-9B3C4F165D0F}"/>
    <cellStyle name="Style 46" xfId="1176" xr:uid="{A0F4E4AA-01C5-49D9-B983-CFB86B1D8179}"/>
    <cellStyle name="Style 47" xfId="1177" xr:uid="{9CBC4C1C-8FBD-454E-A65E-7E563D76DE2C}"/>
    <cellStyle name="Style 48" xfId="1178" xr:uid="{3DE0C0D5-22B0-4C8B-8A6B-D3F461515F4F}"/>
    <cellStyle name="STYLE1" xfId="1179" xr:uid="{7827F6E8-31F8-4A12-91F2-AD2DBEA35A43}"/>
    <cellStyle name="SubScript" xfId="1180" xr:uid="{4035F1F0-CA75-40B2-A8A3-7A01B04EB75C}"/>
    <cellStyle name="Subtotal" xfId="1181" xr:uid="{47B4BAB9-EBC9-4C28-BA9F-B45C9B8730ED}"/>
    <cellStyle name="Sum" xfId="1182" xr:uid="{E8885482-1EEC-4C94-A86D-C03247A0CA80}"/>
    <cellStyle name="SuperScript" xfId="1183" xr:uid="{2A1CC5CD-6390-48B9-A688-6E27387844F9}"/>
    <cellStyle name="Table_Title" xfId="1184" xr:uid="{655C688E-6CFC-474D-9199-82A60FB1D4C9}"/>
    <cellStyle name="Test" xfId="1185" xr:uid="{456A8EC6-5192-42C5-BF65-2985037222DB}"/>
    <cellStyle name="Text Indent A" xfId="1186" xr:uid="{3584DCB7-217E-440D-8D18-CC19FF1622AB}"/>
    <cellStyle name="Text Indent B" xfId="1187" xr:uid="{CB92303E-CE2F-426A-AD31-99A5A4E8D40B}"/>
    <cellStyle name="Text Indent C" xfId="1188" xr:uid="{BD547C5B-AF12-4072-B401-A75CB8A40824}"/>
    <cellStyle name="TextBold" xfId="1189" xr:uid="{B03A0CA9-316B-4E9B-B6C5-8FD2C2E7AE88}"/>
    <cellStyle name="TextItalic" xfId="1190" xr:uid="{963D3806-E053-41F2-B688-92BA69F4434E}"/>
    <cellStyle name="TextNormal" xfId="1191" xr:uid="{ECA8565A-CC4C-4C33-A32E-B34613263BC0}"/>
    <cellStyle name="Time" xfId="1192" xr:uid="{4A78FB98-C08C-4DE2-8C5B-E34B177712E7}"/>
    <cellStyle name="Times 10" xfId="1193" xr:uid="{A15CB2FD-D86B-40DF-AF06-85522B014BD5}"/>
    <cellStyle name="Times 12" xfId="1194" xr:uid="{E5955CE6-345C-4673-B8F7-F5344DEDFCBA}"/>
    <cellStyle name="Title - PROJECT" xfId="1195" xr:uid="{56378D9B-FECA-45CB-836C-1FE12F70AE94}"/>
    <cellStyle name="Title - Underline" xfId="1196" xr:uid="{25F0BF81-9B02-44F7-A20C-1B3B4CAB8757}"/>
    <cellStyle name="Title1" xfId="1197" xr:uid="{C45A67E0-1129-4570-A53A-5C29CCC58DFE}"/>
    <cellStyle name="Title2" xfId="1198" xr:uid="{15947F0A-0F45-4D5A-A119-C6A2A34F7C79}"/>
    <cellStyle name="TitleNormal" xfId="1199" xr:uid="{23822DF2-B907-40A1-8E4C-E4D0C88BBB6A}"/>
    <cellStyle name="Titles - Col. Headings" xfId="1200" xr:uid="{0B8F63B5-7EB7-4E0E-B3AF-5AE348E3CAEA}"/>
    <cellStyle name="Titles - Other" xfId="1201" xr:uid="{A97346D7-C5CA-4BEC-B3A4-BFF4305A2D4E}"/>
    <cellStyle name="Top Edge" xfId="1202" xr:uid="{B853E87A-1D8F-4E69-8AC5-6B2B322DDB31}"/>
    <cellStyle name="Total" xfId="1203" builtinId="25" customBuiltin="1"/>
    <cellStyle name="ubordinated Debt" xfId="1204" xr:uid="{5B6BCFDF-2984-4D62-A4D0-0A62BC1B5FF0}"/>
    <cellStyle name="wheat merger's and acquisitions" xfId="1205" xr:uid="{6B175A5A-04FC-4E90-8382-EBC210E2BB89}"/>
    <cellStyle name="x" xfId="1206" xr:uid="{4DDFF4EA-2218-448E-A6C7-904872092B33}"/>
    <cellStyle name="x_TSA Model - 1 8 06 - v2" xfId="1207" xr:uid="{304AFCF6-0DFC-4A59-A2EA-2EF8357433F5}"/>
    <cellStyle name="Y2K Compliant Date Fmt" xfId="1208" xr:uid="{FBB59D87-FBDE-4FB2-BD43-DC2DD0AEB4C0}"/>
    <cellStyle name="Years" xfId="1209" xr:uid="{0F448416-1059-43F6-838B-54AEA03D68EB}"/>
    <cellStyle name="yellow" xfId="1210" xr:uid="{41583C99-C6D8-43B4-84B5-29832E7DF30B}"/>
    <cellStyle name="Yen" xfId="1211" xr:uid="{C911D984-D6B9-457E-A206-6E58AA957DBF}"/>
    <cellStyle name="YYYY" xfId="1212" xr:uid="{70524F99-C919-47CB-9982-7D7284267047}"/>
    <cellStyle name="桁区切り [0.00]_Appendix" xfId="1213" xr:uid="{591D384F-8501-4B63-B833-40AA726A1719}"/>
    <cellStyle name="桁区切り_Appendix" xfId="1214" xr:uid="{0B24BC2F-5519-4928-8E1D-921266C43D46}"/>
    <cellStyle name="標準_Appendix" xfId="1215" xr:uid="{07C7988B-9C7B-4425-82D2-59F0ABDACED8}"/>
    <cellStyle name="通貨 [0.00]_Appendix" xfId="1216" xr:uid="{770DABF0-903E-496B-9931-7FBC89C7B4F0}"/>
    <cellStyle name="通貨_Appendix" xfId="1217" xr:uid="{C480D792-4B80-45E3-8161-7BEE63D684C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styles" Target="styles.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customXml" Target="../customXml/item1.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customXml" Target="../customXml/item2.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rojects5\Barracuda\Documents%20and%20Settings\nbk7h1e\Local%20Settings\Temporary%20Internet%20Files\OLK61\Bank%20Austria\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minous.studioholdings.net\temp\unzipped\7xbb01_\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ominous.studioholdings.net\temp\M&amp;A_Deal\New%20Models\dcf.shor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crisil-my.sharepoint.com/Users/pradeepg/AppData/Local/Microsoft/Windows/INetCache/Content.Outlook/8X61VYYH/Turkcell_Model_1Q24%20Update_28%20May%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s>
    <sheetDataSet>
      <sheetData sheetId="0"/>
      <sheetData sheetId="1" refreshError="1"/>
      <sheetData sheetId="2"/>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isation"/>
      <sheetName val="Model"/>
      <sheetName val="Capitalisation_IFRS"/>
      <sheetName val="Model_IFRS"/>
    </sheetNames>
    <sheetDataSet>
      <sheetData sheetId="0" refreshError="1"/>
      <sheetData sheetId="1" refreshError="1"/>
      <sheetData sheetId="2" refreshError="1"/>
      <sheetData sheetId="3" refreshError="1">
        <row r="85">
          <cell r="E85">
            <v>33533.694999999985</v>
          </cell>
        </row>
        <row r="109">
          <cell r="E109">
            <v>43877.113999999987</v>
          </cell>
        </row>
        <row r="167">
          <cell r="E167">
            <v>122234.86500000001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C44C-ACBC-416D-BE33-50C52B9B9511}">
  <sheetPr codeName="Sheet5"/>
  <dimension ref="A1:N1432"/>
  <sheetViews>
    <sheetView zoomScale="70" zoomScaleNormal="70" workbookViewId="0">
      <selection activeCell="D94" sqref="D94"/>
    </sheetView>
  </sheetViews>
  <sheetFormatPr defaultColWidth="11.42578125" defaultRowHeight="12.75"/>
  <cols>
    <col min="1" max="1" width="5.5703125" style="36" bestFit="1" customWidth="1"/>
    <col min="2" max="2" width="43.7109375" style="36" customWidth="1"/>
    <col min="3" max="3" width="25.5703125" style="36" bestFit="1" customWidth="1"/>
    <col min="4" max="4" width="13.42578125" style="36" bestFit="1" customWidth="1"/>
    <col min="5" max="5" width="11.7109375" style="36" customWidth="1"/>
    <col min="6" max="6" width="10.140625" style="36" bestFit="1" customWidth="1"/>
    <col min="7" max="7" width="10.7109375" style="36" bestFit="1" customWidth="1"/>
    <col min="8" max="8" width="7.5703125" style="36" customWidth="1"/>
    <col min="9" max="9" width="33.5703125" style="36" bestFit="1" customWidth="1"/>
    <col min="10" max="16384" width="11.42578125" style="36"/>
  </cols>
  <sheetData>
    <row r="1" spans="1:13">
      <c r="A1" s="80" t="s">
        <v>0</v>
      </c>
      <c r="I1" s="273" t="s">
        <v>1</v>
      </c>
    </row>
    <row r="2" spans="1:13" ht="12.75" customHeight="1">
      <c r="B2" s="256" t="s">
        <v>2</v>
      </c>
      <c r="C2" s="256"/>
      <c r="D2" s="256"/>
      <c r="E2" s="256"/>
      <c r="F2" s="256"/>
      <c r="G2" s="256"/>
      <c r="I2" s="256" t="s">
        <v>2</v>
      </c>
      <c r="J2" s="256"/>
      <c r="K2" s="256"/>
      <c r="L2" s="256"/>
      <c r="M2" s="256"/>
    </row>
    <row r="3" spans="1:13" ht="25.5">
      <c r="B3" s="34"/>
      <c r="C3" s="212" t="s">
        <v>3</v>
      </c>
      <c r="D3" s="212" t="s">
        <v>4</v>
      </c>
      <c r="E3" s="212" t="s">
        <v>5</v>
      </c>
      <c r="F3" s="212" t="s">
        <v>6</v>
      </c>
      <c r="G3" s="212" t="s">
        <v>7</v>
      </c>
      <c r="I3" s="34"/>
      <c r="J3" s="34" t="s">
        <v>4</v>
      </c>
      <c r="K3" s="34" t="s">
        <v>5</v>
      </c>
      <c r="L3" s="37" t="s">
        <v>6</v>
      </c>
      <c r="M3" s="37" t="s">
        <v>6</v>
      </c>
    </row>
    <row r="4" spans="1:13">
      <c r="B4" s="411"/>
      <c r="C4" s="411"/>
      <c r="D4" s="411"/>
      <c r="E4" s="435"/>
      <c r="F4" s="411"/>
      <c r="G4" s="411"/>
      <c r="I4" s="45" t="s">
        <v>8</v>
      </c>
      <c r="J4" s="402">
        <f>D29</f>
        <v>83452.188999999998</v>
      </c>
      <c r="K4" s="402">
        <f>E29</f>
        <v>3044.9113185999245</v>
      </c>
      <c r="L4" s="46">
        <f>+J4/J9</f>
        <v>2.0735696893956082</v>
      </c>
      <c r="M4" s="46">
        <f>+K4/K9</f>
        <v>1.6022744048515392</v>
      </c>
    </row>
    <row r="5" spans="1:13">
      <c r="B5" s="161" t="s">
        <v>9</v>
      </c>
      <c r="C5" s="248" t="s">
        <v>10</v>
      </c>
      <c r="D5" s="211">
        <v>1713.088</v>
      </c>
      <c r="E5" s="436">
        <f t="shared" ref="E5:E10" si="0">D5/$C$55</f>
        <v>62.505263234709254</v>
      </c>
      <c r="F5" s="211"/>
      <c r="G5" s="277"/>
      <c r="I5" s="44" t="s">
        <v>11</v>
      </c>
      <c r="J5" s="404">
        <f>D30+2243.561</f>
        <v>41297.041000000005</v>
      </c>
      <c r="K5" s="404">
        <f>J5/$C$55</f>
        <v>1506.8008289822712</v>
      </c>
      <c r="L5" s="47"/>
      <c r="M5" s="47"/>
    </row>
    <row r="6" spans="1:13">
      <c r="B6" s="161" t="s">
        <v>12</v>
      </c>
      <c r="C6" s="248" t="s">
        <v>13</v>
      </c>
      <c r="D6" s="211">
        <v>1633.037</v>
      </c>
      <c r="E6" s="436">
        <f t="shared" si="0"/>
        <v>59.584450744515109</v>
      </c>
      <c r="F6" s="277"/>
      <c r="G6" s="277"/>
      <c r="I6" s="45" t="s">
        <v>14</v>
      </c>
      <c r="J6" s="402">
        <f>J4-J5</f>
        <v>42155.147999999994</v>
      </c>
      <c r="K6" s="402">
        <f>K4-K5</f>
        <v>1538.1104896176532</v>
      </c>
      <c r="L6" s="46">
        <f>+J6/J9</f>
        <v>1.0474457074431669</v>
      </c>
      <c r="M6" s="46">
        <f>+K6/K9</f>
        <v>0.80937499042869354</v>
      </c>
    </row>
    <row r="7" spans="1:13">
      <c r="B7" s="161" t="s">
        <v>15</v>
      </c>
      <c r="C7" s="248" t="s">
        <v>16</v>
      </c>
      <c r="D7" s="211">
        <v>378.88099999999997</v>
      </c>
      <c r="E7" s="436">
        <f t="shared" si="0"/>
        <v>13.824191541607831</v>
      </c>
      <c r="F7" s="277"/>
      <c r="G7" s="277"/>
      <c r="I7" s="84" t="s">
        <v>17</v>
      </c>
      <c r="J7" s="400">
        <f>D32</f>
        <v>40979.383999999998</v>
      </c>
      <c r="K7" s="400">
        <f>J7/$C$55</f>
        <v>1495.2105111449223</v>
      </c>
      <c r="L7" s="85"/>
      <c r="M7" s="85"/>
    </row>
    <row r="8" spans="1:13">
      <c r="B8" s="161" t="s">
        <v>18</v>
      </c>
      <c r="C8" s="248" t="s">
        <v>19</v>
      </c>
      <c r="D8" s="211">
        <v>395.649</v>
      </c>
      <c r="E8" s="436">
        <f t="shared" si="0"/>
        <v>14.436003809231915</v>
      </c>
      <c r="F8" s="277"/>
      <c r="G8" s="277"/>
      <c r="I8" s="84" t="s">
        <v>20</v>
      </c>
      <c r="J8" s="400">
        <f>J4+J7</f>
        <v>124431.573</v>
      </c>
      <c r="K8" s="400">
        <f>K4+K7</f>
        <v>4540.1218297448468</v>
      </c>
      <c r="L8" s="85"/>
      <c r="M8" s="85"/>
    </row>
    <row r="9" spans="1:13">
      <c r="B9" s="161" t="s">
        <v>21</v>
      </c>
      <c r="C9" s="248" t="s">
        <v>22</v>
      </c>
      <c r="D9" s="211">
        <v>32.875</v>
      </c>
      <c r="E9" s="436">
        <f t="shared" si="0"/>
        <v>1.1995066971697115</v>
      </c>
      <c r="F9" s="277"/>
      <c r="G9" s="277"/>
      <c r="I9" s="44" t="s">
        <v>23</v>
      </c>
      <c r="J9" s="397">
        <f>D34</f>
        <v>40245.663999999997</v>
      </c>
      <c r="K9" s="397">
        <f>E34</f>
        <v>1900.3681949734789</v>
      </c>
      <c r="L9" s="44"/>
      <c r="M9" s="44"/>
    </row>
    <row r="10" spans="1:13">
      <c r="B10" s="209" t="s">
        <v>24</v>
      </c>
      <c r="C10" s="250"/>
      <c r="D10" s="210">
        <f>SUM(D5:D9)</f>
        <v>4153.53</v>
      </c>
      <c r="E10" s="449">
        <f t="shared" si="0"/>
        <v>151.5494160272338</v>
      </c>
      <c r="F10" s="222"/>
      <c r="G10" s="222"/>
    </row>
    <row r="11" spans="1:13">
      <c r="B11" s="209"/>
      <c r="C11" s="250"/>
      <c r="D11" s="210"/>
      <c r="E11" s="437"/>
      <c r="F11" s="222"/>
      <c r="G11" s="222"/>
    </row>
    <row r="12" spans="1:13">
      <c r="B12" s="161" t="s">
        <v>25</v>
      </c>
      <c r="C12" s="248" t="s">
        <v>26</v>
      </c>
      <c r="D12" s="211">
        <v>3785.373</v>
      </c>
      <c r="E12" s="436">
        <f>D12/$C$55</f>
        <v>138.11650995544952</v>
      </c>
      <c r="F12" s="222"/>
      <c r="G12" s="222"/>
    </row>
    <row r="13" spans="1:13">
      <c r="B13" s="161" t="s">
        <v>27</v>
      </c>
      <c r="C13" s="249" t="s">
        <v>28</v>
      </c>
      <c r="D13" s="211">
        <v>812.79300000000001</v>
      </c>
      <c r="E13" s="436">
        <f>D13/$C$55</f>
        <v>29.656293442210231</v>
      </c>
      <c r="F13" s="222"/>
      <c r="G13" s="222"/>
    </row>
    <row r="14" spans="1:13">
      <c r="B14" s="161" t="s">
        <v>29</v>
      </c>
      <c r="C14" s="249" t="s">
        <v>30</v>
      </c>
      <c r="D14" s="211">
        <v>758.71400000000006</v>
      </c>
      <c r="E14" s="436">
        <f>D14/$C$55</f>
        <v>27.683118607951958</v>
      </c>
      <c r="F14" s="222"/>
      <c r="G14" s="222"/>
    </row>
    <row r="15" spans="1:13">
      <c r="B15" s="209" t="s">
        <v>31</v>
      </c>
      <c r="C15" s="250"/>
      <c r="D15" s="210">
        <f>SUM(D12:D14)</f>
        <v>5356.88</v>
      </c>
      <c r="E15" s="449">
        <f>D15/$C$55</f>
        <v>195.45592200561168</v>
      </c>
      <c r="F15" s="222"/>
      <c r="G15" s="222"/>
    </row>
    <row r="16" spans="1:13">
      <c r="B16" s="209"/>
      <c r="C16" s="250"/>
      <c r="D16" s="210"/>
      <c r="E16" s="437"/>
      <c r="F16" s="222"/>
      <c r="G16" s="222"/>
    </row>
    <row r="17" spans="2:9">
      <c r="B17" s="161" t="s">
        <v>32</v>
      </c>
      <c r="C17" s="248" t="s">
        <v>33</v>
      </c>
      <c r="D17" s="211">
        <v>22001.008000000002</v>
      </c>
      <c r="E17" s="436">
        <f t="shared" ref="E17:E27" si="1">D17/$C$55</f>
        <v>802.7484848816548</v>
      </c>
      <c r="F17" s="162"/>
      <c r="G17" s="162"/>
      <c r="H17" s="450"/>
    </row>
    <row r="18" spans="2:9">
      <c r="B18" s="161" t="s">
        <v>34</v>
      </c>
      <c r="C18" s="248" t="s">
        <v>35</v>
      </c>
      <c r="D18" s="211">
        <v>12574.51</v>
      </c>
      <c r="E18" s="436">
        <f t="shared" si="1"/>
        <v>458.80483524342236</v>
      </c>
      <c r="F18" s="162"/>
      <c r="G18" s="162"/>
      <c r="H18" s="450"/>
    </row>
    <row r="19" spans="2:9">
      <c r="B19" s="161" t="s">
        <v>36</v>
      </c>
      <c r="C19" s="251" t="s">
        <v>37</v>
      </c>
      <c r="D19" s="211">
        <v>5070.4589999999998</v>
      </c>
      <c r="E19" s="436">
        <f t="shared" si="1"/>
        <v>185.00530884332892</v>
      </c>
      <c r="F19" s="162"/>
      <c r="G19" s="162"/>
      <c r="H19" s="450"/>
    </row>
    <row r="20" spans="2:9">
      <c r="B20" s="161" t="s">
        <v>38</v>
      </c>
      <c r="C20" s="249" t="s">
        <v>39</v>
      </c>
      <c r="D20" s="211">
        <v>1881.123</v>
      </c>
      <c r="E20" s="436">
        <f t="shared" si="1"/>
        <v>68.636338758934727</v>
      </c>
      <c r="F20" s="162"/>
      <c r="G20" s="162"/>
      <c r="H20" s="450"/>
    </row>
    <row r="21" spans="2:9">
      <c r="B21" s="161" t="s">
        <v>40</v>
      </c>
      <c r="C21" s="249" t="s">
        <v>41</v>
      </c>
      <c r="D21" s="211">
        <v>1847.88</v>
      </c>
      <c r="E21" s="436">
        <f t="shared" si="1"/>
        <v>67.423404884135863</v>
      </c>
      <c r="F21" s="162"/>
      <c r="G21" s="162"/>
      <c r="H21" s="450"/>
    </row>
    <row r="22" spans="2:9">
      <c r="B22" s="161" t="s">
        <v>42</v>
      </c>
      <c r="C22" s="249">
        <v>0.06</v>
      </c>
      <c r="D22" s="211">
        <v>303.79599999999999</v>
      </c>
      <c r="E22" s="436">
        <f t="shared" si="1"/>
        <v>11.084572975615808</v>
      </c>
      <c r="F22" s="162"/>
      <c r="G22" s="162"/>
      <c r="H22" s="450"/>
    </row>
    <row r="23" spans="2:9">
      <c r="B23" s="161" t="s">
        <v>43</v>
      </c>
      <c r="C23" s="249">
        <v>2.5999999999999999E-2</v>
      </c>
      <c r="D23" s="211">
        <v>202.60400000000001</v>
      </c>
      <c r="E23" s="436">
        <f t="shared" si="1"/>
        <v>7.3923910227641745</v>
      </c>
      <c r="F23" s="162"/>
      <c r="G23" s="162"/>
      <c r="H23" s="450"/>
    </row>
    <row r="24" spans="2:9">
      <c r="B24" s="161" t="s">
        <v>44</v>
      </c>
      <c r="C24" s="249">
        <v>0.14000000000000001</v>
      </c>
      <c r="D24" s="211">
        <v>4.2030000000000003</v>
      </c>
      <c r="E24" s="436">
        <f t="shared" si="1"/>
        <v>0.15335442275906611</v>
      </c>
      <c r="F24" s="162"/>
      <c r="G24" s="162"/>
      <c r="H24" s="450"/>
    </row>
    <row r="25" spans="2:9">
      <c r="B25" s="161" t="s">
        <v>45</v>
      </c>
      <c r="C25" s="408">
        <v>5.8000000000000003E-2</v>
      </c>
      <c r="D25" s="211">
        <v>26802.19</v>
      </c>
      <c r="E25" s="436">
        <f t="shared" si="1"/>
        <v>977.92871190311996</v>
      </c>
      <c r="F25" s="222"/>
      <c r="G25" s="222"/>
      <c r="H25" s="450"/>
    </row>
    <row r="26" spans="2:9">
      <c r="B26" s="161" t="s">
        <v>46</v>
      </c>
      <c r="C26" s="248" t="s">
        <v>47</v>
      </c>
      <c r="D26" s="211">
        <v>3254.0059999999999</v>
      </c>
      <c r="E26" s="436">
        <f t="shared" si="1"/>
        <v>118.7285776313437</v>
      </c>
      <c r="F26" s="162"/>
      <c r="G26" s="162"/>
    </row>
    <row r="27" spans="2:9">
      <c r="B27" s="209" t="s">
        <v>48</v>
      </c>
      <c r="C27" s="408"/>
      <c r="D27" s="210">
        <f>SUM(D17:D26)</f>
        <v>73941.778999999995</v>
      </c>
      <c r="E27" s="449">
        <f t="shared" si="1"/>
        <v>2697.905980567079</v>
      </c>
      <c r="F27" s="162"/>
      <c r="G27" s="162"/>
    </row>
    <row r="28" spans="2:9">
      <c r="B28" s="161"/>
      <c r="C28" s="408"/>
      <c r="D28" s="211"/>
      <c r="E28" s="438"/>
      <c r="F28" s="162"/>
      <c r="G28" s="162"/>
    </row>
    <row r="29" spans="2:9">
      <c r="B29" s="265" t="s">
        <v>49</v>
      </c>
      <c r="C29" s="265"/>
      <c r="D29" s="399">
        <f>+D15+D27+D10</f>
        <v>83452.188999999998</v>
      </c>
      <c r="E29" s="439">
        <f>+E15+E27+E10</f>
        <v>3044.9113185999245</v>
      </c>
      <c r="F29" s="267">
        <f>+D29/D34</f>
        <v>2.0735696893956082</v>
      </c>
      <c r="G29" s="267">
        <f>+E29/E34</f>
        <v>1.6022744048515392</v>
      </c>
      <c r="I29" s="416"/>
    </row>
    <row r="30" spans="2:9">
      <c r="B30" s="44" t="s">
        <v>11</v>
      </c>
      <c r="C30" s="44"/>
      <c r="D30" s="272">
        <v>39053.480000000003</v>
      </c>
      <c r="E30" s="440">
        <f>D30/$C$55</f>
        <v>1424.94025270824</v>
      </c>
      <c r="F30" s="47"/>
      <c r="G30" s="47"/>
    </row>
    <row r="31" spans="2:9">
      <c r="B31" s="45" t="s">
        <v>14</v>
      </c>
      <c r="C31" s="45"/>
      <c r="D31" s="402">
        <f>+D29-D30</f>
        <v>44398.708999999995</v>
      </c>
      <c r="E31" s="441">
        <f>+E29-E30</f>
        <v>1619.9710658916845</v>
      </c>
      <c r="F31" s="46">
        <f>+D31/D34</f>
        <v>1.1031923588091377</v>
      </c>
      <c r="G31" s="46">
        <f>+E31/E34</f>
        <v>0.85245115666350768</v>
      </c>
    </row>
    <row r="32" spans="2:9">
      <c r="B32" s="44" t="s">
        <v>17</v>
      </c>
      <c r="C32" s="44"/>
      <c r="D32" s="272">
        <v>40979.383999999998</v>
      </c>
      <c r="E32" s="440">
        <f>D32/$C$55</f>
        <v>1495.2105111449223</v>
      </c>
      <c r="F32" s="47"/>
      <c r="G32" s="47"/>
    </row>
    <row r="33" spans="2:7">
      <c r="B33" s="268" t="s">
        <v>20</v>
      </c>
      <c r="C33" s="268"/>
      <c r="D33" s="396">
        <f>D29+D32</f>
        <v>124431.573</v>
      </c>
      <c r="E33" s="442">
        <f>E29+E32</f>
        <v>4540.1218297448468</v>
      </c>
      <c r="F33" s="270"/>
      <c r="G33" s="270"/>
    </row>
    <row r="34" spans="2:7">
      <c r="B34" s="268" t="s">
        <v>23</v>
      </c>
      <c r="C34" s="268"/>
      <c r="D34" s="396">
        <v>40245.663999999997</v>
      </c>
      <c r="E34" s="442">
        <v>1900.3681949734789</v>
      </c>
      <c r="F34" s="270"/>
      <c r="G34" s="270"/>
    </row>
    <row r="37" spans="2:7">
      <c r="B37" s="36" t="s">
        <v>50</v>
      </c>
      <c r="D37" s="387">
        <v>121770</v>
      </c>
    </row>
    <row r="38" spans="2:7">
      <c r="B38" s="36" t="s">
        <v>51</v>
      </c>
      <c r="D38" s="227">
        <f>D37+D31</f>
        <v>166168.709</v>
      </c>
    </row>
    <row r="39" spans="2:7">
      <c r="B39" s="80" t="s">
        <v>52</v>
      </c>
      <c r="D39" s="228">
        <f>D38/D34</f>
        <v>4.1288599189219495</v>
      </c>
      <c r="E39" s="228"/>
      <c r="G39" s="410"/>
    </row>
    <row r="40" spans="2:7" ht="13.5" thickBot="1">
      <c r="B40" s="80"/>
      <c r="D40" s="228"/>
    </row>
    <row r="41" spans="2:7">
      <c r="B41" s="234" t="s">
        <v>53</v>
      </c>
      <c r="C41" s="240" t="s">
        <v>54</v>
      </c>
      <c r="D41" s="232" t="s">
        <v>55</v>
      </c>
    </row>
    <row r="42" spans="2:7">
      <c r="B42" s="239" t="s">
        <v>56</v>
      </c>
      <c r="C42" s="773"/>
      <c r="D42" s="456"/>
    </row>
    <row r="43" spans="2:7">
      <c r="B43" s="239" t="s">
        <v>57</v>
      </c>
      <c r="C43" s="773"/>
      <c r="D43" s="456"/>
    </row>
    <row r="44" spans="2:7">
      <c r="B44" s="239" t="s">
        <v>58</v>
      </c>
      <c r="C44" s="773"/>
      <c r="D44" s="456"/>
    </row>
    <row r="45" spans="2:7">
      <c r="B45" s="239" t="s">
        <v>59</v>
      </c>
      <c r="C45" s="773"/>
      <c r="D45" s="456"/>
    </row>
    <row r="46" spans="2:7">
      <c r="B46" s="239" t="s">
        <v>60</v>
      </c>
      <c r="C46" s="457"/>
      <c r="D46" s="456"/>
    </row>
    <row r="47" spans="2:7" ht="13.5" thickBot="1">
      <c r="B47" s="245" t="s">
        <v>61</v>
      </c>
      <c r="C47" s="458"/>
      <c r="D47" s="459"/>
    </row>
    <row r="48" spans="2:7" ht="13.5" thickBot="1"/>
    <row r="49" spans="1:13">
      <c r="B49" s="140" t="s">
        <v>62</v>
      </c>
      <c r="C49" s="240" t="s">
        <v>54</v>
      </c>
      <c r="D49" s="232" t="s">
        <v>55</v>
      </c>
    </row>
    <row r="50" spans="1:13">
      <c r="B50" s="141" t="s">
        <v>63</v>
      </c>
      <c r="C50" s="242">
        <f>+D50*$C55</f>
        <v>0</v>
      </c>
      <c r="D50" s="253">
        <v>0</v>
      </c>
    </row>
    <row r="51" spans="1:13">
      <c r="B51" s="141" t="s">
        <v>64</v>
      </c>
      <c r="C51" s="242">
        <f>D30</f>
        <v>39053.480000000003</v>
      </c>
      <c r="D51" s="237">
        <f>E30</f>
        <v>1424.94025270824</v>
      </c>
    </row>
    <row r="52" spans="1:13" ht="13.5" thickBot="1">
      <c r="B52" s="143" t="s">
        <v>65</v>
      </c>
      <c r="C52" s="243">
        <f>SUM(C50:C51)</f>
        <v>39053.480000000003</v>
      </c>
      <c r="D52" s="236">
        <f>SUM(D50:D51)</f>
        <v>1424.94025270824</v>
      </c>
    </row>
    <row r="54" spans="1:13">
      <c r="D54" s="39"/>
    </row>
    <row r="55" spans="1:13" ht="13.5" thickBot="1">
      <c r="B55" s="36" t="s">
        <v>66</v>
      </c>
      <c r="C55" s="455">
        <v>27.4071</v>
      </c>
    </row>
    <row r="56" spans="1:13">
      <c r="B56" s="234" t="s">
        <v>67</v>
      </c>
      <c r="C56" s="240" t="s">
        <v>54</v>
      </c>
      <c r="D56" s="232" t="s">
        <v>55</v>
      </c>
    </row>
    <row r="57" spans="1:13">
      <c r="B57" s="86" t="s">
        <v>68</v>
      </c>
      <c r="C57" s="253">
        <f>18324.664+9853.227</f>
        <v>28177.891000000003</v>
      </c>
      <c r="D57" s="237">
        <f>C57/$C$55</f>
        <v>1028.1237708477001</v>
      </c>
    </row>
    <row r="58" spans="1:13">
      <c r="B58" s="86" t="s">
        <v>69</v>
      </c>
      <c r="C58" s="253">
        <v>55274.298000000003</v>
      </c>
      <c r="D58" s="237">
        <f>C58/$C$55</f>
        <v>2016.7875477522248</v>
      </c>
    </row>
    <row r="59" spans="1:13" ht="13.5" thickBot="1">
      <c r="B59" s="87"/>
      <c r="C59" s="244"/>
      <c r="D59" s="233"/>
    </row>
    <row r="60" spans="1:13">
      <c r="B60" s="80" t="s">
        <v>70</v>
      </c>
      <c r="C60" s="238">
        <f>C57+C58</f>
        <v>83452.189000000013</v>
      </c>
      <c r="D60" s="220">
        <f>D57+D58</f>
        <v>3044.9113185999249</v>
      </c>
    </row>
    <row r="61" spans="1:13">
      <c r="B61" s="80"/>
      <c r="C61" s="238"/>
      <c r="D61" s="220"/>
    </row>
    <row r="62" spans="1:13">
      <c r="A62" s="80" t="s">
        <v>71</v>
      </c>
      <c r="I62" s="273" t="s">
        <v>1</v>
      </c>
    </row>
    <row r="63" spans="1:13" ht="12.75" customHeight="1">
      <c r="B63" s="256" t="s">
        <v>72</v>
      </c>
      <c r="C63" s="256"/>
      <c r="D63" s="256"/>
      <c r="E63" s="256"/>
      <c r="F63" s="256"/>
      <c r="G63" s="256"/>
      <c r="I63" s="256" t="s">
        <v>72</v>
      </c>
      <c r="J63" s="256"/>
      <c r="K63" s="256"/>
      <c r="L63" s="256"/>
      <c r="M63" s="256"/>
    </row>
    <row r="64" spans="1:13" ht="25.5">
      <c r="B64" s="34"/>
      <c r="C64" s="212" t="s">
        <v>3</v>
      </c>
      <c r="D64" s="212" t="s">
        <v>4</v>
      </c>
      <c r="E64" s="212" t="s">
        <v>5</v>
      </c>
      <c r="F64" s="212" t="s">
        <v>6</v>
      </c>
      <c r="G64" s="212" t="s">
        <v>7</v>
      </c>
      <c r="I64" s="34"/>
      <c r="J64" s="34" t="s">
        <v>4</v>
      </c>
      <c r="K64" s="34" t="s">
        <v>5</v>
      </c>
      <c r="L64" s="37" t="s">
        <v>6</v>
      </c>
      <c r="M64" s="37" t="s">
        <v>6</v>
      </c>
    </row>
    <row r="65" spans="2:13">
      <c r="B65" s="411"/>
      <c r="C65" s="411"/>
      <c r="D65" s="411"/>
      <c r="E65" s="435"/>
      <c r="F65" s="411"/>
      <c r="G65" s="411"/>
      <c r="I65" s="45" t="s">
        <v>8</v>
      </c>
      <c r="J65" s="402">
        <f>D89</f>
        <v>77197.847999999998</v>
      </c>
      <c r="K65" s="402">
        <f>E89</f>
        <v>2816.709830664317</v>
      </c>
      <c r="L65" s="46">
        <f>+J65/J70</f>
        <v>2.2105585346589303</v>
      </c>
      <c r="M65" s="46">
        <f>+K65/K70</f>
        <v>1.5288746348470743</v>
      </c>
    </row>
    <row r="66" spans="2:13">
      <c r="B66" s="161" t="s">
        <v>73</v>
      </c>
      <c r="C66" s="248" t="s">
        <v>10</v>
      </c>
      <c r="D66" s="211">
        <v>1597.4190000000001</v>
      </c>
      <c r="E66" s="436">
        <f t="shared" ref="E66:E71" si="2">D66/$C$55</f>
        <v>58.284860492354177</v>
      </c>
      <c r="F66" s="277"/>
      <c r="G66" s="277"/>
      <c r="I66" s="44" t="s">
        <v>11</v>
      </c>
      <c r="J66" s="404">
        <f>D90+3075.21</f>
        <v>38034.510999999999</v>
      </c>
      <c r="K66" s="404">
        <f>J66/$C$55</f>
        <v>1387.7612370517129</v>
      </c>
      <c r="L66" s="47"/>
      <c r="M66" s="47"/>
    </row>
    <row r="67" spans="2:13">
      <c r="B67" s="161" t="s">
        <v>74</v>
      </c>
      <c r="C67" s="248" t="s">
        <v>13</v>
      </c>
      <c r="D67" s="211">
        <v>1552.1559999999999</v>
      </c>
      <c r="E67" s="436">
        <f t="shared" si="2"/>
        <v>56.6333541308639</v>
      </c>
      <c r="F67" s="277"/>
      <c r="G67" s="277"/>
      <c r="I67" s="45" t="s">
        <v>14</v>
      </c>
      <c r="J67" s="402">
        <f>J65-J66</f>
        <v>39163.337</v>
      </c>
      <c r="K67" s="402">
        <f>K65-K66</f>
        <v>1428.9485936126041</v>
      </c>
      <c r="L67" s="46">
        <f>+J67/J70</f>
        <v>1.1214412201111341</v>
      </c>
      <c r="M67" s="46">
        <f>+K67/K70</f>
        <v>0.77561530672808288</v>
      </c>
    </row>
    <row r="68" spans="2:13">
      <c r="B68" s="161" t="s">
        <v>75</v>
      </c>
      <c r="C68" s="248" t="s">
        <v>19</v>
      </c>
      <c r="D68" s="211">
        <v>388.04599999999999</v>
      </c>
      <c r="E68" s="436">
        <f t="shared" si="2"/>
        <v>14.158593940986094</v>
      </c>
      <c r="F68" s="277"/>
      <c r="G68" s="277"/>
      <c r="I68" s="84" t="s">
        <v>17</v>
      </c>
      <c r="J68" s="400">
        <f>D92</f>
        <v>37532.036</v>
      </c>
      <c r="K68" s="400">
        <f>J68/$C$55</f>
        <v>1369.4274841190786</v>
      </c>
      <c r="L68" s="85"/>
      <c r="M68" s="85"/>
    </row>
    <row r="69" spans="2:13">
      <c r="B69" s="161" t="s">
        <v>76</v>
      </c>
      <c r="C69" s="248" t="s">
        <v>77</v>
      </c>
      <c r="D69" s="211">
        <v>354.09399999999999</v>
      </c>
      <c r="E69" s="436">
        <f t="shared" si="2"/>
        <v>12.919790857113668</v>
      </c>
      <c r="F69" s="277"/>
      <c r="G69" s="277"/>
      <c r="I69" s="84" t="s">
        <v>20</v>
      </c>
      <c r="J69" s="400">
        <f>J65+J68</f>
        <v>114729.88399999999</v>
      </c>
      <c r="K69" s="400">
        <f>K65+K68</f>
        <v>4186.1373147833956</v>
      </c>
      <c r="L69" s="85"/>
      <c r="M69" s="85"/>
    </row>
    <row r="70" spans="2:13">
      <c r="B70" s="161" t="s">
        <v>78</v>
      </c>
      <c r="C70" s="248" t="s">
        <v>79</v>
      </c>
      <c r="D70" s="211">
        <v>44.779000000000003</v>
      </c>
      <c r="E70" s="436">
        <f t="shared" si="2"/>
        <v>1.6338467039562743</v>
      </c>
      <c r="F70" s="277"/>
      <c r="G70" s="277"/>
      <c r="I70" s="44" t="s">
        <v>23</v>
      </c>
      <c r="J70" s="397">
        <f>D94</f>
        <v>34922.326999999997</v>
      </c>
      <c r="K70" s="397">
        <f>E94</f>
        <v>1842.3419203014369</v>
      </c>
      <c r="L70" s="44"/>
      <c r="M70" s="44"/>
    </row>
    <row r="71" spans="2:13">
      <c r="B71" s="209" t="s">
        <v>24</v>
      </c>
      <c r="C71" s="250"/>
      <c r="D71" s="210">
        <f>SUM(D66:D70)</f>
        <v>3936.4939999999997</v>
      </c>
      <c r="E71" s="449">
        <f t="shared" si="2"/>
        <v>143.63044612527409</v>
      </c>
      <c r="F71" s="222"/>
      <c r="G71" s="222"/>
    </row>
    <row r="72" spans="2:13">
      <c r="B72" s="209"/>
      <c r="C72" s="250"/>
      <c r="D72" s="210"/>
      <c r="E72" s="437"/>
      <c r="F72" s="222"/>
      <c r="G72" s="222"/>
    </row>
    <row r="73" spans="2:13">
      <c r="B73" s="161" t="s">
        <v>25</v>
      </c>
      <c r="C73" s="248" t="s">
        <v>26</v>
      </c>
      <c r="D73" s="211">
        <v>3459.6260000000002</v>
      </c>
      <c r="E73" s="436">
        <f>D73/$C$55</f>
        <v>126.23101313163379</v>
      </c>
      <c r="F73" s="222"/>
      <c r="G73" s="222"/>
    </row>
    <row r="74" spans="2:13">
      <c r="B74" s="161" t="s">
        <v>27</v>
      </c>
      <c r="C74" s="249" t="s">
        <v>28</v>
      </c>
      <c r="D74" s="211">
        <v>834.48099999999999</v>
      </c>
      <c r="E74" s="436">
        <f>D74/$C$55</f>
        <v>30.447621236832791</v>
      </c>
      <c r="F74" s="222"/>
      <c r="G74" s="222"/>
    </row>
    <row r="75" spans="2:13">
      <c r="B75" s="161" t="s">
        <v>29</v>
      </c>
      <c r="C75" s="249" t="s">
        <v>30</v>
      </c>
      <c r="D75" s="211">
        <v>504.47899999999998</v>
      </c>
      <c r="E75" s="436">
        <f>D75/$C$55</f>
        <v>18.406872671679967</v>
      </c>
      <c r="F75" s="222"/>
      <c r="G75" s="222"/>
    </row>
    <row r="76" spans="2:13">
      <c r="B76" s="209" t="s">
        <v>31</v>
      </c>
      <c r="C76" s="250"/>
      <c r="D76" s="210">
        <f>SUM(D73:D75)</f>
        <v>4798.5860000000002</v>
      </c>
      <c r="E76" s="449">
        <f>D76/$C$55</f>
        <v>175.08550704014655</v>
      </c>
      <c r="F76" s="222"/>
      <c r="G76" s="222"/>
    </row>
    <row r="77" spans="2:13">
      <c r="B77" s="209"/>
      <c r="C77" s="250"/>
      <c r="D77" s="210"/>
      <c r="E77" s="437"/>
      <c r="F77" s="222"/>
      <c r="G77" s="222"/>
    </row>
    <row r="78" spans="2:13">
      <c r="B78" s="161" t="s">
        <v>32</v>
      </c>
      <c r="C78" s="248" t="s">
        <v>33</v>
      </c>
      <c r="D78" s="211">
        <v>20865.378000000001</v>
      </c>
      <c r="E78" s="436">
        <f t="shared" ref="E78:E87" si="3">D78/$C$55</f>
        <v>761.31287148220724</v>
      </c>
      <c r="F78" s="162"/>
      <c r="G78" s="162"/>
      <c r="H78" s="450"/>
    </row>
    <row r="79" spans="2:13">
      <c r="B79" s="161" t="s">
        <v>34</v>
      </c>
      <c r="C79" s="248" t="s">
        <v>35</v>
      </c>
      <c r="D79" s="211">
        <v>12329.621999999999</v>
      </c>
      <c r="E79" s="436">
        <f t="shared" si="3"/>
        <v>449.86963232155171</v>
      </c>
      <c r="F79" s="162"/>
      <c r="G79" s="162"/>
      <c r="H79" s="450"/>
    </row>
    <row r="80" spans="2:13">
      <c r="B80" s="161" t="s">
        <v>36</v>
      </c>
      <c r="C80" s="251" t="s">
        <v>37</v>
      </c>
      <c r="D80" s="211">
        <v>4727.87</v>
      </c>
      <c r="E80" s="436">
        <f t="shared" si="3"/>
        <v>172.50529972160498</v>
      </c>
      <c r="F80" s="162"/>
      <c r="G80" s="162"/>
      <c r="H80" s="450"/>
    </row>
    <row r="81" spans="2:9">
      <c r="B81" s="161" t="s">
        <v>38</v>
      </c>
      <c r="C81" s="249" t="s">
        <v>39</v>
      </c>
      <c r="D81" s="211">
        <v>1973.16</v>
      </c>
      <c r="E81" s="436">
        <f t="shared" si="3"/>
        <v>71.99448318136541</v>
      </c>
      <c r="F81" s="162"/>
      <c r="G81" s="162"/>
      <c r="H81" s="450"/>
    </row>
    <row r="82" spans="2:9">
      <c r="B82" s="161" t="s">
        <v>40</v>
      </c>
      <c r="C82" s="249" t="s">
        <v>41</v>
      </c>
      <c r="D82" s="211">
        <v>1588.384</v>
      </c>
      <c r="E82" s="436">
        <f t="shared" si="3"/>
        <v>57.955201389420992</v>
      </c>
      <c r="F82" s="162"/>
      <c r="G82" s="162"/>
      <c r="H82" s="450"/>
    </row>
    <row r="83" spans="2:9">
      <c r="B83" s="161" t="s">
        <v>42</v>
      </c>
      <c r="C83" s="249">
        <v>0.06</v>
      </c>
      <c r="D83" s="211">
        <v>290.07799999999997</v>
      </c>
      <c r="E83" s="436">
        <f t="shared" si="3"/>
        <v>10.584045739972488</v>
      </c>
      <c r="F83" s="162"/>
      <c r="G83" s="162"/>
      <c r="H83" s="450"/>
    </row>
    <row r="84" spans="2:9">
      <c r="B84" s="161" t="s">
        <v>43</v>
      </c>
      <c r="C84" s="249">
        <v>2.5999999999999999E-2</v>
      </c>
      <c r="D84" s="211">
        <v>206.346</v>
      </c>
      <c r="E84" s="436">
        <f t="shared" si="3"/>
        <v>7.5289249865910657</v>
      </c>
      <c r="F84" s="162"/>
      <c r="G84" s="162"/>
      <c r="H84" s="450"/>
    </row>
    <row r="85" spans="2:9">
      <c r="B85" s="161" t="s">
        <v>45</v>
      </c>
      <c r="C85" s="408">
        <v>5.8000000000000003E-2</v>
      </c>
      <c r="D85" s="211">
        <v>24901.484</v>
      </c>
      <c r="E85" s="436">
        <f t="shared" si="3"/>
        <v>908.57785026507736</v>
      </c>
      <c r="F85" s="222"/>
      <c r="G85" s="222"/>
      <c r="H85" s="450"/>
    </row>
    <row r="86" spans="2:9">
      <c r="B86" s="161" t="s">
        <v>46</v>
      </c>
      <c r="C86" s="248" t="s">
        <v>47</v>
      </c>
      <c r="D86" s="211">
        <v>1580.4459999999999</v>
      </c>
      <c r="E86" s="436">
        <f t="shared" si="3"/>
        <v>57.665568411105149</v>
      </c>
      <c r="F86" s="162"/>
      <c r="G86" s="162"/>
    </row>
    <row r="87" spans="2:9">
      <c r="B87" s="209" t="s">
        <v>48</v>
      </c>
      <c r="C87" s="408"/>
      <c r="D87" s="210">
        <f>SUM(D78:D86)</f>
        <v>68462.767999999996</v>
      </c>
      <c r="E87" s="449">
        <f t="shared" si="3"/>
        <v>2497.9938774988964</v>
      </c>
      <c r="F87" s="162"/>
      <c r="G87" s="162"/>
    </row>
    <row r="88" spans="2:9">
      <c r="B88" s="161"/>
      <c r="C88" s="408"/>
      <c r="D88" s="211"/>
      <c r="E88" s="438"/>
      <c r="F88" s="162"/>
      <c r="G88" s="162"/>
    </row>
    <row r="89" spans="2:9">
      <c r="B89" s="265" t="s">
        <v>49</v>
      </c>
      <c r="C89" s="265"/>
      <c r="D89" s="399">
        <f>+D76+D87+D71</f>
        <v>77197.847999999998</v>
      </c>
      <c r="E89" s="439">
        <f>+E76+E87+E71</f>
        <v>2816.709830664317</v>
      </c>
      <c r="F89" s="267">
        <f>+D89/D94</f>
        <v>2.2105585346589303</v>
      </c>
      <c r="G89" s="267">
        <f>+E89/E94</f>
        <v>1.5288746348470743</v>
      </c>
      <c r="I89" s="416"/>
    </row>
    <row r="90" spans="2:9">
      <c r="B90" s="44" t="s">
        <v>11</v>
      </c>
      <c r="C90" s="44"/>
      <c r="D90" s="272">
        <v>34959.300999999999</v>
      </c>
      <c r="E90" s="440">
        <f>D90/$C$55</f>
        <v>1275.5563704295603</v>
      </c>
      <c r="F90" s="47"/>
      <c r="G90" s="47"/>
    </row>
    <row r="91" spans="2:9">
      <c r="B91" s="45" t="s">
        <v>14</v>
      </c>
      <c r="C91" s="45"/>
      <c r="D91" s="402">
        <f>+D89-D90</f>
        <v>42238.546999999999</v>
      </c>
      <c r="E91" s="441">
        <f>+E89-E90</f>
        <v>1541.1534602347567</v>
      </c>
      <c r="F91" s="46">
        <f>+D91/D94</f>
        <v>1.2094997850515516</v>
      </c>
      <c r="G91" s="46">
        <f>+E91/E94</f>
        <v>0.83651869571669912</v>
      </c>
    </row>
    <row r="92" spans="2:9">
      <c r="B92" s="44" t="s">
        <v>17</v>
      </c>
      <c r="C92" s="44"/>
      <c r="D92" s="272">
        <v>37532.036</v>
      </c>
      <c r="E92" s="440">
        <f>D92/$C$55</f>
        <v>1369.4274841190786</v>
      </c>
      <c r="F92" s="47"/>
      <c r="G92" s="47"/>
    </row>
    <row r="93" spans="2:9">
      <c r="B93" s="268" t="s">
        <v>20</v>
      </c>
      <c r="C93" s="268"/>
      <c r="D93" s="396">
        <f>D89+D92</f>
        <v>114729.88399999999</v>
      </c>
      <c r="E93" s="442">
        <f>E89+E92</f>
        <v>4186.1373147833956</v>
      </c>
      <c r="F93" s="270"/>
      <c r="G93" s="270"/>
    </row>
    <row r="94" spans="2:9">
      <c r="B94" s="268" t="s">
        <v>23</v>
      </c>
      <c r="C94" s="268"/>
      <c r="D94" s="396">
        <v>34922.326999999997</v>
      </c>
      <c r="E94" s="442">
        <v>1842.3419203014369</v>
      </c>
      <c r="F94" s="270"/>
      <c r="G94" s="270"/>
    </row>
    <row r="97" spans="2:7">
      <c r="B97" s="36" t="s">
        <v>50</v>
      </c>
      <c r="D97" s="387">
        <v>70860</v>
      </c>
    </row>
    <row r="98" spans="2:7">
      <c r="B98" s="36" t="s">
        <v>51</v>
      </c>
      <c r="D98" s="227">
        <f>D97+D91</f>
        <v>113098.54699999999</v>
      </c>
    </row>
    <row r="99" spans="2:7">
      <c r="B99" s="80" t="s">
        <v>52</v>
      </c>
      <c r="D99" s="228">
        <f>D98/D94</f>
        <v>3.2385741935238164</v>
      </c>
      <c r="E99" s="228"/>
      <c r="G99" s="410"/>
    </row>
    <row r="100" spans="2:7" ht="13.5" thickBot="1">
      <c r="B100" s="80"/>
      <c r="D100" s="228"/>
    </row>
    <row r="101" spans="2:7">
      <c r="B101" s="234" t="s">
        <v>80</v>
      </c>
      <c r="C101" s="240" t="s">
        <v>54</v>
      </c>
      <c r="D101" s="232" t="s">
        <v>55</v>
      </c>
    </row>
    <row r="102" spans="2:7">
      <c r="B102" s="239" t="s">
        <v>56</v>
      </c>
      <c r="C102" s="253"/>
      <c r="D102" s="434">
        <f t="shared" ref="D102:D107" si="4">C102/$C$55</f>
        <v>0</v>
      </c>
    </row>
    <row r="103" spans="2:7">
      <c r="B103" s="239" t="s">
        <v>57</v>
      </c>
      <c r="C103" s="253"/>
      <c r="D103" s="434">
        <f t="shared" si="4"/>
        <v>0</v>
      </c>
    </row>
    <row r="104" spans="2:7">
      <c r="B104" s="239" t="s">
        <v>58</v>
      </c>
      <c r="C104" s="253"/>
      <c r="D104" s="434">
        <f t="shared" si="4"/>
        <v>0</v>
      </c>
    </row>
    <row r="105" spans="2:7">
      <c r="B105" s="239" t="s">
        <v>59</v>
      </c>
      <c r="C105" s="253"/>
      <c r="D105" s="434">
        <f t="shared" si="4"/>
        <v>0</v>
      </c>
    </row>
    <row r="106" spans="2:7">
      <c r="B106" s="239" t="s">
        <v>60</v>
      </c>
      <c r="C106" s="398">
        <f>D71</f>
        <v>3936.4939999999997</v>
      </c>
      <c r="D106" s="434">
        <f t="shared" si="4"/>
        <v>143.63044612527409</v>
      </c>
    </row>
    <row r="107" spans="2:7" ht="13.5" thickBot="1">
      <c r="B107" s="245" t="s">
        <v>61</v>
      </c>
      <c r="C107" s="451">
        <v>771978.48199999996</v>
      </c>
      <c r="D107" s="247">
        <f t="shared" si="4"/>
        <v>28167.09837961696</v>
      </c>
    </row>
    <row r="108" spans="2:7" ht="13.5" thickBot="1"/>
    <row r="109" spans="2:7">
      <c r="B109" s="140" t="s">
        <v>81</v>
      </c>
      <c r="C109" s="240" t="s">
        <v>54</v>
      </c>
      <c r="D109" s="232" t="s">
        <v>55</v>
      </c>
    </row>
    <row r="110" spans="2:7">
      <c r="B110" s="141" t="s">
        <v>63</v>
      </c>
      <c r="C110" s="242">
        <f>+D110*$C55</f>
        <v>0</v>
      </c>
      <c r="D110" s="253"/>
    </row>
    <row r="111" spans="2:7">
      <c r="B111" s="141" t="s">
        <v>64</v>
      </c>
      <c r="C111" s="242">
        <f>D90</f>
        <v>34959.300999999999</v>
      </c>
      <c r="D111" s="237">
        <f>E90</f>
        <v>1275.5563704295603</v>
      </c>
    </row>
    <row r="112" spans="2:7" ht="13.5" thickBot="1">
      <c r="B112" s="143" t="s">
        <v>65</v>
      </c>
      <c r="C112" s="243">
        <f>SUM(C110:C111)</f>
        <v>34959.300999999999</v>
      </c>
      <c r="D112" s="236">
        <f>SUM(D110:D111)</f>
        <v>1275.5563704295603</v>
      </c>
    </row>
    <row r="114" spans="1:13">
      <c r="D114" s="39"/>
    </row>
    <row r="115" spans="1:13" ht="13.5" thickBot="1">
      <c r="B115" s="36" t="s">
        <v>82</v>
      </c>
      <c r="C115" s="455">
        <v>26.041666666666668</v>
      </c>
    </row>
    <row r="116" spans="1:13">
      <c r="B116" s="234" t="s">
        <v>83</v>
      </c>
      <c r="C116" s="240" t="s">
        <v>54</v>
      </c>
      <c r="D116" s="232" t="s">
        <v>55</v>
      </c>
    </row>
    <row r="117" spans="1:13">
      <c r="B117" s="86" t="s">
        <v>68</v>
      </c>
      <c r="C117" s="253">
        <f>16324.661+8923.628</f>
        <v>25248.289000000001</v>
      </c>
      <c r="D117" s="237">
        <f>C117/$C$55</f>
        <v>921.23168813920483</v>
      </c>
    </row>
    <row r="118" spans="1:13">
      <c r="B118" s="86" t="s">
        <v>69</v>
      </c>
      <c r="C118" s="253">
        <v>51930.186999999998</v>
      </c>
      <c r="D118" s="237">
        <f>C118/$C$55</f>
        <v>1894.7713183810033</v>
      </c>
    </row>
    <row r="119" spans="1:13" ht="13.5" thickBot="1">
      <c r="B119" s="87"/>
      <c r="C119" s="244"/>
      <c r="D119" s="233"/>
    </row>
    <row r="120" spans="1:13">
      <c r="B120" s="80" t="s">
        <v>70</v>
      </c>
      <c r="C120" s="238">
        <f>C117+C118</f>
        <v>77178.475999999995</v>
      </c>
      <c r="D120" s="220">
        <f>D117+D118</f>
        <v>2816.0030065202081</v>
      </c>
    </row>
    <row r="121" spans="1:13">
      <c r="B121" s="80"/>
      <c r="C121" s="238"/>
      <c r="D121" s="220"/>
    </row>
    <row r="122" spans="1:13">
      <c r="A122" s="80" t="s">
        <v>84</v>
      </c>
      <c r="I122" s="273" t="s">
        <v>1</v>
      </c>
    </row>
    <row r="123" spans="1:13" ht="12.75" customHeight="1">
      <c r="B123" s="256" t="s">
        <v>85</v>
      </c>
      <c r="C123" s="256"/>
      <c r="D123" s="256"/>
      <c r="E123" s="256"/>
      <c r="F123" s="256"/>
      <c r="G123" s="256"/>
      <c r="I123" s="256" t="s">
        <v>85</v>
      </c>
      <c r="J123" s="256"/>
      <c r="K123" s="256"/>
      <c r="L123" s="256"/>
      <c r="M123" s="256"/>
    </row>
    <row r="124" spans="1:13" ht="25.5">
      <c r="B124" s="34"/>
      <c r="C124" s="212" t="s">
        <v>3</v>
      </c>
      <c r="D124" s="212" t="s">
        <v>4</v>
      </c>
      <c r="E124" s="212" t="s">
        <v>5</v>
      </c>
      <c r="F124" s="212" t="s">
        <v>6</v>
      </c>
      <c r="G124" s="212" t="s">
        <v>7</v>
      </c>
      <c r="I124" s="34"/>
      <c r="J124" s="34" t="s">
        <v>4</v>
      </c>
      <c r="K124" s="34" t="s">
        <v>5</v>
      </c>
      <c r="L124" s="37" t="s">
        <v>6</v>
      </c>
      <c r="M124" s="37" t="s">
        <v>6</v>
      </c>
    </row>
    <row r="125" spans="1:13">
      <c r="B125" s="411"/>
      <c r="C125" s="411"/>
      <c r="D125" s="411"/>
      <c r="E125" s="435"/>
      <c r="F125" s="411"/>
      <c r="G125" s="411"/>
      <c r="I125" s="45" t="s">
        <v>8</v>
      </c>
      <c r="J125" s="402">
        <f>D149</f>
        <v>58486.411000000007</v>
      </c>
      <c r="K125" s="402">
        <f>E149</f>
        <v>3049.4549331831718</v>
      </c>
      <c r="L125" s="46">
        <f>+J125/J130</f>
        <v>1.9220036321492431</v>
      </c>
      <c r="M125" s="46">
        <f>+K125/K130</f>
        <v>1.778051028691787</v>
      </c>
    </row>
    <row r="126" spans="1:13">
      <c r="B126" s="161" t="s">
        <v>73</v>
      </c>
      <c r="C126" s="248" t="s">
        <v>10</v>
      </c>
      <c r="D126" s="211">
        <v>1583.6579999999999</v>
      </c>
      <c r="E126" s="436">
        <f t="shared" ref="E126:E131" si="5">D126/$C$175</f>
        <v>82.571209585334174</v>
      </c>
      <c r="F126" s="277"/>
      <c r="G126" s="277"/>
      <c r="I126" s="44" t="s">
        <v>11</v>
      </c>
      <c r="J126" s="404">
        <f>D150+2595.123</f>
        <v>29888.444</v>
      </c>
      <c r="K126" s="404">
        <f>J126/$C$175</f>
        <v>1558.3699092250497</v>
      </c>
      <c r="L126" s="47"/>
      <c r="M126" s="47"/>
    </row>
    <row r="127" spans="1:13">
      <c r="B127" s="161" t="s">
        <v>74</v>
      </c>
      <c r="C127" s="248" t="s">
        <v>13</v>
      </c>
      <c r="D127" s="211">
        <v>1170.3320000000001</v>
      </c>
      <c r="E127" s="436">
        <f t="shared" si="5"/>
        <v>61.020579478917377</v>
      </c>
      <c r="F127" s="277"/>
      <c r="G127" s="277"/>
      <c r="I127" s="45" t="s">
        <v>14</v>
      </c>
      <c r="J127" s="402">
        <f>J125-J126</f>
        <v>28597.967000000008</v>
      </c>
      <c r="K127" s="402">
        <f>K125-K126</f>
        <v>1491.0850239581221</v>
      </c>
      <c r="L127" s="46">
        <f>+J127/J130</f>
        <v>0.93979773260636901</v>
      </c>
      <c r="M127" s="46">
        <f>+K127/K130</f>
        <v>0.8694095563983878</v>
      </c>
    </row>
    <row r="128" spans="1:13">
      <c r="B128" s="161" t="s">
        <v>75</v>
      </c>
      <c r="C128" s="248" t="s">
        <v>19</v>
      </c>
      <c r="D128" s="211">
        <v>302.65800000000002</v>
      </c>
      <c r="E128" s="436">
        <f t="shared" si="5"/>
        <v>15.780450798517151</v>
      </c>
      <c r="F128" s="277"/>
      <c r="G128" s="277"/>
      <c r="I128" s="84" t="s">
        <v>17</v>
      </c>
      <c r="J128" s="400">
        <f>D152</f>
        <v>33852.508999999998</v>
      </c>
      <c r="K128" s="400">
        <f>J128/$C$175</f>
        <v>1765.0544597560911</v>
      </c>
      <c r="L128" s="85"/>
      <c r="M128" s="85"/>
    </row>
    <row r="129" spans="2:13">
      <c r="B129" s="161" t="s">
        <v>76</v>
      </c>
      <c r="C129" s="248" t="s">
        <v>77</v>
      </c>
      <c r="D129" s="211">
        <v>286.53199999999998</v>
      </c>
      <c r="E129" s="436">
        <f t="shared" si="5"/>
        <v>14.939648475178966</v>
      </c>
      <c r="F129" s="277"/>
      <c r="G129" s="277"/>
      <c r="I129" s="84" t="s">
        <v>20</v>
      </c>
      <c r="J129" s="400">
        <f>J125+J128</f>
        <v>92338.920000000013</v>
      </c>
      <c r="K129" s="400">
        <f>K125+K128</f>
        <v>4814.5093929392624</v>
      </c>
      <c r="L129" s="85"/>
      <c r="M129" s="85"/>
    </row>
    <row r="130" spans="2:13">
      <c r="B130" s="161" t="s">
        <v>78</v>
      </c>
      <c r="C130" s="248" t="s">
        <v>79</v>
      </c>
      <c r="D130" s="211">
        <v>48.293999999999997</v>
      </c>
      <c r="E130" s="436">
        <f t="shared" si="5"/>
        <v>2.5180272481268866</v>
      </c>
      <c r="F130" s="277"/>
      <c r="G130" s="277"/>
      <c r="I130" s="44" t="s">
        <v>23</v>
      </c>
      <c r="J130" s="397">
        <f>D154</f>
        <v>30429.917000000005</v>
      </c>
      <c r="K130" s="397">
        <f>E154</f>
        <v>1715.0547897530414</v>
      </c>
      <c r="L130" s="44"/>
      <c r="M130" s="44"/>
    </row>
    <row r="131" spans="2:13">
      <c r="B131" s="209" t="s">
        <v>24</v>
      </c>
      <c r="C131" s="250"/>
      <c r="D131" s="210">
        <f>SUM(D126:D130)</f>
        <v>3391.4739999999997</v>
      </c>
      <c r="E131" s="449">
        <f t="shared" si="5"/>
        <v>176.82991558607455</v>
      </c>
      <c r="F131" s="222"/>
      <c r="G131" s="222"/>
    </row>
    <row r="132" spans="2:13">
      <c r="B132" s="209"/>
      <c r="C132" s="250"/>
      <c r="D132" s="210"/>
      <c r="E132" s="437"/>
      <c r="F132" s="222"/>
      <c r="G132" s="222"/>
    </row>
    <row r="133" spans="2:13">
      <c r="B133" s="161" t="s">
        <v>25</v>
      </c>
      <c r="C133" s="248" t="s">
        <v>26</v>
      </c>
      <c r="D133" s="211">
        <v>2155.9949999999999</v>
      </c>
      <c r="E133" s="436">
        <f>D133/$C$175</f>
        <v>112.41260108554533</v>
      </c>
      <c r="F133" s="222"/>
      <c r="G133" s="222"/>
    </row>
    <row r="134" spans="2:13">
      <c r="B134" s="161" t="s">
        <v>27</v>
      </c>
      <c r="C134" s="249" t="s">
        <v>28</v>
      </c>
      <c r="D134" s="211">
        <v>624.154</v>
      </c>
      <c r="E134" s="436">
        <f>D134/$C$175</f>
        <v>32.543106369888363</v>
      </c>
      <c r="F134" s="222"/>
      <c r="G134" s="222"/>
    </row>
    <row r="135" spans="2:13">
      <c r="B135" s="161" t="s">
        <v>27</v>
      </c>
      <c r="C135" s="249" t="s">
        <v>86</v>
      </c>
      <c r="D135" s="211">
        <v>374.28300000000002</v>
      </c>
      <c r="E135" s="436">
        <f>D135/$C$175</f>
        <v>19.514945800941639</v>
      </c>
      <c r="F135" s="222"/>
      <c r="G135" s="222"/>
    </row>
    <row r="136" spans="2:13">
      <c r="B136" s="209" t="s">
        <v>31</v>
      </c>
      <c r="C136" s="250"/>
      <c r="D136" s="210">
        <f>SUM(D133:D135)</f>
        <v>3154.4319999999998</v>
      </c>
      <c r="E136" s="449">
        <f>D136/$C$175</f>
        <v>164.47065325637533</v>
      </c>
      <c r="F136" s="222"/>
      <c r="G136" s="222"/>
    </row>
    <row r="137" spans="2:13">
      <c r="B137" s="209"/>
      <c r="C137" s="250"/>
      <c r="D137" s="210"/>
      <c r="E137" s="437"/>
      <c r="F137" s="222"/>
      <c r="G137" s="222"/>
    </row>
    <row r="138" spans="2:13">
      <c r="B138" s="161" t="s">
        <v>32</v>
      </c>
      <c r="C138" s="248" t="s">
        <v>33</v>
      </c>
      <c r="D138" s="211">
        <v>14982.800999999999</v>
      </c>
      <c r="E138" s="436">
        <f>D138/$C$175</f>
        <v>781.19644616852531</v>
      </c>
      <c r="F138" s="162"/>
      <c r="G138" s="162"/>
      <c r="H138" s="450"/>
    </row>
    <row r="139" spans="2:13">
      <c r="B139" s="161" t="s">
        <v>34</v>
      </c>
      <c r="C139" s="248" t="s">
        <v>87</v>
      </c>
      <c r="D139" s="211">
        <v>9534.1980000000003</v>
      </c>
      <c r="E139" s="436">
        <f>D139/$C$175</f>
        <v>497.10875787958889</v>
      </c>
      <c r="F139" s="162"/>
      <c r="G139" s="162"/>
      <c r="H139" s="450"/>
    </row>
    <row r="140" spans="2:13">
      <c r="B140" s="161" t="s">
        <v>36</v>
      </c>
      <c r="C140" s="251" t="s">
        <v>88</v>
      </c>
      <c r="D140" s="211">
        <v>3984.7919999999999</v>
      </c>
      <c r="E140" s="436">
        <f>D140/$C$175</f>
        <v>207.7652469068214</v>
      </c>
      <c r="F140" s="162"/>
      <c r="G140" s="162"/>
      <c r="H140" s="450"/>
    </row>
    <row r="141" spans="2:13">
      <c r="B141" s="161" t="s">
        <v>38</v>
      </c>
      <c r="C141" s="249" t="s">
        <v>41</v>
      </c>
      <c r="D141" s="211">
        <v>1300.8630000000001</v>
      </c>
      <c r="E141" s="436">
        <f>D141/$C$175</f>
        <v>67.826406594609807</v>
      </c>
      <c r="F141" s="162"/>
      <c r="G141" s="162"/>
      <c r="H141" s="450"/>
    </row>
    <row r="142" spans="2:13">
      <c r="B142" s="161" t="s">
        <v>40</v>
      </c>
      <c r="C142" s="249" t="s">
        <v>89</v>
      </c>
      <c r="D142" s="211">
        <v>1462.2159999999999</v>
      </c>
      <c r="E142" s="436">
        <f>D142/$C$175</f>
        <v>76.23927880579582</v>
      </c>
      <c r="F142" s="162"/>
      <c r="G142" s="162"/>
      <c r="H142" s="450"/>
    </row>
    <row r="143" spans="2:13">
      <c r="B143" s="161" t="s">
        <v>42</v>
      </c>
      <c r="C143" s="249">
        <v>0.06</v>
      </c>
      <c r="D143" s="211">
        <v>211.054</v>
      </c>
      <c r="E143" s="436"/>
      <c r="F143" s="162"/>
      <c r="G143" s="162"/>
      <c r="H143" s="450"/>
    </row>
    <row r="144" spans="2:13">
      <c r="B144" s="161" t="s">
        <v>43</v>
      </c>
      <c r="C144" s="249">
        <v>2.5999999999999999E-2</v>
      </c>
      <c r="D144" s="211">
        <v>164.22499999999999</v>
      </c>
      <c r="E144" s="436">
        <f>D144/$C$175</f>
        <v>8.5626169881069689</v>
      </c>
      <c r="F144" s="162"/>
      <c r="G144" s="162"/>
      <c r="H144" s="450"/>
    </row>
    <row r="145" spans="2:9">
      <c r="B145" s="161" t="s">
        <v>45</v>
      </c>
      <c r="C145" s="408">
        <v>5.8000000000000003E-2</v>
      </c>
      <c r="D145" s="211">
        <v>18719.592000000001</v>
      </c>
      <c r="E145" s="436">
        <f>D145/$C$175</f>
        <v>976.03103345794682</v>
      </c>
      <c r="F145" s="222"/>
      <c r="G145" s="222"/>
      <c r="H145" s="450"/>
    </row>
    <row r="146" spans="2:9">
      <c r="B146" s="161" t="s">
        <v>46</v>
      </c>
      <c r="C146" s="248" t="s">
        <v>90</v>
      </c>
      <c r="D146" s="211">
        <v>1580.7639999999999</v>
      </c>
      <c r="E146" s="436">
        <f>D146/$C$175</f>
        <v>82.420317738395028</v>
      </c>
      <c r="F146" s="162"/>
      <c r="G146" s="162"/>
    </row>
    <row r="147" spans="2:9">
      <c r="B147" s="209" t="s">
        <v>48</v>
      </c>
      <c r="C147" s="408"/>
      <c r="D147" s="210">
        <f>SUM(D138:D146)</f>
        <v>51940.505000000005</v>
      </c>
      <c r="E147" s="449">
        <f>D147/$C$175</f>
        <v>2708.1543643407217</v>
      </c>
      <c r="F147" s="162"/>
      <c r="G147" s="162"/>
    </row>
    <row r="148" spans="2:9">
      <c r="B148" s="161"/>
      <c r="C148" s="408"/>
      <c r="D148" s="211"/>
      <c r="E148" s="438"/>
      <c r="F148" s="162"/>
      <c r="G148" s="162"/>
    </row>
    <row r="149" spans="2:9">
      <c r="B149" s="265" t="s">
        <v>49</v>
      </c>
      <c r="C149" s="265"/>
      <c r="D149" s="399">
        <f>+D136+D147+D131</f>
        <v>58486.411000000007</v>
      </c>
      <c r="E149" s="439">
        <f>+E136+E147+E131</f>
        <v>3049.4549331831718</v>
      </c>
      <c r="F149" s="267">
        <f>+D149/D154</f>
        <v>1.9220036321492431</v>
      </c>
      <c r="G149" s="267">
        <f>+E149/E154</f>
        <v>1.778051028691787</v>
      </c>
      <c r="I149" s="416"/>
    </row>
    <row r="150" spans="2:9">
      <c r="B150" s="44" t="s">
        <v>11</v>
      </c>
      <c r="C150" s="44"/>
      <c r="D150" s="272">
        <v>27293.321</v>
      </c>
      <c r="E150" s="440">
        <f>D150/$C$175</f>
        <v>1423.0613734599281</v>
      </c>
      <c r="F150" s="47"/>
      <c r="G150" s="47"/>
    </row>
    <row r="151" spans="2:9">
      <c r="B151" s="45" t="s">
        <v>14</v>
      </c>
      <c r="C151" s="45"/>
      <c r="D151" s="402">
        <f>+D149-D150</f>
        <v>31193.090000000007</v>
      </c>
      <c r="E151" s="441">
        <f>+E149-E150</f>
        <v>1626.3935597232437</v>
      </c>
      <c r="F151" s="46">
        <f>+D151/D154</f>
        <v>1.0250796937763584</v>
      </c>
      <c r="G151" s="46">
        <f>+E151/E154</f>
        <v>0.94830414132567487</v>
      </c>
    </row>
    <row r="152" spans="2:9">
      <c r="B152" s="44" t="s">
        <v>17</v>
      </c>
      <c r="C152" s="44"/>
      <c r="D152" s="272">
        <v>33852.508999999998</v>
      </c>
      <c r="E152" s="440">
        <f>D152/$C$175</f>
        <v>1765.0544597560911</v>
      </c>
      <c r="F152" s="47"/>
      <c r="G152" s="47"/>
    </row>
    <row r="153" spans="2:9">
      <c r="B153" s="268" t="s">
        <v>20</v>
      </c>
      <c r="C153" s="268"/>
      <c r="D153" s="396">
        <f>D149+D152</f>
        <v>92338.920000000013</v>
      </c>
      <c r="E153" s="442">
        <f>E149+E152</f>
        <v>4814.5093929392624</v>
      </c>
      <c r="F153" s="270"/>
      <c r="G153" s="270"/>
    </row>
    <row r="154" spans="2:9">
      <c r="B154" s="268" t="s">
        <v>23</v>
      </c>
      <c r="C154" s="268"/>
      <c r="D154" s="396">
        <v>30429.917000000005</v>
      </c>
      <c r="E154" s="442">
        <v>1715.0547897530414</v>
      </c>
      <c r="F154" s="270"/>
      <c r="G154" s="270"/>
    </row>
    <row r="157" spans="2:9">
      <c r="B157" s="36" t="s">
        <v>50</v>
      </c>
      <c r="D157" s="387">
        <v>37270</v>
      </c>
    </row>
    <row r="158" spans="2:9">
      <c r="B158" s="36" t="s">
        <v>51</v>
      </c>
      <c r="D158" s="227">
        <f>D157+D151</f>
        <v>68463.090000000011</v>
      </c>
    </row>
    <row r="159" spans="2:9">
      <c r="B159" s="80" t="s">
        <v>52</v>
      </c>
      <c r="D159" s="228">
        <f>D158/D154</f>
        <v>2.2498612138836922</v>
      </c>
      <c r="E159" s="228"/>
      <c r="G159" s="410"/>
    </row>
    <row r="160" spans="2:9" ht="13.5" thickBot="1">
      <c r="B160" s="80"/>
      <c r="D160" s="228"/>
    </row>
    <row r="161" spans="2:4">
      <c r="B161" s="234" t="s">
        <v>91</v>
      </c>
      <c r="C161" s="240" t="s">
        <v>54</v>
      </c>
      <c r="D161" s="232" t="s">
        <v>55</v>
      </c>
    </row>
    <row r="162" spans="2:4">
      <c r="B162" s="239" t="s">
        <v>56</v>
      </c>
      <c r="C162" s="253"/>
      <c r="D162" s="434">
        <f t="shared" ref="D162:D167" si="6">C162/$C$175</f>
        <v>0</v>
      </c>
    </row>
    <row r="163" spans="2:4">
      <c r="B163" s="239" t="s">
        <v>57</v>
      </c>
      <c r="C163" s="253"/>
      <c r="D163" s="434">
        <f t="shared" si="6"/>
        <v>0</v>
      </c>
    </row>
    <row r="164" spans="2:4">
      <c r="B164" s="239" t="s">
        <v>58</v>
      </c>
      <c r="C164" s="253"/>
      <c r="D164" s="434">
        <f t="shared" si="6"/>
        <v>0</v>
      </c>
    </row>
    <row r="165" spans="2:4">
      <c r="B165" s="239" t="s">
        <v>59</v>
      </c>
      <c r="C165" s="253"/>
      <c r="D165" s="434">
        <f t="shared" si="6"/>
        <v>0</v>
      </c>
    </row>
    <row r="166" spans="2:4">
      <c r="B166" s="239" t="s">
        <v>60</v>
      </c>
      <c r="C166" s="398">
        <f>D131</f>
        <v>3391.4739999999997</v>
      </c>
      <c r="D166" s="434">
        <f t="shared" si="6"/>
        <v>176.82991558607455</v>
      </c>
    </row>
    <row r="167" spans="2:4" ht="13.5" thickBot="1">
      <c r="B167" s="245" t="s">
        <v>61</v>
      </c>
      <c r="C167" s="451">
        <v>53854.35</v>
      </c>
      <c r="D167" s="247">
        <f t="shared" si="6"/>
        <v>2807.9413742941606</v>
      </c>
    </row>
    <row r="168" spans="2:4" ht="13.5" thickBot="1"/>
    <row r="169" spans="2:4">
      <c r="B169" s="140" t="s">
        <v>92</v>
      </c>
      <c r="C169" s="240" t="s">
        <v>54</v>
      </c>
      <c r="D169" s="232" t="s">
        <v>55</v>
      </c>
    </row>
    <row r="170" spans="2:4">
      <c r="B170" s="141" t="s">
        <v>63</v>
      </c>
      <c r="C170" s="242">
        <f>+D170*$C175</f>
        <v>0</v>
      </c>
      <c r="D170" s="253"/>
    </row>
    <row r="171" spans="2:4">
      <c r="B171" s="141" t="s">
        <v>64</v>
      </c>
      <c r="C171" s="242">
        <f>D150</f>
        <v>27293.321</v>
      </c>
      <c r="D171" s="237">
        <f>E150</f>
        <v>1423.0613734599281</v>
      </c>
    </row>
    <row r="172" spans="2:4" ht="13.5" thickBot="1">
      <c r="B172" s="143" t="s">
        <v>65</v>
      </c>
      <c r="C172" s="243">
        <f>SUM(C170:C171)</f>
        <v>27293.321</v>
      </c>
      <c r="D172" s="236">
        <f>SUM(D170:D171)</f>
        <v>1423.0613734599281</v>
      </c>
    </row>
    <row r="174" spans="2:4">
      <c r="D174" s="39"/>
    </row>
    <row r="175" spans="2:4" ht="13.5" thickBot="1">
      <c r="B175" s="36" t="s">
        <v>93</v>
      </c>
      <c r="C175" s="36">
        <v>19.179300000000001</v>
      </c>
    </row>
    <row r="176" spans="2:4">
      <c r="B176" s="234" t="s">
        <v>94</v>
      </c>
      <c r="C176" s="240" t="s">
        <v>54</v>
      </c>
      <c r="D176" s="232" t="s">
        <v>55</v>
      </c>
    </row>
    <row r="177" spans="1:13">
      <c r="B177" s="86" t="s">
        <v>68</v>
      </c>
      <c r="C177" s="253">
        <f>13154.343+6282.858</f>
        <v>19437.201000000001</v>
      </c>
      <c r="D177" s="237">
        <f>C177/$C$175</f>
        <v>1013.4468411255885</v>
      </c>
    </row>
    <row r="178" spans="1:13">
      <c r="B178" s="86" t="s">
        <v>69</v>
      </c>
      <c r="C178" s="253">
        <v>39049.21</v>
      </c>
      <c r="D178" s="452">
        <f>C178/$C$175</f>
        <v>2036.0080920575826</v>
      </c>
    </row>
    <row r="179" spans="1:13" ht="13.5" thickBot="1">
      <c r="B179" s="87"/>
      <c r="C179" s="244"/>
      <c r="D179" s="233"/>
    </row>
    <row r="180" spans="1:13">
      <c r="B180" s="80" t="s">
        <v>70</v>
      </c>
      <c r="C180" s="238">
        <f>C177+C178</f>
        <v>58486.411</v>
      </c>
      <c r="D180" s="220">
        <f>D177+D178</f>
        <v>3049.4549331831713</v>
      </c>
    </row>
    <row r="181" spans="1:13">
      <c r="B181" s="80"/>
      <c r="C181" s="238"/>
      <c r="D181" s="220"/>
    </row>
    <row r="182" spans="1:13">
      <c r="B182" s="80"/>
      <c r="C182" s="238"/>
      <c r="D182" s="220"/>
    </row>
    <row r="183" spans="1:13">
      <c r="A183" s="80" t="s">
        <v>95</v>
      </c>
      <c r="I183" s="273" t="s">
        <v>1</v>
      </c>
    </row>
    <row r="184" spans="1:13" ht="12.75" customHeight="1">
      <c r="B184" s="256" t="s">
        <v>96</v>
      </c>
      <c r="C184" s="256"/>
      <c r="D184" s="256"/>
      <c r="E184" s="256"/>
      <c r="F184" s="256"/>
      <c r="G184" s="256"/>
      <c r="I184" s="256" t="s">
        <v>96</v>
      </c>
      <c r="J184" s="256"/>
      <c r="K184" s="256"/>
      <c r="L184" s="256"/>
      <c r="M184" s="256"/>
    </row>
    <row r="185" spans="1:13" ht="25.5">
      <c r="B185" s="34"/>
      <c r="C185" s="212" t="s">
        <v>3</v>
      </c>
      <c r="D185" s="212" t="s">
        <v>4</v>
      </c>
      <c r="E185" s="212" t="s">
        <v>5</v>
      </c>
      <c r="F185" s="212" t="s">
        <v>6</v>
      </c>
      <c r="G185" s="212" t="s">
        <v>7</v>
      </c>
      <c r="I185" s="34"/>
      <c r="J185" s="34" t="s">
        <v>4</v>
      </c>
      <c r="K185" s="34" t="s">
        <v>5</v>
      </c>
      <c r="L185" s="37" t="s">
        <v>6</v>
      </c>
      <c r="M185" s="37" t="s">
        <v>6</v>
      </c>
    </row>
    <row r="186" spans="1:13">
      <c r="B186" s="411"/>
      <c r="C186" s="411"/>
      <c r="D186" s="411"/>
      <c r="E186" s="435"/>
      <c r="F186" s="411"/>
      <c r="G186" s="411"/>
      <c r="I186" s="45" t="s">
        <v>8</v>
      </c>
      <c r="J186" s="402">
        <f>D209</f>
        <v>53854.33</v>
      </c>
      <c r="K186" s="402">
        <f>E209</f>
        <v>2880.1725290534432</v>
      </c>
      <c r="L186" s="46">
        <f>+J186/J191</f>
        <v>2.4486034670710457</v>
      </c>
      <c r="M186" s="46">
        <f>+K186/K191</f>
        <v>2.1621726606106817</v>
      </c>
    </row>
    <row r="187" spans="1:13">
      <c r="B187" s="161" t="s">
        <v>73</v>
      </c>
      <c r="C187" s="248" t="s">
        <v>10</v>
      </c>
      <c r="D187" s="211">
        <v>1207.596</v>
      </c>
      <c r="E187" s="436">
        <f t="shared" ref="E187:E192" si="7">D187/$C$235</f>
        <v>64.583197402972459</v>
      </c>
      <c r="F187" s="277"/>
      <c r="G187" s="277"/>
      <c r="I187" s="44" t="s">
        <v>11</v>
      </c>
      <c r="J187" s="404">
        <f>D210+2109.457</f>
        <v>28049.522999999997</v>
      </c>
      <c r="K187" s="404">
        <f>J187/$C$235</f>
        <v>1500.1108656936726</v>
      </c>
      <c r="L187" s="47"/>
      <c r="M187" s="47"/>
    </row>
    <row r="188" spans="1:13">
      <c r="B188" s="161" t="s">
        <v>74</v>
      </c>
      <c r="C188" s="248" t="s">
        <v>13</v>
      </c>
      <c r="D188" s="211">
        <v>1148.5630000000001</v>
      </c>
      <c r="E188" s="436">
        <f t="shared" si="7"/>
        <v>61.426065471192572</v>
      </c>
      <c r="F188" s="277"/>
      <c r="G188" s="277"/>
      <c r="I188" s="45" t="s">
        <v>14</v>
      </c>
      <c r="J188" s="402">
        <f>J186-J187</f>
        <v>25804.807000000004</v>
      </c>
      <c r="K188" s="402">
        <f>K186-K187</f>
        <v>1380.0616633597706</v>
      </c>
      <c r="L188" s="46">
        <f>+J188/J191</f>
        <v>1.1732713021831149</v>
      </c>
      <c r="M188" s="46">
        <f>+K188/K191</f>
        <v>1.0360252965311265</v>
      </c>
    </row>
    <row r="189" spans="1:13">
      <c r="B189" s="161" t="s">
        <v>75</v>
      </c>
      <c r="C189" s="248" t="s">
        <v>19</v>
      </c>
      <c r="D189" s="211">
        <v>309.67</v>
      </c>
      <c r="E189" s="436">
        <f t="shared" si="7"/>
        <v>16.561398629821962</v>
      </c>
      <c r="F189" s="277"/>
      <c r="G189" s="277"/>
      <c r="I189" s="84" t="s">
        <v>17</v>
      </c>
      <c r="J189" s="400">
        <f>D212</f>
        <v>30891.061000000002</v>
      </c>
      <c r="K189" s="400">
        <f>J189/$C$235</f>
        <v>1652.0785846841693</v>
      </c>
      <c r="L189" s="85"/>
      <c r="M189" s="85"/>
    </row>
    <row r="190" spans="1:13">
      <c r="B190" s="161" t="s">
        <v>76</v>
      </c>
      <c r="C190" s="248" t="s">
        <v>77</v>
      </c>
      <c r="D190" s="211">
        <v>309.25900000000001</v>
      </c>
      <c r="E190" s="436">
        <f t="shared" si="7"/>
        <v>16.539418021959218</v>
      </c>
      <c r="F190" s="277"/>
      <c r="G190" s="277"/>
      <c r="I190" s="84" t="s">
        <v>20</v>
      </c>
      <c r="J190" s="400">
        <f>J186+J189</f>
        <v>84745.391000000003</v>
      </c>
      <c r="K190" s="400">
        <f>K186+K189</f>
        <v>4532.2511137376123</v>
      </c>
      <c r="L190" s="85"/>
      <c r="M190" s="85"/>
    </row>
    <row r="191" spans="1:13">
      <c r="B191" s="161" t="s">
        <v>78</v>
      </c>
      <c r="C191" s="248" t="s">
        <v>79</v>
      </c>
      <c r="D191" s="211">
        <v>80.143000000000001</v>
      </c>
      <c r="E191" s="436">
        <f t="shared" si="7"/>
        <v>4.2861115716402027</v>
      </c>
      <c r="F191" s="277"/>
      <c r="G191" s="277"/>
      <c r="I191" s="44" t="s">
        <v>23</v>
      </c>
      <c r="J191" s="397">
        <f>D214</f>
        <v>21993.896000000001</v>
      </c>
      <c r="K191" s="397">
        <f>E214</f>
        <v>1332.0733267619667</v>
      </c>
      <c r="L191" s="44"/>
      <c r="M191" s="44"/>
    </row>
    <row r="192" spans="1:13">
      <c r="B192" s="209" t="s">
        <v>24</v>
      </c>
      <c r="C192" s="250"/>
      <c r="D192" s="210">
        <f>SUM(D187:D191)</f>
        <v>3055.2310000000002</v>
      </c>
      <c r="E192" s="437">
        <f t="shared" si="7"/>
        <v>163.39619109758644</v>
      </c>
      <c r="F192" s="222"/>
      <c r="G192" s="222"/>
    </row>
    <row r="193" spans="2:7">
      <c r="B193" s="209"/>
      <c r="C193" s="250"/>
      <c r="D193" s="210"/>
      <c r="E193" s="437"/>
      <c r="F193" s="222"/>
      <c r="G193" s="222"/>
    </row>
    <row r="194" spans="2:7">
      <c r="B194" s="161" t="s">
        <v>25</v>
      </c>
      <c r="C194" s="248" t="s">
        <v>26</v>
      </c>
      <c r="D194" s="211">
        <v>2119.0439999999999</v>
      </c>
      <c r="E194" s="436">
        <f>D194/$C$235</f>
        <v>113.3281635228871</v>
      </c>
      <c r="F194" s="222"/>
      <c r="G194" s="222"/>
    </row>
    <row r="195" spans="2:7">
      <c r="B195" s="161" t="s">
        <v>27</v>
      </c>
      <c r="C195" s="249" t="s">
        <v>28</v>
      </c>
      <c r="D195" s="211">
        <v>652.83100000000002</v>
      </c>
      <c r="E195" s="436">
        <f>D195/$C$235</f>
        <v>34.913922656070341</v>
      </c>
      <c r="F195" s="222"/>
      <c r="G195" s="222"/>
    </row>
    <row r="196" spans="2:7">
      <c r="B196" s="161" t="s">
        <v>27</v>
      </c>
      <c r="C196" s="249" t="s">
        <v>86</v>
      </c>
      <c r="D196" s="211">
        <v>364.99299999999999</v>
      </c>
      <c r="E196" s="436">
        <f>D196/$C$235</f>
        <v>19.520116802062219</v>
      </c>
      <c r="F196" s="222"/>
      <c r="G196" s="222"/>
    </row>
    <row r="197" spans="2:7">
      <c r="B197" s="209" t="s">
        <v>31</v>
      </c>
      <c r="C197" s="250"/>
      <c r="D197" s="210">
        <f>SUM(D194:D196)</f>
        <v>3136.8679999999999</v>
      </c>
      <c r="E197" s="437">
        <f>D197/$C$235</f>
        <v>167.76220298101967</v>
      </c>
      <c r="F197" s="222"/>
      <c r="G197" s="222"/>
    </row>
    <row r="198" spans="2:7">
      <c r="B198" s="209"/>
      <c r="C198" s="250"/>
      <c r="D198" s="210"/>
      <c r="E198" s="437"/>
      <c r="F198" s="222"/>
      <c r="G198" s="222"/>
    </row>
    <row r="199" spans="2:7">
      <c r="B199" s="161" t="s">
        <v>32</v>
      </c>
      <c r="C199" s="248" t="s">
        <v>33</v>
      </c>
      <c r="D199" s="211">
        <v>13673.782999999999</v>
      </c>
      <c r="E199" s="436">
        <f t="shared" ref="E199:E207" si="8">D199/$C$235</f>
        <v>731.28482268441519</v>
      </c>
      <c r="F199" s="162"/>
      <c r="G199" s="162"/>
    </row>
    <row r="200" spans="2:7">
      <c r="B200" s="161" t="s">
        <v>34</v>
      </c>
      <c r="C200" s="248" t="s">
        <v>97</v>
      </c>
      <c r="D200" s="211">
        <v>7782.2139999999999</v>
      </c>
      <c r="E200" s="436">
        <f t="shared" si="8"/>
        <v>416.19901274447409</v>
      </c>
      <c r="F200" s="162"/>
      <c r="G200" s="162"/>
    </row>
    <row r="201" spans="2:7">
      <c r="B201" s="161" t="s">
        <v>36</v>
      </c>
      <c r="C201" s="251" t="s">
        <v>98</v>
      </c>
      <c r="D201" s="211">
        <v>3982.3090000000002</v>
      </c>
      <c r="E201" s="436">
        <f t="shared" si="8"/>
        <v>212.97706208585808</v>
      </c>
      <c r="F201" s="162"/>
      <c r="G201" s="162"/>
    </row>
    <row r="202" spans="2:7">
      <c r="B202" s="161" t="s">
        <v>38</v>
      </c>
      <c r="C202" s="249" t="s">
        <v>99</v>
      </c>
      <c r="D202" s="211">
        <v>1485.067</v>
      </c>
      <c r="E202" s="436">
        <f t="shared" si="8"/>
        <v>79.422567827021709</v>
      </c>
      <c r="F202" s="162"/>
      <c r="G202" s="162"/>
    </row>
    <row r="203" spans="2:7">
      <c r="B203" s="161" t="s">
        <v>40</v>
      </c>
      <c r="C203" s="249" t="s">
        <v>100</v>
      </c>
      <c r="D203" s="211">
        <v>1429.174</v>
      </c>
      <c r="E203" s="436">
        <f t="shared" si="8"/>
        <v>76.433365600081288</v>
      </c>
      <c r="F203" s="162"/>
      <c r="G203" s="162"/>
    </row>
    <row r="204" spans="2:7">
      <c r="B204" s="161" t="s">
        <v>101</v>
      </c>
      <c r="C204" s="249">
        <v>2.5999999999999999E-2</v>
      </c>
      <c r="D204" s="211">
        <v>171.78399999999999</v>
      </c>
      <c r="E204" s="436">
        <f t="shared" si="8"/>
        <v>9.187145355460121</v>
      </c>
      <c r="F204" s="162"/>
      <c r="G204" s="162"/>
    </row>
    <row r="205" spans="2:7">
      <c r="B205" s="161" t="s">
        <v>45</v>
      </c>
      <c r="C205" s="408">
        <v>5.8000000000000003E-2</v>
      </c>
      <c r="D205" s="211">
        <v>18013.2</v>
      </c>
      <c r="E205" s="436">
        <f t="shared" si="8"/>
        <v>963.36030548231668</v>
      </c>
      <c r="F205" s="222"/>
      <c r="G205" s="222"/>
    </row>
    <row r="206" spans="2:7">
      <c r="B206" s="161" t="s">
        <v>46</v>
      </c>
      <c r="C206" s="248" t="s">
        <v>102</v>
      </c>
      <c r="D206" s="211">
        <v>1124.7</v>
      </c>
      <c r="E206" s="436">
        <f t="shared" si="8"/>
        <v>60.149853195210262</v>
      </c>
      <c r="F206" s="162"/>
      <c r="G206" s="162"/>
    </row>
    <row r="207" spans="2:7">
      <c r="B207" s="209" t="s">
        <v>48</v>
      </c>
      <c r="C207" s="408"/>
      <c r="D207" s="210">
        <f>SUM(D199:D206)</f>
        <v>47662.231</v>
      </c>
      <c r="E207" s="437">
        <f t="shared" si="8"/>
        <v>2549.0141349748374</v>
      </c>
      <c r="F207" s="162"/>
      <c r="G207" s="162"/>
    </row>
    <row r="208" spans="2:7">
      <c r="B208" s="161"/>
      <c r="C208" s="408"/>
      <c r="D208" s="211"/>
      <c r="E208" s="438"/>
      <c r="F208" s="162"/>
      <c r="G208" s="162"/>
    </row>
    <row r="209" spans="2:9">
      <c r="B209" s="265" t="s">
        <v>49</v>
      </c>
      <c r="C209" s="265"/>
      <c r="D209" s="399">
        <f>+D197+D207+D192</f>
        <v>53854.33</v>
      </c>
      <c r="E209" s="439">
        <f>+E197+E207+E192</f>
        <v>2880.1725290534432</v>
      </c>
      <c r="F209" s="267">
        <f>+D209/D214</f>
        <v>2.4486034670710457</v>
      </c>
      <c r="G209" s="267">
        <f>+E209/E214</f>
        <v>2.1621726606106817</v>
      </c>
      <c r="I209" s="416"/>
    </row>
    <row r="210" spans="2:9">
      <c r="B210" s="44" t="s">
        <v>11</v>
      </c>
      <c r="C210" s="44"/>
      <c r="D210" s="272">
        <v>25940.065999999999</v>
      </c>
      <c r="E210" s="440">
        <f>D210/$C$235</f>
        <v>1387.2954225785231</v>
      </c>
      <c r="F210" s="47"/>
      <c r="G210" s="47"/>
    </row>
    <row r="211" spans="2:9">
      <c r="B211" s="45" t="s">
        <v>14</v>
      </c>
      <c r="C211" s="45"/>
      <c r="D211" s="402">
        <f>+D209-D210</f>
        <v>27914.264000000003</v>
      </c>
      <c r="E211" s="441">
        <f>+E209-E210</f>
        <v>1492.8771064749201</v>
      </c>
      <c r="F211" s="46">
        <f>+D211/D214</f>
        <v>1.2691823222224932</v>
      </c>
      <c r="G211" s="46">
        <f>+E211/E214</f>
        <v>1.1207169128623262</v>
      </c>
    </row>
    <row r="212" spans="2:9">
      <c r="B212" s="44" t="s">
        <v>17</v>
      </c>
      <c r="C212" s="44"/>
      <c r="D212" s="272">
        <v>30891.061000000002</v>
      </c>
      <c r="E212" s="440">
        <f>D212/$C$235</f>
        <v>1652.0785846841693</v>
      </c>
      <c r="F212" s="47"/>
      <c r="G212" s="47"/>
    </row>
    <row r="213" spans="2:9">
      <c r="B213" s="268" t="s">
        <v>20</v>
      </c>
      <c r="C213" s="268"/>
      <c r="D213" s="396">
        <f>D209+D212</f>
        <v>84745.391000000003</v>
      </c>
      <c r="E213" s="442">
        <f>E209+E212</f>
        <v>4532.2511137376123</v>
      </c>
      <c r="F213" s="270"/>
      <c r="G213" s="270"/>
    </row>
    <row r="214" spans="2:9">
      <c r="B214" s="268" t="s">
        <v>23</v>
      </c>
      <c r="C214" s="268"/>
      <c r="D214" s="396">
        <v>21993.896000000001</v>
      </c>
      <c r="E214" s="442">
        <v>1332.0733267619667</v>
      </c>
      <c r="F214" s="270"/>
      <c r="G214" s="270"/>
    </row>
    <row r="217" spans="2:9">
      <c r="B217" s="36" t="s">
        <v>50</v>
      </c>
      <c r="D217" s="387">
        <v>77350</v>
      </c>
    </row>
    <row r="218" spans="2:9">
      <c r="B218" s="36" t="s">
        <v>51</v>
      </c>
      <c r="D218" s="227">
        <f>D217+D211</f>
        <v>105264.264</v>
      </c>
    </row>
    <row r="219" spans="2:9">
      <c r="B219" s="80" t="s">
        <v>52</v>
      </c>
      <c r="D219" s="228">
        <f>D218/D214</f>
        <v>4.7860671888236626</v>
      </c>
      <c r="E219" s="228"/>
      <c r="G219" s="410"/>
    </row>
    <row r="220" spans="2:9" ht="13.5" thickBot="1">
      <c r="B220" s="80"/>
      <c r="D220" s="228"/>
    </row>
    <row r="221" spans="2:9">
      <c r="B221" s="234" t="s">
        <v>103</v>
      </c>
      <c r="C221" s="240" t="s">
        <v>54</v>
      </c>
      <c r="D221" s="232" t="s">
        <v>55</v>
      </c>
    </row>
    <row r="222" spans="2:9">
      <c r="B222" s="239" t="s">
        <v>56</v>
      </c>
      <c r="C222" s="253"/>
      <c r="D222" s="434">
        <f t="shared" ref="D222:D227" si="9">C222/$C$235</f>
        <v>0</v>
      </c>
    </row>
    <row r="223" spans="2:9">
      <c r="B223" s="239" t="s">
        <v>57</v>
      </c>
      <c r="C223" s="253"/>
      <c r="D223" s="434">
        <f t="shared" si="9"/>
        <v>0</v>
      </c>
    </row>
    <row r="224" spans="2:9">
      <c r="B224" s="239" t="s">
        <v>58</v>
      </c>
      <c r="C224" s="253"/>
      <c r="D224" s="434">
        <f t="shared" si="9"/>
        <v>0</v>
      </c>
    </row>
    <row r="225" spans="2:4">
      <c r="B225" s="239" t="s">
        <v>59</v>
      </c>
      <c r="C225" s="253"/>
      <c r="D225" s="434">
        <f t="shared" si="9"/>
        <v>0</v>
      </c>
    </row>
    <row r="226" spans="2:4">
      <c r="B226" s="239" t="s">
        <v>60</v>
      </c>
      <c r="C226" s="398">
        <f>D192</f>
        <v>3055.2310000000002</v>
      </c>
      <c r="D226" s="434">
        <f t="shared" si="9"/>
        <v>163.39619109758644</v>
      </c>
    </row>
    <row r="227" spans="2:4" ht="13.5" thickBot="1">
      <c r="B227" s="245" t="s">
        <v>61</v>
      </c>
      <c r="C227" s="443">
        <v>53854.35</v>
      </c>
      <c r="D227" s="247">
        <f t="shared" si="9"/>
        <v>2880.1735986693975</v>
      </c>
    </row>
    <row r="228" spans="2:4" ht="13.5" thickBot="1"/>
    <row r="229" spans="2:4">
      <c r="B229" s="140" t="s">
        <v>104</v>
      </c>
      <c r="C229" s="240" t="s">
        <v>54</v>
      </c>
      <c r="D229" s="232" t="s">
        <v>55</v>
      </c>
    </row>
    <row r="230" spans="2:4">
      <c r="B230" s="141" t="s">
        <v>63</v>
      </c>
      <c r="C230" s="242">
        <f>+D230*$C$355</f>
        <v>0</v>
      </c>
      <c r="D230" s="253"/>
    </row>
    <row r="231" spans="2:4">
      <c r="B231" s="141" t="s">
        <v>64</v>
      </c>
      <c r="C231" s="242">
        <f>D210</f>
        <v>25940.065999999999</v>
      </c>
      <c r="D231" s="237">
        <f>E210</f>
        <v>1387.2954225785231</v>
      </c>
    </row>
    <row r="232" spans="2:4" ht="13.5" thickBot="1">
      <c r="B232" s="143" t="s">
        <v>65</v>
      </c>
      <c r="C232" s="243">
        <f>SUM(C230:C231)</f>
        <v>25940.065999999999</v>
      </c>
      <c r="D232" s="236">
        <f>SUM(D230:D231)</f>
        <v>1387.2954225785231</v>
      </c>
    </row>
    <row r="234" spans="2:4">
      <c r="D234" s="39"/>
    </row>
    <row r="235" spans="2:4" ht="13.5" thickBot="1">
      <c r="B235" s="36" t="s">
        <v>105</v>
      </c>
      <c r="C235" s="36">
        <v>18.6983</v>
      </c>
    </row>
    <row r="236" spans="2:4">
      <c r="B236" s="234" t="s">
        <v>106</v>
      </c>
      <c r="C236" s="240" t="s">
        <v>54</v>
      </c>
      <c r="D236" s="232" t="s">
        <v>55</v>
      </c>
    </row>
    <row r="237" spans="2:4">
      <c r="B237" s="86" t="s">
        <v>68</v>
      </c>
      <c r="C237" s="253">
        <f>10758.843+5962.404</f>
        <v>16721.247000000003</v>
      </c>
      <c r="D237" s="237">
        <f>C237/$C$235</f>
        <v>894.26562842611384</v>
      </c>
    </row>
    <row r="238" spans="2:4">
      <c r="B238" s="86" t="s">
        <v>69</v>
      </c>
      <c r="C238" s="253">
        <v>37133.103000000003</v>
      </c>
      <c r="D238" s="237">
        <f>C238/$C$235</f>
        <v>1985.9079702432844</v>
      </c>
    </row>
    <row r="239" spans="2:4" ht="13.5" thickBot="1">
      <c r="B239" s="87"/>
      <c r="C239" s="244"/>
      <c r="D239" s="233"/>
    </row>
    <row r="240" spans="2:4">
      <c r="B240" s="80" t="s">
        <v>70</v>
      </c>
      <c r="C240" s="238">
        <f>C237+C238</f>
        <v>53854.350000000006</v>
      </c>
      <c r="D240" s="220">
        <f>D237+D238</f>
        <v>2880.1735986693984</v>
      </c>
    </row>
    <row r="241" spans="1:13">
      <c r="B241" s="80"/>
      <c r="C241" s="238"/>
      <c r="D241" s="220"/>
    </row>
    <row r="242" spans="1:13">
      <c r="B242" s="80"/>
      <c r="C242" s="238"/>
      <c r="D242" s="220"/>
    </row>
    <row r="243" spans="1:13">
      <c r="A243" s="80" t="s">
        <v>107</v>
      </c>
      <c r="I243" s="273" t="s">
        <v>1</v>
      </c>
    </row>
    <row r="244" spans="1:13" ht="12.75" customHeight="1">
      <c r="B244" s="256" t="s">
        <v>108</v>
      </c>
      <c r="C244" s="256"/>
      <c r="D244" s="256"/>
      <c r="E244" s="256"/>
      <c r="F244" s="256"/>
      <c r="G244" s="256"/>
      <c r="I244" s="256" t="s">
        <v>108</v>
      </c>
      <c r="J244" s="256"/>
      <c r="K244" s="256"/>
      <c r="L244" s="256"/>
      <c r="M244" s="256"/>
    </row>
    <row r="245" spans="1:13" ht="25.5">
      <c r="B245" s="34"/>
      <c r="C245" s="212" t="s">
        <v>3</v>
      </c>
      <c r="D245" s="212" t="s">
        <v>4</v>
      </c>
      <c r="E245" s="212" t="s">
        <v>5</v>
      </c>
      <c r="F245" s="212" t="s">
        <v>6</v>
      </c>
      <c r="G245" s="212" t="s">
        <v>7</v>
      </c>
      <c r="I245" s="34"/>
      <c r="J245" s="34" t="s">
        <v>4</v>
      </c>
      <c r="K245" s="34" t="s">
        <v>5</v>
      </c>
      <c r="L245" s="37" t="s">
        <v>6</v>
      </c>
      <c r="M245" s="37" t="s">
        <v>6</v>
      </c>
    </row>
    <row r="246" spans="1:13">
      <c r="B246" s="411"/>
      <c r="C246" s="411"/>
      <c r="D246" s="411"/>
      <c r="E246" s="435"/>
      <c r="F246" s="411"/>
      <c r="G246" s="411"/>
      <c r="I246" s="45" t="s">
        <v>8</v>
      </c>
      <c r="J246" s="402">
        <f>D269</f>
        <v>51921.675999999999</v>
      </c>
      <c r="K246" s="402">
        <f>E269</f>
        <v>2807.1688626250943</v>
      </c>
      <c r="L246" s="46">
        <f>+J246/J251</f>
        <v>2.6555700292179991</v>
      </c>
      <c r="M246" s="46">
        <f>+K246/K251</f>
        <v>2.1004532229199975</v>
      </c>
    </row>
    <row r="247" spans="1:13">
      <c r="B247" s="161" t="s">
        <v>73</v>
      </c>
      <c r="C247" s="248" t="s">
        <v>10</v>
      </c>
      <c r="D247" s="211">
        <v>1295.0350000000001</v>
      </c>
      <c r="E247" s="436">
        <f t="shared" ref="E247:E252" si="10">D247/$C$295</f>
        <v>70.016652159103828</v>
      </c>
      <c r="F247" s="277"/>
      <c r="G247" s="277"/>
      <c r="I247" s="44" t="s">
        <v>11</v>
      </c>
      <c r="J247" s="404">
        <f>D270+2460.785</f>
        <v>26784.173999999999</v>
      </c>
      <c r="K247" s="404">
        <f>J247/$C$295</f>
        <v>1448.098464000519</v>
      </c>
      <c r="L247" s="47"/>
      <c r="M247" s="47"/>
    </row>
    <row r="248" spans="1:13">
      <c r="B248" s="161" t="s">
        <v>74</v>
      </c>
      <c r="C248" s="248" t="s">
        <v>13</v>
      </c>
      <c r="D248" s="211">
        <v>1143.1020000000001</v>
      </c>
      <c r="E248" s="436">
        <f t="shared" si="10"/>
        <v>61.802325895729382</v>
      </c>
      <c r="F248" s="277"/>
      <c r="G248" s="277"/>
      <c r="I248" s="45" t="s">
        <v>14</v>
      </c>
      <c r="J248" s="402">
        <f>J246-J247</f>
        <v>25137.502</v>
      </c>
      <c r="K248" s="402">
        <f>K246-K247</f>
        <v>1359.0703986245753</v>
      </c>
      <c r="L248" s="46">
        <f>+J248/J251</f>
        <v>1.2856749254513185</v>
      </c>
      <c r="M248" s="46">
        <f>+K248/K251</f>
        <v>1.0169191590051501</v>
      </c>
    </row>
    <row r="249" spans="1:13">
      <c r="B249" s="161" t="s">
        <v>75</v>
      </c>
      <c r="C249" s="248" t="s">
        <v>19</v>
      </c>
      <c r="D249" s="211">
        <v>302.88600000000002</v>
      </c>
      <c r="E249" s="436">
        <f t="shared" si="10"/>
        <v>16.37566838414585</v>
      </c>
      <c r="F249" s="277"/>
      <c r="G249" s="277"/>
      <c r="I249" s="84" t="s">
        <v>17</v>
      </c>
      <c r="J249" s="400">
        <f>D272</f>
        <v>25531.741999999998</v>
      </c>
      <c r="K249" s="400">
        <f>J249/$C$295</f>
        <v>1380.3851622774532</v>
      </c>
      <c r="L249" s="85"/>
      <c r="M249" s="85"/>
    </row>
    <row r="250" spans="1:13">
      <c r="B250" s="161" t="s">
        <v>76</v>
      </c>
      <c r="C250" s="248" t="s">
        <v>77</v>
      </c>
      <c r="D250" s="211">
        <v>271.33100000000002</v>
      </c>
      <c r="E250" s="436">
        <f t="shared" si="10"/>
        <v>14.66963305777975</v>
      </c>
      <c r="F250" s="277"/>
      <c r="G250" s="277"/>
      <c r="I250" s="84" t="s">
        <v>20</v>
      </c>
      <c r="J250" s="400">
        <f>J246+J249</f>
        <v>77453.418000000005</v>
      </c>
      <c r="K250" s="400">
        <f>K246+K249</f>
        <v>4187.5540249025471</v>
      </c>
      <c r="L250" s="85"/>
      <c r="M250" s="85"/>
    </row>
    <row r="251" spans="1:13">
      <c r="B251" s="161" t="s">
        <v>78</v>
      </c>
      <c r="C251" s="248" t="s">
        <v>109</v>
      </c>
      <c r="D251" s="211">
        <v>95.495999999999995</v>
      </c>
      <c r="E251" s="436">
        <f t="shared" si="10"/>
        <v>5.1630343694076046</v>
      </c>
      <c r="F251" s="277"/>
      <c r="G251" s="277"/>
      <c r="I251" s="44" t="s">
        <v>23</v>
      </c>
      <c r="J251" s="397">
        <f>D274</f>
        <v>19551.989000000001</v>
      </c>
      <c r="K251" s="397">
        <f>E274</f>
        <v>1336.4586423508345</v>
      </c>
      <c r="L251" s="44"/>
      <c r="M251" s="44"/>
    </row>
    <row r="252" spans="1:13">
      <c r="B252" s="209" t="s">
        <v>24</v>
      </c>
      <c r="C252" s="250"/>
      <c r="D252" s="210">
        <f>SUM(D247:D251)</f>
        <v>3107.8500000000004</v>
      </c>
      <c r="E252" s="437">
        <f t="shared" si="10"/>
        <v>168.02731386616642</v>
      </c>
      <c r="F252" s="222"/>
      <c r="G252" s="222"/>
    </row>
    <row r="253" spans="1:13">
      <c r="B253" s="209"/>
      <c r="C253" s="250"/>
      <c r="D253" s="210"/>
      <c r="E253" s="437"/>
      <c r="F253" s="222"/>
      <c r="G253" s="222"/>
    </row>
    <row r="254" spans="1:13">
      <c r="B254" s="161" t="s">
        <v>25</v>
      </c>
      <c r="C254" s="248" t="s">
        <v>26</v>
      </c>
      <c r="D254" s="211">
        <v>2128.5279999999998</v>
      </c>
      <c r="E254" s="436">
        <f>D254/$C$295</f>
        <v>115.07982763934018</v>
      </c>
      <c r="F254" s="222"/>
      <c r="G254" s="222"/>
    </row>
    <row r="255" spans="1:13">
      <c r="B255" s="161" t="s">
        <v>27</v>
      </c>
      <c r="C255" s="249" t="s">
        <v>28</v>
      </c>
      <c r="D255" s="211">
        <v>648.64200000000005</v>
      </c>
      <c r="E255" s="436"/>
      <c r="F255" s="222"/>
      <c r="G255" s="222"/>
    </row>
    <row r="256" spans="1:13">
      <c r="B256" s="209" t="s">
        <v>31</v>
      </c>
      <c r="C256" s="250"/>
      <c r="D256" s="210">
        <f>SUM(D254:D255)</f>
        <v>2777.17</v>
      </c>
      <c r="E256" s="437">
        <f>D256/$C$295</f>
        <v>150.1489503192565</v>
      </c>
      <c r="F256" s="222"/>
      <c r="G256" s="222"/>
    </row>
    <row r="257" spans="2:9">
      <c r="B257" s="209"/>
      <c r="C257" s="250"/>
      <c r="D257" s="210"/>
      <c r="E257" s="437"/>
      <c r="F257" s="222"/>
      <c r="G257" s="222"/>
    </row>
    <row r="258" spans="2:9">
      <c r="B258" s="161" t="s">
        <v>110</v>
      </c>
      <c r="C258" s="248" t="s">
        <v>33</v>
      </c>
      <c r="D258" s="211">
        <v>12910.11</v>
      </c>
      <c r="E258" s="436">
        <f t="shared" ref="E258:E267" si="11">D258/$C$295</f>
        <v>697.99092781721561</v>
      </c>
      <c r="F258" s="162"/>
      <c r="G258" s="162"/>
    </row>
    <row r="259" spans="2:9">
      <c r="B259" s="161" t="s">
        <v>111</v>
      </c>
      <c r="C259" s="251" t="s">
        <v>98</v>
      </c>
      <c r="D259" s="211">
        <v>4267.4780000000001</v>
      </c>
      <c r="E259" s="436">
        <f t="shared" si="11"/>
        <v>230.72312541562818</v>
      </c>
      <c r="F259" s="162"/>
      <c r="G259" s="162"/>
    </row>
    <row r="260" spans="2:9">
      <c r="B260" s="161" t="s">
        <v>34</v>
      </c>
      <c r="C260" s="248" t="s">
        <v>112</v>
      </c>
      <c r="D260" s="211">
        <v>6532.6629999999996</v>
      </c>
      <c r="E260" s="436">
        <f t="shared" si="11"/>
        <v>353.19137547915506</v>
      </c>
      <c r="F260" s="162"/>
      <c r="G260" s="162"/>
    </row>
    <row r="261" spans="2:9">
      <c r="B261" s="161" t="s">
        <v>113</v>
      </c>
      <c r="C261" s="249">
        <v>1.7000000000000001E-2</v>
      </c>
      <c r="D261" s="211">
        <v>432.68299999999999</v>
      </c>
      <c r="E261" s="436">
        <f t="shared" si="11"/>
        <v>23.393201810111321</v>
      </c>
      <c r="F261" s="162"/>
      <c r="G261" s="162"/>
    </row>
    <row r="262" spans="2:9">
      <c r="B262" s="161" t="s">
        <v>101</v>
      </c>
      <c r="C262" s="249">
        <v>2.5999999999999999E-2</v>
      </c>
      <c r="D262" s="211">
        <v>180.21700000000001</v>
      </c>
      <c r="E262" s="436">
        <f t="shared" si="11"/>
        <v>9.7435134974400022</v>
      </c>
      <c r="F262" s="162"/>
      <c r="G262" s="162"/>
    </row>
    <row r="263" spans="2:9">
      <c r="B263" s="161" t="s">
        <v>114</v>
      </c>
      <c r="C263" s="249" t="s">
        <v>115</v>
      </c>
      <c r="D263" s="211">
        <v>1774.729</v>
      </c>
      <c r="E263" s="436">
        <f t="shared" si="11"/>
        <v>95.951524916063391</v>
      </c>
      <c r="F263" s="162"/>
      <c r="G263" s="162"/>
    </row>
    <row r="264" spans="2:9">
      <c r="B264" s="161" t="s">
        <v>116</v>
      </c>
      <c r="C264" s="249" t="s">
        <v>99</v>
      </c>
      <c r="D264" s="211">
        <v>1320.7629999999999</v>
      </c>
      <c r="E264" s="436">
        <f t="shared" si="11"/>
        <v>71.4076480987884</v>
      </c>
      <c r="F264" s="162"/>
      <c r="G264" s="162"/>
    </row>
    <row r="265" spans="2:9">
      <c r="B265" s="161" t="s">
        <v>117</v>
      </c>
      <c r="C265" s="408">
        <v>5.8000000000000003E-2</v>
      </c>
      <c r="D265" s="211">
        <v>18071.469000000001</v>
      </c>
      <c r="E265" s="436">
        <f t="shared" si="11"/>
        <v>977.04213320645988</v>
      </c>
      <c r="F265" s="222"/>
      <c r="G265" s="222"/>
    </row>
    <row r="266" spans="2:9">
      <c r="B266" s="161" t="s">
        <v>118</v>
      </c>
      <c r="C266" s="408" t="s">
        <v>119</v>
      </c>
      <c r="D266" s="211">
        <v>546.54399999999998</v>
      </c>
      <c r="E266" s="436">
        <f t="shared" si="11"/>
        <v>29.54914819880948</v>
      </c>
      <c r="F266" s="162"/>
      <c r="G266" s="162"/>
    </row>
    <row r="267" spans="2:9">
      <c r="B267" s="209" t="s">
        <v>48</v>
      </c>
      <c r="C267" s="408"/>
      <c r="D267" s="210">
        <f>SUM(D258:D266)</f>
        <v>46036.656000000003</v>
      </c>
      <c r="E267" s="437">
        <f t="shared" si="11"/>
        <v>2488.9925984396714</v>
      </c>
      <c r="F267" s="162"/>
      <c r="G267" s="162"/>
    </row>
    <row r="268" spans="2:9">
      <c r="B268" s="161"/>
      <c r="C268" s="408"/>
      <c r="D268" s="211"/>
      <c r="E268" s="438"/>
      <c r="F268" s="162"/>
      <c r="G268" s="162"/>
    </row>
    <row r="269" spans="2:9">
      <c r="B269" s="265" t="s">
        <v>49</v>
      </c>
      <c r="C269" s="265"/>
      <c r="D269" s="399">
        <f>+D256+D267+D252</f>
        <v>51921.675999999999</v>
      </c>
      <c r="E269" s="439">
        <f>+E256+E267+E252</f>
        <v>2807.1688626250943</v>
      </c>
      <c r="F269" s="267">
        <f>+D269/D274</f>
        <v>2.6555700292179991</v>
      </c>
      <c r="G269" s="267">
        <f>+E269/E274</f>
        <v>2.1004532229199975</v>
      </c>
      <c r="I269" s="416"/>
    </row>
    <row r="270" spans="2:9">
      <c r="B270" s="44" t="s">
        <v>11</v>
      </c>
      <c r="C270" s="44"/>
      <c r="D270" s="272">
        <v>24323.388999999999</v>
      </c>
      <c r="E270" s="440">
        <f>D270/$C$295</f>
        <v>1315.0550115970395</v>
      </c>
      <c r="F270" s="47"/>
      <c r="G270" s="47"/>
    </row>
    <row r="271" spans="2:9">
      <c r="B271" s="45" t="s">
        <v>14</v>
      </c>
      <c r="C271" s="45"/>
      <c r="D271" s="402">
        <f>+D269-D270</f>
        <v>27598.287</v>
      </c>
      <c r="E271" s="441">
        <f>+E269-E270</f>
        <v>1492.1138510280548</v>
      </c>
      <c r="F271" s="46">
        <f>+D271/D274</f>
        <v>1.4115334762105276</v>
      </c>
      <c r="G271" s="46">
        <f>+E271/E274</f>
        <v>1.1164684066866615</v>
      </c>
    </row>
    <row r="272" spans="2:9">
      <c r="B272" s="44" t="s">
        <v>17</v>
      </c>
      <c r="C272" s="44"/>
      <c r="D272" s="272">
        <v>25531.741999999998</v>
      </c>
      <c r="E272" s="440">
        <f>D272/$C$295</f>
        <v>1380.3851622774532</v>
      </c>
      <c r="F272" s="47"/>
      <c r="G272" s="47"/>
    </row>
    <row r="273" spans="2:7">
      <c r="B273" s="268" t="s">
        <v>20</v>
      </c>
      <c r="C273" s="268"/>
      <c r="D273" s="396">
        <f>D269+D272</f>
        <v>77453.418000000005</v>
      </c>
      <c r="E273" s="442">
        <f>E269+E272</f>
        <v>4187.5540249025471</v>
      </c>
      <c r="F273" s="270"/>
      <c r="G273" s="270"/>
    </row>
    <row r="274" spans="2:7">
      <c r="B274" s="268" t="s">
        <v>23</v>
      </c>
      <c r="C274" s="268"/>
      <c r="D274" s="396">
        <v>19551.989000000001</v>
      </c>
      <c r="E274" s="442">
        <v>1336.4586423508345</v>
      </c>
      <c r="F274" s="270"/>
      <c r="G274" s="270"/>
    </row>
    <row r="277" spans="2:7">
      <c r="B277" s="36" t="s">
        <v>50</v>
      </c>
      <c r="D277" s="387">
        <v>62000</v>
      </c>
    </row>
    <row r="278" spans="2:7">
      <c r="B278" s="36" t="s">
        <v>51</v>
      </c>
      <c r="D278" s="227">
        <f>D277+D271</f>
        <v>89598.286999999997</v>
      </c>
    </row>
    <row r="279" spans="2:7">
      <c r="B279" s="80" t="s">
        <v>52</v>
      </c>
      <c r="D279" s="228">
        <f>D278/D274</f>
        <v>4.5825663568039028</v>
      </c>
      <c r="E279" s="228"/>
      <c r="G279" s="410"/>
    </row>
    <row r="280" spans="2:7" ht="13.5" thickBot="1">
      <c r="B280" s="80"/>
      <c r="D280" s="228"/>
    </row>
    <row r="281" spans="2:7">
      <c r="B281" s="234" t="s">
        <v>120</v>
      </c>
      <c r="C281" s="240" t="s">
        <v>54</v>
      </c>
      <c r="D281" s="232" t="s">
        <v>55</v>
      </c>
    </row>
    <row r="282" spans="2:7">
      <c r="B282" s="239" t="s">
        <v>56</v>
      </c>
      <c r="C282" s="253"/>
      <c r="D282" s="434">
        <f t="shared" ref="D282:D287" si="12">C282/$C$295</f>
        <v>0</v>
      </c>
    </row>
    <row r="283" spans="2:7">
      <c r="B283" s="239" t="s">
        <v>57</v>
      </c>
      <c r="C283" s="253"/>
      <c r="D283" s="434">
        <f t="shared" si="12"/>
        <v>0</v>
      </c>
    </row>
    <row r="284" spans="2:7">
      <c r="B284" s="239" t="s">
        <v>58</v>
      </c>
      <c r="C284" s="253"/>
      <c r="D284" s="434">
        <f t="shared" si="12"/>
        <v>0</v>
      </c>
    </row>
    <row r="285" spans="2:7">
      <c r="B285" s="239" t="s">
        <v>59</v>
      </c>
      <c r="C285" s="253"/>
      <c r="D285" s="434">
        <f t="shared" si="12"/>
        <v>0</v>
      </c>
    </row>
    <row r="286" spans="2:7">
      <c r="B286" s="239" t="s">
        <v>60</v>
      </c>
      <c r="C286" s="398">
        <f>D252</f>
        <v>3107.8500000000004</v>
      </c>
      <c r="D286" s="434">
        <f t="shared" si="12"/>
        <v>168.02731386616642</v>
      </c>
    </row>
    <row r="287" spans="2:7" ht="13.5" thickBot="1">
      <c r="B287" s="245" t="s">
        <v>61</v>
      </c>
      <c r="C287" s="443">
        <v>51921.675999999999</v>
      </c>
      <c r="D287" s="247">
        <f t="shared" si="12"/>
        <v>2807.1688626250943</v>
      </c>
    </row>
    <row r="288" spans="2:7" ht="13.5" thickBot="1"/>
    <row r="289" spans="1:13">
      <c r="B289" s="140" t="s">
        <v>121</v>
      </c>
      <c r="C289" s="240" t="s">
        <v>54</v>
      </c>
      <c r="D289" s="232" t="s">
        <v>55</v>
      </c>
    </row>
    <row r="290" spans="1:13">
      <c r="B290" s="141" t="s">
        <v>63</v>
      </c>
      <c r="C290" s="242">
        <f>+D290*$C$355</f>
        <v>0</v>
      </c>
      <c r="D290" s="253"/>
    </row>
    <row r="291" spans="1:13">
      <c r="B291" s="141" t="s">
        <v>64</v>
      </c>
      <c r="C291" s="242">
        <f>D270</f>
        <v>24323.388999999999</v>
      </c>
      <c r="D291" s="237">
        <f>E270</f>
        <v>1315.0550115970395</v>
      </c>
    </row>
    <row r="292" spans="1:13" ht="13.5" thickBot="1">
      <c r="B292" s="143" t="s">
        <v>65</v>
      </c>
      <c r="C292" s="243">
        <f>SUM(C290:C291)</f>
        <v>24323.388999999999</v>
      </c>
      <c r="D292" s="236">
        <f>SUM(D290:D291)</f>
        <v>1315.0550115970395</v>
      </c>
    </row>
    <row r="294" spans="1:13">
      <c r="D294" s="39"/>
    </row>
    <row r="295" spans="1:13" ht="13.5" thickBot="1">
      <c r="B295" s="36" t="s">
        <v>122</v>
      </c>
      <c r="C295" s="36">
        <v>18.496099999999998</v>
      </c>
    </row>
    <row r="296" spans="1:13">
      <c r="B296" s="234" t="s">
        <v>106</v>
      </c>
      <c r="C296" s="240" t="s">
        <v>54</v>
      </c>
      <c r="D296" s="232" t="s">
        <v>55</v>
      </c>
    </row>
    <row r="297" spans="1:13">
      <c r="B297" s="86" t="s">
        <v>68</v>
      </c>
      <c r="C297" s="253">
        <f>9486.62+4734.785</f>
        <v>14221.405000000001</v>
      </c>
      <c r="D297" s="237">
        <f>C297/$C$295</f>
        <v>768.88668421991679</v>
      </c>
    </row>
    <row r="298" spans="1:13">
      <c r="B298" s="86" t="s">
        <v>69</v>
      </c>
      <c r="C298" s="253">
        <v>37700.271000000001</v>
      </c>
      <c r="D298" s="237">
        <f>C298/$C$295</f>
        <v>2038.2821784051775</v>
      </c>
    </row>
    <row r="299" spans="1:13" ht="13.5" thickBot="1">
      <c r="B299" s="87"/>
      <c r="C299" s="244"/>
      <c r="D299" s="233"/>
    </row>
    <row r="300" spans="1:13">
      <c r="B300" s="80" t="s">
        <v>70</v>
      </c>
      <c r="C300" s="238">
        <f>C297+C298</f>
        <v>51921.675999999999</v>
      </c>
      <c r="D300" s="220">
        <f>D297+D298</f>
        <v>2807.1688626250943</v>
      </c>
    </row>
    <row r="301" spans="1:13">
      <c r="B301" s="80"/>
      <c r="C301" s="238"/>
      <c r="D301" s="220"/>
    </row>
    <row r="302" spans="1:13">
      <c r="B302" s="80"/>
      <c r="C302" s="238"/>
      <c r="D302" s="220"/>
    </row>
    <row r="303" spans="1:13">
      <c r="A303" s="80" t="s">
        <v>123</v>
      </c>
      <c r="I303" s="273" t="s">
        <v>1</v>
      </c>
    </row>
    <row r="304" spans="1:13">
      <c r="B304" s="256" t="s">
        <v>124</v>
      </c>
      <c r="C304" s="256"/>
      <c r="D304" s="256"/>
      <c r="E304" s="256"/>
      <c r="F304" s="256"/>
      <c r="G304" s="256"/>
      <c r="I304" s="256" t="s">
        <v>124</v>
      </c>
      <c r="J304" s="256"/>
      <c r="K304" s="256"/>
      <c r="L304" s="256"/>
      <c r="M304" s="256"/>
    </row>
    <row r="305" spans="2:13" ht="12.75" customHeight="1">
      <c r="B305" s="34"/>
      <c r="C305" s="212" t="s">
        <v>3</v>
      </c>
      <c r="D305" s="212" t="s">
        <v>4</v>
      </c>
      <c r="E305" s="212" t="s">
        <v>5</v>
      </c>
      <c r="F305" s="212" t="s">
        <v>6</v>
      </c>
      <c r="G305" s="212" t="s">
        <v>7</v>
      </c>
      <c r="I305" s="34"/>
      <c r="J305" s="34" t="s">
        <v>4</v>
      </c>
      <c r="K305" s="34" t="s">
        <v>5</v>
      </c>
      <c r="L305" s="37" t="s">
        <v>6</v>
      </c>
      <c r="M305" s="37" t="s">
        <v>6</v>
      </c>
    </row>
    <row r="306" spans="2:13">
      <c r="B306" s="411"/>
      <c r="C306" s="411"/>
      <c r="D306" s="411"/>
      <c r="E306" s="435"/>
      <c r="F306" s="411"/>
      <c r="G306" s="411"/>
      <c r="I306" s="45" t="s">
        <v>8</v>
      </c>
      <c r="J306" s="402">
        <f>D329</f>
        <v>48234.635000000009</v>
      </c>
      <c r="K306" s="402">
        <f>E329</f>
        <v>2899.2735982881327</v>
      </c>
      <c r="L306" s="46">
        <f>+J306/J311</f>
        <v>2.7419205390133023</v>
      </c>
      <c r="M306" s="46">
        <f>+K306/K311</f>
        <v>2.0238903161147128</v>
      </c>
    </row>
    <row r="307" spans="2:13">
      <c r="B307" s="161" t="s">
        <v>73</v>
      </c>
      <c r="C307" s="248" t="s">
        <v>10</v>
      </c>
      <c r="D307" s="211">
        <v>1279.71</v>
      </c>
      <c r="E307" s="436">
        <f t="shared" ref="E307:E312" si="13">D307/$C$355</f>
        <v>76.920441431044424</v>
      </c>
      <c r="F307" s="277"/>
      <c r="G307" s="277"/>
      <c r="I307" s="44" t="s">
        <v>11</v>
      </c>
      <c r="J307" s="404">
        <f>D330+1.256+2028.15</f>
        <v>23964.108000000004</v>
      </c>
      <c r="K307" s="404">
        <f>J307/$C$355</f>
        <v>1440.4277264858629</v>
      </c>
      <c r="L307" s="47"/>
      <c r="M307" s="47"/>
    </row>
    <row r="308" spans="2:13">
      <c r="B308" s="161" t="s">
        <v>125</v>
      </c>
      <c r="C308" s="248" t="s">
        <v>126</v>
      </c>
      <c r="D308" s="211">
        <v>1295.6769999999999</v>
      </c>
      <c r="E308" s="436">
        <f t="shared" si="13"/>
        <v>77.880181284862459</v>
      </c>
      <c r="F308" s="277"/>
      <c r="G308" s="277"/>
      <c r="I308" s="45" t="s">
        <v>14</v>
      </c>
      <c r="J308" s="402">
        <f>J306-J307</f>
        <v>24270.527000000006</v>
      </c>
      <c r="K308" s="402">
        <f>K306-K307</f>
        <v>1458.8458718022698</v>
      </c>
      <c r="L308" s="46">
        <f>+J308/J311</f>
        <v>1.3796695356765303</v>
      </c>
      <c r="M308" s="46">
        <f>+K308/K311</f>
        <v>1.0183737176056307</v>
      </c>
    </row>
    <row r="309" spans="2:13">
      <c r="B309" s="161" t="s">
        <v>75</v>
      </c>
      <c r="C309" s="248" t="s">
        <v>127</v>
      </c>
      <c r="D309" s="211">
        <v>324.54899999999998</v>
      </c>
      <c r="E309" s="436">
        <f t="shared" si="13"/>
        <v>19.507898153491052</v>
      </c>
      <c r="F309" s="277"/>
      <c r="G309" s="277"/>
      <c r="I309" s="84" t="s">
        <v>17</v>
      </c>
      <c r="J309" s="400">
        <f>D332</f>
        <v>23834.062000000002</v>
      </c>
      <c r="K309" s="400">
        <f>J309/$C$355</f>
        <v>1432.610958838238</v>
      </c>
      <c r="L309" s="85"/>
      <c r="M309" s="85"/>
    </row>
    <row r="310" spans="2:13">
      <c r="B310" s="161" t="s">
        <v>128</v>
      </c>
      <c r="C310" s="248" t="s">
        <v>77</v>
      </c>
      <c r="D310" s="211">
        <v>201.30699999999999</v>
      </c>
      <c r="E310" s="436">
        <f t="shared" si="13"/>
        <v>12.100103385266396</v>
      </c>
      <c r="F310" s="277"/>
      <c r="G310" s="277"/>
      <c r="I310" s="84" t="s">
        <v>20</v>
      </c>
      <c r="J310" s="400">
        <f>J306+J309</f>
        <v>72068.697000000015</v>
      </c>
      <c r="K310" s="400">
        <f>K306+K309</f>
        <v>4331.884557126371</v>
      </c>
      <c r="L310" s="85"/>
      <c r="M310" s="85"/>
    </row>
    <row r="311" spans="2:13">
      <c r="B311" s="161" t="s">
        <v>78</v>
      </c>
      <c r="C311" s="248" t="s">
        <v>129</v>
      </c>
      <c r="D311" s="211">
        <v>95.822999999999993</v>
      </c>
      <c r="E311" s="436">
        <f t="shared" si="13"/>
        <v>5.7597013848817076</v>
      </c>
      <c r="F311" s="277"/>
      <c r="G311" s="277"/>
      <c r="I311" s="44" t="s">
        <v>23</v>
      </c>
      <c r="J311" s="397">
        <f>D334</f>
        <v>17591.551000000003</v>
      </c>
      <c r="K311" s="397">
        <f>E334</f>
        <v>1432.5250608708402</v>
      </c>
      <c r="L311" s="44"/>
      <c r="M311" s="44"/>
    </row>
    <row r="312" spans="2:13">
      <c r="B312" s="209" t="s">
        <v>24</v>
      </c>
      <c r="C312" s="250"/>
      <c r="D312" s="210">
        <f>SUM(D307:D311)</f>
        <v>3197.0659999999993</v>
      </c>
      <c r="E312" s="437">
        <f t="shared" si="13"/>
        <v>192.16832563954603</v>
      </c>
      <c r="F312" s="222"/>
      <c r="G312" s="222"/>
    </row>
    <row r="313" spans="2:13">
      <c r="B313" s="209"/>
      <c r="C313" s="250"/>
      <c r="D313" s="210"/>
      <c r="E313" s="437"/>
      <c r="F313" s="222"/>
      <c r="G313" s="222"/>
    </row>
    <row r="314" spans="2:13">
      <c r="B314" s="161" t="s">
        <v>130</v>
      </c>
      <c r="C314" s="248" t="s">
        <v>131</v>
      </c>
      <c r="D314" s="211">
        <v>323.55</v>
      </c>
      <c r="E314" s="436">
        <f>D314/$C$355</f>
        <v>19.447850548182341</v>
      </c>
      <c r="F314" s="222"/>
      <c r="G314" s="222"/>
    </row>
    <row r="315" spans="2:13">
      <c r="B315" s="161" t="s">
        <v>130</v>
      </c>
      <c r="C315" s="249">
        <v>2.5999999999999999E-2</v>
      </c>
      <c r="D315" s="211">
        <v>0</v>
      </c>
      <c r="E315" s="436"/>
      <c r="F315" s="222"/>
      <c r="G315" s="222"/>
    </row>
    <row r="316" spans="2:13">
      <c r="B316" s="209" t="s">
        <v>31</v>
      </c>
      <c r="C316" s="250"/>
      <c r="D316" s="210">
        <f>SUM(D314:D315)</f>
        <v>323.55</v>
      </c>
      <c r="E316" s="437">
        <f>D316/$C$355</f>
        <v>19.447850548182341</v>
      </c>
      <c r="F316" s="222"/>
      <c r="G316" s="222"/>
    </row>
    <row r="317" spans="2:13">
      <c r="B317" s="209"/>
      <c r="C317" s="250"/>
      <c r="D317" s="210"/>
      <c r="E317" s="437"/>
      <c r="F317" s="222"/>
      <c r="G317" s="222"/>
    </row>
    <row r="318" spans="2:13">
      <c r="B318" s="161" t="s">
        <v>110</v>
      </c>
      <c r="C318" s="248" t="s">
        <v>132</v>
      </c>
      <c r="D318" s="211">
        <v>9855.009</v>
      </c>
      <c r="E318" s="436">
        <f t="shared" ref="E318:E327" si="14">D318/$C$355</f>
        <v>592.36205279861508</v>
      </c>
      <c r="F318" s="162"/>
      <c r="G318" s="162"/>
    </row>
    <row r="319" spans="2:13">
      <c r="B319" s="161" t="s">
        <v>111</v>
      </c>
      <c r="C319" s="251" t="s">
        <v>133</v>
      </c>
      <c r="D319" s="211">
        <v>4206.1760000000004</v>
      </c>
      <c r="E319" s="436">
        <f t="shared" si="14"/>
        <v>252.82361992690903</v>
      </c>
      <c r="F319" s="162"/>
      <c r="G319" s="162"/>
    </row>
    <row r="320" spans="2:13">
      <c r="B320" s="161" t="s">
        <v>34</v>
      </c>
      <c r="C320" s="248" t="s">
        <v>134</v>
      </c>
      <c r="D320" s="211">
        <v>5758.34</v>
      </c>
      <c r="E320" s="436">
        <f t="shared" si="14"/>
        <v>346.12064820157724</v>
      </c>
      <c r="F320" s="162"/>
      <c r="G320" s="162"/>
    </row>
    <row r="321" spans="2:9">
      <c r="B321" s="161" t="s">
        <v>135</v>
      </c>
      <c r="C321" s="248" t="s">
        <v>136</v>
      </c>
      <c r="D321" s="211">
        <v>3107.39</v>
      </c>
      <c r="E321" s="436">
        <f t="shared" si="14"/>
        <v>186.77810636660894</v>
      </c>
      <c r="F321" s="162"/>
      <c r="G321" s="162"/>
    </row>
    <row r="322" spans="2:9">
      <c r="B322" s="161" t="s">
        <v>137</v>
      </c>
      <c r="C322" s="249" t="s">
        <v>138</v>
      </c>
      <c r="D322" s="211">
        <v>2174.4879999999998</v>
      </c>
      <c r="E322" s="436">
        <f t="shared" si="14"/>
        <v>130.70350067320638</v>
      </c>
      <c r="F322" s="162"/>
      <c r="G322" s="162"/>
    </row>
    <row r="323" spans="2:9">
      <c r="B323" s="161" t="s">
        <v>114</v>
      </c>
      <c r="C323" s="249" t="s">
        <v>139</v>
      </c>
      <c r="D323" s="211">
        <v>1998.3119999999999</v>
      </c>
      <c r="E323" s="436">
        <f t="shared" si="14"/>
        <v>120.1139642238892</v>
      </c>
      <c r="F323" s="162"/>
      <c r="G323" s="162"/>
    </row>
    <row r="324" spans="2:9">
      <c r="B324" s="161" t="s">
        <v>116</v>
      </c>
      <c r="C324" s="249">
        <v>1.7000000000000001E-2</v>
      </c>
      <c r="D324" s="211">
        <v>1082.5309999999999</v>
      </c>
      <c r="E324" s="436">
        <f t="shared" si="14"/>
        <v>65.068462685131749</v>
      </c>
      <c r="F324" s="162"/>
      <c r="G324" s="162"/>
    </row>
    <row r="325" spans="2:9">
      <c r="B325" s="161" t="s">
        <v>117</v>
      </c>
      <c r="C325" s="408">
        <v>5.8000000000000003E-2</v>
      </c>
      <c r="D325" s="211">
        <v>16035.031999999999</v>
      </c>
      <c r="E325" s="436">
        <f t="shared" si="14"/>
        <v>963.82910175033646</v>
      </c>
      <c r="F325" s="222"/>
      <c r="G325" s="222"/>
    </row>
    <row r="326" spans="2:9">
      <c r="B326" s="161" t="s">
        <v>118</v>
      </c>
      <c r="C326" s="408" t="s">
        <v>140</v>
      </c>
      <c r="D326" s="211">
        <v>496.74099999999999</v>
      </c>
      <c r="E326" s="436">
        <f t="shared" si="14"/>
        <v>29.857965474129639</v>
      </c>
      <c r="F326" s="162"/>
      <c r="G326" s="162"/>
    </row>
    <row r="327" spans="2:9">
      <c r="B327" s="209" t="s">
        <v>48</v>
      </c>
      <c r="C327" s="408"/>
      <c r="D327" s="210">
        <f>SUM(D318:D326)</f>
        <v>44714.019000000008</v>
      </c>
      <c r="E327" s="437">
        <f t="shared" si="14"/>
        <v>2687.6574221004043</v>
      </c>
      <c r="F327" s="162"/>
      <c r="G327" s="162"/>
    </row>
    <row r="328" spans="2:9">
      <c r="B328" s="161"/>
      <c r="C328" s="408"/>
      <c r="D328" s="211"/>
      <c r="E328" s="438"/>
      <c r="F328" s="162"/>
      <c r="G328" s="162"/>
    </row>
    <row r="329" spans="2:9">
      <c r="B329" s="265" t="s">
        <v>49</v>
      </c>
      <c r="C329" s="265"/>
      <c r="D329" s="399">
        <f>+D316+D327+D312</f>
        <v>48234.635000000009</v>
      </c>
      <c r="E329" s="439">
        <f>+E316+E327+E312</f>
        <v>2899.2735982881327</v>
      </c>
      <c r="F329" s="267">
        <f>+D329/D334</f>
        <v>2.7419205390133023</v>
      </c>
      <c r="G329" s="267">
        <f>+E329/E334</f>
        <v>2.0238903161147128</v>
      </c>
      <c r="I329" s="416"/>
    </row>
    <row r="330" spans="2:9">
      <c r="B330" s="44" t="s">
        <v>11</v>
      </c>
      <c r="C330" s="44"/>
      <c r="D330" s="272">
        <v>21934.702000000001</v>
      </c>
      <c r="E330" s="440">
        <f>D330/$C$355</f>
        <v>1318.4447730332756</v>
      </c>
      <c r="F330" s="47"/>
      <c r="G330" s="47"/>
    </row>
    <row r="331" spans="2:9">
      <c r="B331" s="45" t="s">
        <v>14</v>
      </c>
      <c r="C331" s="45"/>
      <c r="D331" s="402">
        <f>+D329-D330</f>
        <v>26299.933000000008</v>
      </c>
      <c r="E331" s="441">
        <f>+E329-E330</f>
        <v>1580.8288252548571</v>
      </c>
      <c r="F331" s="46">
        <f>+D331/D334</f>
        <v>1.4950320753411683</v>
      </c>
      <c r="G331" s="46">
        <f>+E331/E334</f>
        <v>1.1035261221146542</v>
      </c>
    </row>
    <row r="332" spans="2:9">
      <c r="B332" s="44" t="s">
        <v>17</v>
      </c>
      <c r="C332" s="44"/>
      <c r="D332" s="272">
        <v>23834.062000000002</v>
      </c>
      <c r="E332" s="440">
        <f>D332/$C$355</f>
        <v>1432.610958838238</v>
      </c>
      <c r="F332" s="47"/>
      <c r="G332" s="47"/>
    </row>
    <row r="333" spans="2:9">
      <c r="B333" s="268" t="s">
        <v>20</v>
      </c>
      <c r="C333" s="268"/>
      <c r="D333" s="396">
        <f>D329+D332</f>
        <v>72068.697000000015</v>
      </c>
      <c r="E333" s="442">
        <f>E329+E332</f>
        <v>4331.884557126371</v>
      </c>
      <c r="F333" s="270"/>
      <c r="G333" s="270"/>
    </row>
    <row r="334" spans="2:9">
      <c r="B334" s="268" t="s">
        <v>23</v>
      </c>
      <c r="C334" s="268"/>
      <c r="D334" s="396">
        <v>17591.551000000003</v>
      </c>
      <c r="E334" s="442">
        <v>1432.5250608708402</v>
      </c>
      <c r="F334" s="270"/>
      <c r="G334" s="270"/>
    </row>
    <row r="337" spans="2:7">
      <c r="B337" s="36" t="s">
        <v>50</v>
      </c>
      <c r="D337" s="387">
        <v>35640</v>
      </c>
    </row>
    <row r="338" spans="2:7">
      <c r="B338" s="36" t="s">
        <v>51</v>
      </c>
      <c r="D338" s="227">
        <f>D337+D331</f>
        <v>61939.933000000005</v>
      </c>
    </row>
    <row r="339" spans="2:7">
      <c r="B339" s="80" t="s">
        <v>52</v>
      </c>
      <c r="D339" s="228">
        <f>D338/D334</f>
        <v>3.5210046572925831</v>
      </c>
      <c r="E339" s="228"/>
      <c r="G339" s="410"/>
    </row>
    <row r="340" spans="2:7" ht="13.5" thickBot="1">
      <c r="B340" s="80"/>
      <c r="D340" s="228"/>
    </row>
    <row r="341" spans="2:7">
      <c r="B341" s="234" t="s">
        <v>141</v>
      </c>
      <c r="C341" s="240" t="s">
        <v>54</v>
      </c>
      <c r="D341" s="232" t="s">
        <v>55</v>
      </c>
    </row>
    <row r="342" spans="2:7">
      <c r="B342" s="239" t="s">
        <v>56</v>
      </c>
      <c r="C342" s="253"/>
      <c r="D342" s="434">
        <f t="shared" ref="D342:D347" si="15">C342/$C$355</f>
        <v>0</v>
      </c>
    </row>
    <row r="343" spans="2:7">
      <c r="B343" s="239" t="s">
        <v>57</v>
      </c>
      <c r="C343" s="253"/>
      <c r="D343" s="434">
        <f t="shared" si="15"/>
        <v>0</v>
      </c>
    </row>
    <row r="344" spans="2:7">
      <c r="B344" s="239" t="s">
        <v>58</v>
      </c>
      <c r="C344" s="253"/>
      <c r="D344" s="434">
        <f t="shared" si="15"/>
        <v>0</v>
      </c>
    </row>
    <row r="345" spans="2:7">
      <c r="B345" s="239" t="s">
        <v>59</v>
      </c>
      <c r="C345" s="253"/>
      <c r="D345" s="434">
        <f t="shared" si="15"/>
        <v>0</v>
      </c>
    </row>
    <row r="346" spans="2:7">
      <c r="B346" s="239" t="s">
        <v>60</v>
      </c>
      <c r="C346" s="398">
        <f>D312</f>
        <v>3197.0659999999993</v>
      </c>
      <c r="D346" s="434">
        <f t="shared" si="15"/>
        <v>192.16832563954603</v>
      </c>
    </row>
    <row r="347" spans="2:7" ht="13.5" thickBot="1">
      <c r="B347" s="245" t="s">
        <v>61</v>
      </c>
      <c r="C347" s="443">
        <v>48234.6</v>
      </c>
      <c r="D347" s="247">
        <f t="shared" si="15"/>
        <v>2899.2714945181765</v>
      </c>
    </row>
    <row r="348" spans="2:7" ht="13.5" thickBot="1"/>
    <row r="349" spans="2:7">
      <c r="B349" s="140" t="s">
        <v>142</v>
      </c>
      <c r="C349" s="240" t="s">
        <v>54</v>
      </c>
      <c r="D349" s="232" t="s">
        <v>55</v>
      </c>
    </row>
    <row r="350" spans="2:7">
      <c r="B350" s="141" t="s">
        <v>63</v>
      </c>
      <c r="C350" s="242">
        <f>+D350*$C$355</f>
        <v>0</v>
      </c>
      <c r="D350" s="253"/>
    </row>
    <row r="351" spans="2:7">
      <c r="B351" s="141" t="s">
        <v>64</v>
      </c>
      <c r="C351" s="242">
        <f>D330</f>
        <v>21934.702000000001</v>
      </c>
      <c r="D351" s="237">
        <f>E330</f>
        <v>1318.4447730332756</v>
      </c>
    </row>
    <row r="352" spans="2:7" ht="13.5" thickBot="1">
      <c r="B352" s="143" t="s">
        <v>65</v>
      </c>
      <c r="C352" s="243">
        <f>SUM(C350:C351)</f>
        <v>21934.702000000001</v>
      </c>
      <c r="D352" s="236">
        <f>SUM(D350:D351)</f>
        <v>1318.4447730332756</v>
      </c>
    </row>
    <row r="354" spans="1:13">
      <c r="D354" s="39"/>
    </row>
    <row r="355" spans="1:13" ht="13.5" thickBot="1">
      <c r="B355" s="36" t="s">
        <v>143</v>
      </c>
      <c r="C355" s="36">
        <v>16.636800000000001</v>
      </c>
    </row>
    <row r="356" spans="1:13">
      <c r="B356" s="234" t="s">
        <v>144</v>
      </c>
      <c r="C356" s="240" t="s">
        <v>54</v>
      </c>
      <c r="D356" s="232" t="s">
        <v>55</v>
      </c>
    </row>
    <row r="357" spans="1:13">
      <c r="B357" s="86" t="s">
        <v>68</v>
      </c>
      <c r="C357" s="253">
        <v>8171.7579999999998</v>
      </c>
      <c r="D357" s="237">
        <f>C357/$C$355</f>
        <v>491.18568474706672</v>
      </c>
    </row>
    <row r="358" spans="1:13">
      <c r="B358" s="86" t="s">
        <v>69</v>
      </c>
      <c r="C358" s="253">
        <v>35010.362999999998</v>
      </c>
      <c r="D358" s="237">
        <f>C358/$C$355</f>
        <v>2104.3928519907672</v>
      </c>
    </row>
    <row r="359" spans="1:13" ht="13.5" thickBot="1">
      <c r="B359" s="87"/>
      <c r="C359" s="244"/>
      <c r="D359" s="233"/>
    </row>
    <row r="360" spans="1:13">
      <c r="B360" s="80" t="s">
        <v>70</v>
      </c>
      <c r="C360" s="238">
        <f>C357+C358</f>
        <v>43182.120999999999</v>
      </c>
      <c r="D360" s="220">
        <f>D357+D358</f>
        <v>2595.5785367378339</v>
      </c>
    </row>
    <row r="361" spans="1:13">
      <c r="B361" s="80"/>
      <c r="C361" s="238"/>
      <c r="D361" s="220"/>
    </row>
    <row r="362" spans="1:13">
      <c r="B362" s="80"/>
      <c r="C362" s="238"/>
      <c r="D362" s="220"/>
    </row>
    <row r="363" spans="1:13">
      <c r="B363" s="80"/>
      <c r="C363" s="238"/>
      <c r="D363" s="220"/>
    </row>
    <row r="364" spans="1:13" ht="12.75" customHeight="1">
      <c r="A364" s="80" t="s">
        <v>145</v>
      </c>
      <c r="I364" s="273" t="s">
        <v>1</v>
      </c>
    </row>
    <row r="365" spans="1:13">
      <c r="B365" s="256" t="s">
        <v>146</v>
      </c>
      <c r="C365" s="256"/>
      <c r="D365" s="256"/>
      <c r="E365" s="256"/>
      <c r="F365" s="256"/>
      <c r="G365" s="256"/>
      <c r="I365" s="256" t="s">
        <v>146</v>
      </c>
      <c r="J365" s="256"/>
      <c r="K365" s="256"/>
      <c r="L365" s="256"/>
      <c r="M365" s="256"/>
    </row>
    <row r="366" spans="1:13" ht="25.5">
      <c r="B366" s="34"/>
      <c r="C366" s="212" t="s">
        <v>3</v>
      </c>
      <c r="D366" s="212" t="s">
        <v>4</v>
      </c>
      <c r="E366" s="212" t="s">
        <v>5</v>
      </c>
      <c r="F366" s="212" t="s">
        <v>6</v>
      </c>
      <c r="G366" s="212" t="s">
        <v>7</v>
      </c>
      <c r="I366" s="34"/>
      <c r="J366" s="34" t="s">
        <v>4</v>
      </c>
      <c r="K366" s="34" t="s">
        <v>5</v>
      </c>
      <c r="L366" s="37" t="s">
        <v>6</v>
      </c>
      <c r="M366" s="37" t="s">
        <v>6</v>
      </c>
    </row>
    <row r="367" spans="1:13">
      <c r="B367" s="411"/>
      <c r="C367" s="411"/>
      <c r="D367" s="411"/>
      <c r="E367" s="435"/>
      <c r="F367" s="411"/>
      <c r="G367" s="411"/>
      <c r="I367" s="45" t="s">
        <v>8</v>
      </c>
      <c r="J367" s="402">
        <f>D390</f>
        <v>40255.398000000008</v>
      </c>
      <c r="K367" s="402">
        <f>E390</f>
        <v>2747.7524692327124</v>
      </c>
      <c r="L367" s="46">
        <f>+J367/J372</f>
        <v>2.5116531630637962</v>
      </c>
      <c r="M367" s="46">
        <f>+K367/K372</f>
        <v>1.797308199078963</v>
      </c>
    </row>
    <row r="368" spans="1:13">
      <c r="B368" s="161" t="s">
        <v>147</v>
      </c>
      <c r="C368" s="248" t="s">
        <v>10</v>
      </c>
      <c r="D368" s="211">
        <v>1276.0250000000001</v>
      </c>
      <c r="E368" s="436">
        <f t="shared" ref="E368:E373" si="16">D368/$C$416</f>
        <v>87.098898998655329</v>
      </c>
      <c r="F368" s="277"/>
      <c r="G368" s="277"/>
      <c r="I368" s="44" t="s">
        <v>11</v>
      </c>
      <c r="J368" s="404">
        <f>D391+860.207+1736.433</f>
        <v>21385.782999999999</v>
      </c>
      <c r="K368" s="404">
        <f>J368/$C$416</f>
        <v>1459.7505170542584</v>
      </c>
      <c r="L368" s="47"/>
      <c r="M368" s="47"/>
    </row>
    <row r="369" spans="2:13">
      <c r="B369" s="161" t="s">
        <v>125</v>
      </c>
      <c r="C369" s="248" t="s">
        <v>126</v>
      </c>
      <c r="D369" s="211">
        <v>559.98199999999997</v>
      </c>
      <c r="E369" s="436">
        <f t="shared" si="16"/>
        <v>38.223244575196411</v>
      </c>
      <c r="F369" s="277"/>
      <c r="G369" s="277"/>
      <c r="I369" s="45" t="s">
        <v>14</v>
      </c>
      <c r="J369" s="402">
        <f>J367-J368</f>
        <v>18869.615000000009</v>
      </c>
      <c r="K369" s="402">
        <f>K367-K368</f>
        <v>1288.0019521784541</v>
      </c>
      <c r="L369" s="46">
        <f>+J369/J372</f>
        <v>1.1773310054106549</v>
      </c>
      <c r="M369" s="46">
        <f>+K369/K372</f>
        <v>0.84248362798359089</v>
      </c>
    </row>
    <row r="370" spans="2:13">
      <c r="B370" s="161" t="s">
        <v>75</v>
      </c>
      <c r="C370" s="248" t="s">
        <v>127</v>
      </c>
      <c r="D370" s="211">
        <v>303.81</v>
      </c>
      <c r="E370" s="436">
        <f t="shared" si="16"/>
        <v>20.73745930117472</v>
      </c>
      <c r="F370" s="277"/>
      <c r="G370" s="277"/>
      <c r="I370" s="84" t="s">
        <v>17</v>
      </c>
      <c r="J370" s="400">
        <f>D393</f>
        <v>23379.728999999999</v>
      </c>
      <c r="K370" s="400">
        <f>J370/$C$416</f>
        <v>1595.8532589776319</v>
      </c>
      <c r="L370" s="85"/>
      <c r="M370" s="85"/>
    </row>
    <row r="371" spans="2:13">
      <c r="B371" s="161" t="s">
        <v>128</v>
      </c>
      <c r="C371" s="248" t="s">
        <v>77</v>
      </c>
      <c r="D371" s="211">
        <v>163.63300000000001</v>
      </c>
      <c r="E371" s="436">
        <f t="shared" si="16"/>
        <v>11.169259332573395</v>
      </c>
      <c r="F371" s="277"/>
      <c r="G371" s="277"/>
      <c r="I371" s="84" t="s">
        <v>20</v>
      </c>
      <c r="J371" s="400">
        <f>J367+J370</f>
        <v>63635.127000000008</v>
      </c>
      <c r="K371" s="400">
        <f>K367+K370</f>
        <v>4343.6057282103448</v>
      </c>
      <c r="L371" s="85"/>
      <c r="M371" s="85"/>
    </row>
    <row r="372" spans="2:13">
      <c r="B372" s="161" t="s">
        <v>78</v>
      </c>
      <c r="C372" s="248" t="s">
        <v>129</v>
      </c>
      <c r="D372" s="211">
        <v>80.218999999999994</v>
      </c>
      <c r="E372" s="436">
        <f t="shared" si="16"/>
        <v>5.4755875306307722</v>
      </c>
      <c r="F372" s="277"/>
      <c r="G372" s="277"/>
      <c r="I372" s="44" t="s">
        <v>23</v>
      </c>
      <c r="J372" s="397">
        <f>D395</f>
        <v>16027.451000000003</v>
      </c>
      <c r="K372" s="397">
        <f>E395</f>
        <v>1528.8154088657739</v>
      </c>
      <c r="L372" s="44"/>
      <c r="M372" s="44"/>
    </row>
    <row r="373" spans="2:13">
      <c r="B373" s="209" t="s">
        <v>24</v>
      </c>
      <c r="C373" s="250"/>
      <c r="D373" s="210">
        <f>SUM(D368:D372)</f>
        <v>2383.6689999999999</v>
      </c>
      <c r="E373" s="437">
        <f t="shared" si="16"/>
        <v>162.70444973823061</v>
      </c>
      <c r="F373" s="222"/>
      <c r="G373" s="222"/>
    </row>
    <row r="374" spans="2:13">
      <c r="B374" s="209"/>
      <c r="C374" s="250"/>
      <c r="D374" s="210"/>
      <c r="E374" s="437"/>
      <c r="F374" s="222"/>
      <c r="G374" s="222"/>
    </row>
    <row r="375" spans="2:13">
      <c r="B375" s="161" t="s">
        <v>130</v>
      </c>
      <c r="C375" s="248" t="s">
        <v>131</v>
      </c>
      <c r="D375" s="211">
        <v>288.46600000000001</v>
      </c>
      <c r="E375" s="436">
        <f>D375/$C$416</f>
        <v>19.690108734974711</v>
      </c>
      <c r="F375" s="222"/>
      <c r="G375" s="222"/>
    </row>
    <row r="376" spans="2:13">
      <c r="B376" s="161" t="s">
        <v>130</v>
      </c>
      <c r="C376" s="249">
        <v>2.5999999999999999E-2</v>
      </c>
      <c r="D376" s="211">
        <v>159.42099999999999</v>
      </c>
      <c r="E376" s="436"/>
      <c r="F376" s="222"/>
      <c r="G376" s="222"/>
    </row>
    <row r="377" spans="2:13">
      <c r="B377" s="209" t="s">
        <v>31</v>
      </c>
      <c r="C377" s="250"/>
      <c r="D377" s="210">
        <f>SUM(D375:D376)</f>
        <v>447.887</v>
      </c>
      <c r="E377" s="437">
        <f>D377/$C$416</f>
        <v>30.571865422551074</v>
      </c>
      <c r="F377" s="222"/>
      <c r="G377" s="222"/>
    </row>
    <row r="378" spans="2:13">
      <c r="B378" s="209"/>
      <c r="C378" s="250"/>
      <c r="D378" s="210"/>
      <c r="E378" s="437"/>
      <c r="F378" s="222"/>
      <c r="G378" s="222"/>
    </row>
    <row r="379" spans="2:13">
      <c r="B379" s="161" t="s">
        <v>110</v>
      </c>
      <c r="C379" s="248" t="s">
        <v>132</v>
      </c>
      <c r="D379" s="211">
        <v>9978.277</v>
      </c>
      <c r="E379" s="436">
        <f t="shared" ref="E379:E388" si="17">D379/$C$416</f>
        <v>681.09711063937254</v>
      </c>
      <c r="F379" s="162"/>
      <c r="G379" s="162"/>
    </row>
    <row r="380" spans="2:13">
      <c r="B380" s="161" t="s">
        <v>111</v>
      </c>
      <c r="C380" s="251" t="s">
        <v>133</v>
      </c>
      <c r="D380" s="211">
        <v>4001.2570000000001</v>
      </c>
      <c r="E380" s="436">
        <f t="shared" si="17"/>
        <v>273.11775185491081</v>
      </c>
      <c r="F380" s="162"/>
      <c r="G380" s="162"/>
    </row>
    <row r="381" spans="2:13">
      <c r="B381" s="161" t="s">
        <v>148</v>
      </c>
      <c r="C381" s="248" t="s">
        <v>149</v>
      </c>
      <c r="D381" s="211">
        <v>4244.4880000000003</v>
      </c>
      <c r="E381" s="436">
        <f t="shared" si="17"/>
        <v>289.7202105076347</v>
      </c>
      <c r="F381" s="162"/>
      <c r="G381" s="162"/>
    </row>
    <row r="382" spans="2:13">
      <c r="B382" s="161" t="s">
        <v>150</v>
      </c>
      <c r="C382" s="248" t="s">
        <v>151</v>
      </c>
      <c r="D382" s="211">
        <v>1755.2760000000001</v>
      </c>
      <c r="E382" s="436">
        <f t="shared" si="17"/>
        <v>119.81160795342076</v>
      </c>
      <c r="F382" s="162"/>
      <c r="G382" s="162"/>
    </row>
    <row r="383" spans="2:13">
      <c r="B383" s="161" t="s">
        <v>152</v>
      </c>
      <c r="C383" s="249">
        <v>3.7999999999999999E-2</v>
      </c>
      <c r="D383" s="211">
        <v>1097.192</v>
      </c>
      <c r="E383" s="436">
        <f t="shared" si="17"/>
        <v>74.892118250138225</v>
      </c>
      <c r="F383" s="162"/>
      <c r="G383" s="162"/>
    </row>
    <row r="384" spans="2:13">
      <c r="B384" s="161" t="s">
        <v>153</v>
      </c>
      <c r="C384" s="249" t="s">
        <v>154</v>
      </c>
      <c r="D384" s="211">
        <v>1053.835</v>
      </c>
      <c r="E384" s="436">
        <f t="shared" si="17"/>
        <v>71.932656669146709</v>
      </c>
      <c r="F384" s="162"/>
      <c r="G384" s="162"/>
    </row>
    <row r="385" spans="2:9">
      <c r="B385" s="161" t="s">
        <v>155</v>
      </c>
      <c r="C385" s="249">
        <v>1.7000000000000001E-2</v>
      </c>
      <c r="D385" s="211">
        <v>393.685</v>
      </c>
      <c r="E385" s="436">
        <f t="shared" si="17"/>
        <v>26.872145962881309</v>
      </c>
      <c r="F385" s="162"/>
      <c r="G385" s="162"/>
    </row>
    <row r="386" spans="2:9">
      <c r="B386" s="161" t="s">
        <v>117</v>
      </c>
      <c r="C386" s="408">
        <v>5.8000000000000003E-2</v>
      </c>
      <c r="D386" s="211">
        <v>14595.582</v>
      </c>
      <c r="E386" s="436">
        <f t="shared" si="17"/>
        <v>996.26505941857852</v>
      </c>
      <c r="F386" s="222"/>
      <c r="G386" s="222"/>
    </row>
    <row r="387" spans="2:9">
      <c r="B387" s="161" t="s">
        <v>118</v>
      </c>
      <c r="C387" s="408">
        <v>0.16300000000000001</v>
      </c>
      <c r="D387" s="211">
        <v>304.25</v>
      </c>
      <c r="E387" s="436">
        <f t="shared" si="17"/>
        <v>20.767492815846776</v>
      </c>
      <c r="F387" s="162"/>
      <c r="G387" s="162"/>
    </row>
    <row r="388" spans="2:9">
      <c r="B388" s="209" t="s">
        <v>48</v>
      </c>
      <c r="C388" s="408"/>
      <c r="D388" s="210">
        <f>SUM(D379:D387)</f>
        <v>37423.842000000004</v>
      </c>
      <c r="E388" s="437">
        <f t="shared" si="17"/>
        <v>2554.4761540719305</v>
      </c>
      <c r="F388" s="162"/>
      <c r="G388" s="162"/>
    </row>
    <row r="389" spans="2:9">
      <c r="B389" s="161"/>
      <c r="C389" s="408"/>
      <c r="D389" s="211"/>
      <c r="E389" s="438"/>
      <c r="F389" s="162"/>
      <c r="G389" s="162"/>
    </row>
    <row r="390" spans="2:9">
      <c r="B390" s="265" t="s">
        <v>49</v>
      </c>
      <c r="C390" s="265"/>
      <c r="D390" s="399">
        <f>+D377+D388+D373</f>
        <v>40255.398000000008</v>
      </c>
      <c r="E390" s="439">
        <f>+E377+E388+E373</f>
        <v>2747.7524692327124</v>
      </c>
      <c r="F390" s="267">
        <f>+D390/D395</f>
        <v>2.5116531630637962</v>
      </c>
      <c r="G390" s="267">
        <f>+E390/E395</f>
        <v>1.797308199078963</v>
      </c>
      <c r="I390" s="416"/>
    </row>
    <row r="391" spans="2:9">
      <c r="B391" s="44" t="s">
        <v>11</v>
      </c>
      <c r="C391" s="44"/>
      <c r="D391" s="272">
        <v>18789.143</v>
      </c>
      <c r="E391" s="440">
        <f>D391/$C$416</f>
        <v>1282.5090953768865</v>
      </c>
      <c r="F391" s="47"/>
      <c r="G391" s="47"/>
    </row>
    <row r="392" spans="2:9">
      <c r="B392" s="45" t="s">
        <v>14</v>
      </c>
      <c r="C392" s="45"/>
      <c r="D392" s="402">
        <f>+D390-D391</f>
        <v>21466.255000000008</v>
      </c>
      <c r="E392" s="441">
        <f>+E390-E391</f>
        <v>1465.2433738558259</v>
      </c>
      <c r="F392" s="46">
        <f>+D392/D395</f>
        <v>1.3393430433822573</v>
      </c>
      <c r="G392" s="46">
        <f>+E392/E395</f>
        <v>0.95841745534399603</v>
      </c>
    </row>
    <row r="393" spans="2:9">
      <c r="B393" s="44" t="s">
        <v>17</v>
      </c>
      <c r="C393" s="44"/>
      <c r="D393" s="272">
        <v>23379.728999999999</v>
      </c>
      <c r="E393" s="440">
        <f>D393/$C$416</f>
        <v>1595.8532589776319</v>
      </c>
      <c r="F393" s="47"/>
      <c r="G393" s="47"/>
    </row>
    <row r="394" spans="2:9">
      <c r="B394" s="268" t="s">
        <v>20</v>
      </c>
      <c r="C394" s="268"/>
      <c r="D394" s="396">
        <f>D390+D393</f>
        <v>63635.127000000008</v>
      </c>
      <c r="E394" s="442">
        <f>E390+E393</f>
        <v>4343.6057282103448</v>
      </c>
      <c r="F394" s="270"/>
      <c r="G394" s="270"/>
    </row>
    <row r="395" spans="2:9">
      <c r="B395" s="268" t="s">
        <v>23</v>
      </c>
      <c r="C395" s="268"/>
      <c r="D395" s="396">
        <v>16027.451000000003</v>
      </c>
      <c r="E395" s="442">
        <v>1528.8154088657739</v>
      </c>
      <c r="F395" s="270"/>
      <c r="G395" s="270"/>
    </row>
    <row r="398" spans="2:9">
      <c r="B398" s="36" t="s">
        <v>50</v>
      </c>
      <c r="D398" s="387">
        <v>49588</v>
      </c>
      <c r="E398" s="255"/>
    </row>
    <row r="399" spans="2:9">
      <c r="B399" s="36" t="s">
        <v>51</v>
      </c>
      <c r="D399" s="227">
        <f>D398+D392</f>
        <v>71054.255000000005</v>
      </c>
      <c r="E399" s="227"/>
    </row>
    <row r="400" spans="2:9">
      <c r="B400" s="80" t="s">
        <v>52</v>
      </c>
      <c r="D400" s="228">
        <f>D399/D395</f>
        <v>4.4332848061741066</v>
      </c>
      <c r="E400" s="228"/>
      <c r="G400" s="410"/>
    </row>
    <row r="401" spans="2:4" ht="13.5" thickBot="1">
      <c r="B401" s="80"/>
      <c r="D401" s="228"/>
    </row>
    <row r="402" spans="2:4">
      <c r="B402" s="234" t="s">
        <v>156</v>
      </c>
      <c r="C402" s="240" t="s">
        <v>54</v>
      </c>
      <c r="D402" s="232" t="s">
        <v>55</v>
      </c>
    </row>
    <row r="403" spans="2:4">
      <c r="B403" s="239" t="s">
        <v>56</v>
      </c>
      <c r="C403" s="253"/>
      <c r="D403" s="434">
        <f>C403/$C$475</f>
        <v>0</v>
      </c>
    </row>
    <row r="404" spans="2:4">
      <c r="B404" s="239" t="s">
        <v>57</v>
      </c>
      <c r="C404" s="253"/>
      <c r="D404" s="434">
        <f>C404/$C$475</f>
        <v>0</v>
      </c>
    </row>
    <row r="405" spans="2:4">
      <c r="B405" s="239" t="s">
        <v>58</v>
      </c>
      <c r="C405" s="253"/>
      <c r="D405" s="434">
        <f>C405/$C$475</f>
        <v>0</v>
      </c>
    </row>
    <row r="406" spans="2:4">
      <c r="B406" s="239" t="s">
        <v>59</v>
      </c>
      <c r="C406" s="253"/>
      <c r="D406" s="434">
        <f>C406/$C$475</f>
        <v>0</v>
      </c>
    </row>
    <row r="407" spans="2:4">
      <c r="B407" s="239" t="s">
        <v>60</v>
      </c>
      <c r="C407" s="398">
        <f>D373</f>
        <v>2383.6689999999999</v>
      </c>
      <c r="D407" s="434">
        <f>C407/$C$416</f>
        <v>162.70444973823061</v>
      </c>
    </row>
    <row r="408" spans="2:4" ht="13.5" thickBot="1">
      <c r="B408" s="245" t="s">
        <v>61</v>
      </c>
      <c r="C408" s="443">
        <v>40855</v>
      </c>
      <c r="D408" s="247">
        <f>C408/$C$416</f>
        <v>2788.6800952881513</v>
      </c>
    </row>
    <row r="409" spans="2:4" ht="13.5" thickBot="1"/>
    <row r="410" spans="2:4">
      <c r="B410" s="140" t="s">
        <v>157</v>
      </c>
      <c r="C410" s="240" t="s">
        <v>54</v>
      </c>
      <c r="D410" s="232" t="s">
        <v>55</v>
      </c>
    </row>
    <row r="411" spans="2:4">
      <c r="B411" s="141" t="s">
        <v>63</v>
      </c>
      <c r="C411" s="242">
        <f>+D411*$C$416</f>
        <v>775.00086999999996</v>
      </c>
      <c r="D411" s="253">
        <f>D470</f>
        <v>52.9</v>
      </c>
    </row>
    <row r="412" spans="2:4">
      <c r="B412" s="141" t="s">
        <v>64</v>
      </c>
      <c r="C412" s="242">
        <f>D391</f>
        <v>18789.143</v>
      </c>
      <c r="D412" s="237">
        <f>E391</f>
        <v>1282.5090953768865</v>
      </c>
    </row>
    <row r="413" spans="2:4" ht="13.5" thickBot="1">
      <c r="B413" s="143" t="s">
        <v>65</v>
      </c>
      <c r="C413" s="243">
        <f>SUM(C411:C412)</f>
        <v>19564.14387</v>
      </c>
      <c r="D413" s="236">
        <f>SUM(D411:D412)</f>
        <v>1335.4090953768866</v>
      </c>
    </row>
    <row r="415" spans="2:4">
      <c r="D415" s="39"/>
    </row>
    <row r="416" spans="2:4" ht="13.5" thickBot="1">
      <c r="B416" s="36" t="s">
        <v>158</v>
      </c>
      <c r="C416" s="36">
        <v>14.6503</v>
      </c>
    </row>
    <row r="417" spans="1:13">
      <c r="B417" s="234" t="s">
        <v>159</v>
      </c>
      <c r="C417" s="240" t="s">
        <v>54</v>
      </c>
      <c r="D417" s="232" t="s">
        <v>55</v>
      </c>
    </row>
    <row r="418" spans="1:13">
      <c r="B418" s="86" t="s">
        <v>68</v>
      </c>
      <c r="C418" s="253">
        <v>10750.233</v>
      </c>
      <c r="D418" s="237">
        <f>C418/$C$416</f>
        <v>733.78927393978279</v>
      </c>
    </row>
    <row r="419" spans="1:13">
      <c r="B419" s="86" t="s">
        <v>69</v>
      </c>
      <c r="C419" s="253">
        <v>30105.165000000001</v>
      </c>
      <c r="D419" s="237">
        <f>C419/$C$416</f>
        <v>2054.9179880275492</v>
      </c>
    </row>
    <row r="420" spans="1:13" ht="13.5" thickBot="1">
      <c r="B420" s="87"/>
      <c r="C420" s="244"/>
      <c r="D420" s="233"/>
    </row>
    <row r="421" spans="1:13">
      <c r="B421" s="80" t="s">
        <v>70</v>
      </c>
      <c r="C421" s="238">
        <f>C418+C419</f>
        <v>40855.398000000001</v>
      </c>
      <c r="D421" s="220">
        <f>D418+D419</f>
        <v>2788.7072619673318</v>
      </c>
    </row>
    <row r="422" spans="1:13">
      <c r="B422" s="80"/>
      <c r="C422" s="238"/>
      <c r="D422" s="220"/>
    </row>
    <row r="423" spans="1:13">
      <c r="A423" s="80" t="s">
        <v>160</v>
      </c>
      <c r="I423" s="273" t="s">
        <v>1</v>
      </c>
    </row>
    <row r="424" spans="1:13" ht="12.75" customHeight="1">
      <c r="B424" s="256" t="s">
        <v>161</v>
      </c>
      <c r="C424" s="256"/>
      <c r="D424" s="256"/>
      <c r="E424" s="256"/>
      <c r="F424" s="256"/>
      <c r="G424" s="256"/>
      <c r="I424" s="256" t="s">
        <v>161</v>
      </c>
      <c r="J424" s="256"/>
      <c r="K424" s="256"/>
      <c r="L424" s="256"/>
      <c r="M424" s="256"/>
    </row>
    <row r="425" spans="1:13" ht="25.5">
      <c r="B425" s="34"/>
      <c r="C425" s="212" t="s">
        <v>3</v>
      </c>
      <c r="D425" s="212" t="s">
        <v>4</v>
      </c>
      <c r="E425" s="212" t="s">
        <v>5</v>
      </c>
      <c r="F425" s="212" t="s">
        <v>6</v>
      </c>
      <c r="G425" s="212" t="s">
        <v>7</v>
      </c>
      <c r="I425" s="34"/>
      <c r="J425" s="34" t="s">
        <v>4</v>
      </c>
      <c r="K425" s="34" t="s">
        <v>5</v>
      </c>
      <c r="L425" s="37" t="s">
        <v>6</v>
      </c>
      <c r="M425" s="37" t="s">
        <v>6</v>
      </c>
    </row>
    <row r="426" spans="1:13">
      <c r="B426" s="411"/>
      <c r="C426" s="411"/>
      <c r="D426" s="411"/>
      <c r="E426" s="411"/>
      <c r="F426" s="411"/>
      <c r="G426" s="411"/>
      <c r="I426" s="45" t="s">
        <v>8</v>
      </c>
      <c r="J426" s="402">
        <f>D449</f>
        <v>36778.133000000002</v>
      </c>
      <c r="K426" s="402">
        <f>E449</f>
        <v>2747.8029859704402</v>
      </c>
      <c r="L426" s="46">
        <f>+J426/J431</f>
        <v>2.4496266127943467</v>
      </c>
      <c r="M426" s="46">
        <f>+K426/K431</f>
        <v>1.6251615643179189</v>
      </c>
    </row>
    <row r="427" spans="1:13">
      <c r="B427" s="161" t="s">
        <v>147</v>
      </c>
      <c r="C427" s="248" t="s">
        <v>10</v>
      </c>
      <c r="D427" s="211">
        <v>1262.4490000000001</v>
      </c>
      <c r="E427" s="432">
        <f>D427/$C$475</f>
        <v>94.714457198589542</v>
      </c>
      <c r="F427" s="277"/>
      <c r="G427" s="277"/>
      <c r="I427" s="44" t="s">
        <v>11</v>
      </c>
      <c r="J427" s="404">
        <f>D450+51.166+1376.645</f>
        <v>20047.692000000003</v>
      </c>
      <c r="K427" s="404">
        <f>J427/$C$475</f>
        <v>1504.065721359442</v>
      </c>
      <c r="L427" s="47"/>
      <c r="M427" s="47"/>
    </row>
    <row r="428" spans="1:13">
      <c r="B428" s="161" t="s">
        <v>125</v>
      </c>
      <c r="C428" s="248" t="s">
        <v>126</v>
      </c>
      <c r="D428" s="211">
        <v>1074</v>
      </c>
      <c r="E428" s="432">
        <f>D428/$C$475</f>
        <v>80.576187260859783</v>
      </c>
      <c r="F428" s="277"/>
      <c r="G428" s="277"/>
      <c r="I428" s="45" t="s">
        <v>14</v>
      </c>
      <c r="J428" s="402">
        <f>J426-J427</f>
        <v>16730.440999999999</v>
      </c>
      <c r="K428" s="402">
        <f>K426-K427</f>
        <v>1243.7372646109982</v>
      </c>
      <c r="L428" s="46">
        <f>+J428/J431</f>
        <v>1.1143396952038229</v>
      </c>
      <c r="M428" s="46">
        <f>+K428/K431</f>
        <v>0.73559640515560731</v>
      </c>
    </row>
    <row r="429" spans="1:13">
      <c r="B429" s="161" t="s">
        <v>75</v>
      </c>
      <c r="C429" s="248" t="s">
        <v>127</v>
      </c>
      <c r="D429" s="211">
        <v>303.26499999999999</v>
      </c>
      <c r="E429" s="432">
        <f>D429/$C$475</f>
        <v>22.752269487583462</v>
      </c>
      <c r="F429" s="277"/>
      <c r="G429" s="277"/>
      <c r="I429" s="84" t="s">
        <v>17</v>
      </c>
      <c r="J429" s="400">
        <f>D452</f>
        <v>22562.025000000001</v>
      </c>
      <c r="K429" s="400">
        <f>J429/$C$475</f>
        <v>1692.7020031510242</v>
      </c>
      <c r="L429" s="85"/>
      <c r="M429" s="85"/>
    </row>
    <row r="430" spans="1:13">
      <c r="B430" s="161" t="s">
        <v>128</v>
      </c>
      <c r="C430" s="248" t="s">
        <v>162</v>
      </c>
      <c r="D430" s="211">
        <v>185.61799999999999</v>
      </c>
      <c r="E430" s="432">
        <f>D430/$C$475</f>
        <v>13.925875909670642</v>
      </c>
      <c r="F430" s="277"/>
      <c r="G430" s="277"/>
      <c r="I430" s="84" t="s">
        <v>20</v>
      </c>
      <c r="J430" s="400">
        <f>J426+J429</f>
        <v>59340.158000000003</v>
      </c>
      <c r="K430" s="400">
        <f>K426+K429</f>
        <v>4440.504989121464</v>
      </c>
      <c r="L430" s="85"/>
      <c r="M430" s="85"/>
    </row>
    <row r="431" spans="1:13">
      <c r="B431" s="161" t="s">
        <v>78</v>
      </c>
      <c r="C431" s="248" t="s">
        <v>129</v>
      </c>
      <c r="D431" s="211">
        <v>80.533000000000001</v>
      </c>
      <c r="E431" s="432">
        <f>D431/$C$475</f>
        <v>6.0419386300547675</v>
      </c>
      <c r="F431" s="277"/>
      <c r="G431" s="277"/>
      <c r="I431" s="44" t="s">
        <v>23</v>
      </c>
      <c r="J431" s="397">
        <f>D454</f>
        <v>15013.771000000004</v>
      </c>
      <c r="K431" s="397">
        <f>E454</f>
        <v>1690.7875784791245</v>
      </c>
      <c r="L431" s="44"/>
      <c r="M431" s="44"/>
    </row>
    <row r="432" spans="1:13">
      <c r="B432" s="209" t="s">
        <v>24</v>
      </c>
      <c r="C432" s="250"/>
      <c r="D432" s="210">
        <f>SUM(D427:D431)</f>
        <v>2905.8649999999998</v>
      </c>
      <c r="E432" s="210">
        <f>SUM(E427:E431)</f>
        <v>218.01072848675821</v>
      </c>
      <c r="F432" s="222"/>
      <c r="G432" s="222"/>
    </row>
    <row r="433" spans="2:7">
      <c r="B433" s="209"/>
      <c r="C433" s="250"/>
      <c r="D433" s="210"/>
      <c r="E433" s="210"/>
      <c r="F433" s="222"/>
      <c r="G433" s="222"/>
    </row>
    <row r="434" spans="2:7">
      <c r="B434" s="161" t="s">
        <v>130</v>
      </c>
      <c r="C434" s="248" t="s">
        <v>131</v>
      </c>
      <c r="D434" s="211">
        <v>360.21199999999999</v>
      </c>
      <c r="E434" s="432">
        <f>D434/$C$475</f>
        <v>27.024683021982142</v>
      </c>
      <c r="F434" s="222"/>
      <c r="G434" s="222"/>
    </row>
    <row r="435" spans="2:7">
      <c r="B435" s="161" t="s">
        <v>130</v>
      </c>
      <c r="C435" s="249">
        <v>2.5999999999999999E-2</v>
      </c>
      <c r="D435" s="211">
        <v>152.667</v>
      </c>
      <c r="E435" s="432"/>
      <c r="F435" s="222"/>
      <c r="G435" s="222"/>
    </row>
    <row r="436" spans="2:7">
      <c r="B436" s="209" t="s">
        <v>31</v>
      </c>
      <c r="C436" s="250"/>
      <c r="D436" s="210">
        <f>SUM(D434:D435)</f>
        <v>512.87900000000002</v>
      </c>
      <c r="E436" s="210">
        <f>SUM(E434:E435)</f>
        <v>27.024683021982142</v>
      </c>
      <c r="F436" s="222"/>
      <c r="G436" s="222"/>
    </row>
    <row r="437" spans="2:7">
      <c r="B437" s="209"/>
      <c r="C437" s="250"/>
      <c r="D437" s="210"/>
      <c r="E437" s="210"/>
      <c r="F437" s="222"/>
      <c r="G437" s="222"/>
    </row>
    <row r="438" spans="2:7">
      <c r="B438" s="161" t="s">
        <v>110</v>
      </c>
      <c r="C438" s="248" t="s">
        <v>132</v>
      </c>
      <c r="D438" s="211">
        <v>9188.4869999999992</v>
      </c>
      <c r="E438" s="432">
        <f t="shared" ref="E438:E446" si="18">D438/$C$475</f>
        <v>689.36056718433485</v>
      </c>
      <c r="F438" s="162"/>
      <c r="G438" s="162"/>
    </row>
    <row r="439" spans="2:7">
      <c r="B439" s="161" t="s">
        <v>111</v>
      </c>
      <c r="C439" s="251" t="s">
        <v>133</v>
      </c>
      <c r="D439" s="211">
        <v>3639.0520000000001</v>
      </c>
      <c r="E439" s="432">
        <f t="shared" si="18"/>
        <v>273.01763072998722</v>
      </c>
      <c r="F439" s="162"/>
      <c r="G439" s="162"/>
    </row>
    <row r="440" spans="2:7">
      <c r="B440" s="161" t="s">
        <v>148</v>
      </c>
      <c r="C440" s="248" t="s">
        <v>149</v>
      </c>
      <c r="D440" s="211">
        <v>3044.848</v>
      </c>
      <c r="E440" s="432">
        <f t="shared" si="18"/>
        <v>228.43784229874709</v>
      </c>
      <c r="F440" s="162"/>
      <c r="G440" s="162"/>
    </row>
    <row r="441" spans="2:7">
      <c r="B441" s="161" t="s">
        <v>150</v>
      </c>
      <c r="C441" s="248" t="s">
        <v>151</v>
      </c>
      <c r="D441" s="211">
        <v>1712.723</v>
      </c>
      <c r="E441" s="432">
        <f t="shared" si="18"/>
        <v>128.49598619551352</v>
      </c>
      <c r="F441" s="162"/>
      <c r="G441" s="162"/>
    </row>
    <row r="442" spans="2:7">
      <c r="B442" s="161" t="s">
        <v>152</v>
      </c>
      <c r="C442" s="249">
        <v>3.7999999999999999E-2</v>
      </c>
      <c r="D442" s="211">
        <v>1072.8579999999999</v>
      </c>
      <c r="E442" s="432">
        <f t="shared" si="18"/>
        <v>80.490509415560055</v>
      </c>
      <c r="F442" s="162"/>
      <c r="G442" s="162"/>
    </row>
    <row r="443" spans="2:7">
      <c r="B443" s="161" t="s">
        <v>153</v>
      </c>
      <c r="C443" s="249" t="s">
        <v>154</v>
      </c>
      <c r="D443" s="211">
        <v>930.39499999999998</v>
      </c>
      <c r="E443" s="432">
        <f t="shared" si="18"/>
        <v>69.802310750994067</v>
      </c>
      <c r="F443" s="162"/>
      <c r="G443" s="162"/>
    </row>
    <row r="444" spans="2:7">
      <c r="B444" s="161" t="s">
        <v>155</v>
      </c>
      <c r="C444" s="249">
        <v>1.7000000000000001E-2</v>
      </c>
      <c r="D444" s="211">
        <v>362.59300000000002</v>
      </c>
      <c r="E444" s="432">
        <f t="shared" si="18"/>
        <v>27.203316077725262</v>
      </c>
      <c r="F444" s="162"/>
      <c r="G444" s="162"/>
    </row>
    <row r="445" spans="2:7">
      <c r="B445" s="161" t="s">
        <v>117</v>
      </c>
      <c r="C445" s="408">
        <v>5.8000000000000003E-2</v>
      </c>
      <c r="D445" s="211">
        <v>13306.495000000001</v>
      </c>
      <c r="E445" s="432">
        <f t="shared" si="18"/>
        <v>998.31157626228526</v>
      </c>
      <c r="F445" s="222"/>
      <c r="G445" s="222"/>
    </row>
    <row r="446" spans="2:7">
      <c r="B446" s="161" t="s">
        <v>118</v>
      </c>
      <c r="C446" s="408">
        <v>0.16300000000000001</v>
      </c>
      <c r="D446" s="211">
        <v>101.938</v>
      </c>
      <c r="E446" s="432">
        <f t="shared" si="18"/>
        <v>7.6478355465526295</v>
      </c>
      <c r="F446" s="162"/>
      <c r="G446" s="162"/>
    </row>
    <row r="447" spans="2:7">
      <c r="B447" s="209" t="s">
        <v>48</v>
      </c>
      <c r="C447" s="408"/>
      <c r="D447" s="210">
        <f>SUM(D438:D446)</f>
        <v>33359.389000000003</v>
      </c>
      <c r="E447" s="210">
        <f>SUM(E438:E446)</f>
        <v>2502.7675744617</v>
      </c>
      <c r="F447" s="162"/>
      <c r="G447" s="162"/>
    </row>
    <row r="448" spans="2:7">
      <c r="B448" s="161"/>
      <c r="C448" s="408"/>
      <c r="D448" s="211"/>
      <c r="E448" s="257"/>
      <c r="F448" s="162"/>
      <c r="G448" s="162"/>
    </row>
    <row r="449" spans="2:9">
      <c r="B449" s="265" t="s">
        <v>49</v>
      </c>
      <c r="C449" s="265"/>
      <c r="D449" s="399">
        <f>+D436+D447+D432</f>
        <v>36778.133000000002</v>
      </c>
      <c r="E449" s="399">
        <f>+E436+E447+E432</f>
        <v>2747.8029859704402</v>
      </c>
      <c r="F449" s="267">
        <f>+D449/D454</f>
        <v>2.4496266127943467</v>
      </c>
      <c r="G449" s="267">
        <f>+E449/E454</f>
        <v>1.6251615643179189</v>
      </c>
      <c r="I449" s="416"/>
    </row>
    <row r="450" spans="2:9">
      <c r="B450" s="44" t="s">
        <v>11</v>
      </c>
      <c r="C450" s="44"/>
      <c r="D450" s="272">
        <v>18619.881000000001</v>
      </c>
      <c r="E450" s="433">
        <f>D450/$C$475</f>
        <v>1396.9450821516994</v>
      </c>
      <c r="F450" s="47"/>
      <c r="G450" s="47"/>
    </row>
    <row r="451" spans="2:9">
      <c r="B451" s="45" t="s">
        <v>14</v>
      </c>
      <c r="C451" s="45"/>
      <c r="D451" s="402">
        <f>+D449-D450</f>
        <v>18158.252</v>
      </c>
      <c r="E451" s="402">
        <f>+E449-E450</f>
        <v>1350.8579038187409</v>
      </c>
      <c r="F451" s="46">
        <f>+D451/D454</f>
        <v>1.2094397869795666</v>
      </c>
      <c r="G451" s="46">
        <f>+E451/E454</f>
        <v>0.79895187367880194</v>
      </c>
    </row>
    <row r="452" spans="2:9">
      <c r="B452" s="44" t="s">
        <v>17</v>
      </c>
      <c r="C452" s="44"/>
      <c r="D452" s="272">
        <v>22562.025000000001</v>
      </c>
      <c r="E452" s="433">
        <f>D452/$C$475</f>
        <v>1692.7020031510242</v>
      </c>
      <c r="F452" s="47"/>
      <c r="G452" s="47"/>
    </row>
    <row r="453" spans="2:9">
      <c r="B453" s="268" t="s">
        <v>20</v>
      </c>
      <c r="C453" s="268"/>
      <c r="D453" s="396">
        <f>D449+D452</f>
        <v>59340.158000000003</v>
      </c>
      <c r="E453" s="396">
        <f>E449+E452</f>
        <v>4440.504989121464</v>
      </c>
      <c r="F453" s="270"/>
      <c r="G453" s="270"/>
    </row>
    <row r="454" spans="2:9">
      <c r="B454" s="268" t="s">
        <v>23</v>
      </c>
      <c r="C454" s="268"/>
      <c r="D454" s="396">
        <v>15013.771000000004</v>
      </c>
      <c r="E454" s="396">
        <v>1690.7875784791245</v>
      </c>
      <c r="F454" s="270"/>
      <c r="G454" s="270"/>
    </row>
    <row r="457" spans="2:9">
      <c r="B457" s="36" t="s">
        <v>50</v>
      </c>
      <c r="D457" s="387">
        <v>40770</v>
      </c>
      <c r="E457" s="255"/>
    </row>
    <row r="458" spans="2:9">
      <c r="B458" s="36" t="s">
        <v>51</v>
      </c>
      <c r="D458" s="227">
        <f>D457+D451</f>
        <v>58928.252</v>
      </c>
      <c r="E458" s="227"/>
    </row>
    <row r="459" spans="2:9">
      <c r="B459" s="80" t="s">
        <v>52</v>
      </c>
      <c r="D459" s="228">
        <f>D458/D454</f>
        <v>3.9249467705348633</v>
      </c>
      <c r="E459" s="228"/>
      <c r="G459" s="410"/>
    </row>
    <row r="460" spans="2:9" ht="13.5" thickBot="1">
      <c r="B460" s="80"/>
      <c r="D460" s="228"/>
    </row>
    <row r="461" spans="2:9">
      <c r="B461" s="234" t="s">
        <v>163</v>
      </c>
      <c r="C461" s="240" t="s">
        <v>54</v>
      </c>
      <c r="D461" s="232" t="s">
        <v>55</v>
      </c>
    </row>
    <row r="462" spans="2:9">
      <c r="B462" s="239" t="s">
        <v>56</v>
      </c>
      <c r="C462" s="253">
        <v>30609</v>
      </c>
      <c r="D462" s="434">
        <f>C462/$C$475</f>
        <v>2296.4213369345034</v>
      </c>
    </row>
    <row r="463" spans="2:9">
      <c r="B463" s="239" t="s">
        <v>57</v>
      </c>
      <c r="C463" s="253">
        <v>1713</v>
      </c>
      <c r="D463" s="434">
        <f>C463/$C$475</f>
        <v>128.5167679495836</v>
      </c>
    </row>
    <row r="464" spans="2:9">
      <c r="B464" s="239" t="s">
        <v>58</v>
      </c>
      <c r="C464" s="253">
        <v>1321</v>
      </c>
      <c r="D464" s="434">
        <f>C464/$C$475</f>
        <v>99.10720984319903</v>
      </c>
    </row>
    <row r="465" spans="2:4">
      <c r="B465" s="239" t="s">
        <v>59</v>
      </c>
      <c r="C465" s="253">
        <v>229</v>
      </c>
      <c r="D465" s="434">
        <f>C465/$C$475</f>
        <v>17.180583689699152</v>
      </c>
    </row>
    <row r="466" spans="2:4">
      <c r="B466" s="239" t="s">
        <v>60</v>
      </c>
      <c r="C466" s="398">
        <f>D432</f>
        <v>2905.8649999999998</v>
      </c>
      <c r="D466" s="434">
        <f>C466/$C$475</f>
        <v>218.01072848675818</v>
      </c>
    </row>
    <row r="467" spans="2:4" ht="13.5" thickBot="1">
      <c r="B467" s="245" t="s">
        <v>61</v>
      </c>
      <c r="C467" s="412">
        <f>SUM(C462:C466)</f>
        <v>36777.864999999998</v>
      </c>
      <c r="D467" s="247">
        <f>SUM(D462:D466)</f>
        <v>2759.2366269037434</v>
      </c>
    </row>
    <row r="468" spans="2:4" ht="13.5" thickBot="1"/>
    <row r="469" spans="2:4">
      <c r="B469" s="140" t="s">
        <v>164</v>
      </c>
      <c r="C469" s="240" t="s">
        <v>54</v>
      </c>
      <c r="D469" s="232" t="s">
        <v>55</v>
      </c>
    </row>
    <row r="470" spans="2:4">
      <c r="B470" s="141" t="s">
        <v>63</v>
      </c>
      <c r="C470" s="242">
        <f>+D470*$C$475</f>
        <v>705.10410000000002</v>
      </c>
      <c r="D470" s="253">
        <f>150-50-47.1</f>
        <v>52.9</v>
      </c>
    </row>
    <row r="471" spans="2:4">
      <c r="B471" s="141" t="s">
        <v>64</v>
      </c>
      <c r="C471" s="242">
        <f>D450</f>
        <v>18619.881000000001</v>
      </c>
      <c r="D471" s="237">
        <f>E450</f>
        <v>1396.9450821516994</v>
      </c>
    </row>
    <row r="472" spans="2:4" ht="13.5" thickBot="1">
      <c r="B472" s="143" t="s">
        <v>65</v>
      </c>
      <c r="C472" s="243">
        <f>SUM(C470:C471)</f>
        <v>19324.985100000002</v>
      </c>
      <c r="D472" s="236">
        <f>SUM(D470:D471)</f>
        <v>1449.8450821516994</v>
      </c>
    </row>
    <row r="474" spans="2:4">
      <c r="D474" s="39"/>
    </row>
    <row r="475" spans="2:4" ht="13.5" thickBot="1">
      <c r="B475" s="36" t="s">
        <v>165</v>
      </c>
      <c r="C475" s="36">
        <v>13.329000000000001</v>
      </c>
    </row>
    <row r="476" spans="2:4">
      <c r="B476" s="234" t="s">
        <v>166</v>
      </c>
      <c r="C476" s="240" t="s">
        <v>54</v>
      </c>
      <c r="D476" s="232" t="s">
        <v>55</v>
      </c>
    </row>
    <row r="477" spans="2:4">
      <c r="B477" s="86" t="s">
        <v>68</v>
      </c>
      <c r="C477" s="253">
        <v>8848.4130000000005</v>
      </c>
      <c r="D477" s="237">
        <f>C477/$C$475</f>
        <v>663.84672518568539</v>
      </c>
    </row>
    <row r="478" spans="2:4">
      <c r="B478" s="86" t="s">
        <v>69</v>
      </c>
      <c r="C478" s="253">
        <v>27929.72</v>
      </c>
      <c r="D478" s="237">
        <f>C478/$C$475</f>
        <v>2095.410008252682</v>
      </c>
    </row>
    <row r="479" spans="2:4" ht="13.5" thickBot="1">
      <c r="B479" s="87"/>
      <c r="C479" s="244"/>
      <c r="D479" s="233"/>
    </row>
    <row r="480" spans="2:4">
      <c r="B480" s="80" t="s">
        <v>70</v>
      </c>
      <c r="C480" s="238">
        <f>C477+C478</f>
        <v>36778.133000000002</v>
      </c>
      <c r="D480" s="220">
        <f>D477+D478</f>
        <v>2759.2567334383675</v>
      </c>
    </row>
    <row r="483" spans="1:13">
      <c r="A483" s="80" t="s">
        <v>167</v>
      </c>
      <c r="I483" s="273" t="s">
        <v>1</v>
      </c>
    </row>
    <row r="484" spans="1:13" ht="12.75" customHeight="1">
      <c r="B484" s="256" t="s">
        <v>168</v>
      </c>
      <c r="C484" s="256"/>
      <c r="D484" s="256"/>
      <c r="E484" s="256"/>
      <c r="F484" s="256"/>
      <c r="G484" s="256"/>
      <c r="I484" s="256" t="s">
        <v>168</v>
      </c>
      <c r="J484" s="256"/>
      <c r="K484" s="256"/>
      <c r="L484" s="256"/>
      <c r="M484" s="256"/>
    </row>
    <row r="485" spans="1:13" ht="25.5">
      <c r="B485" s="34"/>
      <c r="C485" s="212" t="s">
        <v>3</v>
      </c>
      <c r="D485" s="212" t="s">
        <v>4</v>
      </c>
      <c r="E485" s="212" t="s">
        <v>5</v>
      </c>
      <c r="F485" s="212" t="s">
        <v>6</v>
      </c>
      <c r="G485" s="212" t="s">
        <v>7</v>
      </c>
      <c r="I485" s="34"/>
      <c r="J485" s="34" t="s">
        <v>4</v>
      </c>
      <c r="K485" s="34" t="s">
        <v>5</v>
      </c>
      <c r="L485" s="37" t="s">
        <v>6</v>
      </c>
      <c r="M485" s="37" t="s">
        <v>6</v>
      </c>
    </row>
    <row r="486" spans="1:13">
      <c r="B486" s="411"/>
      <c r="C486" s="411"/>
      <c r="D486" s="411"/>
      <c r="E486" s="411"/>
      <c r="F486" s="411"/>
      <c r="G486" s="411"/>
      <c r="I486" s="45" t="s">
        <v>8</v>
      </c>
      <c r="J486" s="402">
        <f>D509</f>
        <v>24804.572</v>
      </c>
      <c r="K486" s="402">
        <f>E509</f>
        <v>2804.8999807764071</v>
      </c>
      <c r="L486" s="46">
        <f>+J486/J491</f>
        <v>1.7660186098356507</v>
      </c>
      <c r="M486" s="46">
        <f>+K486/K491</f>
        <v>1.5704161675495389</v>
      </c>
    </row>
    <row r="487" spans="1:13">
      <c r="B487" s="161" t="s">
        <v>147</v>
      </c>
      <c r="C487" s="248" t="s">
        <v>10</v>
      </c>
      <c r="D487" s="211">
        <v>1024.9349999999999</v>
      </c>
      <c r="E487" s="432">
        <f>D487/$C$535</f>
        <v>115.89960761254284</v>
      </c>
      <c r="F487" s="277"/>
      <c r="G487" s="277"/>
      <c r="I487" s="44" t="s">
        <v>11</v>
      </c>
      <c r="J487" s="404">
        <f>D510</f>
        <v>12317.463</v>
      </c>
      <c r="K487" s="404">
        <f>J487/$C$535</f>
        <v>1392.8582090396119</v>
      </c>
      <c r="L487" s="47"/>
      <c r="M487" s="47"/>
    </row>
    <row r="488" spans="1:13">
      <c r="B488" s="161" t="s">
        <v>169</v>
      </c>
      <c r="C488" s="248" t="s">
        <v>170</v>
      </c>
      <c r="D488" s="211">
        <v>732.58100000000002</v>
      </c>
      <c r="E488" s="432">
        <f>D488/$C$535</f>
        <v>82.840229326156532</v>
      </c>
      <c r="F488" s="277"/>
      <c r="G488" s="277"/>
      <c r="I488" s="45" t="s">
        <v>14</v>
      </c>
      <c r="J488" s="402">
        <f>J486-J487</f>
        <v>12487.109</v>
      </c>
      <c r="K488" s="402">
        <f>K486-K487</f>
        <v>1412.0417717367952</v>
      </c>
      <c r="L488" s="46">
        <f>+J488/J491</f>
        <v>0.88904847368647377</v>
      </c>
      <c r="M488" s="46">
        <f>+K488/K491</f>
        <v>0.79057836029395534</v>
      </c>
    </row>
    <row r="489" spans="1:13">
      <c r="B489" s="161" t="s">
        <v>171</v>
      </c>
      <c r="C489" s="248" t="s">
        <v>172</v>
      </c>
      <c r="D489" s="211">
        <v>223.059</v>
      </c>
      <c r="E489" s="432">
        <f>D489/$C$535</f>
        <v>25.223502538645079</v>
      </c>
      <c r="F489" s="277"/>
      <c r="G489" s="277"/>
      <c r="I489" s="84" t="s">
        <v>17</v>
      </c>
      <c r="J489" s="400">
        <f>D512</f>
        <v>21916.999</v>
      </c>
      <c r="K489" s="400">
        <f>J489/$C$535</f>
        <v>2478.3733447921027</v>
      </c>
      <c r="L489" s="85"/>
      <c r="M489" s="85"/>
    </row>
    <row r="490" spans="1:13">
      <c r="B490" s="161" t="s">
        <v>173</v>
      </c>
      <c r="C490" s="248" t="s">
        <v>174</v>
      </c>
      <c r="D490" s="211">
        <v>116.288</v>
      </c>
      <c r="E490" s="432">
        <f>D490/$C$535</f>
        <v>13.14984225345742</v>
      </c>
      <c r="F490" s="277"/>
      <c r="G490" s="277"/>
      <c r="I490" s="84" t="s">
        <v>20</v>
      </c>
      <c r="J490" s="400">
        <f>J486+J489</f>
        <v>46721.570999999996</v>
      </c>
      <c r="K490" s="400">
        <f>K486+K489</f>
        <v>5283.2733255685098</v>
      </c>
      <c r="L490" s="85"/>
      <c r="M490" s="85"/>
    </row>
    <row r="491" spans="1:13">
      <c r="B491" s="161" t="s">
        <v>175</v>
      </c>
      <c r="C491" s="248" t="s">
        <v>129</v>
      </c>
      <c r="D491" s="211">
        <v>59.23</v>
      </c>
      <c r="E491" s="432">
        <f>D491/$C$535</f>
        <v>6.6977259620277501</v>
      </c>
      <c r="F491" s="277"/>
      <c r="G491" s="277"/>
      <c r="I491" s="44" t="s">
        <v>23</v>
      </c>
      <c r="J491" s="397">
        <f>D514</f>
        <v>14045.476000000002</v>
      </c>
      <c r="K491" s="397">
        <f>E514</f>
        <v>1786.0870505129503</v>
      </c>
      <c r="L491" s="44"/>
      <c r="M491" s="44"/>
    </row>
    <row r="492" spans="1:13">
      <c r="B492" s="209" t="s">
        <v>24</v>
      </c>
      <c r="C492" s="250"/>
      <c r="D492" s="210">
        <f>SUM(D487:D491)</f>
        <v>2156.0929999999998</v>
      </c>
      <c r="E492" s="210">
        <f>SUM(E487:E491)</f>
        <v>243.81090769282963</v>
      </c>
      <c r="F492" s="222"/>
      <c r="G492" s="222"/>
    </row>
    <row r="493" spans="1:13">
      <c r="B493" s="209"/>
      <c r="C493" s="250"/>
      <c r="D493" s="210"/>
      <c r="E493" s="210"/>
      <c r="F493" s="222"/>
      <c r="G493" s="222"/>
    </row>
    <row r="494" spans="1:13">
      <c r="B494" s="161" t="s">
        <v>176</v>
      </c>
      <c r="C494" s="248" t="s">
        <v>177</v>
      </c>
      <c r="D494" s="211">
        <v>242.4</v>
      </c>
      <c r="E494" s="432">
        <f>D494/$C$535</f>
        <v>27.410582022548148</v>
      </c>
      <c r="F494" s="222"/>
      <c r="G494" s="222"/>
    </row>
    <row r="495" spans="1:13">
      <c r="B495" s="161" t="s">
        <v>178</v>
      </c>
      <c r="C495" s="249">
        <v>2.5999999999999999E-2</v>
      </c>
      <c r="D495" s="211">
        <v>106.267</v>
      </c>
      <c r="E495" s="432">
        <f>D495/$C$535</f>
        <v>12.016667985932854</v>
      </c>
      <c r="F495" s="222"/>
      <c r="G495" s="222"/>
    </row>
    <row r="496" spans="1:13">
      <c r="B496" s="209" t="s">
        <v>31</v>
      </c>
      <c r="C496" s="250"/>
      <c r="D496" s="210">
        <f>SUM(D494:D495)</f>
        <v>348.66700000000003</v>
      </c>
      <c r="E496" s="210">
        <f>SUM(E494:E495)</f>
        <v>39.427250008481003</v>
      </c>
      <c r="F496" s="222"/>
      <c r="G496" s="222"/>
    </row>
    <row r="497" spans="2:9">
      <c r="B497" s="209"/>
      <c r="C497" s="250"/>
      <c r="D497" s="210"/>
      <c r="E497" s="210"/>
      <c r="F497" s="222"/>
      <c r="G497" s="222"/>
    </row>
    <row r="498" spans="2:9">
      <c r="B498" s="161" t="s">
        <v>179</v>
      </c>
      <c r="C498" s="248" t="s">
        <v>132</v>
      </c>
      <c r="D498" s="211">
        <v>6587.9530000000004</v>
      </c>
      <c r="E498" s="432">
        <f t="shared" ref="E498:E506" si="19">D498/$C$535</f>
        <v>744.96545407257486</v>
      </c>
      <c r="F498" s="162"/>
      <c r="G498" s="162"/>
    </row>
    <row r="499" spans="2:9">
      <c r="B499" s="161" t="s">
        <v>180</v>
      </c>
      <c r="C499" s="251" t="s">
        <v>133</v>
      </c>
      <c r="D499" s="211">
        <v>2640.85</v>
      </c>
      <c r="E499" s="432">
        <f t="shared" si="19"/>
        <v>298.62720929969583</v>
      </c>
      <c r="F499" s="162"/>
      <c r="G499" s="162"/>
    </row>
    <row r="500" spans="2:9">
      <c r="B500" s="161" t="s">
        <v>181</v>
      </c>
      <c r="C500" s="248" t="s">
        <v>182</v>
      </c>
      <c r="D500" s="211">
        <v>1262.1189999999999</v>
      </c>
      <c r="E500" s="432">
        <f t="shared" si="19"/>
        <v>142.72036456978731</v>
      </c>
      <c r="F500" s="162"/>
      <c r="G500" s="162"/>
    </row>
    <row r="501" spans="2:9">
      <c r="B501" s="161" t="s">
        <v>183</v>
      </c>
      <c r="C501" s="248" t="s">
        <v>184</v>
      </c>
      <c r="D501" s="211">
        <v>1169.6020000000001</v>
      </c>
      <c r="E501" s="432">
        <f t="shared" si="19"/>
        <v>132.25854601788927</v>
      </c>
      <c r="F501" s="162"/>
      <c r="G501" s="162"/>
    </row>
    <row r="502" spans="2:9">
      <c r="B502" s="161" t="s">
        <v>185</v>
      </c>
      <c r="C502" s="249">
        <v>3.7999999999999999E-2</v>
      </c>
      <c r="D502" s="211">
        <v>701.67</v>
      </c>
      <c r="E502" s="432">
        <f t="shared" si="19"/>
        <v>79.344814718487441</v>
      </c>
      <c r="F502" s="162"/>
      <c r="G502" s="162"/>
    </row>
    <row r="503" spans="2:9">
      <c r="B503" s="161" t="s">
        <v>186</v>
      </c>
      <c r="C503" s="249" t="s">
        <v>187</v>
      </c>
      <c r="D503" s="211">
        <v>530.22900000000004</v>
      </c>
      <c r="E503" s="432">
        <f t="shared" si="19"/>
        <v>59.958273495188458</v>
      </c>
      <c r="F503" s="162"/>
      <c r="G503" s="162"/>
    </row>
    <row r="504" spans="2:9">
      <c r="B504" s="161" t="s">
        <v>188</v>
      </c>
      <c r="C504" s="249" t="s">
        <v>189</v>
      </c>
      <c r="D504" s="211">
        <v>456.81200000000001</v>
      </c>
      <c r="E504" s="432">
        <f t="shared" si="19"/>
        <v>51.656282157113303</v>
      </c>
      <c r="F504" s="162"/>
      <c r="G504" s="162"/>
    </row>
    <row r="505" spans="2:9">
      <c r="B505" s="161" t="s">
        <v>190</v>
      </c>
      <c r="C505" s="408">
        <v>5.8000000000000003E-2</v>
      </c>
      <c r="D505" s="211">
        <v>8950.5769999999993</v>
      </c>
      <c r="E505" s="432">
        <f t="shared" si="19"/>
        <v>1012.1308787443602</v>
      </c>
      <c r="F505" s="222"/>
      <c r="G505" s="222"/>
    </row>
    <row r="506" spans="2:9">
      <c r="B506" s="161" t="s">
        <v>191</v>
      </c>
      <c r="C506" s="408">
        <v>8.1000000000000003E-2</v>
      </c>
      <c r="D506" s="211">
        <v>0</v>
      </c>
      <c r="E506" s="432">
        <f t="shared" si="19"/>
        <v>0</v>
      </c>
      <c r="F506" s="162"/>
      <c r="G506" s="162"/>
    </row>
    <row r="507" spans="2:9">
      <c r="B507" s="209" t="s">
        <v>48</v>
      </c>
      <c r="C507" s="408"/>
      <c r="D507" s="210">
        <f>SUM(D498:D506)</f>
        <v>22299.811999999998</v>
      </c>
      <c r="E507" s="210">
        <f>SUM(E498:E506)</f>
        <v>2521.6618230750964</v>
      </c>
      <c r="F507" s="162"/>
      <c r="G507" s="162"/>
    </row>
    <row r="508" spans="2:9">
      <c r="B508" s="161"/>
      <c r="C508" s="408"/>
      <c r="D508" s="211"/>
      <c r="E508" s="257"/>
      <c r="F508" s="162"/>
      <c r="G508" s="162"/>
    </row>
    <row r="509" spans="2:9">
      <c r="B509" s="265" t="s">
        <v>49</v>
      </c>
      <c r="C509" s="265"/>
      <c r="D509" s="399">
        <f>+D496+D507+D492</f>
        <v>24804.572</v>
      </c>
      <c r="E509" s="399">
        <f>+E496+E507+E492</f>
        <v>2804.8999807764071</v>
      </c>
      <c r="F509" s="267">
        <f>+D509/D514</f>
        <v>1.7660186098356507</v>
      </c>
      <c r="G509" s="267">
        <f>+E509/E514</f>
        <v>1.5704161675495389</v>
      </c>
      <c r="I509" s="416"/>
    </row>
    <row r="510" spans="2:9">
      <c r="B510" s="44" t="s">
        <v>11</v>
      </c>
      <c r="C510" s="44"/>
      <c r="D510" s="272">
        <v>12317.463</v>
      </c>
      <c r="E510" s="433">
        <f>D510/$C$535</f>
        <v>1392.8582090396119</v>
      </c>
      <c r="F510" s="47"/>
      <c r="G510" s="47"/>
    </row>
    <row r="511" spans="2:9">
      <c r="B511" s="45" t="s">
        <v>14</v>
      </c>
      <c r="C511" s="45"/>
      <c r="D511" s="402">
        <f>+D509-D510</f>
        <v>12487.109</v>
      </c>
      <c r="E511" s="402">
        <f>+E509-E510</f>
        <v>1412.0417717367952</v>
      </c>
      <c r="F511" s="46">
        <f>+D511/D514</f>
        <v>0.88904847368647377</v>
      </c>
      <c r="G511" s="46">
        <f>+E511/E514</f>
        <v>0.79057836029395534</v>
      </c>
    </row>
    <row r="512" spans="2:9">
      <c r="B512" s="44" t="s">
        <v>17</v>
      </c>
      <c r="C512" s="44"/>
      <c r="D512" s="272">
        <v>21916.999</v>
      </c>
      <c r="E512" s="433">
        <f>D512/$C$535</f>
        <v>2478.3733447921027</v>
      </c>
      <c r="F512" s="47"/>
      <c r="G512" s="47"/>
    </row>
    <row r="513" spans="2:7">
      <c r="B513" s="268" t="s">
        <v>20</v>
      </c>
      <c r="C513" s="268"/>
      <c r="D513" s="396">
        <f>D509+D512</f>
        <v>46721.570999999996</v>
      </c>
      <c r="E513" s="396">
        <f>E509+E512</f>
        <v>5283.2733255685098</v>
      </c>
      <c r="F513" s="270"/>
      <c r="G513" s="270"/>
    </row>
    <row r="514" spans="2:7">
      <c r="B514" s="268" t="s">
        <v>23</v>
      </c>
      <c r="C514" s="268"/>
      <c r="D514" s="396">
        <v>14045.476000000002</v>
      </c>
      <c r="E514" s="396">
        <v>1786.0870505129503</v>
      </c>
      <c r="F514" s="270"/>
      <c r="G514" s="270"/>
    </row>
    <row r="517" spans="2:7">
      <c r="B517" s="36" t="s">
        <v>50</v>
      </c>
      <c r="D517" s="387">
        <v>33726</v>
      </c>
      <c r="E517" s="255"/>
    </row>
    <row r="518" spans="2:7">
      <c r="B518" s="36" t="s">
        <v>51</v>
      </c>
      <c r="D518" s="227">
        <f>D517+D511</f>
        <v>46213.108999999997</v>
      </c>
      <c r="E518" s="227"/>
    </row>
    <row r="519" spans="2:7">
      <c r="B519" s="80" t="s">
        <v>52</v>
      </c>
      <c r="D519" s="228">
        <f>D518/D514</f>
        <v>3.2902486893288621</v>
      </c>
      <c r="E519" s="228"/>
      <c r="G519" s="410"/>
    </row>
    <row r="520" spans="2:7" ht="13.5" thickBot="1">
      <c r="B520" s="80"/>
      <c r="D520" s="228"/>
    </row>
    <row r="521" spans="2:7">
      <c r="B521" s="234" t="s">
        <v>192</v>
      </c>
      <c r="C521" s="240" t="s">
        <v>54</v>
      </c>
      <c r="D521" s="232" t="s">
        <v>55</v>
      </c>
    </row>
    <row r="522" spans="2:7">
      <c r="B522" s="239" t="s">
        <v>56</v>
      </c>
      <c r="C522" s="253">
        <v>20261</v>
      </c>
      <c r="D522" s="434">
        <f>C522/$C$535</f>
        <v>2291.1130460348513</v>
      </c>
    </row>
    <row r="523" spans="2:7">
      <c r="B523" s="239" t="s">
        <v>57</v>
      </c>
      <c r="C523" s="253">
        <v>1170</v>
      </c>
      <c r="D523" s="434">
        <f>C523/$C$535</f>
        <v>132.30355184150713</v>
      </c>
    </row>
    <row r="524" spans="2:7">
      <c r="B524" s="239" t="s">
        <v>58</v>
      </c>
      <c r="C524" s="253">
        <v>1056</v>
      </c>
      <c r="D524" s="434">
        <f>C524/$C$535</f>
        <v>119.41243653387311</v>
      </c>
    </row>
    <row r="525" spans="2:7">
      <c r="B525" s="239" t="s">
        <v>59</v>
      </c>
      <c r="C525" s="253">
        <v>162</v>
      </c>
      <c r="D525" s="434">
        <f>C525/$C$535</f>
        <v>18.318953331900989</v>
      </c>
    </row>
    <row r="526" spans="2:7">
      <c r="B526" s="239" t="s">
        <v>60</v>
      </c>
      <c r="C526" s="398">
        <f>D492</f>
        <v>2156.0929999999998</v>
      </c>
      <c r="D526" s="434">
        <f>C526/$C$535</f>
        <v>243.8109076928296</v>
      </c>
    </row>
    <row r="527" spans="2:7" ht="13.5" thickBot="1">
      <c r="B527" s="245" t="s">
        <v>61</v>
      </c>
      <c r="C527" s="412">
        <f>SUM(C522:C526)</f>
        <v>24805.093000000001</v>
      </c>
      <c r="D527" s="247">
        <f>SUM(D522:D526)</f>
        <v>2804.958895434962</v>
      </c>
    </row>
    <row r="528" spans="2:7" ht="13.5" thickBot="1"/>
    <row r="529" spans="1:13">
      <c r="B529" s="140" t="s">
        <v>193</v>
      </c>
      <c r="C529" s="240" t="s">
        <v>54</v>
      </c>
      <c r="D529" s="232" t="s">
        <v>55</v>
      </c>
    </row>
    <row r="530" spans="1:13">
      <c r="B530" s="141" t="s">
        <v>63</v>
      </c>
      <c r="C530" s="242">
        <f>+D530*$C$535</f>
        <v>467.81056999999993</v>
      </c>
      <c r="D530" s="253">
        <f>150-50-47.1</f>
        <v>52.9</v>
      </c>
    </row>
    <row r="531" spans="1:13">
      <c r="B531" s="141" t="s">
        <v>64</v>
      </c>
      <c r="C531" s="242">
        <f>D510</f>
        <v>12317.463</v>
      </c>
      <c r="D531" s="237">
        <f>E510</f>
        <v>1392.8582090396119</v>
      </c>
    </row>
    <row r="532" spans="1:13" ht="13.5" thickBot="1">
      <c r="B532" s="143" t="s">
        <v>65</v>
      </c>
      <c r="C532" s="243">
        <f>SUM(C530:C531)</f>
        <v>12785.273569999999</v>
      </c>
      <c r="D532" s="236">
        <f>SUM(D530:D531)</f>
        <v>1445.758209039612</v>
      </c>
    </row>
    <row r="534" spans="1:13">
      <c r="D534" s="39"/>
    </row>
    <row r="535" spans="1:13" ht="13.5" thickBot="1">
      <c r="B535" s="36" t="s">
        <v>194</v>
      </c>
      <c r="C535" s="36">
        <v>8.8432999999999993</v>
      </c>
    </row>
    <row r="536" spans="1:13">
      <c r="B536" s="234" t="s">
        <v>195</v>
      </c>
      <c r="C536" s="240" t="s">
        <v>54</v>
      </c>
      <c r="D536" s="232" t="s">
        <v>55</v>
      </c>
    </row>
    <row r="537" spans="1:13">
      <c r="B537" s="86" t="s">
        <v>68</v>
      </c>
      <c r="C537" s="253">
        <v>5636.4769999999999</v>
      </c>
      <c r="D537" s="237">
        <f>C537/$C$535</f>
        <v>637.37258715637836</v>
      </c>
    </row>
    <row r="538" spans="1:13">
      <c r="B538" s="86" t="s">
        <v>69</v>
      </c>
      <c r="C538" s="253">
        <v>19168.095000000001</v>
      </c>
      <c r="D538" s="237">
        <f>C538/$C$535</f>
        <v>2167.5273936200292</v>
      </c>
    </row>
    <row r="539" spans="1:13" ht="13.5" thickBot="1">
      <c r="B539" s="87"/>
      <c r="C539" s="244"/>
      <c r="D539" s="233"/>
    </row>
    <row r="540" spans="1:13">
      <c r="B540" s="80" t="s">
        <v>70</v>
      </c>
      <c r="C540" s="238">
        <f>C537+C538</f>
        <v>24804.572</v>
      </c>
      <c r="D540" s="220">
        <f>D537+D538</f>
        <v>2804.8999807764076</v>
      </c>
    </row>
    <row r="543" spans="1:13" ht="12.75" customHeight="1">
      <c r="A543" s="80" t="s">
        <v>196</v>
      </c>
      <c r="I543" s="273" t="s">
        <v>1</v>
      </c>
    </row>
    <row r="544" spans="1:13">
      <c r="B544" s="256" t="s">
        <v>197</v>
      </c>
      <c r="C544" s="256"/>
      <c r="D544" s="256"/>
      <c r="E544" s="256"/>
      <c r="F544" s="256"/>
      <c r="G544" s="256"/>
      <c r="I544" s="256" t="s">
        <v>197</v>
      </c>
      <c r="J544" s="256"/>
      <c r="K544" s="256"/>
      <c r="L544" s="256"/>
      <c r="M544" s="256"/>
    </row>
    <row r="545" spans="2:13" ht="25.5">
      <c r="B545" s="34"/>
      <c r="C545" s="212" t="s">
        <v>3</v>
      </c>
      <c r="D545" s="212" t="s">
        <v>4</v>
      </c>
      <c r="E545" s="212" t="s">
        <v>5</v>
      </c>
      <c r="F545" s="212" t="s">
        <v>6</v>
      </c>
      <c r="G545" s="212" t="s">
        <v>7</v>
      </c>
      <c r="I545" s="34"/>
      <c r="J545" s="34" t="s">
        <v>4</v>
      </c>
      <c r="K545" s="34" t="s">
        <v>5</v>
      </c>
      <c r="L545" s="37" t="s">
        <v>6</v>
      </c>
      <c r="M545" s="37" t="s">
        <v>6</v>
      </c>
    </row>
    <row r="546" spans="2:13">
      <c r="B546" s="411"/>
      <c r="C546" s="411"/>
      <c r="D546" s="411"/>
      <c r="E546" s="411"/>
      <c r="F546" s="411"/>
      <c r="G546" s="411"/>
      <c r="I546" s="45" t="s">
        <v>8</v>
      </c>
      <c r="J546" s="402">
        <f>D569</f>
        <v>24077.41</v>
      </c>
      <c r="K546" s="402">
        <f>E569</f>
        <v>2765.8652299774853</v>
      </c>
      <c r="L546" s="46">
        <f>+J546/J551</f>
        <v>1.7955393051380464</v>
      </c>
      <c r="M546" s="46">
        <f>+K546/K551</f>
        <v>1.5553746818760754</v>
      </c>
    </row>
    <row r="547" spans="2:13">
      <c r="B547" s="161" t="s">
        <v>198</v>
      </c>
      <c r="C547" s="248" t="s">
        <v>127</v>
      </c>
      <c r="D547" s="211">
        <v>1069.9649999999999</v>
      </c>
      <c r="E547" s="432">
        <f>D547/$C$594</f>
        <v>122.91101870146579</v>
      </c>
      <c r="F547" s="277"/>
      <c r="G547" s="277"/>
      <c r="I547" s="44" t="s">
        <v>11</v>
      </c>
      <c r="J547" s="404">
        <f>D570</f>
        <v>12433.156000000001</v>
      </c>
      <c r="K547" s="404">
        <f>J547/$C$594</f>
        <v>1428.2447272894365</v>
      </c>
      <c r="L547" s="47"/>
      <c r="M547" s="47"/>
    </row>
    <row r="548" spans="2:13">
      <c r="B548" s="161" t="s">
        <v>199</v>
      </c>
      <c r="C548" s="248" t="s">
        <v>10</v>
      </c>
      <c r="D548" s="211">
        <v>703.15200000000004</v>
      </c>
      <c r="E548" s="432">
        <f>D548/$C$594</f>
        <v>80.77379037816479</v>
      </c>
      <c r="F548" s="277"/>
      <c r="G548" s="277"/>
      <c r="I548" s="45" t="s">
        <v>14</v>
      </c>
      <c r="J548" s="402">
        <f>J546-J547</f>
        <v>11644.253999999999</v>
      </c>
      <c r="K548" s="402">
        <f>K546-K547</f>
        <v>1337.6205026880489</v>
      </c>
      <c r="L548" s="46">
        <f>+J548/J551</f>
        <v>0.8683540188089548</v>
      </c>
      <c r="M548" s="46">
        <f>+K548/K551</f>
        <v>0.75220623235365514</v>
      </c>
    </row>
    <row r="549" spans="2:13">
      <c r="B549" s="161" t="s">
        <v>200</v>
      </c>
      <c r="C549" s="248" t="s">
        <v>201</v>
      </c>
      <c r="D549" s="211">
        <v>233.11799999999999</v>
      </c>
      <c r="E549" s="432">
        <f>D549/$C$594</f>
        <v>26.779166475210221</v>
      </c>
      <c r="F549" s="277"/>
      <c r="G549" s="277"/>
      <c r="I549" s="84" t="s">
        <v>17</v>
      </c>
      <c r="J549" s="400">
        <f>D572</f>
        <v>20253.488000000001</v>
      </c>
      <c r="K549" s="400">
        <f>J549/$C$594</f>
        <v>2326.5965170243076</v>
      </c>
      <c r="L549" s="85"/>
      <c r="M549" s="85"/>
    </row>
    <row r="550" spans="2:13">
      <c r="B550" s="161" t="s">
        <v>202</v>
      </c>
      <c r="C550" s="248" t="s">
        <v>203</v>
      </c>
      <c r="D550" s="211">
        <v>101.83199999999999</v>
      </c>
      <c r="E550" s="432">
        <f>D550/$C$594</f>
        <v>11.697835776317604</v>
      </c>
      <c r="F550" s="277"/>
      <c r="G550" s="277"/>
      <c r="I550" s="84" t="s">
        <v>20</v>
      </c>
      <c r="J550" s="400">
        <f>J546+J549</f>
        <v>44330.898000000001</v>
      </c>
      <c r="K550" s="400">
        <f>K546+K549</f>
        <v>5092.4617470017929</v>
      </c>
      <c r="L550" s="85"/>
      <c r="M550" s="85"/>
    </row>
    <row r="551" spans="2:13">
      <c r="B551" s="161" t="s">
        <v>173</v>
      </c>
      <c r="C551" s="248" t="s">
        <v>174</v>
      </c>
      <c r="D551" s="211">
        <v>63.872</v>
      </c>
      <c r="E551" s="432">
        <f>D551/$C$594</f>
        <v>7.3372237283462765</v>
      </c>
      <c r="F551" s="277"/>
      <c r="G551" s="277"/>
      <c r="I551" s="44" t="s">
        <v>23</v>
      </c>
      <c r="J551" s="397">
        <f>D574</f>
        <v>13409.570000000003</v>
      </c>
      <c r="K551" s="397">
        <f>E574</f>
        <v>1778.2629884661167</v>
      </c>
      <c r="L551" s="44"/>
      <c r="M551" s="44"/>
    </row>
    <row r="552" spans="2:13">
      <c r="B552" s="209" t="s">
        <v>24</v>
      </c>
      <c r="C552" s="250"/>
      <c r="D552" s="210">
        <f>SUM(D547:D551)</f>
        <v>2171.9389999999999</v>
      </c>
      <c r="E552" s="210">
        <f>SUM(E547:E551)</f>
        <v>249.49903505950468</v>
      </c>
      <c r="F552" s="222"/>
      <c r="G552" s="222"/>
    </row>
    <row r="553" spans="2:13">
      <c r="B553" s="209"/>
      <c r="C553" s="250"/>
      <c r="D553" s="210"/>
      <c r="E553" s="210"/>
      <c r="F553" s="222"/>
      <c r="G553" s="222"/>
    </row>
    <row r="554" spans="2:13">
      <c r="B554" s="161" t="s">
        <v>29</v>
      </c>
      <c r="C554" s="248" t="s">
        <v>204</v>
      </c>
      <c r="D554" s="211">
        <v>246.74299999999999</v>
      </c>
      <c r="E554" s="432">
        <f>D554/$C$594</f>
        <v>28.344322933419107</v>
      </c>
      <c r="F554" s="222"/>
      <c r="G554" s="222"/>
    </row>
    <row r="555" spans="2:13">
      <c r="B555" s="161" t="s">
        <v>205</v>
      </c>
      <c r="C555" s="248" t="s">
        <v>206</v>
      </c>
      <c r="D555" s="211">
        <v>0</v>
      </c>
      <c r="E555" s="431">
        <f>D555/$C$594</f>
        <v>0</v>
      </c>
      <c r="F555" s="222"/>
      <c r="G555" s="222"/>
    </row>
    <row r="556" spans="2:13">
      <c r="B556" s="209" t="s">
        <v>31</v>
      </c>
      <c r="C556" s="250"/>
      <c r="D556" s="210">
        <f>SUM(D554:D555)</f>
        <v>246.74299999999999</v>
      </c>
      <c r="E556" s="210">
        <f>SUM(E554:E555)</f>
        <v>28.344322933419107</v>
      </c>
      <c r="F556" s="222"/>
      <c r="G556" s="222"/>
    </row>
    <row r="557" spans="2:13">
      <c r="B557" s="209"/>
      <c r="C557" s="250"/>
      <c r="D557" s="210"/>
      <c r="E557" s="210"/>
      <c r="F557" s="222"/>
      <c r="G557" s="222"/>
    </row>
    <row r="558" spans="2:13">
      <c r="B558" s="161" t="s">
        <v>207</v>
      </c>
      <c r="C558" s="248" t="s">
        <v>208</v>
      </c>
      <c r="D558" s="211">
        <v>2602.681</v>
      </c>
      <c r="E558" s="432">
        <f t="shared" ref="E558:E566" si="20">D558/$C$594</f>
        <v>298.98003492165606</v>
      </c>
      <c r="F558" s="162"/>
      <c r="G558" s="162"/>
    </row>
    <row r="559" spans="2:13">
      <c r="B559" s="229" t="s">
        <v>209</v>
      </c>
      <c r="C559" s="251" t="s">
        <v>210</v>
      </c>
      <c r="D559" s="211">
        <v>6585.9570000000003</v>
      </c>
      <c r="E559" s="432">
        <f t="shared" si="20"/>
        <v>756.55435831457066</v>
      </c>
      <c r="F559" s="162"/>
      <c r="G559" s="162"/>
    </row>
    <row r="560" spans="2:13">
      <c r="B560" s="161" t="s">
        <v>181</v>
      </c>
      <c r="C560" s="248" t="s">
        <v>211</v>
      </c>
      <c r="D560" s="211">
        <v>814.56500000000005</v>
      </c>
      <c r="E560" s="432">
        <f t="shared" si="20"/>
        <v>93.572232688508024</v>
      </c>
      <c r="F560" s="162"/>
      <c r="G560" s="162"/>
    </row>
    <row r="561" spans="2:9">
      <c r="B561" s="161" t="s">
        <v>212</v>
      </c>
      <c r="C561" s="248" t="s">
        <v>213</v>
      </c>
      <c r="D561" s="211">
        <v>1130.1110000000001</v>
      </c>
      <c r="E561" s="432">
        <f t="shared" si="20"/>
        <v>129.82022239580942</v>
      </c>
      <c r="F561" s="162"/>
      <c r="G561" s="162"/>
    </row>
    <row r="562" spans="2:9">
      <c r="B562" s="161" t="s">
        <v>214</v>
      </c>
      <c r="C562" s="249" t="s">
        <v>215</v>
      </c>
      <c r="D562" s="211">
        <v>737.89599999999996</v>
      </c>
      <c r="E562" s="432">
        <f t="shared" si="20"/>
        <v>84.764968065064565</v>
      </c>
      <c r="F562" s="162"/>
      <c r="G562" s="162"/>
    </row>
    <row r="563" spans="2:9">
      <c r="B563" s="161" t="s">
        <v>216</v>
      </c>
      <c r="C563" s="249">
        <v>3.7999999999999999E-2</v>
      </c>
      <c r="D563" s="211">
        <v>494.99</v>
      </c>
      <c r="E563" s="432">
        <f t="shared" si="20"/>
        <v>56.861416165050777</v>
      </c>
      <c r="F563" s="162"/>
      <c r="G563" s="162"/>
    </row>
    <row r="564" spans="2:9">
      <c r="B564" s="161" t="s">
        <v>217</v>
      </c>
      <c r="C564" s="249">
        <v>1.7999999999999999E-2</v>
      </c>
      <c r="D564" s="211">
        <v>516.41200000000003</v>
      </c>
      <c r="E564" s="432">
        <f t="shared" si="20"/>
        <v>59.322244175894873</v>
      </c>
      <c r="F564" s="162"/>
      <c r="G564" s="162"/>
    </row>
    <row r="565" spans="2:9">
      <c r="B565" s="161" t="s">
        <v>190</v>
      </c>
      <c r="C565" s="408">
        <v>5.8000000000000003E-2</v>
      </c>
      <c r="D565" s="211">
        <v>8678.4680000000008</v>
      </c>
      <c r="E565" s="432">
        <f t="shared" si="20"/>
        <v>996.92919174746146</v>
      </c>
      <c r="F565" s="222"/>
      <c r="G565" s="222"/>
    </row>
    <row r="566" spans="2:9">
      <c r="B566" s="161" t="s">
        <v>191</v>
      </c>
      <c r="C566" s="408">
        <v>8.1000000000000003E-2</v>
      </c>
      <c r="D566" s="211">
        <v>97.647999999999996</v>
      </c>
      <c r="E566" s="432">
        <f t="shared" si="20"/>
        <v>11.217203510545421</v>
      </c>
      <c r="F566" s="162"/>
      <c r="G566" s="162"/>
    </row>
    <row r="567" spans="2:9">
      <c r="B567" s="209" t="s">
        <v>48</v>
      </c>
      <c r="C567" s="408"/>
      <c r="D567" s="210">
        <f>SUM(D558:D566)</f>
        <v>21658.728000000003</v>
      </c>
      <c r="E567" s="210">
        <f>SUM(E558:E566)</f>
        <v>2488.0218719845611</v>
      </c>
      <c r="F567" s="162"/>
      <c r="G567" s="162"/>
    </row>
    <row r="568" spans="2:9">
      <c r="B568" s="161"/>
      <c r="C568" s="408"/>
      <c r="D568" s="211"/>
      <c r="E568" s="257"/>
      <c r="F568" s="162"/>
      <c r="G568" s="162"/>
    </row>
    <row r="569" spans="2:9">
      <c r="B569" s="265" t="s">
        <v>49</v>
      </c>
      <c r="C569" s="265"/>
      <c r="D569" s="399">
        <f>+D556+D567+D552</f>
        <v>24077.41</v>
      </c>
      <c r="E569" s="399">
        <f>+E556+E567+E552</f>
        <v>2765.8652299774853</v>
      </c>
      <c r="F569" s="267">
        <f>+D569/D574</f>
        <v>1.7955393051380464</v>
      </c>
      <c r="G569" s="267">
        <f>+E569/E574</f>
        <v>1.5553746818760754</v>
      </c>
      <c r="I569" s="416"/>
    </row>
    <row r="570" spans="2:9">
      <c r="B570" s="44" t="s">
        <v>11</v>
      </c>
      <c r="C570" s="44"/>
      <c r="D570" s="272">
        <v>12433.156000000001</v>
      </c>
      <c r="E570" s="433">
        <f>D570/$C$594</f>
        <v>1428.2447272894365</v>
      </c>
      <c r="F570" s="47"/>
      <c r="G570" s="47"/>
    </row>
    <row r="571" spans="2:9">
      <c r="B571" s="45" t="s">
        <v>14</v>
      </c>
      <c r="C571" s="45"/>
      <c r="D571" s="402">
        <f>+D569-D570</f>
        <v>11644.253999999999</v>
      </c>
      <c r="E571" s="402">
        <f>+E569-E570</f>
        <v>1337.6205026880489</v>
      </c>
      <c r="F571" s="46">
        <f>+D571/D574</f>
        <v>0.8683540188089548</v>
      </c>
      <c r="G571" s="46">
        <f>+E571/E574</f>
        <v>0.75220623235365514</v>
      </c>
    </row>
    <row r="572" spans="2:9">
      <c r="B572" s="44" t="s">
        <v>17</v>
      </c>
      <c r="C572" s="44"/>
      <c r="D572" s="272">
        <v>20253.488000000001</v>
      </c>
      <c r="E572" s="433">
        <f>D572/$C$594</f>
        <v>2326.5965170243076</v>
      </c>
      <c r="F572" s="47"/>
      <c r="G572" s="47"/>
    </row>
    <row r="573" spans="2:9">
      <c r="B573" s="268" t="s">
        <v>20</v>
      </c>
      <c r="C573" s="268"/>
      <c r="D573" s="396">
        <f>D569+D572</f>
        <v>44330.898000000001</v>
      </c>
      <c r="E573" s="396">
        <f>E569+E572</f>
        <v>5092.4617470017929</v>
      </c>
      <c r="F573" s="270"/>
      <c r="G573" s="270"/>
    </row>
    <row r="574" spans="2:9">
      <c r="B574" s="268" t="s">
        <v>23</v>
      </c>
      <c r="C574" s="268"/>
      <c r="D574" s="396">
        <v>13409.570000000003</v>
      </c>
      <c r="E574" s="396">
        <v>1778.2629884661167</v>
      </c>
      <c r="F574" s="270"/>
      <c r="G574" s="270"/>
    </row>
    <row r="577" spans="2:7">
      <c r="B577" s="36" t="s">
        <v>50</v>
      </c>
      <c r="D577" s="387">
        <v>35420</v>
      </c>
      <c r="E577" s="255"/>
    </row>
    <row r="578" spans="2:7">
      <c r="B578" s="36" t="s">
        <v>51</v>
      </c>
      <c r="D578" s="227">
        <f>D577+D571</f>
        <v>47064.254000000001</v>
      </c>
      <c r="E578" s="227"/>
    </row>
    <row r="579" spans="2:7">
      <c r="B579" s="80" t="s">
        <v>52</v>
      </c>
      <c r="D579" s="228">
        <f>D578/D574</f>
        <v>3.5097511702463233</v>
      </c>
      <c r="E579" s="228"/>
      <c r="G579" s="410"/>
    </row>
    <row r="580" spans="2:7" ht="13.5" thickBot="1">
      <c r="B580" s="80"/>
      <c r="D580" s="228"/>
    </row>
    <row r="581" spans="2:7">
      <c r="B581" s="234" t="s">
        <v>218</v>
      </c>
      <c r="C581" s="240" t="s">
        <v>54</v>
      </c>
      <c r="D581" s="232" t="s">
        <v>55</v>
      </c>
    </row>
    <row r="582" spans="2:7">
      <c r="B582" s="239" t="s">
        <v>56</v>
      </c>
      <c r="C582" s="253">
        <v>19775</v>
      </c>
      <c r="D582" s="434">
        <f>C582/$C$594</f>
        <v>2271.6307494371181</v>
      </c>
    </row>
    <row r="583" spans="2:7">
      <c r="B583" s="239" t="s">
        <v>57</v>
      </c>
      <c r="C583" s="253">
        <v>1130</v>
      </c>
      <c r="D583" s="434">
        <f>C583/$C$594</f>
        <v>129.80747139640675</v>
      </c>
    </row>
    <row r="584" spans="2:7">
      <c r="B584" s="239" t="s">
        <v>58</v>
      </c>
      <c r="C584" s="253">
        <v>1001</v>
      </c>
      <c r="D584" s="434">
        <f>C584/$C$594</f>
        <v>114.98874236088776</v>
      </c>
    </row>
    <row r="585" spans="2:7">
      <c r="B585" s="239" t="s">
        <v>60</v>
      </c>
      <c r="C585" s="398">
        <f>D552</f>
        <v>2171.9389999999999</v>
      </c>
      <c r="D585" s="434">
        <f>C585/$C$594</f>
        <v>249.49903505950465</v>
      </c>
    </row>
    <row r="586" spans="2:7" ht="13.5" thickBot="1">
      <c r="B586" s="245" t="s">
        <v>61</v>
      </c>
      <c r="C586" s="412">
        <f>SUM(C582:C585)</f>
        <v>24077.938999999998</v>
      </c>
      <c r="D586" s="247">
        <f>SUM(D582:D585)</f>
        <v>2765.925998253917</v>
      </c>
    </row>
    <row r="587" spans="2:7" ht="13.5" thickBot="1"/>
    <row r="588" spans="2:7">
      <c r="B588" s="140" t="s">
        <v>219</v>
      </c>
      <c r="C588" s="240" t="s">
        <v>54</v>
      </c>
      <c r="D588" s="232" t="s">
        <v>55</v>
      </c>
    </row>
    <row r="589" spans="2:7">
      <c r="B589" s="141" t="s">
        <v>63</v>
      </c>
      <c r="C589" s="242">
        <f>+D589*$C$594</f>
        <v>460.50507999999996</v>
      </c>
      <c r="D589" s="253">
        <f>150-50-47.1</f>
        <v>52.9</v>
      </c>
    </row>
    <row r="590" spans="2:7">
      <c r="B590" s="141" t="s">
        <v>64</v>
      </c>
      <c r="C590" s="242">
        <f>D570</f>
        <v>12433.156000000001</v>
      </c>
      <c r="D590" s="237">
        <f>E570</f>
        <v>1428.2447272894365</v>
      </c>
    </row>
    <row r="591" spans="2:7" ht="13.5" thickBot="1">
      <c r="B591" s="143" t="s">
        <v>65</v>
      </c>
      <c r="C591" s="243">
        <f>SUM(C589:C590)</f>
        <v>12893.661080000002</v>
      </c>
      <c r="D591" s="236">
        <f>SUM(D589:D590)</f>
        <v>1481.1447272894366</v>
      </c>
    </row>
    <row r="593" spans="1:13">
      <c r="D593" s="39"/>
    </row>
    <row r="594" spans="1:13" ht="13.5" thickBot="1">
      <c r="B594" s="36" t="s">
        <v>220</v>
      </c>
      <c r="C594" s="36">
        <v>8.7051999999999996</v>
      </c>
    </row>
    <row r="595" spans="1:13">
      <c r="B595" s="234" t="s">
        <v>221</v>
      </c>
      <c r="C595" s="240" t="s">
        <v>54</v>
      </c>
      <c r="D595" s="232" t="s">
        <v>55</v>
      </c>
    </row>
    <row r="596" spans="1:13">
      <c r="B596" s="86" t="s">
        <v>68</v>
      </c>
      <c r="C596" s="253">
        <v>5460.87</v>
      </c>
      <c r="D596" s="237">
        <f>C596/$C$594</f>
        <v>627.31126223406704</v>
      </c>
    </row>
    <row r="597" spans="1:13">
      <c r="B597" s="86" t="s">
        <v>69</v>
      </c>
      <c r="C597" s="253">
        <v>18616.54</v>
      </c>
      <c r="D597" s="237">
        <f>C597/$C$594</f>
        <v>2138.5539677434181</v>
      </c>
    </row>
    <row r="598" spans="1:13" ht="13.5" thickBot="1">
      <c r="B598" s="87"/>
      <c r="C598" s="244"/>
      <c r="D598" s="233"/>
    </row>
    <row r="599" spans="1:13">
      <c r="B599" s="80" t="s">
        <v>70</v>
      </c>
      <c r="C599" s="238">
        <f>C596+C597</f>
        <v>24077.41</v>
      </c>
      <c r="D599" s="220">
        <f>D596+D597</f>
        <v>2765.8652299774849</v>
      </c>
    </row>
    <row r="601" spans="1:13" ht="12.75" customHeight="1"/>
    <row r="602" spans="1:13">
      <c r="A602" s="80" t="s">
        <v>222</v>
      </c>
      <c r="I602" s="273" t="s">
        <v>1</v>
      </c>
    </row>
    <row r="603" spans="1:13">
      <c r="B603" s="256" t="s">
        <v>223</v>
      </c>
      <c r="C603" s="256"/>
      <c r="D603" s="256"/>
      <c r="E603" s="256"/>
      <c r="F603" s="256"/>
      <c r="G603" s="256"/>
      <c r="I603" s="256" t="s">
        <v>223</v>
      </c>
      <c r="J603" s="256"/>
      <c r="K603" s="256"/>
      <c r="L603" s="256"/>
      <c r="M603" s="256"/>
    </row>
    <row r="604" spans="1:13" ht="25.5">
      <c r="B604" s="34"/>
      <c r="C604" s="212" t="s">
        <v>3</v>
      </c>
      <c r="D604" s="212" t="s">
        <v>4</v>
      </c>
      <c r="E604" s="212" t="s">
        <v>5</v>
      </c>
      <c r="F604" s="212" t="s">
        <v>6</v>
      </c>
      <c r="G604" s="212" t="s">
        <v>7</v>
      </c>
      <c r="I604" s="34"/>
      <c r="J604" s="34" t="s">
        <v>4</v>
      </c>
      <c r="K604" s="34" t="s">
        <v>5</v>
      </c>
      <c r="L604" s="37" t="s">
        <v>6</v>
      </c>
      <c r="M604" s="37" t="s">
        <v>6</v>
      </c>
    </row>
    <row r="605" spans="1:13">
      <c r="B605" s="411"/>
      <c r="C605" s="411"/>
      <c r="D605" s="411"/>
      <c r="E605" s="411"/>
      <c r="F605" s="411"/>
      <c r="G605" s="411"/>
      <c r="I605" s="45" t="s">
        <v>8</v>
      </c>
      <c r="J605" s="402">
        <f>D628</f>
        <v>24896.209000000003</v>
      </c>
      <c r="K605" s="402">
        <f>E628</f>
        <v>2990.1764352630316</v>
      </c>
      <c r="L605" s="46">
        <f>+J605/J610</f>
        <v>1.9499261813143562</v>
      </c>
      <c r="M605" s="46">
        <f>+K605/K610</f>
        <v>1.6751659848312908</v>
      </c>
    </row>
    <row r="606" spans="1:13">
      <c r="B606" s="161" t="s">
        <v>198</v>
      </c>
      <c r="C606" s="248" t="s">
        <v>127</v>
      </c>
      <c r="D606" s="211">
        <v>1203.0360000000001</v>
      </c>
      <c r="E606" s="257">
        <f>D606/$C$653</f>
        <v>144.4914724957963</v>
      </c>
      <c r="F606" s="277"/>
      <c r="G606" s="277"/>
      <c r="I606" s="44" t="s">
        <v>11</v>
      </c>
      <c r="J606" s="404">
        <f>D629</f>
        <v>13420.739</v>
      </c>
      <c r="K606" s="404">
        <f>J606/$C$653</f>
        <v>1611.9071582993033</v>
      </c>
      <c r="L606" s="47"/>
      <c r="M606" s="47"/>
    </row>
    <row r="607" spans="1:13">
      <c r="B607" s="161" t="s">
        <v>199</v>
      </c>
      <c r="C607" s="248" t="s">
        <v>10</v>
      </c>
      <c r="D607" s="211">
        <v>657.77</v>
      </c>
      <c r="E607" s="257">
        <f>D607/$C$653</f>
        <v>79.001921691088157</v>
      </c>
      <c r="F607" s="277"/>
      <c r="G607" s="277"/>
      <c r="I607" s="45" t="s">
        <v>14</v>
      </c>
      <c r="J607" s="402">
        <f>J605-J606</f>
        <v>11475.470000000003</v>
      </c>
      <c r="K607" s="402">
        <f>K605-K606</f>
        <v>1378.2692769637283</v>
      </c>
      <c r="L607" s="46">
        <f>+J607/J610</f>
        <v>0.89878420428939443</v>
      </c>
      <c r="M607" s="46">
        <f>+K607/K610</f>
        <v>0.7721383204949771</v>
      </c>
    </row>
    <row r="608" spans="1:13">
      <c r="B608" s="161" t="s">
        <v>200</v>
      </c>
      <c r="C608" s="248" t="s">
        <v>201</v>
      </c>
      <c r="D608" s="211">
        <v>211.20599999999999</v>
      </c>
      <c r="E608" s="257">
        <f>D608/$C$653</f>
        <v>25.367042997838094</v>
      </c>
      <c r="F608" s="277"/>
      <c r="G608" s="277"/>
      <c r="I608" s="84" t="s">
        <v>17</v>
      </c>
      <c r="J608" s="400">
        <f>D631</f>
        <v>21734.067999999999</v>
      </c>
      <c r="K608" s="400">
        <f>J608/$C$653</f>
        <v>2610.3852990631754</v>
      </c>
      <c r="L608" s="85"/>
      <c r="M608" s="85"/>
    </row>
    <row r="609" spans="2:13">
      <c r="B609" s="161" t="s">
        <v>202</v>
      </c>
      <c r="C609" s="248" t="s">
        <v>203</v>
      </c>
      <c r="D609" s="211">
        <v>107.55</v>
      </c>
      <c r="E609" s="257">
        <f>D609/$C$653</f>
        <v>12.917367283209224</v>
      </c>
      <c r="F609" s="277"/>
      <c r="G609" s="277"/>
      <c r="I609" s="84" t="s">
        <v>20</v>
      </c>
      <c r="J609" s="400">
        <f>J605+J608</f>
        <v>46630.277000000002</v>
      </c>
      <c r="K609" s="400">
        <f>K605+K608</f>
        <v>5600.5617343262074</v>
      </c>
      <c r="L609" s="85"/>
      <c r="M609" s="85"/>
    </row>
    <row r="610" spans="2:13">
      <c r="B610" s="161" t="s">
        <v>173</v>
      </c>
      <c r="C610" s="248" t="s">
        <v>174</v>
      </c>
      <c r="D610" s="211">
        <v>68.623000000000005</v>
      </c>
      <c r="E610" s="257">
        <f>D610/$C$653</f>
        <v>8.2420129714148445</v>
      </c>
      <c r="F610" s="277"/>
      <c r="G610" s="277"/>
      <c r="I610" s="44" t="s">
        <v>23</v>
      </c>
      <c r="J610" s="397">
        <f>D633</f>
        <v>12767.770000000002</v>
      </c>
      <c r="K610" s="397">
        <f>E633</f>
        <v>1785.0030757186</v>
      </c>
      <c r="L610" s="44"/>
      <c r="M610" s="44"/>
    </row>
    <row r="611" spans="2:13">
      <c r="B611" s="209" t="s">
        <v>24</v>
      </c>
      <c r="C611" s="250"/>
      <c r="D611" s="210">
        <f>SUM(D606:D610)</f>
        <v>2248.1850000000004</v>
      </c>
      <c r="E611" s="210">
        <f>SUM(E606:E610)</f>
        <v>270.01981743934664</v>
      </c>
      <c r="F611" s="222"/>
      <c r="G611" s="222"/>
    </row>
    <row r="612" spans="2:13">
      <c r="B612" s="209"/>
      <c r="C612" s="250"/>
      <c r="D612" s="210"/>
      <c r="E612" s="210"/>
      <c r="F612" s="222"/>
      <c r="G612" s="222"/>
    </row>
    <row r="613" spans="2:13">
      <c r="B613" s="161" t="s">
        <v>29</v>
      </c>
      <c r="C613" s="248" t="s">
        <v>204</v>
      </c>
      <c r="D613" s="211">
        <v>234.05</v>
      </c>
      <c r="E613" s="257">
        <f>D613/$C$653</f>
        <v>28.110737448955081</v>
      </c>
      <c r="F613" s="222"/>
      <c r="G613" s="222"/>
    </row>
    <row r="614" spans="2:13">
      <c r="B614" s="161" t="s">
        <v>205</v>
      </c>
      <c r="C614" s="248" t="s">
        <v>206</v>
      </c>
      <c r="D614" s="211">
        <v>0</v>
      </c>
      <c r="E614" s="257">
        <f>D614/$C$653</f>
        <v>0</v>
      </c>
      <c r="F614" s="222"/>
      <c r="G614" s="222"/>
    </row>
    <row r="615" spans="2:13">
      <c r="B615" s="209" t="s">
        <v>31</v>
      </c>
      <c r="C615" s="250"/>
      <c r="D615" s="210">
        <f>SUM(D613:D614)</f>
        <v>234.05</v>
      </c>
      <c r="E615" s="210">
        <f>SUM(E613:E614)</f>
        <v>28.110737448955081</v>
      </c>
      <c r="F615" s="222"/>
      <c r="G615" s="222"/>
    </row>
    <row r="616" spans="2:13">
      <c r="B616" s="209"/>
      <c r="C616" s="250"/>
      <c r="D616" s="210"/>
      <c r="E616" s="210"/>
      <c r="F616" s="222"/>
      <c r="G616" s="222"/>
    </row>
    <row r="617" spans="2:13">
      <c r="B617" s="161" t="s">
        <v>207</v>
      </c>
      <c r="C617" s="248" t="s">
        <v>208</v>
      </c>
      <c r="D617" s="211">
        <v>2703.2660000000001</v>
      </c>
      <c r="E617" s="257">
        <f t="shared" ref="E617:E625" si="21">D617/$C$653</f>
        <v>324.67763631996155</v>
      </c>
      <c r="F617" s="162"/>
      <c r="G617" s="162"/>
    </row>
    <row r="618" spans="2:13">
      <c r="B618" s="229" t="s">
        <v>209</v>
      </c>
      <c r="C618" s="251" t="s">
        <v>210</v>
      </c>
      <c r="D618" s="211">
        <v>6692.5889999999999</v>
      </c>
      <c r="E618" s="257">
        <f t="shared" si="21"/>
        <v>803.81803987508999</v>
      </c>
      <c r="F618" s="162"/>
      <c r="G618" s="162"/>
    </row>
    <row r="619" spans="2:13">
      <c r="B619" s="161" t="s">
        <v>181</v>
      </c>
      <c r="C619" s="248" t="s">
        <v>211</v>
      </c>
      <c r="D619" s="211">
        <v>1681.116</v>
      </c>
      <c r="E619" s="257">
        <f t="shared" si="21"/>
        <v>201.91160220994473</v>
      </c>
      <c r="F619" s="162"/>
      <c r="G619" s="162"/>
    </row>
    <row r="620" spans="2:13">
      <c r="B620" s="161" t="s">
        <v>212</v>
      </c>
      <c r="C620" s="248" t="s">
        <v>213</v>
      </c>
      <c r="D620" s="211">
        <v>1091.78</v>
      </c>
      <c r="E620" s="257">
        <f t="shared" si="21"/>
        <v>131.12899351429257</v>
      </c>
      <c r="F620" s="162"/>
      <c r="G620" s="162"/>
    </row>
    <row r="621" spans="2:13">
      <c r="B621" s="161" t="s">
        <v>214</v>
      </c>
      <c r="C621" s="249" t="s">
        <v>215</v>
      </c>
      <c r="D621" s="211">
        <v>695.81500000000005</v>
      </c>
      <c r="E621" s="257">
        <f t="shared" si="21"/>
        <v>83.571342781647857</v>
      </c>
      <c r="F621" s="162"/>
      <c r="G621" s="162"/>
    </row>
    <row r="622" spans="2:13">
      <c r="B622" s="161" t="s">
        <v>216</v>
      </c>
      <c r="C622" s="249">
        <v>3.7999999999999999E-2</v>
      </c>
      <c r="D622" s="211">
        <v>466.95</v>
      </c>
      <c r="E622" s="257">
        <f t="shared" si="21"/>
        <v>56.083353350948833</v>
      </c>
      <c r="F622" s="162"/>
      <c r="G622" s="162"/>
    </row>
    <row r="623" spans="2:13">
      <c r="B623" s="161" t="s">
        <v>217</v>
      </c>
      <c r="C623" s="249">
        <v>1.7999999999999999E-2</v>
      </c>
      <c r="D623" s="211">
        <v>571.86</v>
      </c>
      <c r="E623" s="257">
        <f t="shared" si="21"/>
        <v>68.683641604612049</v>
      </c>
      <c r="F623" s="162"/>
      <c r="G623" s="162"/>
    </row>
    <row r="624" spans="2:13">
      <c r="B624" s="161" t="s">
        <v>190</v>
      </c>
      <c r="C624" s="408">
        <v>5.8000000000000003E-2</v>
      </c>
      <c r="D624" s="211">
        <v>8417.0110000000004</v>
      </c>
      <c r="E624" s="257">
        <f t="shared" si="21"/>
        <v>1010.9309392265193</v>
      </c>
      <c r="F624" s="222"/>
      <c r="G624" s="222"/>
    </row>
    <row r="625" spans="2:9">
      <c r="B625" s="161" t="s">
        <v>191</v>
      </c>
      <c r="C625" s="408">
        <v>8.1000000000000003E-2</v>
      </c>
      <c r="D625" s="211">
        <v>93.587000000000003</v>
      </c>
      <c r="E625" s="257">
        <f t="shared" si="21"/>
        <v>11.240331491712707</v>
      </c>
      <c r="F625" s="162"/>
      <c r="G625" s="162"/>
    </row>
    <row r="626" spans="2:9">
      <c r="B626" s="209" t="s">
        <v>48</v>
      </c>
      <c r="C626" s="408"/>
      <c r="D626" s="210">
        <f>SUM(D617:D625)</f>
        <v>22413.974000000002</v>
      </c>
      <c r="E626" s="210">
        <f>SUM(E617:E625)</f>
        <v>2692.0458803747297</v>
      </c>
      <c r="F626" s="162"/>
      <c r="G626" s="162"/>
    </row>
    <row r="627" spans="2:9">
      <c r="B627" s="161"/>
      <c r="C627" s="408"/>
      <c r="D627" s="211"/>
      <c r="E627" s="257"/>
      <c r="F627" s="162"/>
      <c r="G627" s="162"/>
    </row>
    <row r="628" spans="2:9">
      <c r="B628" s="265" t="s">
        <v>49</v>
      </c>
      <c r="C628" s="265"/>
      <c r="D628" s="399">
        <f>+D615+D626+D611</f>
        <v>24896.209000000003</v>
      </c>
      <c r="E628" s="399">
        <f>+E615+E626+E611</f>
        <v>2990.1764352630316</v>
      </c>
      <c r="F628" s="267">
        <f>+D628/D633</f>
        <v>1.9499261813143562</v>
      </c>
      <c r="G628" s="267">
        <f>+E628/E633</f>
        <v>1.6751659848312908</v>
      </c>
      <c r="I628" s="416"/>
    </row>
    <row r="629" spans="2:9">
      <c r="B629" s="44" t="s">
        <v>11</v>
      </c>
      <c r="C629" s="44"/>
      <c r="D629" s="272">
        <v>13420.739</v>
      </c>
      <c r="E629" s="272">
        <f>D629/$C$653</f>
        <v>1611.9071582993033</v>
      </c>
      <c r="F629" s="47"/>
      <c r="G629" s="47"/>
    </row>
    <row r="630" spans="2:9">
      <c r="B630" s="45" t="s">
        <v>14</v>
      </c>
      <c r="C630" s="45"/>
      <c r="D630" s="402">
        <f>+D628-D629</f>
        <v>11475.470000000003</v>
      </c>
      <c r="E630" s="402">
        <f>+E628-E629</f>
        <v>1378.2692769637283</v>
      </c>
      <c r="F630" s="46">
        <f>+D630/D633</f>
        <v>0.89878420428939443</v>
      </c>
      <c r="G630" s="46">
        <f>+E630/E633</f>
        <v>0.7721383204949771</v>
      </c>
    </row>
    <row r="631" spans="2:9">
      <c r="B631" s="44" t="s">
        <v>17</v>
      </c>
      <c r="C631" s="44"/>
      <c r="D631" s="272">
        <v>21734.067999999999</v>
      </c>
      <c r="E631" s="272">
        <f>D631/$C$653</f>
        <v>2610.3852990631754</v>
      </c>
      <c r="F631" s="47"/>
      <c r="G631" s="47"/>
    </row>
    <row r="632" spans="2:9">
      <c r="B632" s="268" t="s">
        <v>20</v>
      </c>
      <c r="C632" s="268"/>
      <c r="D632" s="396">
        <f>D628+D631</f>
        <v>46630.277000000002</v>
      </c>
      <c r="E632" s="396">
        <f>E628+E631</f>
        <v>5600.5617343262074</v>
      </c>
      <c r="F632" s="270"/>
      <c r="G632" s="270"/>
    </row>
    <row r="633" spans="2:9">
      <c r="B633" s="268" t="s">
        <v>23</v>
      </c>
      <c r="C633" s="268"/>
      <c r="D633" s="396">
        <v>12767.770000000002</v>
      </c>
      <c r="E633" s="396">
        <v>1785.0030757186</v>
      </c>
      <c r="F633" s="270"/>
      <c r="G633" s="270"/>
    </row>
    <row r="636" spans="2:9">
      <c r="B636" s="36" t="s">
        <v>50</v>
      </c>
      <c r="D636" s="387">
        <v>32934</v>
      </c>
      <c r="E636" s="255"/>
    </row>
    <row r="637" spans="2:9">
      <c r="B637" s="36" t="s">
        <v>51</v>
      </c>
      <c r="D637" s="227">
        <f>D636+D630</f>
        <v>44409.47</v>
      </c>
      <c r="E637" s="227"/>
    </row>
    <row r="638" spans="2:9">
      <c r="B638" s="80" t="s">
        <v>52</v>
      </c>
      <c r="D638" s="228">
        <f>D637/D633</f>
        <v>3.478247963426659</v>
      </c>
      <c r="E638" s="228"/>
      <c r="G638" s="410"/>
    </row>
    <row r="639" spans="2:9" ht="13.5" thickBot="1">
      <c r="B639" s="80"/>
      <c r="D639" s="228"/>
    </row>
    <row r="640" spans="2:9">
      <c r="B640" s="234" t="s">
        <v>224</v>
      </c>
      <c r="C640" s="240" t="s">
        <v>54</v>
      </c>
      <c r="D640" s="232" t="s">
        <v>55</v>
      </c>
    </row>
    <row r="641" spans="2:4">
      <c r="B641" s="239" t="s">
        <v>56</v>
      </c>
      <c r="C641" s="253">
        <v>20467</v>
      </c>
      <c r="D641" s="237">
        <f>C641/$C$653</f>
        <v>2458.2032188325725</v>
      </c>
    </row>
    <row r="642" spans="2:4">
      <c r="B642" s="239" t="s">
        <v>57</v>
      </c>
      <c r="C642" s="253">
        <v>1092</v>
      </c>
      <c r="D642" s="237">
        <f>C642/$C$653</f>
        <v>131.15541676675474</v>
      </c>
    </row>
    <row r="643" spans="2:4">
      <c r="B643" s="239" t="s">
        <v>58</v>
      </c>
      <c r="C643" s="253">
        <v>1089</v>
      </c>
      <c r="D643" s="237">
        <f>C643/$C$653</f>
        <v>130.79509968772518</v>
      </c>
    </row>
    <row r="644" spans="2:4">
      <c r="B644" s="239" t="s">
        <v>60</v>
      </c>
      <c r="C644" s="398">
        <f>D611</f>
        <v>2248.1850000000004</v>
      </c>
      <c r="D644" s="237">
        <f>C644/$C$653</f>
        <v>270.01981743934664</v>
      </c>
    </row>
    <row r="645" spans="2:4" ht="13.5" thickBot="1">
      <c r="B645" s="245" t="s">
        <v>61</v>
      </c>
      <c r="C645" s="412">
        <f>SUM(C641:C644)</f>
        <v>24896.185000000001</v>
      </c>
      <c r="D645" s="247">
        <f>SUM(D641:D644)</f>
        <v>2990.1735527263991</v>
      </c>
    </row>
    <row r="646" spans="2:4" ht="13.5" thickBot="1"/>
    <row r="647" spans="2:4">
      <c r="B647" s="140" t="s">
        <v>225</v>
      </c>
      <c r="C647" s="240" t="s">
        <v>54</v>
      </c>
      <c r="D647" s="232" t="s">
        <v>55</v>
      </c>
    </row>
    <row r="648" spans="2:4">
      <c r="B648" s="141" t="s">
        <v>63</v>
      </c>
      <c r="C648" s="242">
        <f>+D648*$C$653</f>
        <v>440.44540000000001</v>
      </c>
      <c r="D648" s="253">
        <f>150-50-47.1</f>
        <v>52.9</v>
      </c>
    </row>
    <row r="649" spans="2:4">
      <c r="B649" s="141" t="s">
        <v>64</v>
      </c>
      <c r="C649" s="242">
        <f>D629</f>
        <v>13420.739</v>
      </c>
      <c r="D649" s="237">
        <f>E629</f>
        <v>1611.9071582993033</v>
      </c>
    </row>
    <row r="650" spans="2:4" ht="13.5" thickBot="1">
      <c r="B650" s="143" t="s">
        <v>65</v>
      </c>
      <c r="C650" s="243">
        <f>SUM(C648:C649)</f>
        <v>13861.1844</v>
      </c>
      <c r="D650" s="236">
        <f>SUM(D648:D649)</f>
        <v>1664.8071582993034</v>
      </c>
    </row>
    <row r="652" spans="2:4">
      <c r="D652" s="39"/>
    </row>
    <row r="653" spans="2:4" ht="13.5" thickBot="1">
      <c r="B653" s="36" t="s">
        <v>226</v>
      </c>
      <c r="C653" s="36">
        <v>8.3260000000000005</v>
      </c>
    </row>
    <row r="654" spans="2:4">
      <c r="B654" s="234" t="s">
        <v>227</v>
      </c>
      <c r="C654" s="240" t="s">
        <v>54</v>
      </c>
      <c r="D654" s="232" t="s">
        <v>55</v>
      </c>
    </row>
    <row r="655" spans="2:4">
      <c r="B655" s="86" t="s">
        <v>68</v>
      </c>
      <c r="C655" s="253">
        <v>5821.317</v>
      </c>
      <c r="D655" s="237">
        <f>C655/$C$653</f>
        <v>699.17331251501321</v>
      </c>
    </row>
    <row r="656" spans="2:4">
      <c r="B656" s="86" t="s">
        <v>69</v>
      </c>
      <c r="C656" s="253">
        <v>19074.456999999999</v>
      </c>
      <c r="D656" s="237">
        <f>C656/$C$653</f>
        <v>2290.9508767715588</v>
      </c>
    </row>
    <row r="657" spans="1:13" ht="13.5" thickBot="1">
      <c r="B657" s="87"/>
      <c r="C657" s="244"/>
      <c r="D657" s="233"/>
    </row>
    <row r="658" spans="1:13" ht="12.75" customHeight="1">
      <c r="B658" s="80" t="s">
        <v>70</v>
      </c>
      <c r="C658" s="238">
        <f>C655+C656</f>
        <v>24895.773999999998</v>
      </c>
      <c r="D658" s="220">
        <f>D655+D656</f>
        <v>2990.1241892865719</v>
      </c>
    </row>
    <row r="659" spans="1:13">
      <c r="I659" s="273"/>
    </row>
    <row r="660" spans="1:13">
      <c r="A660" s="80" t="s">
        <v>228</v>
      </c>
      <c r="I660" s="273" t="s">
        <v>1</v>
      </c>
    </row>
    <row r="661" spans="1:13">
      <c r="B661" s="256" t="s">
        <v>229</v>
      </c>
      <c r="C661" s="256"/>
      <c r="D661" s="256"/>
      <c r="E661" s="256"/>
      <c r="F661" s="256"/>
      <c r="G661" s="256"/>
      <c r="I661" s="256" t="s">
        <v>229</v>
      </c>
      <c r="J661" s="256"/>
      <c r="K661" s="256"/>
      <c r="L661" s="256"/>
      <c r="M661" s="256"/>
    </row>
    <row r="662" spans="1:13" ht="25.5">
      <c r="B662" s="34"/>
      <c r="C662" s="212" t="s">
        <v>3</v>
      </c>
      <c r="D662" s="212" t="s">
        <v>4</v>
      </c>
      <c r="E662" s="212" t="s">
        <v>5</v>
      </c>
      <c r="F662" s="212" t="s">
        <v>6</v>
      </c>
      <c r="G662" s="212" t="s">
        <v>7</v>
      </c>
      <c r="I662" s="34"/>
      <c r="J662" s="34" t="s">
        <v>4</v>
      </c>
      <c r="K662" s="34" t="s">
        <v>5</v>
      </c>
      <c r="L662" s="37" t="s">
        <v>6</v>
      </c>
      <c r="M662" s="37" t="s">
        <v>6</v>
      </c>
    </row>
    <row r="663" spans="1:13">
      <c r="B663" s="411"/>
      <c r="C663" s="411"/>
      <c r="D663" s="411"/>
      <c r="E663" s="411"/>
      <c r="F663" s="411"/>
      <c r="G663" s="411"/>
      <c r="I663" s="45" t="s">
        <v>8</v>
      </c>
      <c r="J663" s="402">
        <f>D686</f>
        <v>21586.422000000002</v>
      </c>
      <c r="K663" s="402">
        <f>E686</f>
        <v>2940.7291056467543</v>
      </c>
      <c r="L663" s="46">
        <f>+J663/J668</f>
        <v>1.7592315472149578</v>
      </c>
      <c r="M663" s="46">
        <f>+K663/K668</f>
        <v>1.6323610070192054</v>
      </c>
    </row>
    <row r="664" spans="1:13">
      <c r="B664" s="161" t="s">
        <v>198</v>
      </c>
      <c r="C664" s="248" t="s">
        <v>127</v>
      </c>
      <c r="D664" s="211">
        <v>1201.9880000000001</v>
      </c>
      <c r="E664" s="257">
        <f>D664/$C$711</f>
        <v>163.74742864927458</v>
      </c>
      <c r="F664" s="277"/>
      <c r="G664" s="277"/>
      <c r="I664" s="44" t="s">
        <v>11</v>
      </c>
      <c r="J664" s="404">
        <f>D687</f>
        <v>11860.555</v>
      </c>
      <c r="K664" s="404">
        <f>J664/$C$711</f>
        <v>1615.7693617600983</v>
      </c>
      <c r="L664" s="47"/>
      <c r="M664" s="47"/>
    </row>
    <row r="665" spans="1:13">
      <c r="B665" s="161" t="s">
        <v>199</v>
      </c>
      <c r="C665" s="248" t="s">
        <v>10</v>
      </c>
      <c r="D665" s="211">
        <v>555.59699999999998</v>
      </c>
      <c r="E665" s="257">
        <f>D665/$C$711</f>
        <v>75.689258224916557</v>
      </c>
      <c r="F665" s="277"/>
      <c r="G665" s="277"/>
      <c r="I665" s="45" t="s">
        <v>14</v>
      </c>
      <c r="J665" s="402">
        <f>J663-J664</f>
        <v>9725.867000000002</v>
      </c>
      <c r="K665" s="402">
        <f>K663-K664</f>
        <v>1324.959743886656</v>
      </c>
      <c r="L665" s="46">
        <f>+J665/J668</f>
        <v>0.79263029558195897</v>
      </c>
      <c r="M665" s="46">
        <f>+K665/K668</f>
        <v>0.73546815911663621</v>
      </c>
    </row>
    <row r="666" spans="1:13">
      <c r="B666" s="161" t="s">
        <v>200</v>
      </c>
      <c r="C666" s="248" t="s">
        <v>201</v>
      </c>
      <c r="D666" s="211">
        <v>185.55699999999999</v>
      </c>
      <c r="E666" s="257">
        <f>D666/$C$711</f>
        <v>25.278523261358217</v>
      </c>
      <c r="F666" s="277"/>
      <c r="G666" s="277"/>
      <c r="I666" s="84" t="s">
        <v>17</v>
      </c>
      <c r="J666" s="400">
        <f>D689</f>
        <v>20784.937999999998</v>
      </c>
      <c r="K666" s="400">
        <f>J666/$C$770</f>
        <v>2693.8499423253884</v>
      </c>
      <c r="L666" s="85"/>
      <c r="M666" s="85"/>
    </row>
    <row r="667" spans="1:13">
      <c r="B667" s="161" t="s">
        <v>202</v>
      </c>
      <c r="C667" s="248" t="s">
        <v>203</v>
      </c>
      <c r="D667" s="211">
        <v>99.259</v>
      </c>
      <c r="E667" s="257">
        <f>D667/$C$711</f>
        <v>13.522103398951026</v>
      </c>
      <c r="F667" s="277"/>
      <c r="G667" s="277"/>
      <c r="I667" s="84" t="s">
        <v>20</v>
      </c>
      <c r="J667" s="400">
        <f>J663+J666</f>
        <v>42371.360000000001</v>
      </c>
      <c r="K667" s="400">
        <f>K663+K666</f>
        <v>5634.5790479721427</v>
      </c>
      <c r="L667" s="85"/>
      <c r="M667" s="85"/>
    </row>
    <row r="668" spans="1:13">
      <c r="B668" s="161" t="s">
        <v>173</v>
      </c>
      <c r="C668" s="248" t="s">
        <v>174</v>
      </c>
      <c r="D668" s="211">
        <v>56.484999999999999</v>
      </c>
      <c r="E668" s="257">
        <f>D668/$C$711</f>
        <v>7.6949799060009543</v>
      </c>
      <c r="F668" s="277"/>
      <c r="G668" s="277"/>
      <c r="I668" s="44" t="s">
        <v>23</v>
      </c>
      <c r="J668" s="397">
        <f>D691</f>
        <v>12270.37</v>
      </c>
      <c r="K668" s="397">
        <f>E691</f>
        <v>1801.5188386646848</v>
      </c>
      <c r="L668" s="44"/>
      <c r="M668" s="44"/>
    </row>
    <row r="669" spans="1:13">
      <c r="B669" s="209" t="s">
        <v>24</v>
      </c>
      <c r="C669" s="250"/>
      <c r="D669" s="210">
        <f>SUM(D664:D668)</f>
        <v>2098.886</v>
      </c>
      <c r="E669" s="210">
        <f>SUM(E664:E668)</f>
        <v>285.93229344050133</v>
      </c>
      <c r="F669" s="222"/>
      <c r="G669" s="222"/>
    </row>
    <row r="670" spans="1:13">
      <c r="B670" s="209"/>
      <c r="C670" s="250"/>
      <c r="D670" s="210"/>
      <c r="E670" s="210"/>
      <c r="F670" s="222"/>
      <c r="G670" s="222"/>
    </row>
    <row r="671" spans="1:13">
      <c r="B671" s="161" t="s">
        <v>29</v>
      </c>
      <c r="C671" s="248" t="s">
        <v>204</v>
      </c>
      <c r="D671" s="211">
        <v>259.42700000000002</v>
      </c>
      <c r="E671" s="257">
        <f>D671/$C$711</f>
        <v>35.34187044479259</v>
      </c>
      <c r="F671" s="222"/>
      <c r="G671" s="222"/>
    </row>
    <row r="672" spans="1:13">
      <c r="B672" s="161" t="s">
        <v>205</v>
      </c>
      <c r="C672" s="248" t="s">
        <v>206</v>
      </c>
      <c r="D672" s="211">
        <v>36.377000000000002</v>
      </c>
      <c r="E672" s="257">
        <f>D672/$C$711</f>
        <v>4.9556569715959409</v>
      </c>
      <c r="F672" s="222"/>
      <c r="G672" s="222"/>
    </row>
    <row r="673" spans="2:9">
      <c r="B673" s="209" t="s">
        <v>31</v>
      </c>
      <c r="C673" s="250"/>
      <c r="D673" s="210">
        <f>SUM(D671:D672)</f>
        <v>295.80400000000003</v>
      </c>
      <c r="E673" s="210">
        <f>SUM(E671:E672)</f>
        <v>40.297527416388533</v>
      </c>
      <c r="F673" s="222"/>
      <c r="G673" s="222"/>
    </row>
    <row r="674" spans="2:9">
      <c r="B674" s="209"/>
      <c r="C674" s="250"/>
      <c r="D674" s="210"/>
      <c r="E674" s="210"/>
      <c r="F674" s="222"/>
      <c r="G674" s="222"/>
    </row>
    <row r="675" spans="2:9">
      <c r="B675" s="161" t="s">
        <v>207</v>
      </c>
      <c r="C675" s="248" t="s">
        <v>208</v>
      </c>
      <c r="D675" s="211">
        <v>2384.6219999999998</v>
      </c>
      <c r="E675" s="257">
        <f t="shared" ref="E675:E683" si="22">D675/$C$711</f>
        <v>324.8582521626592</v>
      </c>
      <c r="F675" s="162"/>
      <c r="G675" s="162"/>
    </row>
    <row r="676" spans="2:9">
      <c r="B676" s="229" t="s">
        <v>209</v>
      </c>
      <c r="C676" s="251" t="s">
        <v>210</v>
      </c>
      <c r="D676" s="211">
        <v>5624.277</v>
      </c>
      <c r="E676" s="257">
        <f t="shared" si="22"/>
        <v>766.19807914992168</v>
      </c>
      <c r="F676" s="162"/>
      <c r="G676" s="162"/>
    </row>
    <row r="677" spans="2:9">
      <c r="B677" s="161" t="s">
        <v>181</v>
      </c>
      <c r="C677" s="248" t="s">
        <v>211</v>
      </c>
      <c r="D677" s="211">
        <v>1627.1980000000001</v>
      </c>
      <c r="E677" s="257">
        <f t="shared" si="22"/>
        <v>221.67400040869154</v>
      </c>
      <c r="F677" s="162"/>
      <c r="G677" s="162"/>
    </row>
    <row r="678" spans="2:9">
      <c r="B678" s="161" t="s">
        <v>212</v>
      </c>
      <c r="C678" s="248" t="s">
        <v>213</v>
      </c>
      <c r="D678" s="211">
        <v>980.20699999999999</v>
      </c>
      <c r="E678" s="257">
        <f t="shared" si="22"/>
        <v>133.53409168312785</v>
      </c>
      <c r="F678" s="162"/>
      <c r="G678" s="162"/>
    </row>
    <row r="679" spans="2:9">
      <c r="B679" s="161" t="s">
        <v>214</v>
      </c>
      <c r="C679" s="249" t="s">
        <v>215</v>
      </c>
      <c r="D679" s="211">
        <v>501.036</v>
      </c>
      <c r="E679" s="257">
        <f t="shared" si="22"/>
        <v>68.256385804781701</v>
      </c>
      <c r="F679" s="162"/>
      <c r="G679" s="162"/>
    </row>
    <row r="680" spans="2:9">
      <c r="B680" s="161" t="s">
        <v>216</v>
      </c>
      <c r="C680" s="249">
        <v>3.7999999999999999E-2</v>
      </c>
      <c r="D680" s="211">
        <v>428.565</v>
      </c>
      <c r="E680" s="257">
        <f t="shared" si="22"/>
        <v>58.383625093658473</v>
      </c>
      <c r="F680" s="162"/>
      <c r="G680" s="162"/>
    </row>
    <row r="681" spans="2:9">
      <c r="B681" s="161" t="s">
        <v>217</v>
      </c>
      <c r="C681" s="249">
        <v>1.7999999999999999E-2</v>
      </c>
      <c r="D681" s="211">
        <v>283.27300000000002</v>
      </c>
      <c r="E681" s="257">
        <f t="shared" si="22"/>
        <v>38.590422995708742</v>
      </c>
      <c r="F681" s="162"/>
      <c r="G681" s="162"/>
    </row>
    <row r="682" spans="2:9">
      <c r="B682" s="161" t="s">
        <v>190</v>
      </c>
      <c r="C682" s="408">
        <v>5.8000000000000003E-2</v>
      </c>
      <c r="D682" s="211">
        <v>7311.6880000000001</v>
      </c>
      <c r="E682" s="257">
        <f t="shared" si="22"/>
        <v>996.07492677610526</v>
      </c>
      <c r="F682" s="222"/>
      <c r="G682" s="222"/>
    </row>
    <row r="683" spans="2:9">
      <c r="B683" s="161" t="s">
        <v>191</v>
      </c>
      <c r="C683" s="408">
        <v>8.1000000000000003E-2</v>
      </c>
      <c r="D683" s="211">
        <v>50.866</v>
      </c>
      <c r="E683" s="257">
        <f t="shared" si="22"/>
        <v>6.9295007152101356</v>
      </c>
      <c r="F683" s="162"/>
      <c r="G683" s="162"/>
    </row>
    <row r="684" spans="2:9">
      <c r="B684" s="209" t="s">
        <v>48</v>
      </c>
      <c r="C684" s="408"/>
      <c r="D684" s="210">
        <f>SUM(D675:D683)</f>
        <v>19191.732000000004</v>
      </c>
      <c r="E684" s="210">
        <f>SUM(E675:E683)</f>
        <v>2614.4992847898643</v>
      </c>
      <c r="F684" s="162"/>
      <c r="G684" s="162"/>
    </row>
    <row r="685" spans="2:9">
      <c r="B685" s="161"/>
      <c r="C685" s="408"/>
      <c r="D685" s="211"/>
      <c r="E685" s="257"/>
      <c r="F685" s="162"/>
      <c r="G685" s="162"/>
    </row>
    <row r="686" spans="2:9">
      <c r="B686" s="265" t="s">
        <v>49</v>
      </c>
      <c r="C686" s="265"/>
      <c r="D686" s="399">
        <f>+D673+D684+D669</f>
        <v>21586.422000000002</v>
      </c>
      <c r="E686" s="399">
        <f>+E673+E684+E669</f>
        <v>2940.7291056467543</v>
      </c>
      <c r="F686" s="267">
        <f>+D686/D691</f>
        <v>1.7592315472149578</v>
      </c>
      <c r="G686" s="267">
        <f>+E686/E691</f>
        <v>1.6323610070192054</v>
      </c>
      <c r="I686" s="416"/>
    </row>
    <row r="687" spans="2:9">
      <c r="B687" s="44" t="s">
        <v>11</v>
      </c>
      <c r="C687" s="44"/>
      <c r="D687" s="272">
        <v>11860.555</v>
      </c>
      <c r="E687" s="272">
        <f>D687/$C$711</f>
        <v>1615.7693617600983</v>
      </c>
      <c r="F687" s="47"/>
      <c r="G687" s="47"/>
    </row>
    <row r="688" spans="2:9">
      <c r="B688" s="45" t="s">
        <v>14</v>
      </c>
      <c r="C688" s="45"/>
      <c r="D688" s="402">
        <f>+D686-D687</f>
        <v>9725.867000000002</v>
      </c>
      <c r="E688" s="402">
        <f>+E686-E687</f>
        <v>1324.959743886656</v>
      </c>
      <c r="F688" s="46">
        <f>+D688/D691</f>
        <v>0.79263029558195897</v>
      </c>
      <c r="G688" s="46">
        <f>+E688/E691</f>
        <v>0.73546815911663621</v>
      </c>
    </row>
    <row r="689" spans="2:7">
      <c r="B689" s="44" t="s">
        <v>17</v>
      </c>
      <c r="C689" s="44"/>
      <c r="D689" s="272">
        <v>20784.937999999998</v>
      </c>
      <c r="E689" s="272">
        <f>D689/$C$711</f>
        <v>2831.5425379742524</v>
      </c>
      <c r="F689" s="47"/>
      <c r="G689" s="47"/>
    </row>
    <row r="690" spans="2:7">
      <c r="B690" s="268" t="s">
        <v>20</v>
      </c>
      <c r="C690" s="268"/>
      <c r="D690" s="396">
        <f>D686+D689</f>
        <v>42371.360000000001</v>
      </c>
      <c r="E690" s="396">
        <f>E686+E689</f>
        <v>5772.2716436210067</v>
      </c>
      <c r="F690" s="270"/>
      <c r="G690" s="270"/>
    </row>
    <row r="691" spans="2:7">
      <c r="B691" s="268" t="s">
        <v>23</v>
      </c>
      <c r="C691" s="268"/>
      <c r="D691" s="396">
        <v>12270.37</v>
      </c>
      <c r="E691" s="396">
        <v>1801.5188386646848</v>
      </c>
      <c r="F691" s="270"/>
      <c r="G691" s="270"/>
    </row>
    <row r="694" spans="2:7">
      <c r="B694" s="36" t="s">
        <v>50</v>
      </c>
      <c r="D694" s="387">
        <v>36720</v>
      </c>
      <c r="E694" s="255"/>
    </row>
    <row r="695" spans="2:7">
      <c r="B695" s="36" t="s">
        <v>51</v>
      </c>
      <c r="D695" s="227">
        <f>D694+D688</f>
        <v>46445.866999999998</v>
      </c>
      <c r="E695" s="227"/>
    </row>
    <row r="696" spans="2:7">
      <c r="B696" s="80" t="s">
        <v>52</v>
      </c>
      <c r="D696" s="228">
        <f>D695/D691</f>
        <v>3.785205091615004</v>
      </c>
      <c r="E696" s="228"/>
      <c r="G696" s="410"/>
    </row>
    <row r="697" spans="2:7" ht="13.5" thickBot="1">
      <c r="B697" s="80"/>
      <c r="D697" s="228"/>
    </row>
    <row r="698" spans="2:7">
      <c r="B698" s="234" t="s">
        <v>230</v>
      </c>
      <c r="C698" s="240" t="s">
        <v>54</v>
      </c>
      <c r="D698" s="232" t="s">
        <v>55</v>
      </c>
    </row>
    <row r="699" spans="2:7">
      <c r="B699" s="239" t="s">
        <v>56</v>
      </c>
      <c r="C699" s="253">
        <v>17469</v>
      </c>
      <c r="D699" s="237">
        <f>C699/$C$711</f>
        <v>2379.8106396022072</v>
      </c>
    </row>
    <row r="700" spans="2:7">
      <c r="B700" s="239" t="s">
        <v>57</v>
      </c>
      <c r="C700" s="253">
        <v>980</v>
      </c>
      <c r="D700" s="237">
        <f>C700/$C$711</f>
        <v>133.50589196921192</v>
      </c>
    </row>
    <row r="701" spans="2:7">
      <c r="B701" s="239" t="s">
        <v>58</v>
      </c>
      <c r="C701" s="253">
        <v>1038</v>
      </c>
      <c r="D701" s="237">
        <f>C701/$C$711</f>
        <v>141.40726108575711</v>
      </c>
    </row>
    <row r="702" spans="2:7">
      <c r="B702" s="239" t="s">
        <v>60</v>
      </c>
      <c r="C702" s="398">
        <f>D669</f>
        <v>2098.886</v>
      </c>
      <c r="D702" s="237">
        <f>C702/$C$711</f>
        <v>285.93229344050133</v>
      </c>
    </row>
    <row r="703" spans="2:7" ht="13.5" thickBot="1">
      <c r="B703" s="245" t="s">
        <v>61</v>
      </c>
      <c r="C703" s="412">
        <f>SUM(C699:C702)</f>
        <v>21585.885999999999</v>
      </c>
      <c r="D703" s="247">
        <f>SUM(D699:D702)</f>
        <v>2940.6560860976774</v>
      </c>
    </row>
    <row r="704" spans="2:7" ht="13.5" thickBot="1"/>
    <row r="705" spans="2:13">
      <c r="B705" s="140" t="s">
        <v>231</v>
      </c>
      <c r="C705" s="240" t="s">
        <v>54</v>
      </c>
      <c r="D705" s="232" t="s">
        <v>55</v>
      </c>
    </row>
    <row r="706" spans="2:13">
      <c r="B706" s="141" t="s">
        <v>63</v>
      </c>
      <c r="C706" s="242">
        <f>+D706*$C$711</f>
        <v>388.31244999999996</v>
      </c>
      <c r="D706" s="253">
        <f>150-50-47.1</f>
        <v>52.9</v>
      </c>
    </row>
    <row r="707" spans="2:13">
      <c r="B707" s="141" t="s">
        <v>64</v>
      </c>
      <c r="C707" s="242">
        <f>D687</f>
        <v>11860.555</v>
      </c>
      <c r="D707" s="237">
        <f>E687</f>
        <v>1615.7693617600983</v>
      </c>
    </row>
    <row r="708" spans="2:13" ht="13.5" thickBot="1">
      <c r="B708" s="143" t="s">
        <v>65</v>
      </c>
      <c r="C708" s="243">
        <f>SUM(C706:C707)</f>
        <v>12248.86745</v>
      </c>
      <c r="D708" s="236">
        <f>SUM(D706:D707)</f>
        <v>1668.6693617600984</v>
      </c>
    </row>
    <row r="710" spans="2:13">
      <c r="D710" s="39"/>
    </row>
    <row r="711" spans="2:13" ht="13.5" thickBot="1">
      <c r="B711" s="36" t="s">
        <v>232</v>
      </c>
      <c r="C711" s="36">
        <v>7.3404999999999996</v>
      </c>
    </row>
    <row r="712" spans="2:13">
      <c r="B712" s="234" t="s">
        <v>233</v>
      </c>
      <c r="C712" s="240" t="s">
        <v>54</v>
      </c>
      <c r="D712" s="232" t="s">
        <v>55</v>
      </c>
    </row>
    <row r="713" spans="2:13">
      <c r="B713" s="86" t="s">
        <v>68</v>
      </c>
      <c r="C713" s="253">
        <v>5232.7370000000001</v>
      </c>
      <c r="D713" s="237">
        <f>C713/$C$711</f>
        <v>712.85838839316125</v>
      </c>
    </row>
    <row r="714" spans="2:13">
      <c r="B714" s="86" t="s">
        <v>69</v>
      </c>
      <c r="C714" s="253">
        <v>16353.684999999999</v>
      </c>
      <c r="D714" s="237">
        <f>C714/$C$711</f>
        <v>2227.8707172535933</v>
      </c>
    </row>
    <row r="715" spans="2:13" ht="13.5" thickBot="1">
      <c r="B715" s="87"/>
      <c r="C715" s="244"/>
      <c r="D715" s="233"/>
    </row>
    <row r="716" spans="2:13">
      <c r="B716" s="80" t="s">
        <v>70</v>
      </c>
      <c r="C716" s="238">
        <f>C713+C714</f>
        <v>21586.421999999999</v>
      </c>
      <c r="D716" s="220">
        <f>D713+D714</f>
        <v>2940.7291056467548</v>
      </c>
    </row>
    <row r="717" spans="2:13" ht="12.75" customHeight="1">
      <c r="I717" s="273" t="s">
        <v>1</v>
      </c>
    </row>
    <row r="718" spans="2:13">
      <c r="B718" s="256" t="s">
        <v>234</v>
      </c>
      <c r="C718" s="256"/>
      <c r="D718" s="256"/>
      <c r="E718" s="256"/>
      <c r="F718" s="256"/>
      <c r="G718" s="256"/>
      <c r="I718" s="256" t="s">
        <v>234</v>
      </c>
      <c r="J718" s="256"/>
      <c r="K718" s="256"/>
      <c r="L718" s="256"/>
      <c r="M718" s="256"/>
    </row>
    <row r="719" spans="2:13" ht="25.5">
      <c r="B719" s="34"/>
      <c r="C719" s="212" t="s">
        <v>3</v>
      </c>
      <c r="D719" s="212" t="s">
        <v>4</v>
      </c>
      <c r="E719" s="212" t="s">
        <v>5</v>
      </c>
      <c r="F719" s="212" t="s">
        <v>6</v>
      </c>
      <c r="G719" s="212" t="s">
        <v>7</v>
      </c>
      <c r="I719" s="34"/>
      <c r="J719" s="34" t="s">
        <v>4</v>
      </c>
      <c r="K719" s="34" t="s">
        <v>5</v>
      </c>
      <c r="L719" s="37" t="s">
        <v>6</v>
      </c>
      <c r="M719" s="37" t="s">
        <v>6</v>
      </c>
    </row>
    <row r="720" spans="2:13">
      <c r="B720" s="411"/>
      <c r="C720" s="411"/>
      <c r="D720" s="411"/>
      <c r="E720" s="411"/>
      <c r="F720" s="411"/>
      <c r="G720" s="411"/>
      <c r="I720" s="45" t="s">
        <v>8</v>
      </c>
      <c r="J720" s="402">
        <f>D745</f>
        <v>22840.769</v>
      </c>
      <c r="K720" s="402">
        <f>E745</f>
        <v>2960.2977046800684</v>
      </c>
      <c r="L720" s="46">
        <f>+J720/J725</f>
        <v>1.9387757111498005</v>
      </c>
      <c r="M720" s="46">
        <f>+K720/K725</f>
        <v>1.4470523174008154</v>
      </c>
    </row>
    <row r="721" spans="2:13">
      <c r="B721" s="161" t="s">
        <v>235</v>
      </c>
      <c r="C721" s="248" t="s">
        <v>127</v>
      </c>
      <c r="D721" s="211">
        <v>173.422</v>
      </c>
      <c r="E721" s="257">
        <f>D721/$C$770</f>
        <v>22.476508936324635</v>
      </c>
      <c r="F721" s="277"/>
      <c r="G721" s="277"/>
      <c r="I721" s="44" t="s">
        <v>11</v>
      </c>
      <c r="J721" s="404">
        <f>D746</f>
        <v>13523.927</v>
      </c>
      <c r="K721" s="404">
        <f>J721/$C$770</f>
        <v>1752.7803050922146</v>
      </c>
      <c r="L721" s="47"/>
      <c r="M721" s="47"/>
    </row>
    <row r="722" spans="2:13">
      <c r="B722" s="161" t="s">
        <v>236</v>
      </c>
      <c r="C722" s="248" t="s">
        <v>10</v>
      </c>
      <c r="D722" s="211">
        <v>1183.0719999999999</v>
      </c>
      <c r="E722" s="257">
        <f>D722/$C$770</f>
        <v>153.33307412159621</v>
      </c>
      <c r="F722" s="277"/>
      <c r="G722" s="277"/>
      <c r="I722" s="45" t="s">
        <v>14</v>
      </c>
      <c r="J722" s="402">
        <f>J720-J721</f>
        <v>9316.8420000000006</v>
      </c>
      <c r="K722" s="402">
        <f>K720-K721</f>
        <v>1207.5173995878538</v>
      </c>
      <c r="L722" s="46">
        <f>+J722/J725</f>
        <v>0.79083444932262703</v>
      </c>
      <c r="M722" s="46">
        <f>+K722/K725</f>
        <v>0.5902584894123859</v>
      </c>
    </row>
    <row r="723" spans="2:13">
      <c r="B723" s="161" t="s">
        <v>237</v>
      </c>
      <c r="C723" s="248" t="s">
        <v>201</v>
      </c>
      <c r="D723" s="211">
        <v>19.533999999999999</v>
      </c>
      <c r="E723" s="257">
        <f>D723/$C$770</f>
        <v>2.5317210363285247</v>
      </c>
      <c r="F723" s="277"/>
      <c r="G723" s="277"/>
      <c r="I723" s="84" t="s">
        <v>17</v>
      </c>
      <c r="J723" s="400">
        <f>D748</f>
        <v>20288.974999999999</v>
      </c>
      <c r="K723" s="400">
        <f>J723/$C$770</f>
        <v>2629.5702269398757</v>
      </c>
      <c r="L723" s="85"/>
      <c r="M723" s="85"/>
    </row>
    <row r="724" spans="2:13">
      <c r="B724" s="161" t="s">
        <v>238</v>
      </c>
      <c r="C724" s="248" t="s">
        <v>203</v>
      </c>
      <c r="D724" s="211">
        <v>582.47199999999998</v>
      </c>
      <c r="E724" s="257">
        <f>D724/$C$770</f>
        <v>75.491789468227125</v>
      </c>
      <c r="F724" s="277"/>
      <c r="G724" s="277"/>
      <c r="I724" s="84" t="s">
        <v>20</v>
      </c>
      <c r="J724" s="400">
        <f>J720+J723</f>
        <v>43129.743999999999</v>
      </c>
      <c r="K724" s="400">
        <f>K720+K723</f>
        <v>5589.8679316199441</v>
      </c>
      <c r="L724" s="85"/>
      <c r="M724" s="85"/>
    </row>
    <row r="725" spans="2:13">
      <c r="B725" s="161" t="s">
        <v>239</v>
      </c>
      <c r="C725" s="248" t="s">
        <v>174</v>
      </c>
      <c r="D725" s="211">
        <v>106.363</v>
      </c>
      <c r="E725" s="257">
        <f>D725/$C$770</f>
        <v>13.785268996980184</v>
      </c>
      <c r="F725" s="277"/>
      <c r="G725" s="277"/>
      <c r="I725" s="44" t="s">
        <v>23</v>
      </c>
      <c r="J725" s="397">
        <f>D750</f>
        <v>11781.027</v>
      </c>
      <c r="K725" s="397">
        <f>E750</f>
        <v>2045.7433840383414</v>
      </c>
      <c r="L725" s="44"/>
      <c r="M725" s="44"/>
    </row>
    <row r="726" spans="2:13">
      <c r="B726" s="161"/>
      <c r="C726" s="248"/>
      <c r="D726" s="211"/>
      <c r="E726" s="257"/>
      <c r="F726" s="277"/>
      <c r="G726" s="277"/>
    </row>
    <row r="727" spans="2:13">
      <c r="B727" s="209" t="s">
        <v>24</v>
      </c>
      <c r="C727" s="250"/>
      <c r="D727" s="210">
        <f>SUM(D721:D725)</f>
        <v>2064.8629999999998</v>
      </c>
      <c r="E727" s="210">
        <f>SUM(E721:E725)</f>
        <v>267.61836255945667</v>
      </c>
      <c r="F727" s="222"/>
      <c r="G727" s="222"/>
    </row>
    <row r="728" spans="2:13">
      <c r="B728" s="209"/>
      <c r="C728" s="250"/>
      <c r="D728" s="210"/>
      <c r="E728" s="210"/>
      <c r="F728" s="222"/>
      <c r="G728" s="222"/>
    </row>
    <row r="729" spans="2:13">
      <c r="B729" s="161" t="s">
        <v>240</v>
      </c>
      <c r="C729" s="408">
        <v>0.105</v>
      </c>
      <c r="D729" s="774">
        <v>0.65600000000000003</v>
      </c>
      <c r="E729" s="257">
        <f>D729/$C$770</f>
        <v>8.502144977124565E-2</v>
      </c>
      <c r="F729" s="162"/>
      <c r="G729" s="162"/>
    </row>
    <row r="730" spans="2:13">
      <c r="B730" s="209" t="s">
        <v>31</v>
      </c>
      <c r="C730" s="250"/>
      <c r="D730" s="210">
        <f>D729+D727</f>
        <v>2065.5189999999998</v>
      </c>
      <c r="E730" s="210">
        <f>E729+E727</f>
        <v>267.70338400922793</v>
      </c>
      <c r="F730" s="222"/>
      <c r="G730" s="222"/>
    </row>
    <row r="731" spans="2:13">
      <c r="B731" s="209"/>
      <c r="C731" s="250"/>
      <c r="D731" s="210"/>
      <c r="E731" s="210"/>
      <c r="F731" s="222"/>
      <c r="G731" s="222"/>
    </row>
    <row r="732" spans="2:13">
      <c r="B732" s="161" t="s">
        <v>207</v>
      </c>
      <c r="C732" s="248" t="s">
        <v>208</v>
      </c>
      <c r="D732" s="211">
        <v>3046.8220000000001</v>
      </c>
      <c r="E732" s="257">
        <f t="shared" ref="E732:E738" si="23">D732/$C$770</f>
        <v>394.88601163860699</v>
      </c>
      <c r="F732" s="162"/>
      <c r="G732" s="162"/>
    </row>
    <row r="733" spans="2:13">
      <c r="B733" s="229" t="s">
        <v>209</v>
      </c>
      <c r="C733" s="251" t="s">
        <v>210</v>
      </c>
      <c r="D733" s="211">
        <v>6190.701</v>
      </c>
      <c r="E733" s="257">
        <f t="shared" si="23"/>
        <v>802.35118006143318</v>
      </c>
      <c r="F733" s="162"/>
      <c r="G733" s="162"/>
    </row>
    <row r="734" spans="2:13">
      <c r="B734" s="161" t="s">
        <v>241</v>
      </c>
      <c r="C734" s="248" t="s">
        <v>211</v>
      </c>
      <c r="D734" s="211">
        <v>2060.098</v>
      </c>
      <c r="E734" s="257">
        <f t="shared" si="23"/>
        <v>267.00079059579815</v>
      </c>
      <c r="F734" s="162"/>
      <c r="G734" s="162"/>
    </row>
    <row r="735" spans="2:13">
      <c r="B735" s="161" t="s">
        <v>242</v>
      </c>
      <c r="C735" s="248" t="s">
        <v>213</v>
      </c>
      <c r="D735" s="211">
        <v>1009.713</v>
      </c>
      <c r="E735" s="257">
        <f t="shared" si="23"/>
        <v>130.86473035499046</v>
      </c>
      <c r="F735" s="162"/>
      <c r="G735" s="162"/>
    </row>
    <row r="736" spans="2:13">
      <c r="B736" s="161" t="s">
        <v>243</v>
      </c>
      <c r="C736" s="249" t="s">
        <v>215</v>
      </c>
      <c r="D736" s="211">
        <v>279.46899999999999</v>
      </c>
      <c r="E736" s="257">
        <f t="shared" si="23"/>
        <v>36.220822478841839</v>
      </c>
      <c r="F736" s="162"/>
      <c r="G736" s="162"/>
    </row>
    <row r="737" spans="2:9">
      <c r="B737" s="161" t="s">
        <v>244</v>
      </c>
      <c r="C737" s="249">
        <v>3.7999999999999999E-2</v>
      </c>
      <c r="D737" s="211">
        <v>330.48200000000003</v>
      </c>
      <c r="E737" s="257">
        <f t="shared" si="23"/>
        <v>42.832406651373176</v>
      </c>
      <c r="F737" s="162"/>
      <c r="G737" s="162"/>
    </row>
    <row r="738" spans="2:9">
      <c r="B738" s="161" t="s">
        <v>217</v>
      </c>
      <c r="C738" s="249">
        <v>1.7999999999999999E-2</v>
      </c>
      <c r="D738" s="211">
        <v>32.872999999999998</v>
      </c>
      <c r="E738" s="257">
        <f t="shared" si="23"/>
        <v>4.2605337169667044</v>
      </c>
      <c r="F738" s="162"/>
      <c r="G738" s="162"/>
    </row>
    <row r="739" spans="2:9">
      <c r="B739" s="229"/>
      <c r="C739" s="408"/>
      <c r="D739" s="211"/>
      <c r="E739" s="257"/>
      <c r="F739" s="162"/>
      <c r="G739" s="162"/>
    </row>
    <row r="740" spans="2:9">
      <c r="B740" s="161" t="s">
        <v>190</v>
      </c>
      <c r="C740" s="408">
        <v>5.8000000000000003E-2</v>
      </c>
      <c r="D740" s="211">
        <v>7722.9070000000002</v>
      </c>
      <c r="E740" s="257">
        <f>D740/$C$770</f>
        <v>1000.9340694946667</v>
      </c>
      <c r="F740" s="162"/>
      <c r="G740" s="162"/>
    </row>
    <row r="741" spans="2:9">
      <c r="B741" s="161" t="s">
        <v>245</v>
      </c>
      <c r="C741" s="408">
        <v>8.1000000000000003E-2</v>
      </c>
      <c r="D741" s="211">
        <v>102.185</v>
      </c>
      <c r="E741" s="257">
        <f>D741/$C$770</f>
        <v>13.243775678162708</v>
      </c>
      <c r="F741" s="162"/>
      <c r="G741" s="162"/>
    </row>
    <row r="742" spans="2:9">
      <c r="B742" s="161"/>
      <c r="C742" s="408"/>
      <c r="D742" s="211"/>
      <c r="E742" s="257"/>
      <c r="F742" s="162"/>
      <c r="G742" s="162"/>
    </row>
    <row r="743" spans="2:9">
      <c r="B743" s="209" t="s">
        <v>48</v>
      </c>
      <c r="C743" s="408"/>
      <c r="D743" s="210">
        <f>SUM(D732:D741)</f>
        <v>20775.25</v>
      </c>
      <c r="E743" s="210">
        <f>SUM(E732:E741)</f>
        <v>2692.5943206708403</v>
      </c>
      <c r="F743" s="162"/>
      <c r="G743" s="162"/>
    </row>
    <row r="744" spans="2:9">
      <c r="B744" s="161"/>
      <c r="C744" s="408"/>
      <c r="D744" s="211"/>
      <c r="E744" s="257"/>
      <c r="F744" s="162"/>
      <c r="G744" s="162"/>
    </row>
    <row r="745" spans="2:9">
      <c r="B745" s="265" t="s">
        <v>49</v>
      </c>
      <c r="C745" s="265"/>
      <c r="D745" s="399">
        <f>+D730+D743</f>
        <v>22840.769</v>
      </c>
      <c r="E745" s="399">
        <f>+E730+E743</f>
        <v>2960.2977046800684</v>
      </c>
      <c r="F745" s="267">
        <f>+D745/D750</f>
        <v>1.9387757111498005</v>
      </c>
      <c r="G745" s="267">
        <f>+E745/E750</f>
        <v>1.4470523174008154</v>
      </c>
      <c r="I745" s="416"/>
    </row>
    <row r="746" spans="2:9">
      <c r="B746" s="44" t="s">
        <v>11</v>
      </c>
      <c r="C746" s="44"/>
      <c r="D746" s="272">
        <v>13523.927</v>
      </c>
      <c r="E746" s="272">
        <f>D746/$C$770</f>
        <v>1752.7803050922146</v>
      </c>
      <c r="F746" s="47"/>
      <c r="G746" s="47"/>
    </row>
    <row r="747" spans="2:9">
      <c r="B747" s="45" t="s">
        <v>14</v>
      </c>
      <c r="C747" s="45"/>
      <c r="D747" s="402">
        <f>+D745-D746</f>
        <v>9316.8420000000006</v>
      </c>
      <c r="E747" s="402">
        <f>+E745-E746</f>
        <v>1207.5173995878538</v>
      </c>
      <c r="F747" s="46">
        <f>+D747/D750</f>
        <v>0.79083444932262703</v>
      </c>
      <c r="G747" s="46">
        <f>+E747/E750</f>
        <v>0.5902584894123859</v>
      </c>
    </row>
    <row r="748" spans="2:9">
      <c r="B748" s="44" t="s">
        <v>17</v>
      </c>
      <c r="C748" s="44"/>
      <c r="D748" s="272">
        <v>20288.974999999999</v>
      </c>
      <c r="E748" s="272">
        <f>D748/$C$770</f>
        <v>2629.5702269398757</v>
      </c>
      <c r="F748" s="47"/>
      <c r="G748" s="47"/>
    </row>
    <row r="749" spans="2:9">
      <c r="B749" s="268" t="s">
        <v>20</v>
      </c>
      <c r="C749" s="268"/>
      <c r="D749" s="396">
        <f>D745+D748</f>
        <v>43129.743999999999</v>
      </c>
      <c r="E749" s="396">
        <f>E745+E748</f>
        <v>5589.8679316199441</v>
      </c>
      <c r="F749" s="270"/>
      <c r="G749" s="270"/>
    </row>
    <row r="750" spans="2:9">
      <c r="B750" s="268" t="s">
        <v>23</v>
      </c>
      <c r="C750" s="268"/>
      <c r="D750" s="396">
        <v>11781.027</v>
      </c>
      <c r="E750" s="396">
        <v>2045.7433840383414</v>
      </c>
      <c r="F750" s="270"/>
      <c r="G750" s="270"/>
    </row>
    <row r="753" spans="2:7">
      <c r="B753" s="36" t="s">
        <v>50</v>
      </c>
      <c r="D753" s="387">
        <v>33440</v>
      </c>
      <c r="E753" s="255"/>
    </row>
    <row r="754" spans="2:7">
      <c r="B754" s="36" t="s">
        <v>51</v>
      </c>
      <c r="D754" s="227">
        <f>D753+D747</f>
        <v>42756.842000000004</v>
      </c>
      <c r="E754" s="227"/>
    </row>
    <row r="755" spans="2:7">
      <c r="B755" s="80" t="s">
        <v>52</v>
      </c>
      <c r="D755" s="228">
        <f>D754/D750</f>
        <v>3.6292966648832912</v>
      </c>
      <c r="E755" s="228"/>
      <c r="G755" s="410"/>
    </row>
    <row r="756" spans="2:7" ht="13.5" thickBot="1">
      <c r="B756" s="80"/>
      <c r="D756" s="228"/>
    </row>
    <row r="757" spans="2:7">
      <c r="B757" s="234" t="s">
        <v>246</v>
      </c>
      <c r="C757" s="240" t="s">
        <v>54</v>
      </c>
      <c r="D757" s="232" t="s">
        <v>55</v>
      </c>
    </row>
    <row r="758" spans="2:7">
      <c r="B758" s="239" t="s">
        <v>56</v>
      </c>
      <c r="C758" s="253">
        <v>18958</v>
      </c>
      <c r="D758" s="237">
        <f>C758/$C$770</f>
        <v>2457.0680560415776</v>
      </c>
    </row>
    <row r="759" spans="2:7">
      <c r="B759" s="239" t="s">
        <v>57</v>
      </c>
      <c r="C759" s="253">
        <v>807</v>
      </c>
      <c r="D759" s="237">
        <f>C759/$C$770</f>
        <v>104.59193592285858</v>
      </c>
    </row>
    <row r="760" spans="2:7">
      <c r="B760" s="239" t="s">
        <v>58</v>
      </c>
      <c r="C760" s="253">
        <v>1010</v>
      </c>
      <c r="D760" s="237">
        <f>C760/$C$770</f>
        <v>130.9019272392654</v>
      </c>
    </row>
    <row r="761" spans="2:7">
      <c r="B761" s="239" t="s">
        <v>60</v>
      </c>
      <c r="C761" s="398">
        <f>D727</f>
        <v>2064.8629999999998</v>
      </c>
      <c r="D761" s="237">
        <f>C761/$C$770</f>
        <v>267.61836255945667</v>
      </c>
    </row>
    <row r="762" spans="2:7" ht="13.5" thickBot="1">
      <c r="B762" s="245" t="s">
        <v>61</v>
      </c>
      <c r="C762" s="412">
        <f>SUM(C758:C761)</f>
        <v>22839.863000000001</v>
      </c>
      <c r="D762" s="247">
        <f>SUM(D758:D761)</f>
        <v>2960.1802817631583</v>
      </c>
    </row>
    <row r="763" spans="2:7" ht="13.5" thickBot="1"/>
    <row r="764" spans="2:7">
      <c r="B764" s="140" t="s">
        <v>247</v>
      </c>
      <c r="C764" s="240" t="s">
        <v>54</v>
      </c>
      <c r="D764" s="232" t="s">
        <v>55</v>
      </c>
    </row>
    <row r="765" spans="2:7">
      <c r="B765" s="141" t="s">
        <v>63</v>
      </c>
      <c r="C765" s="242">
        <f>+D765*$C$770</f>
        <v>408.16052999999999</v>
      </c>
      <c r="D765" s="253">
        <f>150-50-47.1</f>
        <v>52.9</v>
      </c>
    </row>
    <row r="766" spans="2:7">
      <c r="B766" s="141" t="s">
        <v>64</v>
      </c>
      <c r="C766" s="242">
        <f>D746</f>
        <v>13523.927</v>
      </c>
      <c r="D766" s="237">
        <f>E746</f>
        <v>1752.7803050922146</v>
      </c>
    </row>
    <row r="767" spans="2:7" ht="13.5" thickBot="1">
      <c r="B767" s="143" t="s">
        <v>65</v>
      </c>
      <c r="C767" s="243">
        <f>SUM(C765:C766)</f>
        <v>13932.087529999999</v>
      </c>
      <c r="D767" s="236">
        <f>SUM(D765:D766)</f>
        <v>1805.6803050922147</v>
      </c>
    </row>
    <row r="769" spans="2:13">
      <c r="D769" s="39"/>
    </row>
    <row r="770" spans="2:13" ht="13.5" thickBot="1">
      <c r="B770" s="36" t="s">
        <v>248</v>
      </c>
      <c r="C770" s="36">
        <v>7.7157</v>
      </c>
    </row>
    <row r="771" spans="2:13">
      <c r="B771" s="234" t="s">
        <v>249</v>
      </c>
      <c r="C771" s="240" t="s">
        <v>54</v>
      </c>
      <c r="D771" s="232" t="s">
        <v>55</v>
      </c>
    </row>
    <row r="772" spans="2:13">
      <c r="B772" s="86" t="s">
        <v>68</v>
      </c>
      <c r="C772" s="253">
        <v>6019.2449999999999</v>
      </c>
      <c r="D772" s="237">
        <f>C772/$C$770</f>
        <v>780.12947626268522</v>
      </c>
    </row>
    <row r="773" spans="2:13">
      <c r="B773" s="86" t="s">
        <v>69</v>
      </c>
      <c r="C773" s="253">
        <v>16821.524000000001</v>
      </c>
      <c r="D773" s="237">
        <f>C773/$C$770</f>
        <v>2180.168228417383</v>
      </c>
    </row>
    <row r="774" spans="2:13" ht="13.5" thickBot="1">
      <c r="B774" s="87"/>
      <c r="C774" s="244"/>
      <c r="D774" s="233"/>
    </row>
    <row r="775" spans="2:13" ht="12.75" customHeight="1">
      <c r="B775" s="80" t="s">
        <v>70</v>
      </c>
      <c r="C775" s="238">
        <f>C772+C773</f>
        <v>22840.769</v>
      </c>
      <c r="D775" s="220">
        <f>D772+D773</f>
        <v>2960.2977046800684</v>
      </c>
    </row>
    <row r="776" spans="2:13">
      <c r="I776" s="273" t="s">
        <v>1</v>
      </c>
    </row>
    <row r="777" spans="2:13">
      <c r="B777" s="256" t="s">
        <v>250</v>
      </c>
      <c r="C777" s="256"/>
      <c r="D777" s="256"/>
      <c r="E777" s="256"/>
      <c r="F777" s="256"/>
      <c r="G777" s="256"/>
      <c r="I777" s="256" t="s">
        <v>250</v>
      </c>
      <c r="J777" s="256"/>
      <c r="K777" s="256"/>
      <c r="L777" s="256"/>
      <c r="M777" s="256"/>
    </row>
    <row r="778" spans="2:13" ht="25.5">
      <c r="B778" s="34"/>
      <c r="C778" s="212" t="s">
        <v>3</v>
      </c>
      <c r="D778" s="212" t="s">
        <v>4</v>
      </c>
      <c r="E778" s="212" t="s">
        <v>5</v>
      </c>
      <c r="F778" s="212" t="s">
        <v>6</v>
      </c>
      <c r="G778" s="212" t="s">
        <v>7</v>
      </c>
      <c r="I778" s="34"/>
      <c r="J778" s="34" t="s">
        <v>4</v>
      </c>
      <c r="K778" s="34" t="s">
        <v>5</v>
      </c>
      <c r="L778" s="37" t="s">
        <v>6</v>
      </c>
      <c r="M778" s="37" t="s">
        <v>6</v>
      </c>
    </row>
    <row r="779" spans="2:13">
      <c r="B779" s="411"/>
      <c r="C779" s="411"/>
      <c r="D779" s="411"/>
      <c r="E779" s="411"/>
      <c r="F779" s="411"/>
      <c r="G779" s="411"/>
      <c r="I779" s="45" t="s">
        <v>8</v>
      </c>
      <c r="J779" s="402">
        <f>D803</f>
        <v>19775.966999999997</v>
      </c>
      <c r="K779" s="402">
        <f>E803</f>
        <v>2885.78076434794</v>
      </c>
      <c r="L779" s="46">
        <f>+J779/J784</f>
        <v>1.7616532452030143</v>
      </c>
      <c r="M779" s="46">
        <f>+K779/K784</f>
        <v>1.5719250749944771</v>
      </c>
    </row>
    <row r="780" spans="2:13">
      <c r="B780" s="161" t="s">
        <v>235</v>
      </c>
      <c r="C780" s="248" t="s">
        <v>251</v>
      </c>
      <c r="D780" s="211">
        <v>146.78100000000001</v>
      </c>
      <c r="E780" s="257">
        <f>D780/$C$828</f>
        <v>21.418815392023816</v>
      </c>
      <c r="F780" s="277"/>
      <c r="G780" s="277"/>
      <c r="I780" s="44" t="s">
        <v>11</v>
      </c>
      <c r="J780" s="404">
        <f>D804</f>
        <v>10929.097</v>
      </c>
      <c r="K780" s="404">
        <f>J780/$C$828</f>
        <v>1594.8134366472589</v>
      </c>
      <c r="L780" s="47"/>
      <c r="M780" s="47"/>
    </row>
    <row r="781" spans="2:13">
      <c r="B781" s="161" t="s">
        <v>236</v>
      </c>
      <c r="C781" s="248" t="s">
        <v>252</v>
      </c>
      <c r="D781" s="211">
        <v>727.62800000000004</v>
      </c>
      <c r="E781" s="257">
        <f>D781/$C$828</f>
        <v>106.17811437493617</v>
      </c>
      <c r="F781" s="277"/>
      <c r="G781" s="277"/>
      <c r="I781" s="45" t="s">
        <v>14</v>
      </c>
      <c r="J781" s="402">
        <f>J779-J780</f>
        <v>8846.8699999999972</v>
      </c>
      <c r="K781" s="402">
        <f>K779-K780</f>
        <v>1290.9673277006812</v>
      </c>
      <c r="L781" s="46">
        <f>+J781/J784</f>
        <v>0.78808370004810324</v>
      </c>
      <c r="M781" s="46">
        <f>+K781/K784</f>
        <v>0.70320792850313651</v>
      </c>
    </row>
    <row r="782" spans="2:13">
      <c r="B782" s="161" t="s">
        <v>237</v>
      </c>
      <c r="C782" s="248" t="s">
        <v>201</v>
      </c>
      <c r="D782" s="211">
        <v>18.734999999999999</v>
      </c>
      <c r="E782" s="257">
        <f>D782/$C$828</f>
        <v>2.7338790876855055</v>
      </c>
      <c r="F782" s="277"/>
      <c r="G782" s="277"/>
      <c r="I782" s="84" t="s">
        <v>17</v>
      </c>
      <c r="J782" s="400">
        <f>D806</f>
        <v>19538.150000000001</v>
      </c>
      <c r="K782" s="400">
        <f>J782/$C$828</f>
        <v>2851.0776459601047</v>
      </c>
      <c r="L782" s="85"/>
      <c r="M782" s="85"/>
    </row>
    <row r="783" spans="2:13">
      <c r="B783" s="161" t="s">
        <v>238</v>
      </c>
      <c r="C783" s="248" t="s">
        <v>253</v>
      </c>
      <c r="D783" s="211">
        <v>501.49700000000001</v>
      </c>
      <c r="E783" s="257">
        <f>D783/$C$828</f>
        <v>73.180259452202719</v>
      </c>
      <c r="F783" s="277"/>
      <c r="G783" s="277"/>
      <c r="I783" s="84" t="s">
        <v>20</v>
      </c>
      <c r="J783" s="400">
        <f>J779+J782</f>
        <v>39314.116999999998</v>
      </c>
      <c r="K783" s="400">
        <f>K779+K782</f>
        <v>5736.8584103080448</v>
      </c>
      <c r="L783" s="85"/>
      <c r="M783" s="85"/>
    </row>
    <row r="784" spans="2:13">
      <c r="B784" s="161" t="s">
        <v>239</v>
      </c>
      <c r="C784" s="248" t="s">
        <v>254</v>
      </c>
      <c r="D784" s="211">
        <v>90.847999999999999</v>
      </c>
      <c r="E784" s="257">
        <f>D784/$C$828</f>
        <v>13.256869354579813</v>
      </c>
      <c r="F784" s="277"/>
      <c r="G784" s="277"/>
      <c r="I784" s="44" t="s">
        <v>23</v>
      </c>
      <c r="J784" s="397">
        <f>D808</f>
        <v>11225.8</v>
      </c>
      <c r="K784" s="397">
        <f>E808</f>
        <v>1835.82589924528</v>
      </c>
      <c r="L784" s="44"/>
      <c r="M784" s="44"/>
    </row>
    <row r="785" spans="2:7">
      <c r="B785" s="161"/>
      <c r="C785" s="248"/>
      <c r="D785" s="211"/>
      <c r="E785" s="257"/>
      <c r="F785" s="277"/>
      <c r="G785" s="277"/>
    </row>
    <row r="786" spans="2:7">
      <c r="B786" s="209" t="s">
        <v>24</v>
      </c>
      <c r="C786" s="250"/>
      <c r="D786" s="210">
        <f>SUM(D780:D784)</f>
        <v>1485.489</v>
      </c>
      <c r="E786" s="210">
        <f>SUM(E780:E784)</f>
        <v>216.76793766142799</v>
      </c>
      <c r="F786" s="222"/>
      <c r="G786" s="222"/>
    </row>
    <row r="787" spans="2:7">
      <c r="B787" s="209"/>
      <c r="C787" s="250"/>
      <c r="D787" s="210"/>
      <c r="E787" s="210"/>
      <c r="F787" s="222"/>
      <c r="G787" s="222"/>
    </row>
    <row r="788" spans="2:7">
      <c r="B788" s="161" t="s">
        <v>240</v>
      </c>
      <c r="C788" s="408">
        <v>0.105</v>
      </c>
      <c r="D788" s="774">
        <v>1.2170000000000001</v>
      </c>
      <c r="E788" s="257">
        <f>D788/$C$828</f>
        <v>0.1775890498912869</v>
      </c>
      <c r="F788" s="162"/>
      <c r="G788" s="162"/>
    </row>
    <row r="789" spans="2:7">
      <c r="B789" s="209" t="s">
        <v>31</v>
      </c>
      <c r="C789" s="250"/>
      <c r="D789" s="210">
        <f>D788+D786</f>
        <v>1486.7060000000001</v>
      </c>
      <c r="E789" s="210">
        <f>E788+E786</f>
        <v>216.94552671131927</v>
      </c>
      <c r="F789" s="222"/>
      <c r="G789" s="222"/>
    </row>
    <row r="790" spans="2:7">
      <c r="B790" s="209"/>
      <c r="C790" s="250"/>
      <c r="D790" s="210"/>
      <c r="E790" s="210"/>
      <c r="F790" s="222"/>
      <c r="G790" s="222"/>
    </row>
    <row r="791" spans="2:7">
      <c r="B791" s="161" t="s">
        <v>207</v>
      </c>
      <c r="C791" s="248" t="s">
        <v>255</v>
      </c>
      <c r="D791" s="211">
        <v>3236.2820000000002</v>
      </c>
      <c r="E791" s="257">
        <f t="shared" ref="E791:E796" si="24">D791/$C$828</f>
        <v>472.24999635190943</v>
      </c>
      <c r="F791" s="162"/>
      <c r="G791" s="162"/>
    </row>
    <row r="792" spans="2:7">
      <c r="B792" s="229" t="s">
        <v>209</v>
      </c>
      <c r="C792" s="251" t="s">
        <v>210</v>
      </c>
      <c r="D792" s="211">
        <v>5262.0829999999996</v>
      </c>
      <c r="E792" s="257">
        <f t="shared" si="24"/>
        <v>767.86221891462003</v>
      </c>
      <c r="F792" s="162"/>
      <c r="G792" s="162"/>
    </row>
    <row r="793" spans="2:7">
      <c r="B793" s="161" t="s">
        <v>241</v>
      </c>
      <c r="C793" s="248" t="s">
        <v>256</v>
      </c>
      <c r="D793" s="211">
        <v>1551.606</v>
      </c>
      <c r="E793" s="257">
        <f t="shared" si="24"/>
        <v>226.41596988136411</v>
      </c>
      <c r="F793" s="162"/>
      <c r="G793" s="162"/>
    </row>
    <row r="794" spans="2:7">
      <c r="B794" s="161" t="s">
        <v>242</v>
      </c>
      <c r="C794" s="248" t="s">
        <v>257</v>
      </c>
      <c r="D794" s="211">
        <v>936.61699999999996</v>
      </c>
      <c r="E794" s="257">
        <f t="shared" si="24"/>
        <v>136.67454654233973</v>
      </c>
      <c r="F794" s="162"/>
      <c r="G794" s="162"/>
    </row>
    <row r="795" spans="2:7">
      <c r="B795" s="161" t="s">
        <v>243</v>
      </c>
      <c r="C795" s="249">
        <v>5.5E-2</v>
      </c>
      <c r="D795" s="211">
        <v>233.00899999999999</v>
      </c>
      <c r="E795" s="257">
        <f t="shared" si="24"/>
        <v>34.00151760568518</v>
      </c>
      <c r="F795" s="162"/>
      <c r="G795" s="162"/>
    </row>
    <row r="796" spans="2:7">
      <c r="B796" s="161" t="s">
        <v>244</v>
      </c>
      <c r="C796" s="249">
        <v>3.7999999999999999E-2</v>
      </c>
      <c r="D796" s="211">
        <v>303.56200000000001</v>
      </c>
      <c r="E796" s="257">
        <f t="shared" si="24"/>
        <v>44.296867019801837</v>
      </c>
      <c r="F796" s="162"/>
      <c r="G796" s="162"/>
    </row>
    <row r="797" spans="2:7">
      <c r="B797" s="229"/>
      <c r="C797" s="408"/>
      <c r="D797" s="211"/>
      <c r="E797" s="257"/>
      <c r="F797" s="162"/>
      <c r="G797" s="162"/>
    </row>
    <row r="798" spans="2:7">
      <c r="B798" s="161" t="s">
        <v>190</v>
      </c>
      <c r="C798" s="408">
        <v>5.8000000000000003E-2</v>
      </c>
      <c r="D798" s="211">
        <v>6665.9489999999996</v>
      </c>
      <c r="E798" s="257">
        <f>D798/$C$828</f>
        <v>972.71943264895151</v>
      </c>
      <c r="F798" s="162"/>
      <c r="G798" s="162"/>
    </row>
    <row r="799" spans="2:7">
      <c r="B799" s="161" t="s">
        <v>245</v>
      </c>
      <c r="C799" s="408">
        <v>9.6000000000000002E-2</v>
      </c>
      <c r="D799" s="211">
        <v>100.15300000000001</v>
      </c>
      <c r="E799" s="257">
        <f>D799/$C$828</f>
        <v>14.614688671949102</v>
      </c>
      <c r="F799" s="162"/>
      <c r="G799" s="162"/>
    </row>
    <row r="800" spans="2:7">
      <c r="B800" s="161"/>
      <c r="C800" s="408"/>
      <c r="D800" s="211"/>
      <c r="E800" s="257"/>
      <c r="F800" s="162"/>
      <c r="G800" s="162"/>
    </row>
    <row r="801" spans="2:9">
      <c r="B801" s="209" t="s">
        <v>48</v>
      </c>
      <c r="C801" s="408"/>
      <c r="D801" s="210">
        <f>SUM(D791:D799)</f>
        <v>18289.260999999999</v>
      </c>
      <c r="E801" s="210">
        <f>SUM(E791:E799)</f>
        <v>2668.8352376366206</v>
      </c>
      <c r="F801" s="162"/>
      <c r="G801" s="162"/>
    </row>
    <row r="802" spans="2:9">
      <c r="B802" s="161"/>
      <c r="C802" s="408"/>
      <c r="D802" s="211"/>
      <c r="E802" s="257"/>
      <c r="F802" s="162"/>
      <c r="G802" s="162"/>
    </row>
    <row r="803" spans="2:9">
      <c r="B803" s="265" t="s">
        <v>49</v>
      </c>
      <c r="C803" s="265"/>
      <c r="D803" s="399">
        <f>+D789+D801</f>
        <v>19775.966999999997</v>
      </c>
      <c r="E803" s="399">
        <f>+E789+E801</f>
        <v>2885.78076434794</v>
      </c>
      <c r="F803" s="267">
        <f>+D803/D808</f>
        <v>1.7616532452030143</v>
      </c>
      <c r="G803" s="267">
        <f>+E803/E808</f>
        <v>1.5719250749944771</v>
      </c>
      <c r="I803" s="416"/>
    </row>
    <row r="804" spans="2:9">
      <c r="B804" s="44" t="s">
        <v>11</v>
      </c>
      <c r="C804" s="44"/>
      <c r="D804" s="272">
        <v>10929.097</v>
      </c>
      <c r="E804" s="272">
        <f>D804/$C$828</f>
        <v>1594.8134366472589</v>
      </c>
      <c r="F804" s="47"/>
      <c r="G804" s="47"/>
    </row>
    <row r="805" spans="2:9">
      <c r="B805" s="45" t="s">
        <v>14</v>
      </c>
      <c r="C805" s="45"/>
      <c r="D805" s="402">
        <f>+D803-D804</f>
        <v>8846.8699999999972</v>
      </c>
      <c r="E805" s="402">
        <f>+E803-E804</f>
        <v>1290.9673277006812</v>
      </c>
      <c r="F805" s="46">
        <f>+D805/D808</f>
        <v>0.78808370004810324</v>
      </c>
      <c r="G805" s="46">
        <f>+E805/E808</f>
        <v>0.70320792850313651</v>
      </c>
    </row>
    <row r="806" spans="2:9">
      <c r="B806" s="44" t="s">
        <v>17</v>
      </c>
      <c r="C806" s="44"/>
      <c r="D806" s="272">
        <v>19538.150000000001</v>
      </c>
      <c r="E806" s="272">
        <f>D806/$C$828</f>
        <v>2851.0776459601047</v>
      </c>
      <c r="F806" s="47"/>
      <c r="G806" s="47"/>
    </row>
    <row r="807" spans="2:9">
      <c r="B807" s="268" t="s">
        <v>20</v>
      </c>
      <c r="C807" s="268"/>
      <c r="D807" s="396">
        <f>D803+D806</f>
        <v>39314.116999999998</v>
      </c>
      <c r="E807" s="396">
        <f>E803+E806</f>
        <v>5736.8584103080448</v>
      </c>
      <c r="F807" s="270"/>
      <c r="G807" s="270"/>
    </row>
    <row r="808" spans="2:9">
      <c r="B808" s="268" t="s">
        <v>23</v>
      </c>
      <c r="C808" s="268"/>
      <c r="D808" s="396">
        <v>11225.8</v>
      </c>
      <c r="E808" s="396">
        <v>1835.82589924528</v>
      </c>
      <c r="F808" s="270"/>
      <c r="G808" s="270"/>
    </row>
    <row r="811" spans="2:9">
      <c r="B811" s="36" t="s">
        <v>50</v>
      </c>
      <c r="D811" s="387">
        <v>36168</v>
      </c>
      <c r="E811" s="255"/>
    </row>
    <row r="812" spans="2:9">
      <c r="B812" s="36" t="s">
        <v>51</v>
      </c>
      <c r="D812" s="227">
        <f>D811+D805</f>
        <v>45014.869999999995</v>
      </c>
      <c r="E812" s="227"/>
    </row>
    <row r="813" spans="2:9">
      <c r="B813" s="80" t="s">
        <v>52</v>
      </c>
      <c r="D813" s="228">
        <f>D812/D808</f>
        <v>4.0099476206595517</v>
      </c>
      <c r="E813" s="228"/>
      <c r="G813" s="410"/>
    </row>
    <row r="814" spans="2:9" ht="13.5" thickBot="1">
      <c r="B814" s="80"/>
      <c r="D814" s="228"/>
    </row>
    <row r="815" spans="2:9">
      <c r="B815" s="234" t="s">
        <v>258</v>
      </c>
      <c r="C815" s="240" t="s">
        <v>54</v>
      </c>
      <c r="D815" s="232" t="s">
        <v>55</v>
      </c>
    </row>
    <row r="816" spans="2:9">
      <c r="B816" s="239" t="s">
        <v>56</v>
      </c>
      <c r="C816" s="253">
        <v>16346</v>
      </c>
      <c r="D816" s="237">
        <f>C816/$C$828</f>
        <v>2385.2675509638257</v>
      </c>
    </row>
    <row r="817" spans="2:4">
      <c r="B817" s="239" t="s">
        <v>57</v>
      </c>
      <c r="C817" s="253">
        <v>937</v>
      </c>
      <c r="D817" s="237">
        <f>C817/$C$828</f>
        <v>136.73043529016911</v>
      </c>
    </row>
    <row r="818" spans="2:4">
      <c r="B818" s="239" t="s">
        <v>58</v>
      </c>
      <c r="C818" s="253">
        <v>1006</v>
      </c>
      <c r="D818" s="237">
        <f>C818/$C$828</f>
        <v>146.79916531687314</v>
      </c>
    </row>
    <row r="819" spans="2:4">
      <c r="B819" s="239" t="s">
        <v>60</v>
      </c>
      <c r="C819" s="398">
        <f>D786</f>
        <v>1485.489</v>
      </c>
      <c r="D819" s="237">
        <f>C819/$C$828</f>
        <v>216.76793766142802</v>
      </c>
    </row>
    <row r="820" spans="2:4" ht="13.5" thickBot="1">
      <c r="B820" s="245" t="s">
        <v>61</v>
      </c>
      <c r="C820" s="412">
        <f>SUM(C816:C819)</f>
        <v>19774.489000000001</v>
      </c>
      <c r="D820" s="247">
        <f>SUM(D816:D819)</f>
        <v>2885.565089232296</v>
      </c>
    </row>
    <row r="821" spans="2:4" ht="13.5" thickBot="1"/>
    <row r="822" spans="2:4">
      <c r="B822" s="140" t="s">
        <v>259</v>
      </c>
      <c r="C822" s="240" t="s">
        <v>54</v>
      </c>
      <c r="D822" s="232" t="s">
        <v>55</v>
      </c>
    </row>
    <row r="823" spans="2:4">
      <c r="B823" s="141" t="s">
        <v>63</v>
      </c>
      <c r="C823" s="242">
        <f>+D823*$C$828</f>
        <v>362.51841000000002</v>
      </c>
      <c r="D823" s="253">
        <f>150-50-47.1</f>
        <v>52.9</v>
      </c>
    </row>
    <row r="824" spans="2:4">
      <c r="B824" s="141" t="s">
        <v>64</v>
      </c>
      <c r="C824" s="242">
        <f>D804</f>
        <v>10929.097</v>
      </c>
      <c r="D824" s="237">
        <f>E804</f>
        <v>1594.8134366472589</v>
      </c>
    </row>
    <row r="825" spans="2:4" ht="13.5" thickBot="1">
      <c r="B825" s="143" t="s">
        <v>65</v>
      </c>
      <c r="C825" s="243">
        <f>SUM(C823:C824)</f>
        <v>11291.61541</v>
      </c>
      <c r="D825" s="236">
        <f>SUM(D823:D824)</f>
        <v>1647.713436647259</v>
      </c>
    </row>
    <row r="827" spans="2:4">
      <c r="D827" s="39"/>
    </row>
    <row r="828" spans="2:4" ht="13.5" thickBot="1">
      <c r="B828" s="36" t="s">
        <v>260</v>
      </c>
      <c r="C828" s="36">
        <v>6.8529</v>
      </c>
    </row>
    <row r="829" spans="2:4">
      <c r="B829" s="234" t="s">
        <v>261</v>
      </c>
      <c r="C829" s="240" t="s">
        <v>54</v>
      </c>
      <c r="D829" s="232" t="s">
        <v>55</v>
      </c>
    </row>
    <row r="830" spans="2:4">
      <c r="B830" s="86" t="s">
        <v>68</v>
      </c>
      <c r="C830" s="253">
        <v>5414.0280000000002</v>
      </c>
      <c r="D830" s="237">
        <f>C830/$C$828</f>
        <v>790.03458389878745</v>
      </c>
    </row>
    <row r="831" spans="2:4">
      <c r="B831" s="86" t="s">
        <v>69</v>
      </c>
      <c r="C831" s="253">
        <v>14361.939</v>
      </c>
      <c r="D831" s="237">
        <f>C831/$C$828</f>
        <v>2095.7461804491531</v>
      </c>
    </row>
    <row r="832" spans="2:4" ht="13.5" thickBot="1">
      <c r="B832" s="87"/>
      <c r="C832" s="244"/>
      <c r="D832" s="233"/>
    </row>
    <row r="833" spans="2:13">
      <c r="B833" s="80" t="s">
        <v>70</v>
      </c>
      <c r="C833" s="238">
        <f>C830+C831</f>
        <v>19775.967000000001</v>
      </c>
      <c r="D833" s="220">
        <f>D830+D831</f>
        <v>2885.7807643479405</v>
      </c>
    </row>
    <row r="834" spans="2:13" ht="12.75" customHeight="1">
      <c r="I834" s="273" t="s">
        <v>1</v>
      </c>
    </row>
    <row r="835" spans="2:13">
      <c r="B835" s="256" t="s">
        <v>262</v>
      </c>
      <c r="C835" s="256"/>
      <c r="D835" s="256"/>
      <c r="E835" s="256"/>
      <c r="F835" s="256"/>
      <c r="G835" s="256"/>
      <c r="I835" s="256" t="s">
        <v>262</v>
      </c>
      <c r="J835" s="256"/>
      <c r="K835" s="256"/>
      <c r="L835" s="256"/>
      <c r="M835" s="256"/>
    </row>
    <row r="836" spans="2:13" ht="25.5">
      <c r="B836" s="34"/>
      <c r="C836" s="212" t="s">
        <v>3</v>
      </c>
      <c r="D836" s="212" t="s">
        <v>4</v>
      </c>
      <c r="E836" s="212" t="s">
        <v>5</v>
      </c>
      <c r="F836" s="212" t="s">
        <v>6</v>
      </c>
      <c r="G836" s="212" t="s">
        <v>7</v>
      </c>
      <c r="I836" s="34"/>
      <c r="J836" s="34" t="s">
        <v>4</v>
      </c>
      <c r="K836" s="34" t="s">
        <v>5</v>
      </c>
      <c r="L836" s="37" t="s">
        <v>6</v>
      </c>
      <c r="M836" s="37" t="s">
        <v>6</v>
      </c>
    </row>
    <row r="837" spans="2:13">
      <c r="B837" s="411"/>
      <c r="C837" s="411"/>
      <c r="D837" s="411"/>
      <c r="E837" s="411"/>
      <c r="F837" s="411"/>
      <c r="G837" s="411"/>
      <c r="I837" s="45" t="s">
        <v>8</v>
      </c>
      <c r="J837" s="402">
        <f>D860</f>
        <v>19499.897000000001</v>
      </c>
      <c r="K837" s="402">
        <f>E860</f>
        <v>2992.6177102516881</v>
      </c>
      <c r="L837" s="46">
        <f>+J837/J842</f>
        <v>1.7800972212079162</v>
      </c>
      <c r="M837" s="46">
        <f>+K837/K842</f>
        <v>1.6012815925796717</v>
      </c>
    </row>
    <row r="838" spans="2:13">
      <c r="B838" s="161" t="s">
        <v>235</v>
      </c>
      <c r="C838" s="248" t="s">
        <v>251</v>
      </c>
      <c r="D838" s="211">
        <v>151.749</v>
      </c>
      <c r="E838" s="257">
        <f>D838/$C$885</f>
        <v>23.288674033149171</v>
      </c>
      <c r="F838" s="277"/>
      <c r="G838" s="277"/>
      <c r="I838" s="44" t="s">
        <v>11</v>
      </c>
      <c r="J838" s="404">
        <f>D861</f>
        <v>9212.1650000000009</v>
      </c>
      <c r="K838" s="404">
        <f>J838/$C$885</f>
        <v>1413.7760896255372</v>
      </c>
      <c r="L838" s="47"/>
      <c r="M838" s="47"/>
    </row>
    <row r="839" spans="2:13">
      <c r="B839" s="161" t="s">
        <v>236</v>
      </c>
      <c r="C839" s="248" t="s">
        <v>252</v>
      </c>
      <c r="D839" s="211">
        <v>765.96100000000001</v>
      </c>
      <c r="E839" s="257">
        <f>D839/$C$885</f>
        <v>117.55079803560467</v>
      </c>
      <c r="F839" s="277"/>
      <c r="G839" s="277"/>
      <c r="I839" s="45" t="s">
        <v>14</v>
      </c>
      <c r="J839" s="402">
        <f>J837-J838</f>
        <v>10287.732</v>
      </c>
      <c r="K839" s="402">
        <f>K837-K838</f>
        <v>1578.8416206261509</v>
      </c>
      <c r="L839" s="46">
        <f>+J839/J842</f>
        <v>0.93914153216972163</v>
      </c>
      <c r="M839" s="46">
        <f>+K839/K842</f>
        <v>0.8448021997753552</v>
      </c>
    </row>
    <row r="840" spans="2:13">
      <c r="B840" s="161" t="s">
        <v>237</v>
      </c>
      <c r="C840" s="248" t="s">
        <v>201</v>
      </c>
      <c r="D840" s="211">
        <v>16.196999999999999</v>
      </c>
      <c r="E840" s="257">
        <f>D840/$C$885</f>
        <v>2.4857274401473295</v>
      </c>
      <c r="F840" s="277"/>
      <c r="G840" s="277"/>
      <c r="I840" s="84" t="s">
        <v>17</v>
      </c>
      <c r="J840" s="400">
        <f>D863</f>
        <v>18677.593000000001</v>
      </c>
      <c r="K840" s="400">
        <f>J840/$C$885</f>
        <v>2866.4200429711482</v>
      </c>
      <c r="L840" s="85"/>
      <c r="M840" s="85"/>
    </row>
    <row r="841" spans="2:13">
      <c r="B841" s="161" t="s">
        <v>238</v>
      </c>
      <c r="C841" s="248" t="s">
        <v>253</v>
      </c>
      <c r="D841" s="211">
        <v>465.44499999999999</v>
      </c>
      <c r="E841" s="257">
        <f>D841/$C$885</f>
        <v>71.431092694904848</v>
      </c>
      <c r="F841" s="277"/>
      <c r="G841" s="277"/>
      <c r="I841" s="84" t="s">
        <v>20</v>
      </c>
      <c r="J841" s="400">
        <f>J837+J840</f>
        <v>38177.490000000005</v>
      </c>
      <c r="K841" s="400">
        <f>K837+K840</f>
        <v>5859.0377532228358</v>
      </c>
      <c r="L841" s="85"/>
      <c r="M841" s="85"/>
    </row>
    <row r="842" spans="2:13">
      <c r="B842" s="161" t="s">
        <v>239</v>
      </c>
      <c r="C842" s="248" t="s">
        <v>254</v>
      </c>
      <c r="D842" s="211">
        <v>82.757000000000005</v>
      </c>
      <c r="E842" s="257">
        <f>D842/$C$885</f>
        <v>12.700583179864948</v>
      </c>
      <c r="F842" s="277"/>
      <c r="G842" s="277"/>
      <c r="I842" s="44" t="s">
        <v>23</v>
      </c>
      <c r="J842" s="397">
        <f>D865</f>
        <v>10954.400000000001</v>
      </c>
      <c r="K842" s="397">
        <f>E865</f>
        <v>1868.8890974076382</v>
      </c>
      <c r="L842" s="44"/>
      <c r="M842" s="44"/>
    </row>
    <row r="843" spans="2:13">
      <c r="B843" s="161"/>
      <c r="C843" s="248"/>
      <c r="D843" s="211"/>
      <c r="E843" s="257"/>
      <c r="F843" s="277"/>
      <c r="G843" s="277"/>
    </row>
    <row r="844" spans="2:13">
      <c r="B844" s="209" t="s">
        <v>24</v>
      </c>
      <c r="C844" s="250"/>
      <c r="D844" s="210">
        <f>SUM(D838:D842)</f>
        <v>1482.1090000000002</v>
      </c>
      <c r="E844" s="210">
        <f>SUM(E838:E842)</f>
        <v>227.45687538367096</v>
      </c>
      <c r="F844" s="222"/>
      <c r="G844" s="222"/>
    </row>
    <row r="845" spans="2:13">
      <c r="B845" s="209"/>
      <c r="C845" s="250"/>
      <c r="D845" s="210"/>
      <c r="E845" s="210"/>
      <c r="F845" s="222"/>
      <c r="G845" s="222"/>
    </row>
    <row r="846" spans="2:13">
      <c r="B846" s="161" t="s">
        <v>240</v>
      </c>
      <c r="C846" s="408">
        <v>0.105</v>
      </c>
      <c r="D846" s="774">
        <v>1.605</v>
      </c>
      <c r="E846" s="257">
        <f>D846/$C$885</f>
        <v>0.24631675874769798</v>
      </c>
      <c r="F846" s="162"/>
      <c r="G846" s="162"/>
    </row>
    <row r="847" spans="2:13">
      <c r="B847" s="209" t="s">
        <v>31</v>
      </c>
      <c r="C847" s="250"/>
      <c r="D847" s="210">
        <f>D846+D844</f>
        <v>1483.7140000000002</v>
      </c>
      <c r="E847" s="210">
        <f>E846+E844</f>
        <v>227.70319214241866</v>
      </c>
      <c r="F847" s="222"/>
      <c r="G847" s="222"/>
    </row>
    <row r="848" spans="2:13">
      <c r="B848" s="209"/>
      <c r="C848" s="250"/>
      <c r="D848" s="210"/>
      <c r="E848" s="210"/>
      <c r="F848" s="222"/>
      <c r="G848" s="222"/>
    </row>
    <row r="849" spans="2:9">
      <c r="B849" s="161" t="s">
        <v>207</v>
      </c>
      <c r="C849" s="248" t="s">
        <v>255</v>
      </c>
      <c r="D849" s="211">
        <v>3763.047</v>
      </c>
      <c r="E849" s="257">
        <f>D849/$C$885</f>
        <v>577.50874769797417</v>
      </c>
      <c r="F849" s="162"/>
      <c r="G849" s="162"/>
    </row>
    <row r="850" spans="2:9">
      <c r="B850" s="229" t="s">
        <v>209</v>
      </c>
      <c r="C850" s="251" t="s">
        <v>210</v>
      </c>
      <c r="D850" s="211">
        <v>5287.741</v>
      </c>
      <c r="E850" s="257">
        <f>D850/$C$885</f>
        <v>811.50107427869864</v>
      </c>
      <c r="F850" s="162"/>
      <c r="G850" s="162"/>
    </row>
    <row r="851" spans="2:9">
      <c r="B851" s="161" t="s">
        <v>241</v>
      </c>
      <c r="C851" s="248" t="s">
        <v>256</v>
      </c>
      <c r="D851" s="211">
        <v>1202.4480000000001</v>
      </c>
      <c r="E851" s="257">
        <f>D851/$C$885</f>
        <v>184.5377532228361</v>
      </c>
      <c r="F851" s="162"/>
      <c r="G851" s="162"/>
    </row>
    <row r="852" spans="2:9">
      <c r="B852" s="161" t="s">
        <v>242</v>
      </c>
      <c r="C852" s="248" t="s">
        <v>257</v>
      </c>
      <c r="D852" s="211">
        <v>928.67200000000003</v>
      </c>
      <c r="E852" s="257">
        <f>D852/$C$885</f>
        <v>142.52179251074278</v>
      </c>
      <c r="F852" s="162"/>
      <c r="G852" s="162"/>
    </row>
    <row r="853" spans="2:9">
      <c r="B853" s="161" t="s">
        <v>243</v>
      </c>
      <c r="C853" s="249">
        <v>5.5E-2</v>
      </c>
      <c r="D853" s="211">
        <v>219.66200000000001</v>
      </c>
      <c r="E853" s="257">
        <f>D853/$C$885</f>
        <v>33.711172498465316</v>
      </c>
      <c r="F853" s="162"/>
      <c r="G853" s="162"/>
    </row>
    <row r="854" spans="2:9">
      <c r="B854" s="229"/>
      <c r="C854" s="408"/>
      <c r="D854" s="211"/>
      <c r="E854" s="257"/>
      <c r="F854" s="162"/>
      <c r="G854" s="162"/>
    </row>
    <row r="855" spans="2:9">
      <c r="B855" s="161" t="s">
        <v>190</v>
      </c>
      <c r="C855" s="408">
        <v>5.8000000000000003E-2</v>
      </c>
      <c r="D855" s="211">
        <v>6437.0630000000001</v>
      </c>
      <c r="E855" s="257">
        <f>D855/$C$885</f>
        <v>987.88566605279311</v>
      </c>
      <c r="F855" s="162"/>
      <c r="G855" s="162"/>
    </row>
    <row r="856" spans="2:9">
      <c r="B856" s="161" t="s">
        <v>245</v>
      </c>
      <c r="C856" s="408">
        <v>9.6000000000000002E-2</v>
      </c>
      <c r="D856" s="211">
        <v>177.55</v>
      </c>
      <c r="E856" s="257">
        <f>D856/$C$885</f>
        <v>27.248311847759364</v>
      </c>
      <c r="F856" s="162"/>
      <c r="G856" s="162"/>
    </row>
    <row r="857" spans="2:9">
      <c r="B857" s="161"/>
      <c r="C857" s="408"/>
      <c r="D857" s="211"/>
      <c r="E857" s="257"/>
      <c r="F857" s="162"/>
      <c r="G857" s="162"/>
    </row>
    <row r="858" spans="2:9">
      <c r="B858" s="209" t="s">
        <v>48</v>
      </c>
      <c r="C858" s="408"/>
      <c r="D858" s="210">
        <f>SUM(D849:D856)</f>
        <v>18016.183000000001</v>
      </c>
      <c r="E858" s="210">
        <f>SUM(E849:E856)</f>
        <v>2764.9145181092695</v>
      </c>
      <c r="F858" s="162"/>
      <c r="G858" s="162"/>
    </row>
    <row r="859" spans="2:9">
      <c r="B859" s="161"/>
      <c r="C859" s="408"/>
      <c r="D859" s="211"/>
      <c r="E859" s="257"/>
      <c r="F859" s="162"/>
      <c r="G859" s="162"/>
    </row>
    <row r="860" spans="2:9">
      <c r="B860" s="265" t="s">
        <v>49</v>
      </c>
      <c r="C860" s="265"/>
      <c r="D860" s="399">
        <f>+D847+D858</f>
        <v>19499.897000000001</v>
      </c>
      <c r="E860" s="399">
        <f>+E847+E858</f>
        <v>2992.6177102516881</v>
      </c>
      <c r="F860" s="267">
        <f>+D860/D865</f>
        <v>1.7800972212079162</v>
      </c>
      <c r="G860" s="267">
        <f>+E860/E865</f>
        <v>1.6012815925796717</v>
      </c>
      <c r="I860" s="416"/>
    </row>
    <row r="861" spans="2:9">
      <c r="B861" s="44" t="s">
        <v>11</v>
      </c>
      <c r="C861" s="44"/>
      <c r="D861" s="272">
        <v>9212.1650000000009</v>
      </c>
      <c r="E861" s="272">
        <f>D861/$C$885</f>
        <v>1413.7760896255372</v>
      </c>
      <c r="F861" s="47"/>
      <c r="G861" s="47"/>
    </row>
    <row r="862" spans="2:9">
      <c r="B862" s="45" t="s">
        <v>14</v>
      </c>
      <c r="C862" s="45"/>
      <c r="D862" s="402">
        <f>+D860-D861</f>
        <v>10287.732</v>
      </c>
      <c r="E862" s="402">
        <f>+E860-E861</f>
        <v>1578.8416206261509</v>
      </c>
      <c r="F862" s="46">
        <f>+D862/D865</f>
        <v>0.93914153216972163</v>
      </c>
      <c r="G862" s="46">
        <f>+E862/E865</f>
        <v>0.8448021997753552</v>
      </c>
    </row>
    <row r="863" spans="2:9">
      <c r="B863" s="44" t="s">
        <v>17</v>
      </c>
      <c r="C863" s="44"/>
      <c r="D863" s="272">
        <v>18677.593000000001</v>
      </c>
      <c r="E863" s="272">
        <f>D863/$C$885</f>
        <v>2866.4200429711482</v>
      </c>
      <c r="F863" s="47"/>
      <c r="G863" s="47"/>
    </row>
    <row r="864" spans="2:9">
      <c r="B864" s="268" t="s">
        <v>20</v>
      </c>
      <c r="C864" s="268"/>
      <c r="D864" s="396">
        <f>D860+D863</f>
        <v>38177.490000000005</v>
      </c>
      <c r="E864" s="396">
        <f>E860+E863</f>
        <v>5859.0377532228358</v>
      </c>
      <c r="F864" s="270"/>
      <c r="G864" s="270"/>
    </row>
    <row r="865" spans="2:7">
      <c r="B865" s="268" t="s">
        <v>23</v>
      </c>
      <c r="C865" s="268"/>
      <c r="D865" s="396">
        <v>10954.400000000001</v>
      </c>
      <c r="E865" s="396">
        <v>1868.8890974076382</v>
      </c>
      <c r="F865" s="270"/>
      <c r="G865" s="270"/>
    </row>
    <row r="868" spans="2:7">
      <c r="B868" s="36" t="s">
        <v>50</v>
      </c>
      <c r="D868" s="387">
        <v>28038.348000000002</v>
      </c>
      <c r="E868" s="255"/>
    </row>
    <row r="869" spans="2:7">
      <c r="B869" s="36" t="s">
        <v>51</v>
      </c>
      <c r="D869" s="227">
        <f>D868+D862</f>
        <v>38326.080000000002</v>
      </c>
      <c r="E869" s="227"/>
    </row>
    <row r="870" spans="2:7">
      <c r="B870" s="80" t="s">
        <v>52</v>
      </c>
      <c r="D870" s="228">
        <f>D869/D865</f>
        <v>3.4986927627254798</v>
      </c>
      <c r="E870" s="228"/>
      <c r="G870" s="410"/>
    </row>
    <row r="871" spans="2:7" ht="13.5" thickBot="1">
      <c r="B871" s="80"/>
      <c r="D871" s="228"/>
    </row>
    <row r="872" spans="2:7">
      <c r="B872" s="234" t="s">
        <v>263</v>
      </c>
      <c r="C872" s="240" t="s">
        <v>54</v>
      </c>
      <c r="D872" s="232" t="s">
        <v>55</v>
      </c>
    </row>
    <row r="873" spans="2:7">
      <c r="B873" s="239" t="s">
        <v>56</v>
      </c>
      <c r="C873" s="253">
        <v>15593</v>
      </c>
      <c r="D873" s="237">
        <f>C873/$C$885</f>
        <v>2393.0325352977288</v>
      </c>
    </row>
    <row r="874" spans="2:7">
      <c r="B874" s="239" t="s">
        <v>57</v>
      </c>
      <c r="C874" s="253">
        <v>929</v>
      </c>
      <c r="D874" s="237">
        <f>C874/$C$885</f>
        <v>142.57213014119091</v>
      </c>
    </row>
    <row r="875" spans="2:7">
      <c r="B875" s="239" t="s">
        <v>58</v>
      </c>
      <c r="C875" s="253">
        <v>1494</v>
      </c>
      <c r="D875" s="237">
        <f>C875/$C$885</f>
        <v>229.28176795580112</v>
      </c>
    </row>
    <row r="876" spans="2:7">
      <c r="B876" s="239" t="s">
        <v>60</v>
      </c>
      <c r="C876" s="398">
        <f>D844</f>
        <v>1482.1090000000002</v>
      </c>
      <c r="D876" s="237">
        <f>C876/$C$885</f>
        <v>227.45687538367099</v>
      </c>
    </row>
    <row r="877" spans="2:7" ht="13.5" thickBot="1">
      <c r="B877" s="245" t="s">
        <v>61</v>
      </c>
      <c r="C877" s="412">
        <f>SUM(C873:C876)</f>
        <v>19498.109</v>
      </c>
      <c r="D877" s="247">
        <f>SUM(D873:D876)</f>
        <v>2992.3433087783919</v>
      </c>
    </row>
    <row r="878" spans="2:7" ht="13.5" thickBot="1"/>
    <row r="879" spans="2:7">
      <c r="B879" s="140" t="s">
        <v>264</v>
      </c>
      <c r="C879" s="240" t="s">
        <v>54</v>
      </c>
      <c r="D879" s="232" t="s">
        <v>55</v>
      </c>
    </row>
    <row r="880" spans="2:7">
      <c r="B880" s="141"/>
      <c r="C880" s="241"/>
      <c r="D880" s="142"/>
    </row>
    <row r="881" spans="2:13">
      <c r="B881" s="141" t="s">
        <v>64</v>
      </c>
      <c r="C881" s="242">
        <f>D861</f>
        <v>9212.1650000000009</v>
      </c>
      <c r="D881" s="237">
        <f>E861</f>
        <v>1413.7760896255372</v>
      </c>
    </row>
    <row r="882" spans="2:13" ht="13.5" thickBot="1">
      <c r="B882" s="143" t="s">
        <v>65</v>
      </c>
      <c r="C882" s="243">
        <f>SUM(C880:C881)</f>
        <v>9212.1650000000009</v>
      </c>
      <c r="D882" s="236">
        <f>SUM(D880:D881)</f>
        <v>1413.7760896255372</v>
      </c>
    </row>
    <row r="884" spans="2:13">
      <c r="D884" s="39"/>
    </row>
    <row r="885" spans="2:13" ht="13.5" thickBot="1">
      <c r="B885" s="36" t="s">
        <v>265</v>
      </c>
      <c r="C885" s="36">
        <v>6.516</v>
      </c>
    </row>
    <row r="886" spans="2:13">
      <c r="B886" s="234" t="s">
        <v>266</v>
      </c>
      <c r="C886" s="240" t="s">
        <v>54</v>
      </c>
      <c r="D886" s="232" t="s">
        <v>55</v>
      </c>
    </row>
    <row r="887" spans="2:13">
      <c r="B887" s="86" t="s">
        <v>68</v>
      </c>
      <c r="C887" s="253">
        <v>5535.3360000000002</v>
      </c>
      <c r="D887" s="237">
        <f>C887/$C$885</f>
        <v>849.499079189687</v>
      </c>
    </row>
    <row r="888" spans="2:13">
      <c r="B888" s="86" t="s">
        <v>69</v>
      </c>
      <c r="C888" s="253">
        <v>13964.561</v>
      </c>
      <c r="D888" s="237">
        <f>C888/$C$885</f>
        <v>2143.118631062001</v>
      </c>
    </row>
    <row r="889" spans="2:13" ht="13.5" thickBot="1">
      <c r="B889" s="87"/>
      <c r="C889" s="244"/>
      <c r="D889" s="233"/>
    </row>
    <row r="890" spans="2:13">
      <c r="B890" s="80" t="s">
        <v>70</v>
      </c>
      <c r="C890" s="238">
        <f>C887+C888</f>
        <v>19499.897000000001</v>
      </c>
      <c r="D890" s="220">
        <f>D887+D888</f>
        <v>2992.6177102516881</v>
      </c>
    </row>
    <row r="893" spans="2:13" ht="12.75" customHeight="1">
      <c r="I893" s="273" t="s">
        <v>1</v>
      </c>
    </row>
    <row r="894" spans="2:13">
      <c r="B894" s="256" t="s">
        <v>267</v>
      </c>
      <c r="C894" s="256"/>
      <c r="D894" s="256"/>
      <c r="E894" s="256"/>
      <c r="F894" s="256"/>
      <c r="G894" s="256"/>
      <c r="I894" s="256" t="s">
        <v>267</v>
      </c>
      <c r="J894" s="256"/>
      <c r="K894" s="256"/>
      <c r="L894" s="256"/>
      <c r="M894" s="256"/>
    </row>
    <row r="895" spans="2:13" ht="25.5">
      <c r="B895" s="34"/>
      <c r="C895" s="212" t="s">
        <v>3</v>
      </c>
      <c r="D895" s="212" t="s">
        <v>4</v>
      </c>
      <c r="E895" s="212" t="s">
        <v>5</v>
      </c>
      <c r="F895" s="212" t="s">
        <v>6</v>
      </c>
      <c r="G895" s="212" t="s">
        <v>7</v>
      </c>
      <c r="I895" s="34"/>
      <c r="J895" s="34" t="s">
        <v>4</v>
      </c>
      <c r="K895" s="34" t="s">
        <v>5</v>
      </c>
      <c r="L895" s="37" t="s">
        <v>6</v>
      </c>
      <c r="M895" s="37" t="s">
        <v>6</v>
      </c>
    </row>
    <row r="896" spans="2:13">
      <c r="B896" s="411"/>
      <c r="C896" s="411"/>
      <c r="D896" s="411"/>
      <c r="E896" s="411"/>
      <c r="F896" s="411"/>
      <c r="G896" s="411"/>
      <c r="I896" s="45" t="s">
        <v>8</v>
      </c>
      <c r="J896" s="402">
        <f>D919</f>
        <v>20305.726999999999</v>
      </c>
      <c r="K896" s="402">
        <f>E919</f>
        <v>3418.3574627116936</v>
      </c>
      <c r="L896" s="46">
        <f>+J896/J901</f>
        <v>1.947530019949359</v>
      </c>
      <c r="M896" s="46">
        <f>+K896/K901</f>
        <v>1.8558041165569934</v>
      </c>
    </row>
    <row r="897" spans="2:13">
      <c r="B897" s="161" t="s">
        <v>268</v>
      </c>
      <c r="C897" s="248" t="s">
        <v>269</v>
      </c>
      <c r="D897" s="211">
        <v>162.786</v>
      </c>
      <c r="E897" s="257">
        <f>D897/$C$944</f>
        <v>27.40412780714454</v>
      </c>
      <c r="F897" s="277"/>
      <c r="G897" s="277"/>
      <c r="I897" s="44" t="s">
        <v>11</v>
      </c>
      <c r="J897" s="404">
        <f>D920</f>
        <v>10238.715</v>
      </c>
      <c r="K897" s="404">
        <f>J897/$C$944</f>
        <v>1723.6313592134945</v>
      </c>
      <c r="L897" s="47"/>
      <c r="M897" s="47"/>
    </row>
    <row r="898" spans="2:13">
      <c r="B898" s="161" t="s">
        <v>236</v>
      </c>
      <c r="C898" s="248" t="s">
        <v>252</v>
      </c>
      <c r="D898" s="211">
        <v>735.21100000000001</v>
      </c>
      <c r="E898" s="257">
        <f>D898/$C$944</f>
        <v>123.76872832564561</v>
      </c>
      <c r="F898" s="277"/>
      <c r="G898" s="277"/>
      <c r="I898" s="45" t="s">
        <v>14</v>
      </c>
      <c r="J898" s="402">
        <f>J896-J897</f>
        <v>10067.011999999999</v>
      </c>
      <c r="K898" s="402">
        <f>K896-K897</f>
        <v>1694.7261034981991</v>
      </c>
      <c r="L898" s="46">
        <f>+J898/J901</f>
        <v>0.96553095987109616</v>
      </c>
      <c r="M898" s="46">
        <f>+K898/K901</f>
        <v>0.92005582026334998</v>
      </c>
    </row>
    <row r="899" spans="2:13">
      <c r="B899" s="161" t="s">
        <v>270</v>
      </c>
      <c r="C899" s="248" t="s">
        <v>271</v>
      </c>
      <c r="D899" s="211">
        <v>18.564</v>
      </c>
      <c r="E899" s="257">
        <f>D899/$C$944</f>
        <v>3.1251473014376621</v>
      </c>
      <c r="F899" s="277"/>
      <c r="G899" s="277"/>
      <c r="I899" s="84" t="s">
        <v>17</v>
      </c>
      <c r="J899" s="400">
        <f>D922</f>
        <v>18082.944</v>
      </c>
      <c r="K899" s="400">
        <f>J899/$C$944</f>
        <v>3044.1641695565804</v>
      </c>
      <c r="L899" s="85"/>
      <c r="M899" s="85"/>
    </row>
    <row r="900" spans="2:13">
      <c r="B900" s="161" t="s">
        <v>238</v>
      </c>
      <c r="C900" s="248" t="s">
        <v>253</v>
      </c>
      <c r="D900" s="211">
        <v>521.49599999999998</v>
      </c>
      <c r="E900" s="257">
        <f>D900/$C$944</f>
        <v>87.790983468570076</v>
      </c>
      <c r="F900" s="277"/>
      <c r="G900" s="277"/>
      <c r="I900" s="84" t="s">
        <v>20</v>
      </c>
      <c r="J900" s="400">
        <f>J896+J899</f>
        <v>38388.671000000002</v>
      </c>
      <c r="K900" s="400">
        <f>K896+K899</f>
        <v>6462.5216322682736</v>
      </c>
      <c r="L900" s="85"/>
      <c r="M900" s="85"/>
    </row>
    <row r="901" spans="2:13">
      <c r="B901" s="161" t="s">
        <v>239</v>
      </c>
      <c r="C901" s="248" t="s">
        <v>254</v>
      </c>
      <c r="D901" s="211">
        <v>94.998000000000005</v>
      </c>
      <c r="E901" s="257">
        <f>D901/$C$944</f>
        <v>15.992390828591631</v>
      </c>
      <c r="F901" s="277"/>
      <c r="G901" s="277"/>
      <c r="I901" s="44" t="s">
        <v>23</v>
      </c>
      <c r="J901" s="397">
        <f>D924</f>
        <v>10426.400000000001</v>
      </c>
      <c r="K901" s="397">
        <f>E924</f>
        <v>1841.9818299862645</v>
      </c>
      <c r="L901" s="44"/>
      <c r="M901" s="44"/>
    </row>
    <row r="902" spans="2:13">
      <c r="B902" s="161"/>
      <c r="C902" s="248"/>
      <c r="D902" s="211"/>
      <c r="E902" s="257"/>
      <c r="F902" s="277"/>
      <c r="G902" s="277"/>
    </row>
    <row r="903" spans="2:13">
      <c r="B903" s="209" t="s">
        <v>24</v>
      </c>
      <c r="C903" s="250"/>
      <c r="D903" s="210">
        <f>SUM(D897:D901)</f>
        <v>1533.0550000000001</v>
      </c>
      <c r="E903" s="210">
        <f>SUM(E897:E901)</f>
        <v>258.08137773138952</v>
      </c>
      <c r="F903" s="222"/>
      <c r="G903" s="222"/>
    </row>
    <row r="904" spans="2:13">
      <c r="B904" s="209"/>
      <c r="C904" s="250"/>
      <c r="D904" s="210"/>
      <c r="E904" s="210"/>
      <c r="F904" s="222"/>
      <c r="G904" s="222"/>
    </row>
    <row r="905" spans="2:13">
      <c r="B905" s="161" t="s">
        <v>240</v>
      </c>
      <c r="C905" s="408">
        <v>0.115</v>
      </c>
      <c r="D905" s="774">
        <v>2.415</v>
      </c>
      <c r="E905" s="257">
        <f>D905/$C$944</f>
        <v>0.40655196794720716</v>
      </c>
      <c r="F905" s="162"/>
      <c r="G905" s="162"/>
    </row>
    <row r="906" spans="2:13">
      <c r="B906" s="209" t="s">
        <v>31</v>
      </c>
      <c r="C906" s="250"/>
      <c r="D906" s="210">
        <f>D905+D903</f>
        <v>1535.47</v>
      </c>
      <c r="E906" s="210">
        <f>E905+E903</f>
        <v>258.48792969933675</v>
      </c>
      <c r="F906" s="222"/>
      <c r="G906" s="222"/>
    </row>
    <row r="907" spans="2:13">
      <c r="B907" s="209"/>
      <c r="C907" s="250"/>
      <c r="D907" s="210"/>
      <c r="E907" s="210"/>
      <c r="F907" s="222"/>
      <c r="G907" s="222"/>
    </row>
    <row r="908" spans="2:13">
      <c r="B908" s="161" t="s">
        <v>207</v>
      </c>
      <c r="C908" s="248" t="s">
        <v>255</v>
      </c>
      <c r="D908" s="211">
        <v>4478.4570000000003</v>
      </c>
      <c r="E908" s="257">
        <f>D908/$C$944</f>
        <v>753.92360526581604</v>
      </c>
      <c r="F908" s="162"/>
      <c r="G908" s="162"/>
    </row>
    <row r="909" spans="2:13">
      <c r="B909" s="229" t="s">
        <v>209</v>
      </c>
      <c r="C909" s="251" t="s">
        <v>210</v>
      </c>
      <c r="D909" s="211">
        <v>5638.7259999999997</v>
      </c>
      <c r="E909" s="257">
        <f>D909/$C$944</f>
        <v>949.24851015117326</v>
      </c>
      <c r="F909" s="162"/>
      <c r="G909" s="162"/>
    </row>
    <row r="910" spans="2:13">
      <c r="B910" s="161" t="s">
        <v>241</v>
      </c>
      <c r="C910" s="248" t="s">
        <v>272</v>
      </c>
      <c r="D910" s="211">
        <v>1442.818</v>
      </c>
      <c r="E910" s="257">
        <f>D910/$C$944</f>
        <v>242.89047506817951</v>
      </c>
      <c r="F910" s="162"/>
      <c r="G910" s="162"/>
    </row>
    <row r="911" spans="2:13">
      <c r="B911" s="161" t="s">
        <v>242</v>
      </c>
      <c r="C911" s="248" t="s">
        <v>273</v>
      </c>
      <c r="D911" s="211">
        <v>1043.883</v>
      </c>
      <c r="E911" s="257">
        <f>D911/$C$944</f>
        <v>175.73196188680518</v>
      </c>
      <c r="F911" s="162"/>
      <c r="G911" s="162"/>
    </row>
    <row r="912" spans="2:13">
      <c r="B912" s="161" t="s">
        <v>243</v>
      </c>
      <c r="C912" s="249">
        <v>5.5E-2</v>
      </c>
      <c r="D912" s="211">
        <v>200.583</v>
      </c>
      <c r="E912" s="257">
        <f>D912/$C$944</f>
        <v>33.767044880643752</v>
      </c>
      <c r="F912" s="162"/>
      <c r="G912" s="162"/>
    </row>
    <row r="913" spans="2:9">
      <c r="B913" s="229"/>
      <c r="C913" s="408"/>
      <c r="D913" s="211"/>
      <c r="E913" s="257"/>
      <c r="F913" s="162"/>
      <c r="G913" s="162"/>
    </row>
    <row r="914" spans="2:9">
      <c r="B914" s="161" t="s">
        <v>190</v>
      </c>
      <c r="C914" s="408">
        <v>5.8000000000000003E-2</v>
      </c>
      <c r="D914" s="211">
        <v>5810.9889999999996</v>
      </c>
      <c r="E914" s="257">
        <f>D914/$C$944</f>
        <v>978.24803878657281</v>
      </c>
      <c r="F914" s="162"/>
      <c r="G914" s="162"/>
    </row>
    <row r="915" spans="2:9">
      <c r="B915" s="161" t="s">
        <v>245</v>
      </c>
      <c r="C915" s="408">
        <v>0.14000000000000001</v>
      </c>
      <c r="D915" s="211">
        <v>154.80099999999999</v>
      </c>
      <c r="E915" s="257">
        <f>D915/$C$944</f>
        <v>26.059896973165884</v>
      </c>
      <c r="F915" s="162"/>
      <c r="G915" s="162"/>
    </row>
    <row r="916" spans="2:9">
      <c r="B916" s="161"/>
      <c r="C916" s="408"/>
      <c r="D916" s="211"/>
      <c r="E916" s="257"/>
      <c r="F916" s="162"/>
      <c r="G916" s="162"/>
    </row>
    <row r="917" spans="2:9">
      <c r="B917" s="209" t="s">
        <v>48</v>
      </c>
      <c r="C917" s="408"/>
      <c r="D917" s="210">
        <f>SUM(D908:D915)</f>
        <v>18770.256999999998</v>
      </c>
      <c r="E917" s="210">
        <f>SUM(E908:E915)</f>
        <v>3159.8695330123569</v>
      </c>
      <c r="F917" s="162"/>
      <c r="G917" s="162"/>
    </row>
    <row r="918" spans="2:9">
      <c r="B918" s="161"/>
      <c r="C918" s="408"/>
      <c r="D918" s="211"/>
      <c r="E918" s="257"/>
      <c r="F918" s="162"/>
      <c r="G918" s="162"/>
    </row>
    <row r="919" spans="2:9">
      <c r="B919" s="265" t="s">
        <v>49</v>
      </c>
      <c r="C919" s="265"/>
      <c r="D919" s="399">
        <f>+D906+D917</f>
        <v>20305.726999999999</v>
      </c>
      <c r="E919" s="399">
        <f>+E906+E917</f>
        <v>3418.3574627116936</v>
      </c>
      <c r="F919" s="267">
        <f>+D919/D924</f>
        <v>1.947530019949359</v>
      </c>
      <c r="G919" s="267">
        <f>+E919/E924</f>
        <v>1.8558041165569934</v>
      </c>
      <c r="I919" s="416"/>
    </row>
    <row r="920" spans="2:9">
      <c r="B920" s="44" t="s">
        <v>11</v>
      </c>
      <c r="C920" s="44"/>
      <c r="D920" s="272">
        <v>10238.715</v>
      </c>
      <c r="E920" s="272">
        <f>D920/$C$944</f>
        <v>1723.6313592134945</v>
      </c>
      <c r="F920" s="47"/>
      <c r="G920" s="47"/>
    </row>
    <row r="921" spans="2:9">
      <c r="B921" s="45" t="s">
        <v>14</v>
      </c>
      <c r="C921" s="45"/>
      <c r="D921" s="402">
        <f>+D919-D920</f>
        <v>10067.011999999999</v>
      </c>
      <c r="E921" s="402">
        <f>+E919-E920</f>
        <v>1694.7261034981991</v>
      </c>
      <c r="F921" s="46">
        <f>+D921/D924</f>
        <v>0.96553095987109616</v>
      </c>
      <c r="G921" s="46">
        <f>+E921/E924</f>
        <v>0.92005582026334998</v>
      </c>
    </row>
    <row r="922" spans="2:9">
      <c r="B922" s="44" t="s">
        <v>17</v>
      </c>
      <c r="C922" s="44"/>
      <c r="D922" s="272">
        <v>18082.944</v>
      </c>
      <c r="E922" s="272">
        <f>D922/$C$944</f>
        <v>3044.1641695565804</v>
      </c>
      <c r="F922" s="47"/>
      <c r="G922" s="47"/>
    </row>
    <row r="923" spans="2:9">
      <c r="B923" s="268" t="s">
        <v>20</v>
      </c>
      <c r="C923" s="268"/>
      <c r="D923" s="396">
        <f>D919+D922</f>
        <v>38388.671000000002</v>
      </c>
      <c r="E923" s="396">
        <f>E919+E922</f>
        <v>6462.5216322682736</v>
      </c>
      <c r="F923" s="270"/>
      <c r="G923" s="270"/>
    </row>
    <row r="924" spans="2:9">
      <c r="B924" s="268" t="s">
        <v>23</v>
      </c>
      <c r="C924" s="268"/>
      <c r="D924" s="396">
        <v>10426.400000000001</v>
      </c>
      <c r="E924" s="396">
        <v>1841.9818299862645</v>
      </c>
      <c r="F924" s="270"/>
      <c r="G924" s="270"/>
    </row>
    <row r="927" spans="2:9">
      <c r="B927" s="36" t="s">
        <v>50</v>
      </c>
      <c r="D927" s="387">
        <v>30360</v>
      </c>
      <c r="E927" s="255"/>
    </row>
    <row r="928" spans="2:9">
      <c r="B928" s="36" t="s">
        <v>51</v>
      </c>
      <c r="D928" s="227">
        <f>D927+D921</f>
        <v>40427.012000000002</v>
      </c>
      <c r="E928" s="227"/>
    </row>
    <row r="929" spans="2:7">
      <c r="B929" s="80" t="s">
        <v>52</v>
      </c>
      <c r="D929" s="228">
        <f>D928/D924</f>
        <v>3.8773701373436658</v>
      </c>
      <c r="E929" s="228"/>
      <c r="G929" s="410"/>
    </row>
    <row r="930" spans="2:7" ht="13.5" thickBot="1">
      <c r="B930" s="80"/>
      <c r="D930" s="228"/>
    </row>
    <row r="931" spans="2:7">
      <c r="B931" s="234" t="s">
        <v>274</v>
      </c>
      <c r="C931" s="240" t="s">
        <v>54</v>
      </c>
      <c r="D931" s="232" t="s">
        <v>55</v>
      </c>
    </row>
    <row r="932" spans="2:7">
      <c r="B932" s="239" t="s">
        <v>56</v>
      </c>
      <c r="C932" s="253">
        <v>15994</v>
      </c>
      <c r="D932" s="237">
        <f>C932/$C$944</f>
        <v>2692.5019359617522</v>
      </c>
    </row>
    <row r="933" spans="2:7">
      <c r="B933" s="239" t="s">
        <v>57</v>
      </c>
      <c r="C933" s="253">
        <v>1044</v>
      </c>
      <c r="D933" s="237">
        <f>C933/$C$944</f>
        <v>175.75165819332682</v>
      </c>
    </row>
    <row r="934" spans="2:7">
      <c r="B934" s="239" t="s">
        <v>58</v>
      </c>
      <c r="C934" s="253">
        <v>1733</v>
      </c>
      <c r="D934" s="237">
        <f>C934/$C$944</f>
        <v>291.74101882091514</v>
      </c>
    </row>
    <row r="935" spans="2:7">
      <c r="B935" s="239" t="s">
        <v>60</v>
      </c>
      <c r="C935" s="398">
        <f>D903</f>
        <v>1533.0550000000001</v>
      </c>
      <c r="D935" s="237">
        <f>C935/$C$944</f>
        <v>258.08137773138952</v>
      </c>
    </row>
    <row r="936" spans="2:7" ht="13.5" thickBot="1">
      <c r="B936" s="245" t="s">
        <v>61</v>
      </c>
      <c r="C936" s="412">
        <f>SUM(C932:C935)</f>
        <v>20304.055</v>
      </c>
      <c r="D936" s="247">
        <f>SUM(D932:D935)</f>
        <v>3418.0759907073839</v>
      </c>
    </row>
    <row r="937" spans="2:7" ht="13.5" thickBot="1"/>
    <row r="938" spans="2:7">
      <c r="B938" s="140" t="s">
        <v>275</v>
      </c>
      <c r="C938" s="240" t="s">
        <v>54</v>
      </c>
      <c r="D938" s="232" t="s">
        <v>55</v>
      </c>
    </row>
    <row r="939" spans="2:7">
      <c r="B939" s="141"/>
      <c r="C939" s="241"/>
      <c r="D939" s="142"/>
    </row>
    <row r="940" spans="2:7">
      <c r="B940" s="141" t="s">
        <v>64</v>
      </c>
      <c r="C940" s="242">
        <f>D920</f>
        <v>10238.715</v>
      </c>
      <c r="D940" s="237">
        <f>E920</f>
        <v>1723.6313592134945</v>
      </c>
    </row>
    <row r="941" spans="2:7" ht="13.5" thickBot="1">
      <c r="B941" s="143" t="s">
        <v>65</v>
      </c>
      <c r="C941" s="243">
        <f>SUM(C939:C940)</f>
        <v>10238.715</v>
      </c>
      <c r="D941" s="236">
        <f>SUM(D939:D940)</f>
        <v>1723.6313592134945</v>
      </c>
    </row>
    <row r="943" spans="2:7">
      <c r="D943" s="39"/>
    </row>
    <row r="944" spans="2:7" ht="13.5" thickBot="1">
      <c r="B944" s="36" t="s">
        <v>276</v>
      </c>
      <c r="C944" s="36">
        <v>5.9401999999999999</v>
      </c>
    </row>
    <row r="945" spans="2:13">
      <c r="B945" s="234" t="s">
        <v>277</v>
      </c>
      <c r="C945" s="240" t="s">
        <v>54</v>
      </c>
      <c r="D945" s="232" t="s">
        <v>55</v>
      </c>
    </row>
    <row r="946" spans="2:13">
      <c r="B946" s="86" t="s">
        <v>68</v>
      </c>
      <c r="C946" s="253">
        <v>7628.3329999999996</v>
      </c>
      <c r="D946" s="237">
        <f>C946/$C$944</f>
        <v>1284.1879061311067</v>
      </c>
    </row>
    <row r="947" spans="2:13">
      <c r="B947" s="86" t="s">
        <v>69</v>
      </c>
      <c r="C947" s="253">
        <v>12677.394</v>
      </c>
      <c r="D947" s="237">
        <f>C947/$C$944</f>
        <v>2134.1695565805867</v>
      </c>
    </row>
    <row r="948" spans="2:13" ht="13.5" thickBot="1">
      <c r="B948" s="87"/>
      <c r="C948" s="244"/>
      <c r="D948" s="233"/>
    </row>
    <row r="949" spans="2:13">
      <c r="B949" s="80" t="s">
        <v>70</v>
      </c>
      <c r="C949" s="238">
        <f>C946+C947</f>
        <v>20305.726999999999</v>
      </c>
      <c r="D949" s="220">
        <f>D946+D947</f>
        <v>3418.3574627116932</v>
      </c>
    </row>
    <row r="952" spans="2:13">
      <c r="I952" s="273" t="s">
        <v>1</v>
      </c>
    </row>
    <row r="953" spans="2:13">
      <c r="B953" s="256" t="s">
        <v>278</v>
      </c>
      <c r="C953" s="256"/>
      <c r="D953" s="256"/>
      <c r="E953" s="256"/>
      <c r="F953" s="256"/>
      <c r="G953" s="256"/>
      <c r="I953" s="256" t="s">
        <v>278</v>
      </c>
      <c r="J953" s="256"/>
      <c r="K953" s="256"/>
      <c r="L953" s="256"/>
      <c r="M953" s="256"/>
    </row>
    <row r="954" spans="2:13" ht="25.5">
      <c r="B954" s="34"/>
      <c r="C954" s="212" t="s">
        <v>3</v>
      </c>
      <c r="D954" s="212" t="s">
        <v>4</v>
      </c>
      <c r="E954" s="212" t="s">
        <v>5</v>
      </c>
      <c r="F954" s="212" t="s">
        <v>6</v>
      </c>
      <c r="G954" s="212" t="s">
        <v>7</v>
      </c>
      <c r="I954" s="34"/>
      <c r="J954" s="34" t="s">
        <v>4</v>
      </c>
      <c r="K954" s="34" t="s">
        <v>5</v>
      </c>
      <c r="L954" s="37" t="s">
        <v>6</v>
      </c>
      <c r="M954" s="37" t="s">
        <v>6</v>
      </c>
    </row>
    <row r="955" spans="2:13">
      <c r="B955" s="411"/>
      <c r="C955" s="411"/>
      <c r="D955" s="411"/>
      <c r="E955" s="411"/>
      <c r="F955" s="411"/>
      <c r="G955" s="411"/>
      <c r="I955" s="45" t="s">
        <v>8</v>
      </c>
      <c r="J955" s="402">
        <f>D978</f>
        <v>20675.172000000002</v>
      </c>
      <c r="K955" s="402">
        <f>E978</f>
        <v>3653.4381792157765</v>
      </c>
      <c r="L955" s="46">
        <f>+J955/J960</f>
        <v>2.0859076043941416</v>
      </c>
      <c r="M955" s="46">
        <f>+K955/K960</f>
        <v>2.0567334270712814</v>
      </c>
    </row>
    <row r="956" spans="2:13">
      <c r="B956" s="161" t="s">
        <v>279</v>
      </c>
      <c r="C956" s="248" t="s">
        <v>280</v>
      </c>
      <c r="D956" s="211">
        <v>160.40799999999999</v>
      </c>
      <c r="E956" s="257">
        <f>D956/$C$1003</f>
        <v>28.345143220653462</v>
      </c>
      <c r="F956" s="277"/>
      <c r="G956" s="277"/>
      <c r="I956" s="44" t="s">
        <v>11</v>
      </c>
      <c r="J956" s="404">
        <f>D979</f>
        <v>10975.382</v>
      </c>
      <c r="K956" s="404">
        <f>J956/$C$1003</f>
        <v>1939.4218161898536</v>
      </c>
      <c r="L956" s="47"/>
      <c r="M956" s="47"/>
    </row>
    <row r="957" spans="2:13">
      <c r="B957" s="161" t="s">
        <v>281</v>
      </c>
      <c r="C957" s="248" t="s">
        <v>282</v>
      </c>
      <c r="D957" s="211">
        <v>783.45799999999997</v>
      </c>
      <c r="E957" s="257">
        <f>D957/$C$1003</f>
        <v>138.44215511300385</v>
      </c>
      <c r="F957" s="277"/>
      <c r="G957" s="277"/>
      <c r="I957" s="45" t="s">
        <v>14</v>
      </c>
      <c r="J957" s="402">
        <f>J955-J956</f>
        <v>9699.7900000000027</v>
      </c>
      <c r="K957" s="402">
        <f>K955-K956</f>
        <v>1714.0163630259228</v>
      </c>
      <c r="L957" s="46">
        <f>+J957/J960</f>
        <v>0.9786068876247439</v>
      </c>
      <c r="M957" s="46">
        <f>+K957/K960</f>
        <v>0.9649197756890121</v>
      </c>
    </row>
    <row r="958" spans="2:13">
      <c r="B958" s="161" t="s">
        <v>283</v>
      </c>
      <c r="C958" s="248" t="s">
        <v>284</v>
      </c>
      <c r="D958" s="211">
        <v>18.427</v>
      </c>
      <c r="E958" s="257">
        <f>D958/$C$1003</f>
        <v>3.2561714760297575</v>
      </c>
      <c r="F958" s="277"/>
      <c r="G958" s="277"/>
      <c r="I958" s="84" t="s">
        <v>17</v>
      </c>
      <c r="J958" s="400">
        <f>D981</f>
        <v>17376.766</v>
      </c>
      <c r="K958" s="400">
        <f>J958/$C$1003</f>
        <v>3070.5882560831228</v>
      </c>
      <c r="L958" s="85"/>
      <c r="M958" s="85"/>
    </row>
    <row r="959" spans="2:13">
      <c r="B959" s="161" t="s">
        <v>285</v>
      </c>
      <c r="C959" s="248" t="s">
        <v>286</v>
      </c>
      <c r="D959" s="211">
        <v>486.262</v>
      </c>
      <c r="E959" s="257">
        <f>D959/$C$1003</f>
        <v>85.925677227827748</v>
      </c>
      <c r="F959" s="277"/>
      <c r="G959" s="277"/>
      <c r="I959" s="84" t="s">
        <v>20</v>
      </c>
      <c r="J959" s="400">
        <f>J955+J958</f>
        <v>38051.938000000002</v>
      </c>
      <c r="K959" s="400">
        <f>K955+K958</f>
        <v>6724.0264352988997</v>
      </c>
      <c r="L959" s="85"/>
      <c r="M959" s="85"/>
    </row>
    <row r="960" spans="2:13">
      <c r="B960" s="161" t="s">
        <v>287</v>
      </c>
      <c r="C960" s="248" t="s">
        <v>288</v>
      </c>
      <c r="D960" s="211">
        <v>95.427000000000007</v>
      </c>
      <c r="E960" s="257">
        <f>D960/$C$1003</f>
        <v>16.862575321164144</v>
      </c>
      <c r="F960" s="277"/>
      <c r="G960" s="277"/>
      <c r="I960" s="44" t="s">
        <v>23</v>
      </c>
      <c r="J960" s="397">
        <f>D983</f>
        <v>9911.8349999999991</v>
      </c>
      <c r="K960" s="397">
        <f>E983</f>
        <v>1776.3304330683964</v>
      </c>
      <c r="L960" s="44"/>
      <c r="M960" s="44"/>
    </row>
    <row r="961" spans="2:7">
      <c r="B961" s="161"/>
      <c r="C961" s="248"/>
      <c r="D961" s="211"/>
      <c r="E961" s="257"/>
      <c r="F961" s="277"/>
      <c r="G961" s="277"/>
    </row>
    <row r="962" spans="2:7">
      <c r="B962" s="209" t="s">
        <v>24</v>
      </c>
      <c r="C962" s="250"/>
      <c r="D962" s="210">
        <f>SUM(D956:D960)</f>
        <v>1543.982</v>
      </c>
      <c r="E962" s="210">
        <f>SUM(E956:E960)</f>
        <v>272.83172235867892</v>
      </c>
      <c r="F962" s="222"/>
      <c r="G962" s="222"/>
    </row>
    <row r="963" spans="2:7">
      <c r="B963" s="209"/>
      <c r="C963" s="250"/>
      <c r="D963" s="210"/>
      <c r="E963" s="210"/>
      <c r="F963" s="222"/>
      <c r="G963" s="222"/>
    </row>
    <row r="964" spans="2:7">
      <c r="B964" s="161" t="s">
        <v>240</v>
      </c>
      <c r="C964" s="408">
        <v>0.115</v>
      </c>
      <c r="D964" s="774">
        <v>2.9180000000000001</v>
      </c>
      <c r="E964" s="257">
        <f>D964/$C$1003</f>
        <v>0.51562969376756029</v>
      </c>
      <c r="F964" s="162"/>
      <c r="G964" s="162"/>
    </row>
    <row r="965" spans="2:7">
      <c r="B965" s="209" t="s">
        <v>31</v>
      </c>
      <c r="C965" s="250"/>
      <c r="D965" s="210">
        <f>D964+D962</f>
        <v>1546.8999999999999</v>
      </c>
      <c r="E965" s="210">
        <f>E964+E962</f>
        <v>273.34735205244647</v>
      </c>
      <c r="F965" s="222"/>
      <c r="G965" s="222"/>
    </row>
    <row r="966" spans="2:7">
      <c r="B966" s="209"/>
      <c r="C966" s="250"/>
      <c r="D966" s="210"/>
      <c r="E966" s="210"/>
      <c r="F966" s="222"/>
      <c r="G966" s="222"/>
    </row>
    <row r="967" spans="2:7">
      <c r="B967" s="161" t="s">
        <v>207</v>
      </c>
      <c r="C967" s="248" t="s">
        <v>255</v>
      </c>
      <c r="D967" s="211">
        <v>4904.2510000000002</v>
      </c>
      <c r="E967" s="257">
        <f t="shared" ref="E967:E974" si="25">D967/$C$1003</f>
        <v>866.61324238836573</v>
      </c>
      <c r="F967" s="162"/>
      <c r="G967" s="162"/>
    </row>
    <row r="968" spans="2:7">
      <c r="B968" s="229" t="s">
        <v>289</v>
      </c>
      <c r="C968" s="251" t="s">
        <v>290</v>
      </c>
      <c r="D968" s="211">
        <v>6167.3040000000001</v>
      </c>
      <c r="E968" s="257">
        <f t="shared" si="25"/>
        <v>1089.8029722040608</v>
      </c>
      <c r="F968" s="162"/>
      <c r="G968" s="162"/>
    </row>
    <row r="969" spans="2:7">
      <c r="B969" s="161" t="s">
        <v>291</v>
      </c>
      <c r="C969" s="248" t="s">
        <v>292</v>
      </c>
      <c r="D969" s="211">
        <v>905.67700000000002</v>
      </c>
      <c r="E969" s="257">
        <f t="shared" si="25"/>
        <v>160.039052146101</v>
      </c>
      <c r="F969" s="162"/>
      <c r="G969" s="162"/>
    </row>
    <row r="970" spans="2:7">
      <c r="B970" s="161" t="s">
        <v>293</v>
      </c>
      <c r="C970" s="248" t="s">
        <v>294</v>
      </c>
      <c r="D970" s="211">
        <v>1063.3510000000001</v>
      </c>
      <c r="E970" s="257">
        <f t="shared" si="25"/>
        <v>187.90107967698046</v>
      </c>
      <c r="F970" s="162"/>
      <c r="G970" s="162"/>
    </row>
    <row r="971" spans="2:7">
      <c r="B971" s="161" t="s">
        <v>295</v>
      </c>
      <c r="C971" s="249">
        <v>5.5E-2</v>
      </c>
      <c r="D971" s="211">
        <v>203.50700000000001</v>
      </c>
      <c r="E971" s="257">
        <f t="shared" si="25"/>
        <v>35.961018536516413</v>
      </c>
      <c r="F971" s="162"/>
      <c r="G971" s="162"/>
    </row>
    <row r="972" spans="2:7">
      <c r="B972" s="229" t="s">
        <v>296</v>
      </c>
      <c r="C972" s="408">
        <v>0.01</v>
      </c>
      <c r="D972" s="211">
        <v>247.94800000000001</v>
      </c>
      <c r="E972" s="257">
        <f t="shared" si="25"/>
        <v>43.814034033680272</v>
      </c>
      <c r="F972" s="162"/>
      <c r="G972" s="162"/>
    </row>
    <row r="973" spans="2:7">
      <c r="B973" s="161" t="s">
        <v>297</v>
      </c>
      <c r="C973" s="408">
        <v>5.8000000000000003E-2</v>
      </c>
      <c r="D973" s="211">
        <v>5555.9880000000003</v>
      </c>
      <c r="E973" s="257">
        <f t="shared" si="25"/>
        <v>981.77943489247423</v>
      </c>
      <c r="F973" s="162"/>
      <c r="G973" s="162"/>
    </row>
    <row r="974" spans="2:7" ht="12.75" customHeight="1">
      <c r="B974" s="161" t="s">
        <v>298</v>
      </c>
      <c r="C974" s="408">
        <v>0.23699999999999999</v>
      </c>
      <c r="D974" s="211">
        <v>80.245999999999995</v>
      </c>
      <c r="E974" s="257">
        <f t="shared" si="25"/>
        <v>14.179993285151349</v>
      </c>
      <c r="F974" s="162"/>
      <c r="G974" s="162"/>
    </row>
    <row r="975" spans="2:7">
      <c r="B975" s="161"/>
      <c r="C975" s="408"/>
      <c r="D975" s="211"/>
      <c r="E975" s="257"/>
      <c r="F975" s="162"/>
      <c r="G975" s="162"/>
    </row>
    <row r="976" spans="2:7">
      <c r="B976" s="209" t="s">
        <v>48</v>
      </c>
      <c r="C976" s="408"/>
      <c r="D976" s="210">
        <f>SUM(D967:D974)</f>
        <v>19128.272000000001</v>
      </c>
      <c r="E976" s="210">
        <f>SUM(E967:E974)</f>
        <v>3380.0908271633302</v>
      </c>
      <c r="F976" s="162"/>
      <c r="G976" s="162"/>
    </row>
    <row r="977" spans="2:9">
      <c r="B977" s="161"/>
      <c r="C977" s="408"/>
      <c r="D977" s="211"/>
      <c r="E977" s="257"/>
      <c r="F977" s="162"/>
      <c r="G977" s="162"/>
    </row>
    <row r="978" spans="2:9">
      <c r="B978" s="265" t="s">
        <v>49</v>
      </c>
      <c r="C978" s="265"/>
      <c r="D978" s="399">
        <f>+D965+D976</f>
        <v>20675.172000000002</v>
      </c>
      <c r="E978" s="399">
        <f>+E965+E976</f>
        <v>3653.4381792157765</v>
      </c>
      <c r="F978" s="267">
        <f>+D978/D983</f>
        <v>2.0859076043941416</v>
      </c>
      <c r="G978" s="267">
        <f>+E978/E983</f>
        <v>2.0567334270712814</v>
      </c>
      <c r="I978" s="416"/>
    </row>
    <row r="979" spans="2:9">
      <c r="B979" s="44" t="s">
        <v>11</v>
      </c>
      <c r="C979" s="44"/>
      <c r="D979" s="272">
        <v>10975.382</v>
      </c>
      <c r="E979" s="272">
        <f>D979/$C$1003</f>
        <v>1939.4218161898536</v>
      </c>
      <c r="F979" s="47"/>
      <c r="G979" s="47"/>
    </row>
    <row r="980" spans="2:9">
      <c r="B980" s="45" t="s">
        <v>14</v>
      </c>
      <c r="C980" s="45"/>
      <c r="D980" s="402">
        <f>+D978-D979</f>
        <v>9699.7900000000027</v>
      </c>
      <c r="E980" s="402">
        <f>+E978-E979</f>
        <v>1714.0163630259228</v>
      </c>
      <c r="F980" s="46">
        <f>+D980/D983</f>
        <v>0.9786068876247439</v>
      </c>
      <c r="G980" s="46">
        <f>+E980/E983</f>
        <v>0.9649197756890121</v>
      </c>
    </row>
    <row r="981" spans="2:9">
      <c r="B981" s="44" t="s">
        <v>17</v>
      </c>
      <c r="C981" s="44"/>
      <c r="D981" s="272">
        <v>17376.766</v>
      </c>
      <c r="E981" s="272">
        <f>D981/$C$1003</f>
        <v>3070.5882560831228</v>
      </c>
      <c r="F981" s="47"/>
      <c r="G981" s="47"/>
    </row>
    <row r="982" spans="2:9">
      <c r="B982" s="268" t="s">
        <v>20</v>
      </c>
      <c r="C982" s="268"/>
      <c r="D982" s="396">
        <f>D978+D981</f>
        <v>38051.938000000002</v>
      </c>
      <c r="E982" s="396">
        <f>E978+E981</f>
        <v>6724.0264352988997</v>
      </c>
      <c r="F982" s="270"/>
      <c r="G982" s="270"/>
    </row>
    <row r="983" spans="2:9">
      <c r="B983" s="268" t="s">
        <v>23</v>
      </c>
      <c r="C983" s="268"/>
      <c r="D983" s="396">
        <v>9911.8349999999991</v>
      </c>
      <c r="E983" s="396">
        <v>1776.3304330683964</v>
      </c>
      <c r="F983" s="270"/>
      <c r="G983" s="270"/>
    </row>
    <row r="986" spans="2:9">
      <c r="B986" s="36" t="s">
        <v>50</v>
      </c>
      <c r="D986" s="387">
        <v>27060</v>
      </c>
      <c r="E986" s="255"/>
    </row>
    <row r="987" spans="2:9">
      <c r="B987" s="36" t="s">
        <v>51</v>
      </c>
      <c r="D987" s="227">
        <f>D986+D980</f>
        <v>36759.79</v>
      </c>
      <c r="E987" s="227"/>
    </row>
    <row r="988" spans="2:9">
      <c r="B988" s="80" t="s">
        <v>52</v>
      </c>
      <c r="D988" s="228">
        <f>D987/D983</f>
        <v>3.708676546774639</v>
      </c>
      <c r="E988" s="228"/>
      <c r="G988" s="410"/>
    </row>
    <row r="989" spans="2:9" ht="13.5" thickBot="1">
      <c r="B989" s="80"/>
      <c r="D989" s="228"/>
    </row>
    <row r="990" spans="2:9">
      <c r="B990" s="234" t="s">
        <v>299</v>
      </c>
      <c r="C990" s="240" t="s">
        <v>54</v>
      </c>
      <c r="D990" s="232" t="s">
        <v>55</v>
      </c>
    </row>
    <row r="991" spans="2:9">
      <c r="B991" s="239" t="s">
        <v>56</v>
      </c>
      <c r="C991" s="253">
        <v>15911</v>
      </c>
      <c r="D991" s="237">
        <f>C991/$C$1003</f>
        <v>2811.5778127264057</v>
      </c>
    </row>
    <row r="992" spans="2:9">
      <c r="B992" s="239" t="s">
        <v>57</v>
      </c>
      <c r="C992" s="253">
        <v>1063</v>
      </c>
      <c r="D992" s="237">
        <f>C992/$C$1003</f>
        <v>187.83905568023187</v>
      </c>
    </row>
    <row r="993" spans="2:4">
      <c r="B993" s="239" t="s">
        <v>58</v>
      </c>
      <c r="C993" s="253">
        <v>2154</v>
      </c>
      <c r="D993" s="237">
        <f>C993/$C$1003</f>
        <v>380.62589457687619</v>
      </c>
    </row>
    <row r="994" spans="2:4">
      <c r="B994" s="239" t="s">
        <v>60</v>
      </c>
      <c r="C994" s="398">
        <f>D962</f>
        <v>1543.982</v>
      </c>
      <c r="D994" s="237">
        <f>C994/$C$1003</f>
        <v>272.83172235867897</v>
      </c>
    </row>
    <row r="995" spans="2:4" ht="13.5" thickBot="1">
      <c r="B995" s="245" t="s">
        <v>61</v>
      </c>
      <c r="C995" s="412">
        <f>SUM(C991:C994)</f>
        <v>20671.982</v>
      </c>
      <c r="D995" s="247">
        <f>SUM(D991:D994)</f>
        <v>3652.8744853421931</v>
      </c>
    </row>
    <row r="996" spans="2:4" ht="13.5" thickBot="1"/>
    <row r="997" spans="2:4">
      <c r="B997" s="140" t="s">
        <v>300</v>
      </c>
      <c r="C997" s="240" t="s">
        <v>54</v>
      </c>
      <c r="D997" s="232" t="s">
        <v>55</v>
      </c>
    </row>
    <row r="998" spans="2:4">
      <c r="B998" s="141"/>
      <c r="C998" s="241"/>
      <c r="D998" s="142"/>
    </row>
    <row r="999" spans="2:4">
      <c r="B999" s="141" t="s">
        <v>64</v>
      </c>
      <c r="C999" s="242">
        <f>D979</f>
        <v>10975.382</v>
      </c>
      <c r="D999" s="237">
        <f>E979</f>
        <v>1939.4218161898536</v>
      </c>
    </row>
    <row r="1000" spans="2:4" ht="13.5" thickBot="1">
      <c r="B1000" s="143" t="s">
        <v>65</v>
      </c>
      <c r="C1000" s="243">
        <f>SUM(C998:C999)</f>
        <v>10975.382</v>
      </c>
      <c r="D1000" s="236">
        <f>SUM(D998:D999)</f>
        <v>1939.4218161898536</v>
      </c>
    </row>
    <row r="1002" spans="2:4">
      <c r="D1002" s="39"/>
    </row>
    <row r="1003" spans="2:4" ht="13.5" thickBot="1">
      <c r="B1003" s="36" t="s">
        <v>301</v>
      </c>
      <c r="C1003" s="36">
        <v>5.6590999999999996</v>
      </c>
    </row>
    <row r="1004" spans="2:4">
      <c r="B1004" s="234" t="s">
        <v>302</v>
      </c>
      <c r="C1004" s="240" t="s">
        <v>54</v>
      </c>
      <c r="D1004" s="232" t="s">
        <v>55</v>
      </c>
    </row>
    <row r="1005" spans="2:4">
      <c r="B1005" s="86" t="s">
        <v>68</v>
      </c>
      <c r="C1005" s="253">
        <v>7771.2610000000004</v>
      </c>
      <c r="D1005" s="237">
        <f>C1005/$C$1003</f>
        <v>1373.232669505752</v>
      </c>
    </row>
    <row r="1006" spans="2:4">
      <c r="B1006" s="86" t="s">
        <v>69</v>
      </c>
      <c r="C1006" s="253">
        <v>12903.911</v>
      </c>
      <c r="D1006" s="237">
        <f>C1006/$C$1003</f>
        <v>2280.2055097100247</v>
      </c>
    </row>
    <row r="1007" spans="2:4" ht="13.5" thickBot="1">
      <c r="B1007" s="87"/>
      <c r="C1007" s="244"/>
      <c r="D1007" s="233"/>
    </row>
    <row r="1008" spans="2:4">
      <c r="B1008" s="80" t="s">
        <v>70</v>
      </c>
      <c r="C1008" s="238">
        <f>C1005+C1006</f>
        <v>20675.171999999999</v>
      </c>
      <c r="D1008" s="220">
        <f>D1005+D1006</f>
        <v>3653.4381792157765</v>
      </c>
    </row>
    <row r="1010" spans="2:12">
      <c r="B1010" s="80" t="s">
        <v>303</v>
      </c>
    </row>
    <row r="1011" spans="2:12">
      <c r="B1011" s="36" t="s">
        <v>304</v>
      </c>
      <c r="C1011" s="405">
        <v>0.51</v>
      </c>
    </row>
    <row r="1012" spans="2:12">
      <c r="B1012" s="36" t="s">
        <v>305</v>
      </c>
      <c r="C1012" s="405">
        <v>0.32</v>
      </c>
    </row>
    <row r="1013" spans="2:12">
      <c r="B1013" s="36" t="s">
        <v>306</v>
      </c>
      <c r="C1013" s="405">
        <v>0.09</v>
      </c>
    </row>
    <row r="1014" spans="2:12">
      <c r="B1014" s="36" t="s">
        <v>59</v>
      </c>
      <c r="C1014" s="405">
        <v>0.09</v>
      </c>
    </row>
    <row r="1015" spans="2:12">
      <c r="B1015" s="80" t="s">
        <v>61</v>
      </c>
      <c r="C1015" s="409">
        <f>SUM(C1011:C1014)</f>
        <v>1.01</v>
      </c>
    </row>
    <row r="1016" spans="2:12">
      <c r="C1016" s="406"/>
    </row>
    <row r="1017" spans="2:12">
      <c r="B1017" s="80" t="s">
        <v>307</v>
      </c>
      <c r="C1017" s="406"/>
    </row>
    <row r="1018" spans="2:12">
      <c r="B1018" s="36" t="s">
        <v>304</v>
      </c>
      <c r="C1018" s="405">
        <v>0.32</v>
      </c>
    </row>
    <row r="1019" spans="2:12">
      <c r="B1019" s="36" t="s">
        <v>305</v>
      </c>
      <c r="C1019" s="405">
        <v>0.1</v>
      </c>
    </row>
    <row r="1020" spans="2:12">
      <c r="B1020" s="36" t="s">
        <v>306</v>
      </c>
      <c r="C1020" s="405">
        <v>0.5</v>
      </c>
      <c r="I1020" s="35"/>
      <c r="J1020" s="35"/>
      <c r="K1020" s="35"/>
      <c r="L1020" s="35"/>
    </row>
    <row r="1021" spans="2:12">
      <c r="B1021" s="36" t="s">
        <v>59</v>
      </c>
      <c r="C1021" s="405">
        <v>0.08</v>
      </c>
    </row>
    <row r="1022" spans="2:12">
      <c r="B1022" s="80" t="s">
        <v>61</v>
      </c>
      <c r="C1022" s="409">
        <f>SUM(C1018:C1021)</f>
        <v>1</v>
      </c>
    </row>
    <row r="1023" spans="2:12">
      <c r="C1023" s="406"/>
    </row>
    <row r="1024" spans="2:12">
      <c r="B1024" s="80" t="s">
        <v>308</v>
      </c>
      <c r="C1024" s="406"/>
    </row>
    <row r="1025" spans="2:13">
      <c r="B1025" s="36" t="s">
        <v>304</v>
      </c>
      <c r="C1025" s="405">
        <v>0.72</v>
      </c>
    </row>
    <row r="1026" spans="2:13">
      <c r="B1026" s="36" t="s">
        <v>305</v>
      </c>
      <c r="C1026" s="405">
        <v>0.17</v>
      </c>
    </row>
    <row r="1027" spans="2:13">
      <c r="B1027" s="36" t="s">
        <v>306</v>
      </c>
      <c r="C1027" s="405">
        <v>0.11</v>
      </c>
    </row>
    <row r="1028" spans="2:13">
      <c r="B1028" s="80" t="s">
        <v>61</v>
      </c>
      <c r="C1028" s="409">
        <f>SUM(C1025:C1027)</f>
        <v>1</v>
      </c>
    </row>
    <row r="1033" spans="2:13">
      <c r="I1033" s="273" t="s">
        <v>1</v>
      </c>
    </row>
    <row r="1034" spans="2:13">
      <c r="B1034" s="256" t="s">
        <v>309</v>
      </c>
      <c r="C1034" s="256"/>
      <c r="D1034" s="256"/>
      <c r="E1034" s="256"/>
      <c r="F1034" s="256"/>
      <c r="G1034" s="256"/>
      <c r="I1034" s="256" t="s">
        <v>309</v>
      </c>
      <c r="J1034" s="256"/>
      <c r="K1034" s="256"/>
      <c r="L1034" s="256"/>
      <c r="M1034" s="256"/>
    </row>
    <row r="1035" spans="2:13" ht="25.5">
      <c r="B1035" s="34"/>
      <c r="C1035" s="212" t="s">
        <v>3</v>
      </c>
      <c r="D1035" s="212" t="s">
        <v>4</v>
      </c>
      <c r="E1035" s="212" t="s">
        <v>5</v>
      </c>
      <c r="F1035" s="212" t="s">
        <v>6</v>
      </c>
      <c r="G1035" s="212" t="s">
        <v>7</v>
      </c>
      <c r="I1035" s="34"/>
      <c r="J1035" s="34" t="s">
        <v>4</v>
      </c>
      <c r="K1035" s="34" t="s">
        <v>5</v>
      </c>
      <c r="L1035" s="37" t="s">
        <v>6</v>
      </c>
      <c r="M1035" s="37" t="s">
        <v>6</v>
      </c>
    </row>
    <row r="1036" spans="2:13">
      <c r="B1036" s="411"/>
      <c r="C1036" s="411"/>
      <c r="D1036" s="411"/>
      <c r="E1036" s="411"/>
      <c r="F1036" s="411"/>
      <c r="G1036" s="411"/>
      <c r="I1036" s="45" t="s">
        <v>8</v>
      </c>
      <c r="J1036" s="402">
        <f>D1060</f>
        <v>22062.019000000004</v>
      </c>
      <c r="K1036" s="402">
        <f>E1060</f>
        <v>3833.4727459123214</v>
      </c>
      <c r="L1036" s="46">
        <f>+J1036/J1041</f>
        <v>2.3306817475935748</v>
      </c>
      <c r="M1036" s="46">
        <f>+K1036/K1041</f>
        <v>2.2420323349772455</v>
      </c>
    </row>
    <row r="1037" spans="2:13">
      <c r="B1037" s="161" t="s">
        <v>279</v>
      </c>
      <c r="C1037" s="248" t="s">
        <v>251</v>
      </c>
      <c r="D1037" s="211">
        <v>176.197</v>
      </c>
      <c r="E1037" s="257">
        <f>D1037/$C$1085</f>
        <v>30.615801636809092</v>
      </c>
      <c r="F1037" s="277"/>
      <c r="G1037" s="277"/>
      <c r="I1037" s="44" t="s">
        <v>11</v>
      </c>
      <c r="J1037" s="404">
        <f>D1061</f>
        <v>10686.732</v>
      </c>
      <c r="K1037" s="404">
        <f>J1037/$C$1085</f>
        <v>1856.9150840124412</v>
      </c>
      <c r="L1037" s="47"/>
      <c r="M1037" s="47"/>
    </row>
    <row r="1038" spans="2:13">
      <c r="B1038" s="161" t="s">
        <v>281</v>
      </c>
      <c r="C1038" s="248" t="s">
        <v>310</v>
      </c>
      <c r="D1038" s="211">
        <v>826.39099999999996</v>
      </c>
      <c r="E1038" s="257">
        <f>D1038/$C$1085</f>
        <v>143.59281333078488</v>
      </c>
      <c r="F1038" s="277"/>
      <c r="G1038" s="277"/>
      <c r="I1038" s="45" t="s">
        <v>14</v>
      </c>
      <c r="J1038" s="402">
        <f>J1036-J1037</f>
        <v>11375.287000000004</v>
      </c>
      <c r="K1038" s="402">
        <f>K1036-K1037</f>
        <v>1976.5576618998803</v>
      </c>
      <c r="L1038" s="46">
        <f>+J1038/J1041</f>
        <v>1.2017111300891581</v>
      </c>
      <c r="M1038" s="46">
        <f>+K1038/K1041</f>
        <v>1.1560030509286709</v>
      </c>
    </row>
    <row r="1039" spans="2:13">
      <c r="B1039" s="161" t="s">
        <v>283</v>
      </c>
      <c r="C1039" s="248" t="s">
        <v>284</v>
      </c>
      <c r="D1039" s="211">
        <v>25.170999999999999</v>
      </c>
      <c r="E1039" s="257">
        <f>D1039/$C$1085</f>
        <v>4.3736859481155843</v>
      </c>
      <c r="F1039" s="277"/>
      <c r="G1039" s="277"/>
      <c r="I1039" s="84" t="s">
        <v>17</v>
      </c>
      <c r="J1039" s="400">
        <f>D1063</f>
        <v>17330.55</v>
      </c>
      <c r="K1039" s="400">
        <f>J1039/$C$1085</f>
        <v>3011.3377699779326</v>
      </c>
      <c r="L1039" s="85"/>
      <c r="M1039" s="85"/>
    </row>
    <row r="1040" spans="2:13">
      <c r="B1040" s="161" t="s">
        <v>285</v>
      </c>
      <c r="C1040" s="248" t="s">
        <v>286</v>
      </c>
      <c r="D1040" s="211">
        <v>465.72300000000001</v>
      </c>
      <c r="E1040" s="257">
        <f>D1040/$C$1085</f>
        <v>80.92352869628678</v>
      </c>
      <c r="F1040" s="277"/>
      <c r="G1040" s="277"/>
      <c r="I1040" s="84" t="s">
        <v>20</v>
      </c>
      <c r="J1040" s="400">
        <f>J1036+J1039</f>
        <v>39392.569000000003</v>
      </c>
      <c r="K1040" s="400">
        <f>K1036+K1039</f>
        <v>6844.8105158902545</v>
      </c>
      <c r="L1040" s="85"/>
      <c r="M1040" s="85"/>
    </row>
    <row r="1041" spans="2:13">
      <c r="B1041" s="161" t="s">
        <v>287</v>
      </c>
      <c r="C1041" s="248" t="s">
        <v>288</v>
      </c>
      <c r="D1041" s="211">
        <v>83.39</v>
      </c>
      <c r="E1041" s="257">
        <f>D1041/$C$1085</f>
        <v>14.489756911261317</v>
      </c>
      <c r="F1041" s="277"/>
      <c r="G1041" s="277"/>
      <c r="I1041" s="44" t="s">
        <v>23</v>
      </c>
      <c r="J1041" s="397">
        <f>D1065</f>
        <v>9465.9080000000013</v>
      </c>
      <c r="K1041" s="397">
        <f>E1065</f>
        <v>1709.8204544633509</v>
      </c>
      <c r="L1041" s="44"/>
      <c r="M1041" s="44"/>
    </row>
    <row r="1042" spans="2:13">
      <c r="B1042" s="161"/>
      <c r="C1042" s="248"/>
      <c r="D1042" s="211"/>
      <c r="E1042" s="257"/>
      <c r="F1042" s="277"/>
      <c r="G1042" s="277"/>
    </row>
    <row r="1043" spans="2:13">
      <c r="B1043" s="209" t="s">
        <v>24</v>
      </c>
      <c r="C1043" s="250"/>
      <c r="D1043" s="210">
        <f>SUM(D1037:D1041)</f>
        <v>1576.8720000000001</v>
      </c>
      <c r="E1043" s="210">
        <f>SUM(E1037:E1041)</f>
        <v>273.99558652325766</v>
      </c>
      <c r="F1043" s="222"/>
      <c r="G1043" s="222"/>
    </row>
    <row r="1044" spans="2:13">
      <c r="B1044" s="209"/>
      <c r="C1044" s="250"/>
      <c r="D1044" s="210"/>
      <c r="E1044" s="210"/>
      <c r="F1044" s="222"/>
      <c r="G1044" s="222"/>
    </row>
    <row r="1045" spans="2:13">
      <c r="B1045" s="161" t="s">
        <v>311</v>
      </c>
      <c r="C1045" s="408">
        <v>0.16</v>
      </c>
      <c r="D1045" s="774">
        <v>3.6179999999999999</v>
      </c>
      <c r="E1045" s="257">
        <f>D1045/$C$1085</f>
        <v>0.62865979739709132</v>
      </c>
      <c r="F1045" s="162"/>
      <c r="G1045" s="162"/>
    </row>
    <row r="1046" spans="2:13">
      <c r="B1046" s="209" t="s">
        <v>31</v>
      </c>
      <c r="C1046" s="250"/>
      <c r="D1046" s="210">
        <f>D1045+D1043</f>
        <v>1580.49</v>
      </c>
      <c r="E1046" s="210">
        <f>E1045+E1043</f>
        <v>274.62424632065472</v>
      </c>
      <c r="F1046" s="222"/>
      <c r="G1046" s="222"/>
    </row>
    <row r="1047" spans="2:13">
      <c r="B1047" s="209"/>
      <c r="C1047" s="250"/>
      <c r="D1047" s="210"/>
      <c r="E1047" s="210"/>
      <c r="F1047" s="222"/>
      <c r="G1047" s="222"/>
    </row>
    <row r="1048" spans="2:13">
      <c r="B1048" s="161" t="s">
        <v>312</v>
      </c>
      <c r="C1048" s="248" t="s">
        <v>313</v>
      </c>
      <c r="D1048" s="211">
        <v>5454.3059999999996</v>
      </c>
      <c r="E1048" s="257">
        <f t="shared" ref="E1048:E1056" si="26">D1048/$C$1085</f>
        <v>947.73435735260898</v>
      </c>
      <c r="F1048" s="162"/>
      <c r="G1048" s="162"/>
    </row>
    <row r="1049" spans="2:13">
      <c r="B1049" s="229" t="s">
        <v>289</v>
      </c>
      <c r="C1049" s="251" t="s">
        <v>290</v>
      </c>
      <c r="D1049" s="211">
        <v>6888.7860000000001</v>
      </c>
      <c r="E1049" s="257">
        <f t="shared" si="26"/>
        <v>1196.9880627617244</v>
      </c>
      <c r="F1049" s="162"/>
      <c r="G1049" s="162"/>
    </row>
    <row r="1050" spans="2:13">
      <c r="B1050" s="161" t="s">
        <v>291</v>
      </c>
      <c r="C1050" s="248" t="s">
        <v>314</v>
      </c>
      <c r="D1050" s="211">
        <v>966.32399999999996</v>
      </c>
      <c r="E1050" s="257">
        <f t="shared" si="26"/>
        <v>167.90742124376641</v>
      </c>
      <c r="F1050" s="162"/>
      <c r="G1050" s="162"/>
    </row>
    <row r="1051" spans="2:13">
      <c r="B1051" s="161" t="s">
        <v>293</v>
      </c>
      <c r="C1051" s="248" t="s">
        <v>315</v>
      </c>
      <c r="D1051" s="211">
        <v>1135.74</v>
      </c>
      <c r="E1051" s="257">
        <f t="shared" si="26"/>
        <v>197.34496359750483</v>
      </c>
      <c r="F1051" s="162"/>
      <c r="G1051" s="162"/>
    </row>
    <row r="1052" spans="2:13">
      <c r="B1052" s="161" t="s">
        <v>316</v>
      </c>
      <c r="C1052" s="249">
        <v>5.5E-2</v>
      </c>
      <c r="D1052" s="211">
        <v>211.77</v>
      </c>
      <c r="E1052" s="257">
        <f t="shared" si="26"/>
        <v>36.796927942173035</v>
      </c>
      <c r="F1052" s="162"/>
      <c r="G1052" s="162"/>
    </row>
    <row r="1053" spans="2:13" ht="12.75" customHeight="1">
      <c r="B1053" s="229" t="s">
        <v>296</v>
      </c>
      <c r="C1053" s="408">
        <v>0.01</v>
      </c>
      <c r="D1053" s="211">
        <v>163.84800000000001</v>
      </c>
      <c r="E1053" s="257">
        <f t="shared" si="26"/>
        <v>28.470052648954844</v>
      </c>
      <c r="F1053" s="162"/>
      <c r="G1053" s="162"/>
    </row>
    <row r="1054" spans="2:13">
      <c r="B1054" s="161" t="s">
        <v>317</v>
      </c>
      <c r="C1054" s="408">
        <v>5.3999999999999999E-2</v>
      </c>
      <c r="D1054" s="211">
        <v>20.431000000000001</v>
      </c>
      <c r="E1054" s="257">
        <f t="shared" si="26"/>
        <v>3.5500686347761121</v>
      </c>
      <c r="F1054" s="162"/>
      <c r="G1054" s="162"/>
    </row>
    <row r="1055" spans="2:13">
      <c r="B1055" s="161" t="s">
        <v>318</v>
      </c>
      <c r="C1055" s="408">
        <v>5.8000000000000003E-2</v>
      </c>
      <c r="D1055" s="211">
        <v>5565.3270000000002</v>
      </c>
      <c r="E1055" s="257">
        <f t="shared" si="26"/>
        <v>967.02524717207359</v>
      </c>
      <c r="F1055" s="162"/>
      <c r="G1055" s="162"/>
    </row>
    <row r="1056" spans="2:13">
      <c r="B1056" s="161" t="s">
        <v>298</v>
      </c>
      <c r="C1056" s="408">
        <v>0.23699999999999999</v>
      </c>
      <c r="D1056" s="211">
        <v>74.997</v>
      </c>
      <c r="E1056" s="257">
        <f t="shared" si="26"/>
        <v>13.031398238084483</v>
      </c>
      <c r="F1056" s="162"/>
      <c r="G1056" s="162"/>
    </row>
    <row r="1057" spans="2:7">
      <c r="B1057" s="161"/>
      <c r="C1057" s="408"/>
      <c r="D1057" s="211"/>
      <c r="E1057" s="257"/>
      <c r="F1057" s="162"/>
      <c r="G1057" s="162"/>
    </row>
    <row r="1058" spans="2:7">
      <c r="B1058" s="209" t="s">
        <v>48</v>
      </c>
      <c r="C1058" s="408"/>
      <c r="D1058" s="210">
        <f>SUM(D1048:D1056)</f>
        <v>20481.529000000002</v>
      </c>
      <c r="E1058" s="210">
        <f>SUM(E1048:E1056)</f>
        <v>3558.848499591667</v>
      </c>
      <c r="F1058" s="162"/>
      <c r="G1058" s="162"/>
    </row>
    <row r="1059" spans="2:7">
      <c r="B1059" s="161"/>
      <c r="C1059" s="408"/>
      <c r="D1059" s="211"/>
      <c r="E1059" s="257"/>
      <c r="F1059" s="162"/>
      <c r="G1059" s="162"/>
    </row>
    <row r="1060" spans="2:7">
      <c r="B1060" s="265" t="s">
        <v>49</v>
      </c>
      <c r="C1060" s="265"/>
      <c r="D1060" s="399">
        <f>+D1046+D1058</f>
        <v>22062.019000000004</v>
      </c>
      <c r="E1060" s="399">
        <f>+E1046+E1058</f>
        <v>3833.4727459123214</v>
      </c>
      <c r="F1060" s="267">
        <f>+D1060/D1065</f>
        <v>2.3306817475935748</v>
      </c>
      <c r="G1060" s="267">
        <f>+E1060/E1065</f>
        <v>2.2420323349772455</v>
      </c>
    </row>
    <row r="1061" spans="2:7">
      <c r="B1061" s="44" t="s">
        <v>11</v>
      </c>
      <c r="C1061" s="44"/>
      <c r="D1061" s="272">
        <v>10686.732</v>
      </c>
      <c r="E1061" s="272">
        <f>D1061/$C$1085</f>
        <v>1856.9150840124412</v>
      </c>
      <c r="F1061" s="47"/>
      <c r="G1061" s="47"/>
    </row>
    <row r="1062" spans="2:7">
      <c r="B1062" s="45" t="s">
        <v>14</v>
      </c>
      <c r="C1062" s="45"/>
      <c r="D1062" s="402">
        <f>+D1060-D1061</f>
        <v>11375.287000000004</v>
      </c>
      <c r="E1062" s="402">
        <f>+E1060-E1061</f>
        <v>1976.5576618998803</v>
      </c>
      <c r="F1062" s="46">
        <f>+D1062/D1065</f>
        <v>1.2017111300891581</v>
      </c>
      <c r="G1062" s="46">
        <f>+E1062/E1065</f>
        <v>1.1560030509286709</v>
      </c>
    </row>
    <row r="1063" spans="2:7">
      <c r="B1063" s="44" t="s">
        <v>17</v>
      </c>
      <c r="C1063" s="44"/>
      <c r="D1063" s="272">
        <v>17330.55</v>
      </c>
      <c r="E1063" s="272">
        <f>D1063/$C$1085</f>
        <v>3011.3377699779326</v>
      </c>
      <c r="F1063" s="47"/>
      <c r="G1063" s="47"/>
    </row>
    <row r="1064" spans="2:7">
      <c r="B1064" s="268" t="s">
        <v>20</v>
      </c>
      <c r="C1064" s="268"/>
      <c r="D1064" s="396">
        <f>D1060+D1063</f>
        <v>39392.569000000003</v>
      </c>
      <c r="E1064" s="396">
        <f>E1060+E1063</f>
        <v>6844.8105158902545</v>
      </c>
      <c r="F1064" s="270"/>
      <c r="G1064" s="270"/>
    </row>
    <row r="1065" spans="2:7">
      <c r="B1065" s="268" t="s">
        <v>23</v>
      </c>
      <c r="C1065" s="268"/>
      <c r="D1065" s="396">
        <v>9465.9080000000013</v>
      </c>
      <c r="E1065" s="396">
        <v>1709.8204544633509</v>
      </c>
      <c r="F1065" s="270"/>
      <c r="G1065" s="270"/>
    </row>
    <row r="1068" spans="2:7">
      <c r="B1068" s="36" t="s">
        <v>50</v>
      </c>
      <c r="D1068" s="387">
        <v>28052</v>
      </c>
      <c r="E1068" s="255"/>
    </row>
    <row r="1069" spans="2:7">
      <c r="B1069" s="36" t="s">
        <v>51</v>
      </c>
      <c r="D1069" s="227">
        <f>D1068+D1062</f>
        <v>39427.287000000004</v>
      </c>
      <c r="E1069" s="227"/>
    </row>
    <row r="1070" spans="2:7">
      <c r="B1070" s="80" t="s">
        <v>52</v>
      </c>
      <c r="D1070" s="228">
        <f>D1069/D1065</f>
        <v>4.1651880622545665</v>
      </c>
      <c r="E1070" s="228"/>
      <c r="G1070" s="410"/>
    </row>
    <row r="1071" spans="2:7" ht="13.5" thickBot="1">
      <c r="B1071" s="80"/>
      <c r="D1071" s="228"/>
    </row>
    <row r="1072" spans="2:7">
      <c r="B1072" s="234" t="s">
        <v>319</v>
      </c>
      <c r="C1072" s="240" t="s">
        <v>54</v>
      </c>
      <c r="D1072" s="232" t="s">
        <v>55</v>
      </c>
    </row>
    <row r="1073" spans="2:4">
      <c r="B1073" s="239" t="s">
        <v>56</v>
      </c>
      <c r="C1073" s="253">
        <v>16300</v>
      </c>
      <c r="D1073" s="237">
        <f>C1073/$C$1085</f>
        <v>2832.2705078973436</v>
      </c>
    </row>
    <row r="1074" spans="2:4">
      <c r="B1074" s="239" t="s">
        <v>57</v>
      </c>
      <c r="C1074" s="253">
        <v>1136</v>
      </c>
      <c r="D1074" s="237">
        <f>C1074/$C$1085</f>
        <v>197.39014091848969</v>
      </c>
    </row>
    <row r="1075" spans="2:4">
      <c r="B1075" s="239" t="s">
        <v>58</v>
      </c>
      <c r="C1075" s="253">
        <v>3025</v>
      </c>
      <c r="D1075" s="237">
        <f>C1075/$C$1085</f>
        <v>525.62075376622477</v>
      </c>
    </row>
    <row r="1076" spans="2:4">
      <c r="B1076" s="239" t="s">
        <v>60</v>
      </c>
      <c r="C1076" s="398">
        <f>+D1043</f>
        <v>1576.8720000000001</v>
      </c>
      <c r="D1076" s="237">
        <f>C1076/$C$1085</f>
        <v>273.99558652325766</v>
      </c>
    </row>
    <row r="1077" spans="2:4" ht="13.5" thickBot="1">
      <c r="B1077" s="245" t="s">
        <v>61</v>
      </c>
      <c r="C1077" s="412">
        <f>SUM(C1073:C1076)</f>
        <v>22037.871999999999</v>
      </c>
      <c r="D1077" s="247">
        <f>SUM(D1073:D1076)</f>
        <v>3829.2769891053158</v>
      </c>
    </row>
    <row r="1078" spans="2:4" ht="13.5" thickBot="1"/>
    <row r="1079" spans="2:4">
      <c r="B1079" s="140" t="s">
        <v>320</v>
      </c>
      <c r="C1079" s="240" t="s">
        <v>54</v>
      </c>
      <c r="D1079" s="232" t="s">
        <v>55</v>
      </c>
    </row>
    <row r="1080" spans="2:4">
      <c r="B1080" s="141" t="s">
        <v>321</v>
      </c>
      <c r="C1080" s="241"/>
      <c r="D1080" s="142"/>
    </row>
    <row r="1081" spans="2:4">
      <c r="B1081" s="141" t="s">
        <v>64</v>
      </c>
      <c r="C1081" s="242">
        <f>D1061</f>
        <v>10686.732</v>
      </c>
      <c r="D1081" s="237">
        <f>C1081/$C$1085</f>
        <v>1856.9150840124412</v>
      </c>
    </row>
    <row r="1082" spans="2:4" ht="13.5" thickBot="1">
      <c r="B1082" s="143" t="s">
        <v>65</v>
      </c>
      <c r="C1082" s="243">
        <f>SUM(C1080:C1081)</f>
        <v>10686.732</v>
      </c>
      <c r="D1082" s="236">
        <f>SUM(D1080:D1081)</f>
        <v>1856.9150840124412</v>
      </c>
    </row>
    <row r="1084" spans="2:4">
      <c r="D1084" s="39"/>
    </row>
    <row r="1085" spans="2:4" ht="13.5" thickBot="1">
      <c r="B1085" s="36" t="s">
        <v>322</v>
      </c>
      <c r="C1085" s="36">
        <v>5.7550999999999997</v>
      </c>
    </row>
    <row r="1086" spans="2:4">
      <c r="B1086" s="234" t="s">
        <v>323</v>
      </c>
      <c r="C1086" s="240" t="s">
        <v>54</v>
      </c>
      <c r="D1086" s="232" t="s">
        <v>55</v>
      </c>
    </row>
    <row r="1087" spans="2:4">
      <c r="B1087" s="86" t="s">
        <v>68</v>
      </c>
      <c r="C1087" s="253">
        <v>7503.518</v>
      </c>
      <c r="D1087" s="237">
        <f>C1087/$C$1085</f>
        <v>1303.8032353912183</v>
      </c>
    </row>
    <row r="1088" spans="2:4">
      <c r="B1088" s="86" t="s">
        <v>69</v>
      </c>
      <c r="C1088" s="253">
        <v>14558.501</v>
      </c>
      <c r="D1088" s="237">
        <f>C1088/$C$1085</f>
        <v>2529.6695105211033</v>
      </c>
    </row>
    <row r="1089" spans="2:12" ht="13.5" thickBot="1">
      <c r="B1089" s="87"/>
      <c r="C1089" s="244"/>
      <c r="D1089" s="233"/>
    </row>
    <row r="1090" spans="2:12">
      <c r="B1090" s="80" t="s">
        <v>70</v>
      </c>
      <c r="C1090" s="238">
        <f>C1087+C1088</f>
        <v>22062.019</v>
      </c>
      <c r="D1090" s="220">
        <f>D1087+D1088</f>
        <v>3833.4727459123214</v>
      </c>
    </row>
    <row r="1092" spans="2:12">
      <c r="B1092" s="80" t="s">
        <v>303</v>
      </c>
    </row>
    <row r="1093" spans="2:12">
      <c r="B1093" s="36" t="s">
        <v>304</v>
      </c>
      <c r="C1093" s="405">
        <v>0.5</v>
      </c>
    </row>
    <row r="1094" spans="2:12">
      <c r="B1094" s="36" t="s">
        <v>305</v>
      </c>
      <c r="C1094" s="405">
        <v>0.33</v>
      </c>
    </row>
    <row r="1095" spans="2:12">
      <c r="B1095" s="36" t="s">
        <v>306</v>
      </c>
      <c r="C1095" s="405">
        <v>0.08</v>
      </c>
    </row>
    <row r="1096" spans="2:12">
      <c r="B1096" s="36" t="s">
        <v>59</v>
      </c>
      <c r="C1096" s="405">
        <v>0.09</v>
      </c>
    </row>
    <row r="1097" spans="2:12">
      <c r="B1097" s="80" t="s">
        <v>61</v>
      </c>
      <c r="C1097" s="409">
        <f>SUM(C1093:C1096)</f>
        <v>1</v>
      </c>
    </row>
    <row r="1098" spans="2:12">
      <c r="C1098" s="406"/>
    </row>
    <row r="1099" spans="2:12">
      <c r="B1099" s="80" t="s">
        <v>307</v>
      </c>
      <c r="C1099" s="406"/>
    </row>
    <row r="1100" spans="2:12">
      <c r="B1100" s="36" t="s">
        <v>304</v>
      </c>
      <c r="C1100" s="405">
        <v>0.34</v>
      </c>
    </row>
    <row r="1101" spans="2:12">
      <c r="B1101" s="36" t="s">
        <v>305</v>
      </c>
      <c r="C1101" s="405">
        <v>0.08</v>
      </c>
    </row>
    <row r="1102" spans="2:12">
      <c r="B1102" s="36" t="s">
        <v>306</v>
      </c>
      <c r="C1102" s="405">
        <v>0.5</v>
      </c>
      <c r="I1102" s="35"/>
      <c r="J1102" s="35"/>
      <c r="K1102" s="35"/>
      <c r="L1102" s="35"/>
    </row>
    <row r="1103" spans="2:12">
      <c r="B1103" s="36" t="s">
        <v>59</v>
      </c>
      <c r="C1103" s="405">
        <v>0.08</v>
      </c>
    </row>
    <row r="1104" spans="2:12">
      <c r="B1104" s="80" t="s">
        <v>61</v>
      </c>
      <c r="C1104" s="409">
        <f>SUM(C1100:C1103)</f>
        <v>1</v>
      </c>
    </row>
    <row r="1105" spans="2:13">
      <c r="C1105" s="406"/>
    </row>
    <row r="1106" spans="2:13">
      <c r="B1106" s="80" t="s">
        <v>308</v>
      </c>
      <c r="C1106" s="406"/>
    </row>
    <row r="1107" spans="2:13">
      <c r="B1107" s="36" t="s">
        <v>304</v>
      </c>
      <c r="C1107" s="405">
        <v>0.8</v>
      </c>
    </row>
    <row r="1108" spans="2:13">
      <c r="B1108" s="36" t="s">
        <v>305</v>
      </c>
      <c r="C1108" s="405">
        <v>0.17</v>
      </c>
    </row>
    <row r="1109" spans="2:13">
      <c r="B1109" s="36" t="s">
        <v>306</v>
      </c>
      <c r="C1109" s="405">
        <v>0.03</v>
      </c>
    </row>
    <row r="1110" spans="2:13">
      <c r="B1110" s="80" t="s">
        <v>61</v>
      </c>
      <c r="C1110" s="409">
        <f>SUM(C1107:C1109)</f>
        <v>1</v>
      </c>
    </row>
    <row r="1112" spans="2:13">
      <c r="I1112" s="273" t="s">
        <v>1</v>
      </c>
    </row>
    <row r="1113" spans="2:13">
      <c r="B1113" s="256" t="s">
        <v>324</v>
      </c>
      <c r="C1113" s="256"/>
      <c r="D1113" s="256"/>
      <c r="E1113" s="256"/>
      <c r="F1113" s="256"/>
      <c r="G1113" s="256"/>
      <c r="I1113" s="256" t="s">
        <v>324</v>
      </c>
      <c r="J1113" s="256"/>
      <c r="K1113" s="256"/>
      <c r="L1113" s="256"/>
      <c r="M1113" s="256"/>
    </row>
    <row r="1114" spans="2:13" ht="25.5">
      <c r="B1114" s="34"/>
      <c r="C1114" s="212" t="s">
        <v>3</v>
      </c>
      <c r="D1114" s="212" t="s">
        <v>4</v>
      </c>
      <c r="E1114" s="212" t="s">
        <v>5</v>
      </c>
      <c r="F1114" s="212" t="s">
        <v>6</v>
      </c>
      <c r="G1114" s="212" t="s">
        <v>7</v>
      </c>
      <c r="I1114" s="34"/>
      <c r="J1114" s="34" t="s">
        <v>4</v>
      </c>
      <c r="K1114" s="34" t="s">
        <v>5</v>
      </c>
      <c r="L1114" s="37" t="s">
        <v>6</v>
      </c>
      <c r="M1114" s="37" t="s">
        <v>6</v>
      </c>
    </row>
    <row r="1115" spans="2:13">
      <c r="B1115" s="161" t="s">
        <v>311</v>
      </c>
      <c r="C1115" s="248" t="s">
        <v>325</v>
      </c>
      <c r="D1115" s="774">
        <v>3.9649999999999999</v>
      </c>
      <c r="E1115" s="257" t="e">
        <f>D155/$C$558</f>
        <v>#VALUE!</v>
      </c>
      <c r="F1115" s="162"/>
      <c r="G1115" s="162"/>
      <c r="I1115" s="45" t="s">
        <v>8</v>
      </c>
      <c r="J1115" s="401">
        <v>22866.9</v>
      </c>
      <c r="K1115" s="402" t="e">
        <f>+K1116+K1117</f>
        <v>#VALUE!</v>
      </c>
      <c r="L1115" s="46">
        <f>+J155/J1120</f>
        <v>0</v>
      </c>
      <c r="M1115" s="46">
        <f>+K155/K1120</f>
        <v>0</v>
      </c>
    </row>
    <row r="1116" spans="2:13">
      <c r="B1116" s="209" t="s">
        <v>31</v>
      </c>
      <c r="C1116" s="250"/>
      <c r="D1116" s="210">
        <f>SUM(D155:D155)</f>
        <v>0</v>
      </c>
      <c r="E1116" s="210">
        <f>SUM(E155:E155)</f>
        <v>0</v>
      </c>
      <c r="F1116" s="222"/>
      <c r="G1116" s="222"/>
      <c r="I1116" s="44" t="s">
        <v>11</v>
      </c>
      <c r="J1116" s="403">
        <v>8888.2999999999993</v>
      </c>
      <c r="K1116" s="404" t="e">
        <f>J1116/$C$558</f>
        <v>#VALUE!</v>
      </c>
      <c r="L1116" s="47"/>
      <c r="M1116" s="47"/>
    </row>
    <row r="1117" spans="2:13">
      <c r="B1117" s="161" t="s">
        <v>279</v>
      </c>
      <c r="C1117" s="248" t="s">
        <v>326</v>
      </c>
      <c r="D1117" s="211">
        <v>178.02199999999999</v>
      </c>
      <c r="E1117" s="257" t="e">
        <f>D1117/$C$558</f>
        <v>#VALUE!</v>
      </c>
      <c r="F1117" s="277"/>
      <c r="G1117" s="277"/>
      <c r="I1117" s="45" t="s">
        <v>14</v>
      </c>
      <c r="J1117" s="401">
        <f>J155-J1116</f>
        <v>-8888.2999999999993</v>
      </c>
      <c r="K1117" s="402" t="e">
        <f>J1117/$C$558</f>
        <v>#VALUE!</v>
      </c>
      <c r="L1117" s="46">
        <f>+J1117/J1120</f>
        <v>-0.98243568623601896</v>
      </c>
      <c r="M1117" s="46" t="e">
        <f>+K1117/K1120</f>
        <v>#VALUE!</v>
      </c>
    </row>
    <row r="1118" spans="2:13">
      <c r="B1118" s="161" t="s">
        <v>281</v>
      </c>
      <c r="C1118" s="248" t="s">
        <v>327</v>
      </c>
      <c r="D1118" s="211">
        <v>705.01</v>
      </c>
      <c r="E1118" s="257" t="e">
        <f>D1118/$C$558</f>
        <v>#VALUE!</v>
      </c>
      <c r="F1118" s="277"/>
      <c r="G1118" s="277"/>
      <c r="I1118" s="84" t="s">
        <v>17</v>
      </c>
      <c r="J1118" s="400">
        <f>D1136</f>
        <v>17102.280999999999</v>
      </c>
      <c r="K1118" s="400" t="e">
        <f>J1118/$C$558</f>
        <v>#VALUE!</v>
      </c>
      <c r="L1118" s="85"/>
      <c r="M1118" s="85"/>
    </row>
    <row r="1119" spans="2:13">
      <c r="B1119" s="161" t="s">
        <v>283</v>
      </c>
      <c r="C1119" s="248" t="s">
        <v>328</v>
      </c>
      <c r="D1119" s="211">
        <v>38.881</v>
      </c>
      <c r="E1119" s="257" t="e">
        <f>D1119/$C$558</f>
        <v>#VALUE!</v>
      </c>
      <c r="F1119" s="277"/>
      <c r="G1119" s="277"/>
      <c r="I1119" s="84" t="s">
        <v>20</v>
      </c>
      <c r="J1119" s="400">
        <f>J155+J1118</f>
        <v>17102.280999999999</v>
      </c>
      <c r="K1119" s="400" t="e">
        <f>K155+K1118</f>
        <v>#VALUE!</v>
      </c>
      <c r="L1119" s="85"/>
      <c r="M1119" s="85"/>
    </row>
    <row r="1120" spans="2:13">
      <c r="B1120" s="161" t="s">
        <v>285</v>
      </c>
      <c r="C1120" s="248" t="s">
        <v>286</v>
      </c>
      <c r="D1120" s="211">
        <v>442.99099999999999</v>
      </c>
      <c r="E1120" s="257" t="e">
        <f>D1120/$C$558</f>
        <v>#VALUE!</v>
      </c>
      <c r="F1120" s="277"/>
      <c r="G1120" s="277"/>
      <c r="I1120" s="44" t="s">
        <v>23</v>
      </c>
      <c r="J1120" s="397">
        <f>D1138</f>
        <v>9047.2079999999987</v>
      </c>
      <c r="K1120" s="397">
        <f>E1138</f>
        <v>1760.0801521334181</v>
      </c>
      <c r="L1120" s="44"/>
      <c r="M1120" s="44"/>
    </row>
    <row r="1121" spans="2:7">
      <c r="B1121" s="161" t="s">
        <v>329</v>
      </c>
      <c r="C1121" s="248" t="s">
        <v>288</v>
      </c>
      <c r="D1121" s="211">
        <v>44.819000000000003</v>
      </c>
      <c r="E1121" s="257" t="e">
        <f>D1121/$C$558</f>
        <v>#VALUE!</v>
      </c>
      <c r="F1121" s="277"/>
      <c r="G1121" s="277"/>
    </row>
    <row r="1122" spans="2:7" ht="12.75" customHeight="1">
      <c r="B1122" s="209" t="s">
        <v>24</v>
      </c>
      <c r="C1122" s="250"/>
      <c r="D1122" s="210">
        <f>SUM(D1117:D1121)</f>
        <v>1409.723</v>
      </c>
      <c r="E1122" s="210" t="e">
        <f>SUM(E1117:E1121)</f>
        <v>#VALUE!</v>
      </c>
      <c r="F1122" s="222"/>
      <c r="G1122" s="222"/>
    </row>
    <row r="1123" spans="2:7">
      <c r="B1123" s="161" t="s">
        <v>312</v>
      </c>
      <c r="C1123" s="248" t="s">
        <v>330</v>
      </c>
      <c r="D1123" s="211">
        <v>5966.0140000000001</v>
      </c>
      <c r="E1123" s="257" t="e">
        <f t="shared" ref="E1123:E1129" si="27">D1123/$C$558</f>
        <v>#VALUE!</v>
      </c>
      <c r="F1123" s="162"/>
      <c r="G1123" s="162"/>
    </row>
    <row r="1124" spans="2:7">
      <c r="B1124" s="229" t="s">
        <v>289</v>
      </c>
      <c r="C1124" s="251" t="s">
        <v>331</v>
      </c>
      <c r="D1124" s="211">
        <v>7376.1530000000002</v>
      </c>
      <c r="E1124" s="257" t="e">
        <f t="shared" si="27"/>
        <v>#VALUE!</v>
      </c>
      <c r="F1124" s="162"/>
      <c r="G1124" s="162"/>
    </row>
    <row r="1125" spans="2:7">
      <c r="B1125" s="161" t="s">
        <v>291</v>
      </c>
      <c r="C1125" s="248" t="s">
        <v>332</v>
      </c>
      <c r="D1125" s="211">
        <v>1205.0319999999999</v>
      </c>
      <c r="E1125" s="257" t="e">
        <f t="shared" si="27"/>
        <v>#VALUE!</v>
      </c>
      <c r="F1125" s="162"/>
      <c r="G1125" s="162"/>
    </row>
    <row r="1126" spans="2:7">
      <c r="B1126" s="161" t="s">
        <v>293</v>
      </c>
      <c r="C1126" s="248" t="s">
        <v>333</v>
      </c>
      <c r="D1126" s="211">
        <v>1071.721</v>
      </c>
      <c r="E1126" s="257" t="e">
        <f t="shared" si="27"/>
        <v>#VALUE!</v>
      </c>
      <c r="F1126" s="162"/>
      <c r="G1126" s="162"/>
    </row>
    <row r="1127" spans="2:7">
      <c r="B1127" s="161" t="s">
        <v>316</v>
      </c>
      <c r="C1127" s="249">
        <v>5.5E-2</v>
      </c>
      <c r="D1127" s="211">
        <v>214.32900000000001</v>
      </c>
      <c r="E1127" s="257" t="e">
        <f t="shared" si="27"/>
        <v>#VALUE!</v>
      </c>
      <c r="F1127" s="162"/>
      <c r="G1127" s="162"/>
    </row>
    <row r="1128" spans="2:7">
      <c r="B1128" s="161" t="s">
        <v>318</v>
      </c>
      <c r="C1128" s="249">
        <v>5.8000000000000003E-2</v>
      </c>
      <c r="D1128" s="211">
        <v>5519.9340000000002</v>
      </c>
      <c r="E1128" s="257" t="e">
        <f t="shared" si="27"/>
        <v>#VALUE!</v>
      </c>
      <c r="F1128" s="162"/>
      <c r="G1128" s="162"/>
    </row>
    <row r="1129" spans="2:7">
      <c r="B1129" s="161" t="s">
        <v>298</v>
      </c>
      <c r="C1129" s="249">
        <v>0.218</v>
      </c>
      <c r="D1129" s="774">
        <v>99.998999999999995</v>
      </c>
      <c r="E1129" s="257" t="e">
        <f t="shared" si="27"/>
        <v>#VALUE!</v>
      </c>
      <c r="F1129" s="162"/>
      <c r="G1129" s="162"/>
    </row>
    <row r="1130" spans="2:7">
      <c r="B1130" s="265" t="s">
        <v>334</v>
      </c>
      <c r="C1130" s="265"/>
      <c r="D1130" s="399">
        <f>D1116+SUM(D1123:D1129)</f>
        <v>21453.182000000001</v>
      </c>
      <c r="E1130" s="399" t="e">
        <f>E1116+SUM(E1123:E1129)</f>
        <v>#VALUE!</v>
      </c>
      <c r="F1130" s="267">
        <f>+D1130/D1138</f>
        <v>2.3712488980025666</v>
      </c>
      <c r="G1130" s="267" t="e">
        <f>+E1130/E1138</f>
        <v>#VALUE!</v>
      </c>
    </row>
    <row r="1131" spans="2:7">
      <c r="B1131" s="44" t="s">
        <v>11</v>
      </c>
      <c r="C1131" s="44"/>
      <c r="D1131" s="272">
        <v>8888.2510000000002</v>
      </c>
      <c r="E1131" s="272" t="e">
        <f>D1131/$C$558</f>
        <v>#VALUE!</v>
      </c>
      <c r="F1131" s="47"/>
      <c r="G1131" s="47"/>
    </row>
    <row r="1132" spans="2:7">
      <c r="B1132" s="268" t="s">
        <v>335</v>
      </c>
      <c r="C1132" s="268"/>
      <c r="D1132" s="396">
        <f>+D1130-D1131</f>
        <v>12564.931</v>
      </c>
      <c r="E1132" s="396" t="e">
        <f>+E1130-E1131</f>
        <v>#VALUE!</v>
      </c>
      <c r="F1132" s="270">
        <f>+D1132/D1138</f>
        <v>1.3888186278020802</v>
      </c>
      <c r="G1132" s="270" t="e">
        <f>+E1132/E1138</f>
        <v>#VALUE!</v>
      </c>
    </row>
    <row r="1133" spans="2:7">
      <c r="B1133" s="161" t="s">
        <v>336</v>
      </c>
      <c r="C1133" s="249"/>
      <c r="D1133" s="257">
        <f>D1122</f>
        <v>1409.723</v>
      </c>
      <c r="E1133" s="257" t="e">
        <f>D1133/$C$558</f>
        <v>#VALUE!</v>
      </c>
      <c r="F1133" s="257"/>
      <c r="G1133" s="257"/>
    </row>
    <row r="1134" spans="2:7">
      <c r="B1134" s="268" t="s">
        <v>337</v>
      </c>
      <c r="C1134" s="268"/>
      <c r="D1134" s="396">
        <f>+D1130+D1122</f>
        <v>22862.904999999999</v>
      </c>
      <c r="E1134" s="396" t="e">
        <f>+E1130+E1122</f>
        <v>#VALUE!</v>
      </c>
      <c r="F1134" s="270">
        <f>+D1134/D1138</f>
        <v>2.5270674665598496</v>
      </c>
      <c r="G1134" s="270" t="e">
        <f>+E1134/E1138</f>
        <v>#VALUE!</v>
      </c>
    </row>
    <row r="1135" spans="2:7">
      <c r="B1135" s="268" t="s">
        <v>338</v>
      </c>
      <c r="C1135" s="268"/>
      <c r="D1135" s="396">
        <f>D1132+D1133</f>
        <v>13974.654</v>
      </c>
      <c r="E1135" s="396" t="e">
        <f>E1132+E1133</f>
        <v>#VALUE!</v>
      </c>
      <c r="F1135" s="270">
        <f>+D1135/D1138</f>
        <v>1.5446371963593633</v>
      </c>
      <c r="G1135" s="270" t="e">
        <f>+E1135/E1138</f>
        <v>#VALUE!</v>
      </c>
    </row>
    <row r="1136" spans="2:7">
      <c r="B1136" s="84" t="s">
        <v>17</v>
      </c>
      <c r="C1136" s="84"/>
      <c r="D1136" s="400">
        <v>17102.280999999999</v>
      </c>
      <c r="E1136" s="400" t="e">
        <f>D1136/$C$558</f>
        <v>#VALUE!</v>
      </c>
      <c r="F1136" s="85"/>
      <c r="G1136" s="85"/>
    </row>
    <row r="1137" spans="2:7">
      <c r="B1137" s="84" t="s">
        <v>20</v>
      </c>
      <c r="C1137" s="84"/>
      <c r="D1137" s="400">
        <f>D1130+D1136</f>
        <v>38555.463000000003</v>
      </c>
      <c r="E1137" s="400" t="e">
        <f>E1130+E1136</f>
        <v>#VALUE!</v>
      </c>
      <c r="F1137" s="85"/>
      <c r="G1137" s="85"/>
    </row>
    <row r="1138" spans="2:7">
      <c r="B1138" s="44" t="s">
        <v>23</v>
      </c>
      <c r="C1138" s="44"/>
      <c r="D1138" s="397">
        <v>9047.2079999999987</v>
      </c>
      <c r="E1138" s="397">
        <v>1760.0801521334181</v>
      </c>
      <c r="F1138" s="44"/>
    </row>
    <row r="1141" spans="2:7">
      <c r="B1141" s="36" t="s">
        <v>339</v>
      </c>
      <c r="D1141" s="387">
        <v>26496</v>
      </c>
      <c r="E1141" s="255"/>
    </row>
    <row r="1142" spans="2:7">
      <c r="B1142" s="36" t="s">
        <v>51</v>
      </c>
      <c r="D1142" s="227">
        <f>D1141+D1132</f>
        <v>39060.930999999997</v>
      </c>
      <c r="E1142" s="227"/>
    </row>
    <row r="1143" spans="2:7">
      <c r="B1143" s="80" t="s">
        <v>52</v>
      </c>
      <c r="D1143" s="228">
        <f>D1142/D1138</f>
        <v>4.3174569436228287</v>
      </c>
      <c r="E1143" s="228"/>
    </row>
    <row r="1144" spans="2:7" ht="13.5" thickBot="1">
      <c r="B1144" s="80"/>
      <c r="D1144" s="228"/>
    </row>
    <row r="1145" spans="2:7">
      <c r="B1145" s="234" t="s">
        <v>340</v>
      </c>
      <c r="C1145" s="240" t="s">
        <v>54</v>
      </c>
      <c r="D1145" s="232" t="s">
        <v>55</v>
      </c>
    </row>
    <row r="1146" spans="2:7">
      <c r="B1146" s="239" t="s">
        <v>56</v>
      </c>
      <c r="C1146" s="253">
        <v>16771</v>
      </c>
      <c r="D1146" s="237" t="e">
        <f>C1146/$C$558</f>
        <v>#VALUE!</v>
      </c>
    </row>
    <row r="1147" spans="2:7">
      <c r="B1147" s="239" t="s">
        <v>57</v>
      </c>
      <c r="C1147" s="253">
        <v>1071</v>
      </c>
      <c r="D1147" s="237" t="e">
        <f>C1147/$C$558</f>
        <v>#VALUE!</v>
      </c>
    </row>
    <row r="1148" spans="2:7">
      <c r="B1148" s="239" t="s">
        <v>58</v>
      </c>
      <c r="C1148" s="253">
        <v>3610</v>
      </c>
      <c r="D1148" s="237" t="e">
        <f>C1148/$C$558</f>
        <v>#VALUE!</v>
      </c>
    </row>
    <row r="1149" spans="2:7">
      <c r="B1149" s="239" t="s">
        <v>341</v>
      </c>
      <c r="C1149" s="398">
        <f>D1133</f>
        <v>1409.723</v>
      </c>
      <c r="D1149" s="237" t="e">
        <f>C1149/$C$558</f>
        <v>#VALUE!</v>
      </c>
    </row>
    <row r="1150" spans="2:7" ht="13.5" thickBot="1">
      <c r="B1150" s="245" t="s">
        <v>61</v>
      </c>
      <c r="C1150" s="246">
        <f>SUM(C1146:C1149)</f>
        <v>22861.722999999998</v>
      </c>
      <c r="D1150" s="247" t="e">
        <f>SUM(D1146:D1149)</f>
        <v>#VALUE!</v>
      </c>
    </row>
    <row r="1151" spans="2:7" ht="13.5" thickBot="1"/>
    <row r="1152" spans="2:7">
      <c r="B1152" s="140" t="s">
        <v>342</v>
      </c>
      <c r="C1152" s="240" t="s">
        <v>54</v>
      </c>
      <c r="D1152" s="232" t="s">
        <v>55</v>
      </c>
    </row>
    <row r="1153" spans="2:4">
      <c r="B1153" s="141" t="s">
        <v>321</v>
      </c>
      <c r="C1153" s="241"/>
      <c r="D1153" s="142"/>
    </row>
    <row r="1154" spans="2:4">
      <c r="B1154" s="141" t="s">
        <v>64</v>
      </c>
      <c r="C1154" s="242">
        <f>D1131</f>
        <v>8888.2510000000002</v>
      </c>
      <c r="D1154" s="237" t="e">
        <f>C554/$C$558</f>
        <v>#VALUE!</v>
      </c>
    </row>
    <row r="1155" spans="2:4" ht="13.5" thickBot="1">
      <c r="B1155" s="143" t="s">
        <v>65</v>
      </c>
      <c r="C1155" s="243">
        <f>SUM(C553:C554)</f>
        <v>0</v>
      </c>
      <c r="D1155" s="236">
        <f>SUM(D553:D554)</f>
        <v>246.74299999999999</v>
      </c>
    </row>
    <row r="1157" spans="2:4">
      <c r="D1157" s="39"/>
    </row>
    <row r="1158" spans="2:4" ht="13.5" thickBot="1">
      <c r="B1158" s="36" t="s">
        <v>343</v>
      </c>
      <c r="C1158" s="36">
        <v>5.6284000000000001</v>
      </c>
    </row>
    <row r="1159" spans="2:4">
      <c r="B1159" s="234" t="s">
        <v>344</v>
      </c>
      <c r="C1159" s="240" t="s">
        <v>54</v>
      </c>
      <c r="D1159" s="232" t="s">
        <v>55</v>
      </c>
    </row>
    <row r="1160" spans="2:4">
      <c r="B1160" s="86" t="s">
        <v>68</v>
      </c>
      <c r="C1160" s="253">
        <v>7459.1909999999998</v>
      </c>
      <c r="D1160" s="237" t="e">
        <f>C1160/$C$558</f>
        <v>#VALUE!</v>
      </c>
    </row>
    <row r="1161" spans="2:4">
      <c r="B1161" s="86" t="s">
        <v>69</v>
      </c>
      <c r="C1161" s="253">
        <v>15407.679</v>
      </c>
      <c r="D1161" s="237" t="e">
        <f>C1161/$C$558</f>
        <v>#VALUE!</v>
      </c>
    </row>
    <row r="1162" spans="2:4" ht="13.5" thickBot="1">
      <c r="B1162" s="87"/>
      <c r="C1162" s="244"/>
      <c r="D1162" s="233"/>
    </row>
    <row r="1163" spans="2:4">
      <c r="B1163" s="80" t="s">
        <v>70</v>
      </c>
      <c r="C1163" s="238">
        <f>C1160+C1161</f>
        <v>22866.87</v>
      </c>
      <c r="D1163" s="220" t="e">
        <f>D1160+D1161</f>
        <v>#VALUE!</v>
      </c>
    </row>
    <row r="1165" spans="2:4">
      <c r="B1165" s="80" t="s">
        <v>303</v>
      </c>
    </row>
    <row r="1166" spans="2:4">
      <c r="B1166" s="36" t="s">
        <v>304</v>
      </c>
      <c r="C1166" s="405">
        <v>0.5</v>
      </c>
    </row>
    <row r="1167" spans="2:4">
      <c r="B1167" s="36" t="s">
        <v>305</v>
      </c>
      <c r="C1167" s="405">
        <v>0.33</v>
      </c>
    </row>
    <row r="1168" spans="2:4">
      <c r="B1168" s="36" t="s">
        <v>306</v>
      </c>
      <c r="C1168" s="405">
        <v>0.09</v>
      </c>
    </row>
    <row r="1169" spans="2:13">
      <c r="B1169" s="36" t="s">
        <v>59</v>
      </c>
      <c r="C1169" s="405">
        <v>0.08</v>
      </c>
    </row>
    <row r="1170" spans="2:13">
      <c r="C1170" s="406"/>
    </row>
    <row r="1171" spans="2:13">
      <c r="B1171" s="80" t="s">
        <v>307</v>
      </c>
      <c r="C1171" s="406"/>
    </row>
    <row r="1172" spans="2:13">
      <c r="B1172" s="36" t="s">
        <v>304</v>
      </c>
      <c r="C1172" s="405">
        <v>0.34</v>
      </c>
    </row>
    <row r="1173" spans="2:13">
      <c r="B1173" s="36" t="s">
        <v>305</v>
      </c>
      <c r="C1173" s="405">
        <v>0.1</v>
      </c>
    </row>
    <row r="1174" spans="2:13">
      <c r="B1174" s="36" t="s">
        <v>306</v>
      </c>
      <c r="C1174" s="405">
        <v>0.49</v>
      </c>
      <c r="I1174" s="35"/>
      <c r="J1174" s="35"/>
      <c r="K1174" s="35"/>
      <c r="L1174" s="35"/>
    </row>
    <row r="1175" spans="2:13">
      <c r="B1175" s="36" t="s">
        <v>59</v>
      </c>
      <c r="C1175" s="405">
        <v>7.0000000000000007E-2</v>
      </c>
    </row>
    <row r="1176" spans="2:13">
      <c r="C1176" s="406"/>
    </row>
    <row r="1177" spans="2:13">
      <c r="B1177" s="80" t="s">
        <v>308</v>
      </c>
      <c r="C1177" s="406"/>
    </row>
    <row r="1178" spans="2:13">
      <c r="B1178" s="36" t="s">
        <v>304</v>
      </c>
      <c r="C1178" s="405">
        <v>0.79</v>
      </c>
    </row>
    <row r="1179" spans="2:13">
      <c r="B1179" s="36" t="s">
        <v>305</v>
      </c>
      <c r="C1179" s="405">
        <v>0.21</v>
      </c>
    </row>
    <row r="1181" spans="2:13">
      <c r="I1181" s="273" t="s">
        <v>1</v>
      </c>
    </row>
    <row r="1182" spans="2:13">
      <c r="B1182" s="256" t="s">
        <v>345</v>
      </c>
      <c r="C1182" s="256"/>
      <c r="D1182" s="256"/>
      <c r="E1182" s="256"/>
      <c r="F1182" s="256"/>
      <c r="G1182" s="256"/>
      <c r="I1182" s="256" t="s">
        <v>345</v>
      </c>
      <c r="J1182" s="256"/>
      <c r="K1182" s="256"/>
      <c r="L1182" s="256"/>
      <c r="M1182" s="256"/>
    </row>
    <row r="1183" spans="2:13" ht="25.5">
      <c r="B1183" s="34"/>
      <c r="C1183" s="212" t="s">
        <v>3</v>
      </c>
      <c r="D1183" s="212" t="s">
        <v>4</v>
      </c>
      <c r="E1183" s="212" t="s">
        <v>5</v>
      </c>
      <c r="F1183" s="212" t="s">
        <v>6</v>
      </c>
      <c r="G1183" s="212" t="s">
        <v>7</v>
      </c>
      <c r="I1183" s="34"/>
      <c r="J1183" s="34" t="s">
        <v>4</v>
      </c>
      <c r="K1183" s="34" t="s">
        <v>5</v>
      </c>
      <c r="L1183" s="37" t="s">
        <v>6</v>
      </c>
      <c r="M1183" s="37" t="s">
        <v>6</v>
      </c>
    </row>
    <row r="1184" spans="2:13">
      <c r="B1184" s="161" t="s">
        <v>311</v>
      </c>
      <c r="C1184" s="248" t="s">
        <v>325</v>
      </c>
      <c r="D1184" s="775">
        <v>4.18</v>
      </c>
      <c r="E1184" s="282">
        <f>D1184/$C$1227</f>
        <v>0.79454085802809393</v>
      </c>
      <c r="F1184" s="162"/>
      <c r="G1184" s="162"/>
      <c r="I1184" s="45" t="s">
        <v>8</v>
      </c>
      <c r="J1184" s="259">
        <v>20155.5</v>
      </c>
      <c r="K1184" s="175">
        <f>+K1185+K1186</f>
        <v>3536.4378128507269</v>
      </c>
      <c r="L1184" s="46">
        <f>+J1184/J1189</f>
        <v>2.2935231738523685</v>
      </c>
      <c r="M1184" s="46">
        <f>+K1184/K1189</f>
        <v>1.9145761112415813</v>
      </c>
    </row>
    <row r="1185" spans="2:13">
      <c r="B1185" s="209" t="s">
        <v>31</v>
      </c>
      <c r="C1185" s="250"/>
      <c r="D1185" s="283">
        <f>SUM(D1184:D1184)</f>
        <v>4.18</v>
      </c>
      <c r="E1185" s="283">
        <f>SUM(E1184:E1184)</f>
        <v>0.79454085802809393</v>
      </c>
      <c r="F1185" s="222"/>
      <c r="G1185" s="222"/>
      <c r="I1185" s="44" t="s">
        <v>11</v>
      </c>
      <c r="J1185" s="260">
        <v>7419</v>
      </c>
      <c r="K1185" s="257">
        <f>J1185/$C$1227</f>
        <v>1410.2149822273755</v>
      </c>
      <c r="L1185" s="47"/>
      <c r="M1185" s="47"/>
    </row>
    <row r="1186" spans="2:13">
      <c r="B1186" s="161" t="s">
        <v>279</v>
      </c>
      <c r="C1186" s="248" t="s">
        <v>269</v>
      </c>
      <c r="D1186" s="284">
        <v>194.64500000000001</v>
      </c>
      <c r="E1186" s="282">
        <f>D1186/$C$1227</f>
        <v>36.998422323176641</v>
      </c>
      <c r="F1186" s="277"/>
      <c r="G1186" s="277"/>
      <c r="I1186" s="45" t="s">
        <v>14</v>
      </c>
      <c r="J1186" s="259">
        <f>J1184-J1185</f>
        <v>12736.5</v>
      </c>
      <c r="K1186" s="258">
        <f>J1186/$C$1291</f>
        <v>2126.2228306233515</v>
      </c>
      <c r="L1186" s="46">
        <f>+J1186/J1189</f>
        <v>1.4493045522944452</v>
      </c>
      <c r="M1186" s="46">
        <f>+K1186/K1189</f>
        <v>1.1511061848437918</v>
      </c>
    </row>
    <row r="1187" spans="2:13">
      <c r="B1187" s="161" t="s">
        <v>346</v>
      </c>
      <c r="C1187" s="248" t="s">
        <v>310</v>
      </c>
      <c r="D1187" s="284">
        <v>719.71799999999996</v>
      </c>
      <c r="E1187" s="282">
        <f t="shared" ref="E1187:E1202" si="28">D1187/$C$1227</f>
        <v>136.80510939192911</v>
      </c>
      <c r="F1187" s="277"/>
      <c r="G1187" s="277"/>
      <c r="I1187" s="84" t="s">
        <v>17</v>
      </c>
      <c r="J1187" s="177">
        <f>D1205</f>
        <v>16053.554</v>
      </c>
      <c r="K1187" s="257">
        <f>J1187/$C$1227</f>
        <v>3051.4843467847704</v>
      </c>
      <c r="L1187" s="85"/>
      <c r="M1187" s="85"/>
    </row>
    <row r="1188" spans="2:13">
      <c r="B1188" s="161" t="s">
        <v>347</v>
      </c>
      <c r="C1188" s="248" t="s">
        <v>271</v>
      </c>
      <c r="D1188" s="284">
        <v>40.350999999999999</v>
      </c>
      <c r="E1188" s="282">
        <f t="shared" si="28"/>
        <v>7.669980421600866</v>
      </c>
      <c r="F1188" s="277"/>
      <c r="G1188" s="277"/>
      <c r="I1188" s="84" t="s">
        <v>20</v>
      </c>
      <c r="J1188" s="177">
        <f>J1184+J1187</f>
        <v>36209.054000000004</v>
      </c>
      <c r="K1188" s="177">
        <f>K1184+K1187</f>
        <v>6587.9221596354973</v>
      </c>
      <c r="L1188" s="85"/>
      <c r="M1188" s="85"/>
    </row>
    <row r="1189" spans="2:13">
      <c r="B1189" s="161" t="s">
        <v>348</v>
      </c>
      <c r="C1189" s="248" t="s">
        <v>253</v>
      </c>
      <c r="D1189" s="284">
        <v>418.39</v>
      </c>
      <c r="E1189" s="282">
        <f t="shared" si="28"/>
        <v>79.528217605352694</v>
      </c>
      <c r="F1189" s="277"/>
      <c r="G1189" s="277"/>
      <c r="I1189" s="44" t="s">
        <v>23</v>
      </c>
      <c r="J1189" s="6">
        <f>D1207</f>
        <v>8788.007999999998</v>
      </c>
      <c r="K1189" s="6">
        <f>E1207</f>
        <v>1847.1126804968783</v>
      </c>
      <c r="L1189" s="44"/>
      <c r="M1189" s="44"/>
    </row>
    <row r="1190" spans="2:13">
      <c r="B1190" s="161" t="s">
        <v>349</v>
      </c>
      <c r="C1190" s="248" t="s">
        <v>350</v>
      </c>
      <c r="D1190" s="284">
        <v>40.851999999999997</v>
      </c>
      <c r="E1190" s="282">
        <f t="shared" si="28"/>
        <v>7.7652112756372471</v>
      </c>
      <c r="F1190" s="277"/>
      <c r="G1190" s="277"/>
    </row>
    <row r="1191" spans="2:13">
      <c r="B1191" s="209" t="s">
        <v>24</v>
      </c>
      <c r="C1191" s="250"/>
      <c r="D1191" s="283">
        <f>SUM(D1186:D1190)</f>
        <v>1413.9559999999999</v>
      </c>
      <c r="E1191" s="283">
        <f>SUM(E1186:E1190)</f>
        <v>268.76694101769652</v>
      </c>
      <c r="F1191" s="222"/>
      <c r="G1191" s="222"/>
    </row>
    <row r="1192" spans="2:13">
      <c r="B1192" s="161" t="s">
        <v>351</v>
      </c>
      <c r="C1192" s="248" t="s">
        <v>352</v>
      </c>
      <c r="D1192" s="284">
        <v>4589.1570000000002</v>
      </c>
      <c r="E1192" s="282">
        <f t="shared" si="28"/>
        <v>872.3140527286206</v>
      </c>
      <c r="F1192" s="162"/>
      <c r="G1192" s="162"/>
    </row>
    <row r="1193" spans="2:13" ht="12.75" customHeight="1">
      <c r="B1193" s="229" t="s">
        <v>289</v>
      </c>
      <c r="C1193" s="251" t="s">
        <v>331</v>
      </c>
      <c r="D1193" s="284">
        <v>6975.89</v>
      </c>
      <c r="E1193" s="282">
        <f t="shared" si="28"/>
        <v>1325.987948830048</v>
      </c>
      <c r="F1193" s="162"/>
      <c r="G1193" s="162"/>
    </row>
    <row r="1194" spans="2:13">
      <c r="B1194" s="161" t="s">
        <v>291</v>
      </c>
      <c r="C1194" s="248" t="s">
        <v>353</v>
      </c>
      <c r="D1194" s="284">
        <v>873.91399999999999</v>
      </c>
      <c r="E1194" s="282">
        <f t="shared" si="28"/>
        <v>166.1149233020966</v>
      </c>
      <c r="F1194" s="162"/>
      <c r="G1194" s="162"/>
    </row>
    <row r="1195" spans="2:13">
      <c r="B1195" s="161" t="s">
        <v>293</v>
      </c>
      <c r="C1195" s="248" t="s">
        <v>354</v>
      </c>
      <c r="D1195" s="284">
        <v>894.51099999999997</v>
      </c>
      <c r="E1195" s="282">
        <f t="shared" si="28"/>
        <v>170.03003288410727</v>
      </c>
      <c r="F1195" s="162"/>
      <c r="G1195" s="162"/>
    </row>
    <row r="1196" spans="2:13">
      <c r="B1196" s="161" t="s">
        <v>316</v>
      </c>
      <c r="C1196" s="249">
        <v>5.5E-2</v>
      </c>
      <c r="D1196" s="284">
        <v>193.375</v>
      </c>
      <c r="E1196" s="282">
        <f t="shared" si="28"/>
        <v>36.757018761048485</v>
      </c>
      <c r="F1196" s="162"/>
      <c r="G1196" s="162"/>
    </row>
    <row r="1197" spans="2:13">
      <c r="B1197" s="161" t="s">
        <v>318</v>
      </c>
      <c r="C1197" s="249">
        <v>5.8000000000000003E-2</v>
      </c>
      <c r="D1197" s="284">
        <v>5135.5649999999996</v>
      </c>
      <c r="E1197" s="282">
        <f t="shared" si="28"/>
        <v>976.17612955958089</v>
      </c>
      <c r="F1197" s="162"/>
      <c r="G1197" s="162"/>
    </row>
    <row r="1198" spans="2:13">
      <c r="B1198" s="161" t="s">
        <v>298</v>
      </c>
      <c r="C1198" s="249">
        <v>0.245</v>
      </c>
      <c r="D1198" s="775">
        <v>74.997</v>
      </c>
      <c r="E1198" s="282">
        <f t="shared" si="28"/>
        <v>14.255545629074872</v>
      </c>
      <c r="F1198" s="162"/>
      <c r="G1198" s="162"/>
    </row>
    <row r="1199" spans="2:13">
      <c r="B1199" s="265" t="s">
        <v>334</v>
      </c>
      <c r="C1199" s="265"/>
      <c r="D1199" s="266">
        <f>D1185+SUM(D1192:D1198)</f>
        <v>18741.589</v>
      </c>
      <c r="E1199" s="266">
        <f>E1185+SUM(E1192:E1198)</f>
        <v>3562.4301925526042</v>
      </c>
      <c r="F1199" s="267">
        <f>+D1199/D1207</f>
        <v>2.1326322188145488</v>
      </c>
      <c r="G1199" s="267">
        <f>+E1199/E1207</f>
        <v>1.9286480084118642</v>
      </c>
    </row>
    <row r="1200" spans="2:13">
      <c r="B1200" s="44" t="s">
        <v>11</v>
      </c>
      <c r="C1200" s="44"/>
      <c r="D1200" s="271">
        <v>7419.2389999999996</v>
      </c>
      <c r="E1200" s="271">
        <f t="shared" si="28"/>
        <v>1410.2604117166263</v>
      </c>
      <c r="F1200" s="47"/>
      <c r="G1200" s="47"/>
    </row>
    <row r="1201" spans="2:7">
      <c r="B1201" s="268" t="s">
        <v>335</v>
      </c>
      <c r="C1201" s="268"/>
      <c r="D1201" s="269">
        <f>+D1199-D1200</f>
        <v>11322.35</v>
      </c>
      <c r="E1201" s="269">
        <f>+E1199-E1200</f>
        <v>2152.1697808359777</v>
      </c>
      <c r="F1201" s="270">
        <f>+D1201/D1207</f>
        <v>1.2883864011047785</v>
      </c>
      <c r="G1201" s="270">
        <f>+E1201/E1207</f>
        <v>1.1651534871478648</v>
      </c>
    </row>
    <row r="1202" spans="2:7">
      <c r="B1202" s="161" t="s">
        <v>336</v>
      </c>
      <c r="C1202" s="249"/>
      <c r="D1202" s="775">
        <f>D1191</f>
        <v>1413.9559999999999</v>
      </c>
      <c r="E1202" s="775">
        <f t="shared" si="28"/>
        <v>268.76694101769658</v>
      </c>
      <c r="F1202" s="257"/>
      <c r="G1202" s="257"/>
    </row>
    <row r="1203" spans="2:7">
      <c r="B1203" s="268" t="s">
        <v>337</v>
      </c>
      <c r="C1203" s="268"/>
      <c r="D1203" s="269">
        <f>+D1199+D1191</f>
        <v>20155.544999999998</v>
      </c>
      <c r="E1203" s="269">
        <f>+E1199+E1191</f>
        <v>3831.1971335703006</v>
      </c>
      <c r="F1203" s="270">
        <f>+D1203/D1207</f>
        <v>2.2935282944667326</v>
      </c>
      <c r="G1203" s="270">
        <f>+E1203/E1207</f>
        <v>2.0741545299443769</v>
      </c>
    </row>
    <row r="1204" spans="2:7">
      <c r="B1204" s="268" t="s">
        <v>338</v>
      </c>
      <c r="C1204" s="268"/>
      <c r="D1204" s="269">
        <f>D1201+D1202</f>
        <v>12736.306</v>
      </c>
      <c r="E1204" s="269">
        <f>E1201+E1202</f>
        <v>2420.9367218536745</v>
      </c>
      <c r="F1204" s="270">
        <f>+D1204/D1207</f>
        <v>1.4492824767569628</v>
      </c>
      <c r="G1204" s="270">
        <f>+E1204/E1207</f>
        <v>1.3106600086803779</v>
      </c>
    </row>
    <row r="1205" spans="2:7">
      <c r="B1205" s="84" t="s">
        <v>17</v>
      </c>
      <c r="C1205" s="84"/>
      <c r="D1205" s="177">
        <v>16053.554</v>
      </c>
      <c r="E1205" s="177">
        <f>D1205/$C$1227</f>
        <v>3051.4843467847704</v>
      </c>
      <c r="F1205" s="85"/>
      <c r="G1205" s="85"/>
    </row>
    <row r="1206" spans="2:7">
      <c r="B1206" s="84" t="s">
        <v>20</v>
      </c>
      <c r="C1206" s="84"/>
      <c r="D1206" s="177">
        <f>D1199+D1205</f>
        <v>34795.142999999996</v>
      </c>
      <c r="E1206" s="177">
        <f>E1199+E1205</f>
        <v>6613.9145393373747</v>
      </c>
      <c r="F1206" s="85"/>
      <c r="G1206" s="85"/>
    </row>
    <row r="1207" spans="2:7">
      <c r="B1207" s="44" t="s">
        <v>23</v>
      </c>
      <c r="C1207" s="44"/>
      <c r="D1207" s="281">
        <v>8788.007999999998</v>
      </c>
      <c r="E1207" s="281">
        <v>1847.1126804968783</v>
      </c>
      <c r="F1207" s="44"/>
    </row>
    <row r="1210" spans="2:7">
      <c r="B1210" s="36" t="s">
        <v>355</v>
      </c>
      <c r="D1210" s="387">
        <v>26671.4</v>
      </c>
      <c r="E1210" s="255"/>
    </row>
    <row r="1211" spans="2:7">
      <c r="B1211" s="36" t="s">
        <v>51</v>
      </c>
      <c r="D1211" s="227">
        <f>D1210+D1201</f>
        <v>37993.75</v>
      </c>
      <c r="E1211" s="227"/>
    </row>
    <row r="1212" spans="2:7">
      <c r="B1212" s="80" t="s">
        <v>52</v>
      </c>
      <c r="D1212" s="228">
        <f>D1211/D1207</f>
        <v>4.3233631557913927</v>
      </c>
      <c r="E1212" s="228"/>
    </row>
    <row r="1213" spans="2:7" ht="13.5" thickBot="1">
      <c r="B1213" s="80"/>
      <c r="D1213" s="228"/>
    </row>
    <row r="1214" spans="2:7">
      <c r="B1214" s="234" t="s">
        <v>356</v>
      </c>
      <c r="C1214" s="240" t="s">
        <v>54</v>
      </c>
      <c r="D1214" s="232" t="s">
        <v>55</v>
      </c>
    </row>
    <row r="1215" spans="2:7">
      <c r="B1215" s="239" t="s">
        <v>56</v>
      </c>
      <c r="C1215" s="253">
        <v>13717</v>
      </c>
      <c r="D1215" s="237">
        <f>+C1215/$C$1227</f>
        <v>2607.3485525290348</v>
      </c>
    </row>
    <row r="1216" spans="2:7">
      <c r="B1216" s="239" t="s">
        <v>57</v>
      </c>
      <c r="C1216" s="253">
        <v>925</v>
      </c>
      <c r="D1216" s="237">
        <f>+C1216/$C$1227</f>
        <v>175.82542910908779</v>
      </c>
    </row>
    <row r="1217" spans="2:4">
      <c r="B1217" s="239" t="s">
        <v>58</v>
      </c>
      <c r="C1217" s="253">
        <v>4096</v>
      </c>
      <c r="D1217" s="237">
        <f>+C1217/$C$1227</f>
        <v>778.57400824953902</v>
      </c>
    </row>
    <row r="1218" spans="2:4">
      <c r="B1218" s="239" t="s">
        <v>341</v>
      </c>
      <c r="C1218" s="253">
        <f>D1202</f>
        <v>1413.9559999999999</v>
      </c>
      <c r="D1218" s="237">
        <f>+C1218/$C$1227</f>
        <v>268.76694101769658</v>
      </c>
    </row>
    <row r="1219" spans="2:4" ht="13.5" thickBot="1">
      <c r="B1219" s="245" t="s">
        <v>61</v>
      </c>
      <c r="C1219" s="246">
        <f>SUM(C1215:C1218)</f>
        <v>20151.955999999998</v>
      </c>
      <c r="D1219" s="247">
        <f>SUM(D1215:D1218)</f>
        <v>3830.5149309053586</v>
      </c>
    </row>
    <row r="1220" spans="2:4" ht="13.5" thickBot="1"/>
    <row r="1221" spans="2:4">
      <c r="B1221" s="140" t="s">
        <v>357</v>
      </c>
      <c r="C1221" s="240" t="s">
        <v>54</v>
      </c>
      <c r="D1221" s="232" t="s">
        <v>55</v>
      </c>
    </row>
    <row r="1222" spans="2:4">
      <c r="B1222" s="141" t="s">
        <v>321</v>
      </c>
      <c r="C1222" s="241"/>
      <c r="D1222" s="142"/>
    </row>
    <row r="1223" spans="2:4">
      <c r="B1223" s="141" t="s">
        <v>64</v>
      </c>
      <c r="C1223" s="242">
        <f>D1200</f>
        <v>7419.2389999999996</v>
      </c>
      <c r="D1223" s="237">
        <f>+C1223/$C$1227</f>
        <v>1410.2604117166263</v>
      </c>
    </row>
    <row r="1224" spans="2:4" ht="13.5" thickBot="1">
      <c r="B1224" s="143" t="s">
        <v>65</v>
      </c>
      <c r="C1224" s="243">
        <f>SUM(C1222:C1223)</f>
        <v>7419.2389999999996</v>
      </c>
      <c r="D1224" s="236">
        <f>SUM(D1222:D1223)</f>
        <v>1410.2604117166263</v>
      </c>
    </row>
    <row r="1226" spans="2:4">
      <c r="D1226" s="39"/>
    </row>
    <row r="1227" spans="2:4" ht="13.5" thickBot="1">
      <c r="B1227" s="36" t="s">
        <v>358</v>
      </c>
      <c r="C1227" s="36">
        <v>5.2609000000000004</v>
      </c>
    </row>
    <row r="1228" spans="2:4">
      <c r="B1228" s="234" t="s">
        <v>359</v>
      </c>
      <c r="C1228" s="240" t="s">
        <v>54</v>
      </c>
      <c r="D1228" s="232" t="s">
        <v>55</v>
      </c>
    </row>
    <row r="1229" spans="2:4">
      <c r="B1229" s="86" t="s">
        <v>68</v>
      </c>
      <c r="C1229" s="253">
        <v>7035.9089999999997</v>
      </c>
      <c r="D1229" s="237">
        <f>+C1229/$C$1227</f>
        <v>1337.3964530783705</v>
      </c>
    </row>
    <row r="1230" spans="2:4">
      <c r="B1230" s="86" t="s">
        <v>69</v>
      </c>
      <c r="C1230" s="253">
        <v>13119.6</v>
      </c>
      <c r="D1230" s="237">
        <f>+C1230/$C$1227</f>
        <v>2493.7938375563117</v>
      </c>
    </row>
    <row r="1231" spans="2:4" ht="13.5" thickBot="1">
      <c r="B1231" s="87"/>
      <c r="C1231" s="244"/>
      <c r="D1231" s="233"/>
    </row>
    <row r="1232" spans="2:4">
      <c r="B1232" s="80" t="s">
        <v>70</v>
      </c>
      <c r="C1232" s="238">
        <f>C1229+C1230</f>
        <v>20155.508999999998</v>
      </c>
      <c r="D1232" s="220">
        <f>D1229+D1230</f>
        <v>3831.1902906346822</v>
      </c>
    </row>
    <row r="1234" spans="2:12">
      <c r="B1234" s="80" t="s">
        <v>303</v>
      </c>
    </row>
    <row r="1235" spans="2:12">
      <c r="B1235" s="36" t="s">
        <v>304</v>
      </c>
      <c r="C1235" s="226">
        <v>0.48</v>
      </c>
    </row>
    <row r="1236" spans="2:12">
      <c r="B1236" s="36" t="s">
        <v>305</v>
      </c>
      <c r="C1236" s="226">
        <v>0.36</v>
      </c>
    </row>
    <row r="1237" spans="2:12">
      <c r="B1237" s="36" t="s">
        <v>306</v>
      </c>
      <c r="C1237" s="226">
        <v>0.08</v>
      </c>
    </row>
    <row r="1238" spans="2:12">
      <c r="B1238" s="36" t="s">
        <v>59</v>
      </c>
      <c r="C1238" s="226">
        <v>0.08</v>
      </c>
    </row>
    <row r="1240" spans="2:12">
      <c r="B1240" s="80" t="s">
        <v>307</v>
      </c>
    </row>
    <row r="1241" spans="2:12">
      <c r="B1241" s="36" t="s">
        <v>304</v>
      </c>
      <c r="C1241" s="226">
        <v>0.31</v>
      </c>
    </row>
    <row r="1242" spans="2:12">
      <c r="B1242" s="36" t="s">
        <v>305</v>
      </c>
      <c r="C1242" s="226">
        <v>0.11</v>
      </c>
    </row>
    <row r="1243" spans="2:12">
      <c r="B1243" s="36" t="s">
        <v>306</v>
      </c>
      <c r="C1243" s="226">
        <v>0.5</v>
      </c>
      <c r="I1243" s="35"/>
      <c r="J1243" s="35"/>
      <c r="K1243" s="35"/>
      <c r="L1243" s="35"/>
    </row>
    <row r="1244" spans="2:12">
      <c r="B1244" s="36" t="s">
        <v>59</v>
      </c>
      <c r="C1244" s="226">
        <v>0.08</v>
      </c>
    </row>
    <row r="1246" spans="2:12">
      <c r="B1246" s="80" t="s">
        <v>308</v>
      </c>
    </row>
    <row r="1247" spans="2:12">
      <c r="B1247" s="36" t="s">
        <v>304</v>
      </c>
      <c r="C1247" s="226">
        <v>0.74</v>
      </c>
    </row>
    <row r="1248" spans="2:12">
      <c r="B1248" s="36" t="s">
        <v>305</v>
      </c>
      <c r="C1248" s="226">
        <v>0.26</v>
      </c>
    </row>
    <row r="1251" spans="1:14">
      <c r="B1251" s="256" t="s">
        <v>360</v>
      </c>
      <c r="C1251" s="256"/>
      <c r="D1251" s="256"/>
      <c r="E1251" s="256"/>
      <c r="F1251" s="256"/>
      <c r="G1251" s="256"/>
      <c r="I1251" s="273" t="s">
        <v>1</v>
      </c>
    </row>
    <row r="1252" spans="1:14" ht="25.5">
      <c r="B1252" s="34"/>
      <c r="C1252" s="212" t="s">
        <v>3</v>
      </c>
      <c r="D1252" s="212" t="s">
        <v>4</v>
      </c>
      <c r="E1252" s="212" t="s">
        <v>5</v>
      </c>
      <c r="F1252" s="212" t="s">
        <v>6</v>
      </c>
      <c r="G1252" s="212" t="s">
        <v>7</v>
      </c>
      <c r="I1252" s="256" t="s">
        <v>360</v>
      </c>
      <c r="J1252" s="256"/>
      <c r="K1252" s="256"/>
      <c r="L1252" s="256"/>
      <c r="M1252" s="256"/>
    </row>
    <row r="1253" spans="1:14">
      <c r="B1253" s="161" t="s">
        <v>361</v>
      </c>
      <c r="C1253" s="248" t="s">
        <v>325</v>
      </c>
      <c r="D1253" s="776">
        <v>4.9139999999999997</v>
      </c>
      <c r="E1253" s="257">
        <f>D1253/$C$1291</f>
        <v>0.82033988848452466</v>
      </c>
      <c r="F1253" s="162"/>
      <c r="G1253" s="162"/>
      <c r="I1253" s="34"/>
      <c r="J1253" s="34" t="s">
        <v>4</v>
      </c>
      <c r="K1253" s="34" t="s">
        <v>5</v>
      </c>
      <c r="L1253" s="37" t="s">
        <v>6</v>
      </c>
      <c r="M1253" s="37" t="s">
        <v>6</v>
      </c>
    </row>
    <row r="1254" spans="1:14">
      <c r="B1254" s="161" t="s">
        <v>362</v>
      </c>
      <c r="C1254" s="249" t="s">
        <v>363</v>
      </c>
      <c r="D1254" s="776">
        <v>168.72200000000001</v>
      </c>
      <c r="E1254" s="257">
        <f>D1254/$C$1291</f>
        <v>28.166338352642651</v>
      </c>
      <c r="F1254" s="162"/>
      <c r="G1254" s="162"/>
      <c r="I1254" s="45" t="s">
        <v>8</v>
      </c>
      <c r="J1254" s="175">
        <f>+J1255+J1256</f>
        <v>23055</v>
      </c>
      <c r="K1254" s="175">
        <f>+K1255+K1256</f>
        <v>3848.7863510400325</v>
      </c>
      <c r="L1254" s="46">
        <f>+J1254/J1259</f>
        <v>2.7818423820534428</v>
      </c>
      <c r="M1254" s="46">
        <f>+K1254/K1259</f>
        <v>2.5645501296139912</v>
      </c>
    </row>
    <row r="1255" spans="1:14">
      <c r="B1255" s="161" t="s">
        <v>364</v>
      </c>
      <c r="C1255" s="249" t="s">
        <v>365</v>
      </c>
      <c r="D1255" s="263">
        <f>3.81</f>
        <v>3.81</v>
      </c>
      <c r="E1255" s="257">
        <f>D1255/$C$1291</f>
        <v>0.63603886347701244</v>
      </c>
      <c r="F1255" s="162"/>
      <c r="G1255" s="162"/>
      <c r="I1255" s="44" t="s">
        <v>11</v>
      </c>
      <c r="J1255" s="260">
        <v>8749</v>
      </c>
      <c r="K1255" s="257">
        <f>J1255/$C$1291</f>
        <v>1460.5522353176857</v>
      </c>
      <c r="L1255" s="47"/>
      <c r="M1255" s="47"/>
    </row>
    <row r="1256" spans="1:14">
      <c r="B1256" s="209" t="s">
        <v>31</v>
      </c>
      <c r="C1256" s="250"/>
      <c r="D1256" s="264">
        <f>SUM(D1253:D1255)</f>
        <v>177.446</v>
      </c>
      <c r="E1256" s="210">
        <f>SUM(E1253:E1255)</f>
        <v>29.622717104604188</v>
      </c>
      <c r="F1256" s="222"/>
      <c r="G1256" s="222"/>
      <c r="I1256" s="45" t="s">
        <v>14</v>
      </c>
      <c r="J1256" s="259">
        <v>14306</v>
      </c>
      <c r="K1256" s="258">
        <f>J1256/$C$1291</f>
        <v>2388.2341157223468</v>
      </c>
      <c r="L1256" s="46">
        <f>+J1256/J1259</f>
        <v>1.7261781443355695</v>
      </c>
      <c r="M1256" s="46">
        <f>+K1256/K1259</f>
        <v>1.5913447909025271</v>
      </c>
    </row>
    <row r="1257" spans="1:14">
      <c r="B1257" s="161" t="s">
        <v>366</v>
      </c>
      <c r="C1257" s="248" t="s">
        <v>352</v>
      </c>
      <c r="D1257" s="263">
        <v>5113.259</v>
      </c>
      <c r="E1257" s="257">
        <f t="shared" ref="E1257:E1263" si="29">D1257/$C$1291</f>
        <v>853.60405328703553</v>
      </c>
      <c r="F1257" s="162"/>
      <c r="G1257" s="162"/>
      <c r="I1257" s="84" t="s">
        <v>17</v>
      </c>
      <c r="J1257" s="177">
        <v>14890.892</v>
      </c>
      <c r="K1257" s="257">
        <f>J1257/$C$1291</f>
        <v>2485.87559680812</v>
      </c>
      <c r="L1257" s="85"/>
      <c r="M1257" s="85"/>
    </row>
    <row r="1258" spans="1:14" s="35" customFormat="1">
      <c r="A1258" s="36"/>
      <c r="B1258" s="229" t="s">
        <v>367</v>
      </c>
      <c r="C1258" s="251" t="s">
        <v>368</v>
      </c>
      <c r="D1258" s="263">
        <v>8135.68</v>
      </c>
      <c r="E1258" s="257">
        <f t="shared" si="29"/>
        <v>1358.1650028379688</v>
      </c>
      <c r="F1258" s="162"/>
      <c r="G1258" s="162"/>
      <c r="H1258" s="36"/>
      <c r="I1258" s="84" t="s">
        <v>20</v>
      </c>
      <c r="J1258" s="177">
        <f>J1254+J1257</f>
        <v>37945.892</v>
      </c>
      <c r="K1258" s="177">
        <f>K1254+K1257</f>
        <v>6334.6619478481525</v>
      </c>
      <c r="L1258" s="85"/>
      <c r="M1258" s="85"/>
      <c r="N1258" s="36"/>
    </row>
    <row r="1259" spans="1:14" ht="14.1" customHeight="1">
      <c r="B1259" s="161" t="s">
        <v>369</v>
      </c>
      <c r="C1259" s="248" t="s">
        <v>353</v>
      </c>
      <c r="D1259" s="263">
        <v>1405.8789999999999</v>
      </c>
      <c r="E1259" s="257">
        <f t="shared" si="29"/>
        <v>234.6965042903409</v>
      </c>
      <c r="F1259" s="162"/>
      <c r="G1259" s="162"/>
      <c r="I1259" s="44" t="s">
        <v>23</v>
      </c>
      <c r="J1259" s="6">
        <v>8287.6729999999989</v>
      </c>
      <c r="K1259" s="6">
        <v>1500.7647175995505</v>
      </c>
      <c r="L1259" s="44"/>
      <c r="M1259" s="44"/>
    </row>
    <row r="1260" spans="1:14" ht="14.1" customHeight="1">
      <c r="B1260" s="161" t="s">
        <v>370</v>
      </c>
      <c r="C1260" s="248" t="s">
        <v>371</v>
      </c>
      <c r="D1260" s="263">
        <v>1026.972</v>
      </c>
      <c r="E1260" s="257">
        <f t="shared" si="29"/>
        <v>171.4420219692164</v>
      </c>
      <c r="F1260" s="162"/>
      <c r="G1260" s="162"/>
    </row>
    <row r="1261" spans="1:14" ht="14.1" customHeight="1">
      <c r="B1261" s="161" t="s">
        <v>372</v>
      </c>
      <c r="C1261" s="249">
        <v>5.5E-2</v>
      </c>
      <c r="D1261" s="263">
        <v>179.922</v>
      </c>
      <c r="E1261" s="257">
        <f t="shared" si="29"/>
        <v>30.036058896197122</v>
      </c>
      <c r="F1261" s="162"/>
      <c r="G1261" s="162"/>
    </row>
    <row r="1262" spans="1:14" ht="14.1" customHeight="1">
      <c r="B1262" s="161" t="s">
        <v>373</v>
      </c>
      <c r="C1262" s="249">
        <v>5.8000000000000003E-2</v>
      </c>
      <c r="D1262" s="263">
        <v>5929.5389999999998</v>
      </c>
      <c r="E1262" s="257">
        <f t="shared" si="29"/>
        <v>989.87329304530738</v>
      </c>
      <c r="F1262" s="162"/>
      <c r="G1262" s="162"/>
    </row>
    <row r="1263" spans="1:14" ht="14.1" customHeight="1">
      <c r="B1263" s="161" t="s">
        <v>374</v>
      </c>
      <c r="C1263" s="249">
        <v>0.13700000000000001</v>
      </c>
      <c r="D1263" s="775">
        <v>0</v>
      </c>
      <c r="E1263" s="774">
        <f t="shared" si="29"/>
        <v>0</v>
      </c>
      <c r="F1263" s="162"/>
      <c r="G1263" s="162"/>
    </row>
    <row r="1264" spans="1:14" ht="14.1" customHeight="1">
      <c r="B1264" s="265" t="s">
        <v>8</v>
      </c>
      <c r="C1264" s="265"/>
      <c r="D1264" s="266">
        <f>SUM(D1256:D1263)</f>
        <v>21968.697</v>
      </c>
      <c r="E1264" s="266">
        <f>SUM(E1256:E1263)</f>
        <v>3667.4396514306704</v>
      </c>
      <c r="F1264" s="267">
        <f>+D1264/D1271</f>
        <v>2.6507678331420657</v>
      </c>
      <c r="G1264" s="267">
        <f>+E1264/E1271</f>
        <v>2.4437139335849274</v>
      </c>
    </row>
    <row r="1265" spans="2:9" ht="14.1" customHeight="1">
      <c r="B1265" s="44" t="s">
        <v>11</v>
      </c>
      <c r="C1265" s="44"/>
      <c r="D1265" s="271">
        <v>8749.1910000000007</v>
      </c>
      <c r="E1265" s="272">
        <f>D1265/$C$1291</f>
        <v>1460.5841207305268</v>
      </c>
      <c r="F1265" s="47"/>
      <c r="G1265" s="47"/>
      <c r="I1265" s="285"/>
    </row>
    <row r="1266" spans="2:9" ht="14.1" customHeight="1">
      <c r="B1266" s="268" t="s">
        <v>335</v>
      </c>
      <c r="C1266" s="268"/>
      <c r="D1266" s="269">
        <f>+D1264-D1265</f>
        <v>13219.505999999999</v>
      </c>
      <c r="E1266" s="269">
        <f>+E1264-E1265</f>
        <v>2206.8555307001434</v>
      </c>
      <c r="F1266" s="270">
        <f>+D1266/D1271</f>
        <v>1.5950805491481144</v>
      </c>
      <c r="G1266" s="270">
        <f>+E1266/E1271</f>
        <v>1.4704873487630852</v>
      </c>
    </row>
    <row r="1267" spans="2:9" ht="14.1" customHeight="1">
      <c r="B1267" s="161" t="s">
        <v>375</v>
      </c>
      <c r="C1267" s="249"/>
      <c r="D1267" s="776">
        <f>335.148+751.253</f>
        <v>1086.4010000000001</v>
      </c>
      <c r="E1267" s="257">
        <f>D1267/$C$1291</f>
        <v>181.36305966411808</v>
      </c>
      <c r="F1267" s="257"/>
      <c r="G1267" s="257"/>
    </row>
    <row r="1268" spans="2:9" ht="14.1" customHeight="1">
      <c r="B1268" s="268" t="s">
        <v>338</v>
      </c>
      <c r="C1268" s="268"/>
      <c r="D1268" s="269">
        <f>D1266+D1267</f>
        <v>14305.906999999999</v>
      </c>
      <c r="E1268" s="269">
        <f>E1266+E1267</f>
        <v>2388.2185903642617</v>
      </c>
      <c r="F1268" s="270">
        <f>+D1268/D1271</f>
        <v>1.7261669228503587</v>
      </c>
      <c r="G1268" s="270">
        <f>+E1268/E1271</f>
        <v>1.5913344459377881</v>
      </c>
    </row>
    <row r="1269" spans="2:9" ht="14.1" customHeight="1">
      <c r="B1269" s="84" t="s">
        <v>17</v>
      </c>
      <c r="C1269" s="84"/>
      <c r="D1269" s="177">
        <v>14890.892</v>
      </c>
      <c r="E1269" s="257">
        <f>D1269/$C$1291</f>
        <v>2485.87559680812</v>
      </c>
      <c r="F1269" s="85"/>
      <c r="G1269" s="85"/>
    </row>
    <row r="1270" spans="2:9" ht="14.1" customHeight="1">
      <c r="B1270" s="84" t="s">
        <v>20</v>
      </c>
      <c r="C1270" s="84"/>
      <c r="D1270" s="177">
        <f>D1264+D1269</f>
        <v>36859.589</v>
      </c>
      <c r="E1270" s="177">
        <f>E1264+E1269</f>
        <v>6153.3152482387904</v>
      </c>
      <c r="F1270" s="85"/>
      <c r="G1270" s="85"/>
    </row>
    <row r="1271" spans="2:9" ht="14.1" customHeight="1">
      <c r="B1271" s="44" t="s">
        <v>23</v>
      </c>
      <c r="C1271" s="44"/>
      <c r="D1271" s="6">
        <v>8287.6729999999989</v>
      </c>
      <c r="E1271" s="6">
        <v>1500.7647175995505</v>
      </c>
      <c r="F1271" s="44"/>
    </row>
    <row r="1274" spans="2:9">
      <c r="B1274" s="36" t="s">
        <v>376</v>
      </c>
      <c r="D1274" s="255">
        <v>25300</v>
      </c>
      <c r="E1274" s="255"/>
    </row>
    <row r="1275" spans="2:9">
      <c r="B1275" s="36" t="s">
        <v>51</v>
      </c>
      <c r="D1275" s="227">
        <f>D1274+D1266</f>
        <v>38519.506000000001</v>
      </c>
      <c r="E1275" s="227"/>
    </row>
    <row r="1276" spans="2:9">
      <c r="B1276" s="80" t="s">
        <v>52</v>
      </c>
      <c r="D1276" s="228">
        <f>D1275/D1271</f>
        <v>4.6478071709634303</v>
      </c>
      <c r="E1276" s="228"/>
    </row>
    <row r="1277" spans="2:9" ht="13.5" thickBot="1">
      <c r="B1277" s="80"/>
      <c r="D1277" s="228"/>
    </row>
    <row r="1278" spans="2:9">
      <c r="B1278" s="234" t="s">
        <v>377</v>
      </c>
      <c r="C1278" s="240" t="s">
        <v>54</v>
      </c>
      <c r="D1278" s="232" t="s">
        <v>55</v>
      </c>
    </row>
    <row r="1279" spans="2:9">
      <c r="B1279" s="239" t="s">
        <v>56</v>
      </c>
      <c r="C1279" s="253">
        <v>15776</v>
      </c>
      <c r="D1279" s="237">
        <f>+C1279/$C$1291</f>
        <v>2633.6349370638709</v>
      </c>
    </row>
    <row r="1280" spans="2:9">
      <c r="B1280" s="239" t="s">
        <v>57</v>
      </c>
      <c r="C1280" s="253">
        <v>1027</v>
      </c>
      <c r="D1280" s="237">
        <f>+C1280/$C$1291</f>
        <v>171.44669627057527</v>
      </c>
    </row>
    <row r="1281" spans="2:4">
      <c r="B1281" s="239" t="s">
        <v>58</v>
      </c>
      <c r="C1281" s="253">
        <v>5161</v>
      </c>
      <c r="D1281" s="237">
        <f>+C1281/$C$1291</f>
        <v>861.57390404327066</v>
      </c>
    </row>
    <row r="1282" spans="2:4">
      <c r="B1282" s="239" t="s">
        <v>341</v>
      </c>
      <c r="C1282" s="253">
        <f>335.148+751.253</f>
        <v>1086.4010000000001</v>
      </c>
      <c r="D1282" s="237">
        <f>+C1282/$C$1291</f>
        <v>181.36305966411808</v>
      </c>
    </row>
    <row r="1283" spans="2:4" ht="13.5" thickBot="1">
      <c r="B1283" s="245" t="s">
        <v>61</v>
      </c>
      <c r="C1283" s="246">
        <f>SUM(C1279:C1282)</f>
        <v>23050.401000000002</v>
      </c>
      <c r="D1283" s="247">
        <f>SUM(D1279:D1282)</f>
        <v>3848.0185970418347</v>
      </c>
    </row>
    <row r="1284" spans="2:4" ht="13.5" thickBot="1"/>
    <row r="1285" spans="2:4">
      <c r="B1285" s="140" t="s">
        <v>378</v>
      </c>
      <c r="C1285" s="240" t="s">
        <v>54</v>
      </c>
      <c r="D1285" s="232" t="s">
        <v>55</v>
      </c>
    </row>
    <row r="1286" spans="2:4">
      <c r="B1286" s="141" t="s">
        <v>321</v>
      </c>
      <c r="C1286" s="241"/>
      <c r="D1286" s="142"/>
    </row>
    <row r="1287" spans="2:4">
      <c r="B1287" s="141" t="s">
        <v>64</v>
      </c>
      <c r="C1287" s="242">
        <f>D1265</f>
        <v>8749.1910000000007</v>
      </c>
      <c r="D1287" s="237">
        <f>+C1287/$C$1291</f>
        <v>1460.5841207305268</v>
      </c>
    </row>
    <row r="1288" spans="2:4" ht="13.5" thickBot="1">
      <c r="B1288" s="143" t="s">
        <v>65</v>
      </c>
      <c r="C1288" s="243">
        <f>SUM(C1286:C1287)</f>
        <v>8749.1910000000007</v>
      </c>
      <c r="D1288" s="236">
        <f>SUM(D1286:D1287)</f>
        <v>1460.5841207305268</v>
      </c>
    </row>
    <row r="1290" spans="2:4">
      <c r="D1290" s="39"/>
    </row>
    <row r="1291" spans="2:4" ht="13.5" thickBot="1">
      <c r="B1291" s="36" t="s">
        <v>379</v>
      </c>
      <c r="C1291" s="36">
        <v>5.9901999999999997</v>
      </c>
    </row>
    <row r="1292" spans="2:4" ht="12" customHeight="1">
      <c r="B1292" s="234" t="s">
        <v>380</v>
      </c>
      <c r="C1292" s="240" t="s">
        <v>54</v>
      </c>
      <c r="D1292" s="232" t="s">
        <v>55</v>
      </c>
    </row>
    <row r="1293" spans="2:4">
      <c r="B1293" s="86" t="s">
        <v>68</v>
      </c>
      <c r="C1293" s="253">
        <v>8100.03</v>
      </c>
      <c r="D1293" s="237">
        <f>+C1293/$C$1291</f>
        <v>1352.2136155721012</v>
      </c>
    </row>
    <row r="1294" spans="2:4">
      <c r="B1294" s="86" t="s">
        <v>69</v>
      </c>
      <c r="C1294" s="253">
        <v>14955.067999999999</v>
      </c>
      <c r="D1294" s="237">
        <f>+C1294/$C$1291</f>
        <v>2496.5890955226869</v>
      </c>
    </row>
    <row r="1295" spans="2:4" ht="13.5" thickBot="1">
      <c r="B1295" s="87"/>
      <c r="C1295" s="244"/>
      <c r="D1295" s="233"/>
    </row>
    <row r="1296" spans="2:4">
      <c r="B1296" s="80" t="s">
        <v>70</v>
      </c>
      <c r="C1296" s="238">
        <f>C1293+C1294</f>
        <v>23055.097999999998</v>
      </c>
      <c r="D1296" s="220">
        <f>D1293+D1294</f>
        <v>3848.8027110947878</v>
      </c>
    </row>
    <row r="1298" spans="2:12">
      <c r="B1298" s="80" t="s">
        <v>303</v>
      </c>
    </row>
    <row r="1299" spans="2:12">
      <c r="B1299" s="36" t="s">
        <v>304</v>
      </c>
      <c r="C1299" s="226">
        <v>0.49</v>
      </c>
    </row>
    <row r="1300" spans="2:12">
      <c r="B1300" s="36" t="s">
        <v>305</v>
      </c>
      <c r="C1300" s="226">
        <v>0.36</v>
      </c>
    </row>
    <row r="1301" spans="2:12">
      <c r="B1301" s="36" t="s">
        <v>306</v>
      </c>
      <c r="C1301" s="226">
        <v>0.09</v>
      </c>
    </row>
    <row r="1302" spans="2:12">
      <c r="B1302" s="36" t="s">
        <v>59</v>
      </c>
      <c r="C1302" s="226">
        <v>0.06</v>
      </c>
    </row>
    <row r="1304" spans="2:12">
      <c r="B1304" s="80" t="s">
        <v>307</v>
      </c>
    </row>
    <row r="1305" spans="2:12">
      <c r="B1305" s="36" t="s">
        <v>304</v>
      </c>
      <c r="C1305" s="226">
        <v>0.3</v>
      </c>
      <c r="I1305" s="35"/>
      <c r="J1305" s="35"/>
      <c r="K1305" s="35"/>
      <c r="L1305" s="35"/>
    </row>
    <row r="1306" spans="2:12">
      <c r="B1306" s="36" t="s">
        <v>305</v>
      </c>
      <c r="C1306" s="226">
        <v>0.13</v>
      </c>
    </row>
    <row r="1307" spans="2:12">
      <c r="B1307" s="36" t="s">
        <v>306</v>
      </c>
      <c r="C1307" s="226">
        <v>0.52</v>
      </c>
    </row>
    <row r="1308" spans="2:12">
      <c r="B1308" s="36" t="s">
        <v>59</v>
      </c>
      <c r="C1308" s="226">
        <v>0.05</v>
      </c>
    </row>
    <row r="1310" spans="2:12">
      <c r="B1310" s="80" t="s">
        <v>308</v>
      </c>
    </row>
    <row r="1311" spans="2:12">
      <c r="B1311" s="36" t="s">
        <v>304</v>
      </c>
      <c r="C1311" s="226">
        <v>0.77</v>
      </c>
    </row>
    <row r="1312" spans="2:12">
      <c r="B1312" s="36" t="s">
        <v>305</v>
      </c>
      <c r="C1312" s="226">
        <v>0.23</v>
      </c>
    </row>
    <row r="1316" spans="1:14" ht="38.25">
      <c r="B1316" s="34" t="s">
        <v>4</v>
      </c>
      <c r="C1316" s="212" t="s">
        <v>3</v>
      </c>
      <c r="D1316" s="174" t="s">
        <v>381</v>
      </c>
      <c r="E1316" s="37" t="s">
        <v>6</v>
      </c>
      <c r="F1316" s="35"/>
      <c r="G1316" s="35"/>
    </row>
    <row r="1317" spans="1:14">
      <c r="B1317" s="161" t="s">
        <v>361</v>
      </c>
      <c r="C1317" s="248" t="s">
        <v>325</v>
      </c>
      <c r="D1317" s="774">
        <f>4.357</f>
        <v>4.3570000000000002</v>
      </c>
      <c r="E1317" s="162"/>
      <c r="M1317" s="35"/>
    </row>
    <row r="1318" spans="1:14">
      <c r="A1318" s="35"/>
      <c r="B1318" s="161" t="s">
        <v>362</v>
      </c>
      <c r="C1318" s="249" t="s">
        <v>363</v>
      </c>
      <c r="D1318" s="774">
        <f>128.352</f>
        <v>128.352</v>
      </c>
      <c r="E1318" s="162"/>
      <c r="H1318" s="35"/>
      <c r="N1318" s="35"/>
    </row>
    <row r="1319" spans="1:14" s="35" customFormat="1">
      <c r="A1319" s="36"/>
      <c r="B1319" s="161" t="s">
        <v>382</v>
      </c>
      <c r="C1319" s="248" t="s">
        <v>383</v>
      </c>
      <c r="D1319" s="774">
        <v>2.7E-2</v>
      </c>
      <c r="E1319" s="162"/>
      <c r="F1319" s="36"/>
      <c r="G1319" s="36"/>
      <c r="H1319" s="36"/>
      <c r="I1319" s="36"/>
      <c r="J1319" s="36"/>
      <c r="K1319" s="36"/>
      <c r="L1319" s="36"/>
      <c r="M1319" s="36"/>
      <c r="N1319" s="36"/>
    </row>
    <row r="1320" spans="1:14" ht="14.1" customHeight="1">
      <c r="B1320" s="161" t="s">
        <v>364</v>
      </c>
      <c r="C1320" s="249" t="s">
        <v>365</v>
      </c>
      <c r="D1320" s="774">
        <f>3.814</f>
        <v>3.8140000000000001</v>
      </c>
      <c r="E1320" s="162"/>
    </row>
    <row r="1321" spans="1:14" ht="14.1" customHeight="1">
      <c r="B1321" s="161" t="s">
        <v>375</v>
      </c>
      <c r="C1321" s="249"/>
      <c r="D1321" s="774">
        <f>497.671+638.738</f>
        <v>1136.4090000000001</v>
      </c>
      <c r="E1321" s="162"/>
    </row>
    <row r="1322" spans="1:14" ht="14.1" customHeight="1">
      <c r="B1322" s="209" t="s">
        <v>31</v>
      </c>
      <c r="C1322" s="250"/>
      <c r="D1322" s="210">
        <f>SUM(D1317:D1321)</f>
        <v>1272.9590000000001</v>
      </c>
      <c r="E1322" s="222">
        <f>D1322/D1335</f>
        <v>0.16911454458497188</v>
      </c>
    </row>
    <row r="1323" spans="1:14" ht="14.1" customHeight="1">
      <c r="B1323" s="161" t="s">
        <v>384</v>
      </c>
      <c r="C1323" s="248" t="s">
        <v>385</v>
      </c>
      <c r="D1323" s="211">
        <f>3986.959</f>
        <v>3986.9589999999998</v>
      </c>
      <c r="E1323" s="162"/>
    </row>
    <row r="1324" spans="1:14" ht="14.1" customHeight="1">
      <c r="B1324" s="229" t="s">
        <v>367</v>
      </c>
      <c r="C1324" s="251" t="s">
        <v>386</v>
      </c>
      <c r="D1324" s="211">
        <v>655.803</v>
      </c>
      <c r="E1324" s="162"/>
    </row>
    <row r="1325" spans="1:14" ht="14.1" customHeight="1">
      <c r="B1325" s="161" t="s">
        <v>369</v>
      </c>
      <c r="C1325" s="248" t="s">
        <v>387</v>
      </c>
      <c r="D1325" s="211">
        <v>1628.9179999999999</v>
      </c>
      <c r="E1325" s="162"/>
    </row>
    <row r="1326" spans="1:14" ht="14.1" customHeight="1">
      <c r="B1326" s="161" t="s">
        <v>370</v>
      </c>
      <c r="C1326" s="248" t="s">
        <v>388</v>
      </c>
      <c r="D1326" s="211">
        <v>722.84400000000005</v>
      </c>
      <c r="E1326" s="162"/>
    </row>
    <row r="1327" spans="1:14" ht="14.1" customHeight="1">
      <c r="B1327" s="161" t="s">
        <v>372</v>
      </c>
      <c r="C1327" s="249">
        <v>5.5E-2</v>
      </c>
      <c r="D1327" s="211">
        <v>140.46</v>
      </c>
      <c r="E1327" s="162"/>
    </row>
    <row r="1328" spans="1:14" ht="14.1" customHeight="1">
      <c r="B1328" s="161" t="s">
        <v>389</v>
      </c>
      <c r="C1328" s="249">
        <v>5.8000000000000003E-2</v>
      </c>
      <c r="D1328" s="211">
        <v>4455.7309999999998</v>
      </c>
      <c r="E1328" s="162"/>
    </row>
    <row r="1329" spans="2:5" ht="14.1" customHeight="1">
      <c r="B1329" s="161" t="s">
        <v>374</v>
      </c>
      <c r="C1329" s="249">
        <v>0.13700000000000001</v>
      </c>
      <c r="D1329" s="775">
        <v>124.952</v>
      </c>
      <c r="E1329" s="162"/>
    </row>
    <row r="1330" spans="2:5" ht="14.1" customHeight="1">
      <c r="B1330" s="45" t="s">
        <v>8</v>
      </c>
      <c r="C1330" s="45"/>
      <c r="D1330" s="175">
        <f>SUM(D1322:D1329)</f>
        <v>12988.625999999998</v>
      </c>
      <c r="E1330" s="46">
        <f>+D1330/D1335</f>
        <v>1.7255587735147202</v>
      </c>
    </row>
    <row r="1331" spans="2:5" ht="14.1" customHeight="1">
      <c r="B1331" s="44" t="s">
        <v>11</v>
      </c>
      <c r="C1331" s="44"/>
      <c r="D1331" s="176">
        <v>7080.8530000000001</v>
      </c>
      <c r="E1331" s="47"/>
    </row>
    <row r="1332" spans="2:5" ht="14.1" customHeight="1">
      <c r="B1332" s="45" t="s">
        <v>14</v>
      </c>
      <c r="C1332" s="45"/>
      <c r="D1332" s="175">
        <f>+D1330-D1331</f>
        <v>5907.7729999999983</v>
      </c>
      <c r="E1332" s="46">
        <f>+D1332/D1335</f>
        <v>0.78485665320437881</v>
      </c>
    </row>
    <row r="1333" spans="2:5">
      <c r="B1333" s="84" t="s">
        <v>17</v>
      </c>
      <c r="C1333" s="84"/>
      <c r="D1333" s="177">
        <v>14952.286</v>
      </c>
      <c r="E1333" s="85"/>
    </row>
    <row r="1334" spans="2:5">
      <c r="B1334" s="84" t="s">
        <v>20</v>
      </c>
      <c r="C1334" s="84"/>
      <c r="D1334" s="177">
        <f>D1330+D1333</f>
        <v>27940.911999999997</v>
      </c>
      <c r="E1334" s="85"/>
    </row>
    <row r="1335" spans="2:5">
      <c r="B1335" s="44" t="s">
        <v>23</v>
      </c>
      <c r="C1335" s="44"/>
      <c r="D1335" s="6">
        <v>7527.199999999998</v>
      </c>
      <c r="E1335" s="44"/>
    </row>
    <row r="1337" spans="2:5">
      <c r="B1337" s="36" t="s">
        <v>390</v>
      </c>
      <c r="D1337" s="255">
        <v>25718</v>
      </c>
    </row>
    <row r="1338" spans="2:5">
      <c r="B1338" s="36" t="s">
        <v>51</v>
      </c>
      <c r="D1338" s="227">
        <f>D1337+D1332</f>
        <v>31625.772999999997</v>
      </c>
    </row>
    <row r="1339" spans="2:5">
      <c r="B1339" s="80" t="s">
        <v>52</v>
      </c>
      <c r="D1339" s="228">
        <f>D1338/D1335</f>
        <v>4.2015321766393887</v>
      </c>
    </row>
    <row r="1340" spans="2:5" ht="13.5" thickBot="1">
      <c r="B1340" s="80"/>
      <c r="D1340" s="228"/>
    </row>
    <row r="1341" spans="2:5">
      <c r="B1341" s="234" t="s">
        <v>391</v>
      </c>
      <c r="C1341" s="240" t="s">
        <v>54</v>
      </c>
      <c r="D1341" s="232" t="s">
        <v>55</v>
      </c>
    </row>
    <row r="1342" spans="2:5">
      <c r="B1342" s="239" t="s">
        <v>56</v>
      </c>
      <c r="C1342" s="253">
        <v>12112</v>
      </c>
      <c r="D1342" s="237">
        <f>+C1342/$C$1415</f>
        <v>3067.1832662260376</v>
      </c>
    </row>
    <row r="1343" spans="2:5">
      <c r="B1343" s="239" t="s">
        <v>57</v>
      </c>
      <c r="C1343" s="253">
        <v>749</v>
      </c>
      <c r="D1343" s="237">
        <f>+C1343/$C$1415</f>
        <v>189.67307351414317</v>
      </c>
    </row>
    <row r="1344" spans="2:5">
      <c r="B1344" s="239" t="s">
        <v>58</v>
      </c>
      <c r="C1344" s="253">
        <v>4447</v>
      </c>
      <c r="D1344" s="237">
        <f>+C1344/$C$1415</f>
        <v>1126.1363924130771</v>
      </c>
    </row>
    <row r="1345" spans="2:4">
      <c r="B1345" s="239" t="s">
        <v>341</v>
      </c>
      <c r="C1345" s="253">
        <f>638.738+497.671</f>
        <v>1136.4090000000001</v>
      </c>
      <c r="D1345" s="237">
        <f>+C1345/$C$1415</f>
        <v>287.77862189470488</v>
      </c>
    </row>
    <row r="1346" spans="2:4" ht="13.5" thickBot="1">
      <c r="B1346" s="245" t="s">
        <v>61</v>
      </c>
      <c r="C1346" s="246">
        <f>SUM(C1342:C1345)</f>
        <v>18444.409</v>
      </c>
      <c r="D1346" s="247">
        <f>SUM(D1342:D1345)</f>
        <v>4670.7713540479626</v>
      </c>
    </row>
    <row r="1347" spans="2:4" ht="13.5" thickBot="1"/>
    <row r="1348" spans="2:4">
      <c r="B1348" s="140" t="s">
        <v>392</v>
      </c>
      <c r="C1348" s="240" t="s">
        <v>54</v>
      </c>
      <c r="D1348" s="232" t="s">
        <v>55</v>
      </c>
    </row>
    <row r="1349" spans="2:4">
      <c r="B1349" s="141" t="s">
        <v>321</v>
      </c>
      <c r="C1349" s="241"/>
      <c r="D1349" s="142"/>
    </row>
    <row r="1350" spans="2:4">
      <c r="B1350" s="141" t="s">
        <v>64</v>
      </c>
      <c r="C1350" s="242">
        <f>D1331</f>
        <v>7080.8530000000001</v>
      </c>
      <c r="D1350" s="235">
        <f>C1350/C1354</f>
        <v>1552.5803056548339</v>
      </c>
    </row>
    <row r="1351" spans="2:4" ht="13.5" thickBot="1">
      <c r="B1351" s="143" t="s">
        <v>65</v>
      </c>
      <c r="C1351" s="243">
        <f>SUM(C1349:C1350)</f>
        <v>7080.8530000000001</v>
      </c>
      <c r="D1351" s="236">
        <f>SUM(D1349:D1350)</f>
        <v>1552.5803056548339</v>
      </c>
    </row>
    <row r="1353" spans="2:4" ht="12" customHeight="1">
      <c r="D1353" s="39"/>
    </row>
    <row r="1354" spans="2:4" ht="13.5" thickBot="1">
      <c r="B1354" s="36" t="s">
        <v>393</v>
      </c>
      <c r="C1354" s="36">
        <v>4.5606999999999998</v>
      </c>
    </row>
    <row r="1355" spans="2:4">
      <c r="B1355" s="234" t="s">
        <v>394</v>
      </c>
      <c r="C1355" s="240" t="s">
        <v>54</v>
      </c>
      <c r="D1355" s="232" t="s">
        <v>55</v>
      </c>
    </row>
    <row r="1356" spans="2:4">
      <c r="B1356" s="86" t="s">
        <v>68</v>
      </c>
      <c r="C1356" s="253">
        <v>6688.3040000000001</v>
      </c>
      <c r="D1356" s="237">
        <f>+C1356/$C$1415</f>
        <v>1693.7131859505178</v>
      </c>
    </row>
    <row r="1357" spans="2:4">
      <c r="B1357" s="86" t="s">
        <v>69</v>
      </c>
      <c r="C1357" s="253">
        <v>6800.1210000000001</v>
      </c>
      <c r="D1357" s="237">
        <f>+C1357/$C$1415</f>
        <v>1722.0291726809999</v>
      </c>
    </row>
    <row r="1358" spans="2:4" ht="13.5" thickBot="1">
      <c r="B1358" s="87"/>
      <c r="C1358" s="244"/>
      <c r="D1358" s="233"/>
    </row>
    <row r="1359" spans="2:4">
      <c r="B1359" s="80" t="s">
        <v>70</v>
      </c>
      <c r="C1359" s="238">
        <f>C1356+C1357</f>
        <v>13488.424999999999</v>
      </c>
      <c r="D1359" s="220">
        <f>D1356+D1357</f>
        <v>3415.7423586315176</v>
      </c>
    </row>
    <row r="1361" spans="2:12">
      <c r="B1361" s="80" t="s">
        <v>303</v>
      </c>
    </row>
    <row r="1362" spans="2:12">
      <c r="B1362" s="36" t="s">
        <v>395</v>
      </c>
      <c r="C1362" s="226">
        <v>0.82</v>
      </c>
    </row>
    <row r="1363" spans="2:12">
      <c r="B1363" s="36" t="s">
        <v>396</v>
      </c>
      <c r="C1363" s="226">
        <v>0.18</v>
      </c>
    </row>
    <row r="1365" spans="2:12">
      <c r="B1365" s="80" t="s">
        <v>307</v>
      </c>
    </row>
    <row r="1366" spans="2:12">
      <c r="B1366" s="36" t="s">
        <v>395</v>
      </c>
      <c r="C1366" s="226">
        <v>0.42</v>
      </c>
      <c r="I1366" s="35"/>
      <c r="J1366" s="35"/>
      <c r="K1366" s="35"/>
      <c r="L1366" s="35"/>
    </row>
    <row r="1367" spans="2:12">
      <c r="B1367" s="36" t="s">
        <v>396</v>
      </c>
      <c r="C1367" s="226">
        <v>0.57999999999999996</v>
      </c>
    </row>
    <row r="1369" spans="2:12">
      <c r="B1369" s="80" t="s">
        <v>308</v>
      </c>
    </row>
    <row r="1370" spans="2:12">
      <c r="B1370" s="36" t="s">
        <v>395</v>
      </c>
      <c r="C1370" s="226">
        <v>0.78</v>
      </c>
    </row>
    <row r="1371" spans="2:12">
      <c r="B1371" s="36" t="s">
        <v>396</v>
      </c>
      <c r="C1371" s="226">
        <v>0.22</v>
      </c>
      <c r="G1371" s="36" t="s">
        <v>397</v>
      </c>
    </row>
    <row r="1375" spans="2:12">
      <c r="F1375" s="80"/>
      <c r="G1375" s="160"/>
    </row>
    <row r="1376" spans="2:12">
      <c r="F1376" s="80"/>
      <c r="G1376" s="160"/>
    </row>
    <row r="1377" spans="1:14" ht="51">
      <c r="B1377" s="34" t="s">
        <v>4</v>
      </c>
      <c r="C1377" s="212" t="s">
        <v>3</v>
      </c>
      <c r="D1377" s="174" t="s">
        <v>398</v>
      </c>
      <c r="E1377" s="37" t="s">
        <v>6</v>
      </c>
      <c r="F1377" s="35"/>
      <c r="G1377" s="35"/>
      <c r="H1377" s="160"/>
    </row>
    <row r="1378" spans="1:14">
      <c r="B1378" s="161" t="s">
        <v>361</v>
      </c>
      <c r="C1378" s="248" t="s">
        <v>325</v>
      </c>
      <c r="D1378" s="774">
        <v>4.2220000000000004</v>
      </c>
      <c r="E1378" s="162"/>
      <c r="H1378" s="160"/>
      <c r="M1378" s="35"/>
    </row>
    <row r="1379" spans="1:14">
      <c r="A1379" s="35"/>
      <c r="B1379" s="161" t="s">
        <v>362</v>
      </c>
      <c r="C1379" s="249" t="s">
        <v>363</v>
      </c>
      <c r="D1379" s="774">
        <v>120.193</v>
      </c>
      <c r="E1379" s="162"/>
      <c r="H1379" s="35"/>
      <c r="N1379" s="35"/>
    </row>
    <row r="1380" spans="1:14">
      <c r="B1380" s="161" t="s">
        <v>382</v>
      </c>
      <c r="C1380" s="248" t="s">
        <v>383</v>
      </c>
      <c r="D1380" s="774">
        <v>4.2999999999999997E-2</v>
      </c>
      <c r="E1380" s="162"/>
    </row>
    <row r="1381" spans="1:14">
      <c r="B1381" s="161" t="s">
        <v>364</v>
      </c>
      <c r="C1381" s="249" t="s">
        <v>365</v>
      </c>
      <c r="D1381" s="774">
        <v>3.8149999999999999</v>
      </c>
      <c r="E1381" s="162"/>
    </row>
    <row r="1382" spans="1:14">
      <c r="B1382" s="161" t="s">
        <v>375</v>
      </c>
      <c r="C1382" s="249"/>
      <c r="D1382" s="774">
        <f>612.495+515.623</f>
        <v>1128.1179999999999</v>
      </c>
      <c r="E1382" s="162"/>
    </row>
    <row r="1383" spans="1:14">
      <c r="B1383" s="209" t="s">
        <v>31</v>
      </c>
      <c r="C1383" s="250"/>
      <c r="D1383" s="210">
        <f>SUM(D1378:D1382)</f>
        <v>1256.3909999999998</v>
      </c>
      <c r="E1383" s="222">
        <f>D1383/D1396</f>
        <v>3.1218046247168372E-2</v>
      </c>
    </row>
    <row r="1384" spans="1:14">
      <c r="B1384" s="161" t="s">
        <v>384</v>
      </c>
      <c r="C1384" s="248" t="s">
        <v>385</v>
      </c>
      <c r="D1384" s="211">
        <v>3419.7429999999999</v>
      </c>
      <c r="E1384" s="162"/>
    </row>
    <row r="1385" spans="1:14">
      <c r="B1385" s="229" t="s">
        <v>367</v>
      </c>
      <c r="C1385" s="251" t="s">
        <v>386</v>
      </c>
      <c r="D1385" s="211">
        <v>5992.3019999999997</v>
      </c>
      <c r="E1385" s="162"/>
    </row>
    <row r="1386" spans="1:14">
      <c r="B1386" s="161" t="s">
        <v>369</v>
      </c>
      <c r="C1386" s="248" t="s">
        <v>399</v>
      </c>
      <c r="D1386" s="211">
        <v>1632.04</v>
      </c>
      <c r="E1386" s="162"/>
    </row>
    <row r="1387" spans="1:14">
      <c r="B1387" s="161" t="s">
        <v>370</v>
      </c>
      <c r="C1387" s="248" t="s">
        <v>400</v>
      </c>
      <c r="D1387" s="211">
        <v>585.29</v>
      </c>
      <c r="E1387" s="162"/>
    </row>
    <row r="1388" spans="1:14">
      <c r="B1388" s="161" t="s">
        <v>372</v>
      </c>
      <c r="C1388" s="249">
        <v>5.5E-2</v>
      </c>
      <c r="D1388" s="211">
        <v>127.218</v>
      </c>
      <c r="E1388" s="162"/>
    </row>
    <row r="1389" spans="1:14">
      <c r="B1389" s="161" t="s">
        <v>389</v>
      </c>
      <c r="C1389" s="249">
        <v>5.8000000000000003E-2</v>
      </c>
      <c r="D1389" s="211">
        <v>1992.5160000000001</v>
      </c>
      <c r="E1389" s="162"/>
    </row>
    <row r="1390" spans="1:14">
      <c r="B1390" s="161" t="s">
        <v>374</v>
      </c>
      <c r="C1390" s="249">
        <v>0.13700000000000001</v>
      </c>
      <c r="D1390" s="775">
        <v>124.95099999999999</v>
      </c>
      <c r="E1390" s="162"/>
    </row>
    <row r="1391" spans="1:14">
      <c r="B1391" s="45" t="s">
        <v>8</v>
      </c>
      <c r="C1391" s="45"/>
      <c r="D1391" s="175">
        <f>SUM(D1383:D1390)</f>
        <v>15130.450999999999</v>
      </c>
      <c r="E1391" s="46">
        <f>+D1391/D1396</f>
        <v>0.37595232619345009</v>
      </c>
    </row>
    <row r="1392" spans="1:14">
      <c r="B1392" s="44" t="s">
        <v>11</v>
      </c>
      <c r="C1392" s="44"/>
      <c r="D1392" s="176">
        <v>39053.480000000003</v>
      </c>
      <c r="E1392" s="47"/>
    </row>
    <row r="1393" spans="2:5">
      <c r="B1393" s="45" t="s">
        <v>14</v>
      </c>
      <c r="C1393" s="45"/>
      <c r="D1393" s="175">
        <f>+D1391-D1392</f>
        <v>-23923.029000000002</v>
      </c>
      <c r="E1393" s="46">
        <f>+D1393/D1396</f>
        <v>-0.5944250043930196</v>
      </c>
    </row>
    <row r="1394" spans="2:5">
      <c r="B1394" s="84" t="s">
        <v>17</v>
      </c>
      <c r="C1394" s="84"/>
      <c r="D1394" s="177">
        <v>40979.383999999998</v>
      </c>
      <c r="E1394" s="85"/>
    </row>
    <row r="1395" spans="2:5">
      <c r="B1395" s="84" t="s">
        <v>20</v>
      </c>
      <c r="C1395" s="84"/>
      <c r="D1395" s="177">
        <f>D1391+D1394</f>
        <v>56109.834999999999</v>
      </c>
      <c r="E1395" s="85"/>
    </row>
    <row r="1396" spans="2:5">
      <c r="B1396" s="44" t="s">
        <v>23</v>
      </c>
      <c r="C1396" s="44"/>
      <c r="D1396" s="6">
        <v>40245.664000000019</v>
      </c>
      <c r="E1396" s="44"/>
    </row>
    <row r="1398" spans="2:5">
      <c r="B1398" s="36" t="s">
        <v>401</v>
      </c>
      <c r="D1398" s="39">
        <v>121770</v>
      </c>
    </row>
    <row r="1399" spans="2:5">
      <c r="B1399" s="36" t="s">
        <v>51</v>
      </c>
      <c r="D1399" s="227">
        <f>D1398+D1393</f>
        <v>97846.97099999999</v>
      </c>
    </row>
    <row r="1400" spans="2:5">
      <c r="B1400" s="80" t="s">
        <v>52</v>
      </c>
      <c r="D1400" s="228">
        <f>D1399/D1396</f>
        <v>2.4312425557197899</v>
      </c>
    </row>
    <row r="1401" spans="2:5" ht="13.5" thickBot="1">
      <c r="B1401" s="80"/>
      <c r="D1401" s="228"/>
    </row>
    <row r="1402" spans="2:5">
      <c r="B1402" s="234" t="s">
        <v>391</v>
      </c>
      <c r="C1402" s="240" t="s">
        <v>54</v>
      </c>
      <c r="D1402" s="232" t="s">
        <v>55</v>
      </c>
    </row>
    <row r="1403" spans="2:5">
      <c r="B1403" s="239" t="s">
        <v>56</v>
      </c>
      <c r="C1403" s="253">
        <v>9429</v>
      </c>
      <c r="D1403" s="237">
        <f>+C1403/$C$1415</f>
        <v>2387.7535516219705</v>
      </c>
    </row>
    <row r="1404" spans="2:5">
      <c r="B1404" s="239" t="s">
        <v>57</v>
      </c>
      <c r="C1404" s="253">
        <v>620</v>
      </c>
      <c r="D1404" s="237">
        <f>+C1404/$C$1415</f>
        <v>157.00574843627339</v>
      </c>
    </row>
    <row r="1405" spans="2:5">
      <c r="B1405" s="239" t="s">
        <v>58</v>
      </c>
      <c r="C1405" s="253">
        <v>3950</v>
      </c>
      <c r="D1405" s="237">
        <f>+C1405/$C$1415</f>
        <v>1000.2785585859353</v>
      </c>
    </row>
    <row r="1406" spans="2:5">
      <c r="B1406" s="239" t="s">
        <v>341</v>
      </c>
      <c r="C1406" s="253">
        <f>612.495+515.623</f>
        <v>1128.1179999999999</v>
      </c>
      <c r="D1406" s="237">
        <f>+C1406/$C$1415</f>
        <v>285.67904986198687</v>
      </c>
    </row>
    <row r="1407" spans="2:5" ht="13.5" thickBot="1">
      <c r="B1407" s="245" t="s">
        <v>61</v>
      </c>
      <c r="C1407" s="246">
        <f>SUM(C1403:C1406)</f>
        <v>15127.118</v>
      </c>
      <c r="D1407" s="247">
        <f>SUM(D1403:D1406)</f>
        <v>3830.716908506166</v>
      </c>
    </row>
    <row r="1408" spans="2:5" ht="13.5" thickBot="1"/>
    <row r="1409" spans="2:4">
      <c r="B1409" s="140" t="s">
        <v>402</v>
      </c>
      <c r="C1409" s="240" t="s">
        <v>54</v>
      </c>
      <c r="D1409" s="232" t="s">
        <v>55</v>
      </c>
    </row>
    <row r="1410" spans="2:4">
      <c r="B1410" s="141" t="s">
        <v>321</v>
      </c>
      <c r="C1410" s="241"/>
      <c r="D1410" s="142"/>
    </row>
    <row r="1411" spans="2:4">
      <c r="B1411" s="141" t="s">
        <v>64</v>
      </c>
      <c r="C1411" s="242">
        <v>39053.480000000003</v>
      </c>
      <c r="D1411" s="235">
        <f>C1411/C1415</f>
        <v>9889.7110587758616</v>
      </c>
    </row>
    <row r="1412" spans="2:4" ht="13.5" thickBot="1">
      <c r="B1412" s="143" t="s">
        <v>65</v>
      </c>
      <c r="C1412" s="243">
        <f>SUM(C1410:C1411)</f>
        <v>39053.480000000003</v>
      </c>
      <c r="D1412" s="236">
        <f>SUM(D1410:D1411)</f>
        <v>9889.7110587758616</v>
      </c>
    </row>
    <row r="1414" spans="2:4">
      <c r="D1414" s="39"/>
    </row>
    <row r="1415" spans="2:4" ht="13.5" thickBot="1">
      <c r="B1415" s="36" t="s">
        <v>403</v>
      </c>
      <c r="C1415" s="36">
        <v>3.9489000000000001</v>
      </c>
    </row>
    <row r="1416" spans="2:4">
      <c r="B1416" s="234" t="s">
        <v>404</v>
      </c>
      <c r="C1416" s="240" t="s">
        <v>54</v>
      </c>
      <c r="D1416" s="232" t="s">
        <v>55</v>
      </c>
    </row>
    <row r="1417" spans="2:4">
      <c r="B1417" s="86" t="s">
        <v>68</v>
      </c>
      <c r="C1417" s="253">
        <v>5716.29</v>
      </c>
      <c r="D1417" s="237">
        <f>+C1417/$C$1415</f>
        <v>1447.5651447238472</v>
      </c>
    </row>
    <row r="1418" spans="2:4">
      <c r="B1418" s="86" t="s">
        <v>69</v>
      </c>
      <c r="C1418" s="253">
        <v>9414.1610000000001</v>
      </c>
      <c r="D1418" s="237">
        <f>+C1418/$C$1415</f>
        <v>2383.9957962977032</v>
      </c>
    </row>
    <row r="1419" spans="2:4" ht="13.5" thickBot="1">
      <c r="B1419" s="87"/>
      <c r="C1419" s="244"/>
      <c r="D1419" s="233"/>
    </row>
    <row r="1420" spans="2:4">
      <c r="B1420" s="80" t="s">
        <v>70</v>
      </c>
      <c r="C1420" s="238">
        <f>C1417+C1418</f>
        <v>15130.451000000001</v>
      </c>
      <c r="D1420" s="220">
        <f>D1417+D1418</f>
        <v>3831.5609410215502</v>
      </c>
    </row>
    <row r="1422" spans="2:4">
      <c r="B1422" s="80" t="s">
        <v>303</v>
      </c>
    </row>
    <row r="1423" spans="2:4">
      <c r="B1423" s="36" t="s">
        <v>395</v>
      </c>
      <c r="C1423" s="226">
        <v>0.79</v>
      </c>
    </row>
    <row r="1424" spans="2:4">
      <c r="B1424" s="36" t="s">
        <v>396</v>
      </c>
      <c r="C1424" s="226">
        <v>0.21</v>
      </c>
    </row>
    <row r="1426" spans="2:7">
      <c r="B1426" s="80" t="s">
        <v>307</v>
      </c>
    </row>
    <row r="1427" spans="2:7">
      <c r="B1427" s="36" t="s">
        <v>395</v>
      </c>
      <c r="C1427" s="226">
        <v>0.35</v>
      </c>
    </row>
    <row r="1428" spans="2:7">
      <c r="B1428" s="36" t="s">
        <v>396</v>
      </c>
      <c r="C1428" s="226">
        <v>0.65</v>
      </c>
    </row>
    <row r="1430" spans="2:7">
      <c r="B1430" s="80" t="s">
        <v>308</v>
      </c>
    </row>
    <row r="1431" spans="2:7">
      <c r="B1431" s="36" t="s">
        <v>395</v>
      </c>
      <c r="C1431" s="226">
        <v>0.69</v>
      </c>
    </row>
    <row r="1432" spans="2:7">
      <c r="B1432" s="36" t="s">
        <v>396</v>
      </c>
      <c r="C1432" s="226">
        <v>0.31</v>
      </c>
      <c r="G1432" s="36" t="s">
        <v>397</v>
      </c>
    </row>
  </sheetData>
  <pageMargins left="0.7" right="0.7" top="0.75" bottom="0.75" header="0.3" footer="0.3"/>
  <pageSetup orientation="portrait" horizontalDpi="90" verticalDpi="90" r:id="rId1"/>
  <ignoredErrors>
    <ignoredError sqref="E747 E688:E690 J665:K667" formula="1"/>
    <ignoredError sqref="E153" formulaRange="1"/>
    <ignoredError sqref="E151" formula="1"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00EE-C37C-442C-9604-5886CD65DCF6}">
  <sheetPr>
    <pageSetUpPr fitToPage="1"/>
  </sheetPr>
  <dimension ref="A1:BH464"/>
  <sheetViews>
    <sheetView zoomScale="74" zoomScaleNormal="100" zoomScaleSheetLayoutView="100" workbookViewId="0">
      <pane xSplit="2" ySplit="5" topLeftCell="I6" activePane="bottomRight" state="frozen"/>
      <selection pane="bottomRight" activeCell="M10" sqref="M10"/>
      <selection pane="bottomLeft" activeCell="A6" sqref="A6"/>
      <selection pane="topRight" activeCell="C1" sqref="C1"/>
    </sheetView>
  </sheetViews>
  <sheetFormatPr defaultColWidth="11.42578125" defaultRowHeight="13.5" customHeight="1" outlineLevelRow="1" outlineLevelCol="2"/>
  <cols>
    <col min="1" max="1" width="3.7109375" style="1" customWidth="1"/>
    <col min="2" max="2" width="39.5703125" style="1" customWidth="1"/>
    <col min="3" max="6" width="11.42578125" style="1" hidden="1" customWidth="1" outlineLevel="1"/>
    <col min="7" max="7" width="11.42578125" style="1" hidden="1" customWidth="1" outlineLevel="1" collapsed="1"/>
    <col min="8" max="8" width="11.42578125" style="1" hidden="1" customWidth="1" outlineLevel="1"/>
    <col min="9" max="9" width="11.42578125" style="1" customWidth="1" collapsed="1"/>
    <col min="10" max="10" width="11.42578125" style="1" customWidth="1"/>
    <col min="11" max="11" width="12" style="1" bestFit="1" customWidth="1"/>
    <col min="12" max="12" width="9.7109375" style="1" bestFit="1" customWidth="1"/>
    <col min="13" max="13" width="5.85546875" style="1" customWidth="1"/>
    <col min="14" max="15" width="11.42578125" style="1" hidden="1" customWidth="1" outlineLevel="2"/>
    <col min="16" max="16" width="11.42578125" style="105" hidden="1" customWidth="1" outlineLevel="2"/>
    <col min="17" max="17" width="11.42578125" style="1" hidden="1" customWidth="1" outlineLevel="1" collapsed="1"/>
    <col min="18" max="28" width="11.42578125" style="1" hidden="1" customWidth="1" outlineLevel="1"/>
    <col min="29" max="29" width="11.42578125" style="1" hidden="1" customWidth="1" outlineLevel="1" collapsed="1"/>
    <col min="30" max="30" width="11.28515625" style="1" hidden="1" customWidth="1" outlineLevel="1"/>
    <col min="31" max="31" width="11.42578125" style="1" hidden="1" customWidth="1" outlineLevel="1"/>
    <col min="32" max="32" width="12.7109375" style="1" hidden="1" customWidth="1" outlineLevel="1"/>
    <col min="33" max="33" width="11.42578125" style="1" hidden="1" customWidth="1" outlineLevel="1" collapsed="1"/>
    <col min="34" max="35" width="11.42578125" style="1" hidden="1" customWidth="1" outlineLevel="1"/>
    <col min="36" max="36" width="12.7109375" style="1" hidden="1" customWidth="1" outlineLevel="1"/>
    <col min="37" max="37" width="11.42578125" style="1" hidden="1" customWidth="1" outlineLevel="1" collapsed="1"/>
    <col min="38" max="46" width="11.42578125" style="1" hidden="1" customWidth="1" outlineLevel="1"/>
    <col min="47" max="47" width="11.140625" style="1" hidden="1" customWidth="1" outlineLevel="1"/>
    <col min="48" max="48" width="2.42578125" style="1" hidden="1" customWidth="1" outlineLevel="1"/>
    <col min="49" max="49" width="11.42578125" style="1" hidden="1" customWidth="1" outlineLevel="1" collapsed="1"/>
    <col min="50" max="52" width="11.42578125" style="1" hidden="1" customWidth="1" outlineLevel="1"/>
    <col min="53" max="53" width="12.28515625" style="1" customWidth="1" collapsed="1"/>
    <col min="54" max="56" width="11.42578125" style="1" customWidth="1"/>
    <col min="57" max="57" width="12.28515625" style="1" bestFit="1" customWidth="1"/>
    <col min="58" max="16384" width="11.42578125" style="1"/>
  </cols>
  <sheetData>
    <row r="1" spans="1:60" s="2" customFormat="1" ht="24.75" customHeight="1">
      <c r="B1" s="10" t="s">
        <v>405</v>
      </c>
      <c r="C1" s="12" t="s">
        <v>406</v>
      </c>
      <c r="D1" s="12" t="s">
        <v>406</v>
      </c>
      <c r="E1" s="12" t="s">
        <v>406</v>
      </c>
      <c r="F1" s="12" t="s">
        <v>406</v>
      </c>
      <c r="G1" s="12" t="s">
        <v>406</v>
      </c>
      <c r="H1" s="12" t="s">
        <v>406</v>
      </c>
      <c r="I1" s="12" t="s">
        <v>406</v>
      </c>
      <c r="J1" s="12" t="s">
        <v>406</v>
      </c>
      <c r="K1" s="12" t="s">
        <v>406</v>
      </c>
      <c r="L1" s="12" t="s">
        <v>407</v>
      </c>
      <c r="M1" s="426" t="s">
        <v>397</v>
      </c>
      <c r="N1" s="12" t="s">
        <v>406</v>
      </c>
      <c r="O1" s="12" t="s">
        <v>406</v>
      </c>
      <c r="P1" s="91" t="s">
        <v>406</v>
      </c>
      <c r="Q1" s="12" t="s">
        <v>408</v>
      </c>
      <c r="R1" s="12" t="s">
        <v>408</v>
      </c>
      <c r="S1" s="12" t="s">
        <v>408</v>
      </c>
      <c r="T1" s="12" t="s">
        <v>408</v>
      </c>
      <c r="U1" s="12" t="s">
        <v>408</v>
      </c>
      <c r="V1" s="12" t="s">
        <v>408</v>
      </c>
      <c r="W1" s="12" t="s">
        <v>408</v>
      </c>
      <c r="X1" s="12" t="s">
        <v>408</v>
      </c>
      <c r="Y1" s="12" t="s">
        <v>408</v>
      </c>
      <c r="Z1" s="12" t="s">
        <v>408</v>
      </c>
      <c r="AA1" s="12" t="s">
        <v>408</v>
      </c>
      <c r="AB1" s="12" t="s">
        <v>408</v>
      </c>
      <c r="AC1" s="12" t="s">
        <v>408</v>
      </c>
      <c r="AD1" s="12" t="s">
        <v>408</v>
      </c>
      <c r="AE1" s="12" t="s">
        <v>408</v>
      </c>
      <c r="AF1" s="12" t="s">
        <v>408</v>
      </c>
      <c r="AG1" s="12" t="s">
        <v>408</v>
      </c>
      <c r="AH1" s="12" t="s">
        <v>408</v>
      </c>
      <c r="AI1" s="12" t="s">
        <v>408</v>
      </c>
      <c r="AJ1" s="12" t="s">
        <v>408</v>
      </c>
      <c r="AK1" s="12" t="s">
        <v>408</v>
      </c>
      <c r="AL1" s="12" t="s">
        <v>408</v>
      </c>
      <c r="AM1" s="12" t="s">
        <v>408</v>
      </c>
      <c r="AN1" s="12" t="s">
        <v>408</v>
      </c>
      <c r="AO1" s="12" t="s">
        <v>408</v>
      </c>
      <c r="AP1" s="12" t="s">
        <v>408</v>
      </c>
      <c r="AQ1" s="12" t="s">
        <v>408</v>
      </c>
      <c r="AR1" s="12" t="s">
        <v>408</v>
      </c>
      <c r="AS1" s="12" t="s">
        <v>408</v>
      </c>
      <c r="AT1" s="422" t="s">
        <v>408</v>
      </c>
      <c r="AU1" s="12" t="s">
        <v>408</v>
      </c>
      <c r="AV1" s="12" t="s">
        <v>408</v>
      </c>
      <c r="AW1" s="12" t="s">
        <v>408</v>
      </c>
      <c r="AX1" s="12" t="s">
        <v>408</v>
      </c>
      <c r="AY1" s="12" t="s">
        <v>408</v>
      </c>
      <c r="AZ1" s="12" t="s">
        <v>408</v>
      </c>
      <c r="BA1" s="12" t="s">
        <v>408</v>
      </c>
      <c r="BB1" s="12" t="s">
        <v>408</v>
      </c>
      <c r="BC1" s="12" t="s">
        <v>408</v>
      </c>
      <c r="BD1" s="12" t="s">
        <v>408</v>
      </c>
      <c r="BE1" s="12" t="s">
        <v>408</v>
      </c>
      <c r="BF1" s="12" t="s">
        <v>408</v>
      </c>
      <c r="BG1" s="12" t="s">
        <v>408</v>
      </c>
    </row>
    <row r="2" spans="1:60" s="2" customFormat="1" ht="13.5" customHeight="1">
      <c r="B2" s="11" t="s">
        <v>409</v>
      </c>
      <c r="C2" s="13">
        <v>41975</v>
      </c>
      <c r="D2" s="13">
        <v>42341</v>
      </c>
      <c r="E2" s="13">
        <v>42705</v>
      </c>
      <c r="F2" s="13">
        <v>43070</v>
      </c>
      <c r="G2" s="13">
        <v>43435</v>
      </c>
      <c r="H2" s="13">
        <v>43830</v>
      </c>
      <c r="I2" s="13">
        <v>44196</v>
      </c>
      <c r="J2" s="13">
        <v>44561</v>
      </c>
      <c r="K2" s="13">
        <v>44926</v>
      </c>
      <c r="L2" s="13">
        <f>BG2</f>
        <v>45199</v>
      </c>
      <c r="M2" s="295" t="s">
        <v>397</v>
      </c>
      <c r="N2" s="13">
        <v>43074</v>
      </c>
      <c r="O2" s="13">
        <v>43440</v>
      </c>
      <c r="P2" s="92">
        <v>43806</v>
      </c>
      <c r="Q2" s="13">
        <v>41341</v>
      </c>
      <c r="R2" s="13">
        <v>41431</v>
      </c>
      <c r="S2" s="13">
        <v>41526</v>
      </c>
      <c r="T2" s="13">
        <v>41618</v>
      </c>
      <c r="U2" s="13">
        <v>41705</v>
      </c>
      <c r="V2" s="13">
        <v>41796</v>
      </c>
      <c r="W2" s="13">
        <v>41891</v>
      </c>
      <c r="X2" s="13">
        <v>41983</v>
      </c>
      <c r="Y2" s="13">
        <v>42070</v>
      </c>
      <c r="Z2" s="13">
        <v>42161</v>
      </c>
      <c r="AA2" s="13">
        <v>42256</v>
      </c>
      <c r="AB2" s="13">
        <v>42348</v>
      </c>
      <c r="AC2" s="13">
        <v>42437</v>
      </c>
      <c r="AD2" s="13">
        <v>42527</v>
      </c>
      <c r="AE2" s="13">
        <v>42622</v>
      </c>
      <c r="AF2" s="13">
        <v>42714</v>
      </c>
      <c r="AG2" s="13">
        <v>42801</v>
      </c>
      <c r="AH2" s="13">
        <v>42892</v>
      </c>
      <c r="AI2" s="13">
        <v>42987</v>
      </c>
      <c r="AJ2" s="13">
        <v>43079</v>
      </c>
      <c r="AK2" s="13">
        <v>43190</v>
      </c>
      <c r="AL2" s="13">
        <v>43281</v>
      </c>
      <c r="AM2" s="13">
        <v>43373</v>
      </c>
      <c r="AN2" s="13">
        <v>43465</v>
      </c>
      <c r="AO2" s="13">
        <v>43555</v>
      </c>
      <c r="AP2" s="13">
        <v>43646</v>
      </c>
      <c r="AQ2" s="13">
        <v>43738</v>
      </c>
      <c r="AR2" s="13">
        <v>43830</v>
      </c>
      <c r="AS2" s="13">
        <v>43921</v>
      </c>
      <c r="AT2" s="14">
        <v>44012</v>
      </c>
      <c r="AU2" s="13">
        <v>44104</v>
      </c>
      <c r="AV2" s="13">
        <v>44196</v>
      </c>
      <c r="AW2" s="13">
        <v>44286</v>
      </c>
      <c r="AX2" s="13">
        <v>44377</v>
      </c>
      <c r="AY2" s="13">
        <v>44469</v>
      </c>
      <c r="AZ2" s="13">
        <v>44561</v>
      </c>
      <c r="BA2" s="13">
        <v>44651</v>
      </c>
      <c r="BB2" s="13">
        <v>44742</v>
      </c>
      <c r="BC2" s="13">
        <v>44834</v>
      </c>
      <c r="BD2" s="13">
        <v>44926</v>
      </c>
      <c r="BE2" s="13">
        <v>45016</v>
      </c>
      <c r="BF2" s="13">
        <v>45107</v>
      </c>
      <c r="BG2" s="13">
        <v>45199</v>
      </c>
    </row>
    <row r="3" spans="1:60" s="5" customFormat="1" ht="13.5" customHeight="1">
      <c r="B3" s="11"/>
      <c r="C3" s="14" t="s">
        <v>410</v>
      </c>
      <c r="D3" s="14" t="s">
        <v>410</v>
      </c>
      <c r="E3" s="14" t="s">
        <v>410</v>
      </c>
      <c r="F3" s="14" t="s">
        <v>410</v>
      </c>
      <c r="G3" s="14" t="s">
        <v>410</v>
      </c>
      <c r="H3" s="14" t="s">
        <v>410</v>
      </c>
      <c r="I3" s="14" t="s">
        <v>410</v>
      </c>
      <c r="J3" s="14" t="s">
        <v>410</v>
      </c>
      <c r="K3" s="14" t="s">
        <v>410</v>
      </c>
      <c r="L3" s="14" t="s">
        <v>410</v>
      </c>
      <c r="M3" s="423"/>
      <c r="N3" s="15" t="s">
        <v>411</v>
      </c>
      <c r="O3" s="15" t="s">
        <v>411</v>
      </c>
      <c r="P3" s="139" t="s">
        <v>411</v>
      </c>
      <c r="Q3" s="14" t="s">
        <v>410</v>
      </c>
      <c r="R3" s="14" t="s">
        <v>410</v>
      </c>
      <c r="S3" s="14" t="s">
        <v>410</v>
      </c>
      <c r="T3" s="14" t="s">
        <v>410</v>
      </c>
      <c r="U3" s="14" t="s">
        <v>410</v>
      </c>
      <c r="V3" s="14" t="s">
        <v>410</v>
      </c>
      <c r="W3" s="14" t="s">
        <v>410</v>
      </c>
      <c r="X3" s="14" t="s">
        <v>410</v>
      </c>
      <c r="Y3" s="14" t="s">
        <v>410</v>
      </c>
      <c r="Z3" s="14" t="s">
        <v>410</v>
      </c>
      <c r="AA3" s="14" t="s">
        <v>410</v>
      </c>
      <c r="AB3" s="14" t="s">
        <v>410</v>
      </c>
      <c r="AC3" s="14" t="s">
        <v>410</v>
      </c>
      <c r="AD3" s="14" t="s">
        <v>410</v>
      </c>
      <c r="AE3" s="14" t="s">
        <v>410</v>
      </c>
      <c r="AF3" s="14" t="s">
        <v>410</v>
      </c>
      <c r="AG3" s="14" t="s">
        <v>410</v>
      </c>
      <c r="AH3" s="14" t="s">
        <v>410</v>
      </c>
      <c r="AI3" s="14" t="s">
        <v>410</v>
      </c>
      <c r="AJ3" s="14" t="s">
        <v>410</v>
      </c>
      <c r="AK3" s="14" t="s">
        <v>410</v>
      </c>
      <c r="AL3" s="14" t="s">
        <v>410</v>
      </c>
      <c r="AM3" s="14" t="s">
        <v>410</v>
      </c>
      <c r="AN3" s="14" t="s">
        <v>410</v>
      </c>
      <c r="AO3" s="14" t="s">
        <v>410</v>
      </c>
      <c r="AP3" s="14" t="s">
        <v>410</v>
      </c>
      <c r="AQ3" s="14" t="s">
        <v>410</v>
      </c>
      <c r="AR3" s="14" t="s">
        <v>410</v>
      </c>
      <c r="AS3" s="14" t="s">
        <v>410</v>
      </c>
      <c r="AT3" s="14" t="s">
        <v>410</v>
      </c>
      <c r="AU3" s="14" t="s">
        <v>410</v>
      </c>
      <c r="AV3" s="14" t="s">
        <v>410</v>
      </c>
      <c r="AW3" s="14" t="s">
        <v>410</v>
      </c>
      <c r="AX3" s="14" t="s">
        <v>410</v>
      </c>
      <c r="AY3" s="14" t="s">
        <v>410</v>
      </c>
      <c r="AZ3" s="14" t="s">
        <v>410</v>
      </c>
      <c r="BA3" s="14" t="s">
        <v>410</v>
      </c>
      <c r="BB3" s="14" t="s">
        <v>410</v>
      </c>
      <c r="BC3" s="14" t="s">
        <v>410</v>
      </c>
      <c r="BD3" s="14" t="s">
        <v>410</v>
      </c>
      <c r="BE3" s="14" t="s">
        <v>410</v>
      </c>
      <c r="BF3" s="14" t="s">
        <v>410</v>
      </c>
      <c r="BG3" s="14" t="s">
        <v>410</v>
      </c>
    </row>
    <row r="4" spans="1:60" s="3" customFormat="1" ht="13.5" customHeight="1">
      <c r="C4" s="23" t="s">
        <v>412</v>
      </c>
      <c r="D4" s="23" t="s">
        <v>412</v>
      </c>
      <c r="E4" s="23" t="s">
        <v>412</v>
      </c>
      <c r="F4" s="23" t="s">
        <v>412</v>
      </c>
      <c r="G4" s="23" t="s">
        <v>412</v>
      </c>
      <c r="H4" s="23" t="s">
        <v>412</v>
      </c>
      <c r="I4" s="23" t="s">
        <v>412</v>
      </c>
      <c r="J4" s="23" t="s">
        <v>412</v>
      </c>
      <c r="K4" s="23" t="s">
        <v>412</v>
      </c>
      <c r="L4" s="23" t="s">
        <v>407</v>
      </c>
      <c r="M4" s="23"/>
      <c r="N4" s="23" t="s">
        <v>412</v>
      </c>
      <c r="O4" s="23" t="s">
        <v>412</v>
      </c>
      <c r="P4" s="147" t="s">
        <v>412</v>
      </c>
      <c r="Q4" s="23" t="s">
        <v>413</v>
      </c>
      <c r="R4" s="23" t="s">
        <v>414</v>
      </c>
      <c r="S4" s="23" t="s">
        <v>415</v>
      </c>
      <c r="T4" s="23" t="s">
        <v>416</v>
      </c>
      <c r="U4" s="23" t="s">
        <v>413</v>
      </c>
      <c r="V4" s="23" t="s">
        <v>414</v>
      </c>
      <c r="W4" s="23" t="s">
        <v>415</v>
      </c>
      <c r="X4" s="23" t="s">
        <v>416</v>
      </c>
      <c r="Y4" s="23" t="s">
        <v>413</v>
      </c>
      <c r="Z4" s="23" t="s">
        <v>414</v>
      </c>
      <c r="AA4" s="23" t="s">
        <v>415</v>
      </c>
      <c r="AB4" s="23" t="s">
        <v>416</v>
      </c>
      <c r="AC4" s="23" t="s">
        <v>413</v>
      </c>
      <c r="AD4" s="23" t="s">
        <v>414</v>
      </c>
      <c r="AE4" s="23" t="s">
        <v>415</v>
      </c>
      <c r="AF4" s="23" t="s">
        <v>416</v>
      </c>
      <c r="AG4" s="23" t="s">
        <v>413</v>
      </c>
      <c r="AH4" s="23" t="s">
        <v>414</v>
      </c>
      <c r="AI4" s="23" t="s">
        <v>415</v>
      </c>
      <c r="AJ4" s="23" t="s">
        <v>416</v>
      </c>
      <c r="AK4" s="23" t="s">
        <v>413</v>
      </c>
      <c r="AL4" s="23" t="s">
        <v>414</v>
      </c>
      <c r="AM4" s="23" t="s">
        <v>415</v>
      </c>
      <c r="AN4" s="23" t="s">
        <v>416</v>
      </c>
      <c r="AO4" s="23" t="s">
        <v>413</v>
      </c>
      <c r="AP4" s="23" t="s">
        <v>414</v>
      </c>
      <c r="AQ4" s="23" t="s">
        <v>415</v>
      </c>
      <c r="AR4" s="23" t="s">
        <v>416</v>
      </c>
      <c r="AS4" s="23" t="s">
        <v>413</v>
      </c>
      <c r="AT4" s="23" t="s">
        <v>414</v>
      </c>
      <c r="AU4" s="23" t="s">
        <v>415</v>
      </c>
      <c r="AV4" s="23" t="s">
        <v>416</v>
      </c>
      <c r="AW4" s="23" t="s">
        <v>413</v>
      </c>
      <c r="AX4" s="23" t="s">
        <v>414</v>
      </c>
      <c r="AY4" s="23" t="s">
        <v>415</v>
      </c>
      <c r="AZ4" s="23" t="s">
        <v>416</v>
      </c>
      <c r="BA4" s="23" t="s">
        <v>413</v>
      </c>
      <c r="BB4" s="23" t="s">
        <v>414</v>
      </c>
      <c r="BC4" s="23" t="s">
        <v>415</v>
      </c>
      <c r="BD4" s="23" t="s">
        <v>416</v>
      </c>
      <c r="BE4" s="23" t="s">
        <v>413</v>
      </c>
      <c r="BF4" s="23" t="s">
        <v>414</v>
      </c>
      <c r="BG4" s="23" t="s">
        <v>415</v>
      </c>
    </row>
    <row r="5" spans="1:60" ht="13.5" customHeight="1">
      <c r="A5" s="27"/>
      <c r="B5" s="17" t="s">
        <v>417</v>
      </c>
      <c r="C5" s="18"/>
      <c r="D5" s="18"/>
      <c r="E5" s="18"/>
      <c r="F5" s="18"/>
      <c r="G5" s="18"/>
      <c r="H5" s="18"/>
      <c r="I5" s="18"/>
      <c r="J5" s="18"/>
      <c r="K5" s="18"/>
      <c r="L5" s="18"/>
      <c r="N5" s="18"/>
      <c r="O5" s="18"/>
      <c r="P5" s="14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row>
    <row r="6" spans="1:60" ht="13.5" customHeight="1">
      <c r="B6" s="5"/>
    </row>
    <row r="7" spans="1:60" ht="13.5" customHeight="1">
      <c r="B7" s="1" t="s">
        <v>56</v>
      </c>
      <c r="C7" s="196">
        <f>SUM(C8:C10)</f>
        <v>10480.199999999999</v>
      </c>
      <c r="D7" s="196">
        <f>SUM(D8:D10)</f>
        <v>11480.9</v>
      </c>
      <c r="E7" s="196">
        <f>SUM(E8:E10)</f>
        <v>12787.6</v>
      </c>
      <c r="F7" s="195">
        <v>15450.2</v>
      </c>
      <c r="G7" s="195">
        <v>18265.776999999998</v>
      </c>
      <c r="H7" s="195">
        <v>21487.200000000001</v>
      </c>
      <c r="I7" s="195">
        <v>22822.9</v>
      </c>
      <c r="J7" s="195">
        <v>27223.5</v>
      </c>
      <c r="K7" s="195">
        <v>40851.1</v>
      </c>
      <c r="L7" s="196">
        <f>SUM(BD7:BG7)</f>
        <v>63468.455000000002</v>
      </c>
      <c r="M7" s="196"/>
      <c r="N7" s="196"/>
      <c r="O7" s="196"/>
      <c r="P7" s="197"/>
      <c r="Q7" s="196">
        <f t="shared" ref="Q7:Y7" si="0">SUM(Q8:Q10)</f>
        <v>2371.9</v>
      </c>
      <c r="R7" s="196">
        <f t="shared" si="0"/>
        <v>2503.5</v>
      </c>
      <c r="S7" s="196">
        <f t="shared" si="0"/>
        <v>2560.7999999999997</v>
      </c>
      <c r="T7" s="196">
        <f t="shared" si="0"/>
        <v>2460.8000000000002</v>
      </c>
      <c r="U7" s="196">
        <f t="shared" si="0"/>
        <v>2442</v>
      </c>
      <c r="V7" s="196">
        <f t="shared" si="0"/>
        <v>2558.3000000000002</v>
      </c>
      <c r="W7" s="196">
        <f t="shared" si="0"/>
        <v>2757.2999999999997</v>
      </c>
      <c r="X7" s="196">
        <f t="shared" si="0"/>
        <v>2722.5</v>
      </c>
      <c r="Y7" s="196">
        <f t="shared" si="0"/>
        <v>2662.2</v>
      </c>
      <c r="Z7" s="196">
        <f t="shared" ref="Z7:AF7" si="1">SUM(Z8:Z10)</f>
        <v>2786.2999999999997</v>
      </c>
      <c r="AA7" s="196">
        <f t="shared" si="1"/>
        <v>3034.7000000000003</v>
      </c>
      <c r="AB7" s="196">
        <f t="shared" si="1"/>
        <v>2997.7999999999997</v>
      </c>
      <c r="AC7" s="196">
        <f t="shared" si="1"/>
        <v>2927.5</v>
      </c>
      <c r="AD7" s="196">
        <f t="shared" si="1"/>
        <v>3008.2</v>
      </c>
      <c r="AE7" s="196">
        <f t="shared" si="1"/>
        <v>3275.7000000000003</v>
      </c>
      <c r="AF7" s="196">
        <f t="shared" si="1"/>
        <v>3576.2000000000003</v>
      </c>
      <c r="AG7" s="195">
        <v>3562.7</v>
      </c>
      <c r="AH7" s="195">
        <v>3802.9</v>
      </c>
      <c r="AI7" s="195">
        <v>4044</v>
      </c>
      <c r="AJ7" s="195">
        <v>4040.7</v>
      </c>
      <c r="AK7" s="195">
        <v>4117</v>
      </c>
      <c r="AL7" s="195">
        <f>4403.8</f>
        <v>4403.8</v>
      </c>
      <c r="AM7" s="195">
        <v>4959.5010000000002</v>
      </c>
      <c r="AN7" s="275">
        <f>G7-AM7-AL7-AK7</f>
        <v>4785.4759999999987</v>
      </c>
      <c r="AO7" s="195">
        <v>4833.3</v>
      </c>
      <c r="AP7" s="195">
        <v>5260.8</v>
      </c>
      <c r="AQ7" s="195">
        <v>5652.4</v>
      </c>
      <c r="AR7" s="196">
        <f>H7-AQ7-AP7-AO7</f>
        <v>5740.7</v>
      </c>
      <c r="AS7" s="195">
        <v>5738.5</v>
      </c>
      <c r="AT7" s="195">
        <v>6003</v>
      </c>
      <c r="AU7" s="195">
        <v>6647.91</v>
      </c>
      <c r="AV7" s="196">
        <f t="shared" ref="AV7:AV13" si="2">I7-AU7-AT7-AS7</f>
        <v>4433.4900000000016</v>
      </c>
      <c r="AW7" s="195">
        <v>5978.6</v>
      </c>
      <c r="AX7" s="195">
        <v>6505.3</v>
      </c>
      <c r="AY7" s="195">
        <v>7050.2780000000002</v>
      </c>
      <c r="AZ7" s="196">
        <f t="shared" ref="AZ7:AZ13" si="3">J7-AY7-AX7-AW7</f>
        <v>7689.3220000000019</v>
      </c>
      <c r="BA7" s="195">
        <v>7949.6869999999999</v>
      </c>
      <c r="BB7" s="195">
        <v>9376.9</v>
      </c>
      <c r="BC7" s="195">
        <v>11075.68</v>
      </c>
      <c r="BD7" s="196">
        <f t="shared" ref="BD7:BD13" si="4">K7-BC7-BB7-BA7</f>
        <v>12448.832999999997</v>
      </c>
      <c r="BE7" s="195">
        <v>13490.712</v>
      </c>
      <c r="BF7" s="195">
        <v>17090.813999999998</v>
      </c>
      <c r="BG7" s="195">
        <v>20438.096000000001</v>
      </c>
      <c r="BH7" s="195"/>
    </row>
    <row r="8" spans="1:60" ht="13.5" customHeight="1">
      <c r="B8" s="1" t="s">
        <v>418</v>
      </c>
      <c r="C8" s="195">
        <v>8282.2999999999993</v>
      </c>
      <c r="D8" s="195">
        <v>9127.2999999999993</v>
      </c>
      <c r="E8" s="195">
        <v>10216</v>
      </c>
      <c r="F8" s="195"/>
      <c r="G8" s="195"/>
      <c r="H8" s="195"/>
      <c r="I8" s="195"/>
      <c r="J8" s="195"/>
      <c r="K8" s="195"/>
      <c r="L8" s="196"/>
      <c r="M8" s="195"/>
      <c r="N8" s="196"/>
      <c r="O8" s="196"/>
      <c r="P8" s="197"/>
      <c r="Q8" s="195">
        <v>1917.7</v>
      </c>
      <c r="R8" s="195">
        <v>1997.4</v>
      </c>
      <c r="S8" s="195">
        <v>2026.6</v>
      </c>
      <c r="T8" s="195">
        <v>1951</v>
      </c>
      <c r="U8" s="195">
        <v>1932.9</v>
      </c>
      <c r="V8" s="195">
        <v>2010.2</v>
      </c>
      <c r="W8" s="195">
        <v>2169.4</v>
      </c>
      <c r="X8" s="195">
        <v>2169.6999999999998</v>
      </c>
      <c r="Y8" s="195">
        <v>2124.5</v>
      </c>
      <c r="Z8" s="195">
        <v>2208.1</v>
      </c>
      <c r="AA8" s="195">
        <v>2403.8000000000002</v>
      </c>
      <c r="AB8" s="195">
        <v>2391</v>
      </c>
      <c r="AC8" s="195">
        <v>2337.9</v>
      </c>
      <c r="AD8" s="195">
        <v>2385</v>
      </c>
      <c r="AE8" s="195">
        <v>2625.8</v>
      </c>
      <c r="AF8" s="195">
        <v>2867.3</v>
      </c>
      <c r="AG8" s="195"/>
      <c r="AH8" s="195"/>
      <c r="AI8" s="195"/>
      <c r="AJ8" s="195"/>
      <c r="AK8" s="195"/>
      <c r="AL8" s="195"/>
      <c r="AM8" s="195"/>
      <c r="AN8" s="195"/>
      <c r="AO8" s="195"/>
      <c r="AP8" s="195"/>
      <c r="AQ8" s="195"/>
      <c r="AR8" s="195"/>
      <c r="AS8" s="195"/>
      <c r="AT8" s="195"/>
      <c r="AU8" s="195"/>
      <c r="AV8" s="195">
        <f t="shared" si="2"/>
        <v>0</v>
      </c>
      <c r="AW8" s="195"/>
      <c r="AX8" s="195"/>
      <c r="AY8" s="195"/>
      <c r="AZ8" s="195"/>
      <c r="BA8" s="195"/>
      <c r="BB8" s="195"/>
      <c r="BC8" s="195"/>
      <c r="BD8" s="195"/>
      <c r="BE8" s="195"/>
      <c r="BF8" s="195"/>
      <c r="BG8" s="195"/>
    </row>
    <row r="9" spans="1:60" ht="13.5" customHeight="1">
      <c r="B9" s="1" t="s">
        <v>419</v>
      </c>
      <c r="C9" s="195">
        <v>1907.4</v>
      </c>
      <c r="D9" s="195">
        <v>2031.7</v>
      </c>
      <c r="E9" s="195">
        <v>2191.5</v>
      </c>
      <c r="F9" s="195"/>
      <c r="G9" s="195"/>
      <c r="H9" s="195"/>
      <c r="I9" s="195"/>
      <c r="J9" s="195"/>
      <c r="K9" s="195"/>
      <c r="L9" s="196"/>
      <c r="M9" s="195"/>
      <c r="N9" s="196"/>
      <c r="O9" s="196"/>
      <c r="P9" s="197"/>
      <c r="Q9" s="195">
        <v>416.9</v>
      </c>
      <c r="R9" s="195">
        <v>442</v>
      </c>
      <c r="S9" s="195">
        <v>443</v>
      </c>
      <c r="T9" s="195">
        <v>456.9</v>
      </c>
      <c r="U9" s="195">
        <v>453.6</v>
      </c>
      <c r="V9" s="195">
        <v>469.2</v>
      </c>
      <c r="W9" s="195">
        <v>485.2</v>
      </c>
      <c r="X9" s="195">
        <v>499.4</v>
      </c>
      <c r="Y9" s="195">
        <v>482.7</v>
      </c>
      <c r="Z9" s="195">
        <v>501.2</v>
      </c>
      <c r="AA9" s="195">
        <v>518.6</v>
      </c>
      <c r="AB9" s="195">
        <v>529.20000000000005</v>
      </c>
      <c r="AC9" s="195">
        <v>524.5</v>
      </c>
      <c r="AD9" s="195">
        <v>539.5</v>
      </c>
      <c r="AE9" s="195">
        <v>536.4</v>
      </c>
      <c r="AF9" s="195">
        <v>591.1</v>
      </c>
      <c r="AG9" s="195"/>
      <c r="AH9" s="195"/>
      <c r="AI9" s="195"/>
      <c r="AJ9" s="195"/>
      <c r="AK9" s="195"/>
      <c r="AL9" s="195"/>
      <c r="AM9" s="195"/>
      <c r="AN9" s="195"/>
      <c r="AO9" s="195"/>
      <c r="AP9" s="195"/>
      <c r="AQ9" s="195"/>
      <c r="AR9" s="195"/>
      <c r="AS9" s="195"/>
      <c r="AT9" s="195"/>
      <c r="AU9" s="195"/>
      <c r="AV9" s="195">
        <f t="shared" si="2"/>
        <v>0</v>
      </c>
      <c r="AW9" s="195"/>
      <c r="AX9" s="195"/>
      <c r="AY9" s="195"/>
      <c r="AZ9" s="195"/>
      <c r="BA9" s="195"/>
      <c r="BB9" s="195"/>
      <c r="BC9" s="195"/>
      <c r="BD9" s="195"/>
      <c r="BE9" s="195"/>
      <c r="BF9" s="195"/>
      <c r="BG9" s="195"/>
    </row>
    <row r="10" spans="1:60" ht="13.5" customHeight="1">
      <c r="B10" s="1" t="s">
        <v>420</v>
      </c>
      <c r="C10" s="195">
        <v>290.5</v>
      </c>
      <c r="D10" s="195">
        <v>321.89999999999998</v>
      </c>
      <c r="E10" s="195">
        <v>380.1</v>
      </c>
      <c r="F10" s="195"/>
      <c r="G10" s="195"/>
      <c r="H10" s="195"/>
      <c r="I10" s="195"/>
      <c r="J10" s="195"/>
      <c r="K10" s="195"/>
      <c r="L10" s="196"/>
      <c r="M10" s="195"/>
      <c r="N10" s="196"/>
      <c r="O10" s="196"/>
      <c r="P10" s="197"/>
      <c r="Q10" s="195">
        <v>37.299999999999997</v>
      </c>
      <c r="R10" s="195">
        <v>64.099999999999994</v>
      </c>
      <c r="S10" s="195">
        <v>91.2</v>
      </c>
      <c r="T10" s="195">
        <v>52.9</v>
      </c>
      <c r="U10" s="195">
        <v>55.5</v>
      </c>
      <c r="V10" s="195">
        <v>78.900000000000006</v>
      </c>
      <c r="W10" s="195">
        <v>102.7</v>
      </c>
      <c r="X10" s="195">
        <v>53.4</v>
      </c>
      <c r="Y10" s="195">
        <v>55</v>
      </c>
      <c r="Z10" s="195">
        <v>77</v>
      </c>
      <c r="AA10" s="195">
        <v>112.3</v>
      </c>
      <c r="AB10" s="195">
        <v>77.599999999999994</v>
      </c>
      <c r="AC10" s="195">
        <v>65.099999999999994</v>
      </c>
      <c r="AD10" s="195">
        <v>83.7</v>
      </c>
      <c r="AE10" s="195">
        <v>113.5</v>
      </c>
      <c r="AF10" s="195">
        <v>117.8</v>
      </c>
      <c r="AG10" s="195"/>
      <c r="AH10" s="195"/>
      <c r="AI10" s="195"/>
      <c r="AJ10" s="195"/>
      <c r="AK10" s="195"/>
      <c r="AL10" s="195"/>
      <c r="AM10" s="195"/>
      <c r="AN10" s="195"/>
      <c r="AO10" s="195"/>
      <c r="AP10" s="195"/>
      <c r="AQ10" s="195"/>
      <c r="AR10" s="195"/>
      <c r="AS10" s="195"/>
      <c r="AT10" s="195"/>
      <c r="AU10" s="195"/>
      <c r="AV10" s="195">
        <f t="shared" si="2"/>
        <v>0</v>
      </c>
      <c r="AW10" s="195"/>
      <c r="AX10" s="195"/>
      <c r="AY10" s="195"/>
      <c r="AZ10" s="195"/>
      <c r="BA10" s="195"/>
      <c r="BB10" s="195"/>
      <c r="BC10" s="195"/>
      <c r="BD10" s="195"/>
      <c r="BE10" s="195"/>
      <c r="BF10" s="195"/>
      <c r="BG10" s="195"/>
    </row>
    <row r="11" spans="1:60" ht="13.5" customHeight="1">
      <c r="B11" s="5" t="s">
        <v>421</v>
      </c>
      <c r="C11" s="195">
        <v>1137.9000000000001</v>
      </c>
      <c r="D11" s="195">
        <v>856.1</v>
      </c>
      <c r="E11" s="195">
        <v>874.7</v>
      </c>
      <c r="F11" s="195">
        <v>1067.0999999999999</v>
      </c>
      <c r="G11" s="195">
        <v>1456.98</v>
      </c>
      <c r="H11" s="195">
        <v>2002.8</v>
      </c>
      <c r="I11" s="195">
        <v>2542.41</v>
      </c>
      <c r="J11" s="195">
        <v>3750.1</v>
      </c>
      <c r="K11" s="195">
        <v>6353.6</v>
      </c>
      <c r="L11" s="196">
        <f>SUM(BD11:BG11)</f>
        <v>8736.4000000000015</v>
      </c>
      <c r="M11" s="196"/>
      <c r="N11" s="196"/>
      <c r="O11" s="196"/>
      <c r="P11" s="197"/>
      <c r="Q11" s="195">
        <v>244.8</v>
      </c>
      <c r="R11" s="195">
        <v>286.5</v>
      </c>
      <c r="S11" s="195">
        <v>348.8</v>
      </c>
      <c r="T11" s="195">
        <v>329.4</v>
      </c>
      <c r="U11" s="195">
        <v>311</v>
      </c>
      <c r="V11" s="195">
        <v>268</v>
      </c>
      <c r="W11" s="195">
        <v>304.60000000000002</v>
      </c>
      <c r="X11" s="195">
        <v>254.3</v>
      </c>
      <c r="Y11" s="195">
        <v>192.9</v>
      </c>
      <c r="Z11" s="195">
        <v>204.7</v>
      </c>
      <c r="AA11" s="195">
        <v>234.7</v>
      </c>
      <c r="AB11" s="195">
        <v>223.8</v>
      </c>
      <c r="AC11" s="195">
        <v>196.9</v>
      </c>
      <c r="AD11" s="195">
        <v>203.8</v>
      </c>
      <c r="AE11" s="195">
        <v>222.4</v>
      </c>
      <c r="AF11" s="195">
        <v>251.6</v>
      </c>
      <c r="AG11" s="195">
        <v>248</v>
      </c>
      <c r="AH11" s="195">
        <v>257.8</v>
      </c>
      <c r="AI11" s="195">
        <v>272.89999999999998</v>
      </c>
      <c r="AJ11" s="195">
        <v>288.3</v>
      </c>
      <c r="AK11" s="195">
        <v>279.39999999999998</v>
      </c>
      <c r="AL11" s="195">
        <f>331.5</f>
        <v>331.5</v>
      </c>
      <c r="AM11" s="195">
        <v>424.178</v>
      </c>
      <c r="AN11" s="275">
        <f>G11-AM11-AL11-AK11</f>
        <v>421.90200000000016</v>
      </c>
      <c r="AO11" s="195">
        <v>424.8</v>
      </c>
      <c r="AP11" s="195">
        <v>492</v>
      </c>
      <c r="AQ11" s="195">
        <v>525</v>
      </c>
      <c r="AR11" s="196">
        <f>H11-AQ11-AP11-AO11</f>
        <v>561</v>
      </c>
      <c r="AS11" s="195">
        <v>559.6</v>
      </c>
      <c r="AT11" s="195">
        <v>577.9</v>
      </c>
      <c r="AU11" s="195">
        <v>657.60599999999999</v>
      </c>
      <c r="AV11" s="196">
        <f t="shared" si="2"/>
        <v>747.30399999999997</v>
      </c>
      <c r="AW11" s="195">
        <v>708.2</v>
      </c>
      <c r="AX11" s="195">
        <v>840.2</v>
      </c>
      <c r="AY11" s="195">
        <v>915.34500000000003</v>
      </c>
      <c r="AZ11" s="196">
        <f t="shared" si="3"/>
        <v>1286.355</v>
      </c>
      <c r="BA11" s="195">
        <v>1426.6220000000001</v>
      </c>
      <c r="BB11" s="195">
        <v>1479.7</v>
      </c>
      <c r="BC11" s="195">
        <v>1634.65</v>
      </c>
      <c r="BD11" s="196">
        <f t="shared" si="4"/>
        <v>1812.6280000000008</v>
      </c>
      <c r="BE11" s="195">
        <v>1868.77</v>
      </c>
      <c r="BF11" s="195">
        <v>2187.3649999999998</v>
      </c>
      <c r="BG11" s="195">
        <v>2867.6370000000002</v>
      </c>
    </row>
    <row r="12" spans="1:60" ht="13.5" customHeight="1">
      <c r="B12" s="5" t="s">
        <v>422</v>
      </c>
      <c r="C12" s="195"/>
      <c r="D12" s="195"/>
      <c r="E12" s="195"/>
      <c r="F12" s="195"/>
      <c r="G12" s="195"/>
      <c r="H12" s="195"/>
      <c r="I12" s="195">
        <v>845.2</v>
      </c>
      <c r="J12" s="195">
        <v>1075.7</v>
      </c>
      <c r="K12" s="195">
        <v>1849.1</v>
      </c>
      <c r="L12" s="196">
        <f>SUM(BD12:BG12)</f>
        <v>3022.4549999999999</v>
      </c>
      <c r="M12" s="196"/>
      <c r="N12" s="196"/>
      <c r="O12" s="196"/>
      <c r="P12" s="197"/>
      <c r="Q12" s="195"/>
      <c r="R12" s="195"/>
      <c r="S12" s="195"/>
      <c r="T12" s="195"/>
      <c r="U12" s="195"/>
      <c r="V12" s="195"/>
      <c r="W12" s="195"/>
      <c r="X12" s="195"/>
      <c r="Y12" s="195"/>
      <c r="Z12" s="195"/>
      <c r="AA12" s="195"/>
      <c r="AB12" s="195"/>
      <c r="AC12" s="195"/>
      <c r="AD12" s="195"/>
      <c r="AE12" s="195"/>
      <c r="AF12" s="195"/>
      <c r="AG12" s="195"/>
      <c r="AH12" s="195"/>
      <c r="AI12" s="195"/>
      <c r="AJ12" s="195"/>
      <c r="AK12" s="195"/>
      <c r="AL12" s="195"/>
      <c r="AM12" s="195"/>
      <c r="AN12" s="275"/>
      <c r="AO12" s="195"/>
      <c r="AP12" s="195"/>
      <c r="AQ12" s="195"/>
      <c r="AR12" s="196"/>
      <c r="AS12" s="195"/>
      <c r="AT12" s="195"/>
      <c r="AU12" s="195"/>
      <c r="AV12" s="196">
        <f t="shared" si="2"/>
        <v>845.2</v>
      </c>
      <c r="AW12" s="195">
        <v>222.6</v>
      </c>
      <c r="AX12" s="195">
        <v>241.8</v>
      </c>
      <c r="AY12" s="195">
        <v>281.49200000000002</v>
      </c>
      <c r="AZ12" s="196">
        <f t="shared" si="3"/>
        <v>329.80800000000011</v>
      </c>
      <c r="BA12" s="195">
        <v>352.85</v>
      </c>
      <c r="BB12" s="195">
        <v>414</v>
      </c>
      <c r="BC12" s="195">
        <v>499.12700000000001</v>
      </c>
      <c r="BD12" s="196">
        <f t="shared" si="4"/>
        <v>583.12299999999993</v>
      </c>
      <c r="BE12" s="195">
        <v>606.05899999999997</v>
      </c>
      <c r="BF12" s="195">
        <v>797.45600000000002</v>
      </c>
      <c r="BG12" s="195">
        <v>1035.817</v>
      </c>
    </row>
    <row r="13" spans="1:60" ht="13.5" customHeight="1">
      <c r="B13" s="5" t="s">
        <v>59</v>
      </c>
      <c r="C13" s="195">
        <v>425.5</v>
      </c>
      <c r="D13" s="195">
        <v>432.4</v>
      </c>
      <c r="E13" s="195">
        <v>623.29999999999995</v>
      </c>
      <c r="F13" s="195">
        <v>1114.8</v>
      </c>
      <c r="G13" s="195">
        <f>1933.831-364.113</f>
        <v>1569.7179999999998</v>
      </c>
      <c r="H13" s="195">
        <v>1647.2</v>
      </c>
      <c r="I13" s="195">
        <v>2893.3</v>
      </c>
      <c r="J13" s="195">
        <v>3871.2</v>
      </c>
      <c r="K13" s="195">
        <v>4824.7</v>
      </c>
      <c r="L13" s="196">
        <f>SUM(BD13:BG13)</f>
        <v>5736.5120000000006</v>
      </c>
      <c r="M13" s="196"/>
      <c r="N13" s="196"/>
      <c r="O13" s="196"/>
      <c r="P13" s="197"/>
      <c r="Q13" s="195">
        <v>71.7</v>
      </c>
      <c r="R13" s="195">
        <v>65.2</v>
      </c>
      <c r="S13" s="195">
        <v>71.099999999999994</v>
      </c>
      <c r="T13" s="195">
        <v>93.4</v>
      </c>
      <c r="U13" s="195">
        <v>102.2</v>
      </c>
      <c r="V13" s="195">
        <v>96.7</v>
      </c>
      <c r="W13" s="195">
        <v>100.3</v>
      </c>
      <c r="X13" s="195">
        <v>126.4</v>
      </c>
      <c r="Y13" s="195">
        <v>123.1</v>
      </c>
      <c r="Z13" s="195">
        <v>101.9</v>
      </c>
      <c r="AA13" s="195">
        <v>94.4</v>
      </c>
      <c r="AB13" s="195">
        <v>112.9</v>
      </c>
      <c r="AC13" s="195">
        <v>101</v>
      </c>
      <c r="AD13" s="195">
        <v>146.1</v>
      </c>
      <c r="AE13" s="195">
        <v>160.4</v>
      </c>
      <c r="AF13" s="195">
        <v>215.8</v>
      </c>
      <c r="AG13" s="195">
        <v>241.9</v>
      </c>
      <c r="AH13" s="195">
        <v>255.3</v>
      </c>
      <c r="AI13" s="195">
        <v>280.5</v>
      </c>
      <c r="AJ13" s="195">
        <v>337.1</v>
      </c>
      <c r="AK13" s="195">
        <v>365.2</v>
      </c>
      <c r="AL13" s="195">
        <f>369.9</f>
        <v>369.9</v>
      </c>
      <c r="AM13" s="195">
        <f>512.286-96.725</f>
        <v>415.56099999999992</v>
      </c>
      <c r="AN13" s="275">
        <f>G13-AM13-AL13-AK13</f>
        <v>419.05699999999996</v>
      </c>
      <c r="AO13" s="195">
        <v>417.3</v>
      </c>
      <c r="AP13" s="195">
        <v>438.3</v>
      </c>
      <c r="AQ13" s="195">
        <v>409.5</v>
      </c>
      <c r="AR13" s="196">
        <f>H13-AQ13-AP13-AO13</f>
        <v>382.10000000000008</v>
      </c>
      <c r="AS13" s="195">
        <v>360.2</v>
      </c>
      <c r="AT13" s="195">
        <v>343</v>
      </c>
      <c r="AU13" s="195">
        <f>526.872-182.917</f>
        <v>343.95499999999993</v>
      </c>
      <c r="AV13" s="196">
        <f t="shared" si="2"/>
        <v>1846.1450000000002</v>
      </c>
      <c r="AW13" s="195">
        <f>917.1</f>
        <v>917.1</v>
      </c>
      <c r="AX13" s="195">
        <v>961</v>
      </c>
      <c r="AY13" s="195">
        <f>1376.985-269.867</f>
        <v>1107.1179999999999</v>
      </c>
      <c r="AZ13" s="196">
        <f t="shared" si="3"/>
        <v>885.98199999999986</v>
      </c>
      <c r="BA13" s="195">
        <f>1399.566-433.709</f>
        <v>965.85699999999997</v>
      </c>
      <c r="BB13" s="195">
        <v>1206.4000000000001</v>
      </c>
      <c r="BC13" s="195">
        <f>2211.837-758.807</f>
        <v>1453.03</v>
      </c>
      <c r="BD13" s="196">
        <f t="shared" si="4"/>
        <v>1199.413</v>
      </c>
      <c r="BE13" s="195">
        <f>1687.762-377.445</f>
        <v>1310.317</v>
      </c>
      <c r="BF13" s="195">
        <f>1921.2-345.854</f>
        <v>1575.346</v>
      </c>
      <c r="BG13" s="195">
        <f>2174.831-523.395</f>
        <v>1651.4360000000001</v>
      </c>
    </row>
    <row r="14" spans="1:60" s="5" customFormat="1" ht="16.5" customHeight="1">
      <c r="B14" s="5" t="s">
        <v>423</v>
      </c>
      <c r="C14" s="198">
        <f>C7+C11+C13</f>
        <v>12043.599999999999</v>
      </c>
      <c r="D14" s="198">
        <f>D7+D11+D13</f>
        <v>12769.4</v>
      </c>
      <c r="E14" s="198">
        <f>E7+E11+E13</f>
        <v>14285.6</v>
      </c>
      <c r="F14" s="198">
        <f t="shared" ref="F14:K14" si="5">SUM(F7:F13)</f>
        <v>17632.099999999999</v>
      </c>
      <c r="G14" s="198">
        <f t="shared" si="5"/>
        <v>21292.474999999999</v>
      </c>
      <c r="H14" s="198">
        <f t="shared" si="5"/>
        <v>25137.200000000001</v>
      </c>
      <c r="I14" s="198">
        <f t="shared" si="5"/>
        <v>29103.81</v>
      </c>
      <c r="J14" s="198">
        <f t="shared" si="5"/>
        <v>35920.5</v>
      </c>
      <c r="K14" s="198">
        <f t="shared" si="5"/>
        <v>53878.499999999993</v>
      </c>
      <c r="L14" s="198">
        <f>L7+L11+L12+L13</f>
        <v>80963.822000000015</v>
      </c>
      <c r="M14" s="202"/>
      <c r="N14" s="199"/>
      <c r="O14" s="199"/>
      <c r="P14" s="200"/>
      <c r="Q14" s="198">
        <f t="shared" ref="Q14:AI14" si="6">Q7+Q11+Q13</f>
        <v>2688.4</v>
      </c>
      <c r="R14" s="198">
        <f t="shared" si="6"/>
        <v>2855.2</v>
      </c>
      <c r="S14" s="198">
        <f t="shared" si="6"/>
        <v>2980.7</v>
      </c>
      <c r="T14" s="198">
        <f t="shared" si="6"/>
        <v>2883.6000000000004</v>
      </c>
      <c r="U14" s="198">
        <f t="shared" si="6"/>
        <v>2855.2</v>
      </c>
      <c r="V14" s="198">
        <f t="shared" si="6"/>
        <v>2923</v>
      </c>
      <c r="W14" s="198">
        <f t="shared" si="6"/>
        <v>3162.2</v>
      </c>
      <c r="X14" s="198">
        <f t="shared" si="6"/>
        <v>3103.2000000000003</v>
      </c>
      <c r="Y14" s="198">
        <f t="shared" si="6"/>
        <v>2978.2</v>
      </c>
      <c r="Z14" s="198">
        <f t="shared" si="6"/>
        <v>3092.8999999999996</v>
      </c>
      <c r="AA14" s="198">
        <f t="shared" si="6"/>
        <v>3363.8</v>
      </c>
      <c r="AB14" s="198">
        <f t="shared" si="6"/>
        <v>3334.5</v>
      </c>
      <c r="AC14" s="198">
        <f t="shared" si="6"/>
        <v>3225.4</v>
      </c>
      <c r="AD14" s="198">
        <f t="shared" si="6"/>
        <v>3358.1</v>
      </c>
      <c r="AE14" s="198">
        <f t="shared" si="6"/>
        <v>3658.5000000000005</v>
      </c>
      <c r="AF14" s="198">
        <f t="shared" si="6"/>
        <v>4043.6000000000004</v>
      </c>
      <c r="AG14" s="198">
        <f t="shared" si="6"/>
        <v>4052.6</v>
      </c>
      <c r="AH14" s="198">
        <f t="shared" si="6"/>
        <v>4316</v>
      </c>
      <c r="AI14" s="198">
        <f t="shared" si="6"/>
        <v>4597.3999999999996</v>
      </c>
      <c r="AJ14" s="198">
        <f t="shared" ref="AJ14:AO14" si="7">AJ7+AJ11+AJ13</f>
        <v>4666.1000000000004</v>
      </c>
      <c r="AK14" s="198">
        <f t="shared" si="7"/>
        <v>4761.5999999999995</v>
      </c>
      <c r="AL14" s="198">
        <f t="shared" si="7"/>
        <v>5105.2</v>
      </c>
      <c r="AM14" s="198">
        <f t="shared" si="7"/>
        <v>5799.24</v>
      </c>
      <c r="AN14" s="198">
        <f t="shared" si="7"/>
        <v>5626.4349999999986</v>
      </c>
      <c r="AO14" s="198">
        <f t="shared" si="7"/>
        <v>5675.4000000000005</v>
      </c>
      <c r="AP14" s="198">
        <f>AP7+AP11+AP13</f>
        <v>6191.1</v>
      </c>
      <c r="AQ14" s="198">
        <f>AQ7+AQ11+AQ13</f>
        <v>6586.9</v>
      </c>
      <c r="AR14" s="198">
        <f>AR7+AR11+AR13</f>
        <v>6683.8</v>
      </c>
      <c r="AS14" s="198">
        <f>AS7+AS11+AS12+AS13</f>
        <v>6658.3</v>
      </c>
      <c r="AT14" s="198">
        <f>AT7+AT11+AT13</f>
        <v>6923.9</v>
      </c>
      <c r="AU14" s="198">
        <f t="shared" ref="AU14:AZ14" si="8">AU7+AU11+AU12+AU13</f>
        <v>7649.4709999999995</v>
      </c>
      <c r="AV14" s="198">
        <f t="shared" si="8"/>
        <v>7872.1390000000019</v>
      </c>
      <c r="AW14" s="198">
        <f t="shared" si="8"/>
        <v>7826.5000000000009</v>
      </c>
      <c r="AX14" s="198">
        <f t="shared" si="8"/>
        <v>8548.2999999999993</v>
      </c>
      <c r="AY14" s="198">
        <f t="shared" si="8"/>
        <v>9354.2330000000002</v>
      </c>
      <c r="AZ14" s="198">
        <f t="shared" si="8"/>
        <v>10191.467000000002</v>
      </c>
      <c r="BA14" s="198">
        <f t="shared" ref="BA14:BG14" si="9">BA7+BA11+BA12+BA13</f>
        <v>10695.016</v>
      </c>
      <c r="BB14" s="198">
        <f t="shared" si="9"/>
        <v>12477</v>
      </c>
      <c r="BC14" s="198">
        <f t="shared" si="9"/>
        <v>14662.487000000001</v>
      </c>
      <c r="BD14" s="198">
        <f t="shared" si="9"/>
        <v>16043.996999999998</v>
      </c>
      <c r="BE14" s="198">
        <f t="shared" si="9"/>
        <v>17275.858</v>
      </c>
      <c r="BF14" s="198">
        <f t="shared" si="9"/>
        <v>21650.980999999996</v>
      </c>
      <c r="BG14" s="198">
        <f t="shared" si="9"/>
        <v>25992.986000000001</v>
      </c>
    </row>
    <row r="15" spans="1:60" s="29" customFormat="1" ht="13.5" customHeight="1">
      <c r="B15" s="20" t="s">
        <v>424</v>
      </c>
      <c r="C15" s="159">
        <f>C14/11407.9-1</f>
        <v>5.5724541764917257E-2</v>
      </c>
      <c r="D15" s="21">
        <f t="shared" ref="D15:K15" si="10">D14/C14-1</f>
        <v>6.0264372778903397E-2</v>
      </c>
      <c r="E15" s="21">
        <f t="shared" si="10"/>
        <v>0.1187369805942331</v>
      </c>
      <c r="F15" s="21">
        <f t="shared" si="10"/>
        <v>0.2342568740549924</v>
      </c>
      <c r="G15" s="21">
        <f t="shared" si="10"/>
        <v>0.20759722324623842</v>
      </c>
      <c r="H15" s="21">
        <f t="shared" si="10"/>
        <v>0.1805673131000507</v>
      </c>
      <c r="I15" s="21">
        <f t="shared" si="10"/>
        <v>0.1577984023678054</v>
      </c>
      <c r="J15" s="21">
        <f t="shared" si="10"/>
        <v>0.23421984956608766</v>
      </c>
      <c r="K15" s="21">
        <f t="shared" si="10"/>
        <v>0.49993736167369596</v>
      </c>
      <c r="L15" s="21"/>
      <c r="M15" s="315"/>
      <c r="N15" s="65"/>
      <c r="O15" s="65"/>
      <c r="P15" s="99"/>
      <c r="Q15" s="21"/>
      <c r="R15" s="21"/>
      <c r="S15" s="21"/>
      <c r="T15" s="21"/>
      <c r="U15" s="21">
        <f t="shared" ref="U15:AF15" si="11">U14/Q14-1</f>
        <v>6.2044338640083296E-2</v>
      </c>
      <c r="V15" s="21">
        <f t="shared" si="11"/>
        <v>2.3746147380218519E-2</v>
      </c>
      <c r="W15" s="21">
        <f t="shared" si="11"/>
        <v>6.0891736840339439E-2</v>
      </c>
      <c r="X15" s="21">
        <f t="shared" si="11"/>
        <v>7.6154806491885108E-2</v>
      </c>
      <c r="Y15" s="21">
        <f t="shared" si="11"/>
        <v>4.3079293919865425E-2</v>
      </c>
      <c r="Z15" s="21">
        <f t="shared" si="11"/>
        <v>5.8125213821416333E-2</v>
      </c>
      <c r="AA15" s="21">
        <f t="shared" si="11"/>
        <v>6.375308329643925E-2</v>
      </c>
      <c r="AB15" s="21">
        <f t="shared" si="11"/>
        <v>7.4535962877030126E-2</v>
      </c>
      <c r="AC15" s="21">
        <f t="shared" si="11"/>
        <v>8.3003156268887324E-2</v>
      </c>
      <c r="AD15" s="21">
        <f t="shared" si="11"/>
        <v>8.5744770280319571E-2</v>
      </c>
      <c r="AE15" s="21">
        <f t="shared" si="11"/>
        <v>8.7609251441821856E-2</v>
      </c>
      <c r="AF15" s="21">
        <f t="shared" si="11"/>
        <v>0.21265557055030748</v>
      </c>
      <c r="AG15" s="21">
        <f t="shared" ref="AG15:BG15" si="12">AG14/AC14-1</f>
        <v>0.25646431450362739</v>
      </c>
      <c r="AH15" s="21">
        <f t="shared" si="12"/>
        <v>0.28525058813019277</v>
      </c>
      <c r="AI15" s="21">
        <f t="shared" si="12"/>
        <v>0.25663523301899671</v>
      </c>
      <c r="AJ15" s="21">
        <f t="shared" si="12"/>
        <v>0.15394697794044898</v>
      </c>
      <c r="AK15" s="21">
        <f t="shared" si="12"/>
        <v>0.1749494151902482</v>
      </c>
      <c r="AL15" s="21">
        <f t="shared" si="12"/>
        <v>0.18285449490268757</v>
      </c>
      <c r="AM15" s="21">
        <f t="shared" si="12"/>
        <v>0.26141732283464569</v>
      </c>
      <c r="AN15" s="21">
        <f t="shared" si="12"/>
        <v>0.20581106277190764</v>
      </c>
      <c r="AO15" s="21">
        <f t="shared" si="12"/>
        <v>0.19191028225806472</v>
      </c>
      <c r="AP15" s="21">
        <f t="shared" si="12"/>
        <v>0.21270469325393737</v>
      </c>
      <c r="AQ15" s="21">
        <f t="shared" si="12"/>
        <v>0.1358212455425194</v>
      </c>
      <c r="AR15" s="21">
        <f t="shared" si="12"/>
        <v>0.18792805746445151</v>
      </c>
      <c r="AS15" s="21">
        <f t="shared" si="12"/>
        <v>0.17318603094055041</v>
      </c>
      <c r="AT15" s="21">
        <f t="shared" si="12"/>
        <v>0.11836345722084918</v>
      </c>
      <c r="AU15" s="21">
        <f t="shared" si="12"/>
        <v>0.16131579346885494</v>
      </c>
      <c r="AV15" s="21">
        <f t="shared" si="12"/>
        <v>0.1777939196265601</v>
      </c>
      <c r="AW15" s="21">
        <f t="shared" si="12"/>
        <v>0.17545018998843553</v>
      </c>
      <c r="AX15" s="21">
        <f t="shared" si="12"/>
        <v>0.23460766331113958</v>
      </c>
      <c r="AY15" s="21">
        <f t="shared" si="12"/>
        <v>0.22286011673225525</v>
      </c>
      <c r="AZ15" s="21">
        <f t="shared" si="12"/>
        <v>0.29462487895602441</v>
      </c>
      <c r="BA15" s="21">
        <f t="shared" si="12"/>
        <v>0.36651325624480902</v>
      </c>
      <c r="BB15" s="21">
        <f t="shared" si="12"/>
        <v>0.45958845618427069</v>
      </c>
      <c r="BC15" s="21">
        <f t="shared" si="12"/>
        <v>0.56747079103118359</v>
      </c>
      <c r="BD15" s="21">
        <f t="shared" si="12"/>
        <v>0.57425785708769839</v>
      </c>
      <c r="BE15" s="21">
        <f t="shared" si="12"/>
        <v>0.61531857455846728</v>
      </c>
      <c r="BF15" s="21">
        <f t="shared" si="12"/>
        <v>0.73527137933798148</v>
      </c>
      <c r="BG15" s="21">
        <f t="shared" si="12"/>
        <v>0.77275424012311134</v>
      </c>
    </row>
    <row r="16" spans="1:60" ht="13.5" customHeight="1">
      <c r="B16" s="1" t="s">
        <v>425</v>
      </c>
      <c r="C16" s="195">
        <v>-7383.9</v>
      </c>
      <c r="D16" s="195">
        <v>-7769.5</v>
      </c>
      <c r="E16" s="195">
        <v>-9236.6</v>
      </c>
      <c r="F16" s="195">
        <v>-11350.2</v>
      </c>
      <c r="G16" s="195">
        <v>-14145.993</v>
      </c>
      <c r="H16" s="195">
        <v>-17083.5</v>
      </c>
      <c r="I16" s="195">
        <v>-20336.059000000001</v>
      </c>
      <c r="J16" s="195">
        <v>-25229.973999999998</v>
      </c>
      <c r="K16" s="195">
        <v>-36788.6</v>
      </c>
      <c r="L16" s="196">
        <f>SUM(BD16:BG16)</f>
        <v>-44883.888999999996</v>
      </c>
      <c r="M16" s="196"/>
      <c r="Q16" s="195">
        <v>-1687.3</v>
      </c>
      <c r="R16" s="195">
        <v>-1771.3</v>
      </c>
      <c r="S16" s="195">
        <v>-1754.0000000000005</v>
      </c>
      <c r="T16" s="195">
        <v>-1851.2999999999993</v>
      </c>
      <c r="U16" s="195">
        <v>-1742.3</v>
      </c>
      <c r="V16" s="195">
        <v>-1789.2</v>
      </c>
      <c r="W16" s="195">
        <v>-1880.1999999999998</v>
      </c>
      <c r="X16" s="195">
        <v>-1972.2</v>
      </c>
      <c r="Y16" s="195">
        <v>-1828.6</v>
      </c>
      <c r="Z16" s="195">
        <v>-1898.3</v>
      </c>
      <c r="AA16" s="195">
        <v>-1987.8</v>
      </c>
      <c r="AB16" s="195">
        <v>-2054.8000000000002</v>
      </c>
      <c r="AC16" s="195">
        <v>-2018.8</v>
      </c>
      <c r="AD16" s="195">
        <v>-2236.9</v>
      </c>
      <c r="AE16" s="195">
        <v>-2372.6</v>
      </c>
      <c r="AF16" s="195">
        <v>-2608.3000000000002</v>
      </c>
      <c r="AG16" s="195">
        <v>-2616.6</v>
      </c>
      <c r="AH16" s="195">
        <v>-2783.9</v>
      </c>
      <c r="AI16" s="195">
        <v>-2933.4</v>
      </c>
      <c r="AJ16" s="195">
        <v>-3016.3000000000011</v>
      </c>
      <c r="AK16" s="195">
        <v>-3114.8</v>
      </c>
      <c r="AL16" s="195">
        <v>-3391.8</v>
      </c>
      <c r="AM16" s="195">
        <v>-3744.99</v>
      </c>
      <c r="AN16" s="275">
        <f>G16-AM16-AL16-AK16</f>
        <v>-3894.4030000000002</v>
      </c>
      <c r="AO16" s="195">
        <v>-3908.3</v>
      </c>
      <c r="AP16" s="195">
        <v>-4284.3999999999996</v>
      </c>
      <c r="AQ16" s="195">
        <v>-4279.6000000000004</v>
      </c>
      <c r="AR16" s="196">
        <f>H16-AQ16-AP16-AO16</f>
        <v>-4611.2</v>
      </c>
      <c r="AS16" s="195">
        <v>-4569.5</v>
      </c>
      <c r="AT16" s="195">
        <v>-4950.1000000000004</v>
      </c>
      <c r="AU16" s="195">
        <v>-5243.7520000000004</v>
      </c>
      <c r="AV16" s="196">
        <f>I16-AU16-AT16-AS16</f>
        <v>-5572.7070000000003</v>
      </c>
      <c r="AW16" s="195">
        <v>-5568.9</v>
      </c>
      <c r="AX16" s="195">
        <v>-6137</v>
      </c>
      <c r="AY16" s="195">
        <v>-6428.6670000000004</v>
      </c>
      <c r="AZ16" s="196">
        <f>J16-AY16-AX16-AW16</f>
        <v>-7095.4069999999974</v>
      </c>
      <c r="BA16" s="195">
        <v>-7578.0420000000004</v>
      </c>
      <c r="BB16" s="195">
        <v>-8907.5</v>
      </c>
      <c r="BC16" s="195">
        <v>-9852.0650000000005</v>
      </c>
      <c r="BD16" s="196">
        <f>K16-BC16-BB16-BA16</f>
        <v>-10450.992999999995</v>
      </c>
      <c r="BE16" s="195">
        <v>-5526.36</v>
      </c>
      <c r="BF16" s="195">
        <v>-13273.851000000001</v>
      </c>
      <c r="BG16" s="195">
        <v>-15632.684999999999</v>
      </c>
    </row>
    <row r="17" spans="2:59" ht="13.5" customHeight="1">
      <c r="B17" s="201" t="s">
        <v>426</v>
      </c>
      <c r="C17" s="195">
        <v>-1639.4</v>
      </c>
      <c r="D17" s="195">
        <v>-1667.8</v>
      </c>
      <c r="E17" s="195">
        <v>-2203.1999999999998</v>
      </c>
      <c r="F17" s="195">
        <v>-2597</v>
      </c>
      <c r="G17" s="195">
        <v>-4288</v>
      </c>
      <c r="H17" s="195">
        <v>-5046.6000000000004</v>
      </c>
      <c r="I17" s="195">
        <v>-5974.7790000000005</v>
      </c>
      <c r="J17" s="195">
        <v>-7291.9129999999996</v>
      </c>
      <c r="K17" s="195">
        <v>-9478.0120000000006</v>
      </c>
      <c r="L17" s="196">
        <f>SUM(BD17:BG17)</f>
        <v>-11626.050000000001</v>
      </c>
      <c r="M17" s="196"/>
      <c r="Q17" s="195">
        <v>-360.4</v>
      </c>
      <c r="R17" s="195">
        <v>-366.8</v>
      </c>
      <c r="S17" s="195">
        <v>-385.6</v>
      </c>
      <c r="T17" s="195">
        <v>-481.6</v>
      </c>
      <c r="U17" s="195">
        <v>-399.6</v>
      </c>
      <c r="V17" s="195">
        <v>-386.2</v>
      </c>
      <c r="W17" s="195">
        <v>-402.98723481916466</v>
      </c>
      <c r="X17" s="195">
        <v>-450.7</v>
      </c>
      <c r="Y17" s="195">
        <v>-394.3</v>
      </c>
      <c r="Z17" s="195">
        <v>-409.5</v>
      </c>
      <c r="AA17" s="195">
        <v>-426.9</v>
      </c>
      <c r="AB17" s="195">
        <v>-437</v>
      </c>
      <c r="AC17" s="195">
        <v>-454.81526011189203</v>
      </c>
      <c r="AD17" s="195">
        <v>-567.08405916663105</v>
      </c>
      <c r="AE17" s="195">
        <v>-577</v>
      </c>
      <c r="AF17" s="195">
        <v>-604.29999999999995</v>
      </c>
      <c r="AG17" s="195">
        <v>-628.4</v>
      </c>
      <c r="AH17" s="195">
        <v>-617</v>
      </c>
      <c r="AI17" s="195">
        <v>-651</v>
      </c>
      <c r="AJ17" s="230" t="s">
        <v>427</v>
      </c>
      <c r="AK17" s="195">
        <v>-979.8</v>
      </c>
      <c r="AL17" s="195">
        <v>-1046.0999999999999</v>
      </c>
      <c r="AM17" s="195">
        <v>-975.10599999999999</v>
      </c>
      <c r="AN17" s="275">
        <f>G17-AM17-AL17-AK17</f>
        <v>-1286.9940000000004</v>
      </c>
      <c r="AO17" s="195">
        <v>-1178.0999999999999</v>
      </c>
      <c r="AP17" s="195">
        <v>-1265.8</v>
      </c>
      <c r="AQ17" s="195">
        <v>-1197.7</v>
      </c>
      <c r="AR17" s="196">
        <f>H17-AQ17-AP17-AO17</f>
        <v>-1405.0000000000005</v>
      </c>
      <c r="AS17" s="195">
        <v>-1372.1</v>
      </c>
      <c r="AT17" s="195">
        <v>-1451.5</v>
      </c>
      <c r="AU17" s="195">
        <v>-1516.588</v>
      </c>
      <c r="AV17" s="196">
        <f>I17-AU17-AT17-AS17</f>
        <v>-1634.5910000000008</v>
      </c>
      <c r="AW17" s="195">
        <v>-1656</v>
      </c>
      <c r="AX17" s="195">
        <v>-1742.9</v>
      </c>
      <c r="AY17" s="195">
        <v>-1817.5989999999999</v>
      </c>
      <c r="AZ17" s="196">
        <f>J17-AY17-AX17-AW17</f>
        <v>-2075.4139999999993</v>
      </c>
      <c r="BA17" s="195">
        <f>-850.219-1252.498</f>
        <v>-2102.7170000000001</v>
      </c>
      <c r="BB17" s="195">
        <v>-2480.1</v>
      </c>
      <c r="BC17" s="195">
        <v>-2397.6570000000002</v>
      </c>
      <c r="BD17" s="196">
        <f>K17-BC17-BB17-BA17</f>
        <v>-2497.5380000000009</v>
      </c>
      <c r="BE17" s="195">
        <v>-2682.8609999999999</v>
      </c>
      <c r="BF17" s="195">
        <v>-2987.4290000000001</v>
      </c>
      <c r="BG17" s="195">
        <v>-3458.2220000000002</v>
      </c>
    </row>
    <row r="18" spans="2:59" s="5" customFormat="1" ht="16.5" customHeight="1">
      <c r="B18" s="5" t="s">
        <v>428</v>
      </c>
      <c r="C18" s="8">
        <f t="shared" ref="C18:L18" si="13">SUM(C14,C16)</f>
        <v>4659.6999999999989</v>
      </c>
      <c r="D18" s="8">
        <f t="shared" si="13"/>
        <v>4999.8999999999996</v>
      </c>
      <c r="E18" s="8">
        <f t="shared" si="13"/>
        <v>5049</v>
      </c>
      <c r="F18" s="8">
        <f t="shared" si="13"/>
        <v>6281.8999999999978</v>
      </c>
      <c r="G18" s="8">
        <f t="shared" si="13"/>
        <v>7146.4819999999982</v>
      </c>
      <c r="H18" s="8">
        <f>SUM(H14,H16)</f>
        <v>8053.7000000000007</v>
      </c>
      <c r="I18" s="8">
        <f>SUM(I14,I16)</f>
        <v>8767.7510000000002</v>
      </c>
      <c r="J18" s="8">
        <f>SUM(J14,J16)</f>
        <v>10690.526000000002</v>
      </c>
      <c r="K18" s="8">
        <f>SUM(K14,K16)</f>
        <v>17089.899999999994</v>
      </c>
      <c r="L18" s="8">
        <f t="shared" si="13"/>
        <v>36079.933000000019</v>
      </c>
      <c r="M18" s="8"/>
      <c r="N18" s="28"/>
      <c r="O18" s="28"/>
      <c r="P18" s="106"/>
      <c r="Q18" s="8">
        <f t="shared" ref="Q18:X18" si="14">SUM(Q14,Q16)</f>
        <v>1001.1000000000001</v>
      </c>
      <c r="R18" s="8">
        <f t="shared" si="14"/>
        <v>1083.8999999999999</v>
      </c>
      <c r="S18" s="8">
        <f t="shared" si="14"/>
        <v>1226.6999999999994</v>
      </c>
      <c r="T18" s="8">
        <f t="shared" si="14"/>
        <v>1032.3000000000011</v>
      </c>
      <c r="U18" s="8">
        <f t="shared" si="14"/>
        <v>1112.8999999999999</v>
      </c>
      <c r="V18" s="8">
        <f t="shared" si="14"/>
        <v>1133.8</v>
      </c>
      <c r="W18" s="8">
        <f t="shared" si="14"/>
        <v>1282</v>
      </c>
      <c r="X18" s="8">
        <f t="shared" si="14"/>
        <v>1131.0000000000002</v>
      </c>
      <c r="Y18" s="8">
        <f t="shared" ref="Y18:AI18" si="15">SUM(Y14,Y16)</f>
        <v>1149.5999999999999</v>
      </c>
      <c r="Z18" s="8">
        <f t="shared" si="15"/>
        <v>1194.5999999999997</v>
      </c>
      <c r="AA18" s="8">
        <f t="shared" si="15"/>
        <v>1376.0000000000002</v>
      </c>
      <c r="AB18" s="8">
        <f t="shared" si="15"/>
        <v>1279.6999999999998</v>
      </c>
      <c r="AC18" s="8">
        <f t="shared" si="15"/>
        <v>1206.6000000000001</v>
      </c>
      <c r="AD18" s="8">
        <f t="shared" si="15"/>
        <v>1121.1999999999998</v>
      </c>
      <c r="AE18" s="8">
        <f t="shared" si="15"/>
        <v>1285.9000000000005</v>
      </c>
      <c r="AF18" s="8">
        <f t="shared" si="15"/>
        <v>1435.3000000000002</v>
      </c>
      <c r="AG18" s="8">
        <f t="shared" si="15"/>
        <v>1436</v>
      </c>
      <c r="AH18" s="8">
        <f t="shared" si="15"/>
        <v>1532.1</v>
      </c>
      <c r="AI18" s="8">
        <f t="shared" si="15"/>
        <v>1663.9999999999995</v>
      </c>
      <c r="AJ18" s="8">
        <f t="shared" ref="AJ18:AO18" si="16">SUM(AJ14,AJ16)</f>
        <v>1649.7999999999993</v>
      </c>
      <c r="AK18" s="8">
        <f t="shared" si="16"/>
        <v>1646.7999999999993</v>
      </c>
      <c r="AL18" s="8">
        <f t="shared" si="16"/>
        <v>1713.3999999999996</v>
      </c>
      <c r="AM18" s="8">
        <f t="shared" si="16"/>
        <v>2054.25</v>
      </c>
      <c r="AN18" s="8">
        <f t="shared" si="16"/>
        <v>1732.0319999999983</v>
      </c>
      <c r="AO18" s="8">
        <f t="shared" si="16"/>
        <v>1767.1000000000004</v>
      </c>
      <c r="AP18" s="8">
        <f t="shared" ref="AP18:AU18" si="17">SUM(AP14,AP16)</f>
        <v>1906.7000000000007</v>
      </c>
      <c r="AQ18" s="8">
        <f t="shared" si="17"/>
        <v>2307.2999999999993</v>
      </c>
      <c r="AR18" s="8">
        <f t="shared" si="17"/>
        <v>2072.6000000000004</v>
      </c>
      <c r="AS18" s="8">
        <f t="shared" si="17"/>
        <v>2088.8000000000002</v>
      </c>
      <c r="AT18" s="8">
        <f t="shared" si="17"/>
        <v>1973.7999999999993</v>
      </c>
      <c r="AU18" s="8">
        <f t="shared" si="17"/>
        <v>2405.7189999999991</v>
      </c>
      <c r="AV18" s="8">
        <f t="shared" ref="AV18:BA18" si="18">SUM(AV14,AV16)</f>
        <v>2299.4320000000016</v>
      </c>
      <c r="AW18" s="8">
        <f t="shared" si="18"/>
        <v>2257.6000000000013</v>
      </c>
      <c r="AX18" s="8">
        <f t="shared" si="18"/>
        <v>2411.2999999999993</v>
      </c>
      <c r="AY18" s="8">
        <f t="shared" si="18"/>
        <v>2925.5659999999998</v>
      </c>
      <c r="AZ18" s="8">
        <f t="shared" si="18"/>
        <v>3096.0600000000049</v>
      </c>
      <c r="BA18" s="8">
        <f t="shared" si="18"/>
        <v>3116.9739999999993</v>
      </c>
      <c r="BB18" s="8">
        <f t="shared" ref="BB18:BG18" si="19">SUM(BB14,BB16)</f>
        <v>3569.5</v>
      </c>
      <c r="BC18" s="8">
        <f t="shared" si="19"/>
        <v>4810.4220000000005</v>
      </c>
      <c r="BD18" s="8">
        <f t="shared" si="19"/>
        <v>5593.0040000000026</v>
      </c>
      <c r="BE18" s="8">
        <f t="shared" si="19"/>
        <v>11749.498</v>
      </c>
      <c r="BF18" s="8">
        <f t="shared" si="19"/>
        <v>8377.1299999999956</v>
      </c>
      <c r="BG18" s="8">
        <f t="shared" si="19"/>
        <v>10360.301000000001</v>
      </c>
    </row>
    <row r="19" spans="2:59" s="29" customFormat="1" ht="13.5" customHeight="1">
      <c r="B19" s="20" t="s">
        <v>429</v>
      </c>
      <c r="C19" s="21">
        <f t="shared" ref="C19:L19" si="20">C18/C14</f>
        <v>0.38690258726626586</v>
      </c>
      <c r="D19" s="21">
        <f t="shared" si="20"/>
        <v>0.39155324447507323</v>
      </c>
      <c r="E19" s="21">
        <f t="shared" si="20"/>
        <v>0.35343282746261967</v>
      </c>
      <c r="F19" s="21">
        <f t="shared" si="20"/>
        <v>0.35627633690825244</v>
      </c>
      <c r="G19" s="21">
        <f t="shared" si="20"/>
        <v>0.33563416183416905</v>
      </c>
      <c r="H19" s="21">
        <f>H18/H14</f>
        <v>0.32038970131916045</v>
      </c>
      <c r="I19" s="21">
        <f>I18/I14</f>
        <v>0.30125784218629792</v>
      </c>
      <c r="J19" s="21">
        <f>J18/J14</f>
        <v>0.29761629153269031</v>
      </c>
      <c r="K19" s="21">
        <f>K18/K14</f>
        <v>0.31719331458745131</v>
      </c>
      <c r="L19" s="21">
        <f t="shared" si="20"/>
        <v>0.4456303088063211</v>
      </c>
      <c r="M19" s="315"/>
      <c r="N19" s="21"/>
      <c r="O19" s="21"/>
      <c r="P19" s="100"/>
      <c r="Q19" s="21">
        <f t="shared" ref="Q19:AI19" si="21">Q18/Q14</f>
        <v>0.3723776223776224</v>
      </c>
      <c r="R19" s="21">
        <f t="shared" si="21"/>
        <v>0.37962314373774164</v>
      </c>
      <c r="S19" s="21">
        <f t="shared" si="21"/>
        <v>0.41154762304156722</v>
      </c>
      <c r="T19" s="21">
        <f t="shared" si="21"/>
        <v>0.35799001248439483</v>
      </c>
      <c r="U19" s="21">
        <f t="shared" si="21"/>
        <v>0.38978005043429531</v>
      </c>
      <c r="V19" s="21">
        <f t="shared" si="21"/>
        <v>0.38788915497776255</v>
      </c>
      <c r="W19" s="21">
        <f t="shared" si="21"/>
        <v>0.40541395231168176</v>
      </c>
      <c r="X19" s="21">
        <f t="shared" si="21"/>
        <v>0.36446249033255995</v>
      </c>
      <c r="Y19" s="21">
        <f t="shared" si="21"/>
        <v>0.38600496944463097</v>
      </c>
      <c r="Z19" s="21">
        <f t="shared" si="21"/>
        <v>0.38623945164732121</v>
      </c>
      <c r="AA19" s="21">
        <f t="shared" si="21"/>
        <v>0.40906118080742021</v>
      </c>
      <c r="AB19" s="21">
        <f t="shared" si="21"/>
        <v>0.38377567851252059</v>
      </c>
      <c r="AC19" s="21">
        <f t="shared" si="21"/>
        <v>0.37409313573510267</v>
      </c>
      <c r="AD19" s="21">
        <f t="shared" si="21"/>
        <v>0.33387927697209729</v>
      </c>
      <c r="AE19" s="21">
        <f t="shared" si="21"/>
        <v>0.35148284816181508</v>
      </c>
      <c r="AF19" s="21">
        <f t="shared" si="21"/>
        <v>0.35495597981996241</v>
      </c>
      <c r="AG19" s="21">
        <f t="shared" si="21"/>
        <v>0.35434042343187089</v>
      </c>
      <c r="AH19" s="21">
        <f t="shared" si="21"/>
        <v>0.35498146431881372</v>
      </c>
      <c r="AI19" s="21">
        <f t="shared" si="21"/>
        <v>0.36194370731282893</v>
      </c>
      <c r="AJ19" s="21">
        <f t="shared" ref="AJ19:AO19" si="22">AJ18/AJ14</f>
        <v>0.35357150511133478</v>
      </c>
      <c r="AK19" s="21">
        <f t="shared" si="22"/>
        <v>0.34585013440860202</v>
      </c>
      <c r="AL19" s="21">
        <f t="shared" si="22"/>
        <v>0.33561858497218516</v>
      </c>
      <c r="AM19" s="21">
        <f t="shared" si="22"/>
        <v>0.35422745049351295</v>
      </c>
      <c r="AN19" s="21">
        <f t="shared" si="22"/>
        <v>0.30783826703765327</v>
      </c>
      <c r="AO19" s="21">
        <f t="shared" si="22"/>
        <v>0.31136131374000076</v>
      </c>
      <c r="AP19" s="21">
        <f t="shared" ref="AP19:AU19" si="23">AP18/AP14</f>
        <v>0.30797435027701064</v>
      </c>
      <c r="AQ19" s="21">
        <f t="shared" si="23"/>
        <v>0.35028617407278073</v>
      </c>
      <c r="AR19" s="21">
        <f t="shared" si="23"/>
        <v>0.31009306083365756</v>
      </c>
      <c r="AS19" s="21">
        <f t="shared" si="23"/>
        <v>0.31371371070693721</v>
      </c>
      <c r="AT19" s="21">
        <f t="shared" si="23"/>
        <v>0.28507055272317616</v>
      </c>
      <c r="AU19" s="21">
        <f t="shared" si="23"/>
        <v>0.31449481931495643</v>
      </c>
      <c r="AV19" s="21">
        <f t="shared" ref="AV19:BA19" si="24">AV18/AV14</f>
        <v>0.29209748455915235</v>
      </c>
      <c r="AW19" s="21">
        <f t="shared" si="24"/>
        <v>0.28845588705040581</v>
      </c>
      <c r="AX19" s="21">
        <f t="shared" si="24"/>
        <v>0.28207947779090575</v>
      </c>
      <c r="AY19" s="21">
        <f t="shared" si="24"/>
        <v>0.31275316746974335</v>
      </c>
      <c r="AZ19" s="21">
        <f t="shared" si="24"/>
        <v>0.30378943482817578</v>
      </c>
      <c r="BA19" s="21">
        <f t="shared" si="24"/>
        <v>0.29144173323349859</v>
      </c>
      <c r="BB19" s="21">
        <f t="shared" ref="BB19:BG19" si="25">BB18/BB14</f>
        <v>0.28608639897411237</v>
      </c>
      <c r="BC19" s="21">
        <f t="shared" si="25"/>
        <v>0.3280768126171229</v>
      </c>
      <c r="BD19" s="21">
        <f t="shared" si="25"/>
        <v>0.34860415393994426</v>
      </c>
      <c r="BE19" s="21">
        <f t="shared" si="25"/>
        <v>0.68011082286043334</v>
      </c>
      <c r="BF19" s="21">
        <f t="shared" si="25"/>
        <v>0.38691687919360312</v>
      </c>
      <c r="BG19" s="21">
        <f t="shared" si="25"/>
        <v>0.39858064017731554</v>
      </c>
    </row>
    <row r="20" spans="2:59" ht="13.5" customHeight="1">
      <c r="B20" s="1" t="s">
        <v>430</v>
      </c>
      <c r="C20" s="195">
        <v>-562.70000000000005</v>
      </c>
      <c r="D20" s="195">
        <v>-625.29999999999995</v>
      </c>
      <c r="E20" s="195">
        <v>-721.8</v>
      </c>
      <c r="F20" s="195">
        <v>-645.20000000000005</v>
      </c>
      <c r="G20" s="195">
        <v>-673.37</v>
      </c>
      <c r="H20" s="195">
        <v>-779.8</v>
      </c>
      <c r="I20" s="195">
        <v>-749.61199999999997</v>
      </c>
      <c r="J20" s="195">
        <v>-919.02300000000002</v>
      </c>
      <c r="K20" s="195">
        <v>-1519.021</v>
      </c>
      <c r="L20" s="196">
        <f>SUM(BD20:BG20)</f>
        <v>-2465.4250000000002</v>
      </c>
      <c r="M20" s="196"/>
      <c r="Q20" s="195">
        <v>-128.9</v>
      </c>
      <c r="R20" s="195">
        <v>-129</v>
      </c>
      <c r="S20" s="195">
        <v>-140.40000000000003</v>
      </c>
      <c r="T20" s="195">
        <v>-151.99999999999994</v>
      </c>
      <c r="U20" s="195">
        <v>-142.1</v>
      </c>
      <c r="V20" s="195">
        <v>-135.79999999999998</v>
      </c>
      <c r="W20" s="195">
        <v>-138</v>
      </c>
      <c r="X20" s="195">
        <v>-146.80000000000007</v>
      </c>
      <c r="Y20" s="195">
        <v>-140.80000000000001</v>
      </c>
      <c r="Z20" s="195">
        <v>-150.4</v>
      </c>
      <c r="AA20" s="195">
        <v>-168.2</v>
      </c>
      <c r="AB20" s="195">
        <v>-165.9</v>
      </c>
      <c r="AC20" s="195">
        <v>-178.7</v>
      </c>
      <c r="AD20" s="195">
        <v>-175.8</v>
      </c>
      <c r="AE20" s="195">
        <v>-177.3</v>
      </c>
      <c r="AF20" s="195">
        <v>-190</v>
      </c>
      <c r="AG20" s="195">
        <v>-199.8</v>
      </c>
      <c r="AH20" s="195">
        <v>-183.8</v>
      </c>
      <c r="AI20" s="195">
        <v>-194.3</v>
      </c>
      <c r="AJ20" s="195">
        <v>-67.3</v>
      </c>
      <c r="AK20" s="195">
        <v>-214.9</v>
      </c>
      <c r="AL20" s="195">
        <v>-193.9</v>
      </c>
      <c r="AM20" s="195">
        <v>-226.792</v>
      </c>
      <c r="AN20" s="275">
        <f>G20-AM20-AL20-AK20</f>
        <v>-37.777999999999963</v>
      </c>
      <c r="AO20" s="195">
        <v>-190.6</v>
      </c>
      <c r="AP20" s="195">
        <v>-184.9</v>
      </c>
      <c r="AQ20" s="195">
        <v>-186.8</v>
      </c>
      <c r="AR20" s="196">
        <f>H20-AQ20-AP20-AO20</f>
        <v>-217.50000000000003</v>
      </c>
      <c r="AS20" s="195">
        <v>-188.3</v>
      </c>
      <c r="AT20" s="195">
        <v>-166.4</v>
      </c>
      <c r="AU20" s="195">
        <v>-184.19900000000001</v>
      </c>
      <c r="AV20" s="196">
        <f>I20-AU20-AT20-AS20</f>
        <v>-210.71300000000002</v>
      </c>
      <c r="AW20" s="195">
        <v>-199.4</v>
      </c>
      <c r="AX20" s="195">
        <v>-223.6</v>
      </c>
      <c r="AY20" s="195">
        <v>-219.262</v>
      </c>
      <c r="AZ20" s="196">
        <f>J20-AY20-AX20-AW20</f>
        <v>-276.76099999999997</v>
      </c>
      <c r="BA20" s="195">
        <v>-303.66699999999997</v>
      </c>
      <c r="BB20" s="195">
        <v>-348.1</v>
      </c>
      <c r="BC20" s="195">
        <v>-393.78</v>
      </c>
      <c r="BD20" s="196">
        <f>K20-BC20-BB20-BA20</f>
        <v>-473.47399999999999</v>
      </c>
      <c r="BE20" s="195">
        <v>-560.548</v>
      </c>
      <c r="BF20" s="195">
        <v>-568.43100000000004</v>
      </c>
      <c r="BG20" s="195">
        <v>-862.97199999999998</v>
      </c>
    </row>
    <row r="21" spans="2:59" ht="13.5" customHeight="1">
      <c r="B21" s="1" t="s">
        <v>431</v>
      </c>
      <c r="C21" s="195">
        <v>-1974.6</v>
      </c>
      <c r="D21" s="195">
        <v>-1901.9</v>
      </c>
      <c r="E21" s="195">
        <v>-1910.9</v>
      </c>
      <c r="F21" s="195">
        <v>-2005.4</v>
      </c>
      <c r="G21" s="195">
        <v>-1626.7139999999999</v>
      </c>
      <c r="H21" s="195">
        <v>-1555.2</v>
      </c>
      <c r="I21" s="195">
        <v>-1372.953</v>
      </c>
      <c r="J21" s="195">
        <v>-1778.4829999999999</v>
      </c>
      <c r="K21" s="195">
        <v>-2700.0770000000002</v>
      </c>
      <c r="L21" s="196">
        <f>SUM(BD21:BG21)</f>
        <v>-4303.9340000000002</v>
      </c>
      <c r="M21" s="196"/>
      <c r="Q21" s="195">
        <v>-425</v>
      </c>
      <c r="R21" s="195">
        <v>-452.5</v>
      </c>
      <c r="S21" s="195">
        <v>-455.70000000000005</v>
      </c>
      <c r="T21" s="195">
        <v>-510.39999999999986</v>
      </c>
      <c r="U21" s="195">
        <v>-483.1</v>
      </c>
      <c r="V21" s="195">
        <v>-477.19999999999993</v>
      </c>
      <c r="W21" s="195">
        <v>-496.5</v>
      </c>
      <c r="X21" s="195">
        <v>-517.79999999999995</v>
      </c>
      <c r="Y21" s="195">
        <v>-476.3</v>
      </c>
      <c r="Z21" s="195">
        <v>-458.9</v>
      </c>
      <c r="AA21" s="195">
        <v>-474.1</v>
      </c>
      <c r="AB21" s="195">
        <v>-492.6</v>
      </c>
      <c r="AC21" s="195">
        <v>-481.2</v>
      </c>
      <c r="AD21" s="195">
        <v>-483.2</v>
      </c>
      <c r="AE21" s="195">
        <v>-468</v>
      </c>
      <c r="AF21" s="195">
        <v>-478.5</v>
      </c>
      <c r="AG21" s="195">
        <v>-464.6</v>
      </c>
      <c r="AH21" s="195">
        <v>-508.3</v>
      </c>
      <c r="AI21" s="195">
        <v>-488.4</v>
      </c>
      <c r="AJ21" s="195">
        <v>-544.10000000000014</v>
      </c>
      <c r="AK21" s="195">
        <v>-389.8</v>
      </c>
      <c r="AL21" s="195">
        <v>-431.5</v>
      </c>
      <c r="AM21" s="195">
        <v>-409.791</v>
      </c>
      <c r="AN21" s="275">
        <f>G21-AM21-AL21-AK21</f>
        <v>-395.62299999999999</v>
      </c>
      <c r="AO21" s="195">
        <v>-403.2</v>
      </c>
      <c r="AP21" s="195">
        <v>-413.4</v>
      </c>
      <c r="AQ21" s="195">
        <v>-353.8</v>
      </c>
      <c r="AR21" s="196">
        <f>H21-AQ21-AP21-AO21</f>
        <v>-384.80000000000013</v>
      </c>
      <c r="AS21" s="195">
        <v>-348.7</v>
      </c>
      <c r="AT21" s="195">
        <v>-327.9</v>
      </c>
      <c r="AU21" s="195">
        <v>-295.63200000000001</v>
      </c>
      <c r="AV21" s="196">
        <f>I21-AU21-AT21-AS21</f>
        <v>-400.72099999999995</v>
      </c>
      <c r="AW21" s="195">
        <v>-358.2</v>
      </c>
      <c r="AX21" s="195">
        <v>-413.8</v>
      </c>
      <c r="AY21" s="195">
        <v>-429.93299999999999</v>
      </c>
      <c r="AZ21" s="196">
        <f>J21-AY21-AX21-AW21</f>
        <v>-576.54999999999995</v>
      </c>
      <c r="BA21" s="195">
        <v>-540.73699999999997</v>
      </c>
      <c r="BB21" s="195">
        <v>-575.9</v>
      </c>
      <c r="BC21" s="195">
        <v>-683.66800000000001</v>
      </c>
      <c r="BD21" s="196">
        <f>K21-BC21-BB21-BA21</f>
        <v>-899.77200000000005</v>
      </c>
      <c r="BE21" s="195">
        <v>-911.75900000000001</v>
      </c>
      <c r="BF21" s="195">
        <v>-1061.1379999999999</v>
      </c>
      <c r="BG21" s="195">
        <v>-1431.2650000000001</v>
      </c>
    </row>
    <row r="22" spans="2:59" ht="13.5" customHeight="1">
      <c r="B22" s="1" t="s">
        <v>432</v>
      </c>
      <c r="C22" s="195"/>
      <c r="D22" s="195"/>
      <c r="E22" s="195"/>
      <c r="F22" s="195"/>
      <c r="G22" s="195">
        <v>-346.39</v>
      </c>
      <c r="H22" s="195">
        <v>-338.9</v>
      </c>
      <c r="I22" s="195">
        <v>-349.59500000000003</v>
      </c>
      <c r="J22" s="195">
        <v>-271.16199999999998</v>
      </c>
      <c r="K22" s="195">
        <v>-354.91800000000001</v>
      </c>
      <c r="L22" s="196">
        <f>SUM(BD22:BG22)</f>
        <v>-690.96</v>
      </c>
      <c r="M22" s="196"/>
      <c r="Q22" s="195"/>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275">
        <f>G22-AM22-AL22-AK22</f>
        <v>-346.39</v>
      </c>
      <c r="AO22" s="195">
        <v>-70.3</v>
      </c>
      <c r="AP22" s="195">
        <v>-21.4</v>
      </c>
      <c r="AQ22" s="195">
        <v>-125.7</v>
      </c>
      <c r="AR22" s="196">
        <f>H22-AQ22-AP22-AO22</f>
        <v>-121.49999999999999</v>
      </c>
      <c r="AS22" s="195">
        <v>-114.8</v>
      </c>
      <c r="AT22" s="195">
        <v>-106.8</v>
      </c>
      <c r="AU22" s="195">
        <v>-48.548999999999999</v>
      </c>
      <c r="AV22" s="196">
        <f>I22-AU22-AT22-AS22</f>
        <v>-79.446000000000041</v>
      </c>
      <c r="AW22" s="195">
        <v>-49.5</v>
      </c>
      <c r="AX22" s="195">
        <v>-50.8</v>
      </c>
      <c r="AY22" s="195">
        <v>-64.137</v>
      </c>
      <c r="AZ22" s="196">
        <f>J22-AY22-AX22-AW22</f>
        <v>-106.72499999999997</v>
      </c>
      <c r="BA22" s="195">
        <v>-55.106999999999999</v>
      </c>
      <c r="BB22" s="195">
        <v>-95.5</v>
      </c>
      <c r="BC22" s="195">
        <v>-140.36000000000001</v>
      </c>
      <c r="BD22" s="196">
        <f>K22-BC22-BB22-BA22</f>
        <v>-63.950999999999993</v>
      </c>
      <c r="BE22" s="195">
        <v>-203.851</v>
      </c>
      <c r="BF22" s="195">
        <v>-212.48</v>
      </c>
      <c r="BG22" s="195">
        <v>-210.678</v>
      </c>
    </row>
    <row r="23" spans="2:59" ht="13.5" customHeight="1">
      <c r="B23" s="1" t="s">
        <v>433</v>
      </c>
      <c r="C23" s="195">
        <v>-76.3</v>
      </c>
      <c r="D23" s="195">
        <v>-225.9</v>
      </c>
      <c r="E23" s="195">
        <v>-234.29999999999998</v>
      </c>
      <c r="F23" s="195">
        <v>-698.9</v>
      </c>
      <c r="G23" s="195">
        <f>-381.582+241.435</f>
        <v>-140.14699999999999</v>
      </c>
      <c r="H23" s="195">
        <v>-346.6</v>
      </c>
      <c r="I23" s="195">
        <f>-619.835+96.585</f>
        <v>-523.25</v>
      </c>
      <c r="J23" s="195">
        <f>7077.695-668.076</f>
        <v>6409.6189999999997</v>
      </c>
      <c r="K23" s="195">
        <f>-761.126+7561.993</f>
        <v>6800.8670000000002</v>
      </c>
      <c r="L23" s="196">
        <f>SUM(BD23:BG23)</f>
        <v>9941.0400000000009</v>
      </c>
      <c r="M23" s="196"/>
      <c r="Q23" s="195">
        <v>-0.3</v>
      </c>
      <c r="R23" s="195">
        <v>-20.799999999999997</v>
      </c>
      <c r="S23" s="195">
        <v>-2.2000000000000028</v>
      </c>
      <c r="T23" s="195">
        <v>-35.599999999999994</v>
      </c>
      <c r="U23" s="195">
        <v>-3.5</v>
      </c>
      <c r="V23" s="195">
        <v>-92</v>
      </c>
      <c r="W23" s="195">
        <v>17.799999999999997</v>
      </c>
      <c r="X23" s="195">
        <v>1.4</v>
      </c>
      <c r="Y23" s="195">
        <v>-53</v>
      </c>
      <c r="Z23" s="195">
        <v>-123.4</v>
      </c>
      <c r="AA23" s="195">
        <v>-18.399999999999999</v>
      </c>
      <c r="AB23" s="195">
        <v>-31.1</v>
      </c>
      <c r="AC23" s="195">
        <v>-11.1</v>
      </c>
      <c r="AD23" s="195">
        <v>13.8</v>
      </c>
      <c r="AE23" s="195">
        <v>-192.6</v>
      </c>
      <c r="AF23" s="195">
        <v>-44.4</v>
      </c>
      <c r="AG23" s="195">
        <v>3.6</v>
      </c>
      <c r="AH23" s="195">
        <v>-36.799999999999997</v>
      </c>
      <c r="AI23" s="195">
        <v>-39.9</v>
      </c>
      <c r="AJ23" s="195">
        <v>-625.9</v>
      </c>
      <c r="AK23" s="195">
        <v>-33.4</v>
      </c>
      <c r="AL23" s="195">
        <f>-(30.2)</f>
        <v>-30.2</v>
      </c>
      <c r="AM23" s="195">
        <f>-144.916+21.962</f>
        <v>-122.95399999999999</v>
      </c>
      <c r="AN23" s="275">
        <f>G23-AM23-AL23-AK23</f>
        <v>46.406999999999996</v>
      </c>
      <c r="AO23" s="195">
        <v>-51.8</v>
      </c>
      <c r="AP23" s="195">
        <v>-73.8</v>
      </c>
      <c r="AQ23" s="195">
        <v>-92.8</v>
      </c>
      <c r="AR23" s="196">
        <f>H23-AQ23-AP23-AO23</f>
        <v>-128.19999999999999</v>
      </c>
      <c r="AS23" s="195">
        <v>-94</v>
      </c>
      <c r="AT23" s="195">
        <v>-51.1</v>
      </c>
      <c r="AU23" s="195">
        <f>-36.837+25.621</f>
        <v>-11.216000000000005</v>
      </c>
      <c r="AV23" s="196">
        <f>I23-AU23-AT23-AS23</f>
        <v>-366.93399999999997</v>
      </c>
      <c r="AW23" s="195">
        <v>-12.1</v>
      </c>
      <c r="AX23" s="195">
        <v>-292.5</v>
      </c>
      <c r="AY23" s="195">
        <f>-66.063+45.886</f>
        <v>-20.177</v>
      </c>
      <c r="AZ23" s="196">
        <f>J23-AY23-AX23-AW23</f>
        <v>6734.3959999999997</v>
      </c>
      <c r="BA23" s="195">
        <f>1614.019-119.883</f>
        <v>1494.136</v>
      </c>
      <c r="BB23" s="195">
        <f>1863.1</f>
        <v>1863.1</v>
      </c>
      <c r="BC23" s="195">
        <v>34.391999999999825</v>
      </c>
      <c r="BD23" s="196">
        <f>K23-BC23-BB23-BA23</f>
        <v>3409.239</v>
      </c>
      <c r="BE23" s="195">
        <f>1240.686-170.102</f>
        <v>1070.5839999999998</v>
      </c>
      <c r="BF23" s="195">
        <f>5648.255-157.674</f>
        <v>5490.5810000000001</v>
      </c>
      <c r="BG23" s="195">
        <f>2055.599-2084.963</f>
        <v>-29.364000000000033</v>
      </c>
    </row>
    <row r="24" spans="2:59" s="5" customFormat="1" ht="13.5" customHeight="1">
      <c r="B24" s="5" t="s">
        <v>434</v>
      </c>
      <c r="C24" s="202">
        <f t="shared" ref="C24:H24" si="26">SUM(C18,C20,C21,C22,C23)</f>
        <v>2046.0999999999992</v>
      </c>
      <c r="D24" s="202">
        <f t="shared" si="26"/>
        <v>2246.7999999999993</v>
      </c>
      <c r="E24" s="202">
        <f t="shared" si="26"/>
        <v>2181.9999999999995</v>
      </c>
      <c r="F24" s="202">
        <f t="shared" si="26"/>
        <v>2932.3999999999978</v>
      </c>
      <c r="G24" s="202">
        <f t="shared" si="26"/>
        <v>4359.8609999999981</v>
      </c>
      <c r="H24" s="202">
        <f t="shared" si="26"/>
        <v>5033.2000000000007</v>
      </c>
      <c r="I24" s="202">
        <f>SUM(I18,I20,I21,I22,I23)</f>
        <v>5772.3409999999994</v>
      </c>
      <c r="J24" s="202">
        <f>SUM(J18,J20,J21,J22,J23)</f>
        <v>14131.477000000003</v>
      </c>
      <c r="K24" s="202">
        <f>SUM(K18,K20,K21,K22,K23)</f>
        <v>19316.750999999993</v>
      </c>
      <c r="L24" s="202">
        <f t="shared" ref="L24:AN24" si="27">SUM(L18,L20,L21,L22,L23)</f>
        <v>38560.654000000017</v>
      </c>
      <c r="M24" s="202"/>
      <c r="N24" s="202">
        <f t="shared" si="27"/>
        <v>0</v>
      </c>
      <c r="O24" s="202">
        <f t="shared" si="27"/>
        <v>0</v>
      </c>
      <c r="P24" s="202">
        <f t="shared" si="27"/>
        <v>0</v>
      </c>
      <c r="Q24" s="202">
        <f t="shared" si="27"/>
        <v>446.90000000000015</v>
      </c>
      <c r="R24" s="202">
        <f t="shared" si="27"/>
        <v>481.59999999999985</v>
      </c>
      <c r="S24" s="202">
        <f t="shared" si="27"/>
        <v>628.39999999999918</v>
      </c>
      <c r="T24" s="202">
        <f t="shared" si="27"/>
        <v>334.30000000000121</v>
      </c>
      <c r="U24" s="202">
        <f t="shared" si="27"/>
        <v>484.19999999999982</v>
      </c>
      <c r="V24" s="202">
        <f t="shared" si="27"/>
        <v>428.80000000000007</v>
      </c>
      <c r="W24" s="202">
        <f t="shared" si="27"/>
        <v>665.3</v>
      </c>
      <c r="X24" s="202">
        <f t="shared" si="27"/>
        <v>467.80000000000018</v>
      </c>
      <c r="Y24" s="202">
        <f t="shared" si="27"/>
        <v>479.5</v>
      </c>
      <c r="Z24" s="202">
        <f t="shared" si="27"/>
        <v>461.89999999999964</v>
      </c>
      <c r="AA24" s="202">
        <f t="shared" si="27"/>
        <v>715.30000000000018</v>
      </c>
      <c r="AB24" s="202">
        <f t="shared" si="27"/>
        <v>590.09999999999968</v>
      </c>
      <c r="AC24" s="202">
        <f t="shared" si="27"/>
        <v>535.6</v>
      </c>
      <c r="AD24" s="202">
        <f t="shared" si="27"/>
        <v>475.99999999999989</v>
      </c>
      <c r="AE24" s="202">
        <f t="shared" si="27"/>
        <v>448.00000000000057</v>
      </c>
      <c r="AF24" s="202">
        <f t="shared" si="27"/>
        <v>722.4000000000002</v>
      </c>
      <c r="AG24" s="202">
        <f t="shared" si="27"/>
        <v>775.2</v>
      </c>
      <c r="AH24" s="202">
        <f t="shared" si="27"/>
        <v>803.2</v>
      </c>
      <c r="AI24" s="202">
        <f t="shared" si="27"/>
        <v>941.39999999999964</v>
      </c>
      <c r="AJ24" s="202">
        <f t="shared" si="27"/>
        <v>412.4999999999992</v>
      </c>
      <c r="AK24" s="202">
        <f t="shared" si="27"/>
        <v>1008.6999999999992</v>
      </c>
      <c r="AL24" s="202">
        <f t="shared" si="27"/>
        <v>1057.7999999999995</v>
      </c>
      <c r="AM24" s="202">
        <f t="shared" si="27"/>
        <v>1294.7130000000002</v>
      </c>
      <c r="AN24" s="202">
        <f t="shared" si="27"/>
        <v>998.64799999999832</v>
      </c>
      <c r="AO24" s="202">
        <f t="shared" ref="AO24:AT24" si="28">SUM(AO18,AO20,AO21,AO22,AO23)</f>
        <v>1051.2000000000005</v>
      </c>
      <c r="AP24" s="202">
        <f t="shared" si="28"/>
        <v>1213.2000000000005</v>
      </c>
      <c r="AQ24" s="202">
        <f t="shared" si="28"/>
        <v>1548.1999999999991</v>
      </c>
      <c r="AR24" s="202">
        <f t="shared" si="28"/>
        <v>1220.6000000000001</v>
      </c>
      <c r="AS24" s="202">
        <f t="shared" si="28"/>
        <v>1343.0000000000002</v>
      </c>
      <c r="AT24" s="202">
        <f t="shared" si="28"/>
        <v>1321.5999999999992</v>
      </c>
      <c r="AU24" s="202">
        <f t="shared" ref="AU24:AZ24" si="29">SUM(AU18,AU20,AU21,AU22,AU23)</f>
        <v>1866.1229999999991</v>
      </c>
      <c r="AV24" s="202">
        <f t="shared" si="29"/>
        <v>1241.6180000000013</v>
      </c>
      <c r="AW24" s="202">
        <f t="shared" si="29"/>
        <v>1638.4000000000012</v>
      </c>
      <c r="AX24" s="202">
        <f t="shared" si="29"/>
        <v>1430.5999999999995</v>
      </c>
      <c r="AY24" s="202">
        <f t="shared" si="29"/>
        <v>2192.0569999999993</v>
      </c>
      <c r="AZ24" s="202">
        <f t="shared" si="29"/>
        <v>8870.4200000000055</v>
      </c>
      <c r="BA24" s="202">
        <f t="shared" ref="BA24:BG24" si="30">SUM(BA18,BA20,BA21,BA22,BA23)</f>
        <v>3711.5989999999993</v>
      </c>
      <c r="BB24" s="202">
        <f t="shared" si="30"/>
        <v>4413.1000000000004</v>
      </c>
      <c r="BC24" s="202">
        <f t="shared" si="30"/>
        <v>3627.0060000000003</v>
      </c>
      <c r="BD24" s="202">
        <f t="shared" si="30"/>
        <v>7565.0460000000021</v>
      </c>
      <c r="BE24" s="202">
        <f t="shared" si="30"/>
        <v>11143.923999999999</v>
      </c>
      <c r="BF24" s="202">
        <f t="shared" si="30"/>
        <v>12025.661999999997</v>
      </c>
      <c r="BG24" s="202">
        <f t="shared" si="30"/>
        <v>7826.0220000000008</v>
      </c>
    </row>
    <row r="25" spans="2:59" s="5" customFormat="1" ht="13.5" customHeight="1">
      <c r="B25" s="5" t="s">
        <v>435</v>
      </c>
      <c r="C25" s="202">
        <f t="shared" ref="C25:AL25" si="31">SUM(C26:C28)</f>
        <v>-291.60000000000002</v>
      </c>
      <c r="D25" s="202">
        <f t="shared" si="31"/>
        <v>-43.399999999999977</v>
      </c>
      <c r="E25" s="202">
        <f t="shared" si="31"/>
        <v>-172.79999999999995</v>
      </c>
      <c r="F25" s="202">
        <f t="shared" si="31"/>
        <v>-322.89999999999986</v>
      </c>
      <c r="G25" s="202">
        <f t="shared" ref="G25:L25" si="32">SUM(G26:G28)</f>
        <v>-1687.087</v>
      </c>
      <c r="H25" s="202">
        <f t="shared" si="32"/>
        <v>-1743.3</v>
      </c>
      <c r="I25" s="202">
        <f t="shared" si="32"/>
        <v>-1145.4560000000001</v>
      </c>
      <c r="J25" s="202">
        <f t="shared" si="32"/>
        <v>-9590.4249999999993</v>
      </c>
      <c r="K25" s="202">
        <f t="shared" si="32"/>
        <v>-11780.561999999998</v>
      </c>
      <c r="L25" s="202">
        <f t="shared" si="32"/>
        <v>-22073.648000000001</v>
      </c>
      <c r="M25" s="202"/>
      <c r="N25" s="202">
        <f t="shared" si="31"/>
        <v>0</v>
      </c>
      <c r="O25" s="202">
        <f t="shared" si="31"/>
        <v>0</v>
      </c>
      <c r="P25" s="202">
        <f t="shared" si="31"/>
        <v>0</v>
      </c>
      <c r="Q25" s="202">
        <f t="shared" si="31"/>
        <v>129.29999999999998</v>
      </c>
      <c r="R25" s="202">
        <f t="shared" si="31"/>
        <v>138.80000000000004</v>
      </c>
      <c r="S25" s="202">
        <f t="shared" si="31"/>
        <v>137.49999999999997</v>
      </c>
      <c r="T25" s="202">
        <f t="shared" si="31"/>
        <v>149.69999999999999</v>
      </c>
      <c r="U25" s="202">
        <f t="shared" si="31"/>
        <v>-303.29999999999995</v>
      </c>
      <c r="V25" s="202">
        <f t="shared" si="31"/>
        <v>46.599999999999909</v>
      </c>
      <c r="W25" s="202">
        <f t="shared" si="31"/>
        <v>142.00000000000011</v>
      </c>
      <c r="X25" s="202">
        <f t="shared" si="31"/>
        <v>-176.90000000000003</v>
      </c>
      <c r="Y25" s="202">
        <f t="shared" si="31"/>
        <v>-483.40000000000003</v>
      </c>
      <c r="Z25" s="202">
        <f t="shared" si="31"/>
        <v>397.1</v>
      </c>
      <c r="AA25" s="202">
        <f t="shared" si="31"/>
        <v>30.400000000000006</v>
      </c>
      <c r="AB25" s="202">
        <f t="shared" si="31"/>
        <v>12.5</v>
      </c>
      <c r="AC25" s="202">
        <f t="shared" si="31"/>
        <v>166.2</v>
      </c>
      <c r="AD25" s="202">
        <f t="shared" si="31"/>
        <v>21.800000000000011</v>
      </c>
      <c r="AE25" s="202">
        <f t="shared" si="31"/>
        <v>-162.5</v>
      </c>
      <c r="AF25" s="202">
        <f t="shared" si="31"/>
        <v>-198.30000000000007</v>
      </c>
      <c r="AG25" s="202">
        <f t="shared" si="31"/>
        <v>-146.60000000000002</v>
      </c>
      <c r="AH25" s="202">
        <f t="shared" si="31"/>
        <v>95.800000000000011</v>
      </c>
      <c r="AI25" s="202">
        <f t="shared" si="31"/>
        <v>-165.40000000000003</v>
      </c>
      <c r="AJ25" s="202">
        <f t="shared" si="31"/>
        <v>-106.59999999999991</v>
      </c>
      <c r="AK25" s="202">
        <f t="shared" si="31"/>
        <v>-313.49999999999994</v>
      </c>
      <c r="AL25" s="202">
        <f t="shared" si="31"/>
        <v>-486.4</v>
      </c>
      <c r="AM25" s="202">
        <f t="shared" ref="AM25:AS25" si="33">SUM(AM26:AM28)</f>
        <v>-869.08100000000002</v>
      </c>
      <c r="AN25" s="202">
        <f t="shared" si="33"/>
        <v>-18.106000000000133</v>
      </c>
      <c r="AO25" s="202">
        <f t="shared" si="33"/>
        <v>-419.59999999999997</v>
      </c>
      <c r="AP25" s="202">
        <f t="shared" si="33"/>
        <v>-570.79999999999995</v>
      </c>
      <c r="AQ25" s="202">
        <f t="shared" si="33"/>
        <v>-519.70000000000005</v>
      </c>
      <c r="AR25" s="202">
        <f t="shared" si="33"/>
        <v>-233.1999999999999</v>
      </c>
      <c r="AS25" s="202">
        <f t="shared" si="33"/>
        <v>-224.59999999999997</v>
      </c>
      <c r="AT25" s="202">
        <f t="shared" ref="AT25:AY25" si="34">SUM(AT26:AT28)</f>
        <v>-233.8</v>
      </c>
      <c r="AU25" s="202">
        <f t="shared" si="34"/>
        <v>-299.98700000000002</v>
      </c>
      <c r="AV25" s="202">
        <f t="shared" si="34"/>
        <v>-387.06900000000002</v>
      </c>
      <c r="AW25" s="202">
        <f t="shared" si="34"/>
        <v>-189.39999999999992</v>
      </c>
      <c r="AX25" s="202">
        <f t="shared" si="34"/>
        <v>-554.20000000000005</v>
      </c>
      <c r="AY25" s="202">
        <f t="shared" si="34"/>
        <v>-361.32400000000001</v>
      </c>
      <c r="AZ25" s="202">
        <f t="shared" ref="AZ25:BE25" si="35">SUM(AZ26:AZ28)</f>
        <v>-8485.5010000000002</v>
      </c>
      <c r="BA25" s="202">
        <f t="shared" si="35"/>
        <v>-3061.8790000000004</v>
      </c>
      <c r="BB25" s="202">
        <f t="shared" si="35"/>
        <v>-2630.7919999999995</v>
      </c>
      <c r="BC25" s="202">
        <f t="shared" si="35"/>
        <v>-730.14</v>
      </c>
      <c r="BD25" s="202">
        <f t="shared" si="35"/>
        <v>-5357.7510000000002</v>
      </c>
      <c r="BE25" s="202">
        <f t="shared" si="35"/>
        <v>-2097.788</v>
      </c>
      <c r="BF25" s="202">
        <f>SUM(BF26:BF28)</f>
        <v>-11240.914000000001</v>
      </c>
      <c r="BG25" s="202">
        <f>SUM(BG26:BG28)</f>
        <v>-3377.1950000000002</v>
      </c>
    </row>
    <row r="26" spans="2:59" ht="13.5" customHeight="1">
      <c r="B26" s="1" t="s">
        <v>436</v>
      </c>
      <c r="C26" s="195">
        <v>-1247</v>
      </c>
      <c r="D26" s="195">
        <v>-799.5</v>
      </c>
      <c r="E26" s="195">
        <v>-1237.5999999999999</v>
      </c>
      <c r="F26" s="195">
        <v>-1413.3</v>
      </c>
      <c r="G26" s="195">
        <v>-3619.1</v>
      </c>
      <c r="H26" s="195">
        <v>-2025.1</v>
      </c>
      <c r="I26" s="195">
        <v>-3251.1640000000002</v>
      </c>
      <c r="J26" s="195">
        <v>-13195.713</v>
      </c>
      <c r="K26" s="195">
        <v>-13699.811</v>
      </c>
      <c r="L26" s="196">
        <f>SUM(BD26:BG26)</f>
        <v>-25637.066999999999</v>
      </c>
      <c r="M26" s="196"/>
      <c r="Q26" s="195">
        <v>-37.4</v>
      </c>
      <c r="R26" s="195">
        <v>-30.6</v>
      </c>
      <c r="S26" s="195">
        <v>-46.900000000000006</v>
      </c>
      <c r="T26" s="195">
        <v>-89.699999999999989</v>
      </c>
      <c r="U26" s="195">
        <v>-551.9</v>
      </c>
      <c r="V26" s="195">
        <v>-211.30000000000007</v>
      </c>
      <c r="W26" s="195">
        <v>-83.699999999999932</v>
      </c>
      <c r="X26" s="195">
        <v>-400.1</v>
      </c>
      <c r="Y26" s="195">
        <v>-735.7</v>
      </c>
      <c r="Z26" s="195">
        <v>221.9</v>
      </c>
      <c r="AA26" s="195">
        <v>-144.69999999999999</v>
      </c>
      <c r="AB26" s="195">
        <v>-141</v>
      </c>
      <c r="AC26" s="195">
        <v>-55</v>
      </c>
      <c r="AD26" s="195">
        <v>-140.69999999999999</v>
      </c>
      <c r="AE26" s="195">
        <v>-349.7</v>
      </c>
      <c r="AF26" s="195">
        <v>-692.2</v>
      </c>
      <c r="AG26" s="195">
        <v>-348.1</v>
      </c>
      <c r="AH26" s="195">
        <v>-146.1</v>
      </c>
      <c r="AI26" s="195">
        <v>-341.1</v>
      </c>
      <c r="AJ26" s="195">
        <v>-577.9</v>
      </c>
      <c r="AK26" s="195">
        <v>-778.3</v>
      </c>
      <c r="AL26" s="195">
        <v>-1268.3</v>
      </c>
      <c r="AM26" s="195">
        <v>-2779.933</v>
      </c>
      <c r="AN26" s="275">
        <f>G26-AM26-AL26-AK26</f>
        <v>1207.433</v>
      </c>
      <c r="AO26" s="195">
        <v>-1003.4</v>
      </c>
      <c r="AP26" s="195">
        <v>-371.4</v>
      </c>
      <c r="AQ26" s="195">
        <v>-439.1</v>
      </c>
      <c r="AR26" s="196">
        <f>H26-AQ26-AP26-AO26</f>
        <v>-211.19999999999993</v>
      </c>
      <c r="AS26" s="195">
        <v>-842.9</v>
      </c>
      <c r="AT26" s="195">
        <v>-740</v>
      </c>
      <c r="AU26" s="195">
        <v>-1602.472</v>
      </c>
      <c r="AV26" s="196">
        <f>I26-AU26-AT26-AS26</f>
        <v>-65.792000000000257</v>
      </c>
      <c r="AW26" s="195">
        <v>-1809</v>
      </c>
      <c r="AX26" s="195">
        <v>-23.5</v>
      </c>
      <c r="AY26" s="195">
        <v>-247.37700000000001</v>
      </c>
      <c r="AZ26" s="196">
        <f>J26-AY26-AX26-AW26</f>
        <v>-11115.835999999999</v>
      </c>
      <c r="BA26" s="195">
        <v>-3110.6970000000001</v>
      </c>
      <c r="BB26" s="195">
        <v>-4153.3639999999996</v>
      </c>
      <c r="BC26" s="195">
        <v>-793.33799999999997</v>
      </c>
      <c r="BD26" s="196">
        <f>K26-BC26-BB26-BA26</f>
        <v>-5642.4120000000003</v>
      </c>
      <c r="BE26" s="195">
        <v>-2108.84</v>
      </c>
      <c r="BF26" s="195">
        <v>-13812.121999999999</v>
      </c>
      <c r="BG26" s="195">
        <v>-4073.6930000000002</v>
      </c>
    </row>
    <row r="27" spans="2:59" ht="13.5" customHeight="1">
      <c r="B27" s="1" t="s">
        <v>437</v>
      </c>
      <c r="C27" s="195">
        <v>955.4</v>
      </c>
      <c r="D27" s="195">
        <v>756.1</v>
      </c>
      <c r="E27" s="195">
        <v>1064.8</v>
      </c>
      <c r="F27" s="195">
        <v>1090.4000000000001</v>
      </c>
      <c r="G27" s="195">
        <v>1932.1</v>
      </c>
      <c r="H27" s="195">
        <v>297.5</v>
      </c>
      <c r="I27" s="195">
        <v>2119.4830000000002</v>
      </c>
      <c r="J27" s="195">
        <f>464.116+3051.082</f>
        <v>3515.1979999999999</v>
      </c>
      <c r="K27" s="195">
        <f>1779.89+210.775</f>
        <v>1990.6650000000002</v>
      </c>
      <c r="L27" s="196">
        <f>SUM(BD27:BG27)</f>
        <v>3667.7089999999998</v>
      </c>
      <c r="M27" s="196"/>
      <c r="Q27" s="195">
        <v>166.7</v>
      </c>
      <c r="R27" s="195">
        <v>169.40000000000003</v>
      </c>
      <c r="S27" s="195">
        <v>184.39999999999998</v>
      </c>
      <c r="T27" s="195">
        <v>239.39999999999998</v>
      </c>
      <c r="U27" s="195">
        <v>248.6</v>
      </c>
      <c r="V27" s="195">
        <v>257.89999999999998</v>
      </c>
      <c r="W27" s="195">
        <v>225.70000000000005</v>
      </c>
      <c r="X27" s="195">
        <v>223.2</v>
      </c>
      <c r="Y27" s="195">
        <v>252.3</v>
      </c>
      <c r="Z27" s="195">
        <v>175.2</v>
      </c>
      <c r="AA27" s="195">
        <v>175.1</v>
      </c>
      <c r="AB27" s="195">
        <v>153.5</v>
      </c>
      <c r="AC27" s="195">
        <v>221.2</v>
      </c>
      <c r="AD27" s="195">
        <v>162.5</v>
      </c>
      <c r="AE27" s="195">
        <v>187.2</v>
      </c>
      <c r="AF27" s="195">
        <v>493.9</v>
      </c>
      <c r="AG27" s="195">
        <v>201.5</v>
      </c>
      <c r="AH27" s="195">
        <v>241.9</v>
      </c>
      <c r="AI27" s="195">
        <v>175.7</v>
      </c>
      <c r="AJ27" s="195">
        <v>471.30000000000007</v>
      </c>
      <c r="AK27" s="195">
        <v>464.8</v>
      </c>
      <c r="AL27" s="195">
        <f>781.9</f>
        <v>781.9</v>
      </c>
      <c r="AM27" s="195">
        <v>1911.26</v>
      </c>
      <c r="AN27" s="275">
        <f>G27-AM27-AL27-AK27</f>
        <v>-1225.8600000000001</v>
      </c>
      <c r="AO27" s="195">
        <v>583</v>
      </c>
      <c r="AP27" s="195">
        <v>-200.4</v>
      </c>
      <c r="AQ27" s="195">
        <v>-82.2</v>
      </c>
      <c r="AR27" s="196">
        <f>H27-AQ27-AP27-AO27</f>
        <v>-2.8999999999999773</v>
      </c>
      <c r="AS27" s="195">
        <v>621.5</v>
      </c>
      <c r="AT27" s="195">
        <v>506.2</v>
      </c>
      <c r="AU27" s="195">
        <v>1307.809</v>
      </c>
      <c r="AV27" s="196">
        <f>I27-AU27-AT27-AS27</f>
        <v>-316.02599999999978</v>
      </c>
      <c r="AW27" s="195">
        <v>1601.9</v>
      </c>
      <c r="AX27" s="195">
        <v>-541.6</v>
      </c>
      <c r="AY27" s="195">
        <v>-111.81399999999999</v>
      </c>
      <c r="AZ27" s="196">
        <f>J27-AY27-AX27-AW27</f>
        <v>2566.712</v>
      </c>
      <c r="BA27" s="195">
        <v>72.260999999999996</v>
      </c>
      <c r="BB27" s="195">
        <f>776.675+797</f>
        <v>1573.675</v>
      </c>
      <c r="BC27" s="195">
        <v>50.104999999999997</v>
      </c>
      <c r="BD27" s="196">
        <f>K27-BC27-BB27-BA27</f>
        <v>294.62400000000025</v>
      </c>
      <c r="BE27" s="195">
        <v>4.6340000000000003</v>
      </c>
      <c r="BF27" s="195">
        <v>2570.4409999999998</v>
      </c>
      <c r="BG27" s="195">
        <v>798.01</v>
      </c>
    </row>
    <row r="28" spans="2:59" ht="13.5" customHeight="1">
      <c r="B28" s="1" t="s">
        <v>438</v>
      </c>
      <c r="C28" s="195"/>
      <c r="D28" s="195"/>
      <c r="E28" s="195"/>
      <c r="F28" s="195"/>
      <c r="G28" s="195">
        <v>-8.6999999999999994E-2</v>
      </c>
      <c r="H28" s="195">
        <v>-15.7</v>
      </c>
      <c r="I28" s="195">
        <v>-13.775</v>
      </c>
      <c r="J28" s="195">
        <v>90.09</v>
      </c>
      <c r="K28" s="195">
        <v>-71.415999999999997</v>
      </c>
      <c r="L28" s="196">
        <f>SUM(BD28:BG28)</f>
        <v>-104.28999999999999</v>
      </c>
      <c r="M28" s="196"/>
      <c r="Q28" s="195"/>
      <c r="R28" s="195"/>
      <c r="S28" s="195"/>
      <c r="T28" s="195"/>
      <c r="U28" s="195"/>
      <c r="V28" s="195"/>
      <c r="W28" s="195"/>
      <c r="X28" s="195"/>
      <c r="Y28" s="195"/>
      <c r="Z28" s="195"/>
      <c r="AA28" s="195"/>
      <c r="AB28" s="195"/>
      <c r="AC28" s="195"/>
      <c r="AD28" s="195"/>
      <c r="AE28" s="195"/>
      <c r="AF28" s="195"/>
      <c r="AG28" s="195"/>
      <c r="AH28" s="195"/>
      <c r="AI28" s="195"/>
      <c r="AJ28" s="195"/>
      <c r="AK28" s="195"/>
      <c r="AL28" s="195"/>
      <c r="AM28" s="195">
        <v>-0.40799999999999997</v>
      </c>
      <c r="AN28" s="275">
        <f>G28-AM28-AL28-AK28</f>
        <v>0.32099999999999995</v>
      </c>
      <c r="AO28" s="195">
        <v>0.8</v>
      </c>
      <c r="AP28" s="195">
        <v>1</v>
      </c>
      <c r="AQ28" s="195">
        <v>1.6</v>
      </c>
      <c r="AR28" s="196">
        <f>H28-AQ28-AP28-AO28</f>
        <v>-19.100000000000001</v>
      </c>
      <c r="AS28" s="195">
        <v>-3.2</v>
      </c>
      <c r="AT28" s="195">
        <v>0</v>
      </c>
      <c r="AU28" s="195">
        <v>-5.3239999999999998</v>
      </c>
      <c r="AV28" s="196">
        <f>I28-AU28-AT28-AS28</f>
        <v>-5.2510000000000003</v>
      </c>
      <c r="AW28" s="195">
        <v>17.7</v>
      </c>
      <c r="AX28" s="195">
        <v>10.9</v>
      </c>
      <c r="AY28" s="195">
        <v>-2.133</v>
      </c>
      <c r="AZ28" s="196">
        <f>J28-AY28-AX28-AW28</f>
        <v>63.62299999999999</v>
      </c>
      <c r="BA28" s="195">
        <v>-23.443000000000001</v>
      </c>
      <c r="BB28" s="195">
        <v>-51.103000000000002</v>
      </c>
      <c r="BC28" s="195">
        <v>13.093</v>
      </c>
      <c r="BD28" s="196">
        <f>K28-BC28-BB28-BA28</f>
        <v>-9.9629999999999974</v>
      </c>
      <c r="BE28" s="195">
        <v>6.4180000000000001</v>
      </c>
      <c r="BF28" s="195">
        <v>0.76700000000000002</v>
      </c>
      <c r="BG28" s="195">
        <v>-101.512</v>
      </c>
    </row>
    <row r="29" spans="2:59" ht="13.5" customHeight="1">
      <c r="B29" s="1" t="s">
        <v>439</v>
      </c>
      <c r="C29" s="193">
        <v>205.1</v>
      </c>
      <c r="D29" s="194">
        <v>0</v>
      </c>
      <c r="E29" s="194">
        <v>0</v>
      </c>
      <c r="F29" s="194">
        <v>0</v>
      </c>
      <c r="G29" s="194">
        <v>0</v>
      </c>
      <c r="H29" s="194">
        <v>0</v>
      </c>
      <c r="I29" s="194">
        <v>0</v>
      </c>
      <c r="J29" s="194">
        <v>0</v>
      </c>
      <c r="K29" s="194">
        <v>0</v>
      </c>
      <c r="L29" s="196">
        <f>SUM(BD29:BG29)</f>
        <v>4265.3069999999998</v>
      </c>
      <c r="M29" s="196"/>
      <c r="Q29" s="194">
        <v>53.5</v>
      </c>
      <c r="R29" s="194">
        <v>20.3</v>
      </c>
      <c r="S29" s="194">
        <v>30.600000000000009</v>
      </c>
      <c r="T29" s="194">
        <v>72.5</v>
      </c>
      <c r="U29" s="194">
        <v>64.5</v>
      </c>
      <c r="V29" s="194">
        <v>60</v>
      </c>
      <c r="W29" s="194">
        <v>48.300000000000011</v>
      </c>
      <c r="X29" s="194">
        <v>32.299999999999983</v>
      </c>
      <c r="Y29" s="194">
        <v>0</v>
      </c>
      <c r="Z29" s="194">
        <v>0</v>
      </c>
      <c r="AA29" s="194">
        <v>0</v>
      </c>
      <c r="AB29" s="194">
        <v>0</v>
      </c>
      <c r="AC29" s="194">
        <v>0</v>
      </c>
      <c r="AD29" s="194">
        <v>0</v>
      </c>
      <c r="AE29" s="194">
        <v>0</v>
      </c>
      <c r="AF29" s="194">
        <v>0</v>
      </c>
      <c r="AG29" s="194">
        <v>0</v>
      </c>
      <c r="AH29" s="194">
        <v>0</v>
      </c>
      <c r="AI29" s="194">
        <v>0</v>
      </c>
      <c r="AJ29" s="194">
        <v>0</v>
      </c>
      <c r="AK29" s="194">
        <v>0</v>
      </c>
      <c r="AL29" s="194">
        <v>0</v>
      </c>
      <c r="AM29" s="194">
        <v>0</v>
      </c>
      <c r="AN29" s="275">
        <f>G29-AM29-AL29-AK29</f>
        <v>0</v>
      </c>
      <c r="AO29" s="194">
        <v>0</v>
      </c>
      <c r="AP29" s="194"/>
      <c r="AQ29" s="194"/>
      <c r="AR29" s="196">
        <f>H29-AQ29-AP29-AO29</f>
        <v>0</v>
      </c>
      <c r="AS29" s="194"/>
      <c r="AT29" s="194"/>
      <c r="AU29" s="194"/>
      <c r="AV29" s="196">
        <f>I29-AU29-AT29-AS29</f>
        <v>0</v>
      </c>
      <c r="AW29" s="194">
        <v>0</v>
      </c>
      <c r="AX29" s="194">
        <v>0</v>
      </c>
      <c r="AY29" s="194">
        <v>0</v>
      </c>
      <c r="AZ29" s="196">
        <f>J29-AY29-AX29-AW29</f>
        <v>0</v>
      </c>
      <c r="BA29" s="194">
        <v>299.18299999999999</v>
      </c>
      <c r="BB29" s="194">
        <v>0</v>
      </c>
      <c r="BC29" s="194">
        <v>0</v>
      </c>
      <c r="BD29" s="196">
        <f>K29-BC29-BB29-BA29</f>
        <v>-299.18299999999999</v>
      </c>
      <c r="BE29" s="194">
        <f>533.513-23.427</f>
        <v>510.08600000000001</v>
      </c>
      <c r="BF29" s="194">
        <f>2898.477-26.948</f>
        <v>2871.529</v>
      </c>
      <c r="BG29" s="194">
        <f>1226.277-43.402</f>
        <v>1182.875</v>
      </c>
    </row>
    <row r="30" spans="2:59" s="5" customFormat="1" ht="13.5" customHeight="1">
      <c r="B30" s="5" t="s">
        <v>440</v>
      </c>
      <c r="C30" s="202">
        <f t="shared" ref="C30:L30" si="36">C24+C25+C29</f>
        <v>1959.599999999999</v>
      </c>
      <c r="D30" s="202">
        <f t="shared" si="36"/>
        <v>2203.3999999999992</v>
      </c>
      <c r="E30" s="202">
        <f t="shared" si="36"/>
        <v>2009.1999999999996</v>
      </c>
      <c r="F30" s="202">
        <f t="shared" si="36"/>
        <v>2609.4999999999982</v>
      </c>
      <c r="G30" s="202">
        <f t="shared" si="36"/>
        <v>2672.7739999999981</v>
      </c>
      <c r="H30" s="202">
        <f>H24+H25+H29</f>
        <v>3289.9000000000005</v>
      </c>
      <c r="I30" s="202">
        <f>I24+I25+I29</f>
        <v>4626.8849999999993</v>
      </c>
      <c r="J30" s="202">
        <f>J24+J25+J29</f>
        <v>4541.0520000000033</v>
      </c>
      <c r="K30" s="202">
        <f>K24+K25+K29</f>
        <v>7536.1889999999948</v>
      </c>
      <c r="L30" s="202">
        <f t="shared" si="36"/>
        <v>20752.313000000016</v>
      </c>
      <c r="M30" s="202"/>
      <c r="P30" s="155"/>
      <c r="Q30" s="202">
        <f t="shared" ref="Q30:Y30" si="37">Q24+Q25+Q29</f>
        <v>629.70000000000016</v>
      </c>
      <c r="R30" s="202">
        <f t="shared" si="37"/>
        <v>640.69999999999982</v>
      </c>
      <c r="S30" s="202">
        <f t="shared" si="37"/>
        <v>796.4999999999992</v>
      </c>
      <c r="T30" s="202">
        <f t="shared" si="37"/>
        <v>556.50000000000114</v>
      </c>
      <c r="U30" s="202">
        <f t="shared" si="37"/>
        <v>245.39999999999986</v>
      </c>
      <c r="V30" s="202">
        <f t="shared" si="37"/>
        <v>535.4</v>
      </c>
      <c r="W30" s="202">
        <f t="shared" si="37"/>
        <v>855.60000000000014</v>
      </c>
      <c r="X30" s="202">
        <f t="shared" si="37"/>
        <v>323.20000000000016</v>
      </c>
      <c r="Y30" s="202">
        <f t="shared" si="37"/>
        <v>-3.9000000000000341</v>
      </c>
      <c r="Z30" s="202">
        <f t="shared" ref="Z30:AI30" si="38">Z24+Z25+Z29</f>
        <v>858.99999999999966</v>
      </c>
      <c r="AA30" s="202">
        <f t="shared" si="38"/>
        <v>745.70000000000016</v>
      </c>
      <c r="AB30" s="202">
        <f t="shared" si="38"/>
        <v>602.59999999999968</v>
      </c>
      <c r="AC30" s="202">
        <f t="shared" si="38"/>
        <v>701.8</v>
      </c>
      <c r="AD30" s="202">
        <f t="shared" si="38"/>
        <v>497.7999999999999</v>
      </c>
      <c r="AE30" s="202">
        <f t="shared" si="38"/>
        <v>285.50000000000057</v>
      </c>
      <c r="AF30" s="202">
        <f t="shared" si="38"/>
        <v>524.10000000000014</v>
      </c>
      <c r="AG30" s="202">
        <f t="shared" si="38"/>
        <v>628.6</v>
      </c>
      <c r="AH30" s="202">
        <f t="shared" si="38"/>
        <v>899</v>
      </c>
      <c r="AI30" s="202">
        <f t="shared" si="38"/>
        <v>775.99999999999955</v>
      </c>
      <c r="AJ30" s="202">
        <f t="shared" ref="AJ30:AO30" si="39">AJ24+AJ25+AJ29</f>
        <v>305.8999999999993</v>
      </c>
      <c r="AK30" s="202">
        <f t="shared" si="39"/>
        <v>695.19999999999936</v>
      </c>
      <c r="AL30" s="202">
        <f t="shared" si="39"/>
        <v>571.39999999999952</v>
      </c>
      <c r="AM30" s="202">
        <f t="shared" si="39"/>
        <v>425.63200000000018</v>
      </c>
      <c r="AN30" s="202">
        <f t="shared" si="39"/>
        <v>980.54199999999821</v>
      </c>
      <c r="AO30" s="202">
        <f t="shared" si="39"/>
        <v>631.60000000000059</v>
      </c>
      <c r="AP30" s="202">
        <f t="shared" ref="AP30:AU30" si="40">AP24+AP25+AP29</f>
        <v>642.40000000000055</v>
      </c>
      <c r="AQ30" s="202">
        <f t="shared" si="40"/>
        <v>1028.4999999999991</v>
      </c>
      <c r="AR30" s="202">
        <f t="shared" si="40"/>
        <v>987.4000000000002</v>
      </c>
      <c r="AS30" s="202">
        <f t="shared" si="40"/>
        <v>1118.4000000000003</v>
      </c>
      <c r="AT30" s="202">
        <f t="shared" si="40"/>
        <v>1087.7999999999993</v>
      </c>
      <c r="AU30" s="202">
        <f t="shared" si="40"/>
        <v>1566.1359999999991</v>
      </c>
      <c r="AV30" s="202">
        <f t="shared" ref="AV30:BG30" si="41">AV24+AV25+AV29</f>
        <v>854.54900000000134</v>
      </c>
      <c r="AW30" s="202">
        <f t="shared" si="41"/>
        <v>1449.0000000000014</v>
      </c>
      <c r="AX30" s="202">
        <f t="shared" si="41"/>
        <v>876.39999999999941</v>
      </c>
      <c r="AY30" s="202">
        <f t="shared" si="41"/>
        <v>1830.7329999999993</v>
      </c>
      <c r="AZ30" s="202">
        <f t="shared" si="41"/>
        <v>384.91900000000533</v>
      </c>
      <c r="BA30" s="453">
        <f t="shared" si="41"/>
        <v>948.90299999999888</v>
      </c>
      <c r="BB30" s="202">
        <f t="shared" si="41"/>
        <v>1782.3080000000009</v>
      </c>
      <c r="BC30" s="202">
        <f t="shared" si="41"/>
        <v>2896.8660000000004</v>
      </c>
      <c r="BD30" s="202">
        <f t="shared" si="41"/>
        <v>1908.1120000000019</v>
      </c>
      <c r="BE30" s="202">
        <f t="shared" si="41"/>
        <v>9556.2219999999979</v>
      </c>
      <c r="BF30" s="202">
        <f t="shared" si="41"/>
        <v>3656.276999999996</v>
      </c>
      <c r="BG30" s="202">
        <f t="shared" si="41"/>
        <v>5631.7020000000011</v>
      </c>
    </row>
    <row r="31" spans="2:59" ht="13.5" customHeight="1">
      <c r="B31" s="1" t="s">
        <v>441</v>
      </c>
      <c r="C31" s="195">
        <v>-730.4</v>
      </c>
      <c r="D31" s="195">
        <v>-667.1</v>
      </c>
      <c r="E31" s="195">
        <v>-423.2</v>
      </c>
      <c r="F31" s="195">
        <v>-571.79999999999995</v>
      </c>
      <c r="G31" s="195">
        <v>-495.48099999999999</v>
      </c>
      <c r="H31" s="195">
        <v>-785.6</v>
      </c>
      <c r="I31" s="195">
        <v>-387.19299999999998</v>
      </c>
      <c r="J31" s="195">
        <v>490.18400000000003</v>
      </c>
      <c r="K31" s="195">
        <v>3516.1</v>
      </c>
      <c r="L31" s="196">
        <f>SUM(BD31:BG31)</f>
        <v>2696.422</v>
      </c>
      <c r="M31" s="196"/>
      <c r="Q31" s="195">
        <v>-137.1</v>
      </c>
      <c r="R31" s="195">
        <v>-145.9</v>
      </c>
      <c r="S31" s="195">
        <v>-188.89999999999998</v>
      </c>
      <c r="T31" s="195">
        <v>-119.5</v>
      </c>
      <c r="U31" s="195">
        <v>-160.19999999999999</v>
      </c>
      <c r="V31" s="195">
        <v>-166.5</v>
      </c>
      <c r="W31" s="195">
        <v>-216.40000000000003</v>
      </c>
      <c r="X31" s="195">
        <v>-187.3</v>
      </c>
      <c r="Y31" s="195">
        <v>-234.2</v>
      </c>
      <c r="Z31" s="195">
        <v>-140.5</v>
      </c>
      <c r="AA31" s="195">
        <v>-183.2</v>
      </c>
      <c r="AB31" s="195">
        <v>-109.2</v>
      </c>
      <c r="AC31" s="195">
        <v>-143.4</v>
      </c>
      <c r="AD31" s="195">
        <v>-62.199999999999996</v>
      </c>
      <c r="AE31" s="195">
        <v>-106.3</v>
      </c>
      <c r="AF31" s="195">
        <v>-111.3</v>
      </c>
      <c r="AG31" s="195">
        <v>-157.19999999999999</v>
      </c>
      <c r="AH31" s="195">
        <v>-183.9</v>
      </c>
      <c r="AI31" s="195">
        <v>-161.1</v>
      </c>
      <c r="AJ31" s="195">
        <v>-69.599999999999966</v>
      </c>
      <c r="AK31" s="195">
        <v>-170.2</v>
      </c>
      <c r="AL31" s="195">
        <v>-142.19999999999999</v>
      </c>
      <c r="AM31" s="195">
        <v>-144.376</v>
      </c>
      <c r="AN31" s="275">
        <f>G31-AM31-AL31-AK31</f>
        <v>-38.705000000000041</v>
      </c>
      <c r="AO31" s="195">
        <v>-159.80000000000001</v>
      </c>
      <c r="AP31" s="195">
        <v>-163</v>
      </c>
      <c r="AQ31" s="195">
        <v>-229.2</v>
      </c>
      <c r="AR31" s="196">
        <f>H31-AQ31-AP31-AO31</f>
        <v>-233.60000000000008</v>
      </c>
      <c r="AS31" s="195">
        <v>-244.4</v>
      </c>
      <c r="AT31" s="195">
        <v>-234.9</v>
      </c>
      <c r="AU31" s="195">
        <v>-355.48399999999998</v>
      </c>
      <c r="AV31" s="196">
        <f>I31-AU31-AT31-AS31</f>
        <v>447.59100000000001</v>
      </c>
      <c r="AW31" s="195">
        <v>-344.1</v>
      </c>
      <c r="AX31" s="195">
        <v>236.2</v>
      </c>
      <c r="AY31" s="195">
        <v>-401.61200000000002</v>
      </c>
      <c r="AZ31" s="196">
        <f>J31-AY31-AX31-AW31</f>
        <v>999.69600000000003</v>
      </c>
      <c r="BA31" s="195">
        <v>-145.99299999999999</v>
      </c>
      <c r="BB31" s="195">
        <v>75.900000000000006</v>
      </c>
      <c r="BC31" s="195">
        <v>-501.09800000000001</v>
      </c>
      <c r="BD31" s="196">
        <f>K31-BC31-BB31-BA31</f>
        <v>4087.2909999999997</v>
      </c>
      <c r="BE31" s="195">
        <v>-739.82100000000003</v>
      </c>
      <c r="BF31" s="195">
        <v>-495.92599999999999</v>
      </c>
      <c r="BG31" s="195">
        <v>-155.12200000000001</v>
      </c>
    </row>
    <row r="32" spans="2:59" s="5" customFormat="1" ht="13.5" customHeight="1">
      <c r="B32" s="5" t="s">
        <v>442</v>
      </c>
      <c r="C32" s="202">
        <f t="shared" ref="C32:L32" si="42">C30+C31</f>
        <v>1229.1999999999989</v>
      </c>
      <c r="D32" s="202">
        <f t="shared" si="42"/>
        <v>1536.2999999999993</v>
      </c>
      <c r="E32" s="202">
        <f t="shared" si="42"/>
        <v>1585.9999999999995</v>
      </c>
      <c r="F32" s="202">
        <f t="shared" si="42"/>
        <v>2037.6999999999982</v>
      </c>
      <c r="G32" s="202">
        <f t="shared" si="42"/>
        <v>2177.2929999999978</v>
      </c>
      <c r="H32" s="202">
        <f>H30+H31</f>
        <v>2504.3000000000006</v>
      </c>
      <c r="I32" s="202">
        <f>I30+I31</f>
        <v>4239.6919999999991</v>
      </c>
      <c r="J32" s="202">
        <f>J30+J31</f>
        <v>5031.2360000000035</v>
      </c>
      <c r="K32" s="202">
        <f>K30+K31</f>
        <v>11052.288999999995</v>
      </c>
      <c r="L32" s="202">
        <f t="shared" si="42"/>
        <v>23448.735000000015</v>
      </c>
      <c r="M32" s="202"/>
      <c r="P32" s="155"/>
      <c r="Q32" s="202">
        <f t="shared" ref="Q32:X32" si="43">Q30+Q31</f>
        <v>492.60000000000014</v>
      </c>
      <c r="R32" s="202">
        <f t="shared" si="43"/>
        <v>494.79999999999984</v>
      </c>
      <c r="S32" s="202">
        <f t="shared" si="43"/>
        <v>607.59999999999923</v>
      </c>
      <c r="T32" s="202">
        <f t="shared" si="43"/>
        <v>437.00000000000114</v>
      </c>
      <c r="U32" s="202">
        <f t="shared" si="43"/>
        <v>85.199999999999875</v>
      </c>
      <c r="V32" s="202">
        <f t="shared" si="43"/>
        <v>368.9</v>
      </c>
      <c r="W32" s="202">
        <f t="shared" si="43"/>
        <v>639.20000000000005</v>
      </c>
      <c r="X32" s="202">
        <f t="shared" si="43"/>
        <v>135.90000000000015</v>
      </c>
      <c r="Y32" s="202">
        <f t="shared" ref="Y32:AI32" si="44">Y30+Y31</f>
        <v>-238.10000000000002</v>
      </c>
      <c r="Z32" s="202">
        <f t="shared" si="44"/>
        <v>718.49999999999966</v>
      </c>
      <c r="AA32" s="202">
        <f t="shared" si="44"/>
        <v>562.50000000000023</v>
      </c>
      <c r="AB32" s="202">
        <f t="shared" si="44"/>
        <v>493.39999999999969</v>
      </c>
      <c r="AC32" s="202">
        <f t="shared" si="44"/>
        <v>558.4</v>
      </c>
      <c r="AD32" s="202">
        <f t="shared" si="44"/>
        <v>435.59999999999991</v>
      </c>
      <c r="AE32" s="202">
        <f t="shared" si="44"/>
        <v>179.20000000000056</v>
      </c>
      <c r="AF32" s="202">
        <f t="shared" si="44"/>
        <v>412.80000000000013</v>
      </c>
      <c r="AG32" s="202">
        <f t="shared" si="44"/>
        <v>471.40000000000003</v>
      </c>
      <c r="AH32" s="202">
        <f t="shared" si="44"/>
        <v>715.1</v>
      </c>
      <c r="AI32" s="202">
        <f t="shared" si="44"/>
        <v>614.89999999999952</v>
      </c>
      <c r="AJ32" s="202">
        <f t="shared" ref="AJ32:AO32" si="45">AJ30+AJ31</f>
        <v>236.29999999999933</v>
      </c>
      <c r="AK32" s="202">
        <f t="shared" si="45"/>
        <v>524.99999999999932</v>
      </c>
      <c r="AL32" s="202">
        <f t="shared" si="45"/>
        <v>429.19999999999953</v>
      </c>
      <c r="AM32" s="202">
        <f t="shared" si="45"/>
        <v>281.2560000000002</v>
      </c>
      <c r="AN32" s="202">
        <f t="shared" si="45"/>
        <v>941.83699999999817</v>
      </c>
      <c r="AO32" s="202">
        <f t="shared" si="45"/>
        <v>471.80000000000058</v>
      </c>
      <c r="AP32" s="202">
        <f t="shared" ref="AP32:AU32" si="46">AP30+AP31</f>
        <v>479.40000000000055</v>
      </c>
      <c r="AQ32" s="202">
        <f t="shared" si="46"/>
        <v>799.29999999999905</v>
      </c>
      <c r="AR32" s="202">
        <f t="shared" si="46"/>
        <v>753.80000000000018</v>
      </c>
      <c r="AS32" s="202">
        <f t="shared" si="46"/>
        <v>874.00000000000034</v>
      </c>
      <c r="AT32" s="202">
        <f t="shared" si="46"/>
        <v>852.8999999999993</v>
      </c>
      <c r="AU32" s="202">
        <f t="shared" si="46"/>
        <v>1210.6519999999991</v>
      </c>
      <c r="AV32" s="202">
        <f t="shared" ref="AV32:BA32" si="47">AV30+AV31</f>
        <v>1302.1400000000012</v>
      </c>
      <c r="AW32" s="202">
        <f t="shared" si="47"/>
        <v>1104.9000000000015</v>
      </c>
      <c r="AX32" s="202">
        <f t="shared" si="47"/>
        <v>1112.5999999999995</v>
      </c>
      <c r="AY32" s="202">
        <f t="shared" si="47"/>
        <v>1429.1209999999992</v>
      </c>
      <c r="AZ32" s="202">
        <f t="shared" si="47"/>
        <v>1384.6150000000052</v>
      </c>
      <c r="BA32" s="202">
        <f t="shared" si="47"/>
        <v>802.90999999999894</v>
      </c>
      <c r="BB32" s="202">
        <f t="shared" ref="BB32:BG32" si="48">BB30+BB31</f>
        <v>1858.208000000001</v>
      </c>
      <c r="BC32" s="202">
        <f t="shared" si="48"/>
        <v>2395.7680000000005</v>
      </c>
      <c r="BD32" s="202">
        <f t="shared" si="48"/>
        <v>5995.4030000000021</v>
      </c>
      <c r="BE32" s="202">
        <f t="shared" si="48"/>
        <v>8816.400999999998</v>
      </c>
      <c r="BF32" s="202">
        <f t="shared" si="48"/>
        <v>3160.350999999996</v>
      </c>
      <c r="BG32" s="202">
        <f t="shared" si="48"/>
        <v>5476.5800000000008</v>
      </c>
    </row>
    <row r="33" spans="2:59" ht="13.5" customHeight="1">
      <c r="B33" s="1" t="s">
        <v>443</v>
      </c>
      <c r="C33" s="195">
        <v>207.3</v>
      </c>
      <c r="D33" s="195">
        <v>367.3</v>
      </c>
      <c r="E33" s="195">
        <v>-42.2</v>
      </c>
      <c r="F33" s="230">
        <v>0</v>
      </c>
      <c r="G33" s="230">
        <v>0</v>
      </c>
      <c r="H33" s="230">
        <v>772.4</v>
      </c>
      <c r="I33" s="230">
        <v>0</v>
      </c>
      <c r="J33" s="230">
        <v>0</v>
      </c>
      <c r="K33" s="230">
        <v>0</v>
      </c>
      <c r="L33" s="196">
        <f>SUM(BD33:BG33)</f>
        <v>0</v>
      </c>
      <c r="M33" s="196"/>
      <c r="Q33" s="195">
        <v>68.599999999999994</v>
      </c>
      <c r="R33" s="195">
        <v>60</v>
      </c>
      <c r="S33" s="195">
        <v>92.9</v>
      </c>
      <c r="T33" s="195">
        <v>75.800000000000011</v>
      </c>
      <c r="U33" s="195">
        <v>73.599999999999994</v>
      </c>
      <c r="V33" s="195">
        <v>73.800000000000011</v>
      </c>
      <c r="W33" s="195">
        <v>66.799999999999983</v>
      </c>
      <c r="X33" s="195">
        <v>-6.8999999999999773</v>
      </c>
      <c r="Y33" s="195">
        <v>94.8</v>
      </c>
      <c r="Z33" s="195">
        <v>94</v>
      </c>
      <c r="AA33" s="195">
        <v>80.099999999999994</v>
      </c>
      <c r="AB33" s="195">
        <v>98.4</v>
      </c>
      <c r="AC33" s="195">
        <v>15.2</v>
      </c>
      <c r="AD33" s="195">
        <v>-7.9</v>
      </c>
      <c r="AE33" s="195">
        <v>-5.0999999999999996</v>
      </c>
      <c r="AF33" s="195">
        <v>-44.4</v>
      </c>
      <c r="AG33" s="195">
        <v>0</v>
      </c>
      <c r="AH33" s="195">
        <v>0</v>
      </c>
      <c r="AI33" s="195">
        <v>0</v>
      </c>
      <c r="AJ33" s="195">
        <v>0</v>
      </c>
      <c r="AK33" s="195">
        <v>0</v>
      </c>
      <c r="AL33" s="195">
        <v>0</v>
      </c>
      <c r="AM33" s="195"/>
      <c r="AN33" s="275">
        <f>G33-AM33-AL33-AK33</f>
        <v>0</v>
      </c>
      <c r="AO33" s="195">
        <v>772.4</v>
      </c>
      <c r="AP33" s="195"/>
      <c r="AQ33" s="195"/>
      <c r="AR33" s="196">
        <f>H33-AQ33-AP33-AO33</f>
        <v>0</v>
      </c>
      <c r="AS33" s="195"/>
      <c r="AT33" s="195">
        <v>0</v>
      </c>
      <c r="AU33" s="195"/>
      <c r="AV33" s="196">
        <f>I33-AU33-AT33-AS33</f>
        <v>0</v>
      </c>
      <c r="AW33" s="195">
        <v>0</v>
      </c>
      <c r="AX33" s="195">
        <v>0</v>
      </c>
      <c r="AY33" s="195">
        <v>0</v>
      </c>
      <c r="AZ33" s="196">
        <f>J33-AY33-AX33-AW33</f>
        <v>0</v>
      </c>
      <c r="BA33" s="195">
        <v>0</v>
      </c>
      <c r="BB33" s="195">
        <v>0</v>
      </c>
      <c r="BC33" s="195">
        <v>0</v>
      </c>
      <c r="BD33" s="196">
        <f>K33-BC33-BB33-BA33</f>
        <v>0</v>
      </c>
      <c r="BE33" s="195">
        <v>0</v>
      </c>
      <c r="BF33" s="195">
        <v>0</v>
      </c>
      <c r="BG33" s="195">
        <v>0</v>
      </c>
    </row>
    <row r="34" spans="2:59" ht="13.5" customHeight="1">
      <c r="B34" s="1" t="s">
        <v>444</v>
      </c>
      <c r="C34" s="195">
        <v>428.2</v>
      </c>
      <c r="D34" s="195">
        <v>164.1</v>
      </c>
      <c r="E34" s="195">
        <v>-51.7</v>
      </c>
      <c r="F34" s="195">
        <v>-58.6</v>
      </c>
      <c r="G34" s="195">
        <v>-156.27000000000001</v>
      </c>
      <c r="H34" s="195">
        <v>-30.2</v>
      </c>
      <c r="I34" s="195">
        <v>-2.5339999999999998</v>
      </c>
      <c r="J34" s="195">
        <v>-0.18</v>
      </c>
      <c r="K34" s="195">
        <v>-0.95899999999999996</v>
      </c>
      <c r="L34" s="196">
        <f>SUM(BD34:BG34)</f>
        <v>1.8980000000000001</v>
      </c>
      <c r="M34" s="196"/>
      <c r="Q34" s="195">
        <v>4.4000000000000004</v>
      </c>
      <c r="R34" s="195">
        <v>1.5</v>
      </c>
      <c r="S34" s="195">
        <v>-1.4000000000000004</v>
      </c>
      <c r="T34" s="195">
        <v>-7.9</v>
      </c>
      <c r="U34" s="195">
        <v>200.7</v>
      </c>
      <c r="V34" s="195">
        <v>49.600000000000023</v>
      </c>
      <c r="W34" s="195">
        <v>49</v>
      </c>
      <c r="X34" s="195">
        <v>128.9</v>
      </c>
      <c r="Y34" s="195">
        <v>284.39999999999998</v>
      </c>
      <c r="Z34" s="195">
        <v>-100.5</v>
      </c>
      <c r="AA34" s="195">
        <v>-12.2</v>
      </c>
      <c r="AB34" s="195">
        <v>-7.6</v>
      </c>
      <c r="AC34" s="195">
        <v>-10.9</v>
      </c>
      <c r="AD34" s="195">
        <v>-11.6</v>
      </c>
      <c r="AE34" s="195">
        <v>-11.5</v>
      </c>
      <c r="AF34" s="195">
        <v>-17.7</v>
      </c>
      <c r="AG34" s="195">
        <v>-12.8</v>
      </c>
      <c r="AH34" s="195">
        <v>-11</v>
      </c>
      <c r="AI34" s="195">
        <v>-14.4</v>
      </c>
      <c r="AJ34" s="195">
        <v>-20.399999999999999</v>
      </c>
      <c r="AK34" s="195">
        <v>-24.2</v>
      </c>
      <c r="AL34" s="195">
        <v>-14.4</v>
      </c>
      <c r="AM34" s="195">
        <v>-39.895000000000003</v>
      </c>
      <c r="AN34" s="275">
        <f>G34-AM34-AL34-AK34</f>
        <v>-77.774999999999991</v>
      </c>
      <c r="AO34" s="195">
        <v>-19.8</v>
      </c>
      <c r="AP34" s="195">
        <v>-14.3</v>
      </c>
      <c r="AQ34" s="195">
        <v>1.9</v>
      </c>
      <c r="AR34" s="196">
        <f>H34-AQ34-AP34-AO34</f>
        <v>2</v>
      </c>
      <c r="AS34" s="195">
        <v>-1.2</v>
      </c>
      <c r="AT34" s="195">
        <v>-1.3</v>
      </c>
      <c r="AU34" s="195">
        <v>-8.0000000000000002E-3</v>
      </c>
      <c r="AV34" s="196">
        <f>I34-AU34-AT34-AS34</f>
        <v>-2.5999999999999801E-2</v>
      </c>
      <c r="AW34" s="195">
        <v>0</v>
      </c>
      <c r="AX34" s="195">
        <v>0</v>
      </c>
      <c r="AY34" s="195">
        <v>-7.0000000000000001E-3</v>
      </c>
      <c r="AZ34" s="196">
        <f>J34-AY34-AX34-AW34</f>
        <v>-0.17299999999999999</v>
      </c>
      <c r="BA34" s="195">
        <v>-1.6E-2</v>
      </c>
      <c r="BB34" s="195">
        <v>0</v>
      </c>
      <c r="BC34" s="195">
        <v>6.4000000000000001E-2</v>
      </c>
      <c r="BD34" s="196">
        <f>K34-BC34-BB34-BA34</f>
        <v>-1.0069999999999999</v>
      </c>
      <c r="BE34" s="195">
        <v>0.16800000000000001</v>
      </c>
      <c r="BF34" s="195">
        <v>0.93300000000000005</v>
      </c>
      <c r="BG34" s="195">
        <v>1.804</v>
      </c>
    </row>
    <row r="35" spans="2:59" s="5" customFormat="1" ht="13.5" customHeight="1">
      <c r="B35" s="5" t="s">
        <v>445</v>
      </c>
      <c r="C35" s="8">
        <f t="shared" ref="C35:L35" si="49">C32+C33+C34</f>
        <v>1864.6999999999989</v>
      </c>
      <c r="D35" s="8">
        <f t="shared" si="49"/>
        <v>2067.6999999999994</v>
      </c>
      <c r="E35" s="8">
        <f t="shared" si="49"/>
        <v>1492.0999999999995</v>
      </c>
      <c r="F35" s="8">
        <f t="shared" si="49"/>
        <v>1979.0999999999983</v>
      </c>
      <c r="G35" s="8">
        <f t="shared" si="49"/>
        <v>2021.0229999999979</v>
      </c>
      <c r="H35" s="8">
        <f t="shared" si="49"/>
        <v>3246.5000000000009</v>
      </c>
      <c r="I35" s="8">
        <f t="shared" si="49"/>
        <v>4237.1579999999994</v>
      </c>
      <c r="J35" s="8">
        <f t="shared" si="49"/>
        <v>5031.0560000000032</v>
      </c>
      <c r="K35" s="8">
        <f>K32+K33+K34</f>
        <v>11051.329999999994</v>
      </c>
      <c r="L35" s="8">
        <f t="shared" si="49"/>
        <v>23450.633000000016</v>
      </c>
      <c r="M35" s="8"/>
      <c r="N35" s="8"/>
      <c r="O35" s="8"/>
      <c r="P35" s="163"/>
      <c r="Q35" s="8">
        <f t="shared" ref="Q35:Y35" si="50">Q32+Q33+Q34</f>
        <v>565.60000000000014</v>
      </c>
      <c r="R35" s="8">
        <f t="shared" si="50"/>
        <v>556.29999999999984</v>
      </c>
      <c r="S35" s="8">
        <f t="shared" si="50"/>
        <v>699.09999999999923</v>
      </c>
      <c r="T35" s="8">
        <f t="shared" si="50"/>
        <v>504.90000000000111</v>
      </c>
      <c r="U35" s="8">
        <f t="shared" si="50"/>
        <v>359.49999999999989</v>
      </c>
      <c r="V35" s="8">
        <f t="shared" si="50"/>
        <v>492.3</v>
      </c>
      <c r="W35" s="8">
        <f t="shared" si="50"/>
        <v>755</v>
      </c>
      <c r="X35" s="8">
        <f t="shared" si="50"/>
        <v>257.9000000000002</v>
      </c>
      <c r="Y35" s="8">
        <f t="shared" si="50"/>
        <v>141.09999999999997</v>
      </c>
      <c r="Z35" s="8">
        <f t="shared" ref="Z35:AI35" si="51">Z32+Z33+Z34</f>
        <v>711.99999999999966</v>
      </c>
      <c r="AA35" s="8">
        <f t="shared" si="51"/>
        <v>630.4000000000002</v>
      </c>
      <c r="AB35" s="8">
        <f t="shared" si="51"/>
        <v>584.1999999999997</v>
      </c>
      <c r="AC35" s="8">
        <f t="shared" si="51"/>
        <v>562.70000000000005</v>
      </c>
      <c r="AD35" s="8">
        <f t="shared" si="51"/>
        <v>416.09999999999991</v>
      </c>
      <c r="AE35" s="8">
        <f t="shared" si="51"/>
        <v>162.60000000000056</v>
      </c>
      <c r="AF35" s="8">
        <f t="shared" si="51"/>
        <v>350.70000000000016</v>
      </c>
      <c r="AG35" s="8">
        <f t="shared" si="51"/>
        <v>458.6</v>
      </c>
      <c r="AH35" s="8">
        <f t="shared" si="51"/>
        <v>704.1</v>
      </c>
      <c r="AI35" s="8">
        <f t="shared" si="51"/>
        <v>600.49999999999955</v>
      </c>
      <c r="AJ35" s="8">
        <f t="shared" ref="AJ35:AO35" si="52">AJ32+AJ33+AJ34</f>
        <v>215.89999999999932</v>
      </c>
      <c r="AK35" s="8">
        <f t="shared" si="52"/>
        <v>500.79999999999933</v>
      </c>
      <c r="AL35" s="8">
        <f t="shared" si="52"/>
        <v>414.79999999999956</v>
      </c>
      <c r="AM35" s="8">
        <f t="shared" si="52"/>
        <v>241.36100000000019</v>
      </c>
      <c r="AN35" s="8">
        <f t="shared" si="52"/>
        <v>864.06199999999819</v>
      </c>
      <c r="AO35" s="8">
        <f t="shared" si="52"/>
        <v>1224.4000000000005</v>
      </c>
      <c r="AP35" s="8">
        <f t="shared" ref="AP35:AU35" si="53">AP32+AP33+AP34</f>
        <v>465.10000000000053</v>
      </c>
      <c r="AQ35" s="8">
        <f t="shared" si="53"/>
        <v>801.19999999999902</v>
      </c>
      <c r="AR35" s="8">
        <f t="shared" si="53"/>
        <v>755.80000000000018</v>
      </c>
      <c r="AS35" s="8">
        <f t="shared" si="53"/>
        <v>872.8000000000003</v>
      </c>
      <c r="AT35" s="8">
        <f t="shared" si="53"/>
        <v>851.59999999999934</v>
      </c>
      <c r="AU35" s="8">
        <f t="shared" si="53"/>
        <v>1210.6439999999991</v>
      </c>
      <c r="AV35" s="8">
        <f t="shared" ref="AV35:BA35" si="54">AV32+AV33+AV34</f>
        <v>1302.1140000000012</v>
      </c>
      <c r="AW35" s="8">
        <f t="shared" si="54"/>
        <v>1104.9000000000015</v>
      </c>
      <c r="AX35" s="8">
        <f t="shared" si="54"/>
        <v>1112.5999999999995</v>
      </c>
      <c r="AY35" s="8">
        <f t="shared" si="54"/>
        <v>1429.1139999999991</v>
      </c>
      <c r="AZ35" s="8">
        <f t="shared" si="54"/>
        <v>1384.4420000000052</v>
      </c>
      <c r="BA35" s="8">
        <f t="shared" si="54"/>
        <v>802.89399999999898</v>
      </c>
      <c r="BB35" s="8">
        <f t="shared" ref="BB35:BG35" si="55">BB32+BB33+BB34</f>
        <v>1858.208000000001</v>
      </c>
      <c r="BC35" s="8">
        <f t="shared" si="55"/>
        <v>2395.8320000000003</v>
      </c>
      <c r="BD35" s="8">
        <f t="shared" si="55"/>
        <v>5994.3960000000025</v>
      </c>
      <c r="BE35" s="8">
        <f t="shared" si="55"/>
        <v>8816.5689999999977</v>
      </c>
      <c r="BF35" s="8">
        <f t="shared" si="55"/>
        <v>3161.283999999996</v>
      </c>
      <c r="BG35" s="8">
        <f t="shared" si="55"/>
        <v>5478.3840000000009</v>
      </c>
    </row>
    <row r="36" spans="2:59" s="29" customFormat="1" ht="13.5" customHeight="1">
      <c r="B36" s="72"/>
      <c r="C36" s="73"/>
      <c r="D36" s="73"/>
      <c r="E36" s="73"/>
      <c r="F36" s="73"/>
      <c r="G36" s="73"/>
      <c r="H36" s="73"/>
      <c r="I36" s="73"/>
      <c r="J36" s="73"/>
      <c r="K36" s="73"/>
      <c r="L36" s="73"/>
      <c r="M36" s="315"/>
      <c r="N36" s="94"/>
      <c r="O36" s="94"/>
      <c r="P36" s="95"/>
      <c r="Q36" s="777"/>
      <c r="R36" s="777"/>
      <c r="S36" s="777"/>
      <c r="T36" s="777"/>
      <c r="U36" s="166"/>
      <c r="V36" s="166"/>
      <c r="W36" s="166"/>
      <c r="X36" s="166"/>
      <c r="Y36" s="166"/>
      <c r="Z36" s="166"/>
      <c r="AA36" s="166"/>
      <c r="AB36" s="166"/>
      <c r="AC36" s="73"/>
      <c r="AG36" s="73"/>
      <c r="AH36" s="73"/>
      <c r="AK36" s="73"/>
      <c r="AL36" s="166"/>
      <c r="AO36" s="73"/>
      <c r="AP36" s="73"/>
      <c r="AQ36" s="73"/>
      <c r="AR36" s="73"/>
      <c r="AS36" s="73"/>
      <c r="AT36" s="73"/>
      <c r="AU36" s="73"/>
      <c r="AV36" s="73"/>
      <c r="AW36" s="73"/>
      <c r="AX36" s="73"/>
      <c r="AY36" s="73"/>
      <c r="AZ36" s="73"/>
      <c r="BA36" s="73"/>
      <c r="BB36" s="73"/>
      <c r="BC36" s="73"/>
      <c r="BD36" s="73"/>
      <c r="BE36" s="73"/>
      <c r="BF36" s="73"/>
      <c r="BG36" s="73"/>
    </row>
    <row r="37" spans="2:59" s="5" customFormat="1" ht="13.5" customHeight="1">
      <c r="B37" s="5" t="s">
        <v>446</v>
      </c>
      <c r="C37" s="203">
        <v>0.84759090909090951</v>
      </c>
      <c r="D37" s="203">
        <v>0.94</v>
      </c>
      <c r="E37" s="203">
        <v>0.68</v>
      </c>
      <c r="F37" s="203">
        <v>0.9</v>
      </c>
      <c r="G37" s="203">
        <v>0.93</v>
      </c>
      <c r="H37" s="203">
        <v>1.49</v>
      </c>
      <c r="I37" s="203">
        <v>1.94</v>
      </c>
      <c r="J37" s="203">
        <v>2.2999999999999998</v>
      </c>
      <c r="K37" s="203">
        <v>5.0599999999999996</v>
      </c>
      <c r="L37" s="196"/>
      <c r="M37" s="418"/>
      <c r="N37" s="24"/>
      <c r="O37" s="24"/>
      <c r="P37" s="101"/>
      <c r="Q37" s="204">
        <v>0.25709090909090915</v>
      </c>
      <c r="R37" s="204">
        <v>0.25286363636363635</v>
      </c>
      <c r="S37" s="204">
        <v>0.31777272727272693</v>
      </c>
      <c r="T37" s="204">
        <v>0.22949999999999968</v>
      </c>
      <c r="U37" s="204">
        <v>0.16</v>
      </c>
      <c r="V37" s="204">
        <v>0.22377272727272732</v>
      </c>
      <c r="W37" s="204">
        <v>0.34318181818181787</v>
      </c>
      <c r="X37" s="204">
        <v>0.11722727272727303</v>
      </c>
      <c r="Y37" s="204">
        <v>0.06</v>
      </c>
      <c r="Z37" s="204">
        <v>0.33</v>
      </c>
      <c r="AA37" s="204">
        <v>0.28000000000000003</v>
      </c>
      <c r="AB37" s="204">
        <v>0.27</v>
      </c>
      <c r="AC37" s="205">
        <v>0.25577272727272732</v>
      </c>
      <c r="AD37" s="194">
        <v>0.19</v>
      </c>
      <c r="AE37" s="194">
        <v>7.0000000000000007E-2</v>
      </c>
      <c r="AF37" s="194">
        <v>0.16</v>
      </c>
      <c r="AG37" s="204">
        <v>0.20844168777882949</v>
      </c>
      <c r="AH37" s="204">
        <v>0.32</v>
      </c>
      <c r="AI37" s="204">
        <v>0.27</v>
      </c>
      <c r="AJ37" s="194">
        <v>0.1</v>
      </c>
      <c r="AK37" s="204">
        <v>0.23</v>
      </c>
      <c r="AL37" s="204">
        <v>0.19</v>
      </c>
      <c r="AM37" s="204">
        <v>0.11</v>
      </c>
      <c r="AN37" s="204">
        <v>0.4</v>
      </c>
      <c r="AO37" s="204">
        <v>0.21</v>
      </c>
      <c r="AP37" s="204">
        <v>0.21</v>
      </c>
      <c r="AQ37" s="204">
        <v>0.37</v>
      </c>
      <c r="AR37" s="204">
        <v>0.34</v>
      </c>
      <c r="AS37" s="204">
        <v>0.4</v>
      </c>
      <c r="AT37" s="204">
        <v>0.39</v>
      </c>
      <c r="AU37" s="204">
        <v>0.55000000000000004</v>
      </c>
      <c r="AV37" s="204">
        <v>0.6</v>
      </c>
      <c r="AW37" s="204">
        <v>0.51</v>
      </c>
      <c r="AX37" s="204">
        <v>0.51</v>
      </c>
      <c r="AY37" s="204">
        <v>0.65</v>
      </c>
      <c r="AZ37" s="204">
        <v>0.63</v>
      </c>
      <c r="BA37" s="204">
        <v>0.37</v>
      </c>
      <c r="BB37" s="204">
        <v>0.85</v>
      </c>
      <c r="BC37" s="204">
        <v>1.1000000000000001</v>
      </c>
      <c r="BD37" s="204">
        <v>0.6</v>
      </c>
      <c r="BE37" s="204">
        <v>1.29</v>
      </c>
      <c r="BF37" s="204">
        <v>1.45</v>
      </c>
      <c r="BG37" s="204">
        <v>2.5099999999999998</v>
      </c>
    </row>
    <row r="38" spans="2:59" s="5" customFormat="1" ht="13.5" customHeight="1">
      <c r="C38" s="4"/>
      <c r="D38" s="4"/>
      <c r="E38" s="4"/>
      <c r="F38" s="4"/>
      <c r="G38" s="4"/>
      <c r="H38" s="4"/>
      <c r="I38" s="4"/>
      <c r="J38" s="4"/>
      <c r="K38" s="4"/>
      <c r="L38" s="4"/>
      <c r="M38" s="4"/>
      <c r="N38" s="24"/>
      <c r="O38" s="24"/>
      <c r="P38" s="101"/>
      <c r="Q38" s="24"/>
      <c r="R38" s="24"/>
      <c r="S38" s="24"/>
      <c r="T38" s="24"/>
      <c r="U38" s="24"/>
      <c r="V38" s="24"/>
      <c r="W38" s="24"/>
      <c r="X38" s="24"/>
      <c r="Y38" s="24"/>
      <c r="Z38" s="24"/>
      <c r="AA38" s="24"/>
      <c r="AB38" s="24"/>
      <c r="AC38" s="4"/>
      <c r="AH38" s="4"/>
      <c r="AL38" s="24"/>
    </row>
    <row r="39" spans="2:59" s="5" customFormat="1" ht="13.5" customHeight="1">
      <c r="C39" s="4"/>
      <c r="D39" s="4"/>
      <c r="E39" s="4"/>
      <c r="F39" s="4"/>
      <c r="G39" s="4"/>
      <c r="H39" s="4"/>
      <c r="I39" s="4"/>
      <c r="J39" s="4"/>
      <c r="K39" s="4"/>
      <c r="L39" s="4"/>
      <c r="M39" s="4"/>
      <c r="N39" s="24"/>
      <c r="O39" s="24"/>
      <c r="P39" s="101"/>
      <c r="Q39" s="24"/>
      <c r="R39" s="24"/>
      <c r="S39" s="24"/>
      <c r="T39" s="24"/>
      <c r="U39" s="24"/>
      <c r="V39" s="24"/>
      <c r="W39" s="24"/>
      <c r="X39" s="24"/>
      <c r="Y39" s="24"/>
      <c r="Z39" s="24"/>
      <c r="AA39" s="24"/>
      <c r="AB39" s="24"/>
      <c r="AC39" s="4"/>
      <c r="AG39" s="4"/>
      <c r="AH39" s="4"/>
      <c r="AK39" s="4"/>
      <c r="AL39" s="24"/>
      <c r="AO39" s="4"/>
      <c r="AP39" s="4"/>
      <c r="AQ39" s="4"/>
      <c r="AR39" s="4"/>
      <c r="AS39" s="4"/>
      <c r="AT39" s="4"/>
      <c r="AU39" s="4"/>
      <c r="AV39" s="4"/>
      <c r="AW39" s="4"/>
      <c r="AX39" s="4"/>
      <c r="AY39" s="4"/>
      <c r="AZ39" s="4"/>
      <c r="BA39" s="4"/>
      <c r="BB39" s="4"/>
      <c r="BC39" s="4"/>
      <c r="BD39" s="4"/>
      <c r="BE39" s="4"/>
      <c r="BF39" s="4"/>
      <c r="BG39" s="4"/>
    </row>
    <row r="40" spans="2:59" s="5" customFormat="1" ht="13.5" customHeight="1">
      <c r="C40" s="4"/>
      <c r="D40" s="4"/>
      <c r="E40" s="4"/>
      <c r="F40" s="4"/>
      <c r="G40" s="4"/>
      <c r="H40" s="4"/>
      <c r="I40" s="4"/>
      <c r="J40" s="4"/>
      <c r="K40" s="4"/>
      <c r="L40" s="4"/>
      <c r="M40" s="4"/>
      <c r="N40" s="24"/>
      <c r="O40" s="24"/>
      <c r="P40" s="101"/>
      <c r="Q40" s="24"/>
      <c r="R40" s="24"/>
      <c r="S40" s="24"/>
      <c r="T40" s="24"/>
      <c r="U40" s="24"/>
      <c r="V40" s="24"/>
      <c r="W40" s="24"/>
      <c r="X40" s="24"/>
      <c r="Y40" s="24"/>
      <c r="Z40" s="24"/>
      <c r="AA40" s="24"/>
      <c r="AB40" s="24"/>
      <c r="AC40" s="4"/>
      <c r="AG40" s="4"/>
      <c r="AH40" s="4"/>
      <c r="AK40" s="4"/>
      <c r="AL40" s="24"/>
      <c r="AO40" s="4"/>
      <c r="AP40" s="4"/>
      <c r="AQ40" s="4"/>
      <c r="AR40" s="4"/>
      <c r="AS40" s="4"/>
      <c r="AT40" s="4"/>
      <c r="AU40" s="4"/>
      <c r="AV40" s="4"/>
      <c r="AW40" s="4"/>
      <c r="AX40" s="4"/>
      <c r="AY40" s="4"/>
      <c r="AZ40" s="4"/>
      <c r="BA40" s="4"/>
      <c r="BB40" s="4"/>
      <c r="BC40" s="4"/>
      <c r="BD40" s="4"/>
      <c r="BE40" s="4"/>
      <c r="BF40" s="4"/>
      <c r="BG40" s="4"/>
    </row>
    <row r="41" spans="2:59" s="5" customFormat="1" ht="13.5" customHeight="1">
      <c r="B41" s="60" t="s">
        <v>447</v>
      </c>
      <c r="C41" s="49"/>
      <c r="D41" s="49"/>
      <c r="E41" s="49"/>
      <c r="F41" s="49"/>
      <c r="G41" s="49"/>
      <c r="H41" s="49"/>
      <c r="I41" s="49"/>
      <c r="J41" s="49"/>
      <c r="K41" s="49"/>
      <c r="L41" s="49"/>
      <c r="M41" s="4"/>
      <c r="N41" s="61"/>
      <c r="O41" s="61"/>
      <c r="P41" s="102"/>
      <c r="Q41" s="61"/>
      <c r="R41" s="61"/>
      <c r="S41" s="61"/>
      <c r="T41" s="61"/>
      <c r="U41" s="61"/>
      <c r="V41" s="61"/>
      <c r="W41" s="61"/>
      <c r="X41" s="61"/>
      <c r="Y41" s="61"/>
      <c r="Z41" s="61"/>
      <c r="AA41" s="61"/>
      <c r="AB41" s="61"/>
      <c r="AC41" s="49"/>
      <c r="AD41" s="49"/>
      <c r="AE41" s="49"/>
      <c r="AF41" s="49"/>
      <c r="AG41" s="49"/>
      <c r="AH41" s="49"/>
      <c r="AI41" s="50"/>
      <c r="AJ41" s="49"/>
      <c r="AK41" s="49"/>
      <c r="AL41" s="61"/>
      <c r="AM41" s="50"/>
      <c r="AN41" s="50"/>
      <c r="AO41" s="49"/>
      <c r="AP41" s="49"/>
      <c r="AQ41" s="49"/>
      <c r="AR41" s="49"/>
      <c r="AS41" s="49"/>
      <c r="AT41" s="49"/>
      <c r="AU41" s="49"/>
      <c r="AV41" s="49"/>
      <c r="AW41" s="49"/>
      <c r="AX41" s="49"/>
      <c r="AY41" s="49"/>
      <c r="AZ41" s="49"/>
      <c r="BA41" s="49"/>
      <c r="BB41" s="49"/>
      <c r="BC41" s="49"/>
      <c r="BD41" s="49"/>
      <c r="BE41" s="49"/>
      <c r="BF41" s="49"/>
      <c r="BG41" s="49"/>
    </row>
    <row r="42" spans="2:59" s="5" customFormat="1" ht="13.5" customHeight="1">
      <c r="B42" s="7" t="str">
        <f>B16</f>
        <v>Direct cost of revenues</v>
      </c>
      <c r="C42" s="31">
        <f t="shared" ref="C42:L43" si="56">-C16/C$14</f>
        <v>0.61309741273373419</v>
      </c>
      <c r="D42" s="31">
        <f t="shared" si="56"/>
        <v>0.60844675552492677</v>
      </c>
      <c r="E42" s="31">
        <f t="shared" si="56"/>
        <v>0.64656717253738027</v>
      </c>
      <c r="F42" s="31">
        <f t="shared" si="56"/>
        <v>0.64372366309174756</v>
      </c>
      <c r="G42" s="31">
        <f t="shared" si="56"/>
        <v>0.66436583816583095</v>
      </c>
      <c r="H42" s="31">
        <f t="shared" ref="H42:J43" si="57">-H16/H$14</f>
        <v>0.67961029868083955</v>
      </c>
      <c r="I42" s="31">
        <f t="shared" si="57"/>
        <v>0.69874215781370208</v>
      </c>
      <c r="J42" s="31">
        <f t="shared" si="57"/>
        <v>0.70238370846730969</v>
      </c>
      <c r="K42" s="31">
        <f>-K16/K$14</f>
        <v>0.68280668541254863</v>
      </c>
      <c r="L42" s="31">
        <f t="shared" si="56"/>
        <v>0.55436969119367896</v>
      </c>
      <c r="M42" s="57"/>
      <c r="N42" s="65"/>
      <c r="O42" s="65"/>
      <c r="P42" s="99"/>
      <c r="Q42" s="208">
        <f t="shared" ref="Q42:AB42" si="58">-Q16/Q$14</f>
        <v>0.6276223776223776</v>
      </c>
      <c r="R42" s="208">
        <f t="shared" si="58"/>
        <v>0.62037685626225836</v>
      </c>
      <c r="S42" s="208">
        <f t="shared" si="58"/>
        <v>0.58845237695843278</v>
      </c>
      <c r="T42" s="208">
        <f t="shared" si="58"/>
        <v>0.64200998751560512</v>
      </c>
      <c r="U42" s="208">
        <f t="shared" si="58"/>
        <v>0.61021994956570469</v>
      </c>
      <c r="V42" s="208">
        <f t="shared" si="58"/>
        <v>0.61211084502223745</v>
      </c>
      <c r="W42" s="208">
        <f t="shared" si="58"/>
        <v>0.59458604768831824</v>
      </c>
      <c r="X42" s="208">
        <f t="shared" si="58"/>
        <v>0.63553750966744005</v>
      </c>
      <c r="Y42" s="208">
        <f t="shared" si="58"/>
        <v>0.61399503055536897</v>
      </c>
      <c r="Z42" s="208">
        <f t="shared" si="58"/>
        <v>0.61376054835267879</v>
      </c>
      <c r="AA42" s="208">
        <f t="shared" si="58"/>
        <v>0.59093881919257973</v>
      </c>
      <c r="AB42" s="208">
        <f t="shared" si="58"/>
        <v>0.61622432148747941</v>
      </c>
      <c r="AC42" s="31">
        <f t="shared" ref="AC42:AI42" si="59">-AC16/AC$14</f>
        <v>0.62590686426489739</v>
      </c>
      <c r="AD42" s="31">
        <f t="shared" si="59"/>
        <v>0.66612072302790271</v>
      </c>
      <c r="AE42" s="31">
        <f t="shared" si="59"/>
        <v>0.64851715183818492</v>
      </c>
      <c r="AF42" s="31">
        <f t="shared" si="59"/>
        <v>0.64504402018003759</v>
      </c>
      <c r="AG42" s="31">
        <f t="shared" si="59"/>
        <v>0.64565957656812911</v>
      </c>
      <c r="AH42" s="31">
        <f t="shared" si="59"/>
        <v>0.64501853568118628</v>
      </c>
      <c r="AI42" s="31">
        <f t="shared" si="59"/>
        <v>0.63805629268717112</v>
      </c>
      <c r="AJ42" s="31">
        <f t="shared" ref="AJ42:AN43" si="60">-AJ16/AJ$14</f>
        <v>0.64642849488866527</v>
      </c>
      <c r="AK42" s="31">
        <f t="shared" si="60"/>
        <v>0.65414986559139798</v>
      </c>
      <c r="AL42" s="31">
        <f t="shared" si="60"/>
        <v>0.66438141502781478</v>
      </c>
      <c r="AM42" s="31">
        <f t="shared" si="60"/>
        <v>0.64577254950648699</v>
      </c>
      <c r="AN42" s="31">
        <f t="shared" si="60"/>
        <v>0.69216173296234673</v>
      </c>
      <c r="AO42" s="31">
        <f t="shared" ref="AO42:AQ43" si="61">-AO16/AO$14</f>
        <v>0.68863868625999924</v>
      </c>
      <c r="AP42" s="31">
        <f t="shared" si="61"/>
        <v>0.6920256497229893</v>
      </c>
      <c r="AQ42" s="31">
        <f t="shared" si="61"/>
        <v>0.64971382592721927</v>
      </c>
      <c r="AR42" s="31">
        <f t="shared" ref="AR42:AU43" si="62">-AR16/AR$14</f>
        <v>0.68990693916634249</v>
      </c>
      <c r="AS42" s="31">
        <f t="shared" si="62"/>
        <v>0.68628628929306279</v>
      </c>
      <c r="AT42" s="31">
        <f t="shared" si="62"/>
        <v>0.71492944727682384</v>
      </c>
      <c r="AU42" s="31">
        <f t="shared" si="62"/>
        <v>0.68550518068504351</v>
      </c>
      <c r="AV42" s="31">
        <f t="shared" ref="AV42:AY43" si="63">-AV16/AV$14</f>
        <v>0.7079025154408477</v>
      </c>
      <c r="AW42" s="31">
        <f t="shared" si="63"/>
        <v>0.71154411294959419</v>
      </c>
      <c r="AX42" s="31">
        <f t="shared" si="63"/>
        <v>0.7179205222090943</v>
      </c>
      <c r="AY42" s="31">
        <f t="shared" si="63"/>
        <v>0.68724683253025665</v>
      </c>
      <c r="AZ42" s="31">
        <f t="shared" ref="AZ42:BC43" si="64">-AZ16/AZ$14</f>
        <v>0.69621056517182422</v>
      </c>
      <c r="BA42" s="31">
        <f t="shared" si="64"/>
        <v>0.70855826676650135</v>
      </c>
      <c r="BB42" s="31">
        <f t="shared" si="64"/>
        <v>0.71391360102588763</v>
      </c>
      <c r="BC42" s="31">
        <f t="shared" si="64"/>
        <v>0.67192318738287715</v>
      </c>
      <c r="BD42" s="31">
        <f t="shared" ref="BD42:BG43" si="65">-BD16/BD$14</f>
        <v>0.65139584606005574</v>
      </c>
      <c r="BE42" s="31">
        <f t="shared" si="65"/>
        <v>0.31988917713956666</v>
      </c>
      <c r="BF42" s="31">
        <f t="shared" si="65"/>
        <v>0.61308312080639682</v>
      </c>
      <c r="BG42" s="31">
        <f t="shared" si="65"/>
        <v>0.60141935982268446</v>
      </c>
    </row>
    <row r="43" spans="2:59" s="5" customFormat="1" ht="13.5" customHeight="1">
      <c r="B43" s="7" t="str">
        <f>B17</f>
        <v>Depreciation and amortization</v>
      </c>
      <c r="C43" s="31">
        <f t="shared" si="56"/>
        <v>0.13612208974060913</v>
      </c>
      <c r="D43" s="31">
        <f t="shared" si="56"/>
        <v>0.13060911240935361</v>
      </c>
      <c r="E43" s="31">
        <f t="shared" si="56"/>
        <v>0.15422523380187039</v>
      </c>
      <c r="F43" s="31">
        <f t="shared" si="56"/>
        <v>0.14728818461782772</v>
      </c>
      <c r="G43" s="31">
        <f t="shared" si="56"/>
        <v>0.20138570081683788</v>
      </c>
      <c r="H43" s="31">
        <f t="shared" si="57"/>
        <v>0.20076221695335997</v>
      </c>
      <c r="I43" s="31">
        <f t="shared" si="57"/>
        <v>0.20529198754389891</v>
      </c>
      <c r="J43" s="31">
        <f t="shared" si="57"/>
        <v>0.20300143372169094</v>
      </c>
      <c r="K43" s="31">
        <f>-K17/K$14</f>
        <v>0.17591454847480908</v>
      </c>
      <c r="L43" s="31">
        <f t="shared" si="56"/>
        <v>0.14359561731164319</v>
      </c>
      <c r="M43" s="57"/>
      <c r="N43" s="65"/>
      <c r="O43" s="65"/>
      <c r="P43" s="99"/>
      <c r="Q43" s="208">
        <f t="shared" ref="Q43:AB43" si="66">-Q17/Q$14</f>
        <v>0.13405743192977235</v>
      </c>
      <c r="R43" s="208">
        <f t="shared" si="66"/>
        <v>0.12846735780330626</v>
      </c>
      <c r="S43" s="208">
        <f t="shared" si="66"/>
        <v>0.12936558526520617</v>
      </c>
      <c r="T43" s="208">
        <f t="shared" si="66"/>
        <v>0.1670134554029685</v>
      </c>
      <c r="U43" s="208">
        <f t="shared" si="66"/>
        <v>0.1399551695152704</v>
      </c>
      <c r="V43" s="208">
        <f t="shared" si="66"/>
        <v>0.13212452959288401</v>
      </c>
      <c r="W43" s="208">
        <f t="shared" si="66"/>
        <v>0.12743888268267808</v>
      </c>
      <c r="X43" s="208">
        <f t="shared" si="66"/>
        <v>0.1452371745295179</v>
      </c>
      <c r="Y43" s="208">
        <f t="shared" si="66"/>
        <v>0.13239540662144922</v>
      </c>
      <c r="Z43" s="208">
        <f t="shared" si="66"/>
        <v>0.1324000129328462</v>
      </c>
      <c r="AA43" s="208">
        <f t="shared" si="66"/>
        <v>0.12691004221416255</v>
      </c>
      <c r="AB43" s="208">
        <f t="shared" si="66"/>
        <v>0.13105413105413105</v>
      </c>
      <c r="AC43" s="31">
        <f t="shared" ref="AC43:AI43" si="67">-AC17/AC$14</f>
        <v>0.14101049795742915</v>
      </c>
      <c r="AD43" s="31">
        <f t="shared" si="67"/>
        <v>0.16887050986171676</v>
      </c>
      <c r="AE43" s="31">
        <f t="shared" si="67"/>
        <v>0.15771491048243813</v>
      </c>
      <c r="AF43" s="31">
        <f t="shared" si="67"/>
        <v>0.14944603818379659</v>
      </c>
      <c r="AG43" s="31">
        <f t="shared" si="67"/>
        <v>0.15506094852687163</v>
      </c>
      <c r="AH43" s="31">
        <f t="shared" si="67"/>
        <v>0.14295644114921224</v>
      </c>
      <c r="AI43" s="31">
        <f t="shared" si="67"/>
        <v>0.14160177491625703</v>
      </c>
      <c r="AJ43" s="31">
        <f t="shared" si="60"/>
        <v>0.1501253723666445</v>
      </c>
      <c r="AK43" s="31">
        <f t="shared" si="60"/>
        <v>0.20577116935483872</v>
      </c>
      <c r="AL43" s="31">
        <f t="shared" si="60"/>
        <v>0.20490872052025386</v>
      </c>
      <c r="AM43" s="31">
        <f t="shared" si="60"/>
        <v>0.16814375676812823</v>
      </c>
      <c r="AN43" s="31">
        <f t="shared" si="60"/>
        <v>0.22874057907005069</v>
      </c>
      <c r="AO43" s="31">
        <f t="shared" si="61"/>
        <v>0.20758008246114806</v>
      </c>
      <c r="AP43" s="31">
        <f t="shared" si="61"/>
        <v>0.20445478186428903</v>
      </c>
      <c r="AQ43" s="31">
        <f t="shared" si="61"/>
        <v>0.18183060316689187</v>
      </c>
      <c r="AR43" s="31">
        <f t="shared" si="62"/>
        <v>0.21020976091444993</v>
      </c>
      <c r="AS43" s="31">
        <f t="shared" si="62"/>
        <v>0.2060736223961071</v>
      </c>
      <c r="AT43" s="31">
        <f t="shared" si="62"/>
        <v>0.20963618769768483</v>
      </c>
      <c r="AU43" s="31">
        <f t="shared" si="62"/>
        <v>0.19826050716448237</v>
      </c>
      <c r="AV43" s="31">
        <f t="shared" si="63"/>
        <v>0.20764254797838305</v>
      </c>
      <c r="AW43" s="31">
        <f t="shared" si="63"/>
        <v>0.2115888328116016</v>
      </c>
      <c r="AX43" s="31">
        <f t="shared" si="63"/>
        <v>0.20388849244879101</v>
      </c>
      <c r="AY43" s="31">
        <f t="shared" si="63"/>
        <v>0.19430764660234567</v>
      </c>
      <c r="AZ43" s="31">
        <f t="shared" si="64"/>
        <v>0.20364232156175346</v>
      </c>
      <c r="BA43" s="31">
        <f t="shared" si="64"/>
        <v>0.19660718600140478</v>
      </c>
      <c r="BB43" s="31">
        <f t="shared" si="64"/>
        <v>0.19877374368838663</v>
      </c>
      <c r="BC43" s="31">
        <f t="shared" si="64"/>
        <v>0.16352321403592721</v>
      </c>
      <c r="BD43" s="31">
        <f t="shared" si="65"/>
        <v>0.15566806700350302</v>
      </c>
      <c r="BE43" s="31">
        <f t="shared" si="65"/>
        <v>0.15529538388194669</v>
      </c>
      <c r="BF43" s="31">
        <f t="shared" si="65"/>
        <v>0.13798123050405894</v>
      </c>
      <c r="BG43" s="31">
        <f t="shared" si="65"/>
        <v>0.1330444297550116</v>
      </c>
    </row>
    <row r="44" spans="2:59" s="5" customFormat="1" ht="13.5" customHeight="1">
      <c r="B44" s="7" t="str">
        <f>B20</f>
        <v>Administrative expenses</v>
      </c>
      <c r="C44" s="31">
        <f t="shared" ref="C44:L45" si="68">-C20/C$14</f>
        <v>4.6721910392241529E-2</v>
      </c>
      <c r="D44" s="31">
        <f t="shared" si="68"/>
        <v>4.8968628126615191E-2</v>
      </c>
      <c r="E44" s="31">
        <f t="shared" si="68"/>
        <v>5.0526404211233687E-2</v>
      </c>
      <c r="F44" s="31">
        <f t="shared" si="68"/>
        <v>3.659235144991238E-2</v>
      </c>
      <c r="G44" s="31">
        <f t="shared" si="68"/>
        <v>3.1624787630371763E-2</v>
      </c>
      <c r="H44" s="31">
        <f>-H20/H$14</f>
        <v>3.1021752621612587E-2</v>
      </c>
      <c r="I44" s="31">
        <f>-I20/I$14</f>
        <v>2.5756490301441629E-2</v>
      </c>
      <c r="J44" s="31">
        <f>-J20/J$14</f>
        <v>2.5584916691026017E-2</v>
      </c>
      <c r="K44" s="31">
        <f>-K20/K$14</f>
        <v>2.8193453789544999E-2</v>
      </c>
      <c r="L44" s="31">
        <f>-L20/L$14</f>
        <v>3.0450946349840052E-2</v>
      </c>
      <c r="M44" s="57"/>
      <c r="N44" s="65"/>
      <c r="O44" s="65"/>
      <c r="P44" s="99"/>
      <c r="Q44" s="208">
        <f t="shared" ref="Q44:AB44" si="69">-Q20/Q$14</f>
        <v>4.7946734116946881E-2</v>
      </c>
      <c r="R44" s="208">
        <f t="shared" si="69"/>
        <v>4.5180722891566265E-2</v>
      </c>
      <c r="S44" s="208">
        <f t="shared" si="69"/>
        <v>4.7103029489717195E-2</v>
      </c>
      <c r="T44" s="208">
        <f t="shared" si="69"/>
        <v>5.2711887917880403E-2</v>
      </c>
      <c r="U44" s="208">
        <f t="shared" si="69"/>
        <v>4.9768842813112918E-2</v>
      </c>
      <c r="V44" s="208">
        <f t="shared" si="69"/>
        <v>4.6459117345193292E-2</v>
      </c>
      <c r="W44" s="208">
        <f t="shared" si="69"/>
        <v>4.3640503446967301E-2</v>
      </c>
      <c r="X44" s="208">
        <f t="shared" si="69"/>
        <v>4.730600670275846E-2</v>
      </c>
      <c r="Y44" s="208">
        <f t="shared" si="69"/>
        <v>4.7276878651534487E-2</v>
      </c>
      <c r="Z44" s="208">
        <f t="shared" si="69"/>
        <v>4.8627501697436071E-2</v>
      </c>
      <c r="AA44" s="208">
        <f t="shared" si="69"/>
        <v>5.0002972828348882E-2</v>
      </c>
      <c r="AB44" s="208">
        <f t="shared" si="69"/>
        <v>4.975258659469186E-2</v>
      </c>
      <c r="AC44" s="31">
        <f t="shared" ref="AC44:AI44" si="70">-AC20/AC$14</f>
        <v>5.5403980901593597E-2</v>
      </c>
      <c r="AD44" s="31">
        <f t="shared" si="70"/>
        <v>5.2351031833477266E-2</v>
      </c>
      <c r="AE44" s="31">
        <f t="shared" si="70"/>
        <v>4.8462484624846244E-2</v>
      </c>
      <c r="AF44" s="31">
        <f t="shared" si="70"/>
        <v>4.6987832624394099E-2</v>
      </c>
      <c r="AG44" s="31">
        <f t="shared" si="70"/>
        <v>4.9301682870256137E-2</v>
      </c>
      <c r="AH44" s="31">
        <f t="shared" si="70"/>
        <v>4.2585727525486561E-2</v>
      </c>
      <c r="AI44" s="31">
        <f t="shared" si="70"/>
        <v>4.2263018227693919E-2</v>
      </c>
      <c r="AJ44" s="31">
        <f t="shared" ref="AJ44:AN45" si="71">-AJ20/AJ$14</f>
        <v>1.4423179957566274E-2</v>
      </c>
      <c r="AK44" s="31">
        <f t="shared" si="71"/>
        <v>4.5131888440860218E-2</v>
      </c>
      <c r="AL44" s="31">
        <f t="shared" si="71"/>
        <v>3.7980882237718408E-2</v>
      </c>
      <c r="AM44" s="31">
        <f t="shared" si="71"/>
        <v>3.9107193356370834E-2</v>
      </c>
      <c r="AN44" s="31">
        <f t="shared" si="71"/>
        <v>6.7143759769729807E-3</v>
      </c>
      <c r="AO44" s="31">
        <f t="shared" ref="AO44:AQ45" si="72">-AO20/AO$14</f>
        <v>3.3583535962222924E-2</v>
      </c>
      <c r="AP44" s="31">
        <f t="shared" si="72"/>
        <v>2.9865452019834923E-2</v>
      </c>
      <c r="AQ44" s="31">
        <f t="shared" si="72"/>
        <v>2.8359319254884698E-2</v>
      </c>
      <c r="AR44" s="31">
        <f t="shared" ref="AR44:AU45" si="73">-AR20/AR$14</f>
        <v>3.2541368682486013E-2</v>
      </c>
      <c r="AS44" s="31">
        <f t="shared" si="73"/>
        <v>2.828049201748194E-2</v>
      </c>
      <c r="AT44" s="31">
        <f t="shared" si="73"/>
        <v>2.4032698334753536E-2</v>
      </c>
      <c r="AU44" s="31">
        <f t="shared" si="73"/>
        <v>2.4079965791098498E-2</v>
      </c>
      <c r="AV44" s="31">
        <f t="shared" ref="AV44:AY45" si="74">-AV20/AV$14</f>
        <v>2.6766930817659594E-2</v>
      </c>
      <c r="AW44" s="31">
        <f t="shared" si="74"/>
        <v>2.5477544240720625E-2</v>
      </c>
      <c r="AX44" s="31">
        <f t="shared" si="74"/>
        <v>2.6157247639881614E-2</v>
      </c>
      <c r="AY44" s="31">
        <f t="shared" si="74"/>
        <v>2.3439869415269002E-2</v>
      </c>
      <c r="AZ44" s="31">
        <f t="shared" ref="AZ44:BC45" si="75">-AZ20/AZ$14</f>
        <v>2.7156149355141896E-2</v>
      </c>
      <c r="BA44" s="31">
        <f t="shared" si="75"/>
        <v>2.839331890667578E-2</v>
      </c>
      <c r="BB44" s="31">
        <f t="shared" si="75"/>
        <v>2.789933477598782E-2</v>
      </c>
      <c r="BC44" s="31">
        <f t="shared" si="75"/>
        <v>2.6856289795857958E-2</v>
      </c>
      <c r="BD44" s="31">
        <f t="shared" ref="BD44:BG45" si="76">-BD20/BD$14</f>
        <v>2.9510975351092379E-2</v>
      </c>
      <c r="BE44" s="31">
        <f t="shared" si="76"/>
        <v>3.2446897861744407E-2</v>
      </c>
      <c r="BF44" s="31">
        <f t="shared" si="76"/>
        <v>2.6254283812821237E-2</v>
      </c>
      <c r="BG44" s="31">
        <f t="shared" si="76"/>
        <v>3.3200187158181828E-2</v>
      </c>
    </row>
    <row r="45" spans="2:59" s="5" customFormat="1" ht="13.5" customHeight="1">
      <c r="B45" s="7" t="str">
        <f>B21</f>
        <v>Selling &amp; marketing  expenses</v>
      </c>
      <c r="C45" s="31">
        <f t="shared" si="68"/>
        <v>0.16395429937892325</v>
      </c>
      <c r="D45" s="31">
        <f t="shared" si="68"/>
        <v>0.14894200197346782</v>
      </c>
      <c r="E45" s="31">
        <f t="shared" si="68"/>
        <v>0.13376407011256089</v>
      </c>
      <c r="F45" s="31">
        <f t="shared" si="68"/>
        <v>0.11373574333176424</v>
      </c>
      <c r="G45" s="31">
        <f t="shared" si="68"/>
        <v>7.6398539859739184E-2</v>
      </c>
      <c r="H45" s="31">
        <f>-H21/H$14</f>
        <v>6.1868465859363814E-2</v>
      </c>
      <c r="I45" s="31">
        <f>-I21/I$14</f>
        <v>4.7174339029838357E-2</v>
      </c>
      <c r="J45" s="31">
        <f>-J21/J$14</f>
        <v>4.9511643768878497E-2</v>
      </c>
      <c r="K45" s="31">
        <f>-K21/K$14</f>
        <v>5.0114182837309881E-2</v>
      </c>
      <c r="L45" s="31">
        <f t="shared" si="68"/>
        <v>5.3158730574749784E-2</v>
      </c>
      <c r="M45" s="57"/>
      <c r="N45" s="65"/>
      <c r="O45" s="65"/>
      <c r="P45" s="99"/>
      <c r="Q45" s="208">
        <f t="shared" ref="Q45:AB45" si="77">-Q21/Q$14</f>
        <v>0.15808659425680702</v>
      </c>
      <c r="R45" s="208">
        <f t="shared" si="77"/>
        <v>0.15848276828243207</v>
      </c>
      <c r="S45" s="208">
        <f t="shared" si="77"/>
        <v>0.15288355084376157</v>
      </c>
      <c r="T45" s="208">
        <f t="shared" si="77"/>
        <v>0.17700097100846157</v>
      </c>
      <c r="U45" s="208">
        <f t="shared" si="77"/>
        <v>0.16920005603810592</v>
      </c>
      <c r="V45" s="208">
        <f t="shared" si="77"/>
        <v>0.16325692781388981</v>
      </c>
      <c r="W45" s="208">
        <f t="shared" si="77"/>
        <v>0.15701094174941496</v>
      </c>
      <c r="X45" s="208">
        <f t="shared" si="77"/>
        <v>0.16686001546790408</v>
      </c>
      <c r="Y45" s="208">
        <f t="shared" si="77"/>
        <v>0.15992881606339401</v>
      </c>
      <c r="Z45" s="208">
        <f t="shared" si="77"/>
        <v>0.14837207798506258</v>
      </c>
      <c r="AA45" s="208">
        <f t="shared" si="77"/>
        <v>0.14094179202092871</v>
      </c>
      <c r="AB45" s="208">
        <f t="shared" si="77"/>
        <v>0.14772829509671614</v>
      </c>
      <c r="AC45" s="31">
        <f t="shared" ref="AC45:AI45" si="78">-AC21/AC$14</f>
        <v>0.1491907980405531</v>
      </c>
      <c r="AD45" s="31">
        <f t="shared" si="78"/>
        <v>0.14389089068223102</v>
      </c>
      <c r="AE45" s="31">
        <f t="shared" si="78"/>
        <v>0.12792127921279212</v>
      </c>
      <c r="AF45" s="31">
        <f t="shared" si="78"/>
        <v>0.11833514689880303</v>
      </c>
      <c r="AG45" s="31">
        <f t="shared" si="78"/>
        <v>0.11464245175936437</v>
      </c>
      <c r="AH45" s="31">
        <f t="shared" si="78"/>
        <v>0.1177710843373494</v>
      </c>
      <c r="AI45" s="31">
        <f t="shared" si="78"/>
        <v>0.10623395832427024</v>
      </c>
      <c r="AJ45" s="31">
        <f t="shared" si="71"/>
        <v>0.11660701656629735</v>
      </c>
      <c r="AK45" s="31">
        <f t="shared" si="71"/>
        <v>8.1863239247311842E-2</v>
      </c>
      <c r="AL45" s="31">
        <f t="shared" si="71"/>
        <v>8.4521664185536319E-2</v>
      </c>
      <c r="AM45" s="31">
        <f t="shared" si="71"/>
        <v>7.0662879963581435E-2</v>
      </c>
      <c r="AN45" s="31">
        <f t="shared" si="71"/>
        <v>7.0315039629889997E-2</v>
      </c>
      <c r="AO45" s="31">
        <f t="shared" si="72"/>
        <v>7.1043450681890261E-2</v>
      </c>
      <c r="AP45" s="31">
        <f t="shared" si="72"/>
        <v>6.6773271308814261E-2</v>
      </c>
      <c r="AQ45" s="31">
        <f t="shared" si="72"/>
        <v>5.3712672121939004E-2</v>
      </c>
      <c r="AR45" s="31">
        <f t="shared" si="73"/>
        <v>5.7572039857566072E-2</v>
      </c>
      <c r="AS45" s="31">
        <f t="shared" si="73"/>
        <v>5.2370725260201548E-2</v>
      </c>
      <c r="AT45" s="31">
        <f t="shared" si="73"/>
        <v>4.7357703028639925E-2</v>
      </c>
      <c r="AU45" s="31">
        <f t="shared" si="73"/>
        <v>3.8647378361196486E-2</v>
      </c>
      <c r="AV45" s="31">
        <f t="shared" si="74"/>
        <v>5.0903699744122892E-2</v>
      </c>
      <c r="AW45" s="31">
        <f t="shared" si="74"/>
        <v>4.5767584488596427E-2</v>
      </c>
      <c r="AX45" s="31">
        <f t="shared" si="74"/>
        <v>4.8407285659136913E-2</v>
      </c>
      <c r="AY45" s="31">
        <f t="shared" si="74"/>
        <v>4.5961331089358154E-2</v>
      </c>
      <c r="AZ45" s="31">
        <f t="shared" si="75"/>
        <v>5.6571836027139159E-2</v>
      </c>
      <c r="BA45" s="31">
        <f t="shared" si="75"/>
        <v>5.0559718657737396E-2</v>
      </c>
      <c r="BB45" s="31">
        <f t="shared" si="75"/>
        <v>4.6156928748897971E-2</v>
      </c>
      <c r="BC45" s="31">
        <f t="shared" si="75"/>
        <v>4.6627014912272384E-2</v>
      </c>
      <c r="BD45" s="31">
        <f t="shared" si="76"/>
        <v>5.6081536290489217E-2</v>
      </c>
      <c r="BE45" s="31">
        <f t="shared" si="76"/>
        <v>5.2776481492265104E-2</v>
      </c>
      <c r="BF45" s="31">
        <f t="shared" si="76"/>
        <v>4.9011081761145145E-2</v>
      </c>
      <c r="BG45" s="31">
        <f t="shared" si="76"/>
        <v>5.5063508286427733E-2</v>
      </c>
    </row>
    <row r="46" spans="2:59" s="5" customFormat="1" ht="13.5" customHeight="1">
      <c r="B46" s="7" t="str">
        <f>B23</f>
        <v>Other Operating Income / (Expense)</v>
      </c>
      <c r="C46" s="31">
        <f t="shared" ref="C46:L46" si="79">-C23/C$14</f>
        <v>6.3353150220864197E-3</v>
      </c>
      <c r="D46" s="31">
        <f t="shared" si="79"/>
        <v>1.7690729399971808E-2</v>
      </c>
      <c r="E46" s="31">
        <f t="shared" si="79"/>
        <v>1.6401131209049669E-2</v>
      </c>
      <c r="F46" s="31">
        <f t="shared" si="79"/>
        <v>3.9637933087947552E-2</v>
      </c>
      <c r="G46" s="31">
        <f>-G23/G$14</f>
        <v>6.5819966913193513E-3</v>
      </c>
      <c r="H46" s="31">
        <f>-H23/H$14</f>
        <v>1.3788329646897825E-2</v>
      </c>
      <c r="I46" s="31">
        <f>-I23/I$14</f>
        <v>1.7978745738100956E-2</v>
      </c>
      <c r="J46" s="31">
        <f>-J23/J$14</f>
        <v>-0.17843902506925013</v>
      </c>
      <c r="K46" s="31">
        <f>-K23/K$14</f>
        <v>-0.12622598995888901</v>
      </c>
      <c r="L46" s="31">
        <f t="shared" si="79"/>
        <v>-0.12278372925625966</v>
      </c>
      <c r="M46" s="57"/>
      <c r="N46" s="65"/>
      <c r="O46" s="65"/>
      <c r="P46" s="99"/>
      <c r="Q46" s="208">
        <f t="shared" ref="Q46:AB46" si="80">-Q23/Q$14</f>
        <v>1.1159053712245201E-4</v>
      </c>
      <c r="R46" s="208">
        <f t="shared" si="80"/>
        <v>7.2849537685626218E-3</v>
      </c>
      <c r="S46" s="208">
        <f t="shared" si="80"/>
        <v>7.3808165867078298E-4</v>
      </c>
      <c r="T46" s="208">
        <f t="shared" si="80"/>
        <v>1.2345679012345675E-2</v>
      </c>
      <c r="U46" s="208">
        <f t="shared" si="80"/>
        <v>1.2258335668254414E-3</v>
      </c>
      <c r="V46" s="208">
        <f t="shared" si="80"/>
        <v>3.1474512487170717E-2</v>
      </c>
      <c r="W46" s="208">
        <f t="shared" si="80"/>
        <v>-5.6289924735943324E-3</v>
      </c>
      <c r="X46" s="208">
        <f t="shared" si="80"/>
        <v>-4.5114720288734201E-4</v>
      </c>
      <c r="Y46" s="208">
        <f t="shared" si="80"/>
        <v>1.7795984151500906E-2</v>
      </c>
      <c r="Z46" s="208">
        <f t="shared" si="80"/>
        <v>3.9897830515050609E-2</v>
      </c>
      <c r="AA46" s="208">
        <f t="shared" si="80"/>
        <v>5.4700041619596875E-3</v>
      </c>
      <c r="AB46" s="208">
        <f t="shared" si="80"/>
        <v>9.3267356425251174E-3</v>
      </c>
      <c r="AC46" s="31">
        <f t="shared" ref="AC46:AI46" si="81">-AC23/AC$14</f>
        <v>3.4414336206361998E-3</v>
      </c>
      <c r="AD46" s="31">
        <f t="shared" si="81"/>
        <v>-4.1094666626961679E-3</v>
      </c>
      <c r="AE46" s="31">
        <f t="shared" si="81"/>
        <v>5.2644526445264447E-2</v>
      </c>
      <c r="AF46" s="31">
        <f t="shared" si="81"/>
        <v>1.09803145711742E-2</v>
      </c>
      <c r="AG46" s="31">
        <f t="shared" si="81"/>
        <v>-8.8831861027488534E-4</v>
      </c>
      <c r="AH46" s="31">
        <f t="shared" si="81"/>
        <v>8.5264133456904537E-3</v>
      </c>
      <c r="AI46" s="31">
        <f t="shared" si="81"/>
        <v>8.6788184626093012E-3</v>
      </c>
      <c r="AJ46" s="31">
        <f t="shared" ref="AJ46:AO46" si="82">-AJ23/AJ$14</f>
        <v>0.13413771672274488</v>
      </c>
      <c r="AK46" s="31">
        <f t="shared" si="82"/>
        <v>7.0144489247311835E-3</v>
      </c>
      <c r="AL46" s="31">
        <f t="shared" si="82"/>
        <v>5.9155370994280346E-3</v>
      </c>
      <c r="AM46" s="31">
        <f t="shared" si="82"/>
        <v>2.1201743676757645E-2</v>
      </c>
      <c r="AN46" s="31">
        <f t="shared" si="82"/>
        <v>-8.2480291694474409E-3</v>
      </c>
      <c r="AO46" s="31">
        <f t="shared" si="82"/>
        <v>9.1271099834372895E-3</v>
      </c>
      <c r="AP46" s="31">
        <f t="shared" ref="AP46:AU46" si="83">-AP23/AP$14</f>
        <v>1.1920337258322429E-2</v>
      </c>
      <c r="AQ46" s="31">
        <f t="shared" si="83"/>
        <v>1.4088569736902033E-2</v>
      </c>
      <c r="AR46" s="31">
        <f t="shared" si="83"/>
        <v>1.9180705586642328E-2</v>
      </c>
      <c r="AS46" s="31">
        <f t="shared" si="83"/>
        <v>1.4117717735758376E-2</v>
      </c>
      <c r="AT46" s="31">
        <f t="shared" si="83"/>
        <v>7.3802336833287607E-3</v>
      </c>
      <c r="AU46" s="31">
        <f t="shared" si="83"/>
        <v>1.4662451821831869E-3</v>
      </c>
      <c r="AV46" s="31">
        <f t="shared" ref="AV46:BA46" si="84">-AV23/AV$14</f>
        <v>4.6611727765477701E-2</v>
      </c>
      <c r="AW46" s="31">
        <f t="shared" si="84"/>
        <v>1.5460295151089247E-3</v>
      </c>
      <c r="AX46" s="31">
        <f t="shared" si="84"/>
        <v>3.4217329761473042E-2</v>
      </c>
      <c r="AY46" s="31">
        <f t="shared" si="84"/>
        <v>2.1569913856111988E-3</v>
      </c>
      <c r="AZ46" s="31">
        <f t="shared" si="84"/>
        <v>-0.66078769621684474</v>
      </c>
      <c r="BA46" s="31">
        <f t="shared" si="84"/>
        <v>-0.13970395182204495</v>
      </c>
      <c r="BB46" s="31">
        <f t="shared" ref="BB46:BG46" si="85">-BB23/BB$14</f>
        <v>-0.14932275386711549</v>
      </c>
      <c r="BC46" s="31">
        <f t="shared" si="85"/>
        <v>-2.3455775271957495E-3</v>
      </c>
      <c r="BD46" s="31">
        <f t="shared" si="85"/>
        <v>-0.21249312125899802</v>
      </c>
      <c r="BE46" s="31">
        <f t="shared" si="85"/>
        <v>-6.1969946731444528E-2</v>
      </c>
      <c r="BF46" s="31">
        <f t="shared" si="85"/>
        <v>-0.25359502186067234</v>
      </c>
      <c r="BG46" s="31">
        <f t="shared" si="85"/>
        <v>1.1296893708171902E-3</v>
      </c>
    </row>
    <row r="47" spans="2:59" s="5" customFormat="1" ht="13.5" customHeight="1">
      <c r="B47" s="7" t="str">
        <f>B24</f>
        <v>Operating profit before financing costs/ EBIT</v>
      </c>
      <c r="C47" s="31">
        <f t="shared" ref="C47:L48" si="86">C24/C$14</f>
        <v>0.16989106247301466</v>
      </c>
      <c r="D47" s="31">
        <f t="shared" si="86"/>
        <v>0.17595188497501835</v>
      </c>
      <c r="E47" s="31">
        <f t="shared" si="86"/>
        <v>0.15274122192977541</v>
      </c>
      <c r="F47" s="31">
        <f t="shared" si="86"/>
        <v>0.16631030903862831</v>
      </c>
      <c r="G47" s="31">
        <f t="shared" ref="G47:I48" si="87">G24/G$14</f>
        <v>0.20476064900862856</v>
      </c>
      <c r="H47" s="31">
        <f t="shared" si="87"/>
        <v>0.20022914246614582</v>
      </c>
      <c r="I47" s="31">
        <f t="shared" si="87"/>
        <v>0.19833626593906431</v>
      </c>
      <c r="J47" s="31">
        <f>J24/J$14</f>
        <v>0.39340980776993645</v>
      </c>
      <c r="K47" s="31">
        <f>K24/K$14</f>
        <v>0.35852429076533304</v>
      </c>
      <c r="L47" s="31">
        <f t="shared" si="86"/>
        <v>0.47627017904367225</v>
      </c>
      <c r="M47" s="57"/>
      <c r="N47" s="65"/>
      <c r="O47" s="65"/>
      <c r="P47" s="99"/>
      <c r="Q47" s="208">
        <f t="shared" ref="Q47:AB47" si="88">Q24/Q$14</f>
        <v>0.16623270346674607</v>
      </c>
      <c r="R47" s="208">
        <f t="shared" si="88"/>
        <v>0.16867469879518068</v>
      </c>
      <c r="S47" s="208">
        <f t="shared" si="88"/>
        <v>0.21082296104941767</v>
      </c>
      <c r="T47" s="208">
        <f t="shared" si="88"/>
        <v>0.11593147454570715</v>
      </c>
      <c r="U47" s="208">
        <f t="shared" si="88"/>
        <v>0.16958531801625099</v>
      </c>
      <c r="V47" s="208">
        <f t="shared" si="88"/>
        <v>0.14669859733150875</v>
      </c>
      <c r="W47" s="208">
        <f t="shared" si="88"/>
        <v>0.2103914995888938</v>
      </c>
      <c r="X47" s="208">
        <f t="shared" si="88"/>
        <v>0.15074761536478479</v>
      </c>
      <c r="Y47" s="208">
        <f t="shared" si="88"/>
        <v>0.16100329057820162</v>
      </c>
      <c r="Z47" s="208">
        <f t="shared" si="88"/>
        <v>0.14934204144977195</v>
      </c>
      <c r="AA47" s="208">
        <f t="shared" si="88"/>
        <v>0.21264641179618293</v>
      </c>
      <c r="AB47" s="208">
        <f t="shared" si="88"/>
        <v>0.1769680611785874</v>
      </c>
      <c r="AC47" s="31">
        <f t="shared" ref="AC47:AI47" si="89">AC24/AC$14</f>
        <v>0.16605692317231971</v>
      </c>
      <c r="AD47" s="31">
        <f t="shared" si="89"/>
        <v>0.14174682111908515</v>
      </c>
      <c r="AE47" s="31">
        <f t="shared" si="89"/>
        <v>0.12245455787891227</v>
      </c>
      <c r="AF47" s="31">
        <f t="shared" si="89"/>
        <v>0.17865268572559109</v>
      </c>
      <c r="AG47" s="31">
        <f t="shared" si="89"/>
        <v>0.19128460741252531</v>
      </c>
      <c r="AH47" s="31">
        <f t="shared" si="89"/>
        <v>0.18609823911028731</v>
      </c>
      <c r="AI47" s="31">
        <f t="shared" si="89"/>
        <v>0.20476791229825547</v>
      </c>
      <c r="AJ47" s="31">
        <f t="shared" ref="AJ47:AM48" si="90">AJ24/AJ$14</f>
        <v>8.8403591864726253E-2</v>
      </c>
      <c r="AK47" s="31">
        <f t="shared" si="90"/>
        <v>0.2118405577956988</v>
      </c>
      <c r="AL47" s="31">
        <f t="shared" si="90"/>
        <v>0.20720050144950239</v>
      </c>
      <c r="AM47" s="31">
        <f t="shared" si="90"/>
        <v>0.22325563349680308</v>
      </c>
      <c r="AN47" s="31">
        <f t="shared" ref="AN47:AP48" si="91">AN24/AN$14</f>
        <v>0.17749214200466168</v>
      </c>
      <c r="AO47" s="31">
        <f t="shared" si="91"/>
        <v>0.18522042499207111</v>
      </c>
      <c r="AP47" s="31">
        <f t="shared" si="91"/>
        <v>0.19595871492949563</v>
      </c>
      <c r="AQ47" s="31">
        <f t="shared" ref="AQ47:AT48" si="92">AQ24/AQ$14</f>
        <v>0.23504228089085902</v>
      </c>
      <c r="AR47" s="31">
        <f t="shared" si="92"/>
        <v>0.18262066489122955</v>
      </c>
      <c r="AS47" s="31">
        <f t="shared" si="92"/>
        <v>0.20170313743748408</v>
      </c>
      <c r="AT47" s="31">
        <f t="shared" si="92"/>
        <v>0.19087508485102317</v>
      </c>
      <c r="AU47" s="31">
        <f t="shared" ref="AU47:AW48" si="93">AU24/AU$14</f>
        <v>0.24395451659336956</v>
      </c>
      <c r="AV47" s="31">
        <f t="shared" si="93"/>
        <v>0.15772307882266828</v>
      </c>
      <c r="AW47" s="31">
        <f t="shared" si="93"/>
        <v>0.20934006260780694</v>
      </c>
      <c r="AX47" s="31">
        <f t="shared" ref="AX47:BA48" si="94">AX24/AX$14</f>
        <v>0.16735491267269512</v>
      </c>
      <c r="AY47" s="31">
        <f t="shared" si="94"/>
        <v>0.23433850749708707</v>
      </c>
      <c r="AZ47" s="31">
        <f t="shared" si="94"/>
        <v>0.87037714982543768</v>
      </c>
      <c r="BA47" s="31">
        <f t="shared" si="94"/>
        <v>0.34704006052912867</v>
      </c>
      <c r="BB47" s="31">
        <f t="shared" ref="BB47:BE48" si="95">BB24/BB$14</f>
        <v>0.35369880580267693</v>
      </c>
      <c r="BC47" s="31">
        <f t="shared" si="95"/>
        <v>0.24736635742626745</v>
      </c>
      <c r="BD47" s="31">
        <f t="shared" si="95"/>
        <v>0.47151878674622061</v>
      </c>
      <c r="BE47" s="31">
        <f t="shared" si="95"/>
        <v>0.64505762897564911</v>
      </c>
      <c r="BF47" s="31">
        <f>BF24/BF$14</f>
        <v>0.55543266145769554</v>
      </c>
      <c r="BG47" s="31">
        <f>BG24/BG$14</f>
        <v>0.30108206883195338</v>
      </c>
    </row>
    <row r="48" spans="2:59" s="5" customFormat="1" ht="13.5" customHeight="1">
      <c r="B48" s="7" t="str">
        <f>B25</f>
        <v>Net financial income / (expense)</v>
      </c>
      <c r="C48" s="31">
        <f t="shared" si="86"/>
        <v>-2.421202962569332E-2</v>
      </c>
      <c r="D48" s="31">
        <f t="shared" si="86"/>
        <v>-3.398750137046375E-3</v>
      </c>
      <c r="E48" s="31">
        <f t="shared" si="86"/>
        <v>-1.2096096768774147E-2</v>
      </c>
      <c r="F48" s="31">
        <f t="shared" si="86"/>
        <v>-1.8313190147515038E-2</v>
      </c>
      <c r="G48" s="31">
        <f t="shared" si="87"/>
        <v>-7.9233954718744531E-2</v>
      </c>
      <c r="H48" s="31">
        <f t="shared" si="87"/>
        <v>-6.9351399519437321E-2</v>
      </c>
      <c r="I48" s="31">
        <f t="shared" si="87"/>
        <v>-3.935759613603855E-2</v>
      </c>
      <c r="J48" s="31">
        <f>J25/J$14</f>
        <v>-0.2669902980192369</v>
      </c>
      <c r="K48" s="31">
        <f>K25/K$14</f>
        <v>-0.21865051922380913</v>
      </c>
      <c r="L48" s="31">
        <f t="shared" si="86"/>
        <v>-0.27263594349584924</v>
      </c>
      <c r="M48" s="57"/>
      <c r="N48" s="65"/>
      <c r="O48" s="65"/>
      <c r="P48" s="99"/>
      <c r="Q48" s="208">
        <f t="shared" ref="Q48:AB48" si="96">Q25/Q$14</f>
        <v>4.8095521499776812E-2</v>
      </c>
      <c r="R48" s="208">
        <f t="shared" si="96"/>
        <v>4.8613056878677514E-2</v>
      </c>
      <c r="S48" s="208">
        <f t="shared" si="96"/>
        <v>4.6130103666923869E-2</v>
      </c>
      <c r="T48" s="208">
        <f t="shared" si="96"/>
        <v>5.1914273824386174E-2</v>
      </c>
      <c r="U48" s="208">
        <f t="shared" si="96"/>
        <v>-0.10622723451947323</v>
      </c>
      <c r="V48" s="208">
        <f t="shared" si="96"/>
        <v>1.5942524803284265E-2</v>
      </c>
      <c r="W48" s="208">
        <f t="shared" si="96"/>
        <v>4.4905445575864941E-2</v>
      </c>
      <c r="X48" s="208">
        <f t="shared" si="96"/>
        <v>-5.7005671564836304E-2</v>
      </c>
      <c r="Y48" s="208">
        <f t="shared" si="96"/>
        <v>-0.16231280639312337</v>
      </c>
      <c r="Z48" s="208">
        <f t="shared" si="96"/>
        <v>0.12839083061204698</v>
      </c>
      <c r="AA48" s="208">
        <f t="shared" si="96"/>
        <v>9.037398180629052E-3</v>
      </c>
      <c r="AB48" s="208">
        <f t="shared" si="96"/>
        <v>3.748687959214275E-3</v>
      </c>
      <c r="AC48" s="31">
        <f t="shared" ref="AC48:AI48" si="97">AC25/AC$14</f>
        <v>5.1528492590066345E-2</v>
      </c>
      <c r="AD48" s="31">
        <f t="shared" si="97"/>
        <v>6.4917661773026452E-3</v>
      </c>
      <c r="AE48" s="31">
        <f t="shared" si="97"/>
        <v>-4.441711083777504E-2</v>
      </c>
      <c r="AF48" s="31">
        <f t="shared" si="97"/>
        <v>-4.9040458996933441E-2</v>
      </c>
      <c r="AG48" s="31">
        <f t="shared" si="97"/>
        <v>-3.61743078517495E-2</v>
      </c>
      <c r="AH48" s="31">
        <f t="shared" si="97"/>
        <v>2.2196478220574609E-2</v>
      </c>
      <c r="AI48" s="31">
        <f t="shared" si="97"/>
        <v>-3.597685648409972E-2</v>
      </c>
      <c r="AJ48" s="31">
        <f t="shared" si="90"/>
        <v>-2.2845631255223826E-2</v>
      </c>
      <c r="AK48" s="31">
        <f t="shared" si="90"/>
        <v>-6.5839213709677422E-2</v>
      </c>
      <c r="AL48" s="31">
        <f t="shared" si="90"/>
        <v>-9.5275405468933635E-2</v>
      </c>
      <c r="AM48" s="31">
        <f t="shared" si="90"/>
        <v>-0.14986118870748583</v>
      </c>
      <c r="AN48" s="31">
        <f t="shared" si="91"/>
        <v>-3.2180234908961249E-3</v>
      </c>
      <c r="AO48" s="31">
        <f t="shared" si="91"/>
        <v>-7.3933114846530631E-2</v>
      </c>
      <c r="AP48" s="31">
        <f t="shared" si="91"/>
        <v>-9.2196863239165885E-2</v>
      </c>
      <c r="AQ48" s="31">
        <f t="shared" si="92"/>
        <v>-7.8899026856336069E-2</v>
      </c>
      <c r="AR48" s="31">
        <f t="shared" si="92"/>
        <v>-3.4890331847152803E-2</v>
      </c>
      <c r="AS48" s="31">
        <f t="shared" si="92"/>
        <v>-3.3732334079269476E-2</v>
      </c>
      <c r="AT48" s="31">
        <f t="shared" si="92"/>
        <v>-3.376709657851789E-2</v>
      </c>
      <c r="AU48" s="31">
        <f t="shared" si="93"/>
        <v>-3.9216698775640831E-2</v>
      </c>
      <c r="AV48" s="31">
        <f t="shared" si="93"/>
        <v>-4.9169482398621255E-2</v>
      </c>
      <c r="AW48" s="31">
        <f t="shared" si="93"/>
        <v>-2.4199833897655388E-2</v>
      </c>
      <c r="AX48" s="31">
        <f t="shared" si="94"/>
        <v>-6.4831603944643976E-2</v>
      </c>
      <c r="AY48" s="31">
        <f t="shared" si="94"/>
        <v>-3.8626790673270593E-2</v>
      </c>
      <c r="AZ48" s="31">
        <f t="shared" si="94"/>
        <v>-0.83260839680882037</v>
      </c>
      <c r="BA48" s="31">
        <f t="shared" si="94"/>
        <v>-0.28629026828945375</v>
      </c>
      <c r="BB48" s="31">
        <f t="shared" si="95"/>
        <v>-0.21085132644065074</v>
      </c>
      <c r="BC48" s="31">
        <f t="shared" si="95"/>
        <v>-4.9796463587657394E-2</v>
      </c>
      <c r="BD48" s="31">
        <f t="shared" si="95"/>
        <v>-0.3339411619186915</v>
      </c>
      <c r="BE48" s="31">
        <f t="shared" si="95"/>
        <v>-0.12142887490739968</v>
      </c>
      <c r="BF48" s="31">
        <f>BF25/BF$14</f>
        <v>-0.51918728301502837</v>
      </c>
      <c r="BG48" s="31">
        <f>BG25/BG$14</f>
        <v>-0.12992716573617205</v>
      </c>
    </row>
    <row r="49" spans="1:59" s="5" customFormat="1" ht="13.5" customHeight="1">
      <c r="B49" s="7" t="s">
        <v>448</v>
      </c>
      <c r="C49" s="31">
        <f t="shared" ref="C49:L49" si="98">-C26/C137</f>
        <v>0.34098279609174098</v>
      </c>
      <c r="D49" s="31">
        <f t="shared" si="98"/>
        <v>0.19161624407235928</v>
      </c>
      <c r="E49" s="31">
        <f t="shared" si="98"/>
        <v>0.12715441247181763</v>
      </c>
      <c r="F49" s="31">
        <f t="shared" si="98"/>
        <v>0.11385250602391973</v>
      </c>
      <c r="G49" s="31">
        <f t="shared" si="98"/>
        <v>0.19310529112552835</v>
      </c>
      <c r="H49" s="31">
        <f>-H26/H137</f>
        <v>0.10787489388830741</v>
      </c>
      <c r="I49" s="31">
        <f>-I26/I137</f>
        <v>0.16683299520267725</v>
      </c>
      <c r="J49" s="31">
        <f>-J26/J137</f>
        <v>0.38957276200105645</v>
      </c>
      <c r="K49" s="31">
        <f>-K26/K137</f>
        <v>0.26968599593233106</v>
      </c>
      <c r="L49" s="31">
        <f t="shared" si="98"/>
        <v>0.3232976108713263</v>
      </c>
      <c r="M49" s="57"/>
      <c r="N49" s="65"/>
      <c r="O49" s="65"/>
      <c r="P49" s="99"/>
      <c r="Q49" s="184"/>
      <c r="R49" s="184"/>
      <c r="S49" s="184"/>
      <c r="T49" s="184"/>
      <c r="U49" s="184"/>
      <c r="V49" s="184"/>
      <c r="W49" s="184"/>
      <c r="X49" s="184"/>
      <c r="Y49" s="184"/>
      <c r="Z49" s="184"/>
      <c r="AA49" s="184"/>
      <c r="AB49" s="184"/>
      <c r="AC49" s="31">
        <f t="shared" ref="AC49:AV49" si="99">-SUM(Z26:AC26)/AC137</f>
        <v>2.9769728145749377E-2</v>
      </c>
      <c r="AD49" s="31">
        <f t="shared" si="99"/>
        <v>6.5901439701414738E-2</v>
      </c>
      <c r="AE49" s="31">
        <f t="shared" si="99"/>
        <v>8.4349266423130273E-2</v>
      </c>
      <c r="AF49" s="31">
        <f t="shared" si="99"/>
        <v>0.12715441247181763</v>
      </c>
      <c r="AG49" s="31">
        <f t="shared" si="99"/>
        <v>0.14332172895798348</v>
      </c>
      <c r="AH49" s="31">
        <f t="shared" si="99"/>
        <v>0.13781410553971254</v>
      </c>
      <c r="AI49" s="31">
        <f t="shared" si="99"/>
        <v>0.12930386102598784</v>
      </c>
      <c r="AJ49" s="31">
        <f t="shared" si="99"/>
        <v>0.11384445023208334</v>
      </c>
      <c r="AK49" s="31">
        <f t="shared" si="99"/>
        <v>0.13282623886731801</v>
      </c>
      <c r="AL49" s="31">
        <f t="shared" si="99"/>
        <v>0.17261908365203679</v>
      </c>
      <c r="AM49" s="31">
        <f t="shared" si="99"/>
        <v>0.24795338996562008</v>
      </c>
      <c r="AN49" s="31">
        <f t="shared" si="99"/>
        <v>0.19310529112552832</v>
      </c>
      <c r="AO49" s="31">
        <f t="shared" si="99"/>
        <v>0.17915708924397081</v>
      </c>
      <c r="AP49" s="31">
        <f t="shared" si="99"/>
        <v>0.1438749743899812</v>
      </c>
      <c r="AQ49" s="31">
        <f t="shared" si="99"/>
        <v>3.1700432644284016E-2</v>
      </c>
      <c r="AR49" s="31">
        <f t="shared" si="99"/>
        <v>0.10787489388830741</v>
      </c>
      <c r="AS49" s="31">
        <f t="shared" si="99"/>
        <v>0.10348662111020508</v>
      </c>
      <c r="AT49" s="31">
        <f t="shared" si="99"/>
        <v>0.12209631700166611</v>
      </c>
      <c r="AU49" s="31">
        <f t="shared" si="99"/>
        <v>0.16348610741692804</v>
      </c>
      <c r="AV49" s="31">
        <f t="shared" si="99"/>
        <v>0.16683299520267728</v>
      </c>
      <c r="AW49" s="31">
        <f t="shared" ref="AW49:BG49" si="100">-SUM(AT26:AW26)/AW137</f>
        <v>0.18620891606261106</v>
      </c>
      <c r="AX49" s="31">
        <f t="shared" si="100"/>
        <v>0.15981231355399753</v>
      </c>
      <c r="AY49" s="31">
        <f t="shared" si="100"/>
        <v>9.4737885047380024E-2</v>
      </c>
      <c r="AZ49" s="31">
        <f t="shared" si="100"/>
        <v>0.38957276200105645</v>
      </c>
      <c r="BA49" s="31">
        <f t="shared" si="100"/>
        <v>0.38280296101611838</v>
      </c>
      <c r="BB49" s="31">
        <f t="shared" si="100"/>
        <v>0.41359412627266795</v>
      </c>
      <c r="BC49" s="31">
        <f t="shared" si="100"/>
        <v>0.39278287672021439</v>
      </c>
      <c r="BD49" s="31">
        <f t="shared" si="100"/>
        <v>0.26968599593233106</v>
      </c>
      <c r="BE49" s="31">
        <f t="shared" si="100"/>
        <v>0.23047406334269882</v>
      </c>
      <c r="BF49" s="31">
        <f t="shared" si="100"/>
        <v>0.30516378389621357</v>
      </c>
      <c r="BG49" s="31">
        <f t="shared" si="100"/>
        <v>0.3232976108713263</v>
      </c>
    </row>
    <row r="50" spans="1:59" s="29" customFormat="1" ht="13.5" customHeight="1">
      <c r="B50" s="7" t="s">
        <v>449</v>
      </c>
      <c r="C50" s="31">
        <f t="shared" ref="C50:L50" si="101">C27/C141</f>
        <v>0.10578084454389955</v>
      </c>
      <c r="D50" s="31">
        <f t="shared" si="101"/>
        <v>0.25904516793910914</v>
      </c>
      <c r="E50" s="31">
        <f t="shared" si="101"/>
        <v>0.17593160477116995</v>
      </c>
      <c r="F50" s="31">
        <f t="shared" si="101"/>
        <v>0.23139281540587225</v>
      </c>
      <c r="G50" s="31">
        <f t="shared" si="101"/>
        <v>0.26041754417130919</v>
      </c>
      <c r="H50" s="31">
        <f>H27/H141</f>
        <v>2.9056380610262129E-2</v>
      </c>
      <c r="I50" s="31">
        <f>I27/I141</f>
        <v>0.17870015357628713</v>
      </c>
      <c r="J50" s="31">
        <f>J27/J141</f>
        <v>0.18878735046695516</v>
      </c>
      <c r="K50" s="31">
        <f>K27/K141</f>
        <v>7.6740938130226824E-2</v>
      </c>
      <c r="L50" s="31">
        <f t="shared" si="101"/>
        <v>9.3915036508910338E-2</v>
      </c>
      <c r="M50" s="57"/>
      <c r="N50" s="65"/>
      <c r="O50" s="65"/>
      <c r="P50" s="99"/>
      <c r="Q50" s="184"/>
      <c r="R50" s="184"/>
      <c r="S50" s="184"/>
      <c r="T50" s="184"/>
      <c r="U50" s="184"/>
      <c r="V50" s="184"/>
      <c r="W50" s="184"/>
      <c r="X50" s="184"/>
      <c r="Y50" s="184"/>
      <c r="Z50" s="184"/>
      <c r="AA50" s="184"/>
      <c r="AB50" s="184"/>
      <c r="AC50" s="31">
        <f t="shared" ref="AC50:AV50" si="102">SUM(Z27:AC27)/AC141</f>
        <v>0.28742330753263151</v>
      </c>
      <c r="AD50" s="31">
        <f t="shared" si="102"/>
        <v>0.18896826457997737</v>
      </c>
      <c r="AE50" s="31">
        <f t="shared" si="102"/>
        <v>0.12829856514242755</v>
      </c>
      <c r="AF50" s="31">
        <f t="shared" si="102"/>
        <v>0.17593160477116995</v>
      </c>
      <c r="AG50" s="31">
        <f t="shared" si="102"/>
        <v>0.16201844818231143</v>
      </c>
      <c r="AH50" s="31">
        <f t="shared" si="102"/>
        <v>0.22514680592865899</v>
      </c>
      <c r="AI50" s="31">
        <f t="shared" si="102"/>
        <v>0.22684388615983264</v>
      </c>
      <c r="AJ50" s="31">
        <f t="shared" si="102"/>
        <v>0.23139281540587225</v>
      </c>
      <c r="AK50" s="31">
        <f t="shared" si="102"/>
        <v>0.29494598067741051</v>
      </c>
      <c r="AL50" s="31">
        <f t="shared" si="102"/>
        <v>0.26743953023738803</v>
      </c>
      <c r="AM50" s="31">
        <f t="shared" si="102"/>
        <v>0.4148109236613991</v>
      </c>
      <c r="AN50" s="31">
        <f t="shared" si="102"/>
        <v>0.26041754417130919</v>
      </c>
      <c r="AO50" s="31">
        <f t="shared" si="102"/>
        <v>0.23067530383649154</v>
      </c>
      <c r="AP50" s="31">
        <f t="shared" si="102"/>
        <v>9.9937005999589004E-2</v>
      </c>
      <c r="AQ50" s="31">
        <f t="shared" si="102"/>
        <v>-8.4321438652431427E-2</v>
      </c>
      <c r="AR50" s="31">
        <f t="shared" si="102"/>
        <v>2.9056380610262132E-2</v>
      </c>
      <c r="AS50" s="31">
        <f t="shared" si="102"/>
        <v>3.6473510841371161E-2</v>
      </c>
      <c r="AT50" s="31">
        <f t="shared" si="102"/>
        <v>9.5396719417898831E-2</v>
      </c>
      <c r="AU50" s="31">
        <f t="shared" si="102"/>
        <v>0.17987445510464528</v>
      </c>
      <c r="AV50" s="31">
        <f t="shared" si="102"/>
        <v>0.17870015357628713</v>
      </c>
      <c r="AW50" s="31">
        <f t="shared" ref="AW50:BG50" si="103">SUM(AT27:AW27)/AW141</f>
        <v>0.2309770721269522</v>
      </c>
      <c r="AX50" s="31">
        <f t="shared" si="103"/>
        <v>0.16504924413399139</v>
      </c>
      <c r="AY50" s="31">
        <f t="shared" si="103"/>
        <v>5.1346612528894976E-2</v>
      </c>
      <c r="AZ50" s="31">
        <f t="shared" si="103"/>
        <v>0.18878735046695519</v>
      </c>
      <c r="BA50" s="31">
        <f t="shared" si="103"/>
        <v>0.1056758682394402</v>
      </c>
      <c r="BB50" s="31">
        <f t="shared" si="103"/>
        <v>0.1869564491917875</v>
      </c>
      <c r="BC50" s="31">
        <f t="shared" si="103"/>
        <v>0.17525325109917864</v>
      </c>
      <c r="BD50" s="31">
        <f t="shared" si="103"/>
        <v>7.6740938130226824E-2</v>
      </c>
      <c r="BE50" s="31">
        <f t="shared" si="103"/>
        <v>7.0458190119113764E-2</v>
      </c>
      <c r="BF50" s="31">
        <f t="shared" si="103"/>
        <v>8.3520090976647393E-2</v>
      </c>
      <c r="BG50" s="31">
        <f t="shared" si="103"/>
        <v>9.3915036508910338E-2</v>
      </c>
    </row>
    <row r="51" spans="1:59" s="29" customFormat="1" ht="13.5" customHeight="1">
      <c r="B51" s="7" t="str">
        <f t="shared" ref="B51:B57" si="104">B29</f>
        <v>Monetary gain/(loss)</v>
      </c>
      <c r="C51" s="31">
        <f t="shared" ref="C51:E52" si="105">C29/C$14</f>
        <v>1.7029791756617625E-2</v>
      </c>
      <c r="D51" s="31">
        <f t="shared" si="105"/>
        <v>0</v>
      </c>
      <c r="E51" s="31">
        <f t="shared" si="105"/>
        <v>0</v>
      </c>
      <c r="F51" s="31">
        <f>F29/F$14</f>
        <v>0</v>
      </c>
      <c r="G51" s="31">
        <f>G29/G$14</f>
        <v>0</v>
      </c>
      <c r="H51" s="31">
        <f t="shared" ref="H51:J52" si="106">H29/H$14</f>
        <v>0</v>
      </c>
      <c r="I51" s="31">
        <f t="shared" si="106"/>
        <v>0</v>
      </c>
      <c r="J51" s="31">
        <f t="shared" si="106"/>
        <v>0</v>
      </c>
      <c r="K51" s="31">
        <f>K29/K$14</f>
        <v>0</v>
      </c>
      <c r="L51" s="31">
        <f>L29/L$14</f>
        <v>5.2681640943284508E-2</v>
      </c>
      <c r="M51" s="57"/>
      <c r="N51" s="65"/>
      <c r="O51" s="65"/>
      <c r="P51" s="99"/>
      <c r="Q51" s="208">
        <f t="shared" ref="Q51:AB51" si="107">Q29/Q$14</f>
        <v>1.9900312453503943E-2</v>
      </c>
      <c r="R51" s="208">
        <f t="shared" si="107"/>
        <v>7.1098346875875604E-3</v>
      </c>
      <c r="S51" s="208">
        <f t="shared" si="107"/>
        <v>1.0266044888784517E-2</v>
      </c>
      <c r="T51" s="208">
        <f t="shared" si="107"/>
        <v>2.5142183381883752E-2</v>
      </c>
      <c r="U51" s="208">
        <f t="shared" si="107"/>
        <v>2.2590361445783132E-2</v>
      </c>
      <c r="V51" s="208">
        <f t="shared" si="107"/>
        <v>2.0526855969893943E-2</v>
      </c>
      <c r="W51" s="208">
        <f t="shared" si="107"/>
        <v>1.5274176206438559E-2</v>
      </c>
      <c r="X51" s="208">
        <f t="shared" si="107"/>
        <v>1.0408610466615101E-2</v>
      </c>
      <c r="Y51" s="208">
        <f t="shared" si="107"/>
        <v>0</v>
      </c>
      <c r="Z51" s="208">
        <f t="shared" si="107"/>
        <v>0</v>
      </c>
      <c r="AA51" s="208">
        <f t="shared" si="107"/>
        <v>0</v>
      </c>
      <c r="AB51" s="208">
        <f t="shared" si="107"/>
        <v>0</v>
      </c>
      <c r="AC51" s="31">
        <f t="shared" ref="AC51:AI51" si="108">AC29/AC$14</f>
        <v>0</v>
      </c>
      <c r="AD51" s="31">
        <f t="shared" si="108"/>
        <v>0</v>
      </c>
      <c r="AE51" s="31">
        <f t="shared" si="108"/>
        <v>0</v>
      </c>
      <c r="AF51" s="31">
        <f t="shared" si="108"/>
        <v>0</v>
      </c>
      <c r="AG51" s="31">
        <f t="shared" si="108"/>
        <v>0</v>
      </c>
      <c r="AH51" s="31">
        <f t="shared" si="108"/>
        <v>0</v>
      </c>
      <c r="AI51" s="31">
        <f t="shared" si="108"/>
        <v>0</v>
      </c>
      <c r="AJ51" s="31">
        <f t="shared" ref="AJ51:AL52" si="109">AJ29/AJ$14</f>
        <v>0</v>
      </c>
      <c r="AK51" s="31">
        <f t="shared" si="109"/>
        <v>0</v>
      </c>
      <c r="AL51" s="31">
        <f t="shared" si="109"/>
        <v>0</v>
      </c>
      <c r="AM51" s="31">
        <f t="shared" ref="AM51:AO52" si="110">AM29/AM$14</f>
        <v>0</v>
      </c>
      <c r="AN51" s="31">
        <f t="shared" si="110"/>
        <v>0</v>
      </c>
      <c r="AO51" s="31">
        <f t="shared" si="110"/>
        <v>0</v>
      </c>
      <c r="AP51" s="31">
        <f t="shared" ref="AP51:AS52" si="111">AP29/AP$14</f>
        <v>0</v>
      </c>
      <c r="AQ51" s="31">
        <f t="shared" si="111"/>
        <v>0</v>
      </c>
      <c r="AR51" s="31">
        <f t="shared" si="111"/>
        <v>0</v>
      </c>
      <c r="AS51" s="31">
        <f t="shared" si="111"/>
        <v>0</v>
      </c>
      <c r="AT51" s="31">
        <f t="shared" ref="AT51:AV52" si="112">AT29/AT$14</f>
        <v>0</v>
      </c>
      <c r="AU51" s="31">
        <f t="shared" si="112"/>
        <v>0</v>
      </c>
      <c r="AV51" s="31">
        <f t="shared" si="112"/>
        <v>0</v>
      </c>
      <c r="AW51" s="31">
        <f t="shared" ref="AW51:AZ52" si="113">AW29/AW$14</f>
        <v>0</v>
      </c>
      <c r="AX51" s="31">
        <f t="shared" si="113"/>
        <v>0</v>
      </c>
      <c r="AY51" s="31">
        <f t="shared" si="113"/>
        <v>0</v>
      </c>
      <c r="AZ51" s="31">
        <f t="shared" si="113"/>
        <v>0</v>
      </c>
      <c r="BA51" s="31">
        <f t="shared" ref="BA51:BD52" si="114">BA29/BA$14</f>
        <v>2.7974058196827384E-2</v>
      </c>
      <c r="BB51" s="31">
        <f t="shared" si="114"/>
        <v>0</v>
      </c>
      <c r="BC51" s="31">
        <f t="shared" si="114"/>
        <v>0</v>
      </c>
      <c r="BD51" s="31">
        <f t="shared" si="114"/>
        <v>-1.8647659931624271E-2</v>
      </c>
      <c r="BE51" s="31">
        <f t="shared" ref="BE51:BG52" si="115">BE29/BE$14</f>
        <v>2.9525943081958651E-2</v>
      </c>
      <c r="BF51" s="31">
        <f t="shared" si="115"/>
        <v>0.13262812433302679</v>
      </c>
      <c r="BG51" s="31">
        <f t="shared" si="115"/>
        <v>4.5507468822550821E-2</v>
      </c>
    </row>
    <row r="52" spans="1:59" s="29" customFormat="1" ht="13.5" customHeight="1">
      <c r="B52" s="7" t="str">
        <f t="shared" si="104"/>
        <v>Income before tax and non-controlling interest</v>
      </c>
      <c r="C52" s="31">
        <f t="shared" si="105"/>
        <v>0.16270882460393896</v>
      </c>
      <c r="D52" s="31">
        <f t="shared" si="105"/>
        <v>0.17255313483797197</v>
      </c>
      <c r="E52" s="31">
        <f t="shared" si="105"/>
        <v>0.14064512516100125</v>
      </c>
      <c r="F52" s="31">
        <f>F30/F$14</f>
        <v>0.14799711889111328</v>
      </c>
      <c r="G52" s="31">
        <f>G30/G$14</f>
        <v>0.12552669428988403</v>
      </c>
      <c r="H52" s="31">
        <f t="shared" si="106"/>
        <v>0.13087774294670848</v>
      </c>
      <c r="I52" s="31">
        <f t="shared" si="106"/>
        <v>0.15897866980302575</v>
      </c>
      <c r="J52" s="31">
        <f t="shared" si="106"/>
        <v>0.12641950975069954</v>
      </c>
      <c r="K52" s="31">
        <f>K30/K$14</f>
        <v>0.13987377154152392</v>
      </c>
      <c r="L52" s="31">
        <f>L30/L$14</f>
        <v>0.25631587649110749</v>
      </c>
      <c r="M52" s="57"/>
      <c r="N52" s="65"/>
      <c r="O52" s="65"/>
      <c r="P52" s="99"/>
      <c r="Q52" s="208">
        <f t="shared" ref="Q52:AB52" si="116">Q30/Q$14</f>
        <v>0.23422853742002683</v>
      </c>
      <c r="R52" s="208">
        <f t="shared" si="116"/>
        <v>0.22439759036144574</v>
      </c>
      <c r="S52" s="208">
        <f t="shared" si="116"/>
        <v>0.26721910960512607</v>
      </c>
      <c r="T52" s="208">
        <f t="shared" si="116"/>
        <v>0.19298793175197707</v>
      </c>
      <c r="U52" s="208">
        <f t="shared" si="116"/>
        <v>8.5948444942560903E-2</v>
      </c>
      <c r="V52" s="208">
        <f t="shared" si="116"/>
        <v>0.18316797810468696</v>
      </c>
      <c r="W52" s="208">
        <f t="shared" si="116"/>
        <v>0.27057112137119732</v>
      </c>
      <c r="X52" s="208">
        <f t="shared" si="116"/>
        <v>0.10415055426656358</v>
      </c>
      <c r="Y52" s="208">
        <f t="shared" si="116"/>
        <v>-1.3095158149217764E-3</v>
      </c>
      <c r="Z52" s="208">
        <f t="shared" si="116"/>
        <v>0.2777328720618189</v>
      </c>
      <c r="AA52" s="208">
        <f t="shared" si="116"/>
        <v>0.22168380997681197</v>
      </c>
      <c r="AB52" s="208">
        <f t="shared" si="116"/>
        <v>0.18071674913780167</v>
      </c>
      <c r="AC52" s="31">
        <f t="shared" ref="AC52:AI52" si="117">AC30/AC$14</f>
        <v>0.21758541576238605</v>
      </c>
      <c r="AD52" s="31">
        <f t="shared" si="117"/>
        <v>0.14823858729638781</v>
      </c>
      <c r="AE52" s="31">
        <f t="shared" si="117"/>
        <v>7.8037447041137228E-2</v>
      </c>
      <c r="AF52" s="31">
        <f t="shared" si="117"/>
        <v>0.12961222672865766</v>
      </c>
      <c r="AG52" s="31">
        <f t="shared" si="117"/>
        <v>0.15511029956077579</v>
      </c>
      <c r="AH52" s="31">
        <f t="shared" si="117"/>
        <v>0.20829471733086191</v>
      </c>
      <c r="AI52" s="31">
        <f t="shared" si="117"/>
        <v>0.16879105581415574</v>
      </c>
      <c r="AJ52" s="31">
        <f t="shared" si="109"/>
        <v>6.5557960609502433E-2</v>
      </c>
      <c r="AK52" s="31">
        <f t="shared" si="109"/>
        <v>0.14600134408602139</v>
      </c>
      <c r="AL52" s="31">
        <f t="shared" si="109"/>
        <v>0.11192509598056874</v>
      </c>
      <c r="AM52" s="31">
        <f t="shared" si="110"/>
        <v>7.3394444789317254E-2</v>
      </c>
      <c r="AN52" s="31">
        <f t="shared" si="110"/>
        <v>0.17427411851376554</v>
      </c>
      <c r="AO52" s="31">
        <f t="shared" si="110"/>
        <v>0.1112873101455405</v>
      </c>
      <c r="AP52" s="31">
        <f t="shared" si="111"/>
        <v>0.10376185169032975</v>
      </c>
      <c r="AQ52" s="31">
        <f t="shared" si="111"/>
        <v>0.15614325403452295</v>
      </c>
      <c r="AR52" s="31">
        <f t="shared" si="111"/>
        <v>0.14773033304407676</v>
      </c>
      <c r="AS52" s="31">
        <f t="shared" si="111"/>
        <v>0.1679708033582146</v>
      </c>
      <c r="AT52" s="31">
        <f t="shared" si="112"/>
        <v>0.15710798827250527</v>
      </c>
      <c r="AU52" s="31">
        <f t="shared" si="112"/>
        <v>0.20473781781772873</v>
      </c>
      <c r="AV52" s="31">
        <f t="shared" si="112"/>
        <v>0.10855359642404702</v>
      </c>
      <c r="AW52" s="31">
        <f t="shared" si="113"/>
        <v>0.18514022871015157</v>
      </c>
      <c r="AX52" s="31">
        <f t="shared" si="113"/>
        <v>0.10252330872805113</v>
      </c>
      <c r="AY52" s="31">
        <f t="shared" si="113"/>
        <v>0.19571171682381647</v>
      </c>
      <c r="AZ52" s="31">
        <f t="shared" si="113"/>
        <v>3.7768753016617258E-2</v>
      </c>
      <c r="BA52" s="31">
        <f t="shared" si="114"/>
        <v>8.8723850436502286E-2</v>
      </c>
      <c r="BB52" s="31">
        <f t="shared" si="114"/>
        <v>0.14284747936202621</v>
      </c>
      <c r="BC52" s="31">
        <f t="shared" si="114"/>
        <v>0.19756989383861007</v>
      </c>
      <c r="BD52" s="31">
        <f t="shared" si="114"/>
        <v>0.11892996489590482</v>
      </c>
      <c r="BE52" s="31">
        <f t="shared" si="115"/>
        <v>0.55315469715020804</v>
      </c>
      <c r="BF52" s="31">
        <f t="shared" si="115"/>
        <v>0.16887350277569393</v>
      </c>
      <c r="BG52" s="31">
        <f t="shared" si="115"/>
        <v>0.21666237191833215</v>
      </c>
    </row>
    <row r="53" spans="1:59" s="29" customFormat="1" ht="13.5" customHeight="1">
      <c r="B53" s="7" t="s">
        <v>450</v>
      </c>
      <c r="C53" s="31">
        <f t="shared" ref="C53:L53" si="118">-C31/C30</f>
        <v>0.37272912839354988</v>
      </c>
      <c r="D53" s="31">
        <f t="shared" si="118"/>
        <v>0.30275937187982221</v>
      </c>
      <c r="E53" s="31">
        <f t="shared" si="118"/>
        <v>0.21063109695401158</v>
      </c>
      <c r="F53" s="31">
        <f t="shared" si="118"/>
        <v>0.21912243724851518</v>
      </c>
      <c r="G53" s="31">
        <f t="shared" si="118"/>
        <v>0.18538080660766693</v>
      </c>
      <c r="H53" s="31">
        <f>-H31/H30</f>
        <v>0.2387914526277394</v>
      </c>
      <c r="I53" s="31">
        <f>-I31/I30</f>
        <v>8.3683298806864675E-2</v>
      </c>
      <c r="J53" s="31">
        <f>-J31/J30</f>
        <v>-0.10794503123945721</v>
      </c>
      <c r="K53" s="31">
        <f>-K31/K30</f>
        <v>-0.46656207799459415</v>
      </c>
      <c r="L53" s="31">
        <f t="shared" si="118"/>
        <v>-0.12993356451398924</v>
      </c>
      <c r="M53" s="57"/>
      <c r="N53" s="65"/>
      <c r="O53" s="65"/>
      <c r="P53" s="99"/>
      <c r="Q53" s="208">
        <f t="shared" ref="Q53:AB53" si="119">-Q31/Q30</f>
        <v>0.21772272510719384</v>
      </c>
      <c r="R53" s="208">
        <f t="shared" si="119"/>
        <v>0.22771968159825198</v>
      </c>
      <c r="S53" s="208">
        <f t="shared" si="119"/>
        <v>0.2371625863151289</v>
      </c>
      <c r="T53" s="208">
        <f t="shared" si="119"/>
        <v>0.21473495058400674</v>
      </c>
      <c r="U53" s="208">
        <f t="shared" si="119"/>
        <v>0.65281173594132058</v>
      </c>
      <c r="V53" s="208">
        <f t="shared" si="119"/>
        <v>0.31098244303324618</v>
      </c>
      <c r="W53" s="208">
        <f t="shared" si="119"/>
        <v>0.25292192613370734</v>
      </c>
      <c r="X53" s="208">
        <f t="shared" si="119"/>
        <v>0.57951732673267298</v>
      </c>
      <c r="Y53" s="208">
        <f t="shared" si="119"/>
        <v>-60.051282051281525</v>
      </c>
      <c r="Z53" s="208">
        <f t="shared" si="119"/>
        <v>0.16356228172293372</v>
      </c>
      <c r="AA53" s="208">
        <f t="shared" si="119"/>
        <v>0.24567520450583338</v>
      </c>
      <c r="AB53" s="208">
        <f t="shared" si="119"/>
        <v>0.1812147361433788</v>
      </c>
      <c r="AC53" s="31">
        <f t="shared" ref="AC53:AI53" si="120">-AC31/AC30</f>
        <v>0.20433171843830153</v>
      </c>
      <c r="AD53" s="31">
        <f t="shared" si="120"/>
        <v>0.12494977902772199</v>
      </c>
      <c r="AE53" s="31">
        <f t="shared" si="120"/>
        <v>0.37232924693520064</v>
      </c>
      <c r="AF53" s="31">
        <f t="shared" si="120"/>
        <v>0.21236405266170572</v>
      </c>
      <c r="AG53" s="31">
        <f t="shared" si="120"/>
        <v>0.25007954183900727</v>
      </c>
      <c r="AH53" s="31">
        <f t="shared" si="120"/>
        <v>0.20456062291434929</v>
      </c>
      <c r="AI53" s="31">
        <f t="shared" si="120"/>
        <v>0.20760309278350528</v>
      </c>
      <c r="AJ53" s="31">
        <f t="shared" ref="AJ53:AO53" si="121">-AJ31/AJ30</f>
        <v>0.2275253350768229</v>
      </c>
      <c r="AK53" s="31">
        <f t="shared" si="121"/>
        <v>0.24482163406214061</v>
      </c>
      <c r="AL53" s="31">
        <f t="shared" si="121"/>
        <v>0.2488624431221563</v>
      </c>
      <c r="AM53" s="31">
        <f t="shared" si="121"/>
        <v>0.3392038192617095</v>
      </c>
      <c r="AN53" s="31">
        <f t="shared" si="121"/>
        <v>3.9473066936449544E-2</v>
      </c>
      <c r="AO53" s="31">
        <f t="shared" si="121"/>
        <v>0.2530082330588978</v>
      </c>
      <c r="AP53" s="31">
        <f t="shared" ref="AP53:AU53" si="122">-AP31/AP30</f>
        <v>0.25373599003735969</v>
      </c>
      <c r="AQ53" s="31">
        <f t="shared" si="122"/>
        <v>0.22284880894506581</v>
      </c>
      <c r="AR53" s="31">
        <f t="shared" si="122"/>
        <v>0.23658091958679364</v>
      </c>
      <c r="AS53" s="31">
        <f t="shared" si="122"/>
        <v>0.21852646638054357</v>
      </c>
      <c r="AT53" s="31">
        <f t="shared" si="122"/>
        <v>0.21594043022614468</v>
      </c>
      <c r="AU53" s="31">
        <f t="shared" si="122"/>
        <v>0.22698156481940279</v>
      </c>
      <c r="AV53" s="31">
        <f t="shared" ref="AV53:BA53" si="123">-AV31/AV30</f>
        <v>-0.52377452902057031</v>
      </c>
      <c r="AW53" s="31">
        <f t="shared" si="123"/>
        <v>0.23747412008281552</v>
      </c>
      <c r="AX53" s="31">
        <f t="shared" si="123"/>
        <v>-0.26951163852122334</v>
      </c>
      <c r="AY53" s="31">
        <f t="shared" si="123"/>
        <v>0.21937224051786916</v>
      </c>
      <c r="AZ53" s="31">
        <f t="shared" si="123"/>
        <v>-2.5971594023677351</v>
      </c>
      <c r="BA53" s="31">
        <f t="shared" si="123"/>
        <v>0.1538545035688581</v>
      </c>
      <c r="BB53" s="31">
        <f t="shared" ref="BB53:BG53" si="124">-BB31/BB30</f>
        <v>-4.2585232182091967E-2</v>
      </c>
      <c r="BC53" s="31">
        <f t="shared" si="124"/>
        <v>0.17297935078805851</v>
      </c>
      <c r="BD53" s="31">
        <f t="shared" si="124"/>
        <v>-2.1420603193103944</v>
      </c>
      <c r="BE53" s="31">
        <f t="shared" si="124"/>
        <v>7.7417728470519018E-2</v>
      </c>
      <c r="BF53" s="31">
        <f t="shared" si="124"/>
        <v>0.13563687871569921</v>
      </c>
      <c r="BG53" s="31">
        <f t="shared" si="124"/>
        <v>2.754442617879994E-2</v>
      </c>
    </row>
    <row r="54" spans="1:59" s="29" customFormat="1" ht="13.5" customHeight="1">
      <c r="B54" s="7" t="str">
        <f t="shared" si="104"/>
        <v>Income from continuing operations before non-controlling interest</v>
      </c>
      <c r="C54" s="31">
        <f t="shared" ref="C54:E57" si="125">C32/C$14</f>
        <v>0.1020625062273738</v>
      </c>
      <c r="D54" s="31">
        <f t="shared" si="125"/>
        <v>0.12031105611853332</v>
      </c>
      <c r="E54" s="31">
        <f t="shared" si="125"/>
        <v>0.1110208881671053</v>
      </c>
      <c r="F54" s="31">
        <f>F32/F$14</f>
        <v>0.11556762949393427</v>
      </c>
      <c r="G54" s="31">
        <f t="shared" ref="G54:H57" si="126">G32/G$14</f>
        <v>0.1022564544516313</v>
      </c>
      <c r="H54" s="31">
        <f t="shared" si="126"/>
        <v>9.9625256591824085E-2</v>
      </c>
      <c r="I54" s="31">
        <f t="shared" ref="I54:L57" si="127">I32/I$14</f>
        <v>0.14567481027398127</v>
      </c>
      <c r="J54" s="31">
        <f t="shared" ref="J54:K57" si="128">J32/J$14</f>
        <v>0.14006586768001569</v>
      </c>
      <c r="K54" s="31">
        <f t="shared" si="128"/>
        <v>0.20513356904887844</v>
      </c>
      <c r="L54" s="31">
        <f t="shared" si="127"/>
        <v>0.28961991196512449</v>
      </c>
      <c r="M54" s="57"/>
      <c r="N54" s="65"/>
      <c r="O54" s="65"/>
      <c r="P54" s="99"/>
      <c r="Q54" s="208">
        <f t="shared" ref="Q54:AB54" si="129">Q32/Q$14</f>
        <v>0.18323166195506627</v>
      </c>
      <c r="R54" s="208">
        <f t="shared" si="129"/>
        <v>0.17329784253292235</v>
      </c>
      <c r="S54" s="208">
        <f t="shared" si="129"/>
        <v>0.20384473445834847</v>
      </c>
      <c r="T54" s="208">
        <f t="shared" si="129"/>
        <v>0.1515466777639066</v>
      </c>
      <c r="U54" s="208">
        <f t="shared" si="129"/>
        <v>2.9840291398150701E-2</v>
      </c>
      <c r="V54" s="208">
        <f t="shared" si="129"/>
        <v>0.12620595278823127</v>
      </c>
      <c r="W54" s="208">
        <f t="shared" si="129"/>
        <v>0.20213775219783697</v>
      </c>
      <c r="X54" s="208">
        <f t="shared" si="129"/>
        <v>4.3793503480278467E-2</v>
      </c>
      <c r="Y54" s="208">
        <f t="shared" si="129"/>
        <v>-7.9947619367403147E-2</v>
      </c>
      <c r="Z54" s="208">
        <f t="shared" si="129"/>
        <v>0.23230624979792419</v>
      </c>
      <c r="AA54" s="208">
        <f t="shared" si="129"/>
        <v>0.1672215946251264</v>
      </c>
      <c r="AB54" s="208">
        <f t="shared" si="129"/>
        <v>0.14796821112610578</v>
      </c>
      <c r="AC54" s="31">
        <f t="shared" ref="AC54:AI54" si="130">AC32/AC$14</f>
        <v>0.17312581385254541</v>
      </c>
      <c r="AD54" s="31">
        <f t="shared" si="130"/>
        <v>0.12971620857032248</v>
      </c>
      <c r="AE54" s="31">
        <f t="shared" si="130"/>
        <v>4.8981823151564997E-2</v>
      </c>
      <c r="AF54" s="31">
        <f t="shared" si="130"/>
        <v>0.10208724898605205</v>
      </c>
      <c r="AG54" s="31">
        <f t="shared" si="130"/>
        <v>0.11632038691210582</v>
      </c>
      <c r="AH54" s="31">
        <f t="shared" si="130"/>
        <v>0.1656858202038925</v>
      </c>
      <c r="AI54" s="31">
        <f t="shared" si="130"/>
        <v>0.13374951059294374</v>
      </c>
      <c r="AJ54" s="31">
        <f t="shared" ref="AJ54:AK57" si="131">AJ32/AJ$14</f>
        <v>5.0641863654872228E-2</v>
      </c>
      <c r="AK54" s="31">
        <f t="shared" si="131"/>
        <v>0.11025705645161277</v>
      </c>
      <c r="AL54" s="31">
        <f t="shared" ref="AL54:AM57" si="132">AL32/AL$14</f>
        <v>8.4071143148162567E-2</v>
      </c>
      <c r="AM54" s="31">
        <f t="shared" si="132"/>
        <v>4.8498768804188172E-2</v>
      </c>
      <c r="AN54" s="31">
        <f t="shared" ref="AN54:AO57" si="133">AN32/AN$14</f>
        <v>0.16739498456838095</v>
      </c>
      <c r="AO54" s="31">
        <f t="shared" si="133"/>
        <v>8.3130704443739739E-2</v>
      </c>
      <c r="AP54" s="31">
        <f t="shared" ref="AP54:AS57" si="134">AP32/AP$14</f>
        <v>7.7433735523574243E-2</v>
      </c>
      <c r="AQ54" s="31">
        <f t="shared" si="134"/>
        <v>0.12134691584812266</v>
      </c>
      <c r="AR54" s="31">
        <f t="shared" si="134"/>
        <v>0.11278015500164579</v>
      </c>
      <c r="AS54" s="31">
        <f t="shared" si="134"/>
        <v>0.13126473724524282</v>
      </c>
      <c r="AT54" s="31">
        <f t="shared" ref="AT54:AV57" si="135">AT32/AT$14</f>
        <v>0.1231820216929764</v>
      </c>
      <c r="AU54" s="31">
        <f t="shared" si="135"/>
        <v>0.15826610755175086</v>
      </c>
      <c r="AV54" s="31">
        <f t="shared" si="135"/>
        <v>0.16541120526454131</v>
      </c>
      <c r="AW54" s="31">
        <f t="shared" ref="AW54:AZ57" si="136">AW32/AW$14</f>
        <v>0.14117421580527711</v>
      </c>
      <c r="AX54" s="31">
        <f t="shared" si="136"/>
        <v>0.13015453364996543</v>
      </c>
      <c r="AY54" s="31">
        <f t="shared" si="136"/>
        <v>0.15277799900857711</v>
      </c>
      <c r="AZ54" s="31">
        <f t="shared" si="136"/>
        <v>0.13586022502942952</v>
      </c>
      <c r="BA54" s="31">
        <f t="shared" ref="BA54:BD57" si="137">BA32/BA$14</f>
        <v>7.5073286472876616E-2</v>
      </c>
      <c r="BB54" s="31">
        <f t="shared" si="137"/>
        <v>0.14893067243728469</v>
      </c>
      <c r="BC54" s="31">
        <f t="shared" si="137"/>
        <v>0.16339438186714167</v>
      </c>
      <c r="BD54" s="31">
        <f t="shared" si="137"/>
        <v>0.37368512347640076</v>
      </c>
      <c r="BE54" s="31">
        <f t="shared" ref="BE54:BG57" si="138">BE32/BE$14</f>
        <v>0.51033071700404098</v>
      </c>
      <c r="BF54" s="31">
        <f t="shared" si="138"/>
        <v>0.14596802796141184</v>
      </c>
      <c r="BG54" s="31">
        <f t="shared" si="138"/>
        <v>0.21069453120930395</v>
      </c>
    </row>
    <row r="55" spans="1:59" s="29" customFormat="1" ht="13.5" customHeight="1">
      <c r="B55" s="7" t="str">
        <f t="shared" si="104"/>
        <v>Discontinued operations</v>
      </c>
      <c r="C55" s="31">
        <f t="shared" si="125"/>
        <v>1.7212461390281979E-2</v>
      </c>
      <c r="D55" s="31">
        <f t="shared" si="125"/>
        <v>2.8764076620671295E-2</v>
      </c>
      <c r="E55" s="31">
        <f t="shared" si="125"/>
        <v>-2.9540236321890577E-3</v>
      </c>
      <c r="F55" s="31">
        <f>F33/F$14</f>
        <v>0</v>
      </c>
      <c r="G55" s="31">
        <f t="shared" si="126"/>
        <v>0</v>
      </c>
      <c r="H55" s="31">
        <f t="shared" si="126"/>
        <v>3.0727368203300288E-2</v>
      </c>
      <c r="I55" s="31">
        <f t="shared" si="127"/>
        <v>0</v>
      </c>
      <c r="J55" s="31">
        <f t="shared" si="128"/>
        <v>0</v>
      </c>
      <c r="K55" s="31">
        <f t="shared" si="128"/>
        <v>0</v>
      </c>
      <c r="L55" s="31">
        <f t="shared" si="127"/>
        <v>0</v>
      </c>
      <c r="M55" s="57"/>
      <c r="N55" s="65"/>
      <c r="O55" s="65"/>
      <c r="P55" s="99"/>
      <c r="Q55" s="208">
        <f t="shared" ref="Q55:AB55" si="139">Q33/Q$14</f>
        <v>2.5517036155334023E-2</v>
      </c>
      <c r="R55" s="208">
        <f t="shared" si="139"/>
        <v>2.1014289717007566E-2</v>
      </c>
      <c r="S55" s="208">
        <f t="shared" si="139"/>
        <v>3.1167175495688936E-2</v>
      </c>
      <c r="T55" s="208">
        <f t="shared" si="139"/>
        <v>2.6286586211679844E-2</v>
      </c>
      <c r="U55" s="208">
        <f t="shared" si="139"/>
        <v>2.5777528719529281E-2</v>
      </c>
      <c r="V55" s="208">
        <f t="shared" si="139"/>
        <v>2.5248032842969555E-2</v>
      </c>
      <c r="W55" s="208">
        <f t="shared" si="139"/>
        <v>2.1124533552589964E-2</v>
      </c>
      <c r="X55" s="208">
        <f t="shared" si="139"/>
        <v>-2.2235112142304642E-3</v>
      </c>
      <c r="Y55" s="208">
        <f t="shared" si="139"/>
        <v>3.1831307501175209E-2</v>
      </c>
      <c r="Z55" s="208">
        <f t="shared" si="139"/>
        <v>3.0392188560897544E-2</v>
      </c>
      <c r="AA55" s="208">
        <f t="shared" si="139"/>
        <v>2.3812355074617989E-2</v>
      </c>
      <c r="AB55" s="208">
        <f t="shared" si="139"/>
        <v>2.9509671614934774E-2</v>
      </c>
      <c r="AC55" s="31">
        <f t="shared" ref="AC55:AI55" si="140">AC33/AC$14</f>
        <v>4.7125937868171385E-3</v>
      </c>
      <c r="AD55" s="31">
        <f t="shared" si="140"/>
        <v>-2.3525207706738931E-3</v>
      </c>
      <c r="AE55" s="31">
        <f t="shared" si="140"/>
        <v>-1.3940139401394012E-3</v>
      </c>
      <c r="AF55" s="31">
        <f t="shared" si="140"/>
        <v>-1.09803145711742E-2</v>
      </c>
      <c r="AG55" s="31">
        <f t="shared" si="140"/>
        <v>0</v>
      </c>
      <c r="AH55" s="31">
        <f t="shared" si="140"/>
        <v>0</v>
      </c>
      <c r="AI55" s="31">
        <f t="shared" si="140"/>
        <v>0</v>
      </c>
      <c r="AJ55" s="31">
        <f t="shared" si="131"/>
        <v>0</v>
      </c>
      <c r="AK55" s="31">
        <f t="shared" si="131"/>
        <v>0</v>
      </c>
      <c r="AL55" s="31">
        <f t="shared" si="132"/>
        <v>0</v>
      </c>
      <c r="AM55" s="31">
        <f t="shared" si="132"/>
        <v>0</v>
      </c>
      <c r="AN55" s="31">
        <f t="shared" si="133"/>
        <v>0</v>
      </c>
      <c r="AO55" s="31">
        <f t="shared" si="133"/>
        <v>0.13609613419318461</v>
      </c>
      <c r="AP55" s="31">
        <f t="shared" si="134"/>
        <v>0</v>
      </c>
      <c r="AQ55" s="31">
        <f t="shared" si="134"/>
        <v>0</v>
      </c>
      <c r="AR55" s="31">
        <f t="shared" si="134"/>
        <v>0</v>
      </c>
      <c r="AS55" s="31">
        <f t="shared" si="134"/>
        <v>0</v>
      </c>
      <c r="AT55" s="31">
        <f t="shared" si="135"/>
        <v>0</v>
      </c>
      <c r="AU55" s="31">
        <f t="shared" si="135"/>
        <v>0</v>
      </c>
      <c r="AV55" s="31">
        <f t="shared" si="135"/>
        <v>0</v>
      </c>
      <c r="AW55" s="31">
        <f t="shared" si="136"/>
        <v>0</v>
      </c>
      <c r="AX55" s="31">
        <f t="shared" si="136"/>
        <v>0</v>
      </c>
      <c r="AY55" s="31">
        <f t="shared" si="136"/>
        <v>0</v>
      </c>
      <c r="AZ55" s="31">
        <f t="shared" si="136"/>
        <v>0</v>
      </c>
      <c r="BA55" s="31">
        <f t="shared" si="137"/>
        <v>0</v>
      </c>
      <c r="BB55" s="31">
        <f t="shared" si="137"/>
        <v>0</v>
      </c>
      <c r="BC55" s="31">
        <f t="shared" si="137"/>
        <v>0</v>
      </c>
      <c r="BD55" s="31">
        <f t="shared" si="137"/>
        <v>0</v>
      </c>
      <c r="BE55" s="31">
        <f t="shared" si="138"/>
        <v>0</v>
      </c>
      <c r="BF55" s="31">
        <f t="shared" si="138"/>
        <v>0</v>
      </c>
      <c r="BG55" s="31">
        <f t="shared" si="138"/>
        <v>0</v>
      </c>
    </row>
    <row r="56" spans="1:59" s="29" customFormat="1" ht="13.5" customHeight="1">
      <c r="B56" s="7" t="str">
        <f t="shared" si="104"/>
        <v>Non-controlling interests</v>
      </c>
      <c r="C56" s="31">
        <f t="shared" si="125"/>
        <v>3.555415324321632E-2</v>
      </c>
      <c r="D56" s="31">
        <f t="shared" si="125"/>
        <v>1.285103450436199E-2</v>
      </c>
      <c r="E56" s="31">
        <f t="shared" si="125"/>
        <v>-3.619028952231618E-3</v>
      </c>
      <c r="F56" s="31">
        <f>F34/F$14</f>
        <v>-3.3234838731631515E-3</v>
      </c>
      <c r="G56" s="31">
        <f t="shared" si="126"/>
        <v>-7.3392125621845284E-3</v>
      </c>
      <c r="H56" s="31">
        <f t="shared" si="126"/>
        <v>-1.201406680139395E-3</v>
      </c>
      <c r="I56" s="31">
        <f t="shared" si="127"/>
        <v>-8.7067638223311641E-5</v>
      </c>
      <c r="J56" s="31">
        <f t="shared" si="128"/>
        <v>-5.0110661043136928E-6</v>
      </c>
      <c r="K56" s="31">
        <f t="shared" si="128"/>
        <v>-1.7799307701587832E-5</v>
      </c>
      <c r="L56" s="31">
        <f t="shared" si="127"/>
        <v>2.3442569200846271E-5</v>
      </c>
      <c r="M56" s="57"/>
      <c r="N56" s="65"/>
      <c r="O56" s="65"/>
      <c r="P56" s="99"/>
      <c r="Q56" s="208">
        <f t="shared" ref="Q56:AB56" si="141">Q34/Q$14</f>
        <v>1.6366612111292963E-3</v>
      </c>
      <c r="R56" s="208">
        <f t="shared" si="141"/>
        <v>5.2535724292518914E-4</v>
      </c>
      <c r="S56" s="208">
        <f t="shared" si="141"/>
        <v>-4.6968832824504324E-4</v>
      </c>
      <c r="T56" s="208">
        <f t="shared" si="141"/>
        <v>-2.7396310167845748E-3</v>
      </c>
      <c r="U56" s="208">
        <f t="shared" si="141"/>
        <v>7.0292799103390299E-2</v>
      </c>
      <c r="V56" s="208">
        <f t="shared" si="141"/>
        <v>1.6968867601779004E-2</v>
      </c>
      <c r="W56" s="208">
        <f t="shared" si="141"/>
        <v>1.5495541078995636E-2</v>
      </c>
      <c r="X56" s="208">
        <f t="shared" si="141"/>
        <v>4.1537767465841709E-2</v>
      </c>
      <c r="Y56" s="208">
        <f t="shared" si="141"/>
        <v>9.5493922503525619E-2</v>
      </c>
      <c r="Z56" s="208">
        <f t="shared" si="141"/>
        <v>-3.2493776067768119E-2</v>
      </c>
      <c r="AA56" s="208">
        <f t="shared" si="141"/>
        <v>-3.6268505856471844E-3</v>
      </c>
      <c r="AB56" s="208">
        <f t="shared" si="141"/>
        <v>-2.2792022792022791E-3</v>
      </c>
      <c r="AC56" s="31">
        <f t="shared" ref="AC56:AI56" si="142">AC34/AC$14</f>
        <v>-3.3794258076517642E-3</v>
      </c>
      <c r="AD56" s="31">
        <f t="shared" si="142"/>
        <v>-3.4543342961793873E-3</v>
      </c>
      <c r="AE56" s="31">
        <f t="shared" si="142"/>
        <v>-3.1433647669810026E-3</v>
      </c>
      <c r="AF56" s="31">
        <f t="shared" si="142"/>
        <v>-4.3772875655356605E-3</v>
      </c>
      <c r="AG56" s="31">
        <f t="shared" si="142"/>
        <v>-3.158466169866259E-3</v>
      </c>
      <c r="AH56" s="31">
        <f t="shared" si="142"/>
        <v>-2.5486561631139944E-3</v>
      </c>
      <c r="AI56" s="31">
        <f t="shared" si="142"/>
        <v>-3.1322051594379436E-3</v>
      </c>
      <c r="AJ56" s="31">
        <f t="shared" si="131"/>
        <v>-4.3719594522191978E-3</v>
      </c>
      <c r="AK56" s="31">
        <f t="shared" si="131"/>
        <v>-5.082325268817205E-3</v>
      </c>
      <c r="AL56" s="31">
        <f t="shared" si="132"/>
        <v>-2.8206534513829039E-3</v>
      </c>
      <c r="AM56" s="31">
        <f t="shared" si="132"/>
        <v>-6.879349707892759E-3</v>
      </c>
      <c r="AN56" s="31">
        <f t="shared" si="133"/>
        <v>-1.3823140230003549E-2</v>
      </c>
      <c r="AO56" s="31">
        <f t="shared" si="133"/>
        <v>-3.488740881699968E-3</v>
      </c>
      <c r="AP56" s="31">
        <f t="shared" si="134"/>
        <v>-2.3097672465313109E-3</v>
      </c>
      <c r="AQ56" s="31">
        <f t="shared" si="134"/>
        <v>2.884513200443304E-4</v>
      </c>
      <c r="AR56" s="31">
        <f t="shared" si="134"/>
        <v>2.9923097639067593E-4</v>
      </c>
      <c r="AS56" s="31">
        <f t="shared" si="134"/>
        <v>-1.8022618386074522E-4</v>
      </c>
      <c r="AT56" s="31">
        <f t="shared" si="135"/>
        <v>-1.87755455740262E-4</v>
      </c>
      <c r="AU56" s="31">
        <f t="shared" si="135"/>
        <v>-1.0458239530550546E-6</v>
      </c>
      <c r="AV56" s="31">
        <f t="shared" si="135"/>
        <v>-3.3027872094229782E-6</v>
      </c>
      <c r="AW56" s="31">
        <f t="shared" si="136"/>
        <v>0</v>
      </c>
      <c r="AX56" s="31">
        <f t="shared" si="136"/>
        <v>0</v>
      </c>
      <c r="AY56" s="31">
        <f t="shared" si="136"/>
        <v>-7.4832431477813306E-7</v>
      </c>
      <c r="AZ56" s="31">
        <f t="shared" si="136"/>
        <v>-1.6974985053672837E-5</v>
      </c>
      <c r="BA56" s="31">
        <f t="shared" si="137"/>
        <v>-1.4960239423671737E-6</v>
      </c>
      <c r="BB56" s="31">
        <f t="shared" si="137"/>
        <v>0</v>
      </c>
      <c r="BC56" s="31">
        <f t="shared" si="137"/>
        <v>4.3648802553073023E-6</v>
      </c>
      <c r="BD56" s="31">
        <f t="shared" si="137"/>
        <v>-6.2764908270675939E-5</v>
      </c>
      <c r="BE56" s="31">
        <f t="shared" si="138"/>
        <v>9.7245531886173185E-6</v>
      </c>
      <c r="BF56" s="31">
        <f t="shared" si="138"/>
        <v>4.3092735613226955E-5</v>
      </c>
      <c r="BG56" s="31">
        <f t="shared" si="138"/>
        <v>6.9403338269793239E-5</v>
      </c>
    </row>
    <row r="57" spans="1:59" s="29" customFormat="1" ht="13.5" customHeight="1">
      <c r="B57" s="7" t="str">
        <f t="shared" si="104"/>
        <v xml:space="preserve">Net Income </v>
      </c>
      <c r="C57" s="31">
        <f t="shared" si="125"/>
        <v>0.15482912086087208</v>
      </c>
      <c r="D57" s="31">
        <f t="shared" si="125"/>
        <v>0.16192616724356659</v>
      </c>
      <c r="E57" s="31">
        <f t="shared" si="125"/>
        <v>0.10444783558268463</v>
      </c>
      <c r="F57" s="31">
        <f>F35/F$14</f>
        <v>0.11224414562077112</v>
      </c>
      <c r="G57" s="31">
        <f t="shared" si="126"/>
        <v>9.4917241889446766E-2</v>
      </c>
      <c r="H57" s="31">
        <f t="shared" si="126"/>
        <v>0.12915121811498501</v>
      </c>
      <c r="I57" s="31">
        <f t="shared" si="127"/>
        <v>0.14558774263575797</v>
      </c>
      <c r="J57" s="31">
        <f t="shared" si="128"/>
        <v>0.14006085661391138</v>
      </c>
      <c r="K57" s="31">
        <f t="shared" si="128"/>
        <v>0.20511576974117685</v>
      </c>
      <c r="L57" s="31">
        <f t="shared" si="127"/>
        <v>0.28964335453432538</v>
      </c>
      <c r="M57" s="57"/>
      <c r="N57" s="65"/>
      <c r="O57" s="65"/>
      <c r="P57" s="99"/>
      <c r="Q57" s="208">
        <f t="shared" ref="Q57:AB57" si="143">Q35/Q$14</f>
        <v>0.21038535932152957</v>
      </c>
      <c r="R57" s="208">
        <f t="shared" si="143"/>
        <v>0.19483748949285509</v>
      </c>
      <c r="S57" s="208">
        <f t="shared" si="143"/>
        <v>0.23454222162579236</v>
      </c>
      <c r="T57" s="208">
        <f t="shared" si="143"/>
        <v>0.17509363295880187</v>
      </c>
      <c r="U57" s="208">
        <f t="shared" si="143"/>
        <v>0.1259106192210703</v>
      </c>
      <c r="V57" s="208">
        <f t="shared" si="143"/>
        <v>0.16842285323297981</v>
      </c>
      <c r="W57" s="208">
        <f t="shared" si="143"/>
        <v>0.23875782682942256</v>
      </c>
      <c r="X57" s="208">
        <f t="shared" si="143"/>
        <v>8.3107759731889719E-2</v>
      </c>
      <c r="Y57" s="208">
        <f t="shared" si="143"/>
        <v>4.7377610637297687E-2</v>
      </c>
      <c r="Z57" s="208">
        <f t="shared" si="143"/>
        <v>0.23020466229105363</v>
      </c>
      <c r="AA57" s="208">
        <f t="shared" si="143"/>
        <v>0.1874070991140972</v>
      </c>
      <c r="AB57" s="208">
        <f t="shared" si="143"/>
        <v>0.17519868046183826</v>
      </c>
      <c r="AC57" s="31">
        <f t="shared" ref="AC57:AI57" si="144">AC35/AC$14</f>
        <v>0.1744589818317108</v>
      </c>
      <c r="AD57" s="31">
        <f t="shared" si="144"/>
        <v>0.1239093535034692</v>
      </c>
      <c r="AE57" s="31">
        <f t="shared" si="144"/>
        <v>4.4444444444444592E-2</v>
      </c>
      <c r="AF57" s="31">
        <f t="shared" si="144"/>
        <v>8.6729646849342201E-2</v>
      </c>
      <c r="AG57" s="31">
        <f t="shared" si="144"/>
        <v>0.11316192074223956</v>
      </c>
      <c r="AH57" s="31">
        <f t="shared" si="144"/>
        <v>0.16313716404077849</v>
      </c>
      <c r="AI57" s="31">
        <f t="shared" si="144"/>
        <v>0.1306173054335058</v>
      </c>
      <c r="AJ57" s="31">
        <f t="shared" si="131"/>
        <v>4.6269904202653034E-2</v>
      </c>
      <c r="AK57" s="31">
        <f t="shared" si="131"/>
        <v>0.10517473118279556</v>
      </c>
      <c r="AL57" s="31">
        <f t="shared" si="132"/>
        <v>8.1250489696779671E-2</v>
      </c>
      <c r="AM57" s="31">
        <f t="shared" si="132"/>
        <v>4.1619419096295414E-2</v>
      </c>
      <c r="AN57" s="31">
        <f t="shared" si="133"/>
        <v>0.15357184433837739</v>
      </c>
      <c r="AO57" s="31">
        <f t="shared" si="133"/>
        <v>0.21573809775522437</v>
      </c>
      <c r="AP57" s="31">
        <f t="shared" si="134"/>
        <v>7.512396827704293E-2</v>
      </c>
      <c r="AQ57" s="31">
        <f t="shared" si="134"/>
        <v>0.12163536716816697</v>
      </c>
      <c r="AR57" s="31">
        <f t="shared" si="134"/>
        <v>0.11307938597803648</v>
      </c>
      <c r="AS57" s="31">
        <f t="shared" si="134"/>
        <v>0.13108451106138208</v>
      </c>
      <c r="AT57" s="31">
        <f t="shared" si="135"/>
        <v>0.12299426623723615</v>
      </c>
      <c r="AU57" s="31">
        <f t="shared" si="135"/>
        <v>0.15826506172779781</v>
      </c>
      <c r="AV57" s="31">
        <f t="shared" si="135"/>
        <v>0.16540790247733186</v>
      </c>
      <c r="AW57" s="31">
        <f t="shared" si="136"/>
        <v>0.14117421580527711</v>
      </c>
      <c r="AX57" s="31">
        <f t="shared" si="136"/>
        <v>0.13015453364996543</v>
      </c>
      <c r="AY57" s="31">
        <f t="shared" si="136"/>
        <v>0.15277725068426232</v>
      </c>
      <c r="AZ57" s="31">
        <f t="shared" si="136"/>
        <v>0.13584325004437584</v>
      </c>
      <c r="BA57" s="31">
        <f t="shared" si="137"/>
        <v>7.507179044893425E-2</v>
      </c>
      <c r="BB57" s="31">
        <f t="shared" si="137"/>
        <v>0.14893067243728469</v>
      </c>
      <c r="BC57" s="31">
        <f t="shared" si="137"/>
        <v>0.16339874674739696</v>
      </c>
      <c r="BD57" s="31">
        <f t="shared" si="137"/>
        <v>0.37362235856813009</v>
      </c>
      <c r="BE57" s="31">
        <f t="shared" si="138"/>
        <v>0.51034044155722957</v>
      </c>
      <c r="BF57" s="31">
        <f t="shared" si="138"/>
        <v>0.14601112069702507</v>
      </c>
      <c r="BG57" s="31">
        <f t="shared" si="138"/>
        <v>0.21076393454757375</v>
      </c>
    </row>
    <row r="58" spans="1:59" s="29" customFormat="1" ht="13.5" customHeight="1">
      <c r="B58" s="1"/>
      <c r="C58" s="31"/>
      <c r="D58" s="31"/>
      <c r="E58" s="31"/>
      <c r="F58" s="31"/>
      <c r="G58" s="31"/>
      <c r="H58" s="31"/>
      <c r="I58" s="31"/>
      <c r="J58" s="31"/>
      <c r="K58" s="31"/>
      <c r="L58" s="31"/>
      <c r="M58" s="57"/>
      <c r="N58" s="65"/>
      <c r="O58" s="65"/>
      <c r="P58" s="99"/>
      <c r="Q58" s="184"/>
      <c r="R58" s="184"/>
      <c r="S58" s="184"/>
      <c r="T58" s="184"/>
      <c r="U58" s="184"/>
      <c r="V58" s="184"/>
      <c r="W58" s="184"/>
      <c r="X58" s="184"/>
      <c r="Y58" s="184"/>
      <c r="Z58" s="184"/>
      <c r="AA58" s="184"/>
      <c r="AB58" s="184"/>
      <c r="AC58" s="31"/>
      <c r="AD58" s="31"/>
      <c r="AE58" s="31"/>
      <c r="AF58" s="31"/>
      <c r="AG58" s="31"/>
      <c r="AH58" s="31"/>
      <c r="AI58" s="31"/>
      <c r="AJ58" s="31"/>
      <c r="AK58" s="31"/>
      <c r="AL58" s="184"/>
      <c r="AM58" s="31"/>
      <c r="AN58" s="31"/>
      <c r="AO58" s="31"/>
      <c r="AP58" s="31"/>
      <c r="AQ58" s="31"/>
      <c r="AR58" s="31"/>
      <c r="AS58" s="31"/>
      <c r="AT58" s="31"/>
      <c r="AU58" s="31"/>
      <c r="AV58" s="31"/>
      <c r="AW58" s="31"/>
      <c r="AX58" s="31"/>
      <c r="AY58" s="31"/>
      <c r="AZ58" s="31"/>
      <c r="BA58" s="31"/>
      <c r="BB58" s="31"/>
      <c r="BC58" s="31"/>
      <c r="BD58" s="31"/>
      <c r="BE58" s="31"/>
      <c r="BF58" s="31"/>
      <c r="BG58" s="31"/>
    </row>
    <row r="59" spans="1:59" s="29" customFormat="1" ht="13.5" customHeight="1">
      <c r="B59" s="29" t="s">
        <v>451</v>
      </c>
      <c r="C59" s="66">
        <f t="shared" ref="C59:L59" si="145">C85/C14</f>
        <v>-0.1289971437111827</v>
      </c>
      <c r="D59" s="66">
        <f t="shared" si="145"/>
        <v>-0.1672246150954626</v>
      </c>
      <c r="E59" s="66">
        <f t="shared" si="145"/>
        <v>-0.18006951055608444</v>
      </c>
      <c r="F59" s="66">
        <f t="shared" si="145"/>
        <v>-0.16658225622586081</v>
      </c>
      <c r="G59" s="66">
        <f t="shared" si="145"/>
        <v>-0.13904668198506751</v>
      </c>
      <c r="H59" s="66">
        <f>H85/H14</f>
        <v>-0.1271052066260363</v>
      </c>
      <c r="I59" s="66">
        <f>I85/I14</f>
        <v>-0.13415573424922717</v>
      </c>
      <c r="J59" s="66">
        <f>J85/J14</f>
        <v>-0.15501732993694409</v>
      </c>
      <c r="K59" s="66">
        <f>K85/K14</f>
        <v>-0.1339365424055978</v>
      </c>
      <c r="L59" s="66">
        <f t="shared" si="145"/>
        <v>-0.13630186578889517</v>
      </c>
      <c r="M59" s="57"/>
      <c r="N59" s="66"/>
      <c r="O59" s="66"/>
      <c r="P59" s="93"/>
      <c r="Q59" s="57"/>
      <c r="R59" s="57"/>
      <c r="S59" s="57"/>
      <c r="T59" s="57"/>
      <c r="U59" s="57"/>
      <c r="V59" s="57"/>
      <c r="W59" s="57"/>
      <c r="X59" s="57"/>
      <c r="Y59" s="57"/>
      <c r="Z59" s="57"/>
      <c r="AA59" s="57"/>
      <c r="AB59" s="57"/>
      <c r="AC59" s="66">
        <f t="shared" ref="AC59:AI59" si="146">AC85/AC14</f>
        <v>-0.18160228188751781</v>
      </c>
      <c r="AD59" s="66">
        <f t="shared" si="146"/>
        <v>-0.21959441350763828</v>
      </c>
      <c r="AE59" s="66">
        <f t="shared" si="146"/>
        <v>-0.12664753314199806</v>
      </c>
      <c r="AF59" s="66">
        <f t="shared" si="146"/>
        <v>-0.1943567613018102</v>
      </c>
      <c r="AG59" s="66">
        <f t="shared" si="146"/>
        <v>-9.4187928737107046E-2</v>
      </c>
      <c r="AH59" s="66">
        <f t="shared" si="146"/>
        <v>-0.12252177942539387</v>
      </c>
      <c r="AI59" s="66">
        <f t="shared" si="146"/>
        <v>-0.15191282028972902</v>
      </c>
      <c r="AJ59" s="66">
        <f t="shared" ref="AJ59:AO59" si="147">AJ85/AJ14</f>
        <v>-0.28466620946829252</v>
      </c>
      <c r="AK59" s="66">
        <f t="shared" si="147"/>
        <v>-0.11509933635752689</v>
      </c>
      <c r="AL59" s="66">
        <f t="shared" si="147"/>
        <v>-0.11433420825824651</v>
      </c>
      <c r="AM59" s="66">
        <f t="shared" si="147"/>
        <v>-0.13593384650402465</v>
      </c>
      <c r="AN59" s="66">
        <f t="shared" si="147"/>
        <v>-0.18494464078941641</v>
      </c>
      <c r="AO59" s="66">
        <f t="shared" si="147"/>
        <v>-9.0852274729534485E-2</v>
      </c>
      <c r="AP59" s="66">
        <f t="shared" ref="AP59:AU59" si="148">AP85/AP14</f>
        <v>-0.12017169808273163</v>
      </c>
      <c r="AQ59" s="66">
        <f t="shared" si="148"/>
        <v>-0.11551579650518455</v>
      </c>
      <c r="AR59" s="66">
        <f t="shared" si="148"/>
        <v>-0.17573236781471616</v>
      </c>
      <c r="AS59" s="66">
        <f t="shared" si="148"/>
        <v>-7.1047564693690571E-2</v>
      </c>
      <c r="AT59" s="66">
        <f t="shared" si="148"/>
        <v>-0.13269457964442005</v>
      </c>
      <c r="AU59" s="66">
        <f t="shared" si="148"/>
        <v>-0.15285710606655023</v>
      </c>
      <c r="AV59" s="66">
        <f t="shared" ref="AV59:BA59" si="149">AV85/AV14</f>
        <v>-0.1706457419006448</v>
      </c>
      <c r="AW59" s="66">
        <f t="shared" si="149"/>
        <v>-0.13098588130070912</v>
      </c>
      <c r="AX59" s="66">
        <f t="shared" si="149"/>
        <v>-0.16831861305756698</v>
      </c>
      <c r="AY59" s="66">
        <f t="shared" si="149"/>
        <v>-0.10168123885731734</v>
      </c>
      <c r="AZ59" s="66">
        <f t="shared" si="149"/>
        <v>-0.21126997712890591</v>
      </c>
      <c r="BA59" s="66">
        <f t="shared" si="149"/>
        <v>-0.10685771765091329</v>
      </c>
      <c r="BB59" s="66">
        <f t="shared" ref="BB59:BG59" si="150">BB85/BB14</f>
        <v>-0.12322633645908472</v>
      </c>
      <c r="BC59" s="66">
        <f t="shared" si="150"/>
        <v>-0.10285860782007852</v>
      </c>
      <c r="BD59" s="66">
        <f t="shared" si="150"/>
        <v>-0.18871837236070294</v>
      </c>
      <c r="BE59" s="66">
        <f t="shared" si="150"/>
        <v>-0.12918513222324471</v>
      </c>
      <c r="BF59" s="66">
        <f t="shared" si="150"/>
        <v>-0.12966604146019989</v>
      </c>
      <c r="BG59" s="66">
        <f t="shared" si="150"/>
        <v>-0.11420550143796487</v>
      </c>
    </row>
    <row r="60" spans="1:59" s="29" customFormat="1" ht="13.5" customHeight="1">
      <c r="B60" s="29" t="s">
        <v>452</v>
      </c>
      <c r="C60" s="66">
        <f t="shared" ref="C60:L60" si="151">C64/C14</f>
        <v>0.13612208974060913</v>
      </c>
      <c r="D60" s="66">
        <f t="shared" si="151"/>
        <v>0.13060911240935361</v>
      </c>
      <c r="E60" s="66">
        <f t="shared" si="151"/>
        <v>0.15422523380187039</v>
      </c>
      <c r="F60" s="66">
        <f t="shared" si="151"/>
        <v>0.14728818461782772</v>
      </c>
      <c r="G60" s="66">
        <f t="shared" si="151"/>
        <v>0.20138570081683788</v>
      </c>
      <c r="H60" s="66">
        <f>H64/H14</f>
        <v>0.20076221695335997</v>
      </c>
      <c r="I60" s="66">
        <f>I64/I14</f>
        <v>0.20529198754389891</v>
      </c>
      <c r="J60" s="66">
        <f>J64/J14</f>
        <v>0.20300143372169094</v>
      </c>
      <c r="K60" s="66">
        <f>K64/K14</f>
        <v>0.17591454847480908</v>
      </c>
      <c r="L60" s="66">
        <f t="shared" si="151"/>
        <v>0.14359561731164319</v>
      </c>
      <c r="M60" s="57"/>
      <c r="N60" s="94"/>
      <c r="O60" s="94"/>
      <c r="P60" s="95"/>
      <c r="Q60" s="57">
        <f t="shared" ref="Q60:AB60" si="152">Q64/Q14</f>
        <v>0.13405743192977235</v>
      </c>
      <c r="R60" s="57">
        <f t="shared" si="152"/>
        <v>0.12846735780330626</v>
      </c>
      <c r="S60" s="57">
        <f t="shared" si="152"/>
        <v>0.12936558526520617</v>
      </c>
      <c r="T60" s="57">
        <f t="shared" si="152"/>
        <v>0.1670134554029685</v>
      </c>
      <c r="U60" s="57">
        <f t="shared" si="152"/>
        <v>0.1399551695152704</v>
      </c>
      <c r="V60" s="57">
        <f t="shared" si="152"/>
        <v>0.13212452959288401</v>
      </c>
      <c r="W60" s="57">
        <f t="shared" si="152"/>
        <v>0.12743888268267808</v>
      </c>
      <c r="X60" s="57">
        <f t="shared" si="152"/>
        <v>0.1452371745295179</v>
      </c>
      <c r="Y60" s="57">
        <f t="shared" si="152"/>
        <v>0.13239540662144922</v>
      </c>
      <c r="Z60" s="57">
        <f t="shared" si="152"/>
        <v>0.1324000129328462</v>
      </c>
      <c r="AA60" s="57">
        <f t="shared" si="152"/>
        <v>0.12691004221416255</v>
      </c>
      <c r="AB60" s="57">
        <f t="shared" si="152"/>
        <v>0.13105413105413105</v>
      </c>
      <c r="AC60" s="66">
        <f t="shared" ref="AC60:AI60" si="153">AC64/AC14</f>
        <v>0.14101049795742915</v>
      </c>
      <c r="AD60" s="66">
        <f t="shared" si="153"/>
        <v>0.16887050986171676</v>
      </c>
      <c r="AE60" s="66">
        <f t="shared" si="153"/>
        <v>0.15771491048243813</v>
      </c>
      <c r="AF60" s="66">
        <f t="shared" si="153"/>
        <v>0.14944603818379659</v>
      </c>
      <c r="AG60" s="66">
        <f t="shared" si="153"/>
        <v>0.15506094852687163</v>
      </c>
      <c r="AH60" s="66">
        <f t="shared" si="153"/>
        <v>0.14295644114921224</v>
      </c>
      <c r="AI60" s="66">
        <f t="shared" si="153"/>
        <v>0.14160177491625703</v>
      </c>
      <c r="AJ60" s="66">
        <f t="shared" ref="AJ60:AO60" si="154">AJ64/AJ14</f>
        <v>0.1501253723666445</v>
      </c>
      <c r="AK60" s="66">
        <f t="shared" si="154"/>
        <v>0.20577116935483872</v>
      </c>
      <c r="AL60" s="66">
        <f t="shared" si="154"/>
        <v>0.20490872052025386</v>
      </c>
      <c r="AM60" s="66">
        <f t="shared" si="154"/>
        <v>0.16814375676812823</v>
      </c>
      <c r="AN60" s="66">
        <f t="shared" si="154"/>
        <v>0.22874057907005069</v>
      </c>
      <c r="AO60" s="66">
        <f t="shared" si="154"/>
        <v>0.20758008246114806</v>
      </c>
      <c r="AP60" s="66">
        <f t="shared" ref="AP60:AU60" si="155">AP64/AP14</f>
        <v>0.20445478186428903</v>
      </c>
      <c r="AQ60" s="66">
        <f t="shared" si="155"/>
        <v>0.18183060316689187</v>
      </c>
      <c r="AR60" s="66">
        <f t="shared" si="155"/>
        <v>0.21020976091444993</v>
      </c>
      <c r="AS60" s="66">
        <f t="shared" si="155"/>
        <v>0.2060736223961071</v>
      </c>
      <c r="AT60" s="66">
        <f t="shared" si="155"/>
        <v>0.20963618769768483</v>
      </c>
      <c r="AU60" s="66">
        <f t="shared" si="155"/>
        <v>0.19826050716448237</v>
      </c>
      <c r="AV60" s="66">
        <f t="shared" ref="AV60:BA60" si="156">AV64/AV14</f>
        <v>0.20764254797838305</v>
      </c>
      <c r="AW60" s="66">
        <f t="shared" si="156"/>
        <v>0.2115888328116016</v>
      </c>
      <c r="AX60" s="66">
        <f t="shared" si="156"/>
        <v>0.20388849244879101</v>
      </c>
      <c r="AY60" s="66">
        <f t="shared" si="156"/>
        <v>0.19430764660234567</v>
      </c>
      <c r="AZ60" s="66">
        <f t="shared" si="156"/>
        <v>0.20364232156175346</v>
      </c>
      <c r="BA60" s="66">
        <f t="shared" si="156"/>
        <v>0.19660718600140478</v>
      </c>
      <c r="BB60" s="66">
        <f t="shared" ref="BB60:BG60" si="157">BB64/BB14</f>
        <v>0.19877374368838663</v>
      </c>
      <c r="BC60" s="66">
        <f t="shared" si="157"/>
        <v>0.16352321403592721</v>
      </c>
      <c r="BD60" s="66">
        <f t="shared" si="157"/>
        <v>0.15566806700350302</v>
      </c>
      <c r="BE60" s="66">
        <f t="shared" si="157"/>
        <v>0.15529538388194669</v>
      </c>
      <c r="BF60" s="66">
        <f t="shared" si="157"/>
        <v>0.13798123050405894</v>
      </c>
      <c r="BG60" s="66">
        <f t="shared" si="157"/>
        <v>0.1330444297550116</v>
      </c>
    </row>
    <row r="61" spans="1:59" s="29" customFormat="1" ht="13.5" customHeight="1">
      <c r="C61" s="66"/>
      <c r="D61" s="66"/>
      <c r="E61" s="66"/>
      <c r="F61" s="66"/>
      <c r="G61" s="66"/>
      <c r="H61" s="66"/>
      <c r="I61" s="66"/>
      <c r="J61" s="66"/>
      <c r="K61" s="66"/>
      <c r="L61" s="66"/>
      <c r="M61" s="57"/>
      <c r="N61" s="66"/>
      <c r="O61" s="66"/>
      <c r="P61" s="93"/>
      <c r="Q61" s="57"/>
      <c r="R61" s="57"/>
      <c r="S61" s="57"/>
      <c r="T61" s="57"/>
      <c r="U61" s="57"/>
      <c r="V61" s="57"/>
      <c r="W61" s="57"/>
      <c r="X61" s="57"/>
      <c r="Y61" s="57"/>
      <c r="Z61" s="57"/>
      <c r="AA61" s="57"/>
      <c r="AB61" s="57"/>
      <c r="AC61" s="66"/>
      <c r="AG61" s="66"/>
      <c r="AH61" s="66"/>
      <c r="AK61" s="66"/>
      <c r="AL61" s="57"/>
      <c r="AO61" s="66"/>
      <c r="AP61" s="66"/>
      <c r="AQ61" s="66"/>
      <c r="AR61" s="66"/>
      <c r="AS61" s="66"/>
      <c r="AT61" s="66"/>
      <c r="AU61" s="66"/>
      <c r="AV61" s="66"/>
      <c r="AW61" s="66"/>
      <c r="AX61" s="66"/>
      <c r="AY61" s="66"/>
      <c r="AZ61" s="66"/>
      <c r="BA61" s="66"/>
      <c r="BB61" s="66"/>
      <c r="BC61" s="66"/>
      <c r="BD61" s="66"/>
      <c r="BE61" s="66"/>
      <c r="BF61" s="66"/>
      <c r="BG61" s="66"/>
    </row>
    <row r="62" spans="1:59" ht="13.5" customHeight="1">
      <c r="A62" s="27"/>
      <c r="B62" s="17" t="s">
        <v>453</v>
      </c>
      <c r="C62" s="48">
        <f>+C2</f>
        <v>41975</v>
      </c>
      <c r="D62" s="48">
        <f t="shared" ref="D62:AL62" si="158">+D2</f>
        <v>42341</v>
      </c>
      <c r="E62" s="48">
        <f t="shared" si="158"/>
        <v>42705</v>
      </c>
      <c r="F62" s="48">
        <f t="shared" si="158"/>
        <v>43070</v>
      </c>
      <c r="G62" s="48">
        <f>G2</f>
        <v>43435</v>
      </c>
      <c r="H62" s="48">
        <f>H2</f>
        <v>43830</v>
      </c>
      <c r="I62" s="48">
        <f>I2</f>
        <v>44196</v>
      </c>
      <c r="J62" s="48">
        <f>J2</f>
        <v>44561</v>
      </c>
      <c r="K62" s="48">
        <f>K2</f>
        <v>44926</v>
      </c>
      <c r="L62" s="48">
        <f t="shared" si="158"/>
        <v>45199</v>
      </c>
      <c r="M62" s="295" t="s">
        <v>397</v>
      </c>
      <c r="N62" s="48">
        <f t="shared" si="158"/>
        <v>43074</v>
      </c>
      <c r="O62" s="48">
        <f t="shared" si="158"/>
        <v>43440</v>
      </c>
      <c r="P62" s="96">
        <f t="shared" si="158"/>
        <v>43806</v>
      </c>
      <c r="Q62" s="48">
        <f t="shared" si="158"/>
        <v>41341</v>
      </c>
      <c r="R62" s="48">
        <f t="shared" si="158"/>
        <v>41431</v>
      </c>
      <c r="S62" s="48">
        <f t="shared" si="158"/>
        <v>41526</v>
      </c>
      <c r="T62" s="48">
        <f t="shared" si="158"/>
        <v>41618</v>
      </c>
      <c r="U62" s="48">
        <f t="shared" si="158"/>
        <v>41705</v>
      </c>
      <c r="V62" s="48">
        <f t="shared" si="158"/>
        <v>41796</v>
      </c>
      <c r="W62" s="48">
        <f t="shared" si="158"/>
        <v>41891</v>
      </c>
      <c r="X62" s="48">
        <f t="shared" si="158"/>
        <v>41983</v>
      </c>
      <c r="Y62" s="48">
        <f t="shared" si="158"/>
        <v>42070</v>
      </c>
      <c r="Z62" s="48">
        <f t="shared" si="158"/>
        <v>42161</v>
      </c>
      <c r="AA62" s="48">
        <f t="shared" si="158"/>
        <v>42256</v>
      </c>
      <c r="AB62" s="48">
        <f t="shared" si="158"/>
        <v>42348</v>
      </c>
      <c r="AC62" s="48">
        <f t="shared" si="158"/>
        <v>42437</v>
      </c>
      <c r="AD62" s="48">
        <f t="shared" si="158"/>
        <v>42527</v>
      </c>
      <c r="AE62" s="48">
        <f t="shared" si="158"/>
        <v>42622</v>
      </c>
      <c r="AF62" s="48">
        <f t="shared" si="158"/>
        <v>42714</v>
      </c>
      <c r="AG62" s="48">
        <f t="shared" si="158"/>
        <v>42801</v>
      </c>
      <c r="AH62" s="48">
        <f t="shared" si="158"/>
        <v>42892</v>
      </c>
      <c r="AI62" s="48">
        <f t="shared" si="158"/>
        <v>42987</v>
      </c>
      <c r="AJ62" s="48">
        <f t="shared" si="158"/>
        <v>43079</v>
      </c>
      <c r="AK62" s="48">
        <f t="shared" si="158"/>
        <v>43190</v>
      </c>
      <c r="AL62" s="48">
        <f t="shared" si="158"/>
        <v>43281</v>
      </c>
      <c r="AM62" s="48">
        <f>AM2</f>
        <v>43373</v>
      </c>
      <c r="AN62" s="48">
        <f>AN2</f>
        <v>43465</v>
      </c>
      <c r="AO62" s="48">
        <f t="shared" ref="AO62:AT62" si="159">+AO2</f>
        <v>43555</v>
      </c>
      <c r="AP62" s="48">
        <f t="shared" si="159"/>
        <v>43646</v>
      </c>
      <c r="AQ62" s="48">
        <f t="shared" si="159"/>
        <v>43738</v>
      </c>
      <c r="AR62" s="48">
        <f t="shared" si="159"/>
        <v>43830</v>
      </c>
      <c r="AS62" s="48">
        <f t="shared" si="159"/>
        <v>43921</v>
      </c>
      <c r="AT62" s="48">
        <f t="shared" si="159"/>
        <v>44012</v>
      </c>
      <c r="AU62" s="48">
        <f t="shared" ref="AU62:AZ62" si="160">+AU2</f>
        <v>44104</v>
      </c>
      <c r="AV62" s="48">
        <f t="shared" si="160"/>
        <v>44196</v>
      </c>
      <c r="AW62" s="48">
        <f t="shared" si="160"/>
        <v>44286</v>
      </c>
      <c r="AX62" s="48">
        <f t="shared" si="160"/>
        <v>44377</v>
      </c>
      <c r="AY62" s="48">
        <f t="shared" si="160"/>
        <v>44469</v>
      </c>
      <c r="AZ62" s="48">
        <f t="shared" si="160"/>
        <v>44561</v>
      </c>
      <c r="BA62" s="48">
        <f t="shared" ref="BA62:BF62" si="161">+BA2</f>
        <v>44651</v>
      </c>
      <c r="BB62" s="48">
        <f t="shared" si="161"/>
        <v>44742</v>
      </c>
      <c r="BC62" s="48">
        <f t="shared" si="161"/>
        <v>44834</v>
      </c>
      <c r="BD62" s="48">
        <f t="shared" si="161"/>
        <v>44926</v>
      </c>
      <c r="BE62" s="48">
        <f t="shared" si="161"/>
        <v>45016</v>
      </c>
      <c r="BF62" s="48">
        <f t="shared" si="161"/>
        <v>45107</v>
      </c>
      <c r="BG62" s="48">
        <f>+BG2</f>
        <v>45199</v>
      </c>
    </row>
    <row r="63" spans="1:59" ht="13.5" customHeight="1">
      <c r="B63" s="7" t="s">
        <v>454</v>
      </c>
      <c r="C63" s="6">
        <f>C24</f>
        <v>2046.0999999999992</v>
      </c>
      <c r="D63" s="6">
        <f t="shared" ref="D63:AI63" si="162">D24</f>
        <v>2246.7999999999993</v>
      </c>
      <c r="E63" s="6">
        <f t="shared" si="162"/>
        <v>2181.9999999999995</v>
      </c>
      <c r="F63" s="6">
        <f t="shared" ref="F63:L63" si="163">F24</f>
        <v>2932.3999999999978</v>
      </c>
      <c r="G63" s="6">
        <f t="shared" si="163"/>
        <v>4359.8609999999981</v>
      </c>
      <c r="H63" s="6">
        <f t="shared" si="163"/>
        <v>5033.2000000000007</v>
      </c>
      <c r="I63" s="6">
        <f t="shared" si="163"/>
        <v>5772.3409999999994</v>
      </c>
      <c r="J63" s="6">
        <f t="shared" si="163"/>
        <v>14131.477000000003</v>
      </c>
      <c r="K63" s="6">
        <f>K24</f>
        <v>19316.750999999993</v>
      </c>
      <c r="L63" s="6">
        <f t="shared" si="163"/>
        <v>38560.654000000017</v>
      </c>
      <c r="M63" s="6"/>
      <c r="N63" s="6"/>
      <c r="O63" s="6"/>
      <c r="P63" s="108"/>
      <c r="Q63" s="6">
        <f t="shared" si="162"/>
        <v>446.90000000000015</v>
      </c>
      <c r="R63" s="6">
        <f t="shared" si="162"/>
        <v>481.59999999999985</v>
      </c>
      <c r="S63" s="6">
        <f t="shared" si="162"/>
        <v>628.39999999999918</v>
      </c>
      <c r="T63" s="6">
        <f t="shared" si="162"/>
        <v>334.30000000000121</v>
      </c>
      <c r="U63" s="6">
        <f t="shared" si="162"/>
        <v>484.19999999999982</v>
      </c>
      <c r="V63" s="6">
        <f t="shared" si="162"/>
        <v>428.80000000000007</v>
      </c>
      <c r="W63" s="6">
        <f t="shared" si="162"/>
        <v>665.3</v>
      </c>
      <c r="X63" s="6">
        <f t="shared" si="162"/>
        <v>467.80000000000018</v>
      </c>
      <c r="Y63" s="6">
        <f t="shared" si="162"/>
        <v>479.5</v>
      </c>
      <c r="Z63" s="6">
        <f t="shared" si="162"/>
        <v>461.89999999999964</v>
      </c>
      <c r="AA63" s="6">
        <f t="shared" si="162"/>
        <v>715.30000000000018</v>
      </c>
      <c r="AB63" s="6">
        <f t="shared" si="162"/>
        <v>590.09999999999968</v>
      </c>
      <c r="AC63" s="6">
        <f t="shared" si="162"/>
        <v>535.6</v>
      </c>
      <c r="AD63" s="6">
        <f t="shared" si="162"/>
        <v>475.99999999999989</v>
      </c>
      <c r="AE63" s="6">
        <f t="shared" si="162"/>
        <v>448.00000000000057</v>
      </c>
      <c r="AF63" s="6">
        <f t="shared" si="162"/>
        <v>722.4000000000002</v>
      </c>
      <c r="AG63" s="6">
        <f t="shared" si="162"/>
        <v>775.2</v>
      </c>
      <c r="AH63" s="6">
        <f t="shared" si="162"/>
        <v>803.2</v>
      </c>
      <c r="AI63" s="6">
        <f t="shared" si="162"/>
        <v>941.39999999999964</v>
      </c>
      <c r="AJ63" s="6">
        <f t="shared" ref="AJ63:AO63" si="164">AJ24</f>
        <v>412.4999999999992</v>
      </c>
      <c r="AK63" s="6">
        <f t="shared" si="164"/>
        <v>1008.6999999999992</v>
      </c>
      <c r="AL63" s="6">
        <f t="shared" si="164"/>
        <v>1057.7999999999995</v>
      </c>
      <c r="AM63" s="6">
        <f t="shared" si="164"/>
        <v>1294.7130000000002</v>
      </c>
      <c r="AN63" s="6">
        <f t="shared" si="164"/>
        <v>998.64799999999832</v>
      </c>
      <c r="AO63" s="6">
        <f t="shared" si="164"/>
        <v>1051.2000000000005</v>
      </c>
      <c r="AP63" s="6">
        <f t="shared" ref="AP63:AU63" si="165">AP24</f>
        <v>1213.2000000000005</v>
      </c>
      <c r="AQ63" s="6">
        <f t="shared" si="165"/>
        <v>1548.1999999999991</v>
      </c>
      <c r="AR63" s="6">
        <f t="shared" si="165"/>
        <v>1220.6000000000001</v>
      </c>
      <c r="AS63" s="6">
        <f t="shared" si="165"/>
        <v>1343.0000000000002</v>
      </c>
      <c r="AT63" s="6">
        <f t="shared" si="165"/>
        <v>1321.5999999999992</v>
      </c>
      <c r="AU63" s="6">
        <f t="shared" si="165"/>
        <v>1866.1229999999991</v>
      </c>
      <c r="AV63" s="6">
        <f t="shared" ref="AV63:BA63" si="166">AV24</f>
        <v>1241.6180000000013</v>
      </c>
      <c r="AW63" s="6">
        <f t="shared" si="166"/>
        <v>1638.4000000000012</v>
      </c>
      <c r="AX63" s="6">
        <f t="shared" si="166"/>
        <v>1430.5999999999995</v>
      </c>
      <c r="AY63" s="6">
        <f t="shared" si="166"/>
        <v>2192.0569999999993</v>
      </c>
      <c r="AZ63" s="6">
        <f t="shared" si="166"/>
        <v>8870.4200000000055</v>
      </c>
      <c r="BA63" s="6">
        <f t="shared" si="166"/>
        <v>3711.5989999999993</v>
      </c>
      <c r="BB63" s="6">
        <f t="shared" ref="BB63:BG63" si="167">BB24</f>
        <v>4413.1000000000004</v>
      </c>
      <c r="BC63" s="6">
        <f t="shared" si="167"/>
        <v>3627.0060000000003</v>
      </c>
      <c r="BD63" s="6">
        <f t="shared" si="167"/>
        <v>7565.0460000000021</v>
      </c>
      <c r="BE63" s="6">
        <f t="shared" si="167"/>
        <v>11143.923999999999</v>
      </c>
      <c r="BF63" s="6">
        <f t="shared" si="167"/>
        <v>12025.661999999997</v>
      </c>
      <c r="BG63" s="6">
        <f t="shared" si="167"/>
        <v>7826.0220000000008</v>
      </c>
    </row>
    <row r="64" spans="1:59" ht="13.5" customHeight="1">
      <c r="B64" s="7" t="s">
        <v>455</v>
      </c>
      <c r="C64" s="6">
        <f t="shared" ref="C64:I64" si="168">-C17</f>
        <v>1639.4</v>
      </c>
      <c r="D64" s="6">
        <f t="shared" si="168"/>
        <v>1667.8</v>
      </c>
      <c r="E64" s="6">
        <f t="shared" si="168"/>
        <v>2203.1999999999998</v>
      </c>
      <c r="F64" s="6">
        <f t="shared" si="168"/>
        <v>2597</v>
      </c>
      <c r="G64" s="6">
        <f t="shared" si="168"/>
        <v>4288</v>
      </c>
      <c r="H64" s="6">
        <f t="shared" si="168"/>
        <v>5046.6000000000004</v>
      </c>
      <c r="I64" s="6">
        <f t="shared" si="168"/>
        <v>5974.7790000000005</v>
      </c>
      <c r="J64" s="6">
        <f>-J17</f>
        <v>7291.9129999999996</v>
      </c>
      <c r="K64" s="6">
        <f>-K17</f>
        <v>9478.0120000000006</v>
      </c>
      <c r="L64" s="6">
        <f>-L17</f>
        <v>11626.050000000001</v>
      </c>
      <c r="M64" s="6"/>
      <c r="N64" s="40"/>
      <c r="O64" s="40"/>
      <c r="P64" s="97"/>
      <c r="Q64" s="6">
        <f t="shared" ref="Q64:X64" si="169">-Q17</f>
        <v>360.4</v>
      </c>
      <c r="R64" s="6">
        <f t="shared" si="169"/>
        <v>366.8</v>
      </c>
      <c r="S64" s="6">
        <f t="shared" si="169"/>
        <v>385.6</v>
      </c>
      <c r="T64" s="6">
        <f t="shared" si="169"/>
        <v>481.6</v>
      </c>
      <c r="U64" s="6">
        <f t="shared" si="169"/>
        <v>399.6</v>
      </c>
      <c r="V64" s="6">
        <f t="shared" si="169"/>
        <v>386.2</v>
      </c>
      <c r="W64" s="6">
        <f t="shared" si="169"/>
        <v>402.98723481916466</v>
      </c>
      <c r="X64" s="6">
        <f t="shared" si="169"/>
        <v>450.7</v>
      </c>
      <c r="Y64" s="6">
        <f t="shared" ref="Y64:AI64" si="170">-Y17</f>
        <v>394.3</v>
      </c>
      <c r="Z64" s="6">
        <f t="shared" si="170"/>
        <v>409.5</v>
      </c>
      <c r="AA64" s="6">
        <f t="shared" si="170"/>
        <v>426.9</v>
      </c>
      <c r="AB64" s="6">
        <f t="shared" si="170"/>
        <v>437</v>
      </c>
      <c r="AC64" s="6">
        <f t="shared" si="170"/>
        <v>454.81526011189203</v>
      </c>
      <c r="AD64" s="6">
        <f t="shared" si="170"/>
        <v>567.08405916663105</v>
      </c>
      <c r="AE64" s="6">
        <f t="shared" si="170"/>
        <v>577</v>
      </c>
      <c r="AF64" s="6">
        <f t="shared" si="170"/>
        <v>604.29999999999995</v>
      </c>
      <c r="AG64" s="6">
        <f t="shared" si="170"/>
        <v>628.4</v>
      </c>
      <c r="AH64" s="6">
        <f t="shared" si="170"/>
        <v>617</v>
      </c>
      <c r="AI64" s="6">
        <f t="shared" si="170"/>
        <v>651</v>
      </c>
      <c r="AJ64" s="6">
        <f t="shared" ref="AJ64:AO64" si="171">-AJ17</f>
        <v>700.5</v>
      </c>
      <c r="AK64" s="6">
        <f t="shared" si="171"/>
        <v>979.8</v>
      </c>
      <c r="AL64" s="6">
        <f t="shared" si="171"/>
        <v>1046.0999999999999</v>
      </c>
      <c r="AM64" s="6">
        <f t="shared" si="171"/>
        <v>975.10599999999999</v>
      </c>
      <c r="AN64" s="6">
        <f t="shared" si="171"/>
        <v>1286.9940000000004</v>
      </c>
      <c r="AO64" s="6">
        <f t="shared" si="171"/>
        <v>1178.0999999999999</v>
      </c>
      <c r="AP64" s="6">
        <f t="shared" ref="AP64:AU64" si="172">-AP17</f>
        <v>1265.8</v>
      </c>
      <c r="AQ64" s="6">
        <f t="shared" si="172"/>
        <v>1197.7</v>
      </c>
      <c r="AR64" s="6">
        <f t="shared" si="172"/>
        <v>1405.0000000000005</v>
      </c>
      <c r="AS64" s="6">
        <f t="shared" si="172"/>
        <v>1372.1</v>
      </c>
      <c r="AT64" s="6">
        <f t="shared" si="172"/>
        <v>1451.5</v>
      </c>
      <c r="AU64" s="6">
        <f t="shared" si="172"/>
        <v>1516.588</v>
      </c>
      <c r="AV64" s="6">
        <f>I64-AU64-AT64-AS64</f>
        <v>1634.5910000000008</v>
      </c>
      <c r="AW64" s="6">
        <f>-AW17</f>
        <v>1656</v>
      </c>
      <c r="AX64" s="6">
        <f>-AX17</f>
        <v>1742.9</v>
      </c>
      <c r="AY64" s="6">
        <f>-AY17</f>
        <v>1817.5989999999999</v>
      </c>
      <c r="AZ64" s="6">
        <f>J64-AY64-AX64-AW64</f>
        <v>2075.4139999999993</v>
      </c>
      <c r="BA64" s="6">
        <f>-BA17</f>
        <v>2102.7170000000001</v>
      </c>
      <c r="BB64" s="6">
        <f>-BB17</f>
        <v>2480.1</v>
      </c>
      <c r="BC64" s="6">
        <f>-BC17</f>
        <v>2397.6570000000002</v>
      </c>
      <c r="BD64" s="6">
        <f>K64-BC64-BB64-BA64</f>
        <v>2497.5380000000009</v>
      </c>
      <c r="BE64" s="6">
        <f>-BE17</f>
        <v>2682.8609999999999</v>
      </c>
      <c r="BF64" s="6">
        <f>-BF17</f>
        <v>2987.4290000000001</v>
      </c>
      <c r="BG64" s="6">
        <f>-BG17</f>
        <v>3458.2220000000002</v>
      </c>
    </row>
    <row r="65" spans="1:59" s="5" customFormat="1" ht="13.5" customHeight="1">
      <c r="B65" s="5" t="s">
        <v>453</v>
      </c>
      <c r="C65" s="8">
        <f t="shared" ref="C65:L65" si="173">SUM(C63+C64)</f>
        <v>3685.4999999999991</v>
      </c>
      <c r="D65" s="8">
        <f t="shared" si="173"/>
        <v>3914.5999999999995</v>
      </c>
      <c r="E65" s="8">
        <f t="shared" si="173"/>
        <v>4385.1999999999989</v>
      </c>
      <c r="F65" s="8">
        <f t="shared" si="173"/>
        <v>5529.3999999999978</v>
      </c>
      <c r="G65" s="8">
        <f t="shared" si="173"/>
        <v>8647.8609999999971</v>
      </c>
      <c r="H65" s="8">
        <f>SUM(H63+H64)</f>
        <v>10079.800000000001</v>
      </c>
      <c r="I65" s="8">
        <f>SUM(I63+I64)</f>
        <v>11747.119999999999</v>
      </c>
      <c r="J65" s="8">
        <f>SUM(J63+J64)</f>
        <v>21423.390000000003</v>
      </c>
      <c r="K65" s="8">
        <f>SUM(K63+K64)</f>
        <v>28794.762999999992</v>
      </c>
      <c r="L65" s="8">
        <f t="shared" si="173"/>
        <v>50186.70400000002</v>
      </c>
      <c r="M65" s="8"/>
      <c r="N65" s="51"/>
      <c r="O65" s="51"/>
      <c r="P65" s="98"/>
      <c r="Q65" s="8">
        <f t="shared" ref="Q65:X65" si="174">SUM(Q63+Q64)</f>
        <v>807.30000000000018</v>
      </c>
      <c r="R65" s="8">
        <f t="shared" si="174"/>
        <v>848.39999999999986</v>
      </c>
      <c r="S65" s="8">
        <f t="shared" si="174"/>
        <v>1013.9999999999992</v>
      </c>
      <c r="T65" s="8">
        <f t="shared" si="174"/>
        <v>815.90000000000123</v>
      </c>
      <c r="U65" s="8">
        <f t="shared" si="174"/>
        <v>883.79999999999984</v>
      </c>
      <c r="V65" s="8">
        <f t="shared" si="174"/>
        <v>815</v>
      </c>
      <c r="W65" s="8">
        <f t="shared" si="174"/>
        <v>1068.2872348191645</v>
      </c>
      <c r="X65" s="8">
        <f t="shared" si="174"/>
        <v>918.50000000000023</v>
      </c>
      <c r="Y65" s="8">
        <f t="shared" ref="Y65:AN65" si="175">SUM(Y63+Y64)</f>
        <v>873.8</v>
      </c>
      <c r="Z65" s="8">
        <f t="shared" si="175"/>
        <v>871.39999999999964</v>
      </c>
      <c r="AA65" s="8">
        <f t="shared" si="175"/>
        <v>1142.2000000000003</v>
      </c>
      <c r="AB65" s="8">
        <f t="shared" si="175"/>
        <v>1027.0999999999997</v>
      </c>
      <c r="AC65" s="8">
        <f t="shared" si="175"/>
        <v>990.41526011189205</v>
      </c>
      <c r="AD65" s="8">
        <f t="shared" si="175"/>
        <v>1043.0840591666311</v>
      </c>
      <c r="AE65" s="8">
        <f t="shared" si="175"/>
        <v>1025.0000000000005</v>
      </c>
      <c r="AF65" s="8">
        <f t="shared" si="175"/>
        <v>1326.7000000000003</v>
      </c>
      <c r="AG65" s="8">
        <f t="shared" si="175"/>
        <v>1403.6</v>
      </c>
      <c r="AH65" s="8">
        <f t="shared" si="175"/>
        <v>1420.2</v>
      </c>
      <c r="AI65" s="8">
        <f t="shared" si="175"/>
        <v>1592.3999999999996</v>
      </c>
      <c r="AJ65" s="8">
        <f t="shared" si="175"/>
        <v>1112.9999999999991</v>
      </c>
      <c r="AK65" s="8">
        <f t="shared" si="175"/>
        <v>1988.4999999999991</v>
      </c>
      <c r="AL65" s="8">
        <f t="shared" si="175"/>
        <v>2103.8999999999996</v>
      </c>
      <c r="AM65" s="8">
        <f t="shared" si="175"/>
        <v>2269.8190000000004</v>
      </c>
      <c r="AN65" s="8">
        <f t="shared" si="175"/>
        <v>2285.6419999999989</v>
      </c>
      <c r="AO65" s="8">
        <f t="shared" ref="AO65:AT65" si="176">SUM(AO63+AO64)</f>
        <v>2229.3000000000002</v>
      </c>
      <c r="AP65" s="8">
        <f t="shared" si="176"/>
        <v>2479.0000000000005</v>
      </c>
      <c r="AQ65" s="8">
        <f t="shared" si="176"/>
        <v>2745.8999999999992</v>
      </c>
      <c r="AR65" s="8">
        <f t="shared" si="176"/>
        <v>2625.6000000000004</v>
      </c>
      <c r="AS65" s="8">
        <f t="shared" si="176"/>
        <v>2715.1000000000004</v>
      </c>
      <c r="AT65" s="8">
        <f t="shared" si="176"/>
        <v>2773.0999999999995</v>
      </c>
      <c r="AU65" s="8">
        <f t="shared" ref="AU65:AZ65" si="177">SUM(AU63+AU64)</f>
        <v>3382.7109999999993</v>
      </c>
      <c r="AV65" s="8">
        <f t="shared" si="177"/>
        <v>2876.2090000000021</v>
      </c>
      <c r="AW65" s="8">
        <f t="shared" si="177"/>
        <v>3294.4000000000015</v>
      </c>
      <c r="AX65" s="8">
        <f t="shared" si="177"/>
        <v>3173.4999999999995</v>
      </c>
      <c r="AY65" s="8">
        <f t="shared" si="177"/>
        <v>4009.655999999999</v>
      </c>
      <c r="AZ65" s="8">
        <f t="shared" si="177"/>
        <v>10945.834000000004</v>
      </c>
      <c r="BA65" s="8">
        <f t="shared" ref="BA65:BG65" si="178">SUM(BA63+BA64)</f>
        <v>5814.3159999999989</v>
      </c>
      <c r="BB65" s="8">
        <f t="shared" si="178"/>
        <v>6893.2000000000007</v>
      </c>
      <c r="BC65" s="8">
        <f t="shared" si="178"/>
        <v>6024.6630000000005</v>
      </c>
      <c r="BD65" s="8">
        <f t="shared" si="178"/>
        <v>10062.584000000003</v>
      </c>
      <c r="BE65" s="8">
        <f t="shared" si="178"/>
        <v>13826.785</v>
      </c>
      <c r="BF65" s="8">
        <f t="shared" si="178"/>
        <v>15013.090999999997</v>
      </c>
      <c r="BG65" s="8">
        <f t="shared" si="178"/>
        <v>11284.244000000001</v>
      </c>
    </row>
    <row r="66" spans="1:59" s="29" customFormat="1" ht="13.5" customHeight="1">
      <c r="B66" s="20" t="s">
        <v>456</v>
      </c>
      <c r="C66" s="206">
        <f>C65/(1891.2+1594.4)-1</f>
        <v>5.7350240991507651E-2</v>
      </c>
      <c r="D66" s="21">
        <f t="shared" ref="D66:K66" si="179">+D65/C65-1</f>
        <v>6.2162528829195596E-2</v>
      </c>
      <c r="E66" s="21">
        <f t="shared" si="179"/>
        <v>0.12021662494252272</v>
      </c>
      <c r="F66" s="21">
        <f t="shared" si="179"/>
        <v>0.26092310498950999</v>
      </c>
      <c r="G66" s="21">
        <f t="shared" si="179"/>
        <v>0.56397818931529642</v>
      </c>
      <c r="H66" s="21">
        <f t="shared" si="179"/>
        <v>0.16558302683172221</v>
      </c>
      <c r="I66" s="21">
        <f t="shared" si="179"/>
        <v>0.16541201214309775</v>
      </c>
      <c r="J66" s="21">
        <f t="shared" si="179"/>
        <v>0.82371423804302712</v>
      </c>
      <c r="K66" s="21">
        <f t="shared" si="179"/>
        <v>0.34408060535704132</v>
      </c>
      <c r="L66" s="21"/>
      <c r="M66" s="315"/>
      <c r="N66" s="21"/>
      <c r="O66" s="21"/>
      <c r="P66" s="100"/>
      <c r="Q66" s="183"/>
      <c r="R66" s="183"/>
      <c r="S66" s="183"/>
      <c r="T66" s="183"/>
      <c r="U66" s="183">
        <f t="shared" ref="U66:AB66" si="180">+U65/Q65-1</f>
        <v>9.4760312151616066E-2</v>
      </c>
      <c r="V66" s="183">
        <f t="shared" si="180"/>
        <v>-3.9368222536539266E-2</v>
      </c>
      <c r="W66" s="183">
        <f t="shared" si="180"/>
        <v>5.3537706922253792E-2</v>
      </c>
      <c r="X66" s="183">
        <f t="shared" si="180"/>
        <v>0.12575070474322692</v>
      </c>
      <c r="Y66" s="183">
        <f t="shared" si="180"/>
        <v>-1.131477709889106E-2</v>
      </c>
      <c r="Z66" s="183">
        <f t="shared" si="180"/>
        <v>6.9202453987729617E-2</v>
      </c>
      <c r="AA66" s="183">
        <f t="shared" si="180"/>
        <v>6.9188101075968955E-2</v>
      </c>
      <c r="AB66" s="183">
        <f t="shared" si="180"/>
        <v>0.11823625476320032</v>
      </c>
      <c r="AC66" s="21">
        <f t="shared" ref="AC66:AL66" si="181">+AC65/Y65-1</f>
        <v>0.13345761056522321</v>
      </c>
      <c r="AD66" s="208">
        <f t="shared" si="181"/>
        <v>0.19702095382904683</v>
      </c>
      <c r="AE66" s="208">
        <f t="shared" si="181"/>
        <v>-0.10260900017510055</v>
      </c>
      <c r="AF66" s="208">
        <f t="shared" si="181"/>
        <v>0.29169506377178522</v>
      </c>
      <c r="AG66" s="21">
        <f t="shared" si="181"/>
        <v>0.41718333362657223</v>
      </c>
      <c r="AH66" s="21">
        <f t="shared" si="181"/>
        <v>0.36153935775287827</v>
      </c>
      <c r="AI66" s="21">
        <f t="shared" si="181"/>
        <v>0.55356097560975503</v>
      </c>
      <c r="AJ66" s="208">
        <f t="shared" si="181"/>
        <v>-0.16107635486545646</v>
      </c>
      <c r="AK66" s="21">
        <f t="shared" si="181"/>
        <v>0.41671416357936675</v>
      </c>
      <c r="AL66" s="21">
        <f t="shared" si="181"/>
        <v>0.48141106886354001</v>
      </c>
      <c r="AM66" s="21">
        <f t="shared" ref="AM66:BG66" si="182">+AM65/AI65-1</f>
        <v>0.42540756091434373</v>
      </c>
      <c r="AN66" s="21">
        <f t="shared" si="182"/>
        <v>1.0535867026055712</v>
      </c>
      <c r="AO66" s="21">
        <f t="shared" si="182"/>
        <v>0.12109630374654312</v>
      </c>
      <c r="AP66" s="21">
        <f t="shared" si="182"/>
        <v>0.17828794144208415</v>
      </c>
      <c r="AQ66" s="21">
        <f t="shared" si="182"/>
        <v>0.20974403685932619</v>
      </c>
      <c r="AR66" s="21">
        <f t="shared" si="182"/>
        <v>0.14873632878639853</v>
      </c>
      <c r="AS66" s="21">
        <f t="shared" si="182"/>
        <v>0.21791593773830353</v>
      </c>
      <c r="AT66" s="21">
        <f t="shared" si="182"/>
        <v>0.11863654699475545</v>
      </c>
      <c r="AU66" s="21">
        <f t="shared" si="182"/>
        <v>0.23191339815725276</v>
      </c>
      <c r="AV66" s="21">
        <f t="shared" si="182"/>
        <v>9.5448278488726945E-2</v>
      </c>
      <c r="AW66" s="21">
        <f t="shared" si="182"/>
        <v>0.21336230709734494</v>
      </c>
      <c r="AX66" s="21">
        <f t="shared" si="182"/>
        <v>0.1443871479571599</v>
      </c>
      <c r="AY66" s="21">
        <f t="shared" si="182"/>
        <v>0.1853380321286684</v>
      </c>
      <c r="AZ66" s="21">
        <f t="shared" si="182"/>
        <v>2.8056462517153644</v>
      </c>
      <c r="BA66" s="21">
        <f t="shared" si="182"/>
        <v>0.76490893637688084</v>
      </c>
      <c r="BB66" s="21">
        <f t="shared" si="182"/>
        <v>1.1721128092011979</v>
      </c>
      <c r="BC66" s="21">
        <f t="shared" si="182"/>
        <v>0.50253862176705488</v>
      </c>
      <c r="BD66" s="21">
        <f t="shared" si="182"/>
        <v>-8.0692800566864231E-2</v>
      </c>
      <c r="BE66" s="21">
        <f t="shared" si="182"/>
        <v>1.3780587432812395</v>
      </c>
      <c r="BF66" s="21">
        <f t="shared" si="182"/>
        <v>1.1779566819474256</v>
      </c>
      <c r="BG66" s="21">
        <f t="shared" si="182"/>
        <v>0.87300833258225397</v>
      </c>
    </row>
    <row r="67" spans="1:59" s="29" customFormat="1" ht="13.5" customHeight="1">
      <c r="B67" s="20" t="s">
        <v>457</v>
      </c>
      <c r="C67" s="21">
        <f t="shared" ref="C67:L67" si="183">C65/C14</f>
        <v>0.3060131522136238</v>
      </c>
      <c r="D67" s="21">
        <f t="shared" si="183"/>
        <v>0.30656099738437198</v>
      </c>
      <c r="E67" s="21">
        <f t="shared" si="183"/>
        <v>0.30696645573164577</v>
      </c>
      <c r="F67" s="21">
        <f t="shared" si="183"/>
        <v>0.31359849365645603</v>
      </c>
      <c r="G67" s="21">
        <f t="shared" si="183"/>
        <v>0.40614634982546638</v>
      </c>
      <c r="H67" s="21">
        <f>H65/H14</f>
        <v>0.40099135941950581</v>
      </c>
      <c r="I67" s="21">
        <f>I65/I14</f>
        <v>0.40362825348296316</v>
      </c>
      <c r="J67" s="21">
        <f>J65/J14</f>
        <v>0.59641124149162739</v>
      </c>
      <c r="K67" s="21">
        <f>K65/K14</f>
        <v>0.53443883924014213</v>
      </c>
      <c r="L67" s="21">
        <f t="shared" si="183"/>
        <v>0.61986579635531547</v>
      </c>
      <c r="M67" s="315"/>
      <c r="N67" s="21"/>
      <c r="O67" s="21"/>
      <c r="P67" s="100"/>
      <c r="Q67" s="183">
        <f t="shared" ref="Q67:X67" si="184">Q65/Q14</f>
        <v>0.30029013539651844</v>
      </c>
      <c r="R67" s="183">
        <f t="shared" si="184"/>
        <v>0.29714205659848697</v>
      </c>
      <c r="S67" s="183">
        <f t="shared" si="184"/>
        <v>0.34018854631462386</v>
      </c>
      <c r="T67" s="183">
        <f t="shared" si="184"/>
        <v>0.28294492994867565</v>
      </c>
      <c r="U67" s="183">
        <f t="shared" si="184"/>
        <v>0.30954048753152141</v>
      </c>
      <c r="V67" s="183">
        <f t="shared" si="184"/>
        <v>0.27882312692439276</v>
      </c>
      <c r="W67" s="183">
        <f t="shared" si="184"/>
        <v>0.33783038227157186</v>
      </c>
      <c r="X67" s="183">
        <f t="shared" si="184"/>
        <v>0.29598478989430271</v>
      </c>
      <c r="Y67" s="183">
        <f t="shared" ref="Y67:AI67" si="185">Y65/Y14</f>
        <v>0.29339869719965078</v>
      </c>
      <c r="Z67" s="183">
        <f t="shared" si="185"/>
        <v>0.28174205438261818</v>
      </c>
      <c r="AA67" s="183">
        <f t="shared" si="185"/>
        <v>0.33955645401034551</v>
      </c>
      <c r="AB67" s="183">
        <f t="shared" si="185"/>
        <v>0.30802219223271843</v>
      </c>
      <c r="AC67" s="21">
        <f t="shared" si="185"/>
        <v>0.30706742112974889</v>
      </c>
      <c r="AD67" s="21">
        <f t="shared" si="185"/>
        <v>0.31061733098080196</v>
      </c>
      <c r="AE67" s="21">
        <f t="shared" si="185"/>
        <v>0.28016946836135037</v>
      </c>
      <c r="AF67" s="21">
        <f t="shared" si="185"/>
        <v>0.32809872390938771</v>
      </c>
      <c r="AG67" s="21">
        <f t="shared" si="185"/>
        <v>0.34634555593939692</v>
      </c>
      <c r="AH67" s="21">
        <f t="shared" si="185"/>
        <v>0.32905468025949952</v>
      </c>
      <c r="AI67" s="21">
        <f t="shared" si="185"/>
        <v>0.3463696872145125</v>
      </c>
      <c r="AJ67" s="21">
        <f t="shared" ref="AJ67:AO67" si="186">AJ65/AJ14</f>
        <v>0.23852896423137074</v>
      </c>
      <c r="AK67" s="21">
        <f t="shared" si="186"/>
        <v>0.41761172715053752</v>
      </c>
      <c r="AL67" s="21">
        <f t="shared" si="186"/>
        <v>0.41210922196975625</v>
      </c>
      <c r="AM67" s="21">
        <f t="shared" si="186"/>
        <v>0.39139939026493137</v>
      </c>
      <c r="AN67" s="21">
        <f t="shared" si="186"/>
        <v>0.40623272107471242</v>
      </c>
      <c r="AO67" s="21">
        <f t="shared" si="186"/>
        <v>0.39280050745321915</v>
      </c>
      <c r="AP67" s="21">
        <f t="shared" ref="AP67:AU67" si="187">AP65/AP14</f>
        <v>0.40041349679378468</v>
      </c>
      <c r="AQ67" s="21">
        <f t="shared" si="187"/>
        <v>0.41687288405775091</v>
      </c>
      <c r="AR67" s="21">
        <f t="shared" si="187"/>
        <v>0.39283042580567945</v>
      </c>
      <c r="AS67" s="21">
        <f t="shared" si="187"/>
        <v>0.40777675983359118</v>
      </c>
      <c r="AT67" s="21">
        <f t="shared" si="187"/>
        <v>0.40051127254870805</v>
      </c>
      <c r="AU67" s="21">
        <f t="shared" si="187"/>
        <v>0.44221502375785193</v>
      </c>
      <c r="AV67" s="21">
        <f t="shared" ref="AV67:BA67" si="188">AV65/AV14</f>
        <v>0.36536562680105134</v>
      </c>
      <c r="AW67" s="21">
        <f t="shared" si="188"/>
        <v>0.42092889541940853</v>
      </c>
      <c r="AX67" s="21">
        <f t="shared" si="188"/>
        <v>0.37124340512148613</v>
      </c>
      <c r="AY67" s="21">
        <f t="shared" si="188"/>
        <v>0.42864615409943274</v>
      </c>
      <c r="AZ67" s="21">
        <f t="shared" si="188"/>
        <v>1.0740194713871911</v>
      </c>
      <c r="BA67" s="21">
        <f t="shared" si="188"/>
        <v>0.54364724653053342</v>
      </c>
      <c r="BB67" s="21">
        <f t="shared" ref="BB67:BG67" si="189">BB65/BB14</f>
        <v>0.55247254949106361</v>
      </c>
      <c r="BC67" s="21">
        <f t="shared" si="189"/>
        <v>0.41088957146219462</v>
      </c>
      <c r="BD67" s="21">
        <f t="shared" si="189"/>
        <v>0.62718685374972361</v>
      </c>
      <c r="BE67" s="21">
        <f t="shared" si="189"/>
        <v>0.80035301285759586</v>
      </c>
      <c r="BF67" s="21">
        <f t="shared" si="189"/>
        <v>0.69341389196175451</v>
      </c>
      <c r="BG67" s="21">
        <f t="shared" si="189"/>
        <v>0.43412649858696495</v>
      </c>
    </row>
    <row r="68" spans="1:59" ht="13.5" customHeight="1">
      <c r="B68" s="170" t="str">
        <f>B23</f>
        <v>Other Operating Income / (Expense)</v>
      </c>
      <c r="C68" s="6">
        <f t="shared" ref="C68:I68" si="190">-C23</f>
        <v>76.3</v>
      </c>
      <c r="D68" s="6">
        <f t="shared" si="190"/>
        <v>225.9</v>
      </c>
      <c r="E68" s="6">
        <f t="shared" si="190"/>
        <v>234.29999999999998</v>
      </c>
      <c r="F68" s="6">
        <f t="shared" si="190"/>
        <v>698.9</v>
      </c>
      <c r="G68" s="6">
        <f t="shared" si="190"/>
        <v>140.14699999999999</v>
      </c>
      <c r="H68" s="6">
        <f t="shared" si="190"/>
        <v>346.6</v>
      </c>
      <c r="I68" s="6">
        <f t="shared" si="190"/>
        <v>523.25</v>
      </c>
      <c r="J68" s="6">
        <f>-J23</f>
        <v>-6409.6189999999997</v>
      </c>
      <c r="K68" s="6">
        <f>-K23</f>
        <v>-6800.8670000000002</v>
      </c>
      <c r="L68" s="6">
        <f>-L23</f>
        <v>-9941.0400000000009</v>
      </c>
      <c r="M68" s="6"/>
      <c r="N68" s="4"/>
      <c r="O68" s="4"/>
      <c r="P68" s="110"/>
      <c r="Q68" s="207">
        <f t="shared" ref="Q68:X68" si="191">-Q23</f>
        <v>0.3</v>
      </c>
      <c r="R68" s="207">
        <f t="shared" si="191"/>
        <v>20.799999999999997</v>
      </c>
      <c r="S68" s="207">
        <f t="shared" si="191"/>
        <v>2.2000000000000028</v>
      </c>
      <c r="T68" s="207">
        <f t="shared" si="191"/>
        <v>35.599999999999994</v>
      </c>
      <c r="U68" s="207">
        <f t="shared" si="191"/>
        <v>3.5</v>
      </c>
      <c r="V68" s="207">
        <f t="shared" si="191"/>
        <v>92</v>
      </c>
      <c r="W68" s="207">
        <f t="shared" si="191"/>
        <v>-17.799999999999997</v>
      </c>
      <c r="X68" s="207">
        <f t="shared" si="191"/>
        <v>-1.4</v>
      </c>
      <c r="Y68" s="207">
        <f t="shared" ref="Y68:AI68" si="192">-Y23</f>
        <v>53</v>
      </c>
      <c r="Z68" s="207">
        <f t="shared" si="192"/>
        <v>123.4</v>
      </c>
      <c r="AA68" s="207">
        <f t="shared" si="192"/>
        <v>18.399999999999999</v>
      </c>
      <c r="AB68" s="207">
        <f t="shared" si="192"/>
        <v>31.1</v>
      </c>
      <c r="AC68" s="207">
        <f t="shared" si="192"/>
        <v>11.1</v>
      </c>
      <c r="AD68" s="207">
        <f t="shared" si="192"/>
        <v>-13.8</v>
      </c>
      <c r="AE68" s="207">
        <f t="shared" si="192"/>
        <v>192.6</v>
      </c>
      <c r="AF68" s="207">
        <f t="shared" si="192"/>
        <v>44.4</v>
      </c>
      <c r="AG68" s="207">
        <f t="shared" si="192"/>
        <v>-3.6</v>
      </c>
      <c r="AH68" s="207">
        <f t="shared" si="192"/>
        <v>36.799999999999997</v>
      </c>
      <c r="AI68" s="207">
        <f t="shared" si="192"/>
        <v>39.9</v>
      </c>
      <c r="AJ68" s="207">
        <f t="shared" ref="AJ68:AO68" si="193">-AJ23</f>
        <v>625.9</v>
      </c>
      <c r="AK68" s="207">
        <f t="shared" si="193"/>
        <v>33.4</v>
      </c>
      <c r="AL68" s="207">
        <f t="shared" si="193"/>
        <v>30.2</v>
      </c>
      <c r="AM68" s="207">
        <f t="shared" si="193"/>
        <v>122.95399999999999</v>
      </c>
      <c r="AN68" s="207">
        <f t="shared" si="193"/>
        <v>-46.406999999999996</v>
      </c>
      <c r="AO68" s="207">
        <f t="shared" si="193"/>
        <v>51.8</v>
      </c>
      <c r="AP68" s="207">
        <f t="shared" ref="AP68:AU68" si="194">-AP23</f>
        <v>73.8</v>
      </c>
      <c r="AQ68" s="207">
        <f t="shared" si="194"/>
        <v>92.8</v>
      </c>
      <c r="AR68" s="207">
        <f t="shared" si="194"/>
        <v>128.19999999999999</v>
      </c>
      <c r="AS68" s="207">
        <f t="shared" si="194"/>
        <v>94</v>
      </c>
      <c r="AT68" s="207">
        <f t="shared" si="194"/>
        <v>51.1</v>
      </c>
      <c r="AU68" s="207">
        <f t="shared" si="194"/>
        <v>11.216000000000005</v>
      </c>
      <c r="AV68" s="207">
        <f t="shared" ref="AV68:BA68" si="195">-AV23</f>
        <v>366.93399999999997</v>
      </c>
      <c r="AW68" s="207">
        <f t="shared" si="195"/>
        <v>12.1</v>
      </c>
      <c r="AX68" s="207">
        <f t="shared" si="195"/>
        <v>292.5</v>
      </c>
      <c r="AY68" s="207">
        <f t="shared" si="195"/>
        <v>20.177</v>
      </c>
      <c r="AZ68" s="207">
        <f t="shared" si="195"/>
        <v>-6734.3959999999997</v>
      </c>
      <c r="BA68" s="207">
        <f t="shared" si="195"/>
        <v>-1494.136</v>
      </c>
      <c r="BB68" s="207">
        <f t="shared" ref="BB68:BG68" si="196">-BB23</f>
        <v>-1863.1</v>
      </c>
      <c r="BC68" s="207">
        <f t="shared" si="196"/>
        <v>-34.391999999999825</v>
      </c>
      <c r="BD68" s="207">
        <f t="shared" si="196"/>
        <v>-3409.239</v>
      </c>
      <c r="BE68" s="207">
        <f t="shared" si="196"/>
        <v>-1070.5839999999998</v>
      </c>
      <c r="BF68" s="207">
        <f t="shared" si="196"/>
        <v>-5490.5810000000001</v>
      </c>
      <c r="BG68" s="207">
        <f t="shared" si="196"/>
        <v>29.364000000000033</v>
      </c>
    </row>
    <row r="69" spans="1:59" s="5" customFormat="1" ht="13.5" customHeight="1">
      <c r="B69" s="5" t="s">
        <v>458</v>
      </c>
      <c r="C69" s="8">
        <f t="shared" ref="C69:L69" si="197">C65+C68</f>
        <v>3761.7999999999993</v>
      </c>
      <c r="D69" s="8">
        <f t="shared" si="197"/>
        <v>4140.4999999999991</v>
      </c>
      <c r="E69" s="8">
        <f t="shared" si="197"/>
        <v>4619.4999999999991</v>
      </c>
      <c r="F69" s="8">
        <f t="shared" si="197"/>
        <v>6228.2999999999975</v>
      </c>
      <c r="G69" s="8">
        <f t="shared" si="197"/>
        <v>8788.007999999998</v>
      </c>
      <c r="H69" s="8">
        <f>H65+H68</f>
        <v>10426.400000000001</v>
      </c>
      <c r="I69" s="8">
        <f>I65+I68</f>
        <v>12270.369999999999</v>
      </c>
      <c r="J69" s="8">
        <f>J65+J68</f>
        <v>15013.771000000004</v>
      </c>
      <c r="K69" s="8">
        <f>K65+K68</f>
        <v>21993.895999999993</v>
      </c>
      <c r="L69" s="8">
        <f t="shared" si="197"/>
        <v>40245.664000000019</v>
      </c>
      <c r="M69" s="8"/>
      <c r="N69" s="8"/>
      <c r="O69" s="8"/>
      <c r="P69" s="163"/>
      <c r="Q69" s="198">
        <f t="shared" ref="Q69:X69" si="198">Q68+Q65</f>
        <v>807.60000000000014</v>
      </c>
      <c r="R69" s="198">
        <f t="shared" si="198"/>
        <v>869.19999999999982</v>
      </c>
      <c r="S69" s="198">
        <f t="shared" si="198"/>
        <v>1016.1999999999992</v>
      </c>
      <c r="T69" s="198">
        <f t="shared" si="198"/>
        <v>851.50000000000125</v>
      </c>
      <c r="U69" s="198">
        <f t="shared" si="198"/>
        <v>887.29999999999984</v>
      </c>
      <c r="V69" s="198">
        <f t="shared" si="198"/>
        <v>907</v>
      </c>
      <c r="W69" s="198">
        <f t="shared" si="198"/>
        <v>1050.4872348191645</v>
      </c>
      <c r="X69" s="198">
        <f t="shared" si="198"/>
        <v>917.10000000000025</v>
      </c>
      <c r="Y69" s="198">
        <f t="shared" ref="Y69:AH69" si="199">Y68+Y65</f>
        <v>926.8</v>
      </c>
      <c r="Z69" s="198">
        <f t="shared" si="199"/>
        <v>994.79999999999961</v>
      </c>
      <c r="AA69" s="198">
        <f t="shared" si="199"/>
        <v>1160.6000000000004</v>
      </c>
      <c r="AB69" s="198">
        <f t="shared" si="199"/>
        <v>1058.1999999999996</v>
      </c>
      <c r="AC69" s="198">
        <f t="shared" si="199"/>
        <v>1001.5152601118921</v>
      </c>
      <c r="AD69" s="198">
        <f t="shared" si="199"/>
        <v>1029.2840591666311</v>
      </c>
      <c r="AE69" s="198">
        <f t="shared" si="199"/>
        <v>1217.6000000000004</v>
      </c>
      <c r="AF69" s="198">
        <f t="shared" si="199"/>
        <v>1371.1000000000004</v>
      </c>
      <c r="AG69" s="198">
        <f t="shared" si="199"/>
        <v>1400</v>
      </c>
      <c r="AH69" s="198">
        <f t="shared" si="199"/>
        <v>1457</v>
      </c>
      <c r="AI69" s="198">
        <f t="shared" ref="AI69:AN69" si="200">AI68+AI65</f>
        <v>1632.2999999999997</v>
      </c>
      <c r="AJ69" s="198">
        <f t="shared" si="200"/>
        <v>1738.8999999999992</v>
      </c>
      <c r="AK69" s="198">
        <f t="shared" si="200"/>
        <v>2021.8999999999992</v>
      </c>
      <c r="AL69" s="198">
        <f t="shared" si="200"/>
        <v>2134.0999999999995</v>
      </c>
      <c r="AM69" s="198">
        <f t="shared" si="200"/>
        <v>2392.7730000000006</v>
      </c>
      <c r="AN69" s="198">
        <f t="shared" si="200"/>
        <v>2239.2349999999988</v>
      </c>
      <c r="AO69" s="198">
        <f t="shared" ref="AO69:AT69" si="201">AO68+AO65</f>
        <v>2281.1000000000004</v>
      </c>
      <c r="AP69" s="198">
        <f t="shared" si="201"/>
        <v>2552.8000000000006</v>
      </c>
      <c r="AQ69" s="198">
        <f t="shared" si="201"/>
        <v>2838.6999999999994</v>
      </c>
      <c r="AR69" s="198">
        <f t="shared" si="201"/>
        <v>2753.8</v>
      </c>
      <c r="AS69" s="198">
        <f t="shared" si="201"/>
        <v>2809.1000000000004</v>
      </c>
      <c r="AT69" s="198">
        <f t="shared" si="201"/>
        <v>2824.1999999999994</v>
      </c>
      <c r="AU69" s="198">
        <f t="shared" ref="AU69:AZ69" si="202">AU68+AU65</f>
        <v>3393.9269999999992</v>
      </c>
      <c r="AV69" s="198">
        <f t="shared" si="202"/>
        <v>3243.1430000000018</v>
      </c>
      <c r="AW69" s="198">
        <f t="shared" si="202"/>
        <v>3306.5000000000014</v>
      </c>
      <c r="AX69" s="198">
        <f t="shared" si="202"/>
        <v>3465.9999999999995</v>
      </c>
      <c r="AY69" s="198">
        <f t="shared" si="202"/>
        <v>4029.8329999999992</v>
      </c>
      <c r="AZ69" s="198">
        <f t="shared" si="202"/>
        <v>4211.4380000000046</v>
      </c>
      <c r="BA69" s="198">
        <f t="shared" ref="BA69:BG69" si="203">BA68+BA65</f>
        <v>4320.1799999999985</v>
      </c>
      <c r="BB69" s="198">
        <f t="shared" si="203"/>
        <v>5030.1000000000004</v>
      </c>
      <c r="BC69" s="198">
        <f t="shared" si="203"/>
        <v>5990.2710000000006</v>
      </c>
      <c r="BD69" s="198">
        <f t="shared" si="203"/>
        <v>6653.345000000003</v>
      </c>
      <c r="BE69" s="198">
        <f t="shared" si="203"/>
        <v>12756.201000000001</v>
      </c>
      <c r="BF69" s="198">
        <f t="shared" si="203"/>
        <v>9522.5099999999966</v>
      </c>
      <c r="BG69" s="198">
        <f t="shared" si="203"/>
        <v>11313.608</v>
      </c>
    </row>
    <row r="70" spans="1:59" s="29" customFormat="1" ht="13.5" customHeight="1">
      <c r="B70" s="20" t="s">
        <v>456</v>
      </c>
      <c r="C70" s="206">
        <f>C69/3544.5-1</f>
        <v>6.1306249118352252E-2</v>
      </c>
      <c r="D70" s="21">
        <f t="shared" ref="D70:K70" si="204">+D69/C69-1</f>
        <v>0.10066989207294386</v>
      </c>
      <c r="E70" s="21">
        <f t="shared" si="204"/>
        <v>0.1156865112909069</v>
      </c>
      <c r="F70" s="21">
        <f t="shared" si="204"/>
        <v>0.34826279900422086</v>
      </c>
      <c r="G70" s="21">
        <f t="shared" si="204"/>
        <v>0.41098020326573881</v>
      </c>
      <c r="H70" s="21">
        <f t="shared" si="204"/>
        <v>0.18643496910790303</v>
      </c>
      <c r="I70" s="21">
        <f t="shared" si="204"/>
        <v>0.17685586587892255</v>
      </c>
      <c r="J70" s="21">
        <f t="shared" si="204"/>
        <v>0.22357932156895077</v>
      </c>
      <c r="K70" s="21">
        <f t="shared" si="204"/>
        <v>0.46491484384569248</v>
      </c>
      <c r="L70" s="21"/>
      <c r="M70" s="315"/>
      <c r="N70" s="65"/>
      <c r="O70" s="65"/>
      <c r="P70" s="99"/>
      <c r="Q70" s="184"/>
      <c r="R70" s="184"/>
      <c r="S70" s="184"/>
      <c r="T70" s="184"/>
      <c r="U70" s="208">
        <f t="shared" ref="U70:AB70" si="205">+U69/Q69-1</f>
        <v>9.8687469044080878E-2</v>
      </c>
      <c r="V70" s="208">
        <f t="shared" si="205"/>
        <v>4.348826507133019E-2</v>
      </c>
      <c r="W70" s="208">
        <f t="shared" si="205"/>
        <v>3.3740636507739952E-2</v>
      </c>
      <c r="X70" s="208">
        <f t="shared" si="205"/>
        <v>7.7040516735171982E-2</v>
      </c>
      <c r="Y70" s="208">
        <f t="shared" si="205"/>
        <v>4.4517074270258306E-2</v>
      </c>
      <c r="Z70" s="208">
        <f t="shared" si="205"/>
        <v>9.6802646085997424E-2</v>
      </c>
      <c r="AA70" s="208">
        <f t="shared" si="205"/>
        <v>0.10482065991005696</v>
      </c>
      <c r="AB70" s="208">
        <f t="shared" si="205"/>
        <v>0.15385454148947697</v>
      </c>
      <c r="AC70" s="31">
        <f t="shared" ref="AC70:BG70" si="206">+AC69/Y69-1</f>
        <v>8.0616379059011756E-2</v>
      </c>
      <c r="AD70" s="208">
        <f t="shared" si="206"/>
        <v>3.4664313597337681E-2</v>
      </c>
      <c r="AE70" s="208">
        <f t="shared" si="206"/>
        <v>4.9112528002757116E-2</v>
      </c>
      <c r="AF70" s="208">
        <f t="shared" si="206"/>
        <v>0.29569079569079659</v>
      </c>
      <c r="AG70" s="21">
        <f t="shared" si="206"/>
        <v>0.39788184539852955</v>
      </c>
      <c r="AH70" s="21">
        <f t="shared" si="206"/>
        <v>0.41554703682059624</v>
      </c>
      <c r="AI70" s="21">
        <f t="shared" si="206"/>
        <v>0.34058804204993365</v>
      </c>
      <c r="AJ70" s="208">
        <f t="shared" si="206"/>
        <v>0.26825176865290556</v>
      </c>
      <c r="AK70" s="21">
        <f t="shared" si="206"/>
        <v>0.44421428571428523</v>
      </c>
      <c r="AL70" s="21">
        <f t="shared" si="206"/>
        <v>0.46472203157172243</v>
      </c>
      <c r="AM70" s="21">
        <f t="shared" si="206"/>
        <v>0.46589046131225942</v>
      </c>
      <c r="AN70" s="21">
        <f t="shared" si="206"/>
        <v>0.28773074932428533</v>
      </c>
      <c r="AO70" s="21">
        <f t="shared" si="206"/>
        <v>0.12819625105099219</v>
      </c>
      <c r="AP70" s="21">
        <f t="shared" si="206"/>
        <v>0.19619511737969231</v>
      </c>
      <c r="AQ70" s="21">
        <f t="shared" si="206"/>
        <v>0.1863641055795926</v>
      </c>
      <c r="AR70" s="21">
        <f t="shared" si="206"/>
        <v>0.22979499695208494</v>
      </c>
      <c r="AS70" s="21">
        <f t="shared" si="206"/>
        <v>0.23146727456051908</v>
      </c>
      <c r="AT70" s="21">
        <f t="shared" si="206"/>
        <v>0.10631463491068582</v>
      </c>
      <c r="AU70" s="21">
        <f t="shared" si="206"/>
        <v>0.19559199633635105</v>
      </c>
      <c r="AV70" s="21">
        <f t="shared" si="206"/>
        <v>0.17769736364296662</v>
      </c>
      <c r="AW70" s="21">
        <f t="shared" si="206"/>
        <v>0.17706738813143041</v>
      </c>
      <c r="AX70" s="21">
        <f t="shared" si="206"/>
        <v>0.22725019474541464</v>
      </c>
      <c r="AY70" s="21">
        <f t="shared" si="206"/>
        <v>0.18736584493420172</v>
      </c>
      <c r="AZ70" s="21">
        <f t="shared" si="206"/>
        <v>0.2985668532038217</v>
      </c>
      <c r="BA70" s="21">
        <f t="shared" si="206"/>
        <v>0.30657190382579658</v>
      </c>
      <c r="BB70" s="21">
        <f>+BB69/AX69-1</f>
        <v>0.45126947489901936</v>
      </c>
      <c r="BC70" s="21">
        <f t="shared" si="206"/>
        <v>0.48648120157832886</v>
      </c>
      <c r="BD70" s="21">
        <f t="shared" si="206"/>
        <v>0.57982736537971014</v>
      </c>
      <c r="BE70" s="21">
        <f t="shared" si="206"/>
        <v>1.9527012763357097</v>
      </c>
      <c r="BF70" s="21">
        <f t="shared" si="206"/>
        <v>0.89310550486073748</v>
      </c>
      <c r="BG70" s="21">
        <f t="shared" si="206"/>
        <v>0.88866380168776993</v>
      </c>
    </row>
    <row r="71" spans="1:59" s="29" customFormat="1" ht="13.5" customHeight="1">
      <c r="B71" s="20" t="s">
        <v>457</v>
      </c>
      <c r="C71" s="21">
        <f t="shared" ref="C71:L71" si="207">C69/C14</f>
        <v>0.31234846723571025</v>
      </c>
      <c r="D71" s="21">
        <f t="shared" si="207"/>
        <v>0.32425172678434377</v>
      </c>
      <c r="E71" s="21">
        <f t="shared" si="207"/>
        <v>0.32336758694069545</v>
      </c>
      <c r="F71" s="21">
        <f t="shared" si="207"/>
        <v>0.35323642674440353</v>
      </c>
      <c r="G71" s="21">
        <f t="shared" si="207"/>
        <v>0.4127283465167858</v>
      </c>
      <c r="H71" s="21">
        <f>H69/H14</f>
        <v>0.41477968906640361</v>
      </c>
      <c r="I71" s="21">
        <f>I69/I14</f>
        <v>0.42160699922106415</v>
      </c>
      <c r="J71" s="21">
        <f>J69/J14</f>
        <v>0.41797221642237731</v>
      </c>
      <c r="K71" s="21">
        <f>K69/K14</f>
        <v>0.40821284928125312</v>
      </c>
      <c r="L71" s="21">
        <f t="shared" si="207"/>
        <v>0.49708206709905584</v>
      </c>
      <c r="M71" s="315"/>
      <c r="N71" s="21"/>
      <c r="O71" s="21"/>
      <c r="P71" s="100"/>
      <c r="Q71" s="183">
        <f>Q69/Q14</f>
        <v>0.3004017259336409</v>
      </c>
      <c r="R71" s="183">
        <f>R69/R14</f>
        <v>0.30442701036704956</v>
      </c>
      <c r="S71" s="183">
        <f>S69/S14</f>
        <v>0.34092662797329465</v>
      </c>
      <c r="T71" s="183">
        <f>T69/T14</f>
        <v>0.29529060896102133</v>
      </c>
      <c r="U71" s="208">
        <f t="shared" ref="U71:AB71" si="208">U69/U14</f>
        <v>0.31076632109834684</v>
      </c>
      <c r="V71" s="208">
        <f t="shared" si="208"/>
        <v>0.31029763941156346</v>
      </c>
      <c r="W71" s="208">
        <f t="shared" si="208"/>
        <v>0.33220138979797753</v>
      </c>
      <c r="X71" s="208">
        <f t="shared" si="208"/>
        <v>0.29553364269141535</v>
      </c>
      <c r="Y71" s="208">
        <f t="shared" si="208"/>
        <v>0.31119468135115169</v>
      </c>
      <c r="Z71" s="208">
        <f t="shared" si="208"/>
        <v>0.32163988489766876</v>
      </c>
      <c r="AA71" s="208">
        <f t="shared" si="208"/>
        <v>0.34502645817230521</v>
      </c>
      <c r="AB71" s="208">
        <f t="shared" si="208"/>
        <v>0.31734892787524355</v>
      </c>
      <c r="AC71" s="31">
        <f t="shared" ref="AC71:AI71" si="209">AC69/AC14</f>
        <v>0.31050885475038509</v>
      </c>
      <c r="AD71" s="21">
        <f t="shared" si="209"/>
        <v>0.30650786431810584</v>
      </c>
      <c r="AE71" s="21">
        <f t="shared" si="209"/>
        <v>0.33281399480661478</v>
      </c>
      <c r="AF71" s="21">
        <f t="shared" si="209"/>
        <v>0.33907903848056192</v>
      </c>
      <c r="AG71" s="21">
        <f t="shared" si="209"/>
        <v>0.34545723732912204</v>
      </c>
      <c r="AH71" s="21">
        <f t="shared" si="209"/>
        <v>0.33758109360519001</v>
      </c>
      <c r="AI71" s="21">
        <f t="shared" si="209"/>
        <v>0.35504850567712182</v>
      </c>
      <c r="AJ71" s="21">
        <f t="shared" ref="AJ71:AO71" si="210">AJ69/AJ14</f>
        <v>0.37266668095411565</v>
      </c>
      <c r="AK71" s="21">
        <f t="shared" si="210"/>
        <v>0.4246261760752687</v>
      </c>
      <c r="AL71" s="21">
        <f t="shared" si="210"/>
        <v>0.41802475906918429</v>
      </c>
      <c r="AM71" s="21">
        <f t="shared" si="210"/>
        <v>0.41260113394168901</v>
      </c>
      <c r="AN71" s="21">
        <f t="shared" si="210"/>
        <v>0.39798469190526492</v>
      </c>
      <c r="AO71" s="21">
        <f t="shared" si="210"/>
        <v>0.40192761743665645</v>
      </c>
      <c r="AP71" s="21">
        <f t="shared" ref="AP71:AU71" si="211">AP69/AP14</f>
        <v>0.41233383405210716</v>
      </c>
      <c r="AQ71" s="21">
        <f t="shared" si="211"/>
        <v>0.43096145379465295</v>
      </c>
      <c r="AR71" s="21">
        <f t="shared" si="211"/>
        <v>0.41201113139232176</v>
      </c>
      <c r="AS71" s="21">
        <f t="shared" si="211"/>
        <v>0.42189447756934956</v>
      </c>
      <c r="AT71" s="21">
        <f t="shared" si="211"/>
        <v>0.40789150623203679</v>
      </c>
      <c r="AU71" s="21">
        <f t="shared" si="211"/>
        <v>0.44368126894003512</v>
      </c>
      <c r="AV71" s="21">
        <f t="shared" ref="AV71:BA71" si="212">AV69/AV14</f>
        <v>0.41197735456652901</v>
      </c>
      <c r="AW71" s="21">
        <f t="shared" si="212"/>
        <v>0.42247492493451749</v>
      </c>
      <c r="AX71" s="21">
        <f t="shared" si="212"/>
        <v>0.40546073488295914</v>
      </c>
      <c r="AY71" s="21">
        <f t="shared" si="212"/>
        <v>0.43080314548504395</v>
      </c>
      <c r="AZ71" s="21">
        <f t="shared" si="212"/>
        <v>0.41323177517034632</v>
      </c>
      <c r="BA71" s="21">
        <f t="shared" si="212"/>
        <v>0.40394329470848839</v>
      </c>
      <c r="BB71" s="21">
        <f t="shared" ref="BB71:BG71" si="213">BB69/BB14</f>
        <v>0.40314979562394809</v>
      </c>
      <c r="BC71" s="21">
        <f t="shared" si="213"/>
        <v>0.40854399393499891</v>
      </c>
      <c r="BD71" s="21">
        <f t="shared" si="213"/>
        <v>0.41469373249072561</v>
      </c>
      <c r="BE71" s="21">
        <f t="shared" si="213"/>
        <v>0.73838306612615134</v>
      </c>
      <c r="BF71" s="21">
        <f t="shared" si="213"/>
        <v>0.43981887010108217</v>
      </c>
      <c r="BG71" s="21">
        <f t="shared" si="213"/>
        <v>0.43525618795778215</v>
      </c>
    </row>
    <row r="72" spans="1:59" s="29" customFormat="1" ht="13.5" customHeight="1">
      <c r="B72" s="20"/>
      <c r="C72" s="21"/>
      <c r="D72" s="21"/>
      <c r="E72" s="21"/>
      <c r="F72" s="21"/>
      <c r="G72" s="21"/>
      <c r="H72" s="21"/>
      <c r="I72" s="21"/>
      <c r="J72" s="21"/>
      <c r="K72" s="21"/>
      <c r="L72" s="21"/>
      <c r="M72" s="315"/>
      <c r="N72" s="21"/>
      <c r="O72" s="21"/>
      <c r="P72" s="100"/>
      <c r="Q72" s="183"/>
      <c r="R72" s="183"/>
      <c r="S72" s="183"/>
      <c r="T72" s="183"/>
      <c r="U72" s="183"/>
      <c r="V72" s="183"/>
      <c r="W72" s="183"/>
      <c r="X72" s="183"/>
      <c r="Y72" s="183"/>
      <c r="Z72" s="183"/>
      <c r="AA72" s="183"/>
      <c r="AB72" s="183"/>
      <c r="AC72" s="21"/>
      <c r="AD72" s="21"/>
      <c r="AE72" s="21"/>
      <c r="AF72" s="21"/>
      <c r="AG72" s="21"/>
      <c r="AH72" s="21"/>
      <c r="AI72" s="21"/>
      <c r="AJ72" s="21"/>
      <c r="AK72" s="21"/>
      <c r="AL72" s="183"/>
      <c r="AM72" s="21"/>
      <c r="AN72" s="21"/>
      <c r="AO72" s="21"/>
      <c r="AP72" s="21"/>
      <c r="AQ72" s="21"/>
      <c r="AR72" s="21"/>
      <c r="AS72" s="21"/>
      <c r="AT72" s="21"/>
      <c r="AU72" s="21"/>
      <c r="AV72" s="21"/>
      <c r="AW72" s="21"/>
      <c r="AX72" s="21"/>
      <c r="AY72" s="21"/>
      <c r="AZ72" s="21"/>
      <c r="BA72" s="21"/>
      <c r="BB72" s="21"/>
      <c r="BC72" s="21"/>
      <c r="BD72" s="21"/>
      <c r="BE72" s="21"/>
      <c r="BF72" s="21"/>
      <c r="BG72" s="21"/>
    </row>
    <row r="73" spans="1:59" s="5" customFormat="1" ht="13.5" customHeight="1">
      <c r="C73" s="51"/>
      <c r="D73" s="51"/>
      <c r="E73" s="51"/>
      <c r="F73" s="51"/>
      <c r="G73" s="51"/>
      <c r="H73" s="51"/>
      <c r="I73" s="51"/>
      <c r="J73" s="51"/>
      <c r="K73" s="51"/>
      <c r="L73" s="51"/>
      <c r="M73" s="51"/>
      <c r="N73" s="51"/>
      <c r="O73" s="51"/>
      <c r="P73" s="98"/>
      <c r="Q73" s="51"/>
      <c r="R73" s="51"/>
      <c r="S73" s="51"/>
      <c r="T73" s="51"/>
      <c r="U73" s="51"/>
      <c r="V73" s="51"/>
      <c r="W73" s="51"/>
      <c r="X73" s="51"/>
      <c r="Y73" s="51"/>
      <c r="Z73" s="51"/>
      <c r="AA73" s="51"/>
      <c r="AB73" s="51"/>
      <c r="AC73" s="51"/>
      <c r="AD73" s="51"/>
      <c r="AE73" s="51"/>
      <c r="AF73" s="51"/>
      <c r="AG73" s="8"/>
      <c r="AH73" s="8"/>
      <c r="AJ73" s="51"/>
      <c r="AK73" s="8"/>
      <c r="AL73" s="51"/>
      <c r="AO73" s="8"/>
      <c r="AP73" s="8"/>
      <c r="AQ73" s="8"/>
      <c r="AR73" s="8"/>
      <c r="AS73" s="8"/>
      <c r="AT73" s="8"/>
      <c r="AU73" s="8"/>
      <c r="AV73" s="8"/>
      <c r="AW73" s="8"/>
      <c r="AX73" s="8"/>
      <c r="AY73" s="8"/>
      <c r="AZ73" s="8"/>
      <c r="BA73" s="8"/>
      <c r="BB73" s="8"/>
      <c r="BC73" s="8"/>
      <c r="BD73" s="8"/>
      <c r="BE73" s="8"/>
      <c r="BF73" s="8"/>
      <c r="BG73" s="8"/>
    </row>
    <row r="74" spans="1:59" s="5" customFormat="1" ht="13.5" customHeight="1">
      <c r="B74" s="5" t="s">
        <v>459</v>
      </c>
      <c r="C74" s="6">
        <f>D74</f>
        <v>23.923999999999999</v>
      </c>
      <c r="D74" s="4">
        <v>23.923999999999999</v>
      </c>
      <c r="E74" s="4">
        <v>30.314</v>
      </c>
      <c r="F74" s="4">
        <v>36.28</v>
      </c>
      <c r="G74" s="4">
        <v>0</v>
      </c>
      <c r="H74" s="4">
        <v>0</v>
      </c>
      <c r="I74" s="4">
        <v>0</v>
      </c>
      <c r="J74" s="4">
        <v>0</v>
      </c>
      <c r="K74" s="4">
        <v>0</v>
      </c>
      <c r="L74" s="6">
        <f>SUM(BD74:BG74)</f>
        <v>0</v>
      </c>
      <c r="M74" s="196"/>
      <c r="N74" s="51"/>
      <c r="O74" s="51"/>
      <c r="P74" s="98"/>
      <c r="Q74" s="51"/>
      <c r="R74" s="51"/>
      <c r="S74" s="51"/>
      <c r="T74" s="51"/>
      <c r="U74" s="51"/>
      <c r="V74" s="51"/>
      <c r="W74" s="51"/>
      <c r="X74" s="51"/>
      <c r="Y74" s="51"/>
      <c r="Z74" s="51"/>
      <c r="AA74" s="51"/>
      <c r="AB74" s="51"/>
      <c r="AC74" s="8">
        <f>$E$74/4</f>
        <v>7.5785</v>
      </c>
      <c r="AD74" s="8">
        <f>$E$74/4</f>
        <v>7.5785</v>
      </c>
      <c r="AE74" s="8">
        <f>$E$74/4</f>
        <v>7.5785</v>
      </c>
      <c r="AF74" s="8">
        <f>$E$74/4</f>
        <v>7.5785</v>
      </c>
      <c r="AG74" s="8">
        <f>$F$74/4</f>
        <v>9.07</v>
      </c>
      <c r="AH74" s="8">
        <f>$F$74/4</f>
        <v>9.07</v>
      </c>
      <c r="AI74" s="8">
        <f>$F$74/4</f>
        <v>9.07</v>
      </c>
      <c r="AJ74" s="8">
        <f>$F$74/4</f>
        <v>9.07</v>
      </c>
      <c r="AK74" s="388">
        <v>0</v>
      </c>
      <c r="AL74" s="388">
        <v>0</v>
      </c>
      <c r="AM74" s="388">
        <v>0</v>
      </c>
      <c r="AN74" s="388">
        <v>0</v>
      </c>
      <c r="AO74" s="388">
        <v>0</v>
      </c>
      <c r="AP74" s="388">
        <v>0</v>
      </c>
      <c r="AQ74" s="388">
        <v>0</v>
      </c>
      <c r="AR74" s="388">
        <v>0</v>
      </c>
      <c r="AS74" s="388">
        <v>0</v>
      </c>
      <c r="AT74" s="388">
        <v>0</v>
      </c>
      <c r="AU74" s="388">
        <v>0</v>
      </c>
      <c r="AV74" s="388">
        <v>0</v>
      </c>
      <c r="AW74" s="388">
        <v>0</v>
      </c>
      <c r="AX74" s="388">
        <v>0</v>
      </c>
      <c r="AY74" s="388">
        <v>0</v>
      </c>
      <c r="AZ74" s="388">
        <v>0</v>
      </c>
      <c r="BA74" s="388">
        <v>0</v>
      </c>
      <c r="BB74" s="388">
        <v>0</v>
      </c>
      <c r="BC74" s="388">
        <v>0</v>
      </c>
      <c r="BD74" s="388">
        <v>0</v>
      </c>
      <c r="BE74" s="388">
        <v>0</v>
      </c>
      <c r="BF74" s="388">
        <v>0</v>
      </c>
      <c r="BG74" s="388">
        <v>0</v>
      </c>
    </row>
    <row r="75" spans="1:59" s="5" customFormat="1" ht="13.5" customHeight="1">
      <c r="C75" s="51"/>
      <c r="N75" s="51"/>
      <c r="O75" s="51"/>
      <c r="P75" s="98"/>
      <c r="Q75" s="51"/>
      <c r="R75" s="51"/>
      <c r="S75" s="51"/>
      <c r="T75" s="51"/>
      <c r="U75" s="51"/>
      <c r="V75" s="51"/>
      <c r="W75" s="51"/>
      <c r="X75" s="51"/>
      <c r="Y75" s="51"/>
      <c r="Z75" s="51"/>
      <c r="AA75" s="51"/>
      <c r="AB75" s="51"/>
      <c r="AC75" s="51"/>
      <c r="AD75" s="51"/>
      <c r="AE75" s="51"/>
      <c r="AF75" s="51"/>
      <c r="AG75" s="8"/>
      <c r="AH75" s="8"/>
      <c r="AJ75" s="51"/>
      <c r="AK75" s="8"/>
      <c r="AL75" s="51"/>
      <c r="AO75" s="8"/>
      <c r="AP75" s="8"/>
      <c r="AQ75" s="8"/>
      <c r="AR75" s="8"/>
      <c r="AS75" s="8"/>
      <c r="AT75" s="8"/>
      <c r="AU75" s="8"/>
      <c r="AV75" s="8"/>
      <c r="AW75" s="8"/>
      <c r="AX75" s="8"/>
      <c r="AY75" s="8"/>
      <c r="AZ75" s="8"/>
      <c r="BA75" s="8"/>
      <c r="BB75" s="8"/>
      <c r="BC75" s="8"/>
      <c r="BD75" s="8"/>
      <c r="BE75" s="8"/>
      <c r="BF75" s="8"/>
      <c r="BG75" s="8"/>
    </row>
    <row r="76" spans="1:59" s="5" customFormat="1" ht="13.5" customHeight="1">
      <c r="B76" s="5" t="s">
        <v>460</v>
      </c>
      <c r="C76" s="8">
        <f t="shared" ref="C76:L76" si="214">C74+C69</f>
        <v>3785.7239999999993</v>
      </c>
      <c r="D76" s="8">
        <f t="shared" si="214"/>
        <v>4164.4239999999991</v>
      </c>
      <c r="E76" s="8">
        <f t="shared" si="214"/>
        <v>4649.8139999999994</v>
      </c>
      <c r="F76" s="8">
        <f t="shared" si="214"/>
        <v>6264.5799999999972</v>
      </c>
      <c r="G76" s="8">
        <f t="shared" si="214"/>
        <v>8788.007999999998</v>
      </c>
      <c r="H76" s="8">
        <f t="shared" si="214"/>
        <v>10426.400000000001</v>
      </c>
      <c r="I76" s="8">
        <f t="shared" si="214"/>
        <v>12270.369999999999</v>
      </c>
      <c r="J76" s="8">
        <f t="shared" si="214"/>
        <v>15013.771000000004</v>
      </c>
      <c r="K76" s="8">
        <f t="shared" si="214"/>
        <v>21993.895999999993</v>
      </c>
      <c r="L76" s="8">
        <f t="shared" si="214"/>
        <v>40245.664000000019</v>
      </c>
      <c r="M76" s="8"/>
      <c r="N76" s="51"/>
      <c r="O76" s="51"/>
      <c r="P76" s="98"/>
      <c r="Q76" s="51"/>
      <c r="R76" s="51"/>
      <c r="S76" s="51"/>
      <c r="T76" s="51"/>
      <c r="U76" s="51"/>
      <c r="V76" s="51"/>
      <c r="W76" s="51"/>
      <c r="X76" s="51"/>
      <c r="Y76" s="51"/>
      <c r="Z76" s="51"/>
      <c r="AA76" s="51"/>
      <c r="AB76" s="51"/>
      <c r="AC76" s="8">
        <f t="shared" ref="AC76:AI76" si="215">AC74+AC69</f>
        <v>1009.093760111892</v>
      </c>
      <c r="AD76" s="8">
        <f t="shared" si="215"/>
        <v>1036.8625591666312</v>
      </c>
      <c r="AE76" s="8">
        <f t="shared" si="215"/>
        <v>1225.1785000000004</v>
      </c>
      <c r="AF76" s="8">
        <f t="shared" si="215"/>
        <v>1378.6785000000004</v>
      </c>
      <c r="AG76" s="8">
        <f t="shared" si="215"/>
        <v>1409.07</v>
      </c>
      <c r="AH76" s="8">
        <f t="shared" si="215"/>
        <v>1466.07</v>
      </c>
      <c r="AI76" s="8">
        <f t="shared" si="215"/>
        <v>1641.3699999999997</v>
      </c>
      <c r="AJ76" s="8">
        <f t="shared" ref="AJ76:AO76" si="216">AJ74+AJ69</f>
        <v>1747.9699999999991</v>
      </c>
      <c r="AK76" s="8">
        <f t="shared" si="216"/>
        <v>2021.8999999999992</v>
      </c>
      <c r="AL76" s="8">
        <f t="shared" si="216"/>
        <v>2134.0999999999995</v>
      </c>
      <c r="AM76" s="8">
        <f t="shared" si="216"/>
        <v>2392.7730000000006</v>
      </c>
      <c r="AN76" s="8">
        <f t="shared" si="216"/>
        <v>2239.2349999999988</v>
      </c>
      <c r="AO76" s="8">
        <f t="shared" si="216"/>
        <v>2281.1000000000004</v>
      </c>
      <c r="AP76" s="8">
        <f t="shared" ref="AP76:AU76" si="217">AP74+AP69</f>
        <v>2552.8000000000006</v>
      </c>
      <c r="AQ76" s="8">
        <f t="shared" si="217"/>
        <v>2838.6999999999994</v>
      </c>
      <c r="AR76" s="8">
        <f t="shared" si="217"/>
        <v>2753.8</v>
      </c>
      <c r="AS76" s="8">
        <f t="shared" si="217"/>
        <v>2809.1000000000004</v>
      </c>
      <c r="AT76" s="8">
        <f t="shared" si="217"/>
        <v>2824.1999999999994</v>
      </c>
      <c r="AU76" s="8">
        <f t="shared" si="217"/>
        <v>3393.9269999999992</v>
      </c>
      <c r="AV76" s="8">
        <f t="shared" ref="AV76:BA76" si="218">AV74+AV69</f>
        <v>3243.1430000000018</v>
      </c>
      <c r="AW76" s="8">
        <f t="shared" si="218"/>
        <v>3306.5000000000014</v>
      </c>
      <c r="AX76" s="8">
        <f t="shared" si="218"/>
        <v>3465.9999999999995</v>
      </c>
      <c r="AY76" s="8">
        <f t="shared" si="218"/>
        <v>4029.8329999999992</v>
      </c>
      <c r="AZ76" s="8">
        <f t="shared" si="218"/>
        <v>4211.4380000000046</v>
      </c>
      <c r="BA76" s="8">
        <f t="shared" si="218"/>
        <v>4320.1799999999985</v>
      </c>
      <c r="BB76" s="8">
        <f t="shared" ref="BB76:BG76" si="219">BB74+BB69</f>
        <v>5030.1000000000004</v>
      </c>
      <c r="BC76" s="8">
        <f t="shared" si="219"/>
        <v>5990.2710000000006</v>
      </c>
      <c r="BD76" s="8">
        <f t="shared" si="219"/>
        <v>6653.345000000003</v>
      </c>
      <c r="BE76" s="8">
        <f t="shared" si="219"/>
        <v>12756.201000000001</v>
      </c>
      <c r="BF76" s="8">
        <f t="shared" si="219"/>
        <v>9522.5099999999966</v>
      </c>
      <c r="BG76" s="8">
        <f t="shared" si="219"/>
        <v>11313.608</v>
      </c>
    </row>
    <row r="77" spans="1:59" s="5" customFormat="1" ht="13.5" customHeight="1">
      <c r="C77" s="51"/>
      <c r="D77" s="51"/>
      <c r="E77" s="51"/>
      <c r="F77" s="51"/>
      <c r="G77" s="51"/>
      <c r="H77" s="51"/>
      <c r="I77" s="51"/>
      <c r="J77" s="51"/>
      <c r="K77" s="51"/>
      <c r="L77" s="51"/>
      <c r="M77" s="51"/>
      <c r="N77" s="51"/>
      <c r="O77" s="51"/>
      <c r="P77" s="98"/>
      <c r="Q77" s="51"/>
      <c r="R77" s="51"/>
      <c r="S77" s="51"/>
      <c r="T77" s="51"/>
      <c r="U77" s="51"/>
      <c r="V77" s="51"/>
      <c r="W77" s="51"/>
      <c r="X77" s="51"/>
      <c r="Y77" s="51"/>
      <c r="Z77" s="51"/>
      <c r="AA77" s="51"/>
      <c r="AB77" s="51"/>
      <c r="AC77" s="51"/>
      <c r="AD77" s="51"/>
      <c r="AE77" s="51"/>
      <c r="AF77" s="51"/>
      <c r="AG77" s="8"/>
      <c r="AH77" s="8"/>
      <c r="AJ77" s="51"/>
      <c r="AK77" s="8"/>
      <c r="AL77" s="51"/>
      <c r="AO77" s="8"/>
      <c r="AP77" s="8"/>
      <c r="AQ77" s="8"/>
      <c r="AR77" s="8"/>
      <c r="AS77" s="8"/>
      <c r="AT77" s="8"/>
      <c r="AU77" s="8"/>
      <c r="AV77" s="8"/>
      <c r="AW77" s="8"/>
      <c r="AX77" s="8"/>
      <c r="AY77" s="8"/>
      <c r="AZ77" s="8"/>
      <c r="BA77" s="8"/>
      <c r="BB77" s="8"/>
      <c r="BC77" s="8"/>
      <c r="BD77" s="8"/>
      <c r="BE77" s="8"/>
      <c r="BF77" s="8"/>
      <c r="BG77" s="8"/>
    </row>
    <row r="78" spans="1:59" ht="13.5" customHeight="1">
      <c r="C78" s="63"/>
      <c r="D78" s="63"/>
      <c r="E78" s="63"/>
      <c r="F78" s="63"/>
      <c r="G78" s="63"/>
      <c r="H78" s="63"/>
      <c r="I78" s="63"/>
      <c r="J78" s="63"/>
      <c r="K78" s="63"/>
      <c r="L78" s="63"/>
      <c r="M78" s="290"/>
      <c r="N78" s="81"/>
      <c r="O78" s="40"/>
      <c r="P78" s="107"/>
      <c r="Q78" s="185"/>
      <c r="R78" s="185"/>
      <c r="S78" s="185"/>
      <c r="T78" s="185"/>
      <c r="U78" s="185"/>
      <c r="V78" s="185"/>
      <c r="W78" s="185"/>
      <c r="X78" s="185"/>
      <c r="Y78" s="185"/>
      <c r="Z78" s="185"/>
      <c r="AA78" s="185"/>
      <c r="AB78" s="185"/>
      <c r="AC78" s="59"/>
      <c r="AG78" s="59"/>
      <c r="AH78" s="59"/>
      <c r="AK78" s="59"/>
      <c r="AL78" s="252"/>
      <c r="AO78" s="59"/>
      <c r="AP78" s="59"/>
      <c r="AQ78" s="59"/>
      <c r="AR78" s="59"/>
      <c r="AS78" s="59"/>
      <c r="AT78" s="59"/>
      <c r="AU78" s="59"/>
      <c r="AV78" s="59"/>
      <c r="AW78" s="59"/>
      <c r="AX78" s="59"/>
      <c r="AY78" s="59"/>
      <c r="AZ78" s="59"/>
      <c r="BA78" s="59"/>
      <c r="BB78" s="59"/>
      <c r="BC78" s="59"/>
      <c r="BD78" s="59"/>
      <c r="BE78" s="59"/>
      <c r="BF78" s="59"/>
      <c r="BG78" s="59"/>
    </row>
    <row r="79" spans="1:59" ht="13.5" customHeight="1">
      <c r="A79" s="27"/>
      <c r="B79" s="17" t="s">
        <v>461</v>
      </c>
      <c r="C79" s="48">
        <f>+C2</f>
        <v>41975</v>
      </c>
      <c r="D79" s="48">
        <f t="shared" ref="D79:AK79" si="220">+D2</f>
        <v>42341</v>
      </c>
      <c r="E79" s="48">
        <f t="shared" si="220"/>
        <v>42705</v>
      </c>
      <c r="F79" s="48">
        <f t="shared" si="220"/>
        <v>43070</v>
      </c>
      <c r="G79" s="48">
        <f>G2</f>
        <v>43435</v>
      </c>
      <c r="H79" s="48">
        <f>H2</f>
        <v>43830</v>
      </c>
      <c r="I79" s="48">
        <f>I2</f>
        <v>44196</v>
      </c>
      <c r="J79" s="48">
        <f>J2</f>
        <v>44561</v>
      </c>
      <c r="K79" s="48">
        <f>K2</f>
        <v>44926</v>
      </c>
      <c r="L79" s="48">
        <f t="shared" si="220"/>
        <v>45199</v>
      </c>
      <c r="M79" s="295" t="s">
        <v>397</v>
      </c>
      <c r="N79" s="83">
        <f t="shared" si="220"/>
        <v>43074</v>
      </c>
      <c r="O79" s="83">
        <f t="shared" si="220"/>
        <v>43440</v>
      </c>
      <c r="P79" s="103">
        <f t="shared" si="220"/>
        <v>43806</v>
      </c>
      <c r="Q79" s="48">
        <f t="shared" si="220"/>
        <v>41341</v>
      </c>
      <c r="R79" s="48">
        <f t="shared" si="220"/>
        <v>41431</v>
      </c>
      <c r="S79" s="48">
        <f t="shared" si="220"/>
        <v>41526</v>
      </c>
      <c r="T79" s="48">
        <f t="shared" si="220"/>
        <v>41618</v>
      </c>
      <c r="U79" s="48">
        <f t="shared" si="220"/>
        <v>41705</v>
      </c>
      <c r="V79" s="48">
        <f t="shared" si="220"/>
        <v>41796</v>
      </c>
      <c r="W79" s="48">
        <f t="shared" si="220"/>
        <v>41891</v>
      </c>
      <c r="X79" s="48">
        <f t="shared" si="220"/>
        <v>41983</v>
      </c>
      <c r="Y79" s="48">
        <f t="shared" si="220"/>
        <v>42070</v>
      </c>
      <c r="Z79" s="48">
        <f t="shared" si="220"/>
        <v>42161</v>
      </c>
      <c r="AA79" s="48">
        <f t="shared" si="220"/>
        <v>42256</v>
      </c>
      <c r="AB79" s="48">
        <f t="shared" si="220"/>
        <v>42348</v>
      </c>
      <c r="AC79" s="48">
        <f t="shared" si="220"/>
        <v>42437</v>
      </c>
      <c r="AD79" s="48">
        <f t="shared" si="220"/>
        <v>42527</v>
      </c>
      <c r="AE79" s="48">
        <f t="shared" si="220"/>
        <v>42622</v>
      </c>
      <c r="AF79" s="48">
        <f t="shared" si="220"/>
        <v>42714</v>
      </c>
      <c r="AG79" s="48">
        <f t="shared" si="220"/>
        <v>42801</v>
      </c>
      <c r="AH79" s="48">
        <f t="shared" si="220"/>
        <v>42892</v>
      </c>
      <c r="AI79" s="48">
        <f t="shared" si="220"/>
        <v>42987</v>
      </c>
      <c r="AJ79" s="48">
        <f t="shared" si="220"/>
        <v>43079</v>
      </c>
      <c r="AK79" s="48">
        <f t="shared" si="220"/>
        <v>43190</v>
      </c>
      <c r="AL79" s="48">
        <f>AL2</f>
        <v>43281</v>
      </c>
      <c r="AM79" s="48">
        <f>AM2</f>
        <v>43373</v>
      </c>
      <c r="AN79" s="48">
        <f>AN2</f>
        <v>43465</v>
      </c>
      <c r="AO79" s="48">
        <f t="shared" ref="AO79:AT79" si="221">+AO2</f>
        <v>43555</v>
      </c>
      <c r="AP79" s="48">
        <f t="shared" si="221"/>
        <v>43646</v>
      </c>
      <c r="AQ79" s="48">
        <f t="shared" si="221"/>
        <v>43738</v>
      </c>
      <c r="AR79" s="48">
        <f t="shared" si="221"/>
        <v>43830</v>
      </c>
      <c r="AS79" s="48">
        <f t="shared" si="221"/>
        <v>43921</v>
      </c>
      <c r="AT79" s="48">
        <f t="shared" si="221"/>
        <v>44012</v>
      </c>
      <c r="AU79" s="48">
        <f t="shared" ref="AU79:AZ79" si="222">+AU2</f>
        <v>44104</v>
      </c>
      <c r="AV79" s="48">
        <f t="shared" si="222"/>
        <v>44196</v>
      </c>
      <c r="AW79" s="48">
        <f t="shared" si="222"/>
        <v>44286</v>
      </c>
      <c r="AX79" s="48">
        <f t="shared" si="222"/>
        <v>44377</v>
      </c>
      <c r="AY79" s="48">
        <f t="shared" si="222"/>
        <v>44469</v>
      </c>
      <c r="AZ79" s="48">
        <f t="shared" si="222"/>
        <v>44561</v>
      </c>
      <c r="BA79" s="48">
        <f t="shared" ref="BA79:BF79" si="223">+BA2</f>
        <v>44651</v>
      </c>
      <c r="BB79" s="48">
        <f t="shared" si="223"/>
        <v>44742</v>
      </c>
      <c r="BC79" s="48">
        <f t="shared" si="223"/>
        <v>44834</v>
      </c>
      <c r="BD79" s="48">
        <f t="shared" si="223"/>
        <v>44926</v>
      </c>
      <c r="BE79" s="48">
        <f t="shared" si="223"/>
        <v>45016</v>
      </c>
      <c r="BF79" s="48">
        <f t="shared" si="223"/>
        <v>45107</v>
      </c>
      <c r="BG79" s="48">
        <f>+BG2</f>
        <v>45199</v>
      </c>
    </row>
    <row r="80" spans="1:59" ht="13.5" customHeight="1">
      <c r="B80" s="1" t="s">
        <v>462</v>
      </c>
      <c r="C80" s="6">
        <f t="shared" ref="C80:I80" si="224">C69</f>
        <v>3761.7999999999993</v>
      </c>
      <c r="D80" s="6">
        <f t="shared" si="224"/>
        <v>4140.4999999999991</v>
      </c>
      <c r="E80" s="6">
        <f t="shared" si="224"/>
        <v>4619.4999999999991</v>
      </c>
      <c r="F80" s="6">
        <f t="shared" si="224"/>
        <v>6228.2999999999975</v>
      </c>
      <c r="G80" s="6">
        <f t="shared" si="224"/>
        <v>8788.007999999998</v>
      </c>
      <c r="H80" s="6">
        <f t="shared" si="224"/>
        <v>10426.400000000001</v>
      </c>
      <c r="I80" s="6">
        <f t="shared" si="224"/>
        <v>12270.369999999999</v>
      </c>
      <c r="J80" s="6">
        <f>J69</f>
        <v>15013.771000000004</v>
      </c>
      <c r="K80" s="6">
        <f>K69</f>
        <v>21993.895999999993</v>
      </c>
      <c r="L80" s="6">
        <f>L69</f>
        <v>40245.664000000019</v>
      </c>
      <c r="M80" s="6"/>
      <c r="N80" s="6"/>
      <c r="O80" s="40"/>
      <c r="P80" s="97"/>
      <c r="Q80" s="40"/>
      <c r="R80" s="40"/>
      <c r="S80" s="40"/>
      <c r="T80" s="40"/>
      <c r="U80" s="40"/>
      <c r="V80" s="40"/>
      <c r="W80" s="40"/>
      <c r="X80" s="40"/>
      <c r="Y80" s="40"/>
      <c r="Z80" s="40"/>
      <c r="AA80" s="40"/>
      <c r="AB80" s="40"/>
      <c r="AC80" s="6">
        <f t="shared" ref="AC80:AI80" si="225">AC69</f>
        <v>1001.5152601118921</v>
      </c>
      <c r="AD80" s="6">
        <f t="shared" si="225"/>
        <v>1029.2840591666311</v>
      </c>
      <c r="AE80" s="6">
        <f t="shared" si="225"/>
        <v>1217.6000000000004</v>
      </c>
      <c r="AF80" s="6">
        <f t="shared" si="225"/>
        <v>1371.1000000000004</v>
      </c>
      <c r="AG80" s="6">
        <f t="shared" si="225"/>
        <v>1400</v>
      </c>
      <c r="AH80" s="6">
        <f t="shared" si="225"/>
        <v>1457</v>
      </c>
      <c r="AI80" s="6">
        <f t="shared" si="225"/>
        <v>1632.2999999999997</v>
      </c>
      <c r="AJ80" s="6">
        <f t="shared" ref="AJ80:AO80" si="226">AJ69</f>
        <v>1738.8999999999992</v>
      </c>
      <c r="AK80" s="6">
        <f t="shared" si="226"/>
        <v>2021.8999999999992</v>
      </c>
      <c r="AL80" s="6">
        <f t="shared" si="226"/>
        <v>2134.0999999999995</v>
      </c>
      <c r="AM80" s="6">
        <f t="shared" si="226"/>
        <v>2392.7730000000006</v>
      </c>
      <c r="AN80" s="6">
        <f t="shared" si="226"/>
        <v>2239.2349999999988</v>
      </c>
      <c r="AO80" s="6">
        <f t="shared" si="226"/>
        <v>2281.1000000000004</v>
      </c>
      <c r="AP80" s="6">
        <f t="shared" ref="AP80:AU80" si="227">AP69</f>
        <v>2552.8000000000006</v>
      </c>
      <c r="AQ80" s="6">
        <f t="shared" si="227"/>
        <v>2838.6999999999994</v>
      </c>
      <c r="AR80" s="6">
        <f t="shared" si="227"/>
        <v>2753.8</v>
      </c>
      <c r="AS80" s="6">
        <f t="shared" si="227"/>
        <v>2809.1000000000004</v>
      </c>
      <c r="AT80" s="6">
        <f t="shared" si="227"/>
        <v>2824.1999999999994</v>
      </c>
      <c r="AU80" s="6">
        <f t="shared" si="227"/>
        <v>3393.9269999999992</v>
      </c>
      <c r="AV80" s="6">
        <f t="shared" ref="AV80:BA80" si="228">AV69</f>
        <v>3243.1430000000018</v>
      </c>
      <c r="AW80" s="6">
        <f t="shared" si="228"/>
        <v>3306.5000000000014</v>
      </c>
      <c r="AX80" s="6">
        <f t="shared" si="228"/>
        <v>3465.9999999999995</v>
      </c>
      <c r="AY80" s="6">
        <f t="shared" si="228"/>
        <v>4029.8329999999992</v>
      </c>
      <c r="AZ80" s="6">
        <f t="shared" si="228"/>
        <v>4211.4380000000046</v>
      </c>
      <c r="BA80" s="6">
        <f t="shared" si="228"/>
        <v>4320.1799999999985</v>
      </c>
      <c r="BB80" s="6">
        <f t="shared" ref="BB80:BG80" si="229">BB69</f>
        <v>5030.1000000000004</v>
      </c>
      <c r="BC80" s="6">
        <f t="shared" si="229"/>
        <v>5990.2710000000006</v>
      </c>
      <c r="BD80" s="6">
        <f t="shared" si="229"/>
        <v>6653.345000000003</v>
      </c>
      <c r="BE80" s="6">
        <f t="shared" si="229"/>
        <v>12756.201000000001</v>
      </c>
      <c r="BF80" s="6">
        <f t="shared" si="229"/>
        <v>9522.5099999999966</v>
      </c>
      <c r="BG80" s="6">
        <f t="shared" si="229"/>
        <v>11313.608</v>
      </c>
    </row>
    <row r="81" spans="2:60" ht="13.5" customHeight="1">
      <c r="B81" s="7" t="s">
        <v>463</v>
      </c>
      <c r="C81" s="4">
        <f>-556.196+7.838-2.541+3.131+191.011-51.806</f>
        <v>-408.56300000000016</v>
      </c>
      <c r="D81" s="4">
        <f>-821.208+3.907-4.526-20.53+348.472+23.423</f>
        <v>-470.46199999999988</v>
      </c>
      <c r="E81" s="4">
        <f>1197.053+7.514-62.09+4.302-2733.901+29.286</f>
        <v>-1557.8359999999998</v>
      </c>
      <c r="F81" s="4">
        <f>613.404+1.107+27.871-4.099-507.043-265.518</f>
        <v>-134.27800000000008</v>
      </c>
      <c r="G81" s="4">
        <f>273.11-5.87-76.883+40.072-501.98-981.764</f>
        <v>-1253.3150000000001</v>
      </c>
      <c r="H81" s="4">
        <f>-881.333+10.025+2.035-33.135+92.427-506.303</f>
        <v>-1316.2840000000001</v>
      </c>
      <c r="I81" s="4">
        <f>-618.545-11.208-25.316+27.484+614.418-543.289</f>
        <v>-556.4559999999999</v>
      </c>
      <c r="J81" s="4">
        <f>-869.718-128.659-56.82+21.331+422.441-943.259</f>
        <v>-1554.684</v>
      </c>
      <c r="K81" s="4">
        <f>-2576.956-17.135+2095.537</f>
        <v>-498.55400000000054</v>
      </c>
      <c r="L81" s="196">
        <f>SUM(BD81:BG81)</f>
        <v>-2884.706999999999</v>
      </c>
      <c r="M81" s="196"/>
      <c r="N81" s="40"/>
      <c r="O81" s="40"/>
      <c r="P81" s="97"/>
      <c r="Q81" s="40"/>
      <c r="R81" s="40"/>
      <c r="S81" s="40"/>
      <c r="T81" s="40"/>
      <c r="U81" s="40"/>
      <c r="V81" s="40"/>
      <c r="W81" s="40"/>
      <c r="X81" s="40"/>
      <c r="Y81" s="40"/>
      <c r="Z81" s="40"/>
      <c r="AA81" s="40"/>
      <c r="AB81" s="40"/>
      <c r="AC81" s="4">
        <f>67.788+0.974-7.474-1.904-371.529-90.549</f>
        <v>-402.69399999999996</v>
      </c>
      <c r="AD81" s="4">
        <f>382.38+5.083-38.518-0.132-1891.907-51.076-AC81</f>
        <v>-1191.4759999999999</v>
      </c>
      <c r="AE81" s="4">
        <f>819.774+2.231-69.813+2.361-1623.297-59.787-AD81-AC81</f>
        <v>665.63899999999978</v>
      </c>
      <c r="AF81" s="6">
        <f>E81-SUM(AC81:AE81)</f>
        <v>-629.30499999999972</v>
      </c>
      <c r="AG81" s="4">
        <f>305.393-10.342-0.482-0.569-176.533-112.016</f>
        <v>5.4509999999999508</v>
      </c>
      <c r="AH81" s="4">
        <f>463.737+2.083-10.827+1936.201-3478.867-65.687-AG81</f>
        <v>-1158.8110000000001</v>
      </c>
      <c r="AI81" s="4">
        <f>582.802+0.263+34.866+975.266-2531.225-35.079-AG81-AH81</f>
        <v>180.2530000000005</v>
      </c>
      <c r="AJ81" s="6">
        <f>F81-SUM(AG81:AI81)</f>
        <v>838.8289999999995</v>
      </c>
      <c r="AK81" s="4">
        <f>-66.846-11.916-1.935-18.828-764.966-315.039</f>
        <v>-1179.53</v>
      </c>
      <c r="AL81" s="4">
        <f>-164.029-5.489-163.467-30.85-125.664-817.547-AK81</f>
        <v>-127.51600000000008</v>
      </c>
      <c r="AM81" s="4">
        <f>-360.216+5.089-50.848+13.338-342.172-913.93-AL81-AK81</f>
        <v>-341.69299999999998</v>
      </c>
      <c r="AN81" s="275">
        <f>G81-AM81-AL81-AK81</f>
        <v>395.42399999999998</v>
      </c>
      <c r="AO81" s="4">
        <f>-131.542+9.597-55.301-2.149-447.903-270.265</f>
        <v>-897.56299999999999</v>
      </c>
      <c r="AP81" s="4">
        <f>-700.826+7.164-1.702-5.534-625.714-314.367-AO81</f>
        <v>-743.41600000000005</v>
      </c>
      <c r="AQ81" s="4">
        <f>-660.915+7.967+18.301-2.079-641.266-470.51-AP81-AO81</f>
        <v>-107.52299999999968</v>
      </c>
      <c r="AR81" s="196">
        <f>H81-AQ81-AP81-AO81</f>
        <v>432.21799999999962</v>
      </c>
      <c r="AS81" s="4">
        <f>-456.91+2.6-77.439-7.201-105.368-315.866</f>
        <v>-960.18399999999997</v>
      </c>
      <c r="AT81" s="4">
        <f>-844.112+2.12-92.393-5.34-159.179-446.322-AS81</f>
        <v>-585.04200000000014</v>
      </c>
      <c r="AU81" s="4">
        <f>-676.57+0.289-105.898-5.56+381.639-499.358-AT81-AS81</f>
        <v>639.76800000000003</v>
      </c>
      <c r="AV81" s="196">
        <f>I81-AU81-AT81-AS81</f>
        <v>349.00200000000018</v>
      </c>
      <c r="AW81" s="4">
        <f>-451.204-6.405-176.699+15.127-35.251-396.922</f>
        <v>-1051.354</v>
      </c>
      <c r="AX81" s="4">
        <f>-745.995-53.157-202.692+698.304-643.533-495.446-AW81</f>
        <v>-391.16500000000019</v>
      </c>
      <c r="AY81" s="4">
        <f>-906.784-76.635-80.649-14.001-159.444-568.812-AX81-AW81</f>
        <v>-363.80599999999959</v>
      </c>
      <c r="AZ81" s="196">
        <f>J81-AY81-AX81-AW81</f>
        <v>251.64099999999985</v>
      </c>
      <c r="BA81" s="4">
        <f>(-834984-208695-65380-490473)/1000</f>
        <v>-1599.5319999999999</v>
      </c>
      <c r="BB81" s="4">
        <f>-4405.383-BA81</f>
        <v>-2805.8509999999997</v>
      </c>
      <c r="BC81" s="4">
        <f>-4325.658-BB81-BA81</f>
        <v>79.724999999999227</v>
      </c>
      <c r="BD81" s="196">
        <f>K81-BC81-BB81-BA81</f>
        <v>3827.1040000000003</v>
      </c>
      <c r="BE81" s="4">
        <f xml:space="preserve"> -2773.542-136.67+423.454-731.208</f>
        <v>-3217.9659999999999</v>
      </c>
      <c r="BF81" s="4">
        <f>-4202.336-BE81</f>
        <v>-984.37000000000035</v>
      </c>
      <c r="BG81" s="4">
        <f>-6711.811-BF81-BE81</f>
        <v>-2509.474999999999</v>
      </c>
      <c r="BH81" s="445"/>
    </row>
    <row r="82" spans="2:60" ht="13.5" customHeight="1">
      <c r="B82" s="7" t="s">
        <v>464</v>
      </c>
      <c r="C82" s="4">
        <v>-699.29300000000001</v>
      </c>
      <c r="D82" s="4">
        <v>-751.07799999999997</v>
      </c>
      <c r="E82" s="4">
        <v>-135.91999999999999</v>
      </c>
      <c r="F82" s="4">
        <v>-492.48700000000002</v>
      </c>
      <c r="G82" s="4">
        <v>-657.71500000000003</v>
      </c>
      <c r="H82" s="4">
        <v>-611.35400000000004</v>
      </c>
      <c r="I82" s="4">
        <v>-634.09400000000005</v>
      </c>
      <c r="J82" s="4">
        <v>-763.10299999999995</v>
      </c>
      <c r="K82" s="4">
        <v>-779.65499999999997</v>
      </c>
      <c r="L82" s="196">
        <f>SUM(BD82:BG82)</f>
        <v>-863.17</v>
      </c>
      <c r="M82" s="196"/>
      <c r="N82" s="40"/>
      <c r="O82" s="40"/>
      <c r="P82" s="97"/>
      <c r="Q82" s="40"/>
      <c r="R82" s="40"/>
      <c r="S82" s="40"/>
      <c r="T82" s="40"/>
      <c r="U82" s="40"/>
      <c r="V82" s="40"/>
      <c r="W82" s="40"/>
      <c r="X82" s="40"/>
      <c r="Y82" s="40"/>
      <c r="Z82" s="40"/>
      <c r="AA82" s="40"/>
      <c r="AB82" s="40"/>
      <c r="AC82" s="4">
        <v>-13.223000000000001</v>
      </c>
      <c r="AD82" s="4">
        <f>-18.905-AC82</f>
        <v>-5.6820000000000004</v>
      </c>
      <c r="AE82" s="4">
        <f>-52.391-AD82-AC82</f>
        <v>-33.485999999999997</v>
      </c>
      <c r="AF82" s="6">
        <f>E82-SUM(AC82:AE82)</f>
        <v>-83.528999999999996</v>
      </c>
      <c r="AG82" s="4">
        <v>-94.117999999999995</v>
      </c>
      <c r="AH82" s="4">
        <f>-224.385-AG82</f>
        <v>-130.267</v>
      </c>
      <c r="AI82" s="4">
        <f>-360.775-AH82-AG82</f>
        <v>-136.38999999999999</v>
      </c>
      <c r="AJ82" s="6">
        <f>F82-SUM(AG82:AI82)</f>
        <v>-131.71200000000005</v>
      </c>
      <c r="AK82" s="4">
        <v>-167.3</v>
      </c>
      <c r="AL82" s="4">
        <f>-411.988-AK82</f>
        <v>-244.68799999999999</v>
      </c>
      <c r="AM82" s="4">
        <f>-511.562-AL82-AK82</f>
        <v>-99.574000000000012</v>
      </c>
      <c r="AN82" s="275">
        <f>G82-AM82-AL82-AK82</f>
        <v>-146.15300000000008</v>
      </c>
      <c r="AO82" s="4">
        <v>-137.25700000000001</v>
      </c>
      <c r="AP82" s="4">
        <f>-297.244-AO82</f>
        <v>-159.98700000000002</v>
      </c>
      <c r="AQ82" s="4">
        <f>-472.972-AP82-AO82</f>
        <v>-175.72799999999995</v>
      </c>
      <c r="AR82" s="196">
        <f>H82-AQ82-AP82-AO82</f>
        <v>-138.38200000000006</v>
      </c>
      <c r="AS82" s="4">
        <v>-133.62700000000001</v>
      </c>
      <c r="AT82" s="4">
        <f>-234.68-AS82</f>
        <v>-101.053</v>
      </c>
      <c r="AU82" s="4">
        <f>-435.915-AT82-AS82</f>
        <v>-201.23500000000001</v>
      </c>
      <c r="AV82" s="196">
        <f>I82-AU82-AT82-AS82</f>
        <v>-198.17900000000003</v>
      </c>
      <c r="AW82" s="4">
        <v>-135.59200000000001</v>
      </c>
      <c r="AX82" s="4">
        <f>-296.172-AW82</f>
        <v>-160.58000000000001</v>
      </c>
      <c r="AY82" s="4">
        <f>-562.023-AX82-AW82</f>
        <v>-265.851</v>
      </c>
      <c r="AZ82" s="196">
        <f>J82-AY82-AX82-AW82</f>
        <v>-201.0799999999999</v>
      </c>
      <c r="BA82" s="4">
        <v>-82.665000000000006</v>
      </c>
      <c r="BB82" s="4">
        <f>-179.547-BA82</f>
        <v>-96.881999999999991</v>
      </c>
      <c r="BC82" s="4">
        <f>-349.769-BB82-BA82</f>
        <v>-170.22199999999998</v>
      </c>
      <c r="BD82" s="196">
        <f>K82-BC82-BB82-BA82</f>
        <v>-429.88600000000002</v>
      </c>
      <c r="BE82" s="4">
        <v>-19.363</v>
      </c>
      <c r="BF82" s="4">
        <v>-124.04</v>
      </c>
      <c r="BG82" s="4">
        <f>-433.284-BF82-BE82</f>
        <v>-289.88099999999997</v>
      </c>
      <c r="BH82" s="445"/>
    </row>
    <row r="83" spans="2:60" ht="13.5" customHeight="1">
      <c r="B83" s="7" t="s">
        <v>465</v>
      </c>
      <c r="C83" s="4">
        <v>-94.106999999999999</v>
      </c>
      <c r="D83" s="4">
        <v>-153.529</v>
      </c>
      <c r="E83" s="4">
        <v>-434.52100000000002</v>
      </c>
      <c r="F83" s="4">
        <v>-909.88099999999997</v>
      </c>
      <c r="G83" s="4">
        <v>-1658.308</v>
      </c>
      <c r="H83" s="4">
        <v>-2090.7179999999998</v>
      </c>
      <c r="I83" s="4">
        <v>-1653.675</v>
      </c>
      <c r="J83" s="4">
        <v>-1822.8150000000001</v>
      </c>
      <c r="K83" s="4">
        <v>-3087.2339999999999</v>
      </c>
      <c r="L83" s="196">
        <f>SUM(BD83:BG83)</f>
        <v>-4495.5859999999993</v>
      </c>
      <c r="M83" s="196"/>
      <c r="N83" s="40"/>
      <c r="O83" s="40"/>
      <c r="P83" s="97"/>
      <c r="Q83" s="40"/>
      <c r="R83" s="40"/>
      <c r="S83" s="40"/>
      <c r="T83" s="40"/>
      <c r="U83" s="40"/>
      <c r="V83" s="40"/>
      <c r="W83" s="40"/>
      <c r="X83" s="40"/>
      <c r="Y83" s="40"/>
      <c r="Z83" s="40"/>
      <c r="AA83" s="40"/>
      <c r="AB83" s="40"/>
      <c r="AC83" s="4">
        <v>-10.398999999999999</v>
      </c>
      <c r="AD83" s="4">
        <f>-95.161-AC83</f>
        <v>-84.762</v>
      </c>
      <c r="AE83" s="4">
        <f>-138.418-AD83-AC83</f>
        <v>-43.257000000000005</v>
      </c>
      <c r="AF83" s="6">
        <f>E83-SUM(AC83:AE83)</f>
        <v>-296.10300000000001</v>
      </c>
      <c r="AG83" s="4">
        <v>-74.971000000000004</v>
      </c>
      <c r="AH83" s="4">
        <f>-351.876-AG83</f>
        <v>-276.90499999999997</v>
      </c>
      <c r="AI83" s="4">
        <f>-444.359-AH83-AG83</f>
        <v>-92.483000000000004</v>
      </c>
      <c r="AJ83" s="6">
        <f>F83-SUM(AG83:AI83)</f>
        <v>-465.52199999999999</v>
      </c>
      <c r="AK83" s="4">
        <v>-143.58199999999999</v>
      </c>
      <c r="AL83" s="4">
        <f>-516.613-AK83</f>
        <v>-373.03100000000006</v>
      </c>
      <c r="AM83" s="4">
        <f>-714.559-AL83-AK83</f>
        <v>-197.94599999999991</v>
      </c>
      <c r="AN83" s="275">
        <f>G83-AM83-AL83-AK83</f>
        <v>-943.74900000000014</v>
      </c>
      <c r="AO83" s="4">
        <v>-605.625</v>
      </c>
      <c r="AP83" s="4">
        <f>-971.228-AO83</f>
        <v>-365.60299999999995</v>
      </c>
      <c r="AQ83" s="4">
        <f>-1283.441-AP83-AO83</f>
        <v>-312.21300000000008</v>
      </c>
      <c r="AR83" s="196">
        <f>H83-AQ83-AP83-AO83</f>
        <v>-807.27699999999959</v>
      </c>
      <c r="AS83" s="4">
        <v>-149.43700000000001</v>
      </c>
      <c r="AT83" s="4">
        <f>-796.961-AS83</f>
        <v>-647.524</v>
      </c>
      <c r="AU83" s="4">
        <f>-1125.966-AT83-AS83</f>
        <v>-329.00499999999988</v>
      </c>
      <c r="AV83" s="196">
        <f>I83-AU83-AT83-AS83</f>
        <v>-527.70900000000006</v>
      </c>
      <c r="AW83" s="4">
        <v>-88.040999999999997</v>
      </c>
      <c r="AX83" s="4">
        <f>-813.535-AW83</f>
        <v>-725.49399999999991</v>
      </c>
      <c r="AY83" s="4">
        <f>-995.031-AX83-AW83</f>
        <v>-181.49600000000004</v>
      </c>
      <c r="AZ83" s="196">
        <f>J83-AY83-AX83-AW83</f>
        <v>-827.78400000000011</v>
      </c>
      <c r="BA83" s="4">
        <v>-230.92400000000001</v>
      </c>
      <c r="BB83" s="4">
        <f>-1434.46-BA83</f>
        <v>-1203.5360000000001</v>
      </c>
      <c r="BC83" s="4">
        <f>-1695.303-BB83-BA83</f>
        <v>-260.84300000000007</v>
      </c>
      <c r="BD83" s="196">
        <f>K83-BC83-BB83-BA83</f>
        <v>-1391.9309999999996</v>
      </c>
      <c r="BE83" s="4">
        <v>-440.02</v>
      </c>
      <c r="BF83" s="4">
        <v>-2381.0450000000001</v>
      </c>
      <c r="BG83" s="4">
        <f>-3103.655-BF83-BE83</f>
        <v>-282.59000000000015</v>
      </c>
      <c r="BH83" s="445"/>
    </row>
    <row r="84" spans="2:60" s="5" customFormat="1" ht="13.5" customHeight="1">
      <c r="B84" s="5" t="s">
        <v>466</v>
      </c>
      <c r="C84" s="41">
        <f t="shared" ref="C84:L84" si="230">SUM(C80:C83)</f>
        <v>2559.8369999999991</v>
      </c>
      <c r="D84" s="41">
        <f t="shared" si="230"/>
        <v>2765.4309999999991</v>
      </c>
      <c r="E84" s="41">
        <f t="shared" si="230"/>
        <v>2491.222999999999</v>
      </c>
      <c r="F84" s="41">
        <f t="shared" si="230"/>
        <v>4691.6539999999968</v>
      </c>
      <c r="G84" s="41">
        <f t="shared" si="230"/>
        <v>5218.6699999999973</v>
      </c>
      <c r="H84" s="41">
        <f>SUM(H80:H83)</f>
        <v>6408.0440000000026</v>
      </c>
      <c r="I84" s="41">
        <f>SUM(I80:I83)</f>
        <v>9426.1450000000004</v>
      </c>
      <c r="J84" s="41">
        <f>SUM(J80:J83)</f>
        <v>10873.169000000005</v>
      </c>
      <c r="K84" s="41">
        <f>SUM(K80:K83)</f>
        <v>17628.452999999994</v>
      </c>
      <c r="L84" s="41">
        <f t="shared" si="230"/>
        <v>32002.201000000019</v>
      </c>
      <c r="M84" s="41"/>
      <c r="N84" s="41"/>
      <c r="O84" s="41"/>
      <c r="P84" s="157"/>
      <c r="Q84" s="41"/>
      <c r="R84" s="41"/>
      <c r="S84" s="41"/>
      <c r="T84" s="41"/>
      <c r="U84" s="41"/>
      <c r="V84" s="41"/>
      <c r="W84" s="41"/>
      <c r="X84" s="41"/>
      <c r="Y84" s="41"/>
      <c r="Z84" s="41"/>
      <c r="AA84" s="41"/>
      <c r="AB84" s="41"/>
      <c r="AC84" s="41">
        <f t="shared" ref="AC84:AI84" si="231">SUM(AC80:AC83)</f>
        <v>575.19926011189216</v>
      </c>
      <c r="AD84" s="41">
        <f t="shared" si="231"/>
        <v>-252.63594083336878</v>
      </c>
      <c r="AE84" s="41">
        <f t="shared" si="231"/>
        <v>1806.4959999999999</v>
      </c>
      <c r="AF84" s="41">
        <f t="shared" si="231"/>
        <v>362.16300000000064</v>
      </c>
      <c r="AG84" s="41">
        <f t="shared" si="231"/>
        <v>1236.3620000000001</v>
      </c>
      <c r="AH84" s="41">
        <f t="shared" si="231"/>
        <v>-108.98300000000012</v>
      </c>
      <c r="AI84" s="41">
        <f t="shared" si="231"/>
        <v>1583.6800000000005</v>
      </c>
      <c r="AJ84" s="41">
        <f t="shared" ref="AJ84:AO84" si="232">SUM(AJ80:AJ83)</f>
        <v>1980.4949999999985</v>
      </c>
      <c r="AK84" s="41">
        <f t="shared" si="232"/>
        <v>531.48799999999926</v>
      </c>
      <c r="AL84" s="41">
        <f t="shared" si="232"/>
        <v>1388.8649999999993</v>
      </c>
      <c r="AM84" s="41">
        <f t="shared" si="232"/>
        <v>1753.5600000000009</v>
      </c>
      <c r="AN84" s="41">
        <f t="shared" si="232"/>
        <v>1544.7569999999982</v>
      </c>
      <c r="AO84" s="41">
        <f t="shared" si="232"/>
        <v>640.6550000000002</v>
      </c>
      <c r="AP84" s="41">
        <f t="shared" ref="AP84:AU84" si="233">SUM(AP80:AP83)</f>
        <v>1283.7940000000003</v>
      </c>
      <c r="AQ84" s="41">
        <f t="shared" si="233"/>
        <v>2243.2359999999994</v>
      </c>
      <c r="AR84" s="41">
        <f t="shared" si="233"/>
        <v>2240.3590000000004</v>
      </c>
      <c r="AS84" s="41">
        <f t="shared" si="233"/>
        <v>1565.8520000000003</v>
      </c>
      <c r="AT84" s="41">
        <f t="shared" si="233"/>
        <v>1490.5809999999997</v>
      </c>
      <c r="AU84" s="41">
        <f t="shared" si="233"/>
        <v>3503.454999999999</v>
      </c>
      <c r="AV84" s="41">
        <f t="shared" ref="AV84:BA84" si="234">SUM(AV80:AV83)</f>
        <v>2866.2570000000023</v>
      </c>
      <c r="AW84" s="41">
        <f t="shared" si="234"/>
        <v>2031.5130000000015</v>
      </c>
      <c r="AX84" s="41">
        <f t="shared" si="234"/>
        <v>2188.7609999999995</v>
      </c>
      <c r="AY84" s="41">
        <f t="shared" si="234"/>
        <v>3218.6799999999994</v>
      </c>
      <c r="AZ84" s="41">
        <f t="shared" si="234"/>
        <v>3434.2150000000042</v>
      </c>
      <c r="BA84" s="41">
        <f t="shared" si="234"/>
        <v>2407.0589999999984</v>
      </c>
      <c r="BB84" s="41">
        <f t="shared" ref="BB84:BG84" si="235">SUM(BB80:BB83)</f>
        <v>923.83100000000059</v>
      </c>
      <c r="BC84" s="41">
        <f t="shared" si="235"/>
        <v>5638.9310000000005</v>
      </c>
      <c r="BD84" s="41">
        <f t="shared" si="235"/>
        <v>8658.6320000000051</v>
      </c>
      <c r="BE84" s="41">
        <f t="shared" si="235"/>
        <v>9078.8520000000008</v>
      </c>
      <c r="BF84" s="41">
        <f t="shared" si="235"/>
        <v>6033.0549999999948</v>
      </c>
      <c r="BG84" s="41">
        <f t="shared" si="235"/>
        <v>8231.6620000000021</v>
      </c>
      <c r="BH84" s="446"/>
    </row>
    <row r="85" spans="2:60" ht="13.5" customHeight="1">
      <c r="B85" s="7" t="s">
        <v>467</v>
      </c>
      <c r="C85" s="4">
        <v>-1553.59</v>
      </c>
      <c r="D85" s="4">
        <v>-2135.3580000000002</v>
      </c>
      <c r="E85" s="4">
        <v>-2572.4009999999998</v>
      </c>
      <c r="F85" s="4">
        <v>-2937.1950000000002</v>
      </c>
      <c r="G85" s="4">
        <v>-2960.6480000000001</v>
      </c>
      <c r="H85" s="4">
        <v>-3195.069</v>
      </c>
      <c r="I85" s="4">
        <v>-3904.4430000000002</v>
      </c>
      <c r="J85" s="4">
        <v>-5568.3</v>
      </c>
      <c r="K85" s="4">
        <v>-7216.3</v>
      </c>
      <c r="L85" s="196">
        <f>SUM(BD85:BG85)</f>
        <v>-11035.52</v>
      </c>
      <c r="M85" s="196"/>
      <c r="N85" s="40"/>
      <c r="O85" s="40"/>
      <c r="P85" s="97"/>
      <c r="Q85" s="40"/>
      <c r="R85" s="40"/>
      <c r="S85" s="40"/>
      <c r="T85" s="40"/>
      <c r="U85" s="40"/>
      <c r="V85" s="40"/>
      <c r="W85" s="40"/>
      <c r="X85" s="40"/>
      <c r="Y85" s="40"/>
      <c r="Z85" s="40"/>
      <c r="AA85" s="40"/>
      <c r="AB85" s="40"/>
      <c r="AC85" s="4">
        <v>-585.74</v>
      </c>
      <c r="AD85" s="4">
        <f>-1323.16-AC85</f>
        <v>-737.42000000000007</v>
      </c>
      <c r="AE85" s="4">
        <f>-1786.5-AD85-AC85</f>
        <v>-463.33999999999992</v>
      </c>
      <c r="AF85" s="6">
        <f>E85-SUM(AC85:AE85)</f>
        <v>-785.90099999999984</v>
      </c>
      <c r="AG85" s="4">
        <v>-381.70600000000002</v>
      </c>
      <c r="AH85" s="4">
        <f>-910.51-AG85</f>
        <v>-528.80399999999997</v>
      </c>
      <c r="AI85" s="4">
        <f>-1608.914-AH85-AG85</f>
        <v>-698.40400000000011</v>
      </c>
      <c r="AJ85" s="6">
        <f>F85-SUM(AG85:AI85)</f>
        <v>-1328.2809999999999</v>
      </c>
      <c r="AK85" s="4">
        <v>-548.05700000000002</v>
      </c>
      <c r="AL85" s="4">
        <f>-1131.756-AK85</f>
        <v>-583.69900000000007</v>
      </c>
      <c r="AM85" s="4">
        <f>-1920.069-AL85-AK85</f>
        <v>-788.31299999999987</v>
      </c>
      <c r="AN85" s="275">
        <f>G85-AM85-AL85-AK85</f>
        <v>-1040.579</v>
      </c>
      <c r="AO85" s="4">
        <v>-515.62300000000005</v>
      </c>
      <c r="AP85" s="4">
        <f>-1259.618-AO85</f>
        <v>-743.99499999999989</v>
      </c>
      <c r="AQ85" s="4">
        <f>-2020.509-AP85-AO85</f>
        <v>-760.89100000000008</v>
      </c>
      <c r="AR85" s="196">
        <f>H85-AQ85-AP85-AO85</f>
        <v>-1174.56</v>
      </c>
      <c r="AS85" s="4">
        <v>-473.05599999999998</v>
      </c>
      <c r="AT85" s="4">
        <f>-1391.82-AS85</f>
        <v>-918.7639999999999</v>
      </c>
      <c r="AU85" s="4">
        <f>-2561.096-AT85-AS85</f>
        <v>-1169.2760000000001</v>
      </c>
      <c r="AV85" s="196">
        <f>I85-AU85-AT85-AS85</f>
        <v>-1343.3470000000004</v>
      </c>
      <c r="AW85" s="4">
        <v>-1025.1610000000001</v>
      </c>
      <c r="AX85" s="4">
        <f>-2463.999-AW85</f>
        <v>-1438.8379999999997</v>
      </c>
      <c r="AY85" s="4">
        <f>-3415.149-AX85-AW85</f>
        <v>-951.15000000000009</v>
      </c>
      <c r="AZ85" s="196">
        <f>J85-AY85-AX85-AW85</f>
        <v>-2153.1509999999998</v>
      </c>
      <c r="BA85" s="4">
        <v>-1142.845</v>
      </c>
      <c r="BB85" s="4">
        <f>-2680.34-BA85</f>
        <v>-1537.4950000000001</v>
      </c>
      <c r="BC85" s="4">
        <f>-4188.503-BB85-BA85</f>
        <v>-1508.1629999999998</v>
      </c>
      <c r="BD85" s="196">
        <f>K85-BC85-BB85-BA85</f>
        <v>-3027.7970000000005</v>
      </c>
      <c r="BE85" s="4">
        <v>-2231.7840000000001</v>
      </c>
      <c r="BF85" s="4">
        <f>-5039.181-BE85</f>
        <v>-2807.3969999999995</v>
      </c>
      <c r="BG85" s="4">
        <f>-8007.723-BF85-BE85</f>
        <v>-2968.5420000000008</v>
      </c>
      <c r="BH85" s="445"/>
    </row>
    <row r="86" spans="2:60" ht="13.5" customHeight="1">
      <c r="B86" s="7" t="s">
        <v>468</v>
      </c>
      <c r="C86" s="4">
        <v>-575.88499999999999</v>
      </c>
      <c r="D86" s="4">
        <v>-2461.6120000000001</v>
      </c>
      <c r="E86" s="4">
        <v>-855.09699999999998</v>
      </c>
      <c r="F86" s="4">
        <v>-1172.847</v>
      </c>
      <c r="G86" s="4">
        <v>-2264.9119999999998</v>
      </c>
      <c r="H86" s="4">
        <v>-2821.1109999999999</v>
      </c>
      <c r="I86" s="4">
        <v>-3375.915</v>
      </c>
      <c r="J86" s="4">
        <v>-4014.2339999999999</v>
      </c>
      <c r="K86" s="4">
        <v>-6869.3019999999997</v>
      </c>
      <c r="L86" s="196">
        <f>SUM(BD86:BG86)</f>
        <v>-12069.153</v>
      </c>
      <c r="M86" s="196"/>
      <c r="N86" s="40"/>
      <c r="O86" s="40"/>
      <c r="P86" s="97"/>
      <c r="Q86" s="40"/>
      <c r="R86" s="40"/>
      <c r="S86" s="40"/>
      <c r="T86" s="40"/>
      <c r="U86" s="40"/>
      <c r="V86" s="40"/>
      <c r="W86" s="40"/>
      <c r="X86" s="40"/>
      <c r="Y86" s="40"/>
      <c r="Z86" s="40"/>
      <c r="AA86" s="40"/>
      <c r="AB86" s="40"/>
      <c r="AC86" s="4">
        <v>-109.79</v>
      </c>
      <c r="AD86" s="4">
        <f>-247.518-AC86</f>
        <v>-137.72800000000001</v>
      </c>
      <c r="AE86" s="4">
        <f>-516.81-AD86-AC86</f>
        <v>-269.29199999999992</v>
      </c>
      <c r="AF86" s="6">
        <f>E86-SUM(AC86:AE86)</f>
        <v>-338.28700000000003</v>
      </c>
      <c r="AG86" s="4">
        <v>-181.07</v>
      </c>
      <c r="AH86" s="4">
        <f>-433.735-AG86</f>
        <v>-252.66500000000002</v>
      </c>
      <c r="AI86" s="4">
        <f>-641.92-AH86-AG86</f>
        <v>-208.18499999999995</v>
      </c>
      <c r="AJ86" s="6">
        <f>F86-SUM(AG86:AI86)</f>
        <v>-530.92700000000002</v>
      </c>
      <c r="AK86" s="4">
        <v>-419.17399999999998</v>
      </c>
      <c r="AL86" s="4">
        <f>-1063.591-AK86</f>
        <v>-644.41699999999992</v>
      </c>
      <c r="AM86" s="4">
        <f>-1522.376-AL86-AK86</f>
        <v>-458.78500000000008</v>
      </c>
      <c r="AN86" s="275">
        <f>G86-AM86-AL86-AK86</f>
        <v>-742.53599999999983</v>
      </c>
      <c r="AO86" s="4">
        <v>-607.23800000000006</v>
      </c>
      <c r="AP86" s="4">
        <f>-552.832-AO86</f>
        <v>54.406000000000063</v>
      </c>
      <c r="AQ86" s="4">
        <f>-1839.402-AP86-AO86</f>
        <v>-1286.57</v>
      </c>
      <c r="AR86" s="196">
        <f>H86-AQ86-AP86-AO86</f>
        <v>-981.70900000000006</v>
      </c>
      <c r="AS86" s="4">
        <v>-774.00400000000002</v>
      </c>
      <c r="AT86" s="4">
        <f>-1381.438-AS86</f>
        <v>-607.43400000000008</v>
      </c>
      <c r="AU86" s="4">
        <f>-2230.853-AT86-AS86</f>
        <v>-849.41499999999985</v>
      </c>
      <c r="AV86" s="196">
        <f>I86-AU86-AT86-AS86</f>
        <v>-1145.0619999999999</v>
      </c>
      <c r="AW86" s="4">
        <v>-894.59900000000005</v>
      </c>
      <c r="AX86" s="4">
        <f>-1998.678-AW86</f>
        <v>-1104.0790000000002</v>
      </c>
      <c r="AY86" s="4">
        <f>-2870.298-AX86-AW86</f>
        <v>-871.61999999999955</v>
      </c>
      <c r="AZ86" s="196">
        <f>J86-AY86-AX86-AW86</f>
        <v>-1143.9360000000001</v>
      </c>
      <c r="BA86" s="4">
        <v>-1235.336</v>
      </c>
      <c r="BB86" s="4">
        <f>-2377.929-BA86</f>
        <v>-1142.5930000000001</v>
      </c>
      <c r="BC86" s="4">
        <f>-4212.082-BB86-BA86</f>
        <v>-1834.1530000000005</v>
      </c>
      <c r="BD86" s="196">
        <f>K86-BC86-BB86-BA86</f>
        <v>-2657.2199999999993</v>
      </c>
      <c r="BE86" s="4">
        <v>-2178.4169999999999</v>
      </c>
      <c r="BF86" s="4">
        <f>-7023.978-BE86</f>
        <v>-4845.5609999999997</v>
      </c>
      <c r="BG86" s="4">
        <f>-9411.933-BF86-BE86</f>
        <v>-2387.9550000000013</v>
      </c>
      <c r="BH86" s="445"/>
    </row>
    <row r="87" spans="2:60" ht="13.5" customHeight="1">
      <c r="B87" s="7" t="s">
        <v>469</v>
      </c>
      <c r="C87" s="4">
        <f>28.094+0.597-27.9</f>
        <v>0.79100000000000392</v>
      </c>
      <c r="D87" s="4">
        <v>24.192</v>
      </c>
      <c r="E87" s="4">
        <v>49.639000000000003</v>
      </c>
      <c r="F87" s="4">
        <v>58.74</v>
      </c>
      <c r="G87" s="4">
        <f>103.864-19.5+118.528</f>
        <v>202.892</v>
      </c>
      <c r="H87" s="4">
        <f>81.192-38+2219.644</f>
        <v>2262.8359999999998</v>
      </c>
      <c r="I87" s="4">
        <f>99.843-76+1.229</f>
        <v>25.072000000000003</v>
      </c>
      <c r="J87" s="4">
        <f>190.153-484.568</f>
        <v>-294.41499999999996</v>
      </c>
      <c r="K87" s="4">
        <f>244.487-515.775</f>
        <v>-271.28800000000001</v>
      </c>
      <c r="L87" s="196">
        <f>SUM(BD87:BG87)</f>
        <v>2481.0039999999999</v>
      </c>
      <c r="M87" s="196"/>
      <c r="N87" s="40"/>
      <c r="O87" s="40"/>
      <c r="P87" s="97"/>
      <c r="Q87" s="40"/>
      <c r="R87" s="40"/>
      <c r="S87" s="40"/>
      <c r="T87" s="40"/>
      <c r="U87" s="40"/>
      <c r="V87" s="40"/>
      <c r="W87" s="40"/>
      <c r="X87" s="40"/>
      <c r="Y87" s="40"/>
      <c r="Z87" s="40"/>
      <c r="AA87" s="40"/>
      <c r="AB87" s="40"/>
      <c r="AC87" s="4">
        <v>12.914</v>
      </c>
      <c r="AD87" s="4">
        <f>19.518-AC87</f>
        <v>6.604000000000001</v>
      </c>
      <c r="AE87" s="4">
        <f>31.305-AD87-AC87</f>
        <v>11.787000000000001</v>
      </c>
      <c r="AF87" s="6">
        <f>E87-SUM(AC87:AE87)</f>
        <v>18.334000000000003</v>
      </c>
      <c r="AG87" s="4">
        <f>12.581</f>
        <v>12.581</v>
      </c>
      <c r="AH87" s="4">
        <f>41.227-AG87</f>
        <v>28.645999999999997</v>
      </c>
      <c r="AI87" s="4">
        <f>38.034-AH87-AG87</f>
        <v>-3.1929999999999978</v>
      </c>
      <c r="AJ87" s="6">
        <f>F87-SUM(AG87:AI87)</f>
        <v>20.706000000000003</v>
      </c>
      <c r="AK87" s="4">
        <v>19.724</v>
      </c>
      <c r="AL87" s="4">
        <f>32.041-AK87</f>
        <v>12.316999999999997</v>
      </c>
      <c r="AM87" s="4">
        <f>51.113-AL87-AK87</f>
        <v>19.072000000000006</v>
      </c>
      <c r="AN87" s="275">
        <f>G87-AM87-AL87-AK87</f>
        <v>151.779</v>
      </c>
      <c r="AO87" s="4">
        <f>16.034-10.286+30.335-124.602</f>
        <v>-88.519000000000005</v>
      </c>
      <c r="AP87" s="4">
        <f>46.299+2219.644-19-225.972+57.529-AO87</f>
        <v>2167.0190000000002</v>
      </c>
      <c r="AQ87" s="4">
        <f>64.155+2219.644-28.5+81.775-231.659-AP87-AO87</f>
        <v>26.914999999999736</v>
      </c>
      <c r="AR87" s="196">
        <f>H87-AQ87-AP87-AO87</f>
        <v>157.42100000000005</v>
      </c>
      <c r="AS87" s="4">
        <f>27.466-38.95</f>
        <v>-11.484000000000002</v>
      </c>
      <c r="AT87" s="4">
        <f>45.086+0+672.277-684.814-38.95-AS87</f>
        <v>5.0830000000000908</v>
      </c>
      <c r="AU87" s="4">
        <f>77.422+1.229-76+674.529-736.438-AT87-AS87</f>
        <v>-52.85700000000012</v>
      </c>
      <c r="AV87" s="196">
        <f>I87-AU87-AT87-AS87</f>
        <v>84.330000000000041</v>
      </c>
      <c r="AW87" s="4">
        <f>19.412-103.626</f>
        <v>-84.213999999999999</v>
      </c>
      <c r="AX87" s="4">
        <f>72.309+0+399.619-218.743-105.758-AW87</f>
        <v>231.64100000000002</v>
      </c>
      <c r="AY87" s="4">
        <f>96.521-86.703-350.018+265.765-502.446-AX87-AW87</f>
        <v>-724.30800000000022</v>
      </c>
      <c r="AZ87" s="196">
        <f>J87-AY87-AX87-AW87</f>
        <v>282.46600000000024</v>
      </c>
      <c r="BA87" s="4">
        <f>29.212-182.275</f>
        <v>-153.06300000000002</v>
      </c>
      <c r="BB87" s="4">
        <f>72.288+0+62.419-2429.549-389.275-BA87</f>
        <v>-2531.0540000000001</v>
      </c>
      <c r="BC87" s="4">
        <f>166.072-389.275+62.419-3896.286-BB87-BA87</f>
        <v>-1372.953</v>
      </c>
      <c r="BD87" s="196">
        <f>K87-BC87-BB87-BA87</f>
        <v>3785.7820000000002</v>
      </c>
      <c r="BE87" s="4">
        <v>46.551000000000002</v>
      </c>
      <c r="BF87" s="4">
        <f>113.045+0+1188.268-2541.341-0-BE87</f>
        <v>-1286.5789999999997</v>
      </c>
      <c r="BG87" s="4">
        <f>225.457-156.014+4573.075-5947.296-BF87-BE87</f>
        <v>-64.750000000000526</v>
      </c>
      <c r="BH87" s="445"/>
    </row>
    <row r="88" spans="2:60" ht="13.5" customHeight="1">
      <c r="B88" s="7" t="s">
        <v>470</v>
      </c>
      <c r="C88" s="4">
        <v>945.66300000000001</v>
      </c>
      <c r="D88" s="4">
        <v>761.32799999999997</v>
      </c>
      <c r="E88" s="4">
        <v>610.83699999999999</v>
      </c>
      <c r="F88" s="4">
        <v>553.06600000000003</v>
      </c>
      <c r="G88" s="4">
        <v>731.79300000000001</v>
      </c>
      <c r="H88" s="4">
        <v>854.01800000000003</v>
      </c>
      <c r="I88" s="4">
        <v>994.899</v>
      </c>
      <c r="J88" s="4">
        <v>1223.866</v>
      </c>
      <c r="K88" s="4">
        <v>2127.6460000000002</v>
      </c>
      <c r="L88" s="196">
        <f>SUM(BD88:BG88)</f>
        <v>3514.9370000000004</v>
      </c>
      <c r="M88" s="196"/>
      <c r="N88" s="40"/>
      <c r="O88" s="40"/>
      <c r="P88" s="97"/>
      <c r="Q88" s="40"/>
      <c r="R88" s="40"/>
      <c r="S88" s="40"/>
      <c r="T88" s="40"/>
      <c r="U88" s="40"/>
      <c r="V88" s="40"/>
      <c r="W88" s="40"/>
      <c r="X88" s="40"/>
      <c r="Y88" s="40"/>
      <c r="Z88" s="40"/>
      <c r="AA88" s="40"/>
      <c r="AB88" s="40"/>
      <c r="AC88" s="4">
        <v>171.68299999999999</v>
      </c>
      <c r="AD88" s="4">
        <f>321.029-AC88</f>
        <v>149.346</v>
      </c>
      <c r="AE88" s="4">
        <f>457.699-AD88-AC88</f>
        <v>136.67000000000002</v>
      </c>
      <c r="AF88" s="6">
        <f>E88-SUM(AC88:AE88)</f>
        <v>153.13799999999998</v>
      </c>
      <c r="AG88" s="4">
        <v>137.059</v>
      </c>
      <c r="AH88" s="4">
        <f>299.462-AG88</f>
        <v>162.40299999999999</v>
      </c>
      <c r="AI88" s="4">
        <f>414.989-AH88-AG88</f>
        <v>115.52699999999999</v>
      </c>
      <c r="AJ88" s="6">
        <f>F88-SUM(AG88:AI88)</f>
        <v>138.07700000000006</v>
      </c>
      <c r="AK88" s="4">
        <v>117.14100000000001</v>
      </c>
      <c r="AL88" s="4">
        <f>291.623-AK88</f>
        <v>174.48199999999997</v>
      </c>
      <c r="AM88" s="4">
        <f>492.353-AL88-AK88</f>
        <v>200.73000000000002</v>
      </c>
      <c r="AN88" s="275">
        <f>G88-AM88-AL88-AK88</f>
        <v>239.44</v>
      </c>
      <c r="AO88" s="4">
        <v>167.34299999999999</v>
      </c>
      <c r="AP88" s="4">
        <f>398.302-AO88</f>
        <v>230.95900000000003</v>
      </c>
      <c r="AQ88" s="4">
        <f>572.741-AP88-AO88</f>
        <v>174.43899999999994</v>
      </c>
      <c r="AR88" s="196">
        <f>H88-AQ88-AP88-AO88</f>
        <v>281.27700000000004</v>
      </c>
      <c r="AS88" s="4">
        <v>101.545</v>
      </c>
      <c r="AT88" s="4">
        <f>368.884-AS88</f>
        <v>267.339</v>
      </c>
      <c r="AU88" s="4">
        <f>543.624-AT88-AS88</f>
        <v>174.74</v>
      </c>
      <c r="AV88" s="196">
        <f>I88-AU88-AT88-AS88</f>
        <v>451.27499999999992</v>
      </c>
      <c r="AW88" s="4">
        <v>299.47199999999998</v>
      </c>
      <c r="AX88" s="4">
        <f>728.277-AW88</f>
        <v>428.80500000000006</v>
      </c>
      <c r="AY88" s="4">
        <f>896.49-AX88-AW88</f>
        <v>168.21299999999997</v>
      </c>
      <c r="AZ88" s="196">
        <f>J88-AY88-AX88-AW88</f>
        <v>327.37599999999998</v>
      </c>
      <c r="BA88" s="4">
        <v>274.71199999999999</v>
      </c>
      <c r="BB88" s="4">
        <f>672.58-BA88</f>
        <v>397.86800000000005</v>
      </c>
      <c r="BC88" s="4">
        <f>1318.366-BB88-BA88</f>
        <v>645.78599999999994</v>
      </c>
      <c r="BD88" s="196">
        <f>K88-BC88-BB88-BA88</f>
        <v>809.2800000000002</v>
      </c>
      <c r="BE88" s="4">
        <v>586.82399999999996</v>
      </c>
      <c r="BF88" s="4">
        <f>1506.9-BE88</f>
        <v>920.07600000000014</v>
      </c>
      <c r="BG88" s="4">
        <f>2705.657-BF88-BE88</f>
        <v>1198.7570000000001</v>
      </c>
      <c r="BH88" s="445"/>
    </row>
    <row r="89" spans="2:60" ht="13.5" customHeight="1">
      <c r="B89" s="7" t="s">
        <v>471</v>
      </c>
      <c r="C89" s="4">
        <f>2.77-0.033+38.336-236.042</f>
        <v>-194.96899999999999</v>
      </c>
      <c r="D89" s="4">
        <f>1.07+19.35+228.07</f>
        <v>248.49</v>
      </c>
      <c r="E89" s="4">
        <f>-209.686</f>
        <v>-209.68600000000001</v>
      </c>
      <c r="F89" s="4">
        <f>205.58-11.992</f>
        <v>193.58800000000002</v>
      </c>
      <c r="G89" s="4">
        <f>-204.817-39.877</f>
        <v>-244.69400000000002</v>
      </c>
      <c r="H89" s="4">
        <f>156.936+84.655-369.591</f>
        <v>-128</v>
      </c>
      <c r="I89" s="4">
        <f>-501.339+976.576-972.188-23.298</f>
        <v>-520.24899999999991</v>
      </c>
      <c r="J89" s="4">
        <f>-9137.681-J88-J87-J86-J85</f>
        <v>-484.59800000000087</v>
      </c>
      <c r="K89" s="4">
        <f>-19647.765-K88-K87-K86-K85</f>
        <v>-7418.5209999999997</v>
      </c>
      <c r="L89" s="196">
        <f>SUM(BD89:BG89)</f>
        <v>-10088.297999999999</v>
      </c>
      <c r="M89" s="196"/>
      <c r="N89" s="40"/>
      <c r="O89" s="40"/>
      <c r="P89" s="97"/>
      <c r="Q89" s="40"/>
      <c r="R89" s="40"/>
      <c r="S89" s="40"/>
      <c r="T89" s="40"/>
      <c r="U89" s="40"/>
      <c r="V89" s="40"/>
      <c r="W89" s="40"/>
      <c r="X89" s="40"/>
      <c r="Y89" s="40"/>
      <c r="Z89" s="40"/>
      <c r="AA89" s="40"/>
      <c r="AB89" s="40"/>
      <c r="AC89" s="4">
        <f>1.144+1.718</f>
        <v>2.8620000000000001</v>
      </c>
      <c r="AD89" s="4">
        <f>1.144-652.893-AC89</f>
        <v>-654.61099999999999</v>
      </c>
      <c r="AE89" s="4">
        <f>-442.911-AD89-AC89</f>
        <v>208.83799999999999</v>
      </c>
      <c r="AF89" s="6">
        <f>E89-SUM(AC89:AE89)</f>
        <v>233.22500000000005</v>
      </c>
      <c r="AG89" s="4">
        <f>53.023</f>
        <v>53.023000000000003</v>
      </c>
      <c r="AH89" s="4">
        <f>1.245-4.723-AG89</f>
        <v>-56.501000000000005</v>
      </c>
      <c r="AI89" s="4">
        <f>14.683-16.546-AH89-AG89</f>
        <v>1.615000000000002</v>
      </c>
      <c r="AJ89" s="6">
        <f>F89-SUM(AG89:AI89)</f>
        <v>195.45100000000002</v>
      </c>
      <c r="AK89" s="4">
        <f>-84.696-2.645</f>
        <v>-87.340999999999994</v>
      </c>
      <c r="AL89" s="4">
        <f>-58.362-2.784-AK89</f>
        <v>26.194999999999993</v>
      </c>
      <c r="AM89" s="4">
        <f>-530.065-13.801-0.449-AL89-AK89</f>
        <v>-483.16899999999998</v>
      </c>
      <c r="AN89" s="275">
        <f>G89-AM89-AL89-AK89</f>
        <v>299.62099999999998</v>
      </c>
      <c r="AO89" s="4">
        <v>-524.50800000000004</v>
      </c>
      <c r="AP89" s="4">
        <f>-364.845-AO89</f>
        <v>159.66300000000001</v>
      </c>
      <c r="AQ89" s="4">
        <f>-204.724-AP89-AO89</f>
        <v>160.12100000000004</v>
      </c>
      <c r="AR89" s="196">
        <f>H89-AQ89-AP89-AO89</f>
        <v>76.72399999999999</v>
      </c>
      <c r="AS89" s="4">
        <f>32.118+2.111-219.735-72.996</f>
        <v>-258.50200000000001</v>
      </c>
      <c r="AT89" s="4">
        <f>35.465-73.676-AS89</f>
        <v>220.291</v>
      </c>
      <c r="AU89" s="4">
        <f>18.698-130.956-AT89-AS89</f>
        <v>-74.046999999999969</v>
      </c>
      <c r="AV89" s="196">
        <f>I89-AU89-AT89-AS89</f>
        <v>-407.99099999999993</v>
      </c>
      <c r="AW89" s="4">
        <f>117.237+267.36-0-14.998</f>
        <v>369.59899999999999</v>
      </c>
      <c r="AX89" s="4">
        <f>450.136-105.742-AW89</f>
        <v>-25.204999999999984</v>
      </c>
      <c r="AY89" s="4">
        <f>449.972+28.555-AX89-AW89</f>
        <v>134.13299999999998</v>
      </c>
      <c r="AZ89" s="196">
        <f>J89-AY89-AX89-AW89</f>
        <v>-963.12500000000091</v>
      </c>
      <c r="BA89" s="4">
        <f>(-364918+53826-888451+1716)/1000</f>
        <v>-1197.827</v>
      </c>
      <c r="BB89" s="4">
        <f>4.892-672.821-BA89</f>
        <v>529.89800000000002</v>
      </c>
      <c r="BC89" s="4">
        <f>-650.086-638.998-BB89-BA89</f>
        <v>-621.15499999999997</v>
      </c>
      <c r="BD89" s="196">
        <f>K89-BC89-BB89-BA89</f>
        <v>-6129.4369999999999</v>
      </c>
      <c r="BE89" s="4">
        <f>642.367+250.567-659.475+125.443</f>
        <v>358.90199999999993</v>
      </c>
      <c r="BF89" s="4">
        <f>-1660.477-203.353-BE89</f>
        <v>-2222.732</v>
      </c>
      <c r="BG89" s="4">
        <f>-2743.736-1215.125-BF89-BE89</f>
        <v>-2095.0309999999999</v>
      </c>
      <c r="BH89" s="445"/>
    </row>
    <row r="90" spans="2:60" s="5" customFormat="1" ht="13.5" customHeight="1">
      <c r="B90" s="16" t="s">
        <v>472</v>
      </c>
      <c r="C90" s="8">
        <f t="shared" ref="C90:L90" si="236">SUM(C84:C89)</f>
        <v>1181.8469999999991</v>
      </c>
      <c r="D90" s="8">
        <f t="shared" si="236"/>
        <v>-797.52900000000113</v>
      </c>
      <c r="E90" s="8">
        <f t="shared" si="236"/>
        <v>-485.48500000000081</v>
      </c>
      <c r="F90" s="8">
        <f t="shared" si="236"/>
        <v>1387.0059999999967</v>
      </c>
      <c r="G90" s="8">
        <f t="shared" si="236"/>
        <v>683.10099999999738</v>
      </c>
      <c r="H90" s="8">
        <f>SUM(H84:H89)</f>
        <v>3380.7180000000026</v>
      </c>
      <c r="I90" s="8">
        <f>SUM(I84:I89)</f>
        <v>2645.5090000000005</v>
      </c>
      <c r="J90" s="8">
        <f>SUM(J84:J89)</f>
        <v>1735.4880000000044</v>
      </c>
      <c r="K90" s="8">
        <f>SUM(K84:K89)</f>
        <v>-2019.3120000000044</v>
      </c>
      <c r="L90" s="8">
        <f t="shared" si="236"/>
        <v>4805.1710000000185</v>
      </c>
      <c r="M90" s="8"/>
      <c r="N90" s="8"/>
      <c r="O90" s="51"/>
      <c r="P90" s="98"/>
      <c r="Q90" s="51"/>
      <c r="R90" s="51"/>
      <c r="S90" s="51"/>
      <c r="T90" s="51"/>
      <c r="U90" s="51"/>
      <c r="V90" s="51"/>
      <c r="W90" s="51"/>
      <c r="X90" s="51"/>
      <c r="Y90" s="51"/>
      <c r="Z90" s="51"/>
      <c r="AA90" s="51"/>
      <c r="AB90" s="51"/>
      <c r="AC90" s="8">
        <f t="shared" ref="AC90:AI90" si="237">SUM(AC84:AC89)</f>
        <v>67.128260111892132</v>
      </c>
      <c r="AD90" s="8">
        <f t="shared" si="237"/>
        <v>-1626.4449408333689</v>
      </c>
      <c r="AE90" s="8">
        <f t="shared" si="237"/>
        <v>1431.1590000000001</v>
      </c>
      <c r="AF90" s="8">
        <f t="shared" si="237"/>
        <v>-357.32799999999918</v>
      </c>
      <c r="AG90" s="8">
        <f t="shared" si="237"/>
        <v>876.24900000000002</v>
      </c>
      <c r="AH90" s="8">
        <f t="shared" si="237"/>
        <v>-755.904</v>
      </c>
      <c r="AI90" s="8">
        <f t="shared" si="237"/>
        <v>791.04000000000042</v>
      </c>
      <c r="AJ90" s="8">
        <f t="shared" ref="AJ90:AO90" si="238">SUM(AJ84:AJ89)</f>
        <v>475.52099999999865</v>
      </c>
      <c r="AK90" s="8">
        <f t="shared" si="238"/>
        <v>-386.21900000000073</v>
      </c>
      <c r="AL90" s="8">
        <f t="shared" si="238"/>
        <v>373.74299999999931</v>
      </c>
      <c r="AM90" s="8">
        <f t="shared" si="238"/>
        <v>243.09500000000094</v>
      </c>
      <c r="AN90" s="8">
        <f t="shared" si="238"/>
        <v>452.48199999999844</v>
      </c>
      <c r="AO90" s="8">
        <f t="shared" si="238"/>
        <v>-927.89</v>
      </c>
      <c r="AP90" s="8">
        <f t="shared" ref="AP90:AU90" si="239">SUM(AP84:AP89)</f>
        <v>3151.8460000000005</v>
      </c>
      <c r="AQ90" s="8">
        <f t="shared" si="239"/>
        <v>557.24999999999909</v>
      </c>
      <c r="AR90" s="8">
        <f t="shared" si="239"/>
        <v>599.5120000000004</v>
      </c>
      <c r="AS90" s="8">
        <f t="shared" si="239"/>
        <v>150.35100000000028</v>
      </c>
      <c r="AT90" s="8">
        <f t="shared" si="239"/>
        <v>457.09599999999978</v>
      </c>
      <c r="AU90" s="8">
        <f t="shared" si="239"/>
        <v>1532.599999999999</v>
      </c>
      <c r="AV90" s="8">
        <f t="shared" ref="AV90:BA90" si="240">SUM(AV84:AV89)</f>
        <v>505.46200000000209</v>
      </c>
      <c r="AW90" s="8">
        <f t="shared" si="240"/>
        <v>696.61000000000138</v>
      </c>
      <c r="AX90" s="8">
        <f t="shared" si="240"/>
        <v>281.0849999999997</v>
      </c>
      <c r="AY90" s="8">
        <f t="shared" si="240"/>
        <v>973.94799999999964</v>
      </c>
      <c r="AZ90" s="8">
        <f t="shared" si="240"/>
        <v>-216.15499999999645</v>
      </c>
      <c r="BA90" s="8">
        <f t="shared" si="240"/>
        <v>-1047.3000000000018</v>
      </c>
      <c r="BB90" s="8">
        <f t="shared" ref="BB90:BG90" si="241">SUM(BB84:BB89)</f>
        <v>-3359.5449999999996</v>
      </c>
      <c r="BC90" s="8">
        <f t="shared" si="241"/>
        <v>948.2930000000008</v>
      </c>
      <c r="BD90" s="8">
        <f t="shared" si="241"/>
        <v>1439.2400000000052</v>
      </c>
      <c r="BE90" s="8">
        <f t="shared" si="241"/>
        <v>5660.9280000000017</v>
      </c>
      <c r="BF90" s="8">
        <f t="shared" si="241"/>
        <v>-4209.1380000000045</v>
      </c>
      <c r="BG90" s="8">
        <f t="shared" si="241"/>
        <v>1914.1409999999992</v>
      </c>
      <c r="BH90" s="446"/>
    </row>
    <row r="91" spans="2:60" ht="13.5" customHeight="1">
      <c r="B91" s="7" t="s">
        <v>473</v>
      </c>
      <c r="C91" s="4">
        <v>0</v>
      </c>
      <c r="D91" s="4">
        <f>-267.92</f>
        <v>-267.92</v>
      </c>
      <c r="E91" s="4">
        <v>-65.606999999999999</v>
      </c>
      <c r="F91" s="4">
        <v>0</v>
      </c>
      <c r="G91" s="4">
        <f>+-94.62</f>
        <v>-94.62</v>
      </c>
      <c r="H91" s="4">
        <v>-9.9979999999999993</v>
      </c>
      <c r="I91" s="4">
        <v>-9.9939999999999998</v>
      </c>
      <c r="J91" s="4">
        <v>0</v>
      </c>
      <c r="K91" s="4">
        <v>0</v>
      </c>
      <c r="L91" s="196">
        <f>SUM(BD91:BG91)</f>
        <v>-33.884</v>
      </c>
      <c r="M91" s="196"/>
      <c r="N91" s="40"/>
      <c r="O91" s="40"/>
      <c r="P91" s="97"/>
      <c r="Q91" s="40"/>
      <c r="R91" s="40"/>
      <c r="S91" s="40"/>
      <c r="T91" s="40"/>
      <c r="U91" s="40"/>
      <c r="V91" s="40"/>
      <c r="W91" s="40"/>
      <c r="X91" s="40"/>
      <c r="Y91" s="40"/>
      <c r="Z91" s="40"/>
      <c r="AA91" s="40"/>
      <c r="AB91" s="40"/>
      <c r="AC91" s="4">
        <v>0</v>
      </c>
      <c r="AD91" s="4">
        <f>0-AC91</f>
        <v>0</v>
      </c>
      <c r="AE91" s="4">
        <f>-22.452-AD91-AC91</f>
        <v>-22.452000000000002</v>
      </c>
      <c r="AF91" s="6">
        <f>E91-SUM(AC91:AE91)</f>
        <v>-43.155000000000001</v>
      </c>
      <c r="AG91" s="4">
        <v>0</v>
      </c>
      <c r="AH91" s="4">
        <f>0-AG91</f>
        <v>0</v>
      </c>
      <c r="AI91" s="4">
        <f>0-AH91-AG91</f>
        <v>0</v>
      </c>
      <c r="AJ91" s="6">
        <f>F91-SUM(AG91:AI91)</f>
        <v>0</v>
      </c>
      <c r="AK91" s="4">
        <v>0</v>
      </c>
      <c r="AL91" s="4">
        <v>0</v>
      </c>
      <c r="AM91" s="4">
        <f>-53.528-AL91-AK91</f>
        <v>-53.527999999999999</v>
      </c>
      <c r="AN91" s="275">
        <f>G91-AM91-AL91-AK91</f>
        <v>-41.092000000000006</v>
      </c>
      <c r="AO91" s="4">
        <v>-9.9979999999999993</v>
      </c>
      <c r="AP91" s="4">
        <f>-9.998-AO91</f>
        <v>0</v>
      </c>
      <c r="AQ91" s="4">
        <f>-9.998-AP91-AO91</f>
        <v>0</v>
      </c>
      <c r="AR91" s="196">
        <f>H91-AQ91-AP91-AO91</f>
        <v>0</v>
      </c>
      <c r="AS91" s="4">
        <v>-9.9939999999999998</v>
      </c>
      <c r="AT91" s="4">
        <f>-9.994-AS91</f>
        <v>0</v>
      </c>
      <c r="AU91" s="4">
        <f>-9.994-AT91-AS91</f>
        <v>0</v>
      </c>
      <c r="AV91" s="196">
        <f>I91-AU91-AT91-AS91</f>
        <v>0</v>
      </c>
      <c r="AW91" s="4">
        <v>0</v>
      </c>
      <c r="AX91" s="4">
        <f>0-AW91</f>
        <v>0</v>
      </c>
      <c r="AY91" s="4">
        <f>0-AX91-AW91</f>
        <v>0</v>
      </c>
      <c r="AZ91" s="196">
        <f>J91-AY91-AX91-AW91</f>
        <v>0</v>
      </c>
      <c r="BA91" s="4">
        <v>0</v>
      </c>
      <c r="BB91" s="4">
        <f>0-BA91</f>
        <v>0</v>
      </c>
      <c r="BC91" s="4">
        <v>0</v>
      </c>
      <c r="BD91" s="196">
        <f>K91-BC91-BB91-BA91</f>
        <v>0</v>
      </c>
      <c r="BE91" s="4">
        <v>0</v>
      </c>
      <c r="BF91" s="4">
        <f>-33.884-BE91</f>
        <v>-33.884</v>
      </c>
      <c r="BG91" s="4">
        <f>-33.884-BF91-BE91</f>
        <v>0</v>
      </c>
      <c r="BH91" s="445"/>
    </row>
    <row r="92" spans="2:60" ht="13.5" customHeight="1">
      <c r="B92" s="7" t="s">
        <v>474</v>
      </c>
      <c r="C92" s="4">
        <f>92.263-8.172</f>
        <v>84.091000000000008</v>
      </c>
      <c r="D92" s="4">
        <f>-4025.515</f>
        <v>-4025.5149999999999</v>
      </c>
      <c r="E92" s="4">
        <f>-51.416</f>
        <v>-51.415999999999997</v>
      </c>
      <c r="F92" s="4">
        <f>-2990.706-60.222</f>
        <v>-3050.9280000000003</v>
      </c>
      <c r="G92" s="4">
        <f>-1900-58.778+9.399</f>
        <v>-1949.3790000000001</v>
      </c>
      <c r="H92" s="4">
        <f>-1010-125.027+7.38</f>
        <v>-1127.6469999999999</v>
      </c>
      <c r="I92" s="4">
        <f>-811.622-32.856+6.232</f>
        <v>-838.24599999999998</v>
      </c>
      <c r="J92" s="4">
        <f>-2585.787+19.857</f>
        <v>-2565.9299999999998</v>
      </c>
      <c r="K92" s="4">
        <v>-1248.117</v>
      </c>
      <c r="L92" s="196">
        <f>SUM(BD92:BG92)</f>
        <v>0</v>
      </c>
      <c r="M92" s="196"/>
      <c r="N92" s="40"/>
      <c r="O92" s="40"/>
      <c r="P92" s="97"/>
      <c r="Q92" s="40"/>
      <c r="R92" s="40"/>
      <c r="S92" s="40"/>
      <c r="T92" s="40"/>
      <c r="U92" s="40"/>
      <c r="V92" s="40"/>
      <c r="W92" s="40"/>
      <c r="X92" s="40"/>
      <c r="Y92" s="40"/>
      <c r="Z92" s="40"/>
      <c r="AA92" s="40"/>
      <c r="AB92" s="40"/>
      <c r="AC92" s="4">
        <v>0</v>
      </c>
      <c r="AD92" s="4">
        <f>-35.683-AC92</f>
        <v>-35.683</v>
      </c>
      <c r="AE92" s="4">
        <f>-46.669-AD92-AC92</f>
        <v>-10.985999999999997</v>
      </c>
      <c r="AF92" s="6">
        <f>E92-SUM(AC92:AE92)</f>
        <v>-4.7469999999999999</v>
      </c>
      <c r="AG92" s="4">
        <v>-39.558999999999997</v>
      </c>
      <c r="AH92" s="4">
        <f>-933.997-44.228+3.098-AG92</f>
        <v>-935.56799999999998</v>
      </c>
      <c r="AI92" s="4">
        <f>-1933.413-47.801+6.196-AH92-AG92</f>
        <v>-999.89100000000008</v>
      </c>
      <c r="AJ92" s="6">
        <f>F92-SUM(AG92:AI92)</f>
        <v>-1075.9100000000003</v>
      </c>
      <c r="AK92" s="4">
        <v>-19.201000000000001</v>
      </c>
      <c r="AL92" s="4">
        <f>1.962-601.514-46.562-AK92</f>
        <v>-626.91300000000001</v>
      </c>
      <c r="AM92" s="4">
        <f>-1276.799-48.326+5.344-AL92-AK92</f>
        <v>-673.66699999999992</v>
      </c>
      <c r="AN92" s="275">
        <f>G92-AM92-AL92-AK92</f>
        <v>-629.59800000000018</v>
      </c>
      <c r="AO92" s="4">
        <v>0</v>
      </c>
      <c r="AP92" s="4">
        <f>-109.178-AO92</f>
        <v>-109.178</v>
      </c>
      <c r="AQ92" s="4">
        <f>-109.178-AP92-AO92</f>
        <v>0</v>
      </c>
      <c r="AR92" s="196">
        <f>H92-AQ92-AP92-AO92</f>
        <v>-1018.4689999999999</v>
      </c>
      <c r="AS92" s="4">
        <v>-32.856000000000002</v>
      </c>
      <c r="AT92" s="4">
        <f>-32.856-AS92</f>
        <v>0</v>
      </c>
      <c r="AU92" s="4">
        <f>-32.856-AT92-AS92</f>
        <v>0</v>
      </c>
      <c r="AV92" s="196">
        <f>I92-AU92-AT92-AS92</f>
        <v>-805.39</v>
      </c>
      <c r="AW92" s="4">
        <v>0</v>
      </c>
      <c r="AX92" s="4">
        <f>-861.929+6.619-AW92</f>
        <v>-855.31</v>
      </c>
      <c r="AY92" s="4">
        <f>-1723.858-AX92-AW92</f>
        <v>-868.548</v>
      </c>
      <c r="AZ92" s="196">
        <f>J92-AY92-AX92-AW92</f>
        <v>-842.07199999999989</v>
      </c>
      <c r="BA92" s="4">
        <v>0</v>
      </c>
      <c r="BB92" s="4">
        <f>0-BA92</f>
        <v>0</v>
      </c>
      <c r="BC92" s="4">
        <f>-1248.117-BB92-BA92</f>
        <v>-1248.117</v>
      </c>
      <c r="BD92" s="196">
        <f>K92-BC92-BB92-BA92</f>
        <v>0</v>
      </c>
      <c r="BE92" s="4">
        <v>0</v>
      </c>
      <c r="BF92" s="4">
        <f>0-BE92</f>
        <v>0</v>
      </c>
      <c r="BG92" s="4">
        <f>0-BF92-BE92</f>
        <v>0</v>
      </c>
    </row>
    <row r="93" spans="2:60" ht="15.75" customHeight="1">
      <c r="B93" s="7" t="s">
        <v>475</v>
      </c>
      <c r="C93" s="4">
        <v>0</v>
      </c>
      <c r="D93" s="4">
        <v>0</v>
      </c>
      <c r="E93" s="4">
        <v>0</v>
      </c>
      <c r="F93" s="4">
        <v>0</v>
      </c>
      <c r="G93" s="4">
        <v>0</v>
      </c>
      <c r="H93" s="4">
        <v>0</v>
      </c>
      <c r="I93" s="4">
        <v>0</v>
      </c>
      <c r="J93" s="4">
        <v>0</v>
      </c>
      <c r="K93" s="4">
        <v>0</v>
      </c>
      <c r="L93" s="196">
        <f>SUM(BD93:BG93)</f>
        <v>2109.2769999999996</v>
      </c>
      <c r="M93" s="196"/>
      <c r="N93" s="40"/>
      <c r="O93" s="40"/>
      <c r="P93" s="97"/>
      <c r="Q93" s="40"/>
      <c r="R93" s="40"/>
      <c r="S93" s="40"/>
      <c r="T93" s="40"/>
      <c r="U93" s="40"/>
      <c r="V93" s="40"/>
      <c r="W93" s="40"/>
      <c r="X93" s="40"/>
      <c r="Y93" s="40"/>
      <c r="Z93" s="40"/>
      <c r="AA93" s="40"/>
      <c r="AB93" s="40"/>
      <c r="AC93" s="4">
        <v>0</v>
      </c>
      <c r="AD93" s="4">
        <f>0-AC93</f>
        <v>0</v>
      </c>
      <c r="AE93" s="4">
        <f>0-AD93-AC93</f>
        <v>0</v>
      </c>
      <c r="AF93" s="6">
        <f>E93-SUM(AC93:AE93)</f>
        <v>0</v>
      </c>
      <c r="AG93" s="4">
        <v>0</v>
      </c>
      <c r="AH93" s="4">
        <f>0-AG93</f>
        <v>0</v>
      </c>
      <c r="AI93" s="4">
        <f>0-AH93-AG93</f>
        <v>0</v>
      </c>
      <c r="AJ93" s="6">
        <f>F93-SUM(AG93:AI93)</f>
        <v>0</v>
      </c>
      <c r="AK93" s="4">
        <v>0</v>
      </c>
      <c r="AL93" s="4">
        <v>0</v>
      </c>
      <c r="AM93" s="4">
        <f>0-AL93-AK93</f>
        <v>0</v>
      </c>
      <c r="AN93" s="275">
        <f>G93-AM93-AL93-AK93</f>
        <v>0</v>
      </c>
      <c r="AO93" s="4">
        <v>0</v>
      </c>
      <c r="AP93" s="4">
        <f>-AO93</f>
        <v>0</v>
      </c>
      <c r="AQ93" s="4">
        <f>-AP93-AO93</f>
        <v>0</v>
      </c>
      <c r="AR93" s="196">
        <f>H93-AQ93-AP93-AO93</f>
        <v>0</v>
      </c>
      <c r="AS93" s="4">
        <v>0</v>
      </c>
      <c r="AT93" s="4">
        <f>0-AS93</f>
        <v>0</v>
      </c>
      <c r="AU93" s="4">
        <f>-AT93-AS93</f>
        <v>0</v>
      </c>
      <c r="AV93" s="196">
        <f>I93-AU93-AT93-AS93</f>
        <v>0</v>
      </c>
      <c r="AW93" s="4">
        <v>0</v>
      </c>
      <c r="AX93" s="4">
        <f>0-AW93</f>
        <v>0</v>
      </c>
      <c r="AY93" s="4">
        <f>-AX93-AW93</f>
        <v>0</v>
      </c>
      <c r="AZ93" s="196">
        <f>J93-AY93-AX93-AW93</f>
        <v>0</v>
      </c>
      <c r="BA93" s="4">
        <v>0</v>
      </c>
      <c r="BB93" s="4">
        <f>0-BA93</f>
        <v>0</v>
      </c>
      <c r="BC93" s="4">
        <f>1327.594-1416.871-BB93-BA93</f>
        <v>-89.277000000000044</v>
      </c>
      <c r="BD93" s="196">
        <f>K93-BC93-BB93-BA93</f>
        <v>89.277000000000044</v>
      </c>
      <c r="BE93" s="4">
        <v>0</v>
      </c>
      <c r="BF93" s="4">
        <f>0-BE93</f>
        <v>0</v>
      </c>
      <c r="BG93" s="4">
        <f>4915.32-2895.32-BF93-BE93</f>
        <v>2019.9999999999995</v>
      </c>
    </row>
    <row r="94" spans="2:60" ht="13.5" customHeight="1">
      <c r="B94" s="7" t="s">
        <v>476</v>
      </c>
      <c r="C94" s="4">
        <f>4736.913-4635.652</f>
        <v>101.26099999999951</v>
      </c>
      <c r="D94" s="4">
        <f>4866.381+1439.862-6551.001</f>
        <v>-244.75799999999981</v>
      </c>
      <c r="E94" s="4">
        <f>9381.318+167.5-4932.768</f>
        <v>4616.0499999999993</v>
      </c>
      <c r="F94" s="4">
        <f>24102.643+209.808-22265.088-379.66</f>
        <v>1667.7030000000011</v>
      </c>
      <c r="G94" s="4">
        <f>44341.07+2188.313-43987.127-191.312-1164.879</f>
        <v>1186.0650000000014</v>
      </c>
      <c r="H94" s="4">
        <f>29060.49+311.649-31297.901-225.794-1215.32</f>
        <v>-3366.8759999999984</v>
      </c>
      <c r="I94" s="4">
        <f>22983.201+494.987-26354.532-455.878-1302.335</f>
        <v>-4634.5569999999971</v>
      </c>
      <c r="J94" s="4">
        <f>13033.337-12496.149+192.157-142.157-1649.046</f>
        <v>-1061.8579999999999</v>
      </c>
      <c r="K94" s="4">
        <f>27656.215-23239.784+2327.594-1855.088-2243.432</f>
        <v>2645.505000000001</v>
      </c>
      <c r="L94" s="196">
        <f>SUM(BD94:BG94)</f>
        <v>3002.5250000000042</v>
      </c>
      <c r="M94" s="196"/>
      <c r="N94" s="40"/>
      <c r="O94" s="171"/>
      <c r="P94" s="97"/>
      <c r="Q94" s="40"/>
      <c r="R94" s="40"/>
      <c r="S94" s="40"/>
      <c r="T94" s="40"/>
      <c r="U94" s="40"/>
      <c r="V94" s="40"/>
      <c r="W94" s="40"/>
      <c r="X94" s="40"/>
      <c r="Y94" s="40"/>
      <c r="Z94" s="40"/>
      <c r="AA94" s="40"/>
      <c r="AB94" s="40"/>
      <c r="AC94" s="4">
        <f>117.721-262.938</f>
        <v>-145.21699999999998</v>
      </c>
      <c r="AD94" s="4">
        <f>3502.645-356.312-AC94</f>
        <v>3291.55</v>
      </c>
      <c r="AE94" s="4">
        <f>5188.114-1523.506-AD94-AC94</f>
        <v>518.27499999999907</v>
      </c>
      <c r="AF94" s="6">
        <f>E94-SUM(AC94:AE94)</f>
        <v>951.44200000000001</v>
      </c>
      <c r="AG94" s="4">
        <f>3354.459+141.362-2803.965</f>
        <v>691.85599999999977</v>
      </c>
      <c r="AH94" s="4">
        <f>9666.015+179.272-8639.793-237.865-AG94</f>
        <v>275.77300000000082</v>
      </c>
      <c r="AI94" s="4">
        <f>15815.697+209.808-14207.69-400-AH94-AG94</f>
        <v>450.18599999999992</v>
      </c>
      <c r="AJ94" s="6">
        <f>F94-SUM(AG94:AI94)</f>
        <v>249.8880000000006</v>
      </c>
      <c r="AK94" s="4">
        <f>10082.368+125-9477.504-232.223</f>
        <v>497.64099999999956</v>
      </c>
      <c r="AL94" s="4">
        <f>25003.047+2113.313-24062.197-AK94</f>
        <v>2556.5220000000008</v>
      </c>
      <c r="AM94" s="4">
        <f>35861.996+2113.313-34983.381-191.312-AL94-AK94</f>
        <v>-253.54700000000042</v>
      </c>
      <c r="AN94" s="275">
        <f>G94-AM94-AL94-AK94</f>
        <v>-1614.5509999999986</v>
      </c>
      <c r="AO94" s="4">
        <f>8163.348+100-6297.565-125.794-269.567</f>
        <v>1570.4220000000003</v>
      </c>
      <c r="AP94" s="4">
        <f>13296.208+175-13255.118-225.794-634.996-AO94</f>
        <v>-2215.1220000000003</v>
      </c>
      <c r="AQ94" s="4">
        <f>20387.764+175-21234.47-225.794-989.825-AP94-AO94</f>
        <v>-1242.625000000002</v>
      </c>
      <c r="AR94" s="196">
        <f>H94-AQ94-AP94-AO94</f>
        <v>-1479.5509999999965</v>
      </c>
      <c r="AS94" s="4">
        <f>11044.824+175-13287.568-180.878-375.05</f>
        <v>-2623.6719999999991</v>
      </c>
      <c r="AT94" s="4">
        <f>18667.494+275-21144.57-355.878-705.43-AS94</f>
        <v>-639.71200000000181</v>
      </c>
      <c r="AU94" s="4">
        <f>20760.497+275-23521.353-355.878-1093.748-AT94-AS94</f>
        <v>-672.09799999999905</v>
      </c>
      <c r="AV94" s="196">
        <f>I94-AU94-AT94-AS94</f>
        <v>-699.07499999999709</v>
      </c>
      <c r="AW94" s="4">
        <f>2309.397+92.157-1569.607-50-353.21</f>
        <v>428.73700000000014</v>
      </c>
      <c r="AX94" s="4">
        <f>3519.368+92.157-4361.236-50-697.564-AW94</f>
        <v>-1926.0119999999997</v>
      </c>
      <c r="AY94" s="4">
        <f>6597.953+92.157-7158.646-142.157-1089.265-AX94-AW94</f>
        <v>-202.68299999999959</v>
      </c>
      <c r="AZ94" s="196">
        <f>J94-AY94-AX94-AW94</f>
        <v>638.09999999999923</v>
      </c>
      <c r="BA94" s="4">
        <f>(6789620+300000-5845138-327292-550447)/1000</f>
        <v>366.74299999999999</v>
      </c>
      <c r="BB94" s="4">
        <f>16451.067+789.376-11943.576-927.495-1050.792-BA94</f>
        <v>2951.8370000000004</v>
      </c>
      <c r="BC94" s="4">
        <f>22389.854-17368.583-1575.46-BB94-BA94</f>
        <v>127.23100000000017</v>
      </c>
      <c r="BD94" s="196">
        <f>K94-BC94-BB94-BA94</f>
        <v>-800.30599999999959</v>
      </c>
      <c r="BE94" s="4">
        <f>8025.982+1015-5980.064-600-720.286</f>
        <v>1740.6319999999996</v>
      </c>
      <c r="BF94" s="4">
        <f>21242.593+1795.32-15932.749-1400-1439.485-BE94</f>
        <v>2525.0470000000014</v>
      </c>
      <c r="BG94" s="4">
        <f>33910.046-27865.706-2241.509-BF94-BE94</f>
        <v>-462.84799999999723</v>
      </c>
    </row>
    <row r="95" spans="2:60" ht="13.5" customHeight="1">
      <c r="B95" s="7" t="s">
        <v>477</v>
      </c>
      <c r="C95" s="4">
        <v>-7.4999999999999997E-2</v>
      </c>
      <c r="D95" s="4">
        <f>-349.243</f>
        <v>-349.24299999999999</v>
      </c>
      <c r="E95" s="4">
        <f>349.004-9</f>
        <v>340.00400000000002</v>
      </c>
      <c r="F95" s="4">
        <v>-183.518</v>
      </c>
      <c r="G95" s="4">
        <f>-20.272+1054.345-710.522</f>
        <v>323.55100000000004</v>
      </c>
      <c r="H95" s="4">
        <f>204.077+1924.363-1101.876</f>
        <v>1026.5640000000001</v>
      </c>
      <c r="I95" s="4">
        <f>-3.951+2085.585-866.65</f>
        <v>1214.9839999999999</v>
      </c>
      <c r="J95" s="4">
        <f>1403.609-1718.061</f>
        <v>-314.452</v>
      </c>
      <c r="K95" s="4">
        <f>3102.658-2740.022</f>
        <v>362.63599999999997</v>
      </c>
      <c r="L95" s="196">
        <f>SUM(BD95:BG95)</f>
        <v>628.84999999999991</v>
      </c>
      <c r="M95" s="196"/>
      <c r="N95" s="40"/>
      <c r="O95" s="171"/>
      <c r="P95" s="97"/>
      <c r="Q95" s="40"/>
      <c r="R95" s="40"/>
      <c r="S95" s="40"/>
      <c r="T95" s="40"/>
      <c r="U95" s="40"/>
      <c r="V95" s="40"/>
      <c r="W95" s="40"/>
      <c r="X95" s="40"/>
      <c r="Y95" s="40"/>
      <c r="Z95" s="40"/>
      <c r="AA95" s="40"/>
      <c r="AB95" s="40"/>
      <c r="AC95" s="4">
        <v>160.72200000000001</v>
      </c>
      <c r="AD95" s="4">
        <f>-9+240.775-AC95</f>
        <v>71.052999999999997</v>
      </c>
      <c r="AE95" s="4">
        <f>-9+240.775-AD95-AC95</f>
        <v>0</v>
      </c>
      <c r="AF95" s="6">
        <f>E95-SUM(AC95:AE95)</f>
        <v>108.22900000000001</v>
      </c>
      <c r="AG95" s="4">
        <v>0</v>
      </c>
      <c r="AH95" s="4">
        <f>0-AG95</f>
        <v>0</v>
      </c>
      <c r="AI95" s="4">
        <f>-148.197-AH95-AG95</f>
        <v>-148.197</v>
      </c>
      <c r="AJ95" s="6">
        <f>F95-SUM(AG95:AI95)</f>
        <v>-35.320999999999998</v>
      </c>
      <c r="AK95" s="4">
        <v>-47.076000000000001</v>
      </c>
      <c r="AL95" s="4">
        <f>316.827-218.167-82.653-511.126-AK95</f>
        <v>-448.04299999999995</v>
      </c>
      <c r="AM95" s="4">
        <f>476.399-218.167-724.627-113.107-AL95-AK95</f>
        <v>-84.38300000000001</v>
      </c>
      <c r="AN95" s="275">
        <f>G95-AM95-AL95-AK95</f>
        <v>903.05300000000011</v>
      </c>
      <c r="AO95" s="4">
        <f>114.709-19.91+11.078</f>
        <v>105.87700000000001</v>
      </c>
      <c r="AP95" s="4">
        <f>941.848-451.478+204.077-AO95</f>
        <v>588.56999999999994</v>
      </c>
      <c r="AQ95" s="4">
        <f>1010.82-547.196+204.077-AP95-AO95</f>
        <v>-26.745999999999924</v>
      </c>
      <c r="AR95" s="196">
        <f>H95-AQ95-AP95-AO95</f>
        <v>358.863</v>
      </c>
      <c r="AS95" s="4">
        <f>546.914-239.269</f>
        <v>307.64499999999998</v>
      </c>
      <c r="AT95" s="4">
        <f>1836.593-977.912+0-AS95</f>
        <v>551.03600000000006</v>
      </c>
      <c r="AU95" s="4">
        <f>2581.56-1321.835-3.951-AT95-AS95</f>
        <v>397.09299999999985</v>
      </c>
      <c r="AV95" s="196">
        <f>I95-AU95-AT95-AS95</f>
        <v>-40.789999999999964</v>
      </c>
      <c r="AW95" s="4">
        <f>169.728-293.173-21.912</f>
        <v>-145.357</v>
      </c>
      <c r="AX95" s="4">
        <f>605.79-698.134+0-AW95-30.047</f>
        <v>22.965999999999948</v>
      </c>
      <c r="AY95" s="4">
        <f>647.886-740.209-32.044-AX95-AW95</f>
        <v>-1.9759999999999138</v>
      </c>
      <c r="AZ95" s="196">
        <f>J95-AY95-AX95-AW95</f>
        <v>-190.08500000000006</v>
      </c>
      <c r="BA95" s="4">
        <f>(457354-460510)/1000</f>
        <v>-3.1560000000000001</v>
      </c>
      <c r="BB95" s="4">
        <f>1219.147-1088.934-BA95</f>
        <v>133.36899999999997</v>
      </c>
      <c r="BC95" s="4">
        <f>1317.695-1141.776-BB95-BA95</f>
        <v>45.705999999999896</v>
      </c>
      <c r="BD95" s="196">
        <f>K95-BC95-BB95-BA95</f>
        <v>186.7170000000001</v>
      </c>
      <c r="BE95" s="4">
        <f>94.583-147.849-33.884</f>
        <v>-87.149999999999991</v>
      </c>
      <c r="BF95" s="4">
        <f>1553.971-1589.613-BE95</f>
        <v>51.507999999999939</v>
      </c>
      <c r="BG95" s="4">
        <f>2238.171-1796.038-BF95-BE95</f>
        <v>477.77499999999986</v>
      </c>
    </row>
    <row r="96" spans="2:60" s="5" customFormat="1" ht="13.5" customHeight="1">
      <c r="B96" s="16" t="s">
        <v>478</v>
      </c>
      <c r="C96" s="8">
        <f t="shared" ref="C96:L96" si="242">SUM(C90:C95)</f>
        <v>1367.1239999999987</v>
      </c>
      <c r="D96" s="8">
        <f t="shared" si="242"/>
        <v>-5684.9650000000011</v>
      </c>
      <c r="E96" s="8">
        <f t="shared" si="242"/>
        <v>4353.5459999999985</v>
      </c>
      <c r="F96" s="8">
        <f t="shared" si="242"/>
        <v>-179.73700000000255</v>
      </c>
      <c r="G96" s="8">
        <f t="shared" si="242"/>
        <v>148.7179999999986</v>
      </c>
      <c r="H96" s="8">
        <f>SUM(H90:H95)</f>
        <v>-97.238999999995713</v>
      </c>
      <c r="I96" s="8">
        <f>SUM(I90:I95)</f>
        <v>-1622.3039999999969</v>
      </c>
      <c r="J96" s="8">
        <f>SUM(J90:J95)</f>
        <v>-2206.7519999999954</v>
      </c>
      <c r="K96" s="8">
        <f>SUM(K90:K95)</f>
        <v>-259.28800000000365</v>
      </c>
      <c r="L96" s="8">
        <f t="shared" si="242"/>
        <v>10511.939000000022</v>
      </c>
      <c r="M96" s="8"/>
      <c r="N96" s="51"/>
      <c r="O96" s="172"/>
      <c r="P96" s="98"/>
      <c r="Q96" s="51"/>
      <c r="R96" s="51"/>
      <c r="S96" s="51"/>
      <c r="T96" s="51"/>
      <c r="U96" s="51"/>
      <c r="V96" s="51"/>
      <c r="W96" s="51"/>
      <c r="X96" s="51"/>
      <c r="Y96" s="51"/>
      <c r="Z96" s="51"/>
      <c r="AA96" s="51"/>
      <c r="AB96" s="51"/>
      <c r="AC96" s="8">
        <f t="shared" ref="AC96:AI96" si="243">SUM(AC90:AC95)</f>
        <v>82.633260111892156</v>
      </c>
      <c r="AD96" s="8">
        <f t="shared" si="243"/>
        <v>1700.4750591666311</v>
      </c>
      <c r="AE96" s="8">
        <f t="shared" si="243"/>
        <v>1915.9959999999992</v>
      </c>
      <c r="AF96" s="8">
        <f t="shared" si="243"/>
        <v>654.44100000000094</v>
      </c>
      <c r="AG96" s="8">
        <f t="shared" si="243"/>
        <v>1528.5459999999998</v>
      </c>
      <c r="AH96" s="8">
        <f t="shared" si="243"/>
        <v>-1415.6989999999992</v>
      </c>
      <c r="AI96" s="8">
        <f t="shared" si="243"/>
        <v>93.138000000000261</v>
      </c>
      <c r="AJ96" s="8">
        <f t="shared" ref="AJ96:AO96" si="244">SUM(AJ90:AJ95)</f>
        <v>-385.82200000000114</v>
      </c>
      <c r="AK96" s="8">
        <f t="shared" si="244"/>
        <v>45.144999999998809</v>
      </c>
      <c r="AL96" s="8">
        <f t="shared" si="244"/>
        <v>1855.3090000000004</v>
      </c>
      <c r="AM96" s="8">
        <f t="shared" si="244"/>
        <v>-822.02999999999952</v>
      </c>
      <c r="AN96" s="8">
        <f t="shared" si="244"/>
        <v>-929.70600000000013</v>
      </c>
      <c r="AO96" s="8">
        <f t="shared" si="244"/>
        <v>738.41100000000029</v>
      </c>
      <c r="AP96" s="8">
        <f t="shared" ref="AP96:AU96" si="245">SUM(AP90:AP95)</f>
        <v>1416.1160000000002</v>
      </c>
      <c r="AQ96" s="8">
        <f t="shared" si="245"/>
        <v>-712.12100000000282</v>
      </c>
      <c r="AR96" s="8">
        <f t="shared" si="245"/>
        <v>-1539.6449999999961</v>
      </c>
      <c r="AS96" s="8">
        <f t="shared" si="245"/>
        <v>-2208.5259999999989</v>
      </c>
      <c r="AT96" s="8">
        <f t="shared" si="245"/>
        <v>368.41999999999803</v>
      </c>
      <c r="AU96" s="8">
        <f t="shared" si="245"/>
        <v>1257.5949999999998</v>
      </c>
      <c r="AV96" s="8">
        <f t="shared" ref="AV96:BA96" si="246">SUM(AV90:AV95)</f>
        <v>-1039.7929999999949</v>
      </c>
      <c r="AW96" s="8">
        <f t="shared" si="246"/>
        <v>979.9900000000016</v>
      </c>
      <c r="AX96" s="8">
        <f t="shared" si="246"/>
        <v>-2477.2710000000002</v>
      </c>
      <c r="AY96" s="8">
        <f t="shared" si="246"/>
        <v>-99.258999999999872</v>
      </c>
      <c r="AZ96" s="8">
        <f t="shared" si="246"/>
        <v>-610.21199999999703</v>
      </c>
      <c r="BA96" s="8">
        <f t="shared" si="246"/>
        <v>-683.71300000000178</v>
      </c>
      <c r="BB96" s="8">
        <f t="shared" ref="BB96:BG96" si="247">SUM(BB90:BB95)</f>
        <v>-274.3389999999992</v>
      </c>
      <c r="BC96" s="8">
        <f t="shared" si="247"/>
        <v>-216.16399999999913</v>
      </c>
      <c r="BD96" s="8">
        <f t="shared" si="247"/>
        <v>914.9280000000058</v>
      </c>
      <c r="BE96" s="8">
        <f t="shared" si="247"/>
        <v>7314.4100000000017</v>
      </c>
      <c r="BF96" s="8">
        <f t="shared" si="247"/>
        <v>-1666.4670000000031</v>
      </c>
      <c r="BG96" s="8">
        <f t="shared" si="247"/>
        <v>3949.0680000000011</v>
      </c>
    </row>
    <row r="97" spans="1:60" ht="13.5" customHeight="1">
      <c r="B97" s="7" t="s">
        <v>479</v>
      </c>
      <c r="C97" s="4">
        <v>197.68199999999999</v>
      </c>
      <c r="D97" s="4">
        <v>436.005</v>
      </c>
      <c r="E97" s="4">
        <v>664.096</v>
      </c>
      <c r="F97" s="4">
        <v>430.10599999999999</v>
      </c>
      <c r="G97" s="4">
        <v>1947.0039999999999</v>
      </c>
      <c r="H97" s="4">
        <v>298.20400000000001</v>
      </c>
      <c r="I97" s="4">
        <v>-422.50599999999997</v>
      </c>
      <c r="J97" s="4">
        <v>-107.995</v>
      </c>
      <c r="K97" s="4">
        <v>56.067</v>
      </c>
      <c r="L97" s="196">
        <f>SUM(BD97:BG97)</f>
        <v>146.92599999999993</v>
      </c>
      <c r="M97" s="196"/>
      <c r="N97" s="40"/>
      <c r="O97" s="40"/>
      <c r="P97" s="97"/>
      <c r="Q97" s="40"/>
      <c r="R97" s="40"/>
      <c r="S97" s="40"/>
      <c r="T97" s="40"/>
      <c r="U97" s="40"/>
      <c r="V97" s="40"/>
      <c r="W97" s="40"/>
      <c r="X97" s="40"/>
      <c r="Y97" s="40"/>
      <c r="Z97" s="40"/>
      <c r="AA97" s="40"/>
      <c r="AB97" s="40"/>
      <c r="AC97" s="4">
        <v>66.882999999999996</v>
      </c>
      <c r="AD97" s="4">
        <f>-53.895-AC97</f>
        <v>-120.77799999999999</v>
      </c>
      <c r="AE97" s="4">
        <f>74.705-AD97-AC97</f>
        <v>128.60000000000002</v>
      </c>
      <c r="AF97" s="6">
        <f>E97-SUM(AC97:AE97)</f>
        <v>589.39099999999996</v>
      </c>
      <c r="AG97" s="4">
        <v>172.96100000000001</v>
      </c>
      <c r="AH97" s="4">
        <f>66.771-AG97</f>
        <v>-106.19000000000001</v>
      </c>
      <c r="AI97" s="4">
        <f>164.581-AH97-AG97</f>
        <v>97.81</v>
      </c>
      <c r="AJ97" s="6">
        <f>F97-SUM(AG97:AI97)</f>
        <v>265.52499999999998</v>
      </c>
      <c r="AK97" s="4">
        <v>93.998000000000005</v>
      </c>
      <c r="AL97" s="4">
        <f>93.998-AK97</f>
        <v>0</v>
      </c>
      <c r="AM97" s="4">
        <f>1316.234-AL97-AK97</f>
        <v>1222.2359999999999</v>
      </c>
      <c r="AN97" s="275">
        <f>G97-AM97-AL97-AK97</f>
        <v>630.77</v>
      </c>
      <c r="AO97" s="4">
        <v>380.834</v>
      </c>
      <c r="AP97" s="4">
        <f>519.049-AO97</f>
        <v>138.21499999999997</v>
      </c>
      <c r="AQ97" s="4">
        <f>63.9-AP97-AO97</f>
        <v>-455.149</v>
      </c>
      <c r="AR97" s="196">
        <f>H97-AQ97-AP97-AO97</f>
        <v>234.30400000000014</v>
      </c>
      <c r="AS97" s="4">
        <v>279.072</v>
      </c>
      <c r="AT97" s="4">
        <f>59.729-AS97</f>
        <v>-219.34300000000002</v>
      </c>
      <c r="AU97" s="4">
        <f>252.771-AT97-AS97</f>
        <v>193.04200000000003</v>
      </c>
      <c r="AV97" s="196">
        <f>I97-AU97-AT97-AS97</f>
        <v>-675.27700000000004</v>
      </c>
      <c r="AW97" s="4">
        <v>439.40499999999997</v>
      </c>
      <c r="AX97" s="4">
        <f>114.254-AW97</f>
        <v>-325.15099999999995</v>
      </c>
      <c r="AY97" s="4">
        <f>168.744-AX97-AW97</f>
        <v>54.490000000000009</v>
      </c>
      <c r="AZ97" s="196">
        <f>J97-AY97-AX97-AW97</f>
        <v>-276.73900000000003</v>
      </c>
      <c r="BA97" s="4">
        <v>170.93899999999999</v>
      </c>
      <c r="BB97" s="4">
        <f>20.725-BA97</f>
        <v>-150.214</v>
      </c>
      <c r="BC97" s="4">
        <f>91.439-BB97-BA97</f>
        <v>70.713999999999999</v>
      </c>
      <c r="BD97" s="196">
        <f>K97-BC97-BB97-BA97</f>
        <v>-35.371999999999986</v>
      </c>
      <c r="BE97" s="4">
        <v>421.10700000000003</v>
      </c>
      <c r="BF97" s="4">
        <f>2695.544-BE97</f>
        <v>2274.4369999999999</v>
      </c>
      <c r="BG97" s="4">
        <f>182.298-BF97-BE97</f>
        <v>-2513.2460000000001</v>
      </c>
    </row>
    <row r="98" spans="1:60" ht="13.5" customHeight="1">
      <c r="B98" s="7" t="s">
        <v>480</v>
      </c>
      <c r="C98" s="4">
        <f>705.781-C96</f>
        <v>-661.34299999999871</v>
      </c>
      <c r="D98" s="4">
        <f>-6549.09-D96</f>
        <v>-864.12499999999909</v>
      </c>
      <c r="E98" s="4">
        <f>2469.46-E96</f>
        <v>-1884.0859999999984</v>
      </c>
      <c r="F98" s="4">
        <f>-1770.125-F96</f>
        <v>-1590.3879999999974</v>
      </c>
      <c r="G98" s="4">
        <f>759.902-G96</f>
        <v>611.18400000000145</v>
      </c>
      <c r="H98" s="4">
        <f>2521.272-H96</f>
        <v>2618.5109999999959</v>
      </c>
      <c r="I98" s="4">
        <f>2044.346-I96</f>
        <v>3666.6499999999969</v>
      </c>
      <c r="J98" s="4">
        <f>6867.321-J96</f>
        <v>9074.0729999999949</v>
      </c>
      <c r="K98" s="4">
        <f>7264.118-K96</f>
        <v>7523.4060000000045</v>
      </c>
      <c r="L98" s="196">
        <f>SUM(BD98:BG98)</f>
        <v>4022.9090000000051</v>
      </c>
      <c r="M98" s="196"/>
      <c r="N98" s="40"/>
      <c r="O98" s="40"/>
      <c r="P98" s="97"/>
      <c r="Q98" s="40"/>
      <c r="R98" s="40"/>
      <c r="S98" s="40"/>
      <c r="T98" s="40"/>
      <c r="U98" s="40"/>
      <c r="V98" s="40"/>
      <c r="W98" s="40"/>
      <c r="X98" s="40"/>
      <c r="Y98" s="40"/>
      <c r="Z98" s="40"/>
      <c r="AA98" s="40"/>
      <c r="AB98" s="40"/>
      <c r="AC98" s="4">
        <f>-463.379-AC96</f>
        <v>-546.01226011189215</v>
      </c>
      <c r="AD98" s="4">
        <f>904.515-AD96-AC96-AC98</f>
        <v>-332.58105916663112</v>
      </c>
      <c r="AE98" s="4">
        <f>2652.704-AE96-AD96-AD98-AC96-AC98</f>
        <v>-167.80699999999899</v>
      </c>
      <c r="AF98" s="6">
        <f>E98-SUM(AC98:AE98)</f>
        <v>-837.68568072147627</v>
      </c>
      <c r="AG98" s="4">
        <f>225.203-AG96</f>
        <v>-1303.3429999999998</v>
      </c>
      <c r="AH98" s="4">
        <f>-1124.604-AH96-AG96-AG98</f>
        <v>65.891999999999143</v>
      </c>
      <c r="AI98" s="4">
        <f>-1310.475-AI96-AH96-AH98-AG96-AG98</f>
        <v>-279.00900000000024</v>
      </c>
      <c r="AJ98" s="6">
        <f>F98-SUM(AG98:AI98)</f>
        <v>-73.927999999996473</v>
      </c>
      <c r="AK98" s="4">
        <f>-216.677-AK96</f>
        <v>-261.82199999999881</v>
      </c>
      <c r="AL98" s="4">
        <f>2274.522-AL96-AK96-AK98</f>
        <v>635.88999999999953</v>
      </c>
      <c r="AM98" s="4">
        <f>2720.624-AM96-AL96-AL98-AK96-AK98</f>
        <v>1268.1319999999994</v>
      </c>
      <c r="AN98" s="275">
        <f>G98-AM98-AL98-AK98</f>
        <v>-1031.0159999999987</v>
      </c>
      <c r="AO98" s="4">
        <f>1088.178-AO96</f>
        <v>349.76699999999983</v>
      </c>
      <c r="AP98" s="4">
        <f>2748.444-AP96-AO96-AO98</f>
        <v>244.14999999999964</v>
      </c>
      <c r="AQ98" s="4">
        <f>3492.243-AQ96-AP96-AP98-AO96-AO98</f>
        <v>1455.9200000000035</v>
      </c>
      <c r="AR98" s="196">
        <f>H98-AQ98-AP98-AO98</f>
        <v>568.67399999999293</v>
      </c>
      <c r="AS98" s="4">
        <f>-1305.622-AS96</f>
        <v>902.90399999999886</v>
      </c>
      <c r="AT98" s="4">
        <f>630.653-AT96-AS96-AS98</f>
        <v>1567.8550000000021</v>
      </c>
      <c r="AU98" s="4">
        <f>3032.441-AU96-AT96-AT98-AS96-AS98</f>
        <v>1144.193</v>
      </c>
      <c r="AV98" s="196">
        <f>I98-AU98-AT98-AS98</f>
        <v>51.697999999995773</v>
      </c>
      <c r="AW98" s="4">
        <f>1120.779-AW96</f>
        <v>140.7889999999984</v>
      </c>
      <c r="AX98" s="4">
        <f>458.347-AX96-AW96-AW98</f>
        <v>1814.8390000000004</v>
      </c>
      <c r="AY98" s="4">
        <f>288.164-AY96-AX96-AX98-AW96-AW98</f>
        <v>-70.924000000000433</v>
      </c>
      <c r="AZ98" s="196">
        <f>J98-AY98-AX98-AW98</f>
        <v>7189.368999999997</v>
      </c>
      <c r="BA98" s="4">
        <f>-1.677-BA96</f>
        <v>682.03600000000176</v>
      </c>
      <c r="BB98" s="4">
        <f>3294.096-BB96-BA96-BA98</f>
        <v>3570.1119999999992</v>
      </c>
      <c r="BC98" s="4">
        <f>5612.069-BC96-BB96-BB98-BA96-BA98</f>
        <v>2534.1369999999988</v>
      </c>
      <c r="BD98" s="196">
        <f>K98-BC98-BB98-BA98</f>
        <v>737.12100000000476</v>
      </c>
      <c r="BE98" s="4">
        <f>932.148-BE96</f>
        <v>-6382.2620000000015</v>
      </c>
      <c r="BF98" s="4">
        <f>6323.691-BF96-BE96-BE98</f>
        <v>7058.0100000000029</v>
      </c>
      <c r="BG98" s="4">
        <f>12882.799-BG96-BF96-BF98-BE96-BE98</f>
        <v>2610.0399999999991</v>
      </c>
    </row>
    <row r="99" spans="1:60" ht="13.5" customHeight="1">
      <c r="B99" s="16" t="s">
        <v>481</v>
      </c>
      <c r="C99" s="8">
        <f t="shared" ref="C99:L99" si="248">SUM(C96:C98)</f>
        <v>903.46299999999997</v>
      </c>
      <c r="D99" s="8">
        <f t="shared" si="248"/>
        <v>-6113.085</v>
      </c>
      <c r="E99" s="8">
        <f t="shared" si="248"/>
        <v>3133.5559999999996</v>
      </c>
      <c r="F99" s="8">
        <f t="shared" si="248"/>
        <v>-1340.019</v>
      </c>
      <c r="G99" s="8">
        <f t="shared" si="248"/>
        <v>2706.9059999999999</v>
      </c>
      <c r="H99" s="8">
        <f>SUM(H96:H98)</f>
        <v>2819.4760000000001</v>
      </c>
      <c r="I99" s="8">
        <f>SUM(I96:I98)</f>
        <v>1621.8400000000001</v>
      </c>
      <c r="J99" s="8">
        <f>SUM(J96:J98)</f>
        <v>6759.3259999999991</v>
      </c>
      <c r="K99" s="8">
        <f>SUM(K96:K98)</f>
        <v>7320.1850000000013</v>
      </c>
      <c r="L99" s="8">
        <f t="shared" si="248"/>
        <v>14681.774000000027</v>
      </c>
      <c r="M99" s="8"/>
      <c r="N99" s="51"/>
      <c r="O99" s="51"/>
      <c r="P99" s="98"/>
      <c r="Q99" s="51"/>
      <c r="R99" s="51"/>
      <c r="S99" s="51"/>
      <c r="T99" s="51"/>
      <c r="U99" s="51"/>
      <c r="V99" s="51"/>
      <c r="W99" s="51"/>
      <c r="X99" s="51"/>
      <c r="Y99" s="51"/>
      <c r="Z99" s="51"/>
      <c r="AA99" s="51"/>
      <c r="AB99" s="51"/>
      <c r="AC99" s="8">
        <f t="shared" ref="AC99:AI99" si="249">SUM(AC96:AC98)</f>
        <v>-396.49599999999998</v>
      </c>
      <c r="AD99" s="8">
        <f t="shared" si="249"/>
        <v>1247.116</v>
      </c>
      <c r="AE99" s="8">
        <f t="shared" si="249"/>
        <v>1876.7890000000002</v>
      </c>
      <c r="AF99" s="8">
        <f t="shared" si="249"/>
        <v>406.14631927852452</v>
      </c>
      <c r="AG99" s="8">
        <f t="shared" si="249"/>
        <v>398.16399999999999</v>
      </c>
      <c r="AH99" s="8">
        <f t="shared" si="249"/>
        <v>-1455.9970000000001</v>
      </c>
      <c r="AI99" s="8">
        <f t="shared" si="249"/>
        <v>-88.060999999999979</v>
      </c>
      <c r="AJ99" s="8">
        <f t="shared" ref="AJ99:AO99" si="250">SUM(AJ96:AJ98)</f>
        <v>-194.22499999999764</v>
      </c>
      <c r="AK99" s="8">
        <f t="shared" si="250"/>
        <v>-122.679</v>
      </c>
      <c r="AL99" s="8">
        <f t="shared" si="250"/>
        <v>2491.1990000000001</v>
      </c>
      <c r="AM99" s="8">
        <f t="shared" si="250"/>
        <v>1668.3379999999997</v>
      </c>
      <c r="AN99" s="8">
        <f t="shared" si="250"/>
        <v>-1329.9519999999989</v>
      </c>
      <c r="AO99" s="8">
        <f t="shared" si="250"/>
        <v>1469.0120000000002</v>
      </c>
      <c r="AP99" s="8">
        <f t="shared" ref="AP99:AY99" si="251">SUM(AP96:AP98)</f>
        <v>1798.4809999999998</v>
      </c>
      <c r="AQ99" s="8">
        <f t="shared" si="251"/>
        <v>288.65000000000077</v>
      </c>
      <c r="AR99" s="8">
        <f t="shared" si="251"/>
        <v>-736.6670000000031</v>
      </c>
      <c r="AS99" s="8">
        <f t="shared" si="251"/>
        <v>-1026.55</v>
      </c>
      <c r="AT99" s="8">
        <f t="shared" si="251"/>
        <v>1716.932</v>
      </c>
      <c r="AU99" s="8">
        <f t="shared" si="251"/>
        <v>2594.83</v>
      </c>
      <c r="AV99" s="8">
        <f t="shared" si="251"/>
        <v>-1663.3719999999992</v>
      </c>
      <c r="AW99" s="8">
        <f t="shared" si="251"/>
        <v>1560.184</v>
      </c>
      <c r="AX99" s="8">
        <f t="shared" si="251"/>
        <v>-987.58299999999963</v>
      </c>
      <c r="AY99" s="8">
        <f t="shared" si="251"/>
        <v>-115.6930000000003</v>
      </c>
      <c r="AZ99" s="8">
        <f t="shared" ref="AZ99:BE99" si="252">SUM(AZ96:AZ98)</f>
        <v>6302.4179999999997</v>
      </c>
      <c r="BA99" s="8">
        <f t="shared" si="252"/>
        <v>169.26199999999994</v>
      </c>
      <c r="BB99" s="8">
        <f t="shared" si="252"/>
        <v>3145.5590000000002</v>
      </c>
      <c r="BC99" s="8">
        <f t="shared" si="252"/>
        <v>2388.6869999999999</v>
      </c>
      <c r="BD99" s="8">
        <f t="shared" si="252"/>
        <v>1616.6770000000106</v>
      </c>
      <c r="BE99" s="8">
        <f t="shared" si="252"/>
        <v>1353.2550000000001</v>
      </c>
      <c r="BF99" s="8">
        <f>SUM(BF96:BF98)</f>
        <v>7665.98</v>
      </c>
      <c r="BG99" s="8">
        <f>SUM(BG96:BG98)</f>
        <v>4045.8620000000001</v>
      </c>
    </row>
    <row r="100" spans="1:60" s="5" customFormat="1" ht="13.5" customHeight="1">
      <c r="B100" s="254" t="s">
        <v>482</v>
      </c>
      <c r="C100" s="4">
        <v>9031.8809999999994</v>
      </c>
      <c r="D100" s="8">
        <f t="shared" ref="D100:K100" si="253">C100+D99</f>
        <v>2918.7959999999994</v>
      </c>
      <c r="E100" s="8">
        <f t="shared" si="253"/>
        <v>6052.351999999999</v>
      </c>
      <c r="F100" s="8">
        <f t="shared" si="253"/>
        <v>4712.3329999999987</v>
      </c>
      <c r="G100" s="8">
        <f t="shared" si="253"/>
        <v>7419.2389999999987</v>
      </c>
      <c r="H100" s="8">
        <f t="shared" si="253"/>
        <v>10238.714999999998</v>
      </c>
      <c r="I100" s="8">
        <f t="shared" si="253"/>
        <v>11860.554999999998</v>
      </c>
      <c r="J100" s="8">
        <f t="shared" si="253"/>
        <v>18619.880999999998</v>
      </c>
      <c r="K100" s="8">
        <f t="shared" si="253"/>
        <v>25940.065999999999</v>
      </c>
      <c r="L100" s="8">
        <f>BC100+L99</f>
        <v>39005.06231927855</v>
      </c>
      <c r="M100" s="8"/>
      <c r="N100" s="8"/>
      <c r="O100" s="8"/>
      <c r="P100" s="163"/>
      <c r="Q100" s="8">
        <v>6610.9</v>
      </c>
      <c r="R100" s="8">
        <v>7003</v>
      </c>
      <c r="S100" s="8">
        <v>7703.3</v>
      </c>
      <c r="T100" s="8">
        <v>8128.9</v>
      </c>
      <c r="U100" s="8">
        <v>7989.1</v>
      </c>
      <c r="V100" s="8">
        <v>7916.9</v>
      </c>
      <c r="W100" s="8">
        <v>8692</v>
      </c>
      <c r="X100" s="8">
        <v>9031.9</v>
      </c>
      <c r="Y100" s="8">
        <v>8173.8</v>
      </c>
      <c r="Z100" s="8">
        <v>4297.8</v>
      </c>
      <c r="AA100" s="8">
        <v>3902.5</v>
      </c>
      <c r="AB100" s="8">
        <v>2918.8</v>
      </c>
      <c r="AC100" s="8">
        <f>D100+AC99</f>
        <v>2522.2999999999993</v>
      </c>
      <c r="AD100" s="8">
        <f t="shared" ref="AD100:AL100" si="254">AC100+AD99</f>
        <v>3769.4159999999993</v>
      </c>
      <c r="AE100" s="8">
        <f t="shared" si="254"/>
        <v>5646.2049999999999</v>
      </c>
      <c r="AF100" s="8">
        <f t="shared" si="254"/>
        <v>6052.3513192785249</v>
      </c>
      <c r="AG100" s="8">
        <f t="shared" si="254"/>
        <v>6450.5153192785247</v>
      </c>
      <c r="AH100" s="8">
        <f t="shared" si="254"/>
        <v>4994.5183192785244</v>
      </c>
      <c r="AI100" s="8">
        <f t="shared" si="254"/>
        <v>4906.4573192785247</v>
      </c>
      <c r="AJ100" s="8">
        <f t="shared" si="254"/>
        <v>4712.232319278527</v>
      </c>
      <c r="AK100" s="8">
        <f t="shared" si="254"/>
        <v>4589.5533192785269</v>
      </c>
      <c r="AL100" s="8">
        <f t="shared" si="254"/>
        <v>7080.7523192785266</v>
      </c>
      <c r="AM100" s="8">
        <f t="shared" ref="AM100:AS100" si="255">AL100+AM99</f>
        <v>8749.0903192785263</v>
      </c>
      <c r="AN100" s="8">
        <f t="shared" si="255"/>
        <v>7419.138319278527</v>
      </c>
      <c r="AO100" s="8">
        <f t="shared" si="255"/>
        <v>8888.1503192785276</v>
      </c>
      <c r="AP100" s="8">
        <f t="shared" si="255"/>
        <v>10686.631319278527</v>
      </c>
      <c r="AQ100" s="8">
        <f t="shared" si="255"/>
        <v>10975.281319278529</v>
      </c>
      <c r="AR100" s="8">
        <f>AQ100+AR99</f>
        <v>10238.614319278526</v>
      </c>
      <c r="AS100" s="8">
        <f t="shared" si="255"/>
        <v>9212.0643192785265</v>
      </c>
      <c r="AT100" s="8">
        <f t="shared" ref="AT100:BF100" si="256">AS100+AT99</f>
        <v>10928.996319278527</v>
      </c>
      <c r="AU100" s="8">
        <f t="shared" si="256"/>
        <v>13523.826319278527</v>
      </c>
      <c r="AV100" s="8">
        <f t="shared" si="256"/>
        <v>11860.454319278528</v>
      </c>
      <c r="AW100" s="8">
        <f t="shared" si="256"/>
        <v>13420.638319278527</v>
      </c>
      <c r="AX100" s="8">
        <f t="shared" si="256"/>
        <v>12433.055319278526</v>
      </c>
      <c r="AY100" s="8">
        <f t="shared" si="256"/>
        <v>12317.362319278525</v>
      </c>
      <c r="AZ100" s="8">
        <f t="shared" si="256"/>
        <v>18619.780319278525</v>
      </c>
      <c r="BA100" s="8">
        <f t="shared" si="256"/>
        <v>18789.042319278524</v>
      </c>
      <c r="BB100" s="8">
        <f t="shared" si="256"/>
        <v>21934.601319278525</v>
      </c>
      <c r="BC100" s="8">
        <f t="shared" si="256"/>
        <v>24323.288319278523</v>
      </c>
      <c r="BD100" s="8">
        <f t="shared" si="256"/>
        <v>25939.965319278534</v>
      </c>
      <c r="BE100" s="8">
        <f t="shared" si="256"/>
        <v>27293.220319278535</v>
      </c>
      <c r="BF100" s="8">
        <f t="shared" si="256"/>
        <v>34959.200319278534</v>
      </c>
      <c r="BG100" s="8">
        <f>BF100+BG99</f>
        <v>39005.062319278535</v>
      </c>
      <c r="BH100" s="8"/>
    </row>
    <row r="101" spans="1:60" s="164" customFormat="1" ht="13.5" customHeight="1">
      <c r="B101" s="167" t="s">
        <v>483</v>
      </c>
      <c r="C101" s="168">
        <f t="shared" ref="C101:H101" si="257">C100-C141</f>
        <v>0</v>
      </c>
      <c r="D101" s="168">
        <f t="shared" si="257"/>
        <v>0</v>
      </c>
      <c r="E101" s="168">
        <f t="shared" si="257"/>
        <v>0</v>
      </c>
      <c r="F101" s="168">
        <f t="shared" si="257"/>
        <v>0</v>
      </c>
      <c r="G101" s="168">
        <f t="shared" si="257"/>
        <v>0</v>
      </c>
      <c r="H101" s="168">
        <f t="shared" si="257"/>
        <v>0</v>
      </c>
      <c r="I101" s="168">
        <f>I100-I141</f>
        <v>0</v>
      </c>
      <c r="J101" s="168">
        <f>J100-J141</f>
        <v>0</v>
      </c>
      <c r="K101" s="168">
        <f>K100-K141</f>
        <v>0</v>
      </c>
      <c r="L101" s="168">
        <f>L100-L141+48.317</f>
        <v>-0.10068072145350726</v>
      </c>
      <c r="M101" s="168"/>
      <c r="N101" s="168"/>
      <c r="O101" s="168"/>
      <c r="P101" s="169"/>
      <c r="Q101" s="168"/>
      <c r="R101" s="168"/>
      <c r="S101" s="168"/>
      <c r="T101" s="168"/>
      <c r="U101" s="168"/>
      <c r="V101" s="168"/>
      <c r="W101" s="168"/>
      <c r="X101" s="168"/>
      <c r="Y101" s="168"/>
      <c r="Z101" s="168"/>
      <c r="AA101" s="168"/>
      <c r="AB101" s="168"/>
      <c r="AC101" s="168">
        <f t="shared" ref="AC101:AN101" si="258">AC100-AC141</f>
        <v>-0.11200000000053478</v>
      </c>
      <c r="AD101" s="168">
        <f t="shared" si="258"/>
        <v>0</v>
      </c>
      <c r="AE101" s="168">
        <f t="shared" si="258"/>
        <v>0</v>
      </c>
      <c r="AF101" s="168">
        <f t="shared" si="258"/>
        <v>-6.8072147496422986E-4</v>
      </c>
      <c r="AG101" s="168">
        <f t="shared" si="258"/>
        <v>1.531927852465742E-2</v>
      </c>
      <c r="AH101" s="168">
        <f t="shared" si="258"/>
        <v>-6.8072147587372456E-4</v>
      </c>
      <c r="AI101" s="168">
        <f t="shared" si="258"/>
        <v>-6.8072147496422986E-4</v>
      </c>
      <c r="AJ101" s="168">
        <f t="shared" si="258"/>
        <v>-0.10068072147259954</v>
      </c>
      <c r="AK101" s="168">
        <f t="shared" si="258"/>
        <v>-0.10068072147350904</v>
      </c>
      <c r="AL101" s="168">
        <f t="shared" si="258"/>
        <v>-0.10068072147350904</v>
      </c>
      <c r="AM101" s="168">
        <f t="shared" si="258"/>
        <v>-0.10068072147441853</v>
      </c>
      <c r="AN101" s="168">
        <f t="shared" si="258"/>
        <v>-0.10068072147259954</v>
      </c>
      <c r="AO101" s="168">
        <f t="shared" ref="AO101:AT101" si="259">AO100-AO141</f>
        <v>-0.10068072147259954</v>
      </c>
      <c r="AP101" s="168">
        <f t="shared" si="259"/>
        <v>-0.10068072147259954</v>
      </c>
      <c r="AQ101" s="168">
        <f t="shared" si="259"/>
        <v>-0.10068072147078055</v>
      </c>
      <c r="AR101" s="168">
        <f t="shared" si="259"/>
        <v>-0.10068072147441853</v>
      </c>
      <c r="AS101" s="168">
        <f t="shared" si="259"/>
        <v>-0.10068072147441853</v>
      </c>
      <c r="AT101" s="168">
        <f t="shared" si="259"/>
        <v>-0.10068072147259954</v>
      </c>
      <c r="AU101" s="168">
        <f t="shared" ref="AU101:AZ101" si="260">AU100-AU141</f>
        <v>-0.10068072147259954</v>
      </c>
      <c r="AV101" s="168">
        <f t="shared" si="260"/>
        <v>-0.10068072147259954</v>
      </c>
      <c r="AW101" s="168">
        <f t="shared" si="260"/>
        <v>-0.10068072147259954</v>
      </c>
      <c r="AX101" s="168">
        <f t="shared" si="260"/>
        <v>-0.10068072147441853</v>
      </c>
      <c r="AY101" s="168">
        <f t="shared" si="260"/>
        <v>-0.10068072147441853</v>
      </c>
      <c r="AZ101" s="168">
        <f t="shared" si="260"/>
        <v>-0.10068072147623752</v>
      </c>
      <c r="BA101" s="168">
        <f t="shared" ref="BA101:BF101" si="261">BA100-BA141</f>
        <v>-0.10068072147623752</v>
      </c>
      <c r="BB101" s="168">
        <f t="shared" si="261"/>
        <v>-0.10068072147623752</v>
      </c>
      <c r="BC101" s="168">
        <f t="shared" si="261"/>
        <v>-0.10068072147623752</v>
      </c>
      <c r="BD101" s="168">
        <f t="shared" si="261"/>
        <v>-0.10068072146532359</v>
      </c>
      <c r="BE101" s="168">
        <f t="shared" si="261"/>
        <v>-0.10068072146532359</v>
      </c>
      <c r="BF101" s="168">
        <f t="shared" si="261"/>
        <v>-0.10068072146532359</v>
      </c>
      <c r="BG101" s="168">
        <f>BG100-BG141+48.317</f>
        <v>-0.10068072146805918</v>
      </c>
    </row>
    <row r="102" spans="1:60" s="164" customFormat="1" ht="13.5" customHeight="1">
      <c r="B102" s="167" t="s">
        <v>484</v>
      </c>
      <c r="C102" s="168">
        <f>1990.757-92.263-C80-C81-C82-C83-C98</f>
        <v>0</v>
      </c>
      <c r="D102" s="168">
        <f>1901.306-D80-D81-D82-D83-D98</f>
        <v>0</v>
      </c>
      <c r="E102" s="168">
        <f>607.137-E80-E81-E82-E83-E98</f>
        <v>0</v>
      </c>
      <c r="F102" s="168">
        <f>3101.266-F80-F81-F82-F83-F98</f>
        <v>0</v>
      </c>
      <c r="G102" s="168">
        <f>5829.854-G80-G81-G82-G83-G98</f>
        <v>1.0231815394945443E-12</v>
      </c>
      <c r="H102" s="168">
        <f>9026.555-H80-H81-H82-H83-H98</f>
        <v>0</v>
      </c>
      <c r="I102" s="168">
        <f>13092.795-I80-I81-I82-I83-I98</f>
        <v>4.0927261579781771E-12</v>
      </c>
      <c r="J102" s="168">
        <f>19947.242-J80-J81-J82-J83-J98</f>
        <v>0</v>
      </c>
      <c r="K102" s="168">
        <f>25151.859-K80-K81-K82-K83-K98</f>
        <v>0</v>
      </c>
      <c r="L102" s="168"/>
      <c r="M102" s="168"/>
      <c r="N102" s="168"/>
      <c r="O102" s="168"/>
      <c r="P102" s="169"/>
      <c r="Q102" s="168"/>
      <c r="R102" s="168"/>
      <c r="S102" s="168"/>
      <c r="T102" s="168"/>
      <c r="U102" s="168"/>
      <c r="V102" s="168"/>
      <c r="W102" s="168"/>
      <c r="X102" s="168"/>
      <c r="Y102" s="168"/>
      <c r="Z102" s="168"/>
      <c r="AA102" s="168"/>
      <c r="AB102" s="168"/>
      <c r="AC102" s="168">
        <f>29.187-AC80-AC81-AC82-AC83-AC98</f>
        <v>0</v>
      </c>
      <c r="AD102" s="168">
        <f>-556.03-AD80-AD81-AD82-AD83-AD98-AC80-AC81-AC82-AC83-AC98</f>
        <v>0</v>
      </c>
      <c r="AE102" s="168">
        <f>1082.659-AE80-AE81-AE82-AE83-AE98-AD80-AD81-AD82-AD83-AD98-AC80-AC81-AC82-AC83-AC98</f>
        <v>-1.0231815394945443E-12</v>
      </c>
      <c r="AF102" s="168">
        <f>E102-SUM(AC102:AE102)</f>
        <v>1.0231815394945443E-12</v>
      </c>
      <c r="AG102" s="168">
        <f>-66.981-AG80-AG81-AG82-AG83-AG98</f>
        <v>0</v>
      </c>
      <c r="AH102" s="168">
        <f>-110.072-AH80-AH81-AH82-AH83-AH98-AG80-AG81-AG82-AG83-AG98</f>
        <v>0</v>
      </c>
      <c r="AI102" s="168">
        <f>1194.599-AI80-AI81-AI82-AI83-AI98-AH80-AH81-AH82-AH83-AH98-AG80-AG81-AG82-AG83-AG98</f>
        <v>0</v>
      </c>
      <c r="AJ102" s="168">
        <f>F102-SUM(AG102:AI102)</f>
        <v>0</v>
      </c>
      <c r="AK102" s="168">
        <f>269.666-AK80-AK81-AK82-AK83-AK98</f>
        <v>-4.5474735088646412E-13</v>
      </c>
      <c r="AL102" s="168">
        <f>2294.421-AL80-AL81-AL82-AL83-AL98-AK80-AK81-AK82-AK83-AK98</f>
        <v>6.8212102632969618E-13</v>
      </c>
      <c r="AM102" s="168">
        <f>5316.113-AM80-AM81-AM82-AM83-AM98-AL80-AL81-AL82-AL83-AL98-AK80-AK81-AK82-AK83-AK98</f>
        <v>1.1368683772161603E-12</v>
      </c>
      <c r="AN102" s="168">
        <f>G102-SUM(AK102:AM102)</f>
        <v>-3.4106051316484809E-13</v>
      </c>
      <c r="AO102" s="168">
        <f>990.422-AO80-AO81-AO82-AO83-AO98</f>
        <v>0</v>
      </c>
      <c r="AP102" s="168">
        <f>3118.366-AP80-AP81-AP82-AP83-AP98-AO80-AO81-AO82-AO83-AO98</f>
        <v>599.99999999999977</v>
      </c>
      <c r="AQ102" s="168">
        <f>6217.522-AQ80-AQ81-AQ82-AQ83-AQ98-AP80-AP81-AP82-AP83-AP98-AO80-AO81-AO82-AO83-AO98</f>
        <v>-3.3537617127876729E-12</v>
      </c>
      <c r="AR102" s="168">
        <f>9026.555-AR80-AR81-AR82-AR83-AR98-AQ80-AQ81-AQ82-AQ83-AQ98-AP80-AP81-AP82-AP83-AP98-AO98-AO83-AO82-AO81-AO80</f>
        <v>4.0927261579781771E-12</v>
      </c>
      <c r="AS102" s="168">
        <f>2468.756-AS80-AS81-AS82-AS83-AS98</f>
        <v>0</v>
      </c>
      <c r="AT102" s="168">
        <f>5527.192-AT80-AT81-AT82-AT83-AT98-AS80-AS81-AS82-AS83-AS98</f>
        <v>0</v>
      </c>
      <c r="AU102" s="168">
        <f>10174.84-AU80-AU81-AU82-AU83-AU98-AT80-AT81-AT82-AT83-AT98-AS80-AS81-AS82-AS83-AS98</f>
        <v>0</v>
      </c>
      <c r="AV102" s="168">
        <f>13092.795-AV80-AV81-AV82-AV83-AV98-AU80-AU81-AU82-AU83-AU98-AT80-AT81-AT82-AT83-AT98-AS98-AS83-AS82-AS81-AS80</f>
        <v>0</v>
      </c>
      <c r="AW102" s="168">
        <f>2172.302-AW80-AW81-AW82-AW83-AW98</f>
        <v>4.2632564145606011E-13</v>
      </c>
      <c r="AX102" s="168">
        <f>6175.902-AX80-AX81-AX82-AX83-AX98-AW80-AW81-AW82-AW83-AW98</f>
        <v>4.2632564145606011E-13</v>
      </c>
      <c r="AY102" s="168">
        <f>9323.658-AY80-AY81-AY82-AY83-AY98-AX80-AX81-AX82-AX83-AX98-AW80-AW81-AW82-AW83-AW98</f>
        <v>4.2632564145606011E-13</v>
      </c>
      <c r="AZ102" s="168">
        <f>19947.242-AZ80-AZ81-AZ82-AZ83-AZ98-AY80-AY81-AY82-AY83-AY98-AX80-AX81-AX82-AX83-AX98-AW98-AW83-AW82-AW81-AW80</f>
        <v>0</v>
      </c>
      <c r="BA102" s="168">
        <f>3089.095-BA80-BA81-BA82-BA83-BA98</f>
        <v>0</v>
      </c>
      <c r="BB102" s="168">
        <f>7583.038-BB80-BB81-BB82-BB83-BB98-BA80-BA81-BA82-BA83-BA98</f>
        <v>-9.0949470177292824E-13</v>
      </c>
      <c r="BC102" s="168">
        <f>17074.472-1318.366-BC80-BC81-BC82-BC83-BC98-BB80-BB81-BB82-BB83-BB98-BA80-BA81-BA82-BA83-BA98</f>
        <v>3.637978807091713E-12</v>
      </c>
      <c r="BD102" s="168">
        <f>25151.859-BD80-BD81-BD82-BD83-BD98-BC80-BC81-BC82-BC83-BC98-BB80-BB81-BB82-BB83-BB98-BA98-BA83-BA82-BA81-BA80</f>
        <v>-7.2759576141834259E-12</v>
      </c>
      <c r="BE102" s="168">
        <f>3155.973-BE80-BE81-BE82-BE83-BE98-440.02-19.363</f>
        <v>7.3896444519050419E-13</v>
      </c>
      <c r="BF102" s="168">
        <f>18292.74-BF80-BF81-BF82-BF83-BF98-BE80-BE81-BE82-BE83-BE98-2381.045-124.04</f>
        <v>4.0500935938325711E-12</v>
      </c>
      <c r="BG102" s="168">
        <f>29335.014-2705.657-BG80-BG81-BG82-BG83-BG98-BF80-BF81-BF82-BF83-BF98-BE80-BE81-BE82-BE83-BE98</f>
        <v>0</v>
      </c>
    </row>
    <row r="103" spans="1:60" ht="11.25" customHeight="1">
      <c r="C103" s="63"/>
      <c r="D103" s="63"/>
      <c r="E103" s="63"/>
      <c r="F103" s="63"/>
      <c r="G103" s="63"/>
      <c r="H103" s="63"/>
      <c r="I103" s="63"/>
      <c r="J103" s="63"/>
      <c r="K103" s="63"/>
      <c r="L103" s="63"/>
      <c r="M103" s="290"/>
      <c r="N103" s="81"/>
      <c r="O103" s="81"/>
      <c r="P103" s="107"/>
      <c r="Q103" s="185"/>
      <c r="R103" s="185"/>
      <c r="S103" s="185"/>
      <c r="T103" s="185"/>
      <c r="U103" s="185"/>
      <c r="V103" s="185"/>
      <c r="W103" s="185"/>
      <c r="X103" s="185"/>
      <c r="Y103" s="185"/>
      <c r="Z103" s="185"/>
      <c r="AA103" s="185"/>
      <c r="AB103" s="185"/>
      <c r="AC103" s="63"/>
      <c r="AG103" s="63"/>
      <c r="AH103" s="63"/>
      <c r="AK103" s="63"/>
      <c r="AL103" s="185"/>
      <c r="AO103" s="63"/>
      <c r="AP103" s="63"/>
      <c r="AQ103" s="63"/>
      <c r="AR103" s="63"/>
      <c r="AS103" s="63"/>
      <c r="AT103" s="168"/>
      <c r="AU103" s="63"/>
      <c r="AV103" s="63"/>
      <c r="AW103" s="63"/>
      <c r="AX103" s="63"/>
      <c r="AY103" s="63"/>
      <c r="AZ103" s="63"/>
      <c r="BA103" s="63"/>
      <c r="BB103" s="63"/>
      <c r="BC103" s="63"/>
      <c r="BD103" s="63"/>
      <c r="BE103" s="63"/>
      <c r="BF103" s="63"/>
      <c r="BG103" s="63"/>
    </row>
    <row r="104" spans="1:60" ht="13.5" customHeight="1">
      <c r="A104" s="27"/>
      <c r="B104" s="17" t="s">
        <v>485</v>
      </c>
      <c r="C104" s="48">
        <f>+C2</f>
        <v>41975</v>
      </c>
      <c r="D104" s="48">
        <f t="shared" ref="D104:AK104" si="262">+D2</f>
        <v>42341</v>
      </c>
      <c r="E104" s="48">
        <f t="shared" si="262"/>
        <v>42705</v>
      </c>
      <c r="F104" s="48">
        <f t="shared" si="262"/>
        <v>43070</v>
      </c>
      <c r="G104" s="48">
        <f>+G2</f>
        <v>43435</v>
      </c>
      <c r="H104" s="48">
        <f>+H2</f>
        <v>43830</v>
      </c>
      <c r="I104" s="48">
        <f>+I2</f>
        <v>44196</v>
      </c>
      <c r="J104" s="48">
        <f>+J2</f>
        <v>44561</v>
      </c>
      <c r="K104" s="48">
        <f>+K2</f>
        <v>44926</v>
      </c>
      <c r="L104" s="48">
        <f t="shared" si="262"/>
        <v>45199</v>
      </c>
      <c r="M104" s="295" t="s">
        <v>397</v>
      </c>
      <c r="N104" s="48">
        <f t="shared" si="262"/>
        <v>43074</v>
      </c>
      <c r="O104" s="48">
        <f t="shared" si="262"/>
        <v>43440</v>
      </c>
      <c r="P104" s="96">
        <f t="shared" si="262"/>
        <v>43806</v>
      </c>
      <c r="Q104" s="48">
        <f t="shared" si="262"/>
        <v>41341</v>
      </c>
      <c r="R104" s="48">
        <f t="shared" si="262"/>
        <v>41431</v>
      </c>
      <c r="S104" s="48">
        <f t="shared" si="262"/>
        <v>41526</v>
      </c>
      <c r="T104" s="48">
        <f t="shared" si="262"/>
        <v>41618</v>
      </c>
      <c r="U104" s="48">
        <f t="shared" si="262"/>
        <v>41705</v>
      </c>
      <c r="V104" s="48">
        <f t="shared" si="262"/>
        <v>41796</v>
      </c>
      <c r="W104" s="48">
        <f t="shared" si="262"/>
        <v>41891</v>
      </c>
      <c r="X104" s="48">
        <f t="shared" si="262"/>
        <v>41983</v>
      </c>
      <c r="Y104" s="48">
        <f t="shared" si="262"/>
        <v>42070</v>
      </c>
      <c r="Z104" s="48">
        <f t="shared" si="262"/>
        <v>42161</v>
      </c>
      <c r="AA104" s="48">
        <f t="shared" si="262"/>
        <v>42256</v>
      </c>
      <c r="AB104" s="48">
        <f t="shared" si="262"/>
        <v>42348</v>
      </c>
      <c r="AC104" s="48">
        <f t="shared" si="262"/>
        <v>42437</v>
      </c>
      <c r="AD104" s="48">
        <f t="shared" si="262"/>
        <v>42527</v>
      </c>
      <c r="AE104" s="48">
        <f t="shared" si="262"/>
        <v>42622</v>
      </c>
      <c r="AF104" s="48">
        <f t="shared" si="262"/>
        <v>42714</v>
      </c>
      <c r="AG104" s="48">
        <f t="shared" si="262"/>
        <v>42801</v>
      </c>
      <c r="AH104" s="48">
        <f t="shared" si="262"/>
        <v>42892</v>
      </c>
      <c r="AI104" s="48">
        <f t="shared" si="262"/>
        <v>42987</v>
      </c>
      <c r="AJ104" s="48">
        <f t="shared" si="262"/>
        <v>43079</v>
      </c>
      <c r="AK104" s="48">
        <f t="shared" si="262"/>
        <v>43190</v>
      </c>
      <c r="AL104" s="48">
        <f>AL2</f>
        <v>43281</v>
      </c>
      <c r="AM104" s="48">
        <f>AM2</f>
        <v>43373</v>
      </c>
      <c r="AN104" s="48">
        <f>AN2</f>
        <v>43465</v>
      </c>
      <c r="AO104" s="48">
        <f t="shared" ref="AO104:AT104" si="263">+AO2</f>
        <v>43555</v>
      </c>
      <c r="AP104" s="48">
        <f t="shared" si="263"/>
        <v>43646</v>
      </c>
      <c r="AQ104" s="48">
        <f t="shared" si="263"/>
        <v>43738</v>
      </c>
      <c r="AR104" s="48">
        <f t="shared" si="263"/>
        <v>43830</v>
      </c>
      <c r="AS104" s="48">
        <f t="shared" si="263"/>
        <v>43921</v>
      </c>
      <c r="AT104" s="48">
        <f t="shared" si="263"/>
        <v>44012</v>
      </c>
      <c r="AU104" s="48">
        <f t="shared" ref="AU104:AZ104" si="264">+AU2</f>
        <v>44104</v>
      </c>
      <c r="AV104" s="48">
        <f t="shared" si="264"/>
        <v>44196</v>
      </c>
      <c r="AW104" s="48">
        <f t="shared" si="264"/>
        <v>44286</v>
      </c>
      <c r="AX104" s="48">
        <f t="shared" si="264"/>
        <v>44377</v>
      </c>
      <c r="AY104" s="48">
        <f t="shared" si="264"/>
        <v>44469</v>
      </c>
      <c r="AZ104" s="48">
        <f t="shared" si="264"/>
        <v>44561</v>
      </c>
      <c r="BA104" s="48">
        <f t="shared" ref="BA104:BF104" si="265">+BA2</f>
        <v>44651</v>
      </c>
      <c r="BB104" s="48">
        <f t="shared" si="265"/>
        <v>44742</v>
      </c>
      <c r="BC104" s="48">
        <f t="shared" si="265"/>
        <v>44834</v>
      </c>
      <c r="BD104" s="48">
        <f t="shared" si="265"/>
        <v>44926</v>
      </c>
      <c r="BE104" s="48">
        <f t="shared" si="265"/>
        <v>45016</v>
      </c>
      <c r="BF104" s="48">
        <f t="shared" si="265"/>
        <v>45107</v>
      </c>
      <c r="BG104" s="48">
        <f>+BG2</f>
        <v>45199</v>
      </c>
    </row>
    <row r="105" spans="1:60" ht="13.5" customHeight="1">
      <c r="B105" s="1" t="str">
        <f>+B14</f>
        <v>Total Revenues</v>
      </c>
      <c r="C105" s="6">
        <f t="shared" ref="C105:I105" si="266">C14</f>
        <v>12043.599999999999</v>
      </c>
      <c r="D105" s="6">
        <f t="shared" si="266"/>
        <v>12769.4</v>
      </c>
      <c r="E105" s="6">
        <f t="shared" si="266"/>
        <v>14285.6</v>
      </c>
      <c r="F105" s="6">
        <f t="shared" si="266"/>
        <v>17632.099999999999</v>
      </c>
      <c r="G105" s="6">
        <f t="shared" si="266"/>
        <v>21292.474999999999</v>
      </c>
      <c r="H105" s="6">
        <f t="shared" si="266"/>
        <v>25137.200000000001</v>
      </c>
      <c r="I105" s="6">
        <f t="shared" si="266"/>
        <v>29103.81</v>
      </c>
      <c r="J105" s="6">
        <f>J14</f>
        <v>35920.5</v>
      </c>
      <c r="K105" s="6">
        <f>K14</f>
        <v>53878.499999999993</v>
      </c>
      <c r="L105" s="6">
        <f>L14</f>
        <v>80963.822000000015</v>
      </c>
      <c r="M105" s="6"/>
      <c r="N105" s="40"/>
      <c r="O105" s="40"/>
      <c r="P105" s="97"/>
      <c r="Q105" s="40"/>
      <c r="R105" s="40"/>
      <c r="S105" s="40"/>
      <c r="T105" s="40"/>
      <c r="U105" s="40"/>
      <c r="V105" s="40"/>
      <c r="W105" s="40"/>
      <c r="X105" s="40"/>
      <c r="Y105" s="40"/>
      <c r="Z105" s="40"/>
      <c r="AA105" s="40"/>
      <c r="AB105" s="6">
        <f t="shared" ref="AB105:AL105" si="267">SUM(Y14:AB14)</f>
        <v>12769.4</v>
      </c>
      <c r="AC105" s="6">
        <f t="shared" si="267"/>
        <v>13016.6</v>
      </c>
      <c r="AD105" s="6">
        <f t="shared" si="267"/>
        <v>13281.800000000001</v>
      </c>
      <c r="AE105" s="6">
        <f t="shared" si="267"/>
        <v>13576.5</v>
      </c>
      <c r="AF105" s="6">
        <f t="shared" si="267"/>
        <v>14285.6</v>
      </c>
      <c r="AG105" s="6">
        <f t="shared" si="267"/>
        <v>15112.800000000001</v>
      </c>
      <c r="AH105" s="6">
        <f t="shared" si="267"/>
        <v>16070.7</v>
      </c>
      <c r="AI105" s="6">
        <f t="shared" si="267"/>
        <v>17009.599999999999</v>
      </c>
      <c r="AJ105" s="6">
        <f t="shared" si="267"/>
        <v>17632.099999999999</v>
      </c>
      <c r="AK105" s="6">
        <f t="shared" si="267"/>
        <v>18341.099999999999</v>
      </c>
      <c r="AL105" s="6">
        <f t="shared" si="267"/>
        <v>19130.3</v>
      </c>
      <c r="AM105" s="6">
        <f t="shared" ref="AM105:BG105" si="268">SUM(AJ14:AM14)</f>
        <v>20332.14</v>
      </c>
      <c r="AN105" s="6">
        <f t="shared" si="268"/>
        <v>21292.474999999999</v>
      </c>
      <c r="AO105" s="6">
        <f t="shared" si="268"/>
        <v>22206.274999999998</v>
      </c>
      <c r="AP105" s="6">
        <f t="shared" si="268"/>
        <v>23292.175000000003</v>
      </c>
      <c r="AQ105" s="6">
        <f t="shared" si="268"/>
        <v>24079.834999999999</v>
      </c>
      <c r="AR105" s="6">
        <f t="shared" si="268"/>
        <v>25137.200000000001</v>
      </c>
      <c r="AS105" s="6">
        <f t="shared" si="268"/>
        <v>26120.1</v>
      </c>
      <c r="AT105" s="6">
        <f t="shared" si="268"/>
        <v>26852.9</v>
      </c>
      <c r="AU105" s="6">
        <f t="shared" si="268"/>
        <v>27915.470999999998</v>
      </c>
      <c r="AV105" s="6">
        <f t="shared" si="268"/>
        <v>29103.810000000005</v>
      </c>
      <c r="AW105" s="6">
        <f t="shared" si="268"/>
        <v>30272.010000000002</v>
      </c>
      <c r="AX105" s="6">
        <f t="shared" si="268"/>
        <v>31896.41</v>
      </c>
      <c r="AY105" s="6">
        <f t="shared" si="268"/>
        <v>33601.172000000006</v>
      </c>
      <c r="AZ105" s="6">
        <f t="shared" si="268"/>
        <v>35920.5</v>
      </c>
      <c r="BA105" s="6">
        <f t="shared" si="268"/>
        <v>38789.016000000003</v>
      </c>
      <c r="BB105" s="6">
        <f t="shared" si="268"/>
        <v>42717.716</v>
      </c>
      <c r="BC105" s="6">
        <f t="shared" si="268"/>
        <v>48025.97</v>
      </c>
      <c r="BD105" s="6">
        <f t="shared" si="268"/>
        <v>53878.499999999993</v>
      </c>
      <c r="BE105" s="6">
        <f t="shared" si="268"/>
        <v>60459.341999999997</v>
      </c>
      <c r="BF105" s="6">
        <f t="shared" si="268"/>
        <v>69633.322999999989</v>
      </c>
      <c r="BG105" s="6">
        <f t="shared" si="268"/>
        <v>80963.822</v>
      </c>
    </row>
    <row r="106" spans="1:60" ht="13.5" customHeight="1">
      <c r="B106" s="1" t="s">
        <v>454</v>
      </c>
      <c r="C106" s="6">
        <f t="shared" ref="C106:I106" si="269">C24</f>
        <v>2046.0999999999992</v>
      </c>
      <c r="D106" s="6">
        <f t="shared" si="269"/>
        <v>2246.7999999999993</v>
      </c>
      <c r="E106" s="6">
        <f t="shared" si="269"/>
        <v>2181.9999999999995</v>
      </c>
      <c r="F106" s="6">
        <f t="shared" si="269"/>
        <v>2932.3999999999978</v>
      </c>
      <c r="G106" s="6">
        <f t="shared" si="269"/>
        <v>4359.8609999999981</v>
      </c>
      <c r="H106" s="6">
        <f t="shared" si="269"/>
        <v>5033.2000000000007</v>
      </c>
      <c r="I106" s="6">
        <f t="shared" si="269"/>
        <v>5772.3409999999994</v>
      </c>
      <c r="J106" s="6">
        <f>J24</f>
        <v>14131.477000000003</v>
      </c>
      <c r="K106" s="6">
        <f>K24</f>
        <v>19316.750999999993</v>
      </c>
      <c r="L106" s="6">
        <f>L24</f>
        <v>38560.654000000017</v>
      </c>
      <c r="M106" s="6"/>
      <c r="N106" s="40"/>
      <c r="O106" s="40"/>
      <c r="P106" s="97"/>
      <c r="Q106" s="40"/>
      <c r="R106" s="40"/>
      <c r="S106" s="40"/>
      <c r="T106" s="40"/>
      <c r="U106" s="40"/>
      <c r="V106" s="40"/>
      <c r="W106" s="40"/>
      <c r="X106" s="40"/>
      <c r="Y106" s="40"/>
      <c r="Z106" s="40"/>
      <c r="AA106" s="40"/>
      <c r="AB106" s="6">
        <f t="shared" ref="AB106:AL106" si="270">SUM(Y24:AB24)</f>
        <v>2246.7999999999993</v>
      </c>
      <c r="AC106" s="6">
        <f t="shared" si="270"/>
        <v>2302.8999999999996</v>
      </c>
      <c r="AD106" s="6">
        <f t="shared" si="270"/>
        <v>2317</v>
      </c>
      <c r="AE106" s="6">
        <f t="shared" si="270"/>
        <v>2049.7000000000003</v>
      </c>
      <c r="AF106" s="6">
        <f t="shared" si="270"/>
        <v>2182.0000000000005</v>
      </c>
      <c r="AG106" s="6">
        <f t="shared" si="270"/>
        <v>2421.6000000000004</v>
      </c>
      <c r="AH106" s="6">
        <f t="shared" si="270"/>
        <v>2748.8000000000011</v>
      </c>
      <c r="AI106" s="6">
        <f t="shared" si="270"/>
        <v>3242.2</v>
      </c>
      <c r="AJ106" s="6">
        <f t="shared" si="270"/>
        <v>2932.2999999999988</v>
      </c>
      <c r="AK106" s="6">
        <f t="shared" si="270"/>
        <v>3165.7999999999984</v>
      </c>
      <c r="AL106" s="6">
        <f t="shared" si="270"/>
        <v>3420.3999999999978</v>
      </c>
      <c r="AM106" s="6">
        <f t="shared" ref="AM106:BG106" si="271">SUM(AJ24:AM24)</f>
        <v>3773.7129999999984</v>
      </c>
      <c r="AN106" s="6">
        <f t="shared" si="271"/>
        <v>4359.8609999999971</v>
      </c>
      <c r="AO106" s="6">
        <f t="shared" si="271"/>
        <v>4402.360999999999</v>
      </c>
      <c r="AP106" s="6">
        <f t="shared" si="271"/>
        <v>4557.7609999999995</v>
      </c>
      <c r="AQ106" s="6">
        <f t="shared" si="271"/>
        <v>4811.2479999999987</v>
      </c>
      <c r="AR106" s="6">
        <f t="shared" si="271"/>
        <v>5033.2000000000007</v>
      </c>
      <c r="AS106" s="6">
        <f t="shared" si="271"/>
        <v>5325</v>
      </c>
      <c r="AT106" s="6">
        <f t="shared" si="271"/>
        <v>5433.3999999999987</v>
      </c>
      <c r="AU106" s="6">
        <f t="shared" si="271"/>
        <v>5751.3229999999985</v>
      </c>
      <c r="AV106" s="6">
        <f t="shared" si="271"/>
        <v>5772.3409999999994</v>
      </c>
      <c r="AW106" s="6">
        <f t="shared" si="271"/>
        <v>6067.7410000000009</v>
      </c>
      <c r="AX106" s="6">
        <f t="shared" si="271"/>
        <v>6176.7410000000009</v>
      </c>
      <c r="AY106" s="6">
        <f t="shared" si="271"/>
        <v>6502.6750000000011</v>
      </c>
      <c r="AZ106" s="6">
        <f t="shared" si="271"/>
        <v>14131.477000000006</v>
      </c>
      <c r="BA106" s="6">
        <f t="shared" si="271"/>
        <v>16204.676000000003</v>
      </c>
      <c r="BB106" s="6">
        <f t="shared" si="271"/>
        <v>19187.176000000007</v>
      </c>
      <c r="BC106" s="6">
        <f t="shared" si="271"/>
        <v>20622.125000000007</v>
      </c>
      <c r="BD106" s="6">
        <f t="shared" si="271"/>
        <v>19316.751000000004</v>
      </c>
      <c r="BE106" s="6">
        <f t="shared" si="271"/>
        <v>26749.076000000001</v>
      </c>
      <c r="BF106" s="6">
        <f t="shared" si="271"/>
        <v>34361.637999999999</v>
      </c>
      <c r="BG106" s="6">
        <f t="shared" si="271"/>
        <v>38560.653999999995</v>
      </c>
    </row>
    <row r="107" spans="1:60" ht="13.5" customHeight="1">
      <c r="B107" s="1" t="s">
        <v>486</v>
      </c>
      <c r="C107" s="6">
        <f t="shared" ref="C107:I107" si="272">C65</f>
        <v>3685.4999999999991</v>
      </c>
      <c r="D107" s="6">
        <f t="shared" si="272"/>
        <v>3914.5999999999995</v>
      </c>
      <c r="E107" s="6">
        <f t="shared" si="272"/>
        <v>4385.1999999999989</v>
      </c>
      <c r="F107" s="6">
        <f t="shared" si="272"/>
        <v>5529.3999999999978</v>
      </c>
      <c r="G107" s="6">
        <f t="shared" si="272"/>
        <v>8647.8609999999971</v>
      </c>
      <c r="H107" s="6">
        <f t="shared" si="272"/>
        <v>10079.800000000001</v>
      </c>
      <c r="I107" s="6">
        <f t="shared" si="272"/>
        <v>11747.119999999999</v>
      </c>
      <c r="J107" s="6">
        <f>J65</f>
        <v>21423.390000000003</v>
      </c>
      <c r="K107" s="6">
        <f>K65</f>
        <v>28794.762999999992</v>
      </c>
      <c r="L107" s="6">
        <f>L65</f>
        <v>50186.70400000002</v>
      </c>
      <c r="M107" s="6"/>
      <c r="N107" s="40"/>
      <c r="O107" s="6"/>
      <c r="P107" s="108"/>
      <c r="Q107" s="6"/>
      <c r="R107" s="6"/>
      <c r="S107" s="6"/>
      <c r="T107" s="6"/>
      <c r="U107" s="6"/>
      <c r="V107" s="6"/>
      <c r="W107" s="6"/>
      <c r="X107" s="6"/>
      <c r="Y107" s="6"/>
      <c r="Z107" s="6"/>
      <c r="AA107" s="6"/>
      <c r="AB107" s="6">
        <f t="shared" ref="AB107:AL107" si="273">SUM(Y65:AB65)</f>
        <v>3914.4999999999991</v>
      </c>
      <c r="AC107" s="6">
        <f t="shared" si="273"/>
        <v>4031.115260111892</v>
      </c>
      <c r="AD107" s="6">
        <f t="shared" si="273"/>
        <v>4202.7993192785234</v>
      </c>
      <c r="AE107" s="6">
        <f t="shared" si="273"/>
        <v>4085.5993192785231</v>
      </c>
      <c r="AF107" s="6">
        <f t="shared" si="273"/>
        <v>4385.1993192785239</v>
      </c>
      <c r="AG107" s="6">
        <f t="shared" si="273"/>
        <v>4798.3840591666321</v>
      </c>
      <c r="AH107" s="6">
        <f t="shared" si="273"/>
        <v>5175.5000000000009</v>
      </c>
      <c r="AI107" s="6">
        <f t="shared" si="273"/>
        <v>5742.9</v>
      </c>
      <c r="AJ107" s="6">
        <f t="shared" si="273"/>
        <v>5529.1999999999989</v>
      </c>
      <c r="AK107" s="6">
        <f t="shared" si="273"/>
        <v>6114.0999999999976</v>
      </c>
      <c r="AL107" s="6">
        <f t="shared" si="273"/>
        <v>6797.7999999999975</v>
      </c>
      <c r="AM107" s="6">
        <f t="shared" ref="AM107:BG107" si="274">SUM(AJ65:AM65)</f>
        <v>7475.2189999999982</v>
      </c>
      <c r="AN107" s="6">
        <f t="shared" si="274"/>
        <v>8647.8609999999971</v>
      </c>
      <c r="AO107" s="6">
        <f t="shared" si="274"/>
        <v>8888.6610000000001</v>
      </c>
      <c r="AP107" s="6">
        <f t="shared" si="274"/>
        <v>9263.7610000000004</v>
      </c>
      <c r="AQ107" s="6">
        <f t="shared" si="274"/>
        <v>9739.8419999999987</v>
      </c>
      <c r="AR107" s="6">
        <f t="shared" si="274"/>
        <v>10079.800000000001</v>
      </c>
      <c r="AS107" s="6">
        <f t="shared" si="274"/>
        <v>10565.6</v>
      </c>
      <c r="AT107" s="6">
        <f t="shared" si="274"/>
        <v>10859.7</v>
      </c>
      <c r="AU107" s="6">
        <f t="shared" si="274"/>
        <v>11496.510999999999</v>
      </c>
      <c r="AV107" s="6">
        <f t="shared" si="274"/>
        <v>11747.120000000003</v>
      </c>
      <c r="AW107" s="6">
        <f t="shared" si="274"/>
        <v>12326.420000000002</v>
      </c>
      <c r="AX107" s="6">
        <f t="shared" si="274"/>
        <v>12726.820000000003</v>
      </c>
      <c r="AY107" s="6">
        <f t="shared" si="274"/>
        <v>13353.765000000003</v>
      </c>
      <c r="AZ107" s="6">
        <f t="shared" si="274"/>
        <v>21423.390000000007</v>
      </c>
      <c r="BA107" s="6">
        <f t="shared" si="274"/>
        <v>23943.306000000004</v>
      </c>
      <c r="BB107" s="6">
        <f t="shared" si="274"/>
        <v>27663.006000000005</v>
      </c>
      <c r="BC107" s="6">
        <f t="shared" si="274"/>
        <v>29678.013000000003</v>
      </c>
      <c r="BD107" s="6">
        <f t="shared" si="274"/>
        <v>28794.763000000003</v>
      </c>
      <c r="BE107" s="6">
        <f t="shared" si="274"/>
        <v>36807.232000000004</v>
      </c>
      <c r="BF107" s="6">
        <f t="shared" si="274"/>
        <v>44927.123</v>
      </c>
      <c r="BG107" s="6">
        <f t="shared" si="274"/>
        <v>50186.703999999998</v>
      </c>
    </row>
    <row r="108" spans="1:60" s="5" customFormat="1" ht="13.5" customHeight="1">
      <c r="B108" s="1" t="s">
        <v>487</v>
      </c>
      <c r="C108" s="6">
        <f t="shared" ref="C108:I108" si="275">C69</f>
        <v>3761.7999999999993</v>
      </c>
      <c r="D108" s="6">
        <f t="shared" si="275"/>
        <v>4140.4999999999991</v>
      </c>
      <c r="E108" s="6">
        <f t="shared" si="275"/>
        <v>4619.4999999999991</v>
      </c>
      <c r="F108" s="6">
        <f t="shared" si="275"/>
        <v>6228.2999999999975</v>
      </c>
      <c r="G108" s="6">
        <f t="shared" si="275"/>
        <v>8788.007999999998</v>
      </c>
      <c r="H108" s="6">
        <f t="shared" si="275"/>
        <v>10426.400000000001</v>
      </c>
      <c r="I108" s="6">
        <f t="shared" si="275"/>
        <v>12270.369999999999</v>
      </c>
      <c r="J108" s="6">
        <f>J69</f>
        <v>15013.771000000004</v>
      </c>
      <c r="K108" s="6">
        <f>K69</f>
        <v>21993.895999999993</v>
      </c>
      <c r="L108" s="6">
        <f>L69</f>
        <v>40245.664000000019</v>
      </c>
      <c r="M108" s="6"/>
      <c r="N108" s="40"/>
      <c r="O108" s="40"/>
      <c r="P108" s="97"/>
      <c r="Q108" s="40"/>
      <c r="R108" s="40"/>
      <c r="S108" s="40"/>
      <c r="T108" s="40"/>
      <c r="U108" s="40"/>
      <c r="V108" s="40"/>
      <c r="W108" s="40"/>
      <c r="X108" s="40"/>
      <c r="Y108" s="40"/>
      <c r="Z108" s="40"/>
      <c r="AA108" s="40"/>
      <c r="AB108" s="6">
        <f t="shared" ref="AB108:AL108" si="276">SUM(Y69:AB69)</f>
        <v>4140.3999999999996</v>
      </c>
      <c r="AC108" s="6">
        <f t="shared" si="276"/>
        <v>4215.115260111892</v>
      </c>
      <c r="AD108" s="6">
        <f t="shared" si="276"/>
        <v>4249.5993192785236</v>
      </c>
      <c r="AE108" s="6">
        <f t="shared" si="276"/>
        <v>4306.5993192785227</v>
      </c>
      <c r="AF108" s="6">
        <f t="shared" si="276"/>
        <v>4619.4993192785241</v>
      </c>
      <c r="AG108" s="6">
        <f t="shared" si="276"/>
        <v>5017.9840591666316</v>
      </c>
      <c r="AH108" s="6">
        <f t="shared" si="276"/>
        <v>5445.7000000000007</v>
      </c>
      <c r="AI108" s="6">
        <f t="shared" si="276"/>
        <v>5860.4</v>
      </c>
      <c r="AJ108" s="6">
        <f t="shared" si="276"/>
        <v>6228.1999999999989</v>
      </c>
      <c r="AK108" s="6">
        <f t="shared" si="276"/>
        <v>6850.0999999999985</v>
      </c>
      <c r="AL108" s="6">
        <f t="shared" si="276"/>
        <v>7527.199999999998</v>
      </c>
      <c r="AM108" s="6">
        <f t="shared" ref="AM108:BG108" si="277">SUM(AJ69:AM69)</f>
        <v>8287.6729999999989</v>
      </c>
      <c r="AN108" s="6">
        <f t="shared" si="277"/>
        <v>8788.007999999998</v>
      </c>
      <c r="AO108" s="6">
        <f t="shared" si="277"/>
        <v>9047.2079999999987</v>
      </c>
      <c r="AP108" s="6">
        <f t="shared" si="277"/>
        <v>9465.9080000000013</v>
      </c>
      <c r="AQ108" s="6">
        <f t="shared" si="277"/>
        <v>9911.8349999999991</v>
      </c>
      <c r="AR108" s="6">
        <f t="shared" si="277"/>
        <v>10426.400000000001</v>
      </c>
      <c r="AS108" s="6">
        <f t="shared" si="277"/>
        <v>10954.400000000001</v>
      </c>
      <c r="AT108" s="6">
        <f t="shared" si="277"/>
        <v>11225.8</v>
      </c>
      <c r="AU108" s="6">
        <f t="shared" si="277"/>
        <v>11781.027</v>
      </c>
      <c r="AV108" s="6">
        <f t="shared" si="277"/>
        <v>12270.37</v>
      </c>
      <c r="AW108" s="6">
        <f t="shared" si="277"/>
        <v>12767.770000000002</v>
      </c>
      <c r="AX108" s="6">
        <f t="shared" si="277"/>
        <v>13409.570000000003</v>
      </c>
      <c r="AY108" s="6">
        <f t="shared" si="277"/>
        <v>14045.476000000002</v>
      </c>
      <c r="AZ108" s="6">
        <f t="shared" si="277"/>
        <v>15013.771000000004</v>
      </c>
      <c r="BA108" s="6">
        <f t="shared" si="277"/>
        <v>16027.451000000003</v>
      </c>
      <c r="BB108" s="6">
        <f t="shared" si="277"/>
        <v>17591.551000000003</v>
      </c>
      <c r="BC108" s="6">
        <f t="shared" si="277"/>
        <v>19551.989000000001</v>
      </c>
      <c r="BD108" s="6">
        <f t="shared" si="277"/>
        <v>21993.896000000001</v>
      </c>
      <c r="BE108" s="6">
        <f t="shared" si="277"/>
        <v>30429.917000000005</v>
      </c>
      <c r="BF108" s="6">
        <f t="shared" si="277"/>
        <v>34922.326999999997</v>
      </c>
      <c r="BG108" s="6">
        <f t="shared" si="277"/>
        <v>40245.663999999997</v>
      </c>
    </row>
    <row r="109" spans="1:60" s="5" customFormat="1" ht="13.5" customHeight="1">
      <c r="B109" s="1" t="s">
        <v>488</v>
      </c>
      <c r="C109" s="6">
        <f t="shared" ref="C109:I109" si="278">C76</f>
        <v>3785.7239999999993</v>
      </c>
      <c r="D109" s="6">
        <f t="shared" si="278"/>
        <v>4164.4239999999991</v>
      </c>
      <c r="E109" s="6">
        <f t="shared" si="278"/>
        <v>4649.8139999999994</v>
      </c>
      <c r="F109" s="6">
        <f t="shared" si="278"/>
        <v>6264.5799999999972</v>
      </c>
      <c r="G109" s="6">
        <f t="shared" si="278"/>
        <v>8788.007999999998</v>
      </c>
      <c r="H109" s="6">
        <f t="shared" si="278"/>
        <v>10426.400000000001</v>
      </c>
      <c r="I109" s="6">
        <f t="shared" si="278"/>
        <v>12270.369999999999</v>
      </c>
      <c r="J109" s="6">
        <f>J76</f>
        <v>15013.771000000004</v>
      </c>
      <c r="K109" s="6">
        <f>K76</f>
        <v>21993.895999999993</v>
      </c>
      <c r="L109" s="6">
        <f>L76</f>
        <v>40245.664000000019</v>
      </c>
      <c r="M109" s="6"/>
      <c r="N109" s="40"/>
      <c r="O109" s="6"/>
      <c r="P109" s="108"/>
      <c r="Q109" s="6"/>
      <c r="R109" s="6"/>
      <c r="S109" s="6"/>
      <c r="T109" s="6"/>
      <c r="U109" s="6"/>
      <c r="V109" s="6"/>
      <c r="W109" s="6"/>
      <c r="X109" s="6"/>
      <c r="Y109" s="6"/>
      <c r="Z109" s="6"/>
      <c r="AA109" s="6"/>
      <c r="AB109" s="6"/>
      <c r="AC109" s="6"/>
      <c r="AD109" s="6"/>
      <c r="AE109" s="40"/>
      <c r="AF109" s="6">
        <f t="shared" ref="AF109:AL109" si="279">SUM(AC76:AF76)</f>
        <v>4649.8133192785244</v>
      </c>
      <c r="AG109" s="6">
        <f t="shared" si="279"/>
        <v>5049.789559166632</v>
      </c>
      <c r="AH109" s="6">
        <f t="shared" si="279"/>
        <v>5478.9970000000003</v>
      </c>
      <c r="AI109" s="6">
        <f t="shared" si="279"/>
        <v>5895.1885000000002</v>
      </c>
      <c r="AJ109" s="6">
        <f t="shared" si="279"/>
        <v>6264.4799999999987</v>
      </c>
      <c r="AK109" s="6">
        <f t="shared" si="279"/>
        <v>6877.3099999999977</v>
      </c>
      <c r="AL109" s="6">
        <f t="shared" si="279"/>
        <v>7545.3399999999974</v>
      </c>
      <c r="AM109" s="6">
        <f t="shared" ref="AM109:BG109" si="280">SUM(AJ76:AM76)</f>
        <v>8296.7429999999986</v>
      </c>
      <c r="AN109" s="6">
        <f t="shared" si="280"/>
        <v>8788.007999999998</v>
      </c>
      <c r="AO109" s="6">
        <f t="shared" si="280"/>
        <v>9047.2079999999987</v>
      </c>
      <c r="AP109" s="6">
        <f t="shared" si="280"/>
        <v>9465.9080000000013</v>
      </c>
      <c r="AQ109" s="6">
        <f t="shared" si="280"/>
        <v>9911.8349999999991</v>
      </c>
      <c r="AR109" s="6">
        <f t="shared" si="280"/>
        <v>10426.400000000001</v>
      </c>
      <c r="AS109" s="6">
        <f t="shared" si="280"/>
        <v>10954.400000000001</v>
      </c>
      <c r="AT109" s="6">
        <f t="shared" si="280"/>
        <v>11225.8</v>
      </c>
      <c r="AU109" s="6">
        <f t="shared" si="280"/>
        <v>11781.027</v>
      </c>
      <c r="AV109" s="6">
        <f t="shared" si="280"/>
        <v>12270.37</v>
      </c>
      <c r="AW109" s="6">
        <f t="shared" si="280"/>
        <v>12767.770000000002</v>
      </c>
      <c r="AX109" s="6">
        <f t="shared" si="280"/>
        <v>13409.570000000003</v>
      </c>
      <c r="AY109" s="6">
        <f t="shared" si="280"/>
        <v>14045.476000000002</v>
      </c>
      <c r="AZ109" s="6">
        <f t="shared" si="280"/>
        <v>15013.771000000004</v>
      </c>
      <c r="BA109" s="6">
        <f t="shared" si="280"/>
        <v>16027.451000000003</v>
      </c>
      <c r="BB109" s="6">
        <f t="shared" si="280"/>
        <v>17591.551000000003</v>
      </c>
      <c r="BC109" s="6">
        <f t="shared" si="280"/>
        <v>19551.989000000001</v>
      </c>
      <c r="BD109" s="6">
        <f t="shared" si="280"/>
        <v>21993.896000000001</v>
      </c>
      <c r="BE109" s="6">
        <f t="shared" si="280"/>
        <v>30429.917000000005</v>
      </c>
      <c r="BF109" s="6">
        <f t="shared" si="280"/>
        <v>34922.326999999997</v>
      </c>
      <c r="BG109" s="6">
        <f t="shared" si="280"/>
        <v>40245.663999999997</v>
      </c>
    </row>
    <row r="110" spans="1:60" s="5" customFormat="1" ht="13.5" customHeight="1">
      <c r="B110" s="1" t="s">
        <v>489</v>
      </c>
      <c r="C110" s="6">
        <f t="shared" ref="C110:I110" si="281">C74</f>
        <v>23.923999999999999</v>
      </c>
      <c r="D110" s="6">
        <f t="shared" si="281"/>
        <v>23.923999999999999</v>
      </c>
      <c r="E110" s="6">
        <f t="shared" si="281"/>
        <v>30.314</v>
      </c>
      <c r="F110" s="6">
        <f t="shared" si="281"/>
        <v>36.28</v>
      </c>
      <c r="G110" s="6">
        <f t="shared" si="281"/>
        <v>0</v>
      </c>
      <c r="H110" s="6">
        <f t="shared" si="281"/>
        <v>0</v>
      </c>
      <c r="I110" s="6">
        <f t="shared" si="281"/>
        <v>0</v>
      </c>
      <c r="J110" s="6">
        <f>J74</f>
        <v>0</v>
      </c>
      <c r="K110" s="6">
        <f>K74</f>
        <v>0</v>
      </c>
      <c r="L110" s="6">
        <f>L74</f>
        <v>0</v>
      </c>
      <c r="M110" s="6"/>
      <c r="N110" s="40"/>
      <c r="O110" s="6"/>
      <c r="P110" s="108"/>
      <c r="Q110" s="6"/>
      <c r="R110" s="6"/>
      <c r="S110" s="6"/>
      <c r="T110" s="6"/>
      <c r="U110" s="6"/>
      <c r="V110" s="6"/>
      <c r="W110" s="6"/>
      <c r="X110" s="6"/>
      <c r="Y110" s="6"/>
      <c r="Z110" s="6"/>
      <c r="AA110" s="6"/>
      <c r="AB110" s="6"/>
      <c r="AC110" s="6"/>
      <c r="AD110" s="6"/>
      <c r="AE110" s="40"/>
      <c r="AF110" s="6">
        <f t="shared" ref="AF110:AL110" si="282">SUM(AC74:AF74)</f>
        <v>30.314</v>
      </c>
      <c r="AG110" s="6">
        <f t="shared" si="282"/>
        <v>31.805500000000002</v>
      </c>
      <c r="AH110" s="6">
        <f t="shared" si="282"/>
        <v>33.296999999999997</v>
      </c>
      <c r="AI110" s="6">
        <f t="shared" si="282"/>
        <v>34.788499999999999</v>
      </c>
      <c r="AJ110" s="6">
        <f t="shared" si="282"/>
        <v>36.28</v>
      </c>
      <c r="AK110" s="6">
        <f t="shared" si="282"/>
        <v>27.21</v>
      </c>
      <c r="AL110" s="6">
        <f t="shared" si="282"/>
        <v>18.14</v>
      </c>
      <c r="AM110" s="6">
        <f t="shared" ref="AM110:BG110" si="283">SUM(AJ74:AM74)</f>
        <v>9.07</v>
      </c>
      <c r="AN110" s="6">
        <f t="shared" si="283"/>
        <v>0</v>
      </c>
      <c r="AO110" s="6">
        <f t="shared" si="283"/>
        <v>0</v>
      </c>
      <c r="AP110" s="6">
        <f t="shared" si="283"/>
        <v>0</v>
      </c>
      <c r="AQ110" s="6">
        <f t="shared" si="283"/>
        <v>0</v>
      </c>
      <c r="AR110" s="6">
        <f t="shared" si="283"/>
        <v>0</v>
      </c>
      <c r="AS110" s="6">
        <f t="shared" si="283"/>
        <v>0</v>
      </c>
      <c r="AT110" s="6">
        <f t="shared" si="283"/>
        <v>0</v>
      </c>
      <c r="AU110" s="6">
        <f t="shared" si="283"/>
        <v>0</v>
      </c>
      <c r="AV110" s="6">
        <f t="shared" si="283"/>
        <v>0</v>
      </c>
      <c r="AW110" s="6">
        <f t="shared" si="283"/>
        <v>0</v>
      </c>
      <c r="AX110" s="6">
        <f t="shared" si="283"/>
        <v>0</v>
      </c>
      <c r="AY110" s="6">
        <f t="shared" si="283"/>
        <v>0</v>
      </c>
      <c r="AZ110" s="6">
        <f t="shared" si="283"/>
        <v>0</v>
      </c>
      <c r="BA110" s="6">
        <f t="shared" si="283"/>
        <v>0</v>
      </c>
      <c r="BB110" s="6">
        <f t="shared" si="283"/>
        <v>0</v>
      </c>
      <c r="BC110" s="6">
        <f t="shared" si="283"/>
        <v>0</v>
      </c>
      <c r="BD110" s="6">
        <f t="shared" si="283"/>
        <v>0</v>
      </c>
      <c r="BE110" s="6">
        <f t="shared" si="283"/>
        <v>0</v>
      </c>
      <c r="BF110" s="6">
        <f t="shared" si="283"/>
        <v>0</v>
      </c>
      <c r="BG110" s="6">
        <f t="shared" si="283"/>
        <v>0</v>
      </c>
    </row>
    <row r="111" spans="1:60" ht="13.5" customHeight="1">
      <c r="B111" s="1" t="s">
        <v>465</v>
      </c>
      <c r="C111" s="6">
        <f t="shared" ref="C111:I111" si="284">-C83</f>
        <v>94.106999999999999</v>
      </c>
      <c r="D111" s="6">
        <f t="shared" si="284"/>
        <v>153.529</v>
      </c>
      <c r="E111" s="6">
        <f t="shared" si="284"/>
        <v>434.52100000000002</v>
      </c>
      <c r="F111" s="6">
        <f t="shared" si="284"/>
        <v>909.88099999999997</v>
      </c>
      <c r="G111" s="6">
        <f t="shared" si="284"/>
        <v>1658.308</v>
      </c>
      <c r="H111" s="6">
        <f t="shared" si="284"/>
        <v>2090.7179999999998</v>
      </c>
      <c r="I111" s="6">
        <f t="shared" si="284"/>
        <v>1653.675</v>
      </c>
      <c r="J111" s="6">
        <f>-J83</f>
        <v>1822.8150000000001</v>
      </c>
      <c r="K111" s="6">
        <f>-K83</f>
        <v>3087.2339999999999</v>
      </c>
      <c r="L111" s="6">
        <f>-L83</f>
        <v>4495.5859999999993</v>
      </c>
      <c r="M111" s="6"/>
      <c r="N111" s="40"/>
      <c r="O111" s="40"/>
      <c r="P111" s="97"/>
      <c r="Q111" s="40"/>
      <c r="R111" s="40"/>
      <c r="S111" s="40"/>
      <c r="T111" s="40"/>
      <c r="U111" s="40"/>
      <c r="V111" s="40"/>
      <c r="W111" s="40"/>
      <c r="X111" s="40"/>
      <c r="Y111" s="40"/>
      <c r="Z111" s="40"/>
      <c r="AA111" s="40"/>
      <c r="AB111" s="40"/>
      <c r="AC111" s="40"/>
      <c r="AD111" s="40"/>
      <c r="AE111" s="40"/>
      <c r="AF111" s="6">
        <f t="shared" ref="AF111:AL111" si="285">-SUM(AC83:AF83)</f>
        <v>434.52100000000002</v>
      </c>
      <c r="AG111" s="6">
        <f t="shared" si="285"/>
        <v>499.09300000000002</v>
      </c>
      <c r="AH111" s="6">
        <f t="shared" si="285"/>
        <v>691.23599999999999</v>
      </c>
      <c r="AI111" s="6">
        <f t="shared" si="285"/>
        <v>740.46199999999999</v>
      </c>
      <c r="AJ111" s="6">
        <f t="shared" si="285"/>
        <v>909.88099999999997</v>
      </c>
      <c r="AK111" s="6">
        <f t="shared" si="285"/>
        <v>978.49199999999996</v>
      </c>
      <c r="AL111" s="6">
        <f t="shared" si="285"/>
        <v>1074.6179999999999</v>
      </c>
      <c r="AM111" s="6">
        <f t="shared" ref="AM111:BG111" si="286">-SUM(AJ83:AM83)</f>
        <v>1180.0810000000001</v>
      </c>
      <c r="AN111" s="6">
        <f t="shared" si="286"/>
        <v>1658.308</v>
      </c>
      <c r="AO111" s="6">
        <f t="shared" si="286"/>
        <v>2120.3510000000001</v>
      </c>
      <c r="AP111" s="6">
        <f t="shared" si="286"/>
        <v>2112.9230000000002</v>
      </c>
      <c r="AQ111" s="6">
        <f t="shared" si="286"/>
        <v>2227.1900000000005</v>
      </c>
      <c r="AR111" s="6">
        <f t="shared" si="286"/>
        <v>2090.7179999999998</v>
      </c>
      <c r="AS111" s="6">
        <f t="shared" si="286"/>
        <v>1634.5299999999997</v>
      </c>
      <c r="AT111" s="6">
        <f t="shared" si="286"/>
        <v>1916.4509999999996</v>
      </c>
      <c r="AU111" s="6">
        <f t="shared" si="286"/>
        <v>1933.2429999999995</v>
      </c>
      <c r="AV111" s="6">
        <f t="shared" si="286"/>
        <v>1653.675</v>
      </c>
      <c r="AW111" s="6">
        <f t="shared" si="286"/>
        <v>1592.2789999999998</v>
      </c>
      <c r="AX111" s="6">
        <f t="shared" si="286"/>
        <v>1670.2489999999998</v>
      </c>
      <c r="AY111" s="6">
        <f t="shared" si="286"/>
        <v>1522.74</v>
      </c>
      <c r="AZ111" s="6">
        <f t="shared" si="286"/>
        <v>1822.8150000000001</v>
      </c>
      <c r="BA111" s="6">
        <f t="shared" si="286"/>
        <v>1965.6980000000001</v>
      </c>
      <c r="BB111" s="6">
        <f t="shared" si="286"/>
        <v>2443.7400000000002</v>
      </c>
      <c r="BC111" s="6">
        <f t="shared" si="286"/>
        <v>2523.0870000000004</v>
      </c>
      <c r="BD111" s="6">
        <f t="shared" si="286"/>
        <v>3087.2339999999995</v>
      </c>
      <c r="BE111" s="6">
        <f t="shared" si="286"/>
        <v>3296.3299999999995</v>
      </c>
      <c r="BF111" s="6">
        <f t="shared" si="286"/>
        <v>4473.8389999999999</v>
      </c>
      <c r="BG111" s="6">
        <f t="shared" si="286"/>
        <v>4495.5859999999993</v>
      </c>
    </row>
    <row r="112" spans="1:60" ht="13.5" customHeight="1">
      <c r="B112" s="1" t="s">
        <v>490</v>
      </c>
      <c r="C112" s="6">
        <f t="shared" ref="C112:I112" si="287">C35</f>
        <v>1864.6999999999989</v>
      </c>
      <c r="D112" s="6">
        <f t="shared" si="287"/>
        <v>2067.6999999999994</v>
      </c>
      <c r="E112" s="6">
        <f t="shared" si="287"/>
        <v>1492.0999999999995</v>
      </c>
      <c r="F112" s="6">
        <f t="shared" si="287"/>
        <v>1979.0999999999983</v>
      </c>
      <c r="G112" s="6">
        <f t="shared" si="287"/>
        <v>2021.0229999999979</v>
      </c>
      <c r="H112" s="6">
        <f t="shared" si="287"/>
        <v>3246.5000000000009</v>
      </c>
      <c r="I112" s="6">
        <f t="shared" si="287"/>
        <v>4237.1579999999994</v>
      </c>
      <c r="J112" s="6">
        <f>J35</f>
        <v>5031.0560000000032</v>
      </c>
      <c r="K112" s="6">
        <f>K35</f>
        <v>11051.329999999994</v>
      </c>
      <c r="L112" s="6">
        <f>L35</f>
        <v>23450.633000000016</v>
      </c>
      <c r="M112" s="6"/>
      <c r="N112" s="40"/>
      <c r="O112" s="40"/>
      <c r="P112" s="97"/>
      <c r="Q112" s="40"/>
      <c r="R112" s="40"/>
      <c r="S112" s="40"/>
      <c r="T112" s="40"/>
      <c r="U112" s="40"/>
      <c r="V112" s="40"/>
      <c r="W112" s="40"/>
      <c r="X112" s="40"/>
      <c r="Y112" s="40"/>
      <c r="Z112" s="40"/>
      <c r="AA112" s="40"/>
      <c r="AB112" s="40"/>
      <c r="AC112" s="40"/>
      <c r="AD112" s="40"/>
      <c r="AE112" s="40"/>
      <c r="AF112" s="6">
        <f t="shared" ref="AF112:AL112" si="288">SUM(AC35:AF35)</f>
        <v>1492.1000000000008</v>
      </c>
      <c r="AG112" s="6">
        <f t="shared" si="288"/>
        <v>1388.0000000000007</v>
      </c>
      <c r="AH112" s="6">
        <f t="shared" si="288"/>
        <v>1676.0000000000009</v>
      </c>
      <c r="AI112" s="6">
        <f t="shared" si="288"/>
        <v>2113.8999999999996</v>
      </c>
      <c r="AJ112" s="6">
        <f t="shared" si="288"/>
        <v>1979.099999999999</v>
      </c>
      <c r="AK112" s="6">
        <f t="shared" si="288"/>
        <v>2021.2999999999981</v>
      </c>
      <c r="AL112" s="6">
        <f t="shared" si="288"/>
        <v>1731.9999999999977</v>
      </c>
      <c r="AM112" s="6">
        <f t="shared" ref="AM112:BG112" si="289">SUM(AJ35:AM35)</f>
        <v>1372.8609999999983</v>
      </c>
      <c r="AN112" s="6">
        <f t="shared" si="289"/>
        <v>2021.0229999999974</v>
      </c>
      <c r="AO112" s="6">
        <f t="shared" si="289"/>
        <v>2744.6229999999987</v>
      </c>
      <c r="AP112" s="6">
        <f t="shared" si="289"/>
        <v>2794.9229999999993</v>
      </c>
      <c r="AQ112" s="6">
        <f t="shared" si="289"/>
        <v>3354.7619999999979</v>
      </c>
      <c r="AR112" s="6">
        <f t="shared" si="289"/>
        <v>3246.5000000000005</v>
      </c>
      <c r="AS112" s="6">
        <f t="shared" si="289"/>
        <v>2894.9</v>
      </c>
      <c r="AT112" s="6">
        <f t="shared" si="289"/>
        <v>3281.3999999999987</v>
      </c>
      <c r="AU112" s="6">
        <f t="shared" si="289"/>
        <v>3690.8439999999991</v>
      </c>
      <c r="AV112" s="6">
        <f t="shared" si="289"/>
        <v>4237.1580000000004</v>
      </c>
      <c r="AW112" s="6">
        <f t="shared" si="289"/>
        <v>4469.2580000000007</v>
      </c>
      <c r="AX112" s="6">
        <f t="shared" si="289"/>
        <v>4730.2580000000016</v>
      </c>
      <c r="AY112" s="6">
        <f t="shared" si="289"/>
        <v>4948.728000000001</v>
      </c>
      <c r="AZ112" s="6">
        <f t="shared" si="289"/>
        <v>5031.056000000005</v>
      </c>
      <c r="BA112" s="6">
        <f t="shared" si="289"/>
        <v>4729.0500000000029</v>
      </c>
      <c r="BB112" s="6">
        <f t="shared" si="289"/>
        <v>5474.658000000004</v>
      </c>
      <c r="BC112" s="6">
        <f t="shared" si="289"/>
        <v>6441.3760000000057</v>
      </c>
      <c r="BD112" s="6">
        <f t="shared" si="289"/>
        <v>11051.330000000002</v>
      </c>
      <c r="BE112" s="6">
        <f t="shared" si="289"/>
        <v>19065.005000000001</v>
      </c>
      <c r="BF112" s="6">
        <f t="shared" si="289"/>
        <v>20368.080999999995</v>
      </c>
      <c r="BG112" s="6">
        <f t="shared" si="289"/>
        <v>23450.632999999998</v>
      </c>
    </row>
    <row r="113" spans="1:59" ht="13.5" customHeight="1">
      <c r="B113" s="1" t="s">
        <v>491</v>
      </c>
      <c r="C113" s="6">
        <f t="shared" ref="C113:I113" si="290">-C85</f>
        <v>1553.59</v>
      </c>
      <c r="D113" s="6">
        <f t="shared" si="290"/>
        <v>2135.3580000000002</v>
      </c>
      <c r="E113" s="6">
        <f t="shared" si="290"/>
        <v>2572.4009999999998</v>
      </c>
      <c r="F113" s="6">
        <f t="shared" si="290"/>
        <v>2937.1950000000002</v>
      </c>
      <c r="G113" s="6">
        <f t="shared" si="290"/>
        <v>2960.6480000000001</v>
      </c>
      <c r="H113" s="6">
        <f t="shared" si="290"/>
        <v>3195.069</v>
      </c>
      <c r="I113" s="6">
        <f t="shared" si="290"/>
        <v>3904.4430000000002</v>
      </c>
      <c r="J113" s="6">
        <f>-J85</f>
        <v>5568.3</v>
      </c>
      <c r="K113" s="6">
        <f>-K85</f>
        <v>7216.3</v>
      </c>
      <c r="L113" s="6">
        <f>-L85</f>
        <v>11035.52</v>
      </c>
      <c r="M113" s="6"/>
      <c r="N113" s="40"/>
      <c r="O113" s="40"/>
      <c r="P113" s="97"/>
      <c r="Q113" s="40"/>
      <c r="R113" s="40"/>
      <c r="S113" s="40"/>
      <c r="T113" s="40"/>
      <c r="U113" s="40"/>
      <c r="V113" s="40"/>
      <c r="W113" s="40"/>
      <c r="X113" s="40"/>
      <c r="Y113" s="40"/>
      <c r="Z113" s="40"/>
      <c r="AA113" s="40"/>
      <c r="AB113" s="40"/>
      <c r="AC113" s="40"/>
      <c r="AD113" s="40"/>
      <c r="AE113" s="40"/>
      <c r="AF113" s="6">
        <f t="shared" ref="AF113:AL113" si="291">-SUM(AC85:AF85)</f>
        <v>2572.4009999999998</v>
      </c>
      <c r="AG113" s="6">
        <f t="shared" si="291"/>
        <v>2368.3669999999997</v>
      </c>
      <c r="AH113" s="6">
        <f t="shared" si="291"/>
        <v>2159.7509999999997</v>
      </c>
      <c r="AI113" s="6">
        <f t="shared" si="291"/>
        <v>2394.8150000000001</v>
      </c>
      <c r="AJ113" s="6">
        <f t="shared" si="291"/>
        <v>2937.1950000000002</v>
      </c>
      <c r="AK113" s="6">
        <f t="shared" si="291"/>
        <v>3103.5460000000003</v>
      </c>
      <c r="AL113" s="6">
        <f t="shared" si="291"/>
        <v>3158.4410000000003</v>
      </c>
      <c r="AM113" s="6">
        <f t="shared" ref="AM113:BG113" si="292">-SUM(AJ85:AM85)</f>
        <v>3248.3500000000004</v>
      </c>
      <c r="AN113" s="6">
        <f t="shared" si="292"/>
        <v>2960.6480000000001</v>
      </c>
      <c r="AO113" s="6">
        <f t="shared" si="292"/>
        <v>2928.2139999999999</v>
      </c>
      <c r="AP113" s="6">
        <f t="shared" si="292"/>
        <v>3088.5099999999998</v>
      </c>
      <c r="AQ113" s="6">
        <f t="shared" si="292"/>
        <v>3061.0880000000002</v>
      </c>
      <c r="AR113" s="6">
        <f t="shared" si="292"/>
        <v>3195.069</v>
      </c>
      <c r="AS113" s="6">
        <f t="shared" si="292"/>
        <v>3152.502</v>
      </c>
      <c r="AT113" s="6">
        <f t="shared" si="292"/>
        <v>3327.2709999999997</v>
      </c>
      <c r="AU113" s="6">
        <f t="shared" si="292"/>
        <v>3735.6559999999999</v>
      </c>
      <c r="AV113" s="6">
        <f t="shared" si="292"/>
        <v>3904.4430000000002</v>
      </c>
      <c r="AW113" s="6">
        <f t="shared" si="292"/>
        <v>4456.5480000000007</v>
      </c>
      <c r="AX113" s="6">
        <f t="shared" si="292"/>
        <v>4976.6220000000003</v>
      </c>
      <c r="AY113" s="6">
        <f t="shared" si="292"/>
        <v>4758.496000000001</v>
      </c>
      <c r="AZ113" s="6">
        <f t="shared" si="292"/>
        <v>5568.2999999999993</v>
      </c>
      <c r="BA113" s="6">
        <f t="shared" si="292"/>
        <v>5685.9839999999995</v>
      </c>
      <c r="BB113" s="6">
        <f t="shared" si="292"/>
        <v>5784.6409999999996</v>
      </c>
      <c r="BC113" s="6">
        <f t="shared" si="292"/>
        <v>6341.6539999999995</v>
      </c>
      <c r="BD113" s="6">
        <f t="shared" si="292"/>
        <v>7216.3</v>
      </c>
      <c r="BE113" s="6">
        <f t="shared" si="292"/>
        <v>8305.2389999999996</v>
      </c>
      <c r="BF113" s="6">
        <f t="shared" si="292"/>
        <v>9575.1409999999996</v>
      </c>
      <c r="BG113" s="6">
        <f t="shared" si="292"/>
        <v>11035.52</v>
      </c>
    </row>
    <row r="114" spans="1:59" ht="13.5" customHeight="1">
      <c r="B114" s="1" t="s">
        <v>472</v>
      </c>
      <c r="C114" s="6">
        <f t="shared" ref="C114:I114" si="293">C90</f>
        <v>1181.8469999999991</v>
      </c>
      <c r="D114" s="6">
        <f t="shared" si="293"/>
        <v>-797.52900000000113</v>
      </c>
      <c r="E114" s="6">
        <f t="shared" si="293"/>
        <v>-485.48500000000081</v>
      </c>
      <c r="F114" s="6">
        <f t="shared" si="293"/>
        <v>1387.0059999999967</v>
      </c>
      <c r="G114" s="6">
        <f t="shared" si="293"/>
        <v>683.10099999999738</v>
      </c>
      <c r="H114" s="6">
        <f t="shared" si="293"/>
        <v>3380.7180000000026</v>
      </c>
      <c r="I114" s="6">
        <f t="shared" si="293"/>
        <v>2645.5090000000005</v>
      </c>
      <c r="J114" s="6">
        <f>J90</f>
        <v>1735.4880000000044</v>
      </c>
      <c r="K114" s="6">
        <f>K90</f>
        <v>-2019.3120000000044</v>
      </c>
      <c r="L114" s="6">
        <f>L90</f>
        <v>4805.1710000000185</v>
      </c>
      <c r="M114" s="6"/>
      <c r="N114" s="40"/>
      <c r="O114" s="40"/>
      <c r="P114" s="97"/>
      <c r="Q114" s="40"/>
      <c r="R114" s="40"/>
      <c r="S114" s="40"/>
      <c r="T114" s="40"/>
      <c r="U114" s="40"/>
      <c r="V114" s="40"/>
      <c r="W114" s="40"/>
      <c r="X114" s="40"/>
      <c r="Y114" s="40"/>
      <c r="Z114" s="40"/>
      <c r="AA114" s="40"/>
      <c r="AB114" s="40"/>
      <c r="AC114" s="40"/>
      <c r="AD114" s="40"/>
      <c r="AE114" s="40"/>
      <c r="AF114" s="6">
        <f t="shared" ref="AF114:AL114" si="294">SUM(AC90:AF90)</f>
        <v>-485.48568072147589</v>
      </c>
      <c r="AG114" s="6">
        <f t="shared" si="294"/>
        <v>323.635059166632</v>
      </c>
      <c r="AH114" s="6">
        <f t="shared" si="294"/>
        <v>1194.1760000000011</v>
      </c>
      <c r="AI114" s="6">
        <f t="shared" si="294"/>
        <v>554.05700000000127</v>
      </c>
      <c r="AJ114" s="6">
        <f t="shared" si="294"/>
        <v>1386.905999999999</v>
      </c>
      <c r="AK114" s="6">
        <f t="shared" si="294"/>
        <v>124.43799999999834</v>
      </c>
      <c r="AL114" s="6">
        <f t="shared" si="294"/>
        <v>1254.0849999999975</v>
      </c>
      <c r="AM114" s="6">
        <f t="shared" ref="AM114:BG114" si="295">SUM(AJ90:AM90)</f>
        <v>706.13999999999817</v>
      </c>
      <c r="AN114" s="6">
        <f t="shared" si="295"/>
        <v>683.10099999999795</v>
      </c>
      <c r="AO114" s="6">
        <f t="shared" si="295"/>
        <v>141.42999999999859</v>
      </c>
      <c r="AP114" s="6">
        <f t="shared" si="295"/>
        <v>2919.5329999999999</v>
      </c>
      <c r="AQ114" s="6">
        <f t="shared" si="295"/>
        <v>3233.6879999999978</v>
      </c>
      <c r="AR114" s="6">
        <f t="shared" si="295"/>
        <v>3380.7179999999998</v>
      </c>
      <c r="AS114" s="6">
        <f t="shared" si="295"/>
        <v>4458.9590000000007</v>
      </c>
      <c r="AT114" s="6">
        <f t="shared" si="295"/>
        <v>1764.2089999999996</v>
      </c>
      <c r="AU114" s="6">
        <f t="shared" si="295"/>
        <v>2739.5589999999993</v>
      </c>
      <c r="AV114" s="6">
        <f t="shared" si="295"/>
        <v>2645.5090000000014</v>
      </c>
      <c r="AW114" s="6">
        <f t="shared" si="295"/>
        <v>3191.7680000000023</v>
      </c>
      <c r="AX114" s="6">
        <f t="shared" si="295"/>
        <v>3015.7570000000019</v>
      </c>
      <c r="AY114" s="6">
        <f t="shared" si="295"/>
        <v>2457.1050000000032</v>
      </c>
      <c r="AZ114" s="6">
        <f t="shared" si="295"/>
        <v>1735.4880000000044</v>
      </c>
      <c r="BA114" s="6">
        <f t="shared" si="295"/>
        <v>-8.4219999999988886</v>
      </c>
      <c r="BB114" s="6">
        <f t="shared" si="295"/>
        <v>-3649.0519999999983</v>
      </c>
      <c r="BC114" s="6">
        <f t="shared" si="295"/>
        <v>-3674.7069999999976</v>
      </c>
      <c r="BD114" s="6">
        <f t="shared" si="295"/>
        <v>-2019.3119999999954</v>
      </c>
      <c r="BE114" s="6">
        <f t="shared" si="295"/>
        <v>4688.9160000000084</v>
      </c>
      <c r="BF114" s="6">
        <f t="shared" si="295"/>
        <v>3839.323000000003</v>
      </c>
      <c r="BG114" s="6">
        <f t="shared" si="295"/>
        <v>4805.1710000000021</v>
      </c>
    </row>
    <row r="115" spans="1:59" ht="13.5" customHeight="1">
      <c r="C115" s="6"/>
      <c r="D115" s="6"/>
      <c r="E115" s="6"/>
      <c r="F115" s="6"/>
      <c r="G115" s="6"/>
      <c r="H115" s="6"/>
      <c r="I115" s="6"/>
      <c r="J115" s="6"/>
      <c r="K115" s="6"/>
      <c r="L115" s="6"/>
      <c r="M115" s="6"/>
      <c r="N115" s="40"/>
      <c r="O115" s="6"/>
      <c r="P115" s="108"/>
      <c r="Q115" s="6"/>
      <c r="R115" s="6"/>
      <c r="S115" s="6"/>
      <c r="T115" s="6"/>
      <c r="U115" s="6"/>
      <c r="V115" s="6"/>
      <c r="W115" s="6"/>
      <c r="X115" s="6"/>
      <c r="Y115" s="6"/>
      <c r="Z115" s="6"/>
      <c r="AA115" s="6"/>
      <c r="AB115" s="6"/>
      <c r="AC115" s="6"/>
      <c r="AG115" s="6"/>
      <c r="AH115" s="6"/>
      <c r="AK115" s="6"/>
      <c r="AL115" s="6"/>
      <c r="AO115" s="6"/>
      <c r="AP115" s="6"/>
      <c r="AQ115" s="6"/>
      <c r="AR115" s="6"/>
      <c r="AS115" s="6"/>
      <c r="AT115" s="6"/>
      <c r="AU115" s="6"/>
      <c r="AV115" s="6"/>
      <c r="AW115" s="6"/>
      <c r="AX115" s="6"/>
      <c r="AY115" s="6"/>
      <c r="AZ115" s="6"/>
      <c r="BA115" s="6"/>
      <c r="BB115" s="6"/>
      <c r="BC115" s="6"/>
      <c r="BD115" s="6"/>
      <c r="BE115" s="6"/>
      <c r="BF115" s="6"/>
      <c r="BG115" s="6"/>
    </row>
    <row r="116" spans="1:59" ht="13.5" customHeight="1">
      <c r="A116" s="27"/>
      <c r="B116" s="17" t="s">
        <v>492</v>
      </c>
      <c r="C116" s="48">
        <f>+C2</f>
        <v>41975</v>
      </c>
      <c r="D116" s="48">
        <f t="shared" ref="D116:AL116" si="296">+D2</f>
        <v>42341</v>
      </c>
      <c r="E116" s="48">
        <f t="shared" si="296"/>
        <v>42705</v>
      </c>
      <c r="F116" s="48">
        <f t="shared" si="296"/>
        <v>43070</v>
      </c>
      <c r="G116" s="48">
        <f t="shared" si="296"/>
        <v>43435</v>
      </c>
      <c r="H116" s="48">
        <f>+H2</f>
        <v>43830</v>
      </c>
      <c r="I116" s="48">
        <f>+I2</f>
        <v>44196</v>
      </c>
      <c r="J116" s="48">
        <f>+J2</f>
        <v>44561</v>
      </c>
      <c r="K116" s="48">
        <f>+K2</f>
        <v>44926</v>
      </c>
      <c r="L116" s="48">
        <f t="shared" si="296"/>
        <v>45199</v>
      </c>
      <c r="M116" s="295" t="s">
        <v>397</v>
      </c>
      <c r="N116" s="48">
        <f t="shared" si="296"/>
        <v>43074</v>
      </c>
      <c r="O116" s="48">
        <f t="shared" si="296"/>
        <v>43440</v>
      </c>
      <c r="P116" s="96">
        <f t="shared" si="296"/>
        <v>43806</v>
      </c>
      <c r="Q116" s="48">
        <f t="shared" si="296"/>
        <v>41341</v>
      </c>
      <c r="R116" s="48">
        <f t="shared" si="296"/>
        <v>41431</v>
      </c>
      <c r="S116" s="48">
        <f t="shared" si="296"/>
        <v>41526</v>
      </c>
      <c r="T116" s="48">
        <f t="shared" si="296"/>
        <v>41618</v>
      </c>
      <c r="U116" s="48">
        <f t="shared" si="296"/>
        <v>41705</v>
      </c>
      <c r="V116" s="48">
        <f t="shared" si="296"/>
        <v>41796</v>
      </c>
      <c r="W116" s="48">
        <f t="shared" si="296"/>
        <v>41891</v>
      </c>
      <c r="X116" s="48">
        <f t="shared" si="296"/>
        <v>41983</v>
      </c>
      <c r="Y116" s="48">
        <f t="shared" si="296"/>
        <v>42070</v>
      </c>
      <c r="Z116" s="48">
        <f t="shared" si="296"/>
        <v>42161</v>
      </c>
      <c r="AA116" s="48">
        <f t="shared" si="296"/>
        <v>42256</v>
      </c>
      <c r="AB116" s="48">
        <f t="shared" si="296"/>
        <v>42348</v>
      </c>
      <c r="AC116" s="48">
        <f t="shared" si="296"/>
        <v>42437</v>
      </c>
      <c r="AD116" s="48">
        <f t="shared" si="296"/>
        <v>42527</v>
      </c>
      <c r="AE116" s="48">
        <f t="shared" si="296"/>
        <v>42622</v>
      </c>
      <c r="AF116" s="48">
        <f t="shared" si="296"/>
        <v>42714</v>
      </c>
      <c r="AG116" s="48">
        <f t="shared" si="296"/>
        <v>42801</v>
      </c>
      <c r="AH116" s="48">
        <f t="shared" si="296"/>
        <v>42892</v>
      </c>
      <c r="AI116" s="48">
        <f t="shared" si="296"/>
        <v>42987</v>
      </c>
      <c r="AJ116" s="48">
        <f t="shared" si="296"/>
        <v>43079</v>
      </c>
      <c r="AK116" s="48">
        <f t="shared" si="296"/>
        <v>43190</v>
      </c>
      <c r="AL116" s="48">
        <f t="shared" si="296"/>
        <v>43281</v>
      </c>
      <c r="AM116" s="48">
        <f>AM2</f>
        <v>43373</v>
      </c>
      <c r="AN116" s="48">
        <f>AN2</f>
        <v>43465</v>
      </c>
      <c r="AO116" s="48">
        <f t="shared" ref="AO116:AT116" si="297">+AO2</f>
        <v>43555</v>
      </c>
      <c r="AP116" s="48">
        <f t="shared" si="297"/>
        <v>43646</v>
      </c>
      <c r="AQ116" s="48">
        <f t="shared" si="297"/>
        <v>43738</v>
      </c>
      <c r="AR116" s="48">
        <f t="shared" si="297"/>
        <v>43830</v>
      </c>
      <c r="AS116" s="48">
        <f t="shared" si="297"/>
        <v>43921</v>
      </c>
      <c r="AT116" s="48">
        <f t="shared" si="297"/>
        <v>44012</v>
      </c>
      <c r="AU116" s="48">
        <f t="shared" ref="AU116:AZ116" si="298">+AU2</f>
        <v>44104</v>
      </c>
      <c r="AV116" s="48">
        <f t="shared" si="298"/>
        <v>44196</v>
      </c>
      <c r="AW116" s="48">
        <f t="shared" si="298"/>
        <v>44286</v>
      </c>
      <c r="AX116" s="48">
        <f t="shared" si="298"/>
        <v>44377</v>
      </c>
      <c r="AY116" s="48">
        <f t="shared" si="298"/>
        <v>44469</v>
      </c>
      <c r="AZ116" s="48">
        <f t="shared" si="298"/>
        <v>44561</v>
      </c>
      <c r="BA116" s="48">
        <f t="shared" ref="BA116:BF116" si="299">+BA2</f>
        <v>44651</v>
      </c>
      <c r="BB116" s="48">
        <f t="shared" si="299"/>
        <v>44742</v>
      </c>
      <c r="BC116" s="48">
        <f t="shared" si="299"/>
        <v>44834</v>
      </c>
      <c r="BD116" s="48">
        <f t="shared" si="299"/>
        <v>44926</v>
      </c>
      <c r="BE116" s="48">
        <f t="shared" si="299"/>
        <v>45016</v>
      </c>
      <c r="BF116" s="48">
        <f t="shared" si="299"/>
        <v>45107</v>
      </c>
      <c r="BG116" s="48">
        <f>+BG2</f>
        <v>45199</v>
      </c>
    </row>
    <row r="117" spans="1:59" ht="13.5" customHeight="1">
      <c r="C117" s="173"/>
      <c r="D117" s="173"/>
      <c r="E117" s="173"/>
      <c r="F117" s="173"/>
      <c r="G117" s="173"/>
      <c r="H117" s="173"/>
      <c r="I117" s="173"/>
      <c r="J117" s="173"/>
      <c r="K117" s="173"/>
      <c r="L117" s="173"/>
      <c r="M117" s="186"/>
      <c r="N117" s="173"/>
      <c r="O117" s="173"/>
      <c r="P117" s="149"/>
      <c r="Q117" s="186"/>
      <c r="R117" s="186"/>
      <c r="S117" s="186"/>
      <c r="T117" s="186"/>
      <c r="U117" s="186"/>
      <c r="V117" s="186"/>
      <c r="W117" s="186"/>
      <c r="X117" s="186"/>
      <c r="Y117" s="186"/>
      <c r="Z117" s="186"/>
      <c r="AA117" s="186"/>
      <c r="AB117" s="186"/>
      <c r="AC117" s="4"/>
      <c r="AG117" s="4"/>
      <c r="AH117" s="4"/>
      <c r="AK117" s="4"/>
      <c r="AL117" s="186"/>
      <c r="AO117" s="4"/>
      <c r="AP117" s="4"/>
      <c r="AQ117" s="4"/>
      <c r="AR117" s="4"/>
      <c r="AS117" s="4"/>
      <c r="AT117" s="4"/>
      <c r="AU117" s="4"/>
      <c r="AV117" s="4"/>
      <c r="AW117" s="4"/>
      <c r="AX117" s="4"/>
      <c r="AY117" s="4"/>
      <c r="AZ117" s="4"/>
      <c r="BA117" s="4"/>
      <c r="BB117" s="4"/>
      <c r="BC117" s="4"/>
      <c r="BD117" s="4"/>
      <c r="BE117" s="4"/>
      <c r="BF117" s="4"/>
      <c r="BG117" s="4"/>
    </row>
    <row r="118" spans="1:59" s="5" customFormat="1" ht="13.5" customHeight="1">
      <c r="B118" s="1" t="s">
        <v>493</v>
      </c>
      <c r="C118" s="4">
        <f>5893.596+13.398</f>
        <v>5906.9939999999997</v>
      </c>
      <c r="D118" s="4">
        <f>6821.494+49.572</f>
        <v>6871.0659999999998</v>
      </c>
      <c r="E118" s="4">
        <f>8195.705+46.27</f>
        <v>8241.9750000000004</v>
      </c>
      <c r="F118" s="4">
        <f>9665.408+0.98</f>
        <v>9666.387999999999</v>
      </c>
      <c r="G118" s="4">
        <f>11116.316+15.425</f>
        <v>11131.741</v>
      </c>
      <c r="H118" s="4">
        <f>12458.491+1783.096+16.283</f>
        <v>14257.869999999999</v>
      </c>
      <c r="I118" s="4">
        <f>13902.73+2380.174+13.675</f>
        <v>16296.578999999998</v>
      </c>
      <c r="J118" s="4">
        <f>18002.779+2983.648+16.588</f>
        <v>21003.014999999999</v>
      </c>
      <c r="K118" s="4">
        <f>21904.044+3062.298+11.599</f>
        <v>24977.940999999999</v>
      </c>
      <c r="L118" s="6">
        <f>BG118</f>
        <v>32020.431</v>
      </c>
      <c r="M118" s="6"/>
      <c r="N118" s="4"/>
      <c r="O118" s="4"/>
      <c r="P118" s="110"/>
      <c r="Q118" s="4"/>
      <c r="R118" s="4"/>
      <c r="S118" s="4"/>
      <c r="T118" s="4"/>
      <c r="U118" s="4"/>
      <c r="V118" s="4"/>
      <c r="W118" s="4"/>
      <c r="X118" s="4"/>
      <c r="Y118" s="4"/>
      <c r="Z118" s="4"/>
      <c r="AA118" s="4"/>
      <c r="AB118" s="4"/>
      <c r="AC118" s="4">
        <f>7073.495+47.451</f>
        <v>7120.9459999999999</v>
      </c>
      <c r="AD118" s="4">
        <f>7535.381+45.29</f>
        <v>7580.6710000000003</v>
      </c>
      <c r="AE118" s="4">
        <f>7678.264+43.061</f>
        <v>7721.3249999999998</v>
      </c>
      <c r="AF118" s="6">
        <f>E118</f>
        <v>8241.9750000000004</v>
      </c>
      <c r="AG118" s="4">
        <f>8289.157+3.047</f>
        <v>8292.2039999999997</v>
      </c>
      <c r="AH118" s="4">
        <f>8442.49+2.333</f>
        <v>8444.8230000000003</v>
      </c>
      <c r="AI118" s="4">
        <f>8816.717+1.741</f>
        <v>8818.4580000000005</v>
      </c>
      <c r="AJ118" s="6">
        <f>F118</f>
        <v>9666.387999999999</v>
      </c>
      <c r="AK118" s="4">
        <f>9751.552+0.62</f>
        <v>9752.1720000000005</v>
      </c>
      <c r="AL118" s="4">
        <f>1055.897+16.853</f>
        <v>1072.75</v>
      </c>
      <c r="AM118" s="4">
        <f>10542.071+15.386</f>
        <v>10557.457</v>
      </c>
      <c r="AN118" s="276">
        <f>G118</f>
        <v>11131.741</v>
      </c>
      <c r="AO118" s="4">
        <f>11249.245+1663.102</f>
        <v>12912.347000000002</v>
      </c>
      <c r="AP118" s="4">
        <f>5545.632+1832.48</f>
        <v>7378.1119999999992</v>
      </c>
      <c r="AQ118" s="4">
        <f>11842.343+1807.899</f>
        <v>13650.242</v>
      </c>
      <c r="AR118" s="6">
        <f>H118</f>
        <v>14257.869999999999</v>
      </c>
      <c r="AS118" s="4">
        <f>12354.069+1768.537+12.926</f>
        <v>14135.531999999999</v>
      </c>
      <c r="AT118" s="4">
        <f>12774.937+1776.121+12.742</f>
        <v>14563.800000000001</v>
      </c>
      <c r="AU118" s="4">
        <f>13413.085+2347.744</f>
        <v>15760.829</v>
      </c>
      <c r="AV118" s="6">
        <f>I118</f>
        <v>16296.578999999998</v>
      </c>
      <c r="AW118" s="4">
        <f>14495.362+2484.994+13.447</f>
        <v>16993.803</v>
      </c>
      <c r="AX118" s="4">
        <f>15312.041+2357.563+13.22</f>
        <v>17682.824000000001</v>
      </c>
      <c r="AY118" s="4">
        <f>15984.827+2310.329+12.992</f>
        <v>18308.147999999997</v>
      </c>
      <c r="AZ118" s="6">
        <f t="shared" ref="AZ118:AZ123" si="300">J118</f>
        <v>21003.014999999999</v>
      </c>
      <c r="BA118" s="4">
        <f>(18406580+3103061+26384)/1000</f>
        <v>21536.025000000001</v>
      </c>
      <c r="BB118" s="4">
        <f>19394.577+3210.904+21.518</f>
        <v>22626.999</v>
      </c>
      <c r="BC118" s="4">
        <f>20.689+19593.455+3103.852</f>
        <v>22717.995999999999</v>
      </c>
      <c r="BD118" s="6">
        <f t="shared" ref="BD118:BD123" si="301">K118</f>
        <v>24977.940999999999</v>
      </c>
      <c r="BE118" s="4">
        <f>23243.813+3490.296+11.367</f>
        <v>26745.475999999995</v>
      </c>
      <c r="BF118" s="4">
        <f>26322.98+3791.369+11.613</f>
        <v>30125.962</v>
      </c>
      <c r="BG118" s="4">
        <f>13.912+28013.174+3993.345</f>
        <v>32020.431</v>
      </c>
    </row>
    <row r="119" spans="1:59" s="5" customFormat="1" ht="13.5" customHeight="1">
      <c r="B119" s="1" t="s">
        <v>494</v>
      </c>
      <c r="C119" s="43">
        <v>96.278000000000006</v>
      </c>
      <c r="D119" s="43">
        <v>114.869</v>
      </c>
      <c r="E119" s="43">
        <v>164.553</v>
      </c>
      <c r="F119" s="43">
        <v>197.666</v>
      </c>
      <c r="G119" s="43">
        <v>224.74700000000001</v>
      </c>
      <c r="H119" s="43">
        <v>294.33100000000002</v>
      </c>
      <c r="I119" s="43">
        <v>381.923</v>
      </c>
      <c r="J119" s="43">
        <v>614.61300000000006</v>
      </c>
      <c r="K119" s="43">
        <v>1790.0309999999999</v>
      </c>
      <c r="L119" s="6">
        <f>BG119</f>
        <v>1731.7529999999999</v>
      </c>
      <c r="M119" s="6"/>
      <c r="N119" s="43"/>
      <c r="O119" s="43"/>
      <c r="P119" s="158"/>
      <c r="Q119" s="43"/>
      <c r="R119" s="43"/>
      <c r="S119" s="43"/>
      <c r="T119" s="43"/>
      <c r="U119" s="43"/>
      <c r="V119" s="43"/>
      <c r="W119" s="43"/>
      <c r="X119" s="43"/>
      <c r="Y119" s="43"/>
      <c r="Z119" s="43"/>
      <c r="AA119" s="43"/>
      <c r="AB119" s="43"/>
      <c r="AC119" s="43">
        <v>122.628</v>
      </c>
      <c r="AD119" s="43">
        <v>131.77600000000001</v>
      </c>
      <c r="AE119" s="43">
        <v>127.62</v>
      </c>
      <c r="AF119" s="6">
        <f>E119</f>
        <v>164.553</v>
      </c>
      <c r="AG119" s="43">
        <v>174.81100000000001</v>
      </c>
      <c r="AH119" s="43">
        <v>181.679</v>
      </c>
      <c r="AI119" s="43">
        <v>188.08199999999999</v>
      </c>
      <c r="AJ119" s="6">
        <f>F119</f>
        <v>197.666</v>
      </c>
      <c r="AK119" s="43">
        <v>211.71600000000001</v>
      </c>
      <c r="AL119" s="43">
        <f>226.915</f>
        <v>226.91499999999999</v>
      </c>
      <c r="AM119" s="43">
        <v>233.238</v>
      </c>
      <c r="AN119" s="276">
        <f>G119</f>
        <v>224.74700000000001</v>
      </c>
      <c r="AO119" s="43">
        <v>238.97900000000001</v>
      </c>
      <c r="AP119" s="43">
        <v>256.78800000000001</v>
      </c>
      <c r="AQ119" s="43">
        <v>266.16300000000001</v>
      </c>
      <c r="AR119" s="274">
        <f>H119</f>
        <v>294.33100000000002</v>
      </c>
      <c r="AS119" s="43">
        <v>312.16899999999998</v>
      </c>
      <c r="AT119" s="43">
        <v>328.80900000000003</v>
      </c>
      <c r="AU119" s="43">
        <v>338.64800000000002</v>
      </c>
      <c r="AV119" s="274">
        <f>I119</f>
        <v>381.923</v>
      </c>
      <c r="AW119" s="43">
        <v>405.07299999999998</v>
      </c>
      <c r="AX119" s="43">
        <v>444.584</v>
      </c>
      <c r="AY119" s="43">
        <v>443.101</v>
      </c>
      <c r="AZ119" s="274">
        <f t="shared" si="300"/>
        <v>614.61300000000006</v>
      </c>
      <c r="BA119" s="43">
        <v>703.101</v>
      </c>
      <c r="BB119" s="43">
        <v>751.17</v>
      </c>
      <c r="BC119" s="43">
        <v>786.71799999999996</v>
      </c>
      <c r="BD119" s="274">
        <f t="shared" si="301"/>
        <v>1790.0309999999999</v>
      </c>
      <c r="BE119" s="43">
        <v>1582.1369999999999</v>
      </c>
      <c r="BF119" s="43">
        <v>1682.386</v>
      </c>
      <c r="BG119" s="43">
        <v>1731.7529999999999</v>
      </c>
    </row>
    <row r="120" spans="1:59" s="5" customFormat="1" ht="13.5" customHeight="1">
      <c r="B120" s="7" t="s">
        <v>495</v>
      </c>
      <c r="C120" s="4">
        <v>71.322000000000003</v>
      </c>
      <c r="D120" s="4">
        <v>75.471000000000004</v>
      </c>
      <c r="E120" s="4">
        <v>131.97300000000001</v>
      </c>
      <c r="F120" s="4">
        <v>104.102</v>
      </c>
      <c r="G120" s="4">
        <v>180.434</v>
      </c>
      <c r="H120" s="4">
        <v>178.399</v>
      </c>
      <c r="I120" s="4">
        <v>203.715</v>
      </c>
      <c r="J120" s="4">
        <v>260.53500000000003</v>
      </c>
      <c r="K120" s="4">
        <v>277.67</v>
      </c>
      <c r="L120" s="6">
        <f>BG120</f>
        <v>594.625</v>
      </c>
      <c r="M120" s="6"/>
      <c r="N120" s="4"/>
      <c r="O120" s="4"/>
      <c r="P120" s="110"/>
      <c r="Q120" s="4"/>
      <c r="R120" s="4"/>
      <c r="S120" s="4"/>
      <c r="T120" s="4"/>
      <c r="U120" s="4"/>
      <c r="V120" s="4"/>
      <c r="W120" s="4"/>
      <c r="X120" s="4"/>
      <c r="Y120" s="4"/>
      <c r="Z120" s="4"/>
      <c r="AA120" s="4"/>
      <c r="AB120" s="4"/>
      <c r="AC120" s="4">
        <v>82.861999999999995</v>
      </c>
      <c r="AD120" s="4">
        <v>112.175</v>
      </c>
      <c r="AE120" s="4">
        <v>141.74</v>
      </c>
      <c r="AF120" s="6">
        <f>E120</f>
        <v>131.97300000000001</v>
      </c>
      <c r="AG120" s="4">
        <v>142.315</v>
      </c>
      <c r="AH120" s="4">
        <v>142.80000000000001</v>
      </c>
      <c r="AI120" s="4">
        <v>97.106999999999999</v>
      </c>
      <c r="AJ120" s="6">
        <f>F120</f>
        <v>104.102</v>
      </c>
      <c r="AK120" s="4">
        <v>116.018</v>
      </c>
      <c r="AL120" s="4">
        <f>267.569</f>
        <v>267.56900000000002</v>
      </c>
      <c r="AM120" s="4">
        <v>154.94999999999999</v>
      </c>
      <c r="AN120" s="276">
        <f>G120</f>
        <v>180.434</v>
      </c>
      <c r="AO120" s="4">
        <v>235.73500000000001</v>
      </c>
      <c r="AP120" s="4">
        <v>182.136</v>
      </c>
      <c r="AQ120" s="4">
        <v>162.13300000000001</v>
      </c>
      <c r="AR120" s="274">
        <f>H120</f>
        <v>178.399</v>
      </c>
      <c r="AS120" s="4">
        <v>255.83799999999999</v>
      </c>
      <c r="AT120" s="4">
        <v>270.79199999999997</v>
      </c>
      <c r="AU120" s="4">
        <v>284.29700000000003</v>
      </c>
      <c r="AV120" s="274">
        <f>I120</f>
        <v>203.715</v>
      </c>
      <c r="AW120" s="4">
        <v>380.41399999999999</v>
      </c>
      <c r="AX120" s="4">
        <v>406.40699999999998</v>
      </c>
      <c r="AY120" s="4">
        <v>284.36399999999998</v>
      </c>
      <c r="AZ120" s="274">
        <f t="shared" si="300"/>
        <v>260.53500000000003</v>
      </c>
      <c r="BA120" s="4">
        <v>469.23</v>
      </c>
      <c r="BB120" s="4">
        <v>378.92</v>
      </c>
      <c r="BC120" s="4">
        <v>328.952</v>
      </c>
      <c r="BD120" s="274">
        <f t="shared" si="301"/>
        <v>277.67</v>
      </c>
      <c r="BE120" s="4">
        <v>414.34</v>
      </c>
      <c r="BF120" s="4">
        <v>502.07</v>
      </c>
      <c r="BG120" s="4">
        <v>594.625</v>
      </c>
    </row>
    <row r="121" spans="1:59" s="5" customFormat="1" ht="13.5" customHeight="1">
      <c r="B121" s="7" t="s">
        <v>496</v>
      </c>
      <c r="C121" s="4">
        <v>3502.5149999999999</v>
      </c>
      <c r="D121" s="4">
        <v>4098.9279999999999</v>
      </c>
      <c r="E121" s="4">
        <v>3289.904</v>
      </c>
      <c r="F121" s="4">
        <v>2848.5720000000001</v>
      </c>
      <c r="G121" s="4">
        <v>2505.9899999999998</v>
      </c>
      <c r="H121" s="4">
        <v>3133.9749999999999</v>
      </c>
      <c r="I121" s="4">
        <v>3465.797</v>
      </c>
      <c r="J121" s="4">
        <v>4186.9290000000001</v>
      </c>
      <c r="K121" s="4">
        <v>6741.5110000000004</v>
      </c>
      <c r="L121" s="6">
        <f>BG121</f>
        <v>10827.25</v>
      </c>
      <c r="M121" s="6"/>
      <c r="N121" s="4"/>
      <c r="O121" s="4"/>
      <c r="P121" s="110"/>
      <c r="Q121" s="4"/>
      <c r="R121" s="4"/>
      <c r="S121" s="4"/>
      <c r="T121" s="4"/>
      <c r="U121" s="4"/>
      <c r="V121" s="4"/>
      <c r="W121" s="4"/>
      <c r="X121" s="4"/>
      <c r="Y121" s="4"/>
      <c r="Z121" s="4"/>
      <c r="AA121" s="4"/>
      <c r="AB121" s="4"/>
      <c r="AC121" s="4">
        <v>4071.3</v>
      </c>
      <c r="AD121" s="4">
        <v>3959.7890000000002</v>
      </c>
      <c r="AE121" s="4">
        <v>3646.835</v>
      </c>
      <c r="AF121" s="6">
        <f>E121</f>
        <v>3289.904</v>
      </c>
      <c r="AG121" s="4">
        <v>2983.34</v>
      </c>
      <c r="AH121" s="4">
        <v>2801.8359999999998</v>
      </c>
      <c r="AI121" s="4">
        <v>2675.848</v>
      </c>
      <c r="AJ121" s="6">
        <f>F121</f>
        <v>2848.5720000000001</v>
      </c>
      <c r="AK121" s="4">
        <v>2942.7730000000001</v>
      </c>
      <c r="AL121" s="4">
        <f>3076.015</f>
        <v>3076.0149999999999</v>
      </c>
      <c r="AM121" s="4">
        <v>3363.06</v>
      </c>
      <c r="AN121" s="276">
        <f>G121</f>
        <v>2505.9899999999998</v>
      </c>
      <c r="AO121" s="4">
        <v>2627.0329999999999</v>
      </c>
      <c r="AP121" s="4">
        <v>2912.402</v>
      </c>
      <c r="AQ121" s="4">
        <v>2906.0940000000001</v>
      </c>
      <c r="AR121" s="274">
        <f>H121</f>
        <v>3133.9749999999999</v>
      </c>
      <c r="AS121" s="4">
        <v>3505.2849999999999</v>
      </c>
      <c r="AT121" s="4">
        <v>3818.5590000000002</v>
      </c>
      <c r="AU121" s="4">
        <v>3641.453</v>
      </c>
      <c r="AV121" s="274">
        <f>I121</f>
        <v>3465.797</v>
      </c>
      <c r="AW121" s="4">
        <v>3875.8470000000002</v>
      </c>
      <c r="AX121" s="4">
        <v>4127.7939999999999</v>
      </c>
      <c r="AY121" s="4">
        <v>4220.6530000000002</v>
      </c>
      <c r="AZ121" s="274">
        <f t="shared" si="300"/>
        <v>4186.9290000000001</v>
      </c>
      <c r="BA121" s="4">
        <v>4994.4620000000004</v>
      </c>
      <c r="BB121" s="4">
        <v>6136.69</v>
      </c>
      <c r="BC121" s="4">
        <v>5756.9840000000004</v>
      </c>
      <c r="BD121" s="274">
        <f t="shared" si="301"/>
        <v>6741.5110000000004</v>
      </c>
      <c r="BE121" s="4">
        <v>9332.6910000000007</v>
      </c>
      <c r="BF121" s="4">
        <v>9823.9639999999999</v>
      </c>
      <c r="BG121" s="4">
        <v>10827.25</v>
      </c>
    </row>
    <row r="122" spans="1:59" s="5" customFormat="1" ht="13.5" customHeight="1">
      <c r="B122" s="7" t="s">
        <v>497</v>
      </c>
      <c r="C122" s="4">
        <v>2067.1289999999999</v>
      </c>
      <c r="D122" s="4">
        <v>5283.07</v>
      </c>
      <c r="E122" s="4">
        <v>4101.991</v>
      </c>
      <c r="F122" s="4">
        <v>3696.4659999999999</v>
      </c>
      <c r="G122" s="4">
        <v>3788.174</v>
      </c>
      <c r="H122" s="4">
        <v>4117.4709999999995</v>
      </c>
      <c r="I122" s="4">
        <v>4976.6049999999996</v>
      </c>
      <c r="J122" s="4">
        <v>6720.6790000000001</v>
      </c>
      <c r="K122" s="4">
        <v>7821.67</v>
      </c>
      <c r="L122" s="6">
        <f>BG122</f>
        <v>9808.1659999999993</v>
      </c>
      <c r="M122" s="6"/>
      <c r="N122" s="4"/>
      <c r="O122" s="4"/>
      <c r="P122" s="110"/>
      <c r="Q122" s="4"/>
      <c r="R122" s="4"/>
      <c r="S122" s="4"/>
      <c r="T122" s="4"/>
      <c r="U122" s="4"/>
      <c r="V122" s="4"/>
      <c r="W122" s="4"/>
      <c r="X122" s="4"/>
      <c r="Y122" s="4"/>
      <c r="Z122" s="4"/>
      <c r="AA122" s="4"/>
      <c r="AB122" s="4"/>
      <c r="AC122" s="4">
        <v>4901.9589999999998</v>
      </c>
      <c r="AD122" s="4">
        <v>4695.5410000000002</v>
      </c>
      <c r="AE122" s="4">
        <v>5173.1840000000002</v>
      </c>
      <c r="AF122" s="6">
        <f>E122</f>
        <v>4101.991</v>
      </c>
      <c r="AG122" s="4">
        <v>3922.4029999999998</v>
      </c>
      <c r="AH122" s="4">
        <v>2731.5050000000001</v>
      </c>
      <c r="AI122" s="4">
        <v>2709.74</v>
      </c>
      <c r="AJ122" s="6">
        <f>F122</f>
        <v>3696.4659999999999</v>
      </c>
      <c r="AK122" s="4">
        <v>2986.1080000000002</v>
      </c>
      <c r="AL122" s="4">
        <f>3832.243</f>
        <v>3832.2429999999999</v>
      </c>
      <c r="AM122" s="4">
        <v>4072.2840000000001</v>
      </c>
      <c r="AN122" s="276">
        <f>G122</f>
        <v>3788.174</v>
      </c>
      <c r="AO122" s="4">
        <v>3447.4949999999999</v>
      </c>
      <c r="AP122" s="4">
        <v>3321.9859999999999</v>
      </c>
      <c r="AQ122" s="4">
        <v>3287.663</v>
      </c>
      <c r="AR122" s="274">
        <f>H122</f>
        <v>4117.4709999999995</v>
      </c>
      <c r="AS122" s="4">
        <v>4130.2359999999999</v>
      </c>
      <c r="AT122" s="4">
        <v>4462.3599999999997</v>
      </c>
      <c r="AU122" s="4">
        <v>4855.8739999999998</v>
      </c>
      <c r="AV122" s="274">
        <f>I122</f>
        <v>4976.6049999999996</v>
      </c>
      <c r="AW122" s="4">
        <v>5148.3410000000003</v>
      </c>
      <c r="AX122" s="4">
        <v>6366.6540000000005</v>
      </c>
      <c r="AY122" s="4">
        <v>5664.1170000000002</v>
      </c>
      <c r="AZ122" s="274">
        <f t="shared" si="300"/>
        <v>6720.6790000000001</v>
      </c>
      <c r="BA122" s="4">
        <v>6927.95</v>
      </c>
      <c r="BB122" s="4">
        <v>4552.8389999999999</v>
      </c>
      <c r="BC122" s="4">
        <v>5244.799</v>
      </c>
      <c r="BD122" s="274">
        <f t="shared" si="301"/>
        <v>7821.67</v>
      </c>
      <c r="BE122" s="4">
        <v>8260.9789999999994</v>
      </c>
      <c r="BF122" s="4">
        <v>9476.9940000000006</v>
      </c>
      <c r="BG122" s="4">
        <v>9808.1659999999993</v>
      </c>
    </row>
    <row r="123" spans="1:59" s="5" customFormat="1" ht="13.5" customHeight="1">
      <c r="B123" s="1" t="s">
        <v>498</v>
      </c>
      <c r="C123" s="6">
        <f t="shared" ref="C123:I123" si="302">C120+C121-C122</f>
        <v>1506.7080000000001</v>
      </c>
      <c r="D123" s="6">
        <f t="shared" si="302"/>
        <v>-1108.6710000000003</v>
      </c>
      <c r="E123" s="6">
        <f t="shared" si="302"/>
        <v>-680.11400000000003</v>
      </c>
      <c r="F123" s="6">
        <f t="shared" si="302"/>
        <v>-743.79199999999992</v>
      </c>
      <c r="G123" s="6">
        <f t="shared" si="302"/>
        <v>-1101.75</v>
      </c>
      <c r="H123" s="6">
        <f t="shared" si="302"/>
        <v>-805.09699999999975</v>
      </c>
      <c r="I123" s="6">
        <f t="shared" si="302"/>
        <v>-1307.0929999999994</v>
      </c>
      <c r="J123" s="6">
        <f>J120+J121-J122</f>
        <v>-2273.2150000000001</v>
      </c>
      <c r="K123" s="6">
        <f>K120+K121-K122</f>
        <v>-802.48899999999958</v>
      </c>
      <c r="L123" s="6">
        <f>L120+L121-L122</f>
        <v>1613.7090000000007</v>
      </c>
      <c r="M123" s="6"/>
      <c r="N123" s="4"/>
      <c r="O123" s="4"/>
      <c r="P123" s="110"/>
      <c r="Q123" s="4"/>
      <c r="R123" s="4"/>
      <c r="S123" s="4"/>
      <c r="T123" s="4"/>
      <c r="U123" s="4"/>
      <c r="V123" s="4"/>
      <c r="W123" s="4"/>
      <c r="X123" s="4"/>
      <c r="Y123" s="4"/>
      <c r="Z123" s="4"/>
      <c r="AA123" s="4"/>
      <c r="AB123" s="4"/>
      <c r="AC123" s="6">
        <f t="shared" ref="AC123:AI123" si="303">AC120+AC121-AC122</f>
        <v>-747.79699999999957</v>
      </c>
      <c r="AD123" s="6">
        <f t="shared" si="303"/>
        <v>-623.57699999999977</v>
      </c>
      <c r="AE123" s="6">
        <f t="shared" si="303"/>
        <v>-1384.6090000000004</v>
      </c>
      <c r="AF123" s="6">
        <f t="shared" si="303"/>
        <v>-680.11400000000003</v>
      </c>
      <c r="AG123" s="6">
        <f t="shared" si="303"/>
        <v>-796.74799999999959</v>
      </c>
      <c r="AH123" s="6">
        <f t="shared" si="303"/>
        <v>213.13099999999986</v>
      </c>
      <c r="AI123" s="6">
        <f t="shared" si="303"/>
        <v>63.215000000000146</v>
      </c>
      <c r="AJ123" s="6">
        <f t="shared" ref="AJ123:AO123" si="304">AJ120+AJ121-AJ122</f>
        <v>-743.79199999999992</v>
      </c>
      <c r="AK123" s="6">
        <f t="shared" si="304"/>
        <v>72.682999999999993</v>
      </c>
      <c r="AL123" s="6">
        <f t="shared" si="304"/>
        <v>-488.65900000000011</v>
      </c>
      <c r="AM123" s="6">
        <f t="shared" si="304"/>
        <v>-554.27400000000034</v>
      </c>
      <c r="AN123" s="6">
        <f t="shared" si="304"/>
        <v>-1101.75</v>
      </c>
      <c r="AO123" s="6">
        <f t="shared" si="304"/>
        <v>-584.72699999999986</v>
      </c>
      <c r="AP123" s="6">
        <f t="shared" ref="AP123:AU123" si="305">AP120+AP121-AP122</f>
        <v>-227.44799999999987</v>
      </c>
      <c r="AQ123" s="6">
        <f t="shared" si="305"/>
        <v>-219.43600000000015</v>
      </c>
      <c r="AR123" s="6">
        <f t="shared" si="305"/>
        <v>-805.09699999999975</v>
      </c>
      <c r="AS123" s="6">
        <f t="shared" si="305"/>
        <v>-369.11299999999983</v>
      </c>
      <c r="AT123" s="6">
        <f t="shared" si="305"/>
        <v>-373.00899999999956</v>
      </c>
      <c r="AU123" s="6">
        <f t="shared" si="305"/>
        <v>-930.1239999999998</v>
      </c>
      <c r="AV123" s="6">
        <f>AV120+AV121-AV122</f>
        <v>-1307.0929999999994</v>
      </c>
      <c r="AW123" s="6">
        <f>AW120+AW121-AW122</f>
        <v>-892.07999999999993</v>
      </c>
      <c r="AX123" s="6">
        <f>AX120+AX121-AX122</f>
        <v>-1832.4530000000004</v>
      </c>
      <c r="AY123" s="6">
        <f>AY120+AY121-AY122</f>
        <v>-1159.1000000000004</v>
      </c>
      <c r="AZ123" s="6">
        <f t="shared" si="300"/>
        <v>-2273.2150000000001</v>
      </c>
      <c r="BA123" s="6">
        <f>BA120+BA121-BA122</f>
        <v>-1464.2579999999989</v>
      </c>
      <c r="BB123" s="6">
        <f>BB120+BB121-BB122</f>
        <v>1962.7709999999997</v>
      </c>
      <c r="BC123" s="6">
        <f>BC120+BC121-BC122</f>
        <v>841.13700000000063</v>
      </c>
      <c r="BD123" s="6">
        <f t="shared" si="301"/>
        <v>-802.48899999999958</v>
      </c>
      <c r="BE123" s="6">
        <f>BE120+BE121-BE122</f>
        <v>1486.0520000000015</v>
      </c>
      <c r="BF123" s="6">
        <f>BF120+BF121-BF122</f>
        <v>849.03999999999905</v>
      </c>
      <c r="BG123" s="6">
        <f>BG120+BG121-BG122</f>
        <v>1613.7090000000007</v>
      </c>
    </row>
    <row r="124" spans="1:59" s="29" customFormat="1" ht="13.5" customHeight="1">
      <c r="B124" s="22" t="s">
        <v>499</v>
      </c>
      <c r="C124" s="42">
        <f t="shared" ref="C124:L124" si="306">C123/C105</f>
        <v>0.12510445381779536</v>
      </c>
      <c r="D124" s="42">
        <f t="shared" si="306"/>
        <v>-8.6822481870722223E-2</v>
      </c>
      <c r="E124" s="42">
        <f t="shared" si="306"/>
        <v>-4.760836086688694E-2</v>
      </c>
      <c r="F124" s="42">
        <f t="shared" si="306"/>
        <v>-4.2183971279654717E-2</v>
      </c>
      <c r="G124" s="42">
        <f t="shared" si="306"/>
        <v>-5.1743632433524055E-2</v>
      </c>
      <c r="H124" s="42">
        <f>H123/H105</f>
        <v>-3.2028109733781E-2</v>
      </c>
      <c r="I124" s="42">
        <f>I123/I105</f>
        <v>-4.4911405070332693E-2</v>
      </c>
      <c r="J124" s="42">
        <f>J123/J105</f>
        <v>-6.328461463509695E-2</v>
      </c>
      <c r="K124" s="42">
        <f>K123/K105</f>
        <v>-1.489441985207457E-2</v>
      </c>
      <c r="L124" s="42">
        <f t="shared" si="306"/>
        <v>1.9931235459709404E-2</v>
      </c>
      <c r="M124" s="424"/>
      <c r="N124" s="42"/>
      <c r="O124" s="42"/>
      <c r="P124" s="116"/>
      <c r="Q124" s="42"/>
      <c r="R124" s="42"/>
      <c r="S124" s="42"/>
      <c r="T124" s="42"/>
      <c r="U124" s="42"/>
      <c r="V124" s="42"/>
      <c r="W124" s="42"/>
      <c r="X124" s="42"/>
      <c r="Y124" s="42"/>
      <c r="Z124" s="42"/>
      <c r="AA124" s="42"/>
      <c r="AB124" s="42"/>
      <c r="AC124" s="42"/>
      <c r="AD124" s="42"/>
      <c r="AE124" s="42"/>
      <c r="AF124" s="42">
        <f t="shared" ref="AF124:AM124" si="307">AF123/AF105</f>
        <v>-4.760836086688694E-2</v>
      </c>
      <c r="AG124" s="42">
        <f t="shared" si="307"/>
        <v>-5.2720078344185031E-2</v>
      </c>
      <c r="AH124" s="42">
        <f t="shared" si="307"/>
        <v>1.3262085658994309E-2</v>
      </c>
      <c r="AI124" s="42">
        <f t="shared" si="307"/>
        <v>3.7164307214749407E-3</v>
      </c>
      <c r="AJ124" s="42">
        <f t="shared" si="307"/>
        <v>-4.2183971279654717E-2</v>
      </c>
      <c r="AK124" s="42">
        <f t="shared" si="307"/>
        <v>3.9628484660134888E-3</v>
      </c>
      <c r="AL124" s="42">
        <f t="shared" si="307"/>
        <v>-2.5543718603471984E-2</v>
      </c>
      <c r="AM124" s="42">
        <f t="shared" si="307"/>
        <v>-2.7260976955696761E-2</v>
      </c>
      <c r="AN124" s="42">
        <f t="shared" ref="AN124:AS124" si="308">AN123/AN105</f>
        <v>-5.1743632433524055E-2</v>
      </c>
      <c r="AO124" s="42">
        <f t="shared" si="308"/>
        <v>-2.6331611222503545E-2</v>
      </c>
      <c r="AP124" s="42">
        <f t="shared" si="308"/>
        <v>-9.7649961843408722E-3</v>
      </c>
      <c r="AQ124" s="42">
        <f t="shared" si="308"/>
        <v>-9.1128531403973558E-3</v>
      </c>
      <c r="AR124" s="42">
        <f t="shared" si="308"/>
        <v>-3.2028109733781E-2</v>
      </c>
      <c r="AS124" s="42">
        <f t="shared" si="308"/>
        <v>-1.4131377751233718E-2</v>
      </c>
      <c r="AT124" s="42">
        <f t="shared" ref="AT124:AY124" si="309">AT123/AT105</f>
        <v>-1.3890827433908425E-2</v>
      </c>
      <c r="AU124" s="42">
        <f t="shared" si="309"/>
        <v>-3.3319301687583916E-2</v>
      </c>
      <c r="AV124" s="42">
        <f t="shared" si="309"/>
        <v>-4.4911405070332686E-2</v>
      </c>
      <c r="AW124" s="42">
        <f t="shared" si="309"/>
        <v>-2.9468806332978877E-2</v>
      </c>
      <c r="AX124" s="42">
        <f t="shared" si="309"/>
        <v>-5.7450133102753584E-2</v>
      </c>
      <c r="AY124" s="42">
        <f t="shared" si="309"/>
        <v>-3.4495820562449431E-2</v>
      </c>
      <c r="AZ124" s="42">
        <f t="shared" ref="AZ124:BE124" si="310">AZ123/AZ105</f>
        <v>-6.328461463509695E-2</v>
      </c>
      <c r="BA124" s="42">
        <f t="shared" si="310"/>
        <v>-3.7749294800363042E-2</v>
      </c>
      <c r="BB124" s="42">
        <f t="shared" si="310"/>
        <v>4.5947470599785808E-2</v>
      </c>
      <c r="BC124" s="42">
        <f t="shared" si="310"/>
        <v>1.7514211581775456E-2</v>
      </c>
      <c r="BD124" s="42">
        <f t="shared" si="310"/>
        <v>-1.489441985207457E-2</v>
      </c>
      <c r="BE124" s="42">
        <f t="shared" si="310"/>
        <v>2.4579361118419078E-2</v>
      </c>
      <c r="BF124" s="42">
        <f>BF123/BF105</f>
        <v>1.2193012819451388E-2</v>
      </c>
      <c r="BG124" s="42">
        <f>BG123/BG105</f>
        <v>1.9931235459709408E-2</v>
      </c>
    </row>
    <row r="125" spans="1:59" ht="13.5" customHeight="1">
      <c r="C125" s="40"/>
      <c r="D125" s="40"/>
      <c r="E125" s="40"/>
      <c r="F125" s="40"/>
      <c r="G125" s="40"/>
      <c r="H125" s="40"/>
      <c r="I125" s="40"/>
      <c r="J125" s="40"/>
      <c r="K125" s="40"/>
      <c r="L125" s="40"/>
      <c r="M125" s="40"/>
      <c r="N125" s="4"/>
      <c r="O125" s="4"/>
      <c r="P125" s="110"/>
      <c r="Q125" s="4"/>
      <c r="R125" s="4"/>
      <c r="S125" s="4"/>
      <c r="T125" s="4"/>
      <c r="U125" s="4"/>
      <c r="V125" s="4"/>
      <c r="W125" s="4"/>
      <c r="X125" s="4"/>
      <c r="Y125" s="4"/>
      <c r="Z125" s="4"/>
      <c r="AA125" s="4"/>
      <c r="AB125" s="4"/>
      <c r="AL125" s="4"/>
      <c r="AY125" s="40"/>
      <c r="BC125" s="40"/>
      <c r="BG125" s="40"/>
    </row>
    <row r="126" spans="1:59" ht="13.5" customHeight="1">
      <c r="B126" s="225" t="s">
        <v>500</v>
      </c>
      <c r="C126" s="40"/>
      <c r="D126" s="40"/>
      <c r="E126" s="40"/>
      <c r="F126" s="40"/>
      <c r="G126" s="444">
        <f t="shared" ref="G126:L126" si="311">IFERROR((G120/-G16)*365,"-")</f>
        <v>4.6556229739403943</v>
      </c>
      <c r="H126" s="444">
        <f t="shared" si="311"/>
        <v>3.8116097403927767</v>
      </c>
      <c r="I126" s="444">
        <f t="shared" si="311"/>
        <v>3.6563610973001208</v>
      </c>
      <c r="J126" s="444">
        <f t="shared" si="311"/>
        <v>3.76913884255291</v>
      </c>
      <c r="K126" s="444">
        <f t="shared" si="311"/>
        <v>2.75491728415868</v>
      </c>
      <c r="L126" s="444">
        <f t="shared" si="311"/>
        <v>4.835546336013798</v>
      </c>
      <c r="M126" s="40"/>
      <c r="N126" s="4"/>
      <c r="O126" s="4"/>
      <c r="P126" s="110"/>
      <c r="Q126" s="4"/>
      <c r="R126" s="4"/>
      <c r="S126" s="4"/>
      <c r="T126" s="4"/>
      <c r="U126" s="4"/>
      <c r="V126" s="4"/>
      <c r="W126" s="4"/>
      <c r="X126" s="4"/>
      <c r="Y126" s="4"/>
      <c r="Z126" s="4"/>
      <c r="AA126" s="4"/>
      <c r="AB126" s="4"/>
      <c r="AL126" s="4"/>
      <c r="AW126" s="444">
        <f t="shared" ref="AW126:BC126" si="312">IFERROR((AW120/-AW16)*(365/4),"-")</f>
        <v>6.2333274973513628</v>
      </c>
      <c r="AX126" s="444">
        <f t="shared" si="312"/>
        <v>6.0427959507902882</v>
      </c>
      <c r="AY126" s="444">
        <f t="shared" si="312"/>
        <v>4.0363289932423001</v>
      </c>
      <c r="AZ126" s="444">
        <f t="shared" si="312"/>
        <v>3.3505926791796456</v>
      </c>
      <c r="BA126" s="444">
        <f t="shared" si="312"/>
        <v>5.6501715746626902</v>
      </c>
      <c r="BB126" s="444">
        <f t="shared" si="312"/>
        <v>3.8817232669099075</v>
      </c>
      <c r="BC126" s="444">
        <f t="shared" si="312"/>
        <v>3.046759232709082</v>
      </c>
      <c r="BD126" s="444">
        <f>IFERROR((BD120/-BD16)*(365/4),"-")</f>
        <v>2.4244000067744773</v>
      </c>
      <c r="BE126" s="444">
        <f>IFERROR((BE120/-BE16)*(365/4),"-")</f>
        <v>6.8414878871445213</v>
      </c>
      <c r="BF126" s="444">
        <f>IFERROR((BF120/-BF16)*(365/4),"-")</f>
        <v>3.4514390360416125</v>
      </c>
      <c r="BG126" s="444">
        <f>IFERROR((BG120/-BG16)*(365/4),"-")</f>
        <v>3.4709028711318628</v>
      </c>
    </row>
    <row r="127" spans="1:59" ht="13.5" customHeight="1">
      <c r="B127" s="225" t="s">
        <v>501</v>
      </c>
      <c r="C127" s="40"/>
      <c r="D127" s="40"/>
      <c r="E127" s="40"/>
      <c r="F127" s="40"/>
      <c r="G127" s="444">
        <f t="shared" ref="G127:L127" si="313">IFERROR((G121/G14)*365,"-")</f>
        <v>42.958197673121603</v>
      </c>
      <c r="H127" s="444">
        <f t="shared" si="313"/>
        <v>45.506296445109243</v>
      </c>
      <c r="I127" s="444">
        <f t="shared" si="313"/>
        <v>43.46564607864056</v>
      </c>
      <c r="J127" s="444">
        <f t="shared" si="313"/>
        <v>42.544760930387945</v>
      </c>
      <c r="K127" s="444">
        <f t="shared" si="313"/>
        <v>45.670379000900184</v>
      </c>
      <c r="L127" s="444">
        <f t="shared" si="313"/>
        <v>48.811261034588995</v>
      </c>
      <c r="M127" s="40"/>
      <c r="N127" s="4"/>
      <c r="O127" s="4"/>
      <c r="P127" s="110"/>
      <c r="Q127" s="4"/>
      <c r="R127" s="4"/>
      <c r="S127" s="4"/>
      <c r="T127" s="4"/>
      <c r="U127" s="4"/>
      <c r="V127" s="4"/>
      <c r="W127" s="4"/>
      <c r="X127" s="4"/>
      <c r="Y127" s="4"/>
      <c r="Z127" s="4"/>
      <c r="AA127" s="4"/>
      <c r="AB127" s="4"/>
      <c r="AL127" s="4"/>
      <c r="AW127" s="444">
        <f t="shared" ref="AW127:BC127" si="314">IFERROR((AW121/AW14)*(365/4),"-")</f>
        <v>45.188914425349772</v>
      </c>
      <c r="AX127" s="444">
        <f t="shared" si="314"/>
        <v>44.062702818104185</v>
      </c>
      <c r="AY127" s="444">
        <f t="shared" si="314"/>
        <v>41.172225050413005</v>
      </c>
      <c r="AZ127" s="444">
        <f t="shared" si="314"/>
        <v>37.487956468877336</v>
      </c>
      <c r="BA127" s="444">
        <f t="shared" si="314"/>
        <v>42.612807451620462</v>
      </c>
      <c r="BB127" s="444">
        <f t="shared" si="314"/>
        <v>44.880416967219681</v>
      </c>
      <c r="BC127" s="444">
        <f t="shared" si="314"/>
        <v>35.827809429600855</v>
      </c>
      <c r="BD127" s="444">
        <f>IFERROR((BD121/BD14)*(365/4),"-")</f>
        <v>38.342245934725625</v>
      </c>
      <c r="BE127" s="444">
        <f>IFERROR((BE121/BE14)*(365/4),"-")</f>
        <v>49.294689372302095</v>
      </c>
      <c r="BF127" s="444">
        <f>IFERROR((BF121/BF14)*(365/4),"-")</f>
        <v>41.403976799018956</v>
      </c>
      <c r="BG127" s="444">
        <f>IFERROR((BG121/BG14)*(365/4),"-")</f>
        <v>38.009737030597407</v>
      </c>
    </row>
    <row r="128" spans="1:59" ht="13.5" customHeight="1">
      <c r="B128" s="225" t="s">
        <v>502</v>
      </c>
      <c r="C128" s="40"/>
      <c r="D128" s="40"/>
      <c r="E128" s="40"/>
      <c r="F128" s="40"/>
      <c r="G128" s="444">
        <f t="shared" ref="G128:L128" si="315">IFERROR((G122/-G16)*365,"-")</f>
        <v>97.743828234610319</v>
      </c>
      <c r="H128" s="444">
        <f t="shared" si="315"/>
        <v>87.972424561711591</v>
      </c>
      <c r="I128" s="444">
        <f t="shared" si="315"/>
        <v>89.322165371373075</v>
      </c>
      <c r="J128" s="444">
        <f t="shared" si="315"/>
        <v>97.227521320473826</v>
      </c>
      <c r="K128" s="444">
        <f t="shared" si="315"/>
        <v>77.603103950680378</v>
      </c>
      <c r="L128" s="444">
        <f t="shared" si="315"/>
        <v>79.760926910767466</v>
      </c>
      <c r="M128" s="40"/>
      <c r="N128" s="4"/>
      <c r="O128" s="4"/>
      <c r="P128" s="110"/>
      <c r="Q128" s="4"/>
      <c r="R128" s="4"/>
      <c r="S128" s="4"/>
      <c r="T128" s="4"/>
      <c r="U128" s="4"/>
      <c r="V128" s="4"/>
      <c r="W128" s="4"/>
      <c r="X128" s="4"/>
      <c r="Y128" s="4"/>
      <c r="Z128" s="4"/>
      <c r="AA128" s="4"/>
      <c r="AB128" s="4"/>
      <c r="AL128" s="4"/>
      <c r="AW128" s="444">
        <f t="shared" ref="AW128:BC128" si="316">IFERROR((AW122/-AW16)*(365/4),"-")</f>
        <v>84.358870917057246</v>
      </c>
      <c r="AX128" s="444">
        <f t="shared" si="316"/>
        <v>94.664685921460006</v>
      </c>
      <c r="AY128" s="444">
        <f t="shared" si="316"/>
        <v>80.397798836057305</v>
      </c>
      <c r="AZ128" s="444">
        <f t="shared" si="316"/>
        <v>86.430835997145792</v>
      </c>
      <c r="BA128" s="444">
        <f t="shared" si="316"/>
        <v>83.42200234572465</v>
      </c>
      <c r="BB128" s="444">
        <f t="shared" si="316"/>
        <v>46.640085181027231</v>
      </c>
      <c r="BC128" s="444">
        <f t="shared" si="316"/>
        <v>48.577420951851202</v>
      </c>
      <c r="BD128" s="444">
        <f>IFERROR((BD122/-BD16)*(365/4),"-")</f>
        <v>68.292782083004013</v>
      </c>
      <c r="BE128" s="444">
        <f>IFERROR((BE122/-BE16)*(365/4),"-")</f>
        <v>136.40340726083716</v>
      </c>
      <c r="BF128" s="444">
        <f>IFERROR((BF122/-BF16)*(365/4),"-")</f>
        <v>65.148817965487183</v>
      </c>
      <c r="BG128" s="444">
        <f>IFERROR((BG122/-BG16)*(365/4),"-")</f>
        <v>57.251530847068182</v>
      </c>
    </row>
    <row r="129" spans="2:59" ht="13.5" customHeight="1">
      <c r="C129" s="40"/>
      <c r="D129" s="40"/>
      <c r="E129" s="40"/>
      <c r="F129" s="40"/>
      <c r="G129" s="40"/>
      <c r="H129" s="40"/>
      <c r="I129" s="40"/>
      <c r="J129" s="40"/>
      <c r="K129" s="40"/>
      <c r="L129" s="40"/>
      <c r="M129" s="40"/>
      <c r="N129" s="4"/>
      <c r="O129" s="4"/>
      <c r="P129" s="110"/>
      <c r="Q129" s="4"/>
      <c r="R129" s="4"/>
      <c r="S129" s="4"/>
      <c r="T129" s="4"/>
      <c r="U129" s="4"/>
      <c r="V129" s="4"/>
      <c r="W129" s="4"/>
      <c r="X129" s="4"/>
      <c r="Y129" s="4"/>
      <c r="Z129" s="4"/>
      <c r="AA129" s="4"/>
      <c r="AB129" s="4"/>
      <c r="AL129" s="4"/>
      <c r="AY129" s="40"/>
      <c r="BC129" s="40"/>
      <c r="BG129" s="40"/>
    </row>
    <row r="130" spans="2:59" ht="13.5" customHeight="1">
      <c r="B130" s="5" t="s">
        <v>503</v>
      </c>
      <c r="C130" s="171"/>
      <c r="D130" s="40"/>
      <c r="E130" s="40"/>
      <c r="F130" s="40"/>
      <c r="G130" s="40"/>
      <c r="H130" s="40"/>
      <c r="I130" s="40"/>
      <c r="J130" s="40"/>
      <c r="K130" s="40"/>
      <c r="L130" s="40"/>
      <c r="M130" s="40"/>
      <c r="N130" s="4"/>
      <c r="O130" s="4"/>
      <c r="P130" s="110"/>
      <c r="Q130" s="4"/>
      <c r="R130" s="4"/>
      <c r="S130" s="4"/>
      <c r="T130" s="4"/>
      <c r="U130" s="4"/>
      <c r="V130" s="4"/>
      <c r="W130" s="4"/>
      <c r="X130" s="4"/>
      <c r="Y130" s="4"/>
      <c r="Z130" s="4"/>
      <c r="AA130" s="4"/>
      <c r="AB130" s="4"/>
      <c r="AL130" s="4"/>
      <c r="AR130" s="274"/>
      <c r="AV130" s="274"/>
      <c r="AY130" s="40"/>
      <c r="AZ130" s="274"/>
      <c r="BC130" s="40"/>
      <c r="BD130" s="274"/>
      <c r="BG130" s="40"/>
    </row>
    <row r="131" spans="2:59" ht="13.5" customHeight="1">
      <c r="B131" s="1" t="s">
        <v>504</v>
      </c>
      <c r="C131" s="4">
        <f>6.986+48.651</f>
        <v>55.637</v>
      </c>
      <c r="D131" s="4">
        <f>4.262+1.93+311.682</f>
        <v>317.87400000000002</v>
      </c>
      <c r="E131" s="4">
        <f>3.58+2.054</f>
        <v>5.6340000000000003</v>
      </c>
      <c r="F131" s="4">
        <f>2.368+2.022</f>
        <v>4.3899999999999997</v>
      </c>
      <c r="G131" s="4">
        <f>1.862+2.318</f>
        <v>4.18</v>
      </c>
      <c r="H131" s="4">
        <v>2.415</v>
      </c>
      <c r="I131" s="4">
        <f>144.261+151.543</f>
        <v>295.80399999999997</v>
      </c>
      <c r="J131" s="4">
        <f>241.411+271.468</f>
        <v>512.87900000000002</v>
      </c>
      <c r="K131" s="4">
        <f>480.636+2291.239+364.993</f>
        <v>3136.8679999999999</v>
      </c>
      <c r="L131" s="6">
        <f>BG131</f>
        <v>5356.88</v>
      </c>
      <c r="M131" s="6"/>
      <c r="N131" s="4"/>
      <c r="O131" s="4"/>
      <c r="P131" s="110"/>
      <c r="Q131" s="4"/>
      <c r="R131" s="4"/>
      <c r="S131" s="4"/>
      <c r="T131" s="4"/>
      <c r="U131" s="4"/>
      <c r="V131" s="4"/>
      <c r="W131" s="4"/>
      <c r="X131" s="4"/>
      <c r="Y131" s="4"/>
      <c r="Z131" s="4"/>
      <c r="AA131" s="4"/>
      <c r="AB131" s="4"/>
      <c r="AC131" s="4">
        <f>3.5+166.746+1.706</f>
        <v>171.952</v>
      </c>
      <c r="AD131" s="4">
        <f>3.322+180.707+1.717</f>
        <v>185.74600000000001</v>
      </c>
      <c r="AE131" s="4">
        <f>3.323+179.647+1.815</f>
        <v>184.785</v>
      </c>
      <c r="AF131" s="6">
        <f>E131</f>
        <v>5.6340000000000003</v>
      </c>
      <c r="AG131" s="4">
        <f>3.54+2.187</f>
        <v>5.7270000000000003</v>
      </c>
      <c r="AH131" s="4">
        <f>2.915+2.005</f>
        <v>4.92</v>
      </c>
      <c r="AI131" s="4">
        <f>2.56+1.958</f>
        <v>4.5179999999999998</v>
      </c>
      <c r="AJ131" s="6">
        <f>F131</f>
        <v>4.3899999999999997</v>
      </c>
      <c r="AK131" s="4">
        <f>2.151+2.071</f>
        <v>4.2219999999999995</v>
      </c>
      <c r="AL131" s="4">
        <f>2.068+2.289</f>
        <v>4.3570000000000002</v>
      </c>
      <c r="AM131" s="4">
        <f>2.15+2.764</f>
        <v>4.9139999999999997</v>
      </c>
      <c r="AN131" s="276">
        <f>G131</f>
        <v>4.18</v>
      </c>
      <c r="AO131" s="4">
        <f>2.079+1.886</f>
        <v>3.9649999999999999</v>
      </c>
      <c r="AP131" s="4">
        <f>1.659+1.959</f>
        <v>3.6180000000000003</v>
      </c>
      <c r="AQ131" s="4">
        <f>1.072+1.847</f>
        <v>2.919</v>
      </c>
      <c r="AR131" s="274">
        <f>H131</f>
        <v>2.415</v>
      </c>
      <c r="AS131" s="4">
        <v>1.605</v>
      </c>
      <c r="AT131" s="4">
        <v>1.2170000000000001</v>
      </c>
      <c r="AU131" s="4">
        <f>0+0.656</f>
        <v>0.65600000000000003</v>
      </c>
      <c r="AV131" s="274">
        <f>I131</f>
        <v>295.80399999999997</v>
      </c>
      <c r="AW131" s="4">
        <f>113.972+120.078</f>
        <v>234.05</v>
      </c>
      <c r="AX131" s="4">
        <f>120.153+126.59</f>
        <v>246.74299999999999</v>
      </c>
      <c r="AY131" s="4">
        <f>159.123+189.544</f>
        <v>348.66700000000003</v>
      </c>
      <c r="AZ131" s="274">
        <f>J131</f>
        <v>512.87900000000002</v>
      </c>
      <c r="BA131" s="4">
        <f>261.525+186.362</f>
        <v>447.88699999999994</v>
      </c>
      <c r="BB131" s="4">
        <f>260.265+63.285</f>
        <v>323.54999999999995</v>
      </c>
      <c r="BC131" s="4">
        <f>470.838+2306.332</f>
        <v>2777.17</v>
      </c>
      <c r="BD131" s="274">
        <f>K131</f>
        <v>3136.8679999999999</v>
      </c>
      <c r="BE131" s="4">
        <f>496.861+2283.288+374.283</f>
        <v>3154.4319999999998</v>
      </c>
      <c r="BF131" s="4">
        <f>748.37+3545.737+504.479</f>
        <v>4798.5860000000002</v>
      </c>
      <c r="BG131" s="4">
        <f>727.093+3871.073+758.714</f>
        <v>5356.88</v>
      </c>
    </row>
    <row r="132" spans="2:59" ht="13.5" customHeight="1">
      <c r="B132" s="5" t="s">
        <v>31</v>
      </c>
      <c r="C132" s="8">
        <f t="shared" ref="C132:L132" si="317">C131</f>
        <v>55.637</v>
      </c>
      <c r="D132" s="8">
        <f t="shared" si="317"/>
        <v>317.87400000000002</v>
      </c>
      <c r="E132" s="8">
        <f t="shared" si="317"/>
        <v>5.6340000000000003</v>
      </c>
      <c r="F132" s="8">
        <f t="shared" si="317"/>
        <v>4.3899999999999997</v>
      </c>
      <c r="G132" s="8">
        <f t="shared" si="317"/>
        <v>4.18</v>
      </c>
      <c r="H132" s="8">
        <f>H131</f>
        <v>2.415</v>
      </c>
      <c r="I132" s="8">
        <f>I131</f>
        <v>295.80399999999997</v>
      </c>
      <c r="J132" s="8">
        <f>J131</f>
        <v>512.87900000000002</v>
      </c>
      <c r="K132" s="8">
        <f>K131</f>
        <v>3136.8679999999999</v>
      </c>
      <c r="L132" s="8">
        <f t="shared" si="317"/>
        <v>5356.88</v>
      </c>
      <c r="M132" s="8"/>
      <c r="N132" s="4"/>
      <c r="O132" s="4"/>
      <c r="P132" s="110"/>
      <c r="Q132" s="4"/>
      <c r="R132" s="4"/>
      <c r="S132" s="4"/>
      <c r="T132" s="4"/>
      <c r="U132" s="4"/>
      <c r="V132" s="4"/>
      <c r="W132" s="4"/>
      <c r="X132" s="4"/>
      <c r="Y132" s="4"/>
      <c r="Z132" s="4"/>
      <c r="AA132" s="4"/>
      <c r="AB132" s="4"/>
      <c r="AC132" s="8">
        <f t="shared" ref="AC132:AI132" si="318">AC131</f>
        <v>171.952</v>
      </c>
      <c r="AD132" s="8">
        <f t="shared" si="318"/>
        <v>185.74600000000001</v>
      </c>
      <c r="AE132" s="8">
        <f t="shared" si="318"/>
        <v>184.785</v>
      </c>
      <c r="AF132" s="8">
        <f t="shared" si="318"/>
        <v>5.6340000000000003</v>
      </c>
      <c r="AG132" s="8">
        <f t="shared" si="318"/>
        <v>5.7270000000000003</v>
      </c>
      <c r="AH132" s="8">
        <f t="shared" si="318"/>
        <v>4.92</v>
      </c>
      <c r="AI132" s="8">
        <f t="shared" si="318"/>
        <v>4.5179999999999998</v>
      </c>
      <c r="AJ132" s="8">
        <f t="shared" ref="AJ132:AO132" si="319">AJ131</f>
        <v>4.3899999999999997</v>
      </c>
      <c r="AK132" s="8">
        <f t="shared" si="319"/>
        <v>4.2219999999999995</v>
      </c>
      <c r="AL132" s="8">
        <f t="shared" si="319"/>
        <v>4.3570000000000002</v>
      </c>
      <c r="AM132" s="8">
        <f t="shared" si="319"/>
        <v>4.9139999999999997</v>
      </c>
      <c r="AN132" s="8">
        <f t="shared" si="319"/>
        <v>4.18</v>
      </c>
      <c r="AO132" s="8">
        <f t="shared" si="319"/>
        <v>3.9649999999999999</v>
      </c>
      <c r="AP132" s="8">
        <f t="shared" ref="AP132:AU132" si="320">AP131</f>
        <v>3.6180000000000003</v>
      </c>
      <c r="AQ132" s="8">
        <f t="shared" si="320"/>
        <v>2.919</v>
      </c>
      <c r="AR132" s="8">
        <f t="shared" si="320"/>
        <v>2.415</v>
      </c>
      <c r="AS132" s="8">
        <f t="shared" si="320"/>
        <v>1.605</v>
      </c>
      <c r="AT132" s="8">
        <f t="shared" si="320"/>
        <v>1.2170000000000001</v>
      </c>
      <c r="AU132" s="8">
        <f t="shared" si="320"/>
        <v>0.65600000000000003</v>
      </c>
      <c r="AV132" s="8">
        <f t="shared" ref="AV132:BA132" si="321">AV131</f>
        <v>295.80399999999997</v>
      </c>
      <c r="AW132" s="8">
        <f t="shared" si="321"/>
        <v>234.05</v>
      </c>
      <c r="AX132" s="8">
        <f t="shared" si="321"/>
        <v>246.74299999999999</v>
      </c>
      <c r="AY132" s="8">
        <f t="shared" si="321"/>
        <v>348.66700000000003</v>
      </c>
      <c r="AZ132" s="8">
        <f t="shared" si="321"/>
        <v>512.87900000000002</v>
      </c>
      <c r="BA132" s="8">
        <f t="shared" si="321"/>
        <v>447.88699999999994</v>
      </c>
      <c r="BB132" s="8">
        <f t="shared" ref="BB132:BG132" si="322">BB131</f>
        <v>323.54999999999995</v>
      </c>
      <c r="BC132" s="8">
        <f t="shared" si="322"/>
        <v>2777.17</v>
      </c>
      <c r="BD132" s="8">
        <f t="shared" si="322"/>
        <v>3136.8679999999999</v>
      </c>
      <c r="BE132" s="8">
        <f t="shared" si="322"/>
        <v>3154.4319999999998</v>
      </c>
      <c r="BF132" s="8">
        <f t="shared" si="322"/>
        <v>4798.5860000000002</v>
      </c>
      <c r="BG132" s="8">
        <f t="shared" si="322"/>
        <v>5356.88</v>
      </c>
    </row>
    <row r="133" spans="2:59" ht="13.5" customHeight="1">
      <c r="B133" s="5"/>
      <c r="C133" s="40"/>
      <c r="D133" s="40"/>
      <c r="E133" s="40"/>
      <c r="F133" s="40"/>
      <c r="G133" s="40"/>
      <c r="H133" s="40"/>
      <c r="I133" s="40"/>
      <c r="J133" s="40"/>
      <c r="K133" s="40"/>
      <c r="L133" s="40"/>
      <c r="M133" s="40"/>
      <c r="N133" s="4"/>
      <c r="O133" s="4"/>
      <c r="P133" s="110"/>
      <c r="Q133" s="4"/>
      <c r="R133" s="4"/>
      <c r="S133" s="4"/>
      <c r="T133" s="4"/>
      <c r="U133" s="4"/>
      <c r="V133" s="4"/>
      <c r="W133" s="4"/>
      <c r="X133" s="4"/>
      <c r="Y133" s="4"/>
      <c r="Z133" s="4"/>
      <c r="AA133" s="4"/>
      <c r="AB133" s="4"/>
      <c r="AC133" s="40"/>
      <c r="AD133" s="40"/>
      <c r="AE133" s="40"/>
      <c r="AG133" s="40"/>
      <c r="AH133" s="40"/>
      <c r="AI133" s="40"/>
      <c r="AK133" s="40"/>
      <c r="AL133" s="4"/>
      <c r="AM133" s="40"/>
      <c r="AN133" s="40"/>
      <c r="AO133" s="40"/>
      <c r="AP133" s="40"/>
      <c r="AQ133" s="40"/>
      <c r="AR133" s="40"/>
      <c r="AS133" s="40"/>
      <c r="AT133" s="40"/>
      <c r="AU133" s="40"/>
      <c r="AV133" s="40"/>
      <c r="AW133" s="40"/>
      <c r="AX133" s="40"/>
      <c r="AY133" s="40"/>
      <c r="AZ133" s="40"/>
      <c r="BA133" s="40"/>
      <c r="BB133" s="40"/>
      <c r="BC133" s="40"/>
      <c r="BD133" s="40"/>
      <c r="BE133" s="40"/>
      <c r="BF133" s="40"/>
      <c r="BG133" s="40"/>
    </row>
    <row r="134" spans="2:59" ht="13.5" customHeight="1">
      <c r="B134" s="1" t="s">
        <v>505</v>
      </c>
      <c r="C134" s="4">
        <f>1204.833+1639.816+755.953</f>
        <v>3600.6020000000003</v>
      </c>
      <c r="D134" s="4">
        <f>2086.871+130.109+196.385</f>
        <v>2413.3649999999998</v>
      </c>
      <c r="E134" s="4">
        <f>5300.756+1581.135+922.867</f>
        <v>7804.7580000000007</v>
      </c>
      <c r="F134" s="4">
        <f>6376.981+2643.112+1513.425</f>
        <v>10533.518</v>
      </c>
      <c r="G134" s="4">
        <f>7244.992+3737.393+2544.462</f>
        <v>13526.847</v>
      </c>
      <c r="H134" s="4">
        <f>6092.17+6712.297</f>
        <v>12804.467000000001</v>
      </c>
      <c r="I134" s="4">
        <f>7779.354+4049.824</f>
        <v>11829.178</v>
      </c>
      <c r="J134" s="4">
        <f>13084.545+6866.411</f>
        <v>19950.955999999998</v>
      </c>
      <c r="K134" s="4">
        <f>15653.822+4474.648+8395.861</f>
        <v>28524.331000000002</v>
      </c>
      <c r="L134" s="6">
        <f>BG134</f>
        <v>43885.582999999999</v>
      </c>
      <c r="M134" s="6"/>
      <c r="N134" s="4"/>
      <c r="O134" s="4"/>
      <c r="P134" s="110"/>
      <c r="Q134" s="4"/>
      <c r="R134" s="4"/>
      <c r="S134" s="4"/>
      <c r="T134" s="4"/>
      <c r="U134" s="4"/>
      <c r="V134" s="4"/>
      <c r="W134" s="4"/>
      <c r="X134" s="4"/>
      <c r="Y134" s="4"/>
      <c r="Z134" s="4"/>
      <c r="AA134" s="4"/>
      <c r="AB134" s="4"/>
      <c r="AC134" s="4">
        <f>1988.542+226.209+175.504</f>
        <v>2390.2549999999997</v>
      </c>
      <c r="AD134" s="4">
        <f>4815.288+155.112+674.873</f>
        <v>5645.2729999999992</v>
      </c>
      <c r="AE134" s="4">
        <f>4980.532+168.41+1246.124</f>
        <v>6395.0659999999998</v>
      </c>
      <c r="AF134" s="6">
        <f>E134</f>
        <v>7804.7580000000007</v>
      </c>
      <c r="AG134" s="4">
        <f>5695.747+2046.832+776.869</f>
        <v>8519.4480000000003</v>
      </c>
      <c r="AH134" s="4">
        <f>5491.941+2680.296+1107.561</f>
        <v>9279.7979999999989</v>
      </c>
      <c r="AI134" s="4">
        <f>6042.349+2832.264+1143.22</f>
        <v>10017.833000000001</v>
      </c>
      <c r="AJ134" s="6">
        <f>F134</f>
        <v>10533.518</v>
      </c>
      <c r="AK134" s="4">
        <f>6809.94+3213.374+1733.279</f>
        <v>11756.592999999999</v>
      </c>
      <c r="AL134" s="4">
        <f>6800.121+3904.738+1890.125</f>
        <v>12594.984</v>
      </c>
      <c r="AM134" s="4">
        <f>8456.666+4902.337+2502.709</f>
        <v>15861.712</v>
      </c>
      <c r="AN134" s="276">
        <f>G134</f>
        <v>13526.847</v>
      </c>
      <c r="AO134" s="4">
        <f>9162.067+3723.55+2947.632</f>
        <v>15833.248999999998</v>
      </c>
      <c r="AP134" s="4">
        <f>8288.946+2507.607+4044.652</f>
        <v>14841.205</v>
      </c>
      <c r="AQ134" s="4">
        <f>6590.932+6901.105</f>
        <v>13492.037</v>
      </c>
      <c r="AR134" s="274">
        <f>H134</f>
        <v>12804.467000000001</v>
      </c>
      <c r="AS134" s="4">
        <f>6883.756+4517.814</f>
        <v>11401.57</v>
      </c>
      <c r="AT134" s="4">
        <f>7001.661+4521.498</f>
        <v>11523.159</v>
      </c>
      <c r="AU134" s="4">
        <f>8106.699+4843.459</f>
        <v>12950.157999999999</v>
      </c>
      <c r="AV134" s="274">
        <f>I134</f>
        <v>11829.178</v>
      </c>
      <c r="AW134" s="4">
        <f>9456.983+4446.393</f>
        <v>13903.376</v>
      </c>
      <c r="AX134" s="4">
        <f>8742.966+4139.646</f>
        <v>12882.612000000001</v>
      </c>
      <c r="AY134" s="4">
        <f>8920.193+4429.042</f>
        <v>13349.235000000001</v>
      </c>
      <c r="AZ134" s="274">
        <f>J134</f>
        <v>19950.955999999998</v>
      </c>
      <c r="BA134" s="4">
        <f>(14133872+8390138)/1000</f>
        <v>22524.01</v>
      </c>
      <c r="BB134" s="4">
        <f>17668.607+3894.653+6618.986</f>
        <v>28182.245999999999</v>
      </c>
      <c r="BC134" s="4">
        <f>16202.489+3252.356+7963.798</f>
        <v>27418.643</v>
      </c>
      <c r="BD134" s="274">
        <f>K134</f>
        <v>28524.331000000002</v>
      </c>
      <c r="BE134" s="4">
        <f>16956.803+4739.382+9943.964</f>
        <v>31640.148999999998</v>
      </c>
      <c r="BF134" s="4">
        <f>22288.688+6804.215+12887.935</f>
        <v>41980.837999999996</v>
      </c>
      <c r="BG134" s="4">
        <f>7629.588+23301.277+12954.718</f>
        <v>43885.582999999999</v>
      </c>
    </row>
    <row r="135" spans="2:59" ht="13.5" customHeight="1">
      <c r="B135" s="1" t="s">
        <v>506</v>
      </c>
      <c r="C135" s="43">
        <v>0</v>
      </c>
      <c r="D135" s="43">
        <f>1360.204+80.959</f>
        <v>1441.163</v>
      </c>
      <c r="E135" s="43">
        <f>1589.227+94.473+238.956</f>
        <v>1922.6559999999999</v>
      </c>
      <c r="F135" s="43">
        <f>1770.482+105.039</f>
        <v>1875.521</v>
      </c>
      <c r="G135" s="43">
        <f>4845.827+74.997+289.738</f>
        <v>5210.5620000000008</v>
      </c>
      <c r="H135" s="43">
        <f>5483.921+481.869</f>
        <v>5965.79</v>
      </c>
      <c r="I135" s="43">
        <f>6901.075+461.479</f>
        <v>7362.5540000000001</v>
      </c>
      <c r="J135" s="43">
        <f>12560.897+847.536</f>
        <v>13408.433000000001</v>
      </c>
      <c r="K135" s="43">
        <f>17006.088+1124.712+1007.12</f>
        <v>19137.919999999998</v>
      </c>
      <c r="L135" s="6">
        <f>BG135</f>
        <v>30056.196</v>
      </c>
      <c r="M135" s="6"/>
      <c r="N135" s="4"/>
      <c r="O135" s="4"/>
      <c r="P135" s="110"/>
      <c r="Q135" s="4"/>
      <c r="R135" s="4"/>
      <c r="S135" s="4"/>
      <c r="T135" s="4"/>
      <c r="U135" s="4"/>
      <c r="V135" s="4"/>
      <c r="W135" s="4"/>
      <c r="X135" s="4"/>
      <c r="Y135" s="4"/>
      <c r="Z135" s="4"/>
      <c r="AA135" s="4"/>
      <c r="AB135" s="4"/>
      <c r="AC135" s="43">
        <f>1345.266+80.07</f>
        <v>1425.336</v>
      </c>
      <c r="AD135" s="43">
        <f>1354.657+80.562</f>
        <v>1435.2189999999998</v>
      </c>
      <c r="AE135" s="43">
        <f>1423.703+84.669</f>
        <v>1508.3720000000001</v>
      </c>
      <c r="AF135" s="6">
        <f>E135</f>
        <v>1922.6559999999999</v>
      </c>
      <c r="AG135" s="43">
        <f>1667.413+99.12+388.459</f>
        <v>2154.9919999999997</v>
      </c>
      <c r="AH135" s="43">
        <f>1617.948+147.43+96.078</f>
        <v>1861.4560000000001</v>
      </c>
      <c r="AI135" s="43">
        <f>1690.521+100.387</f>
        <v>1790.9079999999999</v>
      </c>
      <c r="AJ135" s="6">
        <f>F135</f>
        <v>1875.521</v>
      </c>
      <c r="AK135" s="43">
        <f>1880.924+111.592+124.951</f>
        <v>2117.4670000000001</v>
      </c>
      <c r="AL135" s="4">
        <f>4204.11+251.621+124.952</f>
        <v>4580.683</v>
      </c>
      <c r="AM135" s="43">
        <f>5594.684+334.855</f>
        <v>5929.5390000000007</v>
      </c>
      <c r="AN135" s="276">
        <f>G135</f>
        <v>5210.5620000000008</v>
      </c>
      <c r="AO135" s="43">
        <f>5208.539+99.999+311.395</f>
        <v>5619.9329999999991</v>
      </c>
      <c r="AP135" s="43">
        <f>5251.708+74.997+313.619</f>
        <v>5640.3239999999996</v>
      </c>
      <c r="AQ135" s="43">
        <f>5242.895+393.339</f>
        <v>5636.2340000000004</v>
      </c>
      <c r="AR135" s="274">
        <f>H135</f>
        <v>5965.79</v>
      </c>
      <c r="AS135" s="43">
        <f>6075.657+538.956</f>
        <v>6614.6130000000003</v>
      </c>
      <c r="AT135" s="43">
        <f>6291.163+474.939</f>
        <v>6766.1019999999999</v>
      </c>
      <c r="AU135" s="43">
        <f>7288.694+536.398</f>
        <v>7825.0920000000006</v>
      </c>
      <c r="AV135" s="274">
        <f>I135</f>
        <v>7362.5540000000001</v>
      </c>
      <c r="AW135" s="43">
        <f>7944.324+566.274</f>
        <v>8510.598</v>
      </c>
      <c r="AX135" s="43">
        <f>8191.637+584.479</f>
        <v>8776.116</v>
      </c>
      <c r="AY135" s="43">
        <f>8448.481+502.096</f>
        <v>8950.5769999999993</v>
      </c>
      <c r="AZ135" s="274">
        <f>J135</f>
        <v>13408.433000000001</v>
      </c>
      <c r="BA135" s="43">
        <f>(13777738+1122094)/1000</f>
        <v>14899.832</v>
      </c>
      <c r="BB135" s="43">
        <f>496.741 +15137.436+897.596</f>
        <v>16531.773000000001</v>
      </c>
      <c r="BC135" s="43">
        <f>17059.878+546.544+1011.591</f>
        <v>18618.013000000003</v>
      </c>
      <c r="BD135" s="274">
        <f>K135</f>
        <v>19137.919999999998</v>
      </c>
      <c r="BE135" s="43">
        <f>17672.977+1580.764+1046.615</f>
        <v>20300.356</v>
      </c>
      <c r="BF135" s="43">
        <f>23511.069+1580.446+1390.415</f>
        <v>26481.93</v>
      </c>
      <c r="BG135" s="43">
        <f>3254.006+1496.546+25305.644</f>
        <v>30056.196</v>
      </c>
    </row>
    <row r="136" spans="2:59" ht="13.5" customHeight="1">
      <c r="B136" s="1" t="s">
        <v>507</v>
      </c>
      <c r="C136" s="43">
        <v>0.83699999999999997</v>
      </c>
      <c r="D136" s="43">
        <v>0</v>
      </c>
      <c r="E136" s="43">
        <v>0</v>
      </c>
      <c r="F136" s="43">
        <v>0</v>
      </c>
      <c r="G136" s="43">
        <v>0</v>
      </c>
      <c r="H136" s="43">
        <v>0</v>
      </c>
      <c r="I136" s="43">
        <v>0</v>
      </c>
      <c r="J136" s="43">
        <v>0</v>
      </c>
      <c r="K136" s="43">
        <v>0</v>
      </c>
      <c r="L136" s="6">
        <f>BG136</f>
        <v>0</v>
      </c>
      <c r="M136" s="6"/>
      <c r="N136" s="4"/>
      <c r="O136" s="4"/>
      <c r="P136" s="110"/>
      <c r="Q136" s="4"/>
      <c r="R136" s="4"/>
      <c r="S136" s="4"/>
      <c r="T136" s="4"/>
      <c r="U136" s="4"/>
      <c r="V136" s="4"/>
      <c r="W136" s="4"/>
      <c r="X136" s="4"/>
      <c r="Y136" s="4"/>
      <c r="Z136" s="4"/>
      <c r="AA136" s="4"/>
      <c r="AB136" s="4"/>
      <c r="AC136" s="43">
        <f>3.062+0.026</f>
        <v>3.0879999999999996</v>
      </c>
      <c r="AD136" s="43">
        <f>37.714+0.896</f>
        <v>38.61</v>
      </c>
      <c r="AE136" s="43">
        <v>49.37</v>
      </c>
      <c r="AF136" s="6">
        <f>E136</f>
        <v>0</v>
      </c>
      <c r="AG136" s="43">
        <v>0</v>
      </c>
      <c r="AH136" s="43">
        <v>0</v>
      </c>
      <c r="AI136" s="43">
        <v>0</v>
      </c>
      <c r="AJ136" s="6">
        <f>F136</f>
        <v>0</v>
      </c>
      <c r="AK136" s="43">
        <v>0</v>
      </c>
      <c r="AL136" s="4">
        <v>0</v>
      </c>
      <c r="AM136" s="43">
        <v>0</v>
      </c>
      <c r="AN136" s="276">
        <f>G136</f>
        <v>0</v>
      </c>
      <c r="AO136" s="43">
        <v>0</v>
      </c>
      <c r="AP136" s="43">
        <v>0</v>
      </c>
      <c r="AQ136" s="43">
        <v>0</v>
      </c>
      <c r="AR136" s="274">
        <f>H136</f>
        <v>0</v>
      </c>
      <c r="AS136" s="43">
        <v>0</v>
      </c>
      <c r="AT136" s="43">
        <v>0</v>
      </c>
      <c r="AU136" s="43">
        <v>0</v>
      </c>
      <c r="AV136" s="274">
        <f>I136</f>
        <v>0</v>
      </c>
      <c r="AW136" s="43">
        <v>0</v>
      </c>
      <c r="AX136" s="43">
        <v>0</v>
      </c>
      <c r="AY136" s="43">
        <v>0</v>
      </c>
      <c r="AZ136" s="274">
        <f>J136</f>
        <v>0</v>
      </c>
      <c r="BA136" s="43">
        <v>0</v>
      </c>
      <c r="BB136" s="43">
        <v>0</v>
      </c>
      <c r="BC136" s="43">
        <v>0</v>
      </c>
      <c r="BD136" s="274">
        <f>K136</f>
        <v>0</v>
      </c>
      <c r="BE136" s="43">
        <v>0</v>
      </c>
      <c r="BF136" s="43">
        <v>0</v>
      </c>
      <c r="BG136" s="43">
        <v>0</v>
      </c>
    </row>
    <row r="137" spans="2:59" ht="13.5" customHeight="1">
      <c r="B137" s="5" t="s">
        <v>508</v>
      </c>
      <c r="C137" s="58">
        <f t="shared" ref="C137:H137" si="323">C132+C134+C135+C136</f>
        <v>3657.0760000000005</v>
      </c>
      <c r="D137" s="58">
        <f t="shared" si="323"/>
        <v>4172.402</v>
      </c>
      <c r="E137" s="58">
        <f t="shared" si="323"/>
        <v>9733.0480000000007</v>
      </c>
      <c r="F137" s="58">
        <f t="shared" si="323"/>
        <v>12413.429</v>
      </c>
      <c r="G137" s="58">
        <f t="shared" si="323"/>
        <v>18741.589</v>
      </c>
      <c r="H137" s="58">
        <f t="shared" si="323"/>
        <v>18772.672000000002</v>
      </c>
      <c r="I137" s="58">
        <f>I132+I134+I135+I136</f>
        <v>19487.536</v>
      </c>
      <c r="J137" s="58">
        <f>J132+J134+J135+J136</f>
        <v>33872.267999999996</v>
      </c>
      <c r="K137" s="58">
        <f>K132+K134+K135+K136</f>
        <v>50799.118999999999</v>
      </c>
      <c r="L137" s="58">
        <f t="shared" ref="L137:AN137" si="324">L132+L134+L135+L136</f>
        <v>79298.659</v>
      </c>
      <c r="M137" s="58"/>
      <c r="N137" s="58">
        <f t="shared" si="324"/>
        <v>0</v>
      </c>
      <c r="O137" s="58">
        <f t="shared" si="324"/>
        <v>0</v>
      </c>
      <c r="P137" s="58">
        <f t="shared" si="324"/>
        <v>0</v>
      </c>
      <c r="Q137" s="58">
        <f t="shared" si="324"/>
        <v>0</v>
      </c>
      <c r="R137" s="58">
        <f t="shared" si="324"/>
        <v>0</v>
      </c>
      <c r="S137" s="58">
        <f t="shared" si="324"/>
        <v>0</v>
      </c>
      <c r="T137" s="58">
        <f t="shared" si="324"/>
        <v>0</v>
      </c>
      <c r="U137" s="58">
        <f t="shared" si="324"/>
        <v>0</v>
      </c>
      <c r="V137" s="58">
        <f t="shared" si="324"/>
        <v>0</v>
      </c>
      <c r="W137" s="58">
        <f t="shared" si="324"/>
        <v>0</v>
      </c>
      <c r="X137" s="58">
        <f t="shared" si="324"/>
        <v>0</v>
      </c>
      <c r="Y137" s="58">
        <f t="shared" si="324"/>
        <v>0</v>
      </c>
      <c r="Z137" s="58">
        <f t="shared" si="324"/>
        <v>0</v>
      </c>
      <c r="AA137" s="58">
        <f t="shared" si="324"/>
        <v>0</v>
      </c>
      <c r="AB137" s="58">
        <f t="shared" si="324"/>
        <v>0</v>
      </c>
      <c r="AC137" s="58">
        <f t="shared" si="324"/>
        <v>3990.6309999999999</v>
      </c>
      <c r="AD137" s="58">
        <f t="shared" si="324"/>
        <v>7304.847999999999</v>
      </c>
      <c r="AE137" s="58">
        <f t="shared" si="324"/>
        <v>8137.5929999999998</v>
      </c>
      <c r="AF137" s="58">
        <f t="shared" si="324"/>
        <v>9733.0480000000007</v>
      </c>
      <c r="AG137" s="58">
        <f t="shared" si="324"/>
        <v>10680.167000000001</v>
      </c>
      <c r="AH137" s="58">
        <f t="shared" si="324"/>
        <v>11146.173999999999</v>
      </c>
      <c r="AI137" s="58">
        <f t="shared" si="324"/>
        <v>11813.259</v>
      </c>
      <c r="AJ137" s="58">
        <f t="shared" si="324"/>
        <v>12413.429</v>
      </c>
      <c r="AK137" s="58">
        <f t="shared" si="324"/>
        <v>13878.281999999999</v>
      </c>
      <c r="AL137" s="58">
        <f t="shared" si="324"/>
        <v>17180.024000000001</v>
      </c>
      <c r="AM137" s="58">
        <f t="shared" si="324"/>
        <v>21796.165000000001</v>
      </c>
      <c r="AN137" s="58">
        <f t="shared" si="324"/>
        <v>18741.589</v>
      </c>
      <c r="AO137" s="58">
        <f t="shared" ref="AO137:AT137" si="325">AO132+AO134+AO135+AO136</f>
        <v>21457.146999999997</v>
      </c>
      <c r="AP137" s="58">
        <f t="shared" si="325"/>
        <v>20485.147000000001</v>
      </c>
      <c r="AQ137" s="58">
        <f t="shared" si="325"/>
        <v>19131.190000000002</v>
      </c>
      <c r="AR137" s="58">
        <f t="shared" si="325"/>
        <v>18772.672000000002</v>
      </c>
      <c r="AS137" s="58">
        <f t="shared" si="325"/>
        <v>18017.788</v>
      </c>
      <c r="AT137" s="58">
        <f t="shared" si="325"/>
        <v>18290.477999999999</v>
      </c>
      <c r="AU137" s="58">
        <f t="shared" ref="AU137:AZ137" si="326">AU132+AU134+AU135+AU136</f>
        <v>20775.906000000003</v>
      </c>
      <c r="AV137" s="58">
        <f t="shared" si="326"/>
        <v>19487.536</v>
      </c>
      <c r="AW137" s="58">
        <f t="shared" si="326"/>
        <v>22648.023999999998</v>
      </c>
      <c r="AX137" s="58">
        <f t="shared" si="326"/>
        <v>21905.471000000001</v>
      </c>
      <c r="AY137" s="58">
        <f t="shared" si="326"/>
        <v>22648.478999999999</v>
      </c>
      <c r="AZ137" s="58">
        <f t="shared" si="326"/>
        <v>33872.267999999996</v>
      </c>
      <c r="BA137" s="58">
        <f t="shared" ref="BA137:BG137" si="327">BA132+BA134+BA135+BA136</f>
        <v>37871.728999999999</v>
      </c>
      <c r="BB137" s="58">
        <f t="shared" si="327"/>
        <v>45037.569000000003</v>
      </c>
      <c r="BC137" s="58">
        <f t="shared" si="327"/>
        <v>48813.826000000001</v>
      </c>
      <c r="BD137" s="58">
        <f t="shared" si="327"/>
        <v>50799.118999999999</v>
      </c>
      <c r="BE137" s="58">
        <f t="shared" si="327"/>
        <v>55094.936999999998</v>
      </c>
      <c r="BF137" s="58">
        <f t="shared" si="327"/>
        <v>73261.353999999992</v>
      </c>
      <c r="BG137" s="58">
        <f t="shared" si="327"/>
        <v>79298.659</v>
      </c>
    </row>
    <row r="138" spans="2:59" ht="13.5" customHeight="1">
      <c r="B138" s="1" t="s">
        <v>336</v>
      </c>
      <c r="C138" s="43"/>
      <c r="D138" s="43"/>
      <c r="E138" s="43"/>
      <c r="F138" s="43"/>
      <c r="G138" s="43">
        <f>1026.955+366.845+20.156</f>
        <v>1413.9559999999999</v>
      </c>
      <c r="H138" s="43">
        <f>1101.303+431.752</f>
        <v>1533.0550000000001</v>
      </c>
      <c r="I138" s="43">
        <f>1521.713+577.173</f>
        <v>2098.886</v>
      </c>
      <c r="J138" s="43">
        <f>2012.81+893.055</f>
        <v>2905.8649999999998</v>
      </c>
      <c r="K138" s="43">
        <f>873.277+2181.954</f>
        <v>3055.2310000000002</v>
      </c>
      <c r="L138" s="6">
        <f>BG138</f>
        <v>4153.5300000000007</v>
      </c>
      <c r="M138" s="6"/>
      <c r="N138" s="4"/>
      <c r="O138" s="4"/>
      <c r="P138" s="110"/>
      <c r="Q138" s="4"/>
      <c r="R138" s="4"/>
      <c r="S138" s="4"/>
      <c r="T138" s="4"/>
      <c r="U138" s="4"/>
      <c r="V138" s="4"/>
      <c r="W138" s="4"/>
      <c r="X138" s="4"/>
      <c r="Y138" s="4"/>
      <c r="Z138" s="4"/>
      <c r="AA138" s="4"/>
      <c r="AB138" s="4"/>
      <c r="AC138" s="43"/>
      <c r="AD138" s="43"/>
      <c r="AE138" s="43"/>
      <c r="AF138" s="6"/>
      <c r="AG138" s="43"/>
      <c r="AH138" s="43"/>
      <c r="AI138" s="43"/>
      <c r="AJ138" s="6"/>
      <c r="AK138" s="43"/>
      <c r="AL138" s="4"/>
      <c r="AM138" s="43"/>
      <c r="AN138" s="276">
        <f>G138</f>
        <v>1413.9559999999999</v>
      </c>
      <c r="AO138" s="43">
        <f>1034.994+357.202+17.527</f>
        <v>1409.723</v>
      </c>
      <c r="AP138" s="43">
        <f>1016.188+560.684</f>
        <v>1576.8719999999998</v>
      </c>
      <c r="AQ138" s="43">
        <f>1069.012+474.97</f>
        <v>1543.982</v>
      </c>
      <c r="AR138" s="274">
        <f>H138</f>
        <v>1533.0550000000001</v>
      </c>
      <c r="AS138" s="43">
        <f>1005.148+476.961</f>
        <v>1482.1089999999999</v>
      </c>
      <c r="AT138" s="43">
        <f>1069.55+416.374</f>
        <v>1485.924</v>
      </c>
      <c r="AU138" s="43">
        <f>1426.131+638.732</f>
        <v>2064.8630000000003</v>
      </c>
      <c r="AV138" s="274">
        <f>I138</f>
        <v>2098.886</v>
      </c>
      <c r="AW138" s="43">
        <f>1559.178+688.572</f>
        <v>2247.75</v>
      </c>
      <c r="AX138" s="43">
        <f>1561.784+610.155</f>
        <v>2171.9390000000003</v>
      </c>
      <c r="AY138" s="43">
        <f>1609.877+546.216</f>
        <v>2156.0929999999998</v>
      </c>
      <c r="AZ138" s="274">
        <f>J138</f>
        <v>2905.8649999999998</v>
      </c>
      <c r="BA138" s="43">
        <f>(2007193+976476)/1000</f>
        <v>2983.6689999999999</v>
      </c>
      <c r="BB138" s="43">
        <f>2141.035+1056.031</f>
        <v>3197.0659999999998</v>
      </c>
      <c r="BC138" s="43">
        <f>976.278+2131.572</f>
        <v>3107.8500000000004</v>
      </c>
      <c r="BD138" s="274">
        <f>K138</f>
        <v>3055.2310000000002</v>
      </c>
      <c r="BE138" s="43">
        <f>1255.332+2136.142</f>
        <v>3391.4740000000002</v>
      </c>
      <c r="BF138" s="43">
        <f>1351.801+2584.693</f>
        <v>3936.4940000000001</v>
      </c>
      <c r="BG138" s="43">
        <f>2796.304+1357.226</f>
        <v>4153.5300000000007</v>
      </c>
    </row>
    <row r="139" spans="2:59" s="5" customFormat="1" ht="13.5" customHeight="1">
      <c r="B139" s="5" t="s">
        <v>509</v>
      </c>
      <c r="C139" s="278">
        <f t="shared" ref="C139:L139" si="328">+C137+C138</f>
        <v>3657.0760000000005</v>
      </c>
      <c r="D139" s="278">
        <f t="shared" si="328"/>
        <v>4172.402</v>
      </c>
      <c r="E139" s="278">
        <f t="shared" si="328"/>
        <v>9733.0480000000007</v>
      </c>
      <c r="F139" s="278">
        <f t="shared" si="328"/>
        <v>12413.429</v>
      </c>
      <c r="G139" s="278">
        <f t="shared" si="328"/>
        <v>20155.544999999998</v>
      </c>
      <c r="H139" s="278">
        <f t="shared" si="328"/>
        <v>20305.727000000003</v>
      </c>
      <c r="I139" s="278">
        <f>+I137+I138</f>
        <v>21586.421999999999</v>
      </c>
      <c r="J139" s="278">
        <f>+J137+J138</f>
        <v>36778.132999999994</v>
      </c>
      <c r="K139" s="278">
        <f>+K137+K138</f>
        <v>53854.35</v>
      </c>
      <c r="L139" s="278">
        <f t="shared" si="328"/>
        <v>83452.188999999998</v>
      </c>
      <c r="M139" s="278"/>
      <c r="N139" s="278">
        <f t="shared" ref="N139:AN139" si="329">+N137+N138</f>
        <v>0</v>
      </c>
      <c r="O139" s="278">
        <f t="shared" si="329"/>
        <v>0</v>
      </c>
      <c r="P139" s="278">
        <f t="shared" si="329"/>
        <v>0</v>
      </c>
      <c r="Q139" s="278">
        <f t="shared" si="329"/>
        <v>0</v>
      </c>
      <c r="R139" s="278">
        <f t="shared" si="329"/>
        <v>0</v>
      </c>
      <c r="S139" s="278">
        <f t="shared" si="329"/>
        <v>0</v>
      </c>
      <c r="T139" s="278">
        <f t="shared" si="329"/>
        <v>0</v>
      </c>
      <c r="U139" s="278">
        <f t="shared" si="329"/>
        <v>0</v>
      </c>
      <c r="V139" s="278">
        <f t="shared" si="329"/>
        <v>0</v>
      </c>
      <c r="W139" s="278">
        <f t="shared" si="329"/>
        <v>0</v>
      </c>
      <c r="X139" s="278">
        <f t="shared" si="329"/>
        <v>0</v>
      </c>
      <c r="Y139" s="278">
        <f t="shared" si="329"/>
        <v>0</v>
      </c>
      <c r="Z139" s="278">
        <f t="shared" si="329"/>
        <v>0</v>
      </c>
      <c r="AA139" s="278">
        <f t="shared" si="329"/>
        <v>0</v>
      </c>
      <c r="AB139" s="278">
        <f t="shared" si="329"/>
        <v>0</v>
      </c>
      <c r="AC139" s="278">
        <f t="shared" si="329"/>
        <v>3990.6309999999999</v>
      </c>
      <c r="AD139" s="278">
        <f t="shared" si="329"/>
        <v>7304.847999999999</v>
      </c>
      <c r="AE139" s="278">
        <f t="shared" si="329"/>
        <v>8137.5929999999998</v>
      </c>
      <c r="AF139" s="278">
        <f t="shared" si="329"/>
        <v>9733.0480000000007</v>
      </c>
      <c r="AG139" s="278">
        <f t="shared" si="329"/>
        <v>10680.167000000001</v>
      </c>
      <c r="AH139" s="278">
        <f t="shared" si="329"/>
        <v>11146.173999999999</v>
      </c>
      <c r="AI139" s="278">
        <f t="shared" si="329"/>
        <v>11813.259</v>
      </c>
      <c r="AJ139" s="278">
        <f t="shared" si="329"/>
        <v>12413.429</v>
      </c>
      <c r="AK139" s="278">
        <f t="shared" si="329"/>
        <v>13878.281999999999</v>
      </c>
      <c r="AL139" s="278">
        <f t="shared" si="329"/>
        <v>17180.024000000001</v>
      </c>
      <c r="AM139" s="278">
        <f t="shared" si="329"/>
        <v>21796.165000000001</v>
      </c>
      <c r="AN139" s="278">
        <f t="shared" si="329"/>
        <v>20155.544999999998</v>
      </c>
      <c r="AO139" s="278">
        <f t="shared" ref="AO139:AT139" si="330">+AO137+AO138</f>
        <v>22866.869999999995</v>
      </c>
      <c r="AP139" s="278">
        <f t="shared" si="330"/>
        <v>22062.019</v>
      </c>
      <c r="AQ139" s="278">
        <f t="shared" si="330"/>
        <v>20675.172000000002</v>
      </c>
      <c r="AR139" s="278">
        <f t="shared" si="330"/>
        <v>20305.727000000003</v>
      </c>
      <c r="AS139" s="278">
        <f t="shared" si="330"/>
        <v>19499.897000000001</v>
      </c>
      <c r="AT139" s="278">
        <f t="shared" si="330"/>
        <v>19776.401999999998</v>
      </c>
      <c r="AU139" s="278">
        <f t="shared" ref="AU139:AZ139" si="331">+AU137+AU138</f>
        <v>22840.769000000004</v>
      </c>
      <c r="AV139" s="278">
        <f t="shared" si="331"/>
        <v>21586.421999999999</v>
      </c>
      <c r="AW139" s="278">
        <f t="shared" si="331"/>
        <v>24895.773999999998</v>
      </c>
      <c r="AX139" s="278">
        <f t="shared" si="331"/>
        <v>24077.410000000003</v>
      </c>
      <c r="AY139" s="278">
        <f t="shared" si="331"/>
        <v>24804.572</v>
      </c>
      <c r="AZ139" s="278">
        <f t="shared" si="331"/>
        <v>36778.132999999994</v>
      </c>
      <c r="BA139" s="278">
        <f t="shared" ref="BA139:BG139" si="332">+BA137+BA138</f>
        <v>40855.398000000001</v>
      </c>
      <c r="BB139" s="278">
        <f t="shared" si="332"/>
        <v>48234.635000000002</v>
      </c>
      <c r="BC139" s="278">
        <f t="shared" si="332"/>
        <v>51921.675999999999</v>
      </c>
      <c r="BD139" s="278">
        <f t="shared" si="332"/>
        <v>53854.35</v>
      </c>
      <c r="BE139" s="278">
        <f t="shared" si="332"/>
        <v>58486.411</v>
      </c>
      <c r="BF139" s="278">
        <f t="shared" si="332"/>
        <v>77197.847999999998</v>
      </c>
      <c r="BG139" s="278">
        <f t="shared" si="332"/>
        <v>83452.188999999998</v>
      </c>
    </row>
    <row r="140" spans="2:59" ht="13.5" customHeight="1">
      <c r="C140" s="40"/>
      <c r="D140" s="40"/>
      <c r="E140" s="40"/>
      <c r="F140" s="40"/>
      <c r="G140" s="40"/>
      <c r="H140" s="40"/>
      <c r="I140" s="40"/>
      <c r="J140" s="40"/>
      <c r="K140" s="40"/>
      <c r="L140" s="40"/>
      <c r="M140" s="40"/>
      <c r="N140" s="4"/>
      <c r="O140" s="4"/>
      <c r="P140" s="110"/>
      <c r="Q140" s="4"/>
      <c r="R140" s="4"/>
      <c r="S140" s="4"/>
      <c r="T140" s="4"/>
      <c r="U140" s="4"/>
      <c r="V140" s="4"/>
      <c r="W140" s="4"/>
      <c r="X140" s="4"/>
      <c r="Y140" s="4"/>
      <c r="Z140" s="4"/>
      <c r="AA140" s="4"/>
      <c r="AB140" s="4"/>
      <c r="AC140" s="40"/>
      <c r="AD140" s="40"/>
      <c r="AE140" s="40"/>
      <c r="AF140" s="40"/>
      <c r="AG140" s="40"/>
      <c r="AH140" s="40"/>
      <c r="AI140" s="40"/>
      <c r="AJ140" s="40"/>
      <c r="AK140" s="40"/>
      <c r="AL140" s="4"/>
      <c r="AM140" s="40"/>
      <c r="AN140" s="276"/>
      <c r="AO140" s="40"/>
      <c r="AP140" s="40"/>
      <c r="AQ140" s="40"/>
      <c r="AR140" s="40"/>
      <c r="AS140" s="40"/>
      <c r="AT140" s="40"/>
      <c r="AU140" s="40"/>
      <c r="AV140" s="40"/>
      <c r="AW140" s="40"/>
      <c r="AX140" s="40"/>
      <c r="AY140" s="40"/>
      <c r="AZ140" s="40"/>
      <c r="BA140" s="40"/>
      <c r="BB140" s="40"/>
      <c r="BC140" s="40"/>
      <c r="BD140" s="40"/>
      <c r="BE140" s="40"/>
      <c r="BF140" s="40"/>
      <c r="BG140" s="40"/>
    </row>
    <row r="141" spans="2:59" ht="13.5" customHeight="1">
      <c r="B141" s="7" t="s">
        <v>510</v>
      </c>
      <c r="C141" s="213">
        <v>9031.8809999999994</v>
      </c>
      <c r="D141" s="4">
        <v>2918.7959999999998</v>
      </c>
      <c r="E141" s="4">
        <v>6052.3519999999999</v>
      </c>
      <c r="F141" s="4">
        <v>4712.3329999999996</v>
      </c>
      <c r="G141" s="4">
        <v>7419.2389999999996</v>
      </c>
      <c r="H141" s="4">
        <v>10238.715</v>
      </c>
      <c r="I141" s="4">
        <v>11860.555</v>
      </c>
      <c r="J141" s="4">
        <v>18619.881000000001</v>
      </c>
      <c r="K141" s="4">
        <v>25940.065999999999</v>
      </c>
      <c r="L141" s="6">
        <f>BG141</f>
        <v>39053.480000000003</v>
      </c>
      <c r="M141" s="6"/>
      <c r="N141" s="40"/>
      <c r="O141" s="40"/>
      <c r="P141" s="97"/>
      <c r="Q141" s="40"/>
      <c r="R141" s="40"/>
      <c r="S141" s="40"/>
      <c r="T141" s="40"/>
      <c r="U141" s="40"/>
      <c r="V141" s="40"/>
      <c r="W141" s="40"/>
      <c r="X141" s="40"/>
      <c r="Y141" s="40"/>
      <c r="Z141" s="40"/>
      <c r="AA141" s="40"/>
      <c r="AB141" s="40"/>
      <c r="AC141" s="213">
        <v>2522.4119999999998</v>
      </c>
      <c r="AD141" s="213">
        <v>3769.4160000000002</v>
      </c>
      <c r="AE141" s="213">
        <v>5646.2049999999999</v>
      </c>
      <c r="AF141" s="6">
        <f>E141</f>
        <v>6052.3519999999999</v>
      </c>
      <c r="AG141" s="213">
        <v>6450.5</v>
      </c>
      <c r="AH141" s="213">
        <v>4994.5190000000002</v>
      </c>
      <c r="AI141" s="213">
        <v>4906.4579999999996</v>
      </c>
      <c r="AJ141" s="6">
        <f>F141</f>
        <v>4712.3329999999996</v>
      </c>
      <c r="AK141" s="213">
        <v>4589.6540000000005</v>
      </c>
      <c r="AL141" s="213">
        <f>7080.853</f>
        <v>7080.8530000000001</v>
      </c>
      <c r="AM141" s="213">
        <v>8749.1910000000007</v>
      </c>
      <c r="AN141" s="276">
        <f>G141</f>
        <v>7419.2389999999996</v>
      </c>
      <c r="AO141" s="213">
        <v>8888.2510000000002</v>
      </c>
      <c r="AP141" s="213">
        <v>10686.732</v>
      </c>
      <c r="AQ141" s="213">
        <v>10975.382</v>
      </c>
      <c r="AR141" s="274">
        <f>H141</f>
        <v>10238.715</v>
      </c>
      <c r="AS141" s="213">
        <v>9212.1650000000009</v>
      </c>
      <c r="AT141" s="213">
        <v>10929.097</v>
      </c>
      <c r="AU141" s="213">
        <v>13523.927</v>
      </c>
      <c r="AV141" s="274">
        <f>I141</f>
        <v>11860.555</v>
      </c>
      <c r="AW141" s="213">
        <v>13420.739</v>
      </c>
      <c r="AX141" s="213">
        <v>12433.156000000001</v>
      </c>
      <c r="AY141" s="4">
        <v>12317.463</v>
      </c>
      <c r="AZ141" s="274">
        <f>J141</f>
        <v>18619.881000000001</v>
      </c>
      <c r="BA141" s="213">
        <v>18789.143</v>
      </c>
      <c r="BB141" s="213">
        <v>21934.702000000001</v>
      </c>
      <c r="BC141" s="4">
        <v>24323.388999999999</v>
      </c>
      <c r="BD141" s="274">
        <f>K141</f>
        <v>25940.065999999999</v>
      </c>
      <c r="BE141" s="213">
        <v>27293.321</v>
      </c>
      <c r="BF141" s="213">
        <v>34959.300999999999</v>
      </c>
      <c r="BG141" s="4">
        <v>39053.480000000003</v>
      </c>
    </row>
    <row r="142" spans="2:59" ht="13.5" customHeight="1">
      <c r="B142" s="7"/>
      <c r="C142" s="8"/>
      <c r="D142" s="8"/>
      <c r="E142" s="8"/>
      <c r="F142" s="8"/>
      <c r="G142" s="8"/>
      <c r="H142" s="8"/>
      <c r="I142" s="8"/>
      <c r="J142" s="8"/>
      <c r="K142" s="8"/>
      <c r="L142" s="8"/>
      <c r="M142" s="8"/>
      <c r="N142" s="40"/>
      <c r="O142" s="40"/>
      <c r="P142" s="97"/>
      <c r="Q142" s="40"/>
      <c r="R142" s="40"/>
      <c r="S142" s="40"/>
      <c r="T142" s="40"/>
      <c r="U142" s="40"/>
      <c r="V142" s="40"/>
      <c r="W142" s="40"/>
      <c r="X142" s="40"/>
      <c r="Y142" s="40"/>
      <c r="Z142" s="40"/>
      <c r="AA142" s="40"/>
      <c r="AB142" s="40"/>
      <c r="AC142" s="8"/>
      <c r="AD142" s="8"/>
      <c r="AE142" s="8"/>
      <c r="AF142" s="8"/>
      <c r="AG142" s="8"/>
      <c r="AH142" s="8"/>
      <c r="AI142" s="8"/>
      <c r="AJ142" s="8"/>
      <c r="AK142" s="8"/>
      <c r="AL142" s="40"/>
      <c r="AM142" s="8"/>
      <c r="AN142" s="276"/>
      <c r="AO142" s="8"/>
      <c r="AP142" s="8"/>
      <c r="AQ142" s="8"/>
      <c r="AR142" s="8"/>
      <c r="AS142" s="8"/>
      <c r="AT142" s="8"/>
      <c r="AU142" s="8"/>
      <c r="AV142" s="8"/>
      <c r="AW142" s="8"/>
      <c r="AX142" s="8"/>
      <c r="AY142" s="8"/>
      <c r="AZ142" s="8"/>
      <c r="BA142" s="8"/>
      <c r="BB142" s="8"/>
      <c r="BC142" s="8"/>
      <c r="BD142" s="8"/>
      <c r="BE142" s="8"/>
      <c r="BF142" s="8"/>
      <c r="BG142" s="8"/>
    </row>
    <row r="143" spans="2:59" ht="13.5" customHeight="1">
      <c r="B143" s="1" t="s">
        <v>511</v>
      </c>
      <c r="C143" s="43">
        <v>2450.6260000000002</v>
      </c>
      <c r="D143" s="43">
        <v>726.45399999999995</v>
      </c>
      <c r="E143" s="43">
        <v>2846.06</v>
      </c>
      <c r="F143" s="43">
        <v>4278.1540000000005</v>
      </c>
      <c r="G143" s="43">
        <f>7035.909-366.845</f>
        <v>6669.0639999999994</v>
      </c>
      <c r="H143" s="43">
        <f>7628.333-431.752</f>
        <v>7196.5809999999992</v>
      </c>
      <c r="I143" s="43">
        <f>5232.737-577.173</f>
        <v>4655.5640000000003</v>
      </c>
      <c r="J143" s="43">
        <f>8848.413+893.055</f>
        <v>9741.4680000000008</v>
      </c>
      <c r="K143" s="43">
        <f>8395.861+364.993</f>
        <v>8760.8540000000012</v>
      </c>
      <c r="L143" s="6">
        <f>BG143</f>
        <v>13713.432000000001</v>
      </c>
      <c r="M143" s="6"/>
      <c r="N143" s="4"/>
      <c r="O143" s="4"/>
      <c r="P143" s="110"/>
      <c r="Q143" s="4"/>
      <c r="R143" s="4"/>
      <c r="S143" s="4"/>
      <c r="T143" s="4"/>
      <c r="U143" s="4"/>
      <c r="V143" s="4"/>
      <c r="W143" s="4"/>
      <c r="X143" s="4"/>
      <c r="Y143" s="4"/>
      <c r="Z143" s="4"/>
      <c r="AA143" s="4"/>
      <c r="AB143" s="4"/>
      <c r="AC143" s="43">
        <v>658.15499999999997</v>
      </c>
      <c r="AD143" s="43">
        <v>1136.694</v>
      </c>
      <c r="AE143" s="43">
        <v>1735.691</v>
      </c>
      <c r="AF143" s="6">
        <f>E143</f>
        <v>2846.06</v>
      </c>
      <c r="AG143" s="43">
        <v>3321.5259999999998</v>
      </c>
      <c r="AH143" s="43">
        <v>4041.8679999999999</v>
      </c>
      <c r="AI143" s="43">
        <v>4086.9839999999999</v>
      </c>
      <c r="AJ143" s="6">
        <f>F143</f>
        <v>4278.1540000000005</v>
      </c>
      <c r="AK143" s="43">
        <v>5716.29</v>
      </c>
      <c r="AL143" s="4">
        <f>6688.304-16.908-497.671</f>
        <v>6173.7249999999995</v>
      </c>
      <c r="AM143" s="43">
        <f>8100.03-22.217-335.148</f>
        <v>7742.665</v>
      </c>
      <c r="AN143" s="276">
        <f>G143</f>
        <v>6669.0639999999994</v>
      </c>
      <c r="AO143" s="43">
        <f>7459.191-357.202</f>
        <v>7101.9889999999996</v>
      </c>
      <c r="AP143" s="43">
        <f>7503.518-560.684</f>
        <v>6942.8339999999998</v>
      </c>
      <c r="AQ143" s="43">
        <f>7771.261-474.97</f>
        <v>7296.2910000000002</v>
      </c>
      <c r="AR143" s="274">
        <f>H143</f>
        <v>7196.5809999999992</v>
      </c>
      <c r="AS143" s="43">
        <f>5535.336-476.961</f>
        <v>5058.375</v>
      </c>
      <c r="AT143" s="43">
        <f>5414.028-416.374</f>
        <v>4997.6540000000005</v>
      </c>
      <c r="AU143" s="43">
        <f>6019.245-638.732</f>
        <v>5380.5129999999999</v>
      </c>
      <c r="AV143" s="274">
        <f>I143</f>
        <v>4655.5640000000003</v>
      </c>
      <c r="AW143" s="43">
        <f>5821.317-688.572</f>
        <v>5132.7449999999999</v>
      </c>
      <c r="AX143" s="43">
        <f>5460.87-610.155</f>
        <v>4850.7150000000001</v>
      </c>
      <c r="AY143" s="43">
        <f>5636.477-546.216</f>
        <v>5090.2609999999995</v>
      </c>
      <c r="AZ143" s="274">
        <f>J143</f>
        <v>9741.4680000000008</v>
      </c>
      <c r="BA143" s="43">
        <f>(10750233+976476)/1000</f>
        <v>11726.709000000001</v>
      </c>
      <c r="BB143" s="43">
        <f>8171.758-1056.031</f>
        <v>7115.7269999999999</v>
      </c>
      <c r="BC143" s="43">
        <f>9486.62-129.88-846.398</f>
        <v>8510.3420000000024</v>
      </c>
      <c r="BD143" s="274">
        <f>K143</f>
        <v>8760.8540000000012</v>
      </c>
      <c r="BE143" s="43">
        <f>9943.964+374.283</f>
        <v>10318.246999999999</v>
      </c>
      <c r="BF143" s="43">
        <f>12887.935+504.479</f>
        <v>13392.413999999999</v>
      </c>
      <c r="BG143" s="43">
        <f>12954.718+758.714</f>
        <v>13713.432000000001</v>
      </c>
    </row>
    <row r="144" spans="2:59" ht="13.5" customHeight="1">
      <c r="B144" s="1" t="s">
        <v>512</v>
      </c>
      <c r="C144" s="6">
        <f t="shared" ref="C144:H144" si="333">C137-C143</f>
        <v>1206.4500000000003</v>
      </c>
      <c r="D144" s="6">
        <f t="shared" si="333"/>
        <v>3445.9480000000003</v>
      </c>
      <c r="E144" s="6">
        <f t="shared" si="333"/>
        <v>6886.9880000000012</v>
      </c>
      <c r="F144" s="6">
        <f t="shared" si="333"/>
        <v>8135.2749999999996</v>
      </c>
      <c r="G144" s="6">
        <f t="shared" si="333"/>
        <v>12072.525000000001</v>
      </c>
      <c r="H144" s="6">
        <f t="shared" si="333"/>
        <v>11576.091000000004</v>
      </c>
      <c r="I144" s="6">
        <f>I137-I143</f>
        <v>14831.972</v>
      </c>
      <c r="J144" s="6">
        <f>J137-J143</f>
        <v>24130.799999999996</v>
      </c>
      <c r="K144" s="6">
        <f>K137-K143</f>
        <v>42038.264999999999</v>
      </c>
      <c r="L144" s="6">
        <f>L137-L143</f>
        <v>65585.226999999999</v>
      </c>
      <c r="M144" s="6"/>
      <c r="N144" s="6"/>
      <c r="O144" s="6"/>
      <c r="P144" s="108"/>
      <c r="Q144" s="6">
        <v>1401.5</v>
      </c>
      <c r="R144" s="6">
        <v>1500.9</v>
      </c>
      <c r="S144" s="6">
        <v>1437.5</v>
      </c>
      <c r="T144" s="6">
        <v>1528.5</v>
      </c>
      <c r="U144" s="6">
        <v>1363.5</v>
      </c>
      <c r="V144" s="6">
        <v>1111.5999999999999</v>
      </c>
      <c r="W144" s="6">
        <v>1101.3</v>
      </c>
      <c r="X144" s="6">
        <v>1247.9000000000001</v>
      </c>
      <c r="Y144" s="6">
        <v>549.70000000000005</v>
      </c>
      <c r="Z144" s="6">
        <v>611.70000000000005</v>
      </c>
      <c r="AA144" s="6">
        <v>582.20000000000005</v>
      </c>
      <c r="AB144" s="6">
        <v>3487.8</v>
      </c>
      <c r="AC144" s="6">
        <f t="shared" ref="AC144:AI144" si="334">AC137-AC143</f>
        <v>3332.4759999999997</v>
      </c>
      <c r="AD144" s="6">
        <f t="shared" si="334"/>
        <v>6168.1539999999986</v>
      </c>
      <c r="AE144" s="6">
        <f t="shared" si="334"/>
        <v>6401.902</v>
      </c>
      <c r="AF144" s="6">
        <f t="shared" si="334"/>
        <v>6886.9880000000012</v>
      </c>
      <c r="AG144" s="6">
        <f t="shared" si="334"/>
        <v>7358.6410000000014</v>
      </c>
      <c r="AH144" s="6">
        <f t="shared" si="334"/>
        <v>7104.3059999999987</v>
      </c>
      <c r="AI144" s="6">
        <f t="shared" si="334"/>
        <v>7726.2749999999996</v>
      </c>
      <c r="AJ144" s="6">
        <f t="shared" ref="AJ144:AO144" si="335">AJ137-AJ143</f>
        <v>8135.2749999999996</v>
      </c>
      <c r="AK144" s="6">
        <f t="shared" si="335"/>
        <v>8161.9919999999993</v>
      </c>
      <c r="AL144" s="6">
        <f t="shared" si="335"/>
        <v>11006.299000000003</v>
      </c>
      <c r="AM144" s="6">
        <f t="shared" si="335"/>
        <v>14053.5</v>
      </c>
      <c r="AN144" s="6">
        <f t="shared" si="335"/>
        <v>12072.525000000001</v>
      </c>
      <c r="AO144" s="6">
        <f t="shared" si="335"/>
        <v>14355.157999999998</v>
      </c>
      <c r="AP144" s="6">
        <f t="shared" ref="AP144:AU144" si="336">AP137-AP143</f>
        <v>13542.313000000002</v>
      </c>
      <c r="AQ144" s="6">
        <f t="shared" si="336"/>
        <v>11834.899000000001</v>
      </c>
      <c r="AR144" s="6">
        <f t="shared" si="336"/>
        <v>11576.091000000004</v>
      </c>
      <c r="AS144" s="6">
        <f t="shared" si="336"/>
        <v>12959.413</v>
      </c>
      <c r="AT144" s="6">
        <f t="shared" si="336"/>
        <v>13292.823999999999</v>
      </c>
      <c r="AU144" s="6">
        <f t="shared" si="336"/>
        <v>15395.393000000004</v>
      </c>
      <c r="AV144" s="6">
        <f t="shared" ref="AV144:BA144" si="337">AV137-AV143</f>
        <v>14831.972</v>
      </c>
      <c r="AW144" s="6">
        <f t="shared" si="337"/>
        <v>17515.278999999999</v>
      </c>
      <c r="AX144" s="6">
        <f t="shared" si="337"/>
        <v>17054.756000000001</v>
      </c>
      <c r="AY144" s="6">
        <f t="shared" si="337"/>
        <v>17558.218000000001</v>
      </c>
      <c r="AZ144" s="6">
        <f t="shared" si="337"/>
        <v>24130.799999999996</v>
      </c>
      <c r="BA144" s="6">
        <f t="shared" si="337"/>
        <v>26145.019999999997</v>
      </c>
      <c r="BB144" s="6">
        <f t="shared" ref="BB144:BG144" si="338">BB137-BB143</f>
        <v>37921.842000000004</v>
      </c>
      <c r="BC144" s="6">
        <f t="shared" si="338"/>
        <v>40303.483999999997</v>
      </c>
      <c r="BD144" s="6">
        <f t="shared" si="338"/>
        <v>42038.264999999999</v>
      </c>
      <c r="BE144" s="6">
        <f t="shared" si="338"/>
        <v>44776.69</v>
      </c>
      <c r="BF144" s="6">
        <f t="shared" si="338"/>
        <v>59868.939999999995</v>
      </c>
      <c r="BG144" s="6">
        <f t="shared" si="338"/>
        <v>65585.226999999999</v>
      </c>
    </row>
    <row r="145" spans="2:59" s="5" customFormat="1" ht="13.5" customHeight="1">
      <c r="C145" s="8"/>
      <c r="D145" s="8"/>
      <c r="E145" s="8"/>
      <c r="F145" s="8"/>
      <c r="G145" s="8"/>
      <c r="H145" s="8"/>
      <c r="I145" s="8"/>
      <c r="J145" s="8"/>
      <c r="K145" s="8"/>
      <c r="L145" s="8"/>
      <c r="M145" s="8"/>
      <c r="N145" s="8"/>
      <c r="O145" s="8"/>
      <c r="P145" s="163"/>
      <c r="Q145" s="8"/>
      <c r="R145" s="8"/>
      <c r="S145" s="8"/>
      <c r="T145" s="8"/>
      <c r="U145" s="8"/>
      <c r="V145" s="8"/>
      <c r="W145" s="8"/>
      <c r="X145" s="8"/>
      <c r="Y145" s="8"/>
      <c r="Z145" s="8"/>
      <c r="AA145" s="8"/>
      <c r="AB145" s="8"/>
      <c r="AC145" s="8"/>
      <c r="AD145" s="8"/>
      <c r="AE145" s="8"/>
      <c r="AF145" s="8"/>
      <c r="AG145" s="8"/>
      <c r="AH145" s="8"/>
      <c r="AI145" s="8"/>
      <c r="AJ145" s="8"/>
      <c r="AK145" s="8"/>
      <c r="AL145" s="8"/>
      <c r="AM145" s="8"/>
      <c r="AN145" s="276"/>
      <c r="AO145" s="8"/>
      <c r="AP145" s="8"/>
      <c r="AQ145" s="8"/>
      <c r="AR145" s="8"/>
      <c r="AS145" s="8"/>
      <c r="AT145" s="8"/>
      <c r="AU145" s="8"/>
      <c r="AV145" s="8"/>
      <c r="AW145" s="8"/>
      <c r="AX145" s="8"/>
      <c r="AY145" s="8"/>
      <c r="AZ145" s="8"/>
      <c r="BA145" s="8"/>
      <c r="BB145" s="8"/>
      <c r="BC145" s="8"/>
      <c r="BD145" s="8"/>
      <c r="BE145" s="8"/>
      <c r="BF145" s="8"/>
      <c r="BG145" s="8"/>
    </row>
    <row r="146" spans="2:59" ht="13.5" customHeight="1">
      <c r="B146" s="5" t="s">
        <v>14</v>
      </c>
      <c r="C146" s="8">
        <f t="shared" ref="C146:L146" si="339">C144+C143-C141</f>
        <v>-5374.8049999999985</v>
      </c>
      <c r="D146" s="8">
        <f t="shared" si="339"/>
        <v>1253.6060000000002</v>
      </c>
      <c r="E146" s="8">
        <f t="shared" si="339"/>
        <v>3680.6960000000008</v>
      </c>
      <c r="F146" s="8">
        <f t="shared" si="339"/>
        <v>7701.0960000000005</v>
      </c>
      <c r="G146" s="8">
        <f t="shared" si="339"/>
        <v>11322.35</v>
      </c>
      <c r="H146" s="8">
        <f>H144+H143-H141</f>
        <v>8533.9570000000022</v>
      </c>
      <c r="I146" s="8">
        <f>I144+I143-I141</f>
        <v>7626.9809999999998</v>
      </c>
      <c r="J146" s="8">
        <f>J144+J143-J141</f>
        <v>15252.386999999995</v>
      </c>
      <c r="K146" s="8">
        <f>K144+K143-K141</f>
        <v>24859.053</v>
      </c>
      <c r="L146" s="8">
        <f t="shared" si="339"/>
        <v>40245.178999999996</v>
      </c>
      <c r="M146" s="8"/>
      <c r="N146" s="51"/>
      <c r="O146" s="51"/>
      <c r="P146" s="98"/>
      <c r="Q146" s="778"/>
      <c r="R146" s="778"/>
      <c r="S146" s="778"/>
      <c r="T146" s="778"/>
      <c r="U146" s="779"/>
      <c r="V146" s="779"/>
      <c r="W146" s="779"/>
      <c r="X146" s="779"/>
      <c r="Y146" s="780"/>
      <c r="Z146" s="780"/>
      <c r="AA146" s="780"/>
      <c r="AB146" s="8">
        <f t="shared" ref="AB146:AI146" si="340">AB144+AB143-AB141</f>
        <v>3487.8</v>
      </c>
      <c r="AC146" s="8">
        <f t="shared" si="340"/>
        <v>1468.2189999999996</v>
      </c>
      <c r="AD146" s="8">
        <f t="shared" si="340"/>
        <v>3535.431999999998</v>
      </c>
      <c r="AE146" s="8">
        <f t="shared" si="340"/>
        <v>2491.3879999999999</v>
      </c>
      <c r="AF146" s="8">
        <f t="shared" si="340"/>
        <v>3680.6960000000008</v>
      </c>
      <c r="AG146" s="8">
        <f t="shared" si="340"/>
        <v>4229.6670000000013</v>
      </c>
      <c r="AH146" s="8">
        <f t="shared" si="340"/>
        <v>6151.6549999999988</v>
      </c>
      <c r="AI146" s="8">
        <f t="shared" si="340"/>
        <v>6906.8010000000004</v>
      </c>
      <c r="AJ146" s="8">
        <f>AJ144+AJ143-AJ141</f>
        <v>7701.0960000000005</v>
      </c>
      <c r="AK146" s="8">
        <f>AK144+AK143-AK141</f>
        <v>9288.6279999999988</v>
      </c>
      <c r="AL146" s="8">
        <f>AL144+AL143-AL141</f>
        <v>10099.171000000002</v>
      </c>
      <c r="AM146" s="8">
        <f>AM144+AM143-AM141</f>
        <v>13046.974</v>
      </c>
      <c r="AN146" s="276">
        <f>G146</f>
        <v>11322.35</v>
      </c>
      <c r="AO146" s="8">
        <f t="shared" ref="AO146:AT146" si="341">AO144+AO143-AO141</f>
        <v>12568.895999999997</v>
      </c>
      <c r="AP146" s="8">
        <f t="shared" si="341"/>
        <v>9798.4150000000009</v>
      </c>
      <c r="AQ146" s="8">
        <f t="shared" si="341"/>
        <v>8155.8080000000027</v>
      </c>
      <c r="AR146" s="8">
        <f t="shared" si="341"/>
        <v>8533.9570000000022</v>
      </c>
      <c r="AS146" s="8">
        <f t="shared" si="341"/>
        <v>8805.6229999999996</v>
      </c>
      <c r="AT146" s="8">
        <f t="shared" si="341"/>
        <v>7361.3809999999994</v>
      </c>
      <c r="AU146" s="8">
        <f t="shared" ref="AU146:AZ146" si="342">AU144+AU143-AU141</f>
        <v>7251.979000000003</v>
      </c>
      <c r="AV146" s="8">
        <f t="shared" si="342"/>
        <v>7626.9809999999998</v>
      </c>
      <c r="AW146" s="8">
        <f t="shared" si="342"/>
        <v>9227.284999999998</v>
      </c>
      <c r="AX146" s="8">
        <f t="shared" si="342"/>
        <v>9472.3150000000005</v>
      </c>
      <c r="AY146" s="8">
        <f t="shared" si="342"/>
        <v>10331.016</v>
      </c>
      <c r="AZ146" s="8">
        <f t="shared" si="342"/>
        <v>15252.386999999995</v>
      </c>
      <c r="BA146" s="8">
        <f t="shared" ref="BA146:BF146" si="343">BA144+BA143-BA141</f>
        <v>19082.585999999999</v>
      </c>
      <c r="BB146" s="8">
        <f t="shared" si="343"/>
        <v>23102.867000000002</v>
      </c>
      <c r="BC146" s="8">
        <f t="shared" si="343"/>
        <v>24490.437000000002</v>
      </c>
      <c r="BD146" s="8">
        <f t="shared" si="343"/>
        <v>24859.053</v>
      </c>
      <c r="BE146" s="8">
        <f t="shared" si="343"/>
        <v>27801.616000000005</v>
      </c>
      <c r="BF146" s="8">
        <f t="shared" si="343"/>
        <v>38302.052999999993</v>
      </c>
      <c r="BG146" s="8">
        <f>BG144+BG143-BG141</f>
        <v>40245.178999999996</v>
      </c>
    </row>
    <row r="147" spans="2:59" s="5" customFormat="1" ht="13.5" customHeight="1">
      <c r="B147" s="5" t="s">
        <v>513</v>
      </c>
      <c r="C147" s="8">
        <f t="shared" ref="C147:L147" si="344">C143+C144</f>
        <v>3657.0760000000005</v>
      </c>
      <c r="D147" s="8">
        <f t="shared" si="344"/>
        <v>4172.402</v>
      </c>
      <c r="E147" s="8">
        <f t="shared" si="344"/>
        <v>9733.0480000000007</v>
      </c>
      <c r="F147" s="8">
        <f t="shared" si="344"/>
        <v>12413.429</v>
      </c>
      <c r="G147" s="8">
        <f t="shared" si="344"/>
        <v>18741.589</v>
      </c>
      <c r="H147" s="8">
        <f>H143+H144</f>
        <v>18772.672000000002</v>
      </c>
      <c r="I147" s="8">
        <f>I143+I144</f>
        <v>19487.536</v>
      </c>
      <c r="J147" s="8">
        <f>J143+J144</f>
        <v>33872.267999999996</v>
      </c>
      <c r="K147" s="8">
        <f>K143+K144</f>
        <v>50799.118999999999</v>
      </c>
      <c r="L147" s="8">
        <f t="shared" si="344"/>
        <v>79298.659</v>
      </c>
      <c r="M147" s="8"/>
      <c r="N147" s="8"/>
      <c r="O147" s="8"/>
      <c r="P147" s="163"/>
      <c r="Q147" s="8">
        <v>3014.6</v>
      </c>
      <c r="R147" s="8">
        <v>3120</v>
      </c>
      <c r="S147" s="8">
        <v>3205.4</v>
      </c>
      <c r="T147" s="8">
        <v>3332.5</v>
      </c>
      <c r="U147" s="8">
        <v>3515.5</v>
      </c>
      <c r="V147" s="8">
        <v>3459.9</v>
      </c>
      <c r="W147" s="8">
        <v>3545</v>
      </c>
      <c r="X147" s="8">
        <v>3697.7</v>
      </c>
      <c r="Y147" s="8">
        <v>4127.3</v>
      </c>
      <c r="Z147" s="8">
        <v>4014.2</v>
      </c>
      <c r="AA147" s="8">
        <v>3466.6</v>
      </c>
      <c r="AB147" s="8">
        <v>4214.2</v>
      </c>
      <c r="AC147" s="8">
        <f t="shared" ref="AC147:AI147" si="345">AC143+AC144</f>
        <v>3990.6309999999994</v>
      </c>
      <c r="AD147" s="8">
        <f t="shared" si="345"/>
        <v>7304.8479999999981</v>
      </c>
      <c r="AE147" s="8">
        <f t="shared" si="345"/>
        <v>8137.5929999999998</v>
      </c>
      <c r="AF147" s="8">
        <f t="shared" si="345"/>
        <v>9733.0480000000007</v>
      </c>
      <c r="AG147" s="8">
        <f t="shared" si="345"/>
        <v>10680.167000000001</v>
      </c>
      <c r="AH147" s="8">
        <f t="shared" si="345"/>
        <v>11146.173999999999</v>
      </c>
      <c r="AI147" s="8">
        <f t="shared" si="345"/>
        <v>11813.259</v>
      </c>
      <c r="AJ147" s="8">
        <f>AJ143+AJ144</f>
        <v>12413.429</v>
      </c>
      <c r="AK147" s="8">
        <f>AK143+AK144</f>
        <v>13878.281999999999</v>
      </c>
      <c r="AL147" s="8">
        <f>AL143+AL144</f>
        <v>17180.024000000001</v>
      </c>
      <c r="AM147" s="8">
        <f>AM143+AM144</f>
        <v>21796.165000000001</v>
      </c>
      <c r="AN147" s="276">
        <f>G147</f>
        <v>18741.589</v>
      </c>
      <c r="AO147" s="8">
        <f t="shared" ref="AO147:AT147" si="346">AO143+AO144</f>
        <v>21457.146999999997</v>
      </c>
      <c r="AP147" s="8">
        <f t="shared" si="346"/>
        <v>20485.147000000001</v>
      </c>
      <c r="AQ147" s="8">
        <f t="shared" si="346"/>
        <v>19131.190000000002</v>
      </c>
      <c r="AR147" s="8">
        <f t="shared" si="346"/>
        <v>18772.672000000002</v>
      </c>
      <c r="AS147" s="8">
        <f t="shared" si="346"/>
        <v>18017.788</v>
      </c>
      <c r="AT147" s="8">
        <f t="shared" si="346"/>
        <v>18290.477999999999</v>
      </c>
      <c r="AU147" s="8">
        <f t="shared" ref="AU147:AZ147" si="347">AU143+AU144</f>
        <v>20775.906000000003</v>
      </c>
      <c r="AV147" s="8">
        <f t="shared" si="347"/>
        <v>19487.536</v>
      </c>
      <c r="AW147" s="8">
        <f t="shared" si="347"/>
        <v>22648.023999999998</v>
      </c>
      <c r="AX147" s="8">
        <f t="shared" si="347"/>
        <v>21905.471000000001</v>
      </c>
      <c r="AY147" s="8">
        <f t="shared" si="347"/>
        <v>22648.478999999999</v>
      </c>
      <c r="AZ147" s="8">
        <f t="shared" si="347"/>
        <v>33872.267999999996</v>
      </c>
      <c r="BA147" s="8">
        <f t="shared" ref="BA147:BF147" si="348">BA143+BA144</f>
        <v>37871.728999999999</v>
      </c>
      <c r="BB147" s="8">
        <f t="shared" si="348"/>
        <v>45037.569000000003</v>
      </c>
      <c r="BC147" s="8">
        <f t="shared" si="348"/>
        <v>48813.826000000001</v>
      </c>
      <c r="BD147" s="8">
        <f t="shared" si="348"/>
        <v>50799.118999999999</v>
      </c>
      <c r="BE147" s="8">
        <f t="shared" si="348"/>
        <v>55094.937000000005</v>
      </c>
      <c r="BF147" s="8">
        <f t="shared" si="348"/>
        <v>73261.353999999992</v>
      </c>
      <c r="BG147" s="8">
        <f>BG143+BG144</f>
        <v>79298.659</v>
      </c>
    </row>
    <row r="148" spans="2:59" s="5" customFormat="1" ht="13.5" customHeight="1">
      <c r="C148" s="8"/>
      <c r="D148" s="8"/>
      <c r="E148" s="8"/>
      <c r="F148" s="8"/>
      <c r="G148" s="8"/>
      <c r="H148" s="8"/>
      <c r="I148" s="8"/>
      <c r="J148" s="8"/>
      <c r="K148" s="8"/>
      <c r="L148" s="8"/>
      <c r="M148" s="8"/>
      <c r="N148" s="8"/>
      <c r="O148" s="8"/>
      <c r="P148" s="163"/>
      <c r="Q148" s="8"/>
      <c r="R148" s="8"/>
      <c r="S148" s="8"/>
      <c r="T148" s="8"/>
      <c r="U148" s="8"/>
      <c r="V148" s="8"/>
      <c r="W148" s="8"/>
      <c r="X148" s="8"/>
      <c r="Y148" s="8"/>
      <c r="Z148" s="8"/>
      <c r="AA148" s="8"/>
      <c r="AB148" s="8"/>
      <c r="AC148" s="8"/>
      <c r="AD148" s="8"/>
      <c r="AE148" s="8"/>
      <c r="AF148" s="8"/>
      <c r="AG148" s="8"/>
      <c r="AH148" s="8"/>
      <c r="AI148" s="8"/>
      <c r="AJ148" s="8"/>
      <c r="AK148" s="8"/>
      <c r="AL148" s="8"/>
      <c r="AM148" s="8"/>
      <c r="AN148" s="276"/>
      <c r="AO148" s="8"/>
      <c r="AP148" s="8"/>
      <c r="AQ148" s="8"/>
      <c r="AR148" s="8"/>
      <c r="AS148" s="8"/>
      <c r="AT148" s="8"/>
      <c r="AU148" s="8"/>
      <c r="AV148" s="8"/>
      <c r="AW148" s="8"/>
      <c r="AX148" s="8"/>
      <c r="AY148" s="8"/>
      <c r="AZ148" s="8"/>
      <c r="BA148" s="8"/>
      <c r="BB148" s="8"/>
      <c r="BC148" s="8"/>
      <c r="BD148" s="8"/>
      <c r="BE148" s="8"/>
      <c r="BF148" s="8"/>
      <c r="BG148" s="8"/>
    </row>
    <row r="149" spans="2:59" ht="13.5" customHeight="1">
      <c r="B149" s="1" t="s">
        <v>514</v>
      </c>
      <c r="C149" s="4">
        <f>36.049+5.369</f>
        <v>41.417999999999999</v>
      </c>
      <c r="D149" s="4">
        <f>36.449+5.389</f>
        <v>41.838000000000001</v>
      </c>
      <c r="E149" s="4">
        <f>41.539+6.575</f>
        <v>48.114000000000004</v>
      </c>
      <c r="F149" s="4">
        <f>108.164+14.556</f>
        <v>122.72</v>
      </c>
      <c r="G149" s="4">
        <v>0</v>
      </c>
      <c r="H149" s="4">
        <v>0</v>
      </c>
      <c r="I149" s="4">
        <v>0</v>
      </c>
      <c r="J149" s="4">
        <v>0</v>
      </c>
      <c r="K149" s="4">
        <v>0</v>
      </c>
      <c r="L149" s="6">
        <f>BG149</f>
        <v>0</v>
      </c>
      <c r="M149" s="6"/>
      <c r="N149" s="4"/>
      <c r="O149" s="4"/>
      <c r="P149" s="110"/>
      <c r="Q149" s="4"/>
      <c r="R149" s="4"/>
      <c r="S149" s="4"/>
      <c r="T149" s="4"/>
      <c r="U149" s="4"/>
      <c r="V149" s="4"/>
      <c r="W149" s="4"/>
      <c r="X149" s="4"/>
      <c r="Y149" s="4"/>
      <c r="Z149" s="4"/>
      <c r="AA149" s="4"/>
      <c r="AB149" s="4"/>
      <c r="AC149" s="4">
        <f>35.921+4.832</f>
        <v>40.753</v>
      </c>
      <c r="AD149" s="4">
        <f>35.882+5.113</f>
        <v>40.994999999999997</v>
      </c>
      <c r="AE149" s="4">
        <f>37.631+5.656</f>
        <v>43.286999999999999</v>
      </c>
      <c r="AF149" s="6">
        <f>E149</f>
        <v>48.114000000000004</v>
      </c>
      <c r="AG149" s="4">
        <f>41.83+8.059</f>
        <v>49.888999999999996</v>
      </c>
      <c r="AH149" s="4">
        <f>42.75+8.498</f>
        <v>51.247999999999998</v>
      </c>
      <c r="AI149" s="4">
        <f>44.569+9.155</f>
        <v>53.724000000000004</v>
      </c>
      <c r="AJ149" s="6">
        <f>F149</f>
        <v>122.72</v>
      </c>
      <c r="AK149" s="4">
        <f>108.651+15.4+612.495+515.623</f>
        <v>1252.1690000000001</v>
      </c>
      <c r="AL149" s="4">
        <f>55.285+16.908+638.738+497.671</f>
        <v>1208.6020000000001</v>
      </c>
      <c r="AM149" s="4">
        <f>150.315+751.253+22.217+335.148</f>
        <v>1258.933</v>
      </c>
      <c r="AN149" s="276">
        <f>G149</f>
        <v>0</v>
      </c>
      <c r="AO149" s="4">
        <v>0</v>
      </c>
      <c r="AP149" s="4">
        <v>0</v>
      </c>
      <c r="AQ149" s="4">
        <v>0</v>
      </c>
      <c r="AR149" s="274">
        <f>H149</f>
        <v>0</v>
      </c>
      <c r="AS149" s="4">
        <v>0</v>
      </c>
      <c r="AT149" s="4">
        <v>0</v>
      </c>
      <c r="AU149" s="4">
        <v>0</v>
      </c>
      <c r="AV149" s="274">
        <f>I149</f>
        <v>0</v>
      </c>
      <c r="AW149" s="4">
        <v>0</v>
      </c>
      <c r="AX149" s="4">
        <v>0</v>
      </c>
      <c r="AY149" s="4">
        <v>0</v>
      </c>
      <c r="AZ149" s="274">
        <f>J149</f>
        <v>0</v>
      </c>
      <c r="BA149" s="4">
        <v>0</v>
      </c>
      <c r="BB149" s="4">
        <v>0</v>
      </c>
      <c r="BC149" s="4">
        <v>0</v>
      </c>
      <c r="BD149" s="274">
        <f>K149</f>
        <v>0</v>
      </c>
      <c r="BE149" s="4">
        <v>0</v>
      </c>
      <c r="BF149" s="4">
        <v>0</v>
      </c>
      <c r="BG149" s="4">
        <v>0</v>
      </c>
    </row>
    <row r="150" spans="2:59" s="5" customFormat="1" ht="13.5" customHeight="1">
      <c r="C150" s="8"/>
      <c r="D150" s="8"/>
      <c r="E150" s="8"/>
      <c r="F150" s="8"/>
      <c r="G150" s="8"/>
      <c r="H150" s="8"/>
      <c r="I150" s="8"/>
      <c r="J150" s="8"/>
      <c r="K150" s="8"/>
      <c r="L150" s="8"/>
      <c r="M150" s="8"/>
      <c r="N150" s="8"/>
      <c r="O150" s="8"/>
      <c r="P150" s="163"/>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row>
    <row r="151" spans="2:59" s="5" customFormat="1" ht="13.5" customHeight="1">
      <c r="B151" s="224" t="s">
        <v>515</v>
      </c>
      <c r="C151" s="8">
        <f t="shared" ref="C151:L151" si="349">C146+C149</f>
        <v>-5333.3869999999988</v>
      </c>
      <c r="D151" s="8">
        <f t="shared" si="349"/>
        <v>1295.4440000000002</v>
      </c>
      <c r="E151" s="8">
        <f t="shared" si="349"/>
        <v>3728.8100000000009</v>
      </c>
      <c r="F151" s="8">
        <f t="shared" si="349"/>
        <v>7823.8160000000007</v>
      </c>
      <c r="G151" s="8">
        <f t="shared" si="349"/>
        <v>11322.35</v>
      </c>
      <c r="H151" s="8">
        <f>H146+H149</f>
        <v>8533.9570000000022</v>
      </c>
      <c r="I151" s="8">
        <f>I146+I149</f>
        <v>7626.9809999999998</v>
      </c>
      <c r="J151" s="8">
        <f>J146+J149</f>
        <v>15252.386999999995</v>
      </c>
      <c r="K151" s="8">
        <f>K146+K149</f>
        <v>24859.053</v>
      </c>
      <c r="L151" s="8">
        <f t="shared" si="349"/>
        <v>40245.178999999996</v>
      </c>
      <c r="M151" s="8"/>
      <c r="N151" s="8"/>
      <c r="O151" s="8"/>
      <c r="P151" s="163"/>
      <c r="Q151" s="8"/>
      <c r="R151" s="8"/>
      <c r="S151" s="8"/>
      <c r="T151" s="8"/>
      <c r="U151" s="8"/>
      <c r="V151" s="8"/>
      <c r="W151" s="8"/>
      <c r="X151" s="8"/>
      <c r="Y151" s="8"/>
      <c r="Z151" s="8"/>
      <c r="AA151" s="8"/>
      <c r="AB151" s="8"/>
      <c r="AC151" s="8">
        <f t="shared" ref="AC151:AI151" si="350">AC146+AC149</f>
        <v>1508.9719999999995</v>
      </c>
      <c r="AD151" s="8">
        <f t="shared" si="350"/>
        <v>3576.4269999999979</v>
      </c>
      <c r="AE151" s="8">
        <f t="shared" si="350"/>
        <v>2534.6749999999997</v>
      </c>
      <c r="AF151" s="8">
        <f t="shared" si="350"/>
        <v>3728.8100000000009</v>
      </c>
      <c r="AG151" s="8">
        <f t="shared" si="350"/>
        <v>4279.5560000000014</v>
      </c>
      <c r="AH151" s="8">
        <f t="shared" si="350"/>
        <v>6202.9029999999984</v>
      </c>
      <c r="AI151" s="8">
        <f t="shared" si="350"/>
        <v>6960.5250000000005</v>
      </c>
      <c r="AJ151" s="8">
        <f t="shared" ref="AJ151:AO151" si="351">AJ146+AJ149</f>
        <v>7823.8160000000007</v>
      </c>
      <c r="AK151" s="8">
        <f t="shared" si="351"/>
        <v>10540.796999999999</v>
      </c>
      <c r="AL151" s="8">
        <f t="shared" si="351"/>
        <v>11307.773000000003</v>
      </c>
      <c r="AM151" s="8">
        <f t="shared" si="351"/>
        <v>14305.906999999999</v>
      </c>
      <c r="AN151" s="8">
        <f t="shared" si="351"/>
        <v>11322.35</v>
      </c>
      <c r="AO151" s="8">
        <f t="shared" si="351"/>
        <v>12568.895999999997</v>
      </c>
      <c r="AP151" s="8">
        <f t="shared" ref="AP151:AU151" si="352">AP146+AP149</f>
        <v>9798.4150000000009</v>
      </c>
      <c r="AQ151" s="8">
        <f t="shared" si="352"/>
        <v>8155.8080000000027</v>
      </c>
      <c r="AR151" s="8">
        <f t="shared" si="352"/>
        <v>8533.9570000000022</v>
      </c>
      <c r="AS151" s="8">
        <f t="shared" si="352"/>
        <v>8805.6229999999996</v>
      </c>
      <c r="AT151" s="8">
        <f t="shared" si="352"/>
        <v>7361.3809999999994</v>
      </c>
      <c r="AU151" s="8">
        <f t="shared" si="352"/>
        <v>7251.979000000003</v>
      </c>
      <c r="AV151" s="8">
        <f t="shared" ref="AV151:BA151" si="353">AV146+AV149</f>
        <v>7626.9809999999998</v>
      </c>
      <c r="AW151" s="8">
        <f t="shared" si="353"/>
        <v>9227.284999999998</v>
      </c>
      <c r="AX151" s="8">
        <f t="shared" si="353"/>
        <v>9472.3150000000005</v>
      </c>
      <c r="AY151" s="8">
        <f t="shared" si="353"/>
        <v>10331.016</v>
      </c>
      <c r="AZ151" s="8">
        <f t="shared" si="353"/>
        <v>15252.386999999995</v>
      </c>
      <c r="BA151" s="8">
        <f t="shared" si="353"/>
        <v>19082.585999999999</v>
      </c>
      <c r="BB151" s="8">
        <f t="shared" ref="BB151:BG151" si="354">BB146+BB149</f>
        <v>23102.867000000002</v>
      </c>
      <c r="BC151" s="8">
        <f t="shared" si="354"/>
        <v>24490.437000000002</v>
      </c>
      <c r="BD151" s="8">
        <f t="shared" si="354"/>
        <v>24859.053</v>
      </c>
      <c r="BE151" s="8">
        <f t="shared" si="354"/>
        <v>27801.616000000005</v>
      </c>
      <c r="BF151" s="8">
        <f t="shared" si="354"/>
        <v>38302.052999999993</v>
      </c>
      <c r="BG151" s="8">
        <f t="shared" si="354"/>
        <v>40245.178999999996</v>
      </c>
    </row>
    <row r="152" spans="2:59" s="5" customFormat="1" ht="13.5" customHeight="1">
      <c r="B152" s="224" t="s">
        <v>516</v>
      </c>
      <c r="C152" s="8">
        <f t="shared" ref="C152:L152" si="355">C147+C149</f>
        <v>3698.4940000000006</v>
      </c>
      <c r="D152" s="8">
        <f t="shared" si="355"/>
        <v>4214.24</v>
      </c>
      <c r="E152" s="8">
        <f t="shared" si="355"/>
        <v>9781.1620000000003</v>
      </c>
      <c r="F152" s="8">
        <f t="shared" si="355"/>
        <v>12536.148999999999</v>
      </c>
      <c r="G152" s="8">
        <f t="shared" si="355"/>
        <v>18741.589</v>
      </c>
      <c r="H152" s="8">
        <f>H147+H149</f>
        <v>18772.672000000002</v>
      </c>
      <c r="I152" s="8">
        <f>I147+I149</f>
        <v>19487.536</v>
      </c>
      <c r="J152" s="8">
        <f>J147+J149</f>
        <v>33872.267999999996</v>
      </c>
      <c r="K152" s="8">
        <f>K147+K149</f>
        <v>50799.118999999999</v>
      </c>
      <c r="L152" s="8">
        <f t="shared" si="355"/>
        <v>79298.659</v>
      </c>
      <c r="M152" s="8"/>
      <c r="N152" s="8"/>
      <c r="O152" s="8"/>
      <c r="P152" s="163"/>
      <c r="Q152" s="8"/>
      <c r="R152" s="8"/>
      <c r="S152" s="8"/>
      <c r="T152" s="8"/>
      <c r="U152" s="8"/>
      <c r="V152" s="8"/>
      <c r="W152" s="8"/>
      <c r="X152" s="8"/>
      <c r="Y152" s="8"/>
      <c r="Z152" s="8"/>
      <c r="AA152" s="8"/>
      <c r="AB152" s="8"/>
      <c r="AC152" s="8">
        <f t="shared" ref="AC152:AI152" si="356">AC147+AC149</f>
        <v>4031.3839999999996</v>
      </c>
      <c r="AD152" s="8">
        <f t="shared" si="356"/>
        <v>7345.842999999998</v>
      </c>
      <c r="AE152" s="8">
        <f t="shared" si="356"/>
        <v>8180.88</v>
      </c>
      <c r="AF152" s="8">
        <f t="shared" si="356"/>
        <v>9781.1620000000003</v>
      </c>
      <c r="AG152" s="8">
        <f t="shared" si="356"/>
        <v>10730.056</v>
      </c>
      <c r="AH152" s="8">
        <f t="shared" si="356"/>
        <v>11197.421999999999</v>
      </c>
      <c r="AI152" s="8">
        <f t="shared" si="356"/>
        <v>11866.983</v>
      </c>
      <c r="AJ152" s="8">
        <f t="shared" ref="AJ152:AO152" si="357">AJ147+AJ149</f>
        <v>12536.148999999999</v>
      </c>
      <c r="AK152" s="8">
        <f t="shared" si="357"/>
        <v>15130.450999999999</v>
      </c>
      <c r="AL152" s="8">
        <f t="shared" si="357"/>
        <v>18388.626</v>
      </c>
      <c r="AM152" s="8">
        <f t="shared" si="357"/>
        <v>23055.098000000002</v>
      </c>
      <c r="AN152" s="8">
        <f t="shared" si="357"/>
        <v>18741.589</v>
      </c>
      <c r="AO152" s="8">
        <f t="shared" si="357"/>
        <v>21457.146999999997</v>
      </c>
      <c r="AP152" s="8">
        <f t="shared" ref="AP152:AU152" si="358">AP147+AP149</f>
        <v>20485.147000000001</v>
      </c>
      <c r="AQ152" s="8">
        <f t="shared" si="358"/>
        <v>19131.190000000002</v>
      </c>
      <c r="AR152" s="8">
        <f t="shared" si="358"/>
        <v>18772.672000000002</v>
      </c>
      <c r="AS152" s="8">
        <f t="shared" si="358"/>
        <v>18017.788</v>
      </c>
      <c r="AT152" s="8">
        <f t="shared" si="358"/>
        <v>18290.477999999999</v>
      </c>
      <c r="AU152" s="8">
        <f t="shared" si="358"/>
        <v>20775.906000000003</v>
      </c>
      <c r="AV152" s="8">
        <f t="shared" ref="AV152:BA152" si="359">AV147+AV149</f>
        <v>19487.536</v>
      </c>
      <c r="AW152" s="8">
        <f t="shared" si="359"/>
        <v>22648.023999999998</v>
      </c>
      <c r="AX152" s="8">
        <f t="shared" si="359"/>
        <v>21905.471000000001</v>
      </c>
      <c r="AY152" s="8">
        <f t="shared" si="359"/>
        <v>22648.478999999999</v>
      </c>
      <c r="AZ152" s="8">
        <f t="shared" si="359"/>
        <v>33872.267999999996</v>
      </c>
      <c r="BA152" s="8">
        <f t="shared" si="359"/>
        <v>37871.728999999999</v>
      </c>
      <c r="BB152" s="8">
        <f t="shared" ref="BB152:BG152" si="360">BB147+BB149</f>
        <v>45037.569000000003</v>
      </c>
      <c r="BC152" s="8">
        <f t="shared" si="360"/>
        <v>48813.826000000001</v>
      </c>
      <c r="BD152" s="8">
        <f t="shared" si="360"/>
        <v>50799.118999999999</v>
      </c>
      <c r="BE152" s="8">
        <f t="shared" si="360"/>
        <v>55094.937000000005</v>
      </c>
      <c r="BF152" s="8">
        <f t="shared" si="360"/>
        <v>73261.353999999992</v>
      </c>
      <c r="BG152" s="8">
        <f t="shared" si="360"/>
        <v>79298.659</v>
      </c>
    </row>
    <row r="153" spans="2:59" ht="14.25" customHeight="1">
      <c r="N153" s="78"/>
      <c r="O153" s="78"/>
      <c r="P153" s="111"/>
      <c r="Q153" s="78"/>
      <c r="R153" s="78"/>
      <c r="S153" s="78"/>
      <c r="T153" s="78"/>
      <c r="U153" s="78"/>
      <c r="V153" s="78"/>
      <c r="W153" s="78"/>
      <c r="X153" s="78"/>
      <c r="Y153" s="78"/>
      <c r="Z153" s="78"/>
      <c r="AA153" s="78"/>
      <c r="AB153" s="78"/>
      <c r="AL153" s="78"/>
    </row>
    <row r="154" spans="2:59" ht="14.25" customHeight="1">
      <c r="B154" s="5" t="s">
        <v>517</v>
      </c>
      <c r="G154" s="8">
        <f t="shared" ref="G154:L154" si="361">G139-G141</f>
        <v>12736.305999999999</v>
      </c>
      <c r="H154" s="8">
        <f t="shared" si="361"/>
        <v>10067.012000000002</v>
      </c>
      <c r="I154" s="8">
        <f t="shared" si="361"/>
        <v>9725.8669999999984</v>
      </c>
      <c r="J154" s="8">
        <f t="shared" si="361"/>
        <v>18158.251999999993</v>
      </c>
      <c r="K154" s="8">
        <f t="shared" si="361"/>
        <v>27914.284</v>
      </c>
      <c r="L154" s="8">
        <f t="shared" si="361"/>
        <v>44398.708999999995</v>
      </c>
      <c r="M154" s="8"/>
      <c r="N154" s="78"/>
      <c r="O154" s="78"/>
      <c r="P154" s="111"/>
      <c r="Q154" s="78"/>
      <c r="R154" s="78"/>
      <c r="S154" s="78"/>
      <c r="T154" s="78"/>
      <c r="U154" s="78"/>
      <c r="V154" s="78"/>
      <c r="W154" s="78"/>
      <c r="X154" s="78"/>
      <c r="Y154" s="78"/>
      <c r="Z154" s="78"/>
      <c r="AA154" s="78"/>
      <c r="AB154" s="78"/>
      <c r="AL154" s="78"/>
      <c r="AN154" s="8">
        <f t="shared" ref="AN154:AS154" si="362">AN139-AN141</f>
        <v>12736.305999999999</v>
      </c>
      <c r="AO154" s="8">
        <f t="shared" si="362"/>
        <v>13978.618999999995</v>
      </c>
      <c r="AP154" s="8">
        <f t="shared" si="362"/>
        <v>11375.287</v>
      </c>
      <c r="AQ154" s="8">
        <f t="shared" si="362"/>
        <v>9699.7900000000027</v>
      </c>
      <c r="AR154" s="8">
        <f t="shared" si="362"/>
        <v>10067.012000000002</v>
      </c>
      <c r="AS154" s="8">
        <f t="shared" si="362"/>
        <v>10287.732</v>
      </c>
      <c r="AT154" s="8">
        <f t="shared" ref="AT154:AY154" si="363">AT139-AT141</f>
        <v>8847.3049999999985</v>
      </c>
      <c r="AU154" s="8">
        <f t="shared" si="363"/>
        <v>9316.8420000000042</v>
      </c>
      <c r="AV154" s="8">
        <f t="shared" si="363"/>
        <v>9725.8669999999984</v>
      </c>
      <c r="AW154" s="8">
        <f t="shared" si="363"/>
        <v>11475.034999999998</v>
      </c>
      <c r="AX154" s="8">
        <f t="shared" si="363"/>
        <v>11644.254000000003</v>
      </c>
      <c r="AY154" s="8">
        <f t="shared" si="363"/>
        <v>12487.109</v>
      </c>
      <c r="AZ154" s="8">
        <f t="shared" ref="AZ154:BE154" si="364">AZ139-AZ141</f>
        <v>18158.251999999993</v>
      </c>
      <c r="BA154" s="8">
        <f t="shared" si="364"/>
        <v>22066.255000000001</v>
      </c>
      <c r="BB154" s="8">
        <f t="shared" si="364"/>
        <v>26299.933000000001</v>
      </c>
      <c r="BC154" s="8">
        <f t="shared" si="364"/>
        <v>27598.287</v>
      </c>
      <c r="BD154" s="8">
        <f t="shared" si="364"/>
        <v>27914.284</v>
      </c>
      <c r="BE154" s="8">
        <f t="shared" si="364"/>
        <v>31193.09</v>
      </c>
      <c r="BF154" s="8">
        <f>BF139-BF141</f>
        <v>42238.546999999999</v>
      </c>
      <c r="BG154" s="8">
        <f>BG139-BG141</f>
        <v>44398.708999999995</v>
      </c>
    </row>
    <row r="155" spans="2:59" ht="14.25" customHeight="1">
      <c r="B155" s="5" t="s">
        <v>518</v>
      </c>
      <c r="G155" s="8">
        <f t="shared" ref="G155:L155" si="365">+G139</f>
        <v>20155.544999999998</v>
      </c>
      <c r="H155" s="8">
        <f t="shared" si="365"/>
        <v>20305.727000000003</v>
      </c>
      <c r="I155" s="8">
        <f t="shared" si="365"/>
        <v>21586.421999999999</v>
      </c>
      <c r="J155" s="8">
        <f t="shared" si="365"/>
        <v>36778.132999999994</v>
      </c>
      <c r="K155" s="8">
        <f t="shared" si="365"/>
        <v>53854.35</v>
      </c>
      <c r="L155" s="8">
        <f t="shared" si="365"/>
        <v>83452.188999999998</v>
      </c>
      <c r="M155" s="8"/>
      <c r="N155" s="78"/>
      <c r="O155" s="78"/>
      <c r="P155" s="111"/>
      <c r="Q155" s="78"/>
      <c r="R155" s="78"/>
      <c r="S155" s="78"/>
      <c r="T155" s="78"/>
      <c r="U155" s="78"/>
      <c r="V155" s="78"/>
      <c r="W155" s="78"/>
      <c r="X155" s="78"/>
      <c r="Y155" s="78"/>
      <c r="Z155" s="78"/>
      <c r="AA155" s="78"/>
      <c r="AB155" s="78"/>
      <c r="AL155" s="78"/>
      <c r="AN155" s="8">
        <f t="shared" ref="AN155:AS155" si="366">+AN139</f>
        <v>20155.544999999998</v>
      </c>
      <c r="AO155" s="8">
        <f t="shared" si="366"/>
        <v>22866.869999999995</v>
      </c>
      <c r="AP155" s="8">
        <f t="shared" si="366"/>
        <v>22062.019</v>
      </c>
      <c r="AQ155" s="8">
        <f t="shared" si="366"/>
        <v>20675.172000000002</v>
      </c>
      <c r="AR155" s="8">
        <f t="shared" si="366"/>
        <v>20305.727000000003</v>
      </c>
      <c r="AS155" s="8">
        <f t="shared" si="366"/>
        <v>19499.897000000001</v>
      </c>
      <c r="AT155" s="8">
        <f t="shared" ref="AT155:AY155" si="367">+AT139</f>
        <v>19776.401999999998</v>
      </c>
      <c r="AU155" s="8">
        <f t="shared" si="367"/>
        <v>22840.769000000004</v>
      </c>
      <c r="AV155" s="8">
        <f t="shared" si="367"/>
        <v>21586.421999999999</v>
      </c>
      <c r="AW155" s="8">
        <f t="shared" si="367"/>
        <v>24895.773999999998</v>
      </c>
      <c r="AX155" s="8">
        <f t="shared" si="367"/>
        <v>24077.410000000003</v>
      </c>
      <c r="AY155" s="8">
        <f t="shared" si="367"/>
        <v>24804.572</v>
      </c>
      <c r="AZ155" s="8">
        <f t="shared" ref="AZ155:BE155" si="368">+AZ139</f>
        <v>36778.132999999994</v>
      </c>
      <c r="BA155" s="8">
        <f t="shared" si="368"/>
        <v>40855.398000000001</v>
      </c>
      <c r="BB155" s="8">
        <f t="shared" si="368"/>
        <v>48234.635000000002</v>
      </c>
      <c r="BC155" s="8">
        <f t="shared" si="368"/>
        <v>51921.675999999999</v>
      </c>
      <c r="BD155" s="8">
        <f t="shared" si="368"/>
        <v>53854.35</v>
      </c>
      <c r="BE155" s="8">
        <f t="shared" si="368"/>
        <v>58486.411</v>
      </c>
      <c r="BF155" s="8">
        <f>+BF139</f>
        <v>77197.847999999998</v>
      </c>
      <c r="BG155" s="8">
        <f>+BG139</f>
        <v>83452.188999999998</v>
      </c>
    </row>
    <row r="156" spans="2:59" ht="14.25" customHeight="1">
      <c r="N156" s="78"/>
      <c r="O156" s="78"/>
      <c r="P156" s="111"/>
      <c r="Q156" s="78"/>
      <c r="R156" s="78"/>
      <c r="S156" s="78"/>
      <c r="T156" s="78"/>
      <c r="U156" s="78"/>
      <c r="V156" s="78"/>
      <c r="W156" s="78"/>
      <c r="X156" s="78"/>
      <c r="Y156" s="78"/>
      <c r="Z156" s="78"/>
      <c r="AA156" s="78"/>
      <c r="AB156" s="78"/>
      <c r="AL156" s="78"/>
    </row>
    <row r="157" spans="2:59" ht="12.75" customHeight="1">
      <c r="B157" s="5" t="s">
        <v>519</v>
      </c>
      <c r="C157" s="8">
        <f t="shared" ref="C157:H157" si="369">C74*8</f>
        <v>191.392</v>
      </c>
      <c r="D157" s="8">
        <f t="shared" si="369"/>
        <v>191.392</v>
      </c>
      <c r="E157" s="8">
        <f t="shared" si="369"/>
        <v>242.512</v>
      </c>
      <c r="F157" s="8">
        <f t="shared" si="369"/>
        <v>290.24</v>
      </c>
      <c r="G157" s="8">
        <f t="shared" si="369"/>
        <v>0</v>
      </c>
      <c r="H157" s="8">
        <f t="shared" si="369"/>
        <v>0</v>
      </c>
      <c r="I157" s="8">
        <f>I74*8</f>
        <v>0</v>
      </c>
      <c r="J157" s="8">
        <f>J74*8</f>
        <v>0</v>
      </c>
      <c r="K157" s="8">
        <f>K74*8</f>
        <v>0</v>
      </c>
      <c r="L157" s="6">
        <f>BG157</f>
        <v>0</v>
      </c>
      <c r="M157" s="6"/>
      <c r="N157" s="51"/>
      <c r="O157" s="51"/>
      <c r="P157" s="98"/>
      <c r="Q157" s="51"/>
      <c r="R157" s="51"/>
      <c r="S157" s="51"/>
      <c r="T157" s="51"/>
      <c r="U157" s="51"/>
      <c r="V157" s="51"/>
      <c r="W157" s="51"/>
      <c r="X157" s="51"/>
      <c r="Y157" s="51"/>
      <c r="Z157" s="51"/>
      <c r="AA157" s="51"/>
      <c r="AB157" s="51"/>
      <c r="AC157" s="8">
        <f t="shared" ref="AC157:AN157" si="370">AC74*8*4</f>
        <v>242.512</v>
      </c>
      <c r="AD157" s="8">
        <f t="shared" si="370"/>
        <v>242.512</v>
      </c>
      <c r="AE157" s="8">
        <f t="shared" si="370"/>
        <v>242.512</v>
      </c>
      <c r="AF157" s="8">
        <f t="shared" si="370"/>
        <v>242.512</v>
      </c>
      <c r="AG157" s="8">
        <f t="shared" si="370"/>
        <v>290.24</v>
      </c>
      <c r="AH157" s="8">
        <f t="shared" si="370"/>
        <v>290.24</v>
      </c>
      <c r="AI157" s="8">
        <f t="shared" si="370"/>
        <v>290.24</v>
      </c>
      <c r="AJ157" s="8">
        <f t="shared" si="370"/>
        <v>290.24</v>
      </c>
      <c r="AK157" s="8">
        <f t="shared" si="370"/>
        <v>0</v>
      </c>
      <c r="AL157" s="8">
        <f t="shared" si="370"/>
        <v>0</v>
      </c>
      <c r="AM157" s="8">
        <f t="shared" si="370"/>
        <v>0</v>
      </c>
      <c r="AN157" s="8">
        <f t="shared" si="370"/>
        <v>0</v>
      </c>
      <c r="AO157" s="8">
        <f t="shared" ref="AO157:AT157" si="371">AO74*8*4</f>
        <v>0</v>
      </c>
      <c r="AP157" s="8">
        <f t="shared" si="371"/>
        <v>0</v>
      </c>
      <c r="AQ157" s="8">
        <f t="shared" si="371"/>
        <v>0</v>
      </c>
      <c r="AR157" s="8">
        <f t="shared" si="371"/>
        <v>0</v>
      </c>
      <c r="AS157" s="8">
        <f t="shared" si="371"/>
        <v>0</v>
      </c>
      <c r="AT157" s="8">
        <f t="shared" si="371"/>
        <v>0</v>
      </c>
      <c r="AU157" s="8">
        <f t="shared" ref="AU157:AZ157" si="372">AU74*8*4</f>
        <v>0</v>
      </c>
      <c r="AV157" s="8">
        <f t="shared" si="372"/>
        <v>0</v>
      </c>
      <c r="AW157" s="8">
        <f t="shared" si="372"/>
        <v>0</v>
      </c>
      <c r="AX157" s="8">
        <f t="shared" si="372"/>
        <v>0</v>
      </c>
      <c r="AY157" s="8">
        <f t="shared" si="372"/>
        <v>0</v>
      </c>
      <c r="AZ157" s="8">
        <f t="shared" si="372"/>
        <v>0</v>
      </c>
      <c r="BA157" s="8">
        <f t="shared" ref="BA157:BF157" si="373">BA74*8*4</f>
        <v>0</v>
      </c>
      <c r="BB157" s="8">
        <f t="shared" si="373"/>
        <v>0</v>
      </c>
      <c r="BC157" s="8">
        <f t="shared" si="373"/>
        <v>0</v>
      </c>
      <c r="BD157" s="8">
        <f t="shared" si="373"/>
        <v>0</v>
      </c>
      <c r="BE157" s="8">
        <f t="shared" si="373"/>
        <v>0</v>
      </c>
      <c r="BF157" s="8">
        <f t="shared" si="373"/>
        <v>0</v>
      </c>
      <c r="BG157" s="8">
        <f>BG74*8*4</f>
        <v>0</v>
      </c>
    </row>
    <row r="158" spans="2:59" ht="13.5" customHeight="1">
      <c r="B158" s="5"/>
      <c r="C158" s="28"/>
      <c r="D158" s="28"/>
      <c r="E158" s="28"/>
      <c r="F158" s="28"/>
      <c r="G158" s="28"/>
      <c r="H158" s="28"/>
      <c r="I158" s="28"/>
      <c r="J158" s="28"/>
      <c r="K158" s="28"/>
      <c r="L158" s="28"/>
      <c r="M158" s="28"/>
      <c r="N158" s="51"/>
      <c r="O158" s="51"/>
      <c r="P158" s="98"/>
      <c r="Q158" s="51"/>
      <c r="R158" s="51"/>
      <c r="S158" s="51"/>
      <c r="T158" s="51"/>
      <c r="U158" s="51"/>
      <c r="V158" s="51"/>
      <c r="W158" s="51"/>
      <c r="X158" s="51"/>
      <c r="Y158" s="51"/>
      <c r="Z158" s="51"/>
      <c r="AA158" s="51"/>
      <c r="AB158" s="51"/>
      <c r="AC158" s="28"/>
      <c r="AD158" s="28"/>
      <c r="AE158" s="28"/>
      <c r="AF158" s="28"/>
      <c r="AG158" s="28"/>
      <c r="AH158" s="28"/>
      <c r="AI158" s="28"/>
      <c r="AJ158" s="28"/>
      <c r="AK158" s="28"/>
      <c r="AL158" s="51"/>
      <c r="AM158" s="28"/>
      <c r="AN158" s="28"/>
      <c r="AO158" s="28"/>
      <c r="AP158" s="28"/>
      <c r="AQ158" s="28"/>
      <c r="AR158" s="28"/>
      <c r="AS158" s="28"/>
      <c r="AT158" s="28"/>
      <c r="AU158" s="28"/>
      <c r="AV158" s="28"/>
      <c r="AW158" s="28"/>
      <c r="AX158" s="28"/>
      <c r="AY158" s="28"/>
      <c r="AZ158" s="28"/>
      <c r="BA158" s="28"/>
      <c r="BB158" s="28"/>
      <c r="BC158" s="28"/>
      <c r="BD158" s="28"/>
      <c r="BE158" s="28"/>
      <c r="BF158" s="28"/>
      <c r="BG158" s="28"/>
    </row>
    <row r="159" spans="2:59" ht="13.5" customHeight="1">
      <c r="B159" s="5" t="s">
        <v>520</v>
      </c>
      <c r="C159" s="8">
        <f t="shared" ref="C159:L159" si="374">C157+C151</f>
        <v>-5141.994999999999</v>
      </c>
      <c r="D159" s="8">
        <f t="shared" si="374"/>
        <v>1486.8360000000002</v>
      </c>
      <c r="E159" s="8">
        <f t="shared" si="374"/>
        <v>3971.322000000001</v>
      </c>
      <c r="F159" s="8">
        <f t="shared" si="374"/>
        <v>8114.0560000000005</v>
      </c>
      <c r="G159" s="8">
        <f t="shared" si="374"/>
        <v>11322.35</v>
      </c>
      <c r="H159" s="8">
        <f>H157+H151</f>
        <v>8533.9570000000022</v>
      </c>
      <c r="I159" s="8">
        <f>I157+I151</f>
        <v>7626.9809999999998</v>
      </c>
      <c r="J159" s="8">
        <f>J157+J151</f>
        <v>15252.386999999995</v>
      </c>
      <c r="K159" s="8">
        <f>K157+K151</f>
        <v>24859.053</v>
      </c>
      <c r="L159" s="8">
        <f t="shared" si="374"/>
        <v>40245.178999999996</v>
      </c>
      <c r="M159" s="8"/>
      <c r="N159" s="51"/>
      <c r="O159" s="51"/>
      <c r="P159" s="98"/>
      <c r="Q159" s="51"/>
      <c r="R159" s="51"/>
      <c r="S159" s="51"/>
      <c r="T159" s="51"/>
      <c r="U159" s="51"/>
      <c r="V159" s="51"/>
      <c r="W159" s="51"/>
      <c r="X159" s="51"/>
      <c r="Y159" s="51"/>
      <c r="Z159" s="51"/>
      <c r="AA159" s="51"/>
      <c r="AB159" s="51"/>
      <c r="AC159" s="8">
        <f t="shared" ref="AC159:AI159" si="375">AC157+AC151</f>
        <v>1751.4839999999995</v>
      </c>
      <c r="AD159" s="8">
        <f t="shared" si="375"/>
        <v>3818.938999999998</v>
      </c>
      <c r="AE159" s="8">
        <f t="shared" si="375"/>
        <v>2777.1869999999999</v>
      </c>
      <c r="AF159" s="8">
        <f t="shared" si="375"/>
        <v>3971.322000000001</v>
      </c>
      <c r="AG159" s="8">
        <f t="shared" si="375"/>
        <v>4569.7960000000012</v>
      </c>
      <c r="AH159" s="8">
        <f t="shared" si="375"/>
        <v>6493.1429999999982</v>
      </c>
      <c r="AI159" s="8">
        <f t="shared" si="375"/>
        <v>7250.7650000000003</v>
      </c>
      <c r="AJ159" s="8">
        <f t="shared" ref="AJ159:AO159" si="376">AJ157+AJ151</f>
        <v>8114.0560000000005</v>
      </c>
      <c r="AK159" s="8">
        <f t="shared" si="376"/>
        <v>10540.796999999999</v>
      </c>
      <c r="AL159" s="8">
        <f t="shared" si="376"/>
        <v>11307.773000000003</v>
      </c>
      <c r="AM159" s="8">
        <f t="shared" si="376"/>
        <v>14305.906999999999</v>
      </c>
      <c r="AN159" s="8">
        <f t="shared" si="376"/>
        <v>11322.35</v>
      </c>
      <c r="AO159" s="8">
        <f t="shared" si="376"/>
        <v>12568.895999999997</v>
      </c>
      <c r="AP159" s="8">
        <f t="shared" ref="AP159:AU159" si="377">AP157+AP151</f>
        <v>9798.4150000000009</v>
      </c>
      <c r="AQ159" s="8">
        <f t="shared" si="377"/>
        <v>8155.8080000000027</v>
      </c>
      <c r="AR159" s="8">
        <f t="shared" si="377"/>
        <v>8533.9570000000022</v>
      </c>
      <c r="AS159" s="8">
        <f t="shared" si="377"/>
        <v>8805.6229999999996</v>
      </c>
      <c r="AT159" s="8">
        <f t="shared" si="377"/>
        <v>7361.3809999999994</v>
      </c>
      <c r="AU159" s="8">
        <f t="shared" si="377"/>
        <v>7251.979000000003</v>
      </c>
      <c r="AV159" s="8">
        <f t="shared" ref="AV159:BA159" si="378">AV157+AV151</f>
        <v>7626.9809999999998</v>
      </c>
      <c r="AW159" s="8">
        <f t="shared" si="378"/>
        <v>9227.284999999998</v>
      </c>
      <c r="AX159" s="8">
        <f t="shared" si="378"/>
        <v>9472.3150000000005</v>
      </c>
      <c r="AY159" s="8">
        <f t="shared" si="378"/>
        <v>10331.016</v>
      </c>
      <c r="AZ159" s="8">
        <f t="shared" si="378"/>
        <v>15252.386999999995</v>
      </c>
      <c r="BA159" s="8">
        <f t="shared" si="378"/>
        <v>19082.585999999999</v>
      </c>
      <c r="BB159" s="8">
        <f t="shared" ref="BB159:BG159" si="379">BB157+BB151</f>
        <v>23102.867000000002</v>
      </c>
      <c r="BC159" s="8">
        <f t="shared" si="379"/>
        <v>24490.437000000002</v>
      </c>
      <c r="BD159" s="8">
        <f t="shared" si="379"/>
        <v>24859.053</v>
      </c>
      <c r="BE159" s="8">
        <f t="shared" si="379"/>
        <v>27801.616000000005</v>
      </c>
      <c r="BF159" s="8">
        <f t="shared" si="379"/>
        <v>38302.052999999993</v>
      </c>
      <c r="BG159" s="8">
        <f t="shared" si="379"/>
        <v>40245.178999999996</v>
      </c>
    </row>
    <row r="160" spans="2:59" ht="13.5" customHeight="1">
      <c r="B160" s="5" t="s">
        <v>521</v>
      </c>
      <c r="C160" s="8">
        <f t="shared" ref="C160:L160" si="380">C157+C152</f>
        <v>3889.8860000000004</v>
      </c>
      <c r="D160" s="8">
        <f t="shared" si="380"/>
        <v>4405.6319999999996</v>
      </c>
      <c r="E160" s="8">
        <f t="shared" si="380"/>
        <v>10023.674000000001</v>
      </c>
      <c r="F160" s="8">
        <f t="shared" si="380"/>
        <v>12826.388999999999</v>
      </c>
      <c r="G160" s="8">
        <f t="shared" si="380"/>
        <v>18741.589</v>
      </c>
      <c r="H160" s="8">
        <f>H157+H152</f>
        <v>18772.672000000002</v>
      </c>
      <c r="I160" s="8">
        <f>I157+I152</f>
        <v>19487.536</v>
      </c>
      <c r="J160" s="8">
        <f>J157+J152</f>
        <v>33872.267999999996</v>
      </c>
      <c r="K160" s="8">
        <f>K157+K152</f>
        <v>50799.118999999999</v>
      </c>
      <c r="L160" s="8">
        <f t="shared" si="380"/>
        <v>79298.659</v>
      </c>
      <c r="M160" s="8"/>
      <c r="N160" s="51"/>
      <c r="O160" s="51"/>
      <c r="P160" s="98"/>
      <c r="Q160" s="51"/>
      <c r="R160" s="51"/>
      <c r="S160" s="51"/>
      <c r="T160" s="51"/>
      <c r="U160" s="51"/>
      <c r="V160" s="51"/>
      <c r="W160" s="51"/>
      <c r="X160" s="51"/>
      <c r="Y160" s="51"/>
      <c r="Z160" s="51"/>
      <c r="AA160" s="51"/>
      <c r="AB160" s="51"/>
      <c r="AC160" s="8">
        <f t="shared" ref="AC160:AI160" si="381">AC157+AC152</f>
        <v>4273.8959999999997</v>
      </c>
      <c r="AD160" s="8">
        <f t="shared" si="381"/>
        <v>7588.3549999999977</v>
      </c>
      <c r="AE160" s="8">
        <f t="shared" si="381"/>
        <v>8423.3919999999998</v>
      </c>
      <c r="AF160" s="8">
        <f t="shared" si="381"/>
        <v>10023.674000000001</v>
      </c>
      <c r="AG160" s="8">
        <f t="shared" si="381"/>
        <v>11020.296</v>
      </c>
      <c r="AH160" s="8">
        <f t="shared" si="381"/>
        <v>11487.661999999998</v>
      </c>
      <c r="AI160" s="8">
        <f t="shared" si="381"/>
        <v>12157.223</v>
      </c>
      <c r="AJ160" s="8">
        <f t="shared" ref="AJ160:AO160" si="382">AJ157+AJ152</f>
        <v>12826.388999999999</v>
      </c>
      <c r="AK160" s="8">
        <f t="shared" si="382"/>
        <v>15130.450999999999</v>
      </c>
      <c r="AL160" s="8">
        <f t="shared" si="382"/>
        <v>18388.626</v>
      </c>
      <c r="AM160" s="8">
        <f t="shared" si="382"/>
        <v>23055.098000000002</v>
      </c>
      <c r="AN160" s="8">
        <f t="shared" si="382"/>
        <v>18741.589</v>
      </c>
      <c r="AO160" s="8">
        <f t="shared" si="382"/>
        <v>21457.146999999997</v>
      </c>
      <c r="AP160" s="8">
        <f t="shared" ref="AP160:AU160" si="383">AP157+AP152</f>
        <v>20485.147000000001</v>
      </c>
      <c r="AQ160" s="8">
        <f t="shared" si="383"/>
        <v>19131.190000000002</v>
      </c>
      <c r="AR160" s="8">
        <f t="shared" si="383"/>
        <v>18772.672000000002</v>
      </c>
      <c r="AS160" s="8">
        <f t="shared" si="383"/>
        <v>18017.788</v>
      </c>
      <c r="AT160" s="8">
        <f t="shared" si="383"/>
        <v>18290.477999999999</v>
      </c>
      <c r="AU160" s="8">
        <f t="shared" si="383"/>
        <v>20775.906000000003</v>
      </c>
      <c r="AV160" s="8">
        <f t="shared" ref="AV160:BA160" si="384">AV157+AV152</f>
        <v>19487.536</v>
      </c>
      <c r="AW160" s="8">
        <f t="shared" si="384"/>
        <v>22648.023999999998</v>
      </c>
      <c r="AX160" s="8">
        <f t="shared" si="384"/>
        <v>21905.471000000001</v>
      </c>
      <c r="AY160" s="8">
        <f t="shared" si="384"/>
        <v>22648.478999999999</v>
      </c>
      <c r="AZ160" s="8">
        <f t="shared" si="384"/>
        <v>33872.267999999996</v>
      </c>
      <c r="BA160" s="8">
        <f t="shared" si="384"/>
        <v>37871.728999999999</v>
      </c>
      <c r="BB160" s="8">
        <f t="shared" ref="BB160:BG160" si="385">BB157+BB152</f>
        <v>45037.569000000003</v>
      </c>
      <c r="BC160" s="8">
        <f t="shared" si="385"/>
        <v>48813.826000000001</v>
      </c>
      <c r="BD160" s="8">
        <f t="shared" si="385"/>
        <v>50799.118999999999</v>
      </c>
      <c r="BE160" s="8">
        <f t="shared" si="385"/>
        <v>55094.937000000005</v>
      </c>
      <c r="BF160" s="8">
        <f t="shared" si="385"/>
        <v>73261.353999999992</v>
      </c>
      <c r="BG160" s="8">
        <f t="shared" si="385"/>
        <v>79298.659</v>
      </c>
    </row>
    <row r="161" spans="1:59" ht="13.5" customHeight="1">
      <c r="C161" s="28"/>
      <c r="D161" s="28"/>
      <c r="E161" s="28"/>
      <c r="F161" s="28"/>
      <c r="G161" s="28"/>
      <c r="H161" s="28"/>
      <c r="I161" s="28"/>
      <c r="J161" s="28"/>
      <c r="K161" s="28"/>
      <c r="L161" s="28"/>
      <c r="M161" s="28"/>
      <c r="N161" s="28"/>
      <c r="O161" s="28"/>
      <c r="P161" s="106"/>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row>
    <row r="162" spans="1:59" ht="13.5" customHeight="1">
      <c r="B162" s="1" t="s">
        <v>522</v>
      </c>
      <c r="C162" s="6">
        <f t="shared" ref="C162:L162" si="386">+C152-C163</f>
        <v>3223.8060000000005</v>
      </c>
      <c r="D162" s="6">
        <f t="shared" si="386"/>
        <v>3706.4649999999997</v>
      </c>
      <c r="E162" s="6">
        <f t="shared" si="386"/>
        <v>7722.2620000000006</v>
      </c>
      <c r="F162" s="6">
        <f t="shared" si="386"/>
        <v>10909.876</v>
      </c>
      <c r="G162" s="6">
        <f t="shared" si="386"/>
        <v>17072.96</v>
      </c>
      <c r="H162" s="6">
        <f t="shared" si="386"/>
        <v>16439.842000000004</v>
      </c>
      <c r="I162" s="6">
        <f>+I152-I163</f>
        <v>16607.484</v>
      </c>
      <c r="J162" s="6">
        <f>+J152-J163</f>
        <v>29463.032999999996</v>
      </c>
      <c r="K162" s="6">
        <f>+K152-K163</f>
        <v>46389.883999999998</v>
      </c>
      <c r="L162" s="6">
        <f t="shared" si="386"/>
        <v>61757.055</v>
      </c>
      <c r="M162" s="6"/>
      <c r="N162" s="231"/>
      <c r="O162" s="28"/>
      <c r="P162" s="106"/>
      <c r="Q162" s="28"/>
      <c r="R162" s="28"/>
      <c r="S162" s="28"/>
      <c r="T162" s="28"/>
      <c r="U162" s="28"/>
      <c r="V162" s="28"/>
      <c r="W162" s="28"/>
      <c r="X162" s="28"/>
      <c r="Y162" s="28"/>
      <c r="Z162" s="28"/>
      <c r="AA162" s="28"/>
      <c r="AB162" s="28"/>
      <c r="AC162" s="6">
        <f t="shared" ref="AC162:AM162" si="387">+AC152-AC163</f>
        <v>3662.4509999999996</v>
      </c>
      <c r="AD162" s="6">
        <f t="shared" si="387"/>
        <v>6503.8119999999981</v>
      </c>
      <c r="AE162" s="6">
        <f t="shared" si="387"/>
        <v>6816.2060000000001</v>
      </c>
      <c r="AF162" s="6">
        <f t="shared" si="387"/>
        <v>7722.2620000000006</v>
      </c>
      <c r="AG162" s="6">
        <f t="shared" si="387"/>
        <v>8173.9030000000002</v>
      </c>
      <c r="AH162" s="6">
        <f t="shared" si="387"/>
        <v>8779.8409999999985</v>
      </c>
      <c r="AI162" s="6">
        <f t="shared" si="387"/>
        <v>9631.1190000000006</v>
      </c>
      <c r="AJ162" s="6">
        <f t="shared" si="387"/>
        <v>10909.876</v>
      </c>
      <c r="AK162" s="6">
        <f t="shared" si="387"/>
        <v>13369.644999999999</v>
      </c>
      <c r="AL162" s="6">
        <f t="shared" si="387"/>
        <v>16630.941999999999</v>
      </c>
      <c r="AM162" s="6">
        <f t="shared" si="387"/>
        <v>21645.409000000003</v>
      </c>
      <c r="AN162" s="6">
        <f t="shared" ref="AN162:AS162" si="388">+AN152-AN163</f>
        <v>17072.96</v>
      </c>
      <c r="AO162" s="6">
        <f t="shared" si="388"/>
        <v>19447.105999999996</v>
      </c>
      <c r="AP162" s="6">
        <f t="shared" si="388"/>
        <v>18617.435000000001</v>
      </c>
      <c r="AQ162" s="6">
        <f t="shared" si="388"/>
        <v>17361.809000000001</v>
      </c>
      <c r="AR162" s="6">
        <f t="shared" si="388"/>
        <v>16439.842000000004</v>
      </c>
      <c r="AS162" s="6">
        <f t="shared" si="388"/>
        <v>15871.829000000002</v>
      </c>
      <c r="AT162" s="6">
        <f t="shared" ref="AT162:AY162" si="389">+AT152-AT163</f>
        <v>15911.090999999999</v>
      </c>
      <c r="AU162" s="6">
        <f t="shared" si="389"/>
        <v>17430.551000000003</v>
      </c>
      <c r="AV162" s="6">
        <f t="shared" si="389"/>
        <v>16607.484</v>
      </c>
      <c r="AW162" s="6">
        <f t="shared" si="389"/>
        <v>19670.284999999996</v>
      </c>
      <c r="AX162" s="6">
        <f t="shared" si="389"/>
        <v>19923.293000000001</v>
      </c>
      <c r="AY162" s="6">
        <f t="shared" si="389"/>
        <v>20361.424999999999</v>
      </c>
      <c r="AZ162" s="6">
        <f t="shared" ref="AZ162:BE162" si="390">+AZ152-AZ163</f>
        <v>29463.032999999996</v>
      </c>
      <c r="BA162" s="6">
        <f t="shared" si="390"/>
        <v>32046.966</v>
      </c>
      <c r="BB162" s="6">
        <f t="shared" si="390"/>
        <v>37502.778000000006</v>
      </c>
      <c r="BC162" s="6">
        <f t="shared" si="390"/>
        <v>40439.584000000003</v>
      </c>
      <c r="BD162" s="6">
        <f t="shared" si="390"/>
        <v>46389.883999999998</v>
      </c>
      <c r="BE162" s="6">
        <f t="shared" si="390"/>
        <v>42396.31700000001</v>
      </c>
      <c r="BF162" s="6">
        <f>+BF152-BF163</f>
        <v>57753.866999999991</v>
      </c>
      <c r="BG162" s="6">
        <f>+BG152-BG163</f>
        <v>61757.055</v>
      </c>
    </row>
    <row r="163" spans="1:59" ht="13.5" customHeight="1">
      <c r="B163" s="1" t="s">
        <v>523</v>
      </c>
      <c r="C163" s="4">
        <v>474.68799999999999</v>
      </c>
      <c r="D163" s="4">
        <v>507.77499999999998</v>
      </c>
      <c r="E163" s="4">
        <f>1819.944+238.956</f>
        <v>2058.9</v>
      </c>
      <c r="F163" s="4">
        <f>1620.391+5.882</f>
        <v>1626.2730000000001</v>
      </c>
      <c r="G163" s="4">
        <f>873.914+74.997+719.718</f>
        <v>1668.6289999999999</v>
      </c>
      <c r="H163" s="4">
        <f>1442.818+154.801+735.211</f>
        <v>2332.83</v>
      </c>
      <c r="I163" s="4">
        <f>1627.198+50.866+1201.988</f>
        <v>2880.0520000000001</v>
      </c>
      <c r="J163" s="4">
        <f>3044.848+101.938+1262.449</f>
        <v>4409.2350000000006</v>
      </c>
      <c r="K163" s="4">
        <f>3044.848+101.938+1262.449</f>
        <v>4409.2350000000006</v>
      </c>
      <c r="L163" s="6">
        <f>BG163</f>
        <v>17541.603999999999</v>
      </c>
      <c r="M163" s="6"/>
      <c r="N163" s="28"/>
      <c r="O163" s="28"/>
      <c r="P163" s="106"/>
      <c r="Q163" s="28"/>
      <c r="R163" s="28"/>
      <c r="S163" s="28"/>
      <c r="T163" s="28"/>
      <c r="U163" s="28"/>
      <c r="V163" s="28"/>
      <c r="W163" s="28"/>
      <c r="X163" s="28"/>
      <c r="Y163" s="28"/>
      <c r="Z163" s="28"/>
      <c r="AA163" s="28"/>
      <c r="AB163" s="28"/>
      <c r="AC163" s="4">
        <f>368.821+0.112</f>
        <v>368.93300000000005</v>
      </c>
      <c r="AD163" s="4">
        <v>842.03099999999995</v>
      </c>
      <c r="AE163" s="4">
        <f>1361.356+3.318</f>
        <v>1364.674</v>
      </c>
      <c r="AF163" s="6">
        <f>E163</f>
        <v>2058.9</v>
      </c>
      <c r="AG163" s="4">
        <f>2167.694+388.459</f>
        <v>2556.1529999999998</v>
      </c>
      <c r="AH163" s="4">
        <f>2264.269+147.43+5.882</f>
        <v>2417.5809999999997</v>
      </c>
      <c r="AI163" s="4">
        <f>2229.982+5.882</f>
        <v>2235.864</v>
      </c>
      <c r="AJ163" s="6">
        <f>F163</f>
        <v>1626.2730000000001</v>
      </c>
      <c r="AK163" s="4">
        <f>1632.04+124.951+3.815</f>
        <v>1760.806</v>
      </c>
      <c r="AL163" s="28">
        <f>1628.918+124.952+3.814</f>
        <v>1757.684</v>
      </c>
      <c r="AM163" s="4">
        <f>1405.879+3.81</f>
        <v>1409.6889999999999</v>
      </c>
      <c r="AN163" s="276">
        <f>G163</f>
        <v>1668.6289999999999</v>
      </c>
      <c r="AO163" s="4">
        <f>1205.032+99.999+705.01</f>
        <v>2010.0409999999999</v>
      </c>
      <c r="AP163" s="4">
        <f>966.324+74.997+826.391</f>
        <v>1867.712</v>
      </c>
      <c r="AQ163" s="4">
        <f>905.677+80.246+783.458</f>
        <v>1769.3809999999999</v>
      </c>
      <c r="AR163" s="274">
        <f>H163</f>
        <v>2332.83</v>
      </c>
      <c r="AS163" s="4">
        <f>1202.448+177.55+765.961</f>
        <v>2145.9589999999998</v>
      </c>
      <c r="AT163" s="4">
        <f>1551.606+100.153+727.628</f>
        <v>2379.3870000000002</v>
      </c>
      <c r="AU163" s="4">
        <f>2060.098+102.185+1183.072</f>
        <v>3345.3549999999996</v>
      </c>
      <c r="AV163" s="274">
        <f>I163</f>
        <v>2880.0520000000001</v>
      </c>
      <c r="AW163" s="4">
        <f>1681.116+93.587+1203.036</f>
        <v>2977.739</v>
      </c>
      <c r="AX163" s="4">
        <f>814.565+97.648+1069.965</f>
        <v>1982.1779999999999</v>
      </c>
      <c r="AY163" s="4">
        <f>1262.119+1024.935</f>
        <v>2287.0540000000001</v>
      </c>
      <c r="AZ163" s="274">
        <f>J163</f>
        <v>4409.2350000000006</v>
      </c>
      <c r="BA163" s="4">
        <f>4244.488+304.25+1276.025</f>
        <v>5824.7630000000008</v>
      </c>
      <c r="BB163" s="4">
        <f>5758.34+496.741+1279.71</f>
        <v>7534.7910000000002</v>
      </c>
      <c r="BC163" s="4">
        <f>6532.663+546.544+1295.035</f>
        <v>8374.2420000000002</v>
      </c>
      <c r="BD163" s="274">
        <f>K163</f>
        <v>4409.2350000000006</v>
      </c>
      <c r="BE163" s="4">
        <f>9534.198+1580.764+1583.658</f>
        <v>12698.619999999999</v>
      </c>
      <c r="BF163" s="4">
        <f>12329.622+1580.446+1597.419</f>
        <v>15507.486999999999</v>
      </c>
      <c r="BG163" s="4">
        <f>12574.51+3254.006+1713.088</f>
        <v>17541.603999999999</v>
      </c>
    </row>
    <row r="164" spans="1:59" ht="13.5" customHeight="1">
      <c r="C164" s="28"/>
      <c r="D164" s="4"/>
      <c r="E164" s="4"/>
      <c r="F164" s="4"/>
      <c r="G164" s="4"/>
      <c r="H164" s="4"/>
      <c r="I164" s="4"/>
      <c r="J164" s="4"/>
      <c r="K164" s="4"/>
      <c r="L164" s="4"/>
      <c r="M164" s="4"/>
      <c r="N164" s="28"/>
      <c r="O164" s="28"/>
      <c r="P164" s="106"/>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row>
    <row r="165" spans="1:59" ht="13.5" customHeight="1">
      <c r="B165" s="5" t="s">
        <v>524</v>
      </c>
      <c r="C165" s="4">
        <v>31460</v>
      </c>
      <c r="D165" s="4">
        <v>21780</v>
      </c>
      <c r="E165" s="4">
        <v>21450</v>
      </c>
      <c r="F165" s="4">
        <v>34056</v>
      </c>
      <c r="G165" s="286">
        <v>26671.4</v>
      </c>
      <c r="H165" s="4">
        <v>30360</v>
      </c>
      <c r="I165" s="4">
        <v>36720</v>
      </c>
      <c r="J165" s="4">
        <v>40770</v>
      </c>
      <c r="K165" s="4">
        <v>77350</v>
      </c>
      <c r="L165" s="6">
        <f>BG165</f>
        <v>121770</v>
      </c>
      <c r="M165" s="6"/>
      <c r="N165" s="26"/>
      <c r="O165" s="26"/>
      <c r="P165" s="109"/>
      <c r="Q165" s="187"/>
      <c r="R165" s="187"/>
      <c r="S165" s="187"/>
      <c r="T165" s="187"/>
      <c r="U165" s="187"/>
      <c r="V165" s="187"/>
      <c r="W165" s="187"/>
      <c r="X165" s="187"/>
      <c r="Y165" s="187"/>
      <c r="Z165" s="187"/>
      <c r="AA165" s="187"/>
      <c r="AB165" s="187"/>
      <c r="AC165" s="4">
        <v>26070</v>
      </c>
      <c r="AD165" s="4">
        <v>23254</v>
      </c>
      <c r="AE165" s="4">
        <v>21362</v>
      </c>
      <c r="AF165" s="6">
        <f>E165</f>
        <v>21450</v>
      </c>
      <c r="AG165" s="4">
        <v>26334</v>
      </c>
      <c r="AH165" s="4">
        <v>25476</v>
      </c>
      <c r="AI165" s="4">
        <v>27918</v>
      </c>
      <c r="AJ165" s="6">
        <f>F165</f>
        <v>34056</v>
      </c>
      <c r="AK165" s="4">
        <v>31526</v>
      </c>
      <c r="AL165" s="4">
        <v>25718</v>
      </c>
      <c r="AM165" s="4">
        <v>25300</v>
      </c>
      <c r="AN165" s="276">
        <f>G165</f>
        <v>26671.4</v>
      </c>
      <c r="AO165" s="4">
        <v>26496</v>
      </c>
      <c r="AP165" s="4">
        <v>28052</v>
      </c>
      <c r="AQ165" s="4">
        <v>27060</v>
      </c>
      <c r="AR165" s="274">
        <f>H165</f>
        <v>30360</v>
      </c>
      <c r="AS165" s="4">
        <f>4303*AS190</f>
        <v>28038.348000000002</v>
      </c>
      <c r="AT165" s="4">
        <v>36168</v>
      </c>
      <c r="AU165" s="4">
        <v>33440</v>
      </c>
      <c r="AV165" s="274">
        <f>I165</f>
        <v>36720</v>
      </c>
      <c r="AW165" s="4">
        <v>32934</v>
      </c>
      <c r="AX165" s="4">
        <v>35420</v>
      </c>
      <c r="AY165" s="4">
        <v>33726</v>
      </c>
      <c r="AZ165" s="274">
        <f>J165</f>
        <v>40770</v>
      </c>
      <c r="BA165" s="4">
        <v>49588</v>
      </c>
      <c r="BB165" s="4">
        <v>35640</v>
      </c>
      <c r="BC165" s="4">
        <v>62000</v>
      </c>
      <c r="BD165" s="274">
        <f>K165</f>
        <v>77350</v>
      </c>
      <c r="BE165" s="447">
        <v>37270</v>
      </c>
      <c r="BF165" s="4">
        <v>70860</v>
      </c>
      <c r="BG165" s="4">
        <v>121770</v>
      </c>
    </row>
    <row r="166" spans="1:59" ht="13.5" customHeight="1" outlineLevel="1">
      <c r="B166" s="1" t="s">
        <v>525</v>
      </c>
      <c r="C166" s="4">
        <v>16710.599999999999</v>
      </c>
      <c r="D166" s="4">
        <v>14418.9</v>
      </c>
      <c r="E166" s="4">
        <v>16068.4</v>
      </c>
      <c r="F166" s="4">
        <v>15045.088</v>
      </c>
      <c r="G166" s="4">
        <v>16053.554</v>
      </c>
      <c r="H166" s="4">
        <v>18082.944</v>
      </c>
      <c r="I166" s="4">
        <v>20784.937999999998</v>
      </c>
      <c r="J166" s="4">
        <v>22562.025000000001</v>
      </c>
      <c r="K166" s="4">
        <v>30891.061000000002</v>
      </c>
      <c r="L166" s="6">
        <f>BG166</f>
        <v>40979.383999999998</v>
      </c>
      <c r="M166" s="6"/>
      <c r="N166" s="4"/>
      <c r="O166" s="4"/>
      <c r="P166" s="110"/>
      <c r="Q166" s="4"/>
      <c r="R166" s="4"/>
      <c r="S166" s="4"/>
      <c r="T166" s="4"/>
      <c r="U166" s="4"/>
      <c r="V166" s="4"/>
      <c r="W166" s="4"/>
      <c r="X166" s="4"/>
      <c r="Y166" s="4"/>
      <c r="Z166" s="4"/>
      <c r="AA166" s="4"/>
      <c r="AB166" s="4"/>
      <c r="AC166" s="4">
        <v>14901.8</v>
      </c>
      <c r="AD166" s="4">
        <v>15349.806</v>
      </c>
      <c r="AE166" s="4">
        <v>15445.3</v>
      </c>
      <c r="AF166" s="6">
        <f>E166</f>
        <v>16068.4</v>
      </c>
      <c r="AG166" s="4">
        <v>16536.400000000001</v>
      </c>
      <c r="AH166" s="4">
        <v>14201.2</v>
      </c>
      <c r="AI166" s="4">
        <v>14816.8</v>
      </c>
      <c r="AJ166" s="6">
        <f>F166</f>
        <v>15045.088</v>
      </c>
      <c r="AK166" s="4">
        <v>14247.618</v>
      </c>
      <c r="AL166" s="4">
        <f>14952.286</f>
        <v>14952.286</v>
      </c>
      <c r="AM166" s="4">
        <v>14890.892</v>
      </c>
      <c r="AN166" s="276">
        <f>G166</f>
        <v>16053.554</v>
      </c>
      <c r="AO166" s="4">
        <v>17102.280999999999</v>
      </c>
      <c r="AP166" s="4">
        <v>17330.55</v>
      </c>
      <c r="AQ166" s="4">
        <v>17376.766</v>
      </c>
      <c r="AR166" s="274">
        <f>H166</f>
        <v>18082.944</v>
      </c>
      <c r="AS166" s="4">
        <v>18677.593000000001</v>
      </c>
      <c r="AT166" s="4">
        <v>19538.150000000001</v>
      </c>
      <c r="AU166" s="4">
        <v>20288.974999999999</v>
      </c>
      <c r="AV166" s="274">
        <f>I166</f>
        <v>20784.937999999998</v>
      </c>
      <c r="AW166" s="4">
        <v>21734.067999999999</v>
      </c>
      <c r="AX166" s="4">
        <v>20253.488000000001</v>
      </c>
      <c r="AY166" s="4">
        <v>21916.999</v>
      </c>
      <c r="AZ166" s="274">
        <f>J166</f>
        <v>22562.025000000001</v>
      </c>
      <c r="BA166" s="4">
        <v>23379.728999999999</v>
      </c>
      <c r="BB166" s="4">
        <v>23834.062000000002</v>
      </c>
      <c r="BC166" s="4">
        <v>25531.741999999998</v>
      </c>
      <c r="BD166" s="274">
        <f>K166</f>
        <v>30891.061000000002</v>
      </c>
      <c r="BE166" s="4">
        <v>33852.508999999998</v>
      </c>
      <c r="BF166" s="4">
        <v>37532.036</v>
      </c>
      <c r="BG166" s="4">
        <v>40979.383999999998</v>
      </c>
    </row>
    <row r="167" spans="1:59" s="5" customFormat="1" ht="13.5" customHeight="1" outlineLevel="1">
      <c r="B167" s="5" t="s">
        <v>526</v>
      </c>
      <c r="C167" s="8">
        <f t="shared" ref="C167:L167" si="391">C166+C152</f>
        <v>20409.093999999997</v>
      </c>
      <c r="D167" s="8">
        <f t="shared" si="391"/>
        <v>18633.14</v>
      </c>
      <c r="E167" s="8">
        <f t="shared" si="391"/>
        <v>25849.561999999998</v>
      </c>
      <c r="F167" s="8">
        <f t="shared" si="391"/>
        <v>27581.237000000001</v>
      </c>
      <c r="G167" s="8">
        <f t="shared" si="391"/>
        <v>34795.142999999996</v>
      </c>
      <c r="H167" s="8">
        <f>H166+H152</f>
        <v>36855.616000000002</v>
      </c>
      <c r="I167" s="8">
        <f>I166+I152</f>
        <v>40272.474000000002</v>
      </c>
      <c r="J167" s="8">
        <f>J166+J152</f>
        <v>56434.292999999998</v>
      </c>
      <c r="K167" s="8">
        <f>K166+K152</f>
        <v>81690.179999999993</v>
      </c>
      <c r="L167" s="8">
        <f t="shared" si="391"/>
        <v>120278.04300000001</v>
      </c>
      <c r="M167" s="8"/>
      <c r="N167" s="4"/>
      <c r="O167" s="4"/>
      <c r="P167" s="110"/>
      <c r="Q167" s="4"/>
      <c r="R167" s="4"/>
      <c r="S167" s="4"/>
      <c r="T167" s="4"/>
      <c r="U167" s="4"/>
      <c r="V167" s="4"/>
      <c r="W167" s="4"/>
      <c r="X167" s="4"/>
      <c r="Y167" s="4"/>
      <c r="Z167" s="4"/>
      <c r="AA167" s="4"/>
      <c r="AB167" s="4"/>
      <c r="AC167" s="8">
        <f t="shared" ref="AC167:AI167" si="392">AC166+AC152</f>
        <v>18933.183999999997</v>
      </c>
      <c r="AD167" s="8">
        <f t="shared" si="392"/>
        <v>22695.648999999998</v>
      </c>
      <c r="AE167" s="8">
        <f t="shared" si="392"/>
        <v>23626.18</v>
      </c>
      <c r="AF167" s="8">
        <f t="shared" si="392"/>
        <v>25849.561999999998</v>
      </c>
      <c r="AG167" s="8">
        <f t="shared" si="392"/>
        <v>27266.456000000002</v>
      </c>
      <c r="AH167" s="8">
        <f t="shared" si="392"/>
        <v>25398.621999999999</v>
      </c>
      <c r="AI167" s="8">
        <f t="shared" si="392"/>
        <v>26683.782999999999</v>
      </c>
      <c r="AJ167" s="8">
        <f t="shared" ref="AJ167:AO167" si="393">AJ166+AJ152</f>
        <v>27581.237000000001</v>
      </c>
      <c r="AK167" s="8">
        <f t="shared" si="393"/>
        <v>29378.069</v>
      </c>
      <c r="AL167" s="8">
        <f t="shared" si="393"/>
        <v>33340.911999999997</v>
      </c>
      <c r="AM167" s="8">
        <f t="shared" si="393"/>
        <v>37945.990000000005</v>
      </c>
      <c r="AN167" s="8">
        <f t="shared" si="393"/>
        <v>34795.142999999996</v>
      </c>
      <c r="AO167" s="8">
        <f t="shared" si="393"/>
        <v>38559.428</v>
      </c>
      <c r="AP167" s="8">
        <f t="shared" ref="AP167:AU167" si="394">AP166+AP152</f>
        <v>37815.697</v>
      </c>
      <c r="AQ167" s="8">
        <f t="shared" si="394"/>
        <v>36507.956000000006</v>
      </c>
      <c r="AR167" s="8">
        <f t="shared" si="394"/>
        <v>36855.616000000002</v>
      </c>
      <c r="AS167" s="8">
        <f t="shared" si="394"/>
        <v>36695.381000000001</v>
      </c>
      <c r="AT167" s="8">
        <f t="shared" si="394"/>
        <v>37828.627999999997</v>
      </c>
      <c r="AU167" s="8">
        <f t="shared" si="394"/>
        <v>41064.881000000001</v>
      </c>
      <c r="AV167" s="8">
        <f t="shared" ref="AV167:BA167" si="395">AV166+AV152</f>
        <v>40272.474000000002</v>
      </c>
      <c r="AW167" s="8">
        <f t="shared" si="395"/>
        <v>44382.091999999997</v>
      </c>
      <c r="AX167" s="8">
        <f t="shared" si="395"/>
        <v>42158.959000000003</v>
      </c>
      <c r="AY167" s="8">
        <f t="shared" si="395"/>
        <v>44565.478000000003</v>
      </c>
      <c r="AZ167" s="8">
        <f t="shared" si="395"/>
        <v>56434.292999999998</v>
      </c>
      <c r="BA167" s="8">
        <f t="shared" si="395"/>
        <v>61251.457999999999</v>
      </c>
      <c r="BB167" s="8">
        <f t="shared" ref="BB167:BG167" si="396">BB166+BB152</f>
        <v>68871.631000000008</v>
      </c>
      <c r="BC167" s="8">
        <f t="shared" si="396"/>
        <v>74345.567999999999</v>
      </c>
      <c r="BD167" s="8">
        <f t="shared" si="396"/>
        <v>81690.179999999993</v>
      </c>
      <c r="BE167" s="8">
        <f t="shared" si="396"/>
        <v>88947.445999999996</v>
      </c>
      <c r="BF167" s="8">
        <f t="shared" si="396"/>
        <v>110793.38999999998</v>
      </c>
      <c r="BG167" s="8">
        <f t="shared" si="396"/>
        <v>120278.04300000001</v>
      </c>
    </row>
    <row r="168" spans="1:59" s="5" customFormat="1" ht="13.5" customHeight="1" outlineLevel="1">
      <c r="B168" s="5" t="s">
        <v>527</v>
      </c>
      <c r="C168" s="8">
        <f t="shared" ref="C168:L168" si="397">C165+C151</f>
        <v>26126.613000000001</v>
      </c>
      <c r="D168" s="8">
        <f t="shared" si="397"/>
        <v>23075.444</v>
      </c>
      <c r="E168" s="8">
        <f t="shared" si="397"/>
        <v>25178.81</v>
      </c>
      <c r="F168" s="8">
        <f t="shared" si="397"/>
        <v>41879.815999999999</v>
      </c>
      <c r="G168" s="8">
        <f t="shared" si="397"/>
        <v>37993.75</v>
      </c>
      <c r="H168" s="8">
        <f>H165+H151</f>
        <v>38893.957000000002</v>
      </c>
      <c r="I168" s="8">
        <f>I165+I151</f>
        <v>44346.981</v>
      </c>
      <c r="J168" s="8">
        <f>J165+J151</f>
        <v>56022.386999999995</v>
      </c>
      <c r="K168" s="8">
        <f>K165+K151</f>
        <v>102209.053</v>
      </c>
      <c r="L168" s="8">
        <f t="shared" si="397"/>
        <v>162015.179</v>
      </c>
      <c r="M168" s="8"/>
      <c r="N168" s="4"/>
      <c r="O168" s="4"/>
      <c r="P168" s="110"/>
      <c r="Q168" s="4"/>
      <c r="R168" s="4"/>
      <c r="S168" s="4"/>
      <c r="T168" s="4"/>
      <c r="U168" s="4"/>
      <c r="V168" s="4"/>
      <c r="W168" s="4"/>
      <c r="X168" s="4"/>
      <c r="Y168" s="4"/>
      <c r="Z168" s="4"/>
      <c r="AA168" s="4"/>
      <c r="AB168" s="4"/>
      <c r="AC168" s="8">
        <f t="shared" ref="AC168:AI168" si="398">AC165+AC151</f>
        <v>27578.971999999998</v>
      </c>
      <c r="AD168" s="8">
        <f t="shared" si="398"/>
        <v>26830.426999999996</v>
      </c>
      <c r="AE168" s="8">
        <f t="shared" si="398"/>
        <v>23896.674999999999</v>
      </c>
      <c r="AF168" s="8">
        <f t="shared" si="398"/>
        <v>25178.81</v>
      </c>
      <c r="AG168" s="8">
        <f t="shared" si="398"/>
        <v>30613.556</v>
      </c>
      <c r="AH168" s="8">
        <f t="shared" si="398"/>
        <v>31678.902999999998</v>
      </c>
      <c r="AI168" s="8">
        <f t="shared" si="398"/>
        <v>34878.525000000001</v>
      </c>
      <c r="AJ168" s="8">
        <f t="shared" ref="AJ168:AO168" si="399">AJ165+AJ151</f>
        <v>41879.815999999999</v>
      </c>
      <c r="AK168" s="8">
        <f t="shared" si="399"/>
        <v>42066.796999999999</v>
      </c>
      <c r="AL168" s="8">
        <f t="shared" si="399"/>
        <v>37025.773000000001</v>
      </c>
      <c r="AM168" s="8">
        <f t="shared" si="399"/>
        <v>39605.906999999999</v>
      </c>
      <c r="AN168" s="8">
        <f t="shared" si="399"/>
        <v>37993.75</v>
      </c>
      <c r="AO168" s="8">
        <f t="shared" si="399"/>
        <v>39064.895999999993</v>
      </c>
      <c r="AP168" s="8">
        <f t="shared" ref="AP168:AU168" si="400">AP165+AP151</f>
        <v>37850.415000000001</v>
      </c>
      <c r="AQ168" s="8">
        <f t="shared" si="400"/>
        <v>35215.808000000005</v>
      </c>
      <c r="AR168" s="8">
        <f t="shared" si="400"/>
        <v>38893.957000000002</v>
      </c>
      <c r="AS168" s="8">
        <f t="shared" si="400"/>
        <v>36843.971000000005</v>
      </c>
      <c r="AT168" s="8">
        <f t="shared" si="400"/>
        <v>43529.381000000001</v>
      </c>
      <c r="AU168" s="8">
        <f t="shared" si="400"/>
        <v>40691.979000000007</v>
      </c>
      <c r="AV168" s="8">
        <f t="shared" ref="AV168:BA168" si="401">AV165+AV151</f>
        <v>44346.981</v>
      </c>
      <c r="AW168" s="8">
        <f t="shared" si="401"/>
        <v>42161.284999999996</v>
      </c>
      <c r="AX168" s="8">
        <f t="shared" si="401"/>
        <v>44892.315000000002</v>
      </c>
      <c r="AY168" s="8">
        <f t="shared" si="401"/>
        <v>44057.016000000003</v>
      </c>
      <c r="AZ168" s="8">
        <f t="shared" si="401"/>
        <v>56022.386999999995</v>
      </c>
      <c r="BA168" s="8">
        <f t="shared" si="401"/>
        <v>68670.585999999996</v>
      </c>
      <c r="BB168" s="8">
        <f t="shared" ref="BB168:BG168" si="402">BB165+BB151</f>
        <v>58742.866999999998</v>
      </c>
      <c r="BC168" s="8">
        <f t="shared" si="402"/>
        <v>86490.437000000005</v>
      </c>
      <c r="BD168" s="8">
        <f t="shared" si="402"/>
        <v>102209.053</v>
      </c>
      <c r="BE168" s="8">
        <f t="shared" si="402"/>
        <v>65071.616000000009</v>
      </c>
      <c r="BF168" s="8">
        <f t="shared" si="402"/>
        <v>109162.05299999999</v>
      </c>
      <c r="BG168" s="8">
        <f t="shared" si="402"/>
        <v>162015.179</v>
      </c>
    </row>
    <row r="169" spans="1:59" ht="13.5" customHeight="1">
      <c r="N169" s="62"/>
      <c r="O169" s="62"/>
      <c r="P169" s="104"/>
      <c r="Q169" s="62"/>
      <c r="R169" s="62"/>
      <c r="S169" s="62"/>
      <c r="T169" s="62"/>
      <c r="U169" s="62"/>
      <c r="V169" s="62"/>
      <c r="W169" s="62"/>
      <c r="X169" s="62"/>
      <c r="Y169" s="62"/>
      <c r="Z169" s="62"/>
      <c r="AA169" s="62"/>
      <c r="AB169" s="62"/>
      <c r="AL169" s="62"/>
    </row>
    <row r="170" spans="1:59" ht="13.5" customHeight="1">
      <c r="N170" s="62"/>
      <c r="O170" s="62"/>
      <c r="P170" s="104"/>
      <c r="Q170" s="62"/>
      <c r="R170" s="62"/>
      <c r="S170" s="62"/>
      <c r="T170" s="62"/>
      <c r="U170" s="62"/>
      <c r="V170" s="62"/>
      <c r="W170" s="62"/>
      <c r="X170" s="62"/>
      <c r="Y170" s="62"/>
      <c r="Z170" s="62"/>
      <c r="AA170" s="62"/>
      <c r="AB170" s="62"/>
      <c r="AL170" s="62"/>
    </row>
    <row r="171" spans="1:59" ht="13.5" customHeight="1">
      <c r="A171" s="27"/>
      <c r="B171" s="17" t="s">
        <v>528</v>
      </c>
      <c r="C171" s="48">
        <f t="shared" ref="C171:L171" si="403">+C2</f>
        <v>41975</v>
      </c>
      <c r="D171" s="48">
        <f t="shared" si="403"/>
        <v>42341</v>
      </c>
      <c r="E171" s="48">
        <f t="shared" si="403"/>
        <v>42705</v>
      </c>
      <c r="F171" s="48">
        <f t="shared" si="403"/>
        <v>43070</v>
      </c>
      <c r="G171" s="48">
        <f t="shared" si="403"/>
        <v>43435</v>
      </c>
      <c r="H171" s="48">
        <f t="shared" si="403"/>
        <v>43830</v>
      </c>
      <c r="I171" s="48">
        <f t="shared" si="403"/>
        <v>44196</v>
      </c>
      <c r="J171" s="48">
        <f t="shared" si="403"/>
        <v>44561</v>
      </c>
      <c r="K171" s="48">
        <f t="shared" si="403"/>
        <v>44926</v>
      </c>
      <c r="L171" s="48">
        <f t="shared" si="403"/>
        <v>45199</v>
      </c>
      <c r="M171" s="295" t="s">
        <v>397</v>
      </c>
      <c r="N171" s="48">
        <f t="shared" ref="N171:AL171" si="404">+N2</f>
        <v>43074</v>
      </c>
      <c r="O171" s="48">
        <f t="shared" si="404"/>
        <v>43440</v>
      </c>
      <c r="P171" s="96">
        <f t="shared" si="404"/>
        <v>43806</v>
      </c>
      <c r="Q171" s="13">
        <f t="shared" si="404"/>
        <v>41341</v>
      </c>
      <c r="R171" s="13">
        <f t="shared" si="404"/>
        <v>41431</v>
      </c>
      <c r="S171" s="13">
        <f t="shared" si="404"/>
        <v>41526</v>
      </c>
      <c r="T171" s="13">
        <f t="shared" si="404"/>
        <v>41618</v>
      </c>
      <c r="U171" s="13">
        <f t="shared" si="404"/>
        <v>41705</v>
      </c>
      <c r="V171" s="13">
        <f t="shared" si="404"/>
        <v>41796</v>
      </c>
      <c r="W171" s="13">
        <f t="shared" si="404"/>
        <v>41891</v>
      </c>
      <c r="X171" s="13">
        <f t="shared" si="404"/>
        <v>41983</v>
      </c>
      <c r="Y171" s="48">
        <f t="shared" si="404"/>
        <v>42070</v>
      </c>
      <c r="Z171" s="48">
        <f t="shared" si="404"/>
        <v>42161</v>
      </c>
      <c r="AA171" s="48">
        <f t="shared" si="404"/>
        <v>42256</v>
      </c>
      <c r="AB171" s="48">
        <f t="shared" si="404"/>
        <v>42348</v>
      </c>
      <c r="AC171" s="48">
        <f t="shared" si="404"/>
        <v>42437</v>
      </c>
      <c r="AD171" s="48">
        <f t="shared" si="404"/>
        <v>42527</v>
      </c>
      <c r="AE171" s="48">
        <f t="shared" si="404"/>
        <v>42622</v>
      </c>
      <c r="AF171" s="48">
        <f t="shared" si="404"/>
        <v>42714</v>
      </c>
      <c r="AG171" s="48">
        <f t="shared" si="404"/>
        <v>42801</v>
      </c>
      <c r="AH171" s="48">
        <f t="shared" si="404"/>
        <v>42892</v>
      </c>
      <c r="AI171" s="48">
        <f t="shared" si="404"/>
        <v>42987</v>
      </c>
      <c r="AJ171" s="48">
        <f t="shared" si="404"/>
        <v>43079</v>
      </c>
      <c r="AK171" s="48">
        <f t="shared" si="404"/>
        <v>43190</v>
      </c>
      <c r="AL171" s="48">
        <f t="shared" si="404"/>
        <v>43281</v>
      </c>
      <c r="AM171" s="48">
        <f>AM2</f>
        <v>43373</v>
      </c>
      <c r="AN171" s="48">
        <f>AN2</f>
        <v>43465</v>
      </c>
      <c r="AO171" s="48">
        <f t="shared" ref="AO171:BD171" si="405">+AO2</f>
        <v>43555</v>
      </c>
      <c r="AP171" s="48">
        <f t="shared" si="405"/>
        <v>43646</v>
      </c>
      <c r="AQ171" s="48">
        <f t="shared" si="405"/>
        <v>43738</v>
      </c>
      <c r="AR171" s="48">
        <f t="shared" si="405"/>
        <v>43830</v>
      </c>
      <c r="AS171" s="48">
        <f t="shared" si="405"/>
        <v>43921</v>
      </c>
      <c r="AT171" s="48">
        <f t="shared" si="405"/>
        <v>44012</v>
      </c>
      <c r="AU171" s="48">
        <f t="shared" si="405"/>
        <v>44104</v>
      </c>
      <c r="AV171" s="48">
        <f t="shared" si="405"/>
        <v>44196</v>
      </c>
      <c r="AW171" s="48">
        <f t="shared" si="405"/>
        <v>44286</v>
      </c>
      <c r="AX171" s="48">
        <f t="shared" si="405"/>
        <v>44377</v>
      </c>
      <c r="AY171" s="48">
        <f t="shared" si="405"/>
        <v>44469</v>
      </c>
      <c r="AZ171" s="48">
        <f t="shared" si="405"/>
        <v>44561</v>
      </c>
      <c r="BA171" s="48">
        <f t="shared" si="405"/>
        <v>44651</v>
      </c>
      <c r="BB171" s="48">
        <f t="shared" si="405"/>
        <v>44742</v>
      </c>
      <c r="BC171" s="48">
        <f t="shared" si="405"/>
        <v>44834</v>
      </c>
      <c r="BD171" s="48">
        <f t="shared" si="405"/>
        <v>44926</v>
      </c>
      <c r="BE171" s="48">
        <f>+BE2</f>
        <v>45016</v>
      </c>
      <c r="BF171" s="48">
        <f>+BF2</f>
        <v>45107</v>
      </c>
      <c r="BG171" s="48">
        <f>+BG2</f>
        <v>45199</v>
      </c>
    </row>
    <row r="172" spans="1:59" ht="13.5" customHeight="1">
      <c r="B172" s="5"/>
    </row>
    <row r="173" spans="1:59" s="5" customFormat="1" ht="13.5" customHeight="1">
      <c r="B173" s="5" t="s">
        <v>529</v>
      </c>
      <c r="C173" s="32">
        <f t="shared" ref="C173:L173" si="406">+C146/C108</f>
        <v>-1.4287854218725078</v>
      </c>
      <c r="D173" s="32">
        <f t="shared" si="406"/>
        <v>0.30276681560198054</v>
      </c>
      <c r="E173" s="32">
        <f t="shared" si="406"/>
        <v>0.79677367680484934</v>
      </c>
      <c r="F173" s="32">
        <f t="shared" si="406"/>
        <v>1.2364683782091428</v>
      </c>
      <c r="G173" s="32">
        <f t="shared" si="406"/>
        <v>1.2883864011047785</v>
      </c>
      <c r="H173" s="32">
        <f t="shared" si="406"/>
        <v>0.81849507020639922</v>
      </c>
      <c r="I173" s="32">
        <f t="shared" si="406"/>
        <v>0.62157709995705102</v>
      </c>
      <c r="J173" s="32">
        <f t="shared" si="406"/>
        <v>1.0158931423690951</v>
      </c>
      <c r="K173" s="32">
        <f t="shared" si="406"/>
        <v>1.130270553248047</v>
      </c>
      <c r="L173" s="32">
        <f t="shared" si="406"/>
        <v>0.99998794901234522</v>
      </c>
      <c r="M173" s="32"/>
      <c r="N173" s="112"/>
      <c r="O173" s="112"/>
      <c r="P173" s="114"/>
      <c r="Q173" s="112"/>
      <c r="R173" s="112"/>
      <c r="S173" s="112"/>
      <c r="T173" s="112"/>
      <c r="U173" s="112"/>
      <c r="V173" s="112"/>
      <c r="W173" s="112"/>
      <c r="X173" s="112"/>
      <c r="Y173" s="112"/>
      <c r="Z173" s="112"/>
      <c r="AA173" s="112"/>
      <c r="AB173" s="32"/>
      <c r="AC173" s="32">
        <f t="shared" ref="AC173:BD173" si="407">+AC146/AC108</f>
        <v>0.34832238489275025</v>
      </c>
      <c r="AD173" s="32">
        <f t="shared" si="407"/>
        <v>0.8319447868793961</v>
      </c>
      <c r="AE173" s="32">
        <f t="shared" si="407"/>
        <v>0.57850471225574285</v>
      </c>
      <c r="AF173" s="32">
        <f t="shared" si="407"/>
        <v>0.7967737942160481</v>
      </c>
      <c r="AG173" s="32">
        <f t="shared" si="407"/>
        <v>0.84290164140187585</v>
      </c>
      <c r="AH173" s="32">
        <f t="shared" si="407"/>
        <v>1.1296353085920998</v>
      </c>
      <c r="AI173" s="32">
        <f t="shared" si="407"/>
        <v>1.1785545355265854</v>
      </c>
      <c r="AJ173" s="32">
        <f t="shared" si="407"/>
        <v>1.2364882309495524</v>
      </c>
      <c r="AK173" s="32">
        <f t="shared" si="407"/>
        <v>1.355984292200114</v>
      </c>
      <c r="AL173" s="32">
        <f t="shared" si="407"/>
        <v>1.3416902699542996</v>
      </c>
      <c r="AM173" s="32">
        <f t="shared" si="407"/>
        <v>1.5742626428431723</v>
      </c>
      <c r="AN173" s="32">
        <f t="shared" si="407"/>
        <v>1.2883864011047785</v>
      </c>
      <c r="AO173" s="32">
        <f t="shared" si="407"/>
        <v>1.3892568845548814</v>
      </c>
      <c r="AP173" s="32">
        <f t="shared" si="407"/>
        <v>1.0351267939641924</v>
      </c>
      <c r="AQ173" s="32">
        <f t="shared" si="407"/>
        <v>0.82283532766637091</v>
      </c>
      <c r="AR173" s="32">
        <f t="shared" si="407"/>
        <v>0.81849507020639922</v>
      </c>
      <c r="AS173" s="32">
        <f t="shared" si="407"/>
        <v>0.80384347841963033</v>
      </c>
      <c r="AT173" s="32">
        <f t="shared" si="407"/>
        <v>0.65575558089401198</v>
      </c>
      <c r="AU173" s="32">
        <f t="shared" si="407"/>
        <v>0.61556424579962365</v>
      </c>
      <c r="AV173" s="32">
        <f t="shared" si="407"/>
        <v>0.6215770999570509</v>
      </c>
      <c r="AW173" s="32">
        <f t="shared" si="407"/>
        <v>0.72270138011571294</v>
      </c>
      <c r="AX173" s="32">
        <f t="shared" si="407"/>
        <v>0.70638469391635961</v>
      </c>
      <c r="AY173" s="32">
        <f t="shared" si="407"/>
        <v>0.7355404686889927</v>
      </c>
      <c r="AZ173" s="32">
        <f t="shared" si="407"/>
        <v>1.0158931423690951</v>
      </c>
      <c r="BA173" s="32">
        <f t="shared" si="407"/>
        <v>1.190618895044508</v>
      </c>
      <c r="BB173" s="32">
        <f t="shared" si="407"/>
        <v>1.3132933531557278</v>
      </c>
      <c r="BC173" s="32">
        <f t="shared" si="407"/>
        <v>1.2525803385016225</v>
      </c>
      <c r="BD173" s="32">
        <f t="shared" si="407"/>
        <v>1.1302705532480466</v>
      </c>
      <c r="BE173" s="32">
        <f>+BE146/BE108</f>
        <v>0.91362773023666155</v>
      </c>
      <c r="BF173" s="32">
        <f>+BF146/BF108</f>
        <v>1.0967783733311929</v>
      </c>
      <c r="BG173" s="32">
        <f>+BG146/BG108</f>
        <v>0.99998794901234578</v>
      </c>
    </row>
    <row r="174" spans="1:59" ht="13.5" customHeight="1">
      <c r="B174" s="1" t="s">
        <v>530</v>
      </c>
      <c r="C174" s="33">
        <f t="shared" ref="C174:L174" si="408">+C147/C108</f>
        <v>0.97216119942580714</v>
      </c>
      <c r="D174" s="33">
        <f t="shared" si="408"/>
        <v>1.0077048665620096</v>
      </c>
      <c r="E174" s="33">
        <f t="shared" si="408"/>
        <v>2.106948371035827</v>
      </c>
      <c r="F174" s="33">
        <f t="shared" si="408"/>
        <v>1.9930685740892387</v>
      </c>
      <c r="G174" s="33">
        <f t="shared" si="408"/>
        <v>2.1326322188145488</v>
      </c>
      <c r="H174" s="33">
        <f t="shared" si="408"/>
        <v>1.800494130284662</v>
      </c>
      <c r="I174" s="33">
        <f t="shared" si="408"/>
        <v>1.5881783515900501</v>
      </c>
      <c r="J174" s="33">
        <f t="shared" si="408"/>
        <v>2.256079968183875</v>
      </c>
      <c r="K174" s="33">
        <f t="shared" si="408"/>
        <v>2.3096916980966</v>
      </c>
      <c r="L174" s="33">
        <f t="shared" si="408"/>
        <v>1.9703652795988149</v>
      </c>
      <c r="M174" s="33"/>
      <c r="N174" s="113"/>
      <c r="O174" s="113"/>
      <c r="P174" s="115"/>
      <c r="Q174" s="113"/>
      <c r="R174" s="113"/>
      <c r="S174" s="113"/>
      <c r="T174" s="113"/>
      <c r="U174" s="113"/>
      <c r="V174" s="113"/>
      <c r="W174" s="113"/>
      <c r="X174" s="113"/>
      <c r="Y174" s="113"/>
      <c r="Z174" s="113"/>
      <c r="AA174" s="113"/>
      <c r="AB174" s="33"/>
      <c r="AC174" s="33">
        <f t="shared" ref="AC174:BD174" si="409">+AC147/AC108</f>
        <v>0.94674303162330764</v>
      </c>
      <c r="AD174" s="33">
        <f t="shared" si="409"/>
        <v>1.7189498235424652</v>
      </c>
      <c r="AE174" s="33">
        <f t="shared" si="409"/>
        <v>1.8895635272062592</v>
      </c>
      <c r="AF174" s="33">
        <f t="shared" si="409"/>
        <v>2.1069486815121152</v>
      </c>
      <c r="AG174" s="33">
        <f t="shared" si="409"/>
        <v>2.1283780247348423</v>
      </c>
      <c r="AH174" s="33">
        <f t="shared" si="409"/>
        <v>2.0467844354261158</v>
      </c>
      <c r="AI174" s="33">
        <f t="shared" si="409"/>
        <v>2.0157769094259779</v>
      </c>
      <c r="AJ174" s="33">
        <f t="shared" si="409"/>
        <v>1.99310057480492</v>
      </c>
      <c r="AK174" s="33">
        <f t="shared" si="409"/>
        <v>2.025996992744632</v>
      </c>
      <c r="AL174" s="33">
        <f t="shared" si="409"/>
        <v>2.2823923902646408</v>
      </c>
      <c r="AM174" s="33">
        <f t="shared" si="409"/>
        <v>2.6299499268371234</v>
      </c>
      <c r="AN174" s="33">
        <f t="shared" si="409"/>
        <v>2.1326322188145488</v>
      </c>
      <c r="AO174" s="33">
        <f t="shared" si="409"/>
        <v>2.3716871547553677</v>
      </c>
      <c r="AP174" s="33">
        <f t="shared" si="409"/>
        <v>2.1640974114686089</v>
      </c>
      <c r="AQ174" s="33">
        <f t="shared" si="409"/>
        <v>1.9301360444357682</v>
      </c>
      <c r="AR174" s="33">
        <f t="shared" si="409"/>
        <v>1.800494130284662</v>
      </c>
      <c r="AS174" s="33">
        <f t="shared" si="409"/>
        <v>1.6447991674578251</v>
      </c>
      <c r="AT174" s="33">
        <f t="shared" si="409"/>
        <v>1.629325126048923</v>
      </c>
      <c r="AU174" s="33">
        <f t="shared" si="409"/>
        <v>1.7635055076267971</v>
      </c>
      <c r="AV174" s="33">
        <f t="shared" si="409"/>
        <v>1.5881783515900498</v>
      </c>
      <c r="AW174" s="33">
        <f t="shared" si="409"/>
        <v>1.7738433571406749</v>
      </c>
      <c r="AX174" s="33">
        <f t="shared" si="409"/>
        <v>1.6335699802454513</v>
      </c>
      <c r="AY174" s="33">
        <f t="shared" si="409"/>
        <v>1.6125106048381697</v>
      </c>
      <c r="AZ174" s="33">
        <f t="shared" si="409"/>
        <v>2.256079968183875</v>
      </c>
      <c r="BA174" s="33">
        <f t="shared" si="409"/>
        <v>2.3629290147260469</v>
      </c>
      <c r="BB174" s="33">
        <f t="shared" si="409"/>
        <v>2.5601818168278623</v>
      </c>
      <c r="BC174" s="33">
        <f t="shared" si="409"/>
        <v>2.496616891509094</v>
      </c>
      <c r="BD174" s="33">
        <f t="shared" si="409"/>
        <v>2.3096916980965991</v>
      </c>
      <c r="BE174" s="33">
        <f>+BE147/BE108</f>
        <v>1.8105516686095462</v>
      </c>
      <c r="BF174" s="33">
        <f>+BF147/BF108</f>
        <v>2.0978371229385715</v>
      </c>
      <c r="BG174" s="33">
        <f>+BG147/BG108</f>
        <v>1.970365279598816</v>
      </c>
    </row>
    <row r="175" spans="1:59" ht="13.5" customHeight="1">
      <c r="C175" s="33"/>
      <c r="D175" s="33"/>
      <c r="E175" s="33"/>
      <c r="F175" s="33"/>
      <c r="G175" s="33"/>
      <c r="H175" s="33"/>
      <c r="I175" s="33"/>
      <c r="J175" s="33"/>
      <c r="K175" s="33"/>
      <c r="L175" s="33"/>
      <c r="M175" s="33"/>
      <c r="N175" s="113"/>
      <c r="O175" s="113"/>
      <c r="P175" s="115"/>
      <c r="Q175" s="113"/>
      <c r="R175" s="113"/>
      <c r="S175" s="113"/>
      <c r="T175" s="113"/>
      <c r="U175" s="113"/>
      <c r="V175" s="113"/>
      <c r="W175" s="113"/>
      <c r="X175" s="113"/>
      <c r="Y175" s="113"/>
      <c r="Z175" s="113"/>
      <c r="AA175" s="113"/>
      <c r="AB175" s="11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row>
    <row r="176" spans="1:59" ht="13.5" customHeight="1">
      <c r="B176" s="224" t="s">
        <v>531</v>
      </c>
      <c r="C176" s="32">
        <f t="shared" ref="C176:L176" si="410">+C151/C108</f>
        <v>-1.4177752671593387</v>
      </c>
      <c r="D176" s="32">
        <f t="shared" si="410"/>
        <v>0.31287139234391992</v>
      </c>
      <c r="E176" s="32">
        <f t="shared" si="410"/>
        <v>0.80718908972832593</v>
      </c>
      <c r="F176" s="32">
        <f t="shared" si="410"/>
        <v>1.2561719891463166</v>
      </c>
      <c r="G176" s="32">
        <f t="shared" si="410"/>
        <v>1.2883864011047785</v>
      </c>
      <c r="H176" s="32">
        <f t="shared" si="410"/>
        <v>0.81849507020639922</v>
      </c>
      <c r="I176" s="32">
        <f t="shared" si="410"/>
        <v>0.62157709995705102</v>
      </c>
      <c r="J176" s="32">
        <f t="shared" si="410"/>
        <v>1.0158931423690951</v>
      </c>
      <c r="K176" s="32">
        <f t="shared" si="410"/>
        <v>1.130270553248047</v>
      </c>
      <c r="L176" s="32">
        <f t="shared" si="410"/>
        <v>0.99998794901234522</v>
      </c>
      <c r="M176" s="32"/>
      <c r="N176" s="113"/>
      <c r="O176" s="113"/>
      <c r="P176" s="115"/>
      <c r="Q176" s="113"/>
      <c r="R176" s="113"/>
      <c r="S176" s="113"/>
      <c r="T176" s="113"/>
      <c r="U176" s="113"/>
      <c r="V176" s="113"/>
      <c r="W176" s="113"/>
      <c r="X176" s="113"/>
      <c r="Y176" s="113"/>
      <c r="Z176" s="113"/>
      <c r="AA176" s="113"/>
      <c r="AB176" s="113"/>
      <c r="AC176" s="32">
        <f t="shared" ref="AC176:BD176" si="411">+AC151/AC108</f>
        <v>0.3579906851609897</v>
      </c>
      <c r="AD176" s="32">
        <f t="shared" si="411"/>
        <v>0.84159157871081036</v>
      </c>
      <c r="AE176" s="32">
        <f t="shared" si="411"/>
        <v>0.58855603042834959</v>
      </c>
      <c r="AF176" s="32">
        <f t="shared" si="411"/>
        <v>0.80718920867432198</v>
      </c>
      <c r="AG176" s="32">
        <f t="shared" si="411"/>
        <v>0.85284368175349179</v>
      </c>
      <c r="AH176" s="32">
        <f t="shared" si="411"/>
        <v>1.1390460363222354</v>
      </c>
      <c r="AI176" s="32">
        <f t="shared" si="411"/>
        <v>1.1877218278615795</v>
      </c>
      <c r="AJ176" s="32">
        <f t="shared" si="411"/>
        <v>1.2561921582479691</v>
      </c>
      <c r="AK176" s="32">
        <f t="shared" si="411"/>
        <v>1.5387800178099591</v>
      </c>
      <c r="AL176" s="32">
        <f t="shared" si="411"/>
        <v>1.5022548889361258</v>
      </c>
      <c r="AM176" s="32">
        <f t="shared" si="411"/>
        <v>1.7261669228503587</v>
      </c>
      <c r="AN176" s="32">
        <f t="shared" si="411"/>
        <v>1.2883864011047785</v>
      </c>
      <c r="AO176" s="32">
        <f t="shared" si="411"/>
        <v>1.3892568845548814</v>
      </c>
      <c r="AP176" s="32">
        <f t="shared" si="411"/>
        <v>1.0351267939641924</v>
      </c>
      <c r="AQ176" s="32">
        <f t="shared" si="411"/>
        <v>0.82283532766637091</v>
      </c>
      <c r="AR176" s="32">
        <f t="shared" si="411"/>
        <v>0.81849507020639922</v>
      </c>
      <c r="AS176" s="32">
        <f t="shared" si="411"/>
        <v>0.80384347841963033</v>
      </c>
      <c r="AT176" s="32">
        <f t="shared" si="411"/>
        <v>0.65575558089401198</v>
      </c>
      <c r="AU176" s="32">
        <f t="shared" si="411"/>
        <v>0.61556424579962365</v>
      </c>
      <c r="AV176" s="32">
        <f t="shared" si="411"/>
        <v>0.6215770999570509</v>
      </c>
      <c r="AW176" s="32">
        <f t="shared" si="411"/>
        <v>0.72270138011571294</v>
      </c>
      <c r="AX176" s="32">
        <f t="shared" si="411"/>
        <v>0.70638469391635961</v>
      </c>
      <c r="AY176" s="32">
        <f t="shared" si="411"/>
        <v>0.7355404686889927</v>
      </c>
      <c r="AZ176" s="32">
        <f t="shared" si="411"/>
        <v>1.0158931423690951</v>
      </c>
      <c r="BA176" s="32">
        <f t="shared" si="411"/>
        <v>1.190618895044508</v>
      </c>
      <c r="BB176" s="32">
        <f t="shared" si="411"/>
        <v>1.3132933531557278</v>
      </c>
      <c r="BC176" s="32">
        <f t="shared" si="411"/>
        <v>1.2525803385016225</v>
      </c>
      <c r="BD176" s="32">
        <f t="shared" si="411"/>
        <v>1.1302705532480466</v>
      </c>
      <c r="BE176" s="32">
        <f>+BE151/BE108</f>
        <v>0.91362773023666155</v>
      </c>
      <c r="BF176" s="32">
        <f>+BF151/BF108</f>
        <v>1.0967783733311929</v>
      </c>
      <c r="BG176" s="32">
        <f>+BG151/BG108</f>
        <v>0.99998794901234578</v>
      </c>
    </row>
    <row r="177" spans="1:59" ht="13.5" customHeight="1">
      <c r="B177" s="225" t="s">
        <v>532</v>
      </c>
      <c r="C177" s="33">
        <f t="shared" ref="C177:L177" si="412">+C152/C108</f>
        <v>0.98317135413897638</v>
      </c>
      <c r="D177" s="33">
        <f t="shared" si="412"/>
        <v>1.0178094433039491</v>
      </c>
      <c r="E177" s="33">
        <f t="shared" si="412"/>
        <v>2.1173637839593034</v>
      </c>
      <c r="F177" s="33">
        <f t="shared" si="412"/>
        <v>2.0127721850264124</v>
      </c>
      <c r="G177" s="33">
        <f t="shared" si="412"/>
        <v>2.1326322188145488</v>
      </c>
      <c r="H177" s="33">
        <f t="shared" si="412"/>
        <v>1.800494130284662</v>
      </c>
      <c r="I177" s="33">
        <f t="shared" si="412"/>
        <v>1.5881783515900501</v>
      </c>
      <c r="J177" s="33">
        <f t="shared" si="412"/>
        <v>2.256079968183875</v>
      </c>
      <c r="K177" s="33">
        <f t="shared" si="412"/>
        <v>2.3096916980966</v>
      </c>
      <c r="L177" s="33">
        <f t="shared" si="412"/>
        <v>1.9703652795988149</v>
      </c>
      <c r="M177" s="33"/>
      <c r="N177" s="113"/>
      <c r="O177" s="113"/>
      <c r="P177" s="115"/>
      <c r="Q177" s="113"/>
      <c r="R177" s="113"/>
      <c r="S177" s="113"/>
      <c r="T177" s="113"/>
      <c r="U177" s="113"/>
      <c r="V177" s="113"/>
      <c r="W177" s="113"/>
      <c r="X177" s="113"/>
      <c r="Y177" s="113"/>
      <c r="Z177" s="113"/>
      <c r="AA177" s="113"/>
      <c r="AB177" s="113"/>
      <c r="AC177" s="33">
        <f t="shared" ref="AC177:BD177" si="413">+AC152/AC108</f>
        <v>0.95641133189154703</v>
      </c>
      <c r="AD177" s="33">
        <f t="shared" si="413"/>
        <v>1.7285966153738794</v>
      </c>
      <c r="AE177" s="33">
        <f t="shared" si="413"/>
        <v>1.8996148453788659</v>
      </c>
      <c r="AF177" s="33">
        <f t="shared" si="413"/>
        <v>2.1173640959703892</v>
      </c>
      <c r="AG177" s="33">
        <f t="shared" si="413"/>
        <v>2.1383200650864582</v>
      </c>
      <c r="AH177" s="33">
        <f t="shared" si="413"/>
        <v>2.0561951631562514</v>
      </c>
      <c r="AI177" s="33">
        <f t="shared" si="413"/>
        <v>2.024944201760972</v>
      </c>
      <c r="AJ177" s="33">
        <f t="shared" si="413"/>
        <v>2.0128045021033367</v>
      </c>
      <c r="AK177" s="33">
        <f t="shared" si="413"/>
        <v>2.2087927183544771</v>
      </c>
      <c r="AL177" s="33">
        <f t="shared" si="413"/>
        <v>2.442957009246467</v>
      </c>
      <c r="AM177" s="33">
        <f t="shared" si="413"/>
        <v>2.7818542068443102</v>
      </c>
      <c r="AN177" s="33">
        <f t="shared" si="413"/>
        <v>2.1326322188145488</v>
      </c>
      <c r="AO177" s="33">
        <f t="shared" si="413"/>
        <v>2.3716871547553677</v>
      </c>
      <c r="AP177" s="33">
        <f t="shared" si="413"/>
        <v>2.1640974114686089</v>
      </c>
      <c r="AQ177" s="33">
        <f t="shared" si="413"/>
        <v>1.9301360444357682</v>
      </c>
      <c r="AR177" s="33">
        <f t="shared" si="413"/>
        <v>1.800494130284662</v>
      </c>
      <c r="AS177" s="33">
        <f t="shared" si="413"/>
        <v>1.6447991674578251</v>
      </c>
      <c r="AT177" s="33">
        <f t="shared" si="413"/>
        <v>1.629325126048923</v>
      </c>
      <c r="AU177" s="33">
        <f t="shared" si="413"/>
        <v>1.7635055076267971</v>
      </c>
      <c r="AV177" s="33">
        <f t="shared" si="413"/>
        <v>1.5881783515900498</v>
      </c>
      <c r="AW177" s="33">
        <f t="shared" si="413"/>
        <v>1.7738433571406749</v>
      </c>
      <c r="AX177" s="33">
        <f t="shared" si="413"/>
        <v>1.6335699802454513</v>
      </c>
      <c r="AY177" s="33">
        <f t="shared" si="413"/>
        <v>1.6125106048381697</v>
      </c>
      <c r="AZ177" s="33">
        <f t="shared" si="413"/>
        <v>2.256079968183875</v>
      </c>
      <c r="BA177" s="33">
        <f t="shared" si="413"/>
        <v>2.3629290147260469</v>
      </c>
      <c r="BB177" s="33">
        <f t="shared" si="413"/>
        <v>2.5601818168278623</v>
      </c>
      <c r="BC177" s="33">
        <f t="shared" si="413"/>
        <v>2.496616891509094</v>
      </c>
      <c r="BD177" s="33">
        <f t="shared" si="413"/>
        <v>2.3096916980965991</v>
      </c>
      <c r="BE177" s="33">
        <f>+BE152/BE108</f>
        <v>1.8105516686095462</v>
      </c>
      <c r="BF177" s="33">
        <f>+BF152/BF108</f>
        <v>2.0978371229385715</v>
      </c>
      <c r="BG177" s="33">
        <f>+BG152/BG108</f>
        <v>1.970365279598816</v>
      </c>
    </row>
    <row r="178" spans="1:59" ht="13.5" customHeight="1">
      <c r="C178" s="33"/>
      <c r="D178" s="33"/>
      <c r="E178" s="33"/>
      <c r="F178" s="33"/>
      <c r="G178" s="33"/>
      <c r="H178" s="33"/>
      <c r="I178" s="33"/>
      <c r="J178" s="33"/>
      <c r="K178" s="33"/>
      <c r="L178" s="33"/>
      <c r="M178" s="33"/>
      <c r="N178" s="113"/>
      <c r="O178" s="113"/>
      <c r="P178" s="115"/>
      <c r="Q178" s="113"/>
      <c r="R178" s="113"/>
      <c r="S178" s="113"/>
      <c r="T178" s="113"/>
      <c r="U178" s="113"/>
      <c r="V178" s="113"/>
      <c r="W178" s="113"/>
      <c r="X178" s="113"/>
      <c r="Y178" s="113"/>
      <c r="Z178" s="113"/>
      <c r="AA178" s="113"/>
      <c r="AB178" s="11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row>
    <row r="179" spans="1:59" ht="13.5" customHeight="1">
      <c r="B179" s="224" t="s">
        <v>533</v>
      </c>
      <c r="C179" s="33"/>
      <c r="D179" s="33"/>
      <c r="E179" s="33"/>
      <c r="F179" s="32"/>
      <c r="G179" s="32">
        <f t="shared" ref="G179:L179" si="414">+G154/G108</f>
        <v>1.4492824767569625</v>
      </c>
      <c r="H179" s="32">
        <f t="shared" si="414"/>
        <v>0.96553095987109649</v>
      </c>
      <c r="I179" s="32">
        <f t="shared" si="414"/>
        <v>0.79263029558195874</v>
      </c>
      <c r="J179" s="32">
        <f t="shared" si="414"/>
        <v>1.2094397869795661</v>
      </c>
      <c r="K179" s="32">
        <f t="shared" si="414"/>
        <v>1.2691832315657039</v>
      </c>
      <c r="L179" s="32">
        <f t="shared" si="414"/>
        <v>1.1031923588091372</v>
      </c>
      <c r="M179" s="32"/>
      <c r="N179" s="113"/>
      <c r="O179" s="113"/>
      <c r="P179" s="115"/>
      <c r="Q179" s="113"/>
      <c r="R179" s="113"/>
      <c r="S179" s="113"/>
      <c r="T179" s="113"/>
      <c r="U179" s="113"/>
      <c r="V179" s="113"/>
      <c r="W179" s="113"/>
      <c r="X179" s="113"/>
      <c r="Y179" s="113"/>
      <c r="Z179" s="113"/>
      <c r="AA179" s="113"/>
      <c r="AB179" s="113"/>
      <c r="AC179" s="33"/>
      <c r="AD179" s="33"/>
      <c r="AE179" s="33"/>
      <c r="AF179" s="33"/>
      <c r="AG179" s="33"/>
      <c r="AH179" s="33"/>
      <c r="AI179" s="33"/>
      <c r="AJ179" s="33"/>
      <c r="AK179" s="33"/>
      <c r="AL179" s="33"/>
      <c r="AM179" s="33"/>
      <c r="AN179" s="32">
        <f t="shared" ref="AN179:BD179" si="415">+AN154/AN108</f>
        <v>1.4492824767569625</v>
      </c>
      <c r="AO179" s="32">
        <f t="shared" si="415"/>
        <v>1.5450754531121642</v>
      </c>
      <c r="AP179" s="32">
        <f t="shared" si="415"/>
        <v>1.2017111300891576</v>
      </c>
      <c r="AQ179" s="32">
        <f t="shared" si="415"/>
        <v>0.9786068876247439</v>
      </c>
      <c r="AR179" s="32">
        <f t="shared" si="415"/>
        <v>0.96553095987109649</v>
      </c>
      <c r="AS179" s="32">
        <f t="shared" si="415"/>
        <v>0.93914153216972163</v>
      </c>
      <c r="AT179" s="32">
        <f t="shared" si="415"/>
        <v>0.78812245007037351</v>
      </c>
      <c r="AU179" s="32">
        <f t="shared" si="415"/>
        <v>0.79083444932262736</v>
      </c>
      <c r="AV179" s="32">
        <f t="shared" si="415"/>
        <v>0.79263029558195863</v>
      </c>
      <c r="AW179" s="32">
        <f t="shared" si="415"/>
        <v>0.89875013412678928</v>
      </c>
      <c r="AX179" s="32">
        <f t="shared" si="415"/>
        <v>0.86835401880895513</v>
      </c>
      <c r="AY179" s="32">
        <f t="shared" si="415"/>
        <v>0.88904847368647377</v>
      </c>
      <c r="AZ179" s="32">
        <f t="shared" si="415"/>
        <v>1.2094397869795661</v>
      </c>
      <c r="BA179" s="32">
        <f t="shared" si="415"/>
        <v>1.3767788152963312</v>
      </c>
      <c r="BB179" s="32">
        <f t="shared" si="415"/>
        <v>1.4950320753411679</v>
      </c>
      <c r="BC179" s="32">
        <f t="shared" si="415"/>
        <v>1.4115334762105276</v>
      </c>
      <c r="BD179" s="32">
        <f t="shared" si="415"/>
        <v>1.2691832315657035</v>
      </c>
      <c r="BE179" s="32">
        <f>+BE154/BE108</f>
        <v>1.0250796937763582</v>
      </c>
      <c r="BF179" s="32">
        <f>+BF154/BF108</f>
        <v>1.2094997850515516</v>
      </c>
      <c r="BG179" s="32">
        <f>+BG154/BG108</f>
        <v>1.1031923588091377</v>
      </c>
    </row>
    <row r="180" spans="1:59" ht="13.5" customHeight="1">
      <c r="B180" s="225" t="s">
        <v>534</v>
      </c>
      <c r="C180" s="33"/>
      <c r="D180" s="33"/>
      <c r="E180" s="33"/>
      <c r="F180" s="33"/>
      <c r="G180" s="33">
        <f t="shared" ref="G180:L180" si="416">+G155/G108</f>
        <v>2.2935282944667326</v>
      </c>
      <c r="H180" s="33">
        <f t="shared" si="416"/>
        <v>1.9475300199493593</v>
      </c>
      <c r="I180" s="33">
        <f t="shared" si="416"/>
        <v>1.7592315472149578</v>
      </c>
      <c r="J180" s="33">
        <f t="shared" si="416"/>
        <v>2.4496266127943462</v>
      </c>
      <c r="K180" s="33">
        <f t="shared" si="416"/>
        <v>2.4486043764142567</v>
      </c>
      <c r="L180" s="33">
        <f t="shared" si="416"/>
        <v>2.0735696893956068</v>
      </c>
      <c r="M180" s="33"/>
      <c r="N180" s="113"/>
      <c r="O180" s="113"/>
      <c r="P180" s="115"/>
      <c r="Q180" s="113"/>
      <c r="R180" s="113"/>
      <c r="S180" s="113"/>
      <c r="T180" s="113"/>
      <c r="U180" s="113"/>
      <c r="V180" s="113"/>
      <c r="W180" s="113"/>
      <c r="X180" s="113"/>
      <c r="Y180" s="113"/>
      <c r="Z180" s="113"/>
      <c r="AA180" s="113"/>
      <c r="AB180" s="113"/>
      <c r="AC180" s="33"/>
      <c r="AD180" s="33"/>
      <c r="AE180" s="33"/>
      <c r="AF180" s="33"/>
      <c r="AG180" s="33"/>
      <c r="AH180" s="33"/>
      <c r="AI180" s="33"/>
      <c r="AJ180" s="33"/>
      <c r="AK180" s="33"/>
      <c r="AL180" s="33"/>
      <c r="AM180" s="33"/>
      <c r="AN180" s="33">
        <f t="shared" ref="AN180:BD180" si="417">+AN155/AN108</f>
        <v>2.2935282944667326</v>
      </c>
      <c r="AO180" s="33">
        <f t="shared" si="417"/>
        <v>2.5275057233126503</v>
      </c>
      <c r="AP180" s="33">
        <f t="shared" si="417"/>
        <v>2.3306817475935744</v>
      </c>
      <c r="AQ180" s="33">
        <f t="shared" si="417"/>
        <v>2.0859076043941416</v>
      </c>
      <c r="AR180" s="33">
        <f t="shared" si="417"/>
        <v>1.9475300199493593</v>
      </c>
      <c r="AS180" s="33">
        <f t="shared" si="417"/>
        <v>1.7800972212079162</v>
      </c>
      <c r="AT180" s="33">
        <f t="shared" si="417"/>
        <v>1.7616919952252845</v>
      </c>
      <c r="AU180" s="33">
        <f t="shared" si="417"/>
        <v>1.9387757111498007</v>
      </c>
      <c r="AV180" s="33">
        <f t="shared" si="417"/>
        <v>1.7592315472149573</v>
      </c>
      <c r="AW180" s="33">
        <f t="shared" si="417"/>
        <v>1.9498921111517511</v>
      </c>
      <c r="AX180" s="33">
        <f t="shared" si="417"/>
        <v>1.7955393051380468</v>
      </c>
      <c r="AY180" s="33">
        <f t="shared" si="417"/>
        <v>1.7660186098356507</v>
      </c>
      <c r="AZ180" s="33">
        <f t="shared" si="417"/>
        <v>2.4496266127943462</v>
      </c>
      <c r="BA180" s="33">
        <f t="shared" si="417"/>
        <v>2.5490889349778696</v>
      </c>
      <c r="BB180" s="33">
        <f t="shared" si="417"/>
        <v>2.7419205390133019</v>
      </c>
      <c r="BC180" s="33">
        <f t="shared" si="417"/>
        <v>2.6555700292179991</v>
      </c>
      <c r="BD180" s="33">
        <f t="shared" si="417"/>
        <v>2.4486043764142558</v>
      </c>
      <c r="BE180" s="33">
        <f>+BE155/BE108</f>
        <v>1.9220036321492429</v>
      </c>
      <c r="BF180" s="33">
        <f>+BF155/BF108</f>
        <v>2.2105585346589303</v>
      </c>
      <c r="BG180" s="33">
        <f>+BG155/BG108</f>
        <v>2.0735696893956082</v>
      </c>
    </row>
    <row r="181" spans="1:59" ht="13.5" customHeight="1">
      <c r="C181" s="33"/>
      <c r="D181" s="33"/>
      <c r="E181" s="33"/>
      <c r="F181" s="33"/>
      <c r="G181" s="33"/>
      <c r="H181" s="33"/>
      <c r="I181" s="33"/>
      <c r="J181" s="33"/>
      <c r="K181" s="33"/>
      <c r="L181" s="33"/>
      <c r="M181" s="33"/>
      <c r="N181" s="113"/>
      <c r="O181" s="113"/>
      <c r="P181" s="115"/>
      <c r="Q181" s="113"/>
      <c r="R181" s="113"/>
      <c r="S181" s="113"/>
      <c r="T181" s="113"/>
      <c r="U181" s="113"/>
      <c r="V181" s="113"/>
      <c r="W181" s="113"/>
      <c r="X181" s="113"/>
      <c r="Y181" s="113"/>
      <c r="Z181" s="113"/>
      <c r="AA181" s="113"/>
      <c r="AB181" s="11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row>
    <row r="182" spans="1:59" s="5" customFormat="1" ht="13.5" customHeight="1">
      <c r="B182" s="5" t="s">
        <v>535</v>
      </c>
      <c r="C182" s="32">
        <f t="shared" ref="C182:L182" si="418">C159/C109</f>
        <v>-1.3582593448439453</v>
      </c>
      <c r="D182" s="32">
        <f t="shared" si="418"/>
        <v>0.35703280933929893</v>
      </c>
      <c r="E182" s="32">
        <f t="shared" si="418"/>
        <v>0.85408190521169269</v>
      </c>
      <c r="F182" s="32">
        <f t="shared" si="418"/>
        <v>1.2952274533967167</v>
      </c>
      <c r="G182" s="32">
        <f t="shared" si="418"/>
        <v>1.2883864011047785</v>
      </c>
      <c r="H182" s="32">
        <f t="shared" si="418"/>
        <v>0.81849507020639922</v>
      </c>
      <c r="I182" s="32">
        <f t="shared" si="418"/>
        <v>0.62157709995705102</v>
      </c>
      <c r="J182" s="32">
        <f t="shared" si="418"/>
        <v>1.0158931423690951</v>
      </c>
      <c r="K182" s="32">
        <f t="shared" si="418"/>
        <v>1.130270553248047</v>
      </c>
      <c r="L182" s="32">
        <f t="shared" si="418"/>
        <v>0.99998794901234522</v>
      </c>
      <c r="M182" s="32"/>
      <c r="N182" s="112"/>
      <c r="O182" s="112"/>
      <c r="P182" s="114"/>
      <c r="Q182" s="112"/>
      <c r="R182" s="112"/>
      <c r="S182" s="112"/>
      <c r="T182" s="112"/>
      <c r="U182" s="112"/>
      <c r="V182" s="112"/>
      <c r="W182" s="112"/>
      <c r="X182" s="112"/>
      <c r="Y182" s="112"/>
      <c r="Z182" s="112"/>
      <c r="AA182" s="112"/>
      <c r="AB182" s="112"/>
      <c r="AC182" s="32"/>
      <c r="AD182" s="32"/>
      <c r="AE182" s="32"/>
      <c r="AF182" s="32">
        <f t="shared" ref="AF182:BD182" si="419">AF159/AF109</f>
        <v>0.85408203024722729</v>
      </c>
      <c r="AG182" s="32">
        <f t="shared" si="419"/>
        <v>0.90494780949924492</v>
      </c>
      <c r="AH182" s="32">
        <f t="shared" si="419"/>
        <v>1.1850970168445061</v>
      </c>
      <c r="AI182" s="32">
        <f t="shared" si="419"/>
        <v>1.2299462519307058</v>
      </c>
      <c r="AJ182" s="32">
        <f t="shared" si="419"/>
        <v>1.2952481291344218</v>
      </c>
      <c r="AK182" s="32">
        <f t="shared" si="419"/>
        <v>1.5326918519013979</v>
      </c>
      <c r="AL182" s="32">
        <f t="shared" si="419"/>
        <v>1.4986432685604634</v>
      </c>
      <c r="AM182" s="32">
        <f t="shared" si="419"/>
        <v>1.72427987705537</v>
      </c>
      <c r="AN182" s="32">
        <f t="shared" si="419"/>
        <v>1.2883864011047785</v>
      </c>
      <c r="AO182" s="32">
        <f t="shared" si="419"/>
        <v>1.3892568845548814</v>
      </c>
      <c r="AP182" s="32">
        <f t="shared" si="419"/>
        <v>1.0351267939641924</v>
      </c>
      <c r="AQ182" s="32">
        <f t="shared" si="419"/>
        <v>0.82283532766637091</v>
      </c>
      <c r="AR182" s="32">
        <f t="shared" si="419"/>
        <v>0.81849507020639922</v>
      </c>
      <c r="AS182" s="32">
        <f t="shared" si="419"/>
        <v>0.80384347841963033</v>
      </c>
      <c r="AT182" s="32">
        <f t="shared" si="419"/>
        <v>0.65575558089401198</v>
      </c>
      <c r="AU182" s="32">
        <f t="shared" si="419"/>
        <v>0.61556424579962365</v>
      </c>
      <c r="AV182" s="32">
        <f t="shared" si="419"/>
        <v>0.6215770999570509</v>
      </c>
      <c r="AW182" s="32">
        <f t="shared" si="419"/>
        <v>0.72270138011571294</v>
      </c>
      <c r="AX182" s="32">
        <f t="shared" si="419"/>
        <v>0.70638469391635961</v>
      </c>
      <c r="AY182" s="32">
        <f t="shared" si="419"/>
        <v>0.7355404686889927</v>
      </c>
      <c r="AZ182" s="32">
        <f t="shared" si="419"/>
        <v>1.0158931423690951</v>
      </c>
      <c r="BA182" s="32">
        <f t="shared" si="419"/>
        <v>1.190618895044508</v>
      </c>
      <c r="BB182" s="32">
        <f t="shared" si="419"/>
        <v>1.3132933531557278</v>
      </c>
      <c r="BC182" s="32">
        <f t="shared" si="419"/>
        <v>1.2525803385016225</v>
      </c>
      <c r="BD182" s="32">
        <f t="shared" si="419"/>
        <v>1.1302705532480466</v>
      </c>
      <c r="BE182" s="32">
        <f>BE159/BE109</f>
        <v>0.91362773023666155</v>
      </c>
      <c r="BF182" s="32">
        <f>BF159/BF109</f>
        <v>1.0967783733311929</v>
      </c>
      <c r="BG182" s="32">
        <f>BG159/BG109</f>
        <v>0.99998794901234578</v>
      </c>
    </row>
    <row r="183" spans="1:59" ht="13.5" customHeight="1">
      <c r="B183" s="1" t="s">
        <v>536</v>
      </c>
      <c r="C183" s="33">
        <f t="shared" ref="C183:L183" si="420">C160/C109</f>
        <v>1.0275144199629982</v>
      </c>
      <c r="D183" s="33">
        <f t="shared" si="420"/>
        <v>1.0579210954504155</v>
      </c>
      <c r="E183" s="33">
        <f t="shared" si="420"/>
        <v>2.1557150458061338</v>
      </c>
      <c r="F183" s="33">
        <f t="shared" si="420"/>
        <v>2.0474459580690172</v>
      </c>
      <c r="G183" s="33">
        <f t="shared" si="420"/>
        <v>2.1326322188145488</v>
      </c>
      <c r="H183" s="33">
        <f t="shared" si="420"/>
        <v>1.800494130284662</v>
      </c>
      <c r="I183" s="33">
        <f t="shared" si="420"/>
        <v>1.5881783515900501</v>
      </c>
      <c r="J183" s="33">
        <f t="shared" si="420"/>
        <v>2.256079968183875</v>
      </c>
      <c r="K183" s="33">
        <f t="shared" si="420"/>
        <v>2.3096916980966</v>
      </c>
      <c r="L183" s="33">
        <f t="shared" si="420"/>
        <v>1.9703652795988149</v>
      </c>
      <c r="M183" s="33"/>
      <c r="N183" s="113"/>
      <c r="O183" s="113"/>
      <c r="P183" s="115"/>
      <c r="Q183" s="113"/>
      <c r="R183" s="113"/>
      <c r="S183" s="113"/>
      <c r="T183" s="113"/>
      <c r="U183" s="113"/>
      <c r="V183" s="113"/>
      <c r="W183" s="113"/>
      <c r="X183" s="113"/>
      <c r="Y183" s="113"/>
      <c r="Z183" s="113"/>
      <c r="AA183" s="113"/>
      <c r="AB183" s="113"/>
      <c r="AC183" s="33"/>
      <c r="AD183" s="33"/>
      <c r="AE183" s="33"/>
      <c r="AF183" s="33">
        <f t="shared" ref="AF183:BD183" si="421">AF160/AF109</f>
        <v>2.1557153613976263</v>
      </c>
      <c r="AG183" s="33">
        <f t="shared" si="421"/>
        <v>2.1823277724505181</v>
      </c>
      <c r="AH183" s="33">
        <f t="shared" si="421"/>
        <v>2.0966724384043278</v>
      </c>
      <c r="AI183" s="33">
        <f t="shared" si="421"/>
        <v>2.0622280356260023</v>
      </c>
      <c r="AJ183" s="33">
        <f t="shared" si="421"/>
        <v>2.0474786414834116</v>
      </c>
      <c r="AK183" s="33">
        <f t="shared" si="421"/>
        <v>2.2000536546992944</v>
      </c>
      <c r="AL183" s="33">
        <f t="shared" si="421"/>
        <v>2.437083815971183</v>
      </c>
      <c r="AM183" s="33">
        <f t="shared" si="421"/>
        <v>2.7788130836401712</v>
      </c>
      <c r="AN183" s="33">
        <f t="shared" si="421"/>
        <v>2.1326322188145488</v>
      </c>
      <c r="AO183" s="33">
        <f t="shared" si="421"/>
        <v>2.3716871547553677</v>
      </c>
      <c r="AP183" s="33">
        <f t="shared" si="421"/>
        <v>2.1640974114686089</v>
      </c>
      <c r="AQ183" s="33">
        <f t="shared" si="421"/>
        <v>1.9301360444357682</v>
      </c>
      <c r="AR183" s="33">
        <f t="shared" si="421"/>
        <v>1.800494130284662</v>
      </c>
      <c r="AS183" s="33">
        <f t="shared" si="421"/>
        <v>1.6447991674578251</v>
      </c>
      <c r="AT183" s="33">
        <f t="shared" si="421"/>
        <v>1.629325126048923</v>
      </c>
      <c r="AU183" s="33">
        <f t="shared" si="421"/>
        <v>1.7635055076267971</v>
      </c>
      <c r="AV183" s="33">
        <f t="shared" si="421"/>
        <v>1.5881783515900498</v>
      </c>
      <c r="AW183" s="33">
        <f t="shared" si="421"/>
        <v>1.7738433571406749</v>
      </c>
      <c r="AX183" s="33">
        <f t="shared" si="421"/>
        <v>1.6335699802454513</v>
      </c>
      <c r="AY183" s="33">
        <f t="shared" si="421"/>
        <v>1.6125106048381697</v>
      </c>
      <c r="AZ183" s="33">
        <f t="shared" si="421"/>
        <v>2.256079968183875</v>
      </c>
      <c r="BA183" s="33">
        <f t="shared" si="421"/>
        <v>2.3629290147260469</v>
      </c>
      <c r="BB183" s="33">
        <f t="shared" si="421"/>
        <v>2.5601818168278623</v>
      </c>
      <c r="BC183" s="33">
        <f t="shared" si="421"/>
        <v>2.496616891509094</v>
      </c>
      <c r="BD183" s="33">
        <f t="shared" si="421"/>
        <v>2.3096916980965991</v>
      </c>
      <c r="BE183" s="33">
        <f>BE160/BE109</f>
        <v>1.8105516686095462</v>
      </c>
      <c r="BF183" s="33">
        <f>BF160/BF109</f>
        <v>2.0978371229385715</v>
      </c>
      <c r="BG183" s="33">
        <f>BG160/BG109</f>
        <v>1.970365279598816</v>
      </c>
    </row>
    <row r="184" spans="1:59" ht="13.5" customHeight="1">
      <c r="C184" s="33"/>
      <c r="D184" s="33"/>
      <c r="E184" s="33"/>
      <c r="F184" s="33"/>
      <c r="G184" s="33"/>
      <c r="H184" s="33"/>
      <c r="I184" s="33"/>
      <c r="J184" s="33"/>
      <c r="K184" s="33"/>
      <c r="L184" s="33"/>
      <c r="M184" s="33"/>
      <c r="N184" s="113"/>
      <c r="O184" s="113"/>
      <c r="P184" s="115"/>
      <c r="Q184" s="113"/>
      <c r="R184" s="113"/>
      <c r="S184" s="113"/>
      <c r="T184" s="113"/>
      <c r="U184" s="113"/>
      <c r="V184" s="113"/>
      <c r="W184" s="113"/>
      <c r="X184" s="113"/>
      <c r="Y184" s="113"/>
      <c r="Z184" s="113"/>
      <c r="AA184" s="113"/>
      <c r="AB184" s="113"/>
      <c r="AC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row>
    <row r="185" spans="1:59" s="5" customFormat="1" ht="13.5" customHeight="1">
      <c r="B185" s="5" t="s">
        <v>537</v>
      </c>
      <c r="C185" s="32">
        <f t="shared" ref="C185:L185" si="422">+(C107-C113)/C111</f>
        <v>22.654106495797325</v>
      </c>
      <c r="D185" s="32">
        <f t="shared" si="422"/>
        <v>11.588963648561505</v>
      </c>
      <c r="E185" s="32">
        <f t="shared" si="422"/>
        <v>4.1719479610881844</v>
      </c>
      <c r="F185" s="32">
        <f t="shared" si="422"/>
        <v>2.8489494780086604</v>
      </c>
      <c r="G185" s="32">
        <f t="shared" si="422"/>
        <v>3.4295275666522729</v>
      </c>
      <c r="H185" s="32">
        <f t="shared" si="422"/>
        <v>3.29299838620034</v>
      </c>
      <c r="I185" s="32">
        <f t="shared" si="422"/>
        <v>4.7425745687635112</v>
      </c>
      <c r="J185" s="32">
        <f t="shared" si="422"/>
        <v>8.6981344788143637</v>
      </c>
      <c r="K185" s="32">
        <f t="shared" si="422"/>
        <v>6.9895780494772968</v>
      </c>
      <c r="L185" s="32">
        <f t="shared" si="422"/>
        <v>8.7088054816435569</v>
      </c>
      <c r="M185" s="32"/>
      <c r="N185" s="112"/>
      <c r="O185" s="112"/>
      <c r="P185" s="114"/>
      <c r="Q185" s="112"/>
      <c r="R185" s="112"/>
      <c r="S185" s="112"/>
      <c r="T185" s="112"/>
      <c r="U185" s="112"/>
      <c r="V185" s="112"/>
      <c r="W185" s="112"/>
      <c r="X185" s="112"/>
      <c r="Y185" s="112"/>
      <c r="Z185" s="112"/>
      <c r="AA185" s="112"/>
      <c r="AB185" s="112"/>
      <c r="AC185" s="32"/>
      <c r="AD185" s="32"/>
      <c r="AE185" s="32"/>
      <c r="AF185" s="32">
        <f t="shared" ref="AF185:BD185" si="423">+(AF107-AF113)/AF111</f>
        <v>4.1719463944861674</v>
      </c>
      <c r="AG185" s="32">
        <f t="shared" si="423"/>
        <v>4.8688662416957005</v>
      </c>
      <c r="AH185" s="32">
        <f t="shared" si="423"/>
        <v>4.3628355583331908</v>
      </c>
      <c r="AI185" s="32">
        <f t="shared" si="423"/>
        <v>4.521616234188925</v>
      </c>
      <c r="AJ185" s="32">
        <f t="shared" si="423"/>
        <v>2.8487296690446322</v>
      </c>
      <c r="AK185" s="32">
        <f t="shared" si="423"/>
        <v>3.0767282716670117</v>
      </c>
      <c r="AL185" s="32">
        <f t="shared" si="423"/>
        <v>3.3866536760039359</v>
      </c>
      <c r="AM185" s="32">
        <f t="shared" si="423"/>
        <v>3.5818465003673454</v>
      </c>
      <c r="AN185" s="32">
        <f t="shared" si="423"/>
        <v>3.4295275666522729</v>
      </c>
      <c r="AO185" s="32">
        <f t="shared" si="423"/>
        <v>2.8110661866832425</v>
      </c>
      <c r="AP185" s="32">
        <f t="shared" si="423"/>
        <v>2.9226105257976744</v>
      </c>
      <c r="AQ185" s="32">
        <f t="shared" si="423"/>
        <v>2.9987356265069427</v>
      </c>
      <c r="AR185" s="32">
        <f t="shared" si="423"/>
        <v>3.29299838620034</v>
      </c>
      <c r="AS185" s="32">
        <f t="shared" si="423"/>
        <v>4.5353086208267825</v>
      </c>
      <c r="AT185" s="32">
        <f t="shared" si="423"/>
        <v>3.9304052125517441</v>
      </c>
      <c r="AU185" s="32">
        <f t="shared" si="423"/>
        <v>4.0144229152775939</v>
      </c>
      <c r="AV185" s="32">
        <f t="shared" si="423"/>
        <v>4.742574568763513</v>
      </c>
      <c r="AW185" s="32">
        <f t="shared" si="423"/>
        <v>4.9425207517024354</v>
      </c>
      <c r="AX185" s="32">
        <f t="shared" si="423"/>
        <v>4.640145271752897</v>
      </c>
      <c r="AY185" s="32">
        <f t="shared" si="423"/>
        <v>5.6446070898511902</v>
      </c>
      <c r="AZ185" s="32">
        <f t="shared" si="423"/>
        <v>8.6981344788143655</v>
      </c>
      <c r="BA185" s="32">
        <f t="shared" si="423"/>
        <v>9.287958781053856</v>
      </c>
      <c r="BB185" s="32">
        <f t="shared" si="423"/>
        <v>8.9528202672952126</v>
      </c>
      <c r="BC185" s="32">
        <f t="shared" si="423"/>
        <v>9.2491297367074541</v>
      </c>
      <c r="BD185" s="32">
        <f t="shared" si="423"/>
        <v>6.9895780494773012</v>
      </c>
      <c r="BE185" s="32">
        <f>+(BE107-BE113)/BE111</f>
        <v>8.6465836248191188</v>
      </c>
      <c r="BF185" s="32">
        <f>+(BF107-BF113)/BF111</f>
        <v>7.9019343342485069</v>
      </c>
      <c r="BG185" s="32">
        <f>+(BG107-BG113)/BG111</f>
        <v>8.7088054816435498</v>
      </c>
    </row>
    <row r="186" spans="1:59" ht="13.5" customHeight="1">
      <c r="B186" s="1" t="s">
        <v>538</v>
      </c>
      <c r="C186" s="33">
        <f t="shared" ref="C186:L186" si="424">+C107/C111</f>
        <v>39.1628677994198</v>
      </c>
      <c r="D186" s="33">
        <f t="shared" si="424"/>
        <v>25.497463020015761</v>
      </c>
      <c r="E186" s="33">
        <f t="shared" si="424"/>
        <v>10.092032375880564</v>
      </c>
      <c r="F186" s="33">
        <f t="shared" si="424"/>
        <v>6.0770584285197708</v>
      </c>
      <c r="G186" s="33">
        <f t="shared" si="424"/>
        <v>5.2148702171128631</v>
      </c>
      <c r="H186" s="33">
        <f t="shared" si="424"/>
        <v>4.8212145301279286</v>
      </c>
      <c r="I186" s="33">
        <f t="shared" si="424"/>
        <v>7.1036449120897389</v>
      </c>
      <c r="J186" s="33">
        <f t="shared" si="424"/>
        <v>11.752915134009761</v>
      </c>
      <c r="K186" s="33">
        <f t="shared" si="424"/>
        <v>9.3270425889323558</v>
      </c>
      <c r="L186" s="33">
        <f t="shared" si="424"/>
        <v>11.163551092115695</v>
      </c>
      <c r="M186" s="33"/>
      <c r="N186" s="113"/>
      <c r="O186" s="113"/>
      <c r="P186" s="115"/>
      <c r="Q186" s="113"/>
      <c r="R186" s="113"/>
      <c r="S186" s="113"/>
      <c r="T186" s="113"/>
      <c r="U186" s="113"/>
      <c r="V186" s="113"/>
      <c r="W186" s="113"/>
      <c r="X186" s="113"/>
      <c r="Y186" s="113"/>
      <c r="Z186" s="113"/>
      <c r="AA186" s="113"/>
      <c r="AB186" s="113"/>
      <c r="AC186" s="33"/>
      <c r="AD186" s="33"/>
      <c r="AE186" s="33"/>
      <c r="AF186" s="33">
        <f t="shared" ref="AF186:BD186" si="425">+AF107/AF111</f>
        <v>10.092030809278548</v>
      </c>
      <c r="AG186" s="33">
        <f t="shared" si="425"/>
        <v>9.6142082921752703</v>
      </c>
      <c r="AH186" s="33">
        <f t="shared" si="425"/>
        <v>7.4873125820993129</v>
      </c>
      <c r="AI186" s="33">
        <f t="shared" si="425"/>
        <v>7.755833520153633</v>
      </c>
      <c r="AJ186" s="33">
        <f t="shared" si="425"/>
        <v>6.0768386195557431</v>
      </c>
      <c r="AK186" s="33">
        <f t="shared" si="425"/>
        <v>6.2484925783757026</v>
      </c>
      <c r="AL186" s="33">
        <f t="shared" si="425"/>
        <v>6.3257827432631855</v>
      </c>
      <c r="AM186" s="33">
        <f t="shared" si="425"/>
        <v>6.3344965303229159</v>
      </c>
      <c r="AN186" s="33">
        <f t="shared" si="425"/>
        <v>5.2148702171128631</v>
      </c>
      <c r="AO186" s="33">
        <f t="shared" si="425"/>
        <v>4.1920705581292905</v>
      </c>
      <c r="AP186" s="33">
        <f t="shared" si="425"/>
        <v>4.3843344030994027</v>
      </c>
      <c r="AQ186" s="33">
        <f t="shared" si="425"/>
        <v>4.3731527171009192</v>
      </c>
      <c r="AR186" s="33">
        <f t="shared" si="425"/>
        <v>4.8212145301279286</v>
      </c>
      <c r="AS186" s="33">
        <f t="shared" si="425"/>
        <v>6.4639988253504077</v>
      </c>
      <c r="AT186" s="33">
        <f t="shared" si="425"/>
        <v>5.6665680468741453</v>
      </c>
      <c r="AU186" s="33">
        <f t="shared" si="425"/>
        <v>5.9467490636200422</v>
      </c>
      <c r="AV186" s="33">
        <f t="shared" si="425"/>
        <v>7.1036449120897416</v>
      </c>
      <c r="AW186" s="33">
        <f t="shared" si="425"/>
        <v>7.7413694459325306</v>
      </c>
      <c r="AX186" s="33">
        <f t="shared" si="425"/>
        <v>7.6197141863279096</v>
      </c>
      <c r="AY186" s="33">
        <f t="shared" si="425"/>
        <v>8.769563418574414</v>
      </c>
      <c r="AZ186" s="33">
        <f t="shared" si="425"/>
        <v>11.752915134009763</v>
      </c>
      <c r="BA186" s="33">
        <f t="shared" si="425"/>
        <v>12.180561815701092</v>
      </c>
      <c r="BB186" s="33">
        <f t="shared" si="425"/>
        <v>11.319946475484299</v>
      </c>
      <c r="BC186" s="33">
        <f t="shared" si="425"/>
        <v>11.762580125061085</v>
      </c>
      <c r="BD186" s="33">
        <f t="shared" si="425"/>
        <v>9.3270425889323612</v>
      </c>
      <c r="BE186" s="33">
        <f>+BE107/BE111</f>
        <v>11.166124750859291</v>
      </c>
      <c r="BF186" s="33">
        <f>+BF107/BF111</f>
        <v>10.042185916837866</v>
      </c>
      <c r="BG186" s="33">
        <f>+BG107/BG111</f>
        <v>11.163551092115689</v>
      </c>
    </row>
    <row r="187" spans="1:59" ht="13.5" customHeight="1">
      <c r="C187" s="9"/>
      <c r="D187" s="9"/>
      <c r="E187" s="9"/>
      <c r="F187" s="9"/>
      <c r="G187" s="9"/>
      <c r="H187" s="9"/>
      <c r="I187" s="9"/>
      <c r="J187" s="9"/>
      <c r="K187" s="9"/>
      <c r="L187" s="9"/>
      <c r="M187" s="9"/>
      <c r="N187" s="9"/>
      <c r="O187" s="9"/>
      <c r="P187" s="150"/>
      <c r="Q187" s="9"/>
      <c r="R187" s="9"/>
      <c r="S187" s="9"/>
      <c r="T187" s="9"/>
      <c r="U187" s="9"/>
      <c r="V187" s="9"/>
      <c r="W187" s="9"/>
      <c r="X187" s="9"/>
      <c r="Y187" s="9"/>
      <c r="Z187" s="9"/>
      <c r="AA187" s="9"/>
      <c r="AB187" s="9"/>
      <c r="AC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row>
    <row r="188" spans="1:59" s="5" customFormat="1" ht="13.5" customHeight="1">
      <c r="B188" s="5" t="s">
        <v>539</v>
      </c>
      <c r="C188" s="70">
        <f t="shared" ref="C188:L188" si="426">C146/C166</f>
        <v>-0.32164045575862021</v>
      </c>
      <c r="D188" s="70">
        <f t="shared" si="426"/>
        <v>8.6941861029620857E-2</v>
      </c>
      <c r="E188" s="70">
        <f t="shared" si="426"/>
        <v>0.22906425032983999</v>
      </c>
      <c r="F188" s="70">
        <f t="shared" si="426"/>
        <v>0.51186779366129331</v>
      </c>
      <c r="G188" s="70">
        <f t="shared" si="426"/>
        <v>0.70528619394808156</v>
      </c>
      <c r="H188" s="70">
        <f t="shared" si="426"/>
        <v>0.47193405011927275</v>
      </c>
      <c r="I188" s="70">
        <f t="shared" si="426"/>
        <v>0.36694749823165218</v>
      </c>
      <c r="J188" s="70">
        <f t="shared" si="426"/>
        <v>0.67602030402856106</v>
      </c>
      <c r="K188" s="70">
        <f t="shared" si="426"/>
        <v>0.8047328966784274</v>
      </c>
      <c r="L188" s="70">
        <f t="shared" si="426"/>
        <v>0.98208355206120224</v>
      </c>
      <c r="M188" s="70"/>
      <c r="N188" s="70"/>
      <c r="O188" s="38"/>
      <c r="P188" s="151"/>
      <c r="Q188" s="70"/>
      <c r="R188" s="70"/>
      <c r="S188" s="70"/>
      <c r="T188" s="70"/>
      <c r="U188" s="70"/>
      <c r="V188" s="70"/>
      <c r="W188" s="70"/>
      <c r="X188" s="70"/>
      <c r="Y188" s="70"/>
      <c r="Z188" s="70"/>
      <c r="AA188" s="70"/>
      <c r="AB188" s="70"/>
      <c r="AC188" s="70">
        <f t="shared" ref="AC188:BD188" si="427">AC146/AC166</f>
        <v>9.8526285415184725E-2</v>
      </c>
      <c r="AD188" s="70">
        <f t="shared" si="427"/>
        <v>0.23032421386954322</v>
      </c>
      <c r="AE188" s="70">
        <f t="shared" si="427"/>
        <v>0.16130395654341451</v>
      </c>
      <c r="AF188" s="70">
        <f t="shared" si="427"/>
        <v>0.22906425032983999</v>
      </c>
      <c r="AG188" s="70">
        <f t="shared" si="427"/>
        <v>0.25577919015021411</v>
      </c>
      <c r="AH188" s="70">
        <f t="shared" si="427"/>
        <v>0.43317853420837665</v>
      </c>
      <c r="AI188" s="70">
        <f t="shared" si="427"/>
        <v>0.46614660385508344</v>
      </c>
      <c r="AJ188" s="70">
        <f t="shared" si="427"/>
        <v>0.51186779366129331</v>
      </c>
      <c r="AK188" s="70">
        <f t="shared" si="427"/>
        <v>0.65194252119898211</v>
      </c>
      <c r="AL188" s="70">
        <f t="shared" si="427"/>
        <v>0.67542655350492908</v>
      </c>
      <c r="AM188" s="70">
        <f t="shared" si="427"/>
        <v>0.87617142075840726</v>
      </c>
      <c r="AN188" s="70">
        <f t="shared" si="427"/>
        <v>0.70528619394808156</v>
      </c>
      <c r="AO188" s="70">
        <f t="shared" si="427"/>
        <v>0.73492512490000594</v>
      </c>
      <c r="AP188" s="70">
        <f t="shared" si="427"/>
        <v>0.56538396069368835</v>
      </c>
      <c r="AQ188" s="70">
        <f t="shared" si="427"/>
        <v>0.46935131657985169</v>
      </c>
      <c r="AR188" s="70">
        <f t="shared" si="427"/>
        <v>0.47193405011927275</v>
      </c>
      <c r="AS188" s="70">
        <f t="shared" si="427"/>
        <v>0.47145384311565197</v>
      </c>
      <c r="AT188" s="70">
        <f t="shared" si="427"/>
        <v>0.37676960203499305</v>
      </c>
      <c r="AU188" s="70">
        <f t="shared" si="427"/>
        <v>0.35743446872008089</v>
      </c>
      <c r="AV188" s="70">
        <f t="shared" si="427"/>
        <v>0.36694749823165218</v>
      </c>
      <c r="AW188" s="70">
        <f t="shared" si="427"/>
        <v>0.42455397673366985</v>
      </c>
      <c r="AX188" s="70">
        <f t="shared" si="427"/>
        <v>0.4676880841462962</v>
      </c>
      <c r="AY188" s="70">
        <f t="shared" si="427"/>
        <v>0.47137000827531178</v>
      </c>
      <c r="AZ188" s="70">
        <f t="shared" si="427"/>
        <v>0.67602030402856106</v>
      </c>
      <c r="BA188" s="70">
        <f t="shared" si="427"/>
        <v>0.81620218951211965</v>
      </c>
      <c r="BB188" s="70">
        <f t="shared" si="427"/>
        <v>0.9693214274595745</v>
      </c>
      <c r="BC188" s="70">
        <f t="shared" si="427"/>
        <v>0.95921527798612427</v>
      </c>
      <c r="BD188" s="70">
        <f t="shared" si="427"/>
        <v>0.8047328966784274</v>
      </c>
      <c r="BE188" s="70">
        <f>BE146/BE166</f>
        <v>0.82125717771761042</v>
      </c>
      <c r="BF188" s="70">
        <f>BF146/BF166</f>
        <v>1.0205162597627262</v>
      </c>
      <c r="BG188" s="70">
        <f>BG146/BG166</f>
        <v>0.98208355206120224</v>
      </c>
    </row>
    <row r="189" spans="1:59" s="5" customFormat="1" ht="13.5" customHeight="1">
      <c r="C189" s="38"/>
      <c r="D189" s="38"/>
      <c r="E189" s="38"/>
      <c r="F189" s="38"/>
      <c r="G189" s="38"/>
      <c r="H189" s="38"/>
      <c r="I189" s="38"/>
      <c r="J189" s="38"/>
      <c r="K189" s="38"/>
      <c r="L189" s="38"/>
      <c r="M189" s="38"/>
      <c r="N189" s="38"/>
      <c r="P189" s="152"/>
      <c r="Q189" s="38"/>
      <c r="R189" s="38"/>
      <c r="S189" s="38"/>
      <c r="T189" s="38"/>
      <c r="U189" s="38"/>
      <c r="V189" s="38"/>
      <c r="W189" s="38"/>
      <c r="X189" s="38"/>
      <c r="Y189" s="38"/>
      <c r="Z189" s="38"/>
      <c r="AA189" s="38"/>
      <c r="AB189" s="38"/>
      <c r="AC189" s="38"/>
      <c r="AG189" s="38"/>
      <c r="AH189" s="38"/>
      <c r="AK189" s="38"/>
      <c r="AL189" s="38"/>
      <c r="AO189" s="38"/>
      <c r="AP189" s="38"/>
      <c r="AQ189" s="38"/>
      <c r="AR189" s="38"/>
      <c r="AS189" s="38"/>
      <c r="AT189" s="38"/>
      <c r="AU189" s="38"/>
      <c r="AV189" s="38"/>
      <c r="AW189" s="38"/>
      <c r="AX189" s="38"/>
      <c r="AY189" s="38"/>
      <c r="AZ189" s="38"/>
      <c r="BA189" s="38"/>
      <c r="BB189" s="38"/>
      <c r="BC189" s="38"/>
      <c r="BD189" s="38"/>
      <c r="BE189" s="38"/>
      <c r="BF189" s="38"/>
      <c r="BG189" s="38"/>
    </row>
    <row r="190" spans="1:59" s="5" customFormat="1" ht="13.5" customHeight="1">
      <c r="A190" s="50"/>
      <c r="B190" s="50" t="s">
        <v>540</v>
      </c>
      <c r="C190" s="178">
        <v>2.3189000000000002</v>
      </c>
      <c r="D190" s="178">
        <v>2.9076</v>
      </c>
      <c r="E190" s="178">
        <v>3.5192000000000001</v>
      </c>
      <c r="F190" s="178">
        <v>3.7719</v>
      </c>
      <c r="G190" s="178">
        <v>5.2609000000000004</v>
      </c>
      <c r="H190" s="178">
        <v>5.9401999999999999</v>
      </c>
      <c r="I190" s="178">
        <v>7.3404999999999996</v>
      </c>
      <c r="J190" s="178">
        <v>13.329000000000001</v>
      </c>
      <c r="K190" s="178">
        <v>18.6983</v>
      </c>
      <c r="L190" s="178">
        <f>BG190</f>
        <v>27.4071</v>
      </c>
      <c r="M190" s="38"/>
      <c r="N190" s="179"/>
      <c r="O190" s="179"/>
      <c r="P190" s="180"/>
      <c r="Q190" s="179"/>
      <c r="R190" s="179"/>
      <c r="S190" s="179"/>
      <c r="T190" s="179"/>
      <c r="U190" s="179"/>
      <c r="V190" s="179"/>
      <c r="W190" s="179"/>
      <c r="X190" s="179"/>
      <c r="Y190" s="179"/>
      <c r="Z190" s="179"/>
      <c r="AA190" s="179"/>
      <c r="AB190" s="179"/>
      <c r="AC190" s="178">
        <v>2.8334000000000001</v>
      </c>
      <c r="AD190" s="178">
        <v>2.8936000000000002</v>
      </c>
      <c r="AE190" s="178">
        <v>2.9958999999999998</v>
      </c>
      <c r="AF190" s="178">
        <v>3.5192000000000001</v>
      </c>
      <c r="AG190" s="178">
        <v>3.6385999999999998</v>
      </c>
      <c r="AH190" s="178">
        <v>3.5070999999999999</v>
      </c>
      <c r="AI190" s="178">
        <v>3.5520999999999998</v>
      </c>
      <c r="AJ190" s="178">
        <v>3.7719</v>
      </c>
      <c r="AK190" s="178">
        <v>3.9489000000000001</v>
      </c>
      <c r="AL190" s="178">
        <f>4.5607</f>
        <v>4.5606999999999998</v>
      </c>
      <c r="AM190" s="178">
        <v>5.9901999999999997</v>
      </c>
      <c r="AN190" s="178">
        <v>5.2609000000000004</v>
      </c>
      <c r="AO190" s="178">
        <v>5.6284000000000001</v>
      </c>
      <c r="AP190" s="178">
        <v>5.7550999999999997</v>
      </c>
      <c r="AQ190" s="178">
        <v>5.6590999999999996</v>
      </c>
      <c r="AR190" s="178">
        <v>5.9401999999999999</v>
      </c>
      <c r="AS190" s="178">
        <v>6.516</v>
      </c>
      <c r="AT190" s="178">
        <v>6.8529</v>
      </c>
      <c r="AU190" s="178">
        <v>7.7157</v>
      </c>
      <c r="AV190" s="178">
        <v>7.3404999999999996</v>
      </c>
      <c r="AW190" s="178">
        <v>8.3260000000000005</v>
      </c>
      <c r="AX190" s="178">
        <v>8.7051999999999996</v>
      </c>
      <c r="AY190" s="178">
        <v>8.8432999999999993</v>
      </c>
      <c r="AZ190" s="178">
        <v>13.329000000000001</v>
      </c>
      <c r="BA190" s="178">
        <v>14.6503</v>
      </c>
      <c r="BB190" s="178">
        <v>16.636800000000001</v>
      </c>
      <c r="BC190" s="178">
        <v>18.496099999999998</v>
      </c>
      <c r="BD190" s="178">
        <v>18.6983</v>
      </c>
      <c r="BE190" s="178">
        <v>19.179300000000001</v>
      </c>
      <c r="BF190" s="178">
        <f>1/0.0384</f>
        <v>26.041666666666668</v>
      </c>
      <c r="BG190" s="178">
        <v>27.4071</v>
      </c>
    </row>
    <row r="191" spans="1:59" s="5" customFormat="1" ht="13.5" customHeight="1">
      <c r="A191" s="50"/>
      <c r="B191" s="50" t="s">
        <v>541</v>
      </c>
      <c r="C191" s="178">
        <v>2.1850000000000001</v>
      </c>
      <c r="D191" s="178">
        <v>2.7271000000000001</v>
      </c>
      <c r="E191" s="178">
        <v>3.0059</v>
      </c>
      <c r="F191" s="178">
        <v>3.6307999999999998</v>
      </c>
      <c r="G191" s="178">
        <v>4.7576999999999998</v>
      </c>
      <c r="H191" s="178">
        <f>AVERAGE(AO191:AR191)</f>
        <v>5.660425</v>
      </c>
      <c r="I191" s="178">
        <v>7.8933</v>
      </c>
      <c r="J191" s="178">
        <v>8.8796999999999997</v>
      </c>
      <c r="K191" s="178">
        <v>16.489999999999998</v>
      </c>
      <c r="L191" s="178">
        <f>AVERAGE(BD191:BG191)</f>
        <v>21.177824437627812</v>
      </c>
      <c r="M191" s="38"/>
      <c r="N191" s="181"/>
      <c r="O191" s="181"/>
      <c r="P191" s="182"/>
      <c r="Q191" s="181"/>
      <c r="R191" s="181"/>
      <c r="S191" s="181"/>
      <c r="T191" s="181"/>
      <c r="U191" s="181"/>
      <c r="V191" s="181"/>
      <c r="W191" s="181"/>
      <c r="X191" s="181"/>
      <c r="Y191" s="181"/>
      <c r="Z191" s="181"/>
      <c r="AA191" s="181"/>
      <c r="AB191" s="181"/>
      <c r="AC191" s="178">
        <v>2.9201999999999999</v>
      </c>
      <c r="AD191" s="178">
        <v>2.8736000000000002</v>
      </c>
      <c r="AE191" s="178">
        <v>2.9706000000000001</v>
      </c>
      <c r="AF191" s="178">
        <v>3.2591000000000001</v>
      </c>
      <c r="AG191" s="178">
        <v>3.6665000000000001</v>
      </c>
      <c r="AH191" s="178">
        <v>3.5625</v>
      </c>
      <c r="AI191" s="178">
        <v>3.4998999999999998</v>
      </c>
      <c r="AJ191" s="178">
        <v>3.7942</v>
      </c>
      <c r="AK191" s="178">
        <v>3.8077000000000001</v>
      </c>
      <c r="AL191" s="178">
        <f>4.2639</f>
        <v>4.2638999999999996</v>
      </c>
      <c r="AM191" s="178">
        <v>5.5223000000000004</v>
      </c>
      <c r="AN191" s="178">
        <v>5.4368999999999996</v>
      </c>
      <c r="AO191" s="178">
        <v>5.3377999999999997</v>
      </c>
      <c r="AP191" s="178">
        <v>5.8478000000000003</v>
      </c>
      <c r="AQ191" s="178">
        <v>5.6973000000000003</v>
      </c>
      <c r="AR191" s="178">
        <v>5.7587999999999999</v>
      </c>
      <c r="AS191" s="178">
        <v>6.1418999999999997</v>
      </c>
      <c r="AT191" s="178">
        <v>6.8613999999999997</v>
      </c>
      <c r="AU191" s="178">
        <v>7.2291999999999996</v>
      </c>
      <c r="AV191" s="178">
        <v>7.0119999999999996</v>
      </c>
      <c r="AW191" s="178">
        <v>7.5086000000000004</v>
      </c>
      <c r="AX191" s="178">
        <v>8.4135000000000009</v>
      </c>
      <c r="AY191" s="178">
        <v>8.5212000000000003</v>
      </c>
      <c r="AZ191" s="178">
        <v>11.075699999999999</v>
      </c>
      <c r="BA191" s="178">
        <v>13.9239</v>
      </c>
      <c r="BB191" s="178">
        <v>15.599600000000001</v>
      </c>
      <c r="BC191" s="178">
        <v>17.919599999999999</v>
      </c>
      <c r="BD191" s="178">
        <v>18.600999999999999</v>
      </c>
      <c r="BE191" s="178">
        <v>18.851099999999999</v>
      </c>
      <c r="BF191" s="178">
        <f>1/0.0489</f>
        <v>20.449897750511248</v>
      </c>
      <c r="BG191" s="178">
        <v>26.8093</v>
      </c>
    </row>
    <row r="192" spans="1:59" s="5" customFormat="1" ht="13.5" customHeight="1">
      <c r="C192" s="160"/>
      <c r="D192" s="160"/>
      <c r="E192" s="160"/>
      <c r="F192" s="160"/>
      <c r="G192" s="160"/>
      <c r="H192" s="160"/>
      <c r="I192" s="160"/>
      <c r="J192" s="160"/>
      <c r="K192" s="160"/>
      <c r="L192" s="160"/>
      <c r="M192" s="38"/>
      <c r="N192" s="58"/>
      <c r="O192" s="58"/>
      <c r="P192" s="153"/>
      <c r="Q192" s="58"/>
      <c r="R192" s="58"/>
      <c r="S192" s="58"/>
      <c r="T192" s="58"/>
      <c r="U192" s="58"/>
      <c r="V192" s="58"/>
      <c r="W192" s="58"/>
      <c r="X192" s="58"/>
      <c r="Y192" s="58"/>
      <c r="Z192" s="58"/>
      <c r="AA192" s="58"/>
      <c r="AB192" s="58"/>
      <c r="AC192" s="160"/>
      <c r="AD192" s="160"/>
      <c r="AE192" s="160"/>
      <c r="AF192" s="160"/>
      <c r="AG192" s="160"/>
      <c r="AH192" s="160"/>
      <c r="AI192" s="160"/>
      <c r="AJ192" s="160"/>
      <c r="AK192" s="160"/>
      <c r="AL192" s="58"/>
      <c r="AM192" s="160"/>
      <c r="AN192" s="160"/>
      <c r="AO192" s="160"/>
      <c r="AP192" s="160"/>
      <c r="AQ192" s="160"/>
      <c r="AR192" s="160"/>
      <c r="AS192" s="160"/>
      <c r="AT192" s="160"/>
      <c r="AU192" s="160"/>
      <c r="AV192" s="160"/>
      <c r="AW192" s="160"/>
      <c r="AX192" s="160"/>
      <c r="AY192" s="160"/>
      <c r="AZ192" s="160"/>
      <c r="BA192" s="160"/>
      <c r="BB192" s="160"/>
      <c r="BC192" s="160"/>
      <c r="BD192" s="160"/>
      <c r="BE192" s="160"/>
      <c r="BF192" s="160"/>
      <c r="BG192" s="160"/>
    </row>
    <row r="193" spans="1:59" s="5" customFormat="1" ht="13.5" customHeight="1">
      <c r="C193" s="160"/>
      <c r="D193" s="160"/>
      <c r="E193" s="160"/>
      <c r="F193" s="160"/>
      <c r="G193" s="160"/>
      <c r="H193" s="160"/>
      <c r="I193" s="160"/>
      <c r="J193" s="160"/>
      <c r="K193" s="160"/>
      <c r="L193" s="160"/>
      <c r="M193" s="160"/>
      <c r="N193" s="58"/>
      <c r="O193" s="58"/>
      <c r="P193" s="153"/>
      <c r="Q193" s="58"/>
      <c r="R193" s="58"/>
      <c r="S193" s="58"/>
      <c r="T193" s="58"/>
      <c r="U193" s="58"/>
      <c r="V193" s="58"/>
      <c r="W193" s="58"/>
      <c r="X193" s="58"/>
      <c r="Y193" s="58"/>
      <c r="Z193" s="58"/>
      <c r="AA193" s="58"/>
      <c r="AB193" s="58"/>
      <c r="AC193" s="160"/>
      <c r="AD193" s="160"/>
      <c r="AE193" s="160"/>
      <c r="AF193" s="160"/>
      <c r="AG193" s="160"/>
      <c r="AH193" s="160"/>
      <c r="AI193" s="160"/>
      <c r="AJ193" s="160"/>
      <c r="AK193" s="160"/>
      <c r="AL193" s="58"/>
      <c r="AM193" s="160"/>
      <c r="AN193" s="160"/>
      <c r="AO193" s="160"/>
      <c r="AP193" s="160"/>
      <c r="AQ193" s="160"/>
      <c r="AR193" s="160"/>
      <c r="AS193" s="160"/>
      <c r="AT193" s="160"/>
      <c r="AU193" s="160"/>
      <c r="AV193" s="160"/>
      <c r="AW193" s="160"/>
      <c r="AX193" s="160"/>
      <c r="AY193" s="160"/>
      <c r="AZ193" s="160"/>
      <c r="BA193" s="160"/>
      <c r="BB193" s="160"/>
      <c r="BC193" s="160"/>
      <c r="BD193" s="160"/>
      <c r="BE193" s="160"/>
      <c r="BF193" s="160"/>
      <c r="BG193" s="160"/>
    </row>
    <row r="194" spans="1:59" s="5" customFormat="1" ht="13.5" customHeight="1">
      <c r="C194" s="160"/>
      <c r="D194" s="160"/>
      <c r="E194" s="160"/>
      <c r="F194" s="160"/>
      <c r="G194" s="160"/>
      <c r="H194" s="160"/>
      <c r="I194" s="160"/>
      <c r="J194" s="160"/>
      <c r="K194" s="160"/>
      <c r="L194" s="160"/>
      <c r="M194" s="160"/>
      <c r="N194" s="58"/>
      <c r="O194" s="58"/>
      <c r="P194" s="153"/>
      <c r="Q194" s="58"/>
      <c r="R194" s="58"/>
      <c r="S194" s="58"/>
      <c r="T194" s="58"/>
      <c r="U194" s="58"/>
      <c r="V194" s="58"/>
      <c r="W194" s="58"/>
      <c r="X194" s="58"/>
      <c r="Y194" s="58"/>
      <c r="Z194" s="58"/>
      <c r="AA194" s="58"/>
      <c r="AB194" s="58"/>
      <c r="AC194" s="160"/>
      <c r="AD194" s="160"/>
      <c r="AE194" s="160"/>
      <c r="AF194" s="160"/>
      <c r="AG194" s="160"/>
      <c r="AH194" s="160"/>
      <c r="AI194" s="160"/>
      <c r="AJ194" s="160"/>
      <c r="AK194" s="160"/>
      <c r="AL194" s="58"/>
      <c r="AM194" s="160"/>
      <c r="AN194" s="160"/>
      <c r="AO194" s="160"/>
      <c r="AP194" s="160"/>
      <c r="AQ194" s="160"/>
      <c r="AR194" s="160"/>
      <c r="AS194" s="160"/>
      <c r="AT194" s="160"/>
      <c r="AU194" s="160"/>
      <c r="AV194" s="160"/>
      <c r="AW194" s="160"/>
      <c r="AX194" s="160"/>
      <c r="AY194" s="160"/>
      <c r="AZ194" s="160"/>
      <c r="BA194" s="160"/>
      <c r="BB194" s="160"/>
      <c r="BC194" s="160"/>
      <c r="BD194" s="160"/>
      <c r="BE194" s="160"/>
      <c r="BF194" s="160"/>
      <c r="BG194" s="160"/>
    </row>
    <row r="195" spans="1:59" ht="13.5" customHeight="1">
      <c r="A195" s="27"/>
      <c r="B195" s="17" t="s">
        <v>542</v>
      </c>
      <c r="C195" s="48"/>
      <c r="D195" s="48"/>
      <c r="E195" s="48"/>
      <c r="F195" s="48"/>
      <c r="G195" s="48"/>
      <c r="H195" s="48"/>
      <c r="I195" s="48"/>
      <c r="J195" s="48"/>
      <c r="K195" s="48"/>
      <c r="L195" s="48"/>
      <c r="M195" s="295"/>
      <c r="N195" s="48"/>
      <c r="O195" s="48"/>
      <c r="P195" s="96"/>
      <c r="Q195" s="48"/>
      <c r="R195" s="48"/>
      <c r="S195" s="48"/>
      <c r="T195" s="48"/>
      <c r="U195" s="48"/>
      <c r="V195" s="48"/>
      <c r="W195" s="48"/>
      <c r="X195" s="48"/>
      <c r="Y195" s="48"/>
      <c r="Z195" s="48"/>
      <c r="AA195" s="48"/>
      <c r="AB195" s="48"/>
      <c r="AC195" s="48"/>
      <c r="AD195" s="18"/>
      <c r="AE195" s="18"/>
      <c r="AF195" s="18"/>
      <c r="AG195" s="48"/>
      <c r="AH195" s="48"/>
      <c r="AI195" s="18"/>
      <c r="AJ195" s="18"/>
      <c r="AK195" s="48"/>
      <c r="AL195" s="48"/>
      <c r="AM195" s="18"/>
      <c r="AN195" s="18"/>
      <c r="AO195" s="48"/>
      <c r="AP195" s="48"/>
      <c r="AQ195" s="48"/>
      <c r="AR195" s="48"/>
      <c r="AS195" s="48"/>
      <c r="AT195" s="48"/>
      <c r="AU195" s="48"/>
      <c r="AV195" s="48"/>
      <c r="AW195" s="48"/>
      <c r="AX195" s="48"/>
      <c r="AY195" s="48"/>
      <c r="AZ195" s="48"/>
      <c r="BA195" s="48"/>
      <c r="BB195" s="48"/>
      <c r="BC195" s="48"/>
      <c r="BD195" s="48"/>
      <c r="BE195" s="48"/>
      <c r="BF195" s="48"/>
      <c r="BG195" s="48"/>
    </row>
    <row r="196" spans="1:59" s="2" customFormat="1" ht="13.5" customHeight="1">
      <c r="A196" s="124"/>
      <c r="B196" s="125" t="s">
        <v>54</v>
      </c>
      <c r="C196" s="82">
        <f t="shared" ref="C196:L196" si="428">+C2</f>
        <v>41975</v>
      </c>
      <c r="D196" s="48">
        <f t="shared" si="428"/>
        <v>42341</v>
      </c>
      <c r="E196" s="48">
        <f t="shared" si="428"/>
        <v>42705</v>
      </c>
      <c r="F196" s="48">
        <f t="shared" si="428"/>
        <v>43070</v>
      </c>
      <c r="G196" s="48">
        <f t="shared" si="428"/>
        <v>43435</v>
      </c>
      <c r="H196" s="48">
        <f t="shared" si="428"/>
        <v>43830</v>
      </c>
      <c r="I196" s="48">
        <f t="shared" si="428"/>
        <v>44196</v>
      </c>
      <c r="J196" s="48">
        <f t="shared" si="428"/>
        <v>44561</v>
      </c>
      <c r="K196" s="48">
        <f t="shared" si="428"/>
        <v>44926</v>
      </c>
      <c r="L196" s="48">
        <f t="shared" si="428"/>
        <v>45199</v>
      </c>
      <c r="M196" s="295" t="s">
        <v>397</v>
      </c>
      <c r="N196" s="48">
        <f t="shared" ref="N196:AL196" si="429">+N2</f>
        <v>43074</v>
      </c>
      <c r="O196" s="48">
        <f t="shared" si="429"/>
        <v>43440</v>
      </c>
      <c r="P196" s="96">
        <f t="shared" si="429"/>
        <v>43806</v>
      </c>
      <c r="Q196" s="13">
        <f t="shared" si="429"/>
        <v>41341</v>
      </c>
      <c r="R196" s="13">
        <f t="shared" si="429"/>
        <v>41431</v>
      </c>
      <c r="S196" s="13">
        <f t="shared" si="429"/>
        <v>41526</v>
      </c>
      <c r="T196" s="13">
        <f t="shared" si="429"/>
        <v>41618</v>
      </c>
      <c r="U196" s="13">
        <f t="shared" si="429"/>
        <v>41705</v>
      </c>
      <c r="V196" s="13">
        <f t="shared" si="429"/>
        <v>41796</v>
      </c>
      <c r="W196" s="13">
        <f t="shared" si="429"/>
        <v>41891</v>
      </c>
      <c r="X196" s="13">
        <f t="shared" si="429"/>
        <v>41983</v>
      </c>
      <c r="Y196" s="13">
        <f t="shared" si="429"/>
        <v>42070</v>
      </c>
      <c r="Z196" s="13">
        <f t="shared" si="429"/>
        <v>42161</v>
      </c>
      <c r="AA196" s="13">
        <f t="shared" si="429"/>
        <v>42256</v>
      </c>
      <c r="AB196" s="13">
        <f t="shared" si="429"/>
        <v>42348</v>
      </c>
      <c r="AC196" s="48">
        <f t="shared" si="429"/>
        <v>42437</v>
      </c>
      <c r="AD196" s="48">
        <f t="shared" si="429"/>
        <v>42527</v>
      </c>
      <c r="AE196" s="48">
        <f t="shared" si="429"/>
        <v>42622</v>
      </c>
      <c r="AF196" s="48">
        <f t="shared" si="429"/>
        <v>42714</v>
      </c>
      <c r="AG196" s="48">
        <f t="shared" si="429"/>
        <v>42801</v>
      </c>
      <c r="AH196" s="48">
        <f t="shared" si="429"/>
        <v>42892</v>
      </c>
      <c r="AI196" s="48">
        <f t="shared" si="429"/>
        <v>42987</v>
      </c>
      <c r="AJ196" s="48">
        <f t="shared" si="429"/>
        <v>43079</v>
      </c>
      <c r="AK196" s="48">
        <f t="shared" si="429"/>
        <v>43190</v>
      </c>
      <c r="AL196" s="48">
        <f t="shared" si="429"/>
        <v>43281</v>
      </c>
      <c r="AM196" s="48">
        <f t="shared" ref="AM196:BD196" si="430">AM2</f>
        <v>43373</v>
      </c>
      <c r="AN196" s="48">
        <f t="shared" si="430"/>
        <v>43465</v>
      </c>
      <c r="AO196" s="48">
        <f t="shared" si="430"/>
        <v>43555</v>
      </c>
      <c r="AP196" s="48">
        <f t="shared" si="430"/>
        <v>43646</v>
      </c>
      <c r="AQ196" s="48">
        <f t="shared" si="430"/>
        <v>43738</v>
      </c>
      <c r="AR196" s="48">
        <f t="shared" si="430"/>
        <v>43830</v>
      </c>
      <c r="AS196" s="48">
        <f t="shared" si="430"/>
        <v>43921</v>
      </c>
      <c r="AT196" s="48">
        <f t="shared" si="430"/>
        <v>44012</v>
      </c>
      <c r="AU196" s="48">
        <f t="shared" si="430"/>
        <v>44104</v>
      </c>
      <c r="AV196" s="48">
        <f t="shared" si="430"/>
        <v>44196</v>
      </c>
      <c r="AW196" s="48">
        <f t="shared" si="430"/>
        <v>44286</v>
      </c>
      <c r="AX196" s="48">
        <f t="shared" si="430"/>
        <v>44377</v>
      </c>
      <c r="AY196" s="48">
        <f t="shared" si="430"/>
        <v>44469</v>
      </c>
      <c r="AZ196" s="48">
        <f t="shared" si="430"/>
        <v>44561</v>
      </c>
      <c r="BA196" s="48">
        <f t="shared" si="430"/>
        <v>44651</v>
      </c>
      <c r="BB196" s="48">
        <f t="shared" si="430"/>
        <v>44742</v>
      </c>
      <c r="BC196" s="48">
        <f t="shared" si="430"/>
        <v>44834</v>
      </c>
      <c r="BD196" s="48">
        <f t="shared" si="430"/>
        <v>44926</v>
      </c>
      <c r="BE196" s="48">
        <f t="shared" ref="BE196:BG198" si="431">BE2</f>
        <v>45016</v>
      </c>
      <c r="BF196" s="48">
        <f t="shared" si="431"/>
        <v>45107</v>
      </c>
      <c r="BG196" s="48">
        <f t="shared" si="431"/>
        <v>45199</v>
      </c>
    </row>
    <row r="197" spans="1:59" s="5" customFormat="1" ht="13.5" customHeight="1">
      <c r="B197" s="11"/>
      <c r="C197" s="14" t="s">
        <v>410</v>
      </c>
      <c r="D197" s="14" t="s">
        <v>410</v>
      </c>
      <c r="E197" s="14" t="s">
        <v>410</v>
      </c>
      <c r="F197" s="14" t="s">
        <v>410</v>
      </c>
      <c r="G197" s="14" t="s">
        <v>410</v>
      </c>
      <c r="H197" s="14" t="s">
        <v>410</v>
      </c>
      <c r="I197" s="14" t="s">
        <v>410</v>
      </c>
      <c r="J197" s="14" t="s">
        <v>410</v>
      </c>
      <c r="K197" s="14" t="s">
        <v>410</v>
      </c>
      <c r="L197" s="14" t="s">
        <v>410</v>
      </c>
      <c r="M197" s="423"/>
      <c r="N197" s="15" t="s">
        <v>411</v>
      </c>
      <c r="O197" s="15" t="s">
        <v>411</v>
      </c>
      <c r="P197" s="139" t="s">
        <v>411</v>
      </c>
      <c r="Q197" s="15"/>
      <c r="R197" s="15"/>
      <c r="S197" s="15"/>
      <c r="T197" s="15"/>
      <c r="U197" s="15"/>
      <c r="V197" s="15"/>
      <c r="W197" s="15"/>
      <c r="X197" s="15"/>
      <c r="Y197" s="15"/>
      <c r="Z197" s="15"/>
      <c r="AA197" s="15"/>
      <c r="AB197" s="15"/>
      <c r="AC197" s="14" t="s">
        <v>410</v>
      </c>
      <c r="AD197" s="14" t="s">
        <v>410</v>
      </c>
      <c r="AE197" s="14" t="s">
        <v>410</v>
      </c>
      <c r="AF197" s="14" t="s">
        <v>410</v>
      </c>
      <c r="AG197" s="14" t="s">
        <v>410</v>
      </c>
      <c r="AH197" s="14" t="s">
        <v>410</v>
      </c>
      <c r="AI197" s="14" t="s">
        <v>410</v>
      </c>
      <c r="AJ197" s="14" t="s">
        <v>410</v>
      </c>
      <c r="AK197" s="14" t="s">
        <v>410</v>
      </c>
      <c r="AL197" s="14" t="s">
        <v>410</v>
      </c>
      <c r="AM197" s="14" t="str">
        <f t="shared" ref="AM197:BD197" si="432">AM3</f>
        <v>Act</v>
      </c>
      <c r="AN197" s="14" t="str">
        <f t="shared" si="432"/>
        <v>Act</v>
      </c>
      <c r="AO197" s="14" t="str">
        <f t="shared" si="432"/>
        <v>Act</v>
      </c>
      <c r="AP197" s="14" t="str">
        <f t="shared" si="432"/>
        <v>Act</v>
      </c>
      <c r="AQ197" s="14" t="str">
        <f t="shared" si="432"/>
        <v>Act</v>
      </c>
      <c r="AR197" s="14" t="str">
        <f t="shared" si="432"/>
        <v>Act</v>
      </c>
      <c r="AS197" s="14" t="str">
        <f t="shared" si="432"/>
        <v>Act</v>
      </c>
      <c r="AT197" s="14" t="str">
        <f t="shared" si="432"/>
        <v>Act</v>
      </c>
      <c r="AU197" s="14" t="str">
        <f t="shared" si="432"/>
        <v>Act</v>
      </c>
      <c r="AV197" s="14" t="str">
        <f t="shared" si="432"/>
        <v>Act</v>
      </c>
      <c r="AW197" s="14" t="str">
        <f t="shared" si="432"/>
        <v>Act</v>
      </c>
      <c r="AX197" s="14" t="str">
        <f t="shared" si="432"/>
        <v>Act</v>
      </c>
      <c r="AY197" s="14" t="str">
        <f t="shared" si="432"/>
        <v>Act</v>
      </c>
      <c r="AZ197" s="14" t="str">
        <f t="shared" si="432"/>
        <v>Act</v>
      </c>
      <c r="BA197" s="14" t="str">
        <f t="shared" si="432"/>
        <v>Act</v>
      </c>
      <c r="BB197" s="14" t="str">
        <f t="shared" si="432"/>
        <v>Act</v>
      </c>
      <c r="BC197" s="14" t="str">
        <f t="shared" si="432"/>
        <v>Act</v>
      </c>
      <c r="BD197" s="14" t="str">
        <f t="shared" si="432"/>
        <v>Act</v>
      </c>
      <c r="BE197" s="14" t="str">
        <f t="shared" si="431"/>
        <v>Act</v>
      </c>
      <c r="BF197" s="14" t="str">
        <f t="shared" si="431"/>
        <v>Act</v>
      </c>
      <c r="BG197" s="14" t="str">
        <f t="shared" si="431"/>
        <v>Act</v>
      </c>
    </row>
    <row r="198" spans="1:59" s="3" customFormat="1" ht="13.5" customHeight="1">
      <c r="C198" s="23" t="s">
        <v>412</v>
      </c>
      <c r="D198" s="23" t="s">
        <v>412</v>
      </c>
      <c r="E198" s="23" t="s">
        <v>412</v>
      </c>
      <c r="F198" s="23" t="s">
        <v>412</v>
      </c>
      <c r="G198" s="23" t="s">
        <v>412</v>
      </c>
      <c r="H198" s="23" t="s">
        <v>412</v>
      </c>
      <c r="I198" s="23" t="s">
        <v>412</v>
      </c>
      <c r="J198" s="23" t="s">
        <v>412</v>
      </c>
      <c r="K198" s="23" t="s">
        <v>412</v>
      </c>
      <c r="L198" s="23" t="s">
        <v>407</v>
      </c>
      <c r="M198" s="23"/>
      <c r="N198" s="23" t="s">
        <v>412</v>
      </c>
      <c r="O198" s="23" t="s">
        <v>412</v>
      </c>
      <c r="P198" s="147" t="s">
        <v>412</v>
      </c>
      <c r="Q198" s="23"/>
      <c r="R198" s="23"/>
      <c r="S198" s="23"/>
      <c r="T198" s="23"/>
      <c r="U198" s="23"/>
      <c r="V198" s="23"/>
      <c r="W198" s="23"/>
      <c r="X198" s="23"/>
      <c r="Y198" s="23"/>
      <c r="Z198" s="23"/>
      <c r="AA198" s="23"/>
      <c r="AB198" s="23"/>
      <c r="AC198" s="23" t="s">
        <v>413</v>
      </c>
      <c r="AD198" s="23" t="s">
        <v>414</v>
      </c>
      <c r="AE198" s="23" t="s">
        <v>415</v>
      </c>
      <c r="AF198" s="23" t="s">
        <v>416</v>
      </c>
      <c r="AG198" s="23" t="s">
        <v>413</v>
      </c>
      <c r="AH198" s="23" t="s">
        <v>414</v>
      </c>
      <c r="AI198" s="23" t="s">
        <v>415</v>
      </c>
      <c r="AJ198" s="23" t="s">
        <v>416</v>
      </c>
      <c r="AK198" s="23" t="s">
        <v>413</v>
      </c>
      <c r="AL198" s="23" t="s">
        <v>414</v>
      </c>
      <c r="AM198" s="23" t="str">
        <f t="shared" ref="AM198:BD198" si="433">AM4</f>
        <v>Q3</v>
      </c>
      <c r="AN198" s="23" t="str">
        <f t="shared" si="433"/>
        <v>Q4</v>
      </c>
      <c r="AO198" s="23" t="str">
        <f t="shared" si="433"/>
        <v>Q1</v>
      </c>
      <c r="AP198" s="23" t="str">
        <f t="shared" si="433"/>
        <v>Q2</v>
      </c>
      <c r="AQ198" s="23" t="str">
        <f t="shared" si="433"/>
        <v>Q3</v>
      </c>
      <c r="AR198" s="23" t="str">
        <f t="shared" si="433"/>
        <v>Q4</v>
      </c>
      <c r="AS198" s="23" t="str">
        <f t="shared" si="433"/>
        <v>Q1</v>
      </c>
      <c r="AT198" s="23" t="str">
        <f t="shared" si="433"/>
        <v>Q2</v>
      </c>
      <c r="AU198" s="23" t="str">
        <f t="shared" si="433"/>
        <v>Q3</v>
      </c>
      <c r="AV198" s="23" t="str">
        <f t="shared" si="433"/>
        <v>Q4</v>
      </c>
      <c r="AW198" s="23" t="str">
        <f t="shared" si="433"/>
        <v>Q1</v>
      </c>
      <c r="AX198" s="23" t="str">
        <f t="shared" si="433"/>
        <v>Q2</v>
      </c>
      <c r="AY198" s="23" t="str">
        <f t="shared" si="433"/>
        <v>Q3</v>
      </c>
      <c r="AZ198" s="23" t="str">
        <f t="shared" si="433"/>
        <v>Q4</v>
      </c>
      <c r="BA198" s="23" t="str">
        <f t="shared" si="433"/>
        <v>Q1</v>
      </c>
      <c r="BB198" s="23" t="str">
        <f t="shared" si="433"/>
        <v>Q2</v>
      </c>
      <c r="BC198" s="23" t="str">
        <f t="shared" si="433"/>
        <v>Q3</v>
      </c>
      <c r="BD198" s="23" t="str">
        <f t="shared" si="433"/>
        <v>Q4</v>
      </c>
      <c r="BE198" s="23" t="str">
        <f t="shared" si="431"/>
        <v>Q1</v>
      </c>
      <c r="BF198" s="23" t="str">
        <f t="shared" si="431"/>
        <v>Q2</v>
      </c>
      <c r="BG198" s="23" t="str">
        <f t="shared" si="431"/>
        <v>Q3</v>
      </c>
    </row>
    <row r="199" spans="1:59" s="5" customFormat="1" ht="13.5" customHeight="1">
      <c r="B199" s="5" t="s">
        <v>543</v>
      </c>
      <c r="C199" s="58">
        <f t="shared" ref="C199:L199" si="434">C14</f>
        <v>12043.599999999999</v>
      </c>
      <c r="D199" s="58">
        <f t="shared" si="434"/>
        <v>12769.4</v>
      </c>
      <c r="E199" s="58">
        <f t="shared" si="434"/>
        <v>14285.6</v>
      </c>
      <c r="F199" s="58">
        <f t="shared" si="434"/>
        <v>17632.099999999999</v>
      </c>
      <c r="G199" s="58">
        <f t="shared" si="434"/>
        <v>21292.474999999999</v>
      </c>
      <c r="H199" s="58">
        <f t="shared" si="434"/>
        <v>25137.200000000001</v>
      </c>
      <c r="I199" s="58">
        <f t="shared" si="434"/>
        <v>29103.81</v>
      </c>
      <c r="J199" s="58">
        <f t="shared" si="434"/>
        <v>35920.5</v>
      </c>
      <c r="K199" s="58">
        <f t="shared" si="434"/>
        <v>53878.499999999993</v>
      </c>
      <c r="L199" s="58">
        <f t="shared" si="434"/>
        <v>80963.822000000015</v>
      </c>
      <c r="M199" s="58"/>
      <c r="N199" s="58"/>
      <c r="O199" s="58"/>
      <c r="P199" s="153"/>
      <c r="Q199" s="58"/>
      <c r="R199" s="58"/>
      <c r="S199" s="58"/>
      <c r="T199" s="58"/>
      <c r="U199" s="58"/>
      <c r="V199" s="58"/>
      <c r="W199" s="58"/>
      <c r="X199" s="58"/>
      <c r="Y199" s="58"/>
      <c r="Z199" s="58"/>
      <c r="AA199" s="58"/>
      <c r="AB199" s="58"/>
      <c r="AC199" s="58">
        <f t="shared" ref="AC199:BD199" si="435">AC14</f>
        <v>3225.4</v>
      </c>
      <c r="AD199" s="58">
        <f t="shared" si="435"/>
        <v>3358.1</v>
      </c>
      <c r="AE199" s="58">
        <f t="shared" si="435"/>
        <v>3658.5000000000005</v>
      </c>
      <c r="AF199" s="58">
        <f t="shared" si="435"/>
        <v>4043.6000000000004</v>
      </c>
      <c r="AG199" s="58">
        <f t="shared" si="435"/>
        <v>4052.6</v>
      </c>
      <c r="AH199" s="58">
        <f t="shared" si="435"/>
        <v>4316</v>
      </c>
      <c r="AI199" s="58">
        <f t="shared" si="435"/>
        <v>4597.3999999999996</v>
      </c>
      <c r="AJ199" s="58">
        <f t="shared" si="435"/>
        <v>4666.1000000000004</v>
      </c>
      <c r="AK199" s="58">
        <f t="shared" si="435"/>
        <v>4761.5999999999995</v>
      </c>
      <c r="AL199" s="58">
        <f t="shared" si="435"/>
        <v>5105.2</v>
      </c>
      <c r="AM199" s="58">
        <f t="shared" si="435"/>
        <v>5799.24</v>
      </c>
      <c r="AN199" s="58">
        <f t="shared" si="435"/>
        <v>5626.4349999999986</v>
      </c>
      <c r="AO199" s="58">
        <f t="shared" si="435"/>
        <v>5675.4000000000005</v>
      </c>
      <c r="AP199" s="58">
        <f t="shared" si="435"/>
        <v>6191.1</v>
      </c>
      <c r="AQ199" s="58">
        <f t="shared" si="435"/>
        <v>6586.9</v>
      </c>
      <c r="AR199" s="58">
        <f t="shared" si="435"/>
        <v>6683.8</v>
      </c>
      <c r="AS199" s="58">
        <f t="shared" si="435"/>
        <v>6658.3</v>
      </c>
      <c r="AT199" s="58">
        <f t="shared" si="435"/>
        <v>6923.9</v>
      </c>
      <c r="AU199" s="58">
        <f t="shared" si="435"/>
        <v>7649.4709999999995</v>
      </c>
      <c r="AV199" s="58">
        <f t="shared" si="435"/>
        <v>7872.1390000000019</v>
      </c>
      <c r="AW199" s="58">
        <f t="shared" si="435"/>
        <v>7826.5000000000009</v>
      </c>
      <c r="AX199" s="58">
        <f t="shared" si="435"/>
        <v>8548.2999999999993</v>
      </c>
      <c r="AY199" s="58">
        <f t="shared" si="435"/>
        <v>9354.2330000000002</v>
      </c>
      <c r="AZ199" s="58">
        <f t="shared" si="435"/>
        <v>10191.467000000002</v>
      </c>
      <c r="BA199" s="58">
        <f t="shared" si="435"/>
        <v>10695.016</v>
      </c>
      <c r="BB199" s="58">
        <f t="shared" si="435"/>
        <v>12477</v>
      </c>
      <c r="BC199" s="58">
        <f t="shared" si="435"/>
        <v>14662.487000000001</v>
      </c>
      <c r="BD199" s="58">
        <f t="shared" si="435"/>
        <v>16043.996999999998</v>
      </c>
      <c r="BE199" s="58">
        <f t="shared" ref="BE199:BG200" si="436">BE14</f>
        <v>17275.858</v>
      </c>
      <c r="BF199" s="58">
        <f t="shared" si="436"/>
        <v>21650.980999999996</v>
      </c>
      <c r="BG199" s="58">
        <f t="shared" si="436"/>
        <v>25992.986000000001</v>
      </c>
    </row>
    <row r="200" spans="1:59" s="29" customFormat="1" ht="13.5" customHeight="1">
      <c r="B200" s="30" t="s">
        <v>424</v>
      </c>
      <c r="C200" s="79">
        <f t="shared" ref="C200:K200" si="437">C15</f>
        <v>5.5724541764917257E-2</v>
      </c>
      <c r="D200" s="79">
        <f t="shared" si="437"/>
        <v>6.0264372778903397E-2</v>
      </c>
      <c r="E200" s="79">
        <f t="shared" si="437"/>
        <v>0.1187369805942331</v>
      </c>
      <c r="F200" s="79">
        <f t="shared" si="437"/>
        <v>0.2342568740549924</v>
      </c>
      <c r="G200" s="79">
        <f t="shared" si="437"/>
        <v>0.20759722324623842</v>
      </c>
      <c r="H200" s="79">
        <f t="shared" si="437"/>
        <v>0.1805673131000507</v>
      </c>
      <c r="I200" s="79">
        <f t="shared" si="437"/>
        <v>0.1577984023678054</v>
      </c>
      <c r="J200" s="79">
        <f t="shared" si="437"/>
        <v>0.23421984956608766</v>
      </c>
      <c r="K200" s="79">
        <f t="shared" si="437"/>
        <v>0.49993736167369596</v>
      </c>
      <c r="L200" s="79"/>
      <c r="M200" s="189"/>
      <c r="N200" s="79"/>
      <c r="O200" s="79"/>
      <c r="P200" s="118"/>
      <c r="Q200" s="188"/>
      <c r="R200" s="188"/>
      <c r="S200" s="188"/>
      <c r="T200" s="188"/>
      <c r="U200" s="188"/>
      <c r="V200" s="188"/>
      <c r="W200" s="188"/>
      <c r="X200" s="188"/>
      <c r="Y200" s="188"/>
      <c r="Z200" s="188"/>
      <c r="AA200" s="188"/>
      <c r="AB200" s="188"/>
      <c r="AC200" s="79">
        <f t="shared" ref="AC200:BD200" si="438">AC15</f>
        <v>8.3003156268887324E-2</v>
      </c>
      <c r="AD200" s="79">
        <f t="shared" si="438"/>
        <v>8.5744770280319571E-2</v>
      </c>
      <c r="AE200" s="79">
        <f t="shared" si="438"/>
        <v>8.7609251441821856E-2</v>
      </c>
      <c r="AF200" s="79">
        <f t="shared" si="438"/>
        <v>0.21265557055030748</v>
      </c>
      <c r="AG200" s="79">
        <f t="shared" si="438"/>
        <v>0.25646431450362739</v>
      </c>
      <c r="AH200" s="79">
        <f t="shared" si="438"/>
        <v>0.28525058813019277</v>
      </c>
      <c r="AI200" s="79">
        <f t="shared" si="438"/>
        <v>0.25663523301899671</v>
      </c>
      <c r="AJ200" s="79">
        <f t="shared" si="438"/>
        <v>0.15394697794044898</v>
      </c>
      <c r="AK200" s="79">
        <f t="shared" si="438"/>
        <v>0.1749494151902482</v>
      </c>
      <c r="AL200" s="79">
        <f t="shared" si="438"/>
        <v>0.18285449490268757</v>
      </c>
      <c r="AM200" s="79">
        <f t="shared" si="438"/>
        <v>0.26141732283464569</v>
      </c>
      <c r="AN200" s="79">
        <f t="shared" si="438"/>
        <v>0.20581106277190764</v>
      </c>
      <c r="AO200" s="79">
        <f t="shared" si="438"/>
        <v>0.19191028225806472</v>
      </c>
      <c r="AP200" s="79">
        <f t="shared" si="438"/>
        <v>0.21270469325393737</v>
      </c>
      <c r="AQ200" s="79">
        <f t="shared" si="438"/>
        <v>0.1358212455425194</v>
      </c>
      <c r="AR200" s="79">
        <f t="shared" si="438"/>
        <v>0.18792805746445151</v>
      </c>
      <c r="AS200" s="79">
        <f t="shared" si="438"/>
        <v>0.17318603094055041</v>
      </c>
      <c r="AT200" s="79">
        <f t="shared" si="438"/>
        <v>0.11836345722084918</v>
      </c>
      <c r="AU200" s="79">
        <f t="shared" si="438"/>
        <v>0.16131579346885494</v>
      </c>
      <c r="AV200" s="79">
        <f t="shared" si="438"/>
        <v>0.1777939196265601</v>
      </c>
      <c r="AW200" s="79">
        <f t="shared" si="438"/>
        <v>0.17545018998843553</v>
      </c>
      <c r="AX200" s="79">
        <f t="shared" si="438"/>
        <v>0.23460766331113958</v>
      </c>
      <c r="AY200" s="79">
        <f t="shared" si="438"/>
        <v>0.22286011673225525</v>
      </c>
      <c r="AZ200" s="79">
        <f t="shared" si="438"/>
        <v>0.29462487895602441</v>
      </c>
      <c r="BA200" s="79">
        <f t="shared" si="438"/>
        <v>0.36651325624480902</v>
      </c>
      <c r="BB200" s="79">
        <f t="shared" si="438"/>
        <v>0.45958845618427069</v>
      </c>
      <c r="BC200" s="79">
        <f t="shared" si="438"/>
        <v>0.56747079103118359</v>
      </c>
      <c r="BD200" s="79">
        <f t="shared" si="438"/>
        <v>0.57425785708769839</v>
      </c>
      <c r="BE200" s="79">
        <f t="shared" si="436"/>
        <v>0.61531857455846728</v>
      </c>
      <c r="BF200" s="79">
        <f t="shared" si="436"/>
        <v>0.73527137933798148</v>
      </c>
      <c r="BG200" s="79">
        <f t="shared" si="436"/>
        <v>0.77275424012311134</v>
      </c>
    </row>
    <row r="201" spans="1:59" s="5" customFormat="1" ht="13.5" customHeight="1" outlineLevel="1" thickBot="1">
      <c r="B201" s="25" t="s">
        <v>453</v>
      </c>
      <c r="C201" s="67">
        <f t="shared" ref="C201:L201" si="439">C65</f>
        <v>3685.4999999999991</v>
      </c>
      <c r="D201" s="67">
        <f t="shared" si="439"/>
        <v>3914.5999999999995</v>
      </c>
      <c r="E201" s="67">
        <f t="shared" si="439"/>
        <v>4385.1999999999989</v>
      </c>
      <c r="F201" s="67">
        <f t="shared" si="439"/>
        <v>5529.3999999999978</v>
      </c>
      <c r="G201" s="67">
        <f t="shared" si="439"/>
        <v>8647.8609999999971</v>
      </c>
      <c r="H201" s="67">
        <f t="shared" si="439"/>
        <v>10079.800000000001</v>
      </c>
      <c r="I201" s="67">
        <f t="shared" si="439"/>
        <v>11747.119999999999</v>
      </c>
      <c r="J201" s="67">
        <f t="shared" si="439"/>
        <v>21423.390000000003</v>
      </c>
      <c r="K201" s="67">
        <f t="shared" si="439"/>
        <v>28794.762999999992</v>
      </c>
      <c r="L201" s="67">
        <f t="shared" si="439"/>
        <v>50186.70400000002</v>
      </c>
      <c r="M201" s="8"/>
      <c r="N201" s="67"/>
      <c r="O201" s="67"/>
      <c r="P201" s="120"/>
      <c r="Q201" s="67"/>
      <c r="R201" s="67"/>
      <c r="S201" s="67"/>
      <c r="T201" s="67"/>
      <c r="U201" s="67"/>
      <c r="V201" s="67"/>
      <c r="W201" s="67"/>
      <c r="X201" s="67"/>
      <c r="Y201" s="67"/>
      <c r="Z201" s="67"/>
      <c r="AA201" s="67"/>
      <c r="AB201" s="67"/>
      <c r="AC201" s="67">
        <f t="shared" ref="AC201:BD201" si="440">AC65</f>
        <v>990.41526011189205</v>
      </c>
      <c r="AD201" s="67">
        <f t="shared" si="440"/>
        <v>1043.0840591666311</v>
      </c>
      <c r="AE201" s="67">
        <f t="shared" si="440"/>
        <v>1025.0000000000005</v>
      </c>
      <c r="AF201" s="67">
        <f t="shared" si="440"/>
        <v>1326.7000000000003</v>
      </c>
      <c r="AG201" s="67">
        <f t="shared" si="440"/>
        <v>1403.6</v>
      </c>
      <c r="AH201" s="67">
        <f t="shared" si="440"/>
        <v>1420.2</v>
      </c>
      <c r="AI201" s="67">
        <f t="shared" si="440"/>
        <v>1592.3999999999996</v>
      </c>
      <c r="AJ201" s="67">
        <f t="shared" si="440"/>
        <v>1112.9999999999991</v>
      </c>
      <c r="AK201" s="67">
        <f t="shared" si="440"/>
        <v>1988.4999999999991</v>
      </c>
      <c r="AL201" s="67">
        <f t="shared" si="440"/>
        <v>2103.8999999999996</v>
      </c>
      <c r="AM201" s="67">
        <f t="shared" si="440"/>
        <v>2269.8190000000004</v>
      </c>
      <c r="AN201" s="67">
        <f t="shared" si="440"/>
        <v>2285.6419999999989</v>
      </c>
      <c r="AO201" s="67">
        <f t="shared" si="440"/>
        <v>2229.3000000000002</v>
      </c>
      <c r="AP201" s="67">
        <f t="shared" si="440"/>
        <v>2479.0000000000005</v>
      </c>
      <c r="AQ201" s="67">
        <f t="shared" si="440"/>
        <v>2745.8999999999992</v>
      </c>
      <c r="AR201" s="67">
        <f t="shared" si="440"/>
        <v>2625.6000000000004</v>
      </c>
      <c r="AS201" s="67">
        <f t="shared" si="440"/>
        <v>2715.1000000000004</v>
      </c>
      <c r="AT201" s="67">
        <f t="shared" si="440"/>
        <v>2773.0999999999995</v>
      </c>
      <c r="AU201" s="67">
        <f t="shared" si="440"/>
        <v>3382.7109999999993</v>
      </c>
      <c r="AV201" s="67">
        <f t="shared" si="440"/>
        <v>2876.2090000000021</v>
      </c>
      <c r="AW201" s="67">
        <f t="shared" si="440"/>
        <v>3294.4000000000015</v>
      </c>
      <c r="AX201" s="67">
        <f t="shared" si="440"/>
        <v>3173.4999999999995</v>
      </c>
      <c r="AY201" s="67">
        <f t="shared" si="440"/>
        <v>4009.655999999999</v>
      </c>
      <c r="AZ201" s="67">
        <f t="shared" si="440"/>
        <v>10945.834000000004</v>
      </c>
      <c r="BA201" s="67">
        <f t="shared" si="440"/>
        <v>5814.3159999999989</v>
      </c>
      <c r="BB201" s="67">
        <f t="shared" si="440"/>
        <v>6893.2000000000007</v>
      </c>
      <c r="BC201" s="67">
        <f t="shared" si="440"/>
        <v>6024.6630000000005</v>
      </c>
      <c r="BD201" s="67">
        <f t="shared" si="440"/>
        <v>10062.584000000003</v>
      </c>
      <c r="BE201" s="67">
        <f t="shared" ref="BE201:BG202" si="441">BE65</f>
        <v>13826.785</v>
      </c>
      <c r="BF201" s="67">
        <f t="shared" si="441"/>
        <v>15013.090999999997</v>
      </c>
      <c r="BG201" s="67">
        <f t="shared" si="441"/>
        <v>11284.244000000001</v>
      </c>
    </row>
    <row r="202" spans="1:59" s="29" customFormat="1" ht="13.5" customHeight="1" outlineLevel="1" thickTop="1">
      <c r="B202" s="30" t="s">
        <v>456</v>
      </c>
      <c r="C202" s="79">
        <f t="shared" ref="C202:K202" si="442">C66</f>
        <v>5.7350240991507651E-2</v>
      </c>
      <c r="D202" s="79">
        <f t="shared" si="442"/>
        <v>6.2162528829195596E-2</v>
      </c>
      <c r="E202" s="79">
        <f t="shared" si="442"/>
        <v>0.12021662494252272</v>
      </c>
      <c r="F202" s="79">
        <f t="shared" si="442"/>
        <v>0.26092310498950999</v>
      </c>
      <c r="G202" s="79">
        <f t="shared" si="442"/>
        <v>0.56397818931529642</v>
      </c>
      <c r="H202" s="79">
        <f t="shared" si="442"/>
        <v>0.16558302683172221</v>
      </c>
      <c r="I202" s="79">
        <f t="shared" si="442"/>
        <v>0.16541201214309775</v>
      </c>
      <c r="J202" s="79">
        <f t="shared" si="442"/>
        <v>0.82371423804302712</v>
      </c>
      <c r="K202" s="79">
        <f t="shared" si="442"/>
        <v>0.34408060535704132</v>
      </c>
      <c r="L202" s="79"/>
      <c r="M202" s="189"/>
      <c r="N202" s="55"/>
      <c r="O202" s="55"/>
      <c r="P202" s="121"/>
      <c r="Q202" s="190"/>
      <c r="R202" s="190"/>
      <c r="S202" s="190"/>
      <c r="T202" s="190"/>
      <c r="U202" s="190"/>
      <c r="V202" s="190"/>
      <c r="W202" s="190"/>
      <c r="X202" s="190"/>
      <c r="Y202" s="190"/>
      <c r="Z202" s="190"/>
      <c r="AA202" s="190"/>
      <c r="AB202" s="190"/>
      <c r="AC202" s="79"/>
      <c r="AD202" s="79"/>
      <c r="AE202" s="79"/>
      <c r="AF202" s="79"/>
      <c r="AG202" s="79">
        <f>AG66</f>
        <v>0.41718333362657223</v>
      </c>
      <c r="AH202" s="79">
        <f>AH66</f>
        <v>0.36153935775287827</v>
      </c>
      <c r="AI202" s="79">
        <f>AI66</f>
        <v>0.55356097560975503</v>
      </c>
      <c r="AJ202" s="79"/>
      <c r="AK202" s="79">
        <f t="shared" ref="AK202:BD202" si="443">AK66</f>
        <v>0.41671416357936675</v>
      </c>
      <c r="AL202" s="79">
        <f t="shared" si="443"/>
        <v>0.48141106886354001</v>
      </c>
      <c r="AM202" s="79">
        <f t="shared" si="443"/>
        <v>0.42540756091434373</v>
      </c>
      <c r="AN202" s="79">
        <f t="shared" si="443"/>
        <v>1.0535867026055712</v>
      </c>
      <c r="AO202" s="79">
        <f t="shared" si="443"/>
        <v>0.12109630374654312</v>
      </c>
      <c r="AP202" s="79">
        <f t="shared" si="443"/>
        <v>0.17828794144208415</v>
      </c>
      <c r="AQ202" s="79">
        <f t="shared" si="443"/>
        <v>0.20974403685932619</v>
      </c>
      <c r="AR202" s="79">
        <f t="shared" si="443"/>
        <v>0.14873632878639853</v>
      </c>
      <c r="AS202" s="79">
        <f t="shared" si="443"/>
        <v>0.21791593773830353</v>
      </c>
      <c r="AT202" s="79">
        <f t="shared" si="443"/>
        <v>0.11863654699475545</v>
      </c>
      <c r="AU202" s="79">
        <f t="shared" si="443"/>
        <v>0.23191339815725276</v>
      </c>
      <c r="AV202" s="79">
        <f t="shared" si="443"/>
        <v>9.5448278488726945E-2</v>
      </c>
      <c r="AW202" s="79">
        <f t="shared" si="443"/>
        <v>0.21336230709734494</v>
      </c>
      <c r="AX202" s="79">
        <f t="shared" si="443"/>
        <v>0.1443871479571599</v>
      </c>
      <c r="AY202" s="79">
        <f t="shared" si="443"/>
        <v>0.1853380321286684</v>
      </c>
      <c r="AZ202" s="79">
        <f t="shared" si="443"/>
        <v>2.8056462517153644</v>
      </c>
      <c r="BA202" s="79">
        <f t="shared" si="443"/>
        <v>0.76490893637688084</v>
      </c>
      <c r="BB202" s="79">
        <f t="shared" si="443"/>
        <v>1.1721128092011979</v>
      </c>
      <c r="BC202" s="79">
        <f t="shared" si="443"/>
        <v>0.50253862176705488</v>
      </c>
      <c r="BD202" s="79">
        <f t="shared" si="443"/>
        <v>-8.0692800566864231E-2</v>
      </c>
      <c r="BE202" s="79">
        <f t="shared" si="441"/>
        <v>1.3780587432812395</v>
      </c>
      <c r="BF202" s="79">
        <f t="shared" si="441"/>
        <v>1.1779566819474256</v>
      </c>
      <c r="BG202" s="79">
        <f t="shared" si="441"/>
        <v>0.87300833258225397</v>
      </c>
    </row>
    <row r="203" spans="1:59" s="29" customFormat="1" ht="13.5" customHeight="1" outlineLevel="1">
      <c r="B203" s="30" t="s">
        <v>457</v>
      </c>
      <c r="C203" s="79">
        <f t="shared" ref="C203:L203" si="444">C201/C199</f>
        <v>0.3060131522136238</v>
      </c>
      <c r="D203" s="79">
        <f t="shared" si="444"/>
        <v>0.30656099738437198</v>
      </c>
      <c r="E203" s="79">
        <f t="shared" si="444"/>
        <v>0.30696645573164577</v>
      </c>
      <c r="F203" s="79">
        <f t="shared" si="444"/>
        <v>0.31359849365645603</v>
      </c>
      <c r="G203" s="79">
        <f t="shared" si="444"/>
        <v>0.40614634982546638</v>
      </c>
      <c r="H203" s="79">
        <f>H201/H199</f>
        <v>0.40099135941950581</v>
      </c>
      <c r="I203" s="79">
        <f>I201/I199</f>
        <v>0.40362825348296316</v>
      </c>
      <c r="J203" s="79">
        <f>J201/J199</f>
        <v>0.59641124149162739</v>
      </c>
      <c r="K203" s="79">
        <f>K201/K199</f>
        <v>0.53443883924014213</v>
      </c>
      <c r="L203" s="79">
        <f t="shared" si="444"/>
        <v>0.61986579635531547</v>
      </c>
      <c r="M203" s="189"/>
      <c r="N203" s="55"/>
      <c r="O203" s="55"/>
      <c r="P203" s="121"/>
      <c r="Q203" s="190"/>
      <c r="R203" s="190"/>
      <c r="S203" s="190"/>
      <c r="T203" s="190"/>
      <c r="U203" s="190"/>
      <c r="V203" s="190"/>
      <c r="W203" s="190"/>
      <c r="X203" s="190"/>
      <c r="Y203" s="190"/>
      <c r="Z203" s="190"/>
      <c r="AA203" s="190"/>
      <c r="AB203" s="190"/>
      <c r="AC203" s="79">
        <f t="shared" ref="AC203:AI203" si="445">AC201/AC199</f>
        <v>0.30706742112974889</v>
      </c>
      <c r="AD203" s="79">
        <f t="shared" si="445"/>
        <v>0.31061733098080196</v>
      </c>
      <c r="AE203" s="79">
        <f t="shared" si="445"/>
        <v>0.28016946836135037</v>
      </c>
      <c r="AF203" s="79">
        <f t="shared" si="445"/>
        <v>0.32809872390938771</v>
      </c>
      <c r="AG203" s="79">
        <f t="shared" si="445"/>
        <v>0.34634555593939692</v>
      </c>
      <c r="AH203" s="79">
        <f t="shared" si="445"/>
        <v>0.32905468025949952</v>
      </c>
      <c r="AI203" s="79">
        <f t="shared" si="445"/>
        <v>0.3463696872145125</v>
      </c>
      <c r="AJ203" s="79">
        <f t="shared" ref="AJ203:AO203" si="446">AJ201/AJ199</f>
        <v>0.23852896423137074</v>
      </c>
      <c r="AK203" s="79">
        <f t="shared" si="446"/>
        <v>0.41761172715053752</v>
      </c>
      <c r="AL203" s="79">
        <f t="shared" si="446"/>
        <v>0.41210922196975625</v>
      </c>
      <c r="AM203" s="79">
        <f t="shared" si="446"/>
        <v>0.39139939026493137</v>
      </c>
      <c r="AN203" s="79">
        <f t="shared" si="446"/>
        <v>0.40623272107471242</v>
      </c>
      <c r="AO203" s="79">
        <f t="shared" si="446"/>
        <v>0.39280050745321915</v>
      </c>
      <c r="AP203" s="79">
        <f t="shared" ref="AP203:AU203" si="447">AP201/AP199</f>
        <v>0.40041349679378468</v>
      </c>
      <c r="AQ203" s="79">
        <f t="shared" si="447"/>
        <v>0.41687288405775091</v>
      </c>
      <c r="AR203" s="79">
        <f t="shared" si="447"/>
        <v>0.39283042580567945</v>
      </c>
      <c r="AS203" s="79">
        <f t="shared" si="447"/>
        <v>0.40777675983359118</v>
      </c>
      <c r="AT203" s="79">
        <f t="shared" si="447"/>
        <v>0.40051127254870805</v>
      </c>
      <c r="AU203" s="79">
        <f t="shared" si="447"/>
        <v>0.44221502375785193</v>
      </c>
      <c r="AV203" s="79">
        <f t="shared" ref="AV203:BA203" si="448">AV201/AV199</f>
        <v>0.36536562680105134</v>
      </c>
      <c r="AW203" s="79">
        <f t="shared" si="448"/>
        <v>0.42092889541940853</v>
      </c>
      <c r="AX203" s="79">
        <f t="shared" si="448"/>
        <v>0.37124340512148613</v>
      </c>
      <c r="AY203" s="79">
        <f t="shared" si="448"/>
        <v>0.42864615409943274</v>
      </c>
      <c r="AZ203" s="79">
        <f t="shared" si="448"/>
        <v>1.0740194713871911</v>
      </c>
      <c r="BA203" s="79">
        <f t="shared" si="448"/>
        <v>0.54364724653053342</v>
      </c>
      <c r="BB203" s="79">
        <f t="shared" ref="BB203:BG203" si="449">BB201/BB199</f>
        <v>0.55247254949106361</v>
      </c>
      <c r="BC203" s="79">
        <f t="shared" si="449"/>
        <v>0.41088957146219462</v>
      </c>
      <c r="BD203" s="79">
        <f t="shared" si="449"/>
        <v>0.62718685374972361</v>
      </c>
      <c r="BE203" s="79">
        <f t="shared" si="449"/>
        <v>0.80035301285759586</v>
      </c>
      <c r="BF203" s="79">
        <f t="shared" si="449"/>
        <v>0.69341389196175451</v>
      </c>
      <c r="BG203" s="79">
        <f t="shared" si="449"/>
        <v>0.43412649858696495</v>
      </c>
    </row>
    <row r="204" spans="1:59" ht="13.5" customHeight="1">
      <c r="C204" s="56"/>
      <c r="N204" s="56"/>
      <c r="O204" s="56"/>
      <c r="P204" s="122"/>
      <c r="Q204" s="56"/>
      <c r="R204" s="56"/>
      <c r="S204" s="56"/>
      <c r="T204" s="56"/>
      <c r="U204" s="56"/>
      <c r="V204" s="56"/>
      <c r="W204" s="56"/>
      <c r="X204" s="56"/>
      <c r="Y204" s="56"/>
      <c r="Z204" s="56"/>
      <c r="AA204" s="56"/>
      <c r="AB204" s="56"/>
    </row>
    <row r="205" spans="1:59" s="5" customFormat="1" ht="13.5" customHeight="1" thickBot="1">
      <c r="B205" s="25" t="s">
        <v>458</v>
      </c>
      <c r="C205" s="67">
        <f t="shared" ref="C205:L205" si="450">C69</f>
        <v>3761.7999999999993</v>
      </c>
      <c r="D205" s="67">
        <f t="shared" si="450"/>
        <v>4140.4999999999991</v>
      </c>
      <c r="E205" s="67">
        <f t="shared" si="450"/>
        <v>4619.4999999999991</v>
      </c>
      <c r="F205" s="67">
        <f t="shared" si="450"/>
        <v>6228.2999999999975</v>
      </c>
      <c r="G205" s="67">
        <f t="shared" si="450"/>
        <v>8788.007999999998</v>
      </c>
      <c r="H205" s="67">
        <f t="shared" si="450"/>
        <v>10426.400000000001</v>
      </c>
      <c r="I205" s="67">
        <f t="shared" si="450"/>
        <v>12270.369999999999</v>
      </c>
      <c r="J205" s="67">
        <f t="shared" si="450"/>
        <v>15013.771000000004</v>
      </c>
      <c r="K205" s="67">
        <f t="shared" si="450"/>
        <v>21993.895999999993</v>
      </c>
      <c r="L205" s="67">
        <f t="shared" si="450"/>
        <v>40245.664000000019</v>
      </c>
      <c r="M205" s="8"/>
      <c r="N205" s="67"/>
      <c r="O205" s="71"/>
      <c r="P205" s="144"/>
      <c r="Q205" s="71"/>
      <c r="R205" s="71"/>
      <c r="S205" s="71"/>
      <c r="T205" s="71"/>
      <c r="U205" s="71"/>
      <c r="V205" s="71"/>
      <c r="W205" s="71"/>
      <c r="X205" s="71"/>
      <c r="Y205" s="71"/>
      <c r="Z205" s="71"/>
      <c r="AA205" s="71"/>
      <c r="AB205" s="71"/>
      <c r="AC205" s="67">
        <f t="shared" ref="AC205:BD205" si="451">AC69</f>
        <v>1001.5152601118921</v>
      </c>
      <c r="AD205" s="67">
        <f t="shared" si="451"/>
        <v>1029.2840591666311</v>
      </c>
      <c r="AE205" s="67">
        <f t="shared" si="451"/>
        <v>1217.6000000000004</v>
      </c>
      <c r="AF205" s="67">
        <f t="shared" si="451"/>
        <v>1371.1000000000004</v>
      </c>
      <c r="AG205" s="67">
        <f t="shared" si="451"/>
        <v>1400</v>
      </c>
      <c r="AH205" s="67">
        <f t="shared" si="451"/>
        <v>1457</v>
      </c>
      <c r="AI205" s="67">
        <f t="shared" si="451"/>
        <v>1632.2999999999997</v>
      </c>
      <c r="AJ205" s="67">
        <f t="shared" si="451"/>
        <v>1738.8999999999992</v>
      </c>
      <c r="AK205" s="67">
        <f t="shared" si="451"/>
        <v>2021.8999999999992</v>
      </c>
      <c r="AL205" s="67">
        <f t="shared" si="451"/>
        <v>2134.0999999999995</v>
      </c>
      <c r="AM205" s="67">
        <f t="shared" si="451"/>
        <v>2392.7730000000006</v>
      </c>
      <c r="AN205" s="67">
        <f t="shared" si="451"/>
        <v>2239.2349999999988</v>
      </c>
      <c r="AO205" s="67">
        <f t="shared" si="451"/>
        <v>2281.1000000000004</v>
      </c>
      <c r="AP205" s="67">
        <f t="shared" si="451"/>
        <v>2552.8000000000006</v>
      </c>
      <c r="AQ205" s="67">
        <f t="shared" si="451"/>
        <v>2838.6999999999994</v>
      </c>
      <c r="AR205" s="67">
        <f t="shared" si="451"/>
        <v>2753.8</v>
      </c>
      <c r="AS205" s="67">
        <f t="shared" si="451"/>
        <v>2809.1000000000004</v>
      </c>
      <c r="AT205" s="67">
        <f t="shared" si="451"/>
        <v>2824.1999999999994</v>
      </c>
      <c r="AU205" s="67">
        <f t="shared" si="451"/>
        <v>3393.9269999999992</v>
      </c>
      <c r="AV205" s="67">
        <f t="shared" si="451"/>
        <v>3243.1430000000018</v>
      </c>
      <c r="AW205" s="67">
        <f t="shared" si="451"/>
        <v>3306.5000000000014</v>
      </c>
      <c r="AX205" s="67">
        <f t="shared" si="451"/>
        <v>3465.9999999999995</v>
      </c>
      <c r="AY205" s="67">
        <f t="shared" si="451"/>
        <v>4029.8329999999992</v>
      </c>
      <c r="AZ205" s="67">
        <f t="shared" si="451"/>
        <v>4211.4380000000046</v>
      </c>
      <c r="BA205" s="67">
        <f t="shared" si="451"/>
        <v>4320.1799999999985</v>
      </c>
      <c r="BB205" s="67">
        <f t="shared" si="451"/>
        <v>5030.1000000000004</v>
      </c>
      <c r="BC205" s="67">
        <f t="shared" si="451"/>
        <v>5990.2710000000006</v>
      </c>
      <c r="BD205" s="67">
        <f t="shared" si="451"/>
        <v>6653.345000000003</v>
      </c>
      <c r="BE205" s="67">
        <f t="shared" ref="BE205:BG206" si="452">BE69</f>
        <v>12756.201000000001</v>
      </c>
      <c r="BF205" s="67">
        <f t="shared" si="452"/>
        <v>9522.5099999999966</v>
      </c>
      <c r="BG205" s="67">
        <f t="shared" si="452"/>
        <v>11313.608</v>
      </c>
    </row>
    <row r="206" spans="1:59" s="29" customFormat="1" ht="13.5" customHeight="1" thickTop="1">
      <c r="B206" s="30" t="s">
        <v>456</v>
      </c>
      <c r="C206" s="79">
        <f t="shared" ref="C206:K206" si="453">C70</f>
        <v>6.1306249118352252E-2</v>
      </c>
      <c r="D206" s="79">
        <f t="shared" si="453"/>
        <v>0.10066989207294386</v>
      </c>
      <c r="E206" s="79">
        <f t="shared" si="453"/>
        <v>0.1156865112909069</v>
      </c>
      <c r="F206" s="79">
        <f t="shared" si="453"/>
        <v>0.34826279900422086</v>
      </c>
      <c r="G206" s="79">
        <f t="shared" si="453"/>
        <v>0.41098020326573881</v>
      </c>
      <c r="H206" s="79">
        <f t="shared" si="453"/>
        <v>0.18643496910790303</v>
      </c>
      <c r="I206" s="79">
        <f t="shared" si="453"/>
        <v>0.17685586587892255</v>
      </c>
      <c r="J206" s="79">
        <f t="shared" si="453"/>
        <v>0.22357932156895077</v>
      </c>
      <c r="K206" s="79">
        <f t="shared" si="453"/>
        <v>0.46491484384569248</v>
      </c>
      <c r="L206" s="79"/>
      <c r="M206" s="189"/>
      <c r="N206" s="79"/>
      <c r="O206" s="79"/>
      <c r="P206" s="123"/>
      <c r="Q206" s="188"/>
      <c r="R206" s="188"/>
      <c r="S206" s="188"/>
      <c r="T206" s="188"/>
      <c r="U206" s="188"/>
      <c r="V206" s="188"/>
      <c r="W206" s="188"/>
      <c r="X206" s="188"/>
      <c r="Y206" s="188"/>
      <c r="Z206" s="188"/>
      <c r="AA206" s="188"/>
      <c r="AB206" s="188"/>
      <c r="AC206" s="79">
        <f t="shared" ref="AC206:BD206" si="454">AC70</f>
        <v>8.0616379059011756E-2</v>
      </c>
      <c r="AD206" s="79">
        <f t="shared" si="454"/>
        <v>3.4664313597337681E-2</v>
      </c>
      <c r="AE206" s="79">
        <f t="shared" si="454"/>
        <v>4.9112528002757116E-2</v>
      </c>
      <c r="AF206" s="79">
        <f t="shared" si="454"/>
        <v>0.29569079569079659</v>
      </c>
      <c r="AG206" s="79">
        <f t="shared" si="454"/>
        <v>0.39788184539852955</v>
      </c>
      <c r="AH206" s="79">
        <f t="shared" si="454"/>
        <v>0.41554703682059624</v>
      </c>
      <c r="AI206" s="79">
        <f t="shared" si="454"/>
        <v>0.34058804204993365</v>
      </c>
      <c r="AJ206" s="79">
        <f t="shared" si="454"/>
        <v>0.26825176865290556</v>
      </c>
      <c r="AK206" s="79">
        <f t="shared" si="454"/>
        <v>0.44421428571428523</v>
      </c>
      <c r="AL206" s="79">
        <f t="shared" si="454"/>
        <v>0.46472203157172243</v>
      </c>
      <c r="AM206" s="79">
        <f t="shared" si="454"/>
        <v>0.46589046131225942</v>
      </c>
      <c r="AN206" s="79">
        <f t="shared" si="454"/>
        <v>0.28773074932428533</v>
      </c>
      <c r="AO206" s="79">
        <f t="shared" si="454"/>
        <v>0.12819625105099219</v>
      </c>
      <c r="AP206" s="79">
        <f t="shared" si="454"/>
        <v>0.19619511737969231</v>
      </c>
      <c r="AQ206" s="79">
        <f t="shared" si="454"/>
        <v>0.1863641055795926</v>
      </c>
      <c r="AR206" s="79">
        <f t="shared" si="454"/>
        <v>0.22979499695208494</v>
      </c>
      <c r="AS206" s="79">
        <f t="shared" si="454"/>
        <v>0.23146727456051908</v>
      </c>
      <c r="AT206" s="79">
        <f t="shared" si="454"/>
        <v>0.10631463491068582</v>
      </c>
      <c r="AU206" s="79">
        <f t="shared" si="454"/>
        <v>0.19559199633635105</v>
      </c>
      <c r="AV206" s="79">
        <f t="shared" si="454"/>
        <v>0.17769736364296662</v>
      </c>
      <c r="AW206" s="79">
        <f t="shared" si="454"/>
        <v>0.17706738813143041</v>
      </c>
      <c r="AX206" s="79">
        <f t="shared" si="454"/>
        <v>0.22725019474541464</v>
      </c>
      <c r="AY206" s="79">
        <f t="shared" si="454"/>
        <v>0.18736584493420172</v>
      </c>
      <c r="AZ206" s="79">
        <f t="shared" si="454"/>
        <v>0.2985668532038217</v>
      </c>
      <c r="BA206" s="79">
        <f t="shared" si="454"/>
        <v>0.30657190382579658</v>
      </c>
      <c r="BB206" s="79">
        <f t="shared" si="454"/>
        <v>0.45126947489901936</v>
      </c>
      <c r="BC206" s="79">
        <f t="shared" si="454"/>
        <v>0.48648120157832886</v>
      </c>
      <c r="BD206" s="79">
        <f t="shared" si="454"/>
        <v>0.57982736537971014</v>
      </c>
      <c r="BE206" s="79">
        <f t="shared" si="452"/>
        <v>1.9527012763357097</v>
      </c>
      <c r="BF206" s="79">
        <f t="shared" si="452"/>
        <v>0.89310550486073748</v>
      </c>
      <c r="BG206" s="79">
        <f t="shared" si="452"/>
        <v>0.88866380168776993</v>
      </c>
    </row>
    <row r="207" spans="1:59" s="29" customFormat="1" ht="13.5" customHeight="1">
      <c r="B207" s="30" t="s">
        <v>457</v>
      </c>
      <c r="C207" s="79">
        <f t="shared" ref="C207:L207" si="455">C205/C199</f>
        <v>0.31234846723571025</v>
      </c>
      <c r="D207" s="79">
        <f t="shared" si="455"/>
        <v>0.32425172678434377</v>
      </c>
      <c r="E207" s="79">
        <f t="shared" si="455"/>
        <v>0.32336758694069545</v>
      </c>
      <c r="F207" s="79">
        <f t="shared" si="455"/>
        <v>0.35323642674440353</v>
      </c>
      <c r="G207" s="79">
        <f t="shared" si="455"/>
        <v>0.4127283465167858</v>
      </c>
      <c r="H207" s="79">
        <f>H205/H199</f>
        <v>0.41477968906640361</v>
      </c>
      <c r="I207" s="79">
        <f>I205/I199</f>
        <v>0.42160699922106415</v>
      </c>
      <c r="J207" s="79">
        <f>J205/J199</f>
        <v>0.41797221642237731</v>
      </c>
      <c r="K207" s="79">
        <f>K205/K199</f>
        <v>0.40821284928125312</v>
      </c>
      <c r="L207" s="79">
        <f t="shared" si="455"/>
        <v>0.49708206709905584</v>
      </c>
      <c r="M207" s="189"/>
      <c r="N207" s="79"/>
      <c r="O207" s="79"/>
      <c r="P207" s="118"/>
      <c r="Q207" s="188"/>
      <c r="R207" s="188"/>
      <c r="S207" s="188"/>
      <c r="T207" s="188"/>
      <c r="U207" s="188"/>
      <c r="V207" s="188"/>
      <c r="W207" s="188"/>
      <c r="X207" s="188"/>
      <c r="Y207" s="188"/>
      <c r="Z207" s="188"/>
      <c r="AA207" s="188"/>
      <c r="AB207" s="188"/>
      <c r="AC207" s="79">
        <f t="shared" ref="AC207:AI207" si="456">AC205/AC199</f>
        <v>0.31050885475038509</v>
      </c>
      <c r="AD207" s="79">
        <f t="shared" si="456"/>
        <v>0.30650786431810584</v>
      </c>
      <c r="AE207" s="79">
        <f t="shared" si="456"/>
        <v>0.33281399480661478</v>
      </c>
      <c r="AF207" s="79">
        <f t="shared" si="456"/>
        <v>0.33907903848056192</v>
      </c>
      <c r="AG207" s="79">
        <f t="shared" si="456"/>
        <v>0.34545723732912204</v>
      </c>
      <c r="AH207" s="79">
        <f t="shared" si="456"/>
        <v>0.33758109360519001</v>
      </c>
      <c r="AI207" s="79">
        <f t="shared" si="456"/>
        <v>0.35504850567712182</v>
      </c>
      <c r="AJ207" s="79">
        <f t="shared" ref="AJ207:AO207" si="457">AJ205/AJ199</f>
        <v>0.37266668095411565</v>
      </c>
      <c r="AK207" s="79">
        <f t="shared" si="457"/>
        <v>0.4246261760752687</v>
      </c>
      <c r="AL207" s="79">
        <f t="shared" si="457"/>
        <v>0.41802475906918429</v>
      </c>
      <c r="AM207" s="79">
        <f t="shared" si="457"/>
        <v>0.41260113394168901</v>
      </c>
      <c r="AN207" s="79">
        <f t="shared" si="457"/>
        <v>0.39798469190526492</v>
      </c>
      <c r="AO207" s="79">
        <f t="shared" si="457"/>
        <v>0.40192761743665645</v>
      </c>
      <c r="AP207" s="79">
        <f t="shared" ref="AP207:AU207" si="458">AP205/AP199</f>
        <v>0.41233383405210716</v>
      </c>
      <c r="AQ207" s="79">
        <f t="shared" si="458"/>
        <v>0.43096145379465295</v>
      </c>
      <c r="AR207" s="79">
        <f t="shared" si="458"/>
        <v>0.41201113139232176</v>
      </c>
      <c r="AS207" s="79">
        <f t="shared" si="458"/>
        <v>0.42189447756934956</v>
      </c>
      <c r="AT207" s="79">
        <f t="shared" si="458"/>
        <v>0.40789150623203679</v>
      </c>
      <c r="AU207" s="79">
        <f t="shared" si="458"/>
        <v>0.44368126894003512</v>
      </c>
      <c r="AV207" s="79">
        <f t="shared" ref="AV207:BA207" si="459">AV205/AV199</f>
        <v>0.41197735456652901</v>
      </c>
      <c r="AW207" s="79">
        <f t="shared" si="459"/>
        <v>0.42247492493451749</v>
      </c>
      <c r="AX207" s="79">
        <f t="shared" si="459"/>
        <v>0.40546073488295914</v>
      </c>
      <c r="AY207" s="79">
        <f t="shared" si="459"/>
        <v>0.43080314548504395</v>
      </c>
      <c r="AZ207" s="79">
        <f t="shared" si="459"/>
        <v>0.41323177517034632</v>
      </c>
      <c r="BA207" s="79">
        <f t="shared" si="459"/>
        <v>0.40394329470848839</v>
      </c>
      <c r="BB207" s="79">
        <f t="shared" ref="BB207:BG207" si="460">BB205/BB199</f>
        <v>0.40314979562394809</v>
      </c>
      <c r="BC207" s="79">
        <f t="shared" si="460"/>
        <v>0.40854399393499891</v>
      </c>
      <c r="BD207" s="79">
        <f t="shared" si="460"/>
        <v>0.41469373249072561</v>
      </c>
      <c r="BE207" s="79">
        <f t="shared" si="460"/>
        <v>0.73838306612615134</v>
      </c>
      <c r="BF207" s="79">
        <f t="shared" si="460"/>
        <v>0.43981887010108217</v>
      </c>
      <c r="BG207" s="79">
        <f t="shared" si="460"/>
        <v>0.43525618795778215</v>
      </c>
    </row>
    <row r="208" spans="1:59" ht="13.5" customHeight="1">
      <c r="C208" s="56"/>
      <c r="N208" s="56"/>
      <c r="O208" s="56"/>
      <c r="P208" s="145"/>
      <c r="Q208" s="56"/>
      <c r="R208" s="56"/>
      <c r="S208" s="56"/>
      <c r="T208" s="56"/>
      <c r="U208" s="56"/>
      <c r="V208" s="56"/>
      <c r="W208" s="56"/>
      <c r="X208" s="56"/>
      <c r="Y208" s="56"/>
      <c r="Z208" s="56"/>
      <c r="AA208" s="56"/>
      <c r="AB208" s="56"/>
    </row>
    <row r="209" spans="2:59" s="5" customFormat="1" ht="13.5" customHeight="1">
      <c r="B209" s="5" t="s">
        <v>462</v>
      </c>
      <c r="C209" s="198">
        <f t="shared" ref="C209:L209" si="461">C80</f>
        <v>3761.7999999999993</v>
      </c>
      <c r="D209" s="198">
        <f t="shared" si="461"/>
        <v>4140.4999999999991</v>
      </c>
      <c r="E209" s="198">
        <f t="shared" si="461"/>
        <v>4619.4999999999991</v>
      </c>
      <c r="F209" s="198">
        <f t="shared" si="461"/>
        <v>6228.2999999999975</v>
      </c>
      <c r="G209" s="198">
        <f t="shared" si="461"/>
        <v>8788.007999999998</v>
      </c>
      <c r="H209" s="198">
        <f t="shared" si="461"/>
        <v>10426.400000000001</v>
      </c>
      <c r="I209" s="198">
        <f t="shared" si="461"/>
        <v>12270.369999999999</v>
      </c>
      <c r="J209" s="198">
        <f t="shared" si="461"/>
        <v>15013.771000000004</v>
      </c>
      <c r="K209" s="198">
        <f t="shared" si="461"/>
        <v>21993.895999999993</v>
      </c>
      <c r="L209" s="198">
        <f t="shared" si="461"/>
        <v>40245.664000000019</v>
      </c>
      <c r="M209" s="202"/>
      <c r="N209" s="77"/>
      <c r="O209" s="77"/>
      <c r="P209" s="146"/>
      <c r="Q209" s="77"/>
      <c r="R209" s="77"/>
      <c r="S209" s="77"/>
      <c r="T209" s="77"/>
      <c r="U209" s="77"/>
      <c r="V209" s="77"/>
      <c r="W209" s="77"/>
      <c r="X209" s="77"/>
      <c r="Y209" s="77"/>
      <c r="Z209" s="77"/>
      <c r="AA209" s="77"/>
      <c r="AB209" s="77"/>
      <c r="AC209" s="198">
        <f t="shared" ref="AC209:BD209" si="462">AC80</f>
        <v>1001.5152601118921</v>
      </c>
      <c r="AD209" s="198">
        <f t="shared" si="462"/>
        <v>1029.2840591666311</v>
      </c>
      <c r="AE209" s="198">
        <f t="shared" si="462"/>
        <v>1217.6000000000004</v>
      </c>
      <c r="AF209" s="198">
        <f t="shared" si="462"/>
        <v>1371.1000000000004</v>
      </c>
      <c r="AG209" s="198">
        <f t="shared" si="462"/>
        <v>1400</v>
      </c>
      <c r="AH209" s="198">
        <f t="shared" si="462"/>
        <v>1457</v>
      </c>
      <c r="AI209" s="198">
        <f t="shared" si="462"/>
        <v>1632.2999999999997</v>
      </c>
      <c r="AJ209" s="198">
        <f t="shared" si="462"/>
        <v>1738.8999999999992</v>
      </c>
      <c r="AK209" s="198">
        <f t="shared" si="462"/>
        <v>2021.8999999999992</v>
      </c>
      <c r="AL209" s="198">
        <f t="shared" si="462"/>
        <v>2134.0999999999995</v>
      </c>
      <c r="AM209" s="198">
        <f t="shared" si="462"/>
        <v>2392.7730000000006</v>
      </c>
      <c r="AN209" s="198">
        <f t="shared" si="462"/>
        <v>2239.2349999999988</v>
      </c>
      <c r="AO209" s="198">
        <f t="shared" si="462"/>
        <v>2281.1000000000004</v>
      </c>
      <c r="AP209" s="198">
        <f t="shared" si="462"/>
        <v>2552.8000000000006</v>
      </c>
      <c r="AQ209" s="198">
        <f t="shared" si="462"/>
        <v>2838.6999999999994</v>
      </c>
      <c r="AR209" s="198">
        <f t="shared" si="462"/>
        <v>2753.8</v>
      </c>
      <c r="AS209" s="198">
        <f t="shared" si="462"/>
        <v>2809.1000000000004</v>
      </c>
      <c r="AT209" s="198">
        <f t="shared" si="462"/>
        <v>2824.1999999999994</v>
      </c>
      <c r="AU209" s="198">
        <f t="shared" si="462"/>
        <v>3393.9269999999992</v>
      </c>
      <c r="AV209" s="198">
        <f t="shared" si="462"/>
        <v>3243.1430000000018</v>
      </c>
      <c r="AW209" s="198">
        <f t="shared" si="462"/>
        <v>3306.5000000000014</v>
      </c>
      <c r="AX209" s="198">
        <f t="shared" si="462"/>
        <v>3465.9999999999995</v>
      </c>
      <c r="AY209" s="198">
        <f t="shared" si="462"/>
        <v>4029.8329999999992</v>
      </c>
      <c r="AZ209" s="198">
        <f t="shared" si="462"/>
        <v>4211.4380000000046</v>
      </c>
      <c r="BA209" s="198">
        <f t="shared" si="462"/>
        <v>4320.1799999999985</v>
      </c>
      <c r="BB209" s="198">
        <f t="shared" si="462"/>
        <v>5030.1000000000004</v>
      </c>
      <c r="BC209" s="198">
        <f t="shared" si="462"/>
        <v>5990.2710000000006</v>
      </c>
      <c r="BD209" s="198">
        <f t="shared" si="462"/>
        <v>6653.345000000003</v>
      </c>
      <c r="BE209" s="198">
        <f t="shared" ref="BE209:BG228" si="463">BE80</f>
        <v>12756.201000000001</v>
      </c>
      <c r="BF209" s="198">
        <f t="shared" si="463"/>
        <v>9522.5099999999966</v>
      </c>
      <c r="BG209" s="198">
        <f t="shared" si="463"/>
        <v>11313.608</v>
      </c>
    </row>
    <row r="210" spans="2:59" ht="13.5" customHeight="1">
      <c r="B210" s="1" t="s">
        <v>463</v>
      </c>
      <c r="C210" s="214">
        <f t="shared" ref="C210:L210" si="464">C81</f>
        <v>-408.56300000000016</v>
      </c>
      <c r="D210" s="214">
        <f t="shared" si="464"/>
        <v>-470.46199999999988</v>
      </c>
      <c r="E210" s="214">
        <f t="shared" si="464"/>
        <v>-1557.8359999999998</v>
      </c>
      <c r="F210" s="214">
        <f t="shared" si="464"/>
        <v>-134.27800000000008</v>
      </c>
      <c r="G210" s="214">
        <f t="shared" si="464"/>
        <v>-1253.3150000000001</v>
      </c>
      <c r="H210" s="214">
        <f t="shared" si="464"/>
        <v>-1316.2840000000001</v>
      </c>
      <c r="I210" s="214">
        <f t="shared" si="464"/>
        <v>-556.4559999999999</v>
      </c>
      <c r="J210" s="214">
        <f t="shared" si="464"/>
        <v>-1554.684</v>
      </c>
      <c r="K210" s="214">
        <f t="shared" si="464"/>
        <v>-498.55400000000054</v>
      </c>
      <c r="L210" s="214">
        <f t="shared" si="464"/>
        <v>-2884.706999999999</v>
      </c>
      <c r="M210" s="196"/>
      <c r="N210" s="75"/>
      <c r="O210" s="75"/>
      <c r="P210" s="132"/>
      <c r="Q210" s="75"/>
      <c r="R210" s="75"/>
      <c r="S210" s="75"/>
      <c r="T210" s="75"/>
      <c r="U210" s="75"/>
      <c r="V210" s="75"/>
      <c r="W210" s="75"/>
      <c r="X210" s="75"/>
      <c r="Y210" s="75"/>
      <c r="Z210" s="75"/>
      <c r="AA210" s="75"/>
      <c r="AB210" s="75"/>
      <c r="AC210" s="214">
        <f t="shared" ref="AC210:BD210" si="465">AC81</f>
        <v>-402.69399999999996</v>
      </c>
      <c r="AD210" s="214">
        <f t="shared" si="465"/>
        <v>-1191.4759999999999</v>
      </c>
      <c r="AE210" s="214">
        <f t="shared" si="465"/>
        <v>665.63899999999978</v>
      </c>
      <c r="AF210" s="214">
        <f t="shared" si="465"/>
        <v>-629.30499999999972</v>
      </c>
      <c r="AG210" s="214">
        <f t="shared" si="465"/>
        <v>5.4509999999999508</v>
      </c>
      <c r="AH210" s="214">
        <f t="shared" si="465"/>
        <v>-1158.8110000000001</v>
      </c>
      <c r="AI210" s="214">
        <f t="shared" si="465"/>
        <v>180.2530000000005</v>
      </c>
      <c r="AJ210" s="214">
        <f t="shared" si="465"/>
        <v>838.8289999999995</v>
      </c>
      <c r="AK210" s="214">
        <f t="shared" si="465"/>
        <v>-1179.53</v>
      </c>
      <c r="AL210" s="214">
        <f t="shared" si="465"/>
        <v>-127.51600000000008</v>
      </c>
      <c r="AM210" s="214">
        <f t="shared" si="465"/>
        <v>-341.69299999999998</v>
      </c>
      <c r="AN210" s="214">
        <f t="shared" si="465"/>
        <v>395.42399999999998</v>
      </c>
      <c r="AO210" s="214">
        <f t="shared" si="465"/>
        <v>-897.56299999999999</v>
      </c>
      <c r="AP210" s="214">
        <f t="shared" si="465"/>
        <v>-743.41600000000005</v>
      </c>
      <c r="AQ210" s="214">
        <f t="shared" si="465"/>
        <v>-107.52299999999968</v>
      </c>
      <c r="AR210" s="214">
        <f t="shared" si="465"/>
        <v>432.21799999999962</v>
      </c>
      <c r="AS210" s="214">
        <f t="shared" si="465"/>
        <v>-960.18399999999997</v>
      </c>
      <c r="AT210" s="214">
        <f t="shared" si="465"/>
        <v>-585.04200000000014</v>
      </c>
      <c r="AU210" s="214">
        <f t="shared" si="465"/>
        <v>639.76800000000003</v>
      </c>
      <c r="AV210" s="214">
        <f t="shared" si="465"/>
        <v>349.00200000000018</v>
      </c>
      <c r="AW210" s="214">
        <f t="shared" si="465"/>
        <v>-1051.354</v>
      </c>
      <c r="AX210" s="214">
        <f t="shared" si="465"/>
        <v>-391.16500000000019</v>
      </c>
      <c r="AY210" s="214">
        <f t="shared" si="465"/>
        <v>-363.80599999999959</v>
      </c>
      <c r="AZ210" s="214">
        <f t="shared" si="465"/>
        <v>251.64099999999985</v>
      </c>
      <c r="BA210" s="214">
        <f t="shared" si="465"/>
        <v>-1599.5319999999999</v>
      </c>
      <c r="BB210" s="214">
        <f t="shared" si="465"/>
        <v>-2805.8509999999997</v>
      </c>
      <c r="BC210" s="214">
        <f t="shared" si="465"/>
        <v>79.724999999999227</v>
      </c>
      <c r="BD210" s="214">
        <f t="shared" si="465"/>
        <v>3827.1040000000003</v>
      </c>
      <c r="BE210" s="214">
        <f t="shared" si="463"/>
        <v>-3217.9659999999999</v>
      </c>
      <c r="BF210" s="214">
        <f t="shared" si="463"/>
        <v>-984.37000000000035</v>
      </c>
      <c r="BG210" s="214">
        <f t="shared" si="463"/>
        <v>-2509.474999999999</v>
      </c>
    </row>
    <row r="211" spans="2:59" ht="13.5" customHeight="1">
      <c r="B211" s="1" t="s">
        <v>464</v>
      </c>
      <c r="C211" s="214">
        <f t="shared" ref="C211:L211" si="466">C82</f>
        <v>-699.29300000000001</v>
      </c>
      <c r="D211" s="214">
        <f t="shared" si="466"/>
        <v>-751.07799999999997</v>
      </c>
      <c r="E211" s="214">
        <f t="shared" si="466"/>
        <v>-135.91999999999999</v>
      </c>
      <c r="F211" s="214">
        <f t="shared" si="466"/>
        <v>-492.48700000000002</v>
      </c>
      <c r="G211" s="214">
        <f t="shared" si="466"/>
        <v>-657.71500000000003</v>
      </c>
      <c r="H211" s="214">
        <f t="shared" si="466"/>
        <v>-611.35400000000004</v>
      </c>
      <c r="I211" s="214">
        <f t="shared" si="466"/>
        <v>-634.09400000000005</v>
      </c>
      <c r="J211" s="214">
        <f t="shared" si="466"/>
        <v>-763.10299999999995</v>
      </c>
      <c r="K211" s="214">
        <f t="shared" si="466"/>
        <v>-779.65499999999997</v>
      </c>
      <c r="L211" s="214">
        <f t="shared" si="466"/>
        <v>-863.17</v>
      </c>
      <c r="M211" s="196"/>
      <c r="N211" s="75"/>
      <c r="O211" s="75"/>
      <c r="P211" s="132"/>
      <c r="Q211" s="75"/>
      <c r="R211" s="75"/>
      <c r="S211" s="75"/>
      <c r="T211" s="75"/>
      <c r="U211" s="75"/>
      <c r="V211" s="75"/>
      <c r="W211" s="75"/>
      <c r="X211" s="75"/>
      <c r="Y211" s="75"/>
      <c r="Z211" s="75"/>
      <c r="AA211" s="75"/>
      <c r="AB211" s="75"/>
      <c r="AC211" s="214">
        <f t="shared" ref="AC211:BD211" si="467">AC82</f>
        <v>-13.223000000000001</v>
      </c>
      <c r="AD211" s="214">
        <f t="shared" si="467"/>
        <v>-5.6820000000000004</v>
      </c>
      <c r="AE211" s="214">
        <f t="shared" si="467"/>
        <v>-33.485999999999997</v>
      </c>
      <c r="AF211" s="214">
        <f t="shared" si="467"/>
        <v>-83.528999999999996</v>
      </c>
      <c r="AG211" s="214">
        <f t="shared" si="467"/>
        <v>-94.117999999999995</v>
      </c>
      <c r="AH211" s="214">
        <f t="shared" si="467"/>
        <v>-130.267</v>
      </c>
      <c r="AI211" s="214">
        <f t="shared" si="467"/>
        <v>-136.38999999999999</v>
      </c>
      <c r="AJ211" s="214">
        <f t="shared" si="467"/>
        <v>-131.71200000000005</v>
      </c>
      <c r="AK211" s="214">
        <f t="shared" si="467"/>
        <v>-167.3</v>
      </c>
      <c r="AL211" s="214">
        <f t="shared" si="467"/>
        <v>-244.68799999999999</v>
      </c>
      <c r="AM211" s="214">
        <f t="shared" si="467"/>
        <v>-99.574000000000012</v>
      </c>
      <c r="AN211" s="214">
        <f t="shared" si="467"/>
        <v>-146.15300000000008</v>
      </c>
      <c r="AO211" s="214">
        <f t="shared" si="467"/>
        <v>-137.25700000000001</v>
      </c>
      <c r="AP211" s="214">
        <f t="shared" si="467"/>
        <v>-159.98700000000002</v>
      </c>
      <c r="AQ211" s="214">
        <f t="shared" si="467"/>
        <v>-175.72799999999995</v>
      </c>
      <c r="AR211" s="214">
        <f t="shared" si="467"/>
        <v>-138.38200000000006</v>
      </c>
      <c r="AS211" s="214">
        <f t="shared" si="467"/>
        <v>-133.62700000000001</v>
      </c>
      <c r="AT211" s="214">
        <f t="shared" si="467"/>
        <v>-101.053</v>
      </c>
      <c r="AU211" s="214">
        <f t="shared" si="467"/>
        <v>-201.23500000000001</v>
      </c>
      <c r="AV211" s="214">
        <f t="shared" si="467"/>
        <v>-198.17900000000003</v>
      </c>
      <c r="AW211" s="214">
        <f t="shared" si="467"/>
        <v>-135.59200000000001</v>
      </c>
      <c r="AX211" s="214">
        <f t="shared" si="467"/>
        <v>-160.58000000000001</v>
      </c>
      <c r="AY211" s="214">
        <f t="shared" si="467"/>
        <v>-265.851</v>
      </c>
      <c r="AZ211" s="214">
        <f t="shared" si="467"/>
        <v>-201.0799999999999</v>
      </c>
      <c r="BA211" s="214">
        <f t="shared" si="467"/>
        <v>-82.665000000000006</v>
      </c>
      <c r="BB211" s="214">
        <f t="shared" si="467"/>
        <v>-96.881999999999991</v>
      </c>
      <c r="BC211" s="214">
        <f t="shared" si="467"/>
        <v>-170.22199999999998</v>
      </c>
      <c r="BD211" s="214">
        <f t="shared" si="467"/>
        <v>-429.88600000000002</v>
      </c>
      <c r="BE211" s="214">
        <f t="shared" si="463"/>
        <v>-19.363</v>
      </c>
      <c r="BF211" s="214">
        <f t="shared" si="463"/>
        <v>-124.04</v>
      </c>
      <c r="BG211" s="214">
        <f t="shared" si="463"/>
        <v>-289.88099999999997</v>
      </c>
    </row>
    <row r="212" spans="2:59" ht="13.5" customHeight="1">
      <c r="B212" s="1" t="str">
        <f t="shared" ref="B212:B218" si="468">B83</f>
        <v>Cash interest paid</v>
      </c>
      <c r="C212" s="214">
        <f t="shared" ref="C212:L212" si="469">C83</f>
        <v>-94.106999999999999</v>
      </c>
      <c r="D212" s="214">
        <f t="shared" si="469"/>
        <v>-153.529</v>
      </c>
      <c r="E212" s="214">
        <f t="shared" si="469"/>
        <v>-434.52100000000002</v>
      </c>
      <c r="F212" s="214">
        <f t="shared" si="469"/>
        <v>-909.88099999999997</v>
      </c>
      <c r="G212" s="214">
        <f t="shared" si="469"/>
        <v>-1658.308</v>
      </c>
      <c r="H212" s="214">
        <f t="shared" si="469"/>
        <v>-2090.7179999999998</v>
      </c>
      <c r="I212" s="214">
        <f t="shared" si="469"/>
        <v>-1653.675</v>
      </c>
      <c r="J212" s="214">
        <f t="shared" si="469"/>
        <v>-1822.8150000000001</v>
      </c>
      <c r="K212" s="214">
        <f t="shared" si="469"/>
        <v>-3087.2339999999999</v>
      </c>
      <c r="L212" s="214">
        <f t="shared" si="469"/>
        <v>-4495.5859999999993</v>
      </c>
      <c r="M212" s="196"/>
      <c r="N212" s="75"/>
      <c r="O212" s="75"/>
      <c r="P212" s="132"/>
      <c r="Q212" s="75"/>
      <c r="R212" s="75"/>
      <c r="S212" s="75"/>
      <c r="T212" s="75"/>
      <c r="U212" s="75"/>
      <c r="V212" s="75"/>
      <c r="W212" s="75"/>
      <c r="X212" s="75"/>
      <c r="Y212" s="75"/>
      <c r="Z212" s="75"/>
      <c r="AA212" s="75"/>
      <c r="AB212" s="75"/>
      <c r="AC212" s="214">
        <f t="shared" ref="AC212:BD212" si="470">AC83</f>
        <v>-10.398999999999999</v>
      </c>
      <c r="AD212" s="214">
        <f t="shared" si="470"/>
        <v>-84.762</v>
      </c>
      <c r="AE212" s="214">
        <f t="shared" si="470"/>
        <v>-43.257000000000005</v>
      </c>
      <c r="AF212" s="214">
        <f t="shared" si="470"/>
        <v>-296.10300000000001</v>
      </c>
      <c r="AG212" s="214">
        <f t="shared" si="470"/>
        <v>-74.971000000000004</v>
      </c>
      <c r="AH212" s="214">
        <f t="shared" si="470"/>
        <v>-276.90499999999997</v>
      </c>
      <c r="AI212" s="214">
        <f t="shared" si="470"/>
        <v>-92.483000000000004</v>
      </c>
      <c r="AJ212" s="214">
        <f t="shared" si="470"/>
        <v>-465.52199999999999</v>
      </c>
      <c r="AK212" s="214">
        <f t="shared" si="470"/>
        <v>-143.58199999999999</v>
      </c>
      <c r="AL212" s="214">
        <f t="shared" si="470"/>
        <v>-373.03100000000006</v>
      </c>
      <c r="AM212" s="214">
        <f t="shared" si="470"/>
        <v>-197.94599999999991</v>
      </c>
      <c r="AN212" s="214">
        <f t="shared" si="470"/>
        <v>-943.74900000000014</v>
      </c>
      <c r="AO212" s="214">
        <f t="shared" si="470"/>
        <v>-605.625</v>
      </c>
      <c r="AP212" s="214">
        <f t="shared" si="470"/>
        <v>-365.60299999999995</v>
      </c>
      <c r="AQ212" s="214">
        <f t="shared" si="470"/>
        <v>-312.21300000000008</v>
      </c>
      <c r="AR212" s="214">
        <f t="shared" si="470"/>
        <v>-807.27699999999959</v>
      </c>
      <c r="AS212" s="214">
        <f t="shared" si="470"/>
        <v>-149.43700000000001</v>
      </c>
      <c r="AT212" s="214">
        <f t="shared" si="470"/>
        <v>-647.524</v>
      </c>
      <c r="AU212" s="214">
        <f t="shared" si="470"/>
        <v>-329.00499999999988</v>
      </c>
      <c r="AV212" s="214">
        <f t="shared" si="470"/>
        <v>-527.70900000000006</v>
      </c>
      <c r="AW212" s="214">
        <f t="shared" si="470"/>
        <v>-88.040999999999997</v>
      </c>
      <c r="AX212" s="214">
        <f t="shared" si="470"/>
        <v>-725.49399999999991</v>
      </c>
      <c r="AY212" s="214">
        <f t="shared" si="470"/>
        <v>-181.49600000000004</v>
      </c>
      <c r="AZ212" s="214">
        <f t="shared" si="470"/>
        <v>-827.78400000000011</v>
      </c>
      <c r="BA212" s="214">
        <f t="shared" si="470"/>
        <v>-230.92400000000001</v>
      </c>
      <c r="BB212" s="214">
        <f t="shared" si="470"/>
        <v>-1203.5360000000001</v>
      </c>
      <c r="BC212" s="214">
        <f t="shared" si="470"/>
        <v>-260.84300000000007</v>
      </c>
      <c r="BD212" s="214">
        <f t="shared" si="470"/>
        <v>-1391.9309999999996</v>
      </c>
      <c r="BE212" s="214">
        <f t="shared" si="463"/>
        <v>-440.02</v>
      </c>
      <c r="BF212" s="214">
        <f t="shared" si="463"/>
        <v>-2381.0450000000001</v>
      </c>
      <c r="BG212" s="214">
        <f t="shared" si="463"/>
        <v>-282.59000000000015</v>
      </c>
    </row>
    <row r="213" spans="2:59" s="5" customFormat="1" ht="13.5" customHeight="1" thickBot="1">
      <c r="B213" s="25" t="str">
        <f t="shared" si="468"/>
        <v xml:space="preserve">Net cash from operations </v>
      </c>
      <c r="C213" s="215">
        <f t="shared" ref="C213:L213" si="471">SUM(C209:C212)</f>
        <v>2559.8369999999991</v>
      </c>
      <c r="D213" s="215">
        <f t="shared" si="471"/>
        <v>2765.4309999999991</v>
      </c>
      <c r="E213" s="215">
        <f t="shared" si="471"/>
        <v>2491.222999999999</v>
      </c>
      <c r="F213" s="215">
        <f t="shared" si="471"/>
        <v>4691.6539999999968</v>
      </c>
      <c r="G213" s="215">
        <f t="shared" si="471"/>
        <v>5218.6699999999973</v>
      </c>
      <c r="H213" s="215">
        <f>SUM(H209:H212)</f>
        <v>6408.0440000000026</v>
      </c>
      <c r="I213" s="215">
        <f>SUM(I209:I212)</f>
        <v>9426.1450000000004</v>
      </c>
      <c r="J213" s="215">
        <f>SUM(J209:J212)</f>
        <v>10873.169000000005</v>
      </c>
      <c r="K213" s="215">
        <f>SUM(K209:K212)</f>
        <v>17628.452999999994</v>
      </c>
      <c r="L213" s="215">
        <f t="shared" si="471"/>
        <v>32002.201000000019</v>
      </c>
      <c r="M213" s="427"/>
      <c r="N213" s="69"/>
      <c r="O213" s="69"/>
      <c r="P213" s="129"/>
      <c r="Q213" s="69"/>
      <c r="R213" s="69"/>
      <c r="S213" s="69"/>
      <c r="T213" s="69"/>
      <c r="U213" s="69"/>
      <c r="V213" s="69"/>
      <c r="W213" s="69"/>
      <c r="X213" s="69"/>
      <c r="Y213" s="69"/>
      <c r="Z213" s="69"/>
      <c r="AA213" s="69"/>
      <c r="AB213" s="69"/>
      <c r="AC213" s="215">
        <f t="shared" ref="AC213:AI213" si="472">SUM(AC209:AC212)</f>
        <v>575.19926011189216</v>
      </c>
      <c r="AD213" s="215">
        <f t="shared" si="472"/>
        <v>-252.63594083336878</v>
      </c>
      <c r="AE213" s="215">
        <f t="shared" si="472"/>
        <v>1806.4959999999999</v>
      </c>
      <c r="AF213" s="215">
        <f t="shared" si="472"/>
        <v>362.16300000000064</v>
      </c>
      <c r="AG213" s="215">
        <f t="shared" si="472"/>
        <v>1236.3620000000001</v>
      </c>
      <c r="AH213" s="215">
        <f t="shared" si="472"/>
        <v>-108.98300000000012</v>
      </c>
      <c r="AI213" s="215">
        <f t="shared" si="472"/>
        <v>1583.6800000000005</v>
      </c>
      <c r="AJ213" s="215">
        <f>SUM(AJ209:AJ212)</f>
        <v>1980.4949999999985</v>
      </c>
      <c r="AK213" s="215">
        <f t="shared" ref="AK213:BD213" si="473">AK84</f>
        <v>531.48799999999926</v>
      </c>
      <c r="AL213" s="215">
        <f t="shared" si="473"/>
        <v>1388.8649999999993</v>
      </c>
      <c r="AM213" s="215">
        <f t="shared" si="473"/>
        <v>1753.5600000000009</v>
      </c>
      <c r="AN213" s="215">
        <f t="shared" si="473"/>
        <v>1544.7569999999982</v>
      </c>
      <c r="AO213" s="215">
        <f t="shared" si="473"/>
        <v>640.6550000000002</v>
      </c>
      <c r="AP213" s="215">
        <f t="shared" si="473"/>
        <v>1283.7940000000003</v>
      </c>
      <c r="AQ213" s="215">
        <f t="shared" si="473"/>
        <v>2243.2359999999994</v>
      </c>
      <c r="AR213" s="215">
        <f t="shared" si="473"/>
        <v>2240.3590000000004</v>
      </c>
      <c r="AS213" s="215">
        <f t="shared" si="473"/>
        <v>1565.8520000000003</v>
      </c>
      <c r="AT213" s="215">
        <f t="shared" si="473"/>
        <v>1490.5809999999997</v>
      </c>
      <c r="AU213" s="215">
        <f t="shared" si="473"/>
        <v>3503.454999999999</v>
      </c>
      <c r="AV213" s="215">
        <f t="shared" si="473"/>
        <v>2866.2570000000023</v>
      </c>
      <c r="AW213" s="215">
        <f t="shared" si="473"/>
        <v>2031.5130000000015</v>
      </c>
      <c r="AX213" s="215">
        <f t="shared" si="473"/>
        <v>2188.7609999999995</v>
      </c>
      <c r="AY213" s="215">
        <f t="shared" si="473"/>
        <v>3218.6799999999994</v>
      </c>
      <c r="AZ213" s="215">
        <f t="shared" si="473"/>
        <v>3434.2150000000042</v>
      </c>
      <c r="BA213" s="215">
        <f t="shared" si="473"/>
        <v>2407.0589999999984</v>
      </c>
      <c r="BB213" s="215">
        <f t="shared" si="473"/>
        <v>923.83100000000059</v>
      </c>
      <c r="BC213" s="215">
        <f t="shared" si="473"/>
        <v>5638.9310000000005</v>
      </c>
      <c r="BD213" s="215">
        <f t="shared" si="473"/>
        <v>8658.6320000000051</v>
      </c>
      <c r="BE213" s="215">
        <f t="shared" si="463"/>
        <v>9078.8520000000008</v>
      </c>
      <c r="BF213" s="215">
        <f t="shared" si="463"/>
        <v>6033.0549999999948</v>
      </c>
      <c r="BG213" s="215">
        <f t="shared" si="463"/>
        <v>8231.6620000000021</v>
      </c>
    </row>
    <row r="214" spans="2:59" s="5" customFormat="1" ht="13.5" customHeight="1" thickTop="1">
      <c r="B214" s="1" t="str">
        <f t="shared" si="468"/>
        <v>Gross Capex</v>
      </c>
      <c r="C214" s="216">
        <f t="shared" ref="C214:L214" si="474">C85</f>
        <v>-1553.59</v>
      </c>
      <c r="D214" s="216">
        <f t="shared" si="474"/>
        <v>-2135.3580000000002</v>
      </c>
      <c r="E214" s="216">
        <f t="shared" si="474"/>
        <v>-2572.4009999999998</v>
      </c>
      <c r="F214" s="216">
        <f t="shared" si="474"/>
        <v>-2937.1950000000002</v>
      </c>
      <c r="G214" s="216">
        <f t="shared" si="474"/>
        <v>-2960.6480000000001</v>
      </c>
      <c r="H214" s="216">
        <f t="shared" si="474"/>
        <v>-3195.069</v>
      </c>
      <c r="I214" s="216">
        <f t="shared" si="474"/>
        <v>-3904.4430000000002</v>
      </c>
      <c r="J214" s="216">
        <f t="shared" si="474"/>
        <v>-5568.3</v>
      </c>
      <c r="K214" s="216">
        <f t="shared" si="474"/>
        <v>-7216.3</v>
      </c>
      <c r="L214" s="216">
        <f t="shared" si="474"/>
        <v>-11035.52</v>
      </c>
      <c r="M214" s="196"/>
      <c r="N214" s="68"/>
      <c r="O214" s="68"/>
      <c r="P214" s="130"/>
      <c r="Q214" s="68"/>
      <c r="R214" s="68"/>
      <c r="S214" s="68"/>
      <c r="T214" s="68"/>
      <c r="U214" s="68"/>
      <c r="V214" s="68"/>
      <c r="W214" s="68"/>
      <c r="X214" s="68"/>
      <c r="Y214" s="68"/>
      <c r="Z214" s="68"/>
      <c r="AA214" s="68"/>
      <c r="AB214" s="68"/>
      <c r="AC214" s="216">
        <f t="shared" ref="AC214:AJ218" si="475">AC85</f>
        <v>-585.74</v>
      </c>
      <c r="AD214" s="216">
        <f t="shared" si="475"/>
        <v>-737.42000000000007</v>
      </c>
      <c r="AE214" s="216">
        <f t="shared" si="475"/>
        <v>-463.33999999999992</v>
      </c>
      <c r="AF214" s="216">
        <f t="shared" si="475"/>
        <v>-785.90099999999984</v>
      </c>
      <c r="AG214" s="216">
        <f t="shared" si="475"/>
        <v>-381.70600000000002</v>
      </c>
      <c r="AH214" s="216">
        <f t="shared" si="475"/>
        <v>-528.80399999999997</v>
      </c>
      <c r="AI214" s="216">
        <f t="shared" si="475"/>
        <v>-698.40400000000011</v>
      </c>
      <c r="AJ214" s="216">
        <f t="shared" si="475"/>
        <v>-1328.2809999999999</v>
      </c>
      <c r="AK214" s="216">
        <f t="shared" ref="AK214:BD214" si="476">AK85</f>
        <v>-548.05700000000002</v>
      </c>
      <c r="AL214" s="216">
        <f t="shared" si="476"/>
        <v>-583.69900000000007</v>
      </c>
      <c r="AM214" s="216">
        <f t="shared" si="476"/>
        <v>-788.31299999999987</v>
      </c>
      <c r="AN214" s="216">
        <f t="shared" si="476"/>
        <v>-1040.579</v>
      </c>
      <c r="AO214" s="216">
        <f t="shared" si="476"/>
        <v>-515.62300000000005</v>
      </c>
      <c r="AP214" s="216">
        <f t="shared" si="476"/>
        <v>-743.99499999999989</v>
      </c>
      <c r="AQ214" s="216">
        <f t="shared" si="476"/>
        <v>-760.89100000000008</v>
      </c>
      <c r="AR214" s="216">
        <f t="shared" si="476"/>
        <v>-1174.56</v>
      </c>
      <c r="AS214" s="216">
        <f t="shared" si="476"/>
        <v>-473.05599999999998</v>
      </c>
      <c r="AT214" s="216">
        <f t="shared" si="476"/>
        <v>-918.7639999999999</v>
      </c>
      <c r="AU214" s="216">
        <f t="shared" si="476"/>
        <v>-1169.2760000000001</v>
      </c>
      <c r="AV214" s="216">
        <f t="shared" si="476"/>
        <v>-1343.3470000000004</v>
      </c>
      <c r="AW214" s="216">
        <f t="shared" si="476"/>
        <v>-1025.1610000000001</v>
      </c>
      <c r="AX214" s="216">
        <f t="shared" si="476"/>
        <v>-1438.8379999999997</v>
      </c>
      <c r="AY214" s="216">
        <f t="shared" si="476"/>
        <v>-951.15000000000009</v>
      </c>
      <c r="AZ214" s="216">
        <f t="shared" si="476"/>
        <v>-2153.1509999999998</v>
      </c>
      <c r="BA214" s="216">
        <f t="shared" si="476"/>
        <v>-1142.845</v>
      </c>
      <c r="BB214" s="216">
        <f t="shared" si="476"/>
        <v>-1537.4950000000001</v>
      </c>
      <c r="BC214" s="216">
        <f t="shared" si="476"/>
        <v>-1508.1629999999998</v>
      </c>
      <c r="BD214" s="216">
        <f t="shared" si="476"/>
        <v>-3027.7970000000005</v>
      </c>
      <c r="BE214" s="216">
        <f t="shared" si="463"/>
        <v>-2231.7840000000001</v>
      </c>
      <c r="BF214" s="216">
        <f t="shared" si="463"/>
        <v>-2807.3969999999995</v>
      </c>
      <c r="BG214" s="216">
        <f t="shared" si="463"/>
        <v>-2968.5420000000008</v>
      </c>
    </row>
    <row r="215" spans="2:59" ht="13.5" customHeight="1">
      <c r="B215" s="1" t="str">
        <f t="shared" si="468"/>
        <v>Net Payment for acquisition  of intangible assets</v>
      </c>
      <c r="C215" s="216">
        <f t="shared" ref="C215:L215" si="477">C86</f>
        <v>-575.88499999999999</v>
      </c>
      <c r="D215" s="216">
        <f t="shared" si="477"/>
        <v>-2461.6120000000001</v>
      </c>
      <c r="E215" s="216">
        <f t="shared" si="477"/>
        <v>-855.09699999999998</v>
      </c>
      <c r="F215" s="216">
        <f t="shared" si="477"/>
        <v>-1172.847</v>
      </c>
      <c r="G215" s="216">
        <f t="shared" si="477"/>
        <v>-2264.9119999999998</v>
      </c>
      <c r="H215" s="216">
        <f t="shared" si="477"/>
        <v>-2821.1109999999999</v>
      </c>
      <c r="I215" s="216">
        <f t="shared" si="477"/>
        <v>-3375.915</v>
      </c>
      <c r="J215" s="216">
        <f t="shared" si="477"/>
        <v>-4014.2339999999999</v>
      </c>
      <c r="K215" s="216">
        <f t="shared" si="477"/>
        <v>-6869.3019999999997</v>
      </c>
      <c r="L215" s="216">
        <f t="shared" si="477"/>
        <v>-12069.153</v>
      </c>
      <c r="M215" s="196"/>
      <c r="N215" s="68"/>
      <c r="O215" s="68"/>
      <c r="P215" s="130"/>
      <c r="Q215" s="68"/>
      <c r="R215" s="68"/>
      <c r="S215" s="68"/>
      <c r="T215" s="68"/>
      <c r="U215" s="68"/>
      <c r="V215" s="68"/>
      <c r="W215" s="68"/>
      <c r="X215" s="68"/>
      <c r="Y215" s="68"/>
      <c r="Z215" s="68"/>
      <c r="AA215" s="68"/>
      <c r="AB215" s="68"/>
      <c r="AC215" s="216">
        <f t="shared" si="475"/>
        <v>-109.79</v>
      </c>
      <c r="AD215" s="216">
        <f t="shared" si="475"/>
        <v>-137.72800000000001</v>
      </c>
      <c r="AE215" s="216">
        <f t="shared" si="475"/>
        <v>-269.29199999999992</v>
      </c>
      <c r="AF215" s="216">
        <f t="shared" si="475"/>
        <v>-338.28700000000003</v>
      </c>
      <c r="AG215" s="216">
        <f t="shared" si="475"/>
        <v>-181.07</v>
      </c>
      <c r="AH215" s="216">
        <f t="shared" si="475"/>
        <v>-252.66500000000002</v>
      </c>
      <c r="AI215" s="216">
        <f t="shared" si="475"/>
        <v>-208.18499999999995</v>
      </c>
      <c r="AJ215" s="216">
        <f t="shared" si="475"/>
        <v>-530.92700000000002</v>
      </c>
      <c r="AK215" s="216">
        <f t="shared" ref="AK215:BD215" si="478">AK86</f>
        <v>-419.17399999999998</v>
      </c>
      <c r="AL215" s="216">
        <f t="shared" si="478"/>
        <v>-644.41699999999992</v>
      </c>
      <c r="AM215" s="216">
        <f t="shared" si="478"/>
        <v>-458.78500000000008</v>
      </c>
      <c r="AN215" s="216">
        <f t="shared" si="478"/>
        <v>-742.53599999999983</v>
      </c>
      <c r="AO215" s="216">
        <f t="shared" si="478"/>
        <v>-607.23800000000006</v>
      </c>
      <c r="AP215" s="216">
        <f t="shared" si="478"/>
        <v>54.406000000000063</v>
      </c>
      <c r="AQ215" s="216">
        <f t="shared" si="478"/>
        <v>-1286.57</v>
      </c>
      <c r="AR215" s="216">
        <f t="shared" si="478"/>
        <v>-981.70900000000006</v>
      </c>
      <c r="AS215" s="216">
        <f t="shared" si="478"/>
        <v>-774.00400000000002</v>
      </c>
      <c r="AT215" s="216">
        <f t="shared" si="478"/>
        <v>-607.43400000000008</v>
      </c>
      <c r="AU215" s="216">
        <f t="shared" si="478"/>
        <v>-849.41499999999985</v>
      </c>
      <c r="AV215" s="216">
        <f t="shared" si="478"/>
        <v>-1145.0619999999999</v>
      </c>
      <c r="AW215" s="216">
        <f t="shared" si="478"/>
        <v>-894.59900000000005</v>
      </c>
      <c r="AX215" s="216">
        <f t="shared" si="478"/>
        <v>-1104.0790000000002</v>
      </c>
      <c r="AY215" s="216">
        <f t="shared" si="478"/>
        <v>-871.61999999999955</v>
      </c>
      <c r="AZ215" s="216">
        <f t="shared" si="478"/>
        <v>-1143.9360000000001</v>
      </c>
      <c r="BA215" s="216">
        <f t="shared" si="478"/>
        <v>-1235.336</v>
      </c>
      <c r="BB215" s="216">
        <f t="shared" si="478"/>
        <v>-1142.5930000000001</v>
      </c>
      <c r="BC215" s="216">
        <f t="shared" si="478"/>
        <v>-1834.1530000000005</v>
      </c>
      <c r="BD215" s="216">
        <f t="shared" si="478"/>
        <v>-2657.2199999999993</v>
      </c>
      <c r="BE215" s="216">
        <f t="shared" si="463"/>
        <v>-2178.4169999999999</v>
      </c>
      <c r="BF215" s="216">
        <f t="shared" si="463"/>
        <v>-4845.5609999999997</v>
      </c>
      <c r="BG215" s="216">
        <f t="shared" si="463"/>
        <v>-2387.9550000000013</v>
      </c>
    </row>
    <row r="216" spans="2:59" ht="13.5" customHeight="1">
      <c r="B216" s="1" t="str">
        <f t="shared" si="468"/>
        <v>Disposals/ Acquisition, of assets</v>
      </c>
      <c r="C216" s="216">
        <f t="shared" ref="C216:L216" si="479">C87</f>
        <v>0.79100000000000392</v>
      </c>
      <c r="D216" s="216">
        <f t="shared" si="479"/>
        <v>24.192</v>
      </c>
      <c r="E216" s="216">
        <f t="shared" si="479"/>
        <v>49.639000000000003</v>
      </c>
      <c r="F216" s="216">
        <f t="shared" si="479"/>
        <v>58.74</v>
      </c>
      <c r="G216" s="216">
        <f t="shared" si="479"/>
        <v>202.892</v>
      </c>
      <c r="H216" s="216">
        <f t="shared" si="479"/>
        <v>2262.8359999999998</v>
      </c>
      <c r="I216" s="216">
        <f t="shared" si="479"/>
        <v>25.072000000000003</v>
      </c>
      <c r="J216" s="216">
        <f t="shared" si="479"/>
        <v>-294.41499999999996</v>
      </c>
      <c r="K216" s="216">
        <f t="shared" si="479"/>
        <v>-271.28800000000001</v>
      </c>
      <c r="L216" s="216">
        <f t="shared" si="479"/>
        <v>2481.0039999999999</v>
      </c>
      <c r="M216" s="196"/>
      <c r="N216" s="68"/>
      <c r="O216" s="68"/>
      <c r="P216" s="130"/>
      <c r="Q216" s="68"/>
      <c r="R216" s="68"/>
      <c r="S216" s="68"/>
      <c r="T216" s="68"/>
      <c r="U216" s="68"/>
      <c r="V216" s="68"/>
      <c r="W216" s="68"/>
      <c r="X216" s="68"/>
      <c r="Y216" s="68"/>
      <c r="Z216" s="68"/>
      <c r="AA216" s="68"/>
      <c r="AB216" s="68"/>
      <c r="AC216" s="216">
        <f t="shared" si="475"/>
        <v>12.914</v>
      </c>
      <c r="AD216" s="216">
        <f t="shared" si="475"/>
        <v>6.604000000000001</v>
      </c>
      <c r="AE216" s="216">
        <f t="shared" si="475"/>
        <v>11.787000000000001</v>
      </c>
      <c r="AF216" s="216">
        <f t="shared" si="475"/>
        <v>18.334000000000003</v>
      </c>
      <c r="AG216" s="216">
        <f t="shared" si="475"/>
        <v>12.581</v>
      </c>
      <c r="AH216" s="216">
        <f t="shared" si="475"/>
        <v>28.645999999999997</v>
      </c>
      <c r="AI216" s="216">
        <f t="shared" si="475"/>
        <v>-3.1929999999999978</v>
      </c>
      <c r="AJ216" s="216">
        <f t="shared" si="475"/>
        <v>20.706000000000003</v>
      </c>
      <c r="AK216" s="216">
        <f t="shared" ref="AK216:BD216" si="480">AK87</f>
        <v>19.724</v>
      </c>
      <c r="AL216" s="216">
        <f t="shared" si="480"/>
        <v>12.316999999999997</v>
      </c>
      <c r="AM216" s="216">
        <f t="shared" si="480"/>
        <v>19.072000000000006</v>
      </c>
      <c r="AN216" s="216">
        <f t="shared" si="480"/>
        <v>151.779</v>
      </c>
      <c r="AO216" s="216">
        <f t="shared" si="480"/>
        <v>-88.519000000000005</v>
      </c>
      <c r="AP216" s="216">
        <f t="shared" si="480"/>
        <v>2167.0190000000002</v>
      </c>
      <c r="AQ216" s="216">
        <f t="shared" si="480"/>
        <v>26.914999999999736</v>
      </c>
      <c r="AR216" s="216">
        <f t="shared" si="480"/>
        <v>157.42100000000005</v>
      </c>
      <c r="AS216" s="216">
        <f t="shared" si="480"/>
        <v>-11.484000000000002</v>
      </c>
      <c r="AT216" s="216">
        <f t="shared" si="480"/>
        <v>5.0830000000000908</v>
      </c>
      <c r="AU216" s="216">
        <f t="shared" si="480"/>
        <v>-52.85700000000012</v>
      </c>
      <c r="AV216" s="216">
        <f t="shared" si="480"/>
        <v>84.330000000000041</v>
      </c>
      <c r="AW216" s="216">
        <f t="shared" si="480"/>
        <v>-84.213999999999999</v>
      </c>
      <c r="AX216" s="216">
        <f t="shared" si="480"/>
        <v>231.64100000000002</v>
      </c>
      <c r="AY216" s="216">
        <f t="shared" si="480"/>
        <v>-724.30800000000022</v>
      </c>
      <c r="AZ216" s="216">
        <f t="shared" si="480"/>
        <v>282.46600000000024</v>
      </c>
      <c r="BA216" s="216">
        <f t="shared" si="480"/>
        <v>-153.06300000000002</v>
      </c>
      <c r="BB216" s="216">
        <f t="shared" si="480"/>
        <v>-2531.0540000000001</v>
      </c>
      <c r="BC216" s="216">
        <f t="shared" si="480"/>
        <v>-1372.953</v>
      </c>
      <c r="BD216" s="216">
        <f t="shared" si="480"/>
        <v>3785.7820000000002</v>
      </c>
      <c r="BE216" s="216">
        <f t="shared" si="463"/>
        <v>46.551000000000002</v>
      </c>
      <c r="BF216" s="216">
        <f t="shared" si="463"/>
        <v>-1286.5789999999997</v>
      </c>
      <c r="BG216" s="216">
        <f t="shared" si="463"/>
        <v>-64.750000000000526</v>
      </c>
    </row>
    <row r="217" spans="2:59" ht="13.5" customHeight="1">
      <c r="B217" s="1" t="str">
        <f t="shared" si="468"/>
        <v>Deposits interest received</v>
      </c>
      <c r="C217" s="216">
        <f t="shared" ref="C217:L217" si="481">C88</f>
        <v>945.66300000000001</v>
      </c>
      <c r="D217" s="216">
        <f t="shared" si="481"/>
        <v>761.32799999999997</v>
      </c>
      <c r="E217" s="216">
        <f t="shared" si="481"/>
        <v>610.83699999999999</v>
      </c>
      <c r="F217" s="216">
        <f t="shared" si="481"/>
        <v>553.06600000000003</v>
      </c>
      <c r="G217" s="216">
        <f t="shared" si="481"/>
        <v>731.79300000000001</v>
      </c>
      <c r="H217" s="216">
        <f t="shared" si="481"/>
        <v>854.01800000000003</v>
      </c>
      <c r="I217" s="216">
        <f t="shared" si="481"/>
        <v>994.899</v>
      </c>
      <c r="J217" s="216">
        <f t="shared" si="481"/>
        <v>1223.866</v>
      </c>
      <c r="K217" s="216">
        <f t="shared" si="481"/>
        <v>2127.6460000000002</v>
      </c>
      <c r="L217" s="216">
        <f t="shared" si="481"/>
        <v>3514.9370000000004</v>
      </c>
      <c r="M217" s="196"/>
      <c r="N217" s="68"/>
      <c r="O217" s="68"/>
      <c r="P217" s="130"/>
      <c r="Q217" s="68"/>
      <c r="R217" s="68"/>
      <c r="S217" s="68"/>
      <c r="T217" s="68"/>
      <c r="U217" s="68"/>
      <c r="V217" s="68"/>
      <c r="W217" s="68"/>
      <c r="X217" s="68"/>
      <c r="Y217" s="68"/>
      <c r="Z217" s="68"/>
      <c r="AA217" s="68"/>
      <c r="AB217" s="68"/>
      <c r="AC217" s="216">
        <f t="shared" si="475"/>
        <v>171.68299999999999</v>
      </c>
      <c r="AD217" s="216">
        <f t="shared" si="475"/>
        <v>149.346</v>
      </c>
      <c r="AE217" s="216">
        <f t="shared" si="475"/>
        <v>136.67000000000002</v>
      </c>
      <c r="AF217" s="216">
        <f t="shared" si="475"/>
        <v>153.13799999999998</v>
      </c>
      <c r="AG217" s="216">
        <f t="shared" si="475"/>
        <v>137.059</v>
      </c>
      <c r="AH217" s="216">
        <f t="shared" si="475"/>
        <v>162.40299999999999</v>
      </c>
      <c r="AI217" s="216">
        <f t="shared" si="475"/>
        <v>115.52699999999999</v>
      </c>
      <c r="AJ217" s="216">
        <f t="shared" si="475"/>
        <v>138.07700000000006</v>
      </c>
      <c r="AK217" s="216">
        <f t="shared" ref="AK217:BD217" si="482">AK88</f>
        <v>117.14100000000001</v>
      </c>
      <c r="AL217" s="216">
        <f t="shared" si="482"/>
        <v>174.48199999999997</v>
      </c>
      <c r="AM217" s="216">
        <f t="shared" si="482"/>
        <v>200.73000000000002</v>
      </c>
      <c r="AN217" s="216">
        <f t="shared" si="482"/>
        <v>239.44</v>
      </c>
      <c r="AO217" s="216">
        <f t="shared" si="482"/>
        <v>167.34299999999999</v>
      </c>
      <c r="AP217" s="216">
        <f t="shared" si="482"/>
        <v>230.95900000000003</v>
      </c>
      <c r="AQ217" s="216">
        <f t="shared" si="482"/>
        <v>174.43899999999994</v>
      </c>
      <c r="AR217" s="216">
        <f t="shared" si="482"/>
        <v>281.27700000000004</v>
      </c>
      <c r="AS217" s="216">
        <f t="shared" si="482"/>
        <v>101.545</v>
      </c>
      <c r="AT217" s="216">
        <f t="shared" si="482"/>
        <v>267.339</v>
      </c>
      <c r="AU217" s="216">
        <f t="shared" si="482"/>
        <v>174.74</v>
      </c>
      <c r="AV217" s="216">
        <f t="shared" si="482"/>
        <v>451.27499999999992</v>
      </c>
      <c r="AW217" s="216">
        <f t="shared" si="482"/>
        <v>299.47199999999998</v>
      </c>
      <c r="AX217" s="216">
        <f t="shared" si="482"/>
        <v>428.80500000000006</v>
      </c>
      <c r="AY217" s="216">
        <f t="shared" si="482"/>
        <v>168.21299999999997</v>
      </c>
      <c r="AZ217" s="216">
        <f t="shared" si="482"/>
        <v>327.37599999999998</v>
      </c>
      <c r="BA217" s="216">
        <f t="shared" si="482"/>
        <v>274.71199999999999</v>
      </c>
      <c r="BB217" s="216">
        <f t="shared" si="482"/>
        <v>397.86800000000005</v>
      </c>
      <c r="BC217" s="216">
        <f t="shared" si="482"/>
        <v>645.78599999999994</v>
      </c>
      <c r="BD217" s="216">
        <f t="shared" si="482"/>
        <v>809.2800000000002</v>
      </c>
      <c r="BE217" s="216">
        <f t="shared" si="463"/>
        <v>586.82399999999996</v>
      </c>
      <c r="BF217" s="216">
        <f t="shared" si="463"/>
        <v>920.07600000000014</v>
      </c>
      <c r="BG217" s="216">
        <f t="shared" si="463"/>
        <v>1198.7570000000001</v>
      </c>
    </row>
    <row r="218" spans="2:59" ht="13.5" customHeight="1" thickBot="1">
      <c r="B218" s="64" t="str">
        <f t="shared" si="468"/>
        <v>Other investing activities</v>
      </c>
      <c r="C218" s="217">
        <f t="shared" ref="C218:L218" si="483">C89</f>
        <v>-194.96899999999999</v>
      </c>
      <c r="D218" s="217">
        <f t="shared" si="483"/>
        <v>248.49</v>
      </c>
      <c r="E218" s="217">
        <f t="shared" si="483"/>
        <v>-209.68600000000001</v>
      </c>
      <c r="F218" s="217">
        <f t="shared" si="483"/>
        <v>193.58800000000002</v>
      </c>
      <c r="G218" s="217">
        <f t="shared" si="483"/>
        <v>-244.69400000000002</v>
      </c>
      <c r="H218" s="217">
        <f t="shared" si="483"/>
        <v>-128</v>
      </c>
      <c r="I218" s="217">
        <f t="shared" si="483"/>
        <v>-520.24899999999991</v>
      </c>
      <c r="J218" s="217">
        <f t="shared" si="483"/>
        <v>-484.59800000000087</v>
      </c>
      <c r="K218" s="217">
        <f t="shared" si="483"/>
        <v>-7418.5209999999997</v>
      </c>
      <c r="L218" s="217">
        <f t="shared" si="483"/>
        <v>-10088.297999999999</v>
      </c>
      <c r="M218" s="196"/>
      <c r="N218" s="89"/>
      <c r="O218" s="89"/>
      <c r="P218" s="133"/>
      <c r="Q218" s="89"/>
      <c r="R218" s="89"/>
      <c r="S218" s="89"/>
      <c r="T218" s="89"/>
      <c r="U218" s="89"/>
      <c r="V218" s="89"/>
      <c r="W218" s="89"/>
      <c r="X218" s="89"/>
      <c r="Y218" s="89"/>
      <c r="Z218" s="89"/>
      <c r="AA218" s="89"/>
      <c r="AB218" s="89"/>
      <c r="AC218" s="217">
        <f t="shared" si="475"/>
        <v>2.8620000000000001</v>
      </c>
      <c r="AD218" s="217">
        <f t="shared" si="475"/>
        <v>-654.61099999999999</v>
      </c>
      <c r="AE218" s="217">
        <f t="shared" si="475"/>
        <v>208.83799999999999</v>
      </c>
      <c r="AF218" s="217">
        <f t="shared" si="475"/>
        <v>233.22500000000005</v>
      </c>
      <c r="AG218" s="217">
        <f t="shared" si="475"/>
        <v>53.023000000000003</v>
      </c>
      <c r="AH218" s="217">
        <f t="shared" si="475"/>
        <v>-56.501000000000005</v>
      </c>
      <c r="AI218" s="217">
        <f t="shared" si="475"/>
        <v>1.615000000000002</v>
      </c>
      <c r="AJ218" s="217">
        <f t="shared" si="475"/>
        <v>195.45100000000002</v>
      </c>
      <c r="AK218" s="217">
        <f t="shared" ref="AK218:BD218" si="484">AK89</f>
        <v>-87.340999999999994</v>
      </c>
      <c r="AL218" s="217">
        <f t="shared" si="484"/>
        <v>26.194999999999993</v>
      </c>
      <c r="AM218" s="217">
        <f t="shared" si="484"/>
        <v>-483.16899999999998</v>
      </c>
      <c r="AN218" s="217">
        <f t="shared" si="484"/>
        <v>299.62099999999998</v>
      </c>
      <c r="AO218" s="217">
        <f t="shared" si="484"/>
        <v>-524.50800000000004</v>
      </c>
      <c r="AP218" s="217">
        <f t="shared" si="484"/>
        <v>159.66300000000001</v>
      </c>
      <c r="AQ218" s="217">
        <f t="shared" si="484"/>
        <v>160.12100000000004</v>
      </c>
      <c r="AR218" s="217">
        <f t="shared" si="484"/>
        <v>76.72399999999999</v>
      </c>
      <c r="AS218" s="217">
        <f t="shared" si="484"/>
        <v>-258.50200000000001</v>
      </c>
      <c r="AT218" s="217">
        <f t="shared" si="484"/>
        <v>220.291</v>
      </c>
      <c r="AU218" s="217">
        <f t="shared" si="484"/>
        <v>-74.046999999999969</v>
      </c>
      <c r="AV218" s="217">
        <f t="shared" si="484"/>
        <v>-407.99099999999993</v>
      </c>
      <c r="AW218" s="217">
        <f t="shared" si="484"/>
        <v>369.59899999999999</v>
      </c>
      <c r="AX218" s="217">
        <f t="shared" si="484"/>
        <v>-25.204999999999984</v>
      </c>
      <c r="AY218" s="217">
        <f t="shared" si="484"/>
        <v>134.13299999999998</v>
      </c>
      <c r="AZ218" s="217">
        <f t="shared" si="484"/>
        <v>-963.12500000000091</v>
      </c>
      <c r="BA218" s="217">
        <f t="shared" si="484"/>
        <v>-1197.827</v>
      </c>
      <c r="BB218" s="217">
        <f t="shared" si="484"/>
        <v>529.89800000000002</v>
      </c>
      <c r="BC218" s="217">
        <f t="shared" si="484"/>
        <v>-621.15499999999997</v>
      </c>
      <c r="BD218" s="217">
        <f t="shared" si="484"/>
        <v>-6129.4369999999999</v>
      </c>
      <c r="BE218" s="217">
        <f t="shared" si="463"/>
        <v>358.90199999999993</v>
      </c>
      <c r="BF218" s="217">
        <f t="shared" si="463"/>
        <v>-2222.732</v>
      </c>
      <c r="BG218" s="217">
        <f t="shared" si="463"/>
        <v>-2095.0309999999999</v>
      </c>
    </row>
    <row r="219" spans="2:59" ht="13.5" customHeight="1" thickTop="1" thickBot="1">
      <c r="B219" s="76" t="s">
        <v>472</v>
      </c>
      <c r="C219" s="218">
        <f t="shared" ref="C219:L219" si="485">SUM(C213:C218)</f>
        <v>1181.8469999999991</v>
      </c>
      <c r="D219" s="218">
        <f t="shared" si="485"/>
        <v>-797.52900000000113</v>
      </c>
      <c r="E219" s="218">
        <f t="shared" si="485"/>
        <v>-485.48500000000081</v>
      </c>
      <c r="F219" s="218">
        <f t="shared" si="485"/>
        <v>1387.0059999999967</v>
      </c>
      <c r="G219" s="218">
        <f t="shared" si="485"/>
        <v>683.10099999999738</v>
      </c>
      <c r="H219" s="218">
        <f>SUM(H213:H218)</f>
        <v>3380.7180000000026</v>
      </c>
      <c r="I219" s="218">
        <f>SUM(I213:I218)</f>
        <v>2645.5090000000005</v>
      </c>
      <c r="J219" s="218">
        <f>SUM(J213:J218)</f>
        <v>1735.4880000000044</v>
      </c>
      <c r="K219" s="218">
        <f>SUM(K213:K218)</f>
        <v>-2019.3120000000044</v>
      </c>
      <c r="L219" s="218">
        <f t="shared" si="485"/>
        <v>4805.1710000000185</v>
      </c>
      <c r="M219" s="202"/>
      <c r="N219" s="90"/>
      <c r="O219" s="90"/>
      <c r="P219" s="131"/>
      <c r="Q219" s="90"/>
      <c r="R219" s="90"/>
      <c r="S219" s="90"/>
      <c r="T219" s="90"/>
      <c r="U219" s="90"/>
      <c r="V219" s="90"/>
      <c r="W219" s="90"/>
      <c r="X219" s="90"/>
      <c r="Y219" s="90"/>
      <c r="Z219" s="90"/>
      <c r="AA219" s="90"/>
      <c r="AB219" s="90"/>
      <c r="AC219" s="218">
        <f t="shared" ref="AC219:AI219" si="486">SUM(AC213:AC218)</f>
        <v>67.128260111892132</v>
      </c>
      <c r="AD219" s="218">
        <f t="shared" si="486"/>
        <v>-1626.4449408333689</v>
      </c>
      <c r="AE219" s="218">
        <f t="shared" si="486"/>
        <v>1431.1590000000001</v>
      </c>
      <c r="AF219" s="218">
        <f t="shared" si="486"/>
        <v>-357.32799999999918</v>
      </c>
      <c r="AG219" s="218">
        <f t="shared" si="486"/>
        <v>876.24900000000002</v>
      </c>
      <c r="AH219" s="218">
        <f t="shared" si="486"/>
        <v>-755.904</v>
      </c>
      <c r="AI219" s="218">
        <f t="shared" si="486"/>
        <v>791.04000000000042</v>
      </c>
      <c r="AJ219" s="218">
        <f>SUM(AJ213:AJ218)</f>
        <v>475.52099999999865</v>
      </c>
      <c r="AK219" s="218">
        <f t="shared" ref="AK219:BD219" si="487">AK90</f>
        <v>-386.21900000000073</v>
      </c>
      <c r="AL219" s="218">
        <f t="shared" si="487"/>
        <v>373.74299999999931</v>
      </c>
      <c r="AM219" s="218">
        <f t="shared" si="487"/>
        <v>243.09500000000094</v>
      </c>
      <c r="AN219" s="218">
        <f t="shared" si="487"/>
        <v>452.48199999999844</v>
      </c>
      <c r="AO219" s="218">
        <f t="shared" si="487"/>
        <v>-927.89</v>
      </c>
      <c r="AP219" s="218">
        <f t="shared" si="487"/>
        <v>3151.8460000000005</v>
      </c>
      <c r="AQ219" s="218">
        <f t="shared" si="487"/>
        <v>557.24999999999909</v>
      </c>
      <c r="AR219" s="218">
        <f t="shared" si="487"/>
        <v>599.5120000000004</v>
      </c>
      <c r="AS219" s="218">
        <f t="shared" si="487"/>
        <v>150.35100000000028</v>
      </c>
      <c r="AT219" s="218">
        <f t="shared" si="487"/>
        <v>457.09599999999978</v>
      </c>
      <c r="AU219" s="218">
        <f t="shared" si="487"/>
        <v>1532.599999999999</v>
      </c>
      <c r="AV219" s="218">
        <f t="shared" si="487"/>
        <v>505.46200000000209</v>
      </c>
      <c r="AW219" s="218">
        <f t="shared" si="487"/>
        <v>696.61000000000138</v>
      </c>
      <c r="AX219" s="218">
        <f t="shared" si="487"/>
        <v>281.0849999999997</v>
      </c>
      <c r="AY219" s="218">
        <f t="shared" si="487"/>
        <v>973.94799999999964</v>
      </c>
      <c r="AZ219" s="218">
        <f t="shared" si="487"/>
        <v>-216.15499999999645</v>
      </c>
      <c r="BA219" s="218">
        <f t="shared" si="487"/>
        <v>-1047.3000000000018</v>
      </c>
      <c r="BB219" s="218">
        <f t="shared" si="487"/>
        <v>-3359.5449999999996</v>
      </c>
      <c r="BC219" s="218">
        <f t="shared" si="487"/>
        <v>948.2930000000008</v>
      </c>
      <c r="BD219" s="218">
        <f t="shared" si="487"/>
        <v>1439.2400000000052</v>
      </c>
      <c r="BE219" s="218">
        <f t="shared" si="463"/>
        <v>5660.9280000000017</v>
      </c>
      <c r="BF219" s="218">
        <f t="shared" si="463"/>
        <v>-4209.1380000000045</v>
      </c>
      <c r="BG219" s="218">
        <f t="shared" si="463"/>
        <v>1914.1409999999992</v>
      </c>
    </row>
    <row r="220" spans="2:59" ht="13.5" customHeight="1" thickTop="1">
      <c r="B220" s="1" t="str">
        <f t="shared" ref="B220:L220" si="488">B91</f>
        <v>Equity Issuance/Buyback</v>
      </c>
      <c r="C220" s="214">
        <f t="shared" si="488"/>
        <v>0</v>
      </c>
      <c r="D220" s="214">
        <f t="shared" si="488"/>
        <v>-267.92</v>
      </c>
      <c r="E220" s="214">
        <f t="shared" si="488"/>
        <v>-65.606999999999999</v>
      </c>
      <c r="F220" s="214">
        <f t="shared" si="488"/>
        <v>0</v>
      </c>
      <c r="G220" s="214">
        <f t="shared" si="488"/>
        <v>-94.62</v>
      </c>
      <c r="H220" s="214">
        <f t="shared" si="488"/>
        <v>-9.9979999999999993</v>
      </c>
      <c r="I220" s="214">
        <f t="shared" si="488"/>
        <v>-9.9939999999999998</v>
      </c>
      <c r="J220" s="214">
        <f t="shared" si="488"/>
        <v>0</v>
      </c>
      <c r="K220" s="214">
        <f t="shared" si="488"/>
        <v>0</v>
      </c>
      <c r="L220" s="214">
        <f t="shared" si="488"/>
        <v>-33.884</v>
      </c>
      <c r="M220" s="196"/>
      <c r="N220" s="68"/>
      <c r="O220" s="68"/>
      <c r="P220" s="134"/>
      <c r="Q220" s="68"/>
      <c r="R220" s="68"/>
      <c r="S220" s="68"/>
      <c r="T220" s="68"/>
      <c r="U220" s="68"/>
      <c r="V220" s="68"/>
      <c r="W220" s="68"/>
      <c r="X220" s="68"/>
      <c r="Y220" s="68"/>
      <c r="Z220" s="68"/>
      <c r="AA220" s="68"/>
      <c r="AB220" s="68"/>
      <c r="AC220" s="214">
        <f t="shared" ref="AC220:AJ224" si="489">AC91</f>
        <v>0</v>
      </c>
      <c r="AD220" s="214">
        <f t="shared" si="489"/>
        <v>0</v>
      </c>
      <c r="AE220" s="214">
        <f t="shared" si="489"/>
        <v>-22.452000000000002</v>
      </c>
      <c r="AF220" s="214">
        <f t="shared" si="489"/>
        <v>-43.155000000000001</v>
      </c>
      <c r="AG220" s="214">
        <f t="shared" si="489"/>
        <v>0</v>
      </c>
      <c r="AH220" s="214">
        <f t="shared" si="489"/>
        <v>0</v>
      </c>
      <c r="AI220" s="214">
        <f t="shared" si="489"/>
        <v>0</v>
      </c>
      <c r="AJ220" s="214">
        <f t="shared" si="489"/>
        <v>0</v>
      </c>
      <c r="AK220" s="214">
        <f t="shared" ref="AK220:BD220" si="490">AK91</f>
        <v>0</v>
      </c>
      <c r="AL220" s="214">
        <f t="shared" si="490"/>
        <v>0</v>
      </c>
      <c r="AM220" s="214">
        <f t="shared" si="490"/>
        <v>-53.527999999999999</v>
      </c>
      <c r="AN220" s="214">
        <f t="shared" si="490"/>
        <v>-41.092000000000006</v>
      </c>
      <c r="AO220" s="214">
        <f t="shared" si="490"/>
        <v>-9.9979999999999993</v>
      </c>
      <c r="AP220" s="214">
        <f t="shared" si="490"/>
        <v>0</v>
      </c>
      <c r="AQ220" s="214">
        <f t="shared" si="490"/>
        <v>0</v>
      </c>
      <c r="AR220" s="214">
        <f t="shared" si="490"/>
        <v>0</v>
      </c>
      <c r="AS220" s="214">
        <f t="shared" si="490"/>
        <v>-9.9939999999999998</v>
      </c>
      <c r="AT220" s="214">
        <f t="shared" si="490"/>
        <v>0</v>
      </c>
      <c r="AU220" s="214">
        <f t="shared" si="490"/>
        <v>0</v>
      </c>
      <c r="AV220" s="214">
        <f t="shared" si="490"/>
        <v>0</v>
      </c>
      <c r="AW220" s="214">
        <f t="shared" si="490"/>
        <v>0</v>
      </c>
      <c r="AX220" s="214">
        <f t="shared" si="490"/>
        <v>0</v>
      </c>
      <c r="AY220" s="214">
        <f t="shared" si="490"/>
        <v>0</v>
      </c>
      <c r="AZ220" s="214">
        <f t="shared" si="490"/>
        <v>0</v>
      </c>
      <c r="BA220" s="214">
        <f t="shared" si="490"/>
        <v>0</v>
      </c>
      <c r="BB220" s="214">
        <f t="shared" si="490"/>
        <v>0</v>
      </c>
      <c r="BC220" s="214">
        <f t="shared" si="490"/>
        <v>0</v>
      </c>
      <c r="BD220" s="214">
        <f t="shared" si="490"/>
        <v>0</v>
      </c>
      <c r="BE220" s="214">
        <f t="shared" si="463"/>
        <v>0</v>
      </c>
      <c r="BF220" s="214">
        <f t="shared" si="463"/>
        <v>-33.884</v>
      </c>
      <c r="BG220" s="214">
        <f t="shared" si="463"/>
        <v>0</v>
      </c>
    </row>
    <row r="221" spans="2:59" s="5" customFormat="1" ht="13.5" customHeight="1">
      <c r="B221" s="1" t="str">
        <f t="shared" ref="B221:L221" si="491">B92</f>
        <v xml:space="preserve">Dividends received  / Dividends Paid </v>
      </c>
      <c r="C221" s="214">
        <f t="shared" si="491"/>
        <v>84.091000000000008</v>
      </c>
      <c r="D221" s="214">
        <f t="shared" si="491"/>
        <v>-4025.5149999999999</v>
      </c>
      <c r="E221" s="214">
        <f t="shared" si="491"/>
        <v>-51.415999999999997</v>
      </c>
      <c r="F221" s="214">
        <f t="shared" si="491"/>
        <v>-3050.9280000000003</v>
      </c>
      <c r="G221" s="214">
        <f t="shared" si="491"/>
        <v>-1949.3790000000001</v>
      </c>
      <c r="H221" s="214">
        <f t="shared" si="491"/>
        <v>-1127.6469999999999</v>
      </c>
      <c r="I221" s="214">
        <f t="shared" si="491"/>
        <v>-838.24599999999998</v>
      </c>
      <c r="J221" s="214">
        <f t="shared" si="491"/>
        <v>-2565.9299999999998</v>
      </c>
      <c r="K221" s="214">
        <f t="shared" si="491"/>
        <v>-1248.117</v>
      </c>
      <c r="L221" s="214">
        <f t="shared" si="491"/>
        <v>0</v>
      </c>
      <c r="M221" s="196"/>
      <c r="N221" s="68"/>
      <c r="O221" s="68"/>
      <c r="P221" s="130"/>
      <c r="Q221" s="68"/>
      <c r="R221" s="68"/>
      <c r="S221" s="68"/>
      <c r="T221" s="68"/>
      <c r="U221" s="68"/>
      <c r="V221" s="68"/>
      <c r="W221" s="68"/>
      <c r="X221" s="68"/>
      <c r="Y221" s="68"/>
      <c r="Z221" s="68"/>
      <c r="AA221" s="68"/>
      <c r="AB221" s="68"/>
      <c r="AC221" s="214">
        <f t="shared" si="489"/>
        <v>0</v>
      </c>
      <c r="AD221" s="214">
        <f t="shared" si="489"/>
        <v>-35.683</v>
      </c>
      <c r="AE221" s="214">
        <f t="shared" si="489"/>
        <v>-10.985999999999997</v>
      </c>
      <c r="AF221" s="214">
        <f t="shared" si="489"/>
        <v>-4.7469999999999999</v>
      </c>
      <c r="AG221" s="214">
        <f t="shared" si="489"/>
        <v>-39.558999999999997</v>
      </c>
      <c r="AH221" s="214">
        <f t="shared" si="489"/>
        <v>-935.56799999999998</v>
      </c>
      <c r="AI221" s="214">
        <f t="shared" si="489"/>
        <v>-999.89100000000008</v>
      </c>
      <c r="AJ221" s="214">
        <f t="shared" si="489"/>
        <v>-1075.9100000000003</v>
      </c>
      <c r="AK221" s="214">
        <f t="shared" ref="AK221:BD221" si="492">AK92</f>
        <v>-19.201000000000001</v>
      </c>
      <c r="AL221" s="214">
        <f t="shared" si="492"/>
        <v>-626.91300000000001</v>
      </c>
      <c r="AM221" s="214">
        <f t="shared" si="492"/>
        <v>-673.66699999999992</v>
      </c>
      <c r="AN221" s="214">
        <f t="shared" si="492"/>
        <v>-629.59800000000018</v>
      </c>
      <c r="AO221" s="214">
        <f t="shared" si="492"/>
        <v>0</v>
      </c>
      <c r="AP221" s="214">
        <f t="shared" si="492"/>
        <v>-109.178</v>
      </c>
      <c r="AQ221" s="214">
        <f t="shared" si="492"/>
        <v>0</v>
      </c>
      <c r="AR221" s="214">
        <f t="shared" si="492"/>
        <v>-1018.4689999999999</v>
      </c>
      <c r="AS221" s="214">
        <f t="shared" si="492"/>
        <v>-32.856000000000002</v>
      </c>
      <c r="AT221" s="214">
        <f t="shared" si="492"/>
        <v>0</v>
      </c>
      <c r="AU221" s="214">
        <f t="shared" si="492"/>
        <v>0</v>
      </c>
      <c r="AV221" s="214">
        <f t="shared" si="492"/>
        <v>-805.39</v>
      </c>
      <c r="AW221" s="214">
        <f t="shared" si="492"/>
        <v>0</v>
      </c>
      <c r="AX221" s="214">
        <f t="shared" si="492"/>
        <v>-855.31</v>
      </c>
      <c r="AY221" s="214">
        <f t="shared" si="492"/>
        <v>-868.548</v>
      </c>
      <c r="AZ221" s="214">
        <f t="shared" si="492"/>
        <v>-842.07199999999989</v>
      </c>
      <c r="BA221" s="214">
        <f t="shared" si="492"/>
        <v>0</v>
      </c>
      <c r="BB221" s="214">
        <f t="shared" si="492"/>
        <v>0</v>
      </c>
      <c r="BC221" s="214">
        <f t="shared" si="492"/>
        <v>-1248.117</v>
      </c>
      <c r="BD221" s="214">
        <f t="shared" si="492"/>
        <v>0</v>
      </c>
      <c r="BE221" s="214">
        <f t="shared" si="463"/>
        <v>0</v>
      </c>
      <c r="BF221" s="214">
        <f t="shared" si="463"/>
        <v>0</v>
      </c>
      <c r="BG221" s="214">
        <f t="shared" si="463"/>
        <v>0</v>
      </c>
    </row>
    <row r="222" spans="2:59" ht="13.5" customHeight="1">
      <c r="B222" s="1" t="str">
        <f t="shared" ref="B222:L222" si="493">B93</f>
        <v>Acquisition of bonds</v>
      </c>
      <c r="C222" s="214">
        <f t="shared" si="493"/>
        <v>0</v>
      </c>
      <c r="D222" s="214">
        <f t="shared" si="493"/>
        <v>0</v>
      </c>
      <c r="E222" s="214">
        <f t="shared" si="493"/>
        <v>0</v>
      </c>
      <c r="F222" s="214">
        <f t="shared" si="493"/>
        <v>0</v>
      </c>
      <c r="G222" s="214">
        <f t="shared" si="493"/>
        <v>0</v>
      </c>
      <c r="H222" s="214">
        <f t="shared" si="493"/>
        <v>0</v>
      </c>
      <c r="I222" s="214">
        <f t="shared" si="493"/>
        <v>0</v>
      </c>
      <c r="J222" s="214">
        <f t="shared" si="493"/>
        <v>0</v>
      </c>
      <c r="K222" s="214">
        <f t="shared" si="493"/>
        <v>0</v>
      </c>
      <c r="L222" s="214">
        <f t="shared" si="493"/>
        <v>2109.2769999999996</v>
      </c>
      <c r="M222" s="196"/>
      <c r="N222" s="68"/>
      <c r="O222" s="68"/>
      <c r="P222" s="130"/>
      <c r="Q222" s="68"/>
      <c r="R222" s="68"/>
      <c r="S222" s="68"/>
      <c r="T222" s="68"/>
      <c r="U222" s="68"/>
      <c r="V222" s="68"/>
      <c r="W222" s="68"/>
      <c r="X222" s="68"/>
      <c r="Y222" s="68"/>
      <c r="Z222" s="68"/>
      <c r="AA222" s="68"/>
      <c r="AB222" s="68"/>
      <c r="AC222" s="214">
        <f t="shared" si="489"/>
        <v>0</v>
      </c>
      <c r="AD222" s="214">
        <f t="shared" si="489"/>
        <v>0</v>
      </c>
      <c r="AE222" s="214">
        <f t="shared" si="489"/>
        <v>0</v>
      </c>
      <c r="AF222" s="214">
        <f t="shared" si="489"/>
        <v>0</v>
      </c>
      <c r="AG222" s="214">
        <f t="shared" si="489"/>
        <v>0</v>
      </c>
      <c r="AH222" s="214">
        <f t="shared" si="489"/>
        <v>0</v>
      </c>
      <c r="AI222" s="214">
        <f t="shared" si="489"/>
        <v>0</v>
      </c>
      <c r="AJ222" s="214">
        <f t="shared" si="489"/>
        <v>0</v>
      </c>
      <c r="AK222" s="214">
        <f t="shared" ref="AK222:BD222" si="494">AK93</f>
        <v>0</v>
      </c>
      <c r="AL222" s="214">
        <f t="shared" si="494"/>
        <v>0</v>
      </c>
      <c r="AM222" s="214">
        <f t="shared" si="494"/>
        <v>0</v>
      </c>
      <c r="AN222" s="214">
        <f t="shared" si="494"/>
        <v>0</v>
      </c>
      <c r="AO222" s="214">
        <f t="shared" si="494"/>
        <v>0</v>
      </c>
      <c r="AP222" s="214">
        <f t="shared" si="494"/>
        <v>0</v>
      </c>
      <c r="AQ222" s="214">
        <f t="shared" si="494"/>
        <v>0</v>
      </c>
      <c r="AR222" s="214">
        <f t="shared" si="494"/>
        <v>0</v>
      </c>
      <c r="AS222" s="214">
        <f t="shared" si="494"/>
        <v>0</v>
      </c>
      <c r="AT222" s="214">
        <f t="shared" si="494"/>
        <v>0</v>
      </c>
      <c r="AU222" s="214">
        <f t="shared" si="494"/>
        <v>0</v>
      </c>
      <c r="AV222" s="214">
        <f t="shared" si="494"/>
        <v>0</v>
      </c>
      <c r="AW222" s="214">
        <f t="shared" si="494"/>
        <v>0</v>
      </c>
      <c r="AX222" s="214">
        <f t="shared" si="494"/>
        <v>0</v>
      </c>
      <c r="AY222" s="214">
        <f t="shared" si="494"/>
        <v>0</v>
      </c>
      <c r="AZ222" s="214">
        <f t="shared" si="494"/>
        <v>0</v>
      </c>
      <c r="BA222" s="214">
        <f t="shared" si="494"/>
        <v>0</v>
      </c>
      <c r="BB222" s="214">
        <f t="shared" si="494"/>
        <v>0</v>
      </c>
      <c r="BC222" s="214">
        <f t="shared" si="494"/>
        <v>-89.277000000000044</v>
      </c>
      <c r="BD222" s="214">
        <f t="shared" si="494"/>
        <v>89.277000000000044</v>
      </c>
      <c r="BE222" s="214">
        <f t="shared" si="463"/>
        <v>0</v>
      </c>
      <c r="BF222" s="214">
        <f t="shared" si="463"/>
        <v>0</v>
      </c>
      <c r="BG222" s="214">
        <f t="shared" si="463"/>
        <v>2019.9999999999995</v>
      </c>
    </row>
    <row r="223" spans="2:59" ht="13.5" customHeight="1">
      <c r="B223" s="1" t="str">
        <f t="shared" ref="B223:L223" si="495">B94</f>
        <v>Change in debt /Finance Costs</v>
      </c>
      <c r="C223" s="214">
        <f t="shared" si="495"/>
        <v>101.26099999999951</v>
      </c>
      <c r="D223" s="214">
        <f t="shared" si="495"/>
        <v>-244.75799999999981</v>
      </c>
      <c r="E223" s="214">
        <f t="shared" si="495"/>
        <v>4616.0499999999993</v>
      </c>
      <c r="F223" s="214">
        <f t="shared" si="495"/>
        <v>1667.7030000000011</v>
      </c>
      <c r="G223" s="214">
        <f t="shared" si="495"/>
        <v>1186.0650000000014</v>
      </c>
      <c r="H223" s="214">
        <f t="shared" si="495"/>
        <v>-3366.8759999999984</v>
      </c>
      <c r="I223" s="214">
        <f t="shared" si="495"/>
        <v>-4634.5569999999971</v>
      </c>
      <c r="J223" s="214">
        <f t="shared" si="495"/>
        <v>-1061.8579999999999</v>
      </c>
      <c r="K223" s="214">
        <f t="shared" si="495"/>
        <v>2645.505000000001</v>
      </c>
      <c r="L223" s="214">
        <f t="shared" si="495"/>
        <v>3002.5250000000042</v>
      </c>
      <c r="M223" s="196"/>
      <c r="N223" s="68"/>
      <c r="O223" s="68"/>
      <c r="P223" s="130"/>
      <c r="Q223" s="68"/>
      <c r="R223" s="68"/>
      <c r="S223" s="68"/>
      <c r="T223" s="68"/>
      <c r="U223" s="68"/>
      <c r="V223" s="68"/>
      <c r="W223" s="68"/>
      <c r="X223" s="68"/>
      <c r="Y223" s="68"/>
      <c r="Z223" s="68"/>
      <c r="AA223" s="68"/>
      <c r="AB223" s="68"/>
      <c r="AC223" s="214">
        <f t="shared" si="489"/>
        <v>-145.21699999999998</v>
      </c>
      <c r="AD223" s="214">
        <f t="shared" si="489"/>
        <v>3291.55</v>
      </c>
      <c r="AE223" s="214">
        <f t="shared" si="489"/>
        <v>518.27499999999907</v>
      </c>
      <c r="AF223" s="214">
        <f t="shared" si="489"/>
        <v>951.44200000000001</v>
      </c>
      <c r="AG223" s="214">
        <f t="shared" si="489"/>
        <v>691.85599999999977</v>
      </c>
      <c r="AH223" s="214">
        <f t="shared" si="489"/>
        <v>275.77300000000082</v>
      </c>
      <c r="AI223" s="214">
        <f t="shared" si="489"/>
        <v>450.18599999999992</v>
      </c>
      <c r="AJ223" s="214">
        <f t="shared" si="489"/>
        <v>249.8880000000006</v>
      </c>
      <c r="AK223" s="214">
        <f t="shared" ref="AK223:BD223" si="496">AK94</f>
        <v>497.64099999999956</v>
      </c>
      <c r="AL223" s="214">
        <f t="shared" si="496"/>
        <v>2556.5220000000008</v>
      </c>
      <c r="AM223" s="214">
        <f t="shared" si="496"/>
        <v>-253.54700000000042</v>
      </c>
      <c r="AN223" s="214">
        <f t="shared" si="496"/>
        <v>-1614.5509999999986</v>
      </c>
      <c r="AO223" s="214">
        <f t="shared" si="496"/>
        <v>1570.4220000000003</v>
      </c>
      <c r="AP223" s="214">
        <f t="shared" si="496"/>
        <v>-2215.1220000000003</v>
      </c>
      <c r="AQ223" s="214">
        <f t="shared" si="496"/>
        <v>-1242.625000000002</v>
      </c>
      <c r="AR223" s="214">
        <f t="shared" si="496"/>
        <v>-1479.5509999999965</v>
      </c>
      <c r="AS223" s="214">
        <f t="shared" si="496"/>
        <v>-2623.6719999999991</v>
      </c>
      <c r="AT223" s="214">
        <f t="shared" si="496"/>
        <v>-639.71200000000181</v>
      </c>
      <c r="AU223" s="214">
        <f t="shared" si="496"/>
        <v>-672.09799999999905</v>
      </c>
      <c r="AV223" s="214">
        <f t="shared" si="496"/>
        <v>-699.07499999999709</v>
      </c>
      <c r="AW223" s="214">
        <f t="shared" si="496"/>
        <v>428.73700000000014</v>
      </c>
      <c r="AX223" s="214">
        <f t="shared" si="496"/>
        <v>-1926.0119999999997</v>
      </c>
      <c r="AY223" s="214">
        <f t="shared" si="496"/>
        <v>-202.68299999999959</v>
      </c>
      <c r="AZ223" s="214">
        <f t="shared" si="496"/>
        <v>638.09999999999923</v>
      </c>
      <c r="BA223" s="214">
        <f t="shared" si="496"/>
        <v>366.74299999999999</v>
      </c>
      <c r="BB223" s="214">
        <f t="shared" si="496"/>
        <v>2951.8370000000004</v>
      </c>
      <c r="BC223" s="214">
        <f t="shared" si="496"/>
        <v>127.23100000000017</v>
      </c>
      <c r="BD223" s="214">
        <f t="shared" si="496"/>
        <v>-800.30599999999959</v>
      </c>
      <c r="BE223" s="214">
        <f t="shared" si="463"/>
        <v>1740.6319999999996</v>
      </c>
      <c r="BF223" s="214">
        <f t="shared" si="463"/>
        <v>2525.0470000000014</v>
      </c>
      <c r="BG223" s="214">
        <f t="shared" si="463"/>
        <v>-462.84799999999723</v>
      </c>
    </row>
    <row r="224" spans="2:59" ht="13.5" customHeight="1" thickBot="1">
      <c r="B224" s="1" t="str">
        <f t="shared" ref="B224:L224" si="497">B95</f>
        <v>Other Finance</v>
      </c>
      <c r="C224" s="214">
        <f t="shared" si="497"/>
        <v>-7.4999999999999997E-2</v>
      </c>
      <c r="D224" s="214">
        <f t="shared" si="497"/>
        <v>-349.24299999999999</v>
      </c>
      <c r="E224" s="214">
        <f t="shared" si="497"/>
        <v>340.00400000000002</v>
      </c>
      <c r="F224" s="214">
        <f t="shared" si="497"/>
        <v>-183.518</v>
      </c>
      <c r="G224" s="214">
        <f t="shared" si="497"/>
        <v>323.55100000000004</v>
      </c>
      <c r="H224" s="214">
        <f t="shared" si="497"/>
        <v>1026.5640000000001</v>
      </c>
      <c r="I224" s="214">
        <f t="shared" si="497"/>
        <v>1214.9839999999999</v>
      </c>
      <c r="J224" s="214">
        <f t="shared" si="497"/>
        <v>-314.452</v>
      </c>
      <c r="K224" s="214">
        <f t="shared" si="497"/>
        <v>362.63599999999997</v>
      </c>
      <c r="L224" s="214">
        <f t="shared" si="497"/>
        <v>628.84999999999991</v>
      </c>
      <c r="M224" s="196"/>
      <c r="N224" s="89"/>
      <c r="O224" s="89"/>
      <c r="P224" s="130"/>
      <c r="Q224" s="68"/>
      <c r="R224" s="68"/>
      <c r="S224" s="68"/>
      <c r="T224" s="68"/>
      <c r="U224" s="68"/>
      <c r="V224" s="68"/>
      <c r="W224" s="68"/>
      <c r="X224" s="68"/>
      <c r="Y224" s="68"/>
      <c r="Z224" s="68"/>
      <c r="AA224" s="68"/>
      <c r="AB224" s="68"/>
      <c r="AC224" s="214">
        <f t="shared" si="489"/>
        <v>160.72200000000001</v>
      </c>
      <c r="AD224" s="214">
        <f t="shared" si="489"/>
        <v>71.052999999999997</v>
      </c>
      <c r="AE224" s="214">
        <f t="shared" si="489"/>
        <v>0</v>
      </c>
      <c r="AF224" s="214">
        <f t="shared" si="489"/>
        <v>108.22900000000001</v>
      </c>
      <c r="AG224" s="214">
        <f t="shared" si="489"/>
        <v>0</v>
      </c>
      <c r="AH224" s="214">
        <f t="shared" si="489"/>
        <v>0</v>
      </c>
      <c r="AI224" s="214">
        <f t="shared" si="489"/>
        <v>-148.197</v>
      </c>
      <c r="AJ224" s="214">
        <f t="shared" si="489"/>
        <v>-35.320999999999998</v>
      </c>
      <c r="AK224" s="214">
        <f t="shared" ref="AK224:BD224" si="498">AK95</f>
        <v>-47.076000000000001</v>
      </c>
      <c r="AL224" s="214">
        <f t="shared" si="498"/>
        <v>-448.04299999999995</v>
      </c>
      <c r="AM224" s="214">
        <f t="shared" si="498"/>
        <v>-84.38300000000001</v>
      </c>
      <c r="AN224" s="214">
        <f t="shared" si="498"/>
        <v>903.05300000000011</v>
      </c>
      <c r="AO224" s="214">
        <f t="shared" si="498"/>
        <v>105.87700000000001</v>
      </c>
      <c r="AP224" s="214">
        <f t="shared" si="498"/>
        <v>588.56999999999994</v>
      </c>
      <c r="AQ224" s="214">
        <f t="shared" si="498"/>
        <v>-26.745999999999924</v>
      </c>
      <c r="AR224" s="214">
        <f t="shared" si="498"/>
        <v>358.863</v>
      </c>
      <c r="AS224" s="214">
        <f t="shared" si="498"/>
        <v>307.64499999999998</v>
      </c>
      <c r="AT224" s="214">
        <f t="shared" si="498"/>
        <v>551.03600000000006</v>
      </c>
      <c r="AU224" s="214">
        <f t="shared" si="498"/>
        <v>397.09299999999985</v>
      </c>
      <c r="AV224" s="214">
        <f t="shared" si="498"/>
        <v>-40.789999999999964</v>
      </c>
      <c r="AW224" s="214">
        <f t="shared" si="498"/>
        <v>-145.357</v>
      </c>
      <c r="AX224" s="214">
        <f t="shared" si="498"/>
        <v>22.965999999999948</v>
      </c>
      <c r="AY224" s="214">
        <f t="shared" si="498"/>
        <v>-1.9759999999999138</v>
      </c>
      <c r="AZ224" s="214">
        <f t="shared" si="498"/>
        <v>-190.08500000000006</v>
      </c>
      <c r="BA224" s="214">
        <f t="shared" si="498"/>
        <v>-3.1560000000000001</v>
      </c>
      <c r="BB224" s="214">
        <f t="shared" si="498"/>
        <v>133.36899999999997</v>
      </c>
      <c r="BC224" s="214">
        <f t="shared" si="498"/>
        <v>45.705999999999896</v>
      </c>
      <c r="BD224" s="214">
        <f t="shared" si="498"/>
        <v>186.7170000000001</v>
      </c>
      <c r="BE224" s="214">
        <f t="shared" si="463"/>
        <v>-87.149999999999991</v>
      </c>
      <c r="BF224" s="214">
        <f t="shared" si="463"/>
        <v>51.507999999999939</v>
      </c>
      <c r="BG224" s="214">
        <f t="shared" si="463"/>
        <v>477.77499999999986</v>
      </c>
    </row>
    <row r="225" spans="2:59" ht="13.5" customHeight="1" thickTop="1" thickBot="1">
      <c r="B225" s="136" t="str">
        <f>B96</f>
        <v>Cash flow after financing activities</v>
      </c>
      <c r="C225" s="219">
        <f t="shared" ref="C225:L225" si="499">SUM(C219:C224)</f>
        <v>1367.1239999999987</v>
      </c>
      <c r="D225" s="219">
        <f t="shared" si="499"/>
        <v>-5684.9650000000011</v>
      </c>
      <c r="E225" s="219">
        <f t="shared" si="499"/>
        <v>4353.5459999999985</v>
      </c>
      <c r="F225" s="219">
        <f t="shared" si="499"/>
        <v>-179.73700000000255</v>
      </c>
      <c r="G225" s="219">
        <f t="shared" si="499"/>
        <v>148.7179999999986</v>
      </c>
      <c r="H225" s="219">
        <f>SUM(H219:H224)</f>
        <v>-97.238999999995713</v>
      </c>
      <c r="I225" s="219">
        <f>SUM(I219:I224)</f>
        <v>-1622.3039999999969</v>
      </c>
      <c r="J225" s="219">
        <f>SUM(J219:J224)</f>
        <v>-2206.7519999999954</v>
      </c>
      <c r="K225" s="219">
        <f>SUM(K219:K224)</f>
        <v>-259.28800000000365</v>
      </c>
      <c r="L225" s="219">
        <f t="shared" si="499"/>
        <v>10511.939000000022</v>
      </c>
      <c r="M225" s="202"/>
      <c r="N225" s="90"/>
      <c r="O225" s="90"/>
      <c r="P225" s="221"/>
      <c r="Q225" s="138"/>
      <c r="R225" s="138"/>
      <c r="S225" s="138"/>
      <c r="T225" s="138"/>
      <c r="U225" s="138"/>
      <c r="V225" s="138"/>
      <c r="W225" s="138"/>
      <c r="X225" s="138"/>
      <c r="Y225" s="138"/>
      <c r="Z225" s="138"/>
      <c r="AA225" s="138"/>
      <c r="AB225" s="138"/>
      <c r="AC225" s="219">
        <f t="shared" ref="AC225:AI225" si="500">SUM(AC219:AC224)</f>
        <v>82.633260111892156</v>
      </c>
      <c r="AD225" s="219">
        <f t="shared" si="500"/>
        <v>1700.4750591666311</v>
      </c>
      <c r="AE225" s="219">
        <f t="shared" si="500"/>
        <v>1915.9959999999992</v>
      </c>
      <c r="AF225" s="219">
        <f t="shared" si="500"/>
        <v>654.44100000000094</v>
      </c>
      <c r="AG225" s="219">
        <f t="shared" si="500"/>
        <v>1528.5459999999998</v>
      </c>
      <c r="AH225" s="219">
        <f t="shared" si="500"/>
        <v>-1415.6989999999992</v>
      </c>
      <c r="AI225" s="219">
        <f t="shared" si="500"/>
        <v>93.138000000000261</v>
      </c>
      <c r="AJ225" s="219">
        <f>SUM(AJ219:AJ224)</f>
        <v>-385.82200000000114</v>
      </c>
      <c r="AK225" s="219">
        <f t="shared" ref="AK225:BD225" si="501">AK96</f>
        <v>45.144999999998809</v>
      </c>
      <c r="AL225" s="219">
        <f t="shared" si="501"/>
        <v>1855.3090000000004</v>
      </c>
      <c r="AM225" s="219">
        <f t="shared" si="501"/>
        <v>-822.02999999999952</v>
      </c>
      <c r="AN225" s="219">
        <f t="shared" si="501"/>
        <v>-929.70600000000013</v>
      </c>
      <c r="AO225" s="219">
        <f t="shared" si="501"/>
        <v>738.41100000000029</v>
      </c>
      <c r="AP225" s="219">
        <f t="shared" si="501"/>
        <v>1416.1160000000002</v>
      </c>
      <c r="AQ225" s="219">
        <f t="shared" si="501"/>
        <v>-712.12100000000282</v>
      </c>
      <c r="AR225" s="219">
        <f t="shared" si="501"/>
        <v>-1539.6449999999961</v>
      </c>
      <c r="AS225" s="219">
        <f t="shared" si="501"/>
        <v>-2208.5259999999989</v>
      </c>
      <c r="AT225" s="219">
        <f t="shared" si="501"/>
        <v>368.41999999999803</v>
      </c>
      <c r="AU225" s="219">
        <f t="shared" si="501"/>
        <v>1257.5949999999998</v>
      </c>
      <c r="AV225" s="219">
        <f t="shared" si="501"/>
        <v>-1039.7929999999949</v>
      </c>
      <c r="AW225" s="219">
        <f t="shared" si="501"/>
        <v>979.9900000000016</v>
      </c>
      <c r="AX225" s="219">
        <f t="shared" si="501"/>
        <v>-2477.2710000000002</v>
      </c>
      <c r="AY225" s="219">
        <f t="shared" si="501"/>
        <v>-99.258999999999872</v>
      </c>
      <c r="AZ225" s="219">
        <f t="shared" si="501"/>
        <v>-610.21199999999703</v>
      </c>
      <c r="BA225" s="219">
        <f t="shared" si="501"/>
        <v>-683.71300000000178</v>
      </c>
      <c r="BB225" s="219">
        <f t="shared" si="501"/>
        <v>-274.3389999999992</v>
      </c>
      <c r="BC225" s="219">
        <f t="shared" si="501"/>
        <v>-216.16399999999913</v>
      </c>
      <c r="BD225" s="219">
        <f t="shared" si="501"/>
        <v>914.9280000000058</v>
      </c>
      <c r="BE225" s="219">
        <f t="shared" si="463"/>
        <v>7314.4100000000017</v>
      </c>
      <c r="BF225" s="219">
        <f t="shared" si="463"/>
        <v>-1666.4670000000031</v>
      </c>
      <c r="BG225" s="219">
        <f t="shared" si="463"/>
        <v>3949.0680000000011</v>
      </c>
    </row>
    <row r="226" spans="2:59" s="5" customFormat="1" ht="13.5" customHeight="1" thickTop="1" thickBot="1">
      <c r="B226" s="1" t="str">
        <f>B97</f>
        <v xml:space="preserve">FX </v>
      </c>
      <c r="C226" s="216">
        <f t="shared" ref="C226:L226" si="502">C97</f>
        <v>197.68199999999999</v>
      </c>
      <c r="D226" s="216">
        <f t="shared" si="502"/>
        <v>436.005</v>
      </c>
      <c r="E226" s="216">
        <f t="shared" si="502"/>
        <v>664.096</v>
      </c>
      <c r="F226" s="216">
        <f t="shared" si="502"/>
        <v>430.10599999999999</v>
      </c>
      <c r="G226" s="216">
        <f t="shared" si="502"/>
        <v>1947.0039999999999</v>
      </c>
      <c r="H226" s="216">
        <f t="shared" si="502"/>
        <v>298.20400000000001</v>
      </c>
      <c r="I226" s="216">
        <f t="shared" si="502"/>
        <v>-422.50599999999997</v>
      </c>
      <c r="J226" s="216">
        <f t="shared" si="502"/>
        <v>-107.995</v>
      </c>
      <c r="K226" s="216">
        <f t="shared" si="502"/>
        <v>56.067</v>
      </c>
      <c r="L226" s="216">
        <f t="shared" si="502"/>
        <v>146.92599999999993</v>
      </c>
      <c r="M226" s="196"/>
      <c r="N226" s="68"/>
      <c r="O226" s="68"/>
      <c r="P226" s="134"/>
      <c r="Q226" s="68"/>
      <c r="R226" s="68"/>
      <c r="S226" s="68"/>
      <c r="T226" s="68"/>
      <c r="U226" s="68"/>
      <c r="V226" s="68"/>
      <c r="W226" s="68"/>
      <c r="X226" s="68"/>
      <c r="Y226" s="68"/>
      <c r="Z226" s="68"/>
      <c r="AA226" s="68"/>
      <c r="AB226" s="68"/>
      <c r="AC226" s="216">
        <f t="shared" ref="AC226:AJ227" si="503">AC97</f>
        <v>66.882999999999996</v>
      </c>
      <c r="AD226" s="216">
        <f t="shared" si="503"/>
        <v>-120.77799999999999</v>
      </c>
      <c r="AE226" s="216">
        <f t="shared" si="503"/>
        <v>128.60000000000002</v>
      </c>
      <c r="AF226" s="216">
        <f t="shared" si="503"/>
        <v>589.39099999999996</v>
      </c>
      <c r="AG226" s="216">
        <f t="shared" si="503"/>
        <v>172.96100000000001</v>
      </c>
      <c r="AH226" s="216">
        <f t="shared" si="503"/>
        <v>-106.19000000000001</v>
      </c>
      <c r="AI226" s="216">
        <f t="shared" si="503"/>
        <v>97.81</v>
      </c>
      <c r="AJ226" s="216">
        <f t="shared" si="503"/>
        <v>265.52499999999998</v>
      </c>
      <c r="AK226" s="216">
        <f t="shared" ref="AK226:BD226" si="504">AK97</f>
        <v>93.998000000000005</v>
      </c>
      <c r="AL226" s="216">
        <f t="shared" si="504"/>
        <v>0</v>
      </c>
      <c r="AM226" s="216">
        <f t="shared" si="504"/>
        <v>1222.2359999999999</v>
      </c>
      <c r="AN226" s="216">
        <f t="shared" si="504"/>
        <v>630.77</v>
      </c>
      <c r="AO226" s="216">
        <f t="shared" si="504"/>
        <v>380.834</v>
      </c>
      <c r="AP226" s="216">
        <f t="shared" si="504"/>
        <v>138.21499999999997</v>
      </c>
      <c r="AQ226" s="216">
        <f t="shared" si="504"/>
        <v>-455.149</v>
      </c>
      <c r="AR226" s="216">
        <f t="shared" si="504"/>
        <v>234.30400000000014</v>
      </c>
      <c r="AS226" s="216">
        <f t="shared" si="504"/>
        <v>279.072</v>
      </c>
      <c r="AT226" s="216">
        <f t="shared" si="504"/>
        <v>-219.34300000000002</v>
      </c>
      <c r="AU226" s="216">
        <f t="shared" si="504"/>
        <v>193.04200000000003</v>
      </c>
      <c r="AV226" s="216">
        <f t="shared" si="504"/>
        <v>-675.27700000000004</v>
      </c>
      <c r="AW226" s="216">
        <f t="shared" si="504"/>
        <v>439.40499999999997</v>
      </c>
      <c r="AX226" s="216">
        <f t="shared" si="504"/>
        <v>-325.15099999999995</v>
      </c>
      <c r="AY226" s="216">
        <f t="shared" si="504"/>
        <v>54.490000000000009</v>
      </c>
      <c r="AZ226" s="216">
        <f t="shared" si="504"/>
        <v>-276.73900000000003</v>
      </c>
      <c r="BA226" s="216">
        <f t="shared" si="504"/>
        <v>170.93899999999999</v>
      </c>
      <c r="BB226" s="216">
        <f t="shared" si="504"/>
        <v>-150.214</v>
      </c>
      <c r="BC226" s="216">
        <f t="shared" si="504"/>
        <v>70.713999999999999</v>
      </c>
      <c r="BD226" s="216">
        <f t="shared" si="504"/>
        <v>-35.371999999999986</v>
      </c>
      <c r="BE226" s="216">
        <f t="shared" si="463"/>
        <v>421.10700000000003</v>
      </c>
      <c r="BF226" s="216">
        <f t="shared" si="463"/>
        <v>2274.4369999999999</v>
      </c>
      <c r="BG226" s="216">
        <f t="shared" si="463"/>
        <v>-2513.2460000000001</v>
      </c>
    </row>
    <row r="227" spans="2:59" s="5" customFormat="1" ht="13.5" customHeight="1" thickTop="1">
      <c r="B227" s="1" t="str">
        <f>B98</f>
        <v>Balancing figure</v>
      </c>
      <c r="C227" s="216">
        <f t="shared" ref="C227:L227" si="505">C98</f>
        <v>-661.34299999999871</v>
      </c>
      <c r="D227" s="216">
        <f t="shared" si="505"/>
        <v>-864.12499999999909</v>
      </c>
      <c r="E227" s="216">
        <f t="shared" si="505"/>
        <v>-1884.0859999999984</v>
      </c>
      <c r="F227" s="216">
        <f t="shared" si="505"/>
        <v>-1590.3879999999974</v>
      </c>
      <c r="G227" s="216">
        <f t="shared" si="505"/>
        <v>611.18400000000145</v>
      </c>
      <c r="H227" s="216">
        <f t="shared" si="505"/>
        <v>2618.5109999999959</v>
      </c>
      <c r="I227" s="216">
        <f t="shared" si="505"/>
        <v>3666.6499999999969</v>
      </c>
      <c r="J227" s="216">
        <f t="shared" si="505"/>
        <v>9074.0729999999949</v>
      </c>
      <c r="K227" s="216">
        <f t="shared" si="505"/>
        <v>7523.4060000000045</v>
      </c>
      <c r="L227" s="216">
        <f t="shared" si="505"/>
        <v>4022.9090000000051</v>
      </c>
      <c r="M227" s="196"/>
      <c r="N227" s="68"/>
      <c r="O227" s="68"/>
      <c r="P227" s="134"/>
      <c r="Q227" s="68"/>
      <c r="R227" s="68"/>
      <c r="S227" s="68"/>
      <c r="T227" s="68"/>
      <c r="U227" s="68"/>
      <c r="V227" s="68"/>
      <c r="W227" s="68"/>
      <c r="X227" s="68"/>
      <c r="Y227" s="68"/>
      <c r="Z227" s="68"/>
      <c r="AA227" s="68"/>
      <c r="AB227" s="68"/>
      <c r="AC227" s="216">
        <f t="shared" si="503"/>
        <v>-546.01226011189215</v>
      </c>
      <c r="AD227" s="216">
        <f t="shared" si="503"/>
        <v>-332.58105916663112</v>
      </c>
      <c r="AE227" s="216">
        <f t="shared" si="503"/>
        <v>-167.80699999999899</v>
      </c>
      <c r="AF227" s="216">
        <f t="shared" si="503"/>
        <v>-837.68568072147627</v>
      </c>
      <c r="AG227" s="216">
        <f t="shared" si="503"/>
        <v>-1303.3429999999998</v>
      </c>
      <c r="AH227" s="216">
        <f t="shared" si="503"/>
        <v>65.891999999999143</v>
      </c>
      <c r="AI227" s="216">
        <f t="shared" si="503"/>
        <v>-279.00900000000024</v>
      </c>
      <c r="AJ227" s="216">
        <f t="shared" si="503"/>
        <v>-73.927999999996473</v>
      </c>
      <c r="AK227" s="216">
        <f t="shared" ref="AK227:BD227" si="506">AK98</f>
        <v>-261.82199999999881</v>
      </c>
      <c r="AL227" s="216">
        <f t="shared" si="506"/>
        <v>635.88999999999953</v>
      </c>
      <c r="AM227" s="216">
        <f t="shared" si="506"/>
        <v>1268.1319999999994</v>
      </c>
      <c r="AN227" s="216">
        <f t="shared" si="506"/>
        <v>-1031.0159999999987</v>
      </c>
      <c r="AO227" s="216">
        <f t="shared" si="506"/>
        <v>349.76699999999983</v>
      </c>
      <c r="AP227" s="216">
        <f t="shared" si="506"/>
        <v>244.14999999999964</v>
      </c>
      <c r="AQ227" s="216">
        <f t="shared" si="506"/>
        <v>1455.9200000000035</v>
      </c>
      <c r="AR227" s="216">
        <f t="shared" si="506"/>
        <v>568.67399999999293</v>
      </c>
      <c r="AS227" s="216">
        <f t="shared" si="506"/>
        <v>902.90399999999886</v>
      </c>
      <c r="AT227" s="216">
        <f t="shared" si="506"/>
        <v>1567.8550000000021</v>
      </c>
      <c r="AU227" s="216">
        <f t="shared" si="506"/>
        <v>1144.193</v>
      </c>
      <c r="AV227" s="216">
        <f t="shared" si="506"/>
        <v>51.697999999995773</v>
      </c>
      <c r="AW227" s="216">
        <f t="shared" si="506"/>
        <v>140.7889999999984</v>
      </c>
      <c r="AX227" s="216">
        <f t="shared" si="506"/>
        <v>1814.8390000000004</v>
      </c>
      <c r="AY227" s="216">
        <f t="shared" si="506"/>
        <v>-70.924000000000433</v>
      </c>
      <c r="AZ227" s="216">
        <f t="shared" si="506"/>
        <v>7189.368999999997</v>
      </c>
      <c r="BA227" s="216">
        <f t="shared" si="506"/>
        <v>682.03600000000176</v>
      </c>
      <c r="BB227" s="216">
        <f t="shared" si="506"/>
        <v>3570.1119999999992</v>
      </c>
      <c r="BC227" s="216">
        <f t="shared" si="506"/>
        <v>2534.1369999999988</v>
      </c>
      <c r="BD227" s="216">
        <f t="shared" si="506"/>
        <v>737.12100000000476</v>
      </c>
      <c r="BE227" s="216">
        <f t="shared" si="463"/>
        <v>-6382.2620000000015</v>
      </c>
      <c r="BF227" s="216">
        <f t="shared" si="463"/>
        <v>7058.0100000000029</v>
      </c>
      <c r="BG227" s="216">
        <f t="shared" si="463"/>
        <v>2610.0399999999991</v>
      </c>
    </row>
    <row r="228" spans="2:59" s="5" customFormat="1" ht="13.5" customHeight="1" thickBot="1">
      <c r="B228" s="76" t="str">
        <f>B99</f>
        <v xml:space="preserve">Net change in cash </v>
      </c>
      <c r="C228" s="218">
        <f t="shared" ref="C228:L228" si="507">SUM(C225:C227)</f>
        <v>903.46299999999997</v>
      </c>
      <c r="D228" s="218">
        <f t="shared" si="507"/>
        <v>-6113.085</v>
      </c>
      <c r="E228" s="218">
        <f t="shared" si="507"/>
        <v>3133.5559999999996</v>
      </c>
      <c r="F228" s="218">
        <f t="shared" si="507"/>
        <v>-1340.019</v>
      </c>
      <c r="G228" s="218">
        <f t="shared" si="507"/>
        <v>2706.9059999999999</v>
      </c>
      <c r="H228" s="218">
        <f>SUM(H225:H227)</f>
        <v>2819.4760000000001</v>
      </c>
      <c r="I228" s="218">
        <f>SUM(I225:I227)</f>
        <v>1621.8400000000001</v>
      </c>
      <c r="J228" s="218">
        <f>SUM(J225:J227)</f>
        <v>6759.3259999999991</v>
      </c>
      <c r="K228" s="218">
        <f>SUM(K225:K227)</f>
        <v>7320.1850000000013</v>
      </c>
      <c r="L228" s="218">
        <f t="shared" si="507"/>
        <v>14681.774000000027</v>
      </c>
      <c r="M228" s="202"/>
      <c r="N228" s="90"/>
      <c r="O228" s="90"/>
      <c r="P228" s="131"/>
      <c r="Q228" s="90"/>
      <c r="R228" s="90"/>
      <c r="S228" s="90"/>
      <c r="T228" s="90"/>
      <c r="U228" s="90"/>
      <c r="V228" s="90"/>
      <c r="W228" s="90"/>
      <c r="X228" s="90"/>
      <c r="Y228" s="90"/>
      <c r="Z228" s="90"/>
      <c r="AA228" s="90"/>
      <c r="AB228" s="90"/>
      <c r="AC228" s="218">
        <f t="shared" ref="AC228:AI228" si="508">SUM(AC225:AC227)</f>
        <v>-396.49599999999998</v>
      </c>
      <c r="AD228" s="218">
        <f t="shared" si="508"/>
        <v>1247.116</v>
      </c>
      <c r="AE228" s="218">
        <f t="shared" si="508"/>
        <v>1876.7890000000002</v>
      </c>
      <c r="AF228" s="218">
        <f t="shared" si="508"/>
        <v>406.14631927852452</v>
      </c>
      <c r="AG228" s="218">
        <f t="shared" si="508"/>
        <v>398.16399999999999</v>
      </c>
      <c r="AH228" s="218">
        <f t="shared" si="508"/>
        <v>-1455.9970000000001</v>
      </c>
      <c r="AI228" s="218">
        <f t="shared" si="508"/>
        <v>-88.060999999999979</v>
      </c>
      <c r="AJ228" s="218">
        <f>SUM(AJ225:AJ227)</f>
        <v>-194.22499999999764</v>
      </c>
      <c r="AK228" s="218">
        <f t="shared" ref="AK228:BD228" si="509">AK99</f>
        <v>-122.679</v>
      </c>
      <c r="AL228" s="218">
        <f t="shared" si="509"/>
        <v>2491.1990000000001</v>
      </c>
      <c r="AM228" s="218">
        <f t="shared" si="509"/>
        <v>1668.3379999999997</v>
      </c>
      <c r="AN228" s="218">
        <f t="shared" si="509"/>
        <v>-1329.9519999999989</v>
      </c>
      <c r="AO228" s="218">
        <f t="shared" si="509"/>
        <v>1469.0120000000002</v>
      </c>
      <c r="AP228" s="218">
        <f t="shared" si="509"/>
        <v>1798.4809999999998</v>
      </c>
      <c r="AQ228" s="218">
        <f t="shared" si="509"/>
        <v>288.65000000000077</v>
      </c>
      <c r="AR228" s="218">
        <f t="shared" si="509"/>
        <v>-736.6670000000031</v>
      </c>
      <c r="AS228" s="218">
        <f t="shared" si="509"/>
        <v>-1026.55</v>
      </c>
      <c r="AT228" s="218">
        <f t="shared" si="509"/>
        <v>1716.932</v>
      </c>
      <c r="AU228" s="218">
        <f t="shared" si="509"/>
        <v>2594.83</v>
      </c>
      <c r="AV228" s="218">
        <f t="shared" si="509"/>
        <v>-1663.3719999999992</v>
      </c>
      <c r="AW228" s="218">
        <f t="shared" si="509"/>
        <v>1560.184</v>
      </c>
      <c r="AX228" s="218">
        <f t="shared" si="509"/>
        <v>-987.58299999999963</v>
      </c>
      <c r="AY228" s="218">
        <f t="shared" si="509"/>
        <v>-115.6930000000003</v>
      </c>
      <c r="AZ228" s="218">
        <f t="shared" si="509"/>
        <v>6302.4179999999997</v>
      </c>
      <c r="BA228" s="218">
        <f t="shared" si="509"/>
        <v>169.26199999999994</v>
      </c>
      <c r="BB228" s="218">
        <f t="shared" si="509"/>
        <v>3145.5590000000002</v>
      </c>
      <c r="BC228" s="218">
        <f t="shared" si="509"/>
        <v>2388.6869999999999</v>
      </c>
      <c r="BD228" s="218">
        <f t="shared" si="509"/>
        <v>1616.6770000000106</v>
      </c>
      <c r="BE228" s="218">
        <f t="shared" si="463"/>
        <v>1353.2550000000001</v>
      </c>
      <c r="BF228" s="218">
        <f t="shared" si="463"/>
        <v>7665.98</v>
      </c>
      <c r="BG228" s="218">
        <f t="shared" si="463"/>
        <v>4045.8620000000001</v>
      </c>
    </row>
    <row r="229" spans="2:59" ht="13.5" customHeight="1" thickTop="1">
      <c r="B229" s="225" t="s">
        <v>544</v>
      </c>
      <c r="C229" s="274">
        <f t="shared" ref="C229:L229" si="510">C141</f>
        <v>9031.8809999999994</v>
      </c>
      <c r="D229" s="274">
        <f t="shared" si="510"/>
        <v>2918.7959999999998</v>
      </c>
      <c r="E229" s="274">
        <f t="shared" si="510"/>
        <v>6052.3519999999999</v>
      </c>
      <c r="F229" s="274">
        <f t="shared" si="510"/>
        <v>4712.3329999999996</v>
      </c>
      <c r="G229" s="274">
        <f t="shared" si="510"/>
        <v>7419.2389999999996</v>
      </c>
      <c r="H229" s="274">
        <f t="shared" si="510"/>
        <v>10238.715</v>
      </c>
      <c r="I229" s="274">
        <f t="shared" si="510"/>
        <v>11860.555</v>
      </c>
      <c r="J229" s="274">
        <f t="shared" si="510"/>
        <v>18619.881000000001</v>
      </c>
      <c r="K229" s="274">
        <f t="shared" si="510"/>
        <v>25940.065999999999</v>
      </c>
      <c r="L229" s="274">
        <f t="shared" si="510"/>
        <v>39053.480000000003</v>
      </c>
      <c r="M229" s="274"/>
      <c r="N229" s="274"/>
      <c r="O229" s="274"/>
      <c r="P229" s="261"/>
      <c r="Q229" s="274"/>
      <c r="R229" s="274"/>
      <c r="S229" s="274"/>
      <c r="T229" s="274"/>
      <c r="U229" s="274"/>
      <c r="V229" s="274"/>
      <c r="W229" s="274"/>
      <c r="X229" s="274"/>
      <c r="Y229" s="274"/>
      <c r="Z229" s="274"/>
      <c r="AA229" s="274"/>
      <c r="AB229" s="274"/>
      <c r="AC229" s="274">
        <f t="shared" ref="AC229:BD229" si="511">AC141</f>
        <v>2522.4119999999998</v>
      </c>
      <c r="AD229" s="274">
        <f t="shared" si="511"/>
        <v>3769.4160000000002</v>
      </c>
      <c r="AE229" s="274">
        <f t="shared" si="511"/>
        <v>5646.2049999999999</v>
      </c>
      <c r="AF229" s="274">
        <f t="shared" si="511"/>
        <v>6052.3519999999999</v>
      </c>
      <c r="AG229" s="274">
        <f t="shared" si="511"/>
        <v>6450.5</v>
      </c>
      <c r="AH229" s="274">
        <f t="shared" si="511"/>
        <v>4994.5190000000002</v>
      </c>
      <c r="AI229" s="274">
        <f t="shared" si="511"/>
        <v>4906.4579999999996</v>
      </c>
      <c r="AJ229" s="274">
        <f t="shared" si="511"/>
        <v>4712.3329999999996</v>
      </c>
      <c r="AK229" s="274">
        <f t="shared" si="511"/>
        <v>4589.6540000000005</v>
      </c>
      <c r="AL229" s="274">
        <f t="shared" si="511"/>
        <v>7080.8530000000001</v>
      </c>
      <c r="AM229" s="274">
        <f t="shared" si="511"/>
        <v>8749.1910000000007</v>
      </c>
      <c r="AN229" s="274">
        <f t="shared" si="511"/>
        <v>7419.2389999999996</v>
      </c>
      <c r="AO229" s="274">
        <f t="shared" si="511"/>
        <v>8888.2510000000002</v>
      </c>
      <c r="AP229" s="274">
        <f t="shared" si="511"/>
        <v>10686.732</v>
      </c>
      <c r="AQ229" s="274">
        <f t="shared" si="511"/>
        <v>10975.382</v>
      </c>
      <c r="AR229" s="274">
        <f t="shared" si="511"/>
        <v>10238.715</v>
      </c>
      <c r="AS229" s="274">
        <f t="shared" si="511"/>
        <v>9212.1650000000009</v>
      </c>
      <c r="AT229" s="274">
        <f t="shared" si="511"/>
        <v>10929.097</v>
      </c>
      <c r="AU229" s="274">
        <f t="shared" si="511"/>
        <v>13523.927</v>
      </c>
      <c r="AV229" s="274">
        <f t="shared" si="511"/>
        <v>11860.555</v>
      </c>
      <c r="AW229" s="274">
        <f t="shared" si="511"/>
        <v>13420.739</v>
      </c>
      <c r="AX229" s="274">
        <f t="shared" si="511"/>
        <v>12433.156000000001</v>
      </c>
      <c r="AY229" s="274">
        <f t="shared" si="511"/>
        <v>12317.463</v>
      </c>
      <c r="AZ229" s="274">
        <f t="shared" si="511"/>
        <v>18619.881000000001</v>
      </c>
      <c r="BA229" s="274">
        <f t="shared" si="511"/>
        <v>18789.143</v>
      </c>
      <c r="BB229" s="274">
        <f t="shared" si="511"/>
        <v>21934.702000000001</v>
      </c>
      <c r="BC229" s="274">
        <f t="shared" si="511"/>
        <v>24323.388999999999</v>
      </c>
      <c r="BD229" s="274">
        <f t="shared" si="511"/>
        <v>25940.065999999999</v>
      </c>
      <c r="BE229" s="274">
        <f>BE141</f>
        <v>27293.321</v>
      </c>
      <c r="BF229" s="274">
        <f>BF141</f>
        <v>34959.300999999999</v>
      </c>
      <c r="BG229" s="274">
        <f>BG141</f>
        <v>39053.480000000003</v>
      </c>
    </row>
    <row r="230" spans="2:59" ht="13.5" customHeight="1">
      <c r="B230" s="225"/>
      <c r="C230" s="52"/>
      <c r="D230" s="52"/>
      <c r="E230" s="52"/>
      <c r="F230" s="52"/>
      <c r="G230" s="52"/>
      <c r="H230" s="52"/>
      <c r="I230" s="52"/>
      <c r="J230" s="52"/>
      <c r="K230" s="52"/>
      <c r="L230" s="52"/>
      <c r="M230" s="52"/>
      <c r="N230" s="52"/>
      <c r="O230" s="52"/>
      <c r="P230" s="26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row>
    <row r="231" spans="2:59" ht="13.5" customHeight="1">
      <c r="B231" s="225" t="s">
        <v>545</v>
      </c>
      <c r="C231" s="274">
        <f t="shared" ref="C231:L231" si="512">+C159</f>
        <v>-5141.994999999999</v>
      </c>
      <c r="D231" s="274">
        <f t="shared" si="512"/>
        <v>1486.8360000000002</v>
      </c>
      <c r="E231" s="274">
        <f t="shared" si="512"/>
        <v>3971.322000000001</v>
      </c>
      <c r="F231" s="274">
        <f t="shared" si="512"/>
        <v>8114.0560000000005</v>
      </c>
      <c r="G231" s="274">
        <f t="shared" si="512"/>
        <v>11322.35</v>
      </c>
      <c r="H231" s="274">
        <f t="shared" si="512"/>
        <v>8533.9570000000022</v>
      </c>
      <c r="I231" s="274">
        <f t="shared" si="512"/>
        <v>7626.9809999999998</v>
      </c>
      <c r="J231" s="274">
        <f t="shared" si="512"/>
        <v>15252.386999999995</v>
      </c>
      <c r="K231" s="274">
        <f t="shared" si="512"/>
        <v>24859.053</v>
      </c>
      <c r="L231" s="274">
        <f t="shared" si="512"/>
        <v>40245.178999999996</v>
      </c>
      <c r="M231" s="274"/>
      <c r="N231" s="274"/>
      <c r="O231" s="274"/>
      <c r="P231" s="261"/>
      <c r="Q231" s="274"/>
      <c r="R231" s="274"/>
      <c r="S231" s="274"/>
      <c r="T231" s="274"/>
      <c r="U231" s="274"/>
      <c r="V231" s="274"/>
      <c r="W231" s="274"/>
      <c r="X231" s="274"/>
      <c r="Y231" s="274"/>
      <c r="Z231" s="274"/>
      <c r="AA231" s="274"/>
      <c r="AB231" s="274"/>
      <c r="AC231" s="274">
        <f t="shared" ref="AC231:BD231" si="513">+AC159</f>
        <v>1751.4839999999995</v>
      </c>
      <c r="AD231" s="274">
        <f t="shared" si="513"/>
        <v>3818.938999999998</v>
      </c>
      <c r="AE231" s="274">
        <f t="shared" si="513"/>
        <v>2777.1869999999999</v>
      </c>
      <c r="AF231" s="274">
        <f t="shared" si="513"/>
        <v>3971.322000000001</v>
      </c>
      <c r="AG231" s="274">
        <f t="shared" si="513"/>
        <v>4569.7960000000012</v>
      </c>
      <c r="AH231" s="274">
        <f t="shared" si="513"/>
        <v>6493.1429999999982</v>
      </c>
      <c r="AI231" s="274">
        <f t="shared" si="513"/>
        <v>7250.7650000000003</v>
      </c>
      <c r="AJ231" s="274">
        <f t="shared" si="513"/>
        <v>8114.0560000000005</v>
      </c>
      <c r="AK231" s="274">
        <f t="shared" si="513"/>
        <v>10540.796999999999</v>
      </c>
      <c r="AL231" s="274">
        <f t="shared" si="513"/>
        <v>11307.773000000003</v>
      </c>
      <c r="AM231" s="274">
        <f t="shared" si="513"/>
        <v>14305.906999999999</v>
      </c>
      <c r="AN231" s="274">
        <f t="shared" si="513"/>
        <v>11322.35</v>
      </c>
      <c r="AO231" s="274">
        <f t="shared" si="513"/>
        <v>12568.895999999997</v>
      </c>
      <c r="AP231" s="274">
        <f t="shared" si="513"/>
        <v>9798.4150000000009</v>
      </c>
      <c r="AQ231" s="274">
        <f t="shared" si="513"/>
        <v>8155.8080000000027</v>
      </c>
      <c r="AR231" s="274">
        <f t="shared" si="513"/>
        <v>8533.9570000000022</v>
      </c>
      <c r="AS231" s="274">
        <f t="shared" si="513"/>
        <v>8805.6229999999996</v>
      </c>
      <c r="AT231" s="274">
        <f t="shared" si="513"/>
        <v>7361.3809999999994</v>
      </c>
      <c r="AU231" s="274">
        <f t="shared" si="513"/>
        <v>7251.979000000003</v>
      </c>
      <c r="AV231" s="274">
        <f t="shared" si="513"/>
        <v>7626.9809999999998</v>
      </c>
      <c r="AW231" s="274">
        <f t="shared" si="513"/>
        <v>9227.284999999998</v>
      </c>
      <c r="AX231" s="274">
        <f t="shared" si="513"/>
        <v>9472.3150000000005</v>
      </c>
      <c r="AY231" s="274">
        <f t="shared" si="513"/>
        <v>10331.016</v>
      </c>
      <c r="AZ231" s="274">
        <f t="shared" si="513"/>
        <v>15252.386999999995</v>
      </c>
      <c r="BA231" s="274">
        <f t="shared" si="513"/>
        <v>19082.585999999999</v>
      </c>
      <c r="BB231" s="274">
        <f t="shared" si="513"/>
        <v>23102.867000000002</v>
      </c>
      <c r="BC231" s="274">
        <f t="shared" si="513"/>
        <v>24490.437000000002</v>
      </c>
      <c r="BD231" s="274">
        <f t="shared" si="513"/>
        <v>24859.053</v>
      </c>
      <c r="BE231" s="274">
        <f>+BE159</f>
        <v>27801.616000000005</v>
      </c>
      <c r="BF231" s="274">
        <f>+BF159</f>
        <v>38302.052999999993</v>
      </c>
      <c r="BG231" s="274">
        <f>+BG159</f>
        <v>40245.178999999996</v>
      </c>
    </row>
    <row r="232" spans="2:59" ht="13.5" customHeight="1">
      <c r="B232" s="225" t="s">
        <v>546</v>
      </c>
      <c r="C232" s="274">
        <f t="shared" ref="C232:L232" si="514">C147</f>
        <v>3657.0760000000005</v>
      </c>
      <c r="D232" s="274">
        <f t="shared" si="514"/>
        <v>4172.402</v>
      </c>
      <c r="E232" s="274">
        <f t="shared" si="514"/>
        <v>9733.0480000000007</v>
      </c>
      <c r="F232" s="274">
        <f t="shared" si="514"/>
        <v>12413.429</v>
      </c>
      <c r="G232" s="274">
        <f t="shared" si="514"/>
        <v>18741.589</v>
      </c>
      <c r="H232" s="274">
        <f t="shared" si="514"/>
        <v>18772.672000000002</v>
      </c>
      <c r="I232" s="274">
        <f t="shared" si="514"/>
        <v>19487.536</v>
      </c>
      <c r="J232" s="274">
        <f t="shared" si="514"/>
        <v>33872.267999999996</v>
      </c>
      <c r="K232" s="274">
        <f t="shared" si="514"/>
        <v>50799.118999999999</v>
      </c>
      <c r="L232" s="274">
        <f t="shared" si="514"/>
        <v>79298.659</v>
      </c>
      <c r="M232" s="274"/>
      <c r="N232" s="274"/>
      <c r="O232" s="274"/>
      <c r="P232" s="261"/>
      <c r="Q232" s="274"/>
      <c r="R232" s="274"/>
      <c r="S232" s="274"/>
      <c r="T232" s="274"/>
      <c r="U232" s="274"/>
      <c r="V232" s="274"/>
      <c r="W232" s="274"/>
      <c r="X232" s="274"/>
      <c r="Y232" s="274"/>
      <c r="Z232" s="274"/>
      <c r="AA232" s="274"/>
      <c r="AB232" s="274"/>
      <c r="AC232" s="274">
        <f t="shared" ref="AC232:BD232" si="515">AC147</f>
        <v>3990.6309999999994</v>
      </c>
      <c r="AD232" s="274">
        <f t="shared" si="515"/>
        <v>7304.8479999999981</v>
      </c>
      <c r="AE232" s="274">
        <f t="shared" si="515"/>
        <v>8137.5929999999998</v>
      </c>
      <c r="AF232" s="274">
        <f t="shared" si="515"/>
        <v>9733.0480000000007</v>
      </c>
      <c r="AG232" s="274">
        <f t="shared" si="515"/>
        <v>10680.167000000001</v>
      </c>
      <c r="AH232" s="274">
        <f t="shared" si="515"/>
        <v>11146.173999999999</v>
      </c>
      <c r="AI232" s="274">
        <f t="shared" si="515"/>
        <v>11813.259</v>
      </c>
      <c r="AJ232" s="274">
        <f t="shared" si="515"/>
        <v>12413.429</v>
      </c>
      <c r="AK232" s="274">
        <f t="shared" si="515"/>
        <v>13878.281999999999</v>
      </c>
      <c r="AL232" s="274">
        <f t="shared" si="515"/>
        <v>17180.024000000001</v>
      </c>
      <c r="AM232" s="274">
        <f t="shared" si="515"/>
        <v>21796.165000000001</v>
      </c>
      <c r="AN232" s="274">
        <f t="shared" si="515"/>
        <v>18741.589</v>
      </c>
      <c r="AO232" s="274">
        <f t="shared" si="515"/>
        <v>21457.146999999997</v>
      </c>
      <c r="AP232" s="274">
        <f t="shared" si="515"/>
        <v>20485.147000000001</v>
      </c>
      <c r="AQ232" s="274">
        <f t="shared" si="515"/>
        <v>19131.190000000002</v>
      </c>
      <c r="AR232" s="274">
        <f t="shared" si="515"/>
        <v>18772.672000000002</v>
      </c>
      <c r="AS232" s="274">
        <f t="shared" si="515"/>
        <v>18017.788</v>
      </c>
      <c r="AT232" s="274">
        <f t="shared" si="515"/>
        <v>18290.477999999999</v>
      </c>
      <c r="AU232" s="274">
        <f t="shared" si="515"/>
        <v>20775.906000000003</v>
      </c>
      <c r="AV232" s="274">
        <f t="shared" si="515"/>
        <v>19487.536</v>
      </c>
      <c r="AW232" s="274">
        <f t="shared" si="515"/>
        <v>22648.023999999998</v>
      </c>
      <c r="AX232" s="274">
        <f t="shared" si="515"/>
        <v>21905.471000000001</v>
      </c>
      <c r="AY232" s="274">
        <f t="shared" si="515"/>
        <v>22648.478999999999</v>
      </c>
      <c r="AZ232" s="274">
        <f t="shared" si="515"/>
        <v>33872.267999999996</v>
      </c>
      <c r="BA232" s="274">
        <f t="shared" si="515"/>
        <v>37871.728999999999</v>
      </c>
      <c r="BB232" s="274">
        <f t="shared" si="515"/>
        <v>45037.569000000003</v>
      </c>
      <c r="BC232" s="274">
        <f t="shared" si="515"/>
        <v>48813.826000000001</v>
      </c>
      <c r="BD232" s="274">
        <f t="shared" si="515"/>
        <v>50799.118999999999</v>
      </c>
      <c r="BE232" s="274">
        <f>BE147</f>
        <v>55094.937000000005</v>
      </c>
      <c r="BF232" s="274">
        <f>BF147</f>
        <v>73261.353999999992</v>
      </c>
      <c r="BG232" s="274">
        <f>BG147</f>
        <v>79298.659</v>
      </c>
    </row>
    <row r="233" spans="2:59" ht="13.5" customHeight="1">
      <c r="B233" s="224"/>
      <c r="C233" s="52"/>
      <c r="D233" s="52"/>
      <c r="E233" s="52"/>
      <c r="F233" s="52"/>
      <c r="G233" s="52"/>
      <c r="H233" s="52"/>
      <c r="I233" s="52"/>
      <c r="J233" s="52"/>
      <c r="K233" s="52"/>
      <c r="L233" s="52"/>
      <c r="M233" s="52"/>
      <c r="N233" s="52"/>
      <c r="O233" s="52"/>
      <c r="P233" s="135"/>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74"/>
      <c r="AY233" s="74"/>
      <c r="AZ233" s="74"/>
      <c r="BA233" s="74"/>
      <c r="BB233" s="74"/>
      <c r="BC233" s="74"/>
      <c r="BD233" s="74"/>
      <c r="BE233" s="74"/>
      <c r="BF233" s="74"/>
      <c r="BG233" s="74"/>
    </row>
    <row r="234" spans="2:59" ht="13.5" customHeight="1">
      <c r="B234" s="224" t="s">
        <v>515</v>
      </c>
      <c r="C234" s="274">
        <f t="shared" ref="C234:L234" si="516">C151</f>
        <v>-5333.3869999999988</v>
      </c>
      <c r="D234" s="274">
        <f t="shared" si="516"/>
        <v>1295.4440000000002</v>
      </c>
      <c r="E234" s="274">
        <f t="shared" si="516"/>
        <v>3728.8100000000009</v>
      </c>
      <c r="F234" s="274">
        <f t="shared" si="516"/>
        <v>7823.8160000000007</v>
      </c>
      <c r="G234" s="274">
        <f t="shared" si="516"/>
        <v>11322.35</v>
      </c>
      <c r="H234" s="274">
        <f t="shared" si="516"/>
        <v>8533.9570000000022</v>
      </c>
      <c r="I234" s="274">
        <f t="shared" si="516"/>
        <v>7626.9809999999998</v>
      </c>
      <c r="J234" s="274">
        <f t="shared" si="516"/>
        <v>15252.386999999995</v>
      </c>
      <c r="K234" s="274">
        <f t="shared" si="516"/>
        <v>24859.053</v>
      </c>
      <c r="L234" s="274">
        <f t="shared" si="516"/>
        <v>40245.178999999996</v>
      </c>
      <c r="M234" s="274"/>
      <c r="N234" s="274"/>
      <c r="O234" s="274"/>
      <c r="P234" s="274"/>
      <c r="Q234" s="274"/>
      <c r="R234" s="274"/>
      <c r="S234" s="274"/>
      <c r="T234" s="274"/>
      <c r="U234" s="274"/>
      <c r="V234" s="274"/>
      <c r="W234" s="274"/>
      <c r="X234" s="274"/>
      <c r="Y234" s="274"/>
      <c r="Z234" s="274"/>
      <c r="AA234" s="274"/>
      <c r="AB234" s="274"/>
      <c r="AC234" s="274">
        <f t="shared" ref="AC234:BD234" si="517">AC151</f>
        <v>1508.9719999999995</v>
      </c>
      <c r="AD234" s="274">
        <f t="shared" si="517"/>
        <v>3576.4269999999979</v>
      </c>
      <c r="AE234" s="274">
        <f t="shared" si="517"/>
        <v>2534.6749999999997</v>
      </c>
      <c r="AF234" s="274">
        <f t="shared" si="517"/>
        <v>3728.8100000000009</v>
      </c>
      <c r="AG234" s="274">
        <f t="shared" si="517"/>
        <v>4279.5560000000014</v>
      </c>
      <c r="AH234" s="274">
        <f t="shared" si="517"/>
        <v>6202.9029999999984</v>
      </c>
      <c r="AI234" s="274">
        <f t="shared" si="517"/>
        <v>6960.5250000000005</v>
      </c>
      <c r="AJ234" s="274">
        <f t="shared" si="517"/>
        <v>7823.8160000000007</v>
      </c>
      <c r="AK234" s="274">
        <f t="shared" si="517"/>
        <v>10540.796999999999</v>
      </c>
      <c r="AL234" s="274">
        <f t="shared" si="517"/>
        <v>11307.773000000003</v>
      </c>
      <c r="AM234" s="274">
        <f t="shared" si="517"/>
        <v>14305.906999999999</v>
      </c>
      <c r="AN234" s="274">
        <f t="shared" si="517"/>
        <v>11322.35</v>
      </c>
      <c r="AO234" s="274">
        <f t="shared" si="517"/>
        <v>12568.895999999997</v>
      </c>
      <c r="AP234" s="274">
        <f t="shared" si="517"/>
        <v>9798.4150000000009</v>
      </c>
      <c r="AQ234" s="274">
        <f t="shared" si="517"/>
        <v>8155.8080000000027</v>
      </c>
      <c r="AR234" s="274">
        <f t="shared" si="517"/>
        <v>8533.9570000000022</v>
      </c>
      <c r="AS234" s="274">
        <f t="shared" si="517"/>
        <v>8805.6229999999996</v>
      </c>
      <c r="AT234" s="274">
        <f t="shared" si="517"/>
        <v>7361.3809999999994</v>
      </c>
      <c r="AU234" s="274">
        <f t="shared" si="517"/>
        <v>7251.979000000003</v>
      </c>
      <c r="AV234" s="274">
        <f t="shared" si="517"/>
        <v>7626.9809999999998</v>
      </c>
      <c r="AW234" s="274">
        <f t="shared" si="517"/>
        <v>9227.284999999998</v>
      </c>
      <c r="AX234" s="274">
        <f t="shared" si="517"/>
        <v>9472.3150000000005</v>
      </c>
      <c r="AY234" s="274">
        <f t="shared" si="517"/>
        <v>10331.016</v>
      </c>
      <c r="AZ234" s="274">
        <f t="shared" si="517"/>
        <v>15252.386999999995</v>
      </c>
      <c r="BA234" s="274">
        <f t="shared" si="517"/>
        <v>19082.585999999999</v>
      </c>
      <c r="BB234" s="274">
        <f t="shared" si="517"/>
        <v>23102.867000000002</v>
      </c>
      <c r="BC234" s="274">
        <f t="shared" si="517"/>
        <v>24490.437000000002</v>
      </c>
      <c r="BD234" s="274">
        <f t="shared" si="517"/>
        <v>24859.053</v>
      </c>
      <c r="BE234" s="274">
        <f t="shared" ref="BE234:BG235" si="518">BE151</f>
        <v>27801.616000000005</v>
      </c>
      <c r="BF234" s="274">
        <f t="shared" si="518"/>
        <v>38302.052999999993</v>
      </c>
      <c r="BG234" s="274">
        <f t="shared" si="518"/>
        <v>40245.178999999996</v>
      </c>
    </row>
    <row r="235" spans="2:59" ht="13.5" customHeight="1">
      <c r="B235" s="224" t="s">
        <v>516</v>
      </c>
      <c r="C235" s="274">
        <f t="shared" ref="C235:L235" si="519">C152</f>
        <v>3698.4940000000006</v>
      </c>
      <c r="D235" s="274">
        <f t="shared" si="519"/>
        <v>4214.24</v>
      </c>
      <c r="E235" s="274">
        <f t="shared" si="519"/>
        <v>9781.1620000000003</v>
      </c>
      <c r="F235" s="274">
        <f t="shared" si="519"/>
        <v>12536.148999999999</v>
      </c>
      <c r="G235" s="274">
        <f t="shared" si="519"/>
        <v>18741.589</v>
      </c>
      <c r="H235" s="274">
        <f t="shared" si="519"/>
        <v>18772.672000000002</v>
      </c>
      <c r="I235" s="274">
        <f t="shared" si="519"/>
        <v>19487.536</v>
      </c>
      <c r="J235" s="274">
        <f t="shared" si="519"/>
        <v>33872.267999999996</v>
      </c>
      <c r="K235" s="274">
        <f t="shared" si="519"/>
        <v>50799.118999999999</v>
      </c>
      <c r="L235" s="274">
        <f t="shared" si="519"/>
        <v>79298.659</v>
      </c>
      <c r="M235" s="274"/>
      <c r="N235" s="274"/>
      <c r="O235" s="274"/>
      <c r="P235" s="274"/>
      <c r="Q235" s="274"/>
      <c r="R235" s="274"/>
      <c r="S235" s="274"/>
      <c r="T235" s="274"/>
      <c r="U235" s="274"/>
      <c r="V235" s="274"/>
      <c r="W235" s="274"/>
      <c r="X235" s="274"/>
      <c r="Y235" s="274"/>
      <c r="Z235" s="274"/>
      <c r="AA235" s="274"/>
      <c r="AB235" s="274"/>
      <c r="AC235" s="274">
        <f t="shared" ref="AC235:BD235" si="520">AC152</f>
        <v>4031.3839999999996</v>
      </c>
      <c r="AD235" s="274">
        <f t="shared" si="520"/>
        <v>7345.842999999998</v>
      </c>
      <c r="AE235" s="274">
        <f t="shared" si="520"/>
        <v>8180.88</v>
      </c>
      <c r="AF235" s="274">
        <f t="shared" si="520"/>
        <v>9781.1620000000003</v>
      </c>
      <c r="AG235" s="274">
        <f t="shared" si="520"/>
        <v>10730.056</v>
      </c>
      <c r="AH235" s="274">
        <f t="shared" si="520"/>
        <v>11197.421999999999</v>
      </c>
      <c r="AI235" s="274">
        <f t="shared" si="520"/>
        <v>11866.983</v>
      </c>
      <c r="AJ235" s="274">
        <f t="shared" si="520"/>
        <v>12536.148999999999</v>
      </c>
      <c r="AK235" s="274">
        <f t="shared" si="520"/>
        <v>15130.450999999999</v>
      </c>
      <c r="AL235" s="274">
        <f t="shared" si="520"/>
        <v>18388.626</v>
      </c>
      <c r="AM235" s="274">
        <f t="shared" si="520"/>
        <v>23055.098000000002</v>
      </c>
      <c r="AN235" s="274">
        <f t="shared" si="520"/>
        <v>18741.589</v>
      </c>
      <c r="AO235" s="274">
        <f t="shared" si="520"/>
        <v>21457.146999999997</v>
      </c>
      <c r="AP235" s="274">
        <f t="shared" si="520"/>
        <v>20485.147000000001</v>
      </c>
      <c r="AQ235" s="274">
        <f t="shared" si="520"/>
        <v>19131.190000000002</v>
      </c>
      <c r="AR235" s="274">
        <f t="shared" si="520"/>
        <v>18772.672000000002</v>
      </c>
      <c r="AS235" s="274">
        <f t="shared" si="520"/>
        <v>18017.788</v>
      </c>
      <c r="AT235" s="274">
        <f t="shared" si="520"/>
        <v>18290.477999999999</v>
      </c>
      <c r="AU235" s="274">
        <f t="shared" si="520"/>
        <v>20775.906000000003</v>
      </c>
      <c r="AV235" s="274">
        <f t="shared" si="520"/>
        <v>19487.536</v>
      </c>
      <c r="AW235" s="274">
        <f t="shared" si="520"/>
        <v>22648.023999999998</v>
      </c>
      <c r="AX235" s="274">
        <f t="shared" si="520"/>
        <v>21905.471000000001</v>
      </c>
      <c r="AY235" s="274">
        <f t="shared" si="520"/>
        <v>22648.478999999999</v>
      </c>
      <c r="AZ235" s="274">
        <f t="shared" si="520"/>
        <v>33872.267999999996</v>
      </c>
      <c r="BA235" s="274">
        <f t="shared" si="520"/>
        <v>37871.728999999999</v>
      </c>
      <c r="BB235" s="274">
        <f t="shared" si="520"/>
        <v>45037.569000000003</v>
      </c>
      <c r="BC235" s="274">
        <f t="shared" si="520"/>
        <v>48813.826000000001</v>
      </c>
      <c r="BD235" s="274">
        <f t="shared" si="520"/>
        <v>50799.118999999999</v>
      </c>
      <c r="BE235" s="274">
        <f t="shared" si="518"/>
        <v>55094.937000000005</v>
      </c>
      <c r="BF235" s="274">
        <f t="shared" si="518"/>
        <v>73261.353999999992</v>
      </c>
      <c r="BG235" s="274">
        <f t="shared" si="518"/>
        <v>79298.659</v>
      </c>
    </row>
    <row r="236" spans="2:59" ht="13.5" customHeight="1">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row>
    <row r="237" spans="2:59" ht="13.5" customHeight="1">
      <c r="B237" s="5" t="s">
        <v>517</v>
      </c>
      <c r="C237" s="274"/>
      <c r="D237" s="274"/>
      <c r="E237" s="274"/>
      <c r="F237" s="274"/>
      <c r="G237" s="274">
        <f t="shared" ref="G237:L238" si="521">G154</f>
        <v>12736.305999999999</v>
      </c>
      <c r="H237" s="274">
        <f t="shared" si="521"/>
        <v>10067.012000000002</v>
      </c>
      <c r="I237" s="274">
        <f t="shared" si="521"/>
        <v>9725.8669999999984</v>
      </c>
      <c r="J237" s="274">
        <f t="shared" si="521"/>
        <v>18158.251999999993</v>
      </c>
      <c r="K237" s="274">
        <f t="shared" si="521"/>
        <v>27914.284</v>
      </c>
      <c r="L237" s="274">
        <f t="shared" si="521"/>
        <v>44398.708999999995</v>
      </c>
      <c r="M237" s="274"/>
      <c r="N237" s="274"/>
      <c r="O237" s="274"/>
      <c r="P237" s="274"/>
      <c r="Q237" s="274"/>
      <c r="R237" s="274"/>
      <c r="S237" s="274"/>
      <c r="T237" s="274"/>
      <c r="U237" s="274"/>
      <c r="V237" s="274"/>
      <c r="W237" s="274"/>
      <c r="X237" s="274"/>
      <c r="Y237" s="274"/>
      <c r="Z237" s="274"/>
      <c r="AA237" s="274"/>
      <c r="AB237" s="274"/>
      <c r="AC237" s="274"/>
      <c r="AD237" s="274"/>
      <c r="AE237" s="274"/>
      <c r="AF237" s="274"/>
      <c r="AG237" s="274"/>
      <c r="AH237" s="274"/>
      <c r="AI237" s="274"/>
      <c r="AJ237" s="274"/>
      <c r="AK237" s="274"/>
      <c r="AL237" s="274"/>
      <c r="AM237" s="274"/>
      <c r="AN237" s="274">
        <f t="shared" ref="AN237:BD237" si="522">AN154</f>
        <v>12736.305999999999</v>
      </c>
      <c r="AO237" s="274">
        <f t="shared" si="522"/>
        <v>13978.618999999995</v>
      </c>
      <c r="AP237" s="274">
        <f t="shared" si="522"/>
        <v>11375.287</v>
      </c>
      <c r="AQ237" s="274">
        <f t="shared" si="522"/>
        <v>9699.7900000000027</v>
      </c>
      <c r="AR237" s="274">
        <f t="shared" si="522"/>
        <v>10067.012000000002</v>
      </c>
      <c r="AS237" s="274">
        <f t="shared" si="522"/>
        <v>10287.732</v>
      </c>
      <c r="AT237" s="274">
        <f t="shared" si="522"/>
        <v>8847.3049999999985</v>
      </c>
      <c r="AU237" s="274">
        <f t="shared" si="522"/>
        <v>9316.8420000000042</v>
      </c>
      <c r="AV237" s="274">
        <f t="shared" si="522"/>
        <v>9725.8669999999984</v>
      </c>
      <c r="AW237" s="274">
        <f t="shared" si="522"/>
        <v>11475.034999999998</v>
      </c>
      <c r="AX237" s="274">
        <f t="shared" si="522"/>
        <v>11644.254000000003</v>
      </c>
      <c r="AY237" s="274">
        <f t="shared" si="522"/>
        <v>12487.109</v>
      </c>
      <c r="AZ237" s="274">
        <f t="shared" si="522"/>
        <v>18158.251999999993</v>
      </c>
      <c r="BA237" s="274">
        <f t="shared" si="522"/>
        <v>22066.255000000001</v>
      </c>
      <c r="BB237" s="274">
        <f t="shared" si="522"/>
        <v>26299.933000000001</v>
      </c>
      <c r="BC237" s="274">
        <f t="shared" si="522"/>
        <v>27598.287</v>
      </c>
      <c r="BD237" s="274">
        <f t="shared" si="522"/>
        <v>27914.284</v>
      </c>
      <c r="BE237" s="274">
        <f t="shared" ref="BE237:BG238" si="523">BE154</f>
        <v>31193.09</v>
      </c>
      <c r="BF237" s="274">
        <f t="shared" si="523"/>
        <v>42238.546999999999</v>
      </c>
      <c r="BG237" s="274">
        <f t="shared" si="523"/>
        <v>44398.708999999995</v>
      </c>
    </row>
    <row r="238" spans="2:59" ht="13.5" customHeight="1">
      <c r="B238" s="5" t="s">
        <v>518</v>
      </c>
      <c r="C238" s="274"/>
      <c r="D238" s="274"/>
      <c r="E238" s="274"/>
      <c r="F238" s="274"/>
      <c r="G238" s="274">
        <f t="shared" si="521"/>
        <v>20155.544999999998</v>
      </c>
      <c r="H238" s="274">
        <f t="shared" si="521"/>
        <v>20305.727000000003</v>
      </c>
      <c r="I238" s="274">
        <f t="shared" si="521"/>
        <v>21586.421999999999</v>
      </c>
      <c r="J238" s="274">
        <f t="shared" si="521"/>
        <v>36778.132999999994</v>
      </c>
      <c r="K238" s="274">
        <f t="shared" si="521"/>
        <v>53854.35</v>
      </c>
      <c r="L238" s="274">
        <f t="shared" si="521"/>
        <v>83452.188999999998</v>
      </c>
      <c r="M238" s="274"/>
      <c r="N238" s="274"/>
      <c r="O238" s="274"/>
      <c r="P238" s="274"/>
      <c r="Q238" s="274"/>
      <c r="R238" s="274"/>
      <c r="S238" s="274"/>
      <c r="T238" s="274"/>
      <c r="U238" s="274"/>
      <c r="V238" s="274"/>
      <c r="W238" s="274"/>
      <c r="X238" s="274"/>
      <c r="Y238" s="274"/>
      <c r="Z238" s="274"/>
      <c r="AA238" s="274"/>
      <c r="AB238" s="274"/>
      <c r="AC238" s="274"/>
      <c r="AD238" s="274"/>
      <c r="AE238" s="274"/>
      <c r="AF238" s="274"/>
      <c r="AG238" s="274"/>
      <c r="AH238" s="274"/>
      <c r="AI238" s="274"/>
      <c r="AJ238" s="274"/>
      <c r="AK238" s="274"/>
      <c r="AL238" s="274"/>
      <c r="AM238" s="274"/>
      <c r="AN238" s="274">
        <f t="shared" ref="AN238:BD238" si="524">AN155</f>
        <v>20155.544999999998</v>
      </c>
      <c r="AO238" s="274">
        <f t="shared" si="524"/>
        <v>22866.869999999995</v>
      </c>
      <c r="AP238" s="274">
        <f t="shared" si="524"/>
        <v>22062.019</v>
      </c>
      <c r="AQ238" s="274">
        <f t="shared" si="524"/>
        <v>20675.172000000002</v>
      </c>
      <c r="AR238" s="274">
        <f t="shared" si="524"/>
        <v>20305.727000000003</v>
      </c>
      <c r="AS238" s="274">
        <f t="shared" si="524"/>
        <v>19499.897000000001</v>
      </c>
      <c r="AT238" s="274">
        <f t="shared" si="524"/>
        <v>19776.401999999998</v>
      </c>
      <c r="AU238" s="274">
        <f t="shared" si="524"/>
        <v>22840.769000000004</v>
      </c>
      <c r="AV238" s="274">
        <f t="shared" si="524"/>
        <v>21586.421999999999</v>
      </c>
      <c r="AW238" s="274">
        <f t="shared" si="524"/>
        <v>24895.773999999998</v>
      </c>
      <c r="AX238" s="274">
        <f t="shared" si="524"/>
        <v>24077.410000000003</v>
      </c>
      <c r="AY238" s="274">
        <f t="shared" si="524"/>
        <v>24804.572</v>
      </c>
      <c r="AZ238" s="274">
        <f t="shared" si="524"/>
        <v>36778.132999999994</v>
      </c>
      <c r="BA238" s="274">
        <f t="shared" si="524"/>
        <v>40855.398000000001</v>
      </c>
      <c r="BB238" s="274">
        <f t="shared" si="524"/>
        <v>48234.635000000002</v>
      </c>
      <c r="BC238" s="274">
        <f t="shared" si="524"/>
        <v>51921.675999999999</v>
      </c>
      <c r="BD238" s="274">
        <f t="shared" si="524"/>
        <v>53854.35</v>
      </c>
      <c r="BE238" s="274">
        <f t="shared" si="523"/>
        <v>58486.411</v>
      </c>
      <c r="BF238" s="274">
        <f t="shared" si="523"/>
        <v>77197.847999999998</v>
      </c>
      <c r="BG238" s="274">
        <f t="shared" si="523"/>
        <v>83452.188999999998</v>
      </c>
    </row>
    <row r="239" spans="2:59" ht="13.5" customHeight="1">
      <c r="B239" s="224"/>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row>
    <row r="240" spans="2:59" ht="13.5" customHeight="1">
      <c r="B240" s="5" t="s">
        <v>520</v>
      </c>
      <c r="C240" s="274">
        <f t="shared" ref="C240:L240" si="525">C159</f>
        <v>-5141.994999999999</v>
      </c>
      <c r="D240" s="274">
        <f t="shared" si="525"/>
        <v>1486.8360000000002</v>
      </c>
      <c r="E240" s="274">
        <f t="shared" si="525"/>
        <v>3971.322000000001</v>
      </c>
      <c r="F240" s="274">
        <f t="shared" si="525"/>
        <v>8114.0560000000005</v>
      </c>
      <c r="G240" s="274">
        <f t="shared" si="525"/>
        <v>11322.35</v>
      </c>
      <c r="H240" s="274">
        <f t="shared" si="525"/>
        <v>8533.9570000000022</v>
      </c>
      <c r="I240" s="274">
        <f t="shared" si="525"/>
        <v>7626.9809999999998</v>
      </c>
      <c r="J240" s="274">
        <f t="shared" si="525"/>
        <v>15252.386999999995</v>
      </c>
      <c r="K240" s="274">
        <f t="shared" si="525"/>
        <v>24859.053</v>
      </c>
      <c r="L240" s="274">
        <f t="shared" si="525"/>
        <v>40245.178999999996</v>
      </c>
      <c r="M240" s="274"/>
      <c r="N240" s="274"/>
      <c r="O240" s="274"/>
      <c r="P240" s="274"/>
      <c r="Q240" s="274"/>
      <c r="R240" s="274"/>
      <c r="S240" s="274"/>
      <c r="T240" s="274"/>
      <c r="U240" s="274"/>
      <c r="V240" s="274"/>
      <c r="W240" s="274"/>
      <c r="X240" s="274"/>
      <c r="Y240" s="274"/>
      <c r="Z240" s="274"/>
      <c r="AA240" s="274"/>
      <c r="AB240" s="274"/>
      <c r="AC240" s="274">
        <f t="shared" ref="AC240:BD240" si="526">AC159</f>
        <v>1751.4839999999995</v>
      </c>
      <c r="AD240" s="274">
        <f t="shared" si="526"/>
        <v>3818.938999999998</v>
      </c>
      <c r="AE240" s="274">
        <f t="shared" si="526"/>
        <v>2777.1869999999999</v>
      </c>
      <c r="AF240" s="274">
        <f t="shared" si="526"/>
        <v>3971.322000000001</v>
      </c>
      <c r="AG240" s="274">
        <f t="shared" si="526"/>
        <v>4569.7960000000012</v>
      </c>
      <c r="AH240" s="274">
        <f t="shared" si="526"/>
        <v>6493.1429999999982</v>
      </c>
      <c r="AI240" s="274">
        <f t="shared" si="526"/>
        <v>7250.7650000000003</v>
      </c>
      <c r="AJ240" s="274">
        <f t="shared" si="526"/>
        <v>8114.0560000000005</v>
      </c>
      <c r="AK240" s="274">
        <f t="shared" si="526"/>
        <v>10540.796999999999</v>
      </c>
      <c r="AL240" s="274">
        <f t="shared" si="526"/>
        <v>11307.773000000003</v>
      </c>
      <c r="AM240" s="274">
        <f t="shared" si="526"/>
        <v>14305.906999999999</v>
      </c>
      <c r="AN240" s="274">
        <f t="shared" si="526"/>
        <v>11322.35</v>
      </c>
      <c r="AO240" s="274">
        <f t="shared" si="526"/>
        <v>12568.895999999997</v>
      </c>
      <c r="AP240" s="274">
        <f t="shared" si="526"/>
        <v>9798.4150000000009</v>
      </c>
      <c r="AQ240" s="274">
        <f t="shared" si="526"/>
        <v>8155.8080000000027</v>
      </c>
      <c r="AR240" s="274">
        <f t="shared" si="526"/>
        <v>8533.9570000000022</v>
      </c>
      <c r="AS240" s="274">
        <f t="shared" si="526"/>
        <v>8805.6229999999996</v>
      </c>
      <c r="AT240" s="274">
        <f t="shared" si="526"/>
        <v>7361.3809999999994</v>
      </c>
      <c r="AU240" s="274">
        <f t="shared" si="526"/>
        <v>7251.979000000003</v>
      </c>
      <c r="AV240" s="274">
        <f t="shared" si="526"/>
        <v>7626.9809999999998</v>
      </c>
      <c r="AW240" s="274">
        <f t="shared" si="526"/>
        <v>9227.284999999998</v>
      </c>
      <c r="AX240" s="274">
        <f t="shared" si="526"/>
        <v>9472.3150000000005</v>
      </c>
      <c r="AY240" s="274">
        <f t="shared" si="526"/>
        <v>10331.016</v>
      </c>
      <c r="AZ240" s="274">
        <f t="shared" si="526"/>
        <v>15252.386999999995</v>
      </c>
      <c r="BA240" s="274">
        <f t="shared" si="526"/>
        <v>19082.585999999999</v>
      </c>
      <c r="BB240" s="274">
        <f t="shared" si="526"/>
        <v>23102.867000000002</v>
      </c>
      <c r="BC240" s="274">
        <f t="shared" si="526"/>
        <v>24490.437000000002</v>
      </c>
      <c r="BD240" s="274">
        <f t="shared" si="526"/>
        <v>24859.053</v>
      </c>
      <c r="BE240" s="274">
        <f t="shared" ref="BE240:BG241" si="527">BE159</f>
        <v>27801.616000000005</v>
      </c>
      <c r="BF240" s="274">
        <f t="shared" si="527"/>
        <v>38302.052999999993</v>
      </c>
      <c r="BG240" s="274">
        <f t="shared" si="527"/>
        <v>40245.178999999996</v>
      </c>
    </row>
    <row r="241" spans="2:59" ht="13.5" customHeight="1">
      <c r="B241" s="5" t="s">
        <v>521</v>
      </c>
      <c r="C241" s="274">
        <f t="shared" ref="C241:L241" si="528">C160</f>
        <v>3889.8860000000004</v>
      </c>
      <c r="D241" s="274">
        <f t="shared" si="528"/>
        <v>4405.6319999999996</v>
      </c>
      <c r="E241" s="274">
        <f t="shared" si="528"/>
        <v>10023.674000000001</v>
      </c>
      <c r="F241" s="274">
        <f t="shared" si="528"/>
        <v>12826.388999999999</v>
      </c>
      <c r="G241" s="274">
        <f t="shared" si="528"/>
        <v>18741.589</v>
      </c>
      <c r="H241" s="274">
        <f t="shared" si="528"/>
        <v>18772.672000000002</v>
      </c>
      <c r="I241" s="274">
        <f t="shared" si="528"/>
        <v>19487.536</v>
      </c>
      <c r="J241" s="274">
        <f t="shared" si="528"/>
        <v>33872.267999999996</v>
      </c>
      <c r="K241" s="274">
        <f t="shared" si="528"/>
        <v>50799.118999999999</v>
      </c>
      <c r="L241" s="274">
        <f t="shared" si="528"/>
        <v>79298.659</v>
      </c>
      <c r="M241" s="274"/>
      <c r="N241" s="274"/>
      <c r="O241" s="274"/>
      <c r="P241" s="274"/>
      <c r="Q241" s="274"/>
      <c r="R241" s="274"/>
      <c r="S241" s="274"/>
      <c r="T241" s="274"/>
      <c r="U241" s="274"/>
      <c r="V241" s="274"/>
      <c r="W241" s="274"/>
      <c r="X241" s="274"/>
      <c r="Y241" s="274"/>
      <c r="Z241" s="274"/>
      <c r="AA241" s="274"/>
      <c r="AB241" s="274"/>
      <c r="AC241" s="274">
        <f t="shared" ref="AC241:BD241" si="529">AC160</f>
        <v>4273.8959999999997</v>
      </c>
      <c r="AD241" s="274">
        <f t="shared" si="529"/>
        <v>7588.3549999999977</v>
      </c>
      <c r="AE241" s="274">
        <f t="shared" si="529"/>
        <v>8423.3919999999998</v>
      </c>
      <c r="AF241" s="274">
        <f t="shared" si="529"/>
        <v>10023.674000000001</v>
      </c>
      <c r="AG241" s="274">
        <f t="shared" si="529"/>
        <v>11020.296</v>
      </c>
      <c r="AH241" s="274">
        <f t="shared" si="529"/>
        <v>11487.661999999998</v>
      </c>
      <c r="AI241" s="274">
        <f t="shared" si="529"/>
        <v>12157.223</v>
      </c>
      <c r="AJ241" s="274">
        <f t="shared" si="529"/>
        <v>12826.388999999999</v>
      </c>
      <c r="AK241" s="274">
        <f t="shared" si="529"/>
        <v>15130.450999999999</v>
      </c>
      <c r="AL241" s="274">
        <f t="shared" si="529"/>
        <v>18388.626</v>
      </c>
      <c r="AM241" s="274">
        <f t="shared" si="529"/>
        <v>23055.098000000002</v>
      </c>
      <c r="AN241" s="274">
        <f t="shared" si="529"/>
        <v>18741.589</v>
      </c>
      <c r="AO241" s="274">
        <f t="shared" si="529"/>
        <v>21457.146999999997</v>
      </c>
      <c r="AP241" s="274">
        <f t="shared" si="529"/>
        <v>20485.147000000001</v>
      </c>
      <c r="AQ241" s="274">
        <f t="shared" si="529"/>
        <v>19131.190000000002</v>
      </c>
      <c r="AR241" s="274">
        <f t="shared" si="529"/>
        <v>18772.672000000002</v>
      </c>
      <c r="AS241" s="274">
        <f t="shared" si="529"/>
        <v>18017.788</v>
      </c>
      <c r="AT241" s="274">
        <f t="shared" si="529"/>
        <v>18290.477999999999</v>
      </c>
      <c r="AU241" s="274">
        <f t="shared" si="529"/>
        <v>20775.906000000003</v>
      </c>
      <c r="AV241" s="274">
        <f t="shared" si="529"/>
        <v>19487.536</v>
      </c>
      <c r="AW241" s="274">
        <f t="shared" si="529"/>
        <v>22648.023999999998</v>
      </c>
      <c r="AX241" s="274">
        <f t="shared" si="529"/>
        <v>21905.471000000001</v>
      </c>
      <c r="AY241" s="274">
        <f t="shared" si="529"/>
        <v>22648.478999999999</v>
      </c>
      <c r="AZ241" s="274">
        <f t="shared" si="529"/>
        <v>33872.267999999996</v>
      </c>
      <c r="BA241" s="274">
        <f t="shared" si="529"/>
        <v>37871.728999999999</v>
      </c>
      <c r="BB241" s="274">
        <f t="shared" si="529"/>
        <v>45037.569000000003</v>
      </c>
      <c r="BC241" s="274">
        <f t="shared" si="529"/>
        <v>48813.826000000001</v>
      </c>
      <c r="BD241" s="274">
        <f t="shared" si="529"/>
        <v>50799.118999999999</v>
      </c>
      <c r="BE241" s="274">
        <f t="shared" si="527"/>
        <v>55094.937000000005</v>
      </c>
      <c r="BF241" s="274">
        <f t="shared" si="527"/>
        <v>73261.353999999992</v>
      </c>
      <c r="BG241" s="274">
        <f t="shared" si="527"/>
        <v>79298.659</v>
      </c>
    </row>
    <row r="242" spans="2:59" ht="13.5" customHeight="1">
      <c r="B242" s="224"/>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row>
    <row r="243" spans="2:59" ht="13.5" customHeight="1">
      <c r="B243" s="224" t="s">
        <v>23</v>
      </c>
      <c r="C243" s="274">
        <f t="shared" ref="C243:L243" si="530">C108</f>
        <v>3761.7999999999993</v>
      </c>
      <c r="D243" s="274">
        <f t="shared" si="530"/>
        <v>4140.4999999999991</v>
      </c>
      <c r="E243" s="274">
        <f t="shared" si="530"/>
        <v>4619.4999999999991</v>
      </c>
      <c r="F243" s="274">
        <f t="shared" si="530"/>
        <v>6228.2999999999975</v>
      </c>
      <c r="G243" s="274">
        <f t="shared" si="530"/>
        <v>8788.007999999998</v>
      </c>
      <c r="H243" s="274">
        <f t="shared" si="530"/>
        <v>10426.400000000001</v>
      </c>
      <c r="I243" s="274">
        <f t="shared" si="530"/>
        <v>12270.369999999999</v>
      </c>
      <c r="J243" s="274">
        <f t="shared" si="530"/>
        <v>15013.771000000004</v>
      </c>
      <c r="K243" s="274">
        <f t="shared" si="530"/>
        <v>21993.895999999993</v>
      </c>
      <c r="L243" s="274">
        <f t="shared" si="530"/>
        <v>40245.664000000019</v>
      </c>
      <c r="M243" s="274"/>
      <c r="N243" s="274"/>
      <c r="O243" s="274"/>
      <c r="P243" s="274"/>
      <c r="Q243" s="274"/>
      <c r="R243" s="274"/>
      <c r="S243" s="274"/>
      <c r="T243" s="274"/>
      <c r="U243" s="274"/>
      <c r="V243" s="274"/>
      <c r="W243" s="274"/>
      <c r="X243" s="274"/>
      <c r="Y243" s="274"/>
      <c r="Z243" s="274"/>
      <c r="AA243" s="274"/>
      <c r="AB243" s="274"/>
      <c r="AC243" s="274">
        <f t="shared" ref="AC243:BD243" si="531">AC108</f>
        <v>4215.115260111892</v>
      </c>
      <c r="AD243" s="274">
        <f t="shared" si="531"/>
        <v>4249.5993192785236</v>
      </c>
      <c r="AE243" s="274">
        <f t="shared" si="531"/>
        <v>4306.5993192785227</v>
      </c>
      <c r="AF243" s="274">
        <f t="shared" si="531"/>
        <v>4619.4993192785241</v>
      </c>
      <c r="AG243" s="274">
        <f t="shared" si="531"/>
        <v>5017.9840591666316</v>
      </c>
      <c r="AH243" s="274">
        <f t="shared" si="531"/>
        <v>5445.7000000000007</v>
      </c>
      <c r="AI243" s="274">
        <f t="shared" si="531"/>
        <v>5860.4</v>
      </c>
      <c r="AJ243" s="274">
        <f t="shared" si="531"/>
        <v>6228.1999999999989</v>
      </c>
      <c r="AK243" s="274">
        <f t="shared" si="531"/>
        <v>6850.0999999999985</v>
      </c>
      <c r="AL243" s="274">
        <f t="shared" si="531"/>
        <v>7527.199999999998</v>
      </c>
      <c r="AM243" s="274">
        <f t="shared" si="531"/>
        <v>8287.6729999999989</v>
      </c>
      <c r="AN243" s="274">
        <f t="shared" si="531"/>
        <v>8788.007999999998</v>
      </c>
      <c r="AO243" s="274">
        <f t="shared" si="531"/>
        <v>9047.2079999999987</v>
      </c>
      <c r="AP243" s="274">
        <f t="shared" si="531"/>
        <v>9465.9080000000013</v>
      </c>
      <c r="AQ243" s="274">
        <f t="shared" si="531"/>
        <v>9911.8349999999991</v>
      </c>
      <c r="AR243" s="274">
        <f t="shared" si="531"/>
        <v>10426.400000000001</v>
      </c>
      <c r="AS243" s="274">
        <f t="shared" si="531"/>
        <v>10954.400000000001</v>
      </c>
      <c r="AT243" s="274">
        <f t="shared" si="531"/>
        <v>11225.8</v>
      </c>
      <c r="AU243" s="274">
        <f t="shared" si="531"/>
        <v>11781.027</v>
      </c>
      <c r="AV243" s="274">
        <f t="shared" si="531"/>
        <v>12270.37</v>
      </c>
      <c r="AW243" s="274">
        <f t="shared" si="531"/>
        <v>12767.770000000002</v>
      </c>
      <c r="AX243" s="274">
        <f t="shared" si="531"/>
        <v>13409.570000000003</v>
      </c>
      <c r="AY243" s="274">
        <f t="shared" si="531"/>
        <v>14045.476000000002</v>
      </c>
      <c r="AZ243" s="274">
        <f t="shared" si="531"/>
        <v>15013.771000000004</v>
      </c>
      <c r="BA243" s="274">
        <f t="shared" si="531"/>
        <v>16027.451000000003</v>
      </c>
      <c r="BB243" s="274">
        <f t="shared" si="531"/>
        <v>17591.551000000003</v>
      </c>
      <c r="BC243" s="274">
        <f t="shared" si="531"/>
        <v>19551.989000000001</v>
      </c>
      <c r="BD243" s="274">
        <f t="shared" si="531"/>
        <v>21993.896000000001</v>
      </c>
      <c r="BE243" s="274">
        <f t="shared" ref="BE243:BG244" si="532">BE108</f>
        <v>30429.917000000005</v>
      </c>
      <c r="BF243" s="274">
        <f t="shared" si="532"/>
        <v>34922.326999999997</v>
      </c>
      <c r="BG243" s="274">
        <f t="shared" si="532"/>
        <v>40245.663999999997</v>
      </c>
    </row>
    <row r="244" spans="2:59" ht="13.5" customHeight="1">
      <c r="B244" s="224" t="s">
        <v>547</v>
      </c>
      <c r="C244" s="274">
        <f t="shared" ref="C244:L244" si="533">C109</f>
        <v>3785.7239999999993</v>
      </c>
      <c r="D244" s="274">
        <f t="shared" si="533"/>
        <v>4164.4239999999991</v>
      </c>
      <c r="E244" s="274">
        <f t="shared" si="533"/>
        <v>4649.8139999999994</v>
      </c>
      <c r="F244" s="274">
        <f t="shared" si="533"/>
        <v>6264.5799999999972</v>
      </c>
      <c r="G244" s="274">
        <f t="shared" si="533"/>
        <v>8788.007999999998</v>
      </c>
      <c r="H244" s="274">
        <f t="shared" si="533"/>
        <v>10426.400000000001</v>
      </c>
      <c r="I244" s="274">
        <f t="shared" si="533"/>
        <v>12270.369999999999</v>
      </c>
      <c r="J244" s="274">
        <f t="shared" si="533"/>
        <v>15013.771000000004</v>
      </c>
      <c r="K244" s="274">
        <f t="shared" si="533"/>
        <v>21993.895999999993</v>
      </c>
      <c r="L244" s="274">
        <f t="shared" si="533"/>
        <v>40245.664000000019</v>
      </c>
      <c r="M244" s="274"/>
      <c r="N244" s="274"/>
      <c r="O244" s="274"/>
      <c r="P244" s="274"/>
      <c r="Q244" s="274"/>
      <c r="R244" s="274"/>
      <c r="S244" s="274"/>
      <c r="T244" s="274"/>
      <c r="U244" s="274"/>
      <c r="V244" s="274"/>
      <c r="W244" s="274"/>
      <c r="X244" s="274"/>
      <c r="Y244" s="274"/>
      <c r="Z244" s="274"/>
      <c r="AA244" s="274"/>
      <c r="AB244" s="274"/>
      <c r="AC244" s="274"/>
      <c r="AD244" s="274"/>
      <c r="AE244" s="274"/>
      <c r="AF244" s="274">
        <f t="shared" ref="AF244:BD244" si="534">AF109</f>
        <v>4649.8133192785244</v>
      </c>
      <c r="AG244" s="274">
        <f t="shared" si="534"/>
        <v>5049.789559166632</v>
      </c>
      <c r="AH244" s="274">
        <f t="shared" si="534"/>
        <v>5478.9970000000003</v>
      </c>
      <c r="AI244" s="274">
        <f t="shared" si="534"/>
        <v>5895.1885000000002</v>
      </c>
      <c r="AJ244" s="274">
        <f t="shared" si="534"/>
        <v>6264.4799999999987</v>
      </c>
      <c r="AK244" s="274">
        <f t="shared" si="534"/>
        <v>6877.3099999999977</v>
      </c>
      <c r="AL244" s="274">
        <f t="shared" si="534"/>
        <v>7545.3399999999974</v>
      </c>
      <c r="AM244" s="274">
        <f t="shared" si="534"/>
        <v>8296.7429999999986</v>
      </c>
      <c r="AN244" s="274">
        <f t="shared" si="534"/>
        <v>8788.007999999998</v>
      </c>
      <c r="AO244" s="274">
        <f t="shared" si="534"/>
        <v>9047.2079999999987</v>
      </c>
      <c r="AP244" s="274">
        <f t="shared" si="534"/>
        <v>9465.9080000000013</v>
      </c>
      <c r="AQ244" s="274">
        <f t="shared" si="534"/>
        <v>9911.8349999999991</v>
      </c>
      <c r="AR244" s="274">
        <f t="shared" si="534"/>
        <v>10426.400000000001</v>
      </c>
      <c r="AS244" s="274">
        <f t="shared" si="534"/>
        <v>10954.400000000001</v>
      </c>
      <c r="AT244" s="274">
        <f t="shared" si="534"/>
        <v>11225.8</v>
      </c>
      <c r="AU244" s="274">
        <f t="shared" si="534"/>
        <v>11781.027</v>
      </c>
      <c r="AV244" s="274">
        <f t="shared" si="534"/>
        <v>12270.37</v>
      </c>
      <c r="AW244" s="274">
        <f t="shared" si="534"/>
        <v>12767.770000000002</v>
      </c>
      <c r="AX244" s="274">
        <f t="shared" si="534"/>
        <v>13409.570000000003</v>
      </c>
      <c r="AY244" s="274">
        <f t="shared" si="534"/>
        <v>14045.476000000002</v>
      </c>
      <c r="AZ244" s="274">
        <f t="shared" si="534"/>
        <v>15013.771000000004</v>
      </c>
      <c r="BA244" s="274">
        <f t="shared" si="534"/>
        <v>16027.451000000003</v>
      </c>
      <c r="BB244" s="274">
        <f t="shared" si="534"/>
        <v>17591.551000000003</v>
      </c>
      <c r="BC244" s="274">
        <f t="shared" si="534"/>
        <v>19551.989000000001</v>
      </c>
      <c r="BD244" s="274">
        <f t="shared" si="534"/>
        <v>21993.896000000001</v>
      </c>
      <c r="BE244" s="274">
        <f t="shared" si="532"/>
        <v>30429.917000000005</v>
      </c>
      <c r="BF244" s="274">
        <f t="shared" si="532"/>
        <v>34922.326999999997</v>
      </c>
      <c r="BG244" s="274">
        <f t="shared" si="532"/>
        <v>40245.663999999997</v>
      </c>
    </row>
    <row r="245" spans="2:59" ht="13.5" customHeight="1">
      <c r="B245" s="224"/>
      <c r="C245" s="52"/>
      <c r="D245" s="52"/>
      <c r="E245" s="52"/>
      <c r="F245" s="52"/>
      <c r="G245" s="52"/>
      <c r="H245" s="52"/>
      <c r="I245" s="52"/>
      <c r="J245" s="52"/>
      <c r="K245" s="52"/>
      <c r="L245" s="52"/>
      <c r="M245" s="52"/>
      <c r="N245" s="52"/>
      <c r="O245" s="52"/>
      <c r="P245" s="135"/>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74"/>
      <c r="AY245" s="74"/>
      <c r="AZ245" s="74"/>
      <c r="BA245" s="74"/>
      <c r="BB245" s="74"/>
      <c r="BC245" s="74"/>
      <c r="BD245" s="74"/>
      <c r="BE245" s="74"/>
      <c r="BF245" s="74"/>
      <c r="BG245" s="74"/>
    </row>
    <row r="246" spans="2:59" s="5" customFormat="1" ht="13.5" customHeight="1">
      <c r="B246" s="5" t="s">
        <v>529</v>
      </c>
      <c r="C246" s="53">
        <f t="shared" ref="C246:L247" si="535">C173</f>
        <v>-1.4287854218725078</v>
      </c>
      <c r="D246" s="53">
        <f t="shared" si="535"/>
        <v>0.30276681560198054</v>
      </c>
      <c r="E246" s="53">
        <f t="shared" si="535"/>
        <v>0.79677367680484934</v>
      </c>
      <c r="F246" s="53">
        <f t="shared" si="535"/>
        <v>1.2364683782091428</v>
      </c>
      <c r="G246" s="53">
        <f t="shared" si="535"/>
        <v>1.2883864011047785</v>
      </c>
      <c r="H246" s="53">
        <f t="shared" ref="H246:J247" si="536">H173</f>
        <v>0.81849507020639922</v>
      </c>
      <c r="I246" s="53">
        <f t="shared" si="536"/>
        <v>0.62157709995705102</v>
      </c>
      <c r="J246" s="53">
        <f t="shared" si="536"/>
        <v>1.0158931423690951</v>
      </c>
      <c r="K246" s="53">
        <f>K173</f>
        <v>1.130270553248047</v>
      </c>
      <c r="L246" s="53">
        <f t="shared" si="535"/>
        <v>0.99998794901234522</v>
      </c>
      <c r="M246" s="53"/>
      <c r="N246" s="53"/>
      <c r="O246" s="53"/>
      <c r="P246" s="126"/>
      <c r="Q246" s="53"/>
      <c r="R246" s="53"/>
      <c r="S246" s="53"/>
      <c r="T246" s="53"/>
      <c r="U246" s="53"/>
      <c r="V246" s="53"/>
      <c r="W246" s="53"/>
      <c r="X246" s="53"/>
      <c r="Y246" s="53"/>
      <c r="Z246" s="53"/>
      <c r="AA246" s="53"/>
      <c r="AB246" s="53"/>
      <c r="AC246" s="53">
        <f t="shared" ref="AC246:AO246" si="537">AC173</f>
        <v>0.34832238489275025</v>
      </c>
      <c r="AD246" s="53">
        <f t="shared" si="537"/>
        <v>0.8319447868793961</v>
      </c>
      <c r="AE246" s="53">
        <f t="shared" si="537"/>
        <v>0.57850471225574285</v>
      </c>
      <c r="AF246" s="53">
        <f t="shared" si="537"/>
        <v>0.7967737942160481</v>
      </c>
      <c r="AG246" s="53">
        <f t="shared" si="537"/>
        <v>0.84290164140187585</v>
      </c>
      <c r="AH246" s="53">
        <f t="shared" si="537"/>
        <v>1.1296353085920998</v>
      </c>
      <c r="AI246" s="53">
        <f t="shared" si="537"/>
        <v>1.1785545355265854</v>
      </c>
      <c r="AJ246" s="53">
        <f t="shared" si="537"/>
        <v>1.2364882309495524</v>
      </c>
      <c r="AK246" s="53">
        <f t="shared" si="537"/>
        <v>1.355984292200114</v>
      </c>
      <c r="AL246" s="53">
        <f t="shared" si="537"/>
        <v>1.3416902699542996</v>
      </c>
      <c r="AM246" s="53">
        <f t="shared" si="537"/>
        <v>1.5742626428431723</v>
      </c>
      <c r="AN246" s="53">
        <f t="shared" si="537"/>
        <v>1.2883864011047785</v>
      </c>
      <c r="AO246" s="53">
        <f t="shared" si="537"/>
        <v>1.3892568845548814</v>
      </c>
      <c r="AP246" s="53">
        <f t="shared" ref="AP246:AS247" si="538">AP173</f>
        <v>1.0351267939641924</v>
      </c>
      <c r="AQ246" s="53">
        <f t="shared" si="538"/>
        <v>0.82283532766637091</v>
      </c>
      <c r="AR246" s="53">
        <f t="shared" si="538"/>
        <v>0.81849507020639922</v>
      </c>
      <c r="AS246" s="53">
        <f t="shared" si="538"/>
        <v>0.80384347841963033</v>
      </c>
      <c r="AT246" s="53">
        <f t="shared" ref="AT246:AW247" si="539">AT173</f>
        <v>0.65575558089401198</v>
      </c>
      <c r="AU246" s="53">
        <f t="shared" si="539"/>
        <v>0.61556424579962365</v>
      </c>
      <c r="AV246" s="53">
        <f t="shared" si="539"/>
        <v>0.6215770999570509</v>
      </c>
      <c r="AW246" s="53">
        <f t="shared" si="539"/>
        <v>0.72270138011571294</v>
      </c>
      <c r="AX246" s="53">
        <f t="shared" ref="AX246:BA247" si="540">AX173</f>
        <v>0.70638469391635961</v>
      </c>
      <c r="AY246" s="53">
        <f t="shared" si="540"/>
        <v>0.7355404686889927</v>
      </c>
      <c r="AZ246" s="53">
        <f t="shared" si="540"/>
        <v>1.0158931423690951</v>
      </c>
      <c r="BA246" s="53">
        <f t="shared" si="540"/>
        <v>1.190618895044508</v>
      </c>
      <c r="BB246" s="53">
        <f t="shared" ref="BB246:BE247" si="541">BB173</f>
        <v>1.3132933531557278</v>
      </c>
      <c r="BC246" s="53">
        <f t="shared" si="541"/>
        <v>1.2525803385016225</v>
      </c>
      <c r="BD246" s="53">
        <f t="shared" si="541"/>
        <v>1.1302705532480466</v>
      </c>
      <c r="BE246" s="53">
        <f t="shared" si="541"/>
        <v>0.91362773023666155</v>
      </c>
      <c r="BF246" s="53">
        <f>BF173</f>
        <v>1.0967783733311929</v>
      </c>
      <c r="BG246" s="53">
        <f>BG173</f>
        <v>0.99998794901234578</v>
      </c>
    </row>
    <row r="247" spans="2:59" ht="12.75">
      <c r="B247" s="1" t="s">
        <v>530</v>
      </c>
      <c r="C247" s="54">
        <f t="shared" si="535"/>
        <v>0.97216119942580714</v>
      </c>
      <c r="D247" s="54">
        <f t="shared" si="535"/>
        <v>1.0077048665620096</v>
      </c>
      <c r="E247" s="54">
        <f t="shared" si="535"/>
        <v>2.106948371035827</v>
      </c>
      <c r="F247" s="54">
        <f t="shared" si="535"/>
        <v>1.9930685740892387</v>
      </c>
      <c r="G247" s="54">
        <f t="shared" si="535"/>
        <v>2.1326322188145488</v>
      </c>
      <c r="H247" s="54">
        <f t="shared" si="536"/>
        <v>1.800494130284662</v>
      </c>
      <c r="I247" s="54">
        <f t="shared" si="536"/>
        <v>1.5881783515900501</v>
      </c>
      <c r="J247" s="54">
        <f t="shared" si="536"/>
        <v>2.256079968183875</v>
      </c>
      <c r="K247" s="54">
        <f>K174</f>
        <v>2.3096916980966</v>
      </c>
      <c r="L247" s="54">
        <f t="shared" si="535"/>
        <v>1.9703652795988149</v>
      </c>
      <c r="M247" s="54"/>
      <c r="N247" s="54"/>
      <c r="O247" s="54"/>
      <c r="P247" s="127"/>
      <c r="Q247" s="54"/>
      <c r="R247" s="54"/>
      <c r="S247" s="54"/>
      <c r="T247" s="54"/>
      <c r="U247" s="54"/>
      <c r="V247" s="54"/>
      <c r="W247" s="54"/>
      <c r="X247" s="54"/>
      <c r="Y247" s="54"/>
      <c r="Z247" s="54"/>
      <c r="AA247" s="54"/>
      <c r="AB247" s="54"/>
      <c r="AC247" s="54">
        <f t="shared" ref="AC247:AO247" si="542">AC174</f>
        <v>0.94674303162330764</v>
      </c>
      <c r="AD247" s="54">
        <f t="shared" si="542"/>
        <v>1.7189498235424652</v>
      </c>
      <c r="AE247" s="54">
        <f t="shared" si="542"/>
        <v>1.8895635272062592</v>
      </c>
      <c r="AF247" s="54">
        <f t="shared" si="542"/>
        <v>2.1069486815121152</v>
      </c>
      <c r="AG247" s="54">
        <f t="shared" si="542"/>
        <v>2.1283780247348423</v>
      </c>
      <c r="AH247" s="54">
        <f t="shared" si="542"/>
        <v>2.0467844354261158</v>
      </c>
      <c r="AI247" s="54">
        <f t="shared" si="542"/>
        <v>2.0157769094259779</v>
      </c>
      <c r="AJ247" s="54">
        <f t="shared" si="542"/>
        <v>1.99310057480492</v>
      </c>
      <c r="AK247" s="54">
        <f t="shared" si="542"/>
        <v>2.025996992744632</v>
      </c>
      <c r="AL247" s="54">
        <f t="shared" si="542"/>
        <v>2.2823923902646408</v>
      </c>
      <c r="AM247" s="54">
        <f t="shared" si="542"/>
        <v>2.6299499268371234</v>
      </c>
      <c r="AN247" s="54">
        <f t="shared" si="542"/>
        <v>2.1326322188145488</v>
      </c>
      <c r="AO247" s="54">
        <f t="shared" si="542"/>
        <v>2.3716871547553677</v>
      </c>
      <c r="AP247" s="54">
        <f t="shared" si="538"/>
        <v>2.1640974114686089</v>
      </c>
      <c r="AQ247" s="54">
        <f t="shared" si="538"/>
        <v>1.9301360444357682</v>
      </c>
      <c r="AR247" s="54">
        <f t="shared" si="538"/>
        <v>1.800494130284662</v>
      </c>
      <c r="AS247" s="54">
        <f t="shared" si="538"/>
        <v>1.6447991674578251</v>
      </c>
      <c r="AT247" s="54">
        <f t="shared" si="539"/>
        <v>1.629325126048923</v>
      </c>
      <c r="AU247" s="54">
        <f t="shared" si="539"/>
        <v>1.7635055076267971</v>
      </c>
      <c r="AV247" s="54">
        <f t="shared" si="539"/>
        <v>1.5881783515900498</v>
      </c>
      <c r="AW247" s="54">
        <f t="shared" si="539"/>
        <v>1.7738433571406749</v>
      </c>
      <c r="AX247" s="54">
        <f t="shared" si="540"/>
        <v>1.6335699802454513</v>
      </c>
      <c r="AY247" s="54">
        <f t="shared" si="540"/>
        <v>1.6125106048381697</v>
      </c>
      <c r="AZ247" s="54">
        <f t="shared" si="540"/>
        <v>2.256079968183875</v>
      </c>
      <c r="BA247" s="54">
        <f t="shared" si="540"/>
        <v>2.3629290147260469</v>
      </c>
      <c r="BB247" s="54">
        <f t="shared" si="541"/>
        <v>2.5601818168278623</v>
      </c>
      <c r="BC247" s="54">
        <f t="shared" si="541"/>
        <v>2.496616891509094</v>
      </c>
      <c r="BD247" s="54">
        <f t="shared" si="541"/>
        <v>2.3096916980965991</v>
      </c>
      <c r="BE247" s="54">
        <f t="shared" si="541"/>
        <v>1.8105516686095462</v>
      </c>
      <c r="BF247" s="54">
        <f>BF174</f>
        <v>2.0978371229385715</v>
      </c>
      <c r="BG247" s="54">
        <f>BG174</f>
        <v>1.970365279598816</v>
      </c>
    </row>
    <row r="248" spans="2:59" ht="12.75">
      <c r="C248" s="88"/>
      <c r="D248" s="88"/>
      <c r="E248" s="88"/>
      <c r="F248" s="88"/>
      <c r="G248" s="88"/>
      <c r="H248" s="88"/>
      <c r="I248" s="88"/>
      <c r="J248" s="88"/>
      <c r="K248" s="88"/>
      <c r="L248" s="88"/>
      <c r="M248" s="88"/>
      <c r="N248" s="88"/>
      <c r="O248" s="88"/>
      <c r="P248" s="12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row>
    <row r="249" spans="2:59" ht="12.75">
      <c r="B249" s="225" t="s">
        <v>531</v>
      </c>
      <c r="C249" s="53">
        <f t="shared" ref="C249:L250" si="543">C176</f>
        <v>-1.4177752671593387</v>
      </c>
      <c r="D249" s="53">
        <f t="shared" si="543"/>
        <v>0.31287139234391992</v>
      </c>
      <c r="E249" s="53">
        <f t="shared" si="543"/>
        <v>0.80718908972832593</v>
      </c>
      <c r="F249" s="53">
        <f t="shared" si="543"/>
        <v>1.2561719891463166</v>
      </c>
      <c r="G249" s="53">
        <f t="shared" si="543"/>
        <v>1.2883864011047785</v>
      </c>
      <c r="H249" s="53">
        <f t="shared" ref="H249:J250" si="544">H176</f>
        <v>0.81849507020639922</v>
      </c>
      <c r="I249" s="53">
        <f t="shared" si="544"/>
        <v>0.62157709995705102</v>
      </c>
      <c r="J249" s="53">
        <f t="shared" si="544"/>
        <v>1.0158931423690951</v>
      </c>
      <c r="K249" s="53">
        <f>K176</f>
        <v>1.130270553248047</v>
      </c>
      <c r="L249" s="53">
        <f t="shared" si="543"/>
        <v>0.99998794901234522</v>
      </c>
      <c r="M249" s="53"/>
      <c r="N249" s="88"/>
      <c r="O249" s="88"/>
      <c r="P249" s="128"/>
      <c r="Q249" s="88"/>
      <c r="R249" s="88"/>
      <c r="S249" s="88"/>
      <c r="T249" s="88"/>
      <c r="U249" s="88"/>
      <c r="V249" s="88"/>
      <c r="W249" s="88"/>
      <c r="X249" s="88"/>
      <c r="Y249" s="88"/>
      <c r="Z249" s="88"/>
      <c r="AA249" s="88"/>
      <c r="AB249" s="88"/>
      <c r="AC249" s="53">
        <f t="shared" ref="AC249:AO249" si="545">AC176</f>
        <v>0.3579906851609897</v>
      </c>
      <c r="AD249" s="53">
        <f t="shared" si="545"/>
        <v>0.84159157871081036</v>
      </c>
      <c r="AE249" s="53">
        <f t="shared" si="545"/>
        <v>0.58855603042834959</v>
      </c>
      <c r="AF249" s="53">
        <f t="shared" si="545"/>
        <v>0.80718920867432198</v>
      </c>
      <c r="AG249" s="53">
        <f t="shared" si="545"/>
        <v>0.85284368175349179</v>
      </c>
      <c r="AH249" s="53">
        <f t="shared" si="545"/>
        <v>1.1390460363222354</v>
      </c>
      <c r="AI249" s="53">
        <f t="shared" si="545"/>
        <v>1.1877218278615795</v>
      </c>
      <c r="AJ249" s="53">
        <f t="shared" si="545"/>
        <v>1.2561921582479691</v>
      </c>
      <c r="AK249" s="53">
        <f t="shared" si="545"/>
        <v>1.5387800178099591</v>
      </c>
      <c r="AL249" s="53">
        <f t="shared" si="545"/>
        <v>1.5022548889361258</v>
      </c>
      <c r="AM249" s="53">
        <f t="shared" si="545"/>
        <v>1.7261669228503587</v>
      </c>
      <c r="AN249" s="53">
        <f t="shared" si="545"/>
        <v>1.2883864011047785</v>
      </c>
      <c r="AO249" s="53">
        <f t="shared" si="545"/>
        <v>1.3892568845548814</v>
      </c>
      <c r="AP249" s="53">
        <f t="shared" ref="AP249:AS250" si="546">AP176</f>
        <v>1.0351267939641924</v>
      </c>
      <c r="AQ249" s="53">
        <f t="shared" si="546"/>
        <v>0.82283532766637091</v>
      </c>
      <c r="AR249" s="53">
        <f t="shared" si="546"/>
        <v>0.81849507020639922</v>
      </c>
      <c r="AS249" s="53">
        <f t="shared" si="546"/>
        <v>0.80384347841963033</v>
      </c>
      <c r="AT249" s="53">
        <f t="shared" ref="AT249:AW250" si="547">AT176</f>
        <v>0.65575558089401198</v>
      </c>
      <c r="AU249" s="53">
        <f t="shared" si="547"/>
        <v>0.61556424579962365</v>
      </c>
      <c r="AV249" s="53">
        <f t="shared" si="547"/>
        <v>0.6215770999570509</v>
      </c>
      <c r="AW249" s="53">
        <f t="shared" si="547"/>
        <v>0.72270138011571294</v>
      </c>
      <c r="AX249" s="53">
        <f t="shared" ref="AX249:BA250" si="548">AX176</f>
        <v>0.70638469391635961</v>
      </c>
      <c r="AY249" s="53">
        <f t="shared" si="548"/>
        <v>0.7355404686889927</v>
      </c>
      <c r="AZ249" s="53">
        <f t="shared" si="548"/>
        <v>1.0158931423690951</v>
      </c>
      <c r="BA249" s="53">
        <f t="shared" si="548"/>
        <v>1.190618895044508</v>
      </c>
      <c r="BB249" s="53">
        <f t="shared" ref="BB249:BE250" si="549">BB176</f>
        <v>1.3132933531557278</v>
      </c>
      <c r="BC249" s="53">
        <f t="shared" si="549"/>
        <v>1.2525803385016225</v>
      </c>
      <c r="BD249" s="53">
        <f t="shared" si="549"/>
        <v>1.1302705532480466</v>
      </c>
      <c r="BE249" s="53">
        <f t="shared" si="549"/>
        <v>0.91362773023666155</v>
      </c>
      <c r="BF249" s="53">
        <f>BF176</f>
        <v>1.0967783733311929</v>
      </c>
      <c r="BG249" s="53">
        <f>BG176</f>
        <v>0.99998794901234578</v>
      </c>
    </row>
    <row r="250" spans="2:59" ht="12.75">
      <c r="B250" s="225" t="s">
        <v>532</v>
      </c>
      <c r="C250" s="54">
        <f t="shared" si="543"/>
        <v>0.98317135413897638</v>
      </c>
      <c r="D250" s="54">
        <f t="shared" si="543"/>
        <v>1.0178094433039491</v>
      </c>
      <c r="E250" s="54">
        <f t="shared" si="543"/>
        <v>2.1173637839593034</v>
      </c>
      <c r="F250" s="54">
        <f t="shared" si="543"/>
        <v>2.0127721850264124</v>
      </c>
      <c r="G250" s="54">
        <f t="shared" si="543"/>
        <v>2.1326322188145488</v>
      </c>
      <c r="H250" s="54">
        <f t="shared" si="544"/>
        <v>1.800494130284662</v>
      </c>
      <c r="I250" s="54">
        <f t="shared" si="544"/>
        <v>1.5881783515900501</v>
      </c>
      <c r="J250" s="54">
        <f t="shared" si="544"/>
        <v>2.256079968183875</v>
      </c>
      <c r="K250" s="54">
        <f>K177</f>
        <v>2.3096916980966</v>
      </c>
      <c r="L250" s="54">
        <f t="shared" si="543"/>
        <v>1.9703652795988149</v>
      </c>
      <c r="M250" s="54"/>
      <c r="N250" s="88"/>
      <c r="O250" s="88"/>
      <c r="P250" s="128"/>
      <c r="Q250" s="88"/>
      <c r="R250" s="88"/>
      <c r="S250" s="88"/>
      <c r="T250" s="88"/>
      <c r="U250" s="88"/>
      <c r="V250" s="88"/>
      <c r="W250" s="88"/>
      <c r="X250" s="88"/>
      <c r="Y250" s="88"/>
      <c r="Z250" s="88"/>
      <c r="AA250" s="88"/>
      <c r="AB250" s="88"/>
      <c r="AC250" s="54">
        <f t="shared" ref="AC250:AO250" si="550">AC177</f>
        <v>0.95641133189154703</v>
      </c>
      <c r="AD250" s="54">
        <f t="shared" si="550"/>
        <v>1.7285966153738794</v>
      </c>
      <c r="AE250" s="54">
        <f t="shared" si="550"/>
        <v>1.8996148453788659</v>
      </c>
      <c r="AF250" s="54">
        <f t="shared" si="550"/>
        <v>2.1173640959703892</v>
      </c>
      <c r="AG250" s="54">
        <f t="shared" si="550"/>
        <v>2.1383200650864582</v>
      </c>
      <c r="AH250" s="54">
        <f t="shared" si="550"/>
        <v>2.0561951631562514</v>
      </c>
      <c r="AI250" s="54">
        <f t="shared" si="550"/>
        <v>2.024944201760972</v>
      </c>
      <c r="AJ250" s="54">
        <f t="shared" si="550"/>
        <v>2.0128045021033367</v>
      </c>
      <c r="AK250" s="54">
        <f t="shared" si="550"/>
        <v>2.2087927183544771</v>
      </c>
      <c r="AL250" s="54">
        <f t="shared" si="550"/>
        <v>2.442957009246467</v>
      </c>
      <c r="AM250" s="54">
        <f t="shared" si="550"/>
        <v>2.7818542068443102</v>
      </c>
      <c r="AN250" s="54">
        <f t="shared" si="550"/>
        <v>2.1326322188145488</v>
      </c>
      <c r="AO250" s="54">
        <f t="shared" si="550"/>
        <v>2.3716871547553677</v>
      </c>
      <c r="AP250" s="54">
        <f t="shared" si="546"/>
        <v>2.1640974114686089</v>
      </c>
      <c r="AQ250" s="54">
        <f t="shared" si="546"/>
        <v>1.9301360444357682</v>
      </c>
      <c r="AR250" s="54">
        <f t="shared" si="546"/>
        <v>1.800494130284662</v>
      </c>
      <c r="AS250" s="54">
        <f t="shared" si="546"/>
        <v>1.6447991674578251</v>
      </c>
      <c r="AT250" s="54">
        <f t="shared" si="547"/>
        <v>1.629325126048923</v>
      </c>
      <c r="AU250" s="54">
        <f t="shared" si="547"/>
        <v>1.7635055076267971</v>
      </c>
      <c r="AV250" s="54">
        <f t="shared" si="547"/>
        <v>1.5881783515900498</v>
      </c>
      <c r="AW250" s="54">
        <f t="shared" si="547"/>
        <v>1.7738433571406749</v>
      </c>
      <c r="AX250" s="54">
        <f t="shared" si="548"/>
        <v>1.6335699802454513</v>
      </c>
      <c r="AY250" s="54">
        <f t="shared" si="548"/>
        <v>1.6125106048381697</v>
      </c>
      <c r="AZ250" s="54">
        <f t="shared" si="548"/>
        <v>2.256079968183875</v>
      </c>
      <c r="BA250" s="54">
        <f t="shared" si="548"/>
        <v>2.3629290147260469</v>
      </c>
      <c r="BB250" s="54">
        <f t="shared" si="549"/>
        <v>2.5601818168278623</v>
      </c>
      <c r="BC250" s="54">
        <f t="shared" si="549"/>
        <v>2.496616891509094</v>
      </c>
      <c r="BD250" s="54">
        <f t="shared" si="549"/>
        <v>2.3096916980965991</v>
      </c>
      <c r="BE250" s="54">
        <f t="shared" si="549"/>
        <v>1.8105516686095462</v>
      </c>
      <c r="BF250" s="54">
        <f>BF177</f>
        <v>2.0978371229385715</v>
      </c>
      <c r="BG250" s="54">
        <f>BG177</f>
        <v>1.970365279598816</v>
      </c>
    </row>
    <row r="251" spans="2:59" ht="12.75">
      <c r="C251" s="88"/>
      <c r="D251" s="88"/>
      <c r="E251" s="88"/>
      <c r="F251" s="88"/>
      <c r="G251" s="54"/>
      <c r="H251" s="54"/>
      <c r="I251" s="54"/>
      <c r="J251" s="54"/>
      <c r="K251" s="54"/>
      <c r="L251" s="88"/>
      <c r="M251" s="88"/>
      <c r="N251" s="88"/>
      <c r="O251" s="88"/>
      <c r="P251" s="12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row>
    <row r="252" spans="2:59" s="5" customFormat="1" ht="12.75">
      <c r="B252" s="224" t="s">
        <v>533</v>
      </c>
      <c r="C252" s="279"/>
      <c r="D252" s="279"/>
      <c r="E252" s="279"/>
      <c r="F252" s="279"/>
      <c r="G252" s="53">
        <f t="shared" ref="G252:L253" si="551">G179</f>
        <v>1.4492824767569625</v>
      </c>
      <c r="H252" s="53">
        <f t="shared" si="551"/>
        <v>0.96553095987109649</v>
      </c>
      <c r="I252" s="53">
        <f t="shared" ref="I252:K253" si="552">I179</f>
        <v>0.79263029558195874</v>
      </c>
      <c r="J252" s="53">
        <f t="shared" si="552"/>
        <v>1.2094397869795661</v>
      </c>
      <c r="K252" s="53">
        <f t="shared" si="552"/>
        <v>1.2691832315657039</v>
      </c>
      <c r="L252" s="53">
        <f t="shared" si="551"/>
        <v>1.1031923588091372</v>
      </c>
      <c r="M252" s="53"/>
      <c r="N252" s="279"/>
      <c r="O252" s="279"/>
      <c r="P252" s="280"/>
      <c r="Q252" s="279"/>
      <c r="R252" s="279"/>
      <c r="S252" s="279"/>
      <c r="T252" s="279"/>
      <c r="U252" s="279"/>
      <c r="V252" s="279"/>
      <c r="W252" s="279"/>
      <c r="X252" s="279"/>
      <c r="Y252" s="279"/>
      <c r="Z252" s="279"/>
      <c r="AA252" s="279"/>
      <c r="AB252" s="279"/>
      <c r="AC252" s="279"/>
      <c r="AD252" s="279"/>
      <c r="AE252" s="279"/>
      <c r="AF252" s="279"/>
      <c r="AG252" s="279"/>
      <c r="AH252" s="279"/>
      <c r="AI252" s="279"/>
      <c r="AJ252" s="279"/>
      <c r="AK252" s="279"/>
      <c r="AL252" s="279"/>
      <c r="AM252" s="279"/>
      <c r="AN252" s="53">
        <f t="shared" ref="AN252:AP253" si="553">AN179</f>
        <v>1.4492824767569625</v>
      </c>
      <c r="AO252" s="53">
        <f t="shared" si="553"/>
        <v>1.5450754531121642</v>
      </c>
      <c r="AP252" s="53">
        <f t="shared" si="553"/>
        <v>1.2017111300891576</v>
      </c>
      <c r="AQ252" s="53">
        <f t="shared" ref="AQ252:AT253" si="554">AQ179</f>
        <v>0.9786068876247439</v>
      </c>
      <c r="AR252" s="53">
        <f t="shared" si="554"/>
        <v>0.96553095987109649</v>
      </c>
      <c r="AS252" s="53">
        <f t="shared" si="554"/>
        <v>0.93914153216972163</v>
      </c>
      <c r="AT252" s="53">
        <f t="shared" si="554"/>
        <v>0.78812245007037351</v>
      </c>
      <c r="AU252" s="53">
        <f t="shared" ref="AU252:AW253" si="555">AU179</f>
        <v>0.79083444932262736</v>
      </c>
      <c r="AV252" s="53">
        <f t="shared" si="555"/>
        <v>0.79263029558195863</v>
      </c>
      <c r="AW252" s="53">
        <f t="shared" si="555"/>
        <v>0.89875013412678928</v>
      </c>
      <c r="AX252" s="53">
        <f t="shared" ref="AX252:BA253" si="556">AX179</f>
        <v>0.86835401880895513</v>
      </c>
      <c r="AY252" s="53">
        <f t="shared" si="556"/>
        <v>0.88904847368647377</v>
      </c>
      <c r="AZ252" s="53">
        <f t="shared" si="556"/>
        <v>1.2094397869795661</v>
      </c>
      <c r="BA252" s="53">
        <f t="shared" si="556"/>
        <v>1.3767788152963312</v>
      </c>
      <c r="BB252" s="53">
        <f t="shared" ref="BB252:BE253" si="557">BB179</f>
        <v>1.4950320753411679</v>
      </c>
      <c r="BC252" s="53">
        <f t="shared" si="557"/>
        <v>1.4115334762105276</v>
      </c>
      <c r="BD252" s="53">
        <f t="shared" si="557"/>
        <v>1.2691832315657035</v>
      </c>
      <c r="BE252" s="53">
        <f t="shared" si="557"/>
        <v>1.0250796937763582</v>
      </c>
      <c r="BF252" s="53">
        <f>BF179</f>
        <v>1.2094997850515516</v>
      </c>
      <c r="BG252" s="53">
        <f>BG179</f>
        <v>1.1031923588091377</v>
      </c>
    </row>
    <row r="253" spans="2:59" ht="12.75">
      <c r="B253" s="225" t="s">
        <v>534</v>
      </c>
      <c r="C253" s="88"/>
      <c r="D253" s="88"/>
      <c r="E253" s="88"/>
      <c r="F253" s="88"/>
      <c r="G253" s="54">
        <f t="shared" si="551"/>
        <v>2.2935282944667326</v>
      </c>
      <c r="H253" s="54">
        <f t="shared" si="551"/>
        <v>1.9475300199493593</v>
      </c>
      <c r="I253" s="54">
        <f t="shared" si="552"/>
        <v>1.7592315472149578</v>
      </c>
      <c r="J253" s="54">
        <f t="shared" si="552"/>
        <v>2.4496266127943462</v>
      </c>
      <c r="K253" s="54">
        <f t="shared" si="552"/>
        <v>2.4486043764142567</v>
      </c>
      <c r="L253" s="54">
        <f t="shared" si="551"/>
        <v>2.0735696893956068</v>
      </c>
      <c r="M253" s="54"/>
      <c r="N253" s="88"/>
      <c r="O253" s="88"/>
      <c r="P253" s="12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54">
        <f t="shared" si="553"/>
        <v>2.2935282944667326</v>
      </c>
      <c r="AO253" s="54">
        <f t="shared" si="553"/>
        <v>2.5275057233126503</v>
      </c>
      <c r="AP253" s="54">
        <f t="shared" si="553"/>
        <v>2.3306817475935744</v>
      </c>
      <c r="AQ253" s="54">
        <f t="shared" si="554"/>
        <v>2.0859076043941416</v>
      </c>
      <c r="AR253" s="54">
        <f t="shared" si="554"/>
        <v>1.9475300199493593</v>
      </c>
      <c r="AS253" s="54">
        <f t="shared" si="554"/>
        <v>1.7800972212079162</v>
      </c>
      <c r="AT253" s="54">
        <f t="shared" si="554"/>
        <v>1.7616919952252845</v>
      </c>
      <c r="AU253" s="54">
        <f t="shared" si="555"/>
        <v>1.9387757111498007</v>
      </c>
      <c r="AV253" s="54">
        <f t="shared" si="555"/>
        <v>1.7592315472149573</v>
      </c>
      <c r="AW253" s="54">
        <f t="shared" si="555"/>
        <v>1.9498921111517511</v>
      </c>
      <c r="AX253" s="54">
        <f t="shared" si="556"/>
        <v>1.7955393051380468</v>
      </c>
      <c r="AY253" s="54">
        <f t="shared" si="556"/>
        <v>1.7660186098356507</v>
      </c>
      <c r="AZ253" s="54">
        <f t="shared" si="556"/>
        <v>2.4496266127943462</v>
      </c>
      <c r="BA253" s="54">
        <f t="shared" si="556"/>
        <v>2.5490889349778696</v>
      </c>
      <c r="BB253" s="54">
        <f t="shared" si="557"/>
        <v>2.7419205390133019</v>
      </c>
      <c r="BC253" s="54">
        <f t="shared" si="557"/>
        <v>2.6555700292179991</v>
      </c>
      <c r="BD253" s="54">
        <f t="shared" si="557"/>
        <v>2.4486043764142558</v>
      </c>
      <c r="BE253" s="54">
        <f t="shared" si="557"/>
        <v>1.9220036321492429</v>
      </c>
      <c r="BF253" s="54">
        <f>BF180</f>
        <v>2.2105585346589303</v>
      </c>
      <c r="BG253" s="54">
        <f>BG180</f>
        <v>2.0735696893956082</v>
      </c>
    </row>
    <row r="254" spans="2:59" ht="12.75">
      <c r="C254" s="88"/>
      <c r="D254" s="88"/>
      <c r="E254" s="88"/>
      <c r="F254" s="88"/>
      <c r="G254" s="54"/>
      <c r="H254" s="54"/>
      <c r="I254" s="54"/>
      <c r="J254" s="54"/>
      <c r="K254" s="54"/>
      <c r="L254" s="88"/>
      <c r="M254" s="88"/>
      <c r="N254" s="88"/>
      <c r="O254" s="88"/>
      <c r="P254" s="12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row>
    <row r="255" spans="2:59" ht="12.75">
      <c r="B255" s="1" t="s">
        <v>535</v>
      </c>
      <c r="C255" s="53">
        <f t="shared" ref="C255:L256" si="558">C182</f>
        <v>-1.3582593448439453</v>
      </c>
      <c r="D255" s="53">
        <f t="shared" si="558"/>
        <v>0.35703280933929893</v>
      </c>
      <c r="E255" s="53">
        <f t="shared" si="558"/>
        <v>0.85408190521169269</v>
      </c>
      <c r="F255" s="53">
        <f t="shared" si="558"/>
        <v>1.2952274533967167</v>
      </c>
      <c r="G255" s="53">
        <f t="shared" si="558"/>
        <v>1.2883864011047785</v>
      </c>
      <c r="H255" s="53">
        <f t="shared" ref="H255:J256" si="559">H182</f>
        <v>0.81849507020639922</v>
      </c>
      <c r="I255" s="53">
        <f t="shared" si="559"/>
        <v>0.62157709995705102</v>
      </c>
      <c r="J255" s="53">
        <f t="shared" si="559"/>
        <v>1.0158931423690951</v>
      </c>
      <c r="K255" s="53">
        <f>K182</f>
        <v>1.130270553248047</v>
      </c>
      <c r="L255" s="53">
        <f t="shared" si="558"/>
        <v>0.99998794901234522</v>
      </c>
      <c r="M255" s="53"/>
      <c r="N255" s="53"/>
      <c r="O255" s="53"/>
      <c r="P255" s="126"/>
      <c r="Q255" s="53"/>
      <c r="R255" s="53"/>
      <c r="S255" s="53"/>
      <c r="T255" s="53"/>
      <c r="U255" s="53"/>
      <c r="V255" s="53"/>
      <c r="W255" s="53"/>
      <c r="X255" s="53"/>
      <c r="Y255" s="53"/>
      <c r="Z255" s="53"/>
      <c r="AA255" s="53"/>
      <c r="AB255" s="53"/>
      <c r="AC255" s="53"/>
      <c r="AD255" s="53"/>
      <c r="AE255" s="53"/>
      <c r="AF255" s="53">
        <f t="shared" ref="AF255:AO255" si="560">AF182</f>
        <v>0.85408203024722729</v>
      </c>
      <c r="AG255" s="53">
        <f t="shared" si="560"/>
        <v>0.90494780949924492</v>
      </c>
      <c r="AH255" s="53">
        <f t="shared" si="560"/>
        <v>1.1850970168445061</v>
      </c>
      <c r="AI255" s="53">
        <f t="shared" si="560"/>
        <v>1.2299462519307058</v>
      </c>
      <c r="AJ255" s="53">
        <f t="shared" si="560"/>
        <v>1.2952481291344218</v>
      </c>
      <c r="AK255" s="53">
        <f t="shared" si="560"/>
        <v>1.5326918519013979</v>
      </c>
      <c r="AL255" s="53">
        <f t="shared" si="560"/>
        <v>1.4986432685604634</v>
      </c>
      <c r="AM255" s="53">
        <f t="shared" si="560"/>
        <v>1.72427987705537</v>
      </c>
      <c r="AN255" s="53">
        <f t="shared" si="560"/>
        <v>1.2883864011047785</v>
      </c>
      <c r="AO255" s="53">
        <f t="shared" si="560"/>
        <v>1.3892568845548814</v>
      </c>
      <c r="AP255" s="53">
        <f t="shared" ref="AP255:AS256" si="561">AP182</f>
        <v>1.0351267939641924</v>
      </c>
      <c r="AQ255" s="53">
        <f t="shared" si="561"/>
        <v>0.82283532766637091</v>
      </c>
      <c r="AR255" s="53">
        <f t="shared" si="561"/>
        <v>0.81849507020639922</v>
      </c>
      <c r="AS255" s="53">
        <f t="shared" si="561"/>
        <v>0.80384347841963033</v>
      </c>
      <c r="AT255" s="53">
        <f t="shared" ref="AT255:AW256" si="562">AT182</f>
        <v>0.65575558089401198</v>
      </c>
      <c r="AU255" s="53">
        <f t="shared" si="562"/>
        <v>0.61556424579962365</v>
      </c>
      <c r="AV255" s="53">
        <f t="shared" si="562"/>
        <v>0.6215770999570509</v>
      </c>
      <c r="AW255" s="53">
        <f t="shared" si="562"/>
        <v>0.72270138011571294</v>
      </c>
      <c r="AX255" s="53">
        <f t="shared" ref="AX255:BA256" si="563">AX182</f>
        <v>0.70638469391635961</v>
      </c>
      <c r="AY255" s="53">
        <f t="shared" si="563"/>
        <v>0.7355404686889927</v>
      </c>
      <c r="AZ255" s="53">
        <f t="shared" si="563"/>
        <v>1.0158931423690951</v>
      </c>
      <c r="BA255" s="53">
        <f t="shared" si="563"/>
        <v>1.190618895044508</v>
      </c>
      <c r="BB255" s="53">
        <f t="shared" ref="BB255:BE256" si="564">BB182</f>
        <v>1.3132933531557278</v>
      </c>
      <c r="BC255" s="53">
        <f t="shared" si="564"/>
        <v>1.2525803385016225</v>
      </c>
      <c r="BD255" s="53">
        <f t="shared" si="564"/>
        <v>1.1302705532480466</v>
      </c>
      <c r="BE255" s="53">
        <f t="shared" si="564"/>
        <v>0.91362773023666155</v>
      </c>
      <c r="BF255" s="53">
        <f>BF182</f>
        <v>1.0967783733311929</v>
      </c>
      <c r="BG255" s="53">
        <f>BG182</f>
        <v>0.99998794901234578</v>
      </c>
    </row>
    <row r="256" spans="2:59" ht="12.75">
      <c r="B256" s="1" t="s">
        <v>536</v>
      </c>
      <c r="C256" s="54">
        <f t="shared" si="558"/>
        <v>1.0275144199629982</v>
      </c>
      <c r="D256" s="54">
        <f t="shared" si="558"/>
        <v>1.0579210954504155</v>
      </c>
      <c r="E256" s="54">
        <f t="shared" si="558"/>
        <v>2.1557150458061338</v>
      </c>
      <c r="F256" s="54">
        <f t="shared" si="558"/>
        <v>2.0474459580690172</v>
      </c>
      <c r="G256" s="54">
        <f t="shared" si="558"/>
        <v>2.1326322188145488</v>
      </c>
      <c r="H256" s="54">
        <f t="shared" si="559"/>
        <v>1.800494130284662</v>
      </c>
      <c r="I256" s="54">
        <f t="shared" si="559"/>
        <v>1.5881783515900501</v>
      </c>
      <c r="J256" s="54">
        <f t="shared" si="559"/>
        <v>2.256079968183875</v>
      </c>
      <c r="K256" s="54">
        <f>K183</f>
        <v>2.3096916980966</v>
      </c>
      <c r="L256" s="54">
        <f t="shared" si="558"/>
        <v>1.9703652795988149</v>
      </c>
      <c r="M256" s="54"/>
      <c r="N256" s="54"/>
      <c r="O256" s="54"/>
      <c r="P256" s="127"/>
      <c r="Q256" s="54"/>
      <c r="R256" s="54"/>
      <c r="S256" s="54"/>
      <c r="T256" s="54"/>
      <c r="U256" s="54"/>
      <c r="V256" s="54"/>
      <c r="W256" s="54"/>
      <c r="X256" s="54"/>
      <c r="Y256" s="54"/>
      <c r="Z256" s="54"/>
      <c r="AA256" s="54"/>
      <c r="AB256" s="54"/>
      <c r="AC256" s="54"/>
      <c r="AD256" s="54"/>
      <c r="AE256" s="54"/>
      <c r="AF256" s="54">
        <f t="shared" ref="AF256:AO256" si="565">AF183</f>
        <v>2.1557153613976263</v>
      </c>
      <c r="AG256" s="54">
        <f t="shared" si="565"/>
        <v>2.1823277724505181</v>
      </c>
      <c r="AH256" s="54">
        <f t="shared" si="565"/>
        <v>2.0966724384043278</v>
      </c>
      <c r="AI256" s="54">
        <f t="shared" si="565"/>
        <v>2.0622280356260023</v>
      </c>
      <c r="AJ256" s="54">
        <f t="shared" si="565"/>
        <v>2.0474786414834116</v>
      </c>
      <c r="AK256" s="54">
        <f t="shared" si="565"/>
        <v>2.2000536546992944</v>
      </c>
      <c r="AL256" s="54">
        <f t="shared" si="565"/>
        <v>2.437083815971183</v>
      </c>
      <c r="AM256" s="54">
        <f t="shared" si="565"/>
        <v>2.7788130836401712</v>
      </c>
      <c r="AN256" s="54">
        <f t="shared" si="565"/>
        <v>2.1326322188145488</v>
      </c>
      <c r="AO256" s="54">
        <f t="shared" si="565"/>
        <v>2.3716871547553677</v>
      </c>
      <c r="AP256" s="54">
        <f t="shared" si="561"/>
        <v>2.1640974114686089</v>
      </c>
      <c r="AQ256" s="54">
        <f t="shared" si="561"/>
        <v>1.9301360444357682</v>
      </c>
      <c r="AR256" s="54">
        <f t="shared" si="561"/>
        <v>1.800494130284662</v>
      </c>
      <c r="AS256" s="54">
        <f t="shared" si="561"/>
        <v>1.6447991674578251</v>
      </c>
      <c r="AT256" s="54">
        <f t="shared" si="562"/>
        <v>1.629325126048923</v>
      </c>
      <c r="AU256" s="54">
        <f t="shared" si="562"/>
        <v>1.7635055076267971</v>
      </c>
      <c r="AV256" s="54">
        <f t="shared" si="562"/>
        <v>1.5881783515900498</v>
      </c>
      <c r="AW256" s="54">
        <f t="shared" si="562"/>
        <v>1.7738433571406749</v>
      </c>
      <c r="AX256" s="54">
        <f t="shared" si="563"/>
        <v>1.6335699802454513</v>
      </c>
      <c r="AY256" s="54">
        <f t="shared" si="563"/>
        <v>1.6125106048381697</v>
      </c>
      <c r="AZ256" s="54">
        <f t="shared" si="563"/>
        <v>2.256079968183875</v>
      </c>
      <c r="BA256" s="54">
        <f t="shared" si="563"/>
        <v>2.3629290147260469</v>
      </c>
      <c r="BB256" s="54">
        <f t="shared" si="564"/>
        <v>2.5601818168278623</v>
      </c>
      <c r="BC256" s="54">
        <f t="shared" si="564"/>
        <v>2.496616891509094</v>
      </c>
      <c r="BD256" s="54">
        <f t="shared" si="564"/>
        <v>2.3096916980965991</v>
      </c>
      <c r="BE256" s="54">
        <f t="shared" si="564"/>
        <v>1.8105516686095462</v>
      </c>
      <c r="BF256" s="54">
        <f>BF183</f>
        <v>2.0978371229385715</v>
      </c>
      <c r="BG256" s="54">
        <f>BG183</f>
        <v>1.970365279598816</v>
      </c>
    </row>
    <row r="257" spans="1:59" ht="12.75">
      <c r="C257" s="88"/>
      <c r="D257" s="88"/>
      <c r="E257" s="88"/>
      <c r="F257" s="88"/>
      <c r="G257" s="88"/>
      <c r="H257" s="88"/>
      <c r="I257" s="88"/>
      <c r="J257" s="88"/>
      <c r="K257" s="88"/>
      <c r="L257" s="88"/>
      <c r="M257" s="88"/>
      <c r="N257" s="88"/>
      <c r="O257" s="88"/>
      <c r="P257" s="12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row>
    <row r="258" spans="1:59" ht="12.75">
      <c r="B258" s="1" t="s">
        <v>537</v>
      </c>
      <c r="C258" s="53">
        <f t="shared" ref="C258:L259" si="566">C185</f>
        <v>22.654106495797325</v>
      </c>
      <c r="D258" s="53">
        <f t="shared" si="566"/>
        <v>11.588963648561505</v>
      </c>
      <c r="E258" s="53">
        <f t="shared" si="566"/>
        <v>4.1719479610881844</v>
      </c>
      <c r="F258" s="53">
        <f t="shared" si="566"/>
        <v>2.8489494780086604</v>
      </c>
      <c r="G258" s="53">
        <f t="shared" si="566"/>
        <v>3.4295275666522729</v>
      </c>
      <c r="H258" s="53">
        <f t="shared" ref="H258:J259" si="567">H185</f>
        <v>3.29299838620034</v>
      </c>
      <c r="I258" s="53">
        <f t="shared" si="567"/>
        <v>4.7425745687635112</v>
      </c>
      <c r="J258" s="53">
        <f t="shared" si="567"/>
        <v>8.6981344788143637</v>
      </c>
      <c r="K258" s="53">
        <f>K185</f>
        <v>6.9895780494772968</v>
      </c>
      <c r="L258" s="53">
        <f t="shared" si="566"/>
        <v>8.7088054816435569</v>
      </c>
      <c r="M258" s="53"/>
      <c r="N258" s="53"/>
      <c r="O258" s="53"/>
      <c r="P258" s="126"/>
      <c r="Q258" s="53"/>
      <c r="R258" s="53"/>
      <c r="S258" s="53"/>
      <c r="T258" s="53"/>
      <c r="U258" s="53"/>
      <c r="V258" s="53"/>
      <c r="W258" s="53"/>
      <c r="X258" s="53"/>
      <c r="Y258" s="53"/>
      <c r="Z258" s="53"/>
      <c r="AA258" s="53"/>
      <c r="AB258" s="53"/>
      <c r="AC258" s="53"/>
      <c r="AD258" s="53"/>
      <c r="AE258" s="53"/>
      <c r="AF258" s="53">
        <f t="shared" ref="AF258:AO258" si="568">AF185</f>
        <v>4.1719463944861674</v>
      </c>
      <c r="AG258" s="53">
        <f t="shared" si="568"/>
        <v>4.8688662416957005</v>
      </c>
      <c r="AH258" s="53">
        <f t="shared" si="568"/>
        <v>4.3628355583331908</v>
      </c>
      <c r="AI258" s="53">
        <f t="shared" si="568"/>
        <v>4.521616234188925</v>
      </c>
      <c r="AJ258" s="53">
        <f t="shared" si="568"/>
        <v>2.8487296690446322</v>
      </c>
      <c r="AK258" s="53">
        <f t="shared" si="568"/>
        <v>3.0767282716670117</v>
      </c>
      <c r="AL258" s="53">
        <f t="shared" si="568"/>
        <v>3.3866536760039359</v>
      </c>
      <c r="AM258" s="53">
        <f t="shared" si="568"/>
        <v>3.5818465003673454</v>
      </c>
      <c r="AN258" s="53">
        <f t="shared" si="568"/>
        <v>3.4295275666522729</v>
      </c>
      <c r="AO258" s="53">
        <f t="shared" si="568"/>
        <v>2.8110661866832425</v>
      </c>
      <c r="AP258" s="53">
        <f t="shared" ref="AP258:AS259" si="569">AP185</f>
        <v>2.9226105257976744</v>
      </c>
      <c r="AQ258" s="53">
        <f t="shared" si="569"/>
        <v>2.9987356265069427</v>
      </c>
      <c r="AR258" s="53">
        <f t="shared" si="569"/>
        <v>3.29299838620034</v>
      </c>
      <c r="AS258" s="53">
        <f t="shared" si="569"/>
        <v>4.5353086208267825</v>
      </c>
      <c r="AT258" s="53">
        <f t="shared" ref="AT258:AW259" si="570">AT185</f>
        <v>3.9304052125517441</v>
      </c>
      <c r="AU258" s="53">
        <f t="shared" si="570"/>
        <v>4.0144229152775939</v>
      </c>
      <c r="AV258" s="53">
        <f t="shared" si="570"/>
        <v>4.742574568763513</v>
      </c>
      <c r="AW258" s="53">
        <f t="shared" si="570"/>
        <v>4.9425207517024354</v>
      </c>
      <c r="AX258" s="53">
        <f t="shared" ref="AX258:BA259" si="571">AX185</f>
        <v>4.640145271752897</v>
      </c>
      <c r="AY258" s="53">
        <f t="shared" si="571"/>
        <v>5.6446070898511902</v>
      </c>
      <c r="AZ258" s="53">
        <f t="shared" si="571"/>
        <v>8.6981344788143655</v>
      </c>
      <c r="BA258" s="53">
        <f t="shared" si="571"/>
        <v>9.287958781053856</v>
      </c>
      <c r="BB258" s="53">
        <f t="shared" ref="BB258:BE259" si="572">BB185</f>
        <v>8.9528202672952126</v>
      </c>
      <c r="BC258" s="53">
        <f t="shared" si="572"/>
        <v>9.2491297367074541</v>
      </c>
      <c r="BD258" s="53">
        <f t="shared" si="572"/>
        <v>6.9895780494773012</v>
      </c>
      <c r="BE258" s="53">
        <f t="shared" si="572"/>
        <v>8.6465836248191188</v>
      </c>
      <c r="BF258" s="53">
        <f>BF185</f>
        <v>7.9019343342485069</v>
      </c>
      <c r="BG258" s="53">
        <f>BG185</f>
        <v>8.7088054816435498</v>
      </c>
    </row>
    <row r="259" spans="1:59" ht="12.75">
      <c r="B259" s="1" t="s">
        <v>538</v>
      </c>
      <c r="C259" s="54">
        <f t="shared" si="566"/>
        <v>39.1628677994198</v>
      </c>
      <c r="D259" s="54">
        <f t="shared" si="566"/>
        <v>25.497463020015761</v>
      </c>
      <c r="E259" s="54">
        <f t="shared" si="566"/>
        <v>10.092032375880564</v>
      </c>
      <c r="F259" s="54">
        <f t="shared" si="566"/>
        <v>6.0770584285197708</v>
      </c>
      <c r="G259" s="54">
        <f t="shared" si="566"/>
        <v>5.2148702171128631</v>
      </c>
      <c r="H259" s="54">
        <f t="shared" si="567"/>
        <v>4.8212145301279286</v>
      </c>
      <c r="I259" s="54">
        <f t="shared" si="567"/>
        <v>7.1036449120897389</v>
      </c>
      <c r="J259" s="54">
        <f t="shared" si="567"/>
        <v>11.752915134009761</v>
      </c>
      <c r="K259" s="54">
        <f>K186</f>
        <v>9.3270425889323558</v>
      </c>
      <c r="L259" s="54">
        <f t="shared" si="566"/>
        <v>11.163551092115695</v>
      </c>
      <c r="M259" s="54"/>
      <c r="N259" s="54"/>
      <c r="O259" s="54"/>
      <c r="P259" s="127"/>
      <c r="Q259" s="54"/>
      <c r="R259" s="54"/>
      <c r="S259" s="54"/>
      <c r="T259" s="54"/>
      <c r="U259" s="54"/>
      <c r="V259" s="54"/>
      <c r="W259" s="54"/>
      <c r="X259" s="54"/>
      <c r="Y259" s="54"/>
      <c r="Z259" s="54"/>
      <c r="AA259" s="54"/>
      <c r="AB259" s="54"/>
      <c r="AC259" s="54"/>
      <c r="AD259" s="54"/>
      <c r="AE259" s="54"/>
      <c r="AF259" s="54">
        <f t="shared" ref="AF259:AO259" si="573">AF186</f>
        <v>10.092030809278548</v>
      </c>
      <c r="AG259" s="54">
        <f t="shared" si="573"/>
        <v>9.6142082921752703</v>
      </c>
      <c r="AH259" s="54">
        <f t="shared" si="573"/>
        <v>7.4873125820993129</v>
      </c>
      <c r="AI259" s="54">
        <f t="shared" si="573"/>
        <v>7.755833520153633</v>
      </c>
      <c r="AJ259" s="54">
        <f t="shared" si="573"/>
        <v>6.0768386195557431</v>
      </c>
      <c r="AK259" s="54">
        <f t="shared" si="573"/>
        <v>6.2484925783757026</v>
      </c>
      <c r="AL259" s="54">
        <f t="shared" si="573"/>
        <v>6.3257827432631855</v>
      </c>
      <c r="AM259" s="54">
        <f t="shared" si="573"/>
        <v>6.3344965303229159</v>
      </c>
      <c r="AN259" s="54">
        <f t="shared" si="573"/>
        <v>5.2148702171128631</v>
      </c>
      <c r="AO259" s="54">
        <f t="shared" si="573"/>
        <v>4.1920705581292905</v>
      </c>
      <c r="AP259" s="54">
        <f t="shared" si="569"/>
        <v>4.3843344030994027</v>
      </c>
      <c r="AQ259" s="54">
        <f t="shared" si="569"/>
        <v>4.3731527171009192</v>
      </c>
      <c r="AR259" s="54">
        <f t="shared" si="569"/>
        <v>4.8212145301279286</v>
      </c>
      <c r="AS259" s="54">
        <f t="shared" si="569"/>
        <v>6.4639988253504077</v>
      </c>
      <c r="AT259" s="54">
        <f t="shared" si="570"/>
        <v>5.6665680468741453</v>
      </c>
      <c r="AU259" s="54">
        <f t="shared" si="570"/>
        <v>5.9467490636200422</v>
      </c>
      <c r="AV259" s="54">
        <f t="shared" si="570"/>
        <v>7.1036449120897416</v>
      </c>
      <c r="AW259" s="54">
        <f t="shared" si="570"/>
        <v>7.7413694459325306</v>
      </c>
      <c r="AX259" s="54">
        <f t="shared" si="571"/>
        <v>7.6197141863279096</v>
      </c>
      <c r="AY259" s="54">
        <f t="shared" si="571"/>
        <v>8.769563418574414</v>
      </c>
      <c r="AZ259" s="54">
        <f t="shared" si="571"/>
        <v>11.752915134009763</v>
      </c>
      <c r="BA259" s="54">
        <f t="shared" si="571"/>
        <v>12.180561815701092</v>
      </c>
      <c r="BB259" s="54">
        <f t="shared" si="572"/>
        <v>11.319946475484299</v>
      </c>
      <c r="BC259" s="54">
        <f t="shared" si="572"/>
        <v>11.762580125061085</v>
      </c>
      <c r="BD259" s="54">
        <f t="shared" si="572"/>
        <v>9.3270425889323612</v>
      </c>
      <c r="BE259" s="54">
        <f t="shared" si="572"/>
        <v>11.166124750859291</v>
      </c>
      <c r="BF259" s="54">
        <f>BF186</f>
        <v>10.042185916837866</v>
      </c>
      <c r="BG259" s="54">
        <f>BG186</f>
        <v>11.163551092115689</v>
      </c>
    </row>
    <row r="260" spans="1:59" s="5" customFormat="1" ht="12.75" customHeight="1">
      <c r="C260" s="160"/>
      <c r="D260" s="160"/>
      <c r="E260" s="160"/>
      <c r="F260" s="160"/>
      <c r="G260" s="160"/>
      <c r="H260" s="160"/>
      <c r="I260" s="160"/>
      <c r="J260" s="160"/>
      <c r="K260" s="160"/>
      <c r="L260" s="160"/>
      <c r="M260" s="160"/>
      <c r="N260" s="58"/>
      <c r="O260" s="58"/>
      <c r="P260" s="153"/>
      <c r="Q260" s="58"/>
      <c r="R260" s="58"/>
      <c r="S260" s="58"/>
      <c r="T260" s="58"/>
      <c r="U260" s="58"/>
      <c r="V260" s="58"/>
      <c r="W260" s="58"/>
      <c r="X260" s="58"/>
      <c r="Y260" s="58"/>
      <c r="Z260" s="58"/>
      <c r="AA260" s="58"/>
      <c r="AB260" s="58"/>
      <c r="AC260" s="160"/>
      <c r="AD260" s="160"/>
      <c r="AE260" s="160"/>
      <c r="AF260" s="160"/>
      <c r="AG260" s="160"/>
      <c r="AH260" s="160"/>
      <c r="AI260" s="160"/>
      <c r="AJ260" s="160"/>
      <c r="AK260" s="160"/>
      <c r="AL260" s="58"/>
      <c r="AM260" s="160"/>
      <c r="AN260" s="160"/>
      <c r="AO260" s="160"/>
      <c r="AP260" s="160"/>
      <c r="AQ260" s="160"/>
      <c r="AR260" s="160"/>
      <c r="AS260" s="160"/>
      <c r="AT260" s="160"/>
      <c r="AU260" s="160"/>
      <c r="AV260" s="160"/>
      <c r="AW260" s="160"/>
      <c r="AX260" s="160"/>
      <c r="AY260" s="160"/>
      <c r="AZ260" s="160"/>
      <c r="BA260" s="160"/>
      <c r="BB260" s="160"/>
      <c r="BC260" s="160"/>
      <c r="BD260" s="160"/>
      <c r="BE260" s="160"/>
      <c r="BF260" s="160"/>
      <c r="BG260" s="160"/>
    </row>
    <row r="261" spans="1:59" ht="13.5" customHeight="1">
      <c r="A261" s="27"/>
      <c r="B261" s="17" t="s">
        <v>542</v>
      </c>
      <c r="C261" s="48"/>
      <c r="D261" s="48"/>
      <c r="E261" s="48"/>
      <c r="F261" s="48"/>
      <c r="G261" s="48"/>
      <c r="H261" s="48"/>
      <c r="I261" s="48"/>
      <c r="J261" s="48"/>
      <c r="K261" s="48"/>
      <c r="L261" s="48"/>
      <c r="M261" s="295"/>
      <c r="N261" s="48"/>
      <c r="O261" s="48"/>
      <c r="P261" s="96"/>
      <c r="Q261" s="48"/>
      <c r="R261" s="48"/>
      <c r="S261" s="48"/>
      <c r="T261" s="48"/>
      <c r="U261" s="48"/>
      <c r="V261" s="48"/>
      <c r="W261" s="48"/>
      <c r="X261" s="48"/>
      <c r="Y261" s="48"/>
      <c r="Z261" s="48"/>
      <c r="AA261" s="48"/>
      <c r="AB261" s="48"/>
      <c r="AC261" s="48"/>
      <c r="AD261" s="18"/>
      <c r="AE261" s="18"/>
      <c r="AF261" s="18"/>
      <c r="AG261" s="48"/>
      <c r="AH261" s="48"/>
      <c r="AI261" s="18"/>
      <c r="AJ261" s="18"/>
      <c r="AK261" s="48"/>
      <c r="AL261" s="48"/>
      <c r="AM261" s="18"/>
      <c r="AN261" s="18"/>
      <c r="AO261" s="48"/>
      <c r="AP261" s="48"/>
      <c r="AQ261" s="48"/>
      <c r="AR261" s="48"/>
      <c r="AS261" s="48"/>
      <c r="AT261" s="48"/>
      <c r="AU261" s="48"/>
      <c r="AV261" s="48"/>
      <c r="AW261" s="48"/>
      <c r="AX261" s="48"/>
      <c r="AY261" s="48"/>
      <c r="AZ261" s="48"/>
      <c r="BA261" s="48"/>
      <c r="BB261" s="48"/>
      <c r="BC261" s="48"/>
      <c r="BD261" s="48"/>
      <c r="BE261" s="48"/>
      <c r="BF261" s="48"/>
      <c r="BG261" s="48"/>
    </row>
    <row r="262" spans="1:59" s="2" customFormat="1" ht="13.5" customHeight="1">
      <c r="A262" s="124"/>
      <c r="B262" s="125" t="s">
        <v>55</v>
      </c>
      <c r="C262" s="82">
        <f t="shared" ref="C262:L262" si="574">+C2</f>
        <v>41975</v>
      </c>
      <c r="D262" s="48">
        <f t="shared" si="574"/>
        <v>42341</v>
      </c>
      <c r="E262" s="48">
        <f t="shared" si="574"/>
        <v>42705</v>
      </c>
      <c r="F262" s="48">
        <f t="shared" si="574"/>
        <v>43070</v>
      </c>
      <c r="G262" s="48">
        <f t="shared" si="574"/>
        <v>43435</v>
      </c>
      <c r="H262" s="48">
        <f t="shared" si="574"/>
        <v>43830</v>
      </c>
      <c r="I262" s="48">
        <f t="shared" si="574"/>
        <v>44196</v>
      </c>
      <c r="J262" s="48">
        <f t="shared" si="574"/>
        <v>44561</v>
      </c>
      <c r="K262" s="48">
        <f t="shared" si="574"/>
        <v>44926</v>
      </c>
      <c r="L262" s="48">
        <f t="shared" si="574"/>
        <v>45199</v>
      </c>
      <c r="M262" s="295" t="s">
        <v>397</v>
      </c>
      <c r="N262" s="48">
        <f t="shared" ref="N262:AL262" si="575">+N2</f>
        <v>43074</v>
      </c>
      <c r="O262" s="48">
        <f t="shared" si="575"/>
        <v>43440</v>
      </c>
      <c r="P262" s="96">
        <f t="shared" si="575"/>
        <v>43806</v>
      </c>
      <c r="Q262" s="13">
        <f t="shared" si="575"/>
        <v>41341</v>
      </c>
      <c r="R262" s="13">
        <f t="shared" si="575"/>
        <v>41431</v>
      </c>
      <c r="S262" s="13">
        <f t="shared" si="575"/>
        <v>41526</v>
      </c>
      <c r="T262" s="13">
        <f t="shared" si="575"/>
        <v>41618</v>
      </c>
      <c r="U262" s="13">
        <f t="shared" si="575"/>
        <v>41705</v>
      </c>
      <c r="V262" s="13">
        <f t="shared" si="575"/>
        <v>41796</v>
      </c>
      <c r="W262" s="13">
        <f t="shared" si="575"/>
        <v>41891</v>
      </c>
      <c r="X262" s="13">
        <f t="shared" si="575"/>
        <v>41983</v>
      </c>
      <c r="Y262" s="82">
        <f t="shared" si="575"/>
        <v>42070</v>
      </c>
      <c r="Z262" s="82">
        <f t="shared" si="575"/>
        <v>42161</v>
      </c>
      <c r="AA262" s="82">
        <f t="shared" si="575"/>
        <v>42256</v>
      </c>
      <c r="AB262" s="82">
        <f t="shared" si="575"/>
        <v>42348</v>
      </c>
      <c r="AC262" s="48">
        <f t="shared" si="575"/>
        <v>42437</v>
      </c>
      <c r="AD262" s="48">
        <f t="shared" si="575"/>
        <v>42527</v>
      </c>
      <c r="AE262" s="48">
        <f t="shared" si="575"/>
        <v>42622</v>
      </c>
      <c r="AF262" s="48">
        <f t="shared" si="575"/>
        <v>42714</v>
      </c>
      <c r="AG262" s="48">
        <f t="shared" si="575"/>
        <v>42801</v>
      </c>
      <c r="AH262" s="48">
        <f t="shared" si="575"/>
        <v>42892</v>
      </c>
      <c r="AI262" s="48">
        <f t="shared" si="575"/>
        <v>42987</v>
      </c>
      <c r="AJ262" s="48">
        <f t="shared" si="575"/>
        <v>43079</v>
      </c>
      <c r="AK262" s="48">
        <f t="shared" si="575"/>
        <v>43190</v>
      </c>
      <c r="AL262" s="48">
        <f t="shared" si="575"/>
        <v>43281</v>
      </c>
      <c r="AM262" s="48">
        <f>AM2</f>
        <v>43373</v>
      </c>
      <c r="AN262" s="48">
        <f>AN2</f>
        <v>43465</v>
      </c>
      <c r="AO262" s="48">
        <f t="shared" ref="AO262:BD262" si="576">+AO2</f>
        <v>43555</v>
      </c>
      <c r="AP262" s="48">
        <f t="shared" si="576"/>
        <v>43646</v>
      </c>
      <c r="AQ262" s="48">
        <f t="shared" si="576"/>
        <v>43738</v>
      </c>
      <c r="AR262" s="48">
        <f t="shared" si="576"/>
        <v>43830</v>
      </c>
      <c r="AS262" s="48">
        <f t="shared" si="576"/>
        <v>43921</v>
      </c>
      <c r="AT262" s="48">
        <f t="shared" si="576"/>
        <v>44012</v>
      </c>
      <c r="AU262" s="48">
        <f t="shared" si="576"/>
        <v>44104</v>
      </c>
      <c r="AV262" s="48">
        <f t="shared" si="576"/>
        <v>44196</v>
      </c>
      <c r="AW262" s="48">
        <f t="shared" si="576"/>
        <v>44286</v>
      </c>
      <c r="AX262" s="48">
        <f t="shared" si="576"/>
        <v>44377</v>
      </c>
      <c r="AY262" s="48">
        <f t="shared" si="576"/>
        <v>44469</v>
      </c>
      <c r="AZ262" s="48">
        <f t="shared" si="576"/>
        <v>44561</v>
      </c>
      <c r="BA262" s="48">
        <f t="shared" si="576"/>
        <v>44651</v>
      </c>
      <c r="BB262" s="48">
        <f t="shared" si="576"/>
        <v>44742</v>
      </c>
      <c r="BC262" s="48">
        <f t="shared" si="576"/>
        <v>44834</v>
      </c>
      <c r="BD262" s="48">
        <f t="shared" si="576"/>
        <v>44926</v>
      </c>
      <c r="BE262" s="48">
        <f>+BE2</f>
        <v>45016</v>
      </c>
      <c r="BF262" s="48">
        <f>+BF2</f>
        <v>45107</v>
      </c>
      <c r="BG262" s="48">
        <f>+BG2</f>
        <v>45199</v>
      </c>
    </row>
    <row r="263" spans="1:59" s="5" customFormat="1" ht="13.5" customHeight="1">
      <c r="B263" s="11"/>
      <c r="C263" s="14" t="s">
        <v>410</v>
      </c>
      <c r="D263" s="14" t="s">
        <v>410</v>
      </c>
      <c r="E263" s="14" t="s">
        <v>410</v>
      </c>
      <c r="F263" s="14" t="s">
        <v>410</v>
      </c>
      <c r="G263" s="14" t="s">
        <v>410</v>
      </c>
      <c r="H263" s="14" t="s">
        <v>410</v>
      </c>
      <c r="I263" s="14" t="s">
        <v>410</v>
      </c>
      <c r="J263" s="14" t="s">
        <v>410</v>
      </c>
      <c r="K263" s="14" t="s">
        <v>410</v>
      </c>
      <c r="L263" s="14" t="str">
        <f>L197</f>
        <v>Act</v>
      </c>
      <c r="M263" s="423"/>
      <c r="N263" s="15" t="s">
        <v>411</v>
      </c>
      <c r="O263" s="15" t="s">
        <v>411</v>
      </c>
      <c r="P263" s="139" t="s">
        <v>411</v>
      </c>
      <c r="Q263" s="15"/>
      <c r="R263" s="15"/>
      <c r="S263" s="15"/>
      <c r="T263" s="15"/>
      <c r="U263" s="15"/>
      <c r="V263" s="15"/>
      <c r="W263" s="15"/>
      <c r="X263" s="15"/>
      <c r="Y263" s="15"/>
      <c r="Z263" s="15"/>
      <c r="AA263" s="15"/>
      <c r="AB263" s="15"/>
      <c r="AC263" s="14" t="s">
        <v>410</v>
      </c>
      <c r="AD263" s="14" t="s">
        <v>410</v>
      </c>
      <c r="AE263" s="14" t="s">
        <v>410</v>
      </c>
      <c r="AF263" s="14" t="s">
        <v>410</v>
      </c>
      <c r="AG263" s="14" t="s">
        <v>410</v>
      </c>
      <c r="AH263" s="14" t="s">
        <v>410</v>
      </c>
      <c r="AI263" s="14" t="s">
        <v>410</v>
      </c>
      <c r="AJ263" s="14" t="s">
        <v>410</v>
      </c>
      <c r="AK263" s="14" t="s">
        <v>410</v>
      </c>
      <c r="AL263" s="14" t="s">
        <v>410</v>
      </c>
      <c r="AM263" s="14" t="s">
        <v>410</v>
      </c>
      <c r="AN263" s="14" t="s">
        <v>410</v>
      </c>
      <c r="AO263" s="14" t="s">
        <v>410</v>
      </c>
      <c r="AP263" s="14" t="s">
        <v>410</v>
      </c>
      <c r="AQ263" s="14" t="str">
        <f t="shared" ref="AQ263:AS264" si="577">AQ3</f>
        <v>Act</v>
      </c>
      <c r="AR263" s="14" t="str">
        <f t="shared" si="577"/>
        <v>Act</v>
      </c>
      <c r="AS263" s="14" t="str">
        <f t="shared" si="577"/>
        <v>Act</v>
      </c>
      <c r="AT263" s="14" t="s">
        <v>410</v>
      </c>
      <c r="AU263" s="14" t="str">
        <f t="shared" ref="AU263:BD263" si="578">AU3</f>
        <v>Act</v>
      </c>
      <c r="AV263" s="14" t="str">
        <f t="shared" si="578"/>
        <v>Act</v>
      </c>
      <c r="AW263" s="14" t="str">
        <f t="shared" si="578"/>
        <v>Act</v>
      </c>
      <c r="AX263" s="14" t="str">
        <f t="shared" si="578"/>
        <v>Act</v>
      </c>
      <c r="AY263" s="14" t="str">
        <f t="shared" si="578"/>
        <v>Act</v>
      </c>
      <c r="AZ263" s="14" t="str">
        <f t="shared" si="578"/>
        <v>Act</v>
      </c>
      <c r="BA263" s="14" t="str">
        <f t="shared" si="578"/>
        <v>Act</v>
      </c>
      <c r="BB263" s="14" t="str">
        <f t="shared" si="578"/>
        <v>Act</v>
      </c>
      <c r="BC263" s="14" t="str">
        <f t="shared" si="578"/>
        <v>Act</v>
      </c>
      <c r="BD263" s="14" t="str">
        <f t="shared" si="578"/>
        <v>Act</v>
      </c>
      <c r="BE263" s="14" t="str">
        <f t="shared" ref="BE263:BG264" si="579">BE3</f>
        <v>Act</v>
      </c>
      <c r="BF263" s="14" t="str">
        <f t="shared" si="579"/>
        <v>Act</v>
      </c>
      <c r="BG263" s="14" t="str">
        <f t="shared" si="579"/>
        <v>Act</v>
      </c>
    </row>
    <row r="264" spans="1:59" s="3" customFormat="1" ht="13.5" customHeight="1">
      <c r="C264" s="23" t="s">
        <v>412</v>
      </c>
      <c r="D264" s="23" t="s">
        <v>412</v>
      </c>
      <c r="E264" s="23" t="s">
        <v>412</v>
      </c>
      <c r="F264" s="23" t="s">
        <v>412</v>
      </c>
      <c r="G264" s="23" t="s">
        <v>412</v>
      </c>
      <c r="H264" s="23" t="s">
        <v>412</v>
      </c>
      <c r="I264" s="23" t="s">
        <v>412</v>
      </c>
      <c r="J264" s="23" t="s">
        <v>412</v>
      </c>
      <c r="K264" s="23" t="s">
        <v>412</v>
      </c>
      <c r="L264" s="23" t="str">
        <f>L198</f>
        <v>LTM</v>
      </c>
      <c r="M264" s="23"/>
      <c r="N264" s="23" t="s">
        <v>412</v>
      </c>
      <c r="O264" s="23" t="s">
        <v>412</v>
      </c>
      <c r="P264" s="147" t="s">
        <v>412</v>
      </c>
      <c r="Q264" s="23"/>
      <c r="R264" s="23"/>
      <c r="S264" s="23"/>
      <c r="T264" s="23"/>
      <c r="U264" s="23"/>
      <c r="V264" s="23"/>
      <c r="W264" s="23"/>
      <c r="X264" s="23"/>
      <c r="Y264" s="23"/>
      <c r="Z264" s="23"/>
      <c r="AA264" s="23"/>
      <c r="AB264" s="23"/>
      <c r="AC264" s="23" t="s">
        <v>413</v>
      </c>
      <c r="AD264" s="23" t="s">
        <v>414</v>
      </c>
      <c r="AE264" s="23" t="s">
        <v>415</v>
      </c>
      <c r="AF264" s="23" t="s">
        <v>416</v>
      </c>
      <c r="AG264" s="23" t="s">
        <v>413</v>
      </c>
      <c r="AH264" s="23" t="s">
        <v>414</v>
      </c>
      <c r="AI264" s="23" t="s">
        <v>415</v>
      </c>
      <c r="AJ264" s="23" t="s">
        <v>416</v>
      </c>
      <c r="AK264" s="23" t="str">
        <f t="shared" ref="AK264:AP264" si="580">AK4</f>
        <v>Q1</v>
      </c>
      <c r="AL264" s="23" t="str">
        <f t="shared" si="580"/>
        <v>Q2</v>
      </c>
      <c r="AM264" s="23" t="str">
        <f t="shared" si="580"/>
        <v>Q3</v>
      </c>
      <c r="AN264" s="23" t="str">
        <f t="shared" si="580"/>
        <v>Q4</v>
      </c>
      <c r="AO264" s="23" t="str">
        <f t="shared" si="580"/>
        <v>Q1</v>
      </c>
      <c r="AP264" s="23" t="str">
        <f t="shared" si="580"/>
        <v>Q2</v>
      </c>
      <c r="AQ264" s="23" t="str">
        <f t="shared" si="577"/>
        <v>Q3</v>
      </c>
      <c r="AR264" s="23" t="str">
        <f t="shared" si="577"/>
        <v>Q4</v>
      </c>
      <c r="AS264" s="23" t="str">
        <f t="shared" si="577"/>
        <v>Q1</v>
      </c>
      <c r="AT264" s="23" t="str">
        <f>AT4</f>
        <v>Q2</v>
      </c>
      <c r="AU264" s="23" t="str">
        <f t="shared" ref="AU264:BD264" si="581">AU4</f>
        <v>Q3</v>
      </c>
      <c r="AV264" s="23" t="str">
        <f t="shared" si="581"/>
        <v>Q4</v>
      </c>
      <c r="AW264" s="23" t="str">
        <f t="shared" si="581"/>
        <v>Q1</v>
      </c>
      <c r="AX264" s="23" t="str">
        <f t="shared" si="581"/>
        <v>Q2</v>
      </c>
      <c r="AY264" s="23" t="str">
        <f t="shared" si="581"/>
        <v>Q3</v>
      </c>
      <c r="AZ264" s="23" t="str">
        <f t="shared" si="581"/>
        <v>Q4</v>
      </c>
      <c r="BA264" s="23" t="str">
        <f t="shared" si="581"/>
        <v>Q1</v>
      </c>
      <c r="BB264" s="23" t="str">
        <f t="shared" si="581"/>
        <v>Q2</v>
      </c>
      <c r="BC264" s="23" t="str">
        <f t="shared" si="581"/>
        <v>Q3</v>
      </c>
      <c r="BD264" s="23" t="str">
        <f t="shared" si="581"/>
        <v>Q4</v>
      </c>
      <c r="BE264" s="23" t="str">
        <f t="shared" si="579"/>
        <v>Q1</v>
      </c>
      <c r="BF264" s="23" t="str">
        <f t="shared" si="579"/>
        <v>Q2</v>
      </c>
      <c r="BG264" s="23" t="str">
        <f t="shared" si="579"/>
        <v>Q3</v>
      </c>
    </row>
    <row r="265" spans="1:59" s="5" customFormat="1" ht="13.5" customHeight="1">
      <c r="B265" s="5" t="str">
        <f>+B14</f>
        <v>Total Revenues</v>
      </c>
      <c r="C265" s="58">
        <f t="shared" ref="C265:L265" si="582">+C14/C$191</f>
        <v>5511.945080091532</v>
      </c>
      <c r="D265" s="58">
        <f t="shared" si="582"/>
        <v>4682.4098859594442</v>
      </c>
      <c r="E265" s="58">
        <f t="shared" si="582"/>
        <v>4752.520043913637</v>
      </c>
      <c r="F265" s="58">
        <f t="shared" si="582"/>
        <v>4856.2575740883549</v>
      </c>
      <c r="G265" s="58">
        <f t="shared" si="582"/>
        <v>4475.3715030371814</v>
      </c>
      <c r="H265" s="58">
        <f t="shared" si="582"/>
        <v>4440.867956028037</v>
      </c>
      <c r="I265" s="58">
        <f t="shared" si="582"/>
        <v>3687.153661966478</v>
      </c>
      <c r="J265" s="58">
        <f t="shared" si="582"/>
        <v>4045.2380147977974</v>
      </c>
      <c r="K265" s="58">
        <f t="shared" si="582"/>
        <v>3267.3438447543963</v>
      </c>
      <c r="L265" s="58">
        <f t="shared" si="582"/>
        <v>3823.0471802451584</v>
      </c>
      <c r="M265" s="58"/>
      <c r="N265" s="58"/>
      <c r="O265" s="58"/>
      <c r="P265" s="153"/>
      <c r="Q265" s="58"/>
      <c r="R265" s="58"/>
      <c r="S265" s="58"/>
      <c r="T265" s="58"/>
      <c r="U265" s="58"/>
      <c r="V265" s="58"/>
      <c r="W265" s="58"/>
      <c r="X265" s="58"/>
      <c r="Y265" s="58"/>
      <c r="Z265" s="58"/>
      <c r="AA265" s="58"/>
      <c r="AB265" s="58"/>
      <c r="AC265" s="58">
        <f t="shared" ref="AC265:BD265" si="583">+AC14/AC$191</f>
        <v>1104.5133894938704</v>
      </c>
      <c r="AD265" s="58">
        <f t="shared" si="583"/>
        <v>1168.603841870824</v>
      </c>
      <c r="AE265" s="58">
        <f t="shared" si="583"/>
        <v>1231.5693799232479</v>
      </c>
      <c r="AF265" s="58">
        <f t="shared" si="583"/>
        <v>1240.7106256328434</v>
      </c>
      <c r="AG265" s="58">
        <f t="shared" si="583"/>
        <v>1105.3047865812082</v>
      </c>
      <c r="AH265" s="58">
        <f t="shared" si="583"/>
        <v>1211.5087719298247</v>
      </c>
      <c r="AI265" s="58">
        <f t="shared" si="583"/>
        <v>1313.5803880110859</v>
      </c>
      <c r="AJ265" s="58">
        <f t="shared" si="583"/>
        <v>1229.7981129091772</v>
      </c>
      <c r="AK265" s="58">
        <f t="shared" si="583"/>
        <v>1250.5186858208365</v>
      </c>
      <c r="AL265" s="58">
        <f t="shared" si="583"/>
        <v>1197.3076291657874</v>
      </c>
      <c r="AM265" s="58">
        <f t="shared" si="583"/>
        <v>1050.1493942741247</v>
      </c>
      <c r="AN265" s="58">
        <f t="shared" si="583"/>
        <v>1034.8608582096413</v>
      </c>
      <c r="AO265" s="58">
        <f t="shared" si="583"/>
        <v>1063.2470306118628</v>
      </c>
      <c r="AP265" s="58">
        <f t="shared" si="583"/>
        <v>1058.7058380929579</v>
      </c>
      <c r="AQ265" s="58">
        <f t="shared" si="583"/>
        <v>1156.1441384515472</v>
      </c>
      <c r="AR265" s="58">
        <f t="shared" si="583"/>
        <v>1160.6237410571648</v>
      </c>
      <c r="AS265" s="58">
        <f t="shared" si="583"/>
        <v>1084.0782168384378</v>
      </c>
      <c r="AT265" s="58">
        <f t="shared" si="583"/>
        <v>1009.1089282070715</v>
      </c>
      <c r="AU265" s="58">
        <f t="shared" si="583"/>
        <v>1058.1352016820672</v>
      </c>
      <c r="AV265" s="58">
        <f t="shared" si="583"/>
        <v>1122.6667142042218</v>
      </c>
      <c r="AW265" s="58">
        <f t="shared" si="583"/>
        <v>1042.3381189569295</v>
      </c>
      <c r="AX265" s="58">
        <f t="shared" si="583"/>
        <v>1016.0218696143102</v>
      </c>
      <c r="AY265" s="58">
        <f t="shared" si="583"/>
        <v>1097.7600572689291</v>
      </c>
      <c r="AZ265" s="58">
        <f t="shared" si="583"/>
        <v>920.16459456287214</v>
      </c>
      <c r="BA265" s="58">
        <f t="shared" si="583"/>
        <v>768.10491313496937</v>
      </c>
      <c r="BB265" s="58">
        <f t="shared" si="583"/>
        <v>799.82820072309539</v>
      </c>
      <c r="BC265" s="58">
        <f t="shared" si="583"/>
        <v>818.23740485278699</v>
      </c>
      <c r="BD265" s="58">
        <f t="shared" si="583"/>
        <v>862.5341110692973</v>
      </c>
      <c r="BE265" s="58">
        <f>+BE14/BE$191</f>
        <v>916.4376614627264</v>
      </c>
      <c r="BF265" s="58">
        <f>+BF14/BF$191</f>
        <v>1058.7329708999998</v>
      </c>
      <c r="BG265" s="58">
        <f>+BG14/BG$191</f>
        <v>969.55108861477174</v>
      </c>
    </row>
    <row r="266" spans="1:59" s="29" customFormat="1" ht="13.5" customHeight="1">
      <c r="B266" s="30" t="str">
        <f>+B15</f>
        <v xml:space="preserve">% y-o-y growth </v>
      </c>
      <c r="C266" s="79"/>
      <c r="D266" s="79">
        <f>D265/C265-1</f>
        <v>-0.15049772486454316</v>
      </c>
      <c r="E266" s="79">
        <f t="shared" ref="E266:K266" si="584">+E265/D265-1</f>
        <v>1.4973092843585389E-2</v>
      </c>
      <c r="F266" s="79">
        <f t="shared" si="584"/>
        <v>2.1827899559849318E-2</v>
      </c>
      <c r="G266" s="79">
        <f t="shared" si="584"/>
        <v>-7.8432015855887882E-2</v>
      </c>
      <c r="H266" s="79">
        <f t="shared" si="584"/>
        <v>-7.7096497990677415E-3</v>
      </c>
      <c r="I266" s="79">
        <f t="shared" si="584"/>
        <v>-0.16972229337250766</v>
      </c>
      <c r="J266" s="79">
        <f t="shared" si="584"/>
        <v>9.7116742522832977E-2</v>
      </c>
      <c r="K266" s="79">
        <f t="shared" si="584"/>
        <v>-0.1922987392083737</v>
      </c>
      <c r="L266" s="79"/>
      <c r="M266" s="189"/>
      <c r="N266" s="79"/>
      <c r="O266" s="79"/>
      <c r="P266" s="118"/>
      <c r="Q266" s="188"/>
      <c r="R266" s="188"/>
      <c r="S266" s="188"/>
      <c r="T266" s="188"/>
      <c r="U266" s="188"/>
      <c r="V266" s="188"/>
      <c r="W266" s="188"/>
      <c r="X266" s="188"/>
      <c r="Y266" s="188"/>
      <c r="Z266" s="188"/>
      <c r="AA266" s="188"/>
      <c r="AB266" s="188"/>
      <c r="AC266" s="79"/>
      <c r="AD266" s="79"/>
      <c r="AE266" s="79"/>
      <c r="AF266" s="79"/>
      <c r="AG266" s="79">
        <f>AG265/AC265-1</f>
        <v>7.1651199058853088E-4</v>
      </c>
      <c r="AH266" s="79">
        <f>AH265/AD265-1</f>
        <v>3.6714691944118583E-2</v>
      </c>
      <c r="AI266" s="79">
        <f>AI265/AE265-1</f>
        <v>6.6590652077554102E-2</v>
      </c>
      <c r="AJ266" s="79"/>
      <c r="AK266" s="79">
        <f t="shared" ref="AK266:BG266" si="585">AK265/AG265-1</f>
        <v>0.13137905580666653</v>
      </c>
      <c r="AL266" s="79">
        <f t="shared" si="585"/>
        <v>-1.172186540706277E-2</v>
      </c>
      <c r="AM266" s="79">
        <f t="shared" si="585"/>
        <v>-0.20054425000652343</v>
      </c>
      <c r="AN266" s="79">
        <f t="shared" si="585"/>
        <v>-0.15851159036046791</v>
      </c>
      <c r="AO266" s="79">
        <f t="shared" si="585"/>
        <v>-0.14975518345497507</v>
      </c>
      <c r="AP266" s="79">
        <f t="shared" si="585"/>
        <v>-0.11576121933625272</v>
      </c>
      <c r="AQ266" s="79">
        <f t="shared" si="585"/>
        <v>0.10093301463139648</v>
      </c>
      <c r="AR266" s="79">
        <f t="shared" si="585"/>
        <v>0.12152636931799643</v>
      </c>
      <c r="AS266" s="79">
        <f t="shared" si="585"/>
        <v>1.9592047404625612E-2</v>
      </c>
      <c r="AT266" s="79">
        <f t="shared" si="585"/>
        <v>-4.6846733154154663E-2</v>
      </c>
      <c r="AU266" s="79">
        <f t="shared" si="585"/>
        <v>-8.4772247256943101E-2</v>
      </c>
      <c r="AV266" s="79">
        <f t="shared" si="585"/>
        <v>-3.270398968262489E-2</v>
      </c>
      <c r="AW266" s="79">
        <f t="shared" si="585"/>
        <v>-3.8502847149938568E-2</v>
      </c>
      <c r="AX266" s="79">
        <f t="shared" si="585"/>
        <v>6.8505403272183241E-3</v>
      </c>
      <c r="AY266" s="79">
        <f t="shared" si="585"/>
        <v>3.7447819072526922E-2</v>
      </c>
      <c r="AZ266" s="79">
        <f t="shared" si="585"/>
        <v>-0.18037598966750246</v>
      </c>
      <c r="BA266" s="79">
        <f t="shared" si="585"/>
        <v>-0.26309428853699224</v>
      </c>
      <c r="BB266" s="79">
        <f t="shared" si="585"/>
        <v>-0.21278446395379613</v>
      </c>
      <c r="BC266" s="79">
        <f t="shared" si="585"/>
        <v>-0.25463000822926163</v>
      </c>
      <c r="BD266" s="79">
        <f t="shared" si="585"/>
        <v>-6.2630624818761249E-2</v>
      </c>
      <c r="BE266" s="79">
        <f t="shared" si="585"/>
        <v>0.1931152187561811</v>
      </c>
      <c r="BF266" s="79">
        <f t="shared" si="585"/>
        <v>0.32370047710600613</v>
      </c>
      <c r="BG266" s="79">
        <f t="shared" si="585"/>
        <v>0.18492638305774878</v>
      </c>
    </row>
    <row r="267" spans="1:59" s="29" customFormat="1" ht="13.5" customHeight="1">
      <c r="C267" s="117"/>
      <c r="D267" s="117"/>
      <c r="E267" s="117"/>
      <c r="F267" s="117"/>
      <c r="G267" s="117"/>
      <c r="H267" s="117"/>
      <c r="I267" s="117"/>
      <c r="J267" s="117"/>
      <c r="K267" s="117"/>
      <c r="L267" s="117"/>
      <c r="M267" s="189"/>
      <c r="N267" s="117"/>
      <c r="O267" s="117"/>
      <c r="P267" s="119"/>
      <c r="Q267" s="189"/>
      <c r="R267" s="189"/>
      <c r="S267" s="189"/>
      <c r="T267" s="189"/>
      <c r="U267" s="189"/>
      <c r="V267" s="189"/>
      <c r="W267" s="189"/>
      <c r="X267" s="189"/>
      <c r="Y267" s="189"/>
      <c r="Z267" s="189"/>
      <c r="AA267" s="189"/>
      <c r="AB267" s="189"/>
      <c r="AC267" s="117"/>
      <c r="AD267" s="117"/>
      <c r="AE267" s="117"/>
      <c r="AF267" s="117"/>
      <c r="AG267" s="117"/>
      <c r="AH267" s="117"/>
      <c r="AI267" s="117"/>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row>
    <row r="268" spans="1:59" s="5" customFormat="1" ht="13.5" customHeight="1" outlineLevel="1" thickBot="1">
      <c r="B268" s="25" t="str">
        <f>+B65</f>
        <v xml:space="preserve">EBITDA </v>
      </c>
      <c r="C268" s="67">
        <f t="shared" ref="C268:L268" si="586">C65/C$191</f>
        <v>1686.7276887871849</v>
      </c>
      <c r="D268" s="67">
        <f t="shared" si="586"/>
        <v>1435.4442448021705</v>
      </c>
      <c r="E268" s="67">
        <f t="shared" si="586"/>
        <v>1458.8642336737746</v>
      </c>
      <c r="F268" s="67">
        <f t="shared" si="586"/>
        <v>1522.9150600418636</v>
      </c>
      <c r="G268" s="67">
        <f t="shared" si="586"/>
        <v>1817.6558000714626</v>
      </c>
      <c r="H268" s="67">
        <f t="shared" si="586"/>
        <v>1780.7496786902045</v>
      </c>
      <c r="I268" s="67">
        <f t="shared" si="586"/>
        <v>1488.2393929028415</v>
      </c>
      <c r="J268" s="67">
        <f t="shared" si="586"/>
        <v>2412.6254265346806</v>
      </c>
      <c r="K268" s="67">
        <f t="shared" si="586"/>
        <v>1746.1954517889626</v>
      </c>
      <c r="L268" s="67">
        <f t="shared" si="586"/>
        <v>2369.7761848866085</v>
      </c>
      <c r="M268" s="8"/>
      <c r="N268" s="67"/>
      <c r="O268" s="67"/>
      <c r="P268" s="120"/>
      <c r="Q268" s="67"/>
      <c r="R268" s="67"/>
      <c r="S268" s="67"/>
      <c r="T268" s="67"/>
      <c r="U268" s="67"/>
      <c r="V268" s="67"/>
      <c r="W268" s="67"/>
      <c r="X268" s="67"/>
      <c r="Y268" s="67"/>
      <c r="Z268" s="67"/>
      <c r="AA268" s="67"/>
      <c r="AB268" s="67"/>
      <c r="AC268" s="67">
        <f t="shared" ref="AC268:BD268" si="587">AC65/AC$191</f>
        <v>339.16007811516062</v>
      </c>
      <c r="AD268" s="67">
        <f t="shared" si="587"/>
        <v>362.98860633582649</v>
      </c>
      <c r="AE268" s="67">
        <f t="shared" si="587"/>
        <v>345.04813842321431</v>
      </c>
      <c r="AF268" s="67">
        <f t="shared" si="587"/>
        <v>407.07557301095403</v>
      </c>
      <c r="AG268" s="67">
        <f t="shared" si="587"/>
        <v>382.81740079094499</v>
      </c>
      <c r="AH268" s="67">
        <f t="shared" si="587"/>
        <v>398.65263157894736</v>
      </c>
      <c r="AI268" s="67">
        <f t="shared" si="587"/>
        <v>454.9844281265178</v>
      </c>
      <c r="AJ268" s="67">
        <f t="shared" si="587"/>
        <v>293.34247008592035</v>
      </c>
      <c r="AK268" s="67">
        <f t="shared" si="587"/>
        <v>522.23126821965991</v>
      </c>
      <c r="AL268" s="67">
        <f t="shared" si="587"/>
        <v>493.42151551396603</v>
      </c>
      <c r="AM268" s="67">
        <f t="shared" si="587"/>
        <v>411.02783260597943</v>
      </c>
      <c r="AN268" s="67">
        <f t="shared" si="587"/>
        <v>420.39434236421471</v>
      </c>
      <c r="AO268" s="67">
        <f t="shared" si="587"/>
        <v>417.64397317246812</v>
      </c>
      <c r="AP268" s="67">
        <f t="shared" si="587"/>
        <v>423.92010670679576</v>
      </c>
      <c r="AQ268" s="67">
        <f t="shared" si="587"/>
        <v>481.96514138276007</v>
      </c>
      <c r="AR268" s="67">
        <f t="shared" si="587"/>
        <v>455.92831839966669</v>
      </c>
      <c r="AS268" s="67">
        <f t="shared" si="587"/>
        <v>442.06190266855543</v>
      </c>
      <c r="AT268" s="67">
        <f t="shared" si="587"/>
        <v>404.15950097647703</v>
      </c>
      <c r="AU268" s="67">
        <f t="shared" si="587"/>
        <v>467.92328335085477</v>
      </c>
      <c r="AV268" s="67">
        <f t="shared" si="587"/>
        <v>410.1838277239022</v>
      </c>
      <c r="AW268" s="67">
        <f t="shared" si="587"/>
        <v>438.75023306608438</v>
      </c>
      <c r="AX268" s="67">
        <f t="shared" si="587"/>
        <v>377.19141855351506</v>
      </c>
      <c r="AY268" s="67">
        <f t="shared" si="587"/>
        <v>470.55062667229953</v>
      </c>
      <c r="AZ268" s="67">
        <f t="shared" si="587"/>
        <v>988.2746914416249</v>
      </c>
      <c r="BA268" s="67">
        <f t="shared" si="587"/>
        <v>417.57812107240062</v>
      </c>
      <c r="BB268" s="67">
        <f t="shared" si="587"/>
        <v>441.8831252083387</v>
      </c>
      <c r="BC268" s="67">
        <f t="shared" si="587"/>
        <v>336.20521663429992</v>
      </c>
      <c r="BD268" s="67">
        <f t="shared" si="587"/>
        <v>540.97005537336713</v>
      </c>
      <c r="BE268" s="67">
        <f>BE65/BE$191</f>
        <v>733.47364344786251</v>
      </c>
      <c r="BF268" s="67">
        <f>BF65/BF$191</f>
        <v>734.14014989999987</v>
      </c>
      <c r="BG268" s="67">
        <f>BG65/BG$191</f>
        <v>420.90781930151104</v>
      </c>
    </row>
    <row r="269" spans="1:59" s="29" customFormat="1" ht="13.5" customHeight="1" outlineLevel="1" thickTop="1">
      <c r="B269" s="30" t="s">
        <v>456</v>
      </c>
      <c r="C269" s="55"/>
      <c r="D269" s="79">
        <f>D268/C268-1</f>
        <v>-0.14897688918932483</v>
      </c>
      <c r="E269" s="79">
        <f t="shared" ref="E269:K269" si="588">+E268/D268-1</f>
        <v>1.6315498812586648E-2</v>
      </c>
      <c r="F269" s="79">
        <f t="shared" si="588"/>
        <v>4.3904583366742411E-2</v>
      </c>
      <c r="G269" s="79">
        <f t="shared" si="588"/>
        <v>0.19353721541206426</v>
      </c>
      <c r="H269" s="79">
        <f t="shared" si="588"/>
        <v>-2.0304240978851529E-2</v>
      </c>
      <c r="I269" s="79">
        <f t="shared" si="588"/>
        <v>-0.16426243917815175</v>
      </c>
      <c r="J269" s="79">
        <f t="shared" si="588"/>
        <v>0.62112724474306868</v>
      </c>
      <c r="K269" s="79">
        <f t="shared" si="588"/>
        <v>-0.27622604297216968</v>
      </c>
      <c r="L269" s="79"/>
      <c r="M269" s="189"/>
      <c r="N269" s="55"/>
      <c r="O269" s="55"/>
      <c r="P269" s="121"/>
      <c r="Q269" s="190"/>
      <c r="R269" s="190"/>
      <c r="S269" s="190"/>
      <c r="T269" s="190"/>
      <c r="U269" s="190"/>
      <c r="V269" s="190"/>
      <c r="W269" s="190"/>
      <c r="X269" s="190"/>
      <c r="Y269" s="190"/>
      <c r="Z269" s="190"/>
      <c r="AA269" s="190"/>
      <c r="AB269" s="190"/>
      <c r="AC269" s="55"/>
      <c r="AD269" s="55"/>
      <c r="AE269" s="55"/>
      <c r="AF269" s="55"/>
      <c r="AG269" s="55">
        <f>AG268/AC268-1</f>
        <v>0.12872187940987767</v>
      </c>
      <c r="AH269" s="55">
        <f>AH268/AD268-1</f>
        <v>9.8251087281030491E-2</v>
      </c>
      <c r="AI269" s="79">
        <f>AI268/AE268-1</f>
        <v>0.3186114557976909</v>
      </c>
      <c r="AJ269" s="55"/>
      <c r="AK269" s="55">
        <f t="shared" ref="AK269:BG269" si="589">AK268/AG268-1</f>
        <v>0.36417850165815291</v>
      </c>
      <c r="AL269" s="55">
        <f t="shared" si="589"/>
        <v>0.23772296086361355</v>
      </c>
      <c r="AM269" s="79">
        <f t="shared" si="589"/>
        <v>-9.6611208655069225E-2</v>
      </c>
      <c r="AN269" s="79">
        <f t="shared" si="589"/>
        <v>0.43311789200207085</v>
      </c>
      <c r="AO269" s="55">
        <f t="shared" si="589"/>
        <v>-0.20027007460457247</v>
      </c>
      <c r="AP269" s="55">
        <f t="shared" si="589"/>
        <v>-0.14085605637762888</v>
      </c>
      <c r="AQ269" s="55">
        <f t="shared" si="589"/>
        <v>0.17258517100174764</v>
      </c>
      <c r="AR269" s="55">
        <f t="shared" si="589"/>
        <v>8.4525343123353913E-2</v>
      </c>
      <c r="AS269" s="55">
        <f t="shared" si="589"/>
        <v>5.8465896947120122E-2</v>
      </c>
      <c r="AT269" s="55">
        <f t="shared" si="589"/>
        <v>-4.6613985554561421E-2</v>
      </c>
      <c r="AU269" s="55">
        <f t="shared" si="589"/>
        <v>-2.9134592579909691E-2</v>
      </c>
      <c r="AV269" s="55">
        <f t="shared" si="589"/>
        <v>-0.10033263745566445</v>
      </c>
      <c r="AW269" s="55">
        <f t="shared" si="589"/>
        <v>-7.4914159815170356E-3</v>
      </c>
      <c r="AX269" s="55">
        <f t="shared" si="589"/>
        <v>-6.6726335414125426E-2</v>
      </c>
      <c r="AY269" s="55">
        <f t="shared" si="589"/>
        <v>5.6149018758588909E-3</v>
      </c>
      <c r="AZ269" s="55">
        <f t="shared" si="589"/>
        <v>1.4093458216661823</v>
      </c>
      <c r="BA269" s="55">
        <f t="shared" si="589"/>
        <v>-4.825550027797898E-2</v>
      </c>
      <c r="BB269" s="55">
        <f t="shared" si="589"/>
        <v>0.17150895665365007</v>
      </c>
      <c r="BC269" s="55">
        <f t="shared" si="589"/>
        <v>-0.28550681355602647</v>
      </c>
      <c r="BD269" s="55">
        <f t="shared" si="589"/>
        <v>-0.4526116472898456</v>
      </c>
      <c r="BE269" s="55">
        <f t="shared" si="589"/>
        <v>0.75649442926798183</v>
      </c>
      <c r="BF269" s="55">
        <f t="shared" si="589"/>
        <v>0.6613898744240756</v>
      </c>
      <c r="BG269" s="55">
        <f t="shared" si="589"/>
        <v>0.2519372052437383</v>
      </c>
    </row>
    <row r="270" spans="1:59" s="29" customFormat="1" ht="13.5" customHeight="1" outlineLevel="1">
      <c r="B270" s="30" t="s">
        <v>457</v>
      </c>
      <c r="C270" s="79">
        <f t="shared" ref="C270:L270" si="590">C268/C265</f>
        <v>0.3060131522136238</v>
      </c>
      <c r="D270" s="79">
        <f t="shared" si="590"/>
        <v>0.30656099738437192</v>
      </c>
      <c r="E270" s="79">
        <f t="shared" si="590"/>
        <v>0.30696645573164577</v>
      </c>
      <c r="F270" s="79">
        <f t="shared" si="590"/>
        <v>0.31359849365645603</v>
      </c>
      <c r="G270" s="79">
        <f t="shared" si="590"/>
        <v>0.40614634982546644</v>
      </c>
      <c r="H270" s="79">
        <f>H268/H265</f>
        <v>0.40099135941950576</v>
      </c>
      <c r="I270" s="79">
        <f>I268/I265</f>
        <v>0.40362825348296316</v>
      </c>
      <c r="J270" s="79">
        <f>J268/J265</f>
        <v>0.59641124149162739</v>
      </c>
      <c r="K270" s="79">
        <f>K268/K265</f>
        <v>0.53443883924014213</v>
      </c>
      <c r="L270" s="79">
        <f t="shared" si="590"/>
        <v>0.61986579635531547</v>
      </c>
      <c r="M270" s="189"/>
      <c r="N270" s="55"/>
      <c r="O270" s="55"/>
      <c r="P270" s="121"/>
      <c r="Q270" s="190"/>
      <c r="R270" s="190"/>
      <c r="S270" s="190"/>
      <c r="T270" s="190"/>
      <c r="U270" s="190"/>
      <c r="V270" s="190"/>
      <c r="W270" s="190"/>
      <c r="X270" s="190"/>
      <c r="Y270" s="190"/>
      <c r="Z270" s="190"/>
      <c r="AA270" s="190"/>
      <c r="AB270" s="190"/>
      <c r="AC270" s="55">
        <f t="shared" ref="AC270:AH270" si="591">AC268/AC265</f>
        <v>0.30706742112974883</v>
      </c>
      <c r="AD270" s="55">
        <f t="shared" si="591"/>
        <v>0.31061733098080196</v>
      </c>
      <c r="AE270" s="55">
        <f t="shared" si="591"/>
        <v>0.28016946836135037</v>
      </c>
      <c r="AF270" s="55">
        <f t="shared" si="591"/>
        <v>0.32809872390938777</v>
      </c>
      <c r="AG270" s="55">
        <f t="shared" si="591"/>
        <v>0.34634555593939692</v>
      </c>
      <c r="AH270" s="55">
        <f t="shared" si="591"/>
        <v>0.32905468025949952</v>
      </c>
      <c r="AI270" s="79">
        <f t="shared" ref="AI270:AN270" si="592">AI268/AI265</f>
        <v>0.3463696872145125</v>
      </c>
      <c r="AJ270" s="55">
        <f t="shared" si="592"/>
        <v>0.23852896423137074</v>
      </c>
      <c r="AK270" s="55">
        <f t="shared" si="592"/>
        <v>0.41761172715053752</v>
      </c>
      <c r="AL270" s="55">
        <f t="shared" si="592"/>
        <v>0.41210922196975619</v>
      </c>
      <c r="AM270" s="79">
        <f t="shared" si="592"/>
        <v>0.39139939026493137</v>
      </c>
      <c r="AN270" s="79">
        <f t="shared" si="592"/>
        <v>0.40623272107471242</v>
      </c>
      <c r="AO270" s="55">
        <f t="shared" ref="AO270:AT270" si="593">AO268/AO265</f>
        <v>0.39280050745321915</v>
      </c>
      <c r="AP270" s="55">
        <f t="shared" si="593"/>
        <v>0.40041349679378468</v>
      </c>
      <c r="AQ270" s="55">
        <f t="shared" si="593"/>
        <v>0.41687288405775086</v>
      </c>
      <c r="AR270" s="55">
        <f t="shared" si="593"/>
        <v>0.39283042580567945</v>
      </c>
      <c r="AS270" s="55">
        <f t="shared" si="593"/>
        <v>0.40777675983359118</v>
      </c>
      <c r="AT270" s="55">
        <f t="shared" si="593"/>
        <v>0.400511272548708</v>
      </c>
      <c r="AU270" s="55">
        <f t="shared" ref="AU270:AZ270" si="594">AU268/AU265</f>
        <v>0.44221502375785193</v>
      </c>
      <c r="AV270" s="55">
        <f t="shared" si="594"/>
        <v>0.36536562680105128</v>
      </c>
      <c r="AW270" s="55">
        <f t="shared" si="594"/>
        <v>0.42092889541940853</v>
      </c>
      <c r="AX270" s="55">
        <f t="shared" si="594"/>
        <v>0.37124340512148607</v>
      </c>
      <c r="AY270" s="55">
        <f t="shared" si="594"/>
        <v>0.42864615409943274</v>
      </c>
      <c r="AZ270" s="55">
        <f t="shared" si="594"/>
        <v>1.0740194713871911</v>
      </c>
      <c r="BA270" s="55">
        <f t="shared" ref="BA270:BF270" si="595">BA268/BA265</f>
        <v>0.54364724653053342</v>
      </c>
      <c r="BB270" s="55">
        <f t="shared" si="595"/>
        <v>0.55247254949106361</v>
      </c>
      <c r="BC270" s="55">
        <f t="shared" si="595"/>
        <v>0.41088957146219462</v>
      </c>
      <c r="BD270" s="55">
        <f t="shared" si="595"/>
        <v>0.62718685374972349</v>
      </c>
      <c r="BE270" s="55">
        <f t="shared" si="595"/>
        <v>0.80035301285759586</v>
      </c>
      <c r="BF270" s="55">
        <f t="shared" si="595"/>
        <v>0.69341389196175451</v>
      </c>
      <c r="BG270" s="55">
        <f>BG268/BG265</f>
        <v>0.43412649858696495</v>
      </c>
    </row>
    <row r="271" spans="1:59" ht="13.5" customHeight="1">
      <c r="C271" s="56"/>
      <c r="N271" s="56"/>
      <c r="O271" s="56"/>
      <c r="P271" s="122"/>
      <c r="Q271" s="56"/>
      <c r="R271" s="56"/>
      <c r="S271" s="56"/>
      <c r="T271" s="56"/>
      <c r="U271" s="56"/>
      <c r="V271" s="56"/>
      <c r="W271" s="56"/>
      <c r="X271" s="56"/>
      <c r="Y271" s="56"/>
      <c r="Z271" s="56"/>
      <c r="AA271" s="56"/>
      <c r="AB271" s="56"/>
    </row>
    <row r="272" spans="1:59" s="5" customFormat="1" ht="13.5" customHeight="1" thickBot="1">
      <c r="B272" s="25" t="str">
        <f>B69</f>
        <v xml:space="preserve">Adj. EBITDA </v>
      </c>
      <c r="C272" s="67">
        <f t="shared" ref="C272:L272" si="596">C69/C$191</f>
        <v>1721.6475972540043</v>
      </c>
      <c r="D272" s="67">
        <f t="shared" si="596"/>
        <v>1518.2794910344319</v>
      </c>
      <c r="E272" s="67">
        <f t="shared" si="596"/>
        <v>1536.8109384876407</v>
      </c>
      <c r="F272" s="67">
        <f t="shared" si="596"/>
        <v>1715.4070728214163</v>
      </c>
      <c r="G272" s="67">
        <f t="shared" si="596"/>
        <v>1847.1126804968783</v>
      </c>
      <c r="H272" s="67">
        <f t="shared" si="596"/>
        <v>1841.9818299862645</v>
      </c>
      <c r="I272" s="67">
        <f t="shared" si="596"/>
        <v>1554.5297910886447</v>
      </c>
      <c r="J272" s="67">
        <f t="shared" si="596"/>
        <v>1690.7970990010929</v>
      </c>
      <c r="K272" s="67">
        <f t="shared" si="596"/>
        <v>1333.7717404487566</v>
      </c>
      <c r="L272" s="67">
        <f t="shared" si="596"/>
        <v>1900.3681949734798</v>
      </c>
      <c r="M272" s="8"/>
      <c r="N272" s="67"/>
      <c r="O272" s="71"/>
      <c r="P272" s="144"/>
      <c r="Q272" s="71"/>
      <c r="R272" s="71"/>
      <c r="S272" s="71"/>
      <c r="T272" s="71"/>
      <c r="U272" s="71"/>
      <c r="V272" s="71"/>
      <c r="W272" s="71"/>
      <c r="X272" s="71"/>
      <c r="Y272" s="71"/>
      <c r="Z272" s="71"/>
      <c r="AA272" s="71"/>
      <c r="AB272" s="71"/>
      <c r="AC272" s="67">
        <f t="shared" ref="AC272:BD272" si="597">AC69/AC$191</f>
        <v>342.96118762820771</v>
      </c>
      <c r="AD272" s="67">
        <f t="shared" si="597"/>
        <v>358.18626780575971</v>
      </c>
      <c r="AE272" s="67">
        <f t="shared" si="597"/>
        <v>409.88352521376163</v>
      </c>
      <c r="AF272" s="67">
        <f t="shared" si="597"/>
        <v>420.69896597220099</v>
      </c>
      <c r="AG272" s="67">
        <f t="shared" si="597"/>
        <v>381.83553797899901</v>
      </c>
      <c r="AH272" s="67">
        <f t="shared" si="597"/>
        <v>408.98245614035091</v>
      </c>
      <c r="AI272" s="67">
        <f t="shared" si="597"/>
        <v>466.38475385010997</v>
      </c>
      <c r="AJ272" s="67">
        <f t="shared" si="597"/>
        <v>458.30478098149786</v>
      </c>
      <c r="AK272" s="67">
        <f t="shared" si="597"/>
        <v>531.00296767077214</v>
      </c>
      <c r="AL272" s="67">
        <f t="shared" si="597"/>
        <v>500.50423321372443</v>
      </c>
      <c r="AM272" s="67">
        <f t="shared" si="597"/>
        <v>433.29283088568178</v>
      </c>
      <c r="AN272" s="67">
        <f t="shared" si="597"/>
        <v>411.85877981938216</v>
      </c>
      <c r="AO272" s="67">
        <f t="shared" si="597"/>
        <v>427.34834576042573</v>
      </c>
      <c r="AP272" s="67">
        <f t="shared" si="597"/>
        <v>436.54023735421879</v>
      </c>
      <c r="AQ272" s="67">
        <f t="shared" si="597"/>
        <v>498.25355870324529</v>
      </c>
      <c r="AR272" s="67">
        <f t="shared" si="597"/>
        <v>478.18990067375154</v>
      </c>
      <c r="AS272" s="67">
        <f t="shared" si="597"/>
        <v>457.36661293736472</v>
      </c>
      <c r="AT272" s="67">
        <f t="shared" si="597"/>
        <v>411.60696067857862</v>
      </c>
      <c r="AU272" s="67">
        <f t="shared" si="597"/>
        <v>469.47476899241957</v>
      </c>
      <c r="AV272" s="67">
        <f t="shared" si="597"/>
        <v>462.51326297775273</v>
      </c>
      <c r="AW272" s="67">
        <f t="shared" si="597"/>
        <v>440.36171856271494</v>
      </c>
      <c r="AX272" s="67">
        <f t="shared" si="597"/>
        <v>411.95697391097633</v>
      </c>
      <c r="AY272" s="67">
        <f t="shared" si="597"/>
        <v>472.91848565929672</v>
      </c>
      <c r="AZ272" s="67">
        <f t="shared" si="597"/>
        <v>380.24124886011765</v>
      </c>
      <c r="BA272" s="67">
        <f t="shared" si="597"/>
        <v>310.27082929351678</v>
      </c>
      <c r="BB272" s="67">
        <f t="shared" si="597"/>
        <v>322.45057565578605</v>
      </c>
      <c r="BC272" s="67">
        <f t="shared" si="597"/>
        <v>334.28597736556623</v>
      </c>
      <c r="BD272" s="67">
        <f t="shared" si="597"/>
        <v>357.68748991989696</v>
      </c>
      <c r="BE272" s="67">
        <f>BE69/BE$191</f>
        <v>676.68205038432779</v>
      </c>
      <c r="BF272" s="67">
        <f>BF69/BF$191</f>
        <v>465.65073899999982</v>
      </c>
      <c r="BG272" s="67">
        <f>BG69/BG$191</f>
        <v>422.00311086078341</v>
      </c>
    </row>
    <row r="273" spans="2:59" s="29" customFormat="1" ht="13.5" customHeight="1" thickTop="1">
      <c r="B273" s="30" t="str">
        <f>B70</f>
        <v xml:space="preserve">% growth </v>
      </c>
      <c r="C273" s="79"/>
      <c r="D273" s="79">
        <f t="shared" ref="D273:K273" si="598">D272/C272-1</f>
        <v>-0.11812411932845068</v>
      </c>
      <c r="E273" s="79">
        <f t="shared" si="598"/>
        <v>1.2205557384288301E-2</v>
      </c>
      <c r="F273" s="79">
        <f t="shared" si="598"/>
        <v>0.11621217019025787</v>
      </c>
      <c r="G273" s="79">
        <f t="shared" si="598"/>
        <v>7.6778048640570917E-2</v>
      </c>
      <c r="H273" s="79">
        <f t="shared" si="598"/>
        <v>-2.7777680077609723E-3</v>
      </c>
      <c r="I273" s="79">
        <f t="shared" si="598"/>
        <v>-0.15605584931299965</v>
      </c>
      <c r="J273" s="79">
        <f t="shared" si="598"/>
        <v>8.7658215811367235E-2</v>
      </c>
      <c r="K273" s="79">
        <f t="shared" si="598"/>
        <v>-0.21115801462118866</v>
      </c>
      <c r="L273" s="79"/>
      <c r="M273" s="189"/>
      <c r="N273" s="79"/>
      <c r="O273" s="79"/>
      <c r="P273" s="123"/>
      <c r="Q273" s="188"/>
      <c r="R273" s="188"/>
      <c r="S273" s="188"/>
      <c r="T273" s="188"/>
      <c r="U273" s="188"/>
      <c r="V273" s="188"/>
      <c r="W273" s="188"/>
      <c r="X273" s="188"/>
      <c r="Y273" s="188"/>
      <c r="Z273" s="188"/>
      <c r="AA273" s="188"/>
      <c r="AB273" s="188"/>
      <c r="AC273" s="79"/>
      <c r="AD273" s="79"/>
      <c r="AE273" s="79"/>
      <c r="AF273" s="79"/>
      <c r="AG273" s="79">
        <f>AG272/AC272-1</f>
        <v>0.11334912448732726</v>
      </c>
      <c r="AH273" s="79">
        <f>AH272/AD272-1</f>
        <v>0.14181500772145017</v>
      </c>
      <c r="AI273" s="79">
        <f>AI272/AE272-1</f>
        <v>0.13784703497629458</v>
      </c>
      <c r="AJ273" s="79"/>
      <c r="AK273" s="79">
        <f t="shared" ref="AK273:BG273" si="599">AK272/AG272-1</f>
        <v>0.39065884354634739</v>
      </c>
      <c r="AL273" s="79">
        <f t="shared" si="599"/>
        <v>0.2237792249992403</v>
      </c>
      <c r="AM273" s="79">
        <f t="shared" si="599"/>
        <v>-7.0954126804632867E-2</v>
      </c>
      <c r="AN273" s="79">
        <f t="shared" si="599"/>
        <v>-0.10134304307855513</v>
      </c>
      <c r="AO273" s="79">
        <f t="shared" si="599"/>
        <v>-0.19520535330531985</v>
      </c>
      <c r="AP273" s="79">
        <f t="shared" si="599"/>
        <v>-0.12779911060650684</v>
      </c>
      <c r="AQ273" s="79">
        <f t="shared" si="599"/>
        <v>0.14992338480371137</v>
      </c>
      <c r="AR273" s="79">
        <f t="shared" si="599"/>
        <v>0.16105306989803259</v>
      </c>
      <c r="AS273" s="79">
        <f t="shared" si="599"/>
        <v>7.024308734253859E-2</v>
      </c>
      <c r="AT273" s="79">
        <f t="shared" si="599"/>
        <v>-5.7115643741698752E-2</v>
      </c>
      <c r="AU273" s="79">
        <f t="shared" si="599"/>
        <v>-5.7759325965930697E-2</v>
      </c>
      <c r="AV273" s="79">
        <f t="shared" si="599"/>
        <v>-3.2783288969321589E-2</v>
      </c>
      <c r="AW273" s="79">
        <f t="shared" si="599"/>
        <v>-3.7180008102118633E-2</v>
      </c>
      <c r="AX273" s="79">
        <f t="shared" si="599"/>
        <v>8.5035790410503687E-4</v>
      </c>
      <c r="AY273" s="79">
        <f t="shared" si="599"/>
        <v>7.3352539781168513E-3</v>
      </c>
      <c r="AZ273" s="79">
        <f t="shared" si="599"/>
        <v>-0.17788033490748223</v>
      </c>
      <c r="BA273" s="79">
        <f t="shared" si="599"/>
        <v>-0.29541825228087126</v>
      </c>
      <c r="BB273" s="79">
        <f t="shared" si="599"/>
        <v>-0.21727122957877776</v>
      </c>
      <c r="BC273" s="79">
        <f t="shared" si="599"/>
        <v>-0.2931425023499824</v>
      </c>
      <c r="BD273" s="79">
        <f t="shared" si="599"/>
        <v>-5.9314340587277359E-2</v>
      </c>
      <c r="BE273" s="79">
        <f t="shared" si="599"/>
        <v>1.1809399611466063</v>
      </c>
      <c r="BF273" s="79">
        <f t="shared" si="599"/>
        <v>0.44409957418428991</v>
      </c>
      <c r="BG273" s="79">
        <f t="shared" si="599"/>
        <v>0.26240147488834697</v>
      </c>
    </row>
    <row r="274" spans="2:59" s="29" customFormat="1" ht="13.5" customHeight="1">
      <c r="B274" s="30" t="str">
        <f>B71</f>
        <v>% margin</v>
      </c>
      <c r="C274" s="79">
        <f t="shared" ref="C274:L274" si="600">C272/C265</f>
        <v>0.31234846723571025</v>
      </c>
      <c r="D274" s="79">
        <f t="shared" si="600"/>
        <v>0.32425172678434377</v>
      </c>
      <c r="E274" s="79">
        <f t="shared" si="600"/>
        <v>0.32336758694069545</v>
      </c>
      <c r="F274" s="79">
        <f t="shared" si="600"/>
        <v>0.35323642674440359</v>
      </c>
      <c r="G274" s="79">
        <f t="shared" si="600"/>
        <v>0.4127283465167858</v>
      </c>
      <c r="H274" s="79">
        <f>H272/H265</f>
        <v>0.41477968906640361</v>
      </c>
      <c r="I274" s="79">
        <f>I272/I265</f>
        <v>0.42160699922106415</v>
      </c>
      <c r="J274" s="79">
        <f>J272/J265</f>
        <v>0.41797221642237731</v>
      </c>
      <c r="K274" s="79">
        <f>K272/K265</f>
        <v>0.40821284928125318</v>
      </c>
      <c r="L274" s="79">
        <f t="shared" si="600"/>
        <v>0.49708206709905578</v>
      </c>
      <c r="M274" s="189"/>
      <c r="N274" s="79"/>
      <c r="O274" s="79"/>
      <c r="P274" s="118"/>
      <c r="Q274" s="188"/>
      <c r="R274" s="188"/>
      <c r="S274" s="188"/>
      <c r="T274" s="188"/>
      <c r="U274" s="188"/>
      <c r="V274" s="188"/>
      <c r="W274" s="188"/>
      <c r="X274" s="188"/>
      <c r="Y274" s="188"/>
      <c r="Z274" s="188"/>
      <c r="AA274" s="188"/>
      <c r="AB274" s="188"/>
      <c r="AC274" s="79">
        <f t="shared" ref="AC274:AI274" si="601">AC272/AC265</f>
        <v>0.31050885475038509</v>
      </c>
      <c r="AD274" s="79">
        <f t="shared" si="601"/>
        <v>0.30650786431810584</v>
      </c>
      <c r="AE274" s="79">
        <f t="shared" si="601"/>
        <v>0.33281399480661478</v>
      </c>
      <c r="AF274" s="79">
        <f t="shared" si="601"/>
        <v>0.33907903848056192</v>
      </c>
      <c r="AG274" s="79">
        <f t="shared" si="601"/>
        <v>0.34545723732912204</v>
      </c>
      <c r="AH274" s="79">
        <f t="shared" si="601"/>
        <v>0.33758109360519001</v>
      </c>
      <c r="AI274" s="79">
        <f t="shared" si="601"/>
        <v>0.35504850567712187</v>
      </c>
      <c r="AJ274" s="79">
        <f t="shared" ref="AJ274:AO274" si="602">AJ272/AJ265</f>
        <v>0.37266668095411565</v>
      </c>
      <c r="AK274" s="79">
        <f t="shared" si="602"/>
        <v>0.4246261760752687</v>
      </c>
      <c r="AL274" s="79">
        <f t="shared" si="602"/>
        <v>0.41802475906918424</v>
      </c>
      <c r="AM274" s="79">
        <f t="shared" si="602"/>
        <v>0.41260113394168907</v>
      </c>
      <c r="AN274" s="79">
        <f t="shared" si="602"/>
        <v>0.39798469190526498</v>
      </c>
      <c r="AO274" s="79">
        <f t="shared" si="602"/>
        <v>0.40192761743665645</v>
      </c>
      <c r="AP274" s="79">
        <f t="shared" ref="AP274:AU274" si="603">AP272/AP265</f>
        <v>0.41233383405210722</v>
      </c>
      <c r="AQ274" s="79">
        <f t="shared" si="603"/>
        <v>0.43096145379465295</v>
      </c>
      <c r="AR274" s="79">
        <f t="shared" si="603"/>
        <v>0.41201113139232176</v>
      </c>
      <c r="AS274" s="79">
        <f t="shared" si="603"/>
        <v>0.4218944775693495</v>
      </c>
      <c r="AT274" s="79">
        <f t="shared" si="603"/>
        <v>0.40789150623203674</v>
      </c>
      <c r="AU274" s="79">
        <f t="shared" si="603"/>
        <v>0.44368126894003512</v>
      </c>
      <c r="AV274" s="79">
        <f t="shared" ref="AV274:BA274" si="604">AV272/AV265</f>
        <v>0.41197735456652901</v>
      </c>
      <c r="AW274" s="79">
        <f t="shared" si="604"/>
        <v>0.42247492493451749</v>
      </c>
      <c r="AX274" s="79">
        <f t="shared" si="604"/>
        <v>0.4054607348829592</v>
      </c>
      <c r="AY274" s="79">
        <f t="shared" si="604"/>
        <v>0.430803145485044</v>
      </c>
      <c r="AZ274" s="79">
        <f t="shared" si="604"/>
        <v>0.41323177517034632</v>
      </c>
      <c r="BA274" s="79">
        <f t="shared" si="604"/>
        <v>0.40394329470848839</v>
      </c>
      <c r="BB274" s="79">
        <f t="shared" ref="BB274:BG274" si="605">BB272/BB265</f>
        <v>0.40314979562394809</v>
      </c>
      <c r="BC274" s="79">
        <f t="shared" si="605"/>
        <v>0.40854399393499885</v>
      </c>
      <c r="BD274" s="79">
        <f t="shared" si="605"/>
        <v>0.41469373249072561</v>
      </c>
      <c r="BE274" s="79">
        <f t="shared" si="605"/>
        <v>0.73838306612615134</v>
      </c>
      <c r="BF274" s="79">
        <f t="shared" si="605"/>
        <v>0.43981887010108217</v>
      </c>
      <c r="BG274" s="79">
        <f t="shared" si="605"/>
        <v>0.43525618795778215</v>
      </c>
    </row>
    <row r="275" spans="2:59" ht="13.5" customHeight="1">
      <c r="C275" s="56"/>
      <c r="N275" s="56"/>
      <c r="O275" s="56"/>
      <c r="P275" s="145"/>
      <c r="Q275" s="56"/>
      <c r="R275" s="56"/>
      <c r="S275" s="56"/>
      <c r="T275" s="56"/>
      <c r="U275" s="56"/>
      <c r="V275" s="56"/>
      <c r="W275" s="56"/>
      <c r="X275" s="56"/>
      <c r="Y275" s="56"/>
      <c r="Z275" s="56"/>
      <c r="AA275" s="56"/>
      <c r="AB275" s="56"/>
    </row>
    <row r="276" spans="2:59" s="5" customFormat="1" ht="13.5" customHeight="1">
      <c r="B276" s="5" t="str">
        <f t="shared" ref="B276:B295" si="606">B80</f>
        <v xml:space="preserve">Adjusted EBITDA </v>
      </c>
      <c r="C276" s="198">
        <f t="shared" ref="C276:L276" si="607">C80/C$191</f>
        <v>1721.6475972540043</v>
      </c>
      <c r="D276" s="198">
        <f t="shared" si="607"/>
        <v>1518.2794910344319</v>
      </c>
      <c r="E276" s="198">
        <f t="shared" si="607"/>
        <v>1536.8109384876407</v>
      </c>
      <c r="F276" s="198">
        <f t="shared" si="607"/>
        <v>1715.4070728214163</v>
      </c>
      <c r="G276" s="198">
        <f t="shared" si="607"/>
        <v>1847.1126804968783</v>
      </c>
      <c r="H276" s="198">
        <f t="shared" si="607"/>
        <v>1841.9818299862645</v>
      </c>
      <c r="I276" s="198">
        <f t="shared" si="607"/>
        <v>1554.5297910886447</v>
      </c>
      <c r="J276" s="198">
        <f t="shared" si="607"/>
        <v>1690.7970990010929</v>
      </c>
      <c r="K276" s="198">
        <f t="shared" si="607"/>
        <v>1333.7717404487566</v>
      </c>
      <c r="L276" s="198">
        <f t="shared" si="607"/>
        <v>1900.3681949734798</v>
      </c>
      <c r="M276" s="202"/>
      <c r="N276" s="77"/>
      <c r="O276" s="77"/>
      <c r="P276" s="146"/>
      <c r="Q276" s="77"/>
      <c r="R276" s="77"/>
      <c r="S276" s="77"/>
      <c r="T276" s="77"/>
      <c r="U276" s="77"/>
      <c r="V276" s="77"/>
      <c r="W276" s="77"/>
      <c r="X276" s="77"/>
      <c r="Y276" s="77"/>
      <c r="Z276" s="77"/>
      <c r="AA276" s="77"/>
      <c r="AB276" s="77"/>
      <c r="AC276" s="198">
        <f t="shared" ref="AC276:BD276" si="608">AC80/AC$191</f>
        <v>342.96118762820771</v>
      </c>
      <c r="AD276" s="198">
        <f t="shared" si="608"/>
        <v>358.18626780575971</v>
      </c>
      <c r="AE276" s="198">
        <f t="shared" si="608"/>
        <v>409.88352521376163</v>
      </c>
      <c r="AF276" s="198">
        <f t="shared" si="608"/>
        <v>420.69896597220099</v>
      </c>
      <c r="AG276" s="198">
        <f t="shared" si="608"/>
        <v>381.83553797899901</v>
      </c>
      <c r="AH276" s="198">
        <f t="shared" si="608"/>
        <v>408.98245614035091</v>
      </c>
      <c r="AI276" s="198">
        <f t="shared" si="608"/>
        <v>466.38475385010997</v>
      </c>
      <c r="AJ276" s="198">
        <f t="shared" si="608"/>
        <v>458.30478098149786</v>
      </c>
      <c r="AK276" s="198">
        <f t="shared" si="608"/>
        <v>531.00296767077214</v>
      </c>
      <c r="AL276" s="198">
        <f t="shared" si="608"/>
        <v>500.50423321372443</v>
      </c>
      <c r="AM276" s="198">
        <f t="shared" si="608"/>
        <v>433.29283088568178</v>
      </c>
      <c r="AN276" s="198">
        <f t="shared" si="608"/>
        <v>411.85877981938216</v>
      </c>
      <c r="AO276" s="198">
        <f t="shared" si="608"/>
        <v>427.34834576042573</v>
      </c>
      <c r="AP276" s="198">
        <f t="shared" si="608"/>
        <v>436.54023735421879</v>
      </c>
      <c r="AQ276" s="198">
        <f t="shared" si="608"/>
        <v>498.25355870324529</v>
      </c>
      <c r="AR276" s="198">
        <f t="shared" si="608"/>
        <v>478.18990067375154</v>
      </c>
      <c r="AS276" s="198">
        <f t="shared" si="608"/>
        <v>457.36661293736472</v>
      </c>
      <c r="AT276" s="198">
        <f t="shared" si="608"/>
        <v>411.60696067857862</v>
      </c>
      <c r="AU276" s="198">
        <f t="shared" si="608"/>
        <v>469.47476899241957</v>
      </c>
      <c r="AV276" s="198">
        <f t="shared" si="608"/>
        <v>462.51326297775273</v>
      </c>
      <c r="AW276" s="198">
        <f t="shared" si="608"/>
        <v>440.36171856271494</v>
      </c>
      <c r="AX276" s="198">
        <f t="shared" si="608"/>
        <v>411.95697391097633</v>
      </c>
      <c r="AY276" s="198">
        <f t="shared" si="608"/>
        <v>472.91848565929672</v>
      </c>
      <c r="AZ276" s="198">
        <f t="shared" si="608"/>
        <v>380.24124886011765</v>
      </c>
      <c r="BA276" s="198">
        <f t="shared" si="608"/>
        <v>310.27082929351678</v>
      </c>
      <c r="BB276" s="198">
        <f t="shared" si="608"/>
        <v>322.45057565578605</v>
      </c>
      <c r="BC276" s="198">
        <f t="shared" si="608"/>
        <v>334.28597736556623</v>
      </c>
      <c r="BD276" s="198">
        <f t="shared" si="608"/>
        <v>357.68748991989696</v>
      </c>
      <c r="BE276" s="198">
        <f t="shared" ref="BE276:BG295" si="609">BE80/BE$191</f>
        <v>676.68205038432779</v>
      </c>
      <c r="BF276" s="198">
        <f t="shared" si="609"/>
        <v>465.65073899999982</v>
      </c>
      <c r="BG276" s="198">
        <f t="shared" si="609"/>
        <v>422.00311086078341</v>
      </c>
    </row>
    <row r="277" spans="2:59" ht="13.5" customHeight="1">
      <c r="B277" s="1" t="str">
        <f t="shared" si="606"/>
        <v>Working Capital</v>
      </c>
      <c r="C277" s="214">
        <f t="shared" ref="C277:L277" si="610">C81/C$191</f>
        <v>-186.98535469107557</v>
      </c>
      <c r="D277" s="214">
        <f t="shared" si="610"/>
        <v>-172.51365919841584</v>
      </c>
      <c r="E277" s="214">
        <f t="shared" si="610"/>
        <v>-518.25942313450207</v>
      </c>
      <c r="F277" s="214">
        <f t="shared" si="610"/>
        <v>-36.983034042084412</v>
      </c>
      <c r="G277" s="214">
        <f t="shared" si="610"/>
        <v>-263.42875759295458</v>
      </c>
      <c r="H277" s="214">
        <f t="shared" si="610"/>
        <v>-232.54154944195889</v>
      </c>
      <c r="I277" s="214">
        <f t="shared" si="610"/>
        <v>-70.497257167471133</v>
      </c>
      <c r="J277" s="214">
        <f t="shared" si="610"/>
        <v>-175.08294199128349</v>
      </c>
      <c r="K277" s="214">
        <f t="shared" si="610"/>
        <v>-30.233717404487603</v>
      </c>
      <c r="L277" s="214">
        <f t="shared" si="610"/>
        <v>-136.21356662465197</v>
      </c>
      <c r="M277" s="196"/>
      <c r="N277" s="75"/>
      <c r="O277" s="75"/>
      <c r="P277" s="132"/>
      <c r="Q277" s="75"/>
      <c r="R277" s="75"/>
      <c r="S277" s="75"/>
      <c r="T277" s="75"/>
      <c r="U277" s="75"/>
      <c r="V277" s="75"/>
      <c r="W277" s="75"/>
      <c r="X277" s="75"/>
      <c r="Y277" s="75"/>
      <c r="Z277" s="75"/>
      <c r="AA277" s="75"/>
      <c r="AB277" s="75"/>
      <c r="AC277" s="214">
        <f t="shared" ref="AC277:BD277" si="611">AC81/AC$191</f>
        <v>-137.8994589411684</v>
      </c>
      <c r="AD277" s="214">
        <f t="shared" si="611"/>
        <v>-414.62834075723822</v>
      </c>
      <c r="AE277" s="214">
        <f t="shared" si="611"/>
        <v>224.07560762135589</v>
      </c>
      <c r="AF277" s="214">
        <f t="shared" si="611"/>
        <v>-193.09165106931351</v>
      </c>
      <c r="AG277" s="214">
        <f t="shared" si="611"/>
        <v>1.4867039410882179</v>
      </c>
      <c r="AH277" s="214">
        <f t="shared" si="611"/>
        <v>-325.28028070175441</v>
      </c>
      <c r="AI277" s="214">
        <f t="shared" si="611"/>
        <v>51.502328637961227</v>
      </c>
      <c r="AJ277" s="214">
        <f t="shared" si="611"/>
        <v>221.08191450108046</v>
      </c>
      <c r="AK277" s="214">
        <f t="shared" si="611"/>
        <v>-309.77492974761668</v>
      </c>
      <c r="AL277" s="214">
        <f t="shared" si="611"/>
        <v>-29.905954642463492</v>
      </c>
      <c r="AM277" s="214">
        <f t="shared" si="611"/>
        <v>-61.875124495228427</v>
      </c>
      <c r="AN277" s="214">
        <f t="shared" si="611"/>
        <v>72.729680516470779</v>
      </c>
      <c r="AO277" s="214">
        <f t="shared" si="611"/>
        <v>-168.15223500318484</v>
      </c>
      <c r="AP277" s="214">
        <f t="shared" si="611"/>
        <v>-127.12746673962857</v>
      </c>
      <c r="AQ277" s="214">
        <f t="shared" si="611"/>
        <v>-18.872623874466797</v>
      </c>
      <c r="AR277" s="214">
        <f t="shared" si="611"/>
        <v>75.053483364589781</v>
      </c>
      <c r="AS277" s="214">
        <f t="shared" si="611"/>
        <v>-156.33338217815333</v>
      </c>
      <c r="AT277" s="214">
        <f t="shared" si="611"/>
        <v>-85.265689217943887</v>
      </c>
      <c r="AU277" s="214">
        <f t="shared" si="611"/>
        <v>88.497759088142544</v>
      </c>
      <c r="AV277" s="214">
        <f t="shared" si="611"/>
        <v>49.772104962920736</v>
      </c>
      <c r="AW277" s="214">
        <f t="shared" si="611"/>
        <v>-140.01997709293343</v>
      </c>
      <c r="AX277" s="214">
        <f t="shared" si="611"/>
        <v>-46.492541748380596</v>
      </c>
      <c r="AY277" s="214">
        <f t="shared" si="611"/>
        <v>-42.69422147115425</v>
      </c>
      <c r="AZ277" s="214">
        <f t="shared" si="611"/>
        <v>22.720098955370755</v>
      </c>
      <c r="BA277" s="214">
        <f t="shared" si="611"/>
        <v>-114.87672275727346</v>
      </c>
      <c r="BB277" s="214">
        <f t="shared" si="611"/>
        <v>-179.86685556039896</v>
      </c>
      <c r="BC277" s="214">
        <f t="shared" si="611"/>
        <v>4.4490390410499803</v>
      </c>
      <c r="BD277" s="214">
        <f t="shared" si="611"/>
        <v>205.74721789151124</v>
      </c>
      <c r="BE277" s="214">
        <f t="shared" si="609"/>
        <v>-170.70441512696871</v>
      </c>
      <c r="BF277" s="214">
        <f t="shared" si="609"/>
        <v>-48.135693000000018</v>
      </c>
      <c r="BG277" s="214">
        <f t="shared" si="609"/>
        <v>-93.604644656891409</v>
      </c>
    </row>
    <row r="278" spans="2:59" ht="13.5" customHeight="1">
      <c r="B278" s="1" t="str">
        <f t="shared" si="606"/>
        <v>Taxes</v>
      </c>
      <c r="C278" s="214">
        <f t="shared" ref="C278:L278" si="612">C82/C$191</f>
        <v>-320.04256292906177</v>
      </c>
      <c r="D278" s="214">
        <f t="shared" si="612"/>
        <v>-275.41270947159984</v>
      </c>
      <c r="E278" s="214">
        <f t="shared" si="612"/>
        <v>-45.217738447719483</v>
      </c>
      <c r="F278" s="214">
        <f t="shared" si="612"/>
        <v>-135.64145642833537</v>
      </c>
      <c r="G278" s="214">
        <f t="shared" si="612"/>
        <v>-138.24221787838664</v>
      </c>
      <c r="H278" s="214">
        <f t="shared" si="612"/>
        <v>-108.00496429155055</v>
      </c>
      <c r="I278" s="214">
        <f t="shared" si="612"/>
        <v>-80.333193974636728</v>
      </c>
      <c r="J278" s="214">
        <f t="shared" si="612"/>
        <v>-85.937925830827609</v>
      </c>
      <c r="K278" s="214">
        <f t="shared" si="612"/>
        <v>-47.280473013947848</v>
      </c>
      <c r="L278" s="214">
        <f t="shared" si="612"/>
        <v>-40.75819981141963</v>
      </c>
      <c r="M278" s="196"/>
      <c r="N278" s="75"/>
      <c r="O278" s="75"/>
      <c r="P278" s="132"/>
      <c r="Q278" s="75"/>
      <c r="R278" s="75"/>
      <c r="S278" s="75"/>
      <c r="T278" s="75"/>
      <c r="U278" s="75"/>
      <c r="V278" s="75"/>
      <c r="W278" s="75"/>
      <c r="X278" s="75"/>
      <c r="Y278" s="75"/>
      <c r="Z278" s="75"/>
      <c r="AA278" s="75"/>
      <c r="AB278" s="75"/>
      <c r="AC278" s="214">
        <f t="shared" ref="AC278:BD278" si="613">AC82/AC$191</f>
        <v>-4.5281145127046099</v>
      </c>
      <c r="AD278" s="214">
        <f t="shared" si="613"/>
        <v>-1.9773106904231625</v>
      </c>
      <c r="AE278" s="214">
        <f t="shared" si="613"/>
        <v>-11.272470208038779</v>
      </c>
      <c r="AF278" s="214">
        <f t="shared" si="613"/>
        <v>-25.629468258108066</v>
      </c>
      <c r="AG278" s="214">
        <f t="shared" si="613"/>
        <v>-25.669712259648165</v>
      </c>
      <c r="AH278" s="214">
        <f t="shared" si="613"/>
        <v>-36.566175438596488</v>
      </c>
      <c r="AI278" s="214">
        <f t="shared" si="613"/>
        <v>-38.969684848138513</v>
      </c>
      <c r="AJ278" s="214">
        <f t="shared" si="613"/>
        <v>-34.714037214696127</v>
      </c>
      <c r="AK278" s="214">
        <f t="shared" si="613"/>
        <v>-43.937284975181868</v>
      </c>
      <c r="AL278" s="214">
        <f t="shared" si="613"/>
        <v>-57.385961209221605</v>
      </c>
      <c r="AM278" s="214">
        <f t="shared" si="613"/>
        <v>-18.031255092986619</v>
      </c>
      <c r="AN278" s="214">
        <f t="shared" si="613"/>
        <v>-26.881678897901395</v>
      </c>
      <c r="AO278" s="214">
        <f t="shared" si="613"/>
        <v>-25.714151897785609</v>
      </c>
      <c r="AP278" s="214">
        <f t="shared" si="613"/>
        <v>-27.358493792537367</v>
      </c>
      <c r="AQ278" s="214">
        <f t="shared" si="613"/>
        <v>-30.844084039808319</v>
      </c>
      <c r="AR278" s="214">
        <f t="shared" si="613"/>
        <v>-24.029658956727108</v>
      </c>
      <c r="AS278" s="214">
        <f t="shared" si="613"/>
        <v>-21.756622543512595</v>
      </c>
      <c r="AT278" s="214">
        <f t="shared" si="613"/>
        <v>-14.727752353747048</v>
      </c>
      <c r="AU278" s="214">
        <f t="shared" si="613"/>
        <v>-27.836413434404918</v>
      </c>
      <c r="AV278" s="214">
        <f t="shared" si="613"/>
        <v>-28.262835139760416</v>
      </c>
      <c r="AW278" s="214">
        <f t="shared" si="613"/>
        <v>-18.05822656686999</v>
      </c>
      <c r="AX278" s="214">
        <f t="shared" si="613"/>
        <v>-19.08599274974743</v>
      </c>
      <c r="AY278" s="214">
        <f t="shared" si="613"/>
        <v>-31.198774820447824</v>
      </c>
      <c r="AZ278" s="214">
        <f t="shared" si="613"/>
        <v>-18.155060176783401</v>
      </c>
      <c r="BA278" s="214">
        <f t="shared" si="613"/>
        <v>-5.9369142266175432</v>
      </c>
      <c r="BB278" s="214">
        <f t="shared" si="613"/>
        <v>-6.2105438600989764</v>
      </c>
      <c r="BC278" s="214">
        <f t="shared" si="613"/>
        <v>-9.4992075715975801</v>
      </c>
      <c r="BD278" s="214">
        <f t="shared" si="613"/>
        <v>-23.110908015698083</v>
      </c>
      <c r="BE278" s="214">
        <f t="shared" si="609"/>
        <v>-1.0271549140368468</v>
      </c>
      <c r="BF278" s="214">
        <f t="shared" si="609"/>
        <v>-6.0655559999999999</v>
      </c>
      <c r="BG278" s="214">
        <f t="shared" si="609"/>
        <v>-10.812703054537044</v>
      </c>
    </row>
    <row r="279" spans="2:59" ht="13.5" customHeight="1">
      <c r="B279" s="1" t="str">
        <f t="shared" si="606"/>
        <v>Cash interest paid</v>
      </c>
      <c r="C279" s="214">
        <f t="shared" ref="C279:L279" si="614">C83/C$191</f>
        <v>-43.0695652173913</v>
      </c>
      <c r="D279" s="214">
        <f t="shared" si="614"/>
        <v>-56.297532177037873</v>
      </c>
      <c r="E279" s="214">
        <f t="shared" si="614"/>
        <v>-144.55603978841611</v>
      </c>
      <c r="F279" s="214">
        <f t="shared" si="614"/>
        <v>-250.60069406191474</v>
      </c>
      <c r="G279" s="214">
        <f t="shared" si="614"/>
        <v>-348.55245181495263</v>
      </c>
      <c r="H279" s="214">
        <f t="shared" si="614"/>
        <v>-369.35707124465034</v>
      </c>
      <c r="I279" s="214">
        <f t="shared" si="614"/>
        <v>-209.50362966059822</v>
      </c>
      <c r="J279" s="214">
        <f t="shared" si="614"/>
        <v>-205.27889455724858</v>
      </c>
      <c r="K279" s="214">
        <f t="shared" si="614"/>
        <v>-187.21855670103093</v>
      </c>
      <c r="L279" s="214">
        <f t="shared" si="614"/>
        <v>-212.27798980203286</v>
      </c>
      <c r="M279" s="196"/>
      <c r="N279" s="75"/>
      <c r="O279" s="75"/>
      <c r="P279" s="132"/>
      <c r="Q279" s="75"/>
      <c r="R279" s="75"/>
      <c r="S279" s="75"/>
      <c r="T279" s="75"/>
      <c r="U279" s="75"/>
      <c r="V279" s="75"/>
      <c r="W279" s="75"/>
      <c r="X279" s="75"/>
      <c r="Y279" s="75"/>
      <c r="Z279" s="75"/>
      <c r="AA279" s="75"/>
      <c r="AB279" s="75"/>
      <c r="AC279" s="214">
        <f t="shared" ref="AC279:BD279" si="615">AC83/AC$191</f>
        <v>-3.5610574618176836</v>
      </c>
      <c r="AD279" s="214">
        <f t="shared" si="615"/>
        <v>-29.496798440979955</v>
      </c>
      <c r="AE279" s="214">
        <f t="shared" si="615"/>
        <v>-14.561704706119977</v>
      </c>
      <c r="AF279" s="214">
        <f t="shared" si="615"/>
        <v>-90.854223558651157</v>
      </c>
      <c r="AG279" s="214">
        <f t="shared" si="615"/>
        <v>-20.447565798445385</v>
      </c>
      <c r="AH279" s="214">
        <f t="shared" si="615"/>
        <v>-77.727719298245603</v>
      </c>
      <c r="AI279" s="214">
        <f t="shared" si="615"/>
        <v>-26.424469270550588</v>
      </c>
      <c r="AJ279" s="214">
        <f t="shared" si="615"/>
        <v>-122.69305782510146</v>
      </c>
      <c r="AK279" s="214">
        <f t="shared" si="615"/>
        <v>-37.708327861963916</v>
      </c>
      <c r="AL279" s="214">
        <f t="shared" si="615"/>
        <v>-87.485869743661922</v>
      </c>
      <c r="AM279" s="214">
        <f t="shared" si="615"/>
        <v>-35.844847255672434</v>
      </c>
      <c r="AN279" s="214">
        <f t="shared" si="615"/>
        <v>-173.58218837940743</v>
      </c>
      <c r="AO279" s="214">
        <f t="shared" si="615"/>
        <v>-113.45966503053694</v>
      </c>
      <c r="AP279" s="214">
        <f t="shared" si="615"/>
        <v>-62.519751017476644</v>
      </c>
      <c r="AQ279" s="214">
        <f t="shared" si="615"/>
        <v>-54.800168500868843</v>
      </c>
      <c r="AR279" s="214">
        <f t="shared" si="615"/>
        <v>-140.18146141557261</v>
      </c>
      <c r="AS279" s="214">
        <f t="shared" si="615"/>
        <v>-24.330744557872976</v>
      </c>
      <c r="AT279" s="214">
        <f t="shared" si="615"/>
        <v>-94.371994053691665</v>
      </c>
      <c r="AU279" s="214">
        <f t="shared" si="615"/>
        <v>-45.510568250982111</v>
      </c>
      <c r="AV279" s="214">
        <f t="shared" si="615"/>
        <v>-75.257986309184275</v>
      </c>
      <c r="AW279" s="214">
        <f t="shared" si="615"/>
        <v>-11.725354926351116</v>
      </c>
      <c r="AX279" s="214">
        <f t="shared" si="615"/>
        <v>-86.22974980685801</v>
      </c>
      <c r="AY279" s="214">
        <f t="shared" si="615"/>
        <v>-21.299347509740414</v>
      </c>
      <c r="AZ279" s="214">
        <f t="shared" si="615"/>
        <v>-74.738752403911278</v>
      </c>
      <c r="BA279" s="214">
        <f t="shared" si="615"/>
        <v>-16.584721234711541</v>
      </c>
      <c r="BB279" s="214">
        <f t="shared" si="615"/>
        <v>-77.151721839021519</v>
      </c>
      <c r="BC279" s="214">
        <f t="shared" si="615"/>
        <v>-14.556295899462047</v>
      </c>
      <c r="BD279" s="214">
        <f t="shared" si="615"/>
        <v>-74.830976829202712</v>
      </c>
      <c r="BE279" s="214">
        <f t="shared" si="609"/>
        <v>-23.341873949000323</v>
      </c>
      <c r="BF279" s="214">
        <f t="shared" si="609"/>
        <v>-116.43310049999999</v>
      </c>
      <c r="BG279" s="214">
        <f t="shared" si="609"/>
        <v>-10.540745189169435</v>
      </c>
    </row>
    <row r="280" spans="2:59" s="5" customFormat="1" ht="13.5" customHeight="1" thickBot="1">
      <c r="B280" s="25" t="str">
        <f t="shared" si="606"/>
        <v xml:space="preserve">Net cash from operations </v>
      </c>
      <c r="C280" s="215">
        <f t="shared" ref="C280:L280" si="616">C84/C$191</f>
        <v>1171.5501144164755</v>
      </c>
      <c r="D280" s="215">
        <f t="shared" si="616"/>
        <v>1014.0555901873781</v>
      </c>
      <c r="E280" s="215">
        <f t="shared" si="616"/>
        <v>828.77773711700286</v>
      </c>
      <c r="F280" s="215">
        <f t="shared" si="616"/>
        <v>1292.1818882890816</v>
      </c>
      <c r="G280" s="215">
        <f t="shared" si="616"/>
        <v>1096.8892532105845</v>
      </c>
      <c r="H280" s="215">
        <f t="shared" si="616"/>
        <v>1132.0782450081049</v>
      </c>
      <c r="I280" s="215">
        <f t="shared" si="616"/>
        <v>1194.1957102859387</v>
      </c>
      <c r="J280" s="215">
        <f t="shared" si="616"/>
        <v>1224.4973366217334</v>
      </c>
      <c r="K280" s="215">
        <f t="shared" si="616"/>
        <v>1069.0389933292902</v>
      </c>
      <c r="L280" s="215">
        <f t="shared" si="616"/>
        <v>1511.1184387353753</v>
      </c>
      <c r="M280" s="427"/>
      <c r="N280" s="69"/>
      <c r="O280" s="69"/>
      <c r="P280" s="129"/>
      <c r="Q280" s="69"/>
      <c r="R280" s="69"/>
      <c r="S280" s="69"/>
      <c r="T280" s="69"/>
      <c r="U280" s="69"/>
      <c r="V280" s="69"/>
      <c r="W280" s="69"/>
      <c r="X280" s="69"/>
      <c r="Y280" s="69"/>
      <c r="Z280" s="69"/>
      <c r="AA280" s="69"/>
      <c r="AB280" s="69"/>
      <c r="AC280" s="215">
        <f t="shared" ref="AC280:BD280" si="617">AC84/AC$191</f>
        <v>196.97255671251702</v>
      </c>
      <c r="AD280" s="215">
        <f t="shared" si="617"/>
        <v>-87.916182082881676</v>
      </c>
      <c r="AE280" s="215">
        <f t="shared" si="617"/>
        <v>608.12495792095865</v>
      </c>
      <c r="AF280" s="215">
        <f t="shared" si="617"/>
        <v>111.12362308612826</v>
      </c>
      <c r="AG280" s="215">
        <f t="shared" si="617"/>
        <v>337.20496386199375</v>
      </c>
      <c r="AH280" s="215">
        <f t="shared" si="617"/>
        <v>-30.591719298245646</v>
      </c>
      <c r="AI280" s="215">
        <f t="shared" si="617"/>
        <v>452.49292836938218</v>
      </c>
      <c r="AJ280" s="215">
        <f t="shared" si="617"/>
        <v>521.97960044278068</v>
      </c>
      <c r="AK280" s="215">
        <f t="shared" si="617"/>
        <v>139.58242508600972</v>
      </c>
      <c r="AL280" s="215">
        <f t="shared" si="617"/>
        <v>325.72644761837739</v>
      </c>
      <c r="AM280" s="215">
        <f t="shared" si="617"/>
        <v>317.5416040417943</v>
      </c>
      <c r="AN280" s="215">
        <f t="shared" si="617"/>
        <v>284.12459305854406</v>
      </c>
      <c r="AO280" s="215">
        <f t="shared" si="617"/>
        <v>120.02229382891832</v>
      </c>
      <c r="AP280" s="215">
        <f t="shared" si="617"/>
        <v>219.53452580457613</v>
      </c>
      <c r="AQ280" s="215">
        <f t="shared" si="617"/>
        <v>393.73668228810124</v>
      </c>
      <c r="AR280" s="215">
        <f t="shared" si="617"/>
        <v>389.03226366604162</v>
      </c>
      <c r="AS280" s="215">
        <f t="shared" si="617"/>
        <v>254.94586365782581</v>
      </c>
      <c r="AT280" s="215">
        <f t="shared" si="617"/>
        <v>217.24152505319611</v>
      </c>
      <c r="AU280" s="215">
        <f t="shared" si="617"/>
        <v>484.62554639517504</v>
      </c>
      <c r="AV280" s="215">
        <f t="shared" si="617"/>
        <v>408.76454649172882</v>
      </c>
      <c r="AW280" s="215">
        <f t="shared" si="617"/>
        <v>270.55815997656038</v>
      </c>
      <c r="AX280" s="215">
        <f t="shared" si="617"/>
        <v>260.14868960599028</v>
      </c>
      <c r="AY280" s="215">
        <f t="shared" si="617"/>
        <v>377.72614185795419</v>
      </c>
      <c r="AZ280" s="215">
        <f t="shared" si="617"/>
        <v>310.0675352347937</v>
      </c>
      <c r="BA280" s="215">
        <f t="shared" si="617"/>
        <v>172.87247107491424</v>
      </c>
      <c r="BB280" s="215">
        <f t="shared" si="617"/>
        <v>59.221454396266608</v>
      </c>
      <c r="BC280" s="215">
        <f t="shared" si="617"/>
        <v>314.67951293555666</v>
      </c>
      <c r="BD280" s="215">
        <f t="shared" si="617"/>
        <v>465.49282296650745</v>
      </c>
      <c r="BE280" s="215">
        <f t="shared" si="609"/>
        <v>481.6086063943219</v>
      </c>
      <c r="BF280" s="215">
        <f t="shared" si="609"/>
        <v>295.01638949999972</v>
      </c>
      <c r="BG280" s="215">
        <f t="shared" si="609"/>
        <v>307.04501796018553</v>
      </c>
    </row>
    <row r="281" spans="2:59" s="5" customFormat="1" ht="13.5" customHeight="1" thickTop="1">
      <c r="B281" s="1" t="str">
        <f t="shared" si="606"/>
        <v>Gross Capex</v>
      </c>
      <c r="C281" s="216">
        <f t="shared" ref="C281:L281" si="618">C85/C$191</f>
        <v>-711.02517162471395</v>
      </c>
      <c r="D281" s="216">
        <f t="shared" si="618"/>
        <v>-783.01419089875696</v>
      </c>
      <c r="E281" s="216">
        <f t="shared" si="618"/>
        <v>-855.78395821550941</v>
      </c>
      <c r="F281" s="216">
        <f t="shared" si="618"/>
        <v>-808.9663435055636</v>
      </c>
      <c r="G281" s="216">
        <f t="shared" si="618"/>
        <v>-622.28555814784465</v>
      </c>
      <c r="H281" s="216">
        <f t="shared" si="618"/>
        <v>-564.45743914988714</v>
      </c>
      <c r="I281" s="216">
        <f t="shared" si="618"/>
        <v>-494.65280681083959</v>
      </c>
      <c r="J281" s="216">
        <f t="shared" si="618"/>
        <v>-627.0819960133789</v>
      </c>
      <c r="K281" s="216">
        <f t="shared" si="618"/>
        <v>-437.61673741661616</v>
      </c>
      <c r="L281" s="216">
        <f t="shared" si="618"/>
        <v>-521.08846366638966</v>
      </c>
      <c r="M281" s="196"/>
      <c r="N281" s="68"/>
      <c r="O281" s="68"/>
      <c r="P281" s="130"/>
      <c r="Q281" s="68"/>
      <c r="R281" s="68"/>
      <c r="S281" s="68"/>
      <c r="T281" s="68"/>
      <c r="U281" s="68"/>
      <c r="V281" s="68"/>
      <c r="W281" s="68"/>
      <c r="X281" s="68"/>
      <c r="Y281" s="68"/>
      <c r="Z281" s="68"/>
      <c r="AA281" s="68"/>
      <c r="AB281" s="68"/>
      <c r="AC281" s="216">
        <f t="shared" ref="AC281:BD281" si="619">AC85/AC$191</f>
        <v>-200.58215190740361</v>
      </c>
      <c r="AD281" s="216">
        <f t="shared" si="619"/>
        <v>-256.61887527839644</v>
      </c>
      <c r="AE281" s="216">
        <f t="shared" si="619"/>
        <v>-155.97522386049954</v>
      </c>
      <c r="AF281" s="216">
        <f t="shared" si="619"/>
        <v>-241.14049891074217</v>
      </c>
      <c r="AG281" s="216">
        <f t="shared" si="619"/>
        <v>-104.10636847129415</v>
      </c>
      <c r="AH281" s="216">
        <f t="shared" si="619"/>
        <v>-148.43621052631579</v>
      </c>
      <c r="AI281" s="216">
        <f t="shared" si="619"/>
        <v>-199.54970142004061</v>
      </c>
      <c r="AJ281" s="216">
        <f t="shared" si="619"/>
        <v>-350.08196721311475</v>
      </c>
      <c r="AK281" s="216">
        <f t="shared" si="619"/>
        <v>-143.93387084066498</v>
      </c>
      <c r="AL281" s="216">
        <f t="shared" si="619"/>
        <v>-136.8932198222285</v>
      </c>
      <c r="AM281" s="216">
        <f t="shared" si="619"/>
        <v>-142.75084656755334</v>
      </c>
      <c r="AN281" s="216">
        <f t="shared" si="619"/>
        <v>-191.39196968860932</v>
      </c>
      <c r="AO281" s="216">
        <f t="shared" si="619"/>
        <v>-96.598411330510714</v>
      </c>
      <c r="AP281" s="216">
        <f t="shared" si="619"/>
        <v>-127.22647833373232</v>
      </c>
      <c r="AQ281" s="216">
        <f t="shared" si="619"/>
        <v>-133.55291102803082</v>
      </c>
      <c r="AR281" s="216">
        <f t="shared" si="619"/>
        <v>-203.95915815794956</v>
      </c>
      <c r="AS281" s="216">
        <f t="shared" si="619"/>
        <v>-77.021117243849631</v>
      </c>
      <c r="AT281" s="216">
        <f t="shared" si="619"/>
        <v>-133.90328504386858</v>
      </c>
      <c r="AU281" s="216">
        <f t="shared" si="619"/>
        <v>-161.74348475626627</v>
      </c>
      <c r="AV281" s="216">
        <f t="shared" si="619"/>
        <v>-191.57829435253859</v>
      </c>
      <c r="AW281" s="216">
        <f t="shared" si="619"/>
        <v>-136.53157712489678</v>
      </c>
      <c r="AX281" s="216">
        <f t="shared" si="619"/>
        <v>-171.01539192963685</v>
      </c>
      <c r="AY281" s="216">
        <f t="shared" si="619"/>
        <v>-111.62160259118434</v>
      </c>
      <c r="AZ281" s="216">
        <f t="shared" si="619"/>
        <v>-194.40315284812698</v>
      </c>
      <c r="BA281" s="216">
        <f t="shared" si="619"/>
        <v>-82.077937934055839</v>
      </c>
      <c r="BB281" s="216">
        <f t="shared" si="619"/>
        <v>-98.559898971768504</v>
      </c>
      <c r="BC281" s="216">
        <f t="shared" si="619"/>
        <v>-84.162760329471638</v>
      </c>
      <c r="BD281" s="216">
        <f t="shared" si="619"/>
        <v>-162.77603354658356</v>
      </c>
      <c r="BE281" s="216">
        <f t="shared" si="609"/>
        <v>-118.39012047042348</v>
      </c>
      <c r="BF281" s="216">
        <f t="shared" si="609"/>
        <v>-137.28171329999998</v>
      </c>
      <c r="BG281" s="216">
        <f t="shared" si="609"/>
        <v>-110.72806824497472</v>
      </c>
    </row>
    <row r="282" spans="2:59" ht="13.5" customHeight="1">
      <c r="B282" s="1" t="str">
        <f t="shared" si="606"/>
        <v>Net Payment for acquisition  of intangible assets</v>
      </c>
      <c r="C282" s="216">
        <f t="shared" ref="C282:L282" si="620">C86/C$191</f>
        <v>-263.56292906178487</v>
      </c>
      <c r="D282" s="216">
        <f t="shared" si="620"/>
        <v>-902.64823438817791</v>
      </c>
      <c r="E282" s="216">
        <f t="shared" si="620"/>
        <v>-284.4728700222895</v>
      </c>
      <c r="F282" s="216">
        <f t="shared" si="620"/>
        <v>-323.02715654952078</v>
      </c>
      <c r="G282" s="216">
        <f t="shared" si="620"/>
        <v>-476.05187380456942</v>
      </c>
      <c r="H282" s="216">
        <f t="shared" si="620"/>
        <v>-498.39208186664428</v>
      </c>
      <c r="I282" s="216">
        <f t="shared" si="620"/>
        <v>-427.69374026072745</v>
      </c>
      <c r="J282" s="216">
        <f t="shared" si="620"/>
        <v>-452.06865096793814</v>
      </c>
      <c r="K282" s="216">
        <f t="shared" si="620"/>
        <v>-416.57380230442692</v>
      </c>
      <c r="L282" s="216">
        <f t="shared" si="620"/>
        <v>-569.89579054948001</v>
      </c>
      <c r="M282" s="196"/>
      <c r="N282" s="68"/>
      <c r="O282" s="68"/>
      <c r="P282" s="130"/>
      <c r="Q282" s="68"/>
      <c r="R282" s="68"/>
      <c r="S282" s="68"/>
      <c r="T282" s="68"/>
      <c r="U282" s="68"/>
      <c r="V282" s="68"/>
      <c r="W282" s="68"/>
      <c r="X282" s="68"/>
      <c r="Y282" s="68"/>
      <c r="Z282" s="68"/>
      <c r="AA282" s="68"/>
      <c r="AB282" s="68"/>
      <c r="AC282" s="216">
        <f t="shared" ref="AC282:BD282" si="621">AC86/AC$191</f>
        <v>-37.59673994931854</v>
      </c>
      <c r="AD282" s="216">
        <f t="shared" si="621"/>
        <v>-47.928730512249444</v>
      </c>
      <c r="AE282" s="216">
        <f t="shared" si="621"/>
        <v>-90.652393455867468</v>
      </c>
      <c r="AF282" s="216">
        <f t="shared" si="621"/>
        <v>-103.797674204535</v>
      </c>
      <c r="AG282" s="216">
        <f t="shared" si="621"/>
        <v>-49.384972044183826</v>
      </c>
      <c r="AH282" s="216">
        <f t="shared" si="621"/>
        <v>-70.923508771929832</v>
      </c>
      <c r="AI282" s="216">
        <f t="shared" si="621"/>
        <v>-59.48312808937397</v>
      </c>
      <c r="AJ282" s="216">
        <f t="shared" si="621"/>
        <v>-139.93121079542459</v>
      </c>
      <c r="AK282" s="216">
        <f t="shared" si="621"/>
        <v>-110.08587861438663</v>
      </c>
      <c r="AL282" s="216">
        <f t="shared" si="621"/>
        <v>-151.13323483196135</v>
      </c>
      <c r="AM282" s="216">
        <f t="shared" si="621"/>
        <v>-83.078608550785006</v>
      </c>
      <c r="AN282" s="216">
        <f t="shared" si="621"/>
        <v>-136.57341499751695</v>
      </c>
      <c r="AO282" s="216">
        <f t="shared" si="621"/>
        <v>-113.76184945108473</v>
      </c>
      <c r="AP282" s="216">
        <f t="shared" si="621"/>
        <v>9.303669756147622</v>
      </c>
      <c r="AQ282" s="216">
        <f t="shared" si="621"/>
        <v>-225.821002931213</v>
      </c>
      <c r="AR282" s="216">
        <f t="shared" si="621"/>
        <v>-170.47110509133847</v>
      </c>
      <c r="AS282" s="216">
        <f t="shared" si="621"/>
        <v>-126.02028688190951</v>
      </c>
      <c r="AT282" s="216">
        <f t="shared" si="621"/>
        <v>-88.52916314454778</v>
      </c>
      <c r="AU282" s="216">
        <f t="shared" si="621"/>
        <v>-117.497786753721</v>
      </c>
      <c r="AV282" s="216">
        <f t="shared" si="621"/>
        <v>-163.3003422703936</v>
      </c>
      <c r="AW282" s="216">
        <f t="shared" si="621"/>
        <v>-119.14324907439469</v>
      </c>
      <c r="AX282" s="216">
        <f t="shared" si="621"/>
        <v>-131.227075533369</v>
      </c>
      <c r="AY282" s="216">
        <f t="shared" si="621"/>
        <v>-102.28841008308683</v>
      </c>
      <c r="AZ282" s="216">
        <f t="shared" si="621"/>
        <v>-103.28340420921478</v>
      </c>
      <c r="BA282" s="216">
        <f t="shared" si="621"/>
        <v>-88.720545249534979</v>
      </c>
      <c r="BB282" s="216">
        <f t="shared" si="621"/>
        <v>-73.24501910305392</v>
      </c>
      <c r="BC282" s="216">
        <f t="shared" si="621"/>
        <v>-102.35457264671089</v>
      </c>
      <c r="BD282" s="216">
        <f t="shared" si="621"/>
        <v>-142.85361002096658</v>
      </c>
      <c r="BE282" s="216">
        <f t="shared" si="609"/>
        <v>-115.55914508967646</v>
      </c>
      <c r="BF282" s="216">
        <f t="shared" si="609"/>
        <v>-236.94793289999998</v>
      </c>
      <c r="BG282" s="216">
        <f t="shared" si="609"/>
        <v>-89.071889232467882</v>
      </c>
    </row>
    <row r="283" spans="2:59" ht="13.5" customHeight="1">
      <c r="B283" s="1" t="str">
        <f t="shared" si="606"/>
        <v>Disposals/ Acquisition, of assets</v>
      </c>
      <c r="C283" s="216">
        <f t="shared" ref="C283:L283" si="622">C87/C$191</f>
        <v>0.3620137299771185</v>
      </c>
      <c r="D283" s="216">
        <f t="shared" si="622"/>
        <v>8.8709618275824127</v>
      </c>
      <c r="E283" s="216">
        <f t="shared" si="622"/>
        <v>16.513856083036696</v>
      </c>
      <c r="F283" s="216">
        <f t="shared" si="622"/>
        <v>16.178252726671808</v>
      </c>
      <c r="G283" s="216">
        <f t="shared" si="622"/>
        <v>42.644975513378313</v>
      </c>
      <c r="H283" s="216">
        <f t="shared" si="622"/>
        <v>399.76432865023384</v>
      </c>
      <c r="I283" s="216">
        <f t="shared" si="622"/>
        <v>3.1763647650539069</v>
      </c>
      <c r="J283" s="216">
        <f t="shared" si="622"/>
        <v>-33.15596247620978</v>
      </c>
      <c r="K283" s="216">
        <f t="shared" si="622"/>
        <v>-16.451667677380232</v>
      </c>
      <c r="L283" s="216">
        <f t="shared" si="622"/>
        <v>117.15103254854937</v>
      </c>
      <c r="M283" s="196"/>
      <c r="N283" s="68"/>
      <c r="O283" s="68"/>
      <c r="P283" s="130"/>
      <c r="Q283" s="68"/>
      <c r="R283" s="68"/>
      <c r="S283" s="68"/>
      <c r="T283" s="68"/>
      <c r="U283" s="68"/>
      <c r="V283" s="68"/>
      <c r="W283" s="68"/>
      <c r="X283" s="68"/>
      <c r="Y283" s="68"/>
      <c r="Z283" s="68"/>
      <c r="AA283" s="68"/>
      <c r="AB283" s="68"/>
      <c r="AC283" s="216">
        <f t="shared" ref="AC283:BD283" si="623">AC87/AC$191</f>
        <v>4.4222998424765425</v>
      </c>
      <c r="AD283" s="216">
        <f t="shared" si="623"/>
        <v>2.298162583518931</v>
      </c>
      <c r="AE283" s="216">
        <f t="shared" si="623"/>
        <v>3.9678852757018785</v>
      </c>
      <c r="AF283" s="216">
        <f t="shared" si="623"/>
        <v>5.6254794268356303</v>
      </c>
      <c r="AG283" s="216">
        <f t="shared" si="623"/>
        <v>3.4313377880812763</v>
      </c>
      <c r="AH283" s="216">
        <f t="shared" si="623"/>
        <v>8.04098245614035</v>
      </c>
      <c r="AI283" s="216">
        <f t="shared" si="623"/>
        <v>-0.91231178033658045</v>
      </c>
      <c r="AJ283" s="216">
        <f t="shared" si="623"/>
        <v>5.4572768963154292</v>
      </c>
      <c r="AK283" s="216">
        <f t="shared" si="623"/>
        <v>5.1800299393334557</v>
      </c>
      <c r="AL283" s="216">
        <f t="shared" si="623"/>
        <v>2.8886699969511476</v>
      </c>
      <c r="AM283" s="216">
        <f t="shared" si="623"/>
        <v>3.4536334498306873</v>
      </c>
      <c r="AN283" s="216">
        <f t="shared" si="623"/>
        <v>27.91645974728246</v>
      </c>
      <c r="AO283" s="216">
        <f t="shared" si="623"/>
        <v>-16.583423882498408</v>
      </c>
      <c r="AP283" s="216">
        <f t="shared" si="623"/>
        <v>370.56995793289786</v>
      </c>
      <c r="AQ283" s="216">
        <f t="shared" si="623"/>
        <v>4.7241675881557468</v>
      </c>
      <c r="AR283" s="216">
        <f t="shared" si="623"/>
        <v>27.335729665902626</v>
      </c>
      <c r="AS283" s="216">
        <f t="shared" si="623"/>
        <v>-1.8697797098617694</v>
      </c>
      <c r="AT283" s="216">
        <f t="shared" si="623"/>
        <v>0.74081091322471959</v>
      </c>
      <c r="AU283" s="216">
        <f t="shared" si="623"/>
        <v>-7.3115974105018706</v>
      </c>
      <c r="AV283" s="216">
        <f t="shared" si="623"/>
        <v>12.026525955504855</v>
      </c>
      <c r="AW283" s="216">
        <f t="shared" si="623"/>
        <v>-11.215672695309378</v>
      </c>
      <c r="AX283" s="216">
        <f t="shared" si="623"/>
        <v>27.532061567718547</v>
      </c>
      <c r="AY283" s="216">
        <f t="shared" si="623"/>
        <v>-85.000704126179428</v>
      </c>
      <c r="AZ283" s="216">
        <f t="shared" si="623"/>
        <v>25.503218758182349</v>
      </c>
      <c r="BA283" s="216">
        <f t="shared" si="623"/>
        <v>-10.992825286019004</v>
      </c>
      <c r="BB283" s="216">
        <f t="shared" si="623"/>
        <v>-162.25121156952741</v>
      </c>
      <c r="BC283" s="216">
        <f t="shared" si="623"/>
        <v>-76.617391013192261</v>
      </c>
      <c r="BD283" s="216">
        <f t="shared" si="623"/>
        <v>203.52572442341813</v>
      </c>
      <c r="BE283" s="216">
        <f t="shared" si="609"/>
        <v>2.4694049684103319</v>
      </c>
      <c r="BF283" s="216">
        <f t="shared" si="609"/>
        <v>-62.913713099999988</v>
      </c>
      <c r="BG283" s="216">
        <f t="shared" si="609"/>
        <v>-2.4152066633593763</v>
      </c>
    </row>
    <row r="284" spans="2:59" ht="13.5" customHeight="1">
      <c r="B284" s="1" t="str">
        <f t="shared" si="606"/>
        <v>Deposits interest received</v>
      </c>
      <c r="C284" s="216">
        <f t="shared" ref="C284:L284" si="624">C88/C$191</f>
        <v>432.79771167048057</v>
      </c>
      <c r="D284" s="216">
        <f t="shared" si="624"/>
        <v>279.17128084778699</v>
      </c>
      <c r="E284" s="216">
        <f t="shared" si="624"/>
        <v>203.21268172593898</v>
      </c>
      <c r="F284" s="216">
        <f t="shared" si="624"/>
        <v>152.32620909992289</v>
      </c>
      <c r="G284" s="216">
        <f t="shared" si="624"/>
        <v>153.81234630178449</v>
      </c>
      <c r="H284" s="216">
        <f t="shared" si="624"/>
        <v>150.87524346670082</v>
      </c>
      <c r="I284" s="216">
        <f t="shared" si="624"/>
        <v>126.04347991334423</v>
      </c>
      <c r="J284" s="216">
        <f t="shared" si="624"/>
        <v>137.82740407896662</v>
      </c>
      <c r="K284" s="216">
        <f t="shared" si="624"/>
        <v>129.02644026682842</v>
      </c>
      <c r="L284" s="216">
        <f t="shared" si="624"/>
        <v>165.97252519266414</v>
      </c>
      <c r="M284" s="196"/>
      <c r="N284" s="68"/>
      <c r="O284" s="68"/>
      <c r="P284" s="130"/>
      <c r="Q284" s="68"/>
      <c r="R284" s="68"/>
      <c r="S284" s="68"/>
      <c r="T284" s="68"/>
      <c r="U284" s="68"/>
      <c r="V284" s="68"/>
      <c r="W284" s="68"/>
      <c r="X284" s="68"/>
      <c r="Y284" s="68"/>
      <c r="Z284" s="68"/>
      <c r="AA284" s="68"/>
      <c r="AB284" s="68"/>
      <c r="AC284" s="216">
        <f t="shared" ref="AC284:BD284" si="625">AC88/AC$191</f>
        <v>58.791521128689816</v>
      </c>
      <c r="AD284" s="216">
        <f t="shared" si="625"/>
        <v>51.971742761692646</v>
      </c>
      <c r="AE284" s="216">
        <f t="shared" si="625"/>
        <v>46.007540564195786</v>
      </c>
      <c r="AF284" s="216">
        <f t="shared" si="625"/>
        <v>46.98781872296032</v>
      </c>
      <c r="AG284" s="216">
        <f t="shared" si="625"/>
        <v>37.381426428474022</v>
      </c>
      <c r="AH284" s="216">
        <f t="shared" si="625"/>
        <v>45.586807017543855</v>
      </c>
      <c r="AI284" s="216">
        <f t="shared" si="625"/>
        <v>33.008657390211148</v>
      </c>
      <c r="AJ284" s="216">
        <f t="shared" si="625"/>
        <v>36.391597701755323</v>
      </c>
      <c r="AK284" s="216">
        <f t="shared" si="625"/>
        <v>30.764240880321456</v>
      </c>
      <c r="AL284" s="216">
        <f t="shared" si="625"/>
        <v>40.920753300968592</v>
      </c>
      <c r="AM284" s="216">
        <f t="shared" si="625"/>
        <v>36.348985024355791</v>
      </c>
      <c r="AN284" s="216">
        <f t="shared" si="625"/>
        <v>44.039802093104527</v>
      </c>
      <c r="AO284" s="216">
        <f t="shared" si="625"/>
        <v>31.350556409007456</v>
      </c>
      <c r="AP284" s="216">
        <f t="shared" si="625"/>
        <v>39.495023769622769</v>
      </c>
      <c r="AQ284" s="216">
        <f t="shared" si="625"/>
        <v>30.617836519052872</v>
      </c>
      <c r="AR284" s="216">
        <f t="shared" si="625"/>
        <v>48.842988122525533</v>
      </c>
      <c r="AS284" s="216">
        <f t="shared" si="625"/>
        <v>16.53315749198131</v>
      </c>
      <c r="AT284" s="216">
        <f t="shared" si="625"/>
        <v>38.962748127204364</v>
      </c>
      <c r="AU284" s="216">
        <f t="shared" si="625"/>
        <v>24.171415924306981</v>
      </c>
      <c r="AV284" s="216">
        <f t="shared" si="625"/>
        <v>64.357529948659433</v>
      </c>
      <c r="AW284" s="216">
        <f t="shared" si="625"/>
        <v>39.883866499746951</v>
      </c>
      <c r="AX284" s="216">
        <f t="shared" si="625"/>
        <v>50.966304154038156</v>
      </c>
      <c r="AY284" s="216">
        <f t="shared" si="625"/>
        <v>19.740529502886911</v>
      </c>
      <c r="AZ284" s="216">
        <f t="shared" si="625"/>
        <v>29.558041478190994</v>
      </c>
      <c r="BA284" s="216">
        <f t="shared" si="625"/>
        <v>19.729529801276939</v>
      </c>
      <c r="BB284" s="216">
        <f t="shared" si="625"/>
        <v>25.505012949049977</v>
      </c>
      <c r="BC284" s="216">
        <f t="shared" si="625"/>
        <v>36.037969597535657</v>
      </c>
      <c r="BD284" s="216">
        <f t="shared" si="625"/>
        <v>43.507338315144359</v>
      </c>
      <c r="BE284" s="216">
        <f t="shared" si="609"/>
        <v>31.12943011283161</v>
      </c>
      <c r="BF284" s="216">
        <f t="shared" si="609"/>
        <v>44.991716400000008</v>
      </c>
      <c r="BG284" s="216">
        <f t="shared" si="609"/>
        <v>44.714222303454399</v>
      </c>
    </row>
    <row r="285" spans="2:59" ht="13.5" customHeight="1" thickBot="1">
      <c r="B285" s="64" t="str">
        <f t="shared" si="606"/>
        <v>Other investing activities</v>
      </c>
      <c r="C285" s="217">
        <f t="shared" ref="C285:L285" si="626">C89/C$191</f>
        <v>-89.23066361556063</v>
      </c>
      <c r="D285" s="217">
        <f t="shared" si="626"/>
        <v>91.118770855487512</v>
      </c>
      <c r="E285" s="217">
        <f t="shared" si="626"/>
        <v>-69.758142320103801</v>
      </c>
      <c r="F285" s="217">
        <f t="shared" si="626"/>
        <v>53.318276963754556</v>
      </c>
      <c r="G285" s="217">
        <f t="shared" si="626"/>
        <v>-51.431153708724807</v>
      </c>
      <c r="H285" s="217">
        <f t="shared" si="626"/>
        <v>-22.613143006046364</v>
      </c>
      <c r="I285" s="217">
        <f t="shared" si="626"/>
        <v>-65.910202323489528</v>
      </c>
      <c r="J285" s="217">
        <f t="shared" si="626"/>
        <v>-54.573690552608859</v>
      </c>
      <c r="K285" s="217">
        <f t="shared" si="626"/>
        <v>-449.87998787143727</v>
      </c>
      <c r="L285" s="217">
        <f t="shared" si="626"/>
        <v>-476.36139536956222</v>
      </c>
      <c r="M285" s="196"/>
      <c r="N285" s="89"/>
      <c r="O285" s="89"/>
      <c r="P285" s="133"/>
      <c r="Q285" s="89"/>
      <c r="R285" s="89"/>
      <c r="S285" s="89"/>
      <c r="T285" s="89"/>
      <c r="U285" s="89"/>
      <c r="V285" s="89"/>
      <c r="W285" s="89"/>
      <c r="X285" s="89"/>
      <c r="Y285" s="89"/>
      <c r="Z285" s="89"/>
      <c r="AA285" s="89"/>
      <c r="AB285" s="89"/>
      <c r="AC285" s="217">
        <f t="shared" ref="AC285:BD285" si="627">AC89/AC$191</f>
        <v>0.98006985822888848</v>
      </c>
      <c r="AD285" s="217">
        <f t="shared" si="627"/>
        <v>-227.80171213808461</v>
      </c>
      <c r="AE285" s="217">
        <f t="shared" si="627"/>
        <v>70.301622567831416</v>
      </c>
      <c r="AF285" s="217">
        <f t="shared" si="627"/>
        <v>71.561167193396969</v>
      </c>
      <c r="AG285" s="217">
        <f t="shared" si="627"/>
        <v>14.46147552161462</v>
      </c>
      <c r="AH285" s="217">
        <f t="shared" si="627"/>
        <v>-15.859929824561405</v>
      </c>
      <c r="AI285" s="217">
        <f t="shared" si="627"/>
        <v>0.46144175547872857</v>
      </c>
      <c r="AJ285" s="217">
        <f t="shared" si="627"/>
        <v>51.513098940488121</v>
      </c>
      <c r="AK285" s="217">
        <f t="shared" si="627"/>
        <v>-22.937994064658454</v>
      </c>
      <c r="AL285" s="217">
        <f t="shared" si="627"/>
        <v>6.1434367597739152</v>
      </c>
      <c r="AM285" s="217">
        <f t="shared" si="627"/>
        <v>-87.494160042011472</v>
      </c>
      <c r="AN285" s="217">
        <f t="shared" si="627"/>
        <v>55.108793614007986</v>
      </c>
      <c r="AO285" s="217">
        <f t="shared" si="627"/>
        <v>-98.262954775375633</v>
      </c>
      <c r="AP285" s="217">
        <f t="shared" si="627"/>
        <v>27.303088340914531</v>
      </c>
      <c r="AQ285" s="217">
        <f t="shared" si="627"/>
        <v>28.104716269109936</v>
      </c>
      <c r="AR285" s="217">
        <f t="shared" si="627"/>
        <v>13.322914496075569</v>
      </c>
      <c r="AS285" s="217">
        <f t="shared" si="627"/>
        <v>-42.08827887135903</v>
      </c>
      <c r="AT285" s="217">
        <f t="shared" si="627"/>
        <v>32.105838458623609</v>
      </c>
      <c r="AU285" s="217">
        <f t="shared" si="627"/>
        <v>-10.242765451225582</v>
      </c>
      <c r="AV285" s="217">
        <f t="shared" si="627"/>
        <v>-58.184683399885905</v>
      </c>
      <c r="AW285" s="217">
        <f t="shared" si="627"/>
        <v>49.223423807367546</v>
      </c>
      <c r="AX285" s="217">
        <f t="shared" si="627"/>
        <v>-2.9957805907172972</v>
      </c>
      <c r="AY285" s="217">
        <f t="shared" si="627"/>
        <v>15.741092803830444</v>
      </c>
      <c r="AZ285" s="217">
        <f t="shared" si="627"/>
        <v>-86.958386377384812</v>
      </c>
      <c r="BA285" s="217">
        <f t="shared" si="627"/>
        <v>-86.026687925078463</v>
      </c>
      <c r="BB285" s="217">
        <f t="shared" si="627"/>
        <v>33.968691504910382</v>
      </c>
      <c r="BC285" s="217">
        <f t="shared" si="627"/>
        <v>-34.663441148239919</v>
      </c>
      <c r="BD285" s="217">
        <f t="shared" si="627"/>
        <v>-329.52190742433203</v>
      </c>
      <c r="BE285" s="217">
        <f t="shared" si="609"/>
        <v>19.038782882696498</v>
      </c>
      <c r="BF285" s="217">
        <f t="shared" si="609"/>
        <v>-108.69159479999999</v>
      </c>
      <c r="BG285" s="217">
        <f t="shared" si="609"/>
        <v>-78.145680789875158</v>
      </c>
    </row>
    <row r="286" spans="2:59" ht="13.5" customHeight="1" thickTop="1" thickBot="1">
      <c r="B286" s="76" t="str">
        <f t="shared" si="606"/>
        <v xml:space="preserve">Free cash flow </v>
      </c>
      <c r="C286" s="218">
        <f t="shared" ref="C286:L286" si="628">C90/C$191</f>
        <v>540.89107551487371</v>
      </c>
      <c r="D286" s="218">
        <f t="shared" si="628"/>
        <v>-292.44582156869978</v>
      </c>
      <c r="E286" s="218">
        <f t="shared" si="628"/>
        <v>-161.51069563192416</v>
      </c>
      <c r="F286" s="218">
        <f t="shared" si="628"/>
        <v>382.01112702434637</v>
      </c>
      <c r="G286" s="218">
        <f t="shared" si="628"/>
        <v>143.57798936460841</v>
      </c>
      <c r="H286" s="218">
        <f t="shared" si="628"/>
        <v>597.2551531024618</v>
      </c>
      <c r="I286" s="218">
        <f t="shared" si="628"/>
        <v>335.15880556928033</v>
      </c>
      <c r="J286" s="218">
        <f t="shared" si="628"/>
        <v>195.44444069056436</v>
      </c>
      <c r="K286" s="218">
        <f t="shared" si="628"/>
        <v>-122.45676167374194</v>
      </c>
      <c r="L286" s="218">
        <f t="shared" si="628"/>
        <v>226.89634689115684</v>
      </c>
      <c r="M286" s="202"/>
      <c r="N286" s="90"/>
      <c r="O286" s="90"/>
      <c r="P286" s="131"/>
      <c r="Q286" s="90"/>
      <c r="R286" s="90"/>
      <c r="S286" s="90"/>
      <c r="T286" s="90"/>
      <c r="U286" s="90"/>
      <c r="V286" s="90"/>
      <c r="W286" s="90"/>
      <c r="X286" s="90"/>
      <c r="Y286" s="90"/>
      <c r="Z286" s="90"/>
      <c r="AA286" s="90"/>
      <c r="AB286" s="90"/>
      <c r="AC286" s="218">
        <f t="shared" ref="AC286:BD286" si="629">AC90/AC$191</f>
        <v>22.987555685190102</v>
      </c>
      <c r="AD286" s="218">
        <f t="shared" si="629"/>
        <v>-565.99559466640062</v>
      </c>
      <c r="AE286" s="218">
        <f t="shared" si="629"/>
        <v>481.77438901232074</v>
      </c>
      <c r="AF286" s="218">
        <f t="shared" si="629"/>
        <v>-109.64008468595598</v>
      </c>
      <c r="AG286" s="218">
        <f t="shared" si="629"/>
        <v>238.98786308468567</v>
      </c>
      <c r="AH286" s="218">
        <f t="shared" si="629"/>
        <v>-212.18357894736843</v>
      </c>
      <c r="AI286" s="218">
        <f t="shared" si="629"/>
        <v>226.01788622532086</v>
      </c>
      <c r="AJ286" s="218">
        <f t="shared" si="629"/>
        <v>125.32839597280024</v>
      </c>
      <c r="AK286" s="218">
        <f t="shared" si="629"/>
        <v>-101.43104761404541</v>
      </c>
      <c r="AL286" s="218">
        <f t="shared" si="629"/>
        <v>87.652853021881228</v>
      </c>
      <c r="AM286" s="218">
        <f t="shared" si="629"/>
        <v>44.020607355630972</v>
      </c>
      <c r="AN286" s="218">
        <f t="shared" si="629"/>
        <v>83.224263826812788</v>
      </c>
      <c r="AO286" s="218">
        <f t="shared" si="629"/>
        <v>-173.83378920154371</v>
      </c>
      <c r="AP286" s="218">
        <f t="shared" si="629"/>
        <v>538.97978727042653</v>
      </c>
      <c r="AQ286" s="218">
        <f t="shared" si="629"/>
        <v>97.809488705175966</v>
      </c>
      <c r="AR286" s="218">
        <f t="shared" si="629"/>
        <v>104.10363270125728</v>
      </c>
      <c r="AS286" s="218">
        <f t="shared" si="629"/>
        <v>24.479558442827187</v>
      </c>
      <c r="AT286" s="218">
        <f t="shared" si="629"/>
        <v>66.618474363832419</v>
      </c>
      <c r="AU286" s="218">
        <f t="shared" si="629"/>
        <v>212.00132794776727</v>
      </c>
      <c r="AV286" s="218">
        <f t="shared" si="629"/>
        <v>72.085282373075032</v>
      </c>
      <c r="AW286" s="218">
        <f t="shared" si="629"/>
        <v>92.774951389074047</v>
      </c>
      <c r="AX286" s="218">
        <f t="shared" si="629"/>
        <v>33.40880727402385</v>
      </c>
      <c r="AY286" s="218">
        <f t="shared" si="629"/>
        <v>114.29704736422096</v>
      </c>
      <c r="AZ286" s="218">
        <f t="shared" si="629"/>
        <v>-19.516147963559547</v>
      </c>
      <c r="BA286" s="218">
        <f t="shared" si="629"/>
        <v>-75.215995518497095</v>
      </c>
      <c r="BB286" s="218">
        <f t="shared" si="629"/>
        <v>-215.36097079412289</v>
      </c>
      <c r="BC286" s="218">
        <f t="shared" si="629"/>
        <v>52.919317395477627</v>
      </c>
      <c r="BD286" s="218">
        <f t="shared" si="629"/>
        <v>77.37433471318775</v>
      </c>
      <c r="BE286" s="218">
        <f t="shared" si="609"/>
        <v>300.2969587981604</v>
      </c>
      <c r="BF286" s="218">
        <f t="shared" si="609"/>
        <v>-205.82684820000023</v>
      </c>
      <c r="BG286" s="218">
        <f t="shared" si="609"/>
        <v>71.398395332962778</v>
      </c>
    </row>
    <row r="287" spans="2:59" ht="13.5" customHeight="1" thickTop="1">
      <c r="B287" s="1" t="str">
        <f t="shared" si="606"/>
        <v>Equity Issuance/Buyback</v>
      </c>
      <c r="C287" s="214">
        <f t="shared" ref="C287:L287" si="630">C91/C$191</f>
        <v>0</v>
      </c>
      <c r="D287" s="214">
        <f t="shared" si="630"/>
        <v>-98.243555425176936</v>
      </c>
      <c r="E287" s="214">
        <f t="shared" si="630"/>
        <v>-21.826075385076017</v>
      </c>
      <c r="F287" s="214">
        <f t="shared" si="630"/>
        <v>0</v>
      </c>
      <c r="G287" s="214">
        <f t="shared" si="630"/>
        <v>-19.887760892868403</v>
      </c>
      <c r="H287" s="214">
        <f t="shared" si="630"/>
        <v>-1.7662984669879027</v>
      </c>
      <c r="I287" s="214">
        <f t="shared" si="630"/>
        <v>-1.2661371036195255</v>
      </c>
      <c r="J287" s="214">
        <f t="shared" si="630"/>
        <v>0</v>
      </c>
      <c r="K287" s="214">
        <f t="shared" si="630"/>
        <v>0</v>
      </c>
      <c r="L287" s="214">
        <f t="shared" si="630"/>
        <v>-1.5999754885018511</v>
      </c>
      <c r="M287" s="196"/>
      <c r="N287" s="68"/>
      <c r="O287" s="68"/>
      <c r="P287" s="134"/>
      <c r="Q287" s="68"/>
      <c r="R287" s="68"/>
      <c r="S287" s="68"/>
      <c r="T287" s="68"/>
      <c r="U287" s="68"/>
      <c r="V287" s="68"/>
      <c r="W287" s="68"/>
      <c r="X287" s="68"/>
      <c r="Y287" s="68"/>
      <c r="Z287" s="68"/>
      <c r="AA287" s="68"/>
      <c r="AB287" s="68"/>
      <c r="AC287" s="214">
        <f t="shared" ref="AC287:BD287" si="631">AC91/AC$191</f>
        <v>0</v>
      </c>
      <c r="AD287" s="214">
        <f t="shared" si="631"/>
        <v>0</v>
      </c>
      <c r="AE287" s="214">
        <f t="shared" si="631"/>
        <v>-7.5580690769541512</v>
      </c>
      <c r="AF287" s="214">
        <f t="shared" si="631"/>
        <v>-13.241385658617409</v>
      </c>
      <c r="AG287" s="214">
        <f t="shared" si="631"/>
        <v>0</v>
      </c>
      <c r="AH287" s="214">
        <f t="shared" si="631"/>
        <v>0</v>
      </c>
      <c r="AI287" s="214">
        <f t="shared" si="631"/>
        <v>0</v>
      </c>
      <c r="AJ287" s="214">
        <f t="shared" si="631"/>
        <v>0</v>
      </c>
      <c r="AK287" s="214">
        <f t="shared" si="631"/>
        <v>0</v>
      </c>
      <c r="AL287" s="214">
        <f t="shared" si="631"/>
        <v>0</v>
      </c>
      <c r="AM287" s="214">
        <f t="shared" si="631"/>
        <v>-9.6930626731615437</v>
      </c>
      <c r="AN287" s="214">
        <f t="shared" si="631"/>
        <v>-7.5579834096635965</v>
      </c>
      <c r="AO287" s="214">
        <f t="shared" si="631"/>
        <v>-1.8730563153359061</v>
      </c>
      <c r="AP287" s="214">
        <f t="shared" si="631"/>
        <v>0</v>
      </c>
      <c r="AQ287" s="214">
        <f t="shared" si="631"/>
        <v>0</v>
      </c>
      <c r="AR287" s="214">
        <f t="shared" si="631"/>
        <v>0</v>
      </c>
      <c r="AS287" s="214">
        <f t="shared" si="631"/>
        <v>-1.6271837704944725</v>
      </c>
      <c r="AT287" s="214">
        <f t="shared" si="631"/>
        <v>0</v>
      </c>
      <c r="AU287" s="214">
        <f t="shared" si="631"/>
        <v>0</v>
      </c>
      <c r="AV287" s="214">
        <f t="shared" si="631"/>
        <v>0</v>
      </c>
      <c r="AW287" s="214">
        <f t="shared" si="631"/>
        <v>0</v>
      </c>
      <c r="AX287" s="214">
        <f t="shared" si="631"/>
        <v>0</v>
      </c>
      <c r="AY287" s="214">
        <f t="shared" si="631"/>
        <v>0</v>
      </c>
      <c r="AZ287" s="214">
        <f t="shared" si="631"/>
        <v>0</v>
      </c>
      <c r="BA287" s="214">
        <f t="shared" si="631"/>
        <v>0</v>
      </c>
      <c r="BB287" s="214">
        <f t="shared" si="631"/>
        <v>0</v>
      </c>
      <c r="BC287" s="214">
        <f t="shared" si="631"/>
        <v>0</v>
      </c>
      <c r="BD287" s="214">
        <f t="shared" si="631"/>
        <v>0</v>
      </c>
      <c r="BE287" s="214">
        <f t="shared" si="609"/>
        <v>0</v>
      </c>
      <c r="BF287" s="214">
        <f t="shared" si="609"/>
        <v>-1.6569275999999999</v>
      </c>
      <c r="BG287" s="214">
        <f t="shared" si="609"/>
        <v>0</v>
      </c>
    </row>
    <row r="288" spans="2:59" s="5" customFormat="1" ht="13.5" customHeight="1">
      <c r="B288" s="1" t="str">
        <f t="shared" si="606"/>
        <v xml:space="preserve">Dividends received  / Dividends Paid </v>
      </c>
      <c r="C288" s="214">
        <f t="shared" ref="C288:L288" si="632">C92/C$191</f>
        <v>38.485583524027462</v>
      </c>
      <c r="D288" s="214">
        <f t="shared" si="632"/>
        <v>-1476.1156539914193</v>
      </c>
      <c r="E288" s="214">
        <f t="shared" si="632"/>
        <v>-17.105026780664691</v>
      </c>
      <c r="F288" s="214">
        <f t="shared" si="632"/>
        <v>-840.2908449928392</v>
      </c>
      <c r="G288" s="214">
        <f t="shared" si="632"/>
        <v>-409.73138281102217</v>
      </c>
      <c r="H288" s="214">
        <f t="shared" si="632"/>
        <v>-199.21595993233723</v>
      </c>
      <c r="I288" s="214">
        <f t="shared" si="632"/>
        <v>-106.19715454879454</v>
      </c>
      <c r="J288" s="214">
        <f t="shared" si="632"/>
        <v>-288.96584344065678</v>
      </c>
      <c r="K288" s="214">
        <f t="shared" si="632"/>
        <v>-75.689326864766528</v>
      </c>
      <c r="L288" s="214">
        <f t="shared" si="632"/>
        <v>0</v>
      </c>
      <c r="M288" s="196"/>
      <c r="N288" s="68"/>
      <c r="O288" s="68"/>
      <c r="P288" s="130"/>
      <c r="Q288" s="68"/>
      <c r="R288" s="68"/>
      <c r="S288" s="68"/>
      <c r="T288" s="68"/>
      <c r="U288" s="68"/>
      <c r="V288" s="68"/>
      <c r="W288" s="68"/>
      <c r="X288" s="68"/>
      <c r="Y288" s="68"/>
      <c r="Z288" s="68"/>
      <c r="AA288" s="68"/>
      <c r="AB288" s="68"/>
      <c r="AC288" s="214">
        <f t="shared" ref="AC288:BD288" si="633">AC92/AC$191</f>
        <v>0</v>
      </c>
      <c r="AD288" s="214">
        <f t="shared" si="633"/>
        <v>-12.417525055679286</v>
      </c>
      <c r="AE288" s="214">
        <f t="shared" si="633"/>
        <v>-3.6982427792365167</v>
      </c>
      <c r="AF288" s="214">
        <f t="shared" si="633"/>
        <v>-1.4565370807891749</v>
      </c>
      <c r="AG288" s="214">
        <f t="shared" si="633"/>
        <v>-10.789308604936586</v>
      </c>
      <c r="AH288" s="214">
        <f t="shared" si="633"/>
        <v>-262.61557894736842</v>
      </c>
      <c r="AI288" s="214">
        <f t="shared" si="633"/>
        <v>-285.69130546587047</v>
      </c>
      <c r="AJ288" s="214">
        <f t="shared" si="633"/>
        <v>-283.5670233514312</v>
      </c>
      <c r="AK288" s="214">
        <f t="shared" si="633"/>
        <v>-5.0426766814612494</v>
      </c>
      <c r="AL288" s="214">
        <f t="shared" si="633"/>
        <v>-147.02807289101528</v>
      </c>
      <c r="AM288" s="214">
        <f t="shared" si="633"/>
        <v>-121.99029389928107</v>
      </c>
      <c r="AN288" s="214">
        <f t="shared" si="633"/>
        <v>-115.8009159631408</v>
      </c>
      <c r="AO288" s="214">
        <f t="shared" si="633"/>
        <v>0</v>
      </c>
      <c r="AP288" s="214">
        <f t="shared" si="633"/>
        <v>-18.669927152091383</v>
      </c>
      <c r="AQ288" s="214">
        <f t="shared" si="633"/>
        <v>0</v>
      </c>
      <c r="AR288" s="214">
        <f t="shared" si="633"/>
        <v>-176.85437938459401</v>
      </c>
      <c r="AS288" s="214">
        <f t="shared" si="633"/>
        <v>-5.3494846871489283</v>
      </c>
      <c r="AT288" s="214">
        <f t="shared" si="633"/>
        <v>0</v>
      </c>
      <c r="AU288" s="214">
        <f t="shared" si="633"/>
        <v>0</v>
      </c>
      <c r="AV288" s="214">
        <f t="shared" si="633"/>
        <v>-114.85881346263548</v>
      </c>
      <c r="AW288" s="214">
        <f t="shared" si="633"/>
        <v>0</v>
      </c>
      <c r="AX288" s="214">
        <f t="shared" si="633"/>
        <v>-101.65923812919711</v>
      </c>
      <c r="AY288" s="214">
        <f t="shared" si="633"/>
        <v>-101.92789747922828</v>
      </c>
      <c r="AZ288" s="214">
        <f t="shared" si="633"/>
        <v>-76.028783733759482</v>
      </c>
      <c r="BA288" s="214">
        <f t="shared" si="633"/>
        <v>0</v>
      </c>
      <c r="BB288" s="214">
        <f t="shared" si="633"/>
        <v>0</v>
      </c>
      <c r="BC288" s="214">
        <f t="shared" si="633"/>
        <v>-69.65094086921583</v>
      </c>
      <c r="BD288" s="214">
        <f t="shared" si="633"/>
        <v>0</v>
      </c>
      <c r="BE288" s="214">
        <f t="shared" si="609"/>
        <v>0</v>
      </c>
      <c r="BF288" s="214">
        <f t="shared" si="609"/>
        <v>0</v>
      </c>
      <c r="BG288" s="214">
        <f t="shared" si="609"/>
        <v>0</v>
      </c>
    </row>
    <row r="289" spans="2:59" ht="13.5" customHeight="1">
      <c r="B289" s="1" t="str">
        <f t="shared" si="606"/>
        <v>Acquisition of bonds</v>
      </c>
      <c r="C289" s="214">
        <f t="shared" ref="C289:L289" si="634">C93/C$191</f>
        <v>0</v>
      </c>
      <c r="D289" s="214">
        <f t="shared" si="634"/>
        <v>0</v>
      </c>
      <c r="E289" s="214">
        <f t="shared" si="634"/>
        <v>0</v>
      </c>
      <c r="F289" s="214">
        <f t="shared" si="634"/>
        <v>0</v>
      </c>
      <c r="G289" s="214">
        <f t="shared" si="634"/>
        <v>0</v>
      </c>
      <c r="H289" s="214">
        <f t="shared" si="634"/>
        <v>0</v>
      </c>
      <c r="I289" s="214">
        <f t="shared" si="634"/>
        <v>0</v>
      </c>
      <c r="J289" s="214">
        <f t="shared" si="634"/>
        <v>0</v>
      </c>
      <c r="K289" s="214">
        <f t="shared" si="634"/>
        <v>0</v>
      </c>
      <c r="L289" s="214">
        <f t="shared" si="634"/>
        <v>99.598379720833378</v>
      </c>
      <c r="M289" s="196"/>
      <c r="N289" s="68"/>
      <c r="O289" s="68"/>
      <c r="P289" s="130"/>
      <c r="Q289" s="68"/>
      <c r="R289" s="68"/>
      <c r="S289" s="68"/>
      <c r="T289" s="68"/>
      <c r="U289" s="68"/>
      <c r="V289" s="68"/>
      <c r="W289" s="68"/>
      <c r="X289" s="68"/>
      <c r="Y289" s="68"/>
      <c r="Z289" s="68"/>
      <c r="AA289" s="68"/>
      <c r="AB289" s="68"/>
      <c r="AC289" s="214">
        <f t="shared" ref="AC289:BD289" si="635">AC93/AC$191</f>
        <v>0</v>
      </c>
      <c r="AD289" s="214">
        <f t="shared" si="635"/>
        <v>0</v>
      </c>
      <c r="AE289" s="214">
        <f t="shared" si="635"/>
        <v>0</v>
      </c>
      <c r="AF289" s="214">
        <f t="shared" si="635"/>
        <v>0</v>
      </c>
      <c r="AG289" s="214">
        <f t="shared" si="635"/>
        <v>0</v>
      </c>
      <c r="AH289" s="214">
        <f t="shared" si="635"/>
        <v>0</v>
      </c>
      <c r="AI289" s="214">
        <f t="shared" si="635"/>
        <v>0</v>
      </c>
      <c r="AJ289" s="214">
        <f t="shared" si="635"/>
        <v>0</v>
      </c>
      <c r="AK289" s="214">
        <f t="shared" si="635"/>
        <v>0</v>
      </c>
      <c r="AL289" s="214">
        <f t="shared" si="635"/>
        <v>0</v>
      </c>
      <c r="AM289" s="214">
        <f t="shared" si="635"/>
        <v>0</v>
      </c>
      <c r="AN289" s="214">
        <f t="shared" si="635"/>
        <v>0</v>
      </c>
      <c r="AO289" s="214">
        <f t="shared" si="635"/>
        <v>0</v>
      </c>
      <c r="AP289" s="214">
        <f t="shared" si="635"/>
        <v>0</v>
      </c>
      <c r="AQ289" s="214">
        <f t="shared" si="635"/>
        <v>0</v>
      </c>
      <c r="AR289" s="214">
        <f t="shared" si="635"/>
        <v>0</v>
      </c>
      <c r="AS289" s="214">
        <f t="shared" si="635"/>
        <v>0</v>
      </c>
      <c r="AT289" s="214">
        <f t="shared" si="635"/>
        <v>0</v>
      </c>
      <c r="AU289" s="214">
        <f t="shared" si="635"/>
        <v>0</v>
      </c>
      <c r="AV289" s="214">
        <f t="shared" si="635"/>
        <v>0</v>
      </c>
      <c r="AW289" s="214">
        <f t="shared" si="635"/>
        <v>0</v>
      </c>
      <c r="AX289" s="214">
        <f t="shared" si="635"/>
        <v>0</v>
      </c>
      <c r="AY289" s="214">
        <f t="shared" si="635"/>
        <v>0</v>
      </c>
      <c r="AZ289" s="214">
        <f t="shared" si="635"/>
        <v>0</v>
      </c>
      <c r="BA289" s="214">
        <f t="shared" si="635"/>
        <v>0</v>
      </c>
      <c r="BB289" s="214">
        <f t="shared" si="635"/>
        <v>0</v>
      </c>
      <c r="BC289" s="214">
        <f t="shared" si="635"/>
        <v>-4.9820866537199517</v>
      </c>
      <c r="BD289" s="214">
        <f t="shared" si="635"/>
        <v>4.7995806677060395</v>
      </c>
      <c r="BE289" s="214">
        <f t="shared" si="609"/>
        <v>0</v>
      </c>
      <c r="BF289" s="214">
        <f t="shared" si="609"/>
        <v>0</v>
      </c>
      <c r="BG289" s="214">
        <f t="shared" si="609"/>
        <v>75.346987799010023</v>
      </c>
    </row>
    <row r="290" spans="2:59" ht="13.5" customHeight="1">
      <c r="B290" s="1" t="str">
        <f t="shared" si="606"/>
        <v>Change in debt /Finance Costs</v>
      </c>
      <c r="C290" s="214">
        <f t="shared" ref="C290:L290" si="636">C94/C$191</f>
        <v>46.343707093821287</v>
      </c>
      <c r="D290" s="214">
        <f t="shared" si="636"/>
        <v>-89.750284184664963</v>
      </c>
      <c r="E290" s="214">
        <f t="shared" si="636"/>
        <v>1535.6631957150935</v>
      </c>
      <c r="F290" s="214">
        <f t="shared" si="636"/>
        <v>459.32108626198118</v>
      </c>
      <c r="G290" s="214">
        <f t="shared" si="636"/>
        <v>249.29377640456553</v>
      </c>
      <c r="H290" s="214">
        <f t="shared" si="636"/>
        <v>-594.80975368457291</v>
      </c>
      <c r="I290" s="214">
        <f t="shared" si="636"/>
        <v>-587.15074810282101</v>
      </c>
      <c r="J290" s="214">
        <f t="shared" si="636"/>
        <v>-119.58264355777786</v>
      </c>
      <c r="K290" s="214">
        <f t="shared" si="636"/>
        <v>160.4308671922378</v>
      </c>
      <c r="L290" s="214">
        <f t="shared" si="636"/>
        <v>141.77683873255896</v>
      </c>
      <c r="M290" s="196"/>
      <c r="N290" s="68"/>
      <c r="O290" s="68"/>
      <c r="P290" s="130"/>
      <c r="Q290" s="68"/>
      <c r="R290" s="68"/>
      <c r="S290" s="68"/>
      <c r="T290" s="68"/>
      <c r="U290" s="68"/>
      <c r="V290" s="68"/>
      <c r="W290" s="68"/>
      <c r="X290" s="68"/>
      <c r="Y290" s="68"/>
      <c r="Z290" s="68"/>
      <c r="AA290" s="68"/>
      <c r="AB290" s="68"/>
      <c r="AC290" s="214">
        <f t="shared" ref="AC290:BD290" si="637">AC94/AC$191</f>
        <v>-49.728443257311142</v>
      </c>
      <c r="AD290" s="214">
        <f t="shared" si="637"/>
        <v>1145.4447383073498</v>
      </c>
      <c r="AE290" s="214">
        <f t="shared" si="637"/>
        <v>174.46812091833269</v>
      </c>
      <c r="AF290" s="214">
        <f t="shared" si="637"/>
        <v>291.93396950078244</v>
      </c>
      <c r="AG290" s="214">
        <f t="shared" si="637"/>
        <v>188.69657711714163</v>
      </c>
      <c r="AH290" s="214">
        <f t="shared" si="637"/>
        <v>77.409964912280927</v>
      </c>
      <c r="AI290" s="214">
        <f t="shared" si="637"/>
        <v>128.62824652132917</v>
      </c>
      <c r="AJ290" s="214">
        <f t="shared" si="637"/>
        <v>65.860523957619677</v>
      </c>
      <c r="AK290" s="214">
        <f t="shared" si="637"/>
        <v>130.69333193266266</v>
      </c>
      <c r="AL290" s="214">
        <f t="shared" si="637"/>
        <v>599.57362977555783</v>
      </c>
      <c r="AM290" s="214">
        <f t="shared" si="637"/>
        <v>-45.913296995817035</v>
      </c>
      <c r="AN290" s="214">
        <f t="shared" si="637"/>
        <v>-296.96168772646155</v>
      </c>
      <c r="AO290" s="214">
        <f t="shared" si="637"/>
        <v>294.20772602945038</v>
      </c>
      <c r="AP290" s="214">
        <f t="shared" si="637"/>
        <v>-378.79578644960503</v>
      </c>
      <c r="AQ290" s="214">
        <f t="shared" si="637"/>
        <v>-218.10770013866252</v>
      </c>
      <c r="AR290" s="214">
        <f t="shared" si="637"/>
        <v>-256.92001805931733</v>
      </c>
      <c r="AS290" s="214">
        <f t="shared" si="637"/>
        <v>-427.17595532327118</v>
      </c>
      <c r="AT290" s="214">
        <f t="shared" si="637"/>
        <v>-93.233450899233659</v>
      </c>
      <c r="AU290" s="214">
        <f t="shared" si="637"/>
        <v>-92.969899850605742</v>
      </c>
      <c r="AV290" s="214">
        <f t="shared" si="637"/>
        <v>-99.696948088989899</v>
      </c>
      <c r="AW290" s="214">
        <f t="shared" si="637"/>
        <v>57.09945928668462</v>
      </c>
      <c r="AX290" s="214">
        <f t="shared" si="637"/>
        <v>-228.91923694063107</v>
      </c>
      <c r="AY290" s="214">
        <f t="shared" si="637"/>
        <v>-23.785734403605076</v>
      </c>
      <c r="AZ290" s="214">
        <f t="shared" si="637"/>
        <v>57.612611392507858</v>
      </c>
      <c r="BA290" s="214">
        <f t="shared" si="637"/>
        <v>26.339100395722465</v>
      </c>
      <c r="BB290" s="214">
        <f t="shared" si="637"/>
        <v>189.225172440319</v>
      </c>
      <c r="BC290" s="214">
        <f t="shared" si="637"/>
        <v>7.1001026808634213</v>
      </c>
      <c r="BD290" s="214">
        <f t="shared" si="637"/>
        <v>-43.024891134885202</v>
      </c>
      <c r="BE290" s="214">
        <f t="shared" si="609"/>
        <v>92.335831861270677</v>
      </c>
      <c r="BF290" s="214">
        <f t="shared" si="609"/>
        <v>123.47479830000006</v>
      </c>
      <c r="BG290" s="214">
        <f t="shared" si="609"/>
        <v>-17.264456737027718</v>
      </c>
    </row>
    <row r="291" spans="2:59" ht="13.5" customHeight="1" thickBot="1">
      <c r="B291" s="1" t="str">
        <f t="shared" si="606"/>
        <v>Other Finance</v>
      </c>
      <c r="C291" s="214">
        <f t="shared" ref="C291:L291" si="638">C95/C$191</f>
        <v>-3.4324942791762014E-2</v>
      </c>
      <c r="D291" s="214">
        <f t="shared" si="638"/>
        <v>-128.06387737890066</v>
      </c>
      <c r="E291" s="214">
        <f t="shared" si="638"/>
        <v>113.11221264845804</v>
      </c>
      <c r="F291" s="214">
        <f t="shared" si="638"/>
        <v>-50.544783518783746</v>
      </c>
      <c r="G291" s="214">
        <f t="shared" si="638"/>
        <v>68.005759085272302</v>
      </c>
      <c r="H291" s="214">
        <f t="shared" si="638"/>
        <v>181.35811356921081</v>
      </c>
      <c r="I291" s="214">
        <f t="shared" si="638"/>
        <v>153.92598786312442</v>
      </c>
      <c r="J291" s="214">
        <f t="shared" si="638"/>
        <v>-35.412457628073021</v>
      </c>
      <c r="K291" s="214">
        <f t="shared" si="638"/>
        <v>21.991267434808975</v>
      </c>
      <c r="L291" s="214">
        <f t="shared" si="638"/>
        <v>29.693796067299875</v>
      </c>
      <c r="M291" s="196"/>
      <c r="N291" s="89"/>
      <c r="O291" s="89"/>
      <c r="P291" s="133"/>
      <c r="Q291" s="192"/>
      <c r="R291" s="89"/>
      <c r="S291" s="89"/>
      <c r="T291" s="89"/>
      <c r="U291" s="89"/>
      <c r="V291" s="89"/>
      <c r="W291" s="89"/>
      <c r="X291" s="89"/>
      <c r="Y291" s="89"/>
      <c r="Z291" s="89"/>
      <c r="AA291" s="89"/>
      <c r="AB291" s="89"/>
      <c r="AC291" s="214">
        <f t="shared" ref="AC291:BD291" si="639">AC95/AC$191</f>
        <v>55.038011095130479</v>
      </c>
      <c r="AD291" s="214">
        <f t="shared" si="639"/>
        <v>24.726127505567927</v>
      </c>
      <c r="AE291" s="214">
        <f t="shared" si="639"/>
        <v>0</v>
      </c>
      <c r="AF291" s="214">
        <f t="shared" si="639"/>
        <v>33.208247675738704</v>
      </c>
      <c r="AG291" s="214">
        <f t="shared" si="639"/>
        <v>0</v>
      </c>
      <c r="AH291" s="214">
        <f t="shared" si="639"/>
        <v>0</v>
      </c>
      <c r="AI291" s="214">
        <f t="shared" si="639"/>
        <v>-42.343209805994462</v>
      </c>
      <c r="AJ291" s="214">
        <f t="shared" si="639"/>
        <v>-9.309208792367297</v>
      </c>
      <c r="AK291" s="214">
        <f t="shared" si="639"/>
        <v>-12.363368962890984</v>
      </c>
      <c r="AL291" s="214">
        <f t="shared" si="639"/>
        <v>-105.07821477989634</v>
      </c>
      <c r="AM291" s="214">
        <f t="shared" si="639"/>
        <v>-15.280408525433243</v>
      </c>
      <c r="AN291" s="214">
        <f t="shared" si="639"/>
        <v>166.097040592985</v>
      </c>
      <c r="AO291" s="214">
        <f t="shared" si="639"/>
        <v>19.83532541496497</v>
      </c>
      <c r="AP291" s="214">
        <f t="shared" si="639"/>
        <v>100.64810698040287</v>
      </c>
      <c r="AQ291" s="214">
        <f t="shared" si="639"/>
        <v>-4.6945044143717061</v>
      </c>
      <c r="AR291" s="214">
        <f t="shared" si="639"/>
        <v>62.315586580537612</v>
      </c>
      <c r="AS291" s="214">
        <f t="shared" si="639"/>
        <v>50.089548836679207</v>
      </c>
      <c r="AT291" s="214">
        <f t="shared" si="639"/>
        <v>80.309557816189127</v>
      </c>
      <c r="AU291" s="214">
        <f t="shared" si="639"/>
        <v>54.929037791180193</v>
      </c>
      <c r="AV291" s="214">
        <f t="shared" si="639"/>
        <v>-5.8171705647461449</v>
      </c>
      <c r="AW291" s="214">
        <f t="shared" si="639"/>
        <v>-19.358735316836693</v>
      </c>
      <c r="AX291" s="214">
        <f t="shared" si="639"/>
        <v>2.7296606644083847</v>
      </c>
      <c r="AY291" s="214">
        <f t="shared" si="639"/>
        <v>-0.23189222175279464</v>
      </c>
      <c r="AZ291" s="214">
        <f t="shared" si="639"/>
        <v>-17.162346397970339</v>
      </c>
      <c r="BA291" s="214">
        <f t="shared" si="639"/>
        <v>-0.2266606338741301</v>
      </c>
      <c r="BB291" s="214">
        <f t="shared" si="639"/>
        <v>8.5495140901048732</v>
      </c>
      <c r="BC291" s="214">
        <f t="shared" si="639"/>
        <v>2.5506149690841258</v>
      </c>
      <c r="BD291" s="214">
        <f t="shared" si="639"/>
        <v>10.038008709209189</v>
      </c>
      <c r="BE291" s="214">
        <f t="shared" si="609"/>
        <v>-4.6230723936534206</v>
      </c>
      <c r="BF291" s="214">
        <f t="shared" si="609"/>
        <v>2.5187411999999969</v>
      </c>
      <c r="BG291" s="214">
        <f t="shared" si="609"/>
        <v>17.821241136471293</v>
      </c>
    </row>
    <row r="292" spans="2:59" ht="13.5" customHeight="1" thickTop="1" thickBot="1">
      <c r="B292" s="136" t="str">
        <f t="shared" si="606"/>
        <v>Cash flow after financing activities</v>
      </c>
      <c r="C292" s="219">
        <f t="shared" ref="C292:L292" si="640">C96/C$191</f>
        <v>625.68604118993073</v>
      </c>
      <c r="D292" s="219">
        <f t="shared" si="640"/>
        <v>-2084.619192548862</v>
      </c>
      <c r="E292" s="219">
        <f t="shared" si="640"/>
        <v>1448.3336105658866</v>
      </c>
      <c r="F292" s="219">
        <f t="shared" si="640"/>
        <v>-49.503415225295406</v>
      </c>
      <c r="G292" s="219">
        <f t="shared" si="640"/>
        <v>31.258381150555646</v>
      </c>
      <c r="H292" s="219">
        <f t="shared" si="640"/>
        <v>-17.178745412225357</v>
      </c>
      <c r="I292" s="219">
        <f t="shared" si="640"/>
        <v>-205.52924632283037</v>
      </c>
      <c r="J292" s="219">
        <f t="shared" si="640"/>
        <v>-248.51650393594326</v>
      </c>
      <c r="K292" s="219">
        <f t="shared" si="640"/>
        <v>-15.723953911461715</v>
      </c>
      <c r="L292" s="219">
        <f t="shared" si="640"/>
        <v>496.36538592334716</v>
      </c>
      <c r="M292" s="202"/>
      <c r="N292" s="90"/>
      <c r="O292" s="90"/>
      <c r="P292" s="131"/>
      <c r="Q292" s="90"/>
      <c r="R292" s="90"/>
      <c r="S292" s="90"/>
      <c r="T292" s="90"/>
      <c r="U292" s="90"/>
      <c r="V292" s="90"/>
      <c r="W292" s="90"/>
      <c r="X292" s="90"/>
      <c r="Y292" s="90"/>
      <c r="Z292" s="90"/>
      <c r="AA292" s="90"/>
      <c r="AB292" s="90"/>
      <c r="AC292" s="219">
        <f t="shared" ref="AC292:BD292" si="641">AC96/AC$191</f>
        <v>28.297123523009436</v>
      </c>
      <c r="AD292" s="219">
        <f t="shared" si="641"/>
        <v>591.7577460908376</v>
      </c>
      <c r="AE292" s="219">
        <f t="shared" si="641"/>
        <v>644.98619807446278</v>
      </c>
      <c r="AF292" s="219">
        <f t="shared" si="641"/>
        <v>200.80420975115857</v>
      </c>
      <c r="AG292" s="219">
        <f t="shared" si="641"/>
        <v>416.89513159689074</v>
      </c>
      <c r="AH292" s="219">
        <f t="shared" si="641"/>
        <v>-397.38919298245588</v>
      </c>
      <c r="AI292" s="219">
        <f t="shared" si="641"/>
        <v>26.611617474785071</v>
      </c>
      <c r="AJ292" s="219">
        <f t="shared" si="641"/>
        <v>-101.68731221337862</v>
      </c>
      <c r="AK292" s="219">
        <f t="shared" si="641"/>
        <v>11.856238674264992</v>
      </c>
      <c r="AL292" s="219">
        <f t="shared" si="641"/>
        <v>435.12019512652751</v>
      </c>
      <c r="AM292" s="219">
        <f t="shared" si="641"/>
        <v>-148.85645473806193</v>
      </c>
      <c r="AN292" s="219">
        <f t="shared" si="641"/>
        <v>-170.99928267946811</v>
      </c>
      <c r="AO292" s="219">
        <f t="shared" si="641"/>
        <v>138.33620592753576</v>
      </c>
      <c r="AP292" s="219">
        <f t="shared" si="641"/>
        <v>242.16218064913303</v>
      </c>
      <c r="AQ292" s="219">
        <f t="shared" si="641"/>
        <v>-124.99271584785825</v>
      </c>
      <c r="AR292" s="219">
        <f t="shared" si="641"/>
        <v>-267.35517816211643</v>
      </c>
      <c r="AS292" s="219">
        <f t="shared" si="641"/>
        <v>-359.58351650140821</v>
      </c>
      <c r="AT292" s="219">
        <f t="shared" si="641"/>
        <v>53.694581280787894</v>
      </c>
      <c r="AU292" s="219">
        <f t="shared" si="641"/>
        <v>173.9604658883417</v>
      </c>
      <c r="AV292" s="219">
        <f t="shared" si="641"/>
        <v>-148.2876497432965</v>
      </c>
      <c r="AW292" s="219">
        <f t="shared" si="641"/>
        <v>130.51567535892198</v>
      </c>
      <c r="AX292" s="219">
        <f t="shared" si="641"/>
        <v>-294.44000713139599</v>
      </c>
      <c r="AY292" s="219">
        <f t="shared" si="641"/>
        <v>-11.648476740365192</v>
      </c>
      <c r="AZ292" s="219">
        <f t="shared" si="641"/>
        <v>-55.094666702781502</v>
      </c>
      <c r="BA292" s="219">
        <f t="shared" si="641"/>
        <v>-49.103555756648767</v>
      </c>
      <c r="BB292" s="219">
        <f t="shared" si="641"/>
        <v>-17.586284263699017</v>
      </c>
      <c r="BC292" s="219">
        <f t="shared" si="641"/>
        <v>-12.062992477510612</v>
      </c>
      <c r="BD292" s="219">
        <f t="shared" si="641"/>
        <v>49.187032955217774</v>
      </c>
      <c r="BE292" s="219">
        <f t="shared" si="609"/>
        <v>388.00971826577768</v>
      </c>
      <c r="BF292" s="219">
        <f t="shared" si="609"/>
        <v>-81.490236300000149</v>
      </c>
      <c r="BG292" s="219">
        <f t="shared" si="609"/>
        <v>147.30216753141639</v>
      </c>
    </row>
    <row r="293" spans="2:59" s="5" customFormat="1" ht="13.5" customHeight="1" thickTop="1" thickBot="1">
      <c r="B293" s="1" t="str">
        <f t="shared" si="606"/>
        <v xml:space="preserve">FX </v>
      </c>
      <c r="C293" s="216">
        <f t="shared" ref="C293:L293" si="642">C97/C$191</f>
        <v>90.472311212814631</v>
      </c>
      <c r="D293" s="216">
        <f t="shared" si="642"/>
        <v>159.87862564629091</v>
      </c>
      <c r="E293" s="216">
        <f t="shared" si="642"/>
        <v>220.9308360224891</v>
      </c>
      <c r="F293" s="216">
        <f t="shared" si="642"/>
        <v>118.46039440343726</v>
      </c>
      <c r="G293" s="216">
        <f t="shared" si="642"/>
        <v>409.23219202555856</v>
      </c>
      <c r="H293" s="216">
        <f t="shared" si="642"/>
        <v>52.682263257617585</v>
      </c>
      <c r="I293" s="216">
        <f t="shared" si="642"/>
        <v>-53.527168611353929</v>
      </c>
      <c r="J293" s="216">
        <f t="shared" si="642"/>
        <v>-12.162009977814566</v>
      </c>
      <c r="K293" s="216">
        <f t="shared" si="642"/>
        <v>3.4000606428138269</v>
      </c>
      <c r="L293" s="216">
        <f t="shared" si="642"/>
        <v>6.9377286809002143</v>
      </c>
      <c r="M293" s="196"/>
      <c r="N293" s="68"/>
      <c r="O293" s="68"/>
      <c r="P293" s="134"/>
      <c r="Q293" s="68"/>
      <c r="R293" s="68"/>
      <c r="S293" s="68"/>
      <c r="T293" s="68"/>
      <c r="U293" s="68"/>
      <c r="V293" s="68"/>
      <c r="W293" s="68"/>
      <c r="X293" s="68"/>
      <c r="Y293" s="68"/>
      <c r="Z293" s="68"/>
      <c r="AA293" s="68"/>
      <c r="AB293" s="68"/>
      <c r="AC293" s="216">
        <f t="shared" ref="AC293:BD293" si="643">AC97/AC$191</f>
        <v>22.903568248750084</v>
      </c>
      <c r="AD293" s="216">
        <f t="shared" si="643"/>
        <v>-42.030206013363021</v>
      </c>
      <c r="AE293" s="216">
        <f t="shared" si="643"/>
        <v>43.290917659732045</v>
      </c>
      <c r="AF293" s="216">
        <f t="shared" si="643"/>
        <v>180.84471173023226</v>
      </c>
      <c r="AG293" s="216">
        <f t="shared" si="643"/>
        <v>47.173326060275471</v>
      </c>
      <c r="AH293" s="216">
        <f t="shared" si="643"/>
        <v>-29.807719298245619</v>
      </c>
      <c r="AI293" s="216">
        <f t="shared" si="643"/>
        <v>27.94651275750736</v>
      </c>
      <c r="AJ293" s="216">
        <f t="shared" si="643"/>
        <v>69.981814348215693</v>
      </c>
      <c r="AK293" s="216">
        <f t="shared" si="643"/>
        <v>24.686293563043307</v>
      </c>
      <c r="AL293" s="216">
        <f t="shared" si="643"/>
        <v>0</v>
      </c>
      <c r="AM293" s="216">
        <f t="shared" si="643"/>
        <v>221.32734549010371</v>
      </c>
      <c r="AN293" s="216">
        <f t="shared" si="643"/>
        <v>116.01647997940003</v>
      </c>
      <c r="AO293" s="216">
        <f t="shared" si="643"/>
        <v>71.346622203904232</v>
      </c>
      <c r="AP293" s="216">
        <f t="shared" si="643"/>
        <v>23.635384247067268</v>
      </c>
      <c r="AQ293" s="216">
        <f t="shared" si="643"/>
        <v>-79.888543696136765</v>
      </c>
      <c r="AR293" s="216">
        <f t="shared" si="643"/>
        <v>40.686254080711286</v>
      </c>
      <c r="AS293" s="216">
        <f t="shared" si="643"/>
        <v>45.43740536316124</v>
      </c>
      <c r="AT293" s="216">
        <f t="shared" si="643"/>
        <v>-31.967674235578748</v>
      </c>
      <c r="AU293" s="216">
        <f t="shared" si="643"/>
        <v>26.703093011674881</v>
      </c>
      <c r="AV293" s="216">
        <f t="shared" si="643"/>
        <v>-96.303051911009703</v>
      </c>
      <c r="AW293" s="216">
        <f t="shared" si="643"/>
        <v>58.520230136110584</v>
      </c>
      <c r="AX293" s="216">
        <f t="shared" si="643"/>
        <v>-38.646342188149987</v>
      </c>
      <c r="AY293" s="216">
        <f t="shared" si="643"/>
        <v>6.3946392526874156</v>
      </c>
      <c r="AZ293" s="216">
        <f t="shared" si="643"/>
        <v>-24.986140830827853</v>
      </c>
      <c r="BA293" s="216">
        <f t="shared" si="643"/>
        <v>12.276660992968925</v>
      </c>
      <c r="BB293" s="216">
        <f t="shared" si="643"/>
        <v>-9.6293494704992426</v>
      </c>
      <c r="BC293" s="216">
        <f t="shared" si="643"/>
        <v>3.9461818344159467</v>
      </c>
      <c r="BD293" s="216">
        <f t="shared" si="643"/>
        <v>-1.9016181925702913</v>
      </c>
      <c r="BE293" s="216">
        <f t="shared" si="609"/>
        <v>22.33859032098923</v>
      </c>
      <c r="BF293" s="216">
        <f t="shared" si="609"/>
        <v>111.21996929999999</v>
      </c>
      <c r="BG293" s="216">
        <f t="shared" si="609"/>
        <v>-93.745304800945945</v>
      </c>
    </row>
    <row r="294" spans="2:59" s="5" customFormat="1" ht="13.5" customHeight="1" thickTop="1">
      <c r="B294" s="1" t="str">
        <f t="shared" si="606"/>
        <v>Balancing figure</v>
      </c>
      <c r="C294" s="216">
        <f t="shared" ref="C294:L294" si="644">C98/C$191</f>
        <v>-302.67414187642959</v>
      </c>
      <c r="D294" s="216">
        <f t="shared" si="644"/>
        <v>-316.86590150709509</v>
      </c>
      <c r="E294" s="216">
        <f t="shared" si="644"/>
        <v>-626.79596792973769</v>
      </c>
      <c r="F294" s="216">
        <f t="shared" si="644"/>
        <v>-438.02688112812535</v>
      </c>
      <c r="G294" s="216">
        <f t="shared" si="644"/>
        <v>128.46207200958477</v>
      </c>
      <c r="H294" s="216">
        <f t="shared" si="644"/>
        <v>462.59971645238579</v>
      </c>
      <c r="I294" s="216">
        <f t="shared" si="644"/>
        <v>464.52687722498791</v>
      </c>
      <c r="J294" s="216">
        <f t="shared" si="644"/>
        <v>1021.8895908645557</v>
      </c>
      <c r="K294" s="216">
        <f t="shared" si="644"/>
        <v>456.24050939963644</v>
      </c>
      <c r="L294" s="216">
        <f t="shared" si="644"/>
        <v>189.95855838960873</v>
      </c>
      <c r="M294" s="196"/>
      <c r="N294" s="68"/>
      <c r="O294" s="68"/>
      <c r="P294" s="134"/>
      <c r="Q294" s="68"/>
      <c r="R294" s="68"/>
      <c r="S294" s="68"/>
      <c r="T294" s="68"/>
      <c r="U294" s="68"/>
      <c r="V294" s="68"/>
      <c r="W294" s="68"/>
      <c r="X294" s="68"/>
      <c r="Y294" s="68"/>
      <c r="Z294" s="68"/>
      <c r="AA294" s="68"/>
      <c r="AB294" s="68"/>
      <c r="AC294" s="216">
        <f t="shared" ref="AC294:BD294" si="645">AC98/AC$191</f>
        <v>-186.9776933469941</v>
      </c>
      <c r="AD294" s="216">
        <f t="shared" si="645"/>
        <v>-115.73672715987998</v>
      </c>
      <c r="AE294" s="216">
        <f t="shared" si="645"/>
        <v>-56.48926142866727</v>
      </c>
      <c r="AF294" s="216">
        <f t="shared" si="645"/>
        <v>-257.02975690266521</v>
      </c>
      <c r="AG294" s="216">
        <f t="shared" si="645"/>
        <v>-355.47333969725889</v>
      </c>
      <c r="AH294" s="216">
        <f t="shared" si="645"/>
        <v>18.495999999999761</v>
      </c>
      <c r="AI294" s="216">
        <f t="shared" si="645"/>
        <v>-79.719134832423862</v>
      </c>
      <c r="AJ294" s="216">
        <f t="shared" si="645"/>
        <v>-19.484476305939715</v>
      </c>
      <c r="AK294" s="216">
        <f t="shared" si="645"/>
        <v>-68.761194421829131</v>
      </c>
      <c r="AL294" s="216">
        <f t="shared" si="645"/>
        <v>149.13342245362219</v>
      </c>
      <c r="AM294" s="216">
        <f t="shared" si="645"/>
        <v>229.63837531463327</v>
      </c>
      <c r="AN294" s="216">
        <f t="shared" si="645"/>
        <v>-189.63306295867108</v>
      </c>
      <c r="AO294" s="216">
        <f t="shared" si="645"/>
        <v>65.526434111431641</v>
      </c>
      <c r="AP294" s="216">
        <f t="shared" si="645"/>
        <v>41.75074386948932</v>
      </c>
      <c r="AQ294" s="216">
        <f t="shared" si="645"/>
        <v>255.54560932371535</v>
      </c>
      <c r="AR294" s="216">
        <f t="shared" si="645"/>
        <v>98.748697645341551</v>
      </c>
      <c r="AS294" s="216">
        <f t="shared" si="645"/>
        <v>147.00727787818084</v>
      </c>
      <c r="AT294" s="216">
        <f t="shared" si="645"/>
        <v>228.50365814556827</v>
      </c>
      <c r="AU294" s="216">
        <f t="shared" si="645"/>
        <v>158.27380623028827</v>
      </c>
      <c r="AV294" s="216">
        <f t="shared" si="645"/>
        <v>7.3727895037073266</v>
      </c>
      <c r="AW294" s="216">
        <f t="shared" si="645"/>
        <v>18.750366246703564</v>
      </c>
      <c r="AX294" s="216">
        <f t="shared" si="645"/>
        <v>215.70559220300709</v>
      </c>
      <c r="AY294" s="216">
        <f t="shared" si="645"/>
        <v>-8.3232408580951542</v>
      </c>
      <c r="AZ294" s="216">
        <f t="shared" si="645"/>
        <v>649.11192972001743</v>
      </c>
      <c r="BA294" s="216">
        <f t="shared" si="645"/>
        <v>48.983115362793598</v>
      </c>
      <c r="BB294" s="216">
        <f t="shared" si="645"/>
        <v>228.85920151798757</v>
      </c>
      <c r="BC294" s="216">
        <f t="shared" si="645"/>
        <v>141.41705171990441</v>
      </c>
      <c r="BD294" s="216">
        <f t="shared" si="645"/>
        <v>39.628030751035148</v>
      </c>
      <c r="BE294" s="216">
        <f t="shared" si="609"/>
        <v>-338.56178154059984</v>
      </c>
      <c r="BF294" s="216">
        <f t="shared" si="609"/>
        <v>345.13668900000016</v>
      </c>
      <c r="BG294" s="216">
        <f t="shared" si="609"/>
        <v>97.355768334122828</v>
      </c>
    </row>
    <row r="295" spans="2:59" s="5" customFormat="1" ht="13.5" customHeight="1" thickBot="1">
      <c r="B295" s="76" t="str">
        <f t="shared" si="606"/>
        <v xml:space="preserve">Net change in cash </v>
      </c>
      <c r="C295" s="218">
        <f t="shared" ref="C295:L295" si="646">C99/C$191</f>
        <v>413.48421052631579</v>
      </c>
      <c r="D295" s="218">
        <f t="shared" si="646"/>
        <v>-2241.6064684096659</v>
      </c>
      <c r="E295" s="218">
        <f t="shared" si="646"/>
        <v>1042.4684786586379</v>
      </c>
      <c r="F295" s="218">
        <f t="shared" si="646"/>
        <v>-369.06990194998349</v>
      </c>
      <c r="G295" s="218">
        <f t="shared" si="646"/>
        <v>568.952645185699</v>
      </c>
      <c r="H295" s="218">
        <f t="shared" si="646"/>
        <v>498.10323429777799</v>
      </c>
      <c r="I295" s="218">
        <f t="shared" si="646"/>
        <v>205.47046229080362</v>
      </c>
      <c r="J295" s="218">
        <f t="shared" si="646"/>
        <v>761.21107695079786</v>
      </c>
      <c r="K295" s="218">
        <f t="shared" si="646"/>
        <v>443.91661613098859</v>
      </c>
      <c r="L295" s="218">
        <f t="shared" si="646"/>
        <v>693.26167299385611</v>
      </c>
      <c r="M295" s="202"/>
      <c r="N295" s="90"/>
      <c r="O295" s="90"/>
      <c r="P295" s="131"/>
      <c r="Q295" s="90"/>
      <c r="R295" s="90"/>
      <c r="S295" s="90"/>
      <c r="T295" s="90"/>
      <c r="U295" s="90"/>
      <c r="V295" s="90"/>
      <c r="W295" s="90"/>
      <c r="X295" s="90"/>
      <c r="Y295" s="90"/>
      <c r="Z295" s="90"/>
      <c r="AA295" s="90"/>
      <c r="AB295" s="90"/>
      <c r="AC295" s="218">
        <f t="shared" ref="AC295:BD295" si="647">AC99/AC$191</f>
        <v>-135.77700157523458</v>
      </c>
      <c r="AD295" s="218">
        <f t="shared" si="647"/>
        <v>433.99081291759461</v>
      </c>
      <c r="AE295" s="218">
        <f t="shared" si="647"/>
        <v>631.7878543055275</v>
      </c>
      <c r="AF295" s="218">
        <f t="shared" si="647"/>
        <v>124.61916457872557</v>
      </c>
      <c r="AG295" s="218">
        <f t="shared" si="647"/>
        <v>108.59511795990726</v>
      </c>
      <c r="AH295" s="218">
        <f t="shared" si="647"/>
        <v>-408.7009122807018</v>
      </c>
      <c r="AI295" s="218">
        <f t="shared" si="647"/>
        <v>-25.161004600131427</v>
      </c>
      <c r="AJ295" s="218">
        <f t="shared" si="647"/>
        <v>-51.189974171102641</v>
      </c>
      <c r="AK295" s="218">
        <f t="shared" si="647"/>
        <v>-32.218662184520838</v>
      </c>
      <c r="AL295" s="218">
        <f t="shared" si="647"/>
        <v>584.25361758014969</v>
      </c>
      <c r="AM295" s="218">
        <f t="shared" si="647"/>
        <v>302.10926606667505</v>
      </c>
      <c r="AN295" s="218">
        <f t="shared" si="647"/>
        <v>-244.61586565873915</v>
      </c>
      <c r="AO295" s="218">
        <f t="shared" si="647"/>
        <v>275.20926224287166</v>
      </c>
      <c r="AP295" s="218">
        <f t="shared" si="647"/>
        <v>307.54830876568963</v>
      </c>
      <c r="AQ295" s="218">
        <f t="shared" si="647"/>
        <v>50.664349779720354</v>
      </c>
      <c r="AR295" s="218">
        <f t="shared" si="647"/>
        <v>-127.92022643606361</v>
      </c>
      <c r="AS295" s="218">
        <f t="shared" si="647"/>
        <v>-167.13883326006609</v>
      </c>
      <c r="AT295" s="218">
        <f t="shared" si="647"/>
        <v>250.23056519077741</v>
      </c>
      <c r="AU295" s="218">
        <f t="shared" si="647"/>
        <v>358.9373651303049</v>
      </c>
      <c r="AV295" s="218">
        <f t="shared" si="647"/>
        <v>-237.21791215059886</v>
      </c>
      <c r="AW295" s="218">
        <f t="shared" si="647"/>
        <v>207.78627174173613</v>
      </c>
      <c r="AX295" s="218">
        <f t="shared" si="647"/>
        <v>-117.38075711653885</v>
      </c>
      <c r="AY295" s="218">
        <f t="shared" si="647"/>
        <v>-13.57707834577293</v>
      </c>
      <c r="AZ295" s="218">
        <f t="shared" si="647"/>
        <v>569.03112218640808</v>
      </c>
      <c r="BA295" s="218">
        <f t="shared" si="647"/>
        <v>12.15622059911375</v>
      </c>
      <c r="BB295" s="218">
        <f t="shared" si="647"/>
        <v>201.64356778378934</v>
      </c>
      <c r="BC295" s="218">
        <f t="shared" si="647"/>
        <v>133.30024107680975</v>
      </c>
      <c r="BD295" s="218">
        <f t="shared" si="647"/>
        <v>86.913445513682632</v>
      </c>
      <c r="BE295" s="218">
        <f t="shared" si="609"/>
        <v>71.78652704616708</v>
      </c>
      <c r="BF295" s="218">
        <f t="shared" si="609"/>
        <v>374.866422</v>
      </c>
      <c r="BG295" s="218">
        <f t="shared" si="609"/>
        <v>150.91263106459326</v>
      </c>
    </row>
    <row r="296" spans="2:59" ht="13.5" customHeight="1" thickTop="1">
      <c r="B296" s="225" t="s">
        <v>544</v>
      </c>
      <c r="C296" s="274">
        <f t="shared" ref="C296:L296" si="648">C229/C190</f>
        <v>3894.8988744663411</v>
      </c>
      <c r="D296" s="274">
        <f t="shared" si="648"/>
        <v>1003.8505984316962</v>
      </c>
      <c r="E296" s="274">
        <f t="shared" si="648"/>
        <v>1719.8090475107979</v>
      </c>
      <c r="F296" s="274">
        <f t="shared" si="648"/>
        <v>1249.3260690898485</v>
      </c>
      <c r="G296" s="274">
        <f t="shared" si="648"/>
        <v>1410.2604117166263</v>
      </c>
      <c r="H296" s="274">
        <f>H229/H190</f>
        <v>1723.6313592134945</v>
      </c>
      <c r="I296" s="274">
        <f>I229/I190</f>
        <v>1615.7693617600983</v>
      </c>
      <c r="J296" s="274">
        <f>J229/J190</f>
        <v>1396.9450821516994</v>
      </c>
      <c r="K296" s="274">
        <f>K229/K190</f>
        <v>1387.2954225785231</v>
      </c>
      <c r="L296" s="274">
        <f t="shared" si="648"/>
        <v>1424.94025270824</v>
      </c>
      <c r="M296" s="274"/>
      <c r="N296" s="274"/>
      <c r="O296" s="274"/>
      <c r="P296" s="261"/>
      <c r="Q296" s="274"/>
      <c r="R296" s="274"/>
      <c r="S296" s="274"/>
      <c r="T296" s="274"/>
      <c r="U296" s="274"/>
      <c r="V296" s="274"/>
      <c r="W296" s="274"/>
      <c r="X296" s="274"/>
      <c r="Y296" s="274"/>
      <c r="Z296" s="274"/>
      <c r="AA296" s="274"/>
      <c r="AB296" s="274"/>
      <c r="AC296" s="274">
        <f t="shared" ref="AC296:AO296" si="649">AC229/AC190</f>
        <v>890.24211195030693</v>
      </c>
      <c r="AD296" s="274">
        <f t="shared" si="649"/>
        <v>1302.6734863146253</v>
      </c>
      <c r="AE296" s="274">
        <f t="shared" si="649"/>
        <v>1884.6440134850964</v>
      </c>
      <c r="AF296" s="274">
        <f t="shared" si="649"/>
        <v>1719.8090475107979</v>
      </c>
      <c r="AG296" s="274">
        <f t="shared" si="649"/>
        <v>1772.7972297037322</v>
      </c>
      <c r="AH296" s="274">
        <f t="shared" si="649"/>
        <v>1424.1165065153548</v>
      </c>
      <c r="AI296" s="274">
        <f t="shared" si="649"/>
        <v>1381.2837476422399</v>
      </c>
      <c r="AJ296" s="274">
        <f t="shared" si="649"/>
        <v>1249.3260690898485</v>
      </c>
      <c r="AK296" s="274">
        <f t="shared" si="649"/>
        <v>1162.2613892476386</v>
      </c>
      <c r="AL296" s="274">
        <f t="shared" si="649"/>
        <v>1552.5803056548339</v>
      </c>
      <c r="AM296" s="274">
        <f t="shared" si="649"/>
        <v>1460.5841207305268</v>
      </c>
      <c r="AN296" s="274">
        <f t="shared" si="649"/>
        <v>1410.2604117166263</v>
      </c>
      <c r="AO296" s="274">
        <f t="shared" si="649"/>
        <v>1579.1789851467558</v>
      </c>
      <c r="AP296" s="274">
        <f t="shared" ref="AP296:AU296" si="650">AP229/AP190</f>
        <v>1856.9150840124412</v>
      </c>
      <c r="AQ296" s="274">
        <f t="shared" si="650"/>
        <v>1939.4218161898536</v>
      </c>
      <c r="AR296" s="274">
        <f t="shared" si="650"/>
        <v>1723.6313592134945</v>
      </c>
      <c r="AS296" s="274">
        <f t="shared" si="650"/>
        <v>1413.7760896255372</v>
      </c>
      <c r="AT296" s="274">
        <f t="shared" si="650"/>
        <v>1594.8134366472589</v>
      </c>
      <c r="AU296" s="274">
        <f t="shared" si="650"/>
        <v>1752.7803050922146</v>
      </c>
      <c r="AV296" s="274">
        <f t="shared" ref="AV296:BA296" si="651">AV229/AV190</f>
        <v>1615.7693617600983</v>
      </c>
      <c r="AW296" s="274">
        <f t="shared" si="651"/>
        <v>1611.9071582993033</v>
      </c>
      <c r="AX296" s="274">
        <f t="shared" si="651"/>
        <v>1428.2447272894365</v>
      </c>
      <c r="AY296" s="274">
        <f t="shared" si="651"/>
        <v>1392.8582090396119</v>
      </c>
      <c r="AZ296" s="274">
        <f t="shared" si="651"/>
        <v>1396.9450821516994</v>
      </c>
      <c r="BA296" s="274">
        <f t="shared" si="651"/>
        <v>1282.5090953768865</v>
      </c>
      <c r="BB296" s="274">
        <f t="shared" ref="BB296:BG296" si="652">BB229/BB190</f>
        <v>1318.4447730332756</v>
      </c>
      <c r="BC296" s="274">
        <f t="shared" si="652"/>
        <v>1315.0550115970395</v>
      </c>
      <c r="BD296" s="274">
        <f t="shared" si="652"/>
        <v>1387.2954225785231</v>
      </c>
      <c r="BE296" s="274">
        <f t="shared" si="652"/>
        <v>1423.0613734599281</v>
      </c>
      <c r="BF296" s="274">
        <f t="shared" si="652"/>
        <v>1342.4371583999998</v>
      </c>
      <c r="BG296" s="274">
        <f t="shared" si="652"/>
        <v>1424.94025270824</v>
      </c>
    </row>
    <row r="297" spans="2:59" ht="13.5" customHeight="1">
      <c r="B297" s="225"/>
      <c r="C297" s="52"/>
      <c r="D297" s="52"/>
      <c r="E297" s="52"/>
      <c r="F297" s="52"/>
      <c r="G297" s="52"/>
      <c r="H297" s="52"/>
      <c r="I297" s="52"/>
      <c r="J297" s="52"/>
      <c r="K297" s="52"/>
      <c r="L297" s="52"/>
      <c r="M297" s="52"/>
      <c r="N297" s="52"/>
      <c r="O297" s="52"/>
      <c r="P297" s="26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row>
    <row r="298" spans="2:59" ht="13.5" customHeight="1">
      <c r="B298" s="225" t="s">
        <v>545</v>
      </c>
      <c r="C298" s="274">
        <f t="shared" ref="C298:L298" si="653">C231/C190</f>
        <v>-2217.4285221441196</v>
      </c>
      <c r="D298" s="274">
        <f t="shared" si="653"/>
        <v>511.36194799834925</v>
      </c>
      <c r="E298" s="274">
        <f t="shared" si="653"/>
        <v>1128.4729483973633</v>
      </c>
      <c r="F298" s="274">
        <f t="shared" si="653"/>
        <v>2151.1853442562106</v>
      </c>
      <c r="G298" s="274">
        <f t="shared" si="653"/>
        <v>2152.1697808359786</v>
      </c>
      <c r="H298" s="274">
        <f>H231/H190</f>
        <v>1436.6447257668096</v>
      </c>
      <c r="I298" s="274">
        <f>I231/I190</f>
        <v>1039.0274504461549</v>
      </c>
      <c r="J298" s="274">
        <f>J231/J190</f>
        <v>1144.3009227999096</v>
      </c>
      <c r="K298" s="274">
        <f>K231/K190</f>
        <v>1329.4819849932883</v>
      </c>
      <c r="L298" s="274">
        <f t="shared" si="653"/>
        <v>1468.421649864451</v>
      </c>
      <c r="M298" s="274"/>
      <c r="N298" s="274"/>
      <c r="O298" s="274"/>
      <c r="P298" s="261"/>
      <c r="Q298" s="274"/>
      <c r="R298" s="274"/>
      <c r="S298" s="274"/>
      <c r="T298" s="274"/>
      <c r="U298" s="274"/>
      <c r="V298" s="274"/>
      <c r="W298" s="274"/>
      <c r="X298" s="274"/>
      <c r="Y298" s="274"/>
      <c r="Z298" s="274"/>
      <c r="AA298" s="274"/>
      <c r="AB298" s="274"/>
      <c r="AC298" s="274">
        <f t="shared" ref="AC298:AO298" si="654">AC231/AC190</f>
        <v>618.15627867579565</v>
      </c>
      <c r="AD298" s="274">
        <f t="shared" si="654"/>
        <v>1319.788153165606</v>
      </c>
      <c r="AE298" s="274">
        <f t="shared" si="654"/>
        <v>926.99589438899829</v>
      </c>
      <c r="AF298" s="274">
        <f t="shared" si="654"/>
        <v>1128.4729483973633</v>
      </c>
      <c r="AG298" s="274">
        <f t="shared" si="654"/>
        <v>1255.9215082724129</v>
      </c>
      <c r="AH298" s="274">
        <f t="shared" si="654"/>
        <v>1851.4279604231413</v>
      </c>
      <c r="AI298" s="274">
        <f t="shared" si="654"/>
        <v>2041.2615072773854</v>
      </c>
      <c r="AJ298" s="274">
        <f t="shared" si="654"/>
        <v>2151.1853442562106</v>
      </c>
      <c r="AK298" s="274">
        <f t="shared" si="654"/>
        <v>2669.2995517739114</v>
      </c>
      <c r="AL298" s="274">
        <f t="shared" si="654"/>
        <v>2479.3941719472896</v>
      </c>
      <c r="AM298" s="274">
        <f t="shared" si="654"/>
        <v>2388.2185903642617</v>
      </c>
      <c r="AN298" s="274">
        <f t="shared" si="654"/>
        <v>2152.1697808359786</v>
      </c>
      <c r="AO298" s="274">
        <f t="shared" si="654"/>
        <v>2233.1206026579484</v>
      </c>
      <c r="AP298" s="274">
        <f t="shared" ref="AP298:AU298" si="655">AP231/AP190</f>
        <v>1702.5620753766227</v>
      </c>
      <c r="AQ298" s="274">
        <f t="shared" si="655"/>
        <v>1441.1846406672446</v>
      </c>
      <c r="AR298" s="274">
        <f t="shared" si="655"/>
        <v>1436.6447257668096</v>
      </c>
      <c r="AS298" s="274">
        <f t="shared" si="655"/>
        <v>1351.38474524248</v>
      </c>
      <c r="AT298" s="274">
        <f t="shared" si="655"/>
        <v>1074.1993900392533</v>
      </c>
      <c r="AU298" s="274">
        <f t="shared" si="655"/>
        <v>939.89903702839706</v>
      </c>
      <c r="AV298" s="274">
        <f t="shared" ref="AV298:BA298" si="656">AV231/AV190</f>
        <v>1039.0274504461549</v>
      </c>
      <c r="AW298" s="274">
        <f t="shared" si="656"/>
        <v>1108.2494595243811</v>
      </c>
      <c r="AX298" s="274">
        <f t="shared" si="656"/>
        <v>1088.121467628544</v>
      </c>
      <c r="AY298" s="274">
        <f t="shared" si="656"/>
        <v>1168.2308640439655</v>
      </c>
      <c r="AZ298" s="274">
        <f t="shared" si="656"/>
        <v>1144.3009227999096</v>
      </c>
      <c r="BA298" s="274">
        <f t="shared" si="656"/>
        <v>1302.5389241175949</v>
      </c>
      <c r="BB298" s="274">
        <f t="shared" ref="BB298:BG298" si="657">BB231/BB190</f>
        <v>1388.6604996153108</v>
      </c>
      <c r="BC298" s="274">
        <f t="shared" si="657"/>
        <v>1324.0865371618884</v>
      </c>
      <c r="BD298" s="274">
        <f t="shared" si="657"/>
        <v>1329.4819849932883</v>
      </c>
      <c r="BE298" s="274">
        <f t="shared" si="657"/>
        <v>1449.5636441371689</v>
      </c>
      <c r="BF298" s="274">
        <f t="shared" si="657"/>
        <v>1470.7988351999998</v>
      </c>
      <c r="BG298" s="274">
        <f t="shared" si="657"/>
        <v>1468.421649864451</v>
      </c>
    </row>
    <row r="299" spans="2:59" ht="13.5" customHeight="1">
      <c r="B299" s="225" t="s">
        <v>546</v>
      </c>
      <c r="C299" s="274">
        <f t="shared" ref="C299:L299" si="658">C232/C190</f>
        <v>1577.0736124886801</v>
      </c>
      <c r="D299" s="274">
        <f t="shared" si="658"/>
        <v>1434.9986242949512</v>
      </c>
      <c r="E299" s="274">
        <f t="shared" si="658"/>
        <v>2765.699022505115</v>
      </c>
      <c r="F299" s="274">
        <f t="shared" si="658"/>
        <v>3291.0281290596249</v>
      </c>
      <c r="G299" s="274">
        <f t="shared" si="658"/>
        <v>3562.4301925526047</v>
      </c>
      <c r="H299" s="274">
        <f>H232/H190</f>
        <v>3160.2760849803039</v>
      </c>
      <c r="I299" s="274">
        <f>I232/I190</f>
        <v>2654.796812206253</v>
      </c>
      <c r="J299" s="274">
        <f>J232/J190</f>
        <v>2541.2460049516089</v>
      </c>
      <c r="K299" s="274">
        <f>K232/K190</f>
        <v>2716.7774075718112</v>
      </c>
      <c r="L299" s="274">
        <f t="shared" si="658"/>
        <v>2893.3619025726912</v>
      </c>
      <c r="M299" s="274"/>
      <c r="N299" s="274"/>
      <c r="O299" s="274"/>
      <c r="P299" s="261"/>
      <c r="Q299" s="274"/>
      <c r="R299" s="274"/>
      <c r="S299" s="274"/>
      <c r="T299" s="274"/>
      <c r="U299" s="274"/>
      <c r="V299" s="274"/>
      <c r="W299" s="274"/>
      <c r="X299" s="274"/>
      <c r="Y299" s="274"/>
      <c r="Z299" s="274"/>
      <c r="AA299" s="274"/>
      <c r="AB299" s="274"/>
      <c r="AC299" s="274">
        <f t="shared" ref="AC299:AO299" si="659">AC232/AC190</f>
        <v>1408.4248605915152</v>
      </c>
      <c r="AD299" s="274">
        <f t="shared" si="659"/>
        <v>2524.4843793198775</v>
      </c>
      <c r="AE299" s="274">
        <f t="shared" si="659"/>
        <v>2716.2431990386863</v>
      </c>
      <c r="AF299" s="274">
        <f t="shared" si="659"/>
        <v>2765.699022505115</v>
      </c>
      <c r="AG299" s="274">
        <f t="shared" si="659"/>
        <v>2935.2407519375588</v>
      </c>
      <c r="AH299" s="274">
        <f t="shared" si="659"/>
        <v>3178.1739899061899</v>
      </c>
      <c r="AI299" s="274">
        <f t="shared" si="659"/>
        <v>3325.7112693899385</v>
      </c>
      <c r="AJ299" s="274">
        <f t="shared" si="659"/>
        <v>3291.0281290596249</v>
      </c>
      <c r="AK299" s="274">
        <f t="shared" si="659"/>
        <v>3514.4678264833242</v>
      </c>
      <c r="AL299" s="274">
        <f t="shared" si="659"/>
        <v>3766.9708597364443</v>
      </c>
      <c r="AM299" s="274">
        <f t="shared" si="659"/>
        <v>3638.6372742145509</v>
      </c>
      <c r="AN299" s="274">
        <f t="shared" si="659"/>
        <v>3562.4301925526047</v>
      </c>
      <c r="AO299" s="274">
        <f t="shared" si="659"/>
        <v>3812.2995878047041</v>
      </c>
      <c r="AP299" s="274">
        <f t="shared" ref="AP299:AU299" si="660">AP232/AP190</f>
        <v>3559.4771593890641</v>
      </c>
      <c r="AQ299" s="274">
        <f t="shared" si="660"/>
        <v>3380.6064568570982</v>
      </c>
      <c r="AR299" s="274">
        <f t="shared" si="660"/>
        <v>3160.2760849803039</v>
      </c>
      <c r="AS299" s="274">
        <f t="shared" si="660"/>
        <v>2765.1608348680174</v>
      </c>
      <c r="AT299" s="274">
        <f t="shared" si="660"/>
        <v>2669.0128266865122</v>
      </c>
      <c r="AU299" s="274">
        <f t="shared" si="660"/>
        <v>2692.6793421206116</v>
      </c>
      <c r="AV299" s="274">
        <f t="shared" ref="AV299:BA299" si="661">AV232/AV190</f>
        <v>2654.796812206253</v>
      </c>
      <c r="AW299" s="274">
        <f t="shared" si="661"/>
        <v>2720.1566178236844</v>
      </c>
      <c r="AX299" s="274">
        <f t="shared" si="661"/>
        <v>2516.3661949179805</v>
      </c>
      <c r="AY299" s="274">
        <f t="shared" si="661"/>
        <v>2561.0890730835777</v>
      </c>
      <c r="AZ299" s="274">
        <f t="shared" si="661"/>
        <v>2541.2460049516089</v>
      </c>
      <c r="BA299" s="274">
        <f t="shared" si="661"/>
        <v>2585.0480194944812</v>
      </c>
      <c r="BB299" s="274">
        <f t="shared" ref="BB299:BG299" si="662">BB232/BB190</f>
        <v>2707.1052726485864</v>
      </c>
      <c r="BC299" s="274">
        <f t="shared" si="662"/>
        <v>2639.1415487589279</v>
      </c>
      <c r="BD299" s="274">
        <f t="shared" si="662"/>
        <v>2716.7774075718112</v>
      </c>
      <c r="BE299" s="274">
        <f t="shared" si="662"/>
        <v>2872.6250175970968</v>
      </c>
      <c r="BF299" s="274">
        <f t="shared" si="662"/>
        <v>2813.2359935999993</v>
      </c>
      <c r="BG299" s="274">
        <f t="shared" si="662"/>
        <v>2893.3619025726912</v>
      </c>
    </row>
    <row r="300" spans="2:59" ht="13.5" customHeight="1">
      <c r="C300" s="52"/>
      <c r="D300" s="52"/>
      <c r="E300" s="52"/>
      <c r="F300" s="52"/>
      <c r="G300" s="52"/>
      <c r="H300" s="52"/>
      <c r="I300" s="52"/>
      <c r="J300" s="52"/>
      <c r="K300" s="52"/>
      <c r="L300" s="52"/>
      <c r="M300" s="52"/>
      <c r="N300" s="52"/>
      <c r="O300" s="52"/>
      <c r="P300" s="135"/>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74"/>
      <c r="AY300" s="74"/>
      <c r="AZ300" s="74"/>
      <c r="BA300" s="74"/>
      <c r="BB300" s="74"/>
      <c r="BC300" s="74"/>
      <c r="BD300" s="74"/>
      <c r="BE300" s="74"/>
      <c r="BF300" s="74"/>
      <c r="BG300" s="74"/>
    </row>
    <row r="301" spans="2:59" ht="13.5" customHeight="1">
      <c r="B301" s="224" t="s">
        <v>515</v>
      </c>
      <c r="C301" s="274">
        <f t="shared" ref="C301:L302" si="663">C234/C$190</f>
        <v>-2299.9642071671906</v>
      </c>
      <c r="D301" s="274">
        <f t="shared" si="663"/>
        <v>445.53721282157113</v>
      </c>
      <c r="E301" s="274">
        <f t="shared" si="663"/>
        <v>1059.561832234599</v>
      </c>
      <c r="F301" s="274">
        <f t="shared" si="663"/>
        <v>2074.2373869932926</v>
      </c>
      <c r="G301" s="274">
        <f t="shared" si="663"/>
        <v>2152.1697808359786</v>
      </c>
      <c r="H301" s="274">
        <f t="shared" ref="H301:J302" si="664">H234/H$190</f>
        <v>1436.6447257668096</v>
      </c>
      <c r="I301" s="274">
        <f t="shared" si="664"/>
        <v>1039.0274504461549</v>
      </c>
      <c r="J301" s="274">
        <f t="shared" si="664"/>
        <v>1144.3009227999096</v>
      </c>
      <c r="K301" s="274">
        <f>K234/K$190</f>
        <v>1329.4819849932883</v>
      </c>
      <c r="L301" s="274">
        <f t="shared" si="663"/>
        <v>1468.421649864451</v>
      </c>
      <c r="M301" s="274"/>
      <c r="N301" s="52"/>
      <c r="O301" s="52"/>
      <c r="P301" s="135"/>
      <c r="Q301" s="74"/>
      <c r="R301" s="74"/>
      <c r="S301" s="74"/>
      <c r="T301" s="74"/>
      <c r="U301" s="74"/>
      <c r="V301" s="74"/>
      <c r="W301" s="74"/>
      <c r="X301" s="74"/>
      <c r="Y301" s="74"/>
      <c r="Z301" s="74"/>
      <c r="AA301" s="74"/>
      <c r="AB301" s="74"/>
      <c r="AC301" s="274">
        <f t="shared" ref="AC301:AO301" si="665">AC234/AC$190</f>
        <v>532.56582198065905</v>
      </c>
      <c r="AD301" s="274">
        <f t="shared" si="665"/>
        <v>1235.9783660492112</v>
      </c>
      <c r="AE301" s="274">
        <f t="shared" si="665"/>
        <v>846.04793217397105</v>
      </c>
      <c r="AF301" s="274">
        <f t="shared" si="665"/>
        <v>1059.561832234599</v>
      </c>
      <c r="AG301" s="274">
        <f t="shared" si="665"/>
        <v>1176.1545649425607</v>
      </c>
      <c r="AH301" s="274">
        <f t="shared" si="665"/>
        <v>1768.6701263151888</v>
      </c>
      <c r="AI301" s="274">
        <f t="shared" si="665"/>
        <v>1959.5520959432451</v>
      </c>
      <c r="AJ301" s="274">
        <f t="shared" si="665"/>
        <v>2074.2373869932926</v>
      </c>
      <c r="AK301" s="274">
        <f t="shared" si="665"/>
        <v>2669.2995517739114</v>
      </c>
      <c r="AL301" s="274">
        <f t="shared" si="665"/>
        <v>2479.3941719472896</v>
      </c>
      <c r="AM301" s="274">
        <f t="shared" si="665"/>
        <v>2388.2185903642617</v>
      </c>
      <c r="AN301" s="274">
        <f t="shared" si="665"/>
        <v>2152.1697808359786</v>
      </c>
      <c r="AO301" s="274">
        <f t="shared" si="665"/>
        <v>2233.1206026579484</v>
      </c>
      <c r="AP301" s="274">
        <f t="shared" ref="AP301:AS302" si="666">AP234/AP$190</f>
        <v>1702.5620753766227</v>
      </c>
      <c r="AQ301" s="274">
        <f t="shared" si="666"/>
        <v>1441.1846406672446</v>
      </c>
      <c r="AR301" s="274">
        <f t="shared" si="666"/>
        <v>1436.6447257668096</v>
      </c>
      <c r="AS301" s="274">
        <f t="shared" si="666"/>
        <v>1351.38474524248</v>
      </c>
      <c r="AT301" s="274">
        <f t="shared" ref="AT301:AW302" si="667">AT234/AT$190</f>
        <v>1074.1993900392533</v>
      </c>
      <c r="AU301" s="274">
        <f t="shared" si="667"/>
        <v>939.89903702839706</v>
      </c>
      <c r="AV301" s="274">
        <f t="shared" si="667"/>
        <v>1039.0274504461549</v>
      </c>
      <c r="AW301" s="274">
        <f t="shared" si="667"/>
        <v>1108.2494595243811</v>
      </c>
      <c r="AX301" s="274">
        <f t="shared" ref="AX301:BA302" si="668">AX234/AX$190</f>
        <v>1088.121467628544</v>
      </c>
      <c r="AY301" s="274">
        <f t="shared" si="668"/>
        <v>1168.2308640439655</v>
      </c>
      <c r="AZ301" s="274">
        <f t="shared" si="668"/>
        <v>1144.3009227999096</v>
      </c>
      <c r="BA301" s="274">
        <f t="shared" si="668"/>
        <v>1302.5389241175949</v>
      </c>
      <c r="BB301" s="274">
        <f t="shared" ref="BB301:BE302" si="669">BB234/BB$190</f>
        <v>1388.6604996153108</v>
      </c>
      <c r="BC301" s="274">
        <f t="shared" si="669"/>
        <v>1324.0865371618884</v>
      </c>
      <c r="BD301" s="274">
        <f t="shared" si="669"/>
        <v>1329.4819849932883</v>
      </c>
      <c r="BE301" s="274">
        <f t="shared" si="669"/>
        <v>1449.5636441371689</v>
      </c>
      <c r="BF301" s="274">
        <f>BF234/BF$190</f>
        <v>1470.7988351999998</v>
      </c>
      <c r="BG301" s="274">
        <f>BG234/BG$190</f>
        <v>1468.421649864451</v>
      </c>
    </row>
    <row r="302" spans="2:59" ht="13.5" customHeight="1">
      <c r="B302" s="224" t="s">
        <v>516</v>
      </c>
      <c r="C302" s="274">
        <f t="shared" si="663"/>
        <v>1594.9346672991505</v>
      </c>
      <c r="D302" s="274">
        <f t="shared" si="663"/>
        <v>1449.3878112532673</v>
      </c>
      <c r="E302" s="274">
        <f t="shared" si="663"/>
        <v>2779.3708797453965</v>
      </c>
      <c r="F302" s="274">
        <f t="shared" si="663"/>
        <v>3323.5634560831409</v>
      </c>
      <c r="G302" s="274">
        <f t="shared" si="663"/>
        <v>3562.4301925526047</v>
      </c>
      <c r="H302" s="274">
        <f t="shared" si="664"/>
        <v>3160.2760849803039</v>
      </c>
      <c r="I302" s="274">
        <f t="shared" si="664"/>
        <v>2654.796812206253</v>
      </c>
      <c r="J302" s="274">
        <f t="shared" si="664"/>
        <v>2541.2460049516089</v>
      </c>
      <c r="K302" s="274">
        <f>K235/K$190</f>
        <v>2716.7774075718112</v>
      </c>
      <c r="L302" s="274">
        <f t="shared" si="663"/>
        <v>2893.3619025726912</v>
      </c>
      <c r="M302" s="274"/>
      <c r="N302" s="52"/>
      <c r="O302" s="52"/>
      <c r="P302" s="135"/>
      <c r="Q302" s="74"/>
      <c r="R302" s="74"/>
      <c r="S302" s="74"/>
      <c r="T302" s="74"/>
      <c r="U302" s="74"/>
      <c r="V302" s="74"/>
      <c r="W302" s="74"/>
      <c r="X302" s="74"/>
      <c r="Y302" s="74"/>
      <c r="Z302" s="74"/>
      <c r="AA302" s="74"/>
      <c r="AB302" s="74"/>
      <c r="AC302" s="274">
        <f t="shared" ref="AC302:AO302" si="670">AC235/AC$190</f>
        <v>1422.8079339309661</v>
      </c>
      <c r="AD302" s="274">
        <f t="shared" si="670"/>
        <v>2538.6518523638365</v>
      </c>
      <c r="AE302" s="274">
        <f t="shared" si="670"/>
        <v>2730.6919456590676</v>
      </c>
      <c r="AF302" s="274">
        <f t="shared" si="670"/>
        <v>2779.3708797453965</v>
      </c>
      <c r="AG302" s="274">
        <f t="shared" si="670"/>
        <v>2948.9517946462929</v>
      </c>
      <c r="AH302" s="274">
        <f t="shared" si="670"/>
        <v>3192.7866328305436</v>
      </c>
      <c r="AI302" s="274">
        <f t="shared" si="670"/>
        <v>3340.8358435854848</v>
      </c>
      <c r="AJ302" s="274">
        <f t="shared" si="670"/>
        <v>3323.5634560831409</v>
      </c>
      <c r="AK302" s="274">
        <f t="shared" si="670"/>
        <v>3831.5609410215502</v>
      </c>
      <c r="AL302" s="274">
        <f t="shared" si="670"/>
        <v>4031.9744776021225</v>
      </c>
      <c r="AM302" s="274">
        <f t="shared" si="670"/>
        <v>3848.8027110947887</v>
      </c>
      <c r="AN302" s="274">
        <f t="shared" si="670"/>
        <v>3562.4301925526047</v>
      </c>
      <c r="AO302" s="274">
        <f t="shared" si="670"/>
        <v>3812.2995878047041</v>
      </c>
      <c r="AP302" s="274">
        <f t="shared" si="666"/>
        <v>3559.4771593890641</v>
      </c>
      <c r="AQ302" s="274">
        <f t="shared" si="666"/>
        <v>3380.6064568570982</v>
      </c>
      <c r="AR302" s="274">
        <f t="shared" si="666"/>
        <v>3160.2760849803039</v>
      </c>
      <c r="AS302" s="274">
        <f t="shared" si="666"/>
        <v>2765.1608348680174</v>
      </c>
      <c r="AT302" s="274">
        <f t="shared" si="667"/>
        <v>2669.0128266865122</v>
      </c>
      <c r="AU302" s="274">
        <f t="shared" si="667"/>
        <v>2692.6793421206116</v>
      </c>
      <c r="AV302" s="274">
        <f t="shared" si="667"/>
        <v>2654.796812206253</v>
      </c>
      <c r="AW302" s="274">
        <f t="shared" si="667"/>
        <v>2720.1566178236844</v>
      </c>
      <c r="AX302" s="274">
        <f t="shared" si="668"/>
        <v>2516.3661949179805</v>
      </c>
      <c r="AY302" s="274">
        <f t="shared" si="668"/>
        <v>2561.0890730835777</v>
      </c>
      <c r="AZ302" s="274">
        <f t="shared" si="668"/>
        <v>2541.2460049516089</v>
      </c>
      <c r="BA302" s="274">
        <f t="shared" si="668"/>
        <v>2585.0480194944812</v>
      </c>
      <c r="BB302" s="274">
        <f t="shared" si="669"/>
        <v>2707.1052726485864</v>
      </c>
      <c r="BC302" s="274">
        <f t="shared" si="669"/>
        <v>2639.1415487589279</v>
      </c>
      <c r="BD302" s="274">
        <f t="shared" si="669"/>
        <v>2716.7774075718112</v>
      </c>
      <c r="BE302" s="274">
        <f t="shared" si="669"/>
        <v>2872.6250175970968</v>
      </c>
      <c r="BF302" s="274">
        <f>BF235/BF$190</f>
        <v>2813.2359935999993</v>
      </c>
      <c r="BG302" s="274">
        <f>BG235/BG$190</f>
        <v>2893.3619025726912</v>
      </c>
    </row>
    <row r="303" spans="2:59" ht="13.5" customHeight="1">
      <c r="C303" s="52"/>
      <c r="D303" s="52"/>
      <c r="E303" s="52"/>
      <c r="F303" s="52"/>
      <c r="G303" s="52"/>
      <c r="H303" s="52"/>
      <c r="I303" s="52"/>
      <c r="J303" s="52"/>
      <c r="K303" s="52"/>
      <c r="L303" s="52"/>
      <c r="M303" s="52"/>
      <c r="N303" s="52"/>
      <c r="O303" s="52"/>
      <c r="P303" s="135"/>
      <c r="Q303" s="74"/>
      <c r="R303" s="74"/>
      <c r="S303" s="74"/>
      <c r="T303" s="74"/>
      <c r="U303" s="74"/>
      <c r="V303" s="74"/>
      <c r="W303" s="74"/>
      <c r="X303" s="74"/>
      <c r="Y303" s="74"/>
      <c r="Z303" s="74"/>
      <c r="AA303" s="74"/>
      <c r="AB303" s="74"/>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row>
    <row r="304" spans="2:59" ht="13.5" customHeight="1">
      <c r="B304" s="5" t="s">
        <v>517</v>
      </c>
      <c r="C304" s="274"/>
      <c r="D304" s="274"/>
      <c r="E304" s="274"/>
      <c r="F304" s="274"/>
      <c r="G304" s="274">
        <f t="shared" ref="G304:L305" si="671">G237/G$190</f>
        <v>2420.936721853675</v>
      </c>
      <c r="H304" s="274">
        <f t="shared" si="671"/>
        <v>1694.7261034981991</v>
      </c>
      <c r="I304" s="274">
        <f t="shared" ref="I304:K305" si="672">I237/I$190</f>
        <v>1324.959743886656</v>
      </c>
      <c r="J304" s="274">
        <f t="shared" si="672"/>
        <v>1362.3116512866675</v>
      </c>
      <c r="K304" s="274">
        <f t="shared" si="672"/>
        <v>1492.8781760908746</v>
      </c>
      <c r="L304" s="274">
        <f t="shared" si="671"/>
        <v>1619.9710658916849</v>
      </c>
      <c r="M304" s="274"/>
      <c r="N304" s="52"/>
      <c r="O304" s="52"/>
      <c r="P304" s="135"/>
      <c r="Q304" s="74"/>
      <c r="R304" s="74"/>
      <c r="S304" s="74"/>
      <c r="T304" s="74"/>
      <c r="U304" s="74"/>
      <c r="V304" s="74"/>
      <c r="W304" s="74"/>
      <c r="X304" s="74"/>
      <c r="Y304" s="74"/>
      <c r="Z304" s="74"/>
      <c r="AA304" s="74"/>
      <c r="AB304" s="74"/>
      <c r="AC304" s="274"/>
      <c r="AD304" s="274"/>
      <c r="AE304" s="274"/>
      <c r="AF304" s="274"/>
      <c r="AG304" s="274"/>
      <c r="AH304" s="274"/>
      <c r="AI304" s="274"/>
      <c r="AJ304" s="274"/>
      <c r="AK304" s="274"/>
      <c r="AL304" s="274"/>
      <c r="AM304" s="274"/>
      <c r="AN304" s="274">
        <f t="shared" ref="AN304:AP305" si="673">AN237/AN$190</f>
        <v>2420.936721853675</v>
      </c>
      <c r="AO304" s="274">
        <f t="shared" si="673"/>
        <v>2483.5866320801638</v>
      </c>
      <c r="AP304" s="274">
        <f t="shared" si="673"/>
        <v>1976.5576618998803</v>
      </c>
      <c r="AQ304" s="274">
        <f t="shared" ref="AQ304:AT305" si="674">AQ237/AQ$190</f>
        <v>1714.0163630259235</v>
      </c>
      <c r="AR304" s="274">
        <f t="shared" si="674"/>
        <v>1694.7261034981991</v>
      </c>
      <c r="AS304" s="274">
        <f t="shared" si="674"/>
        <v>1578.8416206261511</v>
      </c>
      <c r="AT304" s="274">
        <f t="shared" si="674"/>
        <v>1291.0308044769365</v>
      </c>
      <c r="AU304" s="274">
        <f t="shared" ref="AU304:AW305" si="675">AU237/AU$190</f>
        <v>1207.5173995878538</v>
      </c>
      <c r="AV304" s="274">
        <f t="shared" si="675"/>
        <v>1324.959743886656</v>
      </c>
      <c r="AW304" s="274">
        <f t="shared" si="675"/>
        <v>1378.2170309872686</v>
      </c>
      <c r="AX304" s="274">
        <f t="shared" ref="AX304:BA305" si="676">AX237/AX$190</f>
        <v>1337.6205026880489</v>
      </c>
      <c r="AY304" s="274">
        <f t="shared" si="676"/>
        <v>1412.0417717367952</v>
      </c>
      <c r="AZ304" s="274">
        <f t="shared" si="676"/>
        <v>1362.3116512866675</v>
      </c>
      <c r="BA304" s="274">
        <f t="shared" si="676"/>
        <v>1506.1981665904455</v>
      </c>
      <c r="BB304" s="274">
        <f t="shared" ref="BB304:BE305" si="677">BB237/BB$190</f>
        <v>1580.8288252548566</v>
      </c>
      <c r="BC304" s="274">
        <f t="shared" si="677"/>
        <v>1492.1138510280548</v>
      </c>
      <c r="BD304" s="274">
        <f t="shared" si="677"/>
        <v>1492.8781760908746</v>
      </c>
      <c r="BE304" s="274">
        <f t="shared" si="677"/>
        <v>1626.3935597232432</v>
      </c>
      <c r="BF304" s="274">
        <f>BF237/BF$190</f>
        <v>1621.9602047999999</v>
      </c>
      <c r="BG304" s="274">
        <f>BG237/BG$190</f>
        <v>1619.9710658916849</v>
      </c>
    </row>
    <row r="305" spans="2:59" ht="13.5" customHeight="1">
      <c r="B305" s="5" t="s">
        <v>518</v>
      </c>
      <c r="C305" s="274"/>
      <c r="D305" s="274"/>
      <c r="E305" s="274"/>
      <c r="F305" s="274"/>
      <c r="G305" s="274">
        <f t="shared" si="671"/>
        <v>3831.197133570301</v>
      </c>
      <c r="H305" s="274">
        <f t="shared" si="671"/>
        <v>3418.3574627116936</v>
      </c>
      <c r="I305" s="274">
        <f t="shared" si="672"/>
        <v>2940.7291056467543</v>
      </c>
      <c r="J305" s="274">
        <f t="shared" si="672"/>
        <v>2759.2567334383671</v>
      </c>
      <c r="K305" s="274">
        <f t="shared" si="672"/>
        <v>2880.1735986693975</v>
      </c>
      <c r="L305" s="274">
        <f t="shared" si="671"/>
        <v>3044.9113185999249</v>
      </c>
      <c r="M305" s="274"/>
      <c r="N305" s="52"/>
      <c r="O305" s="52"/>
      <c r="P305" s="135"/>
      <c r="Q305" s="74"/>
      <c r="R305" s="74"/>
      <c r="S305" s="74"/>
      <c r="T305" s="74"/>
      <c r="U305" s="74"/>
      <c r="V305" s="74"/>
      <c r="W305" s="74"/>
      <c r="X305" s="74"/>
      <c r="Y305" s="74"/>
      <c r="Z305" s="74"/>
      <c r="AA305" s="74"/>
      <c r="AB305" s="74"/>
      <c r="AC305" s="274"/>
      <c r="AD305" s="274"/>
      <c r="AE305" s="274"/>
      <c r="AF305" s="274"/>
      <c r="AG305" s="274"/>
      <c r="AH305" s="274"/>
      <c r="AI305" s="274"/>
      <c r="AJ305" s="274"/>
      <c r="AK305" s="274"/>
      <c r="AL305" s="274"/>
      <c r="AM305" s="274"/>
      <c r="AN305" s="274">
        <f t="shared" si="673"/>
        <v>3831.197133570301</v>
      </c>
      <c r="AO305" s="274">
        <f t="shared" si="673"/>
        <v>4062.7656172269199</v>
      </c>
      <c r="AP305" s="274">
        <f t="shared" si="673"/>
        <v>3833.4727459123214</v>
      </c>
      <c r="AQ305" s="274">
        <f t="shared" si="674"/>
        <v>3653.4381792157769</v>
      </c>
      <c r="AR305" s="274">
        <f t="shared" si="674"/>
        <v>3418.3574627116936</v>
      </c>
      <c r="AS305" s="274">
        <f t="shared" si="674"/>
        <v>2992.6177102516881</v>
      </c>
      <c r="AT305" s="274">
        <f t="shared" si="674"/>
        <v>2885.8442411241954</v>
      </c>
      <c r="AU305" s="274">
        <f t="shared" si="675"/>
        <v>2960.2977046800684</v>
      </c>
      <c r="AV305" s="274">
        <f t="shared" si="675"/>
        <v>2940.7291056467543</v>
      </c>
      <c r="AW305" s="274">
        <f t="shared" si="675"/>
        <v>2990.1241892865719</v>
      </c>
      <c r="AX305" s="274">
        <f t="shared" si="676"/>
        <v>2765.8652299774853</v>
      </c>
      <c r="AY305" s="274">
        <f t="shared" si="676"/>
        <v>2804.8999807764071</v>
      </c>
      <c r="AZ305" s="274">
        <f t="shared" si="676"/>
        <v>2759.2567334383671</v>
      </c>
      <c r="BA305" s="274">
        <f t="shared" si="676"/>
        <v>2788.7072619673318</v>
      </c>
      <c r="BB305" s="274">
        <f t="shared" si="677"/>
        <v>2899.2735982881322</v>
      </c>
      <c r="BC305" s="274">
        <f t="shared" si="677"/>
        <v>2807.1688626250943</v>
      </c>
      <c r="BD305" s="274">
        <f t="shared" si="677"/>
        <v>2880.1735986693975</v>
      </c>
      <c r="BE305" s="274">
        <f t="shared" si="677"/>
        <v>3049.4549331831713</v>
      </c>
      <c r="BF305" s="274">
        <f>BF238/BF$190</f>
        <v>2964.3973631999997</v>
      </c>
      <c r="BG305" s="274">
        <f>BG238/BG$190</f>
        <v>3044.9113185999249</v>
      </c>
    </row>
    <row r="306" spans="2:59" ht="13.5" customHeight="1">
      <c r="B306" s="224"/>
      <c r="C306" s="52"/>
      <c r="D306" s="52"/>
      <c r="E306" s="52"/>
      <c r="F306" s="52"/>
      <c r="G306" s="52"/>
      <c r="H306" s="52"/>
      <c r="I306" s="52"/>
      <c r="J306" s="52"/>
      <c r="K306" s="52"/>
      <c r="L306" s="52"/>
      <c r="M306" s="52"/>
      <c r="N306" s="52"/>
      <c r="O306" s="52"/>
      <c r="P306" s="135"/>
      <c r="Q306" s="74"/>
      <c r="R306" s="74"/>
      <c r="S306" s="74"/>
      <c r="T306" s="74"/>
      <c r="U306" s="74"/>
      <c r="V306" s="74"/>
      <c r="W306" s="74"/>
      <c r="X306" s="74"/>
      <c r="Y306" s="74"/>
      <c r="Z306" s="74"/>
      <c r="AA306" s="74"/>
      <c r="AB306" s="74"/>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row>
    <row r="307" spans="2:59" ht="13.5" customHeight="1">
      <c r="B307" s="5" t="s">
        <v>520</v>
      </c>
      <c r="C307" s="274">
        <f t="shared" ref="C307:L308" si="678">C240/C$190</f>
        <v>-2217.4285221441196</v>
      </c>
      <c r="D307" s="274">
        <f t="shared" si="678"/>
        <v>511.36194799834925</v>
      </c>
      <c r="E307" s="274">
        <f t="shared" si="678"/>
        <v>1128.4729483973633</v>
      </c>
      <c r="F307" s="274">
        <f t="shared" si="678"/>
        <v>2151.1853442562106</v>
      </c>
      <c r="G307" s="274">
        <f t="shared" si="678"/>
        <v>2152.1697808359786</v>
      </c>
      <c r="H307" s="274">
        <f t="shared" ref="H307:J308" si="679">H240/H$190</f>
        <v>1436.6447257668096</v>
      </c>
      <c r="I307" s="274">
        <f t="shared" si="679"/>
        <v>1039.0274504461549</v>
      </c>
      <c r="J307" s="274">
        <f t="shared" si="679"/>
        <v>1144.3009227999096</v>
      </c>
      <c r="K307" s="274">
        <f>K240/K$190</f>
        <v>1329.4819849932883</v>
      </c>
      <c r="L307" s="274">
        <f t="shared" si="678"/>
        <v>1468.421649864451</v>
      </c>
      <c r="M307" s="274"/>
      <c r="N307" s="52"/>
      <c r="O307" s="52"/>
      <c r="P307" s="135"/>
      <c r="Q307" s="74"/>
      <c r="R307" s="74"/>
      <c r="S307" s="74"/>
      <c r="T307" s="74"/>
      <c r="U307" s="74"/>
      <c r="V307" s="74"/>
      <c r="W307" s="74"/>
      <c r="X307" s="74"/>
      <c r="Y307" s="74"/>
      <c r="Z307" s="74"/>
      <c r="AA307" s="74"/>
      <c r="AB307" s="74"/>
      <c r="AC307" s="274">
        <f t="shared" ref="AC307:AO307" si="680">AC240/AC$190</f>
        <v>618.15627867579565</v>
      </c>
      <c r="AD307" s="274">
        <f t="shared" si="680"/>
        <v>1319.788153165606</v>
      </c>
      <c r="AE307" s="274">
        <f t="shared" si="680"/>
        <v>926.99589438899829</v>
      </c>
      <c r="AF307" s="274">
        <f t="shared" si="680"/>
        <v>1128.4729483973633</v>
      </c>
      <c r="AG307" s="274">
        <f t="shared" si="680"/>
        <v>1255.9215082724129</v>
      </c>
      <c r="AH307" s="274">
        <f t="shared" si="680"/>
        <v>1851.4279604231413</v>
      </c>
      <c r="AI307" s="274">
        <f t="shared" si="680"/>
        <v>2041.2615072773854</v>
      </c>
      <c r="AJ307" s="274">
        <f t="shared" si="680"/>
        <v>2151.1853442562106</v>
      </c>
      <c r="AK307" s="274">
        <f t="shared" si="680"/>
        <v>2669.2995517739114</v>
      </c>
      <c r="AL307" s="274">
        <f t="shared" si="680"/>
        <v>2479.3941719472896</v>
      </c>
      <c r="AM307" s="274">
        <f t="shared" si="680"/>
        <v>2388.2185903642617</v>
      </c>
      <c r="AN307" s="274">
        <f t="shared" si="680"/>
        <v>2152.1697808359786</v>
      </c>
      <c r="AO307" s="274">
        <f t="shared" si="680"/>
        <v>2233.1206026579484</v>
      </c>
      <c r="AP307" s="274">
        <f t="shared" ref="AP307:AS308" si="681">AP240/AP$190</f>
        <v>1702.5620753766227</v>
      </c>
      <c r="AQ307" s="274">
        <f t="shared" si="681"/>
        <v>1441.1846406672446</v>
      </c>
      <c r="AR307" s="274">
        <f t="shared" si="681"/>
        <v>1436.6447257668096</v>
      </c>
      <c r="AS307" s="274">
        <f t="shared" si="681"/>
        <v>1351.38474524248</v>
      </c>
      <c r="AT307" s="274">
        <f t="shared" ref="AT307:AW308" si="682">AT240/AT$190</f>
        <v>1074.1993900392533</v>
      </c>
      <c r="AU307" s="274">
        <f t="shared" si="682"/>
        <v>939.89903702839706</v>
      </c>
      <c r="AV307" s="274">
        <f t="shared" si="682"/>
        <v>1039.0274504461549</v>
      </c>
      <c r="AW307" s="274">
        <f t="shared" si="682"/>
        <v>1108.2494595243811</v>
      </c>
      <c r="AX307" s="274">
        <f t="shared" ref="AX307:BA308" si="683">AX240/AX$190</f>
        <v>1088.121467628544</v>
      </c>
      <c r="AY307" s="274">
        <f t="shared" si="683"/>
        <v>1168.2308640439655</v>
      </c>
      <c r="AZ307" s="274">
        <f t="shared" si="683"/>
        <v>1144.3009227999096</v>
      </c>
      <c r="BA307" s="274">
        <f t="shared" si="683"/>
        <v>1302.5389241175949</v>
      </c>
      <c r="BB307" s="274">
        <f t="shared" ref="BB307:BE308" si="684">BB240/BB$190</f>
        <v>1388.6604996153108</v>
      </c>
      <c r="BC307" s="274">
        <f t="shared" si="684"/>
        <v>1324.0865371618884</v>
      </c>
      <c r="BD307" s="274">
        <f t="shared" si="684"/>
        <v>1329.4819849932883</v>
      </c>
      <c r="BE307" s="274">
        <f t="shared" si="684"/>
        <v>1449.5636441371689</v>
      </c>
      <c r="BF307" s="274">
        <f>BF240/BF$190</f>
        <v>1470.7988351999998</v>
      </c>
      <c r="BG307" s="274">
        <f>BG240/BG$190</f>
        <v>1468.421649864451</v>
      </c>
    </row>
    <row r="308" spans="2:59" ht="13.5" customHeight="1">
      <c r="B308" s="5" t="s">
        <v>521</v>
      </c>
      <c r="C308" s="274">
        <f t="shared" si="678"/>
        <v>1677.4703523222217</v>
      </c>
      <c r="D308" s="274">
        <f t="shared" si="678"/>
        <v>1515.2125464300452</v>
      </c>
      <c r="E308" s="274">
        <f t="shared" si="678"/>
        <v>2848.2819959081612</v>
      </c>
      <c r="F308" s="274">
        <f t="shared" si="678"/>
        <v>3400.5114133460588</v>
      </c>
      <c r="G308" s="274">
        <f t="shared" si="678"/>
        <v>3562.4301925526047</v>
      </c>
      <c r="H308" s="274">
        <f t="shared" si="679"/>
        <v>3160.2760849803039</v>
      </c>
      <c r="I308" s="274">
        <f t="shared" si="679"/>
        <v>2654.796812206253</v>
      </c>
      <c r="J308" s="274">
        <f t="shared" si="679"/>
        <v>2541.2460049516089</v>
      </c>
      <c r="K308" s="274">
        <f>K241/K$190</f>
        <v>2716.7774075718112</v>
      </c>
      <c r="L308" s="274">
        <f t="shared" si="678"/>
        <v>2893.3619025726912</v>
      </c>
      <c r="M308" s="274"/>
      <c r="N308" s="52"/>
      <c r="O308" s="52"/>
      <c r="P308" s="135"/>
      <c r="Q308" s="74"/>
      <c r="R308" s="74"/>
      <c r="S308" s="74"/>
      <c r="T308" s="74"/>
      <c r="U308" s="74"/>
      <c r="V308" s="74"/>
      <c r="W308" s="74"/>
      <c r="X308" s="74"/>
      <c r="Y308" s="74"/>
      <c r="Z308" s="74"/>
      <c r="AA308" s="74"/>
      <c r="AB308" s="74"/>
      <c r="AC308" s="274">
        <f t="shared" ref="AC308:AO308" si="685">AC241/AC$190</f>
        <v>1508.3983906261028</v>
      </c>
      <c r="AD308" s="274">
        <f t="shared" si="685"/>
        <v>2622.4616394802315</v>
      </c>
      <c r="AE308" s="274">
        <f t="shared" si="685"/>
        <v>2811.6399078740947</v>
      </c>
      <c r="AF308" s="274">
        <f t="shared" si="685"/>
        <v>2848.2819959081612</v>
      </c>
      <c r="AG308" s="274">
        <f t="shared" si="685"/>
        <v>3028.7187379761449</v>
      </c>
      <c r="AH308" s="274">
        <f t="shared" si="685"/>
        <v>3275.544466938496</v>
      </c>
      <c r="AI308" s="274">
        <f t="shared" si="685"/>
        <v>3422.5452549196252</v>
      </c>
      <c r="AJ308" s="274">
        <f t="shared" si="685"/>
        <v>3400.5114133460588</v>
      </c>
      <c r="AK308" s="274">
        <f t="shared" si="685"/>
        <v>3831.5609410215502</v>
      </c>
      <c r="AL308" s="274">
        <f t="shared" si="685"/>
        <v>4031.9744776021225</v>
      </c>
      <c r="AM308" s="274">
        <f t="shared" si="685"/>
        <v>3848.8027110947887</v>
      </c>
      <c r="AN308" s="274">
        <f t="shared" si="685"/>
        <v>3562.4301925526047</v>
      </c>
      <c r="AO308" s="274">
        <f t="shared" si="685"/>
        <v>3812.2995878047041</v>
      </c>
      <c r="AP308" s="274">
        <f t="shared" si="681"/>
        <v>3559.4771593890641</v>
      </c>
      <c r="AQ308" s="274">
        <f t="shared" si="681"/>
        <v>3380.6064568570982</v>
      </c>
      <c r="AR308" s="274">
        <f t="shared" si="681"/>
        <v>3160.2760849803039</v>
      </c>
      <c r="AS308" s="274">
        <f t="shared" si="681"/>
        <v>2765.1608348680174</v>
      </c>
      <c r="AT308" s="274">
        <f t="shared" si="682"/>
        <v>2669.0128266865122</v>
      </c>
      <c r="AU308" s="274">
        <f t="shared" si="682"/>
        <v>2692.6793421206116</v>
      </c>
      <c r="AV308" s="274">
        <f t="shared" si="682"/>
        <v>2654.796812206253</v>
      </c>
      <c r="AW308" s="274">
        <f t="shared" si="682"/>
        <v>2720.1566178236844</v>
      </c>
      <c r="AX308" s="274">
        <f t="shared" si="683"/>
        <v>2516.3661949179805</v>
      </c>
      <c r="AY308" s="274">
        <f t="shared" si="683"/>
        <v>2561.0890730835777</v>
      </c>
      <c r="AZ308" s="274">
        <f t="shared" si="683"/>
        <v>2541.2460049516089</v>
      </c>
      <c r="BA308" s="274">
        <f t="shared" si="683"/>
        <v>2585.0480194944812</v>
      </c>
      <c r="BB308" s="274">
        <f t="shared" si="684"/>
        <v>2707.1052726485864</v>
      </c>
      <c r="BC308" s="274">
        <f t="shared" si="684"/>
        <v>2639.1415487589279</v>
      </c>
      <c r="BD308" s="274">
        <f t="shared" si="684"/>
        <v>2716.7774075718112</v>
      </c>
      <c r="BE308" s="274">
        <f t="shared" si="684"/>
        <v>2872.6250175970968</v>
      </c>
      <c r="BF308" s="274">
        <f>BF241/BF$190</f>
        <v>2813.2359935999993</v>
      </c>
      <c r="BG308" s="274">
        <f>BG241/BG$190</f>
        <v>2893.3619025726912</v>
      </c>
    </row>
    <row r="309" spans="2:59" ht="13.5" customHeight="1">
      <c r="B309" s="224"/>
      <c r="C309" s="52"/>
      <c r="D309" s="52"/>
      <c r="E309" s="52"/>
      <c r="F309" s="52"/>
      <c r="G309" s="52"/>
      <c r="H309" s="52"/>
      <c r="I309" s="52"/>
      <c r="J309" s="52"/>
      <c r="K309" s="52"/>
      <c r="L309" s="52"/>
      <c r="M309" s="52"/>
      <c r="N309" s="52"/>
      <c r="O309" s="52"/>
      <c r="P309" s="135"/>
      <c r="Q309" s="74"/>
      <c r="R309" s="74"/>
      <c r="S309" s="74"/>
      <c r="T309" s="74"/>
      <c r="U309" s="74"/>
      <c r="V309" s="74"/>
      <c r="W309" s="74"/>
      <c r="X309" s="74"/>
      <c r="Y309" s="74"/>
      <c r="Z309" s="74"/>
      <c r="AA309" s="74"/>
      <c r="AB309" s="74"/>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row>
    <row r="310" spans="2:59" ht="13.5" customHeight="1">
      <c r="B310" s="224" t="s">
        <v>23</v>
      </c>
      <c r="C310" s="274">
        <f t="shared" ref="C310:L311" si="686">C243/C$191</f>
        <v>1721.6475972540043</v>
      </c>
      <c r="D310" s="274">
        <f t="shared" si="686"/>
        <v>1518.2794910344319</v>
      </c>
      <c r="E310" s="274">
        <f t="shared" si="686"/>
        <v>1536.8109384876407</v>
      </c>
      <c r="F310" s="274">
        <f t="shared" si="686"/>
        <v>1715.4070728214163</v>
      </c>
      <c r="G310" s="274">
        <f t="shared" si="686"/>
        <v>1847.1126804968783</v>
      </c>
      <c r="H310" s="274">
        <f t="shared" ref="H310:J311" si="687">H243/H$191</f>
        <v>1841.9818299862645</v>
      </c>
      <c r="I310" s="274">
        <f t="shared" si="687"/>
        <v>1554.5297910886447</v>
      </c>
      <c r="J310" s="274">
        <f t="shared" si="687"/>
        <v>1690.7970990010929</v>
      </c>
      <c r="K310" s="274">
        <f>K243/K$191</f>
        <v>1333.7717404487566</v>
      </c>
      <c r="L310" s="274">
        <f t="shared" si="686"/>
        <v>1900.3681949734798</v>
      </c>
      <c r="M310" s="274"/>
      <c r="N310" s="52"/>
      <c r="O310" s="52"/>
      <c r="P310" s="135"/>
      <c r="Q310" s="74"/>
      <c r="R310" s="74"/>
      <c r="S310" s="74"/>
      <c r="T310" s="74"/>
      <c r="U310" s="74"/>
      <c r="V310" s="74"/>
      <c r="W310" s="74"/>
      <c r="X310" s="74"/>
      <c r="Y310" s="74"/>
      <c r="Z310" s="74"/>
      <c r="AA310" s="74"/>
      <c r="AB310" s="74"/>
      <c r="AC310" s="274"/>
      <c r="AD310" s="274"/>
      <c r="AE310" s="274"/>
      <c r="AF310" s="274">
        <f>AF243/AVERAGE(AC$191:AF$191)</f>
        <v>1536.8234937509126</v>
      </c>
      <c r="AG310" s="274">
        <f t="shared" ref="AG310:BG310" si="688">AG243/AVERAGE(AD$191:AG$191)</f>
        <v>1571.8285514782162</v>
      </c>
      <c r="AH310" s="274">
        <f t="shared" si="688"/>
        <v>1618.4921277686553</v>
      </c>
      <c r="AI310" s="274">
        <f t="shared" si="688"/>
        <v>1675.8364312267659</v>
      </c>
      <c r="AJ310" s="274">
        <f t="shared" si="688"/>
        <v>1715.3913420688418</v>
      </c>
      <c r="AK310" s="274">
        <f t="shared" si="688"/>
        <v>1868.5106005741832</v>
      </c>
      <c r="AL310" s="274">
        <f t="shared" si="688"/>
        <v>1959.4811821134078</v>
      </c>
      <c r="AM310" s="274">
        <f t="shared" si="688"/>
        <v>1906.5160655850837</v>
      </c>
      <c r="AN310" s="274">
        <f t="shared" si="688"/>
        <v>1847.1126804968783</v>
      </c>
      <c r="AO310" s="274">
        <f t="shared" si="688"/>
        <v>1760.0801521334181</v>
      </c>
      <c r="AP310" s="274">
        <f t="shared" si="688"/>
        <v>1709.8204544633509</v>
      </c>
      <c r="AQ310" s="274">
        <f t="shared" si="688"/>
        <v>1776.3304330683964</v>
      </c>
      <c r="AR310" s="274">
        <f t="shared" si="688"/>
        <v>1841.9818299862645</v>
      </c>
      <c r="AS310" s="274">
        <f t="shared" si="688"/>
        <v>1868.8890974076382</v>
      </c>
      <c r="AT310" s="274">
        <f t="shared" si="688"/>
        <v>1835.82589924528</v>
      </c>
      <c r="AU310" s="274">
        <f t="shared" si="688"/>
        <v>1813.0723742175267</v>
      </c>
      <c r="AV310" s="274">
        <f t="shared" si="688"/>
        <v>1801.5188386646848</v>
      </c>
      <c r="AW310" s="274">
        <f t="shared" si="688"/>
        <v>1785.0030757186</v>
      </c>
      <c r="AX310" s="274">
        <f t="shared" si="688"/>
        <v>1778.2629884661167</v>
      </c>
      <c r="AY310" s="274">
        <f t="shared" si="688"/>
        <v>1786.0870505129503</v>
      </c>
      <c r="AZ310" s="274">
        <f t="shared" si="688"/>
        <v>1690.7875784791245</v>
      </c>
      <c r="BA310" s="274">
        <f t="shared" si="688"/>
        <v>1528.8154088657739</v>
      </c>
      <c r="BB310" s="274">
        <f t="shared" si="688"/>
        <v>1432.5250608708402</v>
      </c>
      <c r="BC310" s="274">
        <f t="shared" si="688"/>
        <v>1336.4586423508345</v>
      </c>
      <c r="BD310" s="274">
        <f t="shared" si="688"/>
        <v>1332.0733267619667</v>
      </c>
      <c r="BE310" s="274">
        <f t="shared" si="688"/>
        <v>1715.0547897530414</v>
      </c>
      <c r="BF310" s="274">
        <f t="shared" si="688"/>
        <v>1842.3419203014369</v>
      </c>
      <c r="BG310" s="274">
        <f t="shared" si="688"/>
        <v>1900.3681949734789</v>
      </c>
    </row>
    <row r="311" spans="2:59" ht="13.5" customHeight="1">
      <c r="B311" s="224" t="s">
        <v>547</v>
      </c>
      <c r="C311" s="274">
        <f t="shared" si="686"/>
        <v>1732.5967963386724</v>
      </c>
      <c r="D311" s="274">
        <f t="shared" si="686"/>
        <v>1527.0521799713979</v>
      </c>
      <c r="E311" s="274">
        <f t="shared" si="686"/>
        <v>1546.89577164909</v>
      </c>
      <c r="F311" s="274">
        <f t="shared" si="686"/>
        <v>1725.3993610223636</v>
      </c>
      <c r="G311" s="274">
        <f t="shared" si="686"/>
        <v>1847.1126804968783</v>
      </c>
      <c r="H311" s="274">
        <f t="shared" si="687"/>
        <v>1841.9818299862645</v>
      </c>
      <c r="I311" s="274">
        <f t="shared" si="687"/>
        <v>1554.5297910886447</v>
      </c>
      <c r="J311" s="274">
        <f t="shared" si="687"/>
        <v>1690.7970990010929</v>
      </c>
      <c r="K311" s="274">
        <f>K244/K$191</f>
        <v>1333.7717404487566</v>
      </c>
      <c r="L311" s="274">
        <f t="shared" si="686"/>
        <v>1900.3681949734798</v>
      </c>
      <c r="M311" s="274"/>
      <c r="N311" s="52"/>
      <c r="O311" s="52"/>
      <c r="P311" s="135"/>
      <c r="Q311" s="74"/>
      <c r="R311" s="74"/>
      <c r="S311" s="74"/>
      <c r="T311" s="74"/>
      <c r="U311" s="74"/>
      <c r="V311" s="74"/>
      <c r="W311" s="74"/>
      <c r="X311" s="74"/>
      <c r="Y311" s="74"/>
      <c r="Z311" s="74"/>
      <c r="AA311" s="74"/>
      <c r="AB311" s="74"/>
      <c r="AC311" s="274"/>
      <c r="AD311" s="274"/>
      <c r="AE311" s="274"/>
      <c r="AF311" s="274">
        <f>AF244/AVERAGE(AC$191:AF$191)</f>
        <v>1546.9084107883809</v>
      </c>
      <c r="AG311" s="274">
        <f t="shared" ref="AG311:BG311" si="689">AG244/AVERAGE(AD$191:AG$191)</f>
        <v>1581.7912760314591</v>
      </c>
      <c r="AH311" s="274">
        <f t="shared" si="689"/>
        <v>1628.3881801362688</v>
      </c>
      <c r="AI311" s="274">
        <f t="shared" si="689"/>
        <v>1685.7845295967973</v>
      </c>
      <c r="AJ311" s="274">
        <f t="shared" si="689"/>
        <v>1725.3836990725117</v>
      </c>
      <c r="AK311" s="274">
        <f t="shared" si="689"/>
        <v>1875.9327073232264</v>
      </c>
      <c r="AL311" s="274">
        <f t="shared" si="689"/>
        <v>1964.2033880656259</v>
      </c>
      <c r="AM311" s="274">
        <f t="shared" si="689"/>
        <v>1908.6025500198407</v>
      </c>
      <c r="AN311" s="274">
        <f t="shared" si="689"/>
        <v>1847.1126804968783</v>
      </c>
      <c r="AO311" s="274">
        <f t="shared" si="689"/>
        <v>1760.0801521334181</v>
      </c>
      <c r="AP311" s="274">
        <f t="shared" si="689"/>
        <v>1709.8204544633509</v>
      </c>
      <c r="AQ311" s="274">
        <f t="shared" si="689"/>
        <v>1776.3304330683964</v>
      </c>
      <c r="AR311" s="274">
        <f t="shared" si="689"/>
        <v>1841.9818299862645</v>
      </c>
      <c r="AS311" s="274">
        <f t="shared" si="689"/>
        <v>1868.8890974076382</v>
      </c>
      <c r="AT311" s="274">
        <f t="shared" si="689"/>
        <v>1835.82589924528</v>
      </c>
      <c r="AU311" s="274">
        <f t="shared" si="689"/>
        <v>1813.0723742175267</v>
      </c>
      <c r="AV311" s="274">
        <f t="shared" si="689"/>
        <v>1801.5188386646848</v>
      </c>
      <c r="AW311" s="274">
        <f t="shared" si="689"/>
        <v>1785.0030757186</v>
      </c>
      <c r="AX311" s="274">
        <f t="shared" si="689"/>
        <v>1778.2629884661167</v>
      </c>
      <c r="AY311" s="274">
        <f t="shared" si="689"/>
        <v>1786.0870505129503</v>
      </c>
      <c r="AZ311" s="274">
        <f t="shared" si="689"/>
        <v>1690.7875784791245</v>
      </c>
      <c r="BA311" s="274">
        <f t="shared" si="689"/>
        <v>1528.8154088657739</v>
      </c>
      <c r="BB311" s="274">
        <f t="shared" si="689"/>
        <v>1432.5250608708402</v>
      </c>
      <c r="BC311" s="274">
        <f t="shared" si="689"/>
        <v>1336.4586423508345</v>
      </c>
      <c r="BD311" s="274">
        <f t="shared" si="689"/>
        <v>1332.0733267619667</v>
      </c>
      <c r="BE311" s="274">
        <f t="shared" si="689"/>
        <v>1715.0547897530414</v>
      </c>
      <c r="BF311" s="274">
        <f t="shared" si="689"/>
        <v>1842.3419203014369</v>
      </c>
      <c r="BG311" s="274">
        <f t="shared" si="689"/>
        <v>1900.3681949734789</v>
      </c>
    </row>
    <row r="312" spans="2:59" ht="13.5" customHeight="1">
      <c r="C312" s="52"/>
      <c r="D312" s="52"/>
      <c r="E312" s="52"/>
      <c r="F312" s="52"/>
      <c r="G312" s="52"/>
      <c r="H312" s="52"/>
      <c r="I312" s="52"/>
      <c r="J312" s="52"/>
      <c r="K312" s="52"/>
      <c r="L312" s="52"/>
      <c r="M312" s="52"/>
      <c r="N312" s="52"/>
      <c r="O312" s="52"/>
      <c r="P312" s="135"/>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c r="BA312" s="74"/>
      <c r="BB312" s="74"/>
      <c r="BC312" s="74"/>
      <c r="BD312" s="74"/>
      <c r="BE312" s="74"/>
      <c r="BF312" s="74"/>
      <c r="BG312" s="74"/>
    </row>
    <row r="313" spans="2:59" s="5" customFormat="1" ht="13.5" customHeight="1">
      <c r="B313" s="5" t="str">
        <f>+B173</f>
        <v>Total Net Leverage</v>
      </c>
      <c r="C313" s="53">
        <f t="shared" ref="C313:L314" si="690">C298/C$310</f>
        <v>-1.2879688768368607</v>
      </c>
      <c r="D313" s="53">
        <f t="shared" si="690"/>
        <v>0.33680356681229284</v>
      </c>
      <c r="E313" s="53">
        <f t="shared" si="690"/>
        <v>0.7342952344599275</v>
      </c>
      <c r="F313" s="53">
        <f t="shared" si="690"/>
        <v>1.2540378189755554</v>
      </c>
      <c r="G313" s="53">
        <f t="shared" si="690"/>
        <v>1.1651534871478653</v>
      </c>
      <c r="H313" s="53">
        <f t="shared" ref="H313:J314" si="691">H298/H$310</f>
        <v>0.77994511258426613</v>
      </c>
      <c r="I313" s="53">
        <f t="shared" si="691"/>
        <v>0.66838696588665503</v>
      </c>
      <c r="J313" s="53">
        <f t="shared" si="691"/>
        <v>0.67678192934915249</v>
      </c>
      <c r="K313" s="53">
        <f>K298/K$310</f>
        <v>0.9967837409315442</v>
      </c>
      <c r="L313" s="53">
        <f t="shared" si="690"/>
        <v>0.77270376011788766</v>
      </c>
      <c r="M313" s="53"/>
      <c r="N313" s="53"/>
      <c r="O313" s="53"/>
      <c r="P313" s="126"/>
      <c r="Q313" s="53"/>
      <c r="R313" s="53"/>
      <c r="S313" s="53"/>
      <c r="T313" s="53"/>
      <c r="U313" s="53"/>
      <c r="V313" s="53"/>
      <c r="W313" s="53"/>
      <c r="X313" s="53"/>
      <c r="Y313" s="53"/>
      <c r="Z313" s="53"/>
      <c r="AA313" s="53"/>
      <c r="AB313" s="53"/>
      <c r="AC313" s="53"/>
      <c r="AD313" s="53"/>
      <c r="AE313" s="53"/>
      <c r="AF313" s="53">
        <f>AF298/AF$310</f>
        <v>0.73428923554721859</v>
      </c>
      <c r="AG313" s="53">
        <f t="shared" ref="AG313:AO313" si="692">AG298/AG$310</f>
        <v>0.79901940137891592</v>
      </c>
      <c r="AH313" s="53">
        <f t="shared" si="692"/>
        <v>1.1439215110521572</v>
      </c>
      <c r="AI313" s="53">
        <f t="shared" si="692"/>
        <v>1.2180553359751922</v>
      </c>
      <c r="AJ313" s="53">
        <f t="shared" si="692"/>
        <v>1.2540493189511968</v>
      </c>
      <c r="AK313" s="53">
        <f t="shared" si="692"/>
        <v>1.4285707295177508</v>
      </c>
      <c r="AL313" s="53">
        <f t="shared" si="692"/>
        <v>1.2653319636747555</v>
      </c>
      <c r="AM313" s="53">
        <f t="shared" si="692"/>
        <v>1.252661141164499</v>
      </c>
      <c r="AN313" s="53">
        <f t="shared" si="692"/>
        <v>1.1651534871478653</v>
      </c>
      <c r="AO313" s="53">
        <f t="shared" si="692"/>
        <v>1.2687607436236079</v>
      </c>
      <c r="AP313" s="53">
        <f t="shared" ref="AP313:AS314" si="693">AP298/AP$310</f>
        <v>0.99575488814174573</v>
      </c>
      <c r="AQ313" s="53">
        <f t="shared" si="693"/>
        <v>0.81132688706896283</v>
      </c>
      <c r="AR313" s="53">
        <f t="shared" si="693"/>
        <v>0.77994511258426613</v>
      </c>
      <c r="AS313" s="53">
        <f t="shared" si="693"/>
        <v>0.72309520512319558</v>
      </c>
      <c r="AT313" s="53">
        <f t="shared" ref="AT313:AW314" si="694">AT298/AT$310</f>
        <v>0.5851314062411167</v>
      </c>
      <c r="AU313" s="53">
        <f t="shared" si="694"/>
        <v>0.518401278621893</v>
      </c>
      <c r="AV313" s="53">
        <f t="shared" si="694"/>
        <v>0.57675081056399002</v>
      </c>
      <c r="AW313" s="53">
        <f t="shared" si="694"/>
        <v>0.62086697474077246</v>
      </c>
      <c r="AX313" s="53">
        <f t="shared" ref="AX313:BA314" si="695">AX298/AX$310</f>
        <v>0.61190131869478381</v>
      </c>
      <c r="AY313" s="53">
        <f t="shared" si="695"/>
        <v>0.65407274729888376</v>
      </c>
      <c r="AZ313" s="53">
        <f t="shared" si="695"/>
        <v>0.67678574018695858</v>
      </c>
      <c r="BA313" s="53">
        <f t="shared" si="695"/>
        <v>0.85199227883498818</v>
      </c>
      <c r="BB313" s="53">
        <f t="shared" ref="BB313:BE314" si="696">BB298/BB$310</f>
        <v>0.96937955051979063</v>
      </c>
      <c r="BC313" s="53">
        <f t="shared" si="696"/>
        <v>0.99074262023762782</v>
      </c>
      <c r="BD313" s="53">
        <f t="shared" si="696"/>
        <v>0.9980546553131745</v>
      </c>
      <c r="BE313" s="53">
        <f t="shared" si="696"/>
        <v>0.84519961274584021</v>
      </c>
      <c r="BF313" s="53">
        <f>BF298/BF$310</f>
        <v>0.79833109098410648</v>
      </c>
      <c r="BG313" s="53">
        <f>BG298/BG$310</f>
        <v>0.77270376011788799</v>
      </c>
    </row>
    <row r="314" spans="2:59" ht="12.75">
      <c r="B314" s="1" t="str">
        <f>+B174</f>
        <v xml:space="preserve">Total Gross Leverage </v>
      </c>
      <c r="C314" s="54">
        <f t="shared" si="690"/>
        <v>0.91602579703539966</v>
      </c>
      <c r="D314" s="54">
        <f t="shared" si="690"/>
        <v>0.94514786820788854</v>
      </c>
      <c r="E314" s="54">
        <f t="shared" si="690"/>
        <v>1.7996351751808912</v>
      </c>
      <c r="F314" s="54">
        <f t="shared" si="690"/>
        <v>1.9185114607500746</v>
      </c>
      <c r="G314" s="54">
        <f t="shared" si="690"/>
        <v>1.9286480084118645</v>
      </c>
      <c r="H314" s="54">
        <f t="shared" si="691"/>
        <v>1.7156934088779094</v>
      </c>
      <c r="I314" s="54">
        <f t="shared" si="691"/>
        <v>1.7077812386902447</v>
      </c>
      <c r="J314" s="54">
        <f t="shared" si="691"/>
        <v>1.5029869677757037</v>
      </c>
      <c r="K314" s="54">
        <f>K299/K$310</f>
        <v>2.0369133077131569</v>
      </c>
      <c r="L314" s="54">
        <f t="shared" si="690"/>
        <v>1.5225270083059188</v>
      </c>
      <c r="M314" s="54"/>
      <c r="N314" s="54"/>
      <c r="O314" s="54"/>
      <c r="P314" s="127"/>
      <c r="Q314" s="54"/>
      <c r="R314" s="54"/>
      <c r="S314" s="54"/>
      <c r="T314" s="54"/>
      <c r="U314" s="54"/>
      <c r="V314" s="54"/>
      <c r="W314" s="54"/>
      <c r="X314" s="54"/>
      <c r="Y314" s="54"/>
      <c r="Z314" s="54"/>
      <c r="AA314" s="54"/>
      <c r="AB314" s="54"/>
      <c r="AC314" s="54"/>
      <c r="AD314" s="54"/>
      <c r="AE314" s="54"/>
      <c r="AF314" s="54">
        <f>AF299/AF$310</f>
        <v>1.7996204728461664</v>
      </c>
      <c r="AG314" s="54">
        <f t="shared" ref="AG314:AO314" si="697">AG299/AG$310</f>
        <v>1.8674051627177342</v>
      </c>
      <c r="AH314" s="54">
        <f t="shared" si="697"/>
        <v>1.9636635454556088</v>
      </c>
      <c r="AI314" s="54">
        <f t="shared" si="697"/>
        <v>1.984508277430997</v>
      </c>
      <c r="AJ314" s="54">
        <f t="shared" si="697"/>
        <v>1.9185290541868374</v>
      </c>
      <c r="AK314" s="54">
        <f t="shared" si="697"/>
        <v>1.880892634702392</v>
      </c>
      <c r="AL314" s="54">
        <f t="shared" si="697"/>
        <v>1.9224327817598941</v>
      </c>
      <c r="AM314" s="54">
        <f t="shared" si="697"/>
        <v>1.9085269407881453</v>
      </c>
      <c r="AN314" s="54">
        <f t="shared" si="697"/>
        <v>1.9286480084118645</v>
      </c>
      <c r="AO314" s="54">
        <f t="shared" si="697"/>
        <v>2.1659806703596773</v>
      </c>
      <c r="AP314" s="54">
        <f t="shared" si="693"/>
        <v>2.0817841721903201</v>
      </c>
      <c r="AQ314" s="54">
        <f t="shared" si="693"/>
        <v>1.9031405384512321</v>
      </c>
      <c r="AR314" s="54">
        <f t="shared" si="693"/>
        <v>1.7156934088779094</v>
      </c>
      <c r="AS314" s="54">
        <f t="shared" si="693"/>
        <v>1.4795745979275121</v>
      </c>
      <c r="AT314" s="54">
        <f t="shared" si="694"/>
        <v>1.4538485527324572</v>
      </c>
      <c r="AU314" s="54">
        <f t="shared" si="694"/>
        <v>1.4851471901570943</v>
      </c>
      <c r="AV314" s="54">
        <f t="shared" si="694"/>
        <v>1.4736436584665591</v>
      </c>
      <c r="AW314" s="54">
        <f t="shared" si="694"/>
        <v>1.523894639077086</v>
      </c>
      <c r="AX314" s="54">
        <f t="shared" si="695"/>
        <v>1.4150697682172042</v>
      </c>
      <c r="AY314" s="54">
        <f t="shared" si="695"/>
        <v>1.4339105545544675</v>
      </c>
      <c r="AZ314" s="54">
        <f t="shared" si="695"/>
        <v>1.5029954308260758</v>
      </c>
      <c r="BA314" s="54">
        <f t="shared" si="695"/>
        <v>1.6908830225699549</v>
      </c>
      <c r="BB314" s="54">
        <f t="shared" si="696"/>
        <v>1.8897437445198491</v>
      </c>
      <c r="BC314" s="54">
        <f t="shared" si="696"/>
        <v>1.9747274364709637</v>
      </c>
      <c r="BD314" s="54">
        <f t="shared" si="696"/>
        <v>2.0395104030615294</v>
      </c>
      <c r="BE314" s="54">
        <f t="shared" si="696"/>
        <v>1.6749465001119521</v>
      </c>
      <c r="BF314" s="54">
        <f>BF299/BF$310</f>
        <v>1.5269890798227663</v>
      </c>
      <c r="BG314" s="54">
        <f>BG299/BG$310</f>
        <v>1.5225270083059195</v>
      </c>
    </row>
    <row r="315" spans="2:59" ht="12.75">
      <c r="C315" s="54"/>
      <c r="D315" s="54"/>
      <c r="E315" s="54"/>
      <c r="F315" s="54"/>
      <c r="G315" s="54"/>
      <c r="H315" s="54"/>
      <c r="I315" s="54"/>
      <c r="J315" s="54"/>
      <c r="K315" s="54"/>
      <c r="L315" s="54"/>
      <c r="M315" s="54"/>
      <c r="N315" s="54"/>
      <c r="O315" s="54"/>
      <c r="P315" s="127"/>
      <c r="Q315" s="54"/>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row>
    <row r="316" spans="2:59" s="5" customFormat="1" ht="12.75">
      <c r="B316" s="5" t="str">
        <f>+B176</f>
        <v>Total Net Leverage- including finance leases</v>
      </c>
      <c r="C316" s="53">
        <f t="shared" ref="C316:L317" si="698">C301/C$310</f>
        <v>-1.3359088182945165</v>
      </c>
      <c r="D316" s="53">
        <f t="shared" si="698"/>
        <v>0.2934487460658633</v>
      </c>
      <c r="E316" s="53">
        <f t="shared" si="698"/>
        <v>0.68945490020867661</v>
      </c>
      <c r="F316" s="53">
        <f t="shared" si="698"/>
        <v>1.209180852671716</v>
      </c>
      <c r="G316" s="53">
        <f t="shared" si="698"/>
        <v>1.1651534871478653</v>
      </c>
      <c r="H316" s="53">
        <f t="shared" ref="H316:J317" si="699">H301/H$310</f>
        <v>0.77994511258426613</v>
      </c>
      <c r="I316" s="53">
        <f t="shared" si="699"/>
        <v>0.66838696588665503</v>
      </c>
      <c r="J316" s="53">
        <f t="shared" si="699"/>
        <v>0.67678192934915249</v>
      </c>
      <c r="K316" s="53">
        <f>K301/K$310</f>
        <v>0.9967837409315442</v>
      </c>
      <c r="L316" s="53">
        <f t="shared" si="698"/>
        <v>0.77270376011788766</v>
      </c>
      <c r="M316" s="53"/>
      <c r="N316" s="53"/>
      <c r="O316" s="53"/>
      <c r="P316" s="126"/>
      <c r="Q316" s="53"/>
      <c r="R316" s="53"/>
      <c r="S316" s="53"/>
      <c r="T316" s="53"/>
      <c r="U316" s="53"/>
      <c r="V316" s="53"/>
      <c r="W316" s="53"/>
      <c r="X316" s="53"/>
      <c r="Y316" s="53"/>
      <c r="Z316" s="53"/>
      <c r="AA316" s="53"/>
      <c r="AB316" s="53"/>
      <c r="AC316" s="53"/>
      <c r="AD316" s="53"/>
      <c r="AE316" s="53"/>
      <c r="AF316" s="53">
        <f>AF301/AF$310</f>
        <v>0.68944926762443948</v>
      </c>
      <c r="AG316" s="53">
        <f t="shared" ref="AG316:AO316" si="700">AG301/AG$310</f>
        <v>0.74827153625403586</v>
      </c>
      <c r="AH316" s="53">
        <f t="shared" si="700"/>
        <v>1.0927888347245638</v>
      </c>
      <c r="AI316" s="53">
        <f t="shared" si="700"/>
        <v>1.1692979454497181</v>
      </c>
      <c r="AJ316" s="53">
        <f t="shared" si="700"/>
        <v>1.2091919412929213</v>
      </c>
      <c r="AK316" s="53">
        <f t="shared" si="700"/>
        <v>1.4285707295177508</v>
      </c>
      <c r="AL316" s="53">
        <f t="shared" si="700"/>
        <v>1.2653319636747555</v>
      </c>
      <c r="AM316" s="53">
        <f t="shared" si="700"/>
        <v>1.252661141164499</v>
      </c>
      <c r="AN316" s="53">
        <f t="shared" si="700"/>
        <v>1.1651534871478653</v>
      </c>
      <c r="AO316" s="53">
        <f t="shared" si="700"/>
        <v>1.2687607436236079</v>
      </c>
      <c r="AP316" s="53">
        <f t="shared" ref="AP316:AS317" si="701">AP301/AP$310</f>
        <v>0.99575488814174573</v>
      </c>
      <c r="AQ316" s="53">
        <f t="shared" si="701"/>
        <v>0.81132688706896283</v>
      </c>
      <c r="AR316" s="53">
        <f t="shared" si="701"/>
        <v>0.77994511258426613</v>
      </c>
      <c r="AS316" s="53">
        <f t="shared" si="701"/>
        <v>0.72309520512319558</v>
      </c>
      <c r="AT316" s="53">
        <f t="shared" ref="AT316:AW317" si="702">AT301/AT$310</f>
        <v>0.5851314062411167</v>
      </c>
      <c r="AU316" s="53">
        <f t="shared" si="702"/>
        <v>0.518401278621893</v>
      </c>
      <c r="AV316" s="53">
        <f t="shared" si="702"/>
        <v>0.57675081056399002</v>
      </c>
      <c r="AW316" s="53">
        <f t="shared" si="702"/>
        <v>0.62086697474077246</v>
      </c>
      <c r="AX316" s="53">
        <f t="shared" ref="AX316:BA317" si="703">AX301/AX$310</f>
        <v>0.61190131869478381</v>
      </c>
      <c r="AY316" s="53">
        <f t="shared" si="703"/>
        <v>0.65407274729888376</v>
      </c>
      <c r="AZ316" s="53">
        <f t="shared" si="703"/>
        <v>0.67678574018695858</v>
      </c>
      <c r="BA316" s="53">
        <f t="shared" si="703"/>
        <v>0.85199227883498818</v>
      </c>
      <c r="BB316" s="53">
        <f t="shared" ref="BB316:BE317" si="704">BB301/BB$310</f>
        <v>0.96937955051979063</v>
      </c>
      <c r="BC316" s="53">
        <f t="shared" si="704"/>
        <v>0.99074262023762782</v>
      </c>
      <c r="BD316" s="53">
        <f t="shared" si="704"/>
        <v>0.9980546553131745</v>
      </c>
      <c r="BE316" s="53">
        <f t="shared" si="704"/>
        <v>0.84519961274584021</v>
      </c>
      <c r="BF316" s="53">
        <f>BF301/BF$310</f>
        <v>0.79833109098410648</v>
      </c>
      <c r="BG316" s="53">
        <f>BG301/BG$310</f>
        <v>0.77270376011788799</v>
      </c>
    </row>
    <row r="317" spans="2:59" ht="12.75">
      <c r="B317" s="1" t="str">
        <f>+B177</f>
        <v>Total Gross Leverage - including finance leases</v>
      </c>
      <c r="C317" s="54">
        <f t="shared" si="698"/>
        <v>0.92640019353730785</v>
      </c>
      <c r="D317" s="54">
        <f t="shared" si="698"/>
        <v>0.95462516605936143</v>
      </c>
      <c r="E317" s="54">
        <f t="shared" si="698"/>
        <v>1.8085314270866304</v>
      </c>
      <c r="F317" s="54">
        <f t="shared" si="698"/>
        <v>1.9374779950141565</v>
      </c>
      <c r="G317" s="54">
        <f t="shared" si="698"/>
        <v>1.9286480084118645</v>
      </c>
      <c r="H317" s="54">
        <f t="shared" si="699"/>
        <v>1.7156934088779094</v>
      </c>
      <c r="I317" s="54">
        <f t="shared" si="699"/>
        <v>1.7077812386902447</v>
      </c>
      <c r="J317" s="54">
        <f t="shared" si="699"/>
        <v>1.5029869677757037</v>
      </c>
      <c r="K317" s="54">
        <f>K302/K$310</f>
        <v>2.0369133077131569</v>
      </c>
      <c r="L317" s="54">
        <f t="shared" si="698"/>
        <v>1.5225270083059188</v>
      </c>
      <c r="M317" s="54"/>
      <c r="N317" s="54"/>
      <c r="O317" s="54"/>
      <c r="P317" s="127"/>
      <c r="Q317" s="54"/>
      <c r="R317" s="54"/>
      <c r="S317" s="54"/>
      <c r="T317" s="54"/>
      <c r="U317" s="54"/>
      <c r="V317" s="54"/>
      <c r="W317" s="54"/>
      <c r="X317" s="54"/>
      <c r="Y317" s="54"/>
      <c r="Z317" s="54"/>
      <c r="AA317" s="54"/>
      <c r="AB317" s="54"/>
      <c r="AC317" s="54"/>
      <c r="AD317" s="54"/>
      <c r="AE317" s="54"/>
      <c r="AF317" s="54">
        <f>AF302/AF$310</f>
        <v>1.8085166520729121</v>
      </c>
      <c r="AG317" s="54">
        <f t="shared" ref="AG317:AO317" si="705">AG302/AG$310</f>
        <v>1.8761281514278194</v>
      </c>
      <c r="AH317" s="54">
        <f t="shared" si="705"/>
        <v>1.9726920990541359</v>
      </c>
      <c r="AI317" s="54">
        <f t="shared" si="705"/>
        <v>1.9935333671794484</v>
      </c>
      <c r="AJ317" s="54">
        <f t="shared" si="705"/>
        <v>1.9374957623808271</v>
      </c>
      <c r="AK317" s="54">
        <f t="shared" si="705"/>
        <v>2.0505963090838941</v>
      </c>
      <c r="AL317" s="54">
        <f t="shared" si="705"/>
        <v>2.0576745081335344</v>
      </c>
      <c r="AM317" s="54">
        <f t="shared" si="705"/>
        <v>2.0187622756347685</v>
      </c>
      <c r="AN317" s="54">
        <f t="shared" si="705"/>
        <v>1.9286480084118645</v>
      </c>
      <c r="AO317" s="54">
        <f t="shared" si="705"/>
        <v>2.1659806703596773</v>
      </c>
      <c r="AP317" s="54">
        <f t="shared" si="701"/>
        <v>2.0817841721903201</v>
      </c>
      <c r="AQ317" s="54">
        <f t="shared" si="701"/>
        <v>1.9031405384512321</v>
      </c>
      <c r="AR317" s="54">
        <f t="shared" si="701"/>
        <v>1.7156934088779094</v>
      </c>
      <c r="AS317" s="54">
        <f t="shared" si="701"/>
        <v>1.4795745979275121</v>
      </c>
      <c r="AT317" s="54">
        <f t="shared" si="702"/>
        <v>1.4538485527324572</v>
      </c>
      <c r="AU317" s="54">
        <f t="shared" si="702"/>
        <v>1.4851471901570943</v>
      </c>
      <c r="AV317" s="54">
        <f t="shared" si="702"/>
        <v>1.4736436584665591</v>
      </c>
      <c r="AW317" s="54">
        <f t="shared" si="702"/>
        <v>1.523894639077086</v>
      </c>
      <c r="AX317" s="54">
        <f t="shared" si="703"/>
        <v>1.4150697682172042</v>
      </c>
      <c r="AY317" s="54">
        <f t="shared" si="703"/>
        <v>1.4339105545544675</v>
      </c>
      <c r="AZ317" s="54">
        <f t="shared" si="703"/>
        <v>1.5029954308260758</v>
      </c>
      <c r="BA317" s="54">
        <f t="shared" si="703"/>
        <v>1.6908830225699549</v>
      </c>
      <c r="BB317" s="54">
        <f t="shared" si="704"/>
        <v>1.8897437445198491</v>
      </c>
      <c r="BC317" s="54">
        <f t="shared" si="704"/>
        <v>1.9747274364709637</v>
      </c>
      <c r="BD317" s="54">
        <f t="shared" si="704"/>
        <v>2.0395104030615294</v>
      </c>
      <c r="BE317" s="54">
        <f t="shared" si="704"/>
        <v>1.6749465001119521</v>
      </c>
      <c r="BF317" s="54">
        <f>BF302/BF$310</f>
        <v>1.5269890798227663</v>
      </c>
      <c r="BG317" s="54">
        <f>BG302/BG$310</f>
        <v>1.5225270083059195</v>
      </c>
    </row>
    <row r="318" spans="2:59" ht="12.75">
      <c r="C318" s="54"/>
      <c r="D318" s="54"/>
      <c r="E318" s="54"/>
      <c r="F318" s="54"/>
      <c r="G318" s="54"/>
      <c r="H318" s="54"/>
      <c r="I318" s="54"/>
      <c r="J318" s="54"/>
      <c r="K318" s="54"/>
      <c r="L318" s="54"/>
      <c r="M318" s="54"/>
      <c r="N318" s="54"/>
      <c r="O318" s="54"/>
      <c r="P318" s="127"/>
      <c r="Q318" s="54"/>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row>
    <row r="319" spans="2:59" s="5" customFormat="1" ht="12.75">
      <c r="B319" s="224" t="s">
        <v>533</v>
      </c>
      <c r="C319" s="53"/>
      <c r="D319" s="53"/>
      <c r="E319" s="53"/>
      <c r="F319" s="53"/>
      <c r="G319" s="53">
        <f t="shared" ref="G319:L320" si="706">G304/G$310</f>
        <v>1.3106600086803781</v>
      </c>
      <c r="H319" s="53">
        <f t="shared" si="706"/>
        <v>0.92005582026334998</v>
      </c>
      <c r="I319" s="53">
        <f t="shared" ref="I319:K320" si="707">I304/I$310</f>
        <v>0.85232187345781285</v>
      </c>
      <c r="J319" s="53">
        <f t="shared" si="707"/>
        <v>0.80572154523538542</v>
      </c>
      <c r="K319" s="53">
        <f t="shared" si="707"/>
        <v>1.1192906033446064</v>
      </c>
      <c r="L319" s="53">
        <f t="shared" si="706"/>
        <v>0.85245115666350757</v>
      </c>
      <c r="M319" s="53"/>
      <c r="N319" s="279"/>
      <c r="O319" s="279"/>
      <c r="P319" s="280"/>
      <c r="Q319" s="279"/>
      <c r="R319" s="279"/>
      <c r="S319" s="279"/>
      <c r="T319" s="279"/>
      <c r="U319" s="279"/>
      <c r="V319" s="279"/>
      <c r="W319" s="279"/>
      <c r="X319" s="279"/>
      <c r="Y319" s="279"/>
      <c r="Z319" s="279"/>
      <c r="AA319" s="279"/>
      <c r="AB319" s="279"/>
      <c r="AC319" s="279"/>
      <c r="AD319" s="279"/>
      <c r="AE319" s="279"/>
      <c r="AF319" s="53"/>
      <c r="AG319" s="53"/>
      <c r="AH319" s="53"/>
      <c r="AI319" s="53"/>
      <c r="AJ319" s="53"/>
      <c r="AK319" s="53"/>
      <c r="AL319" s="53"/>
      <c r="AM319" s="53"/>
      <c r="AN319" s="53">
        <f t="shared" ref="AN319:AP320" si="708">AN304/AN$310</f>
        <v>1.3106600086803781</v>
      </c>
      <c r="AO319" s="53">
        <f t="shared" si="708"/>
        <v>1.4110645069599661</v>
      </c>
      <c r="AP319" s="53">
        <f t="shared" si="708"/>
        <v>1.1560030509286709</v>
      </c>
      <c r="AQ319" s="53">
        <f t="shared" ref="AQ319:AT320" si="709">AQ304/AQ$310</f>
        <v>0.96491977568901255</v>
      </c>
      <c r="AR319" s="53">
        <f t="shared" si="709"/>
        <v>0.92005582026334998</v>
      </c>
      <c r="AS319" s="53">
        <f t="shared" si="709"/>
        <v>0.84480219977535531</v>
      </c>
      <c r="AT319" s="53">
        <f t="shared" si="709"/>
        <v>0.70324250518945597</v>
      </c>
      <c r="AU319" s="53">
        <f t="shared" ref="AU319:AW320" si="710">AU304/AU$310</f>
        <v>0.66600617645447602</v>
      </c>
      <c r="AV319" s="53">
        <f t="shared" si="710"/>
        <v>0.73546815911663621</v>
      </c>
      <c r="AW319" s="53">
        <f t="shared" si="710"/>
        <v>0.77210905109081174</v>
      </c>
      <c r="AX319" s="53">
        <f t="shared" ref="AX319:BA320" si="711">AX304/AX$310</f>
        <v>0.75220623235365514</v>
      </c>
      <c r="AY319" s="53">
        <f t="shared" si="711"/>
        <v>0.79057836029395534</v>
      </c>
      <c r="AZ319" s="53">
        <f t="shared" si="711"/>
        <v>0.80572608210907048</v>
      </c>
      <c r="BA319" s="53">
        <f t="shared" si="711"/>
        <v>0.98520603459111644</v>
      </c>
      <c r="BB319" s="53">
        <f t="shared" ref="BB319:BE320" si="712">BB304/BB$310</f>
        <v>1.1035261221146537</v>
      </c>
      <c r="BC319" s="53">
        <f t="shared" si="712"/>
        <v>1.1164684066866615</v>
      </c>
      <c r="BD319" s="53">
        <f t="shared" si="712"/>
        <v>1.1207177158331034</v>
      </c>
      <c r="BE319" s="53">
        <f t="shared" si="712"/>
        <v>0.94830414132567453</v>
      </c>
      <c r="BF319" s="53">
        <f>BF304/BF$310</f>
        <v>0.88037957934248223</v>
      </c>
      <c r="BG319" s="53">
        <f>BG304/BG$310</f>
        <v>0.85245115666350801</v>
      </c>
    </row>
    <row r="320" spans="2:59" ht="12.75">
      <c r="B320" s="225" t="s">
        <v>534</v>
      </c>
      <c r="C320" s="54"/>
      <c r="D320" s="54"/>
      <c r="E320" s="54"/>
      <c r="F320" s="54"/>
      <c r="G320" s="54">
        <f t="shared" si="706"/>
        <v>2.0741545299443773</v>
      </c>
      <c r="H320" s="54">
        <f t="shared" si="706"/>
        <v>1.8558041165569934</v>
      </c>
      <c r="I320" s="54">
        <f t="shared" si="707"/>
        <v>1.8917161462614025</v>
      </c>
      <c r="J320" s="54">
        <f t="shared" si="707"/>
        <v>1.6319265836619368</v>
      </c>
      <c r="K320" s="54">
        <f t="shared" si="707"/>
        <v>2.1594201701262192</v>
      </c>
      <c r="L320" s="54">
        <f t="shared" si="706"/>
        <v>1.6022744048515385</v>
      </c>
      <c r="M320" s="54"/>
      <c r="N320" s="88"/>
      <c r="O320" s="88"/>
      <c r="P320" s="128"/>
      <c r="Q320" s="88"/>
      <c r="R320" s="88"/>
      <c r="S320" s="88"/>
      <c r="T320" s="88"/>
      <c r="U320" s="88"/>
      <c r="V320" s="88"/>
      <c r="W320" s="88"/>
      <c r="X320" s="88"/>
      <c r="Y320" s="88"/>
      <c r="Z320" s="88"/>
      <c r="AA320" s="88"/>
      <c r="AB320" s="88"/>
      <c r="AC320" s="88"/>
      <c r="AD320" s="88"/>
      <c r="AE320" s="88"/>
      <c r="AF320" s="54"/>
      <c r="AG320" s="54"/>
      <c r="AH320" s="54"/>
      <c r="AI320" s="54"/>
      <c r="AJ320" s="54"/>
      <c r="AK320" s="54"/>
      <c r="AL320" s="54"/>
      <c r="AM320" s="54"/>
      <c r="AN320" s="54">
        <f t="shared" si="708"/>
        <v>2.0741545299443773</v>
      </c>
      <c r="AO320" s="54">
        <f t="shared" si="708"/>
        <v>2.308284433696036</v>
      </c>
      <c r="AP320" s="54">
        <f t="shared" si="708"/>
        <v>2.2420323349772455</v>
      </c>
      <c r="AQ320" s="54">
        <f t="shared" si="709"/>
        <v>2.0567334270712818</v>
      </c>
      <c r="AR320" s="54">
        <f t="shared" si="709"/>
        <v>1.8558041165569934</v>
      </c>
      <c r="AS320" s="54">
        <f t="shared" si="709"/>
        <v>1.6012815925796717</v>
      </c>
      <c r="AT320" s="54">
        <f t="shared" si="709"/>
        <v>1.5719596516807965</v>
      </c>
      <c r="AU320" s="54">
        <f t="shared" si="710"/>
        <v>1.6327520879896773</v>
      </c>
      <c r="AV320" s="54">
        <f t="shared" si="710"/>
        <v>1.6323610070192054</v>
      </c>
      <c r="AW320" s="54">
        <f t="shared" si="710"/>
        <v>1.6751367154271253</v>
      </c>
      <c r="AX320" s="54">
        <f t="shared" si="711"/>
        <v>1.5553746818760754</v>
      </c>
      <c r="AY320" s="54">
        <f t="shared" si="711"/>
        <v>1.5704161675495389</v>
      </c>
      <c r="AZ320" s="54">
        <f t="shared" si="711"/>
        <v>1.6319357727481878</v>
      </c>
      <c r="BA320" s="54">
        <f t="shared" si="711"/>
        <v>1.8240967783260833</v>
      </c>
      <c r="BB320" s="54">
        <f t="shared" si="712"/>
        <v>2.0238903161147124</v>
      </c>
      <c r="BC320" s="54">
        <f t="shared" si="712"/>
        <v>2.1004532229199975</v>
      </c>
      <c r="BD320" s="54">
        <f t="shared" si="712"/>
        <v>2.1621734635814587</v>
      </c>
      <c r="BE320" s="54">
        <f t="shared" si="712"/>
        <v>1.7780510286917868</v>
      </c>
      <c r="BF320" s="54">
        <f>BF305/BF$310</f>
        <v>1.6090375681811422</v>
      </c>
      <c r="BG320" s="54">
        <f>BG305/BG$310</f>
        <v>1.6022744048515394</v>
      </c>
    </row>
    <row r="321" spans="1:59" ht="12.75">
      <c r="C321" s="88"/>
      <c r="D321" s="88"/>
      <c r="E321" s="88"/>
      <c r="F321" s="88"/>
      <c r="G321" s="88"/>
      <c r="H321" s="88"/>
      <c r="I321" s="88"/>
      <c r="J321" s="88"/>
      <c r="K321" s="88"/>
      <c r="L321" s="88"/>
      <c r="M321" s="88"/>
      <c r="N321" s="88"/>
      <c r="O321" s="88"/>
      <c r="P321" s="12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U321" s="88"/>
      <c r="AV321" s="88"/>
      <c r="AW321" s="88"/>
      <c r="AX321" s="88"/>
      <c r="AY321" s="88"/>
      <c r="AZ321" s="88"/>
      <c r="BA321" s="88"/>
      <c r="BB321" s="88"/>
      <c r="BC321" s="88"/>
      <c r="BD321" s="88"/>
      <c r="BE321" s="88"/>
      <c r="BF321" s="88"/>
      <c r="BG321" s="88"/>
    </row>
    <row r="322" spans="1:59" ht="12.75">
      <c r="B322" s="5" t="str">
        <f>B182</f>
        <v>Lease adjusted net leverage</v>
      </c>
      <c r="C322" s="53">
        <f t="shared" ref="C322:L323" si="713">C307/C$311</f>
        <v>-1.279829517652344</v>
      </c>
      <c r="D322" s="53">
        <f t="shared" si="713"/>
        <v>0.33486868013110543</v>
      </c>
      <c r="E322" s="53">
        <f t="shared" si="713"/>
        <v>0.72950806969647275</v>
      </c>
      <c r="F322" s="53">
        <f t="shared" si="713"/>
        <v>1.2467753221964524</v>
      </c>
      <c r="G322" s="53">
        <f t="shared" si="713"/>
        <v>1.1651534871478653</v>
      </c>
      <c r="H322" s="53">
        <f t="shared" ref="H322:J323" si="714">H307/H$311</f>
        <v>0.77994511258426613</v>
      </c>
      <c r="I322" s="53">
        <f t="shared" si="714"/>
        <v>0.66838696588665503</v>
      </c>
      <c r="J322" s="53">
        <f t="shared" si="714"/>
        <v>0.67678192934915249</v>
      </c>
      <c r="K322" s="53">
        <f>K307/K$311</f>
        <v>0.9967837409315442</v>
      </c>
      <c r="L322" s="53">
        <f t="shared" si="713"/>
        <v>0.77270376011788766</v>
      </c>
      <c r="M322" s="53"/>
      <c r="N322" s="53"/>
      <c r="O322" s="53"/>
      <c r="P322" s="126"/>
      <c r="Q322" s="53"/>
      <c r="R322" s="53"/>
      <c r="S322" s="53"/>
      <c r="T322" s="53"/>
      <c r="U322" s="53"/>
      <c r="V322" s="53"/>
      <c r="W322" s="53"/>
      <c r="X322" s="53"/>
      <c r="Y322" s="53"/>
      <c r="Z322" s="53"/>
      <c r="AA322" s="53"/>
      <c r="AB322" s="53"/>
      <c r="AC322" s="53"/>
      <c r="AD322" s="53"/>
      <c r="AE322" s="53"/>
      <c r="AF322" s="53">
        <f>AF307/AF$311</f>
        <v>0.72950210919225511</v>
      </c>
      <c r="AG322" s="53">
        <f t="shared" ref="AG322:AO322" si="715">AG307/AG$311</f>
        <v>0.79398687254324873</v>
      </c>
      <c r="AH322" s="53">
        <f t="shared" si="715"/>
        <v>1.1369696630125428</v>
      </c>
      <c r="AI322" s="53">
        <f t="shared" si="715"/>
        <v>1.2108673863353168</v>
      </c>
      <c r="AJ322" s="53">
        <f t="shared" si="715"/>
        <v>1.2467866396399772</v>
      </c>
      <c r="AK322" s="53">
        <f t="shared" si="715"/>
        <v>1.4229186054241478</v>
      </c>
      <c r="AL322" s="53">
        <f t="shared" si="715"/>
        <v>1.2622899374942178</v>
      </c>
      <c r="AM322" s="53">
        <f t="shared" si="715"/>
        <v>1.2512917319215753</v>
      </c>
      <c r="AN322" s="53">
        <f t="shared" si="715"/>
        <v>1.1651534871478653</v>
      </c>
      <c r="AO322" s="53">
        <f t="shared" si="715"/>
        <v>1.2687607436236079</v>
      </c>
      <c r="AP322" s="53">
        <f t="shared" ref="AP322:AS323" si="716">AP307/AP$311</f>
        <v>0.99575488814174573</v>
      </c>
      <c r="AQ322" s="53">
        <f t="shared" si="716"/>
        <v>0.81132688706896283</v>
      </c>
      <c r="AR322" s="53">
        <f t="shared" si="716"/>
        <v>0.77994511258426613</v>
      </c>
      <c r="AS322" s="53">
        <f t="shared" si="716"/>
        <v>0.72309520512319558</v>
      </c>
      <c r="AT322" s="53">
        <f t="shared" ref="AT322:AW323" si="717">AT307/AT$311</f>
        <v>0.5851314062411167</v>
      </c>
      <c r="AU322" s="53">
        <f t="shared" si="717"/>
        <v>0.518401278621893</v>
      </c>
      <c r="AV322" s="53">
        <f t="shared" si="717"/>
        <v>0.57675081056399002</v>
      </c>
      <c r="AW322" s="53">
        <f t="shared" si="717"/>
        <v>0.62086697474077246</v>
      </c>
      <c r="AX322" s="53">
        <f t="shared" ref="AX322:BA323" si="718">AX307/AX$311</f>
        <v>0.61190131869478381</v>
      </c>
      <c r="AY322" s="53">
        <f t="shared" si="718"/>
        <v>0.65407274729888376</v>
      </c>
      <c r="AZ322" s="53">
        <f t="shared" si="718"/>
        <v>0.67678574018695858</v>
      </c>
      <c r="BA322" s="53">
        <f t="shared" si="718"/>
        <v>0.85199227883498818</v>
      </c>
      <c r="BB322" s="53">
        <f t="shared" ref="BB322:BE323" si="719">BB307/BB$311</f>
        <v>0.96937955051979063</v>
      </c>
      <c r="BC322" s="53">
        <f t="shared" si="719"/>
        <v>0.99074262023762782</v>
      </c>
      <c r="BD322" s="53">
        <f t="shared" si="719"/>
        <v>0.9980546553131745</v>
      </c>
      <c r="BE322" s="53">
        <f t="shared" si="719"/>
        <v>0.84519961274584021</v>
      </c>
      <c r="BF322" s="53">
        <f>BF307/BF$311</f>
        <v>0.79833109098410648</v>
      </c>
      <c r="BG322" s="53">
        <f>BG307/BG$311</f>
        <v>0.77270376011788799</v>
      </c>
    </row>
    <row r="323" spans="1:59" ht="12.75">
      <c r="B323" s="1" t="str">
        <f>B183</f>
        <v>Lease adjusted gross leverage</v>
      </c>
      <c r="C323" s="54">
        <f t="shared" si="713"/>
        <v>0.96818276235247347</v>
      </c>
      <c r="D323" s="54">
        <f t="shared" si="713"/>
        <v>0.99224673937365093</v>
      </c>
      <c r="E323" s="54">
        <f t="shared" si="713"/>
        <v>1.8412888884373315</v>
      </c>
      <c r="F323" s="54">
        <f t="shared" si="713"/>
        <v>1.9708546845242418</v>
      </c>
      <c r="G323" s="54">
        <f t="shared" si="713"/>
        <v>1.9286480084118645</v>
      </c>
      <c r="H323" s="54">
        <f t="shared" si="714"/>
        <v>1.7156934088779094</v>
      </c>
      <c r="I323" s="54">
        <f t="shared" si="714"/>
        <v>1.7077812386902447</v>
      </c>
      <c r="J323" s="54">
        <f t="shared" si="714"/>
        <v>1.5029869677757037</v>
      </c>
      <c r="K323" s="54">
        <f>K308/K$311</f>
        <v>2.0369133077131569</v>
      </c>
      <c r="L323" s="54">
        <f t="shared" si="713"/>
        <v>1.5225270083059188</v>
      </c>
      <c r="M323" s="54"/>
      <c r="N323" s="54"/>
      <c r="O323" s="54"/>
      <c r="P323" s="127"/>
      <c r="Q323" s="54"/>
      <c r="R323" s="54"/>
      <c r="S323" s="54"/>
      <c r="T323" s="54"/>
      <c r="U323" s="54"/>
      <c r="V323" s="54"/>
      <c r="W323" s="54"/>
      <c r="X323" s="54"/>
      <c r="Y323" s="54"/>
      <c r="Z323" s="54"/>
      <c r="AA323" s="54"/>
      <c r="AB323" s="54"/>
      <c r="AC323" s="54"/>
      <c r="AD323" s="54"/>
      <c r="AE323" s="54"/>
      <c r="AF323" s="54">
        <f>AF308/AF$311</f>
        <v>1.8412738440387275</v>
      </c>
      <c r="AG323" s="54">
        <f t="shared" ref="AG323:AO323" si="720">AG308/AG$311</f>
        <v>1.9147398167316159</v>
      </c>
      <c r="AH323" s="54">
        <f t="shared" si="720"/>
        <v>2.0115255728915864</v>
      </c>
      <c r="AI323" s="54">
        <f t="shared" si="720"/>
        <v>2.0302388560525131</v>
      </c>
      <c r="AJ323" s="54">
        <f t="shared" si="720"/>
        <v>1.9708725747055684</v>
      </c>
      <c r="AK323" s="54">
        <f t="shared" si="720"/>
        <v>2.042483147750441</v>
      </c>
      <c r="AL323" s="54">
        <f t="shared" si="720"/>
        <v>2.052727585188042</v>
      </c>
      <c r="AM323" s="54">
        <f t="shared" si="720"/>
        <v>2.0165553645806344</v>
      </c>
      <c r="AN323" s="54">
        <f t="shared" si="720"/>
        <v>1.9286480084118645</v>
      </c>
      <c r="AO323" s="54">
        <f t="shared" si="720"/>
        <v>2.1659806703596773</v>
      </c>
      <c r="AP323" s="54">
        <f t="shared" si="716"/>
        <v>2.0817841721903201</v>
      </c>
      <c r="AQ323" s="54">
        <f t="shared" si="716"/>
        <v>1.9031405384512321</v>
      </c>
      <c r="AR323" s="54">
        <f t="shared" si="716"/>
        <v>1.7156934088779094</v>
      </c>
      <c r="AS323" s="54">
        <f t="shared" si="716"/>
        <v>1.4795745979275121</v>
      </c>
      <c r="AT323" s="54">
        <f t="shared" si="717"/>
        <v>1.4538485527324572</v>
      </c>
      <c r="AU323" s="54">
        <f t="shared" si="717"/>
        <v>1.4851471901570943</v>
      </c>
      <c r="AV323" s="54">
        <f t="shared" si="717"/>
        <v>1.4736436584665591</v>
      </c>
      <c r="AW323" s="54">
        <f t="shared" si="717"/>
        <v>1.523894639077086</v>
      </c>
      <c r="AX323" s="54">
        <f t="shared" si="718"/>
        <v>1.4150697682172042</v>
      </c>
      <c r="AY323" s="54">
        <f t="shared" si="718"/>
        <v>1.4339105545544675</v>
      </c>
      <c r="AZ323" s="54">
        <f t="shared" si="718"/>
        <v>1.5029954308260758</v>
      </c>
      <c r="BA323" s="54">
        <f t="shared" si="718"/>
        <v>1.6908830225699549</v>
      </c>
      <c r="BB323" s="54">
        <f t="shared" si="719"/>
        <v>1.8897437445198491</v>
      </c>
      <c r="BC323" s="54">
        <f t="shared" si="719"/>
        <v>1.9747274364709637</v>
      </c>
      <c r="BD323" s="54">
        <f t="shared" si="719"/>
        <v>2.0395104030615294</v>
      </c>
      <c r="BE323" s="54">
        <f t="shared" si="719"/>
        <v>1.6749465001119521</v>
      </c>
      <c r="BF323" s="54">
        <f>BF308/BF$311</f>
        <v>1.5269890798227663</v>
      </c>
      <c r="BG323" s="54">
        <f>BG308/BG$311</f>
        <v>1.5225270083059195</v>
      </c>
    </row>
    <row r="324" spans="1:59" ht="12.75">
      <c r="C324" s="88"/>
      <c r="D324" s="88"/>
      <c r="E324" s="88"/>
      <c r="F324" s="88"/>
      <c r="G324" s="88"/>
      <c r="H324" s="88"/>
      <c r="I324" s="88"/>
      <c r="J324" s="88"/>
      <c r="K324" s="88"/>
      <c r="L324" s="88"/>
      <c r="M324" s="88"/>
      <c r="N324" s="88"/>
      <c r="O324" s="88"/>
      <c r="P324" s="12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U324" s="88"/>
      <c r="AV324" s="88"/>
      <c r="AW324" s="88"/>
      <c r="AX324" s="88"/>
      <c r="AY324" s="88"/>
      <c r="AZ324" s="88"/>
      <c r="BA324" s="88"/>
      <c r="BB324" s="88"/>
      <c r="BC324" s="88"/>
      <c r="BD324" s="88"/>
      <c r="BE324" s="88"/>
      <c r="BF324" s="88"/>
      <c r="BG324" s="88"/>
    </row>
    <row r="325" spans="1:59" ht="12.75">
      <c r="B325" s="5" t="str">
        <f t="shared" ref="B325:L326" si="721">B185</f>
        <v>EBITDA - Capex / Interest</v>
      </c>
      <c r="C325" s="53">
        <f t="shared" si="721"/>
        <v>22.654106495797325</v>
      </c>
      <c r="D325" s="53">
        <f t="shared" si="721"/>
        <v>11.588963648561505</v>
      </c>
      <c r="E325" s="53">
        <f t="shared" si="721"/>
        <v>4.1719479610881844</v>
      </c>
      <c r="F325" s="53">
        <f t="shared" si="721"/>
        <v>2.8489494780086604</v>
      </c>
      <c r="G325" s="53">
        <f t="shared" si="721"/>
        <v>3.4295275666522729</v>
      </c>
      <c r="H325" s="53">
        <f t="shared" ref="H325:J326" si="722">H185</f>
        <v>3.29299838620034</v>
      </c>
      <c r="I325" s="53">
        <f t="shared" si="722"/>
        <v>4.7425745687635112</v>
      </c>
      <c r="J325" s="53">
        <f t="shared" si="722"/>
        <v>8.6981344788143637</v>
      </c>
      <c r="K325" s="53">
        <f>K185</f>
        <v>6.9895780494772968</v>
      </c>
      <c r="L325" s="53">
        <f t="shared" si="721"/>
        <v>8.7088054816435569</v>
      </c>
      <c r="M325" s="53"/>
      <c r="N325" s="53"/>
      <c r="O325" s="53"/>
      <c r="P325" s="126"/>
      <c r="Q325" s="53"/>
      <c r="R325" s="53"/>
      <c r="S325" s="53"/>
      <c r="T325" s="53"/>
      <c r="U325" s="53"/>
      <c r="V325" s="53"/>
      <c r="W325" s="53"/>
      <c r="X325" s="53"/>
      <c r="Y325" s="53"/>
      <c r="Z325" s="53"/>
      <c r="AA325" s="53"/>
      <c r="AB325" s="53"/>
      <c r="AC325" s="53"/>
      <c r="AD325" s="53"/>
      <c r="AE325" s="53"/>
      <c r="AF325" s="53">
        <f t="shared" ref="AF325:AO325" si="723">AF185</f>
        <v>4.1719463944861674</v>
      </c>
      <c r="AG325" s="53">
        <f t="shared" si="723"/>
        <v>4.8688662416957005</v>
      </c>
      <c r="AH325" s="53">
        <f t="shared" si="723"/>
        <v>4.3628355583331908</v>
      </c>
      <c r="AI325" s="53">
        <f t="shared" si="723"/>
        <v>4.521616234188925</v>
      </c>
      <c r="AJ325" s="53">
        <f t="shared" si="723"/>
        <v>2.8487296690446322</v>
      </c>
      <c r="AK325" s="53">
        <f t="shared" si="723"/>
        <v>3.0767282716670117</v>
      </c>
      <c r="AL325" s="53">
        <f t="shared" si="723"/>
        <v>3.3866536760039359</v>
      </c>
      <c r="AM325" s="53">
        <f t="shared" si="723"/>
        <v>3.5818465003673454</v>
      </c>
      <c r="AN325" s="53">
        <f t="shared" si="723"/>
        <v>3.4295275666522729</v>
      </c>
      <c r="AO325" s="53">
        <f t="shared" si="723"/>
        <v>2.8110661866832425</v>
      </c>
      <c r="AP325" s="53">
        <f t="shared" ref="AP325:AS326" si="724">AP185</f>
        <v>2.9226105257976744</v>
      </c>
      <c r="AQ325" s="53">
        <f t="shared" si="724"/>
        <v>2.9987356265069427</v>
      </c>
      <c r="AR325" s="53">
        <f t="shared" si="724"/>
        <v>3.29299838620034</v>
      </c>
      <c r="AS325" s="53">
        <f t="shared" si="724"/>
        <v>4.5353086208267825</v>
      </c>
      <c r="AT325" s="53">
        <f t="shared" ref="AT325:AW326" si="725">AT185</f>
        <v>3.9304052125517441</v>
      </c>
      <c r="AU325" s="53">
        <f t="shared" si="725"/>
        <v>4.0144229152775939</v>
      </c>
      <c r="AV325" s="53">
        <f t="shared" si="725"/>
        <v>4.742574568763513</v>
      </c>
      <c r="AW325" s="53">
        <f t="shared" si="725"/>
        <v>4.9425207517024354</v>
      </c>
      <c r="AX325" s="53">
        <f t="shared" ref="AX325:BA326" si="726">AX185</f>
        <v>4.640145271752897</v>
      </c>
      <c r="AY325" s="53">
        <f t="shared" si="726"/>
        <v>5.6446070898511902</v>
      </c>
      <c r="AZ325" s="53">
        <f t="shared" si="726"/>
        <v>8.6981344788143655</v>
      </c>
      <c r="BA325" s="53">
        <f t="shared" si="726"/>
        <v>9.287958781053856</v>
      </c>
      <c r="BB325" s="53">
        <f t="shared" ref="BB325:BE326" si="727">BB185</f>
        <v>8.9528202672952126</v>
      </c>
      <c r="BC325" s="53">
        <f t="shared" si="727"/>
        <v>9.2491297367074541</v>
      </c>
      <c r="BD325" s="53">
        <f t="shared" si="727"/>
        <v>6.9895780494773012</v>
      </c>
      <c r="BE325" s="53">
        <f t="shared" si="727"/>
        <v>8.6465836248191188</v>
      </c>
      <c r="BF325" s="53">
        <f>BF185</f>
        <v>7.9019343342485069</v>
      </c>
      <c r="BG325" s="53">
        <f>BG185</f>
        <v>8.7088054816435498</v>
      </c>
    </row>
    <row r="326" spans="1:59" ht="12.75">
      <c r="B326" s="1" t="str">
        <f t="shared" si="721"/>
        <v>EBITDA/Interest</v>
      </c>
      <c r="C326" s="54">
        <f t="shared" si="721"/>
        <v>39.1628677994198</v>
      </c>
      <c r="D326" s="54">
        <f t="shared" si="721"/>
        <v>25.497463020015761</v>
      </c>
      <c r="E326" s="54">
        <f t="shared" si="721"/>
        <v>10.092032375880564</v>
      </c>
      <c r="F326" s="54">
        <f t="shared" si="721"/>
        <v>6.0770584285197708</v>
      </c>
      <c r="G326" s="54">
        <f t="shared" si="721"/>
        <v>5.2148702171128631</v>
      </c>
      <c r="H326" s="54">
        <f t="shared" si="722"/>
        <v>4.8212145301279286</v>
      </c>
      <c r="I326" s="54">
        <f t="shared" si="722"/>
        <v>7.1036449120897389</v>
      </c>
      <c r="J326" s="54">
        <f t="shared" si="722"/>
        <v>11.752915134009761</v>
      </c>
      <c r="K326" s="54">
        <f>K186</f>
        <v>9.3270425889323558</v>
      </c>
      <c r="L326" s="54">
        <f t="shared" si="721"/>
        <v>11.163551092115695</v>
      </c>
      <c r="M326" s="54"/>
      <c r="N326" s="54"/>
      <c r="O326" s="54"/>
      <c r="P326" s="127"/>
      <c r="Q326" s="54"/>
      <c r="R326" s="54"/>
      <c r="S326" s="54"/>
      <c r="T326" s="54"/>
      <c r="U326" s="54"/>
      <c r="V326" s="54"/>
      <c r="W326" s="54"/>
      <c r="X326" s="54"/>
      <c r="Y326" s="54"/>
      <c r="Z326" s="54"/>
      <c r="AA326" s="54"/>
      <c r="AB326" s="54"/>
      <c r="AC326" s="54"/>
      <c r="AD326" s="54"/>
      <c r="AE326" s="54"/>
      <c r="AF326" s="54">
        <f t="shared" ref="AF326:AO326" si="728">AF186</f>
        <v>10.092030809278548</v>
      </c>
      <c r="AG326" s="54">
        <f t="shared" si="728"/>
        <v>9.6142082921752703</v>
      </c>
      <c r="AH326" s="54">
        <f t="shared" si="728"/>
        <v>7.4873125820993129</v>
      </c>
      <c r="AI326" s="54">
        <f t="shared" si="728"/>
        <v>7.755833520153633</v>
      </c>
      <c r="AJ326" s="54">
        <f t="shared" si="728"/>
        <v>6.0768386195557431</v>
      </c>
      <c r="AK326" s="54">
        <f t="shared" si="728"/>
        <v>6.2484925783757026</v>
      </c>
      <c r="AL326" s="54">
        <f t="shared" si="728"/>
        <v>6.3257827432631855</v>
      </c>
      <c r="AM326" s="54">
        <f t="shared" si="728"/>
        <v>6.3344965303229159</v>
      </c>
      <c r="AN326" s="54">
        <f t="shared" si="728"/>
        <v>5.2148702171128631</v>
      </c>
      <c r="AO326" s="54">
        <f t="shared" si="728"/>
        <v>4.1920705581292905</v>
      </c>
      <c r="AP326" s="54">
        <f t="shared" si="724"/>
        <v>4.3843344030994027</v>
      </c>
      <c r="AQ326" s="54">
        <f t="shared" si="724"/>
        <v>4.3731527171009192</v>
      </c>
      <c r="AR326" s="54">
        <f t="shared" si="724"/>
        <v>4.8212145301279286</v>
      </c>
      <c r="AS326" s="54">
        <f t="shared" si="724"/>
        <v>6.4639988253504077</v>
      </c>
      <c r="AT326" s="54">
        <f t="shared" si="725"/>
        <v>5.6665680468741453</v>
      </c>
      <c r="AU326" s="54">
        <f t="shared" si="725"/>
        <v>5.9467490636200422</v>
      </c>
      <c r="AV326" s="54">
        <f t="shared" si="725"/>
        <v>7.1036449120897416</v>
      </c>
      <c r="AW326" s="54">
        <f t="shared" si="725"/>
        <v>7.7413694459325306</v>
      </c>
      <c r="AX326" s="54">
        <f t="shared" si="726"/>
        <v>7.6197141863279096</v>
      </c>
      <c r="AY326" s="54">
        <f t="shared" si="726"/>
        <v>8.769563418574414</v>
      </c>
      <c r="AZ326" s="54">
        <f t="shared" si="726"/>
        <v>11.752915134009763</v>
      </c>
      <c r="BA326" s="54">
        <f t="shared" si="726"/>
        <v>12.180561815701092</v>
      </c>
      <c r="BB326" s="54">
        <f t="shared" si="727"/>
        <v>11.319946475484299</v>
      </c>
      <c r="BC326" s="54">
        <f t="shared" si="727"/>
        <v>11.762580125061085</v>
      </c>
      <c r="BD326" s="54">
        <f t="shared" si="727"/>
        <v>9.3270425889323612</v>
      </c>
      <c r="BE326" s="54">
        <f t="shared" si="727"/>
        <v>11.166124750859291</v>
      </c>
      <c r="BF326" s="54">
        <f>BF186</f>
        <v>10.042185916837866</v>
      </c>
      <c r="BG326" s="54">
        <f>BG186</f>
        <v>11.163551092115689</v>
      </c>
    </row>
    <row r="327" spans="1:59" s="5" customFormat="1" ht="13.5" customHeight="1">
      <c r="A327" s="19"/>
      <c r="B327" s="19"/>
      <c r="C327" s="19"/>
      <c r="D327" s="19"/>
      <c r="E327" s="19"/>
      <c r="F327" s="19"/>
      <c r="G327" s="19"/>
      <c r="H327" s="19"/>
      <c r="I327" s="19"/>
      <c r="J327" s="19"/>
      <c r="K327" s="19"/>
      <c r="L327" s="19"/>
      <c r="N327" s="19"/>
      <c r="O327" s="19"/>
      <c r="P327" s="154"/>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row>
    <row r="328" spans="1:59" s="5" customFormat="1" ht="13.5" customHeight="1">
      <c r="P328" s="155"/>
    </row>
    <row r="329" spans="1:59" ht="13.5" customHeight="1">
      <c r="B329" s="165"/>
      <c r="C329" s="6"/>
      <c r="D329" s="6"/>
      <c r="E329" s="6"/>
      <c r="F329" s="6"/>
      <c r="G329" s="6"/>
      <c r="H329" s="6"/>
      <c r="I329" s="6"/>
      <c r="J329" s="6"/>
      <c r="K329" s="6"/>
      <c r="L329" s="6"/>
      <c r="M329" s="6"/>
      <c r="N329" s="6"/>
      <c r="O329" s="6"/>
      <c r="P329" s="108"/>
      <c r="Q329" s="6"/>
      <c r="R329" s="6"/>
      <c r="S329" s="6"/>
      <c r="T329" s="6"/>
      <c r="U329" s="6"/>
      <c r="V329" s="6"/>
      <c r="W329" s="6"/>
      <c r="X329" s="6"/>
      <c r="Y329" s="6"/>
      <c r="Z329" s="6"/>
      <c r="AA329" s="6"/>
      <c r="AB329" s="6"/>
      <c r="AC329" s="6"/>
      <c r="AG329" s="6"/>
      <c r="AH329" s="6"/>
      <c r="AK329" s="6"/>
      <c r="AL329" s="6"/>
      <c r="AO329" s="6"/>
      <c r="AP329" s="6"/>
      <c r="AQ329" s="6"/>
      <c r="AR329" s="6"/>
      <c r="AS329" s="6"/>
      <c r="AT329" s="6"/>
      <c r="AU329" s="6"/>
      <c r="AV329" s="6"/>
      <c r="AW329" s="6"/>
      <c r="AX329" s="6"/>
      <c r="AY329" s="6"/>
      <c r="AZ329" s="6"/>
      <c r="BA329" s="6"/>
      <c r="BB329" s="6"/>
      <c r="BC329" s="6"/>
      <c r="BD329" s="6"/>
      <c r="BE329" s="6"/>
      <c r="BF329" s="6"/>
      <c r="BG329" s="6"/>
    </row>
    <row r="330" spans="1:59" ht="13.5" customHeight="1">
      <c r="C330" s="6"/>
      <c r="D330" s="6"/>
      <c r="E330" s="6"/>
      <c r="F330" s="6"/>
      <c r="G330" s="6"/>
      <c r="H330" s="6"/>
      <c r="I330" s="6"/>
      <c r="J330" s="6"/>
      <c r="K330" s="6"/>
      <c r="L330" s="6"/>
      <c r="M330" s="6"/>
      <c r="N330" s="6"/>
      <c r="O330" s="6"/>
      <c r="P330" s="108"/>
      <c r="Q330" s="6"/>
      <c r="R330" s="6"/>
      <c r="S330" s="6"/>
      <c r="T330" s="6"/>
      <c r="U330" s="6"/>
      <c r="V330" s="6"/>
      <c r="W330" s="6"/>
      <c r="X330" s="6"/>
      <c r="Y330" s="6"/>
      <c r="Z330" s="6"/>
      <c r="AA330" s="6"/>
      <c r="AB330" s="6"/>
      <c r="AC330" s="6"/>
      <c r="AG330" s="6"/>
      <c r="AH330" s="6"/>
      <c r="AK330" s="6"/>
      <c r="AL330" s="6"/>
      <c r="AO330" s="6"/>
      <c r="AP330" s="6"/>
      <c r="AQ330" s="6"/>
      <c r="AR330" s="6"/>
      <c r="AS330" s="6"/>
      <c r="AT330" s="6"/>
      <c r="AU330" s="6"/>
      <c r="AV330" s="6"/>
      <c r="AW330" s="6"/>
      <c r="AX330" s="6"/>
      <c r="AY330" s="6"/>
      <c r="AZ330" s="6"/>
      <c r="BA330" s="6"/>
      <c r="BB330" s="6"/>
      <c r="BC330" s="6"/>
      <c r="BD330" s="6"/>
      <c r="BE330" s="6"/>
      <c r="BF330" s="6"/>
      <c r="BG330" s="6"/>
    </row>
    <row r="331" spans="1:59" ht="13.5" customHeight="1">
      <c r="B331" s="17" t="s">
        <v>548</v>
      </c>
      <c r="C331" s="48">
        <f t="shared" ref="C331:L331" si="729">+C2</f>
        <v>41975</v>
      </c>
      <c r="D331" s="48">
        <f t="shared" si="729"/>
        <v>42341</v>
      </c>
      <c r="E331" s="48">
        <f t="shared" si="729"/>
        <v>42705</v>
      </c>
      <c r="F331" s="48">
        <f t="shared" si="729"/>
        <v>43070</v>
      </c>
      <c r="G331" s="48">
        <f t="shared" si="729"/>
        <v>43435</v>
      </c>
      <c r="H331" s="48">
        <f t="shared" si="729"/>
        <v>43830</v>
      </c>
      <c r="I331" s="48">
        <f t="shared" si="729"/>
        <v>44196</v>
      </c>
      <c r="J331" s="48">
        <f t="shared" si="729"/>
        <v>44561</v>
      </c>
      <c r="K331" s="48">
        <f t="shared" si="729"/>
        <v>44926</v>
      </c>
      <c r="L331" s="223">
        <f t="shared" si="729"/>
        <v>45199</v>
      </c>
      <c r="M331" s="428" t="s">
        <v>397</v>
      </c>
      <c r="N331" s="48">
        <f t="shared" ref="N331:BD331" si="730">+N2</f>
        <v>43074</v>
      </c>
      <c r="O331" s="48">
        <f t="shared" si="730"/>
        <v>43440</v>
      </c>
      <c r="P331" s="96">
        <f t="shared" si="730"/>
        <v>43806</v>
      </c>
      <c r="Q331" s="13">
        <f t="shared" si="730"/>
        <v>41341</v>
      </c>
      <c r="R331" s="13">
        <f t="shared" si="730"/>
        <v>41431</v>
      </c>
      <c r="S331" s="13">
        <f t="shared" si="730"/>
        <v>41526</v>
      </c>
      <c r="T331" s="13">
        <f t="shared" si="730"/>
        <v>41618</v>
      </c>
      <c r="U331" s="13">
        <f t="shared" si="730"/>
        <v>41705</v>
      </c>
      <c r="V331" s="13">
        <f t="shared" si="730"/>
        <v>41796</v>
      </c>
      <c r="W331" s="13">
        <f t="shared" si="730"/>
        <v>41891</v>
      </c>
      <c r="X331" s="13">
        <f t="shared" si="730"/>
        <v>41983</v>
      </c>
      <c r="Y331" s="13">
        <f t="shared" si="730"/>
        <v>42070</v>
      </c>
      <c r="Z331" s="13">
        <f t="shared" si="730"/>
        <v>42161</v>
      </c>
      <c r="AA331" s="13">
        <f t="shared" si="730"/>
        <v>42256</v>
      </c>
      <c r="AB331" s="13">
        <f t="shared" si="730"/>
        <v>42348</v>
      </c>
      <c r="AC331" s="48">
        <f t="shared" si="730"/>
        <v>42437</v>
      </c>
      <c r="AD331" s="48">
        <f t="shared" si="730"/>
        <v>42527</v>
      </c>
      <c r="AE331" s="48">
        <f t="shared" si="730"/>
        <v>42622</v>
      </c>
      <c r="AF331" s="48">
        <f t="shared" si="730"/>
        <v>42714</v>
      </c>
      <c r="AG331" s="48">
        <f t="shared" si="730"/>
        <v>42801</v>
      </c>
      <c r="AH331" s="48">
        <f t="shared" si="730"/>
        <v>42892</v>
      </c>
      <c r="AI331" s="48">
        <f t="shared" si="730"/>
        <v>42987</v>
      </c>
      <c r="AJ331" s="48">
        <f t="shared" si="730"/>
        <v>43079</v>
      </c>
      <c r="AK331" s="48">
        <f t="shared" si="730"/>
        <v>43190</v>
      </c>
      <c r="AL331" s="48">
        <f t="shared" si="730"/>
        <v>43281</v>
      </c>
      <c r="AM331" s="48">
        <f t="shared" si="730"/>
        <v>43373</v>
      </c>
      <c r="AN331" s="48">
        <f t="shared" si="730"/>
        <v>43465</v>
      </c>
      <c r="AO331" s="48">
        <f t="shared" si="730"/>
        <v>43555</v>
      </c>
      <c r="AP331" s="48">
        <f t="shared" si="730"/>
        <v>43646</v>
      </c>
      <c r="AQ331" s="48">
        <f t="shared" si="730"/>
        <v>43738</v>
      </c>
      <c r="AR331" s="48">
        <f t="shared" si="730"/>
        <v>43830</v>
      </c>
      <c r="AS331" s="48">
        <f t="shared" si="730"/>
        <v>43921</v>
      </c>
      <c r="AT331" s="48">
        <f t="shared" si="730"/>
        <v>44012</v>
      </c>
      <c r="AU331" s="48">
        <f t="shared" si="730"/>
        <v>44104</v>
      </c>
      <c r="AV331" s="48">
        <f t="shared" si="730"/>
        <v>44196</v>
      </c>
      <c r="AW331" s="48">
        <f t="shared" si="730"/>
        <v>44286</v>
      </c>
      <c r="AX331" s="48">
        <f t="shared" si="730"/>
        <v>44377</v>
      </c>
      <c r="AY331" s="48">
        <f t="shared" si="730"/>
        <v>44469</v>
      </c>
      <c r="AZ331" s="48">
        <f t="shared" si="730"/>
        <v>44561</v>
      </c>
      <c r="BA331" s="48">
        <f t="shared" si="730"/>
        <v>44651</v>
      </c>
      <c r="BB331" s="48">
        <f t="shared" si="730"/>
        <v>44742</v>
      </c>
      <c r="BC331" s="48">
        <f t="shared" si="730"/>
        <v>44834</v>
      </c>
      <c r="BD331" s="48">
        <f t="shared" si="730"/>
        <v>44926</v>
      </c>
      <c r="BE331" s="48">
        <f>+BE2</f>
        <v>45016</v>
      </c>
      <c r="BF331" s="48">
        <f>+BF2</f>
        <v>45107</v>
      </c>
      <c r="BG331" s="48">
        <f>+BG2</f>
        <v>45199</v>
      </c>
    </row>
    <row r="332" spans="1:59" ht="13.5" customHeight="1">
      <c r="B332" s="1" t="str">
        <f t="shared" ref="B332:L332" si="731">B105</f>
        <v>Total Revenues</v>
      </c>
      <c r="C332" s="24">
        <f t="shared" si="731"/>
        <v>12043.599999999999</v>
      </c>
      <c r="D332" s="24">
        <f t="shared" si="731"/>
        <v>12769.4</v>
      </c>
      <c r="E332" s="24">
        <f t="shared" si="731"/>
        <v>14285.6</v>
      </c>
      <c r="F332" s="24">
        <f t="shared" si="731"/>
        <v>17632.099999999999</v>
      </c>
      <c r="G332" s="24">
        <f t="shared" si="731"/>
        <v>21292.474999999999</v>
      </c>
      <c r="H332" s="24">
        <f t="shared" si="731"/>
        <v>25137.200000000001</v>
      </c>
      <c r="I332" s="24">
        <f t="shared" si="731"/>
        <v>29103.81</v>
      </c>
      <c r="J332" s="24">
        <f t="shared" si="731"/>
        <v>35920.5</v>
      </c>
      <c r="K332" s="24">
        <f t="shared" si="731"/>
        <v>53878.499999999993</v>
      </c>
      <c r="L332" s="24">
        <f t="shared" si="731"/>
        <v>80963.822000000015</v>
      </c>
      <c r="M332" s="24"/>
      <c r="N332" s="24"/>
      <c r="O332" s="24"/>
      <c r="P332" s="101"/>
      <c r="Q332" s="24"/>
      <c r="R332" s="24"/>
      <c r="S332" s="24"/>
      <c r="T332" s="24"/>
      <c r="U332" s="24"/>
      <c r="V332" s="24"/>
      <c r="W332" s="24"/>
      <c r="X332" s="24"/>
      <c r="Y332" s="24"/>
      <c r="Z332" s="24"/>
      <c r="AA332" s="24"/>
      <c r="AB332" s="24"/>
      <c r="AC332" s="24">
        <f t="shared" ref="AC332:BD332" si="732">AC105</f>
        <v>13016.6</v>
      </c>
      <c r="AD332" s="24">
        <f t="shared" si="732"/>
        <v>13281.800000000001</v>
      </c>
      <c r="AE332" s="24">
        <f t="shared" si="732"/>
        <v>13576.5</v>
      </c>
      <c r="AF332" s="24">
        <f t="shared" si="732"/>
        <v>14285.6</v>
      </c>
      <c r="AG332" s="24">
        <f t="shared" si="732"/>
        <v>15112.800000000001</v>
      </c>
      <c r="AH332" s="24">
        <f t="shared" si="732"/>
        <v>16070.7</v>
      </c>
      <c r="AI332" s="24">
        <f t="shared" si="732"/>
        <v>17009.599999999999</v>
      </c>
      <c r="AJ332" s="24">
        <f t="shared" si="732"/>
        <v>17632.099999999999</v>
      </c>
      <c r="AK332" s="24">
        <f t="shared" si="732"/>
        <v>18341.099999999999</v>
      </c>
      <c r="AL332" s="24">
        <f t="shared" si="732"/>
        <v>19130.3</v>
      </c>
      <c r="AM332" s="24">
        <f t="shared" si="732"/>
        <v>20332.14</v>
      </c>
      <c r="AN332" s="24">
        <f t="shared" si="732"/>
        <v>21292.474999999999</v>
      </c>
      <c r="AO332" s="24">
        <f t="shared" si="732"/>
        <v>22206.274999999998</v>
      </c>
      <c r="AP332" s="24">
        <f t="shared" si="732"/>
        <v>23292.175000000003</v>
      </c>
      <c r="AQ332" s="24">
        <f t="shared" si="732"/>
        <v>24079.834999999999</v>
      </c>
      <c r="AR332" s="24">
        <f t="shared" si="732"/>
        <v>25137.200000000001</v>
      </c>
      <c r="AS332" s="24">
        <f t="shared" si="732"/>
        <v>26120.1</v>
      </c>
      <c r="AT332" s="24">
        <f t="shared" si="732"/>
        <v>26852.9</v>
      </c>
      <c r="AU332" s="24">
        <f t="shared" si="732"/>
        <v>27915.470999999998</v>
      </c>
      <c r="AV332" s="24">
        <f t="shared" si="732"/>
        <v>29103.810000000005</v>
      </c>
      <c r="AW332" s="24">
        <f t="shared" si="732"/>
        <v>30272.010000000002</v>
      </c>
      <c r="AX332" s="24">
        <f t="shared" si="732"/>
        <v>31896.41</v>
      </c>
      <c r="AY332" s="24">
        <f t="shared" si="732"/>
        <v>33601.172000000006</v>
      </c>
      <c r="AZ332" s="24">
        <f t="shared" si="732"/>
        <v>35920.5</v>
      </c>
      <c r="BA332" s="24">
        <f t="shared" si="732"/>
        <v>38789.016000000003</v>
      </c>
      <c r="BB332" s="24">
        <f t="shared" si="732"/>
        <v>42717.716</v>
      </c>
      <c r="BC332" s="24">
        <f t="shared" si="732"/>
        <v>48025.97</v>
      </c>
      <c r="BD332" s="24">
        <f t="shared" si="732"/>
        <v>53878.499999999993</v>
      </c>
      <c r="BE332" s="24">
        <f>BE105</f>
        <v>60459.341999999997</v>
      </c>
      <c r="BF332" s="24">
        <f>BF105</f>
        <v>69633.322999999989</v>
      </c>
      <c r="BG332" s="24">
        <f>BG105</f>
        <v>80963.822</v>
      </c>
    </row>
    <row r="333" spans="1:59" ht="13.5" customHeight="1">
      <c r="B333" s="1" t="str">
        <f t="shared" ref="B333:L333" si="733">B108</f>
        <v>Adjusted EBITDA</v>
      </c>
      <c r="C333" s="24">
        <f t="shared" si="733"/>
        <v>3761.7999999999993</v>
      </c>
      <c r="D333" s="24">
        <f t="shared" si="733"/>
        <v>4140.4999999999991</v>
      </c>
      <c r="E333" s="24">
        <f t="shared" si="733"/>
        <v>4619.4999999999991</v>
      </c>
      <c r="F333" s="24">
        <f t="shared" si="733"/>
        <v>6228.2999999999975</v>
      </c>
      <c r="G333" s="24">
        <f t="shared" si="733"/>
        <v>8788.007999999998</v>
      </c>
      <c r="H333" s="24">
        <f t="shared" si="733"/>
        <v>10426.400000000001</v>
      </c>
      <c r="I333" s="24">
        <f t="shared" si="733"/>
        <v>12270.369999999999</v>
      </c>
      <c r="J333" s="24">
        <f t="shared" si="733"/>
        <v>15013.771000000004</v>
      </c>
      <c r="K333" s="24">
        <f t="shared" si="733"/>
        <v>21993.895999999993</v>
      </c>
      <c r="L333" s="24">
        <f t="shared" si="733"/>
        <v>40245.664000000019</v>
      </c>
      <c r="M333" s="24"/>
      <c r="N333" s="24"/>
      <c r="O333" s="24"/>
      <c r="P333" s="101"/>
      <c r="Q333" s="24"/>
      <c r="R333" s="24"/>
      <c r="S333" s="24"/>
      <c r="T333" s="24"/>
      <c r="U333" s="24"/>
      <c r="V333" s="24"/>
      <c r="W333" s="24"/>
      <c r="X333" s="24"/>
      <c r="Y333" s="24"/>
      <c r="Z333" s="24"/>
      <c r="AA333" s="24"/>
      <c r="AB333" s="24"/>
      <c r="AC333" s="24">
        <f t="shared" ref="AC333:BD333" si="734">AC108</f>
        <v>4215.115260111892</v>
      </c>
      <c r="AD333" s="24">
        <f t="shared" si="734"/>
        <v>4249.5993192785236</v>
      </c>
      <c r="AE333" s="24">
        <f t="shared" si="734"/>
        <v>4306.5993192785227</v>
      </c>
      <c r="AF333" s="24">
        <f t="shared" si="734"/>
        <v>4619.4993192785241</v>
      </c>
      <c r="AG333" s="24">
        <f t="shared" si="734"/>
        <v>5017.9840591666316</v>
      </c>
      <c r="AH333" s="24">
        <f t="shared" si="734"/>
        <v>5445.7000000000007</v>
      </c>
      <c r="AI333" s="24">
        <f t="shared" si="734"/>
        <v>5860.4</v>
      </c>
      <c r="AJ333" s="24">
        <f t="shared" si="734"/>
        <v>6228.1999999999989</v>
      </c>
      <c r="AK333" s="24">
        <f t="shared" si="734"/>
        <v>6850.0999999999985</v>
      </c>
      <c r="AL333" s="24">
        <f t="shared" si="734"/>
        <v>7527.199999999998</v>
      </c>
      <c r="AM333" s="24">
        <f t="shared" si="734"/>
        <v>8287.6729999999989</v>
      </c>
      <c r="AN333" s="24">
        <f t="shared" si="734"/>
        <v>8788.007999999998</v>
      </c>
      <c r="AO333" s="24">
        <f t="shared" si="734"/>
        <v>9047.2079999999987</v>
      </c>
      <c r="AP333" s="24">
        <f t="shared" si="734"/>
        <v>9465.9080000000013</v>
      </c>
      <c r="AQ333" s="24">
        <f t="shared" si="734"/>
        <v>9911.8349999999991</v>
      </c>
      <c r="AR333" s="24">
        <f t="shared" si="734"/>
        <v>10426.400000000001</v>
      </c>
      <c r="AS333" s="24">
        <f t="shared" si="734"/>
        <v>10954.400000000001</v>
      </c>
      <c r="AT333" s="24">
        <f t="shared" si="734"/>
        <v>11225.8</v>
      </c>
      <c r="AU333" s="24">
        <f t="shared" si="734"/>
        <v>11781.027</v>
      </c>
      <c r="AV333" s="24">
        <f t="shared" si="734"/>
        <v>12270.37</v>
      </c>
      <c r="AW333" s="24">
        <f t="shared" si="734"/>
        <v>12767.770000000002</v>
      </c>
      <c r="AX333" s="24">
        <f t="shared" si="734"/>
        <v>13409.570000000003</v>
      </c>
      <c r="AY333" s="24">
        <f t="shared" si="734"/>
        <v>14045.476000000002</v>
      </c>
      <c r="AZ333" s="24">
        <f t="shared" si="734"/>
        <v>15013.771000000004</v>
      </c>
      <c r="BA333" s="24">
        <f t="shared" si="734"/>
        <v>16027.451000000003</v>
      </c>
      <c r="BB333" s="24">
        <f t="shared" si="734"/>
        <v>17591.551000000003</v>
      </c>
      <c r="BC333" s="24">
        <f t="shared" si="734"/>
        <v>19551.989000000001</v>
      </c>
      <c r="BD333" s="24">
        <f t="shared" si="734"/>
        <v>21993.896000000001</v>
      </c>
      <c r="BE333" s="24">
        <f t="shared" ref="BE333:BG334" si="735">BE108</f>
        <v>30429.917000000005</v>
      </c>
      <c r="BF333" s="24">
        <f t="shared" si="735"/>
        <v>34922.326999999997</v>
      </c>
      <c r="BG333" s="24">
        <f t="shared" si="735"/>
        <v>40245.663999999997</v>
      </c>
    </row>
    <row r="334" spans="1:59" ht="13.5" customHeight="1">
      <c r="B334" s="1" t="str">
        <f t="shared" ref="B334:L334" si="736">B109</f>
        <v>Adjusted EBITDAR</v>
      </c>
      <c r="C334" s="24">
        <f t="shared" si="736"/>
        <v>3785.7239999999993</v>
      </c>
      <c r="D334" s="24">
        <f t="shared" si="736"/>
        <v>4164.4239999999991</v>
      </c>
      <c r="E334" s="24">
        <f t="shared" si="736"/>
        <v>4649.8139999999994</v>
      </c>
      <c r="F334" s="24">
        <f t="shared" si="736"/>
        <v>6264.5799999999972</v>
      </c>
      <c r="G334" s="24">
        <f t="shared" si="736"/>
        <v>8788.007999999998</v>
      </c>
      <c r="H334" s="24">
        <f t="shared" si="736"/>
        <v>10426.400000000001</v>
      </c>
      <c r="I334" s="24">
        <f t="shared" si="736"/>
        <v>12270.369999999999</v>
      </c>
      <c r="J334" s="24">
        <f t="shared" si="736"/>
        <v>15013.771000000004</v>
      </c>
      <c r="K334" s="24">
        <f t="shared" si="736"/>
        <v>21993.895999999993</v>
      </c>
      <c r="L334" s="24">
        <f t="shared" si="736"/>
        <v>40245.664000000019</v>
      </c>
      <c r="M334" s="24"/>
      <c r="N334" s="24"/>
      <c r="O334" s="24"/>
      <c r="P334" s="101"/>
      <c r="Q334" s="24"/>
      <c r="R334" s="24"/>
      <c r="S334" s="24"/>
      <c r="T334" s="24"/>
      <c r="U334" s="24"/>
      <c r="V334" s="24"/>
      <c r="W334" s="24"/>
      <c r="X334" s="24"/>
      <c r="Y334" s="24"/>
      <c r="Z334" s="24"/>
      <c r="AA334" s="24"/>
      <c r="AB334" s="24"/>
      <c r="AC334" s="24"/>
      <c r="AD334" s="24"/>
      <c r="AE334" s="24"/>
      <c r="AF334" s="24">
        <f t="shared" ref="AF334:BD334" si="737">AF109</f>
        <v>4649.8133192785244</v>
      </c>
      <c r="AG334" s="24">
        <f t="shared" si="737"/>
        <v>5049.789559166632</v>
      </c>
      <c r="AH334" s="24">
        <f t="shared" si="737"/>
        <v>5478.9970000000003</v>
      </c>
      <c r="AI334" s="24">
        <f t="shared" si="737"/>
        <v>5895.1885000000002</v>
      </c>
      <c r="AJ334" s="24">
        <f t="shared" si="737"/>
        <v>6264.4799999999987</v>
      </c>
      <c r="AK334" s="24">
        <f t="shared" si="737"/>
        <v>6877.3099999999977</v>
      </c>
      <c r="AL334" s="24">
        <f t="shared" si="737"/>
        <v>7545.3399999999974</v>
      </c>
      <c r="AM334" s="24">
        <f t="shared" si="737"/>
        <v>8296.7429999999986</v>
      </c>
      <c r="AN334" s="24">
        <f t="shared" si="737"/>
        <v>8788.007999999998</v>
      </c>
      <c r="AO334" s="24">
        <f t="shared" si="737"/>
        <v>9047.2079999999987</v>
      </c>
      <c r="AP334" s="24">
        <f t="shared" si="737"/>
        <v>9465.9080000000013</v>
      </c>
      <c r="AQ334" s="24">
        <f t="shared" si="737"/>
        <v>9911.8349999999991</v>
      </c>
      <c r="AR334" s="24">
        <f t="shared" si="737"/>
        <v>10426.400000000001</v>
      </c>
      <c r="AS334" s="24">
        <f t="shared" si="737"/>
        <v>10954.400000000001</v>
      </c>
      <c r="AT334" s="24">
        <f t="shared" si="737"/>
        <v>11225.8</v>
      </c>
      <c r="AU334" s="24">
        <f t="shared" si="737"/>
        <v>11781.027</v>
      </c>
      <c r="AV334" s="24">
        <f t="shared" si="737"/>
        <v>12270.37</v>
      </c>
      <c r="AW334" s="24">
        <f t="shared" si="737"/>
        <v>12767.770000000002</v>
      </c>
      <c r="AX334" s="24">
        <f t="shared" si="737"/>
        <v>13409.570000000003</v>
      </c>
      <c r="AY334" s="24">
        <f t="shared" si="737"/>
        <v>14045.476000000002</v>
      </c>
      <c r="AZ334" s="24">
        <f t="shared" si="737"/>
        <v>15013.771000000004</v>
      </c>
      <c r="BA334" s="24">
        <f t="shared" si="737"/>
        <v>16027.451000000003</v>
      </c>
      <c r="BB334" s="24">
        <f t="shared" si="737"/>
        <v>17591.551000000003</v>
      </c>
      <c r="BC334" s="24">
        <f t="shared" si="737"/>
        <v>19551.989000000001</v>
      </c>
      <c r="BD334" s="24">
        <f t="shared" si="737"/>
        <v>21993.896000000001</v>
      </c>
      <c r="BE334" s="24">
        <f t="shared" si="735"/>
        <v>30429.917000000005</v>
      </c>
      <c r="BF334" s="24">
        <f t="shared" si="735"/>
        <v>34922.326999999997</v>
      </c>
      <c r="BG334" s="24">
        <f t="shared" si="735"/>
        <v>40245.663999999997</v>
      </c>
    </row>
    <row r="335" spans="1:59" ht="13.5" customHeight="1">
      <c r="B335" s="1" t="s">
        <v>549</v>
      </c>
      <c r="C335" s="156">
        <f t="shared" ref="C335:L335" si="738">C333/C332</f>
        <v>0.31234846723571025</v>
      </c>
      <c r="D335" s="156">
        <f t="shared" si="738"/>
        <v>0.32425172678434377</v>
      </c>
      <c r="E335" s="156">
        <f t="shared" si="738"/>
        <v>0.32336758694069545</v>
      </c>
      <c r="F335" s="156">
        <f t="shared" si="738"/>
        <v>0.35323642674440353</v>
      </c>
      <c r="G335" s="156">
        <f t="shared" si="738"/>
        <v>0.4127283465167858</v>
      </c>
      <c r="H335" s="156">
        <f>H333/H332</f>
        <v>0.41477968906640361</v>
      </c>
      <c r="I335" s="156">
        <f>I333/I332</f>
        <v>0.42160699922106415</v>
      </c>
      <c r="J335" s="156">
        <f>J333/J332</f>
        <v>0.41797221642237731</v>
      </c>
      <c r="K335" s="156">
        <f>K333/K332</f>
        <v>0.40821284928125312</v>
      </c>
      <c r="L335" s="156">
        <f t="shared" si="738"/>
        <v>0.49708206709905584</v>
      </c>
      <c r="M335" s="429"/>
      <c r="N335" s="59"/>
      <c r="O335" s="59"/>
      <c r="P335" s="137"/>
      <c r="Q335" s="191"/>
      <c r="R335" s="191"/>
      <c r="S335" s="191"/>
      <c r="T335" s="191"/>
      <c r="U335" s="191"/>
      <c r="V335" s="191"/>
      <c r="W335" s="191"/>
      <c r="X335" s="191"/>
      <c r="Y335" s="191"/>
      <c r="Z335" s="191"/>
      <c r="AA335" s="191"/>
      <c r="AB335" s="191"/>
      <c r="AC335" s="156">
        <f t="shared" ref="AC335:AI335" si="739">AC333/AC332</f>
        <v>0.32382613432938645</v>
      </c>
      <c r="AD335" s="156">
        <f t="shared" si="739"/>
        <v>0.31995658113196429</v>
      </c>
      <c r="AE335" s="156">
        <f t="shared" si="739"/>
        <v>0.31720983458759788</v>
      </c>
      <c r="AF335" s="156">
        <f t="shared" si="739"/>
        <v>0.32336753928981099</v>
      </c>
      <c r="AG335" s="156">
        <f t="shared" si="739"/>
        <v>0.3320353646687994</v>
      </c>
      <c r="AH335" s="156">
        <f t="shared" si="739"/>
        <v>0.33885891715980015</v>
      </c>
      <c r="AI335" s="156">
        <f t="shared" si="739"/>
        <v>0.34453485090772268</v>
      </c>
      <c r="AJ335" s="156">
        <f t="shared" ref="AJ335:AO335" si="740">AJ333/AJ332</f>
        <v>0.35323075527021736</v>
      </c>
      <c r="AK335" s="156">
        <f t="shared" si="740"/>
        <v>0.37348359694892885</v>
      </c>
      <c r="AL335" s="156">
        <f t="shared" si="740"/>
        <v>0.39347004490258902</v>
      </c>
      <c r="AM335" s="156">
        <f t="shared" si="740"/>
        <v>0.40761439769743857</v>
      </c>
      <c r="AN335" s="156">
        <f t="shared" si="740"/>
        <v>0.4127283465167858</v>
      </c>
      <c r="AO335" s="156">
        <f t="shared" si="740"/>
        <v>0.40741673243261195</v>
      </c>
      <c r="AP335" s="156">
        <f t="shared" ref="AP335:AU335" si="741">AP333/AP332</f>
        <v>0.40639862958268175</v>
      </c>
      <c r="AQ335" s="156">
        <f t="shared" si="741"/>
        <v>0.41162387532971051</v>
      </c>
      <c r="AR335" s="156">
        <f t="shared" si="741"/>
        <v>0.41477968906640361</v>
      </c>
      <c r="AS335" s="156">
        <f t="shared" si="741"/>
        <v>0.41938583696080806</v>
      </c>
      <c r="AT335" s="156">
        <f t="shared" si="741"/>
        <v>0.41804795757627661</v>
      </c>
      <c r="AU335" s="156">
        <f t="shared" si="741"/>
        <v>0.42202501258173292</v>
      </c>
      <c r="AV335" s="156">
        <f t="shared" ref="AV335:BA335" si="742">AV333/AV332</f>
        <v>0.42160699922106415</v>
      </c>
      <c r="AW335" s="156">
        <f t="shared" si="742"/>
        <v>0.42176816141379453</v>
      </c>
      <c r="AX335" s="156">
        <f t="shared" si="742"/>
        <v>0.42041000852447041</v>
      </c>
      <c r="AY335" s="156">
        <f t="shared" si="742"/>
        <v>0.41800553861633161</v>
      </c>
      <c r="AZ335" s="156">
        <f t="shared" si="742"/>
        <v>0.41797221642237731</v>
      </c>
      <c r="BA335" s="156">
        <f t="shared" si="742"/>
        <v>0.41319560671505567</v>
      </c>
      <c r="BB335" s="156">
        <f t="shared" ref="BB335:BG335" si="743">BB333/BB332</f>
        <v>0.41180925965236537</v>
      </c>
      <c r="BC335" s="156">
        <f t="shared" si="743"/>
        <v>0.40711283915764745</v>
      </c>
      <c r="BD335" s="156">
        <f t="shared" si="743"/>
        <v>0.40821284928125323</v>
      </c>
      <c r="BE335" s="156">
        <f t="shared" si="743"/>
        <v>0.50331207706494729</v>
      </c>
      <c r="BF335" s="156">
        <f t="shared" si="743"/>
        <v>0.50151745594562536</v>
      </c>
      <c r="BG335" s="156">
        <f t="shared" si="743"/>
        <v>0.49708206709905561</v>
      </c>
    </row>
    <row r="336" spans="1:59" ht="13.5" customHeight="1">
      <c r="B336" s="1" t="str">
        <f>B110</f>
        <v>LTM Rent</v>
      </c>
      <c r="C336" s="6">
        <f t="shared" ref="C336:L336" si="744">C74</f>
        <v>23.923999999999999</v>
      </c>
      <c r="D336" s="6">
        <f t="shared" si="744"/>
        <v>23.923999999999999</v>
      </c>
      <c r="E336" s="6">
        <f t="shared" si="744"/>
        <v>30.314</v>
      </c>
      <c r="F336" s="6">
        <f t="shared" si="744"/>
        <v>36.28</v>
      </c>
      <c r="G336" s="6">
        <f t="shared" si="744"/>
        <v>0</v>
      </c>
      <c r="H336" s="6">
        <f t="shared" si="744"/>
        <v>0</v>
      </c>
      <c r="I336" s="6">
        <f t="shared" si="744"/>
        <v>0</v>
      </c>
      <c r="J336" s="6">
        <f t="shared" si="744"/>
        <v>0</v>
      </c>
      <c r="K336" s="6">
        <f t="shared" si="744"/>
        <v>0</v>
      </c>
      <c r="L336" s="6">
        <f t="shared" si="744"/>
        <v>0</v>
      </c>
      <c r="M336" s="6"/>
      <c r="N336" s="24"/>
      <c r="O336" s="24"/>
      <c r="P336" s="101"/>
      <c r="Q336" s="24"/>
      <c r="R336" s="24"/>
      <c r="S336" s="24"/>
      <c r="T336" s="24"/>
      <c r="U336" s="24"/>
      <c r="V336" s="24"/>
      <c r="W336" s="24"/>
      <c r="X336" s="24"/>
      <c r="Y336" s="24"/>
      <c r="Z336" s="24"/>
      <c r="AA336" s="24"/>
      <c r="AB336" s="24"/>
      <c r="AC336" s="6"/>
      <c r="AD336" s="6"/>
      <c r="AE336" s="6"/>
      <c r="AF336" s="6">
        <f t="shared" ref="AF336:BD336" si="745">AF74</f>
        <v>7.5785</v>
      </c>
      <c r="AG336" s="6">
        <f t="shared" si="745"/>
        <v>9.07</v>
      </c>
      <c r="AH336" s="6">
        <f t="shared" si="745"/>
        <v>9.07</v>
      </c>
      <c r="AI336" s="6">
        <f t="shared" si="745"/>
        <v>9.07</v>
      </c>
      <c r="AJ336" s="6">
        <f t="shared" si="745"/>
        <v>9.07</v>
      </c>
      <c r="AK336" s="6">
        <f t="shared" si="745"/>
        <v>0</v>
      </c>
      <c r="AL336" s="6">
        <f t="shared" si="745"/>
        <v>0</v>
      </c>
      <c r="AM336" s="6">
        <f t="shared" si="745"/>
        <v>0</v>
      </c>
      <c r="AN336" s="6">
        <f t="shared" si="745"/>
        <v>0</v>
      </c>
      <c r="AO336" s="6">
        <f t="shared" si="745"/>
        <v>0</v>
      </c>
      <c r="AP336" s="6">
        <f t="shared" si="745"/>
        <v>0</v>
      </c>
      <c r="AQ336" s="6">
        <f t="shared" si="745"/>
        <v>0</v>
      </c>
      <c r="AR336" s="6">
        <f t="shared" si="745"/>
        <v>0</v>
      </c>
      <c r="AS336" s="6">
        <f t="shared" si="745"/>
        <v>0</v>
      </c>
      <c r="AT336" s="6">
        <f t="shared" si="745"/>
        <v>0</v>
      </c>
      <c r="AU336" s="6">
        <f t="shared" si="745"/>
        <v>0</v>
      </c>
      <c r="AV336" s="6">
        <f t="shared" si="745"/>
        <v>0</v>
      </c>
      <c r="AW336" s="6">
        <f t="shared" si="745"/>
        <v>0</v>
      </c>
      <c r="AX336" s="6">
        <f t="shared" si="745"/>
        <v>0</v>
      </c>
      <c r="AY336" s="6">
        <f t="shared" si="745"/>
        <v>0</v>
      </c>
      <c r="AZ336" s="6">
        <f t="shared" si="745"/>
        <v>0</v>
      </c>
      <c r="BA336" s="6">
        <f t="shared" si="745"/>
        <v>0</v>
      </c>
      <c r="BB336" s="6">
        <f t="shared" si="745"/>
        <v>0</v>
      </c>
      <c r="BC336" s="6">
        <f t="shared" si="745"/>
        <v>0</v>
      </c>
      <c r="BD336" s="6">
        <f t="shared" si="745"/>
        <v>0</v>
      </c>
      <c r="BE336" s="6">
        <f>BE74</f>
        <v>0</v>
      </c>
      <c r="BF336" s="6">
        <f>BF74</f>
        <v>0</v>
      </c>
      <c r="BG336" s="6">
        <f>BG74</f>
        <v>0</v>
      </c>
    </row>
    <row r="337" spans="2:59" ht="13.5" customHeight="1">
      <c r="B337" s="1" t="str">
        <f>B111</f>
        <v>Cash interest paid</v>
      </c>
      <c r="C337" s="24">
        <f t="shared" ref="C337:L337" si="746">-C111</f>
        <v>-94.106999999999999</v>
      </c>
      <c r="D337" s="24">
        <f t="shared" si="746"/>
        <v>-153.529</v>
      </c>
      <c r="E337" s="24">
        <f t="shared" si="746"/>
        <v>-434.52100000000002</v>
      </c>
      <c r="F337" s="24">
        <f t="shared" si="746"/>
        <v>-909.88099999999997</v>
      </c>
      <c r="G337" s="24">
        <f t="shared" si="746"/>
        <v>-1658.308</v>
      </c>
      <c r="H337" s="24">
        <f t="shared" si="746"/>
        <v>-2090.7179999999998</v>
      </c>
      <c r="I337" s="24">
        <f t="shared" si="746"/>
        <v>-1653.675</v>
      </c>
      <c r="J337" s="24">
        <f t="shared" si="746"/>
        <v>-1822.8150000000001</v>
      </c>
      <c r="K337" s="24">
        <f t="shared" si="746"/>
        <v>-3087.2339999999999</v>
      </c>
      <c r="L337" s="24">
        <f t="shared" si="746"/>
        <v>-4495.5859999999993</v>
      </c>
      <c r="M337" s="24"/>
      <c r="N337" s="24"/>
      <c r="O337" s="24"/>
      <c r="P337" s="101"/>
      <c r="Q337" s="24"/>
      <c r="R337" s="24"/>
      <c r="S337" s="24"/>
      <c r="T337" s="24"/>
      <c r="U337" s="24"/>
      <c r="V337" s="24"/>
      <c r="W337" s="24"/>
      <c r="X337" s="24"/>
      <c r="Y337" s="24"/>
      <c r="Z337" s="24"/>
      <c r="AA337" s="24"/>
      <c r="AB337" s="24"/>
      <c r="AC337" s="24"/>
      <c r="AD337" s="24"/>
      <c r="AE337" s="24"/>
      <c r="AF337" s="24">
        <f t="shared" ref="AF337:BD337" si="747">-AF111</f>
        <v>-434.52100000000002</v>
      </c>
      <c r="AG337" s="24">
        <f t="shared" si="747"/>
        <v>-499.09300000000002</v>
      </c>
      <c r="AH337" s="24">
        <f t="shared" si="747"/>
        <v>-691.23599999999999</v>
      </c>
      <c r="AI337" s="24">
        <f t="shared" si="747"/>
        <v>-740.46199999999999</v>
      </c>
      <c r="AJ337" s="24">
        <f t="shared" si="747"/>
        <v>-909.88099999999997</v>
      </c>
      <c r="AK337" s="24">
        <f t="shared" si="747"/>
        <v>-978.49199999999996</v>
      </c>
      <c r="AL337" s="24">
        <f t="shared" si="747"/>
        <v>-1074.6179999999999</v>
      </c>
      <c r="AM337" s="24">
        <f t="shared" si="747"/>
        <v>-1180.0810000000001</v>
      </c>
      <c r="AN337" s="24">
        <f t="shared" si="747"/>
        <v>-1658.308</v>
      </c>
      <c r="AO337" s="24">
        <f t="shared" si="747"/>
        <v>-2120.3510000000001</v>
      </c>
      <c r="AP337" s="24">
        <f t="shared" si="747"/>
        <v>-2112.9230000000002</v>
      </c>
      <c r="AQ337" s="24">
        <f t="shared" si="747"/>
        <v>-2227.1900000000005</v>
      </c>
      <c r="AR337" s="24">
        <f t="shared" si="747"/>
        <v>-2090.7179999999998</v>
      </c>
      <c r="AS337" s="24">
        <f t="shared" si="747"/>
        <v>-1634.5299999999997</v>
      </c>
      <c r="AT337" s="24">
        <f t="shared" si="747"/>
        <v>-1916.4509999999996</v>
      </c>
      <c r="AU337" s="24">
        <f t="shared" si="747"/>
        <v>-1933.2429999999995</v>
      </c>
      <c r="AV337" s="24">
        <f t="shared" si="747"/>
        <v>-1653.675</v>
      </c>
      <c r="AW337" s="24">
        <f t="shared" si="747"/>
        <v>-1592.2789999999998</v>
      </c>
      <c r="AX337" s="24">
        <f t="shared" si="747"/>
        <v>-1670.2489999999998</v>
      </c>
      <c r="AY337" s="24">
        <f t="shared" si="747"/>
        <v>-1522.74</v>
      </c>
      <c r="AZ337" s="24">
        <f t="shared" si="747"/>
        <v>-1822.8150000000001</v>
      </c>
      <c r="BA337" s="24">
        <f t="shared" si="747"/>
        <v>-1965.6980000000001</v>
      </c>
      <c r="BB337" s="24">
        <f t="shared" si="747"/>
        <v>-2443.7400000000002</v>
      </c>
      <c r="BC337" s="24">
        <f t="shared" si="747"/>
        <v>-2523.0870000000004</v>
      </c>
      <c r="BD337" s="24">
        <f t="shared" si="747"/>
        <v>-3087.2339999999995</v>
      </c>
      <c r="BE337" s="24">
        <f>-BE111</f>
        <v>-3296.3299999999995</v>
      </c>
      <c r="BF337" s="24">
        <f>-BF111</f>
        <v>-4473.8389999999999</v>
      </c>
      <c r="BG337" s="24">
        <f>-BG111</f>
        <v>-4495.5859999999993</v>
      </c>
    </row>
    <row r="338" spans="2:59" ht="13.5" customHeight="1">
      <c r="B338" s="1" t="str">
        <f>B113</f>
        <v>Capex</v>
      </c>
      <c r="C338" s="24">
        <f t="shared" ref="C338:L338" si="748">-C113</f>
        <v>-1553.59</v>
      </c>
      <c r="D338" s="24">
        <f t="shared" si="748"/>
        <v>-2135.3580000000002</v>
      </c>
      <c r="E338" s="24">
        <f t="shared" si="748"/>
        <v>-2572.4009999999998</v>
      </c>
      <c r="F338" s="24">
        <f t="shared" si="748"/>
        <v>-2937.1950000000002</v>
      </c>
      <c r="G338" s="24">
        <f t="shared" si="748"/>
        <v>-2960.6480000000001</v>
      </c>
      <c r="H338" s="24">
        <f t="shared" si="748"/>
        <v>-3195.069</v>
      </c>
      <c r="I338" s="24">
        <f t="shared" si="748"/>
        <v>-3904.4430000000002</v>
      </c>
      <c r="J338" s="24">
        <f t="shared" si="748"/>
        <v>-5568.3</v>
      </c>
      <c r="K338" s="24">
        <f t="shared" si="748"/>
        <v>-7216.3</v>
      </c>
      <c r="L338" s="24">
        <f t="shared" si="748"/>
        <v>-11035.52</v>
      </c>
      <c r="M338" s="24"/>
      <c r="N338" s="24"/>
      <c r="O338" s="24"/>
      <c r="P338" s="101"/>
      <c r="Q338" s="24"/>
      <c r="R338" s="24"/>
      <c r="S338" s="24"/>
      <c r="T338" s="24"/>
      <c r="U338" s="24"/>
      <c r="V338" s="24"/>
      <c r="W338" s="24"/>
      <c r="X338" s="24"/>
      <c r="Y338" s="24"/>
      <c r="Z338" s="24"/>
      <c r="AA338" s="24"/>
      <c r="AB338" s="24"/>
      <c r="AC338" s="24"/>
      <c r="AD338" s="24"/>
      <c r="AE338" s="24"/>
      <c r="AF338" s="24">
        <f t="shared" ref="AF338:BD338" si="749">-AF113</f>
        <v>-2572.4009999999998</v>
      </c>
      <c r="AG338" s="24">
        <f t="shared" si="749"/>
        <v>-2368.3669999999997</v>
      </c>
      <c r="AH338" s="24">
        <f t="shared" si="749"/>
        <v>-2159.7509999999997</v>
      </c>
      <c r="AI338" s="24">
        <f t="shared" si="749"/>
        <v>-2394.8150000000001</v>
      </c>
      <c r="AJ338" s="24">
        <f t="shared" si="749"/>
        <v>-2937.1950000000002</v>
      </c>
      <c r="AK338" s="24">
        <f t="shared" si="749"/>
        <v>-3103.5460000000003</v>
      </c>
      <c r="AL338" s="24">
        <f t="shared" si="749"/>
        <v>-3158.4410000000003</v>
      </c>
      <c r="AM338" s="24">
        <f t="shared" si="749"/>
        <v>-3248.3500000000004</v>
      </c>
      <c r="AN338" s="24">
        <f t="shared" si="749"/>
        <v>-2960.6480000000001</v>
      </c>
      <c r="AO338" s="24">
        <f t="shared" si="749"/>
        <v>-2928.2139999999999</v>
      </c>
      <c r="AP338" s="24">
        <f t="shared" si="749"/>
        <v>-3088.5099999999998</v>
      </c>
      <c r="AQ338" s="24">
        <f t="shared" si="749"/>
        <v>-3061.0880000000002</v>
      </c>
      <c r="AR338" s="24">
        <f t="shared" si="749"/>
        <v>-3195.069</v>
      </c>
      <c r="AS338" s="24">
        <f t="shared" si="749"/>
        <v>-3152.502</v>
      </c>
      <c r="AT338" s="24">
        <f t="shared" si="749"/>
        <v>-3327.2709999999997</v>
      </c>
      <c r="AU338" s="24">
        <f t="shared" si="749"/>
        <v>-3735.6559999999999</v>
      </c>
      <c r="AV338" s="24">
        <f t="shared" si="749"/>
        <v>-3904.4430000000002</v>
      </c>
      <c r="AW338" s="24">
        <f t="shared" si="749"/>
        <v>-4456.5480000000007</v>
      </c>
      <c r="AX338" s="24">
        <f t="shared" si="749"/>
        <v>-4976.6220000000003</v>
      </c>
      <c r="AY338" s="24">
        <f t="shared" si="749"/>
        <v>-4758.496000000001</v>
      </c>
      <c r="AZ338" s="24">
        <f t="shared" si="749"/>
        <v>-5568.2999999999993</v>
      </c>
      <c r="BA338" s="24">
        <f t="shared" si="749"/>
        <v>-5685.9839999999995</v>
      </c>
      <c r="BB338" s="24">
        <f t="shared" si="749"/>
        <v>-5784.6409999999996</v>
      </c>
      <c r="BC338" s="24">
        <f t="shared" si="749"/>
        <v>-6341.6539999999995</v>
      </c>
      <c r="BD338" s="24">
        <f t="shared" si="749"/>
        <v>-7216.3</v>
      </c>
      <c r="BE338" s="24">
        <f>-BE113</f>
        <v>-8305.2389999999996</v>
      </c>
      <c r="BF338" s="24">
        <f>-BF113</f>
        <v>-9575.1409999999996</v>
      </c>
      <c r="BG338" s="24">
        <f>-BG113</f>
        <v>-11035.52</v>
      </c>
    </row>
    <row r="339" spans="2:59" ht="13.5" customHeight="1">
      <c r="B339" s="1" t="str">
        <f>B114</f>
        <v xml:space="preserve">Free cash flow </v>
      </c>
      <c r="C339" s="24">
        <f t="shared" ref="C339:L339" si="750">C114</f>
        <v>1181.8469999999991</v>
      </c>
      <c r="D339" s="24">
        <f t="shared" si="750"/>
        <v>-797.52900000000113</v>
      </c>
      <c r="E339" s="24">
        <f t="shared" si="750"/>
        <v>-485.48500000000081</v>
      </c>
      <c r="F339" s="24">
        <f t="shared" si="750"/>
        <v>1387.0059999999967</v>
      </c>
      <c r="G339" s="24">
        <f t="shared" si="750"/>
        <v>683.10099999999738</v>
      </c>
      <c r="H339" s="24">
        <f t="shared" si="750"/>
        <v>3380.7180000000026</v>
      </c>
      <c r="I339" s="24">
        <f t="shared" si="750"/>
        <v>2645.5090000000005</v>
      </c>
      <c r="J339" s="24">
        <f t="shared" si="750"/>
        <v>1735.4880000000044</v>
      </c>
      <c r="K339" s="24">
        <f t="shared" si="750"/>
        <v>-2019.3120000000044</v>
      </c>
      <c r="L339" s="24">
        <f t="shared" si="750"/>
        <v>4805.1710000000185</v>
      </c>
      <c r="M339" s="24"/>
      <c r="N339" s="24"/>
      <c r="O339" s="24"/>
      <c r="P339" s="101"/>
      <c r="Q339" s="24"/>
      <c r="R339" s="24"/>
      <c r="S339" s="24"/>
      <c r="T339" s="24"/>
      <c r="U339" s="24"/>
      <c r="V339" s="24"/>
      <c r="W339" s="24"/>
      <c r="X339" s="24"/>
      <c r="Y339" s="24"/>
      <c r="Z339" s="24"/>
      <c r="AA339" s="24"/>
      <c r="AB339" s="24"/>
      <c r="AC339" s="24"/>
      <c r="AD339" s="24"/>
      <c r="AE339" s="24"/>
      <c r="AF339" s="24">
        <f t="shared" ref="AF339:BD339" si="751">AF114</f>
        <v>-485.48568072147589</v>
      </c>
      <c r="AG339" s="24">
        <f t="shared" si="751"/>
        <v>323.635059166632</v>
      </c>
      <c r="AH339" s="24">
        <f t="shared" si="751"/>
        <v>1194.1760000000011</v>
      </c>
      <c r="AI339" s="24">
        <f t="shared" si="751"/>
        <v>554.05700000000127</v>
      </c>
      <c r="AJ339" s="24">
        <f t="shared" si="751"/>
        <v>1386.905999999999</v>
      </c>
      <c r="AK339" s="24">
        <f t="shared" si="751"/>
        <v>124.43799999999834</v>
      </c>
      <c r="AL339" s="24">
        <f t="shared" si="751"/>
        <v>1254.0849999999975</v>
      </c>
      <c r="AM339" s="24">
        <f t="shared" si="751"/>
        <v>706.13999999999817</v>
      </c>
      <c r="AN339" s="24">
        <f t="shared" si="751"/>
        <v>683.10099999999795</v>
      </c>
      <c r="AO339" s="24">
        <f t="shared" si="751"/>
        <v>141.42999999999859</v>
      </c>
      <c r="AP339" s="24">
        <f t="shared" si="751"/>
        <v>2919.5329999999999</v>
      </c>
      <c r="AQ339" s="24">
        <f t="shared" si="751"/>
        <v>3233.6879999999978</v>
      </c>
      <c r="AR339" s="24">
        <f t="shared" si="751"/>
        <v>3380.7179999999998</v>
      </c>
      <c r="AS339" s="24">
        <f t="shared" si="751"/>
        <v>4458.9590000000007</v>
      </c>
      <c r="AT339" s="24">
        <f t="shared" si="751"/>
        <v>1764.2089999999996</v>
      </c>
      <c r="AU339" s="24">
        <f t="shared" si="751"/>
        <v>2739.5589999999993</v>
      </c>
      <c r="AV339" s="24">
        <f t="shared" si="751"/>
        <v>2645.5090000000014</v>
      </c>
      <c r="AW339" s="24">
        <f t="shared" si="751"/>
        <v>3191.7680000000023</v>
      </c>
      <c r="AX339" s="24">
        <f t="shared" si="751"/>
        <v>3015.7570000000019</v>
      </c>
      <c r="AY339" s="24">
        <f t="shared" si="751"/>
        <v>2457.1050000000032</v>
      </c>
      <c r="AZ339" s="24">
        <f t="shared" si="751"/>
        <v>1735.4880000000044</v>
      </c>
      <c r="BA339" s="24">
        <f t="shared" si="751"/>
        <v>-8.4219999999988886</v>
      </c>
      <c r="BB339" s="24">
        <f t="shared" si="751"/>
        <v>-3649.0519999999983</v>
      </c>
      <c r="BC339" s="24">
        <f t="shared" si="751"/>
        <v>-3674.7069999999976</v>
      </c>
      <c r="BD339" s="24">
        <f t="shared" si="751"/>
        <v>-2019.3119999999954</v>
      </c>
      <c r="BE339" s="24">
        <f>BE114</f>
        <v>4688.9160000000084</v>
      </c>
      <c r="BF339" s="24">
        <f>BF114</f>
        <v>3839.323000000003</v>
      </c>
      <c r="BG339" s="24">
        <f>BG114</f>
        <v>4805.1710000000021</v>
      </c>
    </row>
    <row r="340" spans="2:59" ht="13.5" customHeight="1">
      <c r="B340" s="1" t="s">
        <v>64</v>
      </c>
      <c r="C340" s="24">
        <f t="shared" ref="C340:L340" si="752">C141</f>
        <v>9031.8809999999994</v>
      </c>
      <c r="D340" s="24">
        <f t="shared" si="752"/>
        <v>2918.7959999999998</v>
      </c>
      <c r="E340" s="24">
        <f t="shared" si="752"/>
        <v>6052.3519999999999</v>
      </c>
      <c r="F340" s="24">
        <f t="shared" si="752"/>
        <v>4712.3329999999996</v>
      </c>
      <c r="G340" s="24">
        <f t="shared" si="752"/>
        <v>7419.2389999999996</v>
      </c>
      <c r="H340" s="24">
        <f t="shared" si="752"/>
        <v>10238.715</v>
      </c>
      <c r="I340" s="24">
        <f t="shared" si="752"/>
        <v>11860.555</v>
      </c>
      <c r="J340" s="24">
        <f t="shared" si="752"/>
        <v>18619.881000000001</v>
      </c>
      <c r="K340" s="24">
        <f t="shared" si="752"/>
        <v>25940.065999999999</v>
      </c>
      <c r="L340" s="24">
        <f t="shared" si="752"/>
        <v>39053.480000000003</v>
      </c>
      <c r="M340" s="24"/>
      <c r="N340" s="24"/>
      <c r="O340" s="24"/>
      <c r="P340" s="101"/>
      <c r="Q340" s="24"/>
      <c r="R340" s="24"/>
      <c r="S340" s="24"/>
      <c r="T340" s="24"/>
      <c r="U340" s="24"/>
      <c r="V340" s="24"/>
      <c r="W340" s="24"/>
      <c r="X340" s="24"/>
      <c r="Y340" s="24"/>
      <c r="Z340" s="24"/>
      <c r="AA340" s="24"/>
      <c r="AB340" s="24"/>
      <c r="AC340" s="24">
        <f t="shared" ref="AC340:BD340" si="753">AC141</f>
        <v>2522.4119999999998</v>
      </c>
      <c r="AD340" s="24">
        <f t="shared" si="753"/>
        <v>3769.4160000000002</v>
      </c>
      <c r="AE340" s="24">
        <f t="shared" si="753"/>
        <v>5646.2049999999999</v>
      </c>
      <c r="AF340" s="24">
        <f t="shared" si="753"/>
        <v>6052.3519999999999</v>
      </c>
      <c r="AG340" s="24">
        <f t="shared" si="753"/>
        <v>6450.5</v>
      </c>
      <c r="AH340" s="24">
        <f t="shared" si="753"/>
        <v>4994.5190000000002</v>
      </c>
      <c r="AI340" s="24">
        <f t="shared" si="753"/>
        <v>4906.4579999999996</v>
      </c>
      <c r="AJ340" s="24">
        <f t="shared" si="753"/>
        <v>4712.3329999999996</v>
      </c>
      <c r="AK340" s="24">
        <f t="shared" si="753"/>
        <v>4589.6540000000005</v>
      </c>
      <c r="AL340" s="24">
        <f t="shared" si="753"/>
        <v>7080.8530000000001</v>
      </c>
      <c r="AM340" s="24">
        <f t="shared" si="753"/>
        <v>8749.1910000000007</v>
      </c>
      <c r="AN340" s="24">
        <f t="shared" si="753"/>
        <v>7419.2389999999996</v>
      </c>
      <c r="AO340" s="24">
        <f t="shared" si="753"/>
        <v>8888.2510000000002</v>
      </c>
      <c r="AP340" s="24">
        <f t="shared" si="753"/>
        <v>10686.732</v>
      </c>
      <c r="AQ340" s="24">
        <f t="shared" si="753"/>
        <v>10975.382</v>
      </c>
      <c r="AR340" s="24">
        <f t="shared" si="753"/>
        <v>10238.715</v>
      </c>
      <c r="AS340" s="24">
        <f t="shared" si="753"/>
        <v>9212.1650000000009</v>
      </c>
      <c r="AT340" s="24">
        <f t="shared" si="753"/>
        <v>10929.097</v>
      </c>
      <c r="AU340" s="24">
        <f t="shared" si="753"/>
        <v>13523.927</v>
      </c>
      <c r="AV340" s="24">
        <f t="shared" si="753"/>
        <v>11860.555</v>
      </c>
      <c r="AW340" s="24">
        <f t="shared" si="753"/>
        <v>13420.739</v>
      </c>
      <c r="AX340" s="24">
        <f t="shared" si="753"/>
        <v>12433.156000000001</v>
      </c>
      <c r="AY340" s="24">
        <f t="shared" si="753"/>
        <v>12317.463</v>
      </c>
      <c r="AZ340" s="24">
        <f t="shared" si="753"/>
        <v>18619.881000000001</v>
      </c>
      <c r="BA340" s="24">
        <f t="shared" si="753"/>
        <v>18789.143</v>
      </c>
      <c r="BB340" s="24">
        <f t="shared" si="753"/>
        <v>21934.702000000001</v>
      </c>
      <c r="BC340" s="24">
        <f t="shared" si="753"/>
        <v>24323.388999999999</v>
      </c>
      <c r="BD340" s="24">
        <f t="shared" si="753"/>
        <v>25940.065999999999</v>
      </c>
      <c r="BE340" s="24">
        <f>BE141</f>
        <v>27293.321</v>
      </c>
      <c r="BF340" s="24">
        <f>BF141</f>
        <v>34959.300999999999</v>
      </c>
      <c r="BG340" s="24">
        <f>BG141</f>
        <v>39053.480000000003</v>
      </c>
    </row>
    <row r="341" spans="2:59" ht="13.5" customHeight="1">
      <c r="B341" s="1" t="s">
        <v>550</v>
      </c>
      <c r="C341" s="24">
        <f t="shared" ref="C341:L341" si="754">C152</f>
        <v>3698.4940000000006</v>
      </c>
      <c r="D341" s="24">
        <f t="shared" si="754"/>
        <v>4214.24</v>
      </c>
      <c r="E341" s="24">
        <f t="shared" si="754"/>
        <v>9781.1620000000003</v>
      </c>
      <c r="F341" s="24">
        <f t="shared" si="754"/>
        <v>12536.148999999999</v>
      </c>
      <c r="G341" s="24">
        <f t="shared" si="754"/>
        <v>18741.589</v>
      </c>
      <c r="H341" s="24">
        <f t="shared" si="754"/>
        <v>18772.672000000002</v>
      </c>
      <c r="I341" s="24">
        <f t="shared" si="754"/>
        <v>19487.536</v>
      </c>
      <c r="J341" s="24">
        <f t="shared" si="754"/>
        <v>33872.267999999996</v>
      </c>
      <c r="K341" s="24">
        <f t="shared" si="754"/>
        <v>50799.118999999999</v>
      </c>
      <c r="L341" s="24">
        <f t="shared" si="754"/>
        <v>79298.659</v>
      </c>
      <c r="M341" s="24"/>
      <c r="N341" s="24"/>
      <c r="O341" s="24"/>
      <c r="P341" s="101"/>
      <c r="Q341" s="24"/>
      <c r="R341" s="24"/>
      <c r="S341" s="24"/>
      <c r="T341" s="24"/>
      <c r="U341" s="24"/>
      <c r="V341" s="24"/>
      <c r="W341" s="24"/>
      <c r="X341" s="24"/>
      <c r="Y341" s="24"/>
      <c r="Z341" s="24"/>
      <c r="AA341" s="24"/>
      <c r="AB341" s="24"/>
      <c r="AC341" s="24">
        <f t="shared" ref="AC341:BD341" si="755">AC152</f>
        <v>4031.3839999999996</v>
      </c>
      <c r="AD341" s="24">
        <f t="shared" si="755"/>
        <v>7345.842999999998</v>
      </c>
      <c r="AE341" s="24">
        <f t="shared" si="755"/>
        <v>8180.88</v>
      </c>
      <c r="AF341" s="24">
        <f t="shared" si="755"/>
        <v>9781.1620000000003</v>
      </c>
      <c r="AG341" s="24">
        <f t="shared" si="755"/>
        <v>10730.056</v>
      </c>
      <c r="AH341" s="24">
        <f t="shared" si="755"/>
        <v>11197.421999999999</v>
      </c>
      <c r="AI341" s="24">
        <f t="shared" si="755"/>
        <v>11866.983</v>
      </c>
      <c r="AJ341" s="24">
        <f t="shared" si="755"/>
        <v>12536.148999999999</v>
      </c>
      <c r="AK341" s="24">
        <f t="shared" si="755"/>
        <v>15130.450999999999</v>
      </c>
      <c r="AL341" s="24">
        <f t="shared" si="755"/>
        <v>18388.626</v>
      </c>
      <c r="AM341" s="24">
        <f t="shared" si="755"/>
        <v>23055.098000000002</v>
      </c>
      <c r="AN341" s="24">
        <f t="shared" si="755"/>
        <v>18741.589</v>
      </c>
      <c r="AO341" s="24">
        <f t="shared" si="755"/>
        <v>21457.146999999997</v>
      </c>
      <c r="AP341" s="24">
        <f t="shared" si="755"/>
        <v>20485.147000000001</v>
      </c>
      <c r="AQ341" s="24">
        <f t="shared" si="755"/>
        <v>19131.190000000002</v>
      </c>
      <c r="AR341" s="24">
        <f t="shared" si="755"/>
        <v>18772.672000000002</v>
      </c>
      <c r="AS341" s="24">
        <f t="shared" si="755"/>
        <v>18017.788</v>
      </c>
      <c r="AT341" s="24">
        <f t="shared" si="755"/>
        <v>18290.477999999999</v>
      </c>
      <c r="AU341" s="24">
        <f t="shared" si="755"/>
        <v>20775.906000000003</v>
      </c>
      <c r="AV341" s="24">
        <f t="shared" si="755"/>
        <v>19487.536</v>
      </c>
      <c r="AW341" s="24">
        <f t="shared" si="755"/>
        <v>22648.023999999998</v>
      </c>
      <c r="AX341" s="24">
        <f t="shared" si="755"/>
        <v>21905.471000000001</v>
      </c>
      <c r="AY341" s="24">
        <f t="shared" si="755"/>
        <v>22648.478999999999</v>
      </c>
      <c r="AZ341" s="24">
        <f t="shared" si="755"/>
        <v>33872.267999999996</v>
      </c>
      <c r="BA341" s="24">
        <f t="shared" si="755"/>
        <v>37871.728999999999</v>
      </c>
      <c r="BB341" s="24">
        <f t="shared" si="755"/>
        <v>45037.569000000003</v>
      </c>
      <c r="BC341" s="24">
        <f t="shared" si="755"/>
        <v>48813.826000000001</v>
      </c>
      <c r="BD341" s="24">
        <f t="shared" si="755"/>
        <v>50799.118999999999</v>
      </c>
      <c r="BE341" s="24">
        <f>BE152</f>
        <v>55094.937000000005</v>
      </c>
      <c r="BF341" s="24">
        <f>BF152</f>
        <v>73261.353999999992</v>
      </c>
      <c r="BG341" s="24">
        <f>BG152</f>
        <v>79298.659</v>
      </c>
    </row>
    <row r="342" spans="2:59" ht="13.5" customHeight="1">
      <c r="B342" s="1" t="s">
        <v>551</v>
      </c>
      <c r="C342" s="24">
        <f>C160</f>
        <v>3889.8860000000004</v>
      </c>
      <c r="D342" s="24">
        <f>D160</f>
        <v>4405.6319999999996</v>
      </c>
      <c r="E342" s="24">
        <f>E160</f>
        <v>10023.674000000001</v>
      </c>
      <c r="F342" s="24">
        <f>F160</f>
        <v>12826.388999999999</v>
      </c>
      <c r="G342" s="24">
        <f t="shared" ref="G342:L342" si="756">G155</f>
        <v>20155.544999999998</v>
      </c>
      <c r="H342" s="24">
        <f t="shared" si="756"/>
        <v>20305.727000000003</v>
      </c>
      <c r="I342" s="24">
        <f t="shared" si="756"/>
        <v>21586.421999999999</v>
      </c>
      <c r="J342" s="24">
        <f t="shared" si="756"/>
        <v>36778.132999999994</v>
      </c>
      <c r="K342" s="24">
        <f t="shared" si="756"/>
        <v>53854.35</v>
      </c>
      <c r="L342" s="24">
        <f t="shared" si="756"/>
        <v>83452.188999999998</v>
      </c>
      <c r="M342" s="24"/>
      <c r="N342" s="24"/>
      <c r="O342" s="24"/>
      <c r="P342" s="101"/>
      <c r="Q342" s="24"/>
      <c r="R342" s="24"/>
      <c r="S342" s="24"/>
      <c r="T342" s="24"/>
      <c r="U342" s="24"/>
      <c r="V342" s="24"/>
      <c r="W342" s="24"/>
      <c r="X342" s="24"/>
      <c r="Y342" s="24"/>
      <c r="Z342" s="24"/>
      <c r="AA342" s="24"/>
      <c r="AB342" s="24"/>
      <c r="AC342" s="24">
        <f t="shared" ref="AC342:AM342" si="757">AC160</f>
        <v>4273.8959999999997</v>
      </c>
      <c r="AD342" s="24">
        <f t="shared" si="757"/>
        <v>7588.3549999999977</v>
      </c>
      <c r="AE342" s="24">
        <f t="shared" si="757"/>
        <v>8423.3919999999998</v>
      </c>
      <c r="AF342" s="24">
        <f t="shared" si="757"/>
        <v>10023.674000000001</v>
      </c>
      <c r="AG342" s="24">
        <f t="shared" si="757"/>
        <v>11020.296</v>
      </c>
      <c r="AH342" s="24">
        <f t="shared" si="757"/>
        <v>11487.661999999998</v>
      </c>
      <c r="AI342" s="24">
        <f t="shared" si="757"/>
        <v>12157.223</v>
      </c>
      <c r="AJ342" s="24">
        <f t="shared" si="757"/>
        <v>12826.388999999999</v>
      </c>
      <c r="AK342" s="24">
        <f t="shared" si="757"/>
        <v>15130.450999999999</v>
      </c>
      <c r="AL342" s="24">
        <f t="shared" si="757"/>
        <v>18388.626</v>
      </c>
      <c r="AM342" s="24">
        <f t="shared" si="757"/>
        <v>23055.098000000002</v>
      </c>
      <c r="AN342" s="24">
        <f t="shared" ref="AN342:BD342" si="758">AN155</f>
        <v>20155.544999999998</v>
      </c>
      <c r="AO342" s="24">
        <f t="shared" si="758"/>
        <v>22866.869999999995</v>
      </c>
      <c r="AP342" s="24">
        <f t="shared" si="758"/>
        <v>22062.019</v>
      </c>
      <c r="AQ342" s="24">
        <f t="shared" si="758"/>
        <v>20675.172000000002</v>
      </c>
      <c r="AR342" s="24">
        <f t="shared" si="758"/>
        <v>20305.727000000003</v>
      </c>
      <c r="AS342" s="24">
        <f t="shared" si="758"/>
        <v>19499.897000000001</v>
      </c>
      <c r="AT342" s="24">
        <f t="shared" si="758"/>
        <v>19776.401999999998</v>
      </c>
      <c r="AU342" s="24">
        <f t="shared" si="758"/>
        <v>22840.769000000004</v>
      </c>
      <c r="AV342" s="24">
        <f t="shared" si="758"/>
        <v>21586.421999999999</v>
      </c>
      <c r="AW342" s="24">
        <f t="shared" si="758"/>
        <v>24895.773999999998</v>
      </c>
      <c r="AX342" s="24">
        <f t="shared" si="758"/>
        <v>24077.410000000003</v>
      </c>
      <c r="AY342" s="24">
        <f t="shared" si="758"/>
        <v>24804.572</v>
      </c>
      <c r="AZ342" s="24">
        <f t="shared" si="758"/>
        <v>36778.132999999994</v>
      </c>
      <c r="BA342" s="24">
        <f t="shared" si="758"/>
        <v>40855.398000000001</v>
      </c>
      <c r="BB342" s="24">
        <f t="shared" si="758"/>
        <v>48234.635000000002</v>
      </c>
      <c r="BC342" s="24">
        <f t="shared" si="758"/>
        <v>51921.675999999999</v>
      </c>
      <c r="BD342" s="24">
        <f t="shared" si="758"/>
        <v>53854.35</v>
      </c>
      <c r="BE342" s="24">
        <f>BE155</f>
        <v>58486.411</v>
      </c>
      <c r="BF342" s="24">
        <f>BF155</f>
        <v>77197.847999999998</v>
      </c>
      <c r="BG342" s="24">
        <f>BG155</f>
        <v>83452.188999999998</v>
      </c>
    </row>
    <row r="343" spans="2:59" ht="13.5" customHeight="1">
      <c r="B343" s="1" t="s">
        <v>552</v>
      </c>
      <c r="C343" s="24">
        <f t="shared" ref="C343:L343" si="759">C341-C340</f>
        <v>-5333.3869999999988</v>
      </c>
      <c r="D343" s="24">
        <f t="shared" si="759"/>
        <v>1295.444</v>
      </c>
      <c r="E343" s="24">
        <f t="shared" si="759"/>
        <v>3728.8100000000004</v>
      </c>
      <c r="F343" s="24">
        <f t="shared" si="759"/>
        <v>7823.8159999999998</v>
      </c>
      <c r="G343" s="24">
        <f t="shared" si="759"/>
        <v>11322.35</v>
      </c>
      <c r="H343" s="24">
        <f>H341-H340</f>
        <v>8533.9570000000022</v>
      </c>
      <c r="I343" s="24">
        <f>I341-I340</f>
        <v>7626.9809999999998</v>
      </c>
      <c r="J343" s="24">
        <f>J341-J340</f>
        <v>15252.386999999995</v>
      </c>
      <c r="K343" s="24">
        <f>K341-K340</f>
        <v>24859.053</v>
      </c>
      <c r="L343" s="24">
        <f t="shared" si="759"/>
        <v>40245.178999999996</v>
      </c>
      <c r="M343" s="24"/>
      <c r="N343" s="24"/>
      <c r="O343" s="24"/>
      <c r="P343" s="101"/>
      <c r="Q343" s="24"/>
      <c r="R343" s="24"/>
      <c r="S343" s="24"/>
      <c r="T343" s="24"/>
      <c r="U343" s="24"/>
      <c r="V343" s="24"/>
      <c r="W343" s="24"/>
      <c r="X343" s="24"/>
      <c r="Y343" s="24"/>
      <c r="Z343" s="24"/>
      <c r="AA343" s="24"/>
      <c r="AB343" s="24"/>
      <c r="AC343" s="24">
        <f t="shared" ref="AC343:AI343" si="760">AC341-AC340</f>
        <v>1508.9719999999998</v>
      </c>
      <c r="AD343" s="24">
        <f t="shared" si="760"/>
        <v>3576.4269999999979</v>
      </c>
      <c r="AE343" s="24">
        <f t="shared" si="760"/>
        <v>2534.6750000000002</v>
      </c>
      <c r="AF343" s="24">
        <f t="shared" si="760"/>
        <v>3728.8100000000004</v>
      </c>
      <c r="AG343" s="24">
        <f t="shared" si="760"/>
        <v>4279.5560000000005</v>
      </c>
      <c r="AH343" s="24">
        <f t="shared" si="760"/>
        <v>6202.9029999999984</v>
      </c>
      <c r="AI343" s="24">
        <f t="shared" si="760"/>
        <v>6960.5250000000005</v>
      </c>
      <c r="AJ343" s="24">
        <f t="shared" ref="AJ343:AO343" si="761">AJ341-AJ340</f>
        <v>7823.8159999999998</v>
      </c>
      <c r="AK343" s="24">
        <f t="shared" si="761"/>
        <v>10540.796999999999</v>
      </c>
      <c r="AL343" s="24">
        <f t="shared" si="761"/>
        <v>11307.773000000001</v>
      </c>
      <c r="AM343" s="24">
        <f t="shared" si="761"/>
        <v>14305.907000000001</v>
      </c>
      <c r="AN343" s="24">
        <f t="shared" si="761"/>
        <v>11322.35</v>
      </c>
      <c r="AO343" s="24">
        <f t="shared" si="761"/>
        <v>12568.895999999997</v>
      </c>
      <c r="AP343" s="24">
        <f t="shared" ref="AP343:AU343" si="762">AP341-AP340</f>
        <v>9798.4150000000009</v>
      </c>
      <c r="AQ343" s="24">
        <f t="shared" si="762"/>
        <v>8155.8080000000027</v>
      </c>
      <c r="AR343" s="24">
        <f t="shared" si="762"/>
        <v>8533.9570000000022</v>
      </c>
      <c r="AS343" s="24">
        <f t="shared" si="762"/>
        <v>8805.6229999999996</v>
      </c>
      <c r="AT343" s="24">
        <f t="shared" si="762"/>
        <v>7361.3809999999994</v>
      </c>
      <c r="AU343" s="24">
        <f t="shared" si="762"/>
        <v>7251.979000000003</v>
      </c>
      <c r="AV343" s="24">
        <f t="shared" ref="AV343:BA343" si="763">AV341-AV340</f>
        <v>7626.9809999999998</v>
      </c>
      <c r="AW343" s="24">
        <f t="shared" si="763"/>
        <v>9227.284999999998</v>
      </c>
      <c r="AX343" s="24">
        <f t="shared" si="763"/>
        <v>9472.3150000000005</v>
      </c>
      <c r="AY343" s="24">
        <f t="shared" si="763"/>
        <v>10331.016</v>
      </c>
      <c r="AZ343" s="24">
        <f t="shared" si="763"/>
        <v>15252.386999999995</v>
      </c>
      <c r="BA343" s="24">
        <f t="shared" si="763"/>
        <v>19082.585999999999</v>
      </c>
      <c r="BB343" s="24">
        <f t="shared" ref="BB343:BG343" si="764">BB341-BB340</f>
        <v>23102.867000000002</v>
      </c>
      <c r="BC343" s="24">
        <f t="shared" si="764"/>
        <v>24490.437000000002</v>
      </c>
      <c r="BD343" s="24">
        <f t="shared" si="764"/>
        <v>24859.053</v>
      </c>
      <c r="BE343" s="24">
        <f t="shared" si="764"/>
        <v>27801.616000000005</v>
      </c>
      <c r="BF343" s="24">
        <f t="shared" si="764"/>
        <v>38302.052999999993</v>
      </c>
      <c r="BG343" s="24">
        <f t="shared" si="764"/>
        <v>40245.178999999996</v>
      </c>
    </row>
    <row r="344" spans="2:59" ht="13.5" customHeight="1">
      <c r="B344" s="1" t="s">
        <v>553</v>
      </c>
      <c r="C344" s="24">
        <f t="shared" ref="C344:L344" si="765">C342-C340</f>
        <v>-5141.994999999999</v>
      </c>
      <c r="D344" s="24">
        <f t="shared" si="765"/>
        <v>1486.8359999999998</v>
      </c>
      <c r="E344" s="24">
        <f t="shared" si="765"/>
        <v>3971.322000000001</v>
      </c>
      <c r="F344" s="24">
        <f t="shared" si="765"/>
        <v>8114.0559999999996</v>
      </c>
      <c r="G344" s="24">
        <f t="shared" si="765"/>
        <v>12736.305999999999</v>
      </c>
      <c r="H344" s="24">
        <f>H342-H340</f>
        <v>10067.012000000002</v>
      </c>
      <c r="I344" s="24">
        <f>I342-I340</f>
        <v>9725.8669999999984</v>
      </c>
      <c r="J344" s="24">
        <f>J342-J340</f>
        <v>18158.251999999993</v>
      </c>
      <c r="K344" s="24">
        <f>K342-K340</f>
        <v>27914.284</v>
      </c>
      <c r="L344" s="24">
        <f t="shared" si="765"/>
        <v>44398.708999999995</v>
      </c>
      <c r="M344" s="24"/>
      <c r="N344" s="24"/>
      <c r="O344" s="24"/>
      <c r="P344" s="101"/>
      <c r="Q344" s="24"/>
      <c r="R344" s="24"/>
      <c r="S344" s="24"/>
      <c r="T344" s="24"/>
      <c r="U344" s="24"/>
      <c r="V344" s="24"/>
      <c r="W344" s="24"/>
      <c r="X344" s="24"/>
      <c r="Y344" s="24"/>
      <c r="Z344" s="24"/>
      <c r="AA344" s="24"/>
      <c r="AB344" s="24"/>
      <c r="AC344" s="24">
        <f t="shared" ref="AC344:AI344" si="766">AC342-AC340</f>
        <v>1751.4839999999999</v>
      </c>
      <c r="AD344" s="24">
        <f t="shared" si="766"/>
        <v>3818.9389999999976</v>
      </c>
      <c r="AE344" s="24">
        <f t="shared" si="766"/>
        <v>2777.1869999999999</v>
      </c>
      <c r="AF344" s="24">
        <f t="shared" si="766"/>
        <v>3971.322000000001</v>
      </c>
      <c r="AG344" s="24">
        <f t="shared" si="766"/>
        <v>4569.7960000000003</v>
      </c>
      <c r="AH344" s="24">
        <f t="shared" si="766"/>
        <v>6493.1429999999982</v>
      </c>
      <c r="AI344" s="24">
        <f t="shared" si="766"/>
        <v>7250.7650000000003</v>
      </c>
      <c r="AJ344" s="24">
        <f t="shared" ref="AJ344:AO344" si="767">AJ342-AJ340</f>
        <v>8114.0559999999996</v>
      </c>
      <c r="AK344" s="24">
        <f t="shared" si="767"/>
        <v>10540.796999999999</v>
      </c>
      <c r="AL344" s="24">
        <f t="shared" si="767"/>
        <v>11307.773000000001</v>
      </c>
      <c r="AM344" s="24">
        <f t="shared" si="767"/>
        <v>14305.907000000001</v>
      </c>
      <c r="AN344" s="24">
        <f t="shared" si="767"/>
        <v>12736.305999999999</v>
      </c>
      <c r="AO344" s="24">
        <f t="shared" si="767"/>
        <v>13978.618999999995</v>
      </c>
      <c r="AP344" s="24">
        <f t="shared" ref="AP344:AU344" si="768">AP342-AP340</f>
        <v>11375.287</v>
      </c>
      <c r="AQ344" s="24">
        <f t="shared" si="768"/>
        <v>9699.7900000000027</v>
      </c>
      <c r="AR344" s="24">
        <f t="shared" si="768"/>
        <v>10067.012000000002</v>
      </c>
      <c r="AS344" s="24">
        <f t="shared" si="768"/>
        <v>10287.732</v>
      </c>
      <c r="AT344" s="24">
        <f t="shared" si="768"/>
        <v>8847.3049999999985</v>
      </c>
      <c r="AU344" s="24">
        <f t="shared" si="768"/>
        <v>9316.8420000000042</v>
      </c>
      <c r="AV344" s="24">
        <f t="shared" ref="AV344:BA344" si="769">AV342-AV340</f>
        <v>9725.8669999999984</v>
      </c>
      <c r="AW344" s="24">
        <f t="shared" si="769"/>
        <v>11475.034999999998</v>
      </c>
      <c r="AX344" s="24">
        <f t="shared" si="769"/>
        <v>11644.254000000003</v>
      </c>
      <c r="AY344" s="24">
        <f t="shared" si="769"/>
        <v>12487.109</v>
      </c>
      <c r="AZ344" s="24">
        <f t="shared" si="769"/>
        <v>18158.251999999993</v>
      </c>
      <c r="BA344" s="24">
        <f t="shared" si="769"/>
        <v>22066.255000000001</v>
      </c>
      <c r="BB344" s="24">
        <f t="shared" ref="BB344:BG344" si="770">BB342-BB340</f>
        <v>26299.933000000001</v>
      </c>
      <c r="BC344" s="24">
        <f t="shared" si="770"/>
        <v>27598.287</v>
      </c>
      <c r="BD344" s="24">
        <f t="shared" si="770"/>
        <v>27914.284</v>
      </c>
      <c r="BE344" s="24">
        <f t="shared" si="770"/>
        <v>31193.09</v>
      </c>
      <c r="BF344" s="24">
        <f t="shared" si="770"/>
        <v>42238.546999999999</v>
      </c>
      <c r="BG344" s="24">
        <f t="shared" si="770"/>
        <v>44398.708999999995</v>
      </c>
    </row>
    <row r="345" spans="2:59" ht="13.5" customHeight="1">
      <c r="B345" s="1" t="s">
        <v>554</v>
      </c>
      <c r="C345" s="54">
        <f t="shared" ref="C345:L345" si="771">C341/C333</f>
        <v>0.98317135413897638</v>
      </c>
      <c r="D345" s="54">
        <f t="shared" si="771"/>
        <v>1.0178094433039491</v>
      </c>
      <c r="E345" s="54">
        <f t="shared" si="771"/>
        <v>2.1173637839593034</v>
      </c>
      <c r="F345" s="54">
        <f t="shared" si="771"/>
        <v>2.0127721850264124</v>
      </c>
      <c r="G345" s="54">
        <f t="shared" si="771"/>
        <v>2.1326322188145488</v>
      </c>
      <c r="H345" s="54">
        <f>H341/H333</f>
        <v>1.800494130284662</v>
      </c>
      <c r="I345" s="54">
        <f>I341/I333</f>
        <v>1.5881783515900501</v>
      </c>
      <c r="J345" s="54">
        <f>J341/J333</f>
        <v>2.256079968183875</v>
      </c>
      <c r="K345" s="54">
        <f>K341/K333</f>
        <v>2.3096916980966</v>
      </c>
      <c r="L345" s="54">
        <f t="shared" si="771"/>
        <v>1.9703652795988149</v>
      </c>
      <c r="M345" s="54"/>
      <c r="N345" s="54"/>
      <c r="O345" s="54"/>
      <c r="P345" s="127"/>
      <c r="Q345" s="54"/>
      <c r="R345" s="54"/>
      <c r="S345" s="54"/>
      <c r="T345" s="54"/>
      <c r="U345" s="54"/>
      <c r="V345" s="54"/>
      <c r="W345" s="54"/>
      <c r="X345" s="54"/>
      <c r="Y345" s="54"/>
      <c r="Z345" s="54"/>
      <c r="AA345" s="54"/>
      <c r="AB345" s="54"/>
      <c r="AC345" s="54">
        <f t="shared" ref="AC345:AI345" si="772">AC341/AC333</f>
        <v>0.95641133189154703</v>
      </c>
      <c r="AD345" s="54">
        <f t="shared" si="772"/>
        <v>1.7285966153738794</v>
      </c>
      <c r="AE345" s="54">
        <f t="shared" si="772"/>
        <v>1.8996148453788659</v>
      </c>
      <c r="AF345" s="54">
        <f t="shared" si="772"/>
        <v>2.1173640959703892</v>
      </c>
      <c r="AG345" s="54">
        <f t="shared" si="772"/>
        <v>2.1383200650864582</v>
      </c>
      <c r="AH345" s="54">
        <f t="shared" si="772"/>
        <v>2.0561951631562514</v>
      </c>
      <c r="AI345" s="54">
        <f t="shared" si="772"/>
        <v>2.024944201760972</v>
      </c>
      <c r="AJ345" s="54">
        <f t="shared" ref="AJ345:AO345" si="773">AJ341/AJ333</f>
        <v>2.0128045021033367</v>
      </c>
      <c r="AK345" s="54">
        <f t="shared" si="773"/>
        <v>2.2087927183544771</v>
      </c>
      <c r="AL345" s="54">
        <f t="shared" si="773"/>
        <v>2.442957009246467</v>
      </c>
      <c r="AM345" s="54">
        <f t="shared" si="773"/>
        <v>2.7818542068443102</v>
      </c>
      <c r="AN345" s="54">
        <f t="shared" si="773"/>
        <v>2.1326322188145488</v>
      </c>
      <c r="AO345" s="54">
        <f t="shared" si="773"/>
        <v>2.3716871547553677</v>
      </c>
      <c r="AP345" s="54">
        <f t="shared" ref="AP345:AU345" si="774">AP341/AP333</f>
        <v>2.1640974114686089</v>
      </c>
      <c r="AQ345" s="54">
        <f t="shared" si="774"/>
        <v>1.9301360444357682</v>
      </c>
      <c r="AR345" s="54">
        <f t="shared" si="774"/>
        <v>1.800494130284662</v>
      </c>
      <c r="AS345" s="54">
        <f t="shared" si="774"/>
        <v>1.6447991674578251</v>
      </c>
      <c r="AT345" s="54">
        <f t="shared" si="774"/>
        <v>1.629325126048923</v>
      </c>
      <c r="AU345" s="54">
        <f t="shared" si="774"/>
        <v>1.7635055076267971</v>
      </c>
      <c r="AV345" s="54">
        <f t="shared" ref="AV345:BA345" si="775">AV341/AV333</f>
        <v>1.5881783515900498</v>
      </c>
      <c r="AW345" s="54">
        <f t="shared" si="775"/>
        <v>1.7738433571406749</v>
      </c>
      <c r="AX345" s="54">
        <f t="shared" si="775"/>
        <v>1.6335699802454513</v>
      </c>
      <c r="AY345" s="54">
        <f t="shared" si="775"/>
        <v>1.6125106048381697</v>
      </c>
      <c r="AZ345" s="54">
        <f t="shared" si="775"/>
        <v>2.256079968183875</v>
      </c>
      <c r="BA345" s="54">
        <f t="shared" si="775"/>
        <v>2.3629290147260469</v>
      </c>
      <c r="BB345" s="54">
        <f t="shared" ref="BB345:BG345" si="776">BB341/BB333</f>
        <v>2.5601818168278623</v>
      </c>
      <c r="BC345" s="54">
        <f t="shared" si="776"/>
        <v>2.496616891509094</v>
      </c>
      <c r="BD345" s="54">
        <f t="shared" si="776"/>
        <v>2.3096916980965991</v>
      </c>
      <c r="BE345" s="54">
        <f t="shared" si="776"/>
        <v>1.8105516686095462</v>
      </c>
      <c r="BF345" s="54">
        <f t="shared" si="776"/>
        <v>2.0978371229385715</v>
      </c>
      <c r="BG345" s="54">
        <f t="shared" si="776"/>
        <v>1.970365279598816</v>
      </c>
    </row>
    <row r="346" spans="2:59" ht="13.5" customHeight="1">
      <c r="B346" s="5" t="s">
        <v>555</v>
      </c>
      <c r="C346" s="53">
        <f t="shared" ref="C346:L346" si="777">C343/C333</f>
        <v>-1.4177752671593387</v>
      </c>
      <c r="D346" s="53">
        <f t="shared" si="777"/>
        <v>0.31287139234391986</v>
      </c>
      <c r="E346" s="53">
        <f t="shared" si="777"/>
        <v>0.80718908972832581</v>
      </c>
      <c r="F346" s="53">
        <f t="shared" si="777"/>
        <v>1.2561719891463166</v>
      </c>
      <c r="G346" s="53">
        <f t="shared" si="777"/>
        <v>1.2883864011047785</v>
      </c>
      <c r="H346" s="53">
        <f>H343/H333</f>
        <v>0.81849507020639922</v>
      </c>
      <c r="I346" s="53">
        <f>I343/I333</f>
        <v>0.62157709995705102</v>
      </c>
      <c r="J346" s="53">
        <f>J343/J333</f>
        <v>1.0158931423690951</v>
      </c>
      <c r="K346" s="53">
        <f>K343/K333</f>
        <v>1.130270553248047</v>
      </c>
      <c r="L346" s="53">
        <f t="shared" si="777"/>
        <v>0.99998794901234522</v>
      </c>
      <c r="M346" s="53"/>
      <c r="N346" s="53"/>
      <c r="O346" s="53"/>
      <c r="P346" s="126"/>
      <c r="Q346" s="53"/>
      <c r="R346" s="53"/>
      <c r="S346" s="53"/>
      <c r="T346" s="53"/>
      <c r="U346" s="53"/>
      <c r="V346" s="53"/>
      <c r="W346" s="53"/>
      <c r="X346" s="53"/>
      <c r="Y346" s="53"/>
      <c r="Z346" s="53"/>
      <c r="AA346" s="53"/>
      <c r="AB346" s="53"/>
      <c r="AC346" s="53">
        <f t="shared" ref="AC346:AI346" si="778">AC343/AC333</f>
        <v>0.35799068516098975</v>
      </c>
      <c r="AD346" s="53">
        <f t="shared" si="778"/>
        <v>0.84159157871081036</v>
      </c>
      <c r="AE346" s="53">
        <f t="shared" si="778"/>
        <v>0.5885560304283497</v>
      </c>
      <c r="AF346" s="53">
        <f t="shared" si="778"/>
        <v>0.80718920867432187</v>
      </c>
      <c r="AG346" s="53">
        <f t="shared" si="778"/>
        <v>0.85284368175349157</v>
      </c>
      <c r="AH346" s="53">
        <f t="shared" si="778"/>
        <v>1.1390460363222354</v>
      </c>
      <c r="AI346" s="53">
        <f t="shared" si="778"/>
        <v>1.1877218278615795</v>
      </c>
      <c r="AJ346" s="53">
        <f t="shared" ref="AJ346:AO346" si="779">AJ343/AJ333</f>
        <v>1.2561921582479691</v>
      </c>
      <c r="AK346" s="53">
        <f t="shared" si="779"/>
        <v>1.5387800178099591</v>
      </c>
      <c r="AL346" s="53">
        <f t="shared" si="779"/>
        <v>1.5022548889361256</v>
      </c>
      <c r="AM346" s="53">
        <f t="shared" si="779"/>
        <v>1.7261669228503589</v>
      </c>
      <c r="AN346" s="53">
        <f t="shared" si="779"/>
        <v>1.2883864011047785</v>
      </c>
      <c r="AO346" s="53">
        <f t="shared" si="779"/>
        <v>1.3892568845548814</v>
      </c>
      <c r="AP346" s="53">
        <f t="shared" ref="AP346:AU346" si="780">AP343/AP333</f>
        <v>1.0351267939641924</v>
      </c>
      <c r="AQ346" s="53">
        <f t="shared" si="780"/>
        <v>0.82283532766637091</v>
      </c>
      <c r="AR346" s="53">
        <f t="shared" si="780"/>
        <v>0.81849507020639922</v>
      </c>
      <c r="AS346" s="53">
        <f t="shared" si="780"/>
        <v>0.80384347841963033</v>
      </c>
      <c r="AT346" s="53">
        <f t="shared" si="780"/>
        <v>0.65575558089401198</v>
      </c>
      <c r="AU346" s="53">
        <f t="shared" si="780"/>
        <v>0.61556424579962365</v>
      </c>
      <c r="AV346" s="53">
        <f t="shared" ref="AV346:BA346" si="781">AV343/AV333</f>
        <v>0.6215770999570509</v>
      </c>
      <c r="AW346" s="53">
        <f t="shared" si="781"/>
        <v>0.72270138011571294</v>
      </c>
      <c r="AX346" s="53">
        <f t="shared" si="781"/>
        <v>0.70638469391635961</v>
      </c>
      <c r="AY346" s="53">
        <f t="shared" si="781"/>
        <v>0.7355404686889927</v>
      </c>
      <c r="AZ346" s="53">
        <f t="shared" si="781"/>
        <v>1.0158931423690951</v>
      </c>
      <c r="BA346" s="53">
        <f t="shared" si="781"/>
        <v>1.190618895044508</v>
      </c>
      <c r="BB346" s="53">
        <f t="shared" ref="BB346:BG346" si="782">BB343/BB333</f>
        <v>1.3132933531557278</v>
      </c>
      <c r="BC346" s="53">
        <f t="shared" si="782"/>
        <v>1.2525803385016225</v>
      </c>
      <c r="BD346" s="53">
        <f t="shared" si="782"/>
        <v>1.1302705532480466</v>
      </c>
      <c r="BE346" s="53">
        <f t="shared" si="782"/>
        <v>0.91362773023666155</v>
      </c>
      <c r="BF346" s="53">
        <f t="shared" si="782"/>
        <v>1.0967783733311929</v>
      </c>
      <c r="BG346" s="53">
        <f t="shared" si="782"/>
        <v>0.99998794901234578</v>
      </c>
    </row>
    <row r="347" spans="2:59" ht="13.5" customHeight="1">
      <c r="B347" s="1" t="s">
        <v>556</v>
      </c>
      <c r="C347" s="54">
        <f t="shared" ref="C347:L347" si="783">C342/C334</f>
        <v>1.0275144199629982</v>
      </c>
      <c r="D347" s="54">
        <f t="shared" si="783"/>
        <v>1.0579210954504155</v>
      </c>
      <c r="E347" s="54">
        <f t="shared" si="783"/>
        <v>2.1557150458061338</v>
      </c>
      <c r="F347" s="54">
        <f t="shared" si="783"/>
        <v>2.0474459580690172</v>
      </c>
      <c r="G347" s="54">
        <f t="shared" si="783"/>
        <v>2.2935282944667326</v>
      </c>
      <c r="H347" s="54">
        <f>H342/H334</f>
        <v>1.9475300199493593</v>
      </c>
      <c r="I347" s="54">
        <f>I342/I334</f>
        <v>1.7592315472149578</v>
      </c>
      <c r="J347" s="54">
        <f>J342/J334</f>
        <v>2.4496266127943462</v>
      </c>
      <c r="K347" s="54">
        <f>K342/K334</f>
        <v>2.4486043764142567</v>
      </c>
      <c r="L347" s="54">
        <f t="shared" si="783"/>
        <v>2.0735696893956068</v>
      </c>
      <c r="M347" s="54"/>
      <c r="N347" s="54"/>
      <c r="O347" s="54"/>
      <c r="P347" s="127"/>
      <c r="Q347" s="54"/>
      <c r="R347" s="54"/>
      <c r="S347" s="54"/>
      <c r="T347" s="54"/>
      <c r="U347" s="54"/>
      <c r="V347" s="54"/>
      <c r="W347" s="54"/>
      <c r="X347" s="54"/>
      <c r="Y347" s="54"/>
      <c r="Z347" s="54"/>
      <c r="AA347" s="54"/>
      <c r="AB347" s="54"/>
      <c r="AC347" s="54"/>
      <c r="AD347" s="54"/>
      <c r="AE347" s="54"/>
      <c r="AF347" s="54">
        <f t="shared" ref="AF347:AK347" si="784">AF342/AF334</f>
        <v>2.1557153613976263</v>
      </c>
      <c r="AG347" s="54">
        <f t="shared" si="784"/>
        <v>2.1823277724505181</v>
      </c>
      <c r="AH347" s="54">
        <f t="shared" si="784"/>
        <v>2.0966724384043278</v>
      </c>
      <c r="AI347" s="54">
        <f t="shared" si="784"/>
        <v>2.0622280356260023</v>
      </c>
      <c r="AJ347" s="54">
        <f t="shared" si="784"/>
        <v>2.0474786414834116</v>
      </c>
      <c r="AK347" s="54">
        <f t="shared" si="784"/>
        <v>2.2000536546992944</v>
      </c>
      <c r="AL347" s="54">
        <f t="shared" ref="AL347:AQ347" si="785">AL342/AL334</f>
        <v>2.437083815971183</v>
      </c>
      <c r="AM347" s="54">
        <f t="shared" si="785"/>
        <v>2.7788130836401712</v>
      </c>
      <c r="AN347" s="54">
        <f t="shared" si="785"/>
        <v>2.2935282944667326</v>
      </c>
      <c r="AO347" s="54">
        <f t="shared" si="785"/>
        <v>2.5275057233126503</v>
      </c>
      <c r="AP347" s="54">
        <f t="shared" si="785"/>
        <v>2.3306817475935744</v>
      </c>
      <c r="AQ347" s="54">
        <f t="shared" si="785"/>
        <v>2.0859076043941416</v>
      </c>
      <c r="AR347" s="54">
        <f t="shared" ref="AR347:AW347" si="786">AR342/AR334</f>
        <v>1.9475300199493593</v>
      </c>
      <c r="AS347" s="54">
        <f t="shared" si="786"/>
        <v>1.7800972212079162</v>
      </c>
      <c r="AT347" s="54">
        <f t="shared" si="786"/>
        <v>1.7616919952252845</v>
      </c>
      <c r="AU347" s="54">
        <f t="shared" si="786"/>
        <v>1.9387757111498007</v>
      </c>
      <c r="AV347" s="54">
        <f t="shared" si="786"/>
        <v>1.7592315472149573</v>
      </c>
      <c r="AW347" s="54">
        <f t="shared" si="786"/>
        <v>1.9498921111517511</v>
      </c>
      <c r="AX347" s="54">
        <f t="shared" ref="AX347:BC347" si="787">AX342/AX334</f>
        <v>1.7955393051380468</v>
      </c>
      <c r="AY347" s="54">
        <f t="shared" si="787"/>
        <v>1.7660186098356507</v>
      </c>
      <c r="AZ347" s="54">
        <f t="shared" si="787"/>
        <v>2.4496266127943462</v>
      </c>
      <c r="BA347" s="54">
        <f t="shared" si="787"/>
        <v>2.5490889349778696</v>
      </c>
      <c r="BB347" s="54">
        <f t="shared" si="787"/>
        <v>2.7419205390133019</v>
      </c>
      <c r="BC347" s="54">
        <f t="shared" si="787"/>
        <v>2.6555700292179991</v>
      </c>
      <c r="BD347" s="54">
        <f>BD342/BD334</f>
        <v>2.4486043764142558</v>
      </c>
      <c r="BE347" s="54">
        <f>BE342/BE334</f>
        <v>1.9220036321492429</v>
      </c>
      <c r="BF347" s="54">
        <f>BF342/BF334</f>
        <v>2.2105585346589303</v>
      </c>
      <c r="BG347" s="54">
        <f>BG342/BG334</f>
        <v>2.0735696893956082</v>
      </c>
    </row>
    <row r="348" spans="2:59" ht="13.5" customHeight="1">
      <c r="B348" s="5" t="s">
        <v>557</v>
      </c>
      <c r="C348" s="53">
        <f t="shared" ref="C348:L348" si="788">C344/C334</f>
        <v>-1.3582593448439453</v>
      </c>
      <c r="D348" s="53">
        <f t="shared" si="788"/>
        <v>0.35703280933929882</v>
      </c>
      <c r="E348" s="53">
        <f t="shared" si="788"/>
        <v>0.85408190521169269</v>
      </c>
      <c r="F348" s="53">
        <f t="shared" si="788"/>
        <v>1.2952274533967167</v>
      </c>
      <c r="G348" s="53">
        <f t="shared" si="788"/>
        <v>1.4492824767569625</v>
      </c>
      <c r="H348" s="53">
        <f>H344/H334</f>
        <v>0.96553095987109649</v>
      </c>
      <c r="I348" s="53">
        <f>I344/I334</f>
        <v>0.79263029558195874</v>
      </c>
      <c r="J348" s="53">
        <f>J344/J334</f>
        <v>1.2094397869795661</v>
      </c>
      <c r="K348" s="53">
        <f>K344/K334</f>
        <v>1.2691832315657039</v>
      </c>
      <c r="L348" s="53">
        <f t="shared" si="788"/>
        <v>1.1031923588091372</v>
      </c>
      <c r="M348" s="53"/>
      <c r="N348" s="53"/>
      <c r="O348" s="53"/>
      <c r="P348" s="126"/>
      <c r="Q348" s="53"/>
      <c r="R348" s="53"/>
      <c r="S348" s="53"/>
      <c r="T348" s="53"/>
      <c r="U348" s="53"/>
      <c r="V348" s="53"/>
      <c r="W348" s="53"/>
      <c r="X348" s="53"/>
      <c r="Y348" s="53"/>
      <c r="Z348" s="53"/>
      <c r="AA348" s="53"/>
      <c r="AB348" s="53"/>
      <c r="AC348" s="53"/>
      <c r="AD348" s="53"/>
      <c r="AE348" s="53"/>
      <c r="AF348" s="53">
        <f t="shared" ref="AF348:AK348" si="789">AF344/AF334</f>
        <v>0.85408203024722729</v>
      </c>
      <c r="AG348" s="53">
        <f t="shared" si="789"/>
        <v>0.90494780949924469</v>
      </c>
      <c r="AH348" s="53">
        <f t="shared" si="789"/>
        <v>1.1850970168445061</v>
      </c>
      <c r="AI348" s="53">
        <f t="shared" si="789"/>
        <v>1.2299462519307058</v>
      </c>
      <c r="AJ348" s="53">
        <f t="shared" si="789"/>
        <v>1.2952481291344216</v>
      </c>
      <c r="AK348" s="53">
        <f t="shared" si="789"/>
        <v>1.5326918519013979</v>
      </c>
      <c r="AL348" s="53">
        <f t="shared" ref="AL348:AQ348" si="790">AL344/AL334</f>
        <v>1.4986432685604631</v>
      </c>
      <c r="AM348" s="53">
        <f t="shared" si="790"/>
        <v>1.7242798770553702</v>
      </c>
      <c r="AN348" s="53">
        <f t="shared" si="790"/>
        <v>1.4492824767569625</v>
      </c>
      <c r="AO348" s="53">
        <f t="shared" si="790"/>
        <v>1.5450754531121642</v>
      </c>
      <c r="AP348" s="53">
        <f t="shared" si="790"/>
        <v>1.2017111300891576</v>
      </c>
      <c r="AQ348" s="53">
        <f t="shared" si="790"/>
        <v>0.9786068876247439</v>
      </c>
      <c r="AR348" s="53">
        <f t="shared" ref="AR348:AW348" si="791">AR344/AR334</f>
        <v>0.96553095987109649</v>
      </c>
      <c r="AS348" s="53">
        <f t="shared" si="791"/>
        <v>0.93914153216972163</v>
      </c>
      <c r="AT348" s="53">
        <f t="shared" si="791"/>
        <v>0.78812245007037351</v>
      </c>
      <c r="AU348" s="53">
        <f t="shared" si="791"/>
        <v>0.79083444932262736</v>
      </c>
      <c r="AV348" s="53">
        <f t="shared" si="791"/>
        <v>0.79263029558195863</v>
      </c>
      <c r="AW348" s="53">
        <f t="shared" si="791"/>
        <v>0.89875013412678928</v>
      </c>
      <c r="AX348" s="53">
        <f t="shared" ref="AX348:BC348" si="792">AX344/AX334</f>
        <v>0.86835401880895513</v>
      </c>
      <c r="AY348" s="53">
        <f t="shared" si="792"/>
        <v>0.88904847368647377</v>
      </c>
      <c r="AZ348" s="53">
        <f t="shared" si="792"/>
        <v>1.2094397869795661</v>
      </c>
      <c r="BA348" s="53">
        <f t="shared" si="792"/>
        <v>1.3767788152963312</v>
      </c>
      <c r="BB348" s="53">
        <f t="shared" si="792"/>
        <v>1.4950320753411679</v>
      </c>
      <c r="BC348" s="53">
        <f t="shared" si="792"/>
        <v>1.4115334762105276</v>
      </c>
      <c r="BD348" s="53">
        <f>BD344/BD334</f>
        <v>1.2691832315657035</v>
      </c>
      <c r="BE348" s="53">
        <f>BE344/BE334</f>
        <v>1.0250796937763582</v>
      </c>
      <c r="BF348" s="53">
        <f>BF344/BF334</f>
        <v>1.2094997850515516</v>
      </c>
      <c r="BG348" s="53">
        <f>BG344/BG334</f>
        <v>1.1031923588091377</v>
      </c>
    </row>
    <row r="350" spans="2:59" ht="13.5" customHeight="1">
      <c r="B350" s="19" t="s">
        <v>558</v>
      </c>
      <c r="C350" s="287">
        <f t="shared" ref="C350:L350" si="793">C2</f>
        <v>41975</v>
      </c>
      <c r="D350" s="287">
        <f t="shared" si="793"/>
        <v>42341</v>
      </c>
      <c r="E350" s="287">
        <f t="shared" si="793"/>
        <v>42705</v>
      </c>
      <c r="F350" s="287">
        <f t="shared" si="793"/>
        <v>43070</v>
      </c>
      <c r="G350" s="287">
        <f t="shared" si="793"/>
        <v>43435</v>
      </c>
      <c r="H350" s="287">
        <f t="shared" si="793"/>
        <v>43830</v>
      </c>
      <c r="I350" s="287">
        <f t="shared" si="793"/>
        <v>44196</v>
      </c>
      <c r="J350" s="287">
        <f t="shared" si="793"/>
        <v>44561</v>
      </c>
      <c r="K350" s="287">
        <f t="shared" si="793"/>
        <v>44926</v>
      </c>
      <c r="L350" s="287">
        <f t="shared" si="793"/>
        <v>45199</v>
      </c>
      <c r="M350" s="295" t="s">
        <v>397</v>
      </c>
      <c r="N350" s="287">
        <f t="shared" ref="N350:BD350" si="794">N2</f>
        <v>43074</v>
      </c>
      <c r="O350" s="287">
        <f t="shared" si="794"/>
        <v>43440</v>
      </c>
      <c r="P350" s="287">
        <f t="shared" si="794"/>
        <v>43806</v>
      </c>
      <c r="Q350" s="287">
        <f t="shared" si="794"/>
        <v>41341</v>
      </c>
      <c r="R350" s="287">
        <f t="shared" si="794"/>
        <v>41431</v>
      </c>
      <c r="S350" s="287">
        <f t="shared" si="794"/>
        <v>41526</v>
      </c>
      <c r="T350" s="287">
        <f t="shared" si="794"/>
        <v>41618</v>
      </c>
      <c r="U350" s="287">
        <f t="shared" si="794"/>
        <v>41705</v>
      </c>
      <c r="V350" s="287">
        <f t="shared" si="794"/>
        <v>41796</v>
      </c>
      <c r="W350" s="287">
        <f t="shared" si="794"/>
        <v>41891</v>
      </c>
      <c r="X350" s="287">
        <f t="shared" si="794"/>
        <v>41983</v>
      </c>
      <c r="Y350" s="287">
        <f t="shared" si="794"/>
        <v>42070</v>
      </c>
      <c r="Z350" s="287">
        <f t="shared" si="794"/>
        <v>42161</v>
      </c>
      <c r="AA350" s="287">
        <f t="shared" si="794"/>
        <v>42256</v>
      </c>
      <c r="AB350" s="287">
        <f t="shared" si="794"/>
        <v>42348</v>
      </c>
      <c r="AC350" s="287">
        <f t="shared" si="794"/>
        <v>42437</v>
      </c>
      <c r="AD350" s="287">
        <f t="shared" si="794"/>
        <v>42527</v>
      </c>
      <c r="AE350" s="287">
        <f t="shared" si="794"/>
        <v>42622</v>
      </c>
      <c r="AF350" s="287">
        <f t="shared" si="794"/>
        <v>42714</v>
      </c>
      <c r="AG350" s="287">
        <f t="shared" si="794"/>
        <v>42801</v>
      </c>
      <c r="AH350" s="287">
        <f t="shared" si="794"/>
        <v>42892</v>
      </c>
      <c r="AI350" s="287">
        <f t="shared" si="794"/>
        <v>42987</v>
      </c>
      <c r="AJ350" s="287">
        <f t="shared" si="794"/>
        <v>43079</v>
      </c>
      <c r="AK350" s="287">
        <f t="shared" si="794"/>
        <v>43190</v>
      </c>
      <c r="AL350" s="287">
        <f t="shared" si="794"/>
        <v>43281</v>
      </c>
      <c r="AM350" s="287">
        <f t="shared" si="794"/>
        <v>43373</v>
      </c>
      <c r="AN350" s="287">
        <f t="shared" si="794"/>
        <v>43465</v>
      </c>
      <c r="AO350" s="287">
        <f t="shared" si="794"/>
        <v>43555</v>
      </c>
      <c r="AP350" s="287">
        <f t="shared" si="794"/>
        <v>43646</v>
      </c>
      <c r="AQ350" s="287">
        <f t="shared" si="794"/>
        <v>43738</v>
      </c>
      <c r="AR350" s="287">
        <f t="shared" si="794"/>
        <v>43830</v>
      </c>
      <c r="AS350" s="287">
        <f t="shared" si="794"/>
        <v>43921</v>
      </c>
      <c r="AT350" s="287">
        <f t="shared" si="794"/>
        <v>44012</v>
      </c>
      <c r="AU350" s="287">
        <f t="shared" si="794"/>
        <v>44104</v>
      </c>
      <c r="AV350" s="287">
        <f t="shared" si="794"/>
        <v>44196</v>
      </c>
      <c r="AW350" s="287">
        <f t="shared" si="794"/>
        <v>44286</v>
      </c>
      <c r="AX350" s="287">
        <f t="shared" si="794"/>
        <v>44377</v>
      </c>
      <c r="AY350" s="287">
        <f t="shared" si="794"/>
        <v>44469</v>
      </c>
      <c r="AZ350" s="287">
        <f t="shared" si="794"/>
        <v>44561</v>
      </c>
      <c r="BA350" s="287">
        <f t="shared" si="794"/>
        <v>44651</v>
      </c>
      <c r="BB350" s="287">
        <f t="shared" si="794"/>
        <v>44742</v>
      </c>
      <c r="BC350" s="287">
        <f t="shared" si="794"/>
        <v>44834</v>
      </c>
      <c r="BD350" s="287">
        <f t="shared" si="794"/>
        <v>44926</v>
      </c>
      <c r="BE350" s="287">
        <f>BE2</f>
        <v>45016</v>
      </c>
      <c r="BF350" s="287">
        <f>BF2</f>
        <v>45107</v>
      </c>
      <c r="BG350" s="287">
        <f>BG2</f>
        <v>45199</v>
      </c>
    </row>
    <row r="351" spans="2:59" ht="13.5" customHeight="1">
      <c r="B351" s="1" t="s">
        <v>423</v>
      </c>
      <c r="C351" s="24">
        <f t="shared" ref="C351:L351" si="795">C332/C$191</f>
        <v>5511.945080091532</v>
      </c>
      <c r="D351" s="24">
        <f t="shared" si="795"/>
        <v>4682.4098859594442</v>
      </c>
      <c r="E351" s="24">
        <f t="shared" si="795"/>
        <v>4752.520043913637</v>
      </c>
      <c r="F351" s="24">
        <f t="shared" si="795"/>
        <v>4856.2575740883549</v>
      </c>
      <c r="G351" s="24">
        <f t="shared" si="795"/>
        <v>4475.3715030371814</v>
      </c>
      <c r="H351" s="24">
        <f t="shared" ref="H351:I353" si="796">H332/H$191</f>
        <v>4440.867956028037</v>
      </c>
      <c r="I351" s="24">
        <f t="shared" si="796"/>
        <v>3687.153661966478</v>
      </c>
      <c r="J351" s="24">
        <f t="shared" ref="J351:K353" si="797">J332/J$191</f>
        <v>4045.2380147977974</v>
      </c>
      <c r="K351" s="24">
        <f t="shared" si="797"/>
        <v>3267.3438447543963</v>
      </c>
      <c r="L351" s="24">
        <f t="shared" si="795"/>
        <v>3823.0471802451584</v>
      </c>
      <c r="M351" s="24"/>
      <c r="N351" s="24"/>
      <c r="O351" s="24"/>
      <c r="P351" s="101"/>
      <c r="Q351" s="24"/>
      <c r="R351" s="24"/>
      <c r="S351" s="24"/>
      <c r="T351" s="24"/>
      <c r="U351" s="24"/>
      <c r="V351" s="24"/>
      <c r="W351" s="24"/>
      <c r="X351" s="24"/>
      <c r="Y351" s="24"/>
      <c r="Z351" s="24"/>
      <c r="AA351" s="24"/>
      <c r="AB351" s="24"/>
      <c r="AC351" s="24"/>
      <c r="AD351" s="24"/>
      <c r="AE351" s="24"/>
      <c r="AF351" s="24">
        <f t="shared" ref="AF351:BG353" si="798">AF332/AVERAGE(AC$191:AF$191)</f>
        <v>4752.5595708404371</v>
      </c>
      <c r="AG351" s="24">
        <f t="shared" si="798"/>
        <v>4733.9190903538038</v>
      </c>
      <c r="AH351" s="24">
        <f t="shared" si="798"/>
        <v>4776.3008314324561</v>
      </c>
      <c r="AI351" s="24">
        <f t="shared" si="798"/>
        <v>4864.0549042036027</v>
      </c>
      <c r="AJ351" s="24">
        <f t="shared" si="798"/>
        <v>4856.2910122494504</v>
      </c>
      <c r="AK351" s="24">
        <f t="shared" si="798"/>
        <v>5002.9254720648096</v>
      </c>
      <c r="AL351" s="24">
        <f t="shared" si="798"/>
        <v>4980.0009111202216</v>
      </c>
      <c r="AM351" s="24">
        <f t="shared" si="798"/>
        <v>4677.2539840465597</v>
      </c>
      <c r="AN351" s="24">
        <f t="shared" si="798"/>
        <v>4475.3715030371814</v>
      </c>
      <c r="AO351" s="24">
        <f t="shared" si="798"/>
        <v>4320.0978556386144</v>
      </c>
      <c r="AP351" s="24">
        <f t="shared" si="798"/>
        <v>4207.2495574581853</v>
      </c>
      <c r="AQ351" s="24">
        <f t="shared" si="798"/>
        <v>4315.421285136963</v>
      </c>
      <c r="AR351" s="24">
        <f t="shared" si="798"/>
        <v>4440.867956028037</v>
      </c>
      <c r="AS351" s="24">
        <f t="shared" si="798"/>
        <v>4456.2522925214744</v>
      </c>
      <c r="AT351" s="24">
        <f t="shared" si="798"/>
        <v>4391.4241559482252</v>
      </c>
      <c r="AU351" s="24">
        <f t="shared" si="798"/>
        <v>4296.1253958055195</v>
      </c>
      <c r="AV351" s="24">
        <f t="shared" si="798"/>
        <v>4272.9813356824325</v>
      </c>
      <c r="AW351" s="24">
        <f t="shared" si="798"/>
        <v>4232.1901912537751</v>
      </c>
      <c r="AX351" s="24">
        <f t="shared" si="798"/>
        <v>4229.8302904523043</v>
      </c>
      <c r="AY351" s="24">
        <f t="shared" si="798"/>
        <v>4272.8789107082121</v>
      </c>
      <c r="AZ351" s="24">
        <f t="shared" si="798"/>
        <v>4045.2152369154537</v>
      </c>
      <c r="BA351" s="24">
        <f t="shared" si="798"/>
        <v>3699.9798255843079</v>
      </c>
      <c r="BB351" s="24">
        <f t="shared" si="798"/>
        <v>3478.6130406104189</v>
      </c>
      <c r="BC351" s="24">
        <f t="shared" si="798"/>
        <v>3282.7720322357945</v>
      </c>
      <c r="BD351" s="24">
        <f t="shared" si="798"/>
        <v>3263.1832366555068</v>
      </c>
      <c r="BE351" s="24">
        <f t="shared" si="798"/>
        <v>3407.5375257322326</v>
      </c>
      <c r="BF351" s="24">
        <f t="shared" si="798"/>
        <v>3673.5349855921741</v>
      </c>
      <c r="BG351" s="24">
        <f t="shared" si="798"/>
        <v>3823.0471802451575</v>
      </c>
    </row>
    <row r="352" spans="2:59" ht="13.5" customHeight="1">
      <c r="B352" s="1" t="s">
        <v>487</v>
      </c>
      <c r="C352" s="24">
        <f t="shared" ref="C352:L358" si="799">C333/C$191</f>
        <v>1721.6475972540043</v>
      </c>
      <c r="D352" s="24">
        <f t="shared" si="799"/>
        <v>1518.2794910344319</v>
      </c>
      <c r="E352" s="24">
        <f t="shared" si="799"/>
        <v>1536.8109384876407</v>
      </c>
      <c r="F352" s="24">
        <f t="shared" si="799"/>
        <v>1715.4070728214163</v>
      </c>
      <c r="G352" s="24">
        <f t="shared" si="799"/>
        <v>1847.1126804968783</v>
      </c>
      <c r="H352" s="24">
        <f t="shared" si="796"/>
        <v>1841.9818299862645</v>
      </c>
      <c r="I352" s="24">
        <f t="shared" si="796"/>
        <v>1554.5297910886447</v>
      </c>
      <c r="J352" s="24">
        <f t="shared" si="797"/>
        <v>1690.7970990010929</v>
      </c>
      <c r="K352" s="24">
        <f t="shared" si="797"/>
        <v>1333.7717404487566</v>
      </c>
      <c r="L352" s="24">
        <f t="shared" si="799"/>
        <v>1900.3681949734798</v>
      </c>
      <c r="M352" s="24"/>
      <c r="N352" s="24"/>
      <c r="O352" s="24"/>
      <c r="P352" s="101"/>
      <c r="Q352" s="24"/>
      <c r="R352" s="24"/>
      <c r="S352" s="24"/>
      <c r="T352" s="24"/>
      <c r="U352" s="24"/>
      <c r="V352" s="24"/>
      <c r="W352" s="24"/>
      <c r="X352" s="24"/>
      <c r="Y352" s="24"/>
      <c r="Z352" s="24"/>
      <c r="AA352" s="24"/>
      <c r="AB352" s="24"/>
      <c r="AC352" s="24"/>
      <c r="AD352" s="24"/>
      <c r="AE352" s="24"/>
      <c r="AF352" s="24">
        <f t="shared" si="798"/>
        <v>1536.8234937509126</v>
      </c>
      <c r="AG352" s="24">
        <f t="shared" si="798"/>
        <v>1571.8285514782162</v>
      </c>
      <c r="AH352" s="24">
        <f t="shared" si="798"/>
        <v>1618.4921277686553</v>
      </c>
      <c r="AI352" s="24">
        <f t="shared" si="798"/>
        <v>1675.8364312267659</v>
      </c>
      <c r="AJ352" s="24">
        <f t="shared" si="798"/>
        <v>1715.3913420688418</v>
      </c>
      <c r="AK352" s="24">
        <f t="shared" si="798"/>
        <v>1868.5106005741832</v>
      </c>
      <c r="AL352" s="24">
        <f t="shared" si="798"/>
        <v>1959.4811821134078</v>
      </c>
      <c r="AM352" s="24">
        <f t="shared" si="798"/>
        <v>1906.5160655850837</v>
      </c>
      <c r="AN352" s="24">
        <f t="shared" si="798"/>
        <v>1847.1126804968783</v>
      </c>
      <c r="AO352" s="24">
        <f t="shared" si="798"/>
        <v>1760.0801521334181</v>
      </c>
      <c r="AP352" s="24">
        <f t="shared" si="798"/>
        <v>1709.8204544633509</v>
      </c>
      <c r="AQ352" s="24">
        <f t="shared" si="798"/>
        <v>1776.3304330683964</v>
      </c>
      <c r="AR352" s="24">
        <f t="shared" si="798"/>
        <v>1841.9818299862645</v>
      </c>
      <c r="AS352" s="24">
        <f t="shared" si="798"/>
        <v>1868.8890974076382</v>
      </c>
      <c r="AT352" s="24">
        <f t="shared" si="798"/>
        <v>1835.82589924528</v>
      </c>
      <c r="AU352" s="24">
        <f t="shared" si="798"/>
        <v>1813.0723742175267</v>
      </c>
      <c r="AV352" s="24">
        <f t="shared" si="798"/>
        <v>1801.5188386646848</v>
      </c>
      <c r="AW352" s="24">
        <f t="shared" si="798"/>
        <v>1785.0030757186</v>
      </c>
      <c r="AX352" s="24">
        <f t="shared" si="798"/>
        <v>1778.2629884661167</v>
      </c>
      <c r="AY352" s="24">
        <f t="shared" si="798"/>
        <v>1786.0870505129503</v>
      </c>
      <c r="AZ352" s="24">
        <f t="shared" si="798"/>
        <v>1690.7875784791245</v>
      </c>
      <c r="BA352" s="24">
        <f t="shared" si="798"/>
        <v>1528.8154088657739</v>
      </c>
      <c r="BB352" s="24">
        <f t="shared" si="798"/>
        <v>1432.5250608708402</v>
      </c>
      <c r="BC352" s="24">
        <f t="shared" si="798"/>
        <v>1336.4586423508345</v>
      </c>
      <c r="BD352" s="24">
        <f t="shared" si="798"/>
        <v>1332.0733267619667</v>
      </c>
      <c r="BE352" s="24">
        <f t="shared" si="798"/>
        <v>1715.0547897530414</v>
      </c>
      <c r="BF352" s="24">
        <f t="shared" si="798"/>
        <v>1842.3419203014369</v>
      </c>
      <c r="BG352" s="24">
        <f t="shared" si="798"/>
        <v>1900.3681949734789</v>
      </c>
    </row>
    <row r="353" spans="2:59" ht="13.5" customHeight="1">
      <c r="B353" s="1" t="s">
        <v>488</v>
      </c>
      <c r="C353" s="24">
        <f t="shared" si="799"/>
        <v>1732.5967963386724</v>
      </c>
      <c r="D353" s="24">
        <f t="shared" si="799"/>
        <v>1527.0521799713979</v>
      </c>
      <c r="E353" s="24">
        <f t="shared" si="799"/>
        <v>1546.89577164909</v>
      </c>
      <c r="F353" s="24">
        <f t="shared" si="799"/>
        <v>1725.3993610223636</v>
      </c>
      <c r="G353" s="24">
        <f t="shared" si="799"/>
        <v>1847.1126804968783</v>
      </c>
      <c r="H353" s="24">
        <f t="shared" si="796"/>
        <v>1841.9818299862645</v>
      </c>
      <c r="I353" s="24">
        <f t="shared" si="796"/>
        <v>1554.5297910886447</v>
      </c>
      <c r="J353" s="24">
        <f t="shared" si="797"/>
        <v>1690.7970990010929</v>
      </c>
      <c r="K353" s="24">
        <f t="shared" si="797"/>
        <v>1333.7717404487566</v>
      </c>
      <c r="L353" s="24">
        <f t="shared" si="799"/>
        <v>1900.3681949734798</v>
      </c>
      <c r="M353" s="24"/>
      <c r="N353" s="24"/>
      <c r="O353" s="24"/>
      <c r="P353" s="101"/>
      <c r="Q353" s="24"/>
      <c r="R353" s="24"/>
      <c r="S353" s="24"/>
      <c r="T353" s="24"/>
      <c r="U353" s="24"/>
      <c r="V353" s="24"/>
      <c r="W353" s="24"/>
      <c r="X353" s="24"/>
      <c r="Y353" s="24"/>
      <c r="Z353" s="24"/>
      <c r="AA353" s="24"/>
      <c r="AB353" s="24"/>
      <c r="AC353" s="24"/>
      <c r="AD353" s="24"/>
      <c r="AE353" s="24"/>
      <c r="AF353" s="24">
        <f t="shared" si="798"/>
        <v>1546.9084107883809</v>
      </c>
      <c r="AG353" s="24">
        <f t="shared" si="798"/>
        <v>1581.7912760314591</v>
      </c>
      <c r="AH353" s="24">
        <f t="shared" si="798"/>
        <v>1628.3881801362688</v>
      </c>
      <c r="AI353" s="24">
        <f t="shared" si="798"/>
        <v>1685.7845295967973</v>
      </c>
      <c r="AJ353" s="24">
        <f t="shared" si="798"/>
        <v>1725.3836990725117</v>
      </c>
      <c r="AK353" s="24">
        <f t="shared" si="798"/>
        <v>1875.9327073232264</v>
      </c>
      <c r="AL353" s="24">
        <f t="shared" si="798"/>
        <v>1964.2033880656259</v>
      </c>
      <c r="AM353" s="24">
        <f t="shared" si="798"/>
        <v>1908.6025500198407</v>
      </c>
      <c r="AN353" s="24">
        <f t="shared" si="798"/>
        <v>1847.1126804968783</v>
      </c>
      <c r="AO353" s="24">
        <f t="shared" si="798"/>
        <v>1760.0801521334181</v>
      </c>
      <c r="AP353" s="24">
        <f t="shared" si="798"/>
        <v>1709.8204544633509</v>
      </c>
      <c r="AQ353" s="24">
        <f t="shared" si="798"/>
        <v>1776.3304330683964</v>
      </c>
      <c r="AR353" s="24">
        <f t="shared" si="798"/>
        <v>1841.9818299862645</v>
      </c>
      <c r="AS353" s="24">
        <f t="shared" si="798"/>
        <v>1868.8890974076382</v>
      </c>
      <c r="AT353" s="24">
        <f t="shared" si="798"/>
        <v>1835.82589924528</v>
      </c>
      <c r="AU353" s="24">
        <f t="shared" si="798"/>
        <v>1813.0723742175267</v>
      </c>
      <c r="AV353" s="24">
        <f t="shared" si="798"/>
        <v>1801.5188386646848</v>
      </c>
      <c r="AW353" s="24">
        <f t="shared" si="798"/>
        <v>1785.0030757186</v>
      </c>
      <c r="AX353" s="24">
        <f t="shared" si="798"/>
        <v>1778.2629884661167</v>
      </c>
      <c r="AY353" s="24">
        <f t="shared" si="798"/>
        <v>1786.0870505129503</v>
      </c>
      <c r="AZ353" s="24">
        <f t="shared" si="798"/>
        <v>1690.7875784791245</v>
      </c>
      <c r="BA353" s="24">
        <f t="shared" si="798"/>
        <v>1528.8154088657739</v>
      </c>
      <c r="BB353" s="24">
        <f t="shared" si="798"/>
        <v>1432.5250608708402</v>
      </c>
      <c r="BC353" s="24">
        <f t="shared" si="798"/>
        <v>1336.4586423508345</v>
      </c>
      <c r="BD353" s="24">
        <f t="shared" si="798"/>
        <v>1332.0733267619667</v>
      </c>
      <c r="BE353" s="24">
        <f t="shared" si="798"/>
        <v>1715.0547897530414</v>
      </c>
      <c r="BF353" s="24">
        <f t="shared" si="798"/>
        <v>1842.3419203014369</v>
      </c>
      <c r="BG353" s="24">
        <f t="shared" si="798"/>
        <v>1900.3681949734789</v>
      </c>
    </row>
    <row r="354" spans="2:59" ht="13.5" customHeight="1">
      <c r="B354" s="1" t="s">
        <v>549</v>
      </c>
      <c r="C354" s="288">
        <f t="shared" ref="C354:L354" si="800">C352/C351</f>
        <v>0.31234846723571025</v>
      </c>
      <c r="D354" s="288">
        <f t="shared" si="800"/>
        <v>0.32425172678434377</v>
      </c>
      <c r="E354" s="288">
        <f t="shared" si="800"/>
        <v>0.32336758694069545</v>
      </c>
      <c r="F354" s="288">
        <f t="shared" si="800"/>
        <v>0.35323642674440359</v>
      </c>
      <c r="G354" s="288">
        <f t="shared" si="800"/>
        <v>0.4127283465167858</v>
      </c>
      <c r="H354" s="288">
        <f>H352/H351</f>
        <v>0.41477968906640361</v>
      </c>
      <c r="I354" s="288">
        <f>I352/I351</f>
        <v>0.42160699922106415</v>
      </c>
      <c r="J354" s="288">
        <f>J352/J351</f>
        <v>0.41797221642237731</v>
      </c>
      <c r="K354" s="288">
        <f>K352/K351</f>
        <v>0.40821284928125318</v>
      </c>
      <c r="L354" s="288">
        <f t="shared" si="800"/>
        <v>0.49708206709905578</v>
      </c>
      <c r="M354" s="429"/>
      <c r="N354" s="63"/>
      <c r="O354" s="63"/>
      <c r="P354" s="289"/>
      <c r="Q354" s="290"/>
      <c r="R354" s="290"/>
      <c r="S354" s="290"/>
      <c r="T354" s="290"/>
      <c r="U354" s="290"/>
      <c r="V354" s="290"/>
      <c r="W354" s="290"/>
      <c r="X354" s="290"/>
      <c r="Y354" s="290"/>
      <c r="Z354" s="290"/>
      <c r="AA354" s="290"/>
      <c r="AB354" s="290"/>
      <c r="AC354" s="288"/>
      <c r="AD354" s="288"/>
      <c r="AE354" s="288"/>
      <c r="AF354" s="288">
        <f>AF352/AF351</f>
        <v>0.32336753928981105</v>
      </c>
      <c r="AG354" s="288">
        <f>AG352/AG351</f>
        <v>0.33203536466879935</v>
      </c>
      <c r="AH354" s="288">
        <f t="shared" ref="AH354:AN354" si="801">AH352/AH351</f>
        <v>0.33885891715980015</v>
      </c>
      <c r="AI354" s="288">
        <f t="shared" si="801"/>
        <v>0.34453485090772273</v>
      </c>
      <c r="AJ354" s="288">
        <f t="shared" si="801"/>
        <v>0.35323075527021736</v>
      </c>
      <c r="AK354" s="288">
        <f t="shared" si="801"/>
        <v>0.37348359694892891</v>
      </c>
      <c r="AL354" s="288">
        <f t="shared" si="801"/>
        <v>0.39347004490258902</v>
      </c>
      <c r="AM354" s="288">
        <f t="shared" si="801"/>
        <v>0.40761439769743862</v>
      </c>
      <c r="AN354" s="288">
        <f t="shared" si="801"/>
        <v>0.4127283465167858</v>
      </c>
      <c r="AO354" s="288">
        <f t="shared" ref="AO354:AT354" si="802">AO352/AO351</f>
        <v>0.40741673243261195</v>
      </c>
      <c r="AP354" s="288">
        <f t="shared" si="802"/>
        <v>0.40639862958268175</v>
      </c>
      <c r="AQ354" s="288">
        <f t="shared" si="802"/>
        <v>0.41162387532971051</v>
      </c>
      <c r="AR354" s="288">
        <f t="shared" si="802"/>
        <v>0.41477968906640361</v>
      </c>
      <c r="AS354" s="288">
        <f t="shared" si="802"/>
        <v>0.41938583696080806</v>
      </c>
      <c r="AT354" s="288">
        <f t="shared" si="802"/>
        <v>0.41804795757627661</v>
      </c>
      <c r="AU354" s="288">
        <f t="shared" ref="AU354:AZ354" si="803">AU352/AU351</f>
        <v>0.42202501258173292</v>
      </c>
      <c r="AV354" s="288">
        <f t="shared" si="803"/>
        <v>0.42160699922106409</v>
      </c>
      <c r="AW354" s="288">
        <f t="shared" si="803"/>
        <v>0.42176816141379447</v>
      </c>
      <c r="AX354" s="288">
        <f t="shared" si="803"/>
        <v>0.42041000852447047</v>
      </c>
      <c r="AY354" s="288">
        <f t="shared" si="803"/>
        <v>0.41800553861633155</v>
      </c>
      <c r="AZ354" s="288">
        <f t="shared" si="803"/>
        <v>0.41797221642237736</v>
      </c>
      <c r="BA354" s="288">
        <f t="shared" ref="BA354:BF354" si="804">BA352/BA351</f>
        <v>0.41319560671505562</v>
      </c>
      <c r="BB354" s="288">
        <f t="shared" si="804"/>
        <v>0.41180925965236537</v>
      </c>
      <c r="BC354" s="288">
        <f t="shared" si="804"/>
        <v>0.40711283915764745</v>
      </c>
      <c r="BD354" s="288">
        <f t="shared" si="804"/>
        <v>0.40821284928125329</v>
      </c>
      <c r="BE354" s="288">
        <f t="shared" si="804"/>
        <v>0.50331207706494729</v>
      </c>
      <c r="BF354" s="288">
        <f t="shared" si="804"/>
        <v>0.50151745594562547</v>
      </c>
      <c r="BG354" s="288">
        <f>BG352/BG351</f>
        <v>0.49708206709905567</v>
      </c>
    </row>
    <row r="355" spans="2:59" ht="13.5" customHeight="1">
      <c r="B355" s="1" t="s">
        <v>489</v>
      </c>
      <c r="C355" s="24">
        <f t="shared" si="799"/>
        <v>10.949199084668193</v>
      </c>
      <c r="D355" s="24">
        <f t="shared" si="799"/>
        <v>8.7726889369660075</v>
      </c>
      <c r="E355" s="24">
        <f t="shared" si="799"/>
        <v>10.084833161449151</v>
      </c>
      <c r="F355" s="24">
        <f t="shared" si="799"/>
        <v>9.992288200947451</v>
      </c>
      <c r="G355" s="24">
        <f t="shared" si="799"/>
        <v>0</v>
      </c>
      <c r="H355" s="24">
        <f t="shared" ref="H355:I358" si="805">H336/H$191</f>
        <v>0</v>
      </c>
      <c r="I355" s="24">
        <f t="shared" si="805"/>
        <v>0</v>
      </c>
      <c r="J355" s="24">
        <f t="shared" ref="J355:K358" si="806">J336/J$191</f>
        <v>0</v>
      </c>
      <c r="K355" s="24">
        <f t="shared" si="806"/>
        <v>0</v>
      </c>
      <c r="L355" s="24">
        <f t="shared" si="799"/>
        <v>0</v>
      </c>
      <c r="M355" s="24"/>
      <c r="N355" s="24"/>
      <c r="O355" s="24"/>
      <c r="P355" s="101"/>
      <c r="Q355" s="24"/>
      <c r="R355" s="24"/>
      <c r="S355" s="24"/>
      <c r="T355" s="24"/>
      <c r="U355" s="24"/>
      <c r="V355" s="24"/>
      <c r="W355" s="24"/>
      <c r="X355" s="24"/>
      <c r="Y355" s="24"/>
      <c r="Z355" s="24"/>
      <c r="AA355" s="24"/>
      <c r="AB355" s="24"/>
      <c r="AC355" s="24"/>
      <c r="AD355" s="6"/>
      <c r="AE355" s="6"/>
      <c r="AF355" s="24">
        <f t="shared" ref="AF355:BG358" si="807">AF336/AVERAGE(AC$191:AF$191)</f>
        <v>2.5212292593670727</v>
      </c>
      <c r="AG355" s="24">
        <f t="shared" si="807"/>
        <v>2.8410781688045232</v>
      </c>
      <c r="AH355" s="24">
        <f t="shared" si="807"/>
        <v>2.695654112209946</v>
      </c>
      <c r="AI355" s="24">
        <f t="shared" si="807"/>
        <v>2.5936517014583931</v>
      </c>
      <c r="AJ355" s="24">
        <f t="shared" si="807"/>
        <v>2.4980892509175039</v>
      </c>
      <c r="AK355" s="24">
        <f t="shared" si="807"/>
        <v>0</v>
      </c>
      <c r="AL355" s="24">
        <f t="shared" si="807"/>
        <v>0</v>
      </c>
      <c r="AM355" s="24">
        <f t="shared" si="807"/>
        <v>0</v>
      </c>
      <c r="AN355" s="24">
        <f t="shared" si="807"/>
        <v>0</v>
      </c>
      <c r="AO355" s="24">
        <f t="shared" si="807"/>
        <v>0</v>
      </c>
      <c r="AP355" s="24">
        <f t="shared" si="807"/>
        <v>0</v>
      </c>
      <c r="AQ355" s="24">
        <f t="shared" si="807"/>
        <v>0</v>
      </c>
      <c r="AR355" s="24">
        <f t="shared" si="807"/>
        <v>0</v>
      </c>
      <c r="AS355" s="24">
        <f t="shared" si="807"/>
        <v>0</v>
      </c>
      <c r="AT355" s="24">
        <f t="shared" si="807"/>
        <v>0</v>
      </c>
      <c r="AU355" s="24">
        <f t="shared" si="807"/>
        <v>0</v>
      </c>
      <c r="AV355" s="24">
        <f t="shared" si="807"/>
        <v>0</v>
      </c>
      <c r="AW355" s="24">
        <f t="shared" si="807"/>
        <v>0</v>
      </c>
      <c r="AX355" s="24">
        <f t="shared" si="807"/>
        <v>0</v>
      </c>
      <c r="AY355" s="24">
        <f t="shared" si="807"/>
        <v>0</v>
      </c>
      <c r="AZ355" s="24">
        <f t="shared" si="807"/>
        <v>0</v>
      </c>
      <c r="BA355" s="24">
        <f t="shared" si="807"/>
        <v>0</v>
      </c>
      <c r="BB355" s="24">
        <f t="shared" si="807"/>
        <v>0</v>
      </c>
      <c r="BC355" s="24">
        <f t="shared" si="807"/>
        <v>0</v>
      </c>
      <c r="BD355" s="24">
        <f t="shared" si="807"/>
        <v>0</v>
      </c>
      <c r="BE355" s="24">
        <f t="shared" si="807"/>
        <v>0</v>
      </c>
      <c r="BF355" s="24">
        <f t="shared" si="807"/>
        <v>0</v>
      </c>
      <c r="BG355" s="24">
        <f t="shared" si="807"/>
        <v>0</v>
      </c>
    </row>
    <row r="356" spans="2:59" ht="13.5" customHeight="1">
      <c r="B356" s="1" t="s">
        <v>465</v>
      </c>
      <c r="C356" s="24">
        <f t="shared" si="799"/>
        <v>-43.0695652173913</v>
      </c>
      <c r="D356" s="24">
        <f t="shared" si="799"/>
        <v>-56.297532177037873</v>
      </c>
      <c r="E356" s="24">
        <f t="shared" si="799"/>
        <v>-144.55603978841611</v>
      </c>
      <c r="F356" s="24">
        <f t="shared" si="799"/>
        <v>-250.60069406191474</v>
      </c>
      <c r="G356" s="24">
        <f t="shared" si="799"/>
        <v>-348.55245181495263</v>
      </c>
      <c r="H356" s="24">
        <f t="shared" si="805"/>
        <v>-369.35707124465034</v>
      </c>
      <c r="I356" s="24">
        <f t="shared" si="805"/>
        <v>-209.50362966059822</v>
      </c>
      <c r="J356" s="24">
        <f t="shared" si="806"/>
        <v>-205.27889455724858</v>
      </c>
      <c r="K356" s="24">
        <f t="shared" si="806"/>
        <v>-187.21855670103093</v>
      </c>
      <c r="L356" s="24">
        <f t="shared" si="799"/>
        <v>-212.27798980203286</v>
      </c>
      <c r="M356" s="24"/>
      <c r="N356" s="24"/>
      <c r="O356" s="24"/>
      <c r="P356" s="101"/>
      <c r="Q356" s="24"/>
      <c r="R356" s="24"/>
      <c r="S356" s="24"/>
      <c r="T356" s="24"/>
      <c r="U356" s="24"/>
      <c r="V356" s="24"/>
      <c r="W356" s="24"/>
      <c r="X356" s="24"/>
      <c r="Y356" s="24"/>
      <c r="Z356" s="24"/>
      <c r="AA356" s="24"/>
      <c r="AB356" s="24"/>
      <c r="AC356" s="24"/>
      <c r="AD356" s="24"/>
      <c r="AE356" s="24"/>
      <c r="AF356" s="24">
        <f t="shared" si="807"/>
        <v>-144.55724206761758</v>
      </c>
      <c r="AG356" s="24">
        <f t="shared" si="807"/>
        <v>-156.33541637300507</v>
      </c>
      <c r="AH356" s="24">
        <f t="shared" si="807"/>
        <v>-205.43915831395304</v>
      </c>
      <c r="AI356" s="24">
        <f t="shared" si="807"/>
        <v>-211.74206462682301</v>
      </c>
      <c r="AJ356" s="24">
        <f t="shared" si="807"/>
        <v>-250.60241959361292</v>
      </c>
      <c r="AK356" s="24">
        <f t="shared" si="807"/>
        <v>-266.90452322988477</v>
      </c>
      <c r="AL356" s="24">
        <f t="shared" si="807"/>
        <v>-279.74462601768874</v>
      </c>
      <c r="AM356" s="24">
        <f t="shared" si="807"/>
        <v>-271.46864809841213</v>
      </c>
      <c r="AN356" s="24">
        <f t="shared" si="807"/>
        <v>-348.55245181495263</v>
      </c>
      <c r="AO356" s="24">
        <f t="shared" si="807"/>
        <v>-412.50159282910772</v>
      </c>
      <c r="AP356" s="24">
        <f t="shared" si="807"/>
        <v>-381.65582890791529</v>
      </c>
      <c r="AQ356" s="24">
        <f t="shared" si="807"/>
        <v>-399.14156936890123</v>
      </c>
      <c r="AR356" s="24">
        <f t="shared" si="807"/>
        <v>-369.35707124465034</v>
      </c>
      <c r="AS356" s="24">
        <f t="shared" si="807"/>
        <v>-278.86103267962699</v>
      </c>
      <c r="AT356" s="24">
        <f t="shared" si="807"/>
        <v>-313.40932320498456</v>
      </c>
      <c r="AU356" s="24">
        <f t="shared" si="807"/>
        <v>-297.52155528965454</v>
      </c>
      <c r="AV356" s="24">
        <f t="shared" si="807"/>
        <v>-242.79028794802622</v>
      </c>
      <c r="AW356" s="24">
        <f t="shared" si="807"/>
        <v>-222.60918801028964</v>
      </c>
      <c r="AX356" s="24">
        <f t="shared" si="807"/>
        <v>-221.49419990518277</v>
      </c>
      <c r="AY356" s="24">
        <f t="shared" si="807"/>
        <v>-193.63859190661032</v>
      </c>
      <c r="AZ356" s="24">
        <f t="shared" si="807"/>
        <v>-205.27773867507534</v>
      </c>
      <c r="BA356" s="24">
        <f t="shared" si="807"/>
        <v>-187.50264103609697</v>
      </c>
      <c r="BB356" s="24">
        <f t="shared" si="807"/>
        <v>-199.0000081432562</v>
      </c>
      <c r="BC356" s="24">
        <f t="shared" si="807"/>
        <v>-172.46334511302354</v>
      </c>
      <c r="BD356" s="24">
        <f t="shared" si="807"/>
        <v>-186.98015416971384</v>
      </c>
      <c r="BE356" s="24">
        <f t="shared" si="807"/>
        <v>-185.78383092884022</v>
      </c>
      <c r="BF356" s="24">
        <f t="shared" si="807"/>
        <v>-236.01924162669516</v>
      </c>
      <c r="BG356" s="24">
        <f t="shared" si="807"/>
        <v>-212.27798980203286</v>
      </c>
    </row>
    <row r="357" spans="2:59" ht="13.5" customHeight="1">
      <c r="B357" s="1" t="s">
        <v>491</v>
      </c>
      <c r="C357" s="24">
        <f t="shared" si="799"/>
        <v>-711.02517162471395</v>
      </c>
      <c r="D357" s="24">
        <f t="shared" si="799"/>
        <v>-783.01419089875696</v>
      </c>
      <c r="E357" s="24">
        <f t="shared" si="799"/>
        <v>-855.78395821550941</v>
      </c>
      <c r="F357" s="24">
        <f t="shared" si="799"/>
        <v>-808.9663435055636</v>
      </c>
      <c r="G357" s="24">
        <f t="shared" si="799"/>
        <v>-622.28555814784465</v>
      </c>
      <c r="H357" s="24">
        <f t="shared" si="805"/>
        <v>-564.45743914988714</v>
      </c>
      <c r="I357" s="24">
        <f t="shared" si="805"/>
        <v>-494.65280681083959</v>
      </c>
      <c r="J357" s="24">
        <f t="shared" si="806"/>
        <v>-627.0819960133789</v>
      </c>
      <c r="K357" s="24">
        <f t="shared" si="806"/>
        <v>-437.61673741661616</v>
      </c>
      <c r="L357" s="24">
        <f t="shared" si="799"/>
        <v>-521.08846366638966</v>
      </c>
      <c r="M357" s="24"/>
      <c r="N357" s="24"/>
      <c r="O357" s="24"/>
      <c r="P357" s="101"/>
      <c r="Q357" s="24"/>
      <c r="R357" s="24"/>
      <c r="S357" s="24"/>
      <c r="T357" s="24"/>
      <c r="U357" s="24"/>
      <c r="V357" s="24"/>
      <c r="W357" s="24"/>
      <c r="X357" s="24"/>
      <c r="Y357" s="24"/>
      <c r="Z357" s="24"/>
      <c r="AA357" s="24"/>
      <c r="AB357" s="24"/>
      <c r="AC357" s="24"/>
      <c r="AD357" s="24"/>
      <c r="AE357" s="24"/>
      <c r="AF357" s="24">
        <f t="shared" si="807"/>
        <v>-855.79107580987227</v>
      </c>
      <c r="AG357" s="24">
        <f t="shared" si="807"/>
        <v>-741.86502529405311</v>
      </c>
      <c r="AH357" s="24">
        <f t="shared" si="807"/>
        <v>-641.88992993379736</v>
      </c>
      <c r="AI357" s="24">
        <f t="shared" si="807"/>
        <v>-684.81984558192744</v>
      </c>
      <c r="AJ357" s="24">
        <f t="shared" si="807"/>
        <v>-808.97191370988298</v>
      </c>
      <c r="AK357" s="24">
        <f t="shared" si="807"/>
        <v>-846.55824007964929</v>
      </c>
      <c r="AL357" s="24">
        <f t="shared" si="807"/>
        <v>-822.20556173815714</v>
      </c>
      <c r="AM357" s="24">
        <f t="shared" si="807"/>
        <v>-747.25818232009249</v>
      </c>
      <c r="AN357" s="24">
        <f t="shared" si="807"/>
        <v>-622.28555814784465</v>
      </c>
      <c r="AO357" s="24">
        <f t="shared" si="807"/>
        <v>-569.66650292545557</v>
      </c>
      <c r="AP357" s="24">
        <f t="shared" si="807"/>
        <v>-557.87543802608297</v>
      </c>
      <c r="AQ357" s="24">
        <f t="shared" si="807"/>
        <v>-548.58699450711924</v>
      </c>
      <c r="AR357" s="24">
        <f t="shared" si="807"/>
        <v>-564.45743914988714</v>
      </c>
      <c r="AS357" s="24">
        <f t="shared" si="807"/>
        <v>-537.83654215253898</v>
      </c>
      <c r="AT357" s="24">
        <f t="shared" si="807"/>
        <v>-544.1296188786315</v>
      </c>
      <c r="AU357" s="24">
        <f t="shared" si="807"/>
        <v>-574.90868098171313</v>
      </c>
      <c r="AV357" s="24">
        <f t="shared" si="807"/>
        <v>-573.24494852172006</v>
      </c>
      <c r="AW357" s="24">
        <f t="shared" si="807"/>
        <v>-623.04943518622088</v>
      </c>
      <c r="AX357" s="24">
        <f t="shared" si="807"/>
        <v>-659.9572327961464</v>
      </c>
      <c r="AY357" s="24">
        <f t="shared" si="807"/>
        <v>-605.11214326361551</v>
      </c>
      <c r="AZ357" s="24">
        <f t="shared" si="807"/>
        <v>-627.07846504687632</v>
      </c>
      <c r="BA357" s="24">
        <f t="shared" si="807"/>
        <v>-542.37070846538518</v>
      </c>
      <c r="BB357" s="24">
        <f t="shared" si="807"/>
        <v>-471.05813470574344</v>
      </c>
      <c r="BC357" s="24">
        <f t="shared" si="807"/>
        <v>-433.47806175109537</v>
      </c>
      <c r="BD357" s="24">
        <f t="shared" si="807"/>
        <v>-437.0594799535462</v>
      </c>
      <c r="BE357" s="24">
        <f t="shared" si="807"/>
        <v>-468.09000257850704</v>
      </c>
      <c r="BF357" s="24">
        <f t="shared" si="807"/>
        <v>-505.14055541307488</v>
      </c>
      <c r="BG357" s="24">
        <f t="shared" si="807"/>
        <v>-521.08846366638966</v>
      </c>
    </row>
    <row r="358" spans="2:59" ht="13.5" customHeight="1">
      <c r="B358" s="1" t="s">
        <v>472</v>
      </c>
      <c r="C358" s="24">
        <f t="shared" si="799"/>
        <v>540.89107551487371</v>
      </c>
      <c r="D358" s="24">
        <f t="shared" si="799"/>
        <v>-292.44582156869978</v>
      </c>
      <c r="E358" s="24">
        <f t="shared" si="799"/>
        <v>-161.51069563192416</v>
      </c>
      <c r="F358" s="24">
        <f t="shared" si="799"/>
        <v>382.01112702434637</v>
      </c>
      <c r="G358" s="24">
        <f t="shared" si="799"/>
        <v>143.57798936460841</v>
      </c>
      <c r="H358" s="24">
        <f t="shared" si="805"/>
        <v>597.2551531024618</v>
      </c>
      <c r="I358" s="24">
        <f t="shared" si="805"/>
        <v>335.15880556928033</v>
      </c>
      <c r="J358" s="24">
        <f t="shared" si="806"/>
        <v>195.44444069056436</v>
      </c>
      <c r="K358" s="24">
        <f t="shared" si="806"/>
        <v>-122.45676167374194</v>
      </c>
      <c r="L358" s="24">
        <f t="shared" si="799"/>
        <v>226.89634689115684</v>
      </c>
      <c r="M358" s="24"/>
      <c r="N358" s="24"/>
      <c r="O358" s="24"/>
      <c r="P358" s="101"/>
      <c r="Q358" s="24"/>
      <c r="R358" s="24"/>
      <c r="S358" s="24"/>
      <c r="T358" s="24"/>
      <c r="U358" s="24"/>
      <c r="V358" s="24"/>
      <c r="W358" s="24"/>
      <c r="X358" s="24"/>
      <c r="Y358" s="24"/>
      <c r="Z358" s="24"/>
      <c r="AA358" s="24"/>
      <c r="AB358" s="24"/>
      <c r="AC358" s="24"/>
      <c r="AD358" s="24"/>
      <c r="AE358" s="24"/>
      <c r="AF358" s="24">
        <f t="shared" si="807"/>
        <v>-161.51226538744154</v>
      </c>
      <c r="AG358" s="24">
        <f t="shared" si="807"/>
        <v>101.3751379556867</v>
      </c>
      <c r="AH358" s="24">
        <f t="shared" si="807"/>
        <v>354.9157050829578</v>
      </c>
      <c r="AI358" s="24">
        <f t="shared" si="807"/>
        <v>158.43780383185626</v>
      </c>
      <c r="AJ358" s="24">
        <f t="shared" si="807"/>
        <v>381.98621506427668</v>
      </c>
      <c r="AK358" s="24">
        <f t="shared" si="807"/>
        <v>33.943113547867497</v>
      </c>
      <c r="AL358" s="24">
        <f t="shared" si="807"/>
        <v>326.46348685709012</v>
      </c>
      <c r="AM358" s="24">
        <f t="shared" si="807"/>
        <v>162.44212996244514</v>
      </c>
      <c r="AN358" s="24">
        <f t="shared" si="807"/>
        <v>143.57798936460853</v>
      </c>
      <c r="AO358" s="24">
        <f t="shared" si="807"/>
        <v>27.514359779970444</v>
      </c>
      <c r="AP358" s="24">
        <f t="shared" si="807"/>
        <v>527.35323868357364</v>
      </c>
      <c r="AQ358" s="24">
        <f t="shared" si="807"/>
        <v>579.51917131873904</v>
      </c>
      <c r="AR358" s="24">
        <f t="shared" si="807"/>
        <v>597.25515310246135</v>
      </c>
      <c r="AS358" s="24">
        <f t="shared" si="807"/>
        <v>760.7262708032996</v>
      </c>
      <c r="AT358" s="24">
        <f t="shared" si="807"/>
        <v>288.51222842751656</v>
      </c>
      <c r="AU358" s="24">
        <f t="shared" si="807"/>
        <v>421.61169314347484</v>
      </c>
      <c r="AV358" s="24">
        <f t="shared" si="807"/>
        <v>388.40999100735951</v>
      </c>
      <c r="AW358" s="24">
        <f t="shared" si="807"/>
        <v>446.2263728889389</v>
      </c>
      <c r="AX358" s="24">
        <f t="shared" si="807"/>
        <v>399.92401361919974</v>
      </c>
      <c r="AY358" s="24">
        <f t="shared" si="807"/>
        <v>312.45672430401277</v>
      </c>
      <c r="AZ358" s="24">
        <f t="shared" si="807"/>
        <v>195.44334018412729</v>
      </c>
      <c r="BA358" s="24">
        <f t="shared" si="807"/>
        <v>-0.80335191001150752</v>
      </c>
      <c r="BB358" s="24">
        <f t="shared" si="807"/>
        <v>-297.15165185951241</v>
      </c>
      <c r="BC358" s="24">
        <f t="shared" si="807"/>
        <v>-251.18129558364134</v>
      </c>
      <c r="BD358" s="24">
        <f t="shared" si="807"/>
        <v>-122.30082626608556</v>
      </c>
      <c r="BE358" s="24">
        <f t="shared" si="807"/>
        <v>264.27110677132919</v>
      </c>
      <c r="BF358" s="24">
        <f t="shared" si="807"/>
        <v>202.54508551155482</v>
      </c>
      <c r="BG358" s="24">
        <f t="shared" si="807"/>
        <v>226.89634689115607</v>
      </c>
    </row>
    <row r="359" spans="2:59" ht="13.5" customHeight="1">
      <c r="B359" s="1" t="s">
        <v>64</v>
      </c>
      <c r="C359" s="24">
        <f t="shared" ref="C359:L359" si="808">C340/C$190</f>
        <v>3894.8988744663411</v>
      </c>
      <c r="D359" s="24">
        <f t="shared" si="808"/>
        <v>1003.8505984316962</v>
      </c>
      <c r="E359" s="24">
        <f t="shared" si="808"/>
        <v>1719.8090475107979</v>
      </c>
      <c r="F359" s="24">
        <f t="shared" si="808"/>
        <v>1249.3260690898485</v>
      </c>
      <c r="G359" s="24">
        <f t="shared" si="808"/>
        <v>1410.2604117166263</v>
      </c>
      <c r="H359" s="24">
        <f t="shared" ref="H359:I363" si="809">H340/H$190</f>
        <v>1723.6313592134945</v>
      </c>
      <c r="I359" s="24">
        <f t="shared" si="809"/>
        <v>1615.7693617600983</v>
      </c>
      <c r="J359" s="24">
        <f t="shared" ref="J359:K363" si="810">J340/J$190</f>
        <v>1396.9450821516994</v>
      </c>
      <c r="K359" s="24">
        <f t="shared" si="810"/>
        <v>1387.2954225785231</v>
      </c>
      <c r="L359" s="24">
        <f t="shared" si="808"/>
        <v>1424.94025270824</v>
      </c>
      <c r="M359" s="24"/>
      <c r="N359" s="24"/>
      <c r="O359" s="24"/>
      <c r="P359" s="101"/>
      <c r="Q359" s="24"/>
      <c r="R359" s="24"/>
      <c r="S359" s="24"/>
      <c r="T359" s="24"/>
      <c r="U359" s="24"/>
      <c r="V359" s="24"/>
      <c r="W359" s="24"/>
      <c r="X359" s="24"/>
      <c r="Y359" s="24"/>
      <c r="Z359" s="24"/>
      <c r="AA359" s="24"/>
      <c r="AB359" s="24"/>
      <c r="AC359" s="24"/>
      <c r="AD359" s="24"/>
      <c r="AE359" s="24"/>
      <c r="AF359" s="24">
        <f t="shared" ref="AF359:AG363" si="811">AF340/AF$190</f>
        <v>1719.8090475107979</v>
      </c>
      <c r="AG359" s="24">
        <f t="shared" si="811"/>
        <v>1772.7972297037322</v>
      </c>
      <c r="AH359" s="24">
        <f t="shared" ref="AH359:AN359" si="812">AH340/AH$190</f>
        <v>1424.1165065153548</v>
      </c>
      <c r="AI359" s="24">
        <f t="shared" si="812"/>
        <v>1381.2837476422399</v>
      </c>
      <c r="AJ359" s="24">
        <f t="shared" si="812"/>
        <v>1249.3260690898485</v>
      </c>
      <c r="AK359" s="24">
        <f t="shared" si="812"/>
        <v>1162.2613892476386</v>
      </c>
      <c r="AL359" s="24">
        <f t="shared" si="812"/>
        <v>1552.5803056548339</v>
      </c>
      <c r="AM359" s="24">
        <f t="shared" si="812"/>
        <v>1460.5841207305268</v>
      </c>
      <c r="AN359" s="24">
        <f t="shared" si="812"/>
        <v>1410.2604117166263</v>
      </c>
      <c r="AO359" s="24">
        <f t="shared" ref="AO359:AP363" si="813">AO340/AO$190</f>
        <v>1579.1789851467558</v>
      </c>
      <c r="AP359" s="24">
        <f t="shared" si="813"/>
        <v>1856.9150840124412</v>
      </c>
      <c r="AQ359" s="24">
        <f t="shared" ref="AQ359:AT363" si="814">AQ340/AQ$190</f>
        <v>1939.4218161898536</v>
      </c>
      <c r="AR359" s="24">
        <f t="shared" si="814"/>
        <v>1723.6313592134945</v>
      </c>
      <c r="AS359" s="24">
        <f t="shared" si="814"/>
        <v>1413.7760896255372</v>
      </c>
      <c r="AT359" s="24">
        <f t="shared" si="814"/>
        <v>1594.8134366472589</v>
      </c>
      <c r="AU359" s="24">
        <f t="shared" ref="AU359:AW363" si="815">AU340/AU$190</f>
        <v>1752.7803050922146</v>
      </c>
      <c r="AV359" s="24">
        <f t="shared" si="815"/>
        <v>1615.7693617600983</v>
      </c>
      <c r="AW359" s="24">
        <f t="shared" si="815"/>
        <v>1611.9071582993033</v>
      </c>
      <c r="AX359" s="24">
        <f t="shared" ref="AX359:BA363" si="816">AX340/AX$190</f>
        <v>1428.2447272894365</v>
      </c>
      <c r="AY359" s="24">
        <f t="shared" si="816"/>
        <v>1392.8582090396119</v>
      </c>
      <c r="AZ359" s="24">
        <f t="shared" si="816"/>
        <v>1396.9450821516994</v>
      </c>
      <c r="BA359" s="24">
        <f t="shared" si="816"/>
        <v>1282.5090953768865</v>
      </c>
      <c r="BB359" s="24">
        <f t="shared" ref="BB359:BE363" si="817">BB340/BB$190</f>
        <v>1318.4447730332756</v>
      </c>
      <c r="BC359" s="24">
        <f t="shared" si="817"/>
        <v>1315.0550115970395</v>
      </c>
      <c r="BD359" s="24">
        <f t="shared" si="817"/>
        <v>1387.2954225785231</v>
      </c>
      <c r="BE359" s="24">
        <f t="shared" si="817"/>
        <v>1423.0613734599281</v>
      </c>
      <c r="BF359" s="24">
        <f t="shared" ref="BF359:BG363" si="818">BF340/BF$190</f>
        <v>1342.4371583999998</v>
      </c>
      <c r="BG359" s="24">
        <f t="shared" si="818"/>
        <v>1424.94025270824</v>
      </c>
    </row>
    <row r="360" spans="2:59" ht="13.5" customHeight="1">
      <c r="B360" s="1" t="s">
        <v>550</v>
      </c>
      <c r="C360" s="24">
        <f t="shared" ref="C360:L363" si="819">C341/C$190</f>
        <v>1594.9346672991505</v>
      </c>
      <c r="D360" s="24">
        <f t="shared" si="819"/>
        <v>1449.3878112532673</v>
      </c>
      <c r="E360" s="24">
        <f t="shared" si="819"/>
        <v>2779.3708797453965</v>
      </c>
      <c r="F360" s="24">
        <f t="shared" si="819"/>
        <v>3323.5634560831409</v>
      </c>
      <c r="G360" s="24">
        <f t="shared" si="819"/>
        <v>3562.4301925526047</v>
      </c>
      <c r="H360" s="24">
        <f t="shared" si="809"/>
        <v>3160.2760849803039</v>
      </c>
      <c r="I360" s="24">
        <f t="shared" si="809"/>
        <v>2654.796812206253</v>
      </c>
      <c r="J360" s="24">
        <f t="shared" si="810"/>
        <v>2541.2460049516089</v>
      </c>
      <c r="K360" s="24">
        <f t="shared" si="810"/>
        <v>2716.7774075718112</v>
      </c>
      <c r="L360" s="24">
        <f t="shared" si="819"/>
        <v>2893.3619025726912</v>
      </c>
      <c r="M360" s="24"/>
      <c r="N360" s="24"/>
      <c r="O360" s="24"/>
      <c r="P360" s="101"/>
      <c r="Q360" s="24"/>
      <c r="R360" s="24"/>
      <c r="S360" s="24"/>
      <c r="T360" s="24"/>
      <c r="U360" s="24"/>
      <c r="V360" s="24"/>
      <c r="W360" s="24"/>
      <c r="X360" s="24"/>
      <c r="Y360" s="24"/>
      <c r="Z360" s="24"/>
      <c r="AA360" s="24"/>
      <c r="AB360" s="24"/>
      <c r="AC360" s="24"/>
      <c r="AD360" s="24"/>
      <c r="AE360" s="24"/>
      <c r="AF360" s="24">
        <f t="shared" si="811"/>
        <v>2779.3708797453965</v>
      </c>
      <c r="AG360" s="24">
        <f t="shared" si="811"/>
        <v>2948.9517946462929</v>
      </c>
      <c r="AH360" s="24">
        <f t="shared" ref="AH360:AN360" si="820">AH341/AH$190</f>
        <v>3192.7866328305436</v>
      </c>
      <c r="AI360" s="24">
        <f t="shared" si="820"/>
        <v>3340.8358435854848</v>
      </c>
      <c r="AJ360" s="24">
        <f t="shared" si="820"/>
        <v>3323.5634560831409</v>
      </c>
      <c r="AK360" s="24">
        <f t="shared" si="820"/>
        <v>3831.5609410215502</v>
      </c>
      <c r="AL360" s="24">
        <f t="shared" si="820"/>
        <v>4031.9744776021225</v>
      </c>
      <c r="AM360" s="24">
        <f t="shared" si="820"/>
        <v>3848.8027110947887</v>
      </c>
      <c r="AN360" s="24">
        <f t="shared" si="820"/>
        <v>3562.4301925526047</v>
      </c>
      <c r="AO360" s="24">
        <f t="shared" si="813"/>
        <v>3812.2995878047041</v>
      </c>
      <c r="AP360" s="24">
        <f t="shared" si="813"/>
        <v>3559.4771593890641</v>
      </c>
      <c r="AQ360" s="24">
        <f t="shared" si="814"/>
        <v>3380.6064568570982</v>
      </c>
      <c r="AR360" s="24">
        <f t="shared" si="814"/>
        <v>3160.2760849803039</v>
      </c>
      <c r="AS360" s="24">
        <f t="shared" si="814"/>
        <v>2765.1608348680174</v>
      </c>
      <c r="AT360" s="24">
        <f t="shared" si="814"/>
        <v>2669.0128266865122</v>
      </c>
      <c r="AU360" s="24">
        <f t="shared" si="815"/>
        <v>2692.6793421206116</v>
      </c>
      <c r="AV360" s="24">
        <f t="shared" si="815"/>
        <v>2654.796812206253</v>
      </c>
      <c r="AW360" s="24">
        <f t="shared" si="815"/>
        <v>2720.1566178236844</v>
      </c>
      <c r="AX360" s="24">
        <f t="shared" si="816"/>
        <v>2516.3661949179805</v>
      </c>
      <c r="AY360" s="24">
        <f t="shared" si="816"/>
        <v>2561.0890730835777</v>
      </c>
      <c r="AZ360" s="24">
        <f t="shared" si="816"/>
        <v>2541.2460049516089</v>
      </c>
      <c r="BA360" s="24">
        <f t="shared" si="816"/>
        <v>2585.0480194944812</v>
      </c>
      <c r="BB360" s="24">
        <f t="shared" si="817"/>
        <v>2707.1052726485864</v>
      </c>
      <c r="BC360" s="24">
        <f t="shared" si="817"/>
        <v>2639.1415487589279</v>
      </c>
      <c r="BD360" s="24">
        <f t="shared" si="817"/>
        <v>2716.7774075718112</v>
      </c>
      <c r="BE360" s="24">
        <f t="shared" si="817"/>
        <v>2872.6250175970968</v>
      </c>
      <c r="BF360" s="24">
        <f t="shared" si="818"/>
        <v>2813.2359935999993</v>
      </c>
      <c r="BG360" s="24">
        <f t="shared" si="818"/>
        <v>2893.3619025726912</v>
      </c>
    </row>
    <row r="361" spans="2:59" ht="13.5" customHeight="1">
      <c r="B361" s="1" t="s">
        <v>551</v>
      </c>
      <c r="C361" s="24">
        <f t="shared" si="819"/>
        <v>1677.4703523222217</v>
      </c>
      <c r="D361" s="24">
        <f t="shared" si="819"/>
        <v>1515.2125464300452</v>
      </c>
      <c r="E361" s="24">
        <f t="shared" si="819"/>
        <v>2848.2819959081612</v>
      </c>
      <c r="F361" s="24">
        <f t="shared" si="819"/>
        <v>3400.5114133460588</v>
      </c>
      <c r="G361" s="24">
        <f t="shared" si="819"/>
        <v>3831.197133570301</v>
      </c>
      <c r="H361" s="24">
        <f t="shared" si="809"/>
        <v>3418.3574627116936</v>
      </c>
      <c r="I361" s="24">
        <f t="shared" si="809"/>
        <v>2940.7291056467543</v>
      </c>
      <c r="J361" s="24">
        <f t="shared" si="810"/>
        <v>2759.2567334383671</v>
      </c>
      <c r="K361" s="24">
        <f t="shared" si="810"/>
        <v>2880.1735986693975</v>
      </c>
      <c r="L361" s="24">
        <f t="shared" si="819"/>
        <v>3044.9113185999249</v>
      </c>
      <c r="M361" s="24"/>
      <c r="N361" s="24"/>
      <c r="O361" s="24"/>
      <c r="P361" s="101"/>
      <c r="Q361" s="24"/>
      <c r="R361" s="24"/>
      <c r="S361" s="24"/>
      <c r="T361" s="24"/>
      <c r="U361" s="24"/>
      <c r="V361" s="24"/>
      <c r="W361" s="24"/>
      <c r="X361" s="24"/>
      <c r="Y361" s="24"/>
      <c r="Z361" s="24"/>
      <c r="AA361" s="24"/>
      <c r="AB361" s="24"/>
      <c r="AC361" s="24"/>
      <c r="AD361" s="24"/>
      <c r="AE361" s="24"/>
      <c r="AF361" s="24">
        <f t="shared" si="811"/>
        <v>2848.2819959081612</v>
      </c>
      <c r="AG361" s="24">
        <f t="shared" si="811"/>
        <v>3028.7187379761449</v>
      </c>
      <c r="AH361" s="24">
        <f t="shared" ref="AH361:AN361" si="821">AH342/AH$190</f>
        <v>3275.544466938496</v>
      </c>
      <c r="AI361" s="24">
        <f t="shared" si="821"/>
        <v>3422.5452549196252</v>
      </c>
      <c r="AJ361" s="24">
        <f t="shared" si="821"/>
        <v>3400.5114133460588</v>
      </c>
      <c r="AK361" s="24">
        <f t="shared" si="821"/>
        <v>3831.5609410215502</v>
      </c>
      <c r="AL361" s="24">
        <f t="shared" si="821"/>
        <v>4031.9744776021225</v>
      </c>
      <c r="AM361" s="24">
        <f t="shared" si="821"/>
        <v>3848.8027110947887</v>
      </c>
      <c r="AN361" s="24">
        <f t="shared" si="821"/>
        <v>3831.197133570301</v>
      </c>
      <c r="AO361" s="24">
        <f t="shared" si="813"/>
        <v>4062.7656172269199</v>
      </c>
      <c r="AP361" s="24">
        <f t="shared" si="813"/>
        <v>3833.4727459123214</v>
      </c>
      <c r="AQ361" s="24">
        <f t="shared" si="814"/>
        <v>3653.4381792157769</v>
      </c>
      <c r="AR361" s="24">
        <f t="shared" si="814"/>
        <v>3418.3574627116936</v>
      </c>
      <c r="AS361" s="24">
        <f t="shared" si="814"/>
        <v>2992.6177102516881</v>
      </c>
      <c r="AT361" s="24">
        <f t="shared" si="814"/>
        <v>2885.8442411241954</v>
      </c>
      <c r="AU361" s="24">
        <f t="shared" si="815"/>
        <v>2960.2977046800684</v>
      </c>
      <c r="AV361" s="24">
        <f t="shared" si="815"/>
        <v>2940.7291056467543</v>
      </c>
      <c r="AW361" s="24">
        <f t="shared" si="815"/>
        <v>2990.1241892865719</v>
      </c>
      <c r="AX361" s="24">
        <f t="shared" si="816"/>
        <v>2765.8652299774853</v>
      </c>
      <c r="AY361" s="24">
        <f t="shared" si="816"/>
        <v>2804.8999807764071</v>
      </c>
      <c r="AZ361" s="24">
        <f t="shared" si="816"/>
        <v>2759.2567334383671</v>
      </c>
      <c r="BA361" s="24">
        <f t="shared" si="816"/>
        <v>2788.7072619673318</v>
      </c>
      <c r="BB361" s="24">
        <f t="shared" si="817"/>
        <v>2899.2735982881322</v>
      </c>
      <c r="BC361" s="24">
        <f t="shared" si="817"/>
        <v>2807.1688626250943</v>
      </c>
      <c r="BD361" s="24">
        <f t="shared" si="817"/>
        <v>2880.1735986693975</v>
      </c>
      <c r="BE361" s="24">
        <f t="shared" si="817"/>
        <v>3049.4549331831713</v>
      </c>
      <c r="BF361" s="24">
        <f t="shared" si="818"/>
        <v>2964.3973631999997</v>
      </c>
      <c r="BG361" s="24">
        <f t="shared" si="818"/>
        <v>3044.9113185999249</v>
      </c>
    </row>
    <row r="362" spans="2:59" ht="13.5" customHeight="1">
      <c r="B362" s="1" t="s">
        <v>552</v>
      </c>
      <c r="C362" s="24">
        <f t="shared" si="819"/>
        <v>-2299.9642071671906</v>
      </c>
      <c r="D362" s="24">
        <f t="shared" si="819"/>
        <v>445.53721282157107</v>
      </c>
      <c r="E362" s="24">
        <f t="shared" si="819"/>
        <v>1059.5618322345988</v>
      </c>
      <c r="F362" s="24">
        <f t="shared" si="819"/>
        <v>2074.2373869932926</v>
      </c>
      <c r="G362" s="24">
        <f t="shared" si="819"/>
        <v>2152.1697808359786</v>
      </c>
      <c r="H362" s="24">
        <f t="shared" si="809"/>
        <v>1436.6447257668096</v>
      </c>
      <c r="I362" s="24">
        <f t="shared" si="809"/>
        <v>1039.0274504461549</v>
      </c>
      <c r="J362" s="24">
        <f t="shared" si="810"/>
        <v>1144.3009227999096</v>
      </c>
      <c r="K362" s="24">
        <f t="shared" si="810"/>
        <v>1329.4819849932883</v>
      </c>
      <c r="L362" s="24">
        <f t="shared" si="819"/>
        <v>1468.421649864451</v>
      </c>
      <c r="M362" s="24"/>
      <c r="N362" s="24"/>
      <c r="O362" s="24"/>
      <c r="P362" s="101"/>
      <c r="Q362" s="24"/>
      <c r="R362" s="24"/>
      <c r="S362" s="24"/>
      <c r="T362" s="24"/>
      <c r="U362" s="24"/>
      <c r="V362" s="24"/>
      <c r="W362" s="24"/>
      <c r="X362" s="24"/>
      <c r="Y362" s="24"/>
      <c r="Z362" s="24"/>
      <c r="AA362" s="24"/>
      <c r="AB362" s="24"/>
      <c r="AC362" s="24"/>
      <c r="AD362" s="24"/>
      <c r="AE362" s="24"/>
      <c r="AF362" s="24">
        <f t="shared" si="811"/>
        <v>1059.5618322345988</v>
      </c>
      <c r="AG362" s="24">
        <f t="shared" si="811"/>
        <v>1176.1545649425605</v>
      </c>
      <c r="AH362" s="24">
        <f t="shared" ref="AH362:AN362" si="822">AH343/AH$190</f>
        <v>1768.6701263151888</v>
      </c>
      <c r="AI362" s="24">
        <f t="shared" si="822"/>
        <v>1959.5520959432451</v>
      </c>
      <c r="AJ362" s="24">
        <f t="shared" si="822"/>
        <v>2074.2373869932926</v>
      </c>
      <c r="AK362" s="24">
        <f t="shared" si="822"/>
        <v>2669.2995517739114</v>
      </c>
      <c r="AL362" s="24">
        <f t="shared" si="822"/>
        <v>2479.3941719472891</v>
      </c>
      <c r="AM362" s="24">
        <f t="shared" si="822"/>
        <v>2388.2185903642621</v>
      </c>
      <c r="AN362" s="24">
        <f t="shared" si="822"/>
        <v>2152.1697808359786</v>
      </c>
      <c r="AO362" s="24">
        <f t="shared" si="813"/>
        <v>2233.1206026579484</v>
      </c>
      <c r="AP362" s="24">
        <f t="shared" si="813"/>
        <v>1702.5620753766227</v>
      </c>
      <c r="AQ362" s="24">
        <f t="shared" si="814"/>
        <v>1441.1846406672446</v>
      </c>
      <c r="AR362" s="24">
        <f t="shared" si="814"/>
        <v>1436.6447257668096</v>
      </c>
      <c r="AS362" s="24">
        <f t="shared" si="814"/>
        <v>1351.38474524248</v>
      </c>
      <c r="AT362" s="24">
        <f t="shared" si="814"/>
        <v>1074.1993900392533</v>
      </c>
      <c r="AU362" s="24">
        <f t="shared" si="815"/>
        <v>939.89903702839706</v>
      </c>
      <c r="AV362" s="24">
        <f t="shared" si="815"/>
        <v>1039.0274504461549</v>
      </c>
      <c r="AW362" s="24">
        <f t="shared" si="815"/>
        <v>1108.2494595243811</v>
      </c>
      <c r="AX362" s="24">
        <f t="shared" si="816"/>
        <v>1088.121467628544</v>
      </c>
      <c r="AY362" s="24">
        <f t="shared" si="816"/>
        <v>1168.2308640439655</v>
      </c>
      <c r="AZ362" s="24">
        <f t="shared" si="816"/>
        <v>1144.3009227999096</v>
      </c>
      <c r="BA362" s="24">
        <f t="shared" si="816"/>
        <v>1302.5389241175949</v>
      </c>
      <c r="BB362" s="24">
        <f t="shared" si="817"/>
        <v>1388.6604996153108</v>
      </c>
      <c r="BC362" s="24">
        <f t="shared" si="817"/>
        <v>1324.0865371618884</v>
      </c>
      <c r="BD362" s="24">
        <f t="shared" si="817"/>
        <v>1329.4819849932883</v>
      </c>
      <c r="BE362" s="24">
        <f t="shared" si="817"/>
        <v>1449.5636441371689</v>
      </c>
      <c r="BF362" s="24">
        <f t="shared" si="818"/>
        <v>1470.7988351999998</v>
      </c>
      <c r="BG362" s="24">
        <f t="shared" si="818"/>
        <v>1468.421649864451</v>
      </c>
    </row>
    <row r="363" spans="2:59" ht="13.5" customHeight="1">
      <c r="B363" s="1" t="s">
        <v>553</v>
      </c>
      <c r="C363" s="24">
        <f t="shared" si="819"/>
        <v>-2217.4285221441196</v>
      </c>
      <c r="D363" s="24">
        <f t="shared" si="819"/>
        <v>511.36194799834908</v>
      </c>
      <c r="E363" s="24">
        <f t="shared" si="819"/>
        <v>1128.4729483973633</v>
      </c>
      <c r="F363" s="24">
        <f t="shared" si="819"/>
        <v>2151.1853442562101</v>
      </c>
      <c r="G363" s="24">
        <f t="shared" si="819"/>
        <v>2420.936721853675</v>
      </c>
      <c r="H363" s="24">
        <f t="shared" si="809"/>
        <v>1694.7261034981991</v>
      </c>
      <c r="I363" s="24">
        <f t="shared" si="809"/>
        <v>1324.959743886656</v>
      </c>
      <c r="J363" s="24">
        <f t="shared" si="810"/>
        <v>1362.3116512866675</v>
      </c>
      <c r="K363" s="24">
        <f t="shared" si="810"/>
        <v>1492.8781760908746</v>
      </c>
      <c r="L363" s="24">
        <f t="shared" si="819"/>
        <v>1619.9710658916849</v>
      </c>
      <c r="M363" s="24"/>
      <c r="N363" s="24"/>
      <c r="O363" s="24"/>
      <c r="P363" s="101"/>
      <c r="Q363" s="24"/>
      <c r="R363" s="24"/>
      <c r="S363" s="24"/>
      <c r="T363" s="24"/>
      <c r="U363" s="24"/>
      <c r="V363" s="24"/>
      <c r="W363" s="24"/>
      <c r="X363" s="24"/>
      <c r="Y363" s="24"/>
      <c r="Z363" s="24"/>
      <c r="AA363" s="24"/>
      <c r="AB363" s="24"/>
      <c r="AC363" s="24"/>
      <c r="AD363" s="24"/>
      <c r="AE363" s="24"/>
      <c r="AF363" s="24">
        <f t="shared" si="811"/>
        <v>1128.4729483973633</v>
      </c>
      <c r="AG363" s="24">
        <f t="shared" si="811"/>
        <v>1255.9215082724127</v>
      </c>
      <c r="AH363" s="24">
        <f t="shared" ref="AH363:AN363" si="823">AH344/AH$190</f>
        <v>1851.4279604231413</v>
      </c>
      <c r="AI363" s="24">
        <f t="shared" si="823"/>
        <v>2041.2615072773854</v>
      </c>
      <c r="AJ363" s="24">
        <f t="shared" si="823"/>
        <v>2151.1853442562101</v>
      </c>
      <c r="AK363" s="24">
        <f t="shared" si="823"/>
        <v>2669.2995517739114</v>
      </c>
      <c r="AL363" s="24">
        <f t="shared" si="823"/>
        <v>2479.3941719472891</v>
      </c>
      <c r="AM363" s="24">
        <f t="shared" si="823"/>
        <v>2388.2185903642621</v>
      </c>
      <c r="AN363" s="24">
        <f t="shared" si="823"/>
        <v>2420.936721853675</v>
      </c>
      <c r="AO363" s="24">
        <f t="shared" si="813"/>
        <v>2483.5866320801638</v>
      </c>
      <c r="AP363" s="24">
        <f t="shared" si="813"/>
        <v>1976.5576618998803</v>
      </c>
      <c r="AQ363" s="24">
        <f t="shared" si="814"/>
        <v>1714.0163630259235</v>
      </c>
      <c r="AR363" s="24">
        <f t="shared" si="814"/>
        <v>1694.7261034981991</v>
      </c>
      <c r="AS363" s="24">
        <f t="shared" si="814"/>
        <v>1578.8416206261511</v>
      </c>
      <c r="AT363" s="24">
        <f t="shared" si="814"/>
        <v>1291.0308044769365</v>
      </c>
      <c r="AU363" s="24">
        <f t="shared" si="815"/>
        <v>1207.5173995878538</v>
      </c>
      <c r="AV363" s="24">
        <f t="shared" si="815"/>
        <v>1324.959743886656</v>
      </c>
      <c r="AW363" s="24">
        <f t="shared" si="815"/>
        <v>1378.2170309872686</v>
      </c>
      <c r="AX363" s="24">
        <f t="shared" si="816"/>
        <v>1337.6205026880489</v>
      </c>
      <c r="AY363" s="24">
        <f t="shared" si="816"/>
        <v>1412.0417717367952</v>
      </c>
      <c r="AZ363" s="24">
        <f t="shared" si="816"/>
        <v>1362.3116512866675</v>
      </c>
      <c r="BA363" s="24">
        <f t="shared" si="816"/>
        <v>1506.1981665904455</v>
      </c>
      <c r="BB363" s="24">
        <f t="shared" si="817"/>
        <v>1580.8288252548566</v>
      </c>
      <c r="BC363" s="24">
        <f t="shared" si="817"/>
        <v>1492.1138510280548</v>
      </c>
      <c r="BD363" s="24">
        <f t="shared" si="817"/>
        <v>1492.8781760908746</v>
      </c>
      <c r="BE363" s="24">
        <f t="shared" si="817"/>
        <v>1626.3935597232432</v>
      </c>
      <c r="BF363" s="24">
        <f t="shared" si="818"/>
        <v>1621.9602047999999</v>
      </c>
      <c r="BG363" s="24">
        <f t="shared" si="818"/>
        <v>1619.9710658916849</v>
      </c>
    </row>
    <row r="364" spans="2:59" ht="13.5" customHeight="1">
      <c r="B364" s="1" t="s">
        <v>554</v>
      </c>
      <c r="C364" s="54">
        <f t="shared" ref="C364:L364" si="824">C360/C352</f>
        <v>0.92640019353730785</v>
      </c>
      <c r="D364" s="54">
        <f t="shared" si="824"/>
        <v>0.95462516605936143</v>
      </c>
      <c r="E364" s="54">
        <f t="shared" si="824"/>
        <v>1.8085314270866304</v>
      </c>
      <c r="F364" s="54">
        <f t="shared" si="824"/>
        <v>1.9374779950141565</v>
      </c>
      <c r="G364" s="54">
        <f t="shared" si="824"/>
        <v>1.9286480084118645</v>
      </c>
      <c r="H364" s="54">
        <f>H360/H352</f>
        <v>1.7156934088779094</v>
      </c>
      <c r="I364" s="54">
        <f>I360/I352</f>
        <v>1.7077812386902447</v>
      </c>
      <c r="J364" s="54">
        <f>J360/J352</f>
        <v>1.5029869677757037</v>
      </c>
      <c r="K364" s="54">
        <f>K360/K352</f>
        <v>2.0369133077131569</v>
      </c>
      <c r="L364" s="54">
        <f t="shared" si="824"/>
        <v>1.5225270083059188</v>
      </c>
      <c r="M364" s="54"/>
      <c r="N364" s="54"/>
      <c r="O364" s="54"/>
      <c r="P364" s="127"/>
      <c r="Q364" s="54"/>
      <c r="R364" s="54"/>
      <c r="S364" s="54"/>
      <c r="T364" s="54"/>
      <c r="U364" s="54"/>
      <c r="V364" s="54"/>
      <c r="W364" s="54"/>
      <c r="X364" s="54"/>
      <c r="Y364" s="54"/>
      <c r="Z364" s="54"/>
      <c r="AA364" s="54"/>
      <c r="AB364" s="54"/>
      <c r="AC364" s="54"/>
      <c r="AD364" s="54"/>
      <c r="AE364" s="54"/>
      <c r="AF364" s="54">
        <f>AF360/AF352</f>
        <v>1.8085166520729121</v>
      </c>
      <c r="AG364" s="54">
        <f>AG360/AG352</f>
        <v>1.8761281514278194</v>
      </c>
      <c r="AH364" s="54">
        <f t="shared" ref="AH364:AN364" si="825">AH360/AH352</f>
        <v>1.9726920990541359</v>
      </c>
      <c r="AI364" s="54">
        <f t="shared" si="825"/>
        <v>1.9935333671794484</v>
      </c>
      <c r="AJ364" s="54">
        <f t="shared" si="825"/>
        <v>1.9374957623808271</v>
      </c>
      <c r="AK364" s="54">
        <f t="shared" si="825"/>
        <v>2.0505963090838941</v>
      </c>
      <c r="AL364" s="54">
        <f t="shared" si="825"/>
        <v>2.0576745081335344</v>
      </c>
      <c r="AM364" s="54">
        <f t="shared" si="825"/>
        <v>2.0187622756347685</v>
      </c>
      <c r="AN364" s="54">
        <f t="shared" si="825"/>
        <v>1.9286480084118645</v>
      </c>
      <c r="AO364" s="54">
        <f t="shared" ref="AO364:AT364" si="826">AO360/AO352</f>
        <v>2.1659806703596773</v>
      </c>
      <c r="AP364" s="54">
        <f t="shared" si="826"/>
        <v>2.0817841721903201</v>
      </c>
      <c r="AQ364" s="54">
        <f t="shared" si="826"/>
        <v>1.9031405384512321</v>
      </c>
      <c r="AR364" s="54">
        <f t="shared" si="826"/>
        <v>1.7156934088779094</v>
      </c>
      <c r="AS364" s="54">
        <f t="shared" si="826"/>
        <v>1.4795745979275121</v>
      </c>
      <c r="AT364" s="54">
        <f t="shared" si="826"/>
        <v>1.4538485527324572</v>
      </c>
      <c r="AU364" s="54">
        <f t="shared" ref="AU364:AZ364" si="827">AU360/AU352</f>
        <v>1.4851471901570943</v>
      </c>
      <c r="AV364" s="54">
        <f t="shared" si="827"/>
        <v>1.4736436584665591</v>
      </c>
      <c r="AW364" s="54">
        <f t="shared" si="827"/>
        <v>1.523894639077086</v>
      </c>
      <c r="AX364" s="54">
        <f t="shared" si="827"/>
        <v>1.4150697682172042</v>
      </c>
      <c r="AY364" s="54">
        <f t="shared" si="827"/>
        <v>1.4339105545544675</v>
      </c>
      <c r="AZ364" s="54">
        <f t="shared" si="827"/>
        <v>1.5029954308260758</v>
      </c>
      <c r="BA364" s="54">
        <f t="shared" ref="BA364:BF364" si="828">BA360/BA352</f>
        <v>1.6908830225699549</v>
      </c>
      <c r="BB364" s="54">
        <f t="shared" si="828"/>
        <v>1.8897437445198491</v>
      </c>
      <c r="BC364" s="54">
        <f t="shared" si="828"/>
        <v>1.9747274364709637</v>
      </c>
      <c r="BD364" s="54">
        <f t="shared" si="828"/>
        <v>2.0395104030615294</v>
      </c>
      <c r="BE364" s="54">
        <f t="shared" si="828"/>
        <v>1.6749465001119521</v>
      </c>
      <c r="BF364" s="54">
        <f t="shared" si="828"/>
        <v>1.5269890798227663</v>
      </c>
      <c r="BG364" s="54">
        <f>BG360/BG352</f>
        <v>1.5225270083059195</v>
      </c>
    </row>
    <row r="365" spans="2:59" ht="13.5" customHeight="1">
      <c r="B365" s="5" t="s">
        <v>555</v>
      </c>
      <c r="C365" s="53">
        <f t="shared" ref="C365:L365" si="829">C362/C352</f>
        <v>-1.3359088182945165</v>
      </c>
      <c r="D365" s="53">
        <f t="shared" si="829"/>
        <v>0.29344874606586324</v>
      </c>
      <c r="E365" s="53">
        <f t="shared" si="829"/>
        <v>0.6894549002086765</v>
      </c>
      <c r="F365" s="53">
        <f t="shared" si="829"/>
        <v>1.209180852671716</v>
      </c>
      <c r="G365" s="53">
        <f t="shared" si="829"/>
        <v>1.1651534871478653</v>
      </c>
      <c r="H365" s="53">
        <f>H362/H352</f>
        <v>0.77994511258426613</v>
      </c>
      <c r="I365" s="53">
        <f>I362/I352</f>
        <v>0.66838696588665503</v>
      </c>
      <c r="J365" s="53">
        <f>J362/J352</f>
        <v>0.67678192934915249</v>
      </c>
      <c r="K365" s="53">
        <f>K362/K352</f>
        <v>0.9967837409315442</v>
      </c>
      <c r="L365" s="53">
        <f t="shared" si="829"/>
        <v>0.77270376011788766</v>
      </c>
      <c r="M365" s="53"/>
      <c r="N365" s="53"/>
      <c r="O365" s="53"/>
      <c r="P365" s="126"/>
      <c r="Q365" s="53"/>
      <c r="R365" s="53"/>
      <c r="S365" s="53"/>
      <c r="T365" s="53"/>
      <c r="U365" s="53"/>
      <c r="V365" s="53"/>
      <c r="W365" s="53"/>
      <c r="X365" s="53"/>
      <c r="Y365" s="53"/>
      <c r="Z365" s="53"/>
      <c r="AA365" s="53"/>
      <c r="AB365" s="53"/>
      <c r="AC365" s="53"/>
      <c r="AD365" s="53"/>
      <c r="AE365" s="53"/>
      <c r="AF365" s="53">
        <f>AF362/AF352</f>
        <v>0.68944926762443937</v>
      </c>
      <c r="AG365" s="53">
        <f>AG362/AG352</f>
        <v>0.74827153625403564</v>
      </c>
      <c r="AH365" s="53">
        <f t="shared" ref="AH365:AN365" si="830">AH362/AH352</f>
        <v>1.0927888347245638</v>
      </c>
      <c r="AI365" s="53">
        <f t="shared" si="830"/>
        <v>1.1692979454497181</v>
      </c>
      <c r="AJ365" s="53">
        <f t="shared" si="830"/>
        <v>1.2091919412929213</v>
      </c>
      <c r="AK365" s="53">
        <f t="shared" si="830"/>
        <v>1.4285707295177508</v>
      </c>
      <c r="AL365" s="53">
        <f t="shared" si="830"/>
        <v>1.2653319636747553</v>
      </c>
      <c r="AM365" s="53">
        <f t="shared" si="830"/>
        <v>1.2526611411644992</v>
      </c>
      <c r="AN365" s="53">
        <f t="shared" si="830"/>
        <v>1.1651534871478653</v>
      </c>
      <c r="AO365" s="53">
        <f t="shared" ref="AO365:AT365" si="831">AO362/AO352</f>
        <v>1.2687607436236079</v>
      </c>
      <c r="AP365" s="53">
        <f t="shared" si="831"/>
        <v>0.99575488814174573</v>
      </c>
      <c r="AQ365" s="53">
        <f t="shared" si="831"/>
        <v>0.81132688706896283</v>
      </c>
      <c r="AR365" s="53">
        <f t="shared" si="831"/>
        <v>0.77994511258426613</v>
      </c>
      <c r="AS365" s="53">
        <f t="shared" si="831"/>
        <v>0.72309520512319558</v>
      </c>
      <c r="AT365" s="53">
        <f t="shared" si="831"/>
        <v>0.5851314062411167</v>
      </c>
      <c r="AU365" s="53">
        <f t="shared" ref="AU365:AZ365" si="832">AU362/AU352</f>
        <v>0.518401278621893</v>
      </c>
      <c r="AV365" s="53">
        <f t="shared" si="832"/>
        <v>0.57675081056399002</v>
      </c>
      <c r="AW365" s="53">
        <f t="shared" si="832"/>
        <v>0.62086697474077246</v>
      </c>
      <c r="AX365" s="53">
        <f t="shared" si="832"/>
        <v>0.61190131869478381</v>
      </c>
      <c r="AY365" s="53">
        <f t="shared" si="832"/>
        <v>0.65407274729888376</v>
      </c>
      <c r="AZ365" s="53">
        <f t="shared" si="832"/>
        <v>0.67678574018695858</v>
      </c>
      <c r="BA365" s="53">
        <f t="shared" ref="BA365:BF365" si="833">BA362/BA352</f>
        <v>0.85199227883498818</v>
      </c>
      <c r="BB365" s="53">
        <f t="shared" si="833"/>
        <v>0.96937955051979063</v>
      </c>
      <c r="BC365" s="53">
        <f t="shared" si="833"/>
        <v>0.99074262023762782</v>
      </c>
      <c r="BD365" s="53">
        <f t="shared" si="833"/>
        <v>0.9980546553131745</v>
      </c>
      <c r="BE365" s="53">
        <f t="shared" si="833"/>
        <v>0.84519961274584021</v>
      </c>
      <c r="BF365" s="53">
        <f t="shared" si="833"/>
        <v>0.79833109098410648</v>
      </c>
      <c r="BG365" s="53">
        <f>BG362/BG352</f>
        <v>0.77270376011788799</v>
      </c>
    </row>
    <row r="366" spans="2:59" ht="13.5" customHeight="1">
      <c r="B366" s="1" t="s">
        <v>556</v>
      </c>
      <c r="C366" s="54">
        <f t="shared" ref="C366:L366" si="834">C361/C353</f>
        <v>0.96818276235247347</v>
      </c>
      <c r="D366" s="54">
        <f t="shared" si="834"/>
        <v>0.99224673937365093</v>
      </c>
      <c r="E366" s="54">
        <f t="shared" si="834"/>
        <v>1.8412888884373315</v>
      </c>
      <c r="F366" s="54">
        <f t="shared" si="834"/>
        <v>1.9708546845242418</v>
      </c>
      <c r="G366" s="54">
        <f t="shared" si="834"/>
        <v>2.0741545299443773</v>
      </c>
      <c r="H366" s="54">
        <f>H361/H353</f>
        <v>1.8558041165569934</v>
      </c>
      <c r="I366" s="54">
        <f>I361/I353</f>
        <v>1.8917161462614025</v>
      </c>
      <c r="J366" s="54">
        <f>J361/J353</f>
        <v>1.6319265836619368</v>
      </c>
      <c r="K366" s="54">
        <f>K361/K353</f>
        <v>2.1594201701262192</v>
      </c>
      <c r="L366" s="54">
        <f t="shared" si="834"/>
        <v>1.6022744048515385</v>
      </c>
      <c r="M366" s="54"/>
      <c r="N366" s="54"/>
      <c r="O366" s="54"/>
      <c r="P366" s="127"/>
      <c r="Q366" s="54"/>
      <c r="R366" s="54"/>
      <c r="S366" s="54"/>
      <c r="T366" s="54"/>
      <c r="U366" s="54"/>
      <c r="V366" s="54"/>
      <c r="W366" s="54"/>
      <c r="X366" s="54"/>
      <c r="Y366" s="54"/>
      <c r="Z366" s="54"/>
      <c r="AA366" s="54"/>
      <c r="AB366" s="54"/>
      <c r="AC366" s="54"/>
      <c r="AD366" s="54"/>
      <c r="AE366" s="54"/>
      <c r="AF366" s="54">
        <f>AF361/AF353</f>
        <v>1.8412738440387275</v>
      </c>
      <c r="AG366" s="54">
        <f>AG361/AG353</f>
        <v>1.9147398167316159</v>
      </c>
      <c r="AH366" s="54">
        <f t="shared" ref="AH366:AN366" si="835">AH361/AH353</f>
        <v>2.0115255728915864</v>
      </c>
      <c r="AI366" s="54">
        <f t="shared" si="835"/>
        <v>2.0302388560525131</v>
      </c>
      <c r="AJ366" s="54">
        <f t="shared" si="835"/>
        <v>1.9708725747055684</v>
      </c>
      <c r="AK366" s="54">
        <f t="shared" si="835"/>
        <v>2.042483147750441</v>
      </c>
      <c r="AL366" s="54">
        <f t="shared" si="835"/>
        <v>2.052727585188042</v>
      </c>
      <c r="AM366" s="54">
        <f t="shared" si="835"/>
        <v>2.0165553645806344</v>
      </c>
      <c r="AN366" s="54">
        <f t="shared" si="835"/>
        <v>2.0741545299443773</v>
      </c>
      <c r="AO366" s="54">
        <f t="shared" ref="AO366:AT366" si="836">AO361/AO353</f>
        <v>2.308284433696036</v>
      </c>
      <c r="AP366" s="54">
        <f t="shared" si="836"/>
        <v>2.2420323349772455</v>
      </c>
      <c r="AQ366" s="54">
        <f t="shared" si="836"/>
        <v>2.0567334270712818</v>
      </c>
      <c r="AR366" s="54">
        <f t="shared" si="836"/>
        <v>1.8558041165569934</v>
      </c>
      <c r="AS366" s="54">
        <f t="shared" si="836"/>
        <v>1.6012815925796717</v>
      </c>
      <c r="AT366" s="54">
        <f t="shared" si="836"/>
        <v>1.5719596516807965</v>
      </c>
      <c r="AU366" s="54">
        <f t="shared" ref="AU366:AZ366" si="837">AU361/AU353</f>
        <v>1.6327520879896773</v>
      </c>
      <c r="AV366" s="54">
        <f t="shared" si="837"/>
        <v>1.6323610070192054</v>
      </c>
      <c r="AW366" s="54">
        <f t="shared" si="837"/>
        <v>1.6751367154271253</v>
      </c>
      <c r="AX366" s="54">
        <f t="shared" si="837"/>
        <v>1.5553746818760754</v>
      </c>
      <c r="AY366" s="54">
        <f t="shared" si="837"/>
        <v>1.5704161675495389</v>
      </c>
      <c r="AZ366" s="54">
        <f t="shared" si="837"/>
        <v>1.6319357727481878</v>
      </c>
      <c r="BA366" s="54">
        <f t="shared" ref="BA366:BF366" si="838">BA361/BA353</f>
        <v>1.8240967783260833</v>
      </c>
      <c r="BB366" s="54">
        <f t="shared" si="838"/>
        <v>2.0238903161147124</v>
      </c>
      <c r="BC366" s="54">
        <f t="shared" si="838"/>
        <v>2.1004532229199975</v>
      </c>
      <c r="BD366" s="54">
        <f t="shared" si="838"/>
        <v>2.1621734635814587</v>
      </c>
      <c r="BE366" s="54">
        <f t="shared" si="838"/>
        <v>1.7780510286917868</v>
      </c>
      <c r="BF366" s="54">
        <f t="shared" si="838"/>
        <v>1.6090375681811422</v>
      </c>
      <c r="BG366" s="54">
        <f>BG361/BG353</f>
        <v>1.6022744048515394</v>
      </c>
    </row>
    <row r="367" spans="2:59" ht="13.5" customHeight="1">
      <c r="B367" s="5" t="s">
        <v>557</v>
      </c>
      <c r="C367" s="53">
        <f t="shared" ref="C367:L367" si="839">C363/C353</f>
        <v>-1.279829517652344</v>
      </c>
      <c r="D367" s="53">
        <f t="shared" si="839"/>
        <v>0.33486868013110532</v>
      </c>
      <c r="E367" s="53">
        <f t="shared" si="839"/>
        <v>0.72950806969647275</v>
      </c>
      <c r="F367" s="53">
        <f t="shared" si="839"/>
        <v>1.2467753221964522</v>
      </c>
      <c r="G367" s="53">
        <f t="shared" si="839"/>
        <v>1.3106600086803781</v>
      </c>
      <c r="H367" s="53">
        <f>H363/H353</f>
        <v>0.92005582026334998</v>
      </c>
      <c r="I367" s="53">
        <f>I363/I353</f>
        <v>0.85232187345781285</v>
      </c>
      <c r="J367" s="53">
        <f>J363/J353</f>
        <v>0.80572154523538542</v>
      </c>
      <c r="K367" s="53">
        <f>K363/K353</f>
        <v>1.1192906033446064</v>
      </c>
      <c r="L367" s="53">
        <f t="shared" si="839"/>
        <v>0.85245115666350757</v>
      </c>
      <c r="M367" s="53"/>
      <c r="N367" s="53"/>
      <c r="O367" s="53"/>
      <c r="P367" s="126"/>
      <c r="Q367" s="53"/>
      <c r="R367" s="53"/>
      <c r="S367" s="53"/>
      <c r="T367" s="53"/>
      <c r="U367" s="53"/>
      <c r="V367" s="53"/>
      <c r="W367" s="53"/>
      <c r="X367" s="53"/>
      <c r="Y367" s="53"/>
      <c r="Z367" s="53"/>
      <c r="AA367" s="53"/>
      <c r="AB367" s="53"/>
      <c r="AC367" s="53"/>
      <c r="AD367" s="53"/>
      <c r="AE367" s="53"/>
      <c r="AF367" s="53">
        <f>AF363/AF353</f>
        <v>0.72950210919225511</v>
      </c>
      <c r="AG367" s="53">
        <f>AG363/AG353</f>
        <v>0.79398687254324862</v>
      </c>
      <c r="AH367" s="53">
        <f t="shared" ref="AH367:AN367" si="840">AH363/AH353</f>
        <v>1.1369696630125428</v>
      </c>
      <c r="AI367" s="53">
        <f t="shared" si="840"/>
        <v>1.2108673863353168</v>
      </c>
      <c r="AJ367" s="53">
        <f t="shared" si="840"/>
        <v>1.2467866396399769</v>
      </c>
      <c r="AK367" s="53">
        <f t="shared" si="840"/>
        <v>1.4229186054241478</v>
      </c>
      <c r="AL367" s="53">
        <f t="shared" si="840"/>
        <v>1.2622899374942176</v>
      </c>
      <c r="AM367" s="53">
        <f t="shared" si="840"/>
        <v>1.2512917319215757</v>
      </c>
      <c r="AN367" s="53">
        <f t="shared" si="840"/>
        <v>1.3106600086803781</v>
      </c>
      <c r="AO367" s="53">
        <f t="shared" ref="AO367:AT367" si="841">AO363/AO353</f>
        <v>1.4110645069599661</v>
      </c>
      <c r="AP367" s="53">
        <f t="shared" si="841"/>
        <v>1.1560030509286709</v>
      </c>
      <c r="AQ367" s="53">
        <f t="shared" si="841"/>
        <v>0.96491977568901255</v>
      </c>
      <c r="AR367" s="53">
        <f t="shared" si="841"/>
        <v>0.92005582026334998</v>
      </c>
      <c r="AS367" s="53">
        <f t="shared" si="841"/>
        <v>0.84480219977535531</v>
      </c>
      <c r="AT367" s="53">
        <f t="shared" si="841"/>
        <v>0.70324250518945597</v>
      </c>
      <c r="AU367" s="53">
        <f t="shared" ref="AU367:AZ367" si="842">AU363/AU353</f>
        <v>0.66600617645447602</v>
      </c>
      <c r="AV367" s="53">
        <f t="shared" si="842"/>
        <v>0.73546815911663621</v>
      </c>
      <c r="AW367" s="53">
        <f t="shared" si="842"/>
        <v>0.77210905109081174</v>
      </c>
      <c r="AX367" s="53">
        <f t="shared" si="842"/>
        <v>0.75220623235365514</v>
      </c>
      <c r="AY367" s="53">
        <f t="shared" si="842"/>
        <v>0.79057836029395534</v>
      </c>
      <c r="AZ367" s="53">
        <f t="shared" si="842"/>
        <v>0.80572608210907048</v>
      </c>
      <c r="BA367" s="53">
        <f t="shared" ref="BA367:BF367" si="843">BA363/BA353</f>
        <v>0.98520603459111644</v>
      </c>
      <c r="BB367" s="53">
        <f t="shared" si="843"/>
        <v>1.1035261221146537</v>
      </c>
      <c r="BC367" s="53">
        <f t="shared" si="843"/>
        <v>1.1164684066866615</v>
      </c>
      <c r="BD367" s="53">
        <f t="shared" si="843"/>
        <v>1.1207177158331034</v>
      </c>
      <c r="BE367" s="53">
        <f t="shared" si="843"/>
        <v>0.94830414132567453</v>
      </c>
      <c r="BF367" s="53">
        <f t="shared" si="843"/>
        <v>0.88037957934248223</v>
      </c>
      <c r="BG367" s="53">
        <f>BG363/BG353</f>
        <v>0.85245115666350801</v>
      </c>
    </row>
    <row r="370" spans="2:59" ht="13.5" customHeight="1">
      <c r="B370" s="5"/>
      <c r="C370" s="5"/>
      <c r="D370" s="5"/>
      <c r="E370" s="5"/>
      <c r="F370" s="5"/>
      <c r="G370" s="5"/>
      <c r="H370" s="5"/>
      <c r="I370" s="5"/>
      <c r="J370" s="5"/>
      <c r="K370" s="5"/>
      <c r="L370" s="5"/>
      <c r="M370" s="5"/>
      <c r="N370" s="5"/>
      <c r="O370" s="5"/>
      <c r="P370" s="155"/>
      <c r="Q370" s="5"/>
      <c r="R370" s="5"/>
      <c r="S370" s="5"/>
      <c r="T370" s="5"/>
      <c r="U370" s="5"/>
      <c r="V370" s="5"/>
      <c r="W370" s="5"/>
      <c r="X370" s="5"/>
      <c r="Y370" s="5"/>
      <c r="Z370" s="5"/>
      <c r="AA370" s="5"/>
      <c r="AB370" s="5"/>
      <c r="AC370" s="5"/>
      <c r="AD370" s="5"/>
      <c r="AE370" s="5"/>
      <c r="AG370" s="5"/>
      <c r="AH370" s="5"/>
      <c r="AK370" s="5"/>
      <c r="AL370" s="5"/>
      <c r="AO370" s="5"/>
      <c r="AP370" s="5"/>
      <c r="AQ370" s="5"/>
      <c r="AR370" s="5"/>
      <c r="AS370" s="5"/>
      <c r="AT370" s="5"/>
      <c r="AU370" s="5"/>
      <c r="AV370" s="5"/>
      <c r="AW370" s="5"/>
      <c r="AX370" s="5"/>
      <c r="AY370" s="5"/>
      <c r="AZ370" s="5"/>
      <c r="BA370" s="5"/>
      <c r="BB370" s="5"/>
      <c r="BC370" s="5"/>
      <c r="BD370" s="5"/>
      <c r="BE370" s="5"/>
      <c r="BF370" s="5"/>
      <c r="BG370" s="5"/>
    </row>
    <row r="371" spans="2:59" ht="13.5" customHeight="1">
      <c r="B371" s="291" t="s">
        <v>559</v>
      </c>
      <c r="C371" s="287">
        <f>+C2</f>
        <v>41975</v>
      </c>
      <c r="D371" s="287">
        <f>+D2</f>
        <v>42341</v>
      </c>
      <c r="E371" s="292">
        <f>+E2</f>
        <v>42705</v>
      </c>
      <c r="F371" s="292">
        <f>+F2</f>
        <v>43070</v>
      </c>
      <c r="G371" s="292">
        <f>G2</f>
        <v>43435</v>
      </c>
      <c r="H371" s="292">
        <f>H2</f>
        <v>43830</v>
      </c>
      <c r="I371" s="292">
        <f>I2</f>
        <v>44196</v>
      </c>
      <c r="J371" s="292">
        <f>J2</f>
        <v>44561</v>
      </c>
      <c r="K371" s="292">
        <f>K2</f>
        <v>44926</v>
      </c>
      <c r="L371" s="293">
        <f>+L2</f>
        <v>45199</v>
      </c>
      <c r="M371" s="428"/>
      <c r="N371" s="287">
        <f t="shared" ref="N371:AL371" si="844">+N2</f>
        <v>43074</v>
      </c>
      <c r="O371" s="287">
        <f t="shared" si="844"/>
        <v>43440</v>
      </c>
      <c r="P371" s="294">
        <f t="shared" si="844"/>
        <v>43806</v>
      </c>
      <c r="Q371" s="295">
        <f t="shared" si="844"/>
        <v>41341</v>
      </c>
      <c r="R371" s="295">
        <f t="shared" si="844"/>
        <v>41431</v>
      </c>
      <c r="S371" s="295">
        <f t="shared" si="844"/>
        <v>41526</v>
      </c>
      <c r="T371" s="295">
        <f t="shared" si="844"/>
        <v>41618</v>
      </c>
      <c r="U371" s="295">
        <f t="shared" si="844"/>
        <v>41705</v>
      </c>
      <c r="V371" s="295">
        <f t="shared" si="844"/>
        <v>41796</v>
      </c>
      <c r="W371" s="295">
        <f t="shared" si="844"/>
        <v>41891</v>
      </c>
      <c r="X371" s="295">
        <f t="shared" si="844"/>
        <v>41983</v>
      </c>
      <c r="Y371" s="295">
        <f t="shared" si="844"/>
        <v>42070</v>
      </c>
      <c r="Z371" s="295">
        <f t="shared" si="844"/>
        <v>42161</v>
      </c>
      <c r="AA371" s="295">
        <f t="shared" si="844"/>
        <v>42256</v>
      </c>
      <c r="AB371" s="295">
        <f t="shared" si="844"/>
        <v>42348</v>
      </c>
      <c r="AC371" s="287">
        <f t="shared" si="844"/>
        <v>42437</v>
      </c>
      <c r="AD371" s="287">
        <f t="shared" si="844"/>
        <v>42527</v>
      </c>
      <c r="AE371" s="287">
        <f t="shared" si="844"/>
        <v>42622</v>
      </c>
      <c r="AF371" s="287">
        <f t="shared" si="844"/>
        <v>42714</v>
      </c>
      <c r="AG371" s="287">
        <f t="shared" si="844"/>
        <v>42801</v>
      </c>
      <c r="AH371" s="287">
        <f t="shared" si="844"/>
        <v>42892</v>
      </c>
      <c r="AI371" s="287">
        <f t="shared" si="844"/>
        <v>42987</v>
      </c>
      <c r="AJ371" s="287">
        <f t="shared" si="844"/>
        <v>43079</v>
      </c>
      <c r="AK371" s="287">
        <f t="shared" si="844"/>
        <v>43190</v>
      </c>
      <c r="AL371" s="287">
        <f t="shared" si="844"/>
        <v>43281</v>
      </c>
      <c r="AM371" s="287">
        <f>AM2</f>
        <v>43373</v>
      </c>
      <c r="AN371" s="287">
        <f>AN2</f>
        <v>43465</v>
      </c>
      <c r="AO371" s="287">
        <f t="shared" ref="AO371:BD371" si="845">+AO2</f>
        <v>43555</v>
      </c>
      <c r="AP371" s="287">
        <f t="shared" si="845"/>
        <v>43646</v>
      </c>
      <c r="AQ371" s="287">
        <f t="shared" si="845"/>
        <v>43738</v>
      </c>
      <c r="AR371" s="287">
        <f t="shared" si="845"/>
        <v>43830</v>
      </c>
      <c r="AS371" s="287">
        <f t="shared" si="845"/>
        <v>43921</v>
      </c>
      <c r="AT371" s="287">
        <f t="shared" si="845"/>
        <v>44012</v>
      </c>
      <c r="AU371" s="287">
        <f t="shared" si="845"/>
        <v>44104</v>
      </c>
      <c r="AV371" s="287">
        <f t="shared" si="845"/>
        <v>44196</v>
      </c>
      <c r="AW371" s="287">
        <f t="shared" si="845"/>
        <v>44286</v>
      </c>
      <c r="AX371" s="287">
        <f t="shared" si="845"/>
        <v>44377</v>
      </c>
      <c r="AY371" s="287">
        <f t="shared" si="845"/>
        <v>44469</v>
      </c>
      <c r="AZ371" s="287">
        <f t="shared" si="845"/>
        <v>44561</v>
      </c>
      <c r="BA371" s="287">
        <f t="shared" si="845"/>
        <v>44651</v>
      </c>
      <c r="BB371" s="287">
        <f t="shared" si="845"/>
        <v>44742</v>
      </c>
      <c r="BC371" s="287">
        <f t="shared" si="845"/>
        <v>44834</v>
      </c>
      <c r="BD371" s="287">
        <f t="shared" si="845"/>
        <v>44926</v>
      </c>
      <c r="BE371" s="287">
        <f>+BE2</f>
        <v>45016</v>
      </c>
      <c r="BF371" s="287">
        <f>+BF2</f>
        <v>45107</v>
      </c>
      <c r="BG371" s="287">
        <f>+BG2</f>
        <v>45199</v>
      </c>
    </row>
    <row r="372" spans="2:59" ht="13.5" customHeight="1">
      <c r="C372" s="4"/>
      <c r="D372" s="4"/>
      <c r="E372" s="4"/>
      <c r="F372" s="4"/>
      <c r="G372" s="4"/>
      <c r="H372" s="4"/>
      <c r="I372" s="4"/>
      <c r="J372" s="4"/>
      <c r="K372" s="4"/>
      <c r="L372" s="4"/>
      <c r="M372" s="4"/>
      <c r="N372" s="4"/>
      <c r="O372" s="4"/>
      <c r="P372" s="296"/>
      <c r="Q372" s="4"/>
      <c r="R372" s="4"/>
      <c r="S372" s="4"/>
      <c r="T372" s="4"/>
      <c r="U372" s="4"/>
      <c r="V372" s="4"/>
      <c r="W372" s="4"/>
      <c r="X372" s="4"/>
      <c r="Y372" s="4"/>
      <c r="Z372" s="4"/>
      <c r="AA372" s="4"/>
      <c r="AB372" s="4"/>
      <c r="AC372" s="4"/>
      <c r="AD372" s="4"/>
      <c r="AE372" s="4"/>
      <c r="AF372" s="4"/>
      <c r="AG372" s="4"/>
      <c r="AH372" s="4"/>
      <c r="AI372" s="4"/>
      <c r="AJ372" s="4"/>
      <c r="AK372" s="4"/>
      <c r="AM372" s="4"/>
      <c r="AN372" s="4"/>
      <c r="AO372" s="4"/>
      <c r="AP372" s="4"/>
      <c r="AQ372" s="4"/>
      <c r="AR372" s="4"/>
      <c r="AS372" s="4"/>
      <c r="AT372" s="4"/>
      <c r="AU372" s="4"/>
      <c r="AV372" s="4"/>
      <c r="AW372" s="4"/>
      <c r="AX372" s="4"/>
      <c r="AY372" s="4"/>
      <c r="AZ372" s="4"/>
      <c r="BA372" s="4"/>
      <c r="BB372" s="4"/>
      <c r="BC372" s="4"/>
      <c r="BD372" s="4"/>
      <c r="BE372" s="4"/>
      <c r="BF372" s="4"/>
      <c r="BG372" s="4"/>
    </row>
    <row r="373" spans="2:59" ht="13.5" customHeight="1">
      <c r="B373" s="297" t="s">
        <v>560</v>
      </c>
      <c r="C373" s="298">
        <v>35.9</v>
      </c>
      <c r="D373" s="298">
        <v>35.799999999999997</v>
      </c>
      <c r="E373" s="298">
        <v>35.299999999999997</v>
      </c>
      <c r="F373" s="298">
        <v>36.700000000000003</v>
      </c>
      <c r="G373" s="298">
        <v>36.700000000000003</v>
      </c>
      <c r="H373" s="298">
        <v>35.700000000000003</v>
      </c>
      <c r="I373" s="298">
        <v>36.700000000000003</v>
      </c>
      <c r="J373" s="298">
        <v>39.4</v>
      </c>
      <c r="K373" s="298">
        <v>41.7</v>
      </c>
      <c r="L373" s="298">
        <f>BG373</f>
        <v>42.7</v>
      </c>
      <c r="M373" s="299"/>
      <c r="N373" s="4"/>
      <c r="O373" s="4"/>
      <c r="P373" s="110"/>
      <c r="Q373" s="300">
        <v>35.5</v>
      </c>
      <c r="R373" s="300">
        <v>35.4</v>
      </c>
      <c r="S373" s="300">
        <v>35.700000000000003</v>
      </c>
      <c r="T373" s="300">
        <v>36</v>
      </c>
      <c r="U373" s="300">
        <v>35.700000000000003</v>
      </c>
      <c r="V373" s="300">
        <v>35.700000000000003</v>
      </c>
      <c r="W373" s="300">
        <v>35.799999999999997</v>
      </c>
      <c r="X373" s="300">
        <v>35.9</v>
      </c>
      <c r="Y373" s="300">
        <v>35.6</v>
      </c>
      <c r="Z373" s="300">
        <v>35.5</v>
      </c>
      <c r="AA373" s="300">
        <v>35.799999999999997</v>
      </c>
      <c r="AB373" s="300">
        <v>35.799999999999997</v>
      </c>
      <c r="AC373" s="300">
        <v>35.200000000000003</v>
      </c>
      <c r="AD373" s="300">
        <v>34.5</v>
      </c>
      <c r="AE373" s="300">
        <v>34.799999999999997</v>
      </c>
      <c r="AF373" s="300">
        <v>35.299999999999997</v>
      </c>
      <c r="AG373" s="300">
        <v>35.799999999999997</v>
      </c>
      <c r="AH373" s="300">
        <v>36.6</v>
      </c>
      <c r="AI373" s="300">
        <v>37.200000000000003</v>
      </c>
      <c r="AJ373" s="300">
        <v>36.700000000000003</v>
      </c>
      <c r="AK373" s="300">
        <v>37.299999999999997</v>
      </c>
      <c r="AL373" s="300">
        <v>37.6</v>
      </c>
      <c r="AM373" s="300">
        <v>37.799999999999997</v>
      </c>
      <c r="AN373" s="300">
        <v>36.700000000000003</v>
      </c>
      <c r="AO373" s="300">
        <v>36.6</v>
      </c>
      <c r="AP373" s="300">
        <v>36.799999999999997</v>
      </c>
      <c r="AQ373" s="300">
        <v>37.299999999999997</v>
      </c>
      <c r="AR373" s="300">
        <v>35.700000000000003</v>
      </c>
      <c r="AS373" s="300">
        <v>36.299999999999997</v>
      </c>
      <c r="AT373" s="300">
        <v>36.5</v>
      </c>
      <c r="AU373" s="300">
        <v>36.9</v>
      </c>
      <c r="AV373" s="300">
        <v>36.700000000000003</v>
      </c>
      <c r="AW373" s="300">
        <v>37.4</v>
      </c>
      <c r="AX373" s="300">
        <v>38.1</v>
      </c>
      <c r="AY373" s="300">
        <v>39.299999999999997</v>
      </c>
      <c r="AZ373" s="300">
        <v>39.4</v>
      </c>
      <c r="BA373" s="300">
        <v>40</v>
      </c>
      <c r="BB373" s="300">
        <v>40.6</v>
      </c>
      <c r="BC373" s="300">
        <v>41.6</v>
      </c>
      <c r="BD373" s="298">
        <v>41.7</v>
      </c>
      <c r="BE373" s="300">
        <v>41.7</v>
      </c>
      <c r="BF373" s="300">
        <v>42</v>
      </c>
      <c r="BG373" s="300">
        <v>42.7</v>
      </c>
    </row>
    <row r="374" spans="2:59" ht="13.5" customHeight="1">
      <c r="B374" s="301" t="s">
        <v>561</v>
      </c>
      <c r="C374" s="298">
        <v>15.2</v>
      </c>
      <c r="D374" s="298">
        <v>16.600000000000001</v>
      </c>
      <c r="E374" s="298">
        <v>17.399999999999999</v>
      </c>
      <c r="F374" s="298">
        <v>18.5</v>
      </c>
      <c r="G374" s="298">
        <v>18.8</v>
      </c>
      <c r="H374" s="298">
        <v>20.399999999999999</v>
      </c>
      <c r="I374" s="298">
        <v>22</v>
      </c>
      <c r="J374" s="298">
        <v>23.7</v>
      </c>
      <c r="K374" s="298">
        <v>25.6</v>
      </c>
      <c r="L374" s="298">
        <f t="shared" ref="L374:L381" si="846">BG374</f>
        <v>26.7</v>
      </c>
      <c r="M374" s="299"/>
      <c r="N374" s="4"/>
      <c r="O374" s="4"/>
      <c r="P374" s="110"/>
      <c r="Q374" s="300">
        <v>13.5</v>
      </c>
      <c r="R374" s="300">
        <v>13.8</v>
      </c>
      <c r="S374" s="300">
        <v>13.8</v>
      </c>
      <c r="T374" s="300">
        <v>14</v>
      </c>
      <c r="U374" s="300">
        <v>14.1</v>
      </c>
      <c r="V374" s="300">
        <v>14.5</v>
      </c>
      <c r="W374" s="300">
        <v>14.8</v>
      </c>
      <c r="X374" s="300">
        <v>15.2</v>
      </c>
      <c r="Y374" s="300">
        <v>15.5</v>
      </c>
      <c r="Z374" s="300">
        <v>15.9</v>
      </c>
      <c r="AA374" s="300">
        <v>16.100000000000001</v>
      </c>
      <c r="AB374" s="300">
        <v>16.600000000000001</v>
      </c>
      <c r="AC374" s="300">
        <v>16.7</v>
      </c>
      <c r="AD374" s="300">
        <v>16.8</v>
      </c>
      <c r="AE374" s="300">
        <v>17</v>
      </c>
      <c r="AF374" s="300">
        <v>17.399999999999999</v>
      </c>
      <c r="AG374" s="300">
        <v>17.7</v>
      </c>
      <c r="AH374" s="300">
        <v>18.2</v>
      </c>
      <c r="AI374" s="300">
        <v>18.399999999999999</v>
      </c>
      <c r="AJ374" s="300">
        <v>18.5</v>
      </c>
      <c r="AK374" s="300">
        <v>18.600000000000001</v>
      </c>
      <c r="AL374" s="300">
        <v>18.8</v>
      </c>
      <c r="AM374" s="300">
        <v>19</v>
      </c>
      <c r="AN374" s="300">
        <v>18.8</v>
      </c>
      <c r="AO374" s="300">
        <v>18.7</v>
      </c>
      <c r="AP374" s="300">
        <v>18.899999999999999</v>
      </c>
      <c r="AQ374" s="300">
        <v>19.399999999999999</v>
      </c>
      <c r="AR374" s="300">
        <v>20.399999999999999</v>
      </c>
      <c r="AS374" s="300">
        <v>21</v>
      </c>
      <c r="AT374" s="300">
        <v>21.2</v>
      </c>
      <c r="AU374" s="300">
        <v>21.5</v>
      </c>
      <c r="AV374" s="300">
        <v>22</v>
      </c>
      <c r="AW374" s="300">
        <v>22.4</v>
      </c>
      <c r="AX374" s="300">
        <v>22.9</v>
      </c>
      <c r="AY374" s="300">
        <v>23.3</v>
      </c>
      <c r="AZ374" s="300">
        <v>23.7</v>
      </c>
      <c r="BA374" s="300">
        <v>24.1</v>
      </c>
      <c r="BB374" s="300">
        <v>24.5</v>
      </c>
      <c r="BC374" s="300">
        <v>25</v>
      </c>
      <c r="BD374" s="298">
        <v>25.6</v>
      </c>
      <c r="BE374" s="300">
        <v>25.9</v>
      </c>
      <c r="BF374" s="300">
        <v>26.3</v>
      </c>
      <c r="BG374" s="300">
        <v>26.7</v>
      </c>
    </row>
    <row r="375" spans="2:59" ht="13.5" customHeight="1">
      <c r="B375" s="301" t="s">
        <v>562</v>
      </c>
      <c r="C375" s="298">
        <v>1.5</v>
      </c>
      <c r="D375" s="298">
        <v>1.9</v>
      </c>
      <c r="E375" s="298">
        <v>2.1</v>
      </c>
      <c r="F375" s="298">
        <v>2.2999999999999998</v>
      </c>
      <c r="G375" s="298">
        <v>2.4</v>
      </c>
      <c r="H375" s="298">
        <v>2.6</v>
      </c>
      <c r="I375" s="298">
        <v>2.8</v>
      </c>
      <c r="J375" s="298">
        <v>3.3</v>
      </c>
      <c r="K375" s="298">
        <v>4</v>
      </c>
      <c r="L375" s="298">
        <f t="shared" si="846"/>
        <v>4.3</v>
      </c>
      <c r="M375" s="299"/>
      <c r="N375" s="4"/>
      <c r="O375" s="4"/>
      <c r="P375" s="110"/>
      <c r="Q375" s="300">
        <v>1.3</v>
      </c>
      <c r="R375" s="300">
        <v>1.4</v>
      </c>
      <c r="S375" s="300">
        <v>1.4</v>
      </c>
      <c r="T375" s="300">
        <v>1.4</v>
      </c>
      <c r="U375" s="300">
        <v>1.4</v>
      </c>
      <c r="V375" s="300">
        <v>1.5</v>
      </c>
      <c r="W375" s="300">
        <v>1.5</v>
      </c>
      <c r="X375" s="300">
        <v>1.5</v>
      </c>
      <c r="Y375" s="300">
        <v>1.6</v>
      </c>
      <c r="Z375" s="300">
        <v>1.7</v>
      </c>
      <c r="AA375" s="300">
        <v>1.7</v>
      </c>
      <c r="AB375" s="300">
        <v>1.9</v>
      </c>
      <c r="AC375" s="300">
        <v>2</v>
      </c>
      <c r="AD375" s="300">
        <v>2</v>
      </c>
      <c r="AE375" s="300">
        <v>2</v>
      </c>
      <c r="AF375" s="300">
        <v>2.1</v>
      </c>
      <c r="AG375" s="300">
        <v>2.1</v>
      </c>
      <c r="AH375" s="300">
        <v>2.2000000000000002</v>
      </c>
      <c r="AI375" s="300">
        <v>2.2999999999999998</v>
      </c>
      <c r="AJ375" s="300">
        <v>2.2999999999999998</v>
      </c>
      <c r="AK375" s="300">
        <v>2.4</v>
      </c>
      <c r="AL375" s="300">
        <v>2.5</v>
      </c>
      <c r="AM375" s="300">
        <v>2.5</v>
      </c>
      <c r="AN375" s="300">
        <v>2.4</v>
      </c>
      <c r="AO375" s="300">
        <v>2.4</v>
      </c>
      <c r="AP375" s="300">
        <v>2.5</v>
      </c>
      <c r="AQ375" s="300">
        <v>2.5</v>
      </c>
      <c r="AR375" s="300">
        <v>2.6</v>
      </c>
      <c r="AS375" s="300">
        <v>2.7</v>
      </c>
      <c r="AT375" s="300">
        <v>2.6</v>
      </c>
      <c r="AU375" s="300">
        <v>2.7</v>
      </c>
      <c r="AV375" s="300">
        <v>2.8</v>
      </c>
      <c r="AW375" s="300">
        <v>2.9</v>
      </c>
      <c r="AX375" s="300">
        <v>3</v>
      </c>
      <c r="AY375" s="300">
        <v>3.2</v>
      </c>
      <c r="AZ375" s="300">
        <v>3.3</v>
      </c>
      <c r="BA375" s="300">
        <v>3.5</v>
      </c>
      <c r="BB375" s="300">
        <v>3.6</v>
      </c>
      <c r="BC375" s="300">
        <v>3.8</v>
      </c>
      <c r="BD375" s="298">
        <v>4</v>
      </c>
      <c r="BE375" s="300">
        <v>4.0999999999999996</v>
      </c>
      <c r="BF375" s="300">
        <v>4.2</v>
      </c>
      <c r="BG375" s="300">
        <v>4.3</v>
      </c>
    </row>
    <row r="376" spans="2:59" ht="13.5" customHeight="1">
      <c r="B376" s="301" t="s">
        <v>563</v>
      </c>
      <c r="C376" s="298">
        <v>19.399999999999999</v>
      </c>
      <c r="D376" s="298">
        <v>17.399999999999999</v>
      </c>
      <c r="E376" s="298">
        <v>15.7</v>
      </c>
      <c r="F376" s="298">
        <v>15.6</v>
      </c>
      <c r="G376" s="298">
        <v>14.9</v>
      </c>
      <c r="H376" s="298">
        <v>12.4</v>
      </c>
      <c r="I376" s="298">
        <v>11.5</v>
      </c>
      <c r="J376" s="298">
        <v>12</v>
      </c>
      <c r="K376" s="298">
        <v>12</v>
      </c>
      <c r="L376" s="298">
        <f t="shared" si="846"/>
        <v>11.5</v>
      </c>
      <c r="M376" s="299"/>
      <c r="N376" s="4"/>
      <c r="O376" s="4"/>
      <c r="P376" s="110"/>
      <c r="Q376" s="300">
        <v>21.4</v>
      </c>
      <c r="R376" s="300">
        <v>20.9</v>
      </c>
      <c r="S376" s="300">
        <v>21.2</v>
      </c>
      <c r="T376" s="300">
        <v>21.2</v>
      </c>
      <c r="U376" s="300">
        <v>20.7</v>
      </c>
      <c r="V376" s="300">
        <v>20.100000000000001</v>
      </c>
      <c r="W376" s="300">
        <v>19.899999999999999</v>
      </c>
      <c r="X376" s="300">
        <v>19.399999999999999</v>
      </c>
      <c r="Y376" s="300">
        <v>18.7</v>
      </c>
      <c r="Z376" s="300">
        <v>18.100000000000001</v>
      </c>
      <c r="AA376" s="300">
        <v>18.100000000000001</v>
      </c>
      <c r="AB376" s="300">
        <v>17.399999999999999</v>
      </c>
      <c r="AC376" s="300">
        <v>16.600000000000001</v>
      </c>
      <c r="AD376" s="300">
        <v>15.8</v>
      </c>
      <c r="AE376" s="300">
        <v>15.7</v>
      </c>
      <c r="AF376" s="300">
        <v>15.7</v>
      </c>
      <c r="AG376" s="300">
        <v>15.7</v>
      </c>
      <c r="AH376" s="300">
        <v>16</v>
      </c>
      <c r="AI376" s="300">
        <v>16.3</v>
      </c>
      <c r="AJ376" s="300">
        <v>15.6</v>
      </c>
      <c r="AK376" s="300">
        <v>16</v>
      </c>
      <c r="AL376" s="300">
        <v>16</v>
      </c>
      <c r="AM376" s="300">
        <v>15.9</v>
      </c>
      <c r="AN376" s="300">
        <v>14.9</v>
      </c>
      <c r="AO376" s="300">
        <v>15</v>
      </c>
      <c r="AP376" s="300">
        <v>15</v>
      </c>
      <c r="AQ376" s="300">
        <v>15</v>
      </c>
      <c r="AR376" s="300">
        <v>12.4</v>
      </c>
      <c r="AS376" s="300">
        <v>12.2</v>
      </c>
      <c r="AT376" s="300">
        <v>12.2</v>
      </c>
      <c r="AU376" s="300">
        <v>12.2</v>
      </c>
      <c r="AV376" s="300">
        <v>11.5</v>
      </c>
      <c r="AW376" s="300">
        <v>11.6</v>
      </c>
      <c r="AX376" s="300">
        <v>11.7</v>
      </c>
      <c r="AY376" s="300">
        <v>12.3</v>
      </c>
      <c r="AZ376" s="300">
        <v>12</v>
      </c>
      <c r="BA376" s="300">
        <v>12</v>
      </c>
      <c r="BB376" s="300">
        <v>12.1</v>
      </c>
      <c r="BC376" s="300">
        <v>12.6</v>
      </c>
      <c r="BD376" s="298">
        <v>12</v>
      </c>
      <c r="BE376" s="300">
        <v>11.6</v>
      </c>
      <c r="BF376" s="300">
        <v>11.3</v>
      </c>
      <c r="BG376" s="300">
        <v>11.5</v>
      </c>
    </row>
    <row r="377" spans="2:59" ht="13.5" customHeight="1">
      <c r="B377" s="301" t="s">
        <v>564</v>
      </c>
      <c r="C377" s="298">
        <v>735.1</v>
      </c>
      <c r="D377" s="298">
        <v>899.4</v>
      </c>
      <c r="E377" s="298">
        <v>1043.9000000000001</v>
      </c>
      <c r="F377" s="298">
        <v>1204.3</v>
      </c>
      <c r="G377" s="298">
        <v>1385.6</v>
      </c>
      <c r="H377" s="298">
        <v>1484.7</v>
      </c>
      <c r="I377" s="298">
        <v>1664.3</v>
      </c>
      <c r="J377" s="298">
        <v>1887.8</v>
      </c>
      <c r="K377" s="298">
        <v>2121.8000000000002</v>
      </c>
      <c r="L377" s="298">
        <f t="shared" si="846"/>
        <v>2247.8000000000002</v>
      </c>
      <c r="M377" s="299"/>
      <c r="N377" s="4"/>
      <c r="O377" s="4"/>
      <c r="P377" s="110"/>
      <c r="Q377" s="300">
        <v>464</v>
      </c>
      <c r="R377" s="300">
        <v>498.8</v>
      </c>
      <c r="S377" s="300">
        <v>520.6</v>
      </c>
      <c r="T377" s="300">
        <v>570</v>
      </c>
      <c r="U377" s="300">
        <v>614</v>
      </c>
      <c r="V377" s="300">
        <v>652.5</v>
      </c>
      <c r="W377" s="300">
        <v>685.5</v>
      </c>
      <c r="X377" s="300">
        <v>735.1</v>
      </c>
      <c r="Y377" s="300">
        <v>776.1</v>
      </c>
      <c r="Z377" s="300">
        <v>817.6</v>
      </c>
      <c r="AA377" s="300">
        <v>851.6</v>
      </c>
      <c r="AB377" s="300">
        <v>899.4</v>
      </c>
      <c r="AC377" s="300">
        <v>935.4</v>
      </c>
      <c r="AD377" s="300">
        <v>965.4</v>
      </c>
      <c r="AE377" s="300">
        <v>991.6</v>
      </c>
      <c r="AF377" s="300">
        <v>1043.9000000000001</v>
      </c>
      <c r="AG377" s="300">
        <v>1085.5</v>
      </c>
      <c r="AH377" s="300">
        <v>1117.5</v>
      </c>
      <c r="AI377" s="300" t="s">
        <v>565</v>
      </c>
      <c r="AJ377" s="300">
        <v>1204.3</v>
      </c>
      <c r="AK377" s="300">
        <v>1248.7</v>
      </c>
      <c r="AL377" s="300">
        <v>1288.5</v>
      </c>
      <c r="AM377" s="300">
        <v>1331.3</v>
      </c>
      <c r="AN377" s="300">
        <v>1385.6</v>
      </c>
      <c r="AO377" s="300">
        <v>1411.1</v>
      </c>
      <c r="AP377" s="300">
        <v>1426.4</v>
      </c>
      <c r="AQ377" s="300">
        <v>1455.7</v>
      </c>
      <c r="AR377" s="300">
        <v>1484.7</v>
      </c>
      <c r="AS377" s="300">
        <v>1518.4</v>
      </c>
      <c r="AT377" s="300">
        <v>1554.1</v>
      </c>
      <c r="AU377" s="300">
        <v>1599.4</v>
      </c>
      <c r="AV377" s="300">
        <v>1664.3</v>
      </c>
      <c r="AW377" s="300">
        <v>1714.3</v>
      </c>
      <c r="AX377" s="300">
        <v>1754.1</v>
      </c>
      <c r="AY377" s="300">
        <v>1813.6</v>
      </c>
      <c r="AZ377" s="300">
        <v>1887.8</v>
      </c>
      <c r="BA377" s="300">
        <v>1941</v>
      </c>
      <c r="BB377" s="300">
        <v>1996.1</v>
      </c>
      <c r="BC377" s="300">
        <v>2063.8000000000002</v>
      </c>
      <c r="BD377" s="298">
        <v>2121.8000000000002</v>
      </c>
      <c r="BE377" s="300">
        <v>2159.6999999999998</v>
      </c>
      <c r="BF377" s="300">
        <v>2199.8000000000002</v>
      </c>
      <c r="BG377" s="300">
        <v>2247.8000000000002</v>
      </c>
    </row>
    <row r="378" spans="2:59" ht="13.5" customHeight="1">
      <c r="B378" s="301" t="s">
        <v>566</v>
      </c>
      <c r="C378" s="298">
        <v>456.2</v>
      </c>
      <c r="D378" s="298">
        <v>620.79999999999995</v>
      </c>
      <c r="E378" s="298">
        <v>818</v>
      </c>
      <c r="F378" s="298">
        <v>921.4</v>
      </c>
      <c r="G378" s="298">
        <v>905.6</v>
      </c>
      <c r="H378" s="298">
        <v>719.1</v>
      </c>
      <c r="I378" s="298">
        <v>707.6</v>
      </c>
      <c r="J378" s="298">
        <v>754.9</v>
      </c>
      <c r="K378" s="298">
        <v>751.4</v>
      </c>
      <c r="L378" s="298">
        <f t="shared" si="846"/>
        <v>765.1</v>
      </c>
      <c r="M378" s="299"/>
      <c r="N378" s="4"/>
      <c r="O378" s="4"/>
      <c r="P378" s="110"/>
      <c r="Q378" s="300">
        <v>203.2</v>
      </c>
      <c r="R378" s="300">
        <v>222.2</v>
      </c>
      <c r="S378" s="300">
        <v>242.6</v>
      </c>
      <c r="T378" s="300">
        <v>275.39999999999998</v>
      </c>
      <c r="U378" s="300">
        <v>328.1</v>
      </c>
      <c r="V378" s="300">
        <v>379.2</v>
      </c>
      <c r="W378" s="300">
        <v>415.3</v>
      </c>
      <c r="X378" s="300">
        <v>456.2</v>
      </c>
      <c r="Y378" s="300">
        <v>495.5</v>
      </c>
      <c r="Z378" s="300">
        <v>528</v>
      </c>
      <c r="AA378" s="300">
        <v>567.6</v>
      </c>
      <c r="AB378" s="300">
        <v>620.79999999999995</v>
      </c>
      <c r="AC378" s="300">
        <v>646.20000000000005</v>
      </c>
      <c r="AD378" s="300">
        <v>675.2</v>
      </c>
      <c r="AE378" s="300">
        <v>723.2</v>
      </c>
      <c r="AF378" s="300">
        <v>818</v>
      </c>
      <c r="AG378" s="300">
        <v>879.6</v>
      </c>
      <c r="AH378" s="300">
        <v>907.1</v>
      </c>
      <c r="AI378" s="300">
        <v>917.4</v>
      </c>
      <c r="AJ378" s="300">
        <v>921.4</v>
      </c>
      <c r="AK378" s="300">
        <v>916.6</v>
      </c>
      <c r="AL378" s="300">
        <v>916.7</v>
      </c>
      <c r="AM378" s="300">
        <v>917.6</v>
      </c>
      <c r="AN378" s="300">
        <v>905.6</v>
      </c>
      <c r="AO378" s="300">
        <v>861.7</v>
      </c>
      <c r="AP378" s="300">
        <v>798.2</v>
      </c>
      <c r="AQ378" s="300">
        <v>758.9</v>
      </c>
      <c r="AR378" s="300">
        <v>719.1</v>
      </c>
      <c r="AS378" s="300">
        <v>695.6</v>
      </c>
      <c r="AT378" s="300">
        <v>702.9</v>
      </c>
      <c r="AU378" s="300">
        <v>694</v>
      </c>
      <c r="AV378" s="300">
        <v>707.6</v>
      </c>
      <c r="AW378" s="300">
        <v>716.3</v>
      </c>
      <c r="AX378" s="300">
        <v>725.5</v>
      </c>
      <c r="AY378" s="300">
        <v>739.7</v>
      </c>
      <c r="AZ378" s="300">
        <v>754.9</v>
      </c>
      <c r="BA378" s="300">
        <v>755.7</v>
      </c>
      <c r="BB378" s="300">
        <v>740.6</v>
      </c>
      <c r="BC378" s="300">
        <v>739.4</v>
      </c>
      <c r="BD378" s="298">
        <v>751.4</v>
      </c>
      <c r="BE378" s="300">
        <v>759</v>
      </c>
      <c r="BF378" s="300">
        <v>754.4</v>
      </c>
      <c r="BG378" s="300">
        <v>765.1</v>
      </c>
    </row>
    <row r="379" spans="2:59" ht="13.5" customHeight="1">
      <c r="B379" s="389" t="s">
        <v>567</v>
      </c>
      <c r="C379" s="298"/>
      <c r="D379" s="298"/>
      <c r="E379" s="298"/>
      <c r="F379" s="391">
        <v>1.6</v>
      </c>
      <c r="G379" s="391">
        <v>33.5</v>
      </c>
      <c r="H379" s="391">
        <v>323.2</v>
      </c>
      <c r="I379" s="391">
        <v>591.20000000000005</v>
      </c>
      <c r="J379" s="391">
        <v>603.6</v>
      </c>
      <c r="K379" s="391">
        <v>670.7</v>
      </c>
      <c r="L379" s="298">
        <f t="shared" si="846"/>
        <v>720.7</v>
      </c>
      <c r="M379" s="299"/>
      <c r="N379" s="4"/>
      <c r="O379" s="4"/>
      <c r="P379" s="110"/>
      <c r="Q379" s="300"/>
      <c r="R379" s="300"/>
      <c r="S379" s="300"/>
      <c r="T379" s="300"/>
      <c r="U379" s="300"/>
      <c r="V379" s="300"/>
      <c r="W379" s="300"/>
      <c r="X379" s="300"/>
      <c r="Y379" s="300"/>
      <c r="Z379" s="300"/>
      <c r="AA379" s="300"/>
      <c r="AB379" s="300"/>
      <c r="AC379" s="300"/>
      <c r="AD379" s="300"/>
      <c r="AE379" s="300"/>
      <c r="AF379" s="300"/>
      <c r="AG379" s="300"/>
      <c r="AH379" s="300"/>
      <c r="AI379" s="300"/>
      <c r="AJ379" s="391">
        <v>1.6</v>
      </c>
      <c r="AK379" s="391">
        <v>3.5</v>
      </c>
      <c r="AL379" s="391">
        <v>8.4</v>
      </c>
      <c r="AM379" s="391">
        <v>19.100000000000001</v>
      </c>
      <c r="AN379" s="391">
        <v>33.5</v>
      </c>
      <c r="AO379" s="391">
        <v>56.4</v>
      </c>
      <c r="AP379" s="391">
        <v>129.80000000000001</v>
      </c>
      <c r="AQ379" s="391">
        <v>217.4</v>
      </c>
      <c r="AR379" s="391">
        <v>323.2</v>
      </c>
      <c r="AS379" s="391">
        <v>399.5</v>
      </c>
      <c r="AT379" s="391">
        <v>490.7</v>
      </c>
      <c r="AU379" s="391">
        <v>550.5</v>
      </c>
      <c r="AV379" s="391">
        <v>591.20000000000005</v>
      </c>
      <c r="AW379" s="391">
        <v>614.6</v>
      </c>
      <c r="AX379" s="391">
        <v>625.70000000000005</v>
      </c>
      <c r="AY379" s="391">
        <v>613.6</v>
      </c>
      <c r="AZ379" s="391">
        <v>603.6</v>
      </c>
      <c r="BA379" s="391">
        <v>612.4</v>
      </c>
      <c r="BB379" s="391">
        <v>640.29999999999995</v>
      </c>
      <c r="BC379" s="391">
        <v>676.4</v>
      </c>
      <c r="BD379" s="391">
        <v>670.7</v>
      </c>
      <c r="BE379" s="391">
        <v>676.5</v>
      </c>
      <c r="BF379" s="391">
        <v>703.4</v>
      </c>
      <c r="BG379" s="391">
        <v>720.7</v>
      </c>
    </row>
    <row r="380" spans="2:59" ht="13.5" customHeight="1">
      <c r="B380" s="390" t="s">
        <v>568</v>
      </c>
      <c r="C380" s="298"/>
      <c r="D380" s="298"/>
      <c r="E380" s="298"/>
      <c r="F380" s="298"/>
      <c r="G380" s="298"/>
      <c r="H380" s="298">
        <v>49.2</v>
      </c>
      <c r="I380" s="298">
        <v>67.7</v>
      </c>
      <c r="J380" s="298">
        <v>54.6</v>
      </c>
      <c r="K380" s="298">
        <v>43.9</v>
      </c>
      <c r="L380" s="298">
        <f t="shared" si="846"/>
        <v>39</v>
      </c>
      <c r="M380" s="299"/>
      <c r="N380" s="4"/>
      <c r="O380" s="4"/>
      <c r="P380" s="110"/>
      <c r="Q380" s="300"/>
      <c r="R380" s="300"/>
      <c r="S380" s="300"/>
      <c r="T380" s="300"/>
      <c r="U380" s="300"/>
      <c r="V380" s="300"/>
      <c r="W380" s="300"/>
      <c r="X380" s="300"/>
      <c r="Y380" s="300"/>
      <c r="Z380" s="300"/>
      <c r="AA380" s="300"/>
      <c r="AB380" s="300"/>
      <c r="AC380" s="300"/>
      <c r="AD380" s="300"/>
      <c r="AE380" s="300"/>
      <c r="AF380" s="300"/>
      <c r="AG380" s="300"/>
      <c r="AH380" s="300"/>
      <c r="AI380" s="300"/>
      <c r="AJ380" s="300"/>
      <c r="AK380" s="300"/>
      <c r="AL380" s="300"/>
      <c r="AM380" s="300"/>
      <c r="AN380" s="300"/>
      <c r="AO380" s="300">
        <v>9.6999999999999993</v>
      </c>
      <c r="AP380" s="300">
        <v>20.3</v>
      </c>
      <c r="AQ380" s="300">
        <v>33</v>
      </c>
      <c r="AR380" s="300">
        <v>49.2</v>
      </c>
      <c r="AS380" s="300">
        <v>58.7</v>
      </c>
      <c r="AT380" s="300">
        <v>64.900000000000006</v>
      </c>
      <c r="AU380" s="300">
        <v>66.900000000000006</v>
      </c>
      <c r="AV380" s="300">
        <v>67.7</v>
      </c>
      <c r="AW380" s="300">
        <v>64.900000000000006</v>
      </c>
      <c r="AX380" s="300">
        <v>62.2</v>
      </c>
      <c r="AY380" s="300">
        <v>59.8</v>
      </c>
      <c r="AZ380" s="300">
        <v>54.6</v>
      </c>
      <c r="BA380" s="300">
        <v>51.1</v>
      </c>
      <c r="BB380" s="300">
        <v>48.6</v>
      </c>
      <c r="BC380" s="300">
        <v>45.3</v>
      </c>
      <c r="BD380" s="298">
        <v>43.9</v>
      </c>
      <c r="BE380" s="300">
        <v>42.4</v>
      </c>
      <c r="BF380" s="300">
        <v>40.200000000000003</v>
      </c>
      <c r="BG380" s="300">
        <v>39</v>
      </c>
    </row>
    <row r="381" spans="2:59" ht="13.5" customHeight="1">
      <c r="B381" s="301" t="s">
        <v>569</v>
      </c>
      <c r="C381" s="298">
        <v>60.1</v>
      </c>
      <c r="D381" s="298">
        <v>223.7</v>
      </c>
      <c r="E381" s="298">
        <v>359.7</v>
      </c>
      <c r="F381" s="298">
        <v>505.9</v>
      </c>
      <c r="G381" s="298">
        <v>613.4</v>
      </c>
      <c r="H381" s="298">
        <v>719.7</v>
      </c>
      <c r="I381" s="298">
        <v>871.3</v>
      </c>
      <c r="J381" s="298">
        <v>1082.2</v>
      </c>
      <c r="K381" s="298">
        <v>1281.7</v>
      </c>
      <c r="L381" s="298">
        <f t="shared" si="846"/>
        <v>1375</v>
      </c>
      <c r="M381" s="299"/>
      <c r="N381" s="4"/>
      <c r="O381" s="4"/>
      <c r="P381" s="110"/>
      <c r="Q381" s="300">
        <v>0</v>
      </c>
      <c r="R381" s="300">
        <v>0</v>
      </c>
      <c r="S381" s="300">
        <v>0</v>
      </c>
      <c r="T381" s="300">
        <v>0</v>
      </c>
      <c r="U381" s="300">
        <v>0</v>
      </c>
      <c r="V381" s="300">
        <v>1.5</v>
      </c>
      <c r="W381" s="300">
        <v>15.3</v>
      </c>
      <c r="X381" s="300">
        <v>60.1</v>
      </c>
      <c r="Y381" s="300">
        <v>98.7</v>
      </c>
      <c r="Z381" s="300">
        <v>139</v>
      </c>
      <c r="AA381" s="300">
        <v>170.7</v>
      </c>
      <c r="AB381" s="300">
        <v>223.7</v>
      </c>
      <c r="AC381" s="300">
        <v>268.10000000000002</v>
      </c>
      <c r="AD381" s="300">
        <v>303</v>
      </c>
      <c r="AE381" s="300">
        <v>323.3</v>
      </c>
      <c r="AF381" s="300">
        <v>359.7</v>
      </c>
      <c r="AG381" s="300">
        <v>402</v>
      </c>
      <c r="AH381" s="300">
        <v>436</v>
      </c>
      <c r="AI381" s="300">
        <v>466.6</v>
      </c>
      <c r="AJ381" s="300">
        <v>505.9</v>
      </c>
      <c r="AK381" s="300">
        <v>535</v>
      </c>
      <c r="AL381" s="300">
        <v>559.9</v>
      </c>
      <c r="AM381" s="300">
        <v>581.5</v>
      </c>
      <c r="AN381" s="300">
        <v>613.4</v>
      </c>
      <c r="AO381" s="300">
        <v>632</v>
      </c>
      <c r="AP381" s="300">
        <v>653.20000000000005</v>
      </c>
      <c r="AQ381" s="300">
        <v>683.4</v>
      </c>
      <c r="AR381" s="300">
        <v>719.7</v>
      </c>
      <c r="AS381" s="300">
        <v>747.3</v>
      </c>
      <c r="AT381" s="300">
        <v>772.4</v>
      </c>
      <c r="AU381" s="300">
        <v>811.1</v>
      </c>
      <c r="AV381" s="300">
        <v>871.3</v>
      </c>
      <c r="AW381" s="300">
        <v>920.7</v>
      </c>
      <c r="AX381" s="300">
        <v>961</v>
      </c>
      <c r="AY381" s="300">
        <v>1011.9</v>
      </c>
      <c r="AZ381" s="300">
        <v>1082.2</v>
      </c>
      <c r="BA381" s="300">
        <v>1126.4000000000001</v>
      </c>
      <c r="BB381" s="300">
        <v>1185.9000000000001</v>
      </c>
      <c r="BC381" s="300">
        <v>1230.8</v>
      </c>
      <c r="BD381" s="298">
        <v>1281.7</v>
      </c>
      <c r="BE381" s="300">
        <v>1309.3</v>
      </c>
      <c r="BF381" s="300">
        <v>1344.2</v>
      </c>
      <c r="BG381" s="300">
        <v>1375</v>
      </c>
    </row>
    <row r="382" spans="2:59" ht="13.5" customHeight="1">
      <c r="B382" s="302"/>
      <c r="C382" s="299"/>
      <c r="D382" s="299"/>
      <c r="E382" s="299"/>
      <c r="F382" s="299"/>
      <c r="G382" s="299"/>
      <c r="H382" s="299"/>
      <c r="I382" s="299"/>
      <c r="J382" s="299"/>
      <c r="K382" s="299"/>
      <c r="L382" s="299"/>
      <c r="M382" s="299"/>
      <c r="N382" s="4"/>
      <c r="O382" s="4"/>
      <c r="P382" s="110"/>
      <c r="Q382" s="303"/>
      <c r="R382" s="303"/>
      <c r="S382" s="303"/>
      <c r="T382" s="303"/>
      <c r="U382" s="303"/>
      <c r="V382" s="303"/>
      <c r="W382" s="303"/>
      <c r="X382" s="303"/>
      <c r="Y382" s="303"/>
      <c r="Z382" s="303"/>
      <c r="AA382" s="303"/>
      <c r="AB382" s="303"/>
      <c r="AC382" s="303"/>
      <c r="AD382" s="303"/>
      <c r="AE382" s="303"/>
      <c r="AF382" s="303"/>
      <c r="AG382" s="303"/>
      <c r="AH382" s="303"/>
      <c r="AI382" s="303"/>
      <c r="AJ382" s="303"/>
      <c r="AK382" s="303"/>
      <c r="AL382" s="303"/>
      <c r="AM382" s="303"/>
      <c r="AN382" s="303"/>
      <c r="AO382" s="303"/>
      <c r="AP382" s="303"/>
      <c r="AQ382" s="303"/>
      <c r="AR382" s="303"/>
      <c r="AS382" s="303"/>
      <c r="AT382" s="303"/>
      <c r="AU382" s="303"/>
      <c r="AV382" s="303"/>
      <c r="AW382" s="303"/>
      <c r="AX382" s="303"/>
      <c r="AY382" s="303"/>
      <c r="AZ382" s="303"/>
      <c r="BA382" s="303"/>
      <c r="BB382" s="303"/>
      <c r="BC382" s="303"/>
      <c r="BD382" s="303"/>
      <c r="BE382" s="303"/>
      <c r="BF382" s="303"/>
      <c r="BG382" s="303"/>
    </row>
    <row r="383" spans="2:59" ht="13.5" customHeight="1">
      <c r="B383" s="304" t="s">
        <v>570</v>
      </c>
      <c r="C383" s="781"/>
      <c r="D383" s="781"/>
      <c r="E383" s="781"/>
      <c r="F383" s="781"/>
      <c r="G383" s="781"/>
      <c r="H383" s="781"/>
      <c r="I383" s="781"/>
      <c r="J383" s="781"/>
      <c r="K383" s="781"/>
      <c r="L383" s="781"/>
      <c r="M383" s="781"/>
      <c r="N383" s="4"/>
      <c r="O383" s="4"/>
      <c r="P383" s="110"/>
      <c r="Q383" s="480"/>
      <c r="R383" s="480"/>
      <c r="S383" s="480"/>
      <c r="T383" s="480"/>
      <c r="U383" s="480"/>
      <c r="V383" s="480"/>
      <c r="W383" s="480"/>
      <c r="X383" s="480"/>
      <c r="Y383" s="480"/>
      <c r="Z383" s="480"/>
      <c r="AA383" s="480"/>
      <c r="AB383" s="480"/>
      <c r="AC383" s="480"/>
      <c r="AD383" s="480"/>
      <c r="AE383" s="305"/>
      <c r="AF383" s="480"/>
      <c r="AG383" s="480"/>
      <c r="AH383" s="480"/>
      <c r="AI383" s="305"/>
      <c r="AJ383" s="480"/>
      <c r="AK383" s="480"/>
      <c r="AL383" s="480"/>
      <c r="AM383" s="480"/>
      <c r="AN383" s="480"/>
      <c r="AO383" s="480"/>
      <c r="AP383" s="480"/>
      <c r="AQ383" s="480"/>
      <c r="AR383" s="480"/>
      <c r="AS383" s="480"/>
      <c r="AT383" s="480"/>
      <c r="AU383" s="480"/>
      <c r="AV383" s="480"/>
      <c r="AW383" s="480"/>
      <c r="AX383" s="480"/>
      <c r="AY383" s="480"/>
      <c r="AZ383" s="480"/>
      <c r="BA383" s="480"/>
      <c r="BB383" s="480"/>
      <c r="BC383" s="480"/>
      <c r="BD383" s="480"/>
      <c r="BE383" s="480"/>
      <c r="BF383" s="480"/>
      <c r="BG383" s="480"/>
    </row>
    <row r="384" spans="2:59" ht="13.5" customHeight="1">
      <c r="B384" s="297" t="s">
        <v>571</v>
      </c>
      <c r="C384" s="306">
        <v>0.28299999999999997</v>
      </c>
      <c r="D384" s="306">
        <v>0.27300000000000002</v>
      </c>
      <c r="E384" s="306">
        <v>0.246</v>
      </c>
      <c r="F384" s="306">
        <v>0.20499999999999999</v>
      </c>
      <c r="G384" s="306">
        <v>2.1000000000000001E-2</v>
      </c>
      <c r="H384" s="306">
        <v>2.7E-2</v>
      </c>
      <c r="I384" s="306">
        <v>2.3E-2</v>
      </c>
      <c r="J384" s="306">
        <v>0.02</v>
      </c>
      <c r="K384" s="306">
        <v>0.02</v>
      </c>
      <c r="L384" s="306">
        <f>BG384</f>
        <v>0.02</v>
      </c>
      <c r="M384" s="307"/>
      <c r="N384" s="4"/>
      <c r="O384" s="4"/>
      <c r="P384" s="110"/>
      <c r="Q384" s="308">
        <v>8.5000000000000006E-2</v>
      </c>
      <c r="R384" s="308">
        <v>8.5999999999999993E-2</v>
      </c>
      <c r="S384" s="308">
        <v>6.9000000000000006E-2</v>
      </c>
      <c r="T384" s="308">
        <v>6.7000000000000004E-2</v>
      </c>
      <c r="U384" s="308">
        <v>7.8E-2</v>
      </c>
      <c r="V384" s="308">
        <v>8.1000000000000003E-2</v>
      </c>
      <c r="W384" s="308">
        <v>8.2000000000000003E-2</v>
      </c>
      <c r="X384" s="308">
        <v>7.6999999999999999E-2</v>
      </c>
      <c r="Y384" s="308">
        <v>7.6999999999999999E-2</v>
      </c>
      <c r="Z384" s="308">
        <v>0.08</v>
      </c>
      <c r="AA384" s="308">
        <v>6.9000000000000006E-2</v>
      </c>
      <c r="AB384" s="308">
        <v>7.9000000000000001E-2</v>
      </c>
      <c r="AC384" s="308">
        <v>7.4999999999999997E-2</v>
      </c>
      <c r="AD384" s="308">
        <v>0.08</v>
      </c>
      <c r="AE384" s="308">
        <v>6.3E-2</v>
      </c>
      <c r="AF384" s="308">
        <v>5.6000000000000001E-2</v>
      </c>
      <c r="AG384" s="308">
        <v>0.05</v>
      </c>
      <c r="AH384" s="308">
        <v>4.2000000000000003E-2</v>
      </c>
      <c r="AI384" s="308">
        <v>5.6000000000000001E-2</v>
      </c>
      <c r="AJ384" s="308">
        <v>7.0999999999999994E-2</v>
      </c>
      <c r="AK384" s="308">
        <v>4.2000000000000003E-2</v>
      </c>
      <c r="AL384" s="308">
        <v>5.5E-2</v>
      </c>
      <c r="AM384" s="308">
        <v>2.1999999999999999E-2</v>
      </c>
      <c r="AN384" s="308">
        <v>2.9000000000000001E-2</v>
      </c>
      <c r="AO384" s="308">
        <v>1.9E-2</v>
      </c>
      <c r="AP384" s="308">
        <v>0.02</v>
      </c>
      <c r="AQ384" s="308">
        <v>2.5000000000000001E-2</v>
      </c>
      <c r="AR384" s="308">
        <v>4.4999999999999998E-2</v>
      </c>
      <c r="AS384" s="308">
        <v>0.02</v>
      </c>
      <c r="AT384" s="308">
        <v>1.9E-2</v>
      </c>
      <c r="AU384" s="308">
        <v>2.4E-2</v>
      </c>
      <c r="AV384" s="308">
        <v>0.03</v>
      </c>
      <c r="AW384" s="308">
        <v>1.7999999999999999E-2</v>
      </c>
      <c r="AX384" s="308">
        <v>1.7000000000000001E-2</v>
      </c>
      <c r="AY384" s="308">
        <v>1.9E-2</v>
      </c>
      <c r="AZ384" s="308">
        <v>2.5000000000000001E-2</v>
      </c>
      <c r="BA384" s="308">
        <v>1.6E-2</v>
      </c>
      <c r="BB384" s="308">
        <v>1.7999999999999999E-2</v>
      </c>
      <c r="BC384" s="308">
        <v>1.9E-2</v>
      </c>
      <c r="BD384" s="308">
        <v>2.7E-2</v>
      </c>
      <c r="BE384" s="308">
        <v>1.7000000000000001E-2</v>
      </c>
      <c r="BF384" s="308">
        <v>1.9E-2</v>
      </c>
      <c r="BG384" s="308">
        <v>0.02</v>
      </c>
    </row>
    <row r="385" spans="2:60" ht="13.5" customHeight="1">
      <c r="B385" s="297" t="s">
        <v>572</v>
      </c>
      <c r="C385" s="306">
        <v>0.17699999999999999</v>
      </c>
      <c r="D385" s="306">
        <v>0.16700000000000001</v>
      </c>
      <c r="E385" s="306">
        <v>0.189</v>
      </c>
      <c r="F385" s="306">
        <v>0.19600000000000001</v>
      </c>
      <c r="G385" s="306">
        <v>1.7999999999999999E-2</v>
      </c>
      <c r="H385" s="306">
        <v>2.1000000000000001E-2</v>
      </c>
      <c r="I385" s="306">
        <v>1.9E-2</v>
      </c>
      <c r="J385" s="306">
        <v>1.4999999999999999E-2</v>
      </c>
      <c r="K385" s="306">
        <v>1.4E-2</v>
      </c>
      <c r="L385" s="306">
        <f>BG385</f>
        <v>1.6E-2</v>
      </c>
      <c r="M385" s="307"/>
      <c r="N385" s="4"/>
      <c r="O385" s="4"/>
      <c r="P385" s="110"/>
      <c r="Q385" s="308">
        <v>0.04</v>
      </c>
      <c r="R385" s="308">
        <v>4.3999999999999997E-2</v>
      </c>
      <c r="S385" s="308">
        <v>4.9000000000000002E-2</v>
      </c>
      <c r="T385" s="308">
        <v>4.9000000000000002E-2</v>
      </c>
      <c r="U385" s="308">
        <v>4.5999999999999999E-2</v>
      </c>
      <c r="V385" s="308">
        <v>4.2999999999999997E-2</v>
      </c>
      <c r="W385" s="308">
        <v>0.05</v>
      </c>
      <c r="X385" s="308">
        <v>4.9000000000000002E-2</v>
      </c>
      <c r="Y385" s="308">
        <v>0.04</v>
      </c>
      <c r="Z385" s="308">
        <v>4.2000000000000003E-2</v>
      </c>
      <c r="AA385" s="308">
        <v>4.3999999999999997E-2</v>
      </c>
      <c r="AB385" s="308">
        <v>5.1999999999999998E-2</v>
      </c>
      <c r="AC385" s="308">
        <v>0.05</v>
      </c>
      <c r="AD385" s="308">
        <v>5.0999999999999997E-2</v>
      </c>
      <c r="AE385" s="308">
        <v>5.2999999999999999E-2</v>
      </c>
      <c r="AF385" s="308">
        <v>5.2999999999999999E-2</v>
      </c>
      <c r="AG385" s="308">
        <v>5.1999999999999998E-2</v>
      </c>
      <c r="AH385" s="308">
        <v>4.8000000000000001E-2</v>
      </c>
      <c r="AI385" s="308">
        <v>5.1999999999999998E-2</v>
      </c>
      <c r="AJ385" s="308">
        <v>5.7000000000000002E-2</v>
      </c>
      <c r="AK385" s="308">
        <v>5.2999999999999999E-2</v>
      </c>
      <c r="AL385" s="308">
        <v>4.4999999999999998E-2</v>
      </c>
      <c r="AM385" s="308">
        <v>1.7999999999999999E-2</v>
      </c>
      <c r="AN385" s="308">
        <v>2.1999999999999999E-2</v>
      </c>
      <c r="AO385" s="308">
        <v>0.02</v>
      </c>
      <c r="AP385" s="308">
        <v>2.1000000000000001E-2</v>
      </c>
      <c r="AQ385" s="308">
        <v>2.1000000000000001E-2</v>
      </c>
      <c r="AR385" s="308">
        <v>2.3E-2</v>
      </c>
      <c r="AS385" s="308">
        <v>2.1000000000000001E-2</v>
      </c>
      <c r="AT385" s="308">
        <v>1.6E-2</v>
      </c>
      <c r="AU385" s="308">
        <v>2.1000000000000001E-2</v>
      </c>
      <c r="AV385" s="308">
        <v>1.9E-2</v>
      </c>
      <c r="AW385" s="308">
        <v>1.6E-2</v>
      </c>
      <c r="AX385" s="308">
        <v>1.2999999999999999E-2</v>
      </c>
      <c r="AY385" s="308">
        <v>1.4E-2</v>
      </c>
      <c r="AZ385" s="308">
        <v>1.6E-2</v>
      </c>
      <c r="BA385" s="308">
        <v>1.4E-2</v>
      </c>
      <c r="BB385" s="308">
        <v>1.4E-2</v>
      </c>
      <c r="BC385" s="308">
        <v>1.4999999999999999E-2</v>
      </c>
      <c r="BD385" s="308">
        <v>1.2999999999999999E-2</v>
      </c>
      <c r="BE385" s="308">
        <v>1.4999999999999999E-2</v>
      </c>
      <c r="BF385" s="308">
        <v>1.4E-2</v>
      </c>
      <c r="BG385" s="308">
        <v>1.6E-2</v>
      </c>
    </row>
    <row r="386" spans="2:60" ht="13.5" customHeight="1">
      <c r="B386" s="302"/>
      <c r="C386" s="299"/>
      <c r="D386" s="299"/>
      <c r="E386" s="299"/>
      <c r="F386" s="299"/>
      <c r="G386" s="299"/>
      <c r="H386" s="299"/>
      <c r="I386" s="299"/>
      <c r="J386" s="299"/>
      <c r="K386" s="299"/>
      <c r="L386" s="299"/>
      <c r="M386" s="299"/>
      <c r="N386" s="4"/>
      <c r="O386" s="4"/>
      <c r="P386" s="110"/>
      <c r="Q386" s="303"/>
      <c r="R386" s="303"/>
      <c r="S386" s="303"/>
      <c r="T386" s="303"/>
      <c r="U386" s="303"/>
      <c r="V386" s="303"/>
      <c r="W386" s="303"/>
      <c r="X386" s="303"/>
      <c r="Y386" s="303"/>
      <c r="Z386" s="303"/>
      <c r="AA386" s="303"/>
      <c r="AB386" s="303"/>
      <c r="AC386" s="303"/>
      <c r="AD386" s="303"/>
      <c r="AE386" s="303"/>
      <c r="AF386" s="303"/>
      <c r="AG386" s="303"/>
      <c r="AH386" s="303"/>
      <c r="AI386" s="303"/>
      <c r="AJ386" s="303"/>
      <c r="AK386" s="303"/>
      <c r="AL386" s="303"/>
      <c r="AM386" s="303"/>
      <c r="AN386" s="303"/>
      <c r="AO386" s="303"/>
      <c r="AP386" s="303"/>
      <c r="AQ386" s="303"/>
      <c r="AR386" s="303"/>
      <c r="AS386" s="303"/>
      <c r="AT386" s="303"/>
      <c r="AU386" s="303"/>
      <c r="AV386" s="303"/>
      <c r="AW386" s="303"/>
      <c r="AX386" s="303"/>
      <c r="AY386" s="303"/>
      <c r="AZ386" s="303"/>
      <c r="BA386" s="303"/>
      <c r="BB386" s="303"/>
      <c r="BC386" s="303"/>
      <c r="BD386" s="303"/>
      <c r="BE386" s="303"/>
      <c r="BF386" s="303"/>
      <c r="BG386" s="303"/>
    </row>
    <row r="387" spans="2:60" ht="13.5" customHeight="1">
      <c r="B387" s="304" t="s">
        <v>573</v>
      </c>
      <c r="C387" s="781"/>
      <c r="D387" s="781"/>
      <c r="E387" s="781"/>
      <c r="F387" s="781"/>
      <c r="G387" s="781"/>
      <c r="H387" s="781"/>
      <c r="I387" s="781"/>
      <c r="J387" s="781"/>
      <c r="K387" s="781"/>
      <c r="L387" s="781"/>
      <c r="M387" s="781"/>
      <c r="N387" s="4"/>
      <c r="O387" s="4"/>
      <c r="P387" s="110"/>
      <c r="Q387" s="480"/>
      <c r="R387" s="480"/>
      <c r="S387" s="480"/>
      <c r="T387" s="480"/>
      <c r="U387" s="480"/>
      <c r="V387" s="480"/>
      <c r="W387" s="480"/>
      <c r="X387" s="480"/>
      <c r="Y387" s="480"/>
      <c r="Z387" s="480"/>
      <c r="AA387" s="480"/>
      <c r="AB387" s="480"/>
      <c r="AC387" s="480"/>
      <c r="AD387" s="480"/>
      <c r="AE387" s="305"/>
      <c r="AF387" s="480"/>
      <c r="AG387" s="480"/>
      <c r="AH387" s="480"/>
      <c r="AI387" s="305"/>
      <c r="AJ387" s="480"/>
      <c r="AK387" s="480"/>
      <c r="AL387" s="480"/>
      <c r="AM387" s="480"/>
      <c r="AN387" s="480"/>
      <c r="AO387" s="480"/>
      <c r="AP387" s="480"/>
      <c r="AQ387" s="480"/>
      <c r="AR387" s="480"/>
      <c r="AS387" s="480"/>
      <c r="AT387" s="480"/>
      <c r="AU387" s="480"/>
      <c r="AV387" s="480"/>
      <c r="AW387" s="480"/>
      <c r="AX387" s="480"/>
      <c r="AY387" s="480"/>
      <c r="AZ387" s="480"/>
      <c r="BA387" s="480"/>
      <c r="BB387" s="480"/>
      <c r="BC387" s="480"/>
      <c r="BD387" s="480"/>
      <c r="BE387" s="480"/>
      <c r="BF387" s="480"/>
      <c r="BG387" s="480"/>
    </row>
    <row r="388" spans="2:60" ht="13.5" customHeight="1">
      <c r="B388" s="297" t="s">
        <v>574</v>
      </c>
      <c r="C388" s="298">
        <v>22.5</v>
      </c>
      <c r="D388" s="298">
        <v>24.5</v>
      </c>
      <c r="E388" s="298">
        <v>26.8</v>
      </c>
      <c r="F388" s="298">
        <v>29.8</v>
      </c>
      <c r="G388" s="298">
        <v>33.9</v>
      </c>
      <c r="H388" s="298">
        <v>39.799999999999997</v>
      </c>
      <c r="I388" s="298">
        <v>44.9</v>
      </c>
      <c r="J388" s="298">
        <v>50.5</v>
      </c>
      <c r="K388" s="298">
        <v>70</v>
      </c>
      <c r="L388" s="298">
        <f t="shared" ref="L388:L395" si="847">BG388</f>
        <v>142.9</v>
      </c>
      <c r="M388" s="299"/>
      <c r="N388" s="4"/>
      <c r="O388" s="4"/>
      <c r="P388" s="110"/>
      <c r="Q388" s="300">
        <v>21</v>
      </c>
      <c r="R388" s="300">
        <v>22.3</v>
      </c>
      <c r="S388" s="300">
        <v>22.7</v>
      </c>
      <c r="T388" s="300">
        <v>21.3</v>
      </c>
      <c r="U388" s="300">
        <v>21</v>
      </c>
      <c r="V388" s="300">
        <v>22.1</v>
      </c>
      <c r="W388" s="300">
        <v>23.8</v>
      </c>
      <c r="X388" s="300">
        <v>23</v>
      </c>
      <c r="Y388" s="300">
        <v>22.7</v>
      </c>
      <c r="Z388" s="300">
        <v>24</v>
      </c>
      <c r="AA388" s="300">
        <v>26.1</v>
      </c>
      <c r="AB388" s="300">
        <v>25.1</v>
      </c>
      <c r="AC388" s="300">
        <v>24.7</v>
      </c>
      <c r="AD388" s="300">
        <v>25.7</v>
      </c>
      <c r="AE388" s="300">
        <v>27.9</v>
      </c>
      <c r="AF388" s="300">
        <v>29.2</v>
      </c>
      <c r="AG388" s="300">
        <v>28.8</v>
      </c>
      <c r="AH388" s="300">
        <v>29.1</v>
      </c>
      <c r="AI388" s="300">
        <v>30.9</v>
      </c>
      <c r="AJ388" s="300">
        <v>30.4</v>
      </c>
      <c r="AK388" s="300">
        <v>31.5</v>
      </c>
      <c r="AL388" s="300">
        <v>32.700000000000003</v>
      </c>
      <c r="AM388" s="300">
        <v>36.200000000000003</v>
      </c>
      <c r="AN388" s="300">
        <v>35</v>
      </c>
      <c r="AO388" s="300">
        <v>35.700000000000003</v>
      </c>
      <c r="AP388" s="300">
        <v>38.1</v>
      </c>
      <c r="AQ388" s="300">
        <v>42.5</v>
      </c>
      <c r="AR388" s="300">
        <v>42.8</v>
      </c>
      <c r="AS388" s="300">
        <v>42.6</v>
      </c>
      <c r="AT388" s="300">
        <v>43</v>
      </c>
      <c r="AU388" s="300">
        <v>48.2</v>
      </c>
      <c r="AV388" s="300">
        <v>46.8</v>
      </c>
      <c r="AW388" s="300">
        <v>46</v>
      </c>
      <c r="AX388" s="300">
        <v>48.2</v>
      </c>
      <c r="AY388" s="300">
        <v>52.9</v>
      </c>
      <c r="AZ388" s="300">
        <v>54.6</v>
      </c>
      <c r="BA388" s="300">
        <v>54.6</v>
      </c>
      <c r="BB388" s="300">
        <v>63.2</v>
      </c>
      <c r="BC388" s="300">
        <v>77.5</v>
      </c>
      <c r="BD388" s="300">
        <v>83.8</v>
      </c>
      <c r="BE388" s="300">
        <v>90.3</v>
      </c>
      <c r="BF388" s="300">
        <v>114.9</v>
      </c>
      <c r="BG388" s="300">
        <v>142.9</v>
      </c>
    </row>
    <row r="389" spans="2:60" ht="13.5" customHeight="1">
      <c r="B389" s="309" t="s">
        <v>575</v>
      </c>
      <c r="C389" s="298">
        <v>23.3</v>
      </c>
      <c r="D389" s="298">
        <v>25.6</v>
      </c>
      <c r="E389" s="298">
        <v>28.3</v>
      </c>
      <c r="F389" s="298">
        <v>31.6</v>
      </c>
      <c r="G389" s="298">
        <v>36.200000000000003</v>
      </c>
      <c r="H389" s="298">
        <v>42.7</v>
      </c>
      <c r="I389" s="298">
        <v>48.4</v>
      </c>
      <c r="J389" s="298">
        <v>54.9</v>
      </c>
      <c r="K389" s="298">
        <v>77</v>
      </c>
      <c r="L389" s="298">
        <f t="shared" si="847"/>
        <v>159.69999999999999</v>
      </c>
      <c r="M389" s="299"/>
      <c r="N389" s="4"/>
      <c r="O389" s="4"/>
      <c r="P389" s="110"/>
      <c r="Q389" s="300"/>
      <c r="R389" s="300"/>
      <c r="S389" s="300"/>
      <c r="T389" s="300"/>
      <c r="U389" s="300">
        <v>21.8</v>
      </c>
      <c r="V389" s="300">
        <v>22.9</v>
      </c>
      <c r="W389" s="300">
        <v>24.7</v>
      </c>
      <c r="X389" s="300">
        <v>23.9</v>
      </c>
      <c r="Y389" s="300">
        <v>23.7</v>
      </c>
      <c r="Z389" s="300">
        <v>25.1</v>
      </c>
      <c r="AA389" s="300">
        <v>27.3</v>
      </c>
      <c r="AB389" s="300">
        <v>26.3</v>
      </c>
      <c r="AC389" s="300">
        <v>26</v>
      </c>
      <c r="AD389" s="300">
        <v>27.1</v>
      </c>
      <c r="AE389" s="300">
        <v>29.5</v>
      </c>
      <c r="AF389" s="300">
        <v>30.9</v>
      </c>
      <c r="AG389" s="300">
        <v>30.5</v>
      </c>
      <c r="AH389" s="300">
        <v>30.8</v>
      </c>
      <c r="AI389" s="300">
        <v>32.799999999999997</v>
      </c>
      <c r="AJ389" s="300">
        <v>32.299999999999997</v>
      </c>
      <c r="AK389" s="300">
        <v>33.6</v>
      </c>
      <c r="AL389" s="300">
        <v>34.9</v>
      </c>
      <c r="AM389" s="300">
        <v>38.700000000000003</v>
      </c>
      <c r="AN389" s="300">
        <v>37.4</v>
      </c>
      <c r="AO389" s="300">
        <v>38.1</v>
      </c>
      <c r="AP389" s="300">
        <v>40.700000000000003</v>
      </c>
      <c r="AQ389" s="300">
        <v>45.5</v>
      </c>
      <c r="AR389" s="300">
        <v>45.9</v>
      </c>
      <c r="AS389" s="300">
        <v>45.9</v>
      </c>
      <c r="AT389" s="300">
        <v>46.4</v>
      </c>
      <c r="AU389" s="300">
        <v>52</v>
      </c>
      <c r="AV389" s="300">
        <v>50.5</v>
      </c>
      <c r="AW389" s="300">
        <v>49.9</v>
      </c>
      <c r="AX389" s="300">
        <v>52.3</v>
      </c>
      <c r="AY389" s="300">
        <v>57.5</v>
      </c>
      <c r="AZ389" s="300">
        <v>59.5</v>
      </c>
      <c r="BA389" s="300">
        <v>59.8</v>
      </c>
      <c r="BB389" s="300">
        <v>69.5</v>
      </c>
      <c r="BC389" s="300">
        <v>85.4</v>
      </c>
      <c r="BD389" s="300">
        <v>92.6</v>
      </c>
      <c r="BE389" s="300">
        <v>100.4</v>
      </c>
      <c r="BF389" s="300">
        <v>128.19999999999999</v>
      </c>
      <c r="BG389" s="300">
        <v>159.69999999999999</v>
      </c>
    </row>
    <row r="390" spans="2:60" ht="13.5" customHeight="1">
      <c r="B390" s="310" t="s">
        <v>576</v>
      </c>
      <c r="C390" s="298">
        <v>37.700000000000003</v>
      </c>
      <c r="D390" s="298">
        <v>38.5</v>
      </c>
      <c r="E390" s="298">
        <v>39.200000000000003</v>
      </c>
      <c r="F390" s="298">
        <v>43</v>
      </c>
      <c r="G390" s="298">
        <v>48.2</v>
      </c>
      <c r="H390" s="298">
        <v>56.5</v>
      </c>
      <c r="I390" s="298">
        <v>58.2</v>
      </c>
      <c r="J390" s="298">
        <v>62.8</v>
      </c>
      <c r="K390" s="298">
        <v>84.7</v>
      </c>
      <c r="L390" s="298">
        <f t="shared" si="847"/>
        <v>165.7</v>
      </c>
      <c r="M390" s="299"/>
      <c r="N390" s="4"/>
      <c r="O390" s="4"/>
      <c r="P390" s="110"/>
      <c r="Q390" s="300">
        <v>36.4</v>
      </c>
      <c r="R390" s="300">
        <v>37.9</v>
      </c>
      <c r="S390" s="300">
        <v>38.5</v>
      </c>
      <c r="T390" s="300">
        <v>36.5</v>
      </c>
      <c r="U390" s="300">
        <v>36.299999999999997</v>
      </c>
      <c r="V390" s="300">
        <v>36.799999999999997</v>
      </c>
      <c r="W390" s="300">
        <v>39.4</v>
      </c>
      <c r="X390" s="300">
        <v>38</v>
      </c>
      <c r="Y390" s="300">
        <v>36.9</v>
      </c>
      <c r="Z390" s="300">
        <v>38</v>
      </c>
      <c r="AA390" s="300">
        <v>40.4</v>
      </c>
      <c r="AB390" s="300">
        <v>38.5</v>
      </c>
      <c r="AC390" s="300">
        <v>37.299999999999997</v>
      </c>
      <c r="AD390" s="300">
        <v>37.700000000000003</v>
      </c>
      <c r="AE390" s="300">
        <v>40.1</v>
      </c>
      <c r="AF390" s="300">
        <v>41.6</v>
      </c>
      <c r="AG390" s="300">
        <v>41.7</v>
      </c>
      <c r="AH390" s="300">
        <v>42</v>
      </c>
      <c r="AI390" s="300">
        <v>44.3</v>
      </c>
      <c r="AJ390" s="300">
        <v>43.8</v>
      </c>
      <c r="AK390" s="300">
        <v>45.4</v>
      </c>
      <c r="AL390" s="300">
        <v>47.1</v>
      </c>
      <c r="AM390" s="300">
        <v>50.8</v>
      </c>
      <c r="AN390" s="300">
        <v>49.5</v>
      </c>
      <c r="AO390" s="300">
        <v>50.6</v>
      </c>
      <c r="AP390" s="300">
        <v>54.3</v>
      </c>
      <c r="AQ390" s="300">
        <v>60.8</v>
      </c>
      <c r="AR390" s="300">
        <v>59.6</v>
      </c>
      <c r="AS390" s="300">
        <v>56.1</v>
      </c>
      <c r="AT390" s="300">
        <v>56.3</v>
      </c>
      <c r="AU390" s="300">
        <v>62</v>
      </c>
      <c r="AV390" s="300">
        <v>59.8</v>
      </c>
      <c r="AW390" s="300">
        <v>57.8</v>
      </c>
      <c r="AX390" s="300">
        <v>59.9</v>
      </c>
      <c r="AY390" s="300">
        <v>65</v>
      </c>
      <c r="AZ390" s="300">
        <v>68.2</v>
      </c>
      <c r="BA390" s="300">
        <v>67</v>
      </c>
      <c r="BB390" s="300">
        <v>76.5</v>
      </c>
      <c r="BC390" s="300">
        <v>92.7</v>
      </c>
      <c r="BD390" s="300">
        <v>101.6</v>
      </c>
      <c r="BE390" s="300">
        <v>107.4</v>
      </c>
      <c r="BF390" s="300">
        <v>133.80000000000001</v>
      </c>
      <c r="BG390" s="300">
        <v>165.7</v>
      </c>
    </row>
    <row r="391" spans="2:60" ht="13.5" customHeight="1">
      <c r="B391" s="309" t="s">
        <v>577</v>
      </c>
      <c r="C391" s="298">
        <v>41.5</v>
      </c>
      <c r="D391" s="298">
        <v>42.7</v>
      </c>
      <c r="E391" s="298">
        <v>44</v>
      </c>
      <c r="F391" s="298">
        <v>48.5</v>
      </c>
      <c r="G391" s="298">
        <v>54.9</v>
      </c>
      <c r="H391" s="298">
        <v>64.3</v>
      </c>
      <c r="I391" s="298">
        <v>65.900000000000006</v>
      </c>
      <c r="J391" s="298">
        <v>71.7</v>
      </c>
      <c r="K391" s="298">
        <v>98.4</v>
      </c>
      <c r="L391" s="298">
        <f t="shared" si="847"/>
        <v>195.6</v>
      </c>
      <c r="M391" s="299"/>
      <c r="N391" s="4"/>
      <c r="O391" s="4"/>
      <c r="P391" s="110"/>
      <c r="Q391" s="300">
        <v>39.9</v>
      </c>
      <c r="R391" s="300">
        <v>41.6</v>
      </c>
      <c r="S391" s="300">
        <v>42.4</v>
      </c>
      <c r="T391" s="300">
        <v>40.299999999999997</v>
      </c>
      <c r="U391" s="300">
        <v>40.1</v>
      </c>
      <c r="V391" s="300">
        <v>40.5</v>
      </c>
      <c r="W391" s="300">
        <v>43.5</v>
      </c>
      <c r="X391" s="300">
        <v>41.9</v>
      </c>
      <c r="Y391" s="300">
        <v>40.799999999999997</v>
      </c>
      <c r="Z391" s="300">
        <v>42.1</v>
      </c>
      <c r="AA391" s="300">
        <v>44.9</v>
      </c>
      <c r="AB391" s="300">
        <v>42.8</v>
      </c>
      <c r="AC391" s="300">
        <v>41.7</v>
      </c>
      <c r="AD391" s="300">
        <v>42.3</v>
      </c>
      <c r="AE391" s="300">
        <v>45.1</v>
      </c>
      <c r="AF391" s="300">
        <v>46.8</v>
      </c>
      <c r="AG391" s="300">
        <v>47</v>
      </c>
      <c r="AH391" s="300">
        <v>47.3</v>
      </c>
      <c r="AI391" s="300">
        <v>50</v>
      </c>
      <c r="AJ391" s="300">
        <v>49.6</v>
      </c>
      <c r="AK391" s="300">
        <v>51.5</v>
      </c>
      <c r="AL391" s="300">
        <v>53.7</v>
      </c>
      <c r="AM391" s="300">
        <v>58.1</v>
      </c>
      <c r="AN391" s="300">
        <v>56.4</v>
      </c>
      <c r="AO391" s="300">
        <v>57.4</v>
      </c>
      <c r="AP391" s="300">
        <v>61.7</v>
      </c>
      <c r="AQ391" s="300">
        <v>69.3</v>
      </c>
      <c r="AR391" s="300">
        <v>67.7</v>
      </c>
      <c r="AS391" s="300">
        <v>63.6</v>
      </c>
      <c r="AT391" s="300">
        <v>64</v>
      </c>
      <c r="AU391" s="300">
        <v>70.2</v>
      </c>
      <c r="AV391" s="300">
        <v>67.8</v>
      </c>
      <c r="AW391" s="300">
        <v>65.8</v>
      </c>
      <c r="AX391" s="300">
        <v>68.099999999999994</v>
      </c>
      <c r="AY391" s="300">
        <v>74.2</v>
      </c>
      <c r="AZ391" s="300">
        <v>78.3</v>
      </c>
      <c r="BA391" s="300">
        <v>77.3</v>
      </c>
      <c r="BB391" s="300">
        <v>88.6</v>
      </c>
      <c r="BC391" s="300">
        <v>107.9</v>
      </c>
      <c r="BD391" s="300">
        <v>118.7</v>
      </c>
      <c r="BE391" s="300">
        <v>126.2</v>
      </c>
      <c r="BF391" s="300">
        <v>157.69999999999999</v>
      </c>
      <c r="BG391" s="300">
        <v>195.6</v>
      </c>
    </row>
    <row r="392" spans="2:60" ht="13.5" customHeight="1">
      <c r="B392" s="310" t="s">
        <v>578</v>
      </c>
      <c r="C392" s="298">
        <v>11.6</v>
      </c>
      <c r="D392" s="298">
        <v>12.4</v>
      </c>
      <c r="E392" s="298">
        <v>13.9</v>
      </c>
      <c r="F392" s="298">
        <v>14.9</v>
      </c>
      <c r="G392" s="298">
        <v>16.899999999999999</v>
      </c>
      <c r="H392" s="298">
        <v>18.3</v>
      </c>
      <c r="I392" s="298">
        <v>21.8</v>
      </c>
      <c r="J392" s="298">
        <v>26.9</v>
      </c>
      <c r="K392" s="298">
        <v>40.5</v>
      </c>
      <c r="L392" s="298">
        <f t="shared" si="847"/>
        <v>90.5</v>
      </c>
      <c r="M392" s="299"/>
      <c r="N392" s="4"/>
      <c r="O392" s="4"/>
      <c r="P392" s="110"/>
      <c r="Q392" s="300">
        <v>11.5</v>
      </c>
      <c r="R392" s="300">
        <v>12.2</v>
      </c>
      <c r="S392" s="300">
        <v>12.3</v>
      </c>
      <c r="T392" s="300">
        <v>11.3</v>
      </c>
      <c r="U392" s="300">
        <v>10.8</v>
      </c>
      <c r="V392" s="300">
        <v>11.8</v>
      </c>
      <c r="W392" s="300">
        <v>12.4</v>
      </c>
      <c r="X392" s="300">
        <v>11.6</v>
      </c>
      <c r="Y392" s="300">
        <v>11.3</v>
      </c>
      <c r="Z392" s="300">
        <v>12.2</v>
      </c>
      <c r="AA392" s="300">
        <v>13.5</v>
      </c>
      <c r="AB392" s="300">
        <v>12.8</v>
      </c>
      <c r="AC392" s="300">
        <v>12.4</v>
      </c>
      <c r="AD392" s="300">
        <v>13.3</v>
      </c>
      <c r="AE392" s="300">
        <v>14.7</v>
      </c>
      <c r="AF392" s="300">
        <v>15.6</v>
      </c>
      <c r="AG392" s="300">
        <v>14.3</v>
      </c>
      <c r="AH392" s="300">
        <v>14.6</v>
      </c>
      <c r="AI392" s="300">
        <v>15.7</v>
      </c>
      <c r="AJ392" s="300">
        <v>15.1</v>
      </c>
      <c r="AK392" s="300">
        <v>15.3</v>
      </c>
      <c r="AL392" s="300">
        <v>15.8</v>
      </c>
      <c r="AM392" s="300">
        <v>18.899999999999999</v>
      </c>
      <c r="AN392" s="300">
        <v>17.399999999999999</v>
      </c>
      <c r="AO392" s="300">
        <v>17.2</v>
      </c>
      <c r="AP392" s="300">
        <v>17.8</v>
      </c>
      <c r="AQ392" s="300">
        <v>19.399999999999999</v>
      </c>
      <c r="AR392" s="300">
        <v>18.8</v>
      </c>
      <c r="AS392" s="300">
        <v>19.899999999999999</v>
      </c>
      <c r="AT392" s="300">
        <v>19.8</v>
      </c>
      <c r="AU392" s="300">
        <v>24</v>
      </c>
      <c r="AV392" s="300">
        <v>23.4</v>
      </c>
      <c r="AW392" s="300">
        <v>23.4</v>
      </c>
      <c r="AX392" s="300">
        <v>25.5</v>
      </c>
      <c r="AY392" s="300">
        <v>29.9</v>
      </c>
      <c r="AZ392" s="300">
        <v>28.6</v>
      </c>
      <c r="BA392" s="300">
        <v>29.8</v>
      </c>
      <c r="BB392" s="300">
        <v>36.4</v>
      </c>
      <c r="BC392" s="300">
        <v>47.3</v>
      </c>
      <c r="BD392" s="300">
        <v>47.9</v>
      </c>
      <c r="BE392" s="300">
        <v>53</v>
      </c>
      <c r="BF392" s="300">
        <v>71.7</v>
      </c>
      <c r="BG392" s="300">
        <v>90.5</v>
      </c>
    </row>
    <row r="393" spans="2:60" ht="13.5" customHeight="1">
      <c r="B393" s="297" t="s">
        <v>579</v>
      </c>
      <c r="C393" s="298">
        <v>47.401254225090781</v>
      </c>
      <c r="D393" s="298">
        <v>48.7</v>
      </c>
      <c r="E393" s="298">
        <v>51.1</v>
      </c>
      <c r="F393" s="298">
        <v>53.6</v>
      </c>
      <c r="G393" s="298">
        <v>55.7</v>
      </c>
      <c r="H393" s="298">
        <v>63.2</v>
      </c>
      <c r="I393" s="298">
        <v>69.599999999999994</v>
      </c>
      <c r="J393" s="298">
        <v>77.900000000000006</v>
      </c>
      <c r="K393" s="298">
        <v>98.7</v>
      </c>
      <c r="L393" s="298">
        <f t="shared" si="847"/>
        <v>160.5</v>
      </c>
      <c r="M393" s="299"/>
      <c r="N393" s="4"/>
      <c r="O393" s="4"/>
      <c r="P393" s="110"/>
      <c r="Q393" s="300">
        <v>43.447481106028896</v>
      </c>
      <c r="R393" s="300">
        <v>43.554961529434458</v>
      </c>
      <c r="S393" s="300">
        <v>44.579134331016199</v>
      </c>
      <c r="T393" s="300">
        <v>45.821288896359569</v>
      </c>
      <c r="U393" s="300">
        <v>47.254998379232376</v>
      </c>
      <c r="V393" s="300">
        <v>47.022775601350162</v>
      </c>
      <c r="W393" s="300">
        <v>47.296037312656672</v>
      </c>
      <c r="X393" s="300">
        <v>48.073542294331908</v>
      </c>
      <c r="Y393" s="300">
        <v>47.1</v>
      </c>
      <c r="Z393" s="300">
        <v>47.9</v>
      </c>
      <c r="AA393" s="300">
        <v>49.1</v>
      </c>
      <c r="AB393" s="300">
        <v>50.3</v>
      </c>
      <c r="AC393" s="300">
        <v>50.286194509956793</v>
      </c>
      <c r="AD393" s="300">
        <v>51.3</v>
      </c>
      <c r="AE393" s="300">
        <v>51.6</v>
      </c>
      <c r="AF393" s="300">
        <v>51.1</v>
      </c>
      <c r="AG393" s="300">
        <v>53.1</v>
      </c>
      <c r="AH393" s="300">
        <v>52.7</v>
      </c>
      <c r="AI393" s="300">
        <v>53.5</v>
      </c>
      <c r="AJ393" s="300">
        <v>55.2</v>
      </c>
      <c r="AK393" s="300">
        <v>55.3</v>
      </c>
      <c r="AL393" s="300">
        <v>55.4</v>
      </c>
      <c r="AM393" s="300">
        <v>55.3</v>
      </c>
      <c r="AN393" s="300">
        <v>56.6</v>
      </c>
      <c r="AO393" s="300">
        <v>59.8</v>
      </c>
      <c r="AP393" s="300">
        <v>64.2</v>
      </c>
      <c r="AQ393" s="300">
        <v>66.2</v>
      </c>
      <c r="AR393" s="300">
        <v>68</v>
      </c>
      <c r="AS393" s="300">
        <v>66.599999999999994</v>
      </c>
      <c r="AT393" s="300">
        <v>69.599999999999994</v>
      </c>
      <c r="AU393" s="300">
        <v>71.5</v>
      </c>
      <c r="AV393" s="300">
        <v>72.599999999999994</v>
      </c>
      <c r="AW393" s="300">
        <v>73.900000000000006</v>
      </c>
      <c r="AX393" s="300">
        <v>76.400000000000006</v>
      </c>
      <c r="AY393" s="300">
        <v>78.599999999999994</v>
      </c>
      <c r="AZ393" s="300">
        <v>82.2</v>
      </c>
      <c r="BA393" s="300">
        <v>88.9</v>
      </c>
      <c r="BB393" s="300">
        <v>93.8</v>
      </c>
      <c r="BC393" s="300">
        <v>100.8</v>
      </c>
      <c r="BD393" s="300">
        <v>110.5</v>
      </c>
      <c r="BE393" s="300">
        <v>117.1</v>
      </c>
      <c r="BF393" s="300">
        <v>138.5</v>
      </c>
      <c r="BG393" s="300">
        <v>160.5</v>
      </c>
    </row>
    <row r="394" spans="2:60" ht="13.5" customHeight="1">
      <c r="B394" s="392" t="s">
        <v>580</v>
      </c>
      <c r="C394" s="307"/>
      <c r="D394" s="307"/>
      <c r="E394" s="307"/>
      <c r="F394" s="307"/>
      <c r="G394" s="307"/>
      <c r="H394" s="298">
        <v>64.900000000000006</v>
      </c>
      <c r="I394" s="298">
        <v>70.900000000000006</v>
      </c>
      <c r="J394" s="298">
        <v>78.400000000000006</v>
      </c>
      <c r="K394" s="298">
        <v>99.2</v>
      </c>
      <c r="L394" s="298">
        <f t="shared" si="847"/>
        <v>164.1</v>
      </c>
      <c r="M394" s="307"/>
      <c r="N394" s="8"/>
      <c r="O394" s="8"/>
      <c r="P394" s="163"/>
      <c r="Q394" s="311"/>
      <c r="R394" s="311"/>
      <c r="S394" s="311"/>
      <c r="T394" s="311"/>
      <c r="U394" s="311"/>
      <c r="V394" s="311"/>
      <c r="W394" s="311"/>
      <c r="X394" s="312"/>
      <c r="Y394" s="312"/>
      <c r="Z394" s="312"/>
      <c r="AA394" s="312"/>
      <c r="AB394" s="312"/>
      <c r="AC394" s="312"/>
      <c r="AD394" s="312"/>
      <c r="AE394" s="312"/>
      <c r="AF394" s="312"/>
      <c r="AG394" s="391">
        <v>54</v>
      </c>
      <c r="AH394" s="391">
        <v>54.1</v>
      </c>
      <c r="AI394" s="391">
        <v>54.9</v>
      </c>
      <c r="AJ394" s="391">
        <v>56.4</v>
      </c>
      <c r="AK394" s="391">
        <v>55.9</v>
      </c>
      <c r="AL394" s="391">
        <v>56.4</v>
      </c>
      <c r="AM394" s="391">
        <v>57.1</v>
      </c>
      <c r="AN394" s="391">
        <v>58.2</v>
      </c>
      <c r="AO394" s="391">
        <v>62.8</v>
      </c>
      <c r="AP394" s="391">
        <v>66.099999999999994</v>
      </c>
      <c r="AQ394" s="391">
        <v>68.400000000000006</v>
      </c>
      <c r="AR394" s="391">
        <v>70.400000000000006</v>
      </c>
      <c r="AS394" s="391">
        <v>68.3</v>
      </c>
      <c r="AT394" s="391">
        <v>72.099999999999994</v>
      </c>
      <c r="AU394" s="391">
        <v>72.3</v>
      </c>
      <c r="AV394" s="391">
        <v>73.599999999999994</v>
      </c>
      <c r="AW394" s="391">
        <v>74.3</v>
      </c>
      <c r="AX394" s="391">
        <v>76.599999999999994</v>
      </c>
      <c r="AY394" s="391">
        <v>79.5</v>
      </c>
      <c r="AZ394" s="391">
        <v>83</v>
      </c>
      <c r="BA394" s="391">
        <v>89.9</v>
      </c>
      <c r="BB394" s="391">
        <v>94.5</v>
      </c>
      <c r="BC394" s="391">
        <v>100.6</v>
      </c>
      <c r="BD394" s="391">
        <v>110.6</v>
      </c>
      <c r="BE394" s="391">
        <v>118.1</v>
      </c>
      <c r="BF394" s="391">
        <v>140.4</v>
      </c>
      <c r="BG394" s="391">
        <v>164.1</v>
      </c>
    </row>
    <row r="395" spans="2:60" s="57" customFormat="1" ht="13.5" customHeight="1">
      <c r="B395" s="313" t="s">
        <v>581</v>
      </c>
      <c r="C395" s="314">
        <v>0.9</v>
      </c>
      <c r="D395" s="314">
        <v>1.4</v>
      </c>
      <c r="E395" s="314">
        <v>2.4</v>
      </c>
      <c r="F395" s="314">
        <v>3.9</v>
      </c>
      <c r="G395" s="314">
        <v>5.2</v>
      </c>
      <c r="H395" s="314">
        <v>7.4</v>
      </c>
      <c r="I395" s="314">
        <v>11.7</v>
      </c>
      <c r="J395" s="314">
        <v>13.3</v>
      </c>
      <c r="K395" s="314">
        <v>14.7</v>
      </c>
      <c r="L395" s="298">
        <f t="shared" si="847"/>
        <v>18</v>
      </c>
      <c r="M395" s="299"/>
      <c r="N395" s="315"/>
      <c r="O395" s="315"/>
      <c r="P395" s="316"/>
      <c r="Q395" s="317">
        <v>0.5</v>
      </c>
      <c r="R395" s="317">
        <v>0.5</v>
      </c>
      <c r="S395" s="317">
        <v>0.6</v>
      </c>
      <c r="T395" s="317">
        <v>0.6</v>
      </c>
      <c r="U395" s="317">
        <v>0.7</v>
      </c>
      <c r="V395" s="317">
        <v>0.8</v>
      </c>
      <c r="W395" s="317">
        <v>1</v>
      </c>
      <c r="X395" s="317">
        <v>1.1000000000000001</v>
      </c>
      <c r="Y395" s="317">
        <v>1.2</v>
      </c>
      <c r="Z395" s="317">
        <v>1.3</v>
      </c>
      <c r="AA395" s="317">
        <v>1.6</v>
      </c>
      <c r="AB395" s="317">
        <v>1.7</v>
      </c>
      <c r="AC395" s="317">
        <v>1.8</v>
      </c>
      <c r="AD395" s="317">
        <v>2.2999999999999998</v>
      </c>
      <c r="AE395" s="300">
        <v>2.6</v>
      </c>
      <c r="AF395" s="317">
        <v>2.8</v>
      </c>
      <c r="AG395" s="317">
        <v>3</v>
      </c>
      <c r="AH395" s="317">
        <v>3.9</v>
      </c>
      <c r="AI395" s="300">
        <v>4.2</v>
      </c>
      <c r="AJ395" s="317">
        <v>4.3</v>
      </c>
      <c r="AK395" s="317">
        <v>4.4000000000000004</v>
      </c>
      <c r="AL395" s="317">
        <v>5</v>
      </c>
      <c r="AM395" s="317">
        <v>5.4</v>
      </c>
      <c r="AN395" s="317">
        <v>5.9</v>
      </c>
      <c r="AO395" s="317">
        <v>5.9</v>
      </c>
      <c r="AP395" s="317">
        <v>6.6</v>
      </c>
      <c r="AQ395" s="317">
        <v>8.1</v>
      </c>
      <c r="AR395" s="317">
        <v>9</v>
      </c>
      <c r="AS395" s="317">
        <v>9.8000000000000007</v>
      </c>
      <c r="AT395" s="317">
        <v>11.7</v>
      </c>
      <c r="AU395" s="317">
        <v>12.2</v>
      </c>
      <c r="AV395" s="317">
        <v>13</v>
      </c>
      <c r="AW395" s="317">
        <v>12.6</v>
      </c>
      <c r="AX395" s="317">
        <v>13.4</v>
      </c>
      <c r="AY395" s="317">
        <v>13.7</v>
      </c>
      <c r="AZ395" s="317">
        <v>13.3</v>
      </c>
      <c r="BA395" s="317">
        <v>13.4</v>
      </c>
      <c r="BB395" s="317">
        <v>14.1</v>
      </c>
      <c r="BC395" s="317">
        <v>15.8</v>
      </c>
      <c r="BD395" s="317">
        <v>15.7</v>
      </c>
      <c r="BE395" s="317">
        <v>16.2</v>
      </c>
      <c r="BF395" s="317">
        <v>16.5</v>
      </c>
      <c r="BG395" s="317">
        <v>18</v>
      </c>
      <c r="BH395" s="1"/>
    </row>
    <row r="396" spans="2:60" s="166" customFormat="1" ht="13.5" customHeight="1">
      <c r="B396" s="318" t="s">
        <v>582</v>
      </c>
      <c r="C396" s="319">
        <v>275.3</v>
      </c>
      <c r="D396" s="319">
        <v>296.60000000000002</v>
      </c>
      <c r="E396" s="319">
        <v>323.89999999999998</v>
      </c>
      <c r="F396" s="319">
        <v>347.1</v>
      </c>
      <c r="G396" s="319">
        <v>359.5</v>
      </c>
      <c r="H396" s="319">
        <v>415.3</v>
      </c>
      <c r="I396" s="319">
        <v>518.70000000000005</v>
      </c>
      <c r="J396" s="319">
        <v>551.20000000000005</v>
      </c>
      <c r="K396" s="319">
        <v>546.4</v>
      </c>
      <c r="L396" s="448"/>
      <c r="M396" s="425"/>
      <c r="P396" s="95"/>
      <c r="Q396" s="320">
        <v>238.8</v>
      </c>
      <c r="R396" s="320">
        <v>269.3</v>
      </c>
      <c r="S396" s="320">
        <v>271.60000000000002</v>
      </c>
      <c r="T396" s="320">
        <v>257.5</v>
      </c>
      <c r="U396" s="320">
        <v>254.6</v>
      </c>
      <c r="V396" s="320">
        <v>279.5</v>
      </c>
      <c r="W396" s="320">
        <v>288</v>
      </c>
      <c r="X396" s="320">
        <v>279.3</v>
      </c>
      <c r="Y396" s="320">
        <v>275.7</v>
      </c>
      <c r="Z396" s="320">
        <v>302</v>
      </c>
      <c r="AA396" s="320">
        <v>309.60000000000002</v>
      </c>
      <c r="AB396" s="320">
        <v>299.3</v>
      </c>
      <c r="AC396" s="320">
        <v>298.13777600868042</v>
      </c>
      <c r="AD396" s="320">
        <v>323.5</v>
      </c>
      <c r="AE396" s="320">
        <v>342.7</v>
      </c>
      <c r="AF396" s="320">
        <v>331.3</v>
      </c>
      <c r="AG396" s="320">
        <v>323.7</v>
      </c>
      <c r="AH396" s="320">
        <v>345</v>
      </c>
      <c r="AI396" s="320">
        <v>366.2</v>
      </c>
      <c r="AJ396" s="320">
        <v>353.4</v>
      </c>
      <c r="AK396" s="321">
        <v>344.8</v>
      </c>
      <c r="AL396" s="321">
        <v>364.4</v>
      </c>
      <c r="AM396" s="321">
        <v>372.6</v>
      </c>
      <c r="AN396" s="321">
        <v>356.4</v>
      </c>
      <c r="AO396" s="321">
        <v>393.1</v>
      </c>
      <c r="AP396" s="321">
        <v>416.2</v>
      </c>
      <c r="AQ396" s="321">
        <v>420.6</v>
      </c>
      <c r="AR396" s="321">
        <v>431.4</v>
      </c>
      <c r="AS396" s="321">
        <v>458.2</v>
      </c>
      <c r="AT396" s="321">
        <v>511.9</v>
      </c>
      <c r="AU396" s="321">
        <v>556.1</v>
      </c>
      <c r="AV396" s="321">
        <v>548.6</v>
      </c>
      <c r="AW396" s="321">
        <v>532</v>
      </c>
      <c r="AX396" s="321">
        <v>564.79999999999995</v>
      </c>
      <c r="AY396" s="321">
        <v>559.20000000000005</v>
      </c>
      <c r="AZ396" s="321">
        <v>548.70000000000005</v>
      </c>
      <c r="BA396" s="321">
        <v>531.1</v>
      </c>
      <c r="BB396" s="321">
        <v>560.29999999999995</v>
      </c>
      <c r="BC396" s="321">
        <v>560.5</v>
      </c>
      <c r="BD396" s="321">
        <v>533.6</v>
      </c>
      <c r="BE396" s="448"/>
      <c r="BF396" s="448"/>
      <c r="BG396" s="448"/>
    </row>
    <row r="397" spans="2:60" ht="13.5" customHeight="1">
      <c r="B397" s="322"/>
      <c r="C397" s="782"/>
      <c r="D397" s="782"/>
      <c r="E397" s="782"/>
      <c r="F397" s="782"/>
      <c r="G397" s="782"/>
      <c r="H397" s="782"/>
      <c r="I397" s="782"/>
      <c r="J397" s="782"/>
      <c r="K397" s="782"/>
      <c r="L397" s="782"/>
      <c r="M397" s="783"/>
      <c r="N397" s="782"/>
      <c r="O397" s="782"/>
      <c r="P397" s="323"/>
      <c r="Q397" s="324"/>
      <c r="R397" s="324"/>
      <c r="S397" s="324"/>
      <c r="T397" s="324"/>
      <c r="U397" s="324"/>
      <c r="V397" s="324"/>
      <c r="W397" s="324"/>
      <c r="X397" s="324"/>
      <c r="Y397" s="324"/>
      <c r="Z397" s="324"/>
      <c r="AA397" s="324"/>
      <c r="AB397" s="324"/>
      <c r="AC397" s="782"/>
      <c r="AD397" s="782"/>
      <c r="AE397" s="782"/>
      <c r="AF397" s="782"/>
      <c r="AG397" s="481"/>
      <c r="AH397" s="481"/>
      <c r="AI397" s="481"/>
      <c r="AJ397" s="782"/>
      <c r="AK397" s="481"/>
      <c r="AL397" s="5"/>
      <c r="AM397" s="5"/>
      <c r="AN397" s="5"/>
      <c r="AO397" s="481"/>
      <c r="AP397" s="481"/>
      <c r="AQ397" s="481"/>
      <c r="AR397" s="481"/>
      <c r="AS397" s="481"/>
      <c r="AT397" s="481"/>
      <c r="AU397" s="481"/>
      <c r="AV397" s="481"/>
      <c r="AW397" s="481"/>
      <c r="AX397" s="481"/>
      <c r="AY397" s="481"/>
      <c r="AZ397" s="481"/>
      <c r="BA397" s="481"/>
      <c r="BB397" s="481"/>
      <c r="BC397" s="481"/>
      <c r="BD397" s="481"/>
      <c r="BE397" s="481"/>
      <c r="BF397" s="481"/>
      <c r="BG397" s="481"/>
    </row>
    <row r="399" spans="2:60" ht="13.5" customHeight="1">
      <c r="B399" s="325" t="s">
        <v>583</v>
      </c>
      <c r="C399" s="287">
        <f>+C2</f>
        <v>41975</v>
      </c>
      <c r="D399" s="287">
        <f>+D2</f>
        <v>42341</v>
      </c>
      <c r="E399" s="292">
        <f>+E2</f>
        <v>42705</v>
      </c>
      <c r="F399" s="292">
        <f>+F2</f>
        <v>43070</v>
      </c>
      <c r="G399" s="292">
        <f>G2</f>
        <v>43435</v>
      </c>
      <c r="H399" s="292">
        <f>H2</f>
        <v>43830</v>
      </c>
      <c r="I399" s="292">
        <f>I2</f>
        <v>44196</v>
      </c>
      <c r="J399" s="292">
        <f>J2</f>
        <v>44561</v>
      </c>
      <c r="K399" s="292">
        <f>K2</f>
        <v>44926</v>
      </c>
      <c r="L399" s="293">
        <f>+L2</f>
        <v>45199</v>
      </c>
      <c r="M399" s="428"/>
      <c r="N399" s="287">
        <f t="shared" ref="N399:AL399" si="848">+N2</f>
        <v>43074</v>
      </c>
      <c r="O399" s="287">
        <f t="shared" si="848"/>
        <v>43440</v>
      </c>
      <c r="P399" s="294">
        <f t="shared" si="848"/>
        <v>43806</v>
      </c>
      <c r="Q399" s="295">
        <f t="shared" si="848"/>
        <v>41341</v>
      </c>
      <c r="R399" s="295">
        <f t="shared" si="848"/>
        <v>41431</v>
      </c>
      <c r="S399" s="295">
        <f t="shared" si="848"/>
        <v>41526</v>
      </c>
      <c r="T399" s="295">
        <f t="shared" si="848"/>
        <v>41618</v>
      </c>
      <c r="U399" s="295">
        <f t="shared" si="848"/>
        <v>41705</v>
      </c>
      <c r="V399" s="295">
        <f t="shared" si="848"/>
        <v>41796</v>
      </c>
      <c r="W399" s="295">
        <f t="shared" si="848"/>
        <v>41891</v>
      </c>
      <c r="X399" s="295">
        <f t="shared" si="848"/>
        <v>41983</v>
      </c>
      <c r="Y399" s="295">
        <f t="shared" si="848"/>
        <v>42070</v>
      </c>
      <c r="Z399" s="295">
        <f t="shared" si="848"/>
        <v>42161</v>
      </c>
      <c r="AA399" s="295">
        <f t="shared" si="848"/>
        <v>42256</v>
      </c>
      <c r="AB399" s="295">
        <f t="shared" si="848"/>
        <v>42348</v>
      </c>
      <c r="AC399" s="287">
        <f t="shared" si="848"/>
        <v>42437</v>
      </c>
      <c r="AD399" s="287">
        <f t="shared" si="848"/>
        <v>42527</v>
      </c>
      <c r="AE399" s="287">
        <f t="shared" si="848"/>
        <v>42622</v>
      </c>
      <c r="AF399" s="287">
        <f t="shared" si="848"/>
        <v>42714</v>
      </c>
      <c r="AG399" s="287">
        <f t="shared" si="848"/>
        <v>42801</v>
      </c>
      <c r="AH399" s="287">
        <f t="shared" si="848"/>
        <v>42892</v>
      </c>
      <c r="AI399" s="287">
        <f t="shared" si="848"/>
        <v>42987</v>
      </c>
      <c r="AJ399" s="287">
        <f t="shared" si="848"/>
        <v>43079</v>
      </c>
      <c r="AK399" s="287">
        <f t="shared" si="848"/>
        <v>43190</v>
      </c>
      <c r="AL399" s="287">
        <f t="shared" si="848"/>
        <v>43281</v>
      </c>
      <c r="AM399" s="287">
        <f>AM2</f>
        <v>43373</v>
      </c>
      <c r="AN399" s="287">
        <f>AN2</f>
        <v>43465</v>
      </c>
      <c r="AO399" s="287">
        <f t="shared" ref="AO399:BD399" si="849">+AO2</f>
        <v>43555</v>
      </c>
      <c r="AP399" s="287">
        <f t="shared" si="849"/>
        <v>43646</v>
      </c>
      <c r="AQ399" s="287">
        <f t="shared" si="849"/>
        <v>43738</v>
      </c>
      <c r="AR399" s="287">
        <f t="shared" si="849"/>
        <v>43830</v>
      </c>
      <c r="AS399" s="287">
        <f t="shared" si="849"/>
        <v>43921</v>
      </c>
      <c r="AT399" s="287">
        <f t="shared" si="849"/>
        <v>44012</v>
      </c>
      <c r="AU399" s="287">
        <f t="shared" si="849"/>
        <v>44104</v>
      </c>
      <c r="AV399" s="287">
        <f t="shared" si="849"/>
        <v>44196</v>
      </c>
      <c r="AW399" s="287">
        <f t="shared" si="849"/>
        <v>44286</v>
      </c>
      <c r="AX399" s="287">
        <f t="shared" si="849"/>
        <v>44377</v>
      </c>
      <c r="AY399" s="287">
        <f t="shared" si="849"/>
        <v>44469</v>
      </c>
      <c r="AZ399" s="287">
        <f t="shared" si="849"/>
        <v>44561</v>
      </c>
      <c r="BA399" s="287">
        <f t="shared" si="849"/>
        <v>44651</v>
      </c>
      <c r="BB399" s="287">
        <f t="shared" si="849"/>
        <v>44742</v>
      </c>
      <c r="BC399" s="287">
        <f t="shared" si="849"/>
        <v>44834</v>
      </c>
      <c r="BD399" s="287">
        <f t="shared" si="849"/>
        <v>44926</v>
      </c>
      <c r="BE399" s="287">
        <f>+BE2</f>
        <v>45016</v>
      </c>
      <c r="BF399" s="287">
        <f>+BF2</f>
        <v>45107</v>
      </c>
      <c r="BG399" s="287">
        <f>+BG2</f>
        <v>45199</v>
      </c>
    </row>
    <row r="400" spans="2:60" ht="13.5" customHeight="1">
      <c r="B400" s="326"/>
      <c r="C400" s="784"/>
      <c r="D400" s="482"/>
      <c r="E400" s="482"/>
      <c r="F400" s="482"/>
      <c r="G400" s="482"/>
      <c r="H400" s="482"/>
      <c r="I400" s="482"/>
      <c r="J400" s="482"/>
      <c r="K400" s="482"/>
      <c r="L400" s="482"/>
      <c r="M400" s="482"/>
      <c r="AC400" s="482"/>
      <c r="AD400" s="482"/>
      <c r="AE400" s="482"/>
      <c r="AF400" s="482"/>
      <c r="AJ400" s="482"/>
    </row>
    <row r="401" spans="2:59" ht="13.5" customHeight="1">
      <c r="B401" s="326"/>
      <c r="C401" s="784"/>
      <c r="D401" s="482"/>
      <c r="E401" s="482"/>
      <c r="F401" s="482"/>
      <c r="G401" s="482"/>
      <c r="H401" s="482"/>
      <c r="I401" s="482"/>
      <c r="J401" s="482"/>
      <c r="K401" s="482"/>
      <c r="L401" s="482"/>
      <c r="M401" s="482"/>
      <c r="AC401" s="482"/>
      <c r="AD401" s="482"/>
      <c r="AE401" s="482"/>
      <c r="AF401" s="482"/>
      <c r="AJ401" s="482"/>
    </row>
    <row r="402" spans="2:59" ht="13.5" customHeight="1">
      <c r="B402" s="327" t="s">
        <v>584</v>
      </c>
      <c r="C402" s="784"/>
      <c r="D402" s="482"/>
      <c r="E402" s="482"/>
      <c r="F402" s="482"/>
      <c r="G402" s="482"/>
      <c r="H402" s="482"/>
      <c r="I402" s="482"/>
      <c r="J402" s="482"/>
      <c r="K402" s="482"/>
      <c r="L402" s="482"/>
      <c r="M402" s="482"/>
      <c r="AC402" s="482"/>
      <c r="AD402" s="482"/>
      <c r="AE402" s="482"/>
      <c r="AF402" s="482"/>
      <c r="AJ402" s="482"/>
    </row>
    <row r="403" spans="2:59" ht="13.5" customHeight="1">
      <c r="B403" s="328" t="s">
        <v>56</v>
      </c>
      <c r="C403" s="329">
        <v>35.9</v>
      </c>
      <c r="D403" s="329">
        <v>35.799999999999997</v>
      </c>
      <c r="E403" s="329">
        <v>35.299999999999997</v>
      </c>
      <c r="F403" s="329">
        <v>36.700000000000003</v>
      </c>
      <c r="G403" s="329">
        <v>36.700000000000003</v>
      </c>
      <c r="H403" s="329">
        <v>35.700000000000003</v>
      </c>
      <c r="I403" s="329">
        <v>36.700000000000003</v>
      </c>
      <c r="J403" s="329">
        <v>39.4</v>
      </c>
      <c r="K403" s="329">
        <v>41.7</v>
      </c>
      <c r="L403" s="329">
        <f t="shared" ref="L403:L408" si="850">BG403</f>
        <v>42.7</v>
      </c>
      <c r="M403" s="329"/>
      <c r="Q403" s="330">
        <v>35.5</v>
      </c>
      <c r="R403" s="330">
        <v>35.4</v>
      </c>
      <c r="S403" s="330">
        <v>35.700000000000003</v>
      </c>
      <c r="T403" s="330">
        <v>36</v>
      </c>
      <c r="U403" s="330">
        <v>35.700000000000003</v>
      </c>
      <c r="V403" s="330">
        <v>35.700000000000003</v>
      </c>
      <c r="W403" s="330">
        <v>35.799999999999997</v>
      </c>
      <c r="X403" s="330">
        <v>35.9</v>
      </c>
      <c r="Y403" s="330">
        <v>35.6</v>
      </c>
      <c r="Z403" s="330">
        <v>35.5</v>
      </c>
      <c r="AA403" s="330">
        <v>35.799999999999997</v>
      </c>
      <c r="AB403" s="330">
        <v>35.799999999999997</v>
      </c>
      <c r="AC403" s="330">
        <v>35.200000000000003</v>
      </c>
      <c r="AD403" s="330">
        <v>34.5</v>
      </c>
      <c r="AE403" s="330">
        <v>34.799999999999997</v>
      </c>
      <c r="AF403" s="330">
        <v>35.299999999999997</v>
      </c>
      <c r="AG403" s="330">
        <v>35.799999999999997</v>
      </c>
      <c r="AH403" s="330">
        <v>36.6</v>
      </c>
      <c r="AI403" s="330">
        <v>37.200000000000003</v>
      </c>
      <c r="AJ403" s="330">
        <v>36.700000000000003</v>
      </c>
      <c r="AK403" s="330">
        <v>37.299999999999997</v>
      </c>
      <c r="AL403" s="330">
        <v>37.6</v>
      </c>
      <c r="AM403" s="330">
        <v>37.799999999999997</v>
      </c>
      <c r="AN403" s="330">
        <v>36.700000000000003</v>
      </c>
      <c r="AO403" s="330">
        <v>36.6</v>
      </c>
      <c r="AP403" s="330">
        <v>36.799999999999997</v>
      </c>
      <c r="AQ403" s="330">
        <v>37.299999999999997</v>
      </c>
      <c r="AR403" s="330">
        <v>35.700000000000003</v>
      </c>
      <c r="AS403" s="330">
        <v>36.299999999999997</v>
      </c>
      <c r="AT403" s="330">
        <v>36.5</v>
      </c>
      <c r="AU403" s="330">
        <v>36.9</v>
      </c>
      <c r="AV403" s="330">
        <v>36.700000000000003</v>
      </c>
      <c r="AW403" s="330">
        <v>37.4</v>
      </c>
      <c r="AX403" s="330">
        <v>38.1</v>
      </c>
      <c r="AY403" s="330">
        <v>39.299999999999997</v>
      </c>
      <c r="AZ403" s="330">
        <v>39.4</v>
      </c>
      <c r="BA403" s="330">
        <v>40</v>
      </c>
      <c r="BB403" s="300">
        <v>40.6</v>
      </c>
      <c r="BC403" s="330">
        <v>41.6</v>
      </c>
      <c r="BD403" s="329">
        <v>41.7</v>
      </c>
      <c r="BE403" s="330">
        <v>41.7</v>
      </c>
      <c r="BF403" s="300">
        <v>42</v>
      </c>
      <c r="BG403" s="330">
        <v>42.7</v>
      </c>
    </row>
    <row r="404" spans="2:59" ht="13.5" customHeight="1">
      <c r="B404" s="328" t="s">
        <v>585</v>
      </c>
      <c r="C404" s="329">
        <v>13.9</v>
      </c>
      <c r="D404" s="329">
        <v>13.5</v>
      </c>
      <c r="E404" s="329">
        <v>12.4</v>
      </c>
      <c r="F404" s="329">
        <v>11.1</v>
      </c>
      <c r="G404" s="329">
        <v>9.9</v>
      </c>
      <c r="H404" s="329">
        <v>8.9</v>
      </c>
      <c r="I404" s="329">
        <v>9.3000000000000007</v>
      </c>
      <c r="J404" s="329">
        <v>10.1</v>
      </c>
      <c r="K404" s="329">
        <v>10.199999999999999</v>
      </c>
      <c r="L404" s="329">
        <f t="shared" si="850"/>
        <v>11.4</v>
      </c>
      <c r="M404" s="329"/>
      <c r="Q404" s="330">
        <v>11.1</v>
      </c>
      <c r="R404" s="330">
        <v>11.5</v>
      </c>
      <c r="S404" s="330">
        <v>12.2</v>
      </c>
      <c r="T404" s="330">
        <v>12.6</v>
      </c>
      <c r="U404" s="330">
        <v>12.5</v>
      </c>
      <c r="V404" s="330">
        <v>12.7</v>
      </c>
      <c r="W404" s="330">
        <v>13.6</v>
      </c>
      <c r="X404" s="330">
        <v>13.9</v>
      </c>
      <c r="Y404" s="330">
        <v>13.7</v>
      </c>
      <c r="Z404" s="330">
        <v>14</v>
      </c>
      <c r="AA404" s="330">
        <v>13.8</v>
      </c>
      <c r="AB404" s="330">
        <v>13.5</v>
      </c>
      <c r="AC404" s="330">
        <v>13.3</v>
      </c>
      <c r="AD404" s="330">
        <v>12.9</v>
      </c>
      <c r="AE404" s="330">
        <v>12.5</v>
      </c>
      <c r="AF404" s="330">
        <v>12.4</v>
      </c>
      <c r="AG404" s="330">
        <v>12.3</v>
      </c>
      <c r="AH404" s="330">
        <v>12.3</v>
      </c>
      <c r="AI404" s="330">
        <v>11.7</v>
      </c>
      <c r="AJ404" s="330">
        <v>11.1</v>
      </c>
      <c r="AK404" s="330">
        <v>10.3</v>
      </c>
      <c r="AL404" s="330">
        <v>10.1</v>
      </c>
      <c r="AM404" s="330">
        <v>10.1</v>
      </c>
      <c r="AN404" s="330">
        <v>9.9</v>
      </c>
      <c r="AO404" s="330">
        <v>9.4</v>
      </c>
      <c r="AP404" s="330">
        <v>9.1999999999999993</v>
      </c>
      <c r="AQ404" s="330">
        <v>9</v>
      </c>
      <c r="AR404" s="330">
        <v>8.9</v>
      </c>
      <c r="AS404" s="330">
        <v>8.9</v>
      </c>
      <c r="AT404" s="330">
        <v>8.9</v>
      </c>
      <c r="AU404" s="330">
        <v>9.1</v>
      </c>
      <c r="AV404" s="330">
        <v>9.3000000000000007</v>
      </c>
      <c r="AW404" s="330">
        <v>9.1999999999999993</v>
      </c>
      <c r="AX404" s="330">
        <v>9.5</v>
      </c>
      <c r="AY404" s="330">
        <v>9.9</v>
      </c>
      <c r="AZ404" s="330">
        <v>10.1</v>
      </c>
      <c r="BA404" s="330">
        <v>10.199999999999999</v>
      </c>
      <c r="BB404" s="330">
        <v>10.199999999999999</v>
      </c>
      <c r="BC404" s="330">
        <v>10.1</v>
      </c>
      <c r="BD404" s="329">
        <v>10.199999999999999</v>
      </c>
      <c r="BE404" s="330">
        <v>10.8</v>
      </c>
      <c r="BF404" s="330">
        <v>11.1</v>
      </c>
      <c r="BG404" s="330">
        <v>11.4</v>
      </c>
    </row>
    <row r="405" spans="2:59" ht="13.5" customHeight="1">
      <c r="B405" s="328" t="s">
        <v>586</v>
      </c>
      <c r="C405" s="329" t="s">
        <v>587</v>
      </c>
      <c r="D405" s="329">
        <v>1.5</v>
      </c>
      <c r="E405" s="329">
        <v>1.6</v>
      </c>
      <c r="F405" s="329">
        <v>1.6</v>
      </c>
      <c r="G405" s="329">
        <v>1.6</v>
      </c>
      <c r="H405" s="329">
        <v>1.5</v>
      </c>
      <c r="I405" s="329">
        <v>1.4</v>
      </c>
      <c r="J405" s="329">
        <v>1.5</v>
      </c>
      <c r="K405" s="329">
        <v>1.5</v>
      </c>
      <c r="L405" s="329">
        <f t="shared" si="850"/>
        <v>1.5</v>
      </c>
      <c r="M405" s="329"/>
      <c r="Q405" s="330" t="s">
        <v>587</v>
      </c>
      <c r="R405" s="330" t="s">
        <v>587</v>
      </c>
      <c r="S405" s="330" t="s">
        <v>587</v>
      </c>
      <c r="T405" s="330" t="s">
        <v>587</v>
      </c>
      <c r="U405" s="330" t="s">
        <v>587</v>
      </c>
      <c r="V405" s="330" t="s">
        <v>587</v>
      </c>
      <c r="W405" s="330" t="s">
        <v>587</v>
      </c>
      <c r="X405" s="330" t="s">
        <v>587</v>
      </c>
      <c r="Y405" s="330">
        <v>1.5</v>
      </c>
      <c r="Z405" s="330">
        <v>1.5</v>
      </c>
      <c r="AA405" s="330">
        <v>1.5</v>
      </c>
      <c r="AB405" s="330">
        <v>1.5</v>
      </c>
      <c r="AC405" s="330">
        <v>1.6</v>
      </c>
      <c r="AD405" s="330">
        <v>1.6</v>
      </c>
      <c r="AE405" s="330">
        <v>1.6</v>
      </c>
      <c r="AF405" s="330">
        <v>1.6</v>
      </c>
      <c r="AG405" s="330">
        <v>1.6</v>
      </c>
      <c r="AH405" s="330">
        <v>1.6</v>
      </c>
      <c r="AI405" s="330">
        <v>1.6</v>
      </c>
      <c r="AJ405" s="330">
        <v>1.6</v>
      </c>
      <c r="AK405" s="330">
        <v>1.6</v>
      </c>
      <c r="AL405" s="330">
        <v>1.6</v>
      </c>
      <c r="AM405" s="330">
        <v>1.6</v>
      </c>
      <c r="AN405" s="330">
        <v>1.6</v>
      </c>
      <c r="AO405" s="330">
        <v>1.6</v>
      </c>
      <c r="AP405" s="330">
        <v>1.5</v>
      </c>
      <c r="AQ405" s="330">
        <v>1.5</v>
      </c>
      <c r="AR405" s="330">
        <v>1.5</v>
      </c>
      <c r="AS405" s="330">
        <v>1.5</v>
      </c>
      <c r="AT405" s="330">
        <v>1.4</v>
      </c>
      <c r="AU405" s="330">
        <v>1.4</v>
      </c>
      <c r="AV405" s="330">
        <v>1.4</v>
      </c>
      <c r="AW405" s="330">
        <v>1.4</v>
      </c>
      <c r="AX405" s="330">
        <v>1.4</v>
      </c>
      <c r="AY405" s="330">
        <v>1.5</v>
      </c>
      <c r="AZ405" s="330">
        <v>1.5</v>
      </c>
      <c r="BA405" s="330">
        <v>1.5</v>
      </c>
      <c r="BB405" s="330">
        <v>1.5</v>
      </c>
      <c r="BC405" s="330">
        <v>1.5</v>
      </c>
      <c r="BD405" s="329">
        <v>1.5</v>
      </c>
      <c r="BE405" s="330">
        <v>1.5</v>
      </c>
      <c r="BF405" s="330">
        <v>1.5</v>
      </c>
      <c r="BG405" s="330">
        <v>1.5</v>
      </c>
    </row>
    <row r="406" spans="2:59" ht="13.5" customHeight="1">
      <c r="B406" s="328" t="s">
        <v>588</v>
      </c>
      <c r="C406" s="329">
        <v>0.4</v>
      </c>
      <c r="D406" s="329">
        <v>0.5</v>
      </c>
      <c r="E406" s="329">
        <v>0.5</v>
      </c>
      <c r="F406" s="329">
        <v>0.5</v>
      </c>
      <c r="G406" s="329">
        <v>0.5</v>
      </c>
      <c r="H406" s="329">
        <v>0.5</v>
      </c>
      <c r="I406" s="329">
        <v>0.5</v>
      </c>
      <c r="J406" s="329">
        <v>0.6</v>
      </c>
      <c r="K406" s="329">
        <v>0.6</v>
      </c>
      <c r="L406" s="329">
        <f t="shared" si="850"/>
        <v>0.6</v>
      </c>
      <c r="M406" s="329"/>
      <c r="Q406" s="330">
        <v>0.4</v>
      </c>
      <c r="R406" s="330">
        <v>0.4</v>
      </c>
      <c r="S406" s="330">
        <v>0.4</v>
      </c>
      <c r="T406" s="330">
        <v>0.4</v>
      </c>
      <c r="U406" s="330">
        <v>0.4</v>
      </c>
      <c r="V406" s="330">
        <v>0.4</v>
      </c>
      <c r="W406" s="330">
        <v>0.4</v>
      </c>
      <c r="X406" s="330">
        <v>0.4</v>
      </c>
      <c r="Y406" s="330">
        <v>0.5</v>
      </c>
      <c r="Z406" s="330">
        <v>0.5</v>
      </c>
      <c r="AA406" s="330">
        <v>0.5</v>
      </c>
      <c r="AB406" s="330">
        <v>0.5</v>
      </c>
      <c r="AC406" s="330">
        <v>0.5</v>
      </c>
      <c r="AD406" s="330">
        <v>0.5</v>
      </c>
      <c r="AE406" s="330">
        <v>0.5</v>
      </c>
      <c r="AF406" s="330">
        <v>0.5</v>
      </c>
      <c r="AG406" s="330">
        <v>0.5</v>
      </c>
      <c r="AH406" s="330">
        <v>0.5</v>
      </c>
      <c r="AI406" s="330">
        <v>0.5</v>
      </c>
      <c r="AJ406" s="330">
        <v>0.5</v>
      </c>
      <c r="AK406" s="330">
        <v>0.5</v>
      </c>
      <c r="AL406" s="330">
        <v>0.5</v>
      </c>
      <c r="AM406" s="330">
        <v>0.5</v>
      </c>
      <c r="AN406" s="330">
        <v>0.5</v>
      </c>
      <c r="AO406" s="330">
        <v>0.6</v>
      </c>
      <c r="AP406" s="330">
        <v>0.6</v>
      </c>
      <c r="AQ406" s="330">
        <v>0.5</v>
      </c>
      <c r="AR406" s="330">
        <v>0.5</v>
      </c>
      <c r="AS406" s="330">
        <v>0.5</v>
      </c>
      <c r="AT406" s="330">
        <v>0.5</v>
      </c>
      <c r="AU406" s="330">
        <v>0.5</v>
      </c>
      <c r="AV406" s="330">
        <v>0.5</v>
      </c>
      <c r="AW406" s="330">
        <v>0.5</v>
      </c>
      <c r="AX406" s="330">
        <v>0.5</v>
      </c>
      <c r="AY406" s="330">
        <v>0.5</v>
      </c>
      <c r="AZ406" s="330">
        <v>0.6</v>
      </c>
      <c r="BA406" s="330">
        <v>0.6</v>
      </c>
      <c r="BB406" s="330">
        <v>0.6</v>
      </c>
      <c r="BC406" s="330">
        <v>0.6</v>
      </c>
      <c r="BD406" s="329">
        <v>0.6</v>
      </c>
      <c r="BE406" s="330">
        <v>0.6</v>
      </c>
      <c r="BF406" s="330">
        <v>0.6</v>
      </c>
      <c r="BG406" s="330">
        <v>0.6</v>
      </c>
    </row>
    <row r="407" spans="2:59" ht="13.5" customHeight="1">
      <c r="B407" s="328" t="s">
        <v>589</v>
      </c>
      <c r="C407" s="329">
        <v>0.4</v>
      </c>
      <c r="D407" s="329">
        <v>0.3</v>
      </c>
      <c r="E407" s="329">
        <v>0.3</v>
      </c>
      <c r="F407" s="329">
        <v>0.3</v>
      </c>
      <c r="G407" s="329">
        <v>0.2</v>
      </c>
      <c r="H407" s="329">
        <v>0.2</v>
      </c>
      <c r="I407" s="329">
        <v>0</v>
      </c>
      <c r="J407" s="329">
        <v>0</v>
      </c>
      <c r="K407" s="329">
        <v>0</v>
      </c>
      <c r="L407" s="329" t="str">
        <f t="shared" si="850"/>
        <v>-</v>
      </c>
      <c r="M407" s="329"/>
      <c r="Q407" s="330">
        <v>0.4</v>
      </c>
      <c r="R407" s="330">
        <v>0.4</v>
      </c>
      <c r="S407" s="330">
        <v>0.4</v>
      </c>
      <c r="T407" s="330">
        <v>0.4</v>
      </c>
      <c r="U407" s="330">
        <v>0.4</v>
      </c>
      <c r="V407" s="330">
        <v>0.4</v>
      </c>
      <c r="W407" s="330">
        <v>0.4</v>
      </c>
      <c r="X407" s="330">
        <v>0.4</v>
      </c>
      <c r="Y407" s="330">
        <v>0.3</v>
      </c>
      <c r="Z407" s="330">
        <v>0.3</v>
      </c>
      <c r="AA407" s="330">
        <v>0.3</v>
      </c>
      <c r="AB407" s="330">
        <v>0.3</v>
      </c>
      <c r="AC407" s="330">
        <v>0.3</v>
      </c>
      <c r="AD407" s="330">
        <v>0.3</v>
      </c>
      <c r="AE407" s="330">
        <v>0.3</v>
      </c>
      <c r="AF407" s="330">
        <v>0.3</v>
      </c>
      <c r="AG407" s="330">
        <v>0.3</v>
      </c>
      <c r="AH407" s="330">
        <v>0.4</v>
      </c>
      <c r="AI407" s="330">
        <v>0.3</v>
      </c>
      <c r="AJ407" s="330">
        <v>0.3</v>
      </c>
      <c r="AK407" s="330">
        <v>0.3</v>
      </c>
      <c r="AL407" s="330">
        <v>0.3</v>
      </c>
      <c r="AM407" s="330">
        <v>0.2</v>
      </c>
      <c r="AN407" s="330">
        <v>0.2</v>
      </c>
      <c r="AO407" s="330">
        <v>0.2</v>
      </c>
      <c r="AP407" s="330">
        <v>0.2</v>
      </c>
      <c r="AQ407" s="330">
        <v>0.2</v>
      </c>
      <c r="AR407" s="330">
        <v>0.2</v>
      </c>
      <c r="AS407" s="330">
        <v>0.2</v>
      </c>
      <c r="AT407" s="330" t="s">
        <v>590</v>
      </c>
      <c r="AU407" s="330" t="s">
        <v>590</v>
      </c>
      <c r="AV407" s="330" t="s">
        <v>590</v>
      </c>
      <c r="AW407" s="330">
        <v>0</v>
      </c>
      <c r="AX407" s="330">
        <v>0</v>
      </c>
      <c r="AY407" s="330">
        <v>0</v>
      </c>
      <c r="AZ407" s="330">
        <v>0</v>
      </c>
      <c r="BA407" s="330">
        <v>0</v>
      </c>
      <c r="BB407" s="330">
        <v>0</v>
      </c>
      <c r="BC407" s="330">
        <v>0</v>
      </c>
      <c r="BD407" s="329">
        <v>0</v>
      </c>
      <c r="BE407" s="330" t="s">
        <v>590</v>
      </c>
      <c r="BF407" s="330" t="s">
        <v>590</v>
      </c>
      <c r="BG407" s="330" t="s">
        <v>590</v>
      </c>
    </row>
    <row r="408" spans="2:59" ht="13.5" customHeight="1" thickBot="1">
      <c r="B408" s="331" t="s">
        <v>591</v>
      </c>
      <c r="C408" s="332">
        <v>52</v>
      </c>
      <c r="D408" s="332">
        <v>51.6</v>
      </c>
      <c r="E408" s="332">
        <v>50.1</v>
      </c>
      <c r="F408" s="332">
        <v>50.2</v>
      </c>
      <c r="G408" s="332">
        <v>48.9</v>
      </c>
      <c r="H408" s="332">
        <v>46.7</v>
      </c>
      <c r="I408" s="332">
        <v>47.9</v>
      </c>
      <c r="J408" s="332">
        <v>51.6</v>
      </c>
      <c r="K408" s="332">
        <v>54</v>
      </c>
      <c r="L408" s="332">
        <f t="shared" si="850"/>
        <v>56.2</v>
      </c>
      <c r="M408" s="332"/>
      <c r="Q408" s="333">
        <v>48.4</v>
      </c>
      <c r="R408" s="333">
        <v>48.7</v>
      </c>
      <c r="S408" s="333">
        <v>50</v>
      </c>
      <c r="T408" s="333">
        <v>50.7</v>
      </c>
      <c r="U408" s="333">
        <v>50.4</v>
      </c>
      <c r="V408" s="333">
        <v>50.5</v>
      </c>
      <c r="W408" s="333">
        <v>51.6</v>
      </c>
      <c r="X408" s="333">
        <v>52</v>
      </c>
      <c r="Y408" s="334">
        <v>51.6</v>
      </c>
      <c r="Z408" s="334">
        <v>51.7</v>
      </c>
      <c r="AA408" s="334">
        <v>52</v>
      </c>
      <c r="AB408" s="334">
        <v>51.6</v>
      </c>
      <c r="AC408" s="334">
        <v>50.8</v>
      </c>
      <c r="AD408" s="334">
        <v>49.8</v>
      </c>
      <c r="AE408" s="334">
        <v>49.7</v>
      </c>
      <c r="AF408" s="334">
        <v>50.1</v>
      </c>
      <c r="AG408" s="334">
        <v>50.4</v>
      </c>
      <c r="AH408" s="334">
        <v>51.4</v>
      </c>
      <c r="AI408" s="334">
        <v>51.3</v>
      </c>
      <c r="AJ408" s="334">
        <v>50.2</v>
      </c>
      <c r="AK408" s="334">
        <v>50.1</v>
      </c>
      <c r="AL408" s="334">
        <v>50.1</v>
      </c>
      <c r="AM408" s="334">
        <v>50.3</v>
      </c>
      <c r="AN408" s="334">
        <v>48.9</v>
      </c>
      <c r="AO408" s="334">
        <v>48.4</v>
      </c>
      <c r="AP408" s="334">
        <v>48.2</v>
      </c>
      <c r="AQ408" s="334">
        <v>48.5</v>
      </c>
      <c r="AR408" s="334">
        <v>46.7</v>
      </c>
      <c r="AS408" s="334">
        <v>47.3</v>
      </c>
      <c r="AT408" s="334">
        <v>47.4</v>
      </c>
      <c r="AU408" s="334">
        <v>47.9</v>
      </c>
      <c r="AV408" s="334">
        <v>47.9</v>
      </c>
      <c r="AW408" s="334">
        <v>48.6</v>
      </c>
      <c r="AX408" s="334">
        <v>49.6</v>
      </c>
      <c r="AY408" s="334">
        <v>51.2</v>
      </c>
      <c r="AZ408" s="334">
        <v>51.6</v>
      </c>
      <c r="BA408" s="334">
        <v>52.3</v>
      </c>
      <c r="BB408" s="334">
        <v>52.8</v>
      </c>
      <c r="BC408" s="334">
        <v>53.8</v>
      </c>
      <c r="BD408" s="334">
        <v>54</v>
      </c>
      <c r="BE408" s="334">
        <v>54.6</v>
      </c>
      <c r="BF408" s="334">
        <v>55.2</v>
      </c>
      <c r="BG408" s="334">
        <v>56.2</v>
      </c>
    </row>
    <row r="409" spans="2:59" ht="13.5" customHeight="1" thickTop="1">
      <c r="B409" s="326"/>
      <c r="C409" s="784"/>
      <c r="D409" s="482"/>
      <c r="E409" s="482"/>
      <c r="F409" s="482"/>
      <c r="G409" s="482"/>
      <c r="H409" s="482"/>
      <c r="I409" s="482"/>
      <c r="J409" s="482"/>
      <c r="K409" s="482"/>
      <c r="L409" s="482"/>
      <c r="M409" s="482"/>
      <c r="AC409" s="482"/>
      <c r="AD409" s="482"/>
      <c r="AE409" s="482"/>
      <c r="AF409" s="482"/>
      <c r="AJ409" s="482"/>
    </row>
    <row r="410" spans="2:59" ht="13.5" customHeight="1">
      <c r="B410" s="327" t="s">
        <v>57</v>
      </c>
      <c r="C410" s="784"/>
      <c r="D410" s="482"/>
      <c r="E410" s="482"/>
      <c r="F410" s="482"/>
      <c r="G410" s="482"/>
      <c r="H410" s="482"/>
      <c r="I410" s="482"/>
      <c r="J410" s="482"/>
      <c r="K410" s="482"/>
      <c r="L410" s="482"/>
      <c r="M410" s="482"/>
      <c r="AC410" s="482"/>
      <c r="AD410" s="482"/>
      <c r="AE410" s="482"/>
      <c r="AF410" s="482"/>
      <c r="AJ410" s="482"/>
    </row>
    <row r="411" spans="2:59" ht="13.5" customHeight="1">
      <c r="B411" s="328" t="s">
        <v>592</v>
      </c>
      <c r="P411" s="1"/>
    </row>
    <row r="412" spans="2:59" ht="13.5" customHeight="1">
      <c r="B412" s="328" t="s">
        <v>61</v>
      </c>
      <c r="C412" s="329">
        <v>13.9</v>
      </c>
      <c r="D412" s="329">
        <v>13.5</v>
      </c>
      <c r="E412" s="329">
        <v>12.4</v>
      </c>
      <c r="F412" s="329">
        <v>11.1</v>
      </c>
      <c r="G412" s="329">
        <v>9.9</v>
      </c>
      <c r="H412" s="329">
        <v>8.9</v>
      </c>
      <c r="I412" s="329">
        <v>9.3000000000000007</v>
      </c>
      <c r="J412" s="329">
        <v>10.1</v>
      </c>
      <c r="K412" s="329">
        <v>10.199999999999999</v>
      </c>
      <c r="L412" s="329">
        <f>BG412</f>
        <v>11.4</v>
      </c>
      <c r="M412" s="329"/>
      <c r="Q412" s="335">
        <v>11.1</v>
      </c>
      <c r="R412" s="335">
        <v>11.5</v>
      </c>
      <c r="S412" s="335">
        <v>12.2</v>
      </c>
      <c r="T412" s="335">
        <v>12.6</v>
      </c>
      <c r="U412" s="336">
        <v>12.5</v>
      </c>
      <c r="V412" s="336">
        <v>12.7</v>
      </c>
      <c r="W412" s="336">
        <v>13.6</v>
      </c>
      <c r="X412" s="336">
        <v>13.9</v>
      </c>
      <c r="Y412" s="337">
        <v>13.7</v>
      </c>
      <c r="Z412" s="337">
        <v>14</v>
      </c>
      <c r="AA412" s="337">
        <v>13.8</v>
      </c>
      <c r="AB412" s="337">
        <v>13.5</v>
      </c>
      <c r="AC412" s="338">
        <v>13.3</v>
      </c>
      <c r="AD412" s="338">
        <v>12.9</v>
      </c>
      <c r="AE412" s="338">
        <v>12.5</v>
      </c>
      <c r="AF412" s="338">
        <v>12.4</v>
      </c>
      <c r="AG412" s="339">
        <v>12.3</v>
      </c>
      <c r="AH412" s="339">
        <v>12.3</v>
      </c>
      <c r="AI412" s="339">
        <v>11.7</v>
      </c>
      <c r="AJ412" s="338">
        <v>11.1</v>
      </c>
      <c r="AK412" s="339">
        <v>10.3</v>
      </c>
      <c r="AL412" s="339">
        <v>10.1</v>
      </c>
      <c r="AM412" s="339">
        <v>10.1</v>
      </c>
      <c r="AN412" s="339">
        <v>9.9</v>
      </c>
      <c r="AO412" s="339">
        <v>9.4</v>
      </c>
      <c r="AP412" s="339">
        <v>9.1999999999999993</v>
      </c>
      <c r="AQ412" s="339">
        <v>9</v>
      </c>
      <c r="AR412" s="339">
        <v>8.9</v>
      </c>
      <c r="AS412" s="339">
        <v>8.9</v>
      </c>
      <c r="AT412" s="339">
        <v>8.9</v>
      </c>
      <c r="AU412" s="339">
        <v>9.1</v>
      </c>
      <c r="AV412" s="339">
        <v>9.3000000000000007</v>
      </c>
      <c r="AW412" s="339">
        <v>9.1999999999999993</v>
      </c>
      <c r="AX412" s="339">
        <v>9.5</v>
      </c>
      <c r="AY412" s="339">
        <v>9.9</v>
      </c>
      <c r="AZ412" s="339">
        <v>10.1</v>
      </c>
      <c r="BA412" s="339">
        <v>10.199999999999999</v>
      </c>
      <c r="BB412" s="339">
        <v>10.199999999999999</v>
      </c>
      <c r="BC412" s="339">
        <v>10.1</v>
      </c>
      <c r="BD412" s="339">
        <v>10.199999999999999</v>
      </c>
      <c r="BE412" s="339">
        <v>10.8</v>
      </c>
      <c r="BF412" s="339">
        <v>11.1</v>
      </c>
      <c r="BG412" s="339">
        <v>11.4</v>
      </c>
    </row>
    <row r="413" spans="2:59" ht="13.5" customHeight="1">
      <c r="B413" s="328" t="s">
        <v>593</v>
      </c>
      <c r="C413" s="329">
        <v>10.3</v>
      </c>
      <c r="D413" s="329">
        <v>10.6</v>
      </c>
      <c r="E413" s="329">
        <v>9.1999999999999993</v>
      </c>
      <c r="F413" s="329">
        <v>8</v>
      </c>
      <c r="G413" s="329">
        <v>7.3</v>
      </c>
      <c r="H413" s="329">
        <v>7.4</v>
      </c>
      <c r="I413" s="329">
        <v>8.1</v>
      </c>
      <c r="J413" s="329">
        <v>9.1999999999999993</v>
      </c>
      <c r="K413" s="329">
        <v>8.5</v>
      </c>
      <c r="L413" s="329">
        <f>BG413</f>
        <v>9.1</v>
      </c>
      <c r="M413" s="329"/>
      <c r="Q413" s="335">
        <v>8.1999999999999993</v>
      </c>
      <c r="R413" s="335">
        <v>8.6</v>
      </c>
      <c r="S413" s="335">
        <v>9.4</v>
      </c>
      <c r="T413" s="335">
        <v>9.1999999999999993</v>
      </c>
      <c r="U413" s="336">
        <v>9.3000000000000007</v>
      </c>
      <c r="V413" s="336">
        <v>9.5</v>
      </c>
      <c r="W413" s="336">
        <v>10.6</v>
      </c>
      <c r="X413" s="336">
        <v>10.3</v>
      </c>
      <c r="Y413" s="337">
        <v>10.3</v>
      </c>
      <c r="Z413" s="337">
        <v>10.6</v>
      </c>
      <c r="AA413" s="337">
        <v>10.8</v>
      </c>
      <c r="AB413" s="337">
        <v>10.6</v>
      </c>
      <c r="AC413" s="338">
        <v>10.4</v>
      </c>
      <c r="AD413" s="338">
        <v>9.6999999999999993</v>
      </c>
      <c r="AE413" s="338">
        <v>9.6999999999999993</v>
      </c>
      <c r="AF413" s="338">
        <v>9.1999999999999993</v>
      </c>
      <c r="AG413" s="339">
        <v>8.9</v>
      </c>
      <c r="AH413" s="339">
        <v>8.4</v>
      </c>
      <c r="AI413" s="339">
        <v>8.1999999999999993</v>
      </c>
      <c r="AJ413" s="338">
        <v>8</v>
      </c>
      <c r="AK413" s="339">
        <v>7.7</v>
      </c>
      <c r="AL413" s="339">
        <v>7.8</v>
      </c>
      <c r="AM413" s="339">
        <v>7.6</v>
      </c>
      <c r="AN413" s="339">
        <v>7.3</v>
      </c>
      <c r="AO413" s="339">
        <v>6.9</v>
      </c>
      <c r="AP413" s="339">
        <v>6.8</v>
      </c>
      <c r="AQ413" s="339">
        <v>6.9</v>
      </c>
      <c r="AR413" s="339">
        <v>7.4</v>
      </c>
      <c r="AS413" s="339">
        <v>7.5</v>
      </c>
      <c r="AT413" s="339">
        <v>7.6</v>
      </c>
      <c r="AU413" s="339">
        <v>7.8</v>
      </c>
      <c r="AV413" s="339">
        <v>8.1</v>
      </c>
      <c r="AW413" s="339">
        <v>8</v>
      </c>
      <c r="AX413" s="339">
        <v>8.4</v>
      </c>
      <c r="AY413" s="339">
        <v>8.9</v>
      </c>
      <c r="AZ413" s="339">
        <v>9.1999999999999993</v>
      </c>
      <c r="BA413" s="339">
        <v>8.9</v>
      </c>
      <c r="BB413" s="339">
        <v>8.4</v>
      </c>
      <c r="BC413" s="339">
        <v>8.1999999999999993</v>
      </c>
      <c r="BD413" s="339">
        <v>8.5</v>
      </c>
      <c r="BE413" s="339">
        <v>8.6</v>
      </c>
      <c r="BF413" s="339">
        <v>8.6</v>
      </c>
      <c r="BG413" s="339">
        <v>9.1</v>
      </c>
    </row>
    <row r="414" spans="2:59" ht="13.5" customHeight="1">
      <c r="B414" s="328"/>
      <c r="C414" s="329"/>
      <c r="D414" s="329"/>
      <c r="E414" s="329"/>
      <c r="F414" s="329"/>
      <c r="G414" s="329"/>
      <c r="H414" s="329"/>
      <c r="I414" s="329"/>
      <c r="J414" s="329"/>
      <c r="K414" s="329"/>
      <c r="L414" s="329"/>
      <c r="M414" s="329"/>
      <c r="Q414" s="340"/>
      <c r="R414" s="340"/>
      <c r="S414" s="340"/>
      <c r="T414" s="340"/>
      <c r="U414" s="341"/>
      <c r="V414" s="341"/>
      <c r="W414" s="341"/>
      <c r="X414" s="341"/>
      <c r="Y414" s="342"/>
      <c r="Z414" s="342"/>
      <c r="AA414" s="342"/>
      <c r="AB414" s="342"/>
      <c r="AC414" s="343"/>
      <c r="AD414" s="343"/>
      <c r="AE414" s="343"/>
      <c r="AF414" s="343"/>
      <c r="AG414" s="344"/>
      <c r="AH414" s="344"/>
      <c r="AI414" s="344"/>
      <c r="AJ414" s="343"/>
      <c r="AK414" s="344"/>
      <c r="AL414" s="344"/>
      <c r="AM414" s="344"/>
      <c r="AN414" s="344"/>
      <c r="AO414" s="344"/>
      <c r="AP414" s="344"/>
      <c r="AQ414" s="344"/>
      <c r="AR414" s="344"/>
      <c r="AS414" s="344"/>
      <c r="AT414" s="344"/>
      <c r="AU414" s="344"/>
      <c r="AV414" s="344"/>
      <c r="AW414" s="344"/>
      <c r="AX414" s="344"/>
      <c r="AY414" s="344"/>
      <c r="AZ414" s="344"/>
      <c r="BA414" s="344"/>
      <c r="BB414" s="344"/>
      <c r="BC414" s="344"/>
      <c r="BD414" s="344"/>
      <c r="BE414" s="344"/>
      <c r="BF414" s="344"/>
      <c r="BG414" s="344"/>
    </row>
    <row r="415" spans="2:59" ht="13.5" customHeight="1">
      <c r="B415" s="328" t="s">
        <v>594</v>
      </c>
      <c r="C415" s="329">
        <v>25.9</v>
      </c>
      <c r="D415" s="329">
        <v>27</v>
      </c>
      <c r="E415" s="329">
        <v>31.3</v>
      </c>
      <c r="F415" s="329">
        <v>33.799999999999997</v>
      </c>
      <c r="G415" s="329">
        <v>42.8</v>
      </c>
      <c r="H415" s="329">
        <v>54</v>
      </c>
      <c r="I415" s="329">
        <v>63.3</v>
      </c>
      <c r="J415" s="329">
        <v>73.7</v>
      </c>
      <c r="K415" s="329">
        <v>77.099999999999994</v>
      </c>
      <c r="L415" s="329">
        <f>BG415</f>
        <v>87.7</v>
      </c>
      <c r="M415" s="329"/>
      <c r="Q415" s="335">
        <v>23.8</v>
      </c>
      <c r="R415" s="335">
        <v>26.6</v>
      </c>
      <c r="S415" s="335">
        <v>27.7</v>
      </c>
      <c r="T415" s="335">
        <v>24.6</v>
      </c>
      <c r="U415" s="336">
        <v>23.8</v>
      </c>
      <c r="V415" s="336">
        <v>25.4</v>
      </c>
      <c r="W415" s="336">
        <v>28.9</v>
      </c>
      <c r="X415" s="336">
        <v>25.4</v>
      </c>
      <c r="Y415" s="337">
        <v>25.5</v>
      </c>
      <c r="Z415" s="337">
        <v>26</v>
      </c>
      <c r="AA415" s="337">
        <v>28.2</v>
      </c>
      <c r="AB415" s="337">
        <v>28.4</v>
      </c>
      <c r="AC415" s="338">
        <v>28.2</v>
      </c>
      <c r="AD415" s="338">
        <v>29.3</v>
      </c>
      <c r="AE415" s="338">
        <v>32.6</v>
      </c>
      <c r="AF415" s="338">
        <v>35.200000000000003</v>
      </c>
      <c r="AG415" s="339">
        <v>31.9</v>
      </c>
      <c r="AH415" s="339">
        <v>31.7</v>
      </c>
      <c r="AI415" s="339">
        <v>34.6</v>
      </c>
      <c r="AJ415" s="338">
        <v>37</v>
      </c>
      <c r="AK415" s="339">
        <v>37.700000000000003</v>
      </c>
      <c r="AL415" s="339">
        <v>41.7</v>
      </c>
      <c r="AM415" s="339">
        <v>45</v>
      </c>
      <c r="AN415" s="339">
        <v>47.2</v>
      </c>
      <c r="AO415" s="339">
        <v>49</v>
      </c>
      <c r="AP415" s="339">
        <v>53.1</v>
      </c>
      <c r="AQ415" s="339">
        <v>56.1</v>
      </c>
      <c r="AR415" s="339">
        <v>58.3</v>
      </c>
      <c r="AS415" s="339">
        <v>59.2</v>
      </c>
      <c r="AT415" s="339">
        <v>59.7</v>
      </c>
      <c r="AU415" s="339">
        <v>64.7</v>
      </c>
      <c r="AV415" s="339">
        <v>69.599999999999994</v>
      </c>
      <c r="AW415" s="339">
        <v>68.099999999999994</v>
      </c>
      <c r="AX415" s="339">
        <v>71.900000000000006</v>
      </c>
      <c r="AY415" s="339">
        <v>74.2</v>
      </c>
      <c r="AZ415" s="339">
        <v>80.2</v>
      </c>
      <c r="BA415" s="339">
        <v>75.599999999999994</v>
      </c>
      <c r="BB415" s="339">
        <v>69.2</v>
      </c>
      <c r="BC415" s="339">
        <v>77.7</v>
      </c>
      <c r="BD415" s="339">
        <v>86</v>
      </c>
      <c r="BE415" s="339">
        <v>85.1</v>
      </c>
      <c r="BF415" s="339">
        <v>88.1</v>
      </c>
      <c r="BG415" s="339">
        <v>87.7</v>
      </c>
    </row>
    <row r="416" spans="2:59" ht="13.5" customHeight="1">
      <c r="B416" s="328" t="s">
        <v>595</v>
      </c>
      <c r="C416" s="329">
        <v>34.5</v>
      </c>
      <c r="D416" s="329">
        <v>35.5</v>
      </c>
      <c r="E416" s="329">
        <v>40.6</v>
      </c>
      <c r="F416" s="329">
        <v>47.7</v>
      </c>
      <c r="G416" s="329">
        <v>57.3</v>
      </c>
      <c r="H416" s="329">
        <v>71.8</v>
      </c>
      <c r="I416" s="329">
        <v>74.099999999999994</v>
      </c>
      <c r="J416" s="329">
        <v>83.2</v>
      </c>
      <c r="K416" s="329">
        <v>91.5</v>
      </c>
      <c r="L416" s="329">
        <f>BG416</f>
        <v>113.7</v>
      </c>
      <c r="M416" s="329"/>
      <c r="Q416" s="335">
        <v>32.700000000000003</v>
      </c>
      <c r="R416" s="335">
        <v>35.799999999999997</v>
      </c>
      <c r="S416" s="335">
        <v>36.4</v>
      </c>
      <c r="T416" s="335">
        <v>32.9</v>
      </c>
      <c r="U416" s="336">
        <v>32.4</v>
      </c>
      <c r="V416" s="336">
        <v>34.1</v>
      </c>
      <c r="W416" s="336">
        <v>37.9</v>
      </c>
      <c r="X416" s="336">
        <v>33.299999999999997</v>
      </c>
      <c r="Y416" s="337">
        <v>34.299999999999997</v>
      </c>
      <c r="Z416" s="337">
        <v>34.5</v>
      </c>
      <c r="AA416" s="337">
        <v>36.700000000000003</v>
      </c>
      <c r="AB416" s="337">
        <v>36.200000000000003</v>
      </c>
      <c r="AC416" s="338">
        <v>36.1</v>
      </c>
      <c r="AD416" s="338">
        <v>38.200000000000003</v>
      </c>
      <c r="AE416" s="338">
        <v>42.7</v>
      </c>
      <c r="AF416" s="338">
        <v>46</v>
      </c>
      <c r="AG416" s="339">
        <v>43.3</v>
      </c>
      <c r="AH416" s="339">
        <v>45.5</v>
      </c>
      <c r="AI416" s="339">
        <v>50.4</v>
      </c>
      <c r="AJ416" s="338">
        <v>52.3</v>
      </c>
      <c r="AK416" s="339">
        <v>51.4</v>
      </c>
      <c r="AL416" s="339">
        <v>55.5</v>
      </c>
      <c r="AM416" s="339">
        <v>59.3</v>
      </c>
      <c r="AN416" s="339">
        <v>63.1</v>
      </c>
      <c r="AO416" s="339">
        <v>66.7</v>
      </c>
      <c r="AP416" s="339">
        <v>72.5</v>
      </c>
      <c r="AQ416" s="339">
        <v>74.7</v>
      </c>
      <c r="AR416" s="339">
        <v>73.3</v>
      </c>
      <c r="AS416" s="339">
        <v>69.5</v>
      </c>
      <c r="AT416" s="339">
        <v>70.3</v>
      </c>
      <c r="AU416" s="339">
        <v>76.3</v>
      </c>
      <c r="AV416" s="339">
        <v>79.900000000000006</v>
      </c>
      <c r="AW416" s="339">
        <v>78.7</v>
      </c>
      <c r="AX416" s="339">
        <v>81.900000000000006</v>
      </c>
      <c r="AY416" s="339">
        <v>83</v>
      </c>
      <c r="AZ416" s="339">
        <v>88.5</v>
      </c>
      <c r="BA416" s="339">
        <v>84.3</v>
      </c>
      <c r="BB416" s="339">
        <v>82.8</v>
      </c>
      <c r="BC416" s="339">
        <v>95.4</v>
      </c>
      <c r="BD416" s="339">
        <v>104.5</v>
      </c>
      <c r="BE416" s="339">
        <v>104.6</v>
      </c>
      <c r="BF416" s="339">
        <v>112.7</v>
      </c>
      <c r="BG416" s="339">
        <v>113.7</v>
      </c>
    </row>
    <row r="417" spans="2:59" ht="13.5" customHeight="1">
      <c r="B417" s="328" t="s">
        <v>596</v>
      </c>
      <c r="C417" s="329">
        <v>4051.7</v>
      </c>
      <c r="D417" s="329">
        <v>4476.5</v>
      </c>
      <c r="E417" s="329">
        <v>4837.5</v>
      </c>
      <c r="F417" s="329">
        <v>4876</v>
      </c>
      <c r="G417" s="329">
        <v>5268.5</v>
      </c>
      <c r="H417" s="329">
        <v>5983.8</v>
      </c>
      <c r="I417" s="329">
        <v>6835.8</v>
      </c>
      <c r="J417" s="329">
        <v>8482.7000000000007</v>
      </c>
      <c r="K417" s="329">
        <v>9411.7000000000007</v>
      </c>
      <c r="L417" s="329">
        <f>SUM(BD417:BG417)</f>
        <v>11178.600000000002</v>
      </c>
      <c r="M417" s="329"/>
      <c r="Q417" s="335">
        <v>792.5</v>
      </c>
      <c r="R417" s="335">
        <v>898.9</v>
      </c>
      <c r="S417" s="335">
        <v>991</v>
      </c>
      <c r="T417" s="335">
        <v>912.8</v>
      </c>
      <c r="U417" s="336">
        <v>899.5</v>
      </c>
      <c r="V417" s="336">
        <v>961</v>
      </c>
      <c r="W417" s="336">
        <v>1144.5999999999999</v>
      </c>
      <c r="X417" s="336">
        <v>1046.7</v>
      </c>
      <c r="Y417" s="337">
        <v>1059</v>
      </c>
      <c r="Z417" s="337">
        <v>1075.5999999999999</v>
      </c>
      <c r="AA417" s="337">
        <v>1182.9000000000001</v>
      </c>
      <c r="AB417" s="337">
        <v>558.9</v>
      </c>
      <c r="AC417" s="338">
        <v>1132.5999999999999</v>
      </c>
      <c r="AD417" s="338">
        <v>552.20000000000005</v>
      </c>
      <c r="AE417" s="338">
        <v>1239</v>
      </c>
      <c r="AF417" s="338" t="s">
        <v>597</v>
      </c>
      <c r="AG417" s="339">
        <v>1180.2</v>
      </c>
      <c r="AH417" s="339">
        <v>1173.3</v>
      </c>
      <c r="AI417" s="339">
        <v>1253.3</v>
      </c>
      <c r="AJ417" s="338">
        <v>1269.2</v>
      </c>
      <c r="AK417" s="339">
        <v>1207.9000000000001</v>
      </c>
      <c r="AL417" s="339">
        <v>1276.5</v>
      </c>
      <c r="AM417" s="339">
        <v>1367.1</v>
      </c>
      <c r="AN417" s="339">
        <v>1417</v>
      </c>
      <c r="AO417" s="339">
        <v>1415.5</v>
      </c>
      <c r="AP417" s="339">
        <v>1481.9</v>
      </c>
      <c r="AQ417" s="339">
        <v>1528.6</v>
      </c>
      <c r="AR417" s="339">
        <v>1557.9</v>
      </c>
      <c r="AS417" s="339">
        <v>1580.1</v>
      </c>
      <c r="AT417" s="339">
        <v>1596.3</v>
      </c>
      <c r="AU417" s="339">
        <v>1745.5</v>
      </c>
      <c r="AV417" s="339">
        <v>1913.8</v>
      </c>
      <c r="AW417" s="339">
        <v>1899.2</v>
      </c>
      <c r="AX417" s="339">
        <v>2017.8</v>
      </c>
      <c r="AY417" s="339">
        <v>2159.1999999999998</v>
      </c>
      <c r="AZ417" s="339">
        <v>2406.4</v>
      </c>
      <c r="BA417" s="339">
        <v>2306.8000000000002</v>
      </c>
      <c r="BB417" s="339">
        <v>2127.3000000000002</v>
      </c>
      <c r="BC417" s="339">
        <v>2370.9</v>
      </c>
      <c r="BD417" s="339">
        <v>2606.8000000000002</v>
      </c>
      <c r="BE417" s="339">
        <v>2687.4</v>
      </c>
      <c r="BF417" s="339">
        <v>2903.2</v>
      </c>
      <c r="BG417" s="339">
        <v>2981.2</v>
      </c>
    </row>
    <row r="418" spans="2:59" ht="13.5" customHeight="1">
      <c r="B418" s="328" t="s">
        <v>598</v>
      </c>
      <c r="C418" s="329">
        <v>1237.3</v>
      </c>
      <c r="D418" s="329">
        <v>1485.2</v>
      </c>
      <c r="E418" s="329">
        <v>1356.4</v>
      </c>
      <c r="F418" s="329">
        <v>1326.5</v>
      </c>
      <c r="G418" s="329">
        <v>2762.2</v>
      </c>
      <c r="H418" s="329">
        <v>3243.4</v>
      </c>
      <c r="I418" s="329">
        <v>3630.9</v>
      </c>
      <c r="J418" s="329">
        <v>4751.2</v>
      </c>
      <c r="K418" s="329">
        <v>5446.5</v>
      </c>
      <c r="L418" s="329">
        <f>SUM(BD418:BG418)</f>
        <v>6474.5</v>
      </c>
      <c r="M418" s="329"/>
      <c r="Q418" s="335">
        <v>223.8</v>
      </c>
      <c r="R418" s="335">
        <v>286.10000000000002</v>
      </c>
      <c r="S418" s="335">
        <v>305.2</v>
      </c>
      <c r="T418" s="335">
        <v>281</v>
      </c>
      <c r="U418" s="336">
        <v>287.7</v>
      </c>
      <c r="V418" s="336">
        <v>277.5</v>
      </c>
      <c r="W418" s="336">
        <v>361.7</v>
      </c>
      <c r="X418" s="336">
        <v>310.39999999999998</v>
      </c>
      <c r="Y418" s="337">
        <v>327.5</v>
      </c>
      <c r="Z418" s="337">
        <v>324.3</v>
      </c>
      <c r="AA418" s="337">
        <v>412.5</v>
      </c>
      <c r="AB418" s="337">
        <v>421</v>
      </c>
      <c r="AC418" s="338">
        <v>356.1</v>
      </c>
      <c r="AD418" s="338">
        <v>304.10000000000002</v>
      </c>
      <c r="AE418" s="338">
        <v>333.4</v>
      </c>
      <c r="AF418" s="338">
        <v>362.8</v>
      </c>
      <c r="AG418" s="339">
        <v>319.7</v>
      </c>
      <c r="AH418" s="339">
        <v>303.60000000000002</v>
      </c>
      <c r="AI418" s="339">
        <v>371.9</v>
      </c>
      <c r="AJ418" s="338">
        <v>331.3</v>
      </c>
      <c r="AK418" s="339">
        <v>504.9</v>
      </c>
      <c r="AL418" s="339">
        <v>563.70000000000005</v>
      </c>
      <c r="AM418" s="339">
        <v>610</v>
      </c>
      <c r="AN418" s="339">
        <v>1083.5</v>
      </c>
      <c r="AO418" s="339">
        <v>815.5</v>
      </c>
      <c r="AP418" s="339">
        <v>798.8</v>
      </c>
      <c r="AQ418" s="339">
        <v>810.5</v>
      </c>
      <c r="AR418" s="339">
        <v>818.6</v>
      </c>
      <c r="AS418" s="339">
        <v>798.2</v>
      </c>
      <c r="AT418" s="339">
        <v>880.1</v>
      </c>
      <c r="AU418" s="339">
        <v>909.8</v>
      </c>
      <c r="AV418" s="339">
        <v>1042.9000000000001</v>
      </c>
      <c r="AW418" s="339">
        <v>1076.8</v>
      </c>
      <c r="AX418" s="339">
        <v>1131.3</v>
      </c>
      <c r="AY418" s="339">
        <v>1224</v>
      </c>
      <c r="AZ418" s="339">
        <v>1319.1</v>
      </c>
      <c r="BA418" s="339">
        <v>1292.4000000000001</v>
      </c>
      <c r="BB418" s="339">
        <v>1230.9000000000001</v>
      </c>
      <c r="BC418" s="339">
        <v>1417.6</v>
      </c>
      <c r="BD418" s="339">
        <v>1505.6</v>
      </c>
      <c r="BE418" s="339">
        <v>1605</v>
      </c>
      <c r="BF418" s="339">
        <v>1715.1</v>
      </c>
      <c r="BG418" s="339">
        <v>1648.8</v>
      </c>
    </row>
    <row r="419" spans="2:59" ht="13.5" customHeight="1">
      <c r="B419" s="328" t="s">
        <v>599</v>
      </c>
      <c r="C419" s="345">
        <v>0.30499999999999999</v>
      </c>
      <c r="D419" s="346">
        <v>0.33200000000000002</v>
      </c>
      <c r="E419" s="347">
        <v>0.28000000000000003</v>
      </c>
      <c r="F419" s="347">
        <v>0.27200000000000002</v>
      </c>
      <c r="G419" s="347">
        <v>0.52400000000000002</v>
      </c>
      <c r="H419" s="347">
        <v>0.54200000000000004</v>
      </c>
      <c r="I419" s="347">
        <v>0.53100000000000003</v>
      </c>
      <c r="J419" s="347">
        <v>0.56000000000000005</v>
      </c>
      <c r="K419" s="347">
        <v>0.57899999999999996</v>
      </c>
      <c r="L419" s="347">
        <f>L418/L417</f>
        <v>0.57918701805234996</v>
      </c>
      <c r="M419" s="347"/>
      <c r="Q419" s="348">
        <v>0.28199999999999997</v>
      </c>
      <c r="R419" s="348">
        <v>0.318</v>
      </c>
      <c r="S419" s="348">
        <v>0.308</v>
      </c>
      <c r="T419" s="348">
        <v>0.308</v>
      </c>
      <c r="U419" s="349">
        <v>0.31900000000000001</v>
      </c>
      <c r="V419" s="349">
        <v>0.28899999999999998</v>
      </c>
      <c r="W419" s="349">
        <v>0.316</v>
      </c>
      <c r="X419" s="349">
        <v>0.29699999999999999</v>
      </c>
      <c r="Y419" s="350">
        <v>0.309</v>
      </c>
      <c r="Z419" s="350">
        <v>0.30199999999999999</v>
      </c>
      <c r="AA419" s="350">
        <v>0.34899999999999998</v>
      </c>
      <c r="AB419" s="350">
        <v>0.36299999999999999</v>
      </c>
      <c r="AC419" s="351">
        <v>0.314</v>
      </c>
      <c r="AD419" s="351">
        <v>0.26400000000000001</v>
      </c>
      <c r="AE419" s="351">
        <v>0.26900000000000002</v>
      </c>
      <c r="AF419" s="351">
        <v>0.27600000000000002</v>
      </c>
      <c r="AG419" s="352">
        <v>0.27100000000000002</v>
      </c>
      <c r="AH419" s="352">
        <v>0.25900000000000001</v>
      </c>
      <c r="AI419" s="352">
        <v>0.29699999999999999</v>
      </c>
      <c r="AJ419" s="351">
        <v>0.26100000000000001</v>
      </c>
      <c r="AK419" s="352">
        <v>0.41799999999999998</v>
      </c>
      <c r="AL419" s="352">
        <v>0.442</v>
      </c>
      <c r="AM419" s="352">
        <v>0.44600000000000001</v>
      </c>
      <c r="AN419" s="352">
        <v>0.76500000000000001</v>
      </c>
      <c r="AO419" s="352">
        <v>0.57599999999999996</v>
      </c>
      <c r="AP419" s="352">
        <v>0.53900000000000003</v>
      </c>
      <c r="AQ419" s="352">
        <v>0.53</v>
      </c>
      <c r="AR419" s="352">
        <v>0.52500000000000002</v>
      </c>
      <c r="AS419" s="352">
        <v>0.505</v>
      </c>
      <c r="AT419" s="352">
        <v>0.55100000000000005</v>
      </c>
      <c r="AU419" s="352">
        <v>0.52100000000000002</v>
      </c>
      <c r="AV419" s="352">
        <v>0.54500000000000004</v>
      </c>
      <c r="AW419" s="352">
        <v>0.56699999999999995</v>
      </c>
      <c r="AX419" s="352">
        <v>0.56100000000000005</v>
      </c>
      <c r="AY419" s="352">
        <v>0.56699999999999995</v>
      </c>
      <c r="AZ419" s="352">
        <v>0.54800000000000004</v>
      </c>
      <c r="BA419" s="352">
        <v>0.56000000000000005</v>
      </c>
      <c r="BB419" s="352">
        <v>0.57899999999999996</v>
      </c>
      <c r="BC419" s="352">
        <v>0.59799999999999998</v>
      </c>
      <c r="BD419" s="352">
        <v>0.57799999999999996</v>
      </c>
      <c r="BE419" s="352" t="s">
        <v>600</v>
      </c>
      <c r="BF419" s="352">
        <v>0.59099999999999997</v>
      </c>
      <c r="BG419" s="352">
        <v>0.55300000000000005</v>
      </c>
    </row>
    <row r="420" spans="2:59" ht="13.5" customHeight="1">
      <c r="B420" s="328" t="s">
        <v>601</v>
      </c>
      <c r="C420" s="329">
        <v>-5593.2</v>
      </c>
      <c r="D420" s="329">
        <v>-4438.7</v>
      </c>
      <c r="E420" s="329">
        <v>928.3</v>
      </c>
      <c r="F420" s="329">
        <v>-503.6</v>
      </c>
      <c r="G420" s="329">
        <v>-1300.7</v>
      </c>
      <c r="H420" s="329">
        <v>-1113.5999999999999</v>
      </c>
      <c r="I420" s="329">
        <v>2588.6999999999998</v>
      </c>
      <c r="J420" s="329">
        <v>610.9</v>
      </c>
      <c r="K420" s="329">
        <v>972.3</v>
      </c>
      <c r="L420" s="329">
        <f>SUM(BD420:BG420)</f>
        <v>2091.3000000000002</v>
      </c>
      <c r="M420" s="329"/>
      <c r="Q420" s="335">
        <v>-119.2</v>
      </c>
      <c r="R420" s="335">
        <v>-75.599999999999994</v>
      </c>
      <c r="S420" s="335">
        <v>-47.6</v>
      </c>
      <c r="T420" s="335">
        <v>-19.100000000000001</v>
      </c>
      <c r="U420" s="336">
        <v>-2004.9</v>
      </c>
      <c r="V420" s="336">
        <v>-677.8</v>
      </c>
      <c r="W420" s="336">
        <v>-831.7</v>
      </c>
      <c r="X420" s="336">
        <v>-2078.6999999999998</v>
      </c>
      <c r="Y420" s="337">
        <v>-5630</v>
      </c>
      <c r="Z420" s="337">
        <v>1776.7</v>
      </c>
      <c r="AA420" s="337">
        <v>-455.2</v>
      </c>
      <c r="AB420" s="337">
        <v>-130.19999999999999</v>
      </c>
      <c r="AC420" s="338">
        <v>-67.599999999999994</v>
      </c>
      <c r="AD420" s="338">
        <v>1178.3</v>
      </c>
      <c r="AE420" s="338">
        <v>-120</v>
      </c>
      <c r="AF420" s="338">
        <v>-62.5</v>
      </c>
      <c r="AG420" s="339">
        <v>-137.9</v>
      </c>
      <c r="AH420" s="339">
        <v>-94</v>
      </c>
      <c r="AI420" s="339">
        <v>-92.1</v>
      </c>
      <c r="AJ420" s="338">
        <v>-179.6</v>
      </c>
      <c r="AK420" s="339">
        <v>-178.2</v>
      </c>
      <c r="AL420" s="339">
        <v>-206.7</v>
      </c>
      <c r="AM420" s="339">
        <v>-185.6</v>
      </c>
      <c r="AN420" s="339">
        <v>-730.1</v>
      </c>
      <c r="AO420" s="339">
        <v>-267.2</v>
      </c>
      <c r="AP420" s="339">
        <v>-293.2</v>
      </c>
      <c r="AQ420" s="339">
        <v>-338.3</v>
      </c>
      <c r="AR420" s="339">
        <v>-215</v>
      </c>
      <c r="AS420" s="339">
        <v>-150.9</v>
      </c>
      <c r="AT420" s="339">
        <v>-34</v>
      </c>
      <c r="AU420" s="339">
        <v>36.799999999999997</v>
      </c>
      <c r="AV420" s="339">
        <v>2736.7</v>
      </c>
      <c r="AW420" s="339">
        <v>83.2</v>
      </c>
      <c r="AX420" s="339">
        <v>116</v>
      </c>
      <c r="AY420" s="339">
        <v>173.8</v>
      </c>
      <c r="AZ420" s="339">
        <v>237.9</v>
      </c>
      <c r="BA420" s="339">
        <v>209.4</v>
      </c>
      <c r="BB420" s="339">
        <v>-27.4</v>
      </c>
      <c r="BC420" s="339">
        <v>381.6</v>
      </c>
      <c r="BD420" s="339">
        <v>408.8</v>
      </c>
      <c r="BE420" s="339">
        <v>515.6</v>
      </c>
      <c r="BF420" s="339">
        <v>611.5</v>
      </c>
      <c r="BG420" s="339">
        <v>555.4</v>
      </c>
    </row>
    <row r="421" spans="2:59" ht="13.5" customHeight="1">
      <c r="B421" s="328" t="s">
        <v>602</v>
      </c>
      <c r="C421" s="329">
        <v>688.9</v>
      </c>
      <c r="D421" s="329">
        <v>5959.1</v>
      </c>
      <c r="E421" s="329">
        <v>2255.8000000000002</v>
      </c>
      <c r="F421" s="329">
        <v>1330.1</v>
      </c>
      <c r="G421" s="329">
        <v>4031.9</v>
      </c>
      <c r="H421" s="329">
        <v>1895.3</v>
      </c>
      <c r="I421" s="329">
        <v>3482.4</v>
      </c>
      <c r="J421" s="329">
        <v>3593.6</v>
      </c>
      <c r="K421" s="329">
        <v>3007.6</v>
      </c>
      <c r="L421" s="329">
        <f>SUM(BD421:BG421)</f>
        <v>3395.1</v>
      </c>
      <c r="M421" s="329"/>
      <c r="Q421" s="335">
        <v>26.8</v>
      </c>
      <c r="R421" s="335">
        <v>84.4</v>
      </c>
      <c r="S421" s="335">
        <v>216.4</v>
      </c>
      <c r="T421" s="335">
        <v>213.9</v>
      </c>
      <c r="U421" s="336">
        <v>75.2</v>
      </c>
      <c r="V421" s="336">
        <v>75.400000000000006</v>
      </c>
      <c r="W421" s="336">
        <v>211</v>
      </c>
      <c r="X421" s="336">
        <v>327.2</v>
      </c>
      <c r="Y421" s="337">
        <v>3621.6</v>
      </c>
      <c r="Z421" s="337">
        <v>1530.1</v>
      </c>
      <c r="AA421" s="337">
        <v>317</v>
      </c>
      <c r="AB421" s="337">
        <v>490.3</v>
      </c>
      <c r="AC421" s="338">
        <v>456.9</v>
      </c>
      <c r="AD421" s="338">
        <v>562.5</v>
      </c>
      <c r="AE421" s="338">
        <v>389.4</v>
      </c>
      <c r="AF421" s="338">
        <v>847</v>
      </c>
      <c r="AG421" s="339">
        <v>237.6</v>
      </c>
      <c r="AH421" s="339">
        <v>443.9</v>
      </c>
      <c r="AI421" s="339">
        <v>234.2</v>
      </c>
      <c r="AJ421" s="338">
        <v>-414.3</v>
      </c>
      <c r="AK421" s="339">
        <v>2588.6999999999998</v>
      </c>
      <c r="AL421" s="339">
        <v>1190.8</v>
      </c>
      <c r="AM421" s="339">
        <v>576.79999999999995</v>
      </c>
      <c r="AN421" s="339">
        <v>933.3</v>
      </c>
      <c r="AO421" s="339">
        <v>357.8</v>
      </c>
      <c r="AP421" s="339">
        <v>350</v>
      </c>
      <c r="AQ421" s="339">
        <v>547.70000000000005</v>
      </c>
      <c r="AR421" s="339">
        <v>639.9</v>
      </c>
      <c r="AS421" s="339">
        <v>635.29999999999995</v>
      </c>
      <c r="AT421" s="339">
        <v>440.8</v>
      </c>
      <c r="AU421" s="339">
        <v>860.6</v>
      </c>
      <c r="AV421" s="339">
        <v>1545.7</v>
      </c>
      <c r="AW421" s="339">
        <v>572.4</v>
      </c>
      <c r="AX421" s="339">
        <v>988.1</v>
      </c>
      <c r="AY421" s="339">
        <v>713.7</v>
      </c>
      <c r="AZ421" s="339">
        <v>1319.3</v>
      </c>
      <c r="BA421" s="339">
        <v>711.6</v>
      </c>
      <c r="BB421" s="339">
        <v>659</v>
      </c>
      <c r="BC421" s="339">
        <v>639.6</v>
      </c>
      <c r="BD421" s="339">
        <v>997.4</v>
      </c>
      <c r="BE421" s="339" t="s">
        <v>603</v>
      </c>
      <c r="BF421" s="339">
        <v>1445.6</v>
      </c>
      <c r="BG421" s="339">
        <v>952.1</v>
      </c>
    </row>
    <row r="422" spans="2:59" ht="13.5" customHeight="1">
      <c r="C422" s="353"/>
      <c r="D422" s="354"/>
      <c r="E422" s="355"/>
      <c r="F422" s="355"/>
      <c r="G422" s="355"/>
      <c r="H422" s="355"/>
      <c r="I422" s="355"/>
      <c r="J422" s="355"/>
      <c r="K422" s="355"/>
      <c r="L422" s="355"/>
      <c r="M422" s="355"/>
      <c r="Q422" s="356"/>
      <c r="R422" s="356"/>
      <c r="S422" s="356"/>
      <c r="T422" s="356"/>
      <c r="U422" s="357"/>
      <c r="V422" s="357"/>
      <c r="W422" s="357"/>
      <c r="X422" s="357"/>
      <c r="Y422" s="358"/>
      <c r="Z422" s="358"/>
      <c r="AA422" s="358"/>
      <c r="AB422" s="358"/>
      <c r="AC422" s="359"/>
      <c r="AD422" s="359"/>
      <c r="AE422" s="360"/>
      <c r="AF422" s="359"/>
      <c r="AG422" s="361"/>
      <c r="AH422" s="361"/>
      <c r="AI422" s="362"/>
      <c r="AJ422" s="359"/>
      <c r="AK422" s="361"/>
      <c r="AL422" s="361"/>
      <c r="AM422" s="361"/>
      <c r="AN422" s="361"/>
      <c r="AO422" s="361"/>
      <c r="AP422" s="361"/>
      <c r="AQ422" s="361"/>
      <c r="AR422" s="361"/>
      <c r="AS422" s="361"/>
      <c r="AT422" s="361"/>
      <c r="AU422" s="361"/>
      <c r="AV422" s="361"/>
      <c r="AW422" s="361"/>
      <c r="AX422" s="361"/>
      <c r="AY422" s="361"/>
      <c r="AZ422" s="361"/>
      <c r="BA422" s="361"/>
      <c r="BB422" s="361"/>
      <c r="BC422" s="361"/>
      <c r="BD422" s="361"/>
      <c r="BE422" s="361"/>
      <c r="BF422" s="361"/>
      <c r="BG422" s="361"/>
    </row>
    <row r="423" spans="2:59" ht="13.5" customHeight="1">
      <c r="B423" s="328" t="s">
        <v>604</v>
      </c>
      <c r="C423" s="329">
        <v>758.2</v>
      </c>
      <c r="D423" s="329">
        <v>564.29999999999995</v>
      </c>
      <c r="E423" s="329">
        <v>570.70000000000005</v>
      </c>
      <c r="F423" s="329">
        <v>664.7</v>
      </c>
      <c r="G423" s="329">
        <v>924</v>
      </c>
      <c r="H423" s="329">
        <v>1315.8</v>
      </c>
      <c r="I423" s="329">
        <v>1775.6</v>
      </c>
      <c r="J423" s="329">
        <v>2805.7</v>
      </c>
      <c r="K423" s="329">
        <v>4773.6000000000004</v>
      </c>
      <c r="L423" s="329">
        <f>SUM(BD423:BG423)</f>
        <v>6535.7000000000007</v>
      </c>
      <c r="M423" s="329"/>
      <c r="Q423" s="335">
        <v>177.2</v>
      </c>
      <c r="R423" s="335">
        <v>207.4</v>
      </c>
      <c r="S423" s="335">
        <v>245</v>
      </c>
      <c r="T423" s="335">
        <v>231.9</v>
      </c>
      <c r="U423" s="336">
        <v>220.3</v>
      </c>
      <c r="V423" s="336">
        <v>176.9</v>
      </c>
      <c r="W423" s="336">
        <v>193.9</v>
      </c>
      <c r="X423" s="336">
        <v>167.1</v>
      </c>
      <c r="Y423" s="337">
        <v>126.1</v>
      </c>
      <c r="Z423" s="337">
        <v>133.5</v>
      </c>
      <c r="AA423" s="337">
        <v>157.9</v>
      </c>
      <c r="AB423" s="337">
        <v>146.9</v>
      </c>
      <c r="AC423" s="338">
        <v>128.5</v>
      </c>
      <c r="AD423" s="338">
        <v>131</v>
      </c>
      <c r="AE423" s="338">
        <v>145.6</v>
      </c>
      <c r="AF423" s="338">
        <v>165.6</v>
      </c>
      <c r="AG423" s="339">
        <v>159.69999999999999</v>
      </c>
      <c r="AH423" s="339">
        <v>157.80000000000001</v>
      </c>
      <c r="AI423" s="339">
        <v>169.1</v>
      </c>
      <c r="AJ423" s="338">
        <v>664.7</v>
      </c>
      <c r="AK423" s="339">
        <v>167.9</v>
      </c>
      <c r="AL423" s="339">
        <v>207.7</v>
      </c>
      <c r="AM423" s="339">
        <v>275</v>
      </c>
      <c r="AN423" s="339">
        <v>273.3</v>
      </c>
      <c r="AO423" s="339">
        <v>275.8</v>
      </c>
      <c r="AP423" s="339">
        <v>324.3</v>
      </c>
      <c r="AQ423" s="339">
        <v>346.4</v>
      </c>
      <c r="AR423" s="339">
        <v>369.4</v>
      </c>
      <c r="AS423" s="339">
        <v>386.4</v>
      </c>
      <c r="AT423" s="339">
        <v>402.3</v>
      </c>
      <c r="AU423" s="339">
        <v>455.5</v>
      </c>
      <c r="AV423" s="339">
        <v>531.4</v>
      </c>
      <c r="AW423" s="339">
        <v>508.8</v>
      </c>
      <c r="AX423" s="339">
        <v>615.6</v>
      </c>
      <c r="AY423" s="339">
        <v>684.6</v>
      </c>
      <c r="AZ423" s="339">
        <v>996.6</v>
      </c>
      <c r="BA423" s="339">
        <v>1112.5999999999999</v>
      </c>
      <c r="BB423" s="339">
        <v>1134.9000000000001</v>
      </c>
      <c r="BC423" s="339">
        <v>1199.9000000000001</v>
      </c>
      <c r="BD423" s="339">
        <v>1326.1</v>
      </c>
      <c r="BE423" s="339">
        <v>1386.2</v>
      </c>
      <c r="BF423" s="339">
        <v>1646.5</v>
      </c>
      <c r="BG423" s="339">
        <v>2176.9</v>
      </c>
    </row>
    <row r="424" spans="2:59" ht="13.5" customHeight="1">
      <c r="B424" s="328" t="s">
        <v>605</v>
      </c>
      <c r="C424" s="329">
        <v>232.2</v>
      </c>
      <c r="D424" s="329">
        <v>187.7</v>
      </c>
      <c r="E424" s="329">
        <v>159.9</v>
      </c>
      <c r="F424" s="329">
        <v>180.7</v>
      </c>
      <c r="G424" s="329">
        <v>489.4</v>
      </c>
      <c r="H424" s="329">
        <v>711.6</v>
      </c>
      <c r="I424" s="329">
        <v>944</v>
      </c>
      <c r="J424" s="329">
        <v>1566.4</v>
      </c>
      <c r="K424" s="329">
        <v>2763.4</v>
      </c>
      <c r="L424" s="329">
        <f>SUM(BD424:BG424)</f>
        <v>3770.2</v>
      </c>
      <c r="M424" s="329"/>
      <c r="Q424" s="335">
        <v>50.1</v>
      </c>
      <c r="R424" s="335">
        <v>66.099999999999994</v>
      </c>
      <c r="S424" s="335">
        <v>75.400000000000006</v>
      </c>
      <c r="T424" s="335">
        <v>71.400000000000006</v>
      </c>
      <c r="U424" s="336">
        <v>70.099999999999994</v>
      </c>
      <c r="V424" s="336">
        <v>51.1</v>
      </c>
      <c r="W424" s="336">
        <v>61.2</v>
      </c>
      <c r="X424" s="336">
        <v>49.7</v>
      </c>
      <c r="Y424" s="337">
        <v>39</v>
      </c>
      <c r="Z424" s="337">
        <v>40.299999999999997</v>
      </c>
      <c r="AA424" s="337">
        <v>55</v>
      </c>
      <c r="AB424" s="337">
        <v>53.3</v>
      </c>
      <c r="AC424" s="338">
        <v>40.4</v>
      </c>
      <c r="AD424" s="338">
        <v>34.5</v>
      </c>
      <c r="AE424" s="338">
        <v>39.200000000000003</v>
      </c>
      <c r="AF424" s="338">
        <v>45.8</v>
      </c>
      <c r="AG424" s="339">
        <v>43.2</v>
      </c>
      <c r="AH424" s="339">
        <v>40.799999999999997</v>
      </c>
      <c r="AI424" s="339">
        <v>50.2</v>
      </c>
      <c r="AJ424" s="338">
        <v>180.7</v>
      </c>
      <c r="AK424" s="339">
        <v>69.8</v>
      </c>
      <c r="AL424" s="339">
        <v>98.8</v>
      </c>
      <c r="AM424" s="339">
        <v>55</v>
      </c>
      <c r="AN424" s="339">
        <v>205.9</v>
      </c>
      <c r="AO424" s="339">
        <v>159</v>
      </c>
      <c r="AP424" s="339">
        <v>174.8</v>
      </c>
      <c r="AQ424" s="339">
        <v>183.6</v>
      </c>
      <c r="AR424" s="339">
        <v>194.2</v>
      </c>
      <c r="AS424" s="339">
        <v>195.2</v>
      </c>
      <c r="AT424" s="339">
        <v>221.8</v>
      </c>
      <c r="AU424" s="339">
        <v>237.3</v>
      </c>
      <c r="AV424" s="339">
        <v>289.60000000000002</v>
      </c>
      <c r="AW424" s="339">
        <v>288.60000000000002</v>
      </c>
      <c r="AX424" s="339">
        <v>345.3</v>
      </c>
      <c r="AY424" s="339">
        <v>388</v>
      </c>
      <c r="AZ424" s="339">
        <v>544.5</v>
      </c>
      <c r="BA424" s="339">
        <v>623.6</v>
      </c>
      <c r="BB424" s="339">
        <v>656.5</v>
      </c>
      <c r="BC424" s="339">
        <v>717.4</v>
      </c>
      <c r="BD424" s="339">
        <v>765.8</v>
      </c>
      <c r="BE424" s="339">
        <v>827.9</v>
      </c>
      <c r="BF424" s="339">
        <v>972.8</v>
      </c>
      <c r="BG424" s="339">
        <v>1203.7</v>
      </c>
    </row>
    <row r="425" spans="2:59" ht="13.5" customHeight="1">
      <c r="B425" s="328" t="s">
        <v>606</v>
      </c>
      <c r="C425" s="345">
        <v>0.30599999999999999</v>
      </c>
      <c r="D425" s="346">
        <v>0.33300000000000002</v>
      </c>
      <c r="E425" s="347">
        <v>0.28000000000000003</v>
      </c>
      <c r="F425" s="347">
        <v>0.27200000000000002</v>
      </c>
      <c r="G425" s="347">
        <v>0.53</v>
      </c>
      <c r="H425" s="347">
        <v>0.54100000000000004</v>
      </c>
      <c r="I425" s="347">
        <v>0.53200000000000003</v>
      </c>
      <c r="J425" s="347">
        <v>0.55800000000000005</v>
      </c>
      <c r="K425" s="347">
        <v>0.57899999999999996</v>
      </c>
      <c r="L425" s="454">
        <f>L424/L423</f>
        <v>0.5768624630873509</v>
      </c>
      <c r="M425" s="347"/>
      <c r="Q425" s="348">
        <v>0.28299999999999997</v>
      </c>
      <c r="R425" s="348">
        <v>0.318</v>
      </c>
      <c r="S425" s="348">
        <v>0.308</v>
      </c>
      <c r="T425" s="348">
        <v>0.308</v>
      </c>
      <c r="U425" s="349">
        <v>0.318</v>
      </c>
      <c r="V425" s="349">
        <v>0.28899999999999998</v>
      </c>
      <c r="W425" s="349">
        <v>0.316</v>
      </c>
      <c r="X425" s="349">
        <v>0.29699999999999999</v>
      </c>
      <c r="Y425" s="350">
        <v>0.31</v>
      </c>
      <c r="Z425" s="350">
        <v>0.30199999999999999</v>
      </c>
      <c r="AA425" s="350">
        <v>0.34799999999999998</v>
      </c>
      <c r="AB425" s="350">
        <v>0.36299999999999999</v>
      </c>
      <c r="AC425" s="351">
        <v>0.314</v>
      </c>
      <c r="AD425" s="351">
        <v>0.26400000000000001</v>
      </c>
      <c r="AE425" s="351">
        <v>0.26900000000000002</v>
      </c>
      <c r="AF425" s="351">
        <v>0.27600000000000002</v>
      </c>
      <c r="AG425" s="352">
        <v>0.27100000000000002</v>
      </c>
      <c r="AH425" s="352">
        <v>0.25900000000000001</v>
      </c>
      <c r="AI425" s="352">
        <v>0.29699999999999999</v>
      </c>
      <c r="AJ425" s="351">
        <v>0.27200000000000002</v>
      </c>
      <c r="AK425" s="352">
        <v>0.41599999999999998</v>
      </c>
      <c r="AL425" s="352">
        <v>0.47599999999999998</v>
      </c>
      <c r="AM425" s="352">
        <v>0.41799999999999998</v>
      </c>
      <c r="AN425" s="352">
        <v>0.753</v>
      </c>
      <c r="AO425" s="352">
        <v>0.57699999999999996</v>
      </c>
      <c r="AP425" s="352">
        <v>0.53900000000000003</v>
      </c>
      <c r="AQ425" s="352">
        <v>0.53</v>
      </c>
      <c r="AR425" s="352">
        <v>0.52600000000000002</v>
      </c>
      <c r="AS425" s="352">
        <v>0.505</v>
      </c>
      <c r="AT425" s="352">
        <v>0.55100000000000005</v>
      </c>
      <c r="AU425" s="352">
        <v>0.52100000000000002</v>
      </c>
      <c r="AV425" s="352">
        <v>0.54500000000000004</v>
      </c>
      <c r="AW425" s="352">
        <v>0.56699999999999995</v>
      </c>
      <c r="AX425" s="352">
        <v>0.56100000000000005</v>
      </c>
      <c r="AY425" s="352">
        <v>0.56699999999999995</v>
      </c>
      <c r="AZ425" s="352">
        <v>0.54600000000000004</v>
      </c>
      <c r="BA425" s="352">
        <v>0.56000000000000005</v>
      </c>
      <c r="BB425" s="352">
        <v>0.57899999999999996</v>
      </c>
      <c r="BC425" s="352">
        <v>0.59799999999999998</v>
      </c>
      <c r="BD425" s="352">
        <v>0.57699999999999996</v>
      </c>
      <c r="BE425" s="352">
        <v>0.59699999999999998</v>
      </c>
      <c r="BF425" s="352">
        <v>0.59099999999999997</v>
      </c>
      <c r="BG425" s="352">
        <v>0.55300000000000005</v>
      </c>
    </row>
    <row r="426" spans="2:59" ht="13.5" customHeight="1">
      <c r="B426" s="328" t="s">
        <v>607</v>
      </c>
      <c r="C426" s="329">
        <v>-1066.9000000000001</v>
      </c>
      <c r="D426" s="329">
        <v>-541.29999999999995</v>
      </c>
      <c r="E426" s="329">
        <v>98.3</v>
      </c>
      <c r="F426" s="329">
        <v>-69</v>
      </c>
      <c r="G426" s="329">
        <v>-220.2</v>
      </c>
      <c r="H426" s="329">
        <v>-243.3</v>
      </c>
      <c r="I426" s="329">
        <v>696.1</v>
      </c>
      <c r="J426" s="329">
        <v>210.8</v>
      </c>
      <c r="K426" s="329">
        <v>485.5</v>
      </c>
      <c r="L426" s="329">
        <f>SUM(BD426:BG426)</f>
        <v>1226</v>
      </c>
      <c r="M426" s="329"/>
      <c r="Q426" s="335">
        <v>-26.6</v>
      </c>
      <c r="R426" s="335">
        <v>-17.2</v>
      </c>
      <c r="S426" s="335">
        <v>-11.9</v>
      </c>
      <c r="T426" s="335">
        <v>-4.9000000000000004</v>
      </c>
      <c r="U426" s="336">
        <v>-478.1</v>
      </c>
      <c r="V426" s="336">
        <v>-126.6</v>
      </c>
      <c r="W426" s="336">
        <v>-139</v>
      </c>
      <c r="X426" s="336">
        <v>-323.2</v>
      </c>
      <c r="AC426" s="338">
        <v>-8.4</v>
      </c>
      <c r="AD426" s="338">
        <v>128.6</v>
      </c>
      <c r="AE426" s="338">
        <v>-14</v>
      </c>
      <c r="AF426" s="338">
        <v>-7.9</v>
      </c>
      <c r="AG426" s="339">
        <v>-18.7</v>
      </c>
      <c r="AH426" s="339">
        <v>-12.6</v>
      </c>
      <c r="AI426" s="339">
        <v>-12.4</v>
      </c>
      <c r="AJ426" s="338">
        <v>-69</v>
      </c>
      <c r="AK426" s="339">
        <v>-24.9</v>
      </c>
      <c r="AL426" s="339">
        <v>-34.200000000000003</v>
      </c>
      <c r="AM426" s="339">
        <v>-34.799999999999997</v>
      </c>
      <c r="AN426" s="339">
        <v>-126.3</v>
      </c>
      <c r="AO426" s="339">
        <v>-52.1</v>
      </c>
      <c r="AP426" s="339">
        <v>-64</v>
      </c>
      <c r="AQ426" s="339">
        <v>-76.400000000000006</v>
      </c>
      <c r="AR426" s="339">
        <v>-50.8</v>
      </c>
      <c r="AS426" s="339">
        <v>-37</v>
      </c>
      <c r="AT426" s="339">
        <v>-8.3000000000000007</v>
      </c>
      <c r="AU426" s="339">
        <v>9.5</v>
      </c>
      <c r="AV426" s="339">
        <v>731.9</v>
      </c>
      <c r="AW426" s="339">
        <v>22.4</v>
      </c>
      <c r="AX426" s="339">
        <v>35.4</v>
      </c>
      <c r="AY426" s="339">
        <v>54.9</v>
      </c>
      <c r="AZ426" s="339">
        <v>98.1</v>
      </c>
      <c r="BA426" s="339">
        <v>101</v>
      </c>
      <c r="BB426" s="339">
        <v>-18.2</v>
      </c>
      <c r="BC426" s="339">
        <v>195</v>
      </c>
      <c r="BD426" s="339">
        <v>207.8</v>
      </c>
      <c r="BE426" s="339">
        <v>266.2</v>
      </c>
      <c r="BF426" s="339">
        <v>346.7</v>
      </c>
      <c r="BG426" s="339">
        <v>405.3</v>
      </c>
    </row>
    <row r="427" spans="2:59" ht="13.5" customHeight="1">
      <c r="D427" s="482"/>
      <c r="E427" s="482"/>
      <c r="F427" s="482"/>
      <c r="G427" s="482"/>
      <c r="H427" s="482"/>
      <c r="I427" s="482"/>
      <c r="J427" s="482"/>
      <c r="K427" s="482"/>
      <c r="L427" s="482"/>
      <c r="M427" s="482"/>
      <c r="Q427" s="363"/>
      <c r="R427" s="364"/>
      <c r="S427" s="363"/>
      <c r="T427" s="364"/>
      <c r="AC427" s="482"/>
      <c r="AD427" s="482"/>
      <c r="AE427" s="482"/>
      <c r="AF427" s="482"/>
      <c r="AG427" s="482"/>
      <c r="AH427" s="482"/>
      <c r="AI427" s="482"/>
      <c r="AJ427" s="482"/>
      <c r="AK427" s="482"/>
      <c r="AO427" s="482"/>
      <c r="AP427" s="482"/>
      <c r="AQ427" s="482"/>
      <c r="AR427" s="482"/>
      <c r="AS427" s="482"/>
      <c r="AT427" s="482"/>
      <c r="AU427" s="482"/>
      <c r="AV427" s="482"/>
      <c r="AW427" s="482"/>
      <c r="AX427" s="482"/>
      <c r="AY427" s="482"/>
      <c r="AZ427" s="482"/>
      <c r="BA427" s="482"/>
      <c r="BB427" s="482"/>
      <c r="BC427" s="482"/>
      <c r="BD427" s="482"/>
      <c r="BE427" s="482"/>
      <c r="BF427" s="482"/>
      <c r="BG427" s="482"/>
    </row>
    <row r="428" spans="2:59" ht="13.5" customHeight="1">
      <c r="B428" s="785"/>
      <c r="D428" s="482"/>
      <c r="E428" s="482"/>
      <c r="F428" s="482"/>
      <c r="G428" s="482"/>
      <c r="H428" s="482"/>
      <c r="I428" s="482"/>
      <c r="J428" s="482"/>
      <c r="K428" s="482"/>
      <c r="L428" s="482"/>
      <c r="M428" s="482"/>
      <c r="AC428" s="482"/>
      <c r="AD428" s="482"/>
      <c r="AE428" s="482"/>
      <c r="AF428" s="482"/>
      <c r="AG428" s="482"/>
      <c r="AH428" s="482"/>
      <c r="AI428" s="482"/>
      <c r="AJ428" s="482"/>
      <c r="AK428" s="482"/>
      <c r="AO428" s="482"/>
      <c r="AP428" s="482"/>
      <c r="AQ428" s="482"/>
      <c r="AR428" s="482"/>
      <c r="AS428" s="482"/>
      <c r="AT428" s="482"/>
      <c r="AU428" s="482"/>
      <c r="AV428" s="482"/>
      <c r="AW428" s="482"/>
      <c r="AX428" s="482"/>
      <c r="AY428" s="482"/>
      <c r="AZ428" s="482"/>
      <c r="BA428" s="482"/>
      <c r="BB428" s="482"/>
      <c r="BC428" s="482"/>
      <c r="BD428" s="482"/>
      <c r="BE428" s="482"/>
      <c r="BF428" s="482"/>
      <c r="BG428" s="482"/>
    </row>
    <row r="430" spans="2:59" s="5" customFormat="1" ht="13.5" customHeight="1">
      <c r="B430" s="5" t="s">
        <v>608</v>
      </c>
      <c r="C430" s="347">
        <v>2.9000000000000001E-2</v>
      </c>
      <c r="D430" s="347">
        <v>6.0999999999999999E-2</v>
      </c>
      <c r="E430" s="347">
        <v>2.9000000000000001E-2</v>
      </c>
      <c r="F430" s="347">
        <v>7.3999999999999996E-2</v>
      </c>
      <c r="G430" s="347">
        <v>2.8000000000000001E-2</v>
      </c>
      <c r="H430" s="347">
        <v>8.9999999999999993E-3</v>
      </c>
      <c r="I430" s="347">
        <v>1.7999999999999999E-2</v>
      </c>
      <c r="J430" s="347" t="s">
        <v>609</v>
      </c>
      <c r="K430" s="347" t="s">
        <v>609</v>
      </c>
      <c r="L430" s="347" t="str">
        <f>BG430</f>
        <v>n.a</v>
      </c>
      <c r="P430" s="155"/>
      <c r="Q430" s="365">
        <v>3.1E-2</v>
      </c>
      <c r="R430" s="365">
        <v>4.7E-2</v>
      </c>
      <c r="S430" s="365">
        <v>4.2999999999999997E-2</v>
      </c>
      <c r="T430" s="365">
        <v>4.5999999999999999E-2</v>
      </c>
      <c r="U430" s="366">
        <v>4.9000000000000002E-2</v>
      </c>
      <c r="V430" s="366">
        <v>2.3E-2</v>
      </c>
      <c r="W430" s="366">
        <v>1.7999999999999999E-2</v>
      </c>
      <c r="X430" s="366">
        <v>2.7E-2</v>
      </c>
      <c r="Y430" s="367">
        <v>3.5000000000000003E-2</v>
      </c>
      <c r="Z430" s="367">
        <v>7.1999999999999995E-2</v>
      </c>
      <c r="AA430" s="367">
        <v>5.8999999999999997E-2</v>
      </c>
      <c r="AB430" s="367">
        <v>7.3999999999999996E-2</v>
      </c>
      <c r="AC430" s="368">
        <v>4.4999999999999998E-2</v>
      </c>
      <c r="AD430" s="368">
        <v>5.2999999999999999E-2</v>
      </c>
      <c r="AE430" s="368">
        <v>-8.0000000000000002E-3</v>
      </c>
      <c r="AF430" s="368">
        <v>3.5000000000000003E-2</v>
      </c>
      <c r="AG430" s="369">
        <v>5.3999999999999999E-2</v>
      </c>
      <c r="AH430" s="369">
        <v>5.0999999999999997E-2</v>
      </c>
      <c r="AI430" s="369" t="s">
        <v>609</v>
      </c>
      <c r="AJ430" s="368">
        <v>7.2999999999999995E-2</v>
      </c>
      <c r="AK430" s="413">
        <v>7.3999999999999996E-2</v>
      </c>
      <c r="AL430" s="413">
        <v>5.6000000000000001E-2</v>
      </c>
      <c r="AM430" s="413">
        <v>2.3E-2</v>
      </c>
      <c r="AN430" s="414">
        <v>-2.8000000000000001E-2</v>
      </c>
      <c r="AO430" s="417">
        <v>-2.3E-2</v>
      </c>
      <c r="AP430" s="417">
        <v>-1.6E-2</v>
      </c>
      <c r="AQ430" s="417">
        <v>0.01</v>
      </c>
      <c r="AR430" s="417">
        <v>0.06</v>
      </c>
      <c r="AS430" s="417">
        <v>4.4999999999999998E-2</v>
      </c>
      <c r="AT430" s="417">
        <v>-9.9000000000000005E-2</v>
      </c>
      <c r="AU430" s="417">
        <v>6.7000000000000004E-2</v>
      </c>
      <c r="AV430" s="430">
        <v>5.8999999999999997E-2</v>
      </c>
      <c r="AW430" s="417">
        <v>7.0000000000000007E-2</v>
      </c>
      <c r="AX430" s="417">
        <v>0.217</v>
      </c>
      <c r="AY430" s="417">
        <v>7.3999999999999996E-2</v>
      </c>
      <c r="AZ430" s="417">
        <v>9.0999999999999998E-2</v>
      </c>
      <c r="BA430" s="417">
        <v>7.2999999999999995E-2</v>
      </c>
      <c r="BB430" s="417">
        <v>7.5999999999999998E-2</v>
      </c>
      <c r="BC430" s="417">
        <v>4.1000000000000002E-2</v>
      </c>
      <c r="BD430" s="417">
        <v>3.3000000000000002E-2</v>
      </c>
      <c r="BE430" s="417">
        <v>3.9E-2</v>
      </c>
      <c r="BF430" s="417">
        <v>3.7999999999999999E-2</v>
      </c>
      <c r="BG430" s="417" t="s">
        <v>609</v>
      </c>
    </row>
    <row r="431" spans="2:59" s="5" customFormat="1" ht="13.5" customHeight="1">
      <c r="B431" s="5" t="s">
        <v>610</v>
      </c>
      <c r="C431" s="347">
        <v>8.2000000000000003E-2</v>
      </c>
      <c r="D431" s="347">
        <v>8.7999999999999995E-2</v>
      </c>
      <c r="E431" s="347">
        <v>8.5000000000000006E-2</v>
      </c>
      <c r="F431" s="347">
        <v>0.11899999999999999</v>
      </c>
      <c r="G431" s="347">
        <v>0.20300000000000001</v>
      </c>
      <c r="H431" s="347">
        <v>0.11799999999999999</v>
      </c>
      <c r="I431" s="347">
        <v>0.14599999999999999</v>
      </c>
      <c r="J431" s="347">
        <v>0.36099999999999999</v>
      </c>
      <c r="K431" s="347">
        <v>0.64300000000000002</v>
      </c>
      <c r="L431" s="347">
        <f>AVERAGE(BD431:BG431)</f>
        <v>0.53625000000000012</v>
      </c>
      <c r="P431" s="155"/>
      <c r="Q431" s="786">
        <v>2.5999999999999999E-2</v>
      </c>
      <c r="R431" s="786">
        <v>1.2999999999999999E-2</v>
      </c>
      <c r="S431" s="786">
        <v>0.01</v>
      </c>
      <c r="T431" s="786">
        <v>2.3E-2</v>
      </c>
      <c r="U431" s="787">
        <v>3.5999999999999997E-2</v>
      </c>
      <c r="V431" s="787" t="s">
        <v>611</v>
      </c>
      <c r="W431" s="787">
        <v>7.0000000000000001E-3</v>
      </c>
      <c r="X431" s="787">
        <v>1.6E-2</v>
      </c>
      <c r="Y431" s="788">
        <v>0.03</v>
      </c>
      <c r="Z431" s="788">
        <v>1.7000000000000001E-2</v>
      </c>
      <c r="AA431" s="788">
        <v>1.4E-2</v>
      </c>
      <c r="AB431" s="788">
        <v>2.4E-2</v>
      </c>
      <c r="AC431" s="789">
        <v>1.7999999999999999E-2</v>
      </c>
      <c r="AD431" s="789">
        <v>1.7999999999999999E-2</v>
      </c>
      <c r="AE431" s="789">
        <v>1.0999999999999999E-2</v>
      </c>
      <c r="AF431" s="789">
        <v>3.5999999999999997E-2</v>
      </c>
      <c r="AG431" s="790">
        <v>4.2999999999999997E-2</v>
      </c>
      <c r="AH431" s="790">
        <v>1.4999999999999999E-2</v>
      </c>
      <c r="AI431" s="790">
        <v>1.2999999999999999E-2</v>
      </c>
      <c r="AJ431" s="789" t="s">
        <v>612</v>
      </c>
      <c r="AK431" s="413">
        <v>0.1023</v>
      </c>
      <c r="AL431" s="413">
        <v>0.15390000000000001</v>
      </c>
      <c r="AM431" s="413">
        <v>0.245</v>
      </c>
      <c r="AN431" s="414">
        <v>0.20300000000000001</v>
      </c>
      <c r="AO431" s="415">
        <v>0.19700000000000001</v>
      </c>
      <c r="AP431" s="413">
        <v>0.157</v>
      </c>
      <c r="AQ431" s="789">
        <v>9.2999999999999999E-2</v>
      </c>
      <c r="AR431" s="789">
        <v>0.11799999999999999</v>
      </c>
      <c r="AS431" s="419">
        <v>0.11899999999999999</v>
      </c>
      <c r="AT431" s="419">
        <v>0.126</v>
      </c>
      <c r="AU431" s="789">
        <v>0.11700000000000001</v>
      </c>
      <c r="AV431" s="789">
        <v>0.14599999999999999</v>
      </c>
      <c r="AW431" s="419">
        <v>0.16200000000000001</v>
      </c>
      <c r="AX431" s="419">
        <v>0.17499999999999999</v>
      </c>
      <c r="AY431" s="789">
        <v>0.19600000000000001</v>
      </c>
      <c r="AZ431" s="789">
        <v>0.36099999999999999</v>
      </c>
      <c r="BA431" s="419">
        <v>0.61099999999999999</v>
      </c>
      <c r="BB431" s="419">
        <v>0.78600000000000003</v>
      </c>
      <c r="BC431" s="789">
        <v>0.83499999999999996</v>
      </c>
      <c r="BD431" s="789">
        <v>0.64300000000000002</v>
      </c>
      <c r="BE431" s="419">
        <v>0.505</v>
      </c>
      <c r="BF431" s="419">
        <v>0.38200000000000001</v>
      </c>
      <c r="BG431" s="789">
        <v>0.61499999999999999</v>
      </c>
    </row>
    <row r="432" spans="2:59" s="5" customFormat="1" ht="13.5" customHeight="1">
      <c r="B432" s="5" t="s">
        <v>613</v>
      </c>
      <c r="C432" s="791"/>
      <c r="D432" s="791"/>
      <c r="E432" s="791"/>
      <c r="F432" s="791"/>
      <c r="G432" s="791"/>
      <c r="H432" s="791"/>
      <c r="I432" s="791"/>
      <c r="J432" s="791"/>
      <c r="K432" s="791"/>
      <c r="L432" s="791"/>
      <c r="P432" s="155"/>
      <c r="Q432" s="792"/>
      <c r="R432" s="792"/>
      <c r="S432" s="792"/>
      <c r="T432" s="792"/>
      <c r="U432" s="793"/>
      <c r="V432" s="793"/>
      <c r="W432" s="793"/>
      <c r="X432" s="793"/>
      <c r="Y432" s="794"/>
      <c r="Z432" s="794"/>
      <c r="AA432" s="794"/>
      <c r="AB432" s="794"/>
      <c r="AC432" s="795"/>
      <c r="AD432" s="795"/>
      <c r="AE432" s="795"/>
      <c r="AF432" s="795"/>
      <c r="AG432" s="796"/>
      <c r="AH432" s="796"/>
      <c r="AI432" s="796"/>
      <c r="AJ432" s="795"/>
      <c r="AK432" s="795"/>
      <c r="AL432" s="796"/>
      <c r="AM432" s="796"/>
      <c r="AN432" s="795"/>
      <c r="AO432" s="795"/>
      <c r="AP432" s="796"/>
      <c r="AQ432" s="795"/>
      <c r="AR432" s="795"/>
      <c r="AS432" s="795"/>
      <c r="AT432" s="795"/>
      <c r="AU432" s="795"/>
      <c r="AV432" s="795"/>
      <c r="AW432" s="795"/>
      <c r="AX432" s="795"/>
      <c r="AY432" s="795"/>
      <c r="AZ432" s="795"/>
      <c r="BA432" s="795"/>
      <c r="BB432" s="795"/>
      <c r="BC432" s="795"/>
      <c r="BD432" s="795"/>
      <c r="BE432" s="795"/>
      <c r="BF432" s="795"/>
      <c r="BG432" s="795"/>
    </row>
    <row r="433" spans="2:59" ht="13.5" customHeight="1">
      <c r="B433" s="1" t="s">
        <v>614</v>
      </c>
      <c r="C433" s="370">
        <v>2.3189000000000002</v>
      </c>
      <c r="D433" s="370">
        <v>2.9076</v>
      </c>
      <c r="E433" s="370">
        <v>3.5192000000000001</v>
      </c>
      <c r="F433" s="370">
        <v>3.7719</v>
      </c>
      <c r="G433" s="370">
        <v>5.2609000000000004</v>
      </c>
      <c r="H433" s="370">
        <v>5.9401999999999999</v>
      </c>
      <c r="I433" s="370">
        <v>7.3404999999999996</v>
      </c>
      <c r="J433" s="370">
        <v>13.329000000000001</v>
      </c>
      <c r="K433" s="370">
        <v>18.6983</v>
      </c>
      <c r="L433" s="370">
        <f>BG433</f>
        <v>27.3767</v>
      </c>
      <c r="Q433" s="797">
        <v>1.8087</v>
      </c>
      <c r="R433" s="797">
        <v>1.9248000000000001</v>
      </c>
      <c r="S433" s="797">
        <v>2.0341999999999998</v>
      </c>
      <c r="T433" s="797">
        <v>2.1343000000000001</v>
      </c>
      <c r="U433" s="798">
        <v>2.1898</v>
      </c>
      <c r="V433" s="798">
        <v>2.1234000000000002</v>
      </c>
      <c r="W433" s="798">
        <v>2.2789000000000001</v>
      </c>
      <c r="X433" s="798">
        <v>2.3189000000000002</v>
      </c>
      <c r="Y433" s="799">
        <v>2.6101999999999999</v>
      </c>
      <c r="Z433" s="799">
        <v>2.6863000000000001</v>
      </c>
      <c r="AA433" s="799">
        <v>3.0432999999999999</v>
      </c>
      <c r="AB433" s="799">
        <v>2.9076</v>
      </c>
      <c r="AC433" s="420">
        <v>2.8334000000000001</v>
      </c>
      <c r="AD433" s="420">
        <v>2.8936000000000002</v>
      </c>
      <c r="AE433" s="420">
        <v>2.9958999999999998</v>
      </c>
      <c r="AF433" s="420">
        <v>3.5192000000000001</v>
      </c>
      <c r="AG433" s="800">
        <v>3.6385999999999998</v>
      </c>
      <c r="AH433" s="800">
        <v>3.5070999999999999</v>
      </c>
      <c r="AI433" s="800">
        <v>3.5520999999999998</v>
      </c>
      <c r="AJ433" s="420">
        <v>3.7719</v>
      </c>
      <c r="AK433" s="420">
        <v>3.9489000000000001</v>
      </c>
      <c r="AL433" s="800">
        <v>4.5606999999999998</v>
      </c>
      <c r="AM433" s="800">
        <v>5.9901999999999997</v>
      </c>
      <c r="AN433" s="420">
        <v>5.2609000000000004</v>
      </c>
      <c r="AO433" s="420">
        <v>5.6284000000000001</v>
      </c>
      <c r="AP433" s="800">
        <v>5.7550999999999997</v>
      </c>
      <c r="AQ433" s="420">
        <v>5.6590999999999996</v>
      </c>
      <c r="AR433" s="420">
        <v>5.9401999999999999</v>
      </c>
      <c r="AS433" s="420">
        <v>6.516</v>
      </c>
      <c r="AT433" s="420">
        <v>6.8422000000000001</v>
      </c>
      <c r="AU433" s="420">
        <v>7.8079999999999998</v>
      </c>
      <c r="AV433" s="420">
        <v>7.3404999999999996</v>
      </c>
      <c r="AW433" s="420">
        <v>8.3260000000000005</v>
      </c>
      <c r="AX433" s="420">
        <v>8.7051999999999996</v>
      </c>
      <c r="AY433" s="420">
        <v>8.8432999999999993</v>
      </c>
      <c r="AZ433" s="420">
        <v>13.329000000000001</v>
      </c>
      <c r="BA433" s="420">
        <v>14.645799999999999</v>
      </c>
      <c r="BB433" s="420">
        <v>16.669</v>
      </c>
      <c r="BC433" s="420">
        <v>18.503799999999998</v>
      </c>
      <c r="BD433" s="420">
        <v>18.6983</v>
      </c>
      <c r="BE433" s="420">
        <v>19.146000000000001</v>
      </c>
      <c r="BF433" s="420">
        <v>25.8231</v>
      </c>
      <c r="BG433" s="420">
        <v>27.3767</v>
      </c>
    </row>
    <row r="434" spans="2:59" ht="13.5" customHeight="1">
      <c r="B434" s="1" t="s">
        <v>615</v>
      </c>
      <c r="C434" s="370">
        <v>2.1850000000000001</v>
      </c>
      <c r="D434" s="370">
        <v>2.7271000000000001</v>
      </c>
      <c r="E434" s="370">
        <v>3.0059</v>
      </c>
      <c r="F434" s="370">
        <v>3.6307999999999998</v>
      </c>
      <c r="G434" s="370">
        <v>4.7576999999999998</v>
      </c>
      <c r="H434" s="370">
        <v>5.6604000000000001</v>
      </c>
      <c r="I434" s="370">
        <v>7.0119999999999996</v>
      </c>
      <c r="J434" s="370">
        <v>8.8796999999999997</v>
      </c>
      <c r="K434" s="370">
        <v>16.489999999999998</v>
      </c>
      <c r="L434" s="370">
        <f>AVERAGE(BD434:BG434)</f>
        <v>21.226125</v>
      </c>
      <c r="Q434" s="371">
        <v>1.7865</v>
      </c>
      <c r="R434" s="371">
        <v>1.8427</v>
      </c>
      <c r="S434" s="371">
        <v>1.9782</v>
      </c>
      <c r="T434" s="371">
        <v>2.0301999999999998</v>
      </c>
      <c r="U434" s="372">
        <v>2.2252999999999998</v>
      </c>
      <c r="V434" s="372">
        <v>2.1221000000000001</v>
      </c>
      <c r="W434" s="372">
        <v>2.1505000000000001</v>
      </c>
      <c r="X434" s="372">
        <v>2.2421000000000002</v>
      </c>
      <c r="Y434" s="373">
        <v>2.4632999999999998</v>
      </c>
      <c r="Z434" s="373">
        <v>2.6570999999999998</v>
      </c>
      <c r="AA434" s="373">
        <v>2.8513000000000002</v>
      </c>
      <c r="AB434" s="373">
        <v>2.9365999999999999</v>
      </c>
      <c r="AC434" s="374">
        <v>2.9201999999999999</v>
      </c>
      <c r="AD434" s="374">
        <v>2.8736000000000002</v>
      </c>
      <c r="AE434" s="374">
        <v>2.9706000000000001</v>
      </c>
      <c r="AF434" s="374">
        <v>3.2591000000000001</v>
      </c>
      <c r="AG434" s="375">
        <v>3.6665000000000001</v>
      </c>
      <c r="AH434" s="375">
        <v>3.5625</v>
      </c>
      <c r="AI434" s="375">
        <v>3.4998999999999998</v>
      </c>
      <c r="AJ434" s="374">
        <v>3.7942</v>
      </c>
      <c r="AK434" s="374">
        <v>3.8077000000000001</v>
      </c>
      <c r="AL434" s="375">
        <v>4.2638999999999996</v>
      </c>
      <c r="AM434" s="375">
        <v>5.5223000000000004</v>
      </c>
      <c r="AN434" s="374">
        <v>5.4368999999999996</v>
      </c>
      <c r="AO434" s="374">
        <v>5.3377999999999997</v>
      </c>
      <c r="AP434" s="375">
        <v>5.8478000000000003</v>
      </c>
      <c r="AQ434" s="374">
        <v>5.6973000000000003</v>
      </c>
      <c r="AR434" s="374">
        <v>5.7587999999999999</v>
      </c>
      <c r="AS434" s="374">
        <v>6.1418999999999997</v>
      </c>
      <c r="AT434" s="374">
        <v>6.8239000000000001</v>
      </c>
      <c r="AU434" s="374">
        <v>7.1890999999999998</v>
      </c>
      <c r="AV434" s="374">
        <v>7.8933</v>
      </c>
      <c r="AW434" s="374">
        <v>7.5086000000000004</v>
      </c>
      <c r="AX434" s="374">
        <v>8.4135000000000009</v>
      </c>
      <c r="AY434" s="374">
        <v>8.5212000000000003</v>
      </c>
      <c r="AZ434" s="374">
        <v>11.075699999999999</v>
      </c>
      <c r="BA434" s="374">
        <v>13.877800000000001</v>
      </c>
      <c r="BB434" s="374">
        <v>15.599600000000001</v>
      </c>
      <c r="BC434" s="374">
        <v>17.881699999999999</v>
      </c>
      <c r="BD434" s="374">
        <v>18.600999999999999</v>
      </c>
      <c r="BE434" s="374">
        <v>18.857700000000001</v>
      </c>
      <c r="BF434" s="374">
        <v>20.740600000000001</v>
      </c>
      <c r="BG434" s="374">
        <v>26.705200000000001</v>
      </c>
    </row>
    <row r="435" spans="2:59" s="5" customFormat="1" ht="13.5" customHeight="1">
      <c r="B435" s="5" t="s">
        <v>616</v>
      </c>
      <c r="C435" s="370"/>
      <c r="D435" s="370"/>
      <c r="E435" s="370"/>
      <c r="F435" s="370"/>
      <c r="G435" s="370"/>
      <c r="H435" s="370"/>
      <c r="I435" s="370"/>
      <c r="J435" s="370"/>
      <c r="K435" s="370"/>
      <c r="L435" s="370"/>
      <c r="P435" s="155"/>
      <c r="Q435" s="371"/>
      <c r="R435" s="371"/>
      <c r="S435" s="371"/>
      <c r="T435" s="371"/>
      <c r="U435" s="372"/>
      <c r="V435" s="372"/>
      <c r="W435" s="372"/>
      <c r="X435" s="372"/>
      <c r="Y435" s="373"/>
      <c r="Z435" s="373"/>
      <c r="AA435" s="373"/>
      <c r="AB435" s="373"/>
      <c r="AC435" s="374"/>
      <c r="AD435" s="374"/>
      <c r="AE435" s="374"/>
      <c r="AF435" s="374"/>
      <c r="AG435" s="375"/>
      <c r="AH435" s="375"/>
      <c r="AI435" s="375"/>
      <c r="AJ435" s="374"/>
      <c r="AK435" s="374"/>
      <c r="AL435" s="375"/>
      <c r="AM435" s="375"/>
      <c r="AN435" s="374"/>
      <c r="AO435" s="374"/>
      <c r="AP435" s="375"/>
      <c r="AQ435" s="374"/>
      <c r="AR435" s="374"/>
      <c r="AS435" s="374"/>
      <c r="AT435" s="374"/>
      <c r="AU435" s="374"/>
      <c r="AV435" s="374"/>
      <c r="AW435" s="374"/>
      <c r="AX435" s="374"/>
      <c r="AY435" s="374"/>
      <c r="AZ435" s="374"/>
      <c r="BA435" s="374"/>
      <c r="BB435" s="374"/>
      <c r="BC435" s="374"/>
      <c r="BD435" s="374"/>
      <c r="BE435" s="374"/>
      <c r="BF435" s="374"/>
      <c r="BG435" s="374"/>
    </row>
    <row r="436" spans="2:59" ht="13.5" customHeight="1">
      <c r="B436" s="1" t="s">
        <v>614</v>
      </c>
      <c r="C436" s="370">
        <v>2.8207</v>
      </c>
      <c r="D436" s="370">
        <v>3.1776</v>
      </c>
      <c r="E436" s="370">
        <v>3.7099000000000002</v>
      </c>
      <c r="F436" s="370">
        <v>4.5155000000000003</v>
      </c>
      <c r="G436" s="370">
        <v>6.0279999999999996</v>
      </c>
      <c r="H436" s="370">
        <v>6.6505999999999998</v>
      </c>
      <c r="I436" s="370">
        <v>9.0078999999999994</v>
      </c>
      <c r="J436" s="370">
        <v>15.0867</v>
      </c>
      <c r="K436" s="370">
        <v>19.934899999999999</v>
      </c>
      <c r="L436" s="370">
        <f>BG436</f>
        <v>29.0305</v>
      </c>
      <c r="Q436" s="797">
        <v>2.3189000000000002</v>
      </c>
      <c r="R436" s="797">
        <v>2.5137</v>
      </c>
      <c r="S436" s="797">
        <v>2.7484000000000002</v>
      </c>
      <c r="T436" s="797">
        <v>2.9365000000000001</v>
      </c>
      <c r="U436" s="798">
        <v>3.0072000000000001</v>
      </c>
      <c r="V436" s="798">
        <v>2.8919000000000001</v>
      </c>
      <c r="W436" s="798">
        <v>2.8914</v>
      </c>
      <c r="X436" s="798">
        <v>2.8207</v>
      </c>
      <c r="Y436" s="799">
        <v>2.8309000000000002</v>
      </c>
      <c r="Z436" s="799">
        <v>2.9822000000000002</v>
      </c>
      <c r="AA436" s="799">
        <v>3.4211999999999998</v>
      </c>
      <c r="AB436" s="799">
        <v>3.1776</v>
      </c>
      <c r="AC436" s="420">
        <v>3.2081</v>
      </c>
      <c r="AD436" s="420">
        <v>3.2044000000000001</v>
      </c>
      <c r="AE436" s="420">
        <v>3.3607999999999998</v>
      </c>
      <c r="AF436" s="420">
        <v>3.7099000000000002</v>
      </c>
      <c r="AG436" s="800">
        <v>3.9083000000000001</v>
      </c>
      <c r="AH436" s="800">
        <v>4.0030000000000001</v>
      </c>
      <c r="AI436" s="800">
        <v>4.1924000000000001</v>
      </c>
      <c r="AJ436" s="420">
        <v>4.5155000000000003</v>
      </c>
      <c r="AK436" s="420">
        <v>4.8673000000000002</v>
      </c>
      <c r="AL436" s="800">
        <v>5.3091999999999997</v>
      </c>
      <c r="AM436" s="800">
        <v>6.9504999999999999</v>
      </c>
      <c r="AN436" s="420">
        <v>6.0279999999999996</v>
      </c>
      <c r="AO436" s="420">
        <v>6.3188000000000004</v>
      </c>
      <c r="AP436" s="800">
        <v>6.5507</v>
      </c>
      <c r="AQ436" s="420">
        <v>6.1836000000000002</v>
      </c>
      <c r="AR436" s="420">
        <v>6.6505999999999998</v>
      </c>
      <c r="AS436" s="420">
        <v>7.2149999999999999</v>
      </c>
      <c r="AT436" s="420">
        <v>7.7081999999999997</v>
      </c>
      <c r="AU436" s="420">
        <v>9.1280999999999999</v>
      </c>
      <c r="AV436" s="420">
        <v>9.0078999999999994</v>
      </c>
      <c r="AW436" s="420">
        <v>9.7741000000000007</v>
      </c>
      <c r="AX436" s="420">
        <v>10.3645</v>
      </c>
      <c r="AY436" s="420">
        <v>10.313499999999999</v>
      </c>
      <c r="AZ436" s="420">
        <v>15.0867</v>
      </c>
      <c r="BA436" s="420">
        <v>16.308599999999998</v>
      </c>
      <c r="BB436" s="420">
        <v>17.522099999999998</v>
      </c>
      <c r="BC436" s="420">
        <v>17.923200000000001</v>
      </c>
      <c r="BD436" s="420">
        <v>19.934899999999999</v>
      </c>
      <c r="BE436" s="420">
        <v>20.802099999999999</v>
      </c>
      <c r="BF436" s="420">
        <v>28.154</v>
      </c>
      <c r="BG436" s="420">
        <v>29.0305</v>
      </c>
    </row>
    <row r="437" spans="2:59" ht="13.5" customHeight="1">
      <c r="B437" s="1" t="s">
        <v>615</v>
      </c>
      <c r="C437" s="370">
        <v>2.9003999999999999</v>
      </c>
      <c r="D437" s="370">
        <v>3.0219</v>
      </c>
      <c r="E437" s="370">
        <v>3.3178999999999998</v>
      </c>
      <c r="F437" s="370">
        <v>4.1086999999999998</v>
      </c>
      <c r="G437" s="370">
        <v>5.5976999999999997</v>
      </c>
      <c r="H437" s="370">
        <v>6.3339999999999996</v>
      </c>
      <c r="I437" s="370">
        <v>8.0254999999999992</v>
      </c>
      <c r="J437" s="370">
        <v>10.481</v>
      </c>
      <c r="K437" s="370">
        <v>17.3108</v>
      </c>
      <c r="L437" s="370">
        <f>AVERAGE(BD437:BG437)</f>
        <v>22.678674999999998</v>
      </c>
      <c r="Q437" s="371">
        <v>2.3595000000000002</v>
      </c>
      <c r="R437" s="371">
        <v>2.3957000000000002</v>
      </c>
      <c r="S437" s="371">
        <v>2.6259999999999999</v>
      </c>
      <c r="T437" s="371">
        <v>2.7747000000000002</v>
      </c>
      <c r="U437" s="372">
        <v>3.0409999999999999</v>
      </c>
      <c r="V437" s="372">
        <v>2.9106000000000001</v>
      </c>
      <c r="W437" s="372">
        <v>2.8500999999999999</v>
      </c>
      <c r="X437" s="372">
        <v>2.7999000000000001</v>
      </c>
      <c r="Y437" s="373">
        <v>2.7934000000000001</v>
      </c>
      <c r="Z437" s="373">
        <v>2.9171</v>
      </c>
      <c r="AA437" s="373">
        <v>3.1772</v>
      </c>
      <c r="AB437" s="373">
        <v>3.2</v>
      </c>
      <c r="AC437" s="374">
        <v>3.2172000000000001</v>
      </c>
      <c r="AD437" s="374">
        <v>3.2292000000000001</v>
      </c>
      <c r="AE437" s="374">
        <v>3.3104</v>
      </c>
      <c r="AF437" s="374">
        <v>3.5146999999999999</v>
      </c>
      <c r="AG437" s="375">
        <v>3.9011999999999998</v>
      </c>
      <c r="AH437" s="375">
        <v>3.9348000000000001</v>
      </c>
      <c r="AI437" s="375">
        <v>4.1241000000000003</v>
      </c>
      <c r="AJ437" s="374">
        <v>4.4747000000000003</v>
      </c>
      <c r="AK437" s="374">
        <v>4.6795</v>
      </c>
      <c r="AL437" s="375">
        <v>5.0636000000000001</v>
      </c>
      <c r="AM437" s="375">
        <v>6.4356</v>
      </c>
      <c r="AN437" s="374">
        <v>6.2121000000000004</v>
      </c>
      <c r="AO437" s="374">
        <v>6.0777000000000001</v>
      </c>
      <c r="AP437" s="375">
        <v>6.5488</v>
      </c>
      <c r="AQ437" s="374">
        <v>6.3388999999999998</v>
      </c>
      <c r="AR437" s="374">
        <v>6.3705999999999996</v>
      </c>
      <c r="AS437" s="374">
        <v>6.7900999999999998</v>
      </c>
      <c r="AT437" s="374">
        <v>7.5382999999999996</v>
      </c>
      <c r="AU437" s="374">
        <v>8.4186999999999994</v>
      </c>
      <c r="AV437" s="374">
        <v>9.3551000000000002</v>
      </c>
      <c r="AW437" s="374">
        <v>9.0683000000000007</v>
      </c>
      <c r="AX437" s="374">
        <v>10.131</v>
      </c>
      <c r="AY437" s="374">
        <v>10.0656</v>
      </c>
      <c r="AZ437" s="374">
        <v>12.6591</v>
      </c>
      <c r="BA437" s="374">
        <v>15.520300000000001</v>
      </c>
      <c r="BB437" s="374">
        <v>16.7104</v>
      </c>
      <c r="BC437" s="374">
        <v>18.0379</v>
      </c>
      <c r="BD437" s="374">
        <v>18.974799999999998</v>
      </c>
      <c r="BE437" s="374">
        <v>20.2424</v>
      </c>
      <c r="BF437" s="374">
        <v>22.533100000000001</v>
      </c>
      <c r="BG437" s="374">
        <v>28.964400000000001</v>
      </c>
    </row>
    <row r="438" spans="2:59" s="5" customFormat="1" ht="13.5" customHeight="1">
      <c r="B438" s="5" t="s">
        <v>617</v>
      </c>
      <c r="C438" s="370"/>
      <c r="D438" s="370"/>
      <c r="E438" s="370"/>
      <c r="F438" s="370"/>
      <c r="G438" s="370"/>
      <c r="H438" s="370"/>
      <c r="I438" s="370"/>
      <c r="J438" s="370"/>
      <c r="K438" s="370"/>
      <c r="L438" s="370"/>
      <c r="P438" s="155"/>
      <c r="Q438" s="365"/>
      <c r="R438" s="365"/>
      <c r="S438" s="365"/>
      <c r="T438" s="365"/>
      <c r="U438" s="366"/>
      <c r="V438" s="366"/>
      <c r="W438" s="366"/>
      <c r="X438" s="366"/>
      <c r="Y438" s="367"/>
      <c r="Z438" s="367"/>
      <c r="AA438" s="367"/>
      <c r="AB438" s="367"/>
      <c r="AC438" s="368"/>
      <c r="AD438" s="368"/>
      <c r="AE438" s="374"/>
      <c r="AF438" s="368"/>
      <c r="AG438" s="369"/>
      <c r="AH438" s="369"/>
      <c r="AI438" s="375"/>
      <c r="AJ438" s="368"/>
      <c r="AK438" s="368"/>
      <c r="AL438" s="369"/>
      <c r="AM438" s="369"/>
      <c r="AN438" s="368"/>
      <c r="AO438" s="368"/>
      <c r="AP438" s="369"/>
      <c r="AQ438" s="368"/>
      <c r="AR438" s="368"/>
      <c r="AS438" s="368"/>
      <c r="AT438" s="368"/>
      <c r="AU438" s="368"/>
      <c r="AV438" s="368"/>
      <c r="AW438" s="368"/>
      <c r="AX438" s="368"/>
      <c r="AY438" s="368"/>
      <c r="AZ438" s="368"/>
      <c r="BA438" s="368"/>
      <c r="BB438" s="368"/>
      <c r="BC438" s="368"/>
      <c r="BD438" s="368"/>
      <c r="BE438" s="368"/>
      <c r="BF438" s="368"/>
      <c r="BG438" s="368"/>
    </row>
    <row r="439" spans="2:59" ht="13.5" customHeight="1">
      <c r="B439" s="1" t="s">
        <v>614</v>
      </c>
      <c r="C439" s="370">
        <v>15.77</v>
      </c>
      <c r="D439" s="370">
        <v>24</v>
      </c>
      <c r="E439" s="370">
        <v>27.19</v>
      </c>
      <c r="F439" s="370">
        <v>28.07</v>
      </c>
      <c r="G439" s="370">
        <v>27.69</v>
      </c>
      <c r="H439" s="370">
        <v>23.69</v>
      </c>
      <c r="I439" s="370">
        <v>28.27</v>
      </c>
      <c r="J439" s="370">
        <v>27.28</v>
      </c>
      <c r="K439" s="370">
        <v>36.568600000000004</v>
      </c>
      <c r="L439" s="370">
        <f>BG439</f>
        <v>36.568600000000004</v>
      </c>
      <c r="Q439" s="801">
        <v>7.99</v>
      </c>
      <c r="R439" s="801">
        <v>7.99</v>
      </c>
      <c r="S439" s="801">
        <v>7.99</v>
      </c>
      <c r="T439" s="801">
        <v>7.99</v>
      </c>
      <c r="U439" s="802">
        <v>10.95</v>
      </c>
      <c r="V439" s="802">
        <v>11.82</v>
      </c>
      <c r="W439" s="802">
        <v>12.95</v>
      </c>
      <c r="X439" s="802">
        <v>15.77</v>
      </c>
      <c r="Y439" s="803">
        <v>23.44</v>
      </c>
      <c r="Z439" s="803">
        <v>21.02</v>
      </c>
      <c r="AA439" s="803">
        <v>21.53</v>
      </c>
      <c r="AB439" s="803">
        <v>24</v>
      </c>
      <c r="AC439" s="421">
        <v>26.22</v>
      </c>
      <c r="AD439" s="421">
        <v>24.85</v>
      </c>
      <c r="AE439" s="421">
        <v>25.91</v>
      </c>
      <c r="AF439" s="421">
        <v>27.19</v>
      </c>
      <c r="AG439" s="804">
        <v>26.98</v>
      </c>
      <c r="AH439" s="804">
        <v>26.1</v>
      </c>
      <c r="AI439" s="804">
        <v>26.52</v>
      </c>
      <c r="AJ439" s="421">
        <v>28.07</v>
      </c>
      <c r="AK439" s="421">
        <v>26.54</v>
      </c>
      <c r="AL439" s="804">
        <v>26.19</v>
      </c>
      <c r="AM439" s="804">
        <v>28.3</v>
      </c>
      <c r="AN439" s="421">
        <v>27.69</v>
      </c>
      <c r="AO439" s="421">
        <v>27.25</v>
      </c>
      <c r="AP439" s="804">
        <v>26.17</v>
      </c>
      <c r="AQ439" s="421">
        <v>24.08</v>
      </c>
      <c r="AR439" s="421">
        <v>23.69</v>
      </c>
      <c r="AS439" s="421">
        <v>28.06</v>
      </c>
      <c r="AT439" s="421">
        <v>26.69</v>
      </c>
      <c r="AU439" s="421">
        <v>28.3</v>
      </c>
      <c r="AV439" s="421">
        <v>28.27</v>
      </c>
      <c r="AW439" s="421">
        <v>27.89</v>
      </c>
      <c r="AX439" s="421">
        <v>27.18</v>
      </c>
      <c r="AY439" s="421">
        <v>26.58</v>
      </c>
      <c r="AZ439" s="421">
        <v>27.28</v>
      </c>
      <c r="BA439" s="421">
        <v>29.254899999999999</v>
      </c>
      <c r="BB439" s="421">
        <v>29.254899999999999</v>
      </c>
      <c r="BC439" s="421">
        <v>36.568600000000004</v>
      </c>
      <c r="BD439" s="421">
        <v>36.568600000000004</v>
      </c>
      <c r="BE439" s="421">
        <v>36.568600000000004</v>
      </c>
      <c r="BF439" s="421">
        <v>36.568600000000004</v>
      </c>
      <c r="BG439" s="421">
        <v>36.568600000000004</v>
      </c>
    </row>
    <row r="440" spans="2:59" ht="13.5" customHeight="1">
      <c r="B440" s="1" t="s">
        <v>615</v>
      </c>
      <c r="C440" s="370">
        <v>11.87</v>
      </c>
      <c r="D440" s="370">
        <v>21.79</v>
      </c>
      <c r="E440" s="370">
        <v>25.56</v>
      </c>
      <c r="F440" s="370">
        <v>26.64</v>
      </c>
      <c r="G440" s="370">
        <v>27.32</v>
      </c>
      <c r="H440" s="370">
        <v>25.9</v>
      </c>
      <c r="I440" s="370">
        <v>27.04</v>
      </c>
      <c r="J440" s="370">
        <v>27.34</v>
      </c>
      <c r="K440" s="370">
        <v>32.485399999999998</v>
      </c>
      <c r="L440" s="370">
        <f>AVERAGE(BD440:BG440)</f>
        <v>36.568600000000004</v>
      </c>
      <c r="Q440" s="376">
        <v>7.99</v>
      </c>
      <c r="R440" s="376">
        <v>7.99</v>
      </c>
      <c r="S440" s="376">
        <v>7.99</v>
      </c>
      <c r="T440" s="376">
        <v>7.99</v>
      </c>
      <c r="U440" s="377">
        <v>9.15</v>
      </c>
      <c r="V440" s="377">
        <v>11.52</v>
      </c>
      <c r="W440" s="377">
        <v>12.7</v>
      </c>
      <c r="X440" s="377">
        <v>14.09</v>
      </c>
      <c r="Y440" s="378">
        <v>21.18</v>
      </c>
      <c r="Z440" s="378">
        <v>21.44</v>
      </c>
      <c r="AA440" s="378">
        <v>21.36</v>
      </c>
      <c r="AB440" s="378">
        <v>23.18</v>
      </c>
      <c r="AC440" s="379">
        <v>25.77</v>
      </c>
      <c r="AD440" s="379">
        <v>25.3</v>
      </c>
      <c r="AE440" s="379">
        <v>25.28</v>
      </c>
      <c r="AF440" s="379">
        <v>25.88</v>
      </c>
      <c r="AG440" s="380">
        <v>27.09</v>
      </c>
      <c r="AH440" s="380">
        <v>26.48</v>
      </c>
      <c r="AI440" s="380">
        <v>25.94</v>
      </c>
      <c r="AJ440" s="379">
        <v>27.05</v>
      </c>
      <c r="AK440" s="379">
        <v>27.42</v>
      </c>
      <c r="AL440" s="380">
        <v>26.24</v>
      </c>
      <c r="AM440" s="380">
        <v>27.43</v>
      </c>
      <c r="AN440" s="379">
        <v>28.18</v>
      </c>
      <c r="AO440" s="379">
        <v>27.41</v>
      </c>
      <c r="AP440" s="380">
        <v>26.73</v>
      </c>
      <c r="AQ440" s="379">
        <v>25.15</v>
      </c>
      <c r="AR440" s="379">
        <v>24.31</v>
      </c>
      <c r="AS440" s="379">
        <v>25.12</v>
      </c>
      <c r="AT440" s="379">
        <v>27.08</v>
      </c>
      <c r="AU440" s="379">
        <v>27.55</v>
      </c>
      <c r="AV440" s="379">
        <v>28.4</v>
      </c>
      <c r="AW440" s="379">
        <v>28.07</v>
      </c>
      <c r="AX440" s="379">
        <v>27.59</v>
      </c>
      <c r="AY440" s="379">
        <v>26.87</v>
      </c>
      <c r="AZ440" s="379">
        <v>26.81</v>
      </c>
      <c r="BA440" s="379">
        <v>28.7685</v>
      </c>
      <c r="BB440" s="379">
        <v>29.254899999999999</v>
      </c>
      <c r="BC440" s="379">
        <v>35.349699999999999</v>
      </c>
      <c r="BD440" s="379">
        <v>36.568600000000004</v>
      </c>
      <c r="BE440" s="379">
        <v>36.568600000000004</v>
      </c>
      <c r="BF440" s="379">
        <v>36.568600000000004</v>
      </c>
      <c r="BG440" s="379">
        <v>36.568600000000004</v>
      </c>
    </row>
    <row r="441" spans="2:59" s="5" customFormat="1" ht="13.5" customHeight="1">
      <c r="B441" s="5" t="s">
        <v>618</v>
      </c>
      <c r="C441" s="370"/>
      <c r="D441" s="370"/>
      <c r="E441" s="370"/>
      <c r="F441" s="370"/>
      <c r="G441" s="370"/>
      <c r="H441" s="370"/>
      <c r="I441" s="370"/>
      <c r="J441" s="370"/>
      <c r="K441" s="370"/>
      <c r="L441" s="370"/>
      <c r="P441" s="155"/>
      <c r="Q441" s="376"/>
      <c r="R441" s="376"/>
      <c r="S441" s="376"/>
      <c r="T441" s="376"/>
      <c r="U441" s="377"/>
      <c r="V441" s="377"/>
      <c r="W441" s="377"/>
      <c r="X441" s="377"/>
      <c r="Y441" s="378"/>
      <c r="Z441" s="378"/>
      <c r="AA441" s="378"/>
      <c r="AB441" s="378"/>
      <c r="AC441" s="379"/>
      <c r="AD441" s="379"/>
      <c r="AE441" s="379"/>
      <c r="AF441" s="379"/>
      <c r="AG441" s="380"/>
      <c r="AH441" s="380"/>
      <c r="AI441" s="380"/>
      <c r="AJ441" s="379"/>
      <c r="AK441" s="379"/>
      <c r="AL441" s="380"/>
      <c r="AM441" s="380"/>
      <c r="AN441" s="379"/>
      <c r="AO441" s="379"/>
      <c r="AP441" s="380"/>
      <c r="AQ441" s="379"/>
      <c r="AR441" s="379"/>
      <c r="AS441" s="379"/>
      <c r="AT441" s="379"/>
      <c r="AU441" s="379"/>
      <c r="AV441" s="379"/>
      <c r="AW441" s="379"/>
      <c r="AX441" s="379"/>
      <c r="AY441" s="379"/>
      <c r="AZ441" s="379"/>
      <c r="BA441" s="379"/>
      <c r="BB441" s="379"/>
      <c r="BC441" s="379"/>
      <c r="BD441" s="379"/>
      <c r="BE441" s="379"/>
      <c r="BF441" s="379"/>
      <c r="BG441" s="379"/>
    </row>
    <row r="442" spans="2:59" ht="13.5" customHeight="1">
      <c r="B442" s="1" t="s">
        <v>614</v>
      </c>
      <c r="C442" s="370">
        <v>1.1850000000000001</v>
      </c>
      <c r="D442" s="370">
        <v>1.8569</v>
      </c>
      <c r="E442" s="370">
        <v>1.9584999999999999</v>
      </c>
      <c r="F442" s="370">
        <v>1.9726999999999999</v>
      </c>
      <c r="G442" s="370">
        <v>2.1598000000000002</v>
      </c>
      <c r="H442" s="370">
        <v>2.1036000000000001</v>
      </c>
      <c r="I442" s="370">
        <v>2.5789</v>
      </c>
      <c r="J442" s="370">
        <v>2.5480999999999998</v>
      </c>
      <c r="K442" s="370">
        <v>2.7364000000000002</v>
      </c>
      <c r="L442" s="370">
        <f>BG442</f>
        <v>3.2869999999999999</v>
      </c>
      <c r="Q442" s="805">
        <v>0.86699999999999999</v>
      </c>
      <c r="R442" s="805">
        <v>0.879</v>
      </c>
      <c r="S442" s="805">
        <v>0.90800000000000003</v>
      </c>
      <c r="T442" s="805">
        <v>0.95099999999999996</v>
      </c>
      <c r="U442" s="806">
        <v>0.98699999999999999</v>
      </c>
      <c r="V442" s="806">
        <v>1.02</v>
      </c>
      <c r="W442" s="806">
        <v>1.0580000000000001</v>
      </c>
      <c r="X442" s="806">
        <v>1.1850000000000001</v>
      </c>
      <c r="Y442" s="807">
        <v>1.474</v>
      </c>
      <c r="Z442" s="807">
        <v>1.5346</v>
      </c>
      <c r="AA442" s="807">
        <v>1.7703</v>
      </c>
      <c r="AB442" s="807">
        <v>1.8569</v>
      </c>
      <c r="AC442" s="483">
        <v>2.0133000000000001</v>
      </c>
      <c r="AD442" s="483">
        <v>2.0053000000000001</v>
      </c>
      <c r="AE442" s="483">
        <v>1.9263999999999999</v>
      </c>
      <c r="AF442" s="483">
        <v>1.9584999999999999</v>
      </c>
      <c r="AG442" s="808">
        <v>1.8720000000000001</v>
      </c>
      <c r="AH442" s="808">
        <v>1.9336</v>
      </c>
      <c r="AI442" s="808">
        <v>1.9622999999999999</v>
      </c>
      <c r="AJ442" s="483">
        <v>1.9726999999999999</v>
      </c>
      <c r="AK442" s="483">
        <v>1.9500999999999999</v>
      </c>
      <c r="AL442" s="808">
        <v>1.9898</v>
      </c>
      <c r="AM442" s="808">
        <v>2.1120999999999999</v>
      </c>
      <c r="AN442" s="483">
        <v>2.1598000000000002</v>
      </c>
      <c r="AO442" s="483">
        <v>2.1284999999999998</v>
      </c>
      <c r="AP442" s="808">
        <v>2.0432999999999999</v>
      </c>
      <c r="AQ442" s="483">
        <v>2.0743</v>
      </c>
      <c r="AR442" s="483">
        <v>2.1036000000000001</v>
      </c>
      <c r="AS442" s="483">
        <v>2.6023000000000001</v>
      </c>
      <c r="AT442" s="483">
        <v>2.4007999999999998</v>
      </c>
      <c r="AU442" s="483">
        <v>2.6402999999999999</v>
      </c>
      <c r="AV442" s="483">
        <v>2.5789</v>
      </c>
      <c r="AW442" s="483">
        <v>2.6242000000000001</v>
      </c>
      <c r="AX442" s="483">
        <v>2.5312000000000001</v>
      </c>
      <c r="AY442" s="483">
        <v>2.5083000000000002</v>
      </c>
      <c r="AZ442" s="483">
        <v>2.5480999999999998</v>
      </c>
      <c r="BA442" s="483">
        <v>2.9731999999999998</v>
      </c>
      <c r="BB442" s="483">
        <v>2.5234999999999999</v>
      </c>
      <c r="BC442" s="483">
        <v>2.4803000000000002</v>
      </c>
      <c r="BD442" s="483">
        <v>2.7364000000000002</v>
      </c>
      <c r="BE442" s="483">
        <v>2.8571</v>
      </c>
      <c r="BF442" s="483">
        <v>3.0314999999999999</v>
      </c>
      <c r="BG442" s="483">
        <v>3.2869999999999999</v>
      </c>
    </row>
    <row r="443" spans="2:59" ht="13.5" customHeight="1" thickBot="1">
      <c r="B443" s="1" t="s">
        <v>615</v>
      </c>
      <c r="C443" s="370">
        <v>1.0255000000000001</v>
      </c>
      <c r="D443" s="370">
        <v>1.5916999999999999</v>
      </c>
      <c r="E443" s="370">
        <v>1.9845999999999999</v>
      </c>
      <c r="F443" s="370">
        <v>1.9278</v>
      </c>
      <c r="G443" s="370">
        <v>2.0337999999999998</v>
      </c>
      <c r="H443" s="370">
        <v>2.0979000000000001</v>
      </c>
      <c r="I443" s="370">
        <v>2.4605000000000001</v>
      </c>
      <c r="J443" s="370">
        <v>2.5448</v>
      </c>
      <c r="K443" s="370">
        <v>2.6097999999999999</v>
      </c>
      <c r="L443" s="370">
        <f>AVERAGE(BD443:BG443)</f>
        <v>2.8299249999999998</v>
      </c>
      <c r="Q443" s="381">
        <v>0.86270000000000002</v>
      </c>
      <c r="R443" s="381">
        <v>0.86870000000000003</v>
      </c>
      <c r="S443" s="381">
        <v>0.89349999999999996</v>
      </c>
      <c r="T443" s="381">
        <v>0.92820000000000003</v>
      </c>
      <c r="U443" s="382">
        <v>0.96970000000000001</v>
      </c>
      <c r="V443" s="382">
        <v>1.0035000000000001</v>
      </c>
      <c r="W443" s="382">
        <v>1.0377000000000001</v>
      </c>
      <c r="X443" s="382">
        <v>1.0911999999999999</v>
      </c>
      <c r="Y443" s="383">
        <v>1.4528000000000001</v>
      </c>
      <c r="Z443" s="383">
        <v>1.4801</v>
      </c>
      <c r="AA443" s="383">
        <v>1.6428</v>
      </c>
      <c r="AB443" s="383">
        <v>1.7908999999999999</v>
      </c>
      <c r="AC443" s="384">
        <v>2.0552000000000001</v>
      </c>
      <c r="AD443" s="384">
        <v>1.9698</v>
      </c>
      <c r="AE443" s="384">
        <v>1.9732000000000001</v>
      </c>
      <c r="AF443" s="384">
        <v>1.9402999999999999</v>
      </c>
      <c r="AG443" s="385">
        <v>1.9109</v>
      </c>
      <c r="AH443" s="385">
        <v>1.8787</v>
      </c>
      <c r="AI443" s="385">
        <v>1.9403999999999999</v>
      </c>
      <c r="AJ443" s="384">
        <v>1.9812000000000001</v>
      </c>
      <c r="AK443" s="384">
        <v>1.9662999999999999</v>
      </c>
      <c r="AL443" s="385">
        <v>1.9975000000000001</v>
      </c>
      <c r="AM443" s="385">
        <v>2.0407999999999999</v>
      </c>
      <c r="AN443" s="384">
        <v>2.1307</v>
      </c>
      <c r="AO443" s="384">
        <v>2.1469999999999998</v>
      </c>
      <c r="AP443" s="385">
        <v>2.0966999999999998</v>
      </c>
      <c r="AQ443" s="384">
        <v>2.0638999999999998</v>
      </c>
      <c r="AR443" s="384">
        <v>2.0840000000000001</v>
      </c>
      <c r="AS443" s="384">
        <v>2.2433000000000001</v>
      </c>
      <c r="AT443" s="384">
        <v>2.4491999999999998</v>
      </c>
      <c r="AU443" s="384">
        <v>2.5407999999999999</v>
      </c>
      <c r="AV443" s="384">
        <v>2.6088</v>
      </c>
      <c r="AW443" s="384">
        <v>2.6112000000000002</v>
      </c>
      <c r="AX443" s="384">
        <v>2.5573999999999999</v>
      </c>
      <c r="AY443" s="384">
        <v>2.5087999999999999</v>
      </c>
      <c r="AZ443" s="384">
        <v>2.5019</v>
      </c>
      <c r="BA443" s="384">
        <v>2.7118000000000002</v>
      </c>
      <c r="BB443" s="384">
        <v>2.6634000000000002</v>
      </c>
      <c r="BC443" s="384">
        <v>2.5585</v>
      </c>
      <c r="BD443" s="384">
        <v>2.5055000000000001</v>
      </c>
      <c r="BE443" s="384">
        <v>2.7505000000000002</v>
      </c>
      <c r="BF443" s="384">
        <v>2.9308000000000001</v>
      </c>
      <c r="BG443" s="384">
        <v>3.1328999999999998</v>
      </c>
    </row>
    <row r="444" spans="2:59" ht="13.5" customHeight="1" thickTop="1">
      <c r="E444" s="386"/>
      <c r="F444" s="386"/>
      <c r="G444" s="386"/>
      <c r="H444" s="386"/>
      <c r="I444" s="386"/>
      <c r="J444" s="386"/>
      <c r="K444" s="386"/>
    </row>
    <row r="445" spans="2:59" ht="13.5" customHeight="1">
      <c r="C445" s="370"/>
      <c r="D445" s="370"/>
      <c r="E445" s="370"/>
      <c r="F445" s="370"/>
      <c r="G445" s="370"/>
      <c r="H445" s="370"/>
      <c r="I445" s="370"/>
      <c r="J445" s="370"/>
      <c r="K445" s="370"/>
    </row>
    <row r="446" spans="2:59" ht="13.5" customHeight="1">
      <c r="B446" s="1" t="s">
        <v>619</v>
      </c>
      <c r="E446" s="386"/>
      <c r="F446" s="809">
        <f>+F447+F448+F449</f>
        <v>-4090.4</v>
      </c>
      <c r="G446" s="809">
        <f>+G447+G448+G449</f>
        <v>-4643.8</v>
      </c>
      <c r="H446" s="393"/>
      <c r="I446" s="393"/>
      <c r="J446" s="393"/>
      <c r="K446" s="393"/>
      <c r="L446" s="393"/>
      <c r="Q446" s="809">
        <v>-199.5</v>
      </c>
      <c r="R446" s="809">
        <v>-355.3</v>
      </c>
      <c r="S446" s="809">
        <v>-449</v>
      </c>
      <c r="T446" s="809">
        <v>-818.5</v>
      </c>
      <c r="U446" s="809">
        <v>-340.4</v>
      </c>
      <c r="V446" s="809">
        <v>-314</v>
      </c>
      <c r="W446" s="809">
        <v>-555.1</v>
      </c>
      <c r="X446" s="809">
        <v>-935.3</v>
      </c>
      <c r="Y446" s="809">
        <v>-755.5</v>
      </c>
      <c r="Z446" s="809">
        <v>-957.4</v>
      </c>
      <c r="AA446" s="809">
        <v>-634.4</v>
      </c>
      <c r="AB446" s="809">
        <v>-6188.9</v>
      </c>
      <c r="AC446" s="809">
        <v>-738.40340616599394</v>
      </c>
      <c r="AD446" s="809">
        <v>-879.6</v>
      </c>
      <c r="AE446" s="809">
        <v>-743.2</v>
      </c>
      <c r="AF446" s="809">
        <v>-1133.5</v>
      </c>
      <c r="AG446" s="809">
        <v>-571.4</v>
      </c>
      <c r="AH446" s="809">
        <v>-773.3</v>
      </c>
      <c r="AI446" s="809">
        <v>-938.1</v>
      </c>
      <c r="AJ446" s="809">
        <v>-1806.6</v>
      </c>
      <c r="AK446" s="809">
        <v>-720.5</v>
      </c>
      <c r="AL446" s="809">
        <v>-1229.5999999999999</v>
      </c>
      <c r="AM446" s="809">
        <f>+AM447+AM448+AM449</f>
        <v>-1083.5999999999999</v>
      </c>
      <c r="AN446" s="809">
        <f>+AN447+AN448+AN449</f>
        <v>-1607.3999999999999</v>
      </c>
      <c r="AO446" s="393"/>
      <c r="AP446" s="393"/>
      <c r="AQ446" s="393"/>
      <c r="AR446" s="393"/>
      <c r="AS446" s="393"/>
      <c r="AT446" s="393"/>
      <c r="AU446" s="393"/>
      <c r="AV446" s="393"/>
      <c r="AW446" s="393"/>
      <c r="AX446" s="393"/>
      <c r="AY446" s="393"/>
      <c r="AZ446" s="393"/>
      <c r="BA446" s="393"/>
      <c r="BB446" s="393"/>
      <c r="BC446" s="393"/>
      <c r="BD446" s="393"/>
      <c r="BE446" s="393"/>
      <c r="BF446" s="393"/>
      <c r="BG446" s="393"/>
    </row>
    <row r="447" spans="2:59" ht="13.5" customHeight="1">
      <c r="B447" s="810" t="s">
        <v>56</v>
      </c>
      <c r="C447" s="811"/>
      <c r="D447" s="811"/>
      <c r="E447" s="811"/>
      <c r="F447" s="809">
        <v>-3821.5</v>
      </c>
      <c r="G447" s="809">
        <v>-3793</v>
      </c>
      <c r="H447" s="393"/>
      <c r="I447" s="393"/>
      <c r="J447" s="393"/>
      <c r="K447" s="393"/>
      <c r="L447" s="393"/>
      <c r="Q447" s="809">
        <v>-184.5</v>
      </c>
      <c r="R447" s="809">
        <v>-297.7</v>
      </c>
      <c r="S447" s="809">
        <v>-352.1</v>
      </c>
      <c r="T447" s="809">
        <v>-707.2</v>
      </c>
      <c r="U447" s="809">
        <v>-315.7</v>
      </c>
      <c r="V447" s="809">
        <v>-296.5</v>
      </c>
      <c r="W447" s="809">
        <v>-502.7</v>
      </c>
      <c r="X447" s="809">
        <v>-867.5</v>
      </c>
      <c r="Y447" s="809">
        <v>-343.9</v>
      </c>
      <c r="Z447" s="809">
        <v>-683.3</v>
      </c>
      <c r="AA447" s="809">
        <v>-506.4</v>
      </c>
      <c r="AB447" s="809">
        <v>-6218.1</v>
      </c>
      <c r="AC447" s="809">
        <v>-675.4</v>
      </c>
      <c r="AD447" s="809">
        <v>-801.6</v>
      </c>
      <c r="AE447" s="809">
        <v>-686.8</v>
      </c>
      <c r="AF447" s="809">
        <v>-980.7</v>
      </c>
      <c r="AG447" s="809">
        <v>-533.4</v>
      </c>
      <c r="AH447" s="809">
        <v>-698.1</v>
      </c>
      <c r="AI447" s="809">
        <v>-873.1</v>
      </c>
      <c r="AJ447" s="809" t="s">
        <v>620</v>
      </c>
      <c r="AK447" s="809">
        <v>-529.9</v>
      </c>
      <c r="AL447" s="809">
        <v>-999.9</v>
      </c>
      <c r="AM447" s="809">
        <v>-780</v>
      </c>
      <c r="AN447" s="809">
        <v>-1479.3</v>
      </c>
      <c r="AO447" s="393"/>
      <c r="AP447" s="393"/>
      <c r="AQ447" s="393"/>
      <c r="AR447" s="393"/>
      <c r="AS447" s="393"/>
      <c r="AT447" s="393"/>
      <c r="AU447" s="393"/>
      <c r="AV447" s="393"/>
      <c r="AW447" s="393"/>
      <c r="AX447" s="393"/>
      <c r="AY447" s="393"/>
      <c r="AZ447" s="393"/>
      <c r="BA447" s="393"/>
      <c r="BB447" s="393"/>
      <c r="BC447" s="393"/>
      <c r="BD447" s="393"/>
      <c r="BE447" s="393"/>
      <c r="BF447" s="393"/>
      <c r="BG447" s="393"/>
    </row>
    <row r="448" spans="2:59" ht="13.5" customHeight="1">
      <c r="B448" s="810" t="s">
        <v>621</v>
      </c>
      <c r="C448" s="811"/>
      <c r="D448" s="811"/>
      <c r="E448" s="811"/>
      <c r="F448" s="809">
        <v>-246.6</v>
      </c>
      <c r="G448" s="809">
        <v>-831</v>
      </c>
      <c r="H448" s="393"/>
      <c r="I448" s="393"/>
      <c r="J448" s="393"/>
      <c r="K448" s="393"/>
      <c r="L448" s="393"/>
      <c r="Q448" s="809">
        <v>-14.1</v>
      </c>
      <c r="R448" s="809">
        <v>-55.8</v>
      </c>
      <c r="S448" s="809">
        <v>-94.2</v>
      </c>
      <c r="T448" s="809">
        <v>-109.8</v>
      </c>
      <c r="U448" s="809">
        <v>-23</v>
      </c>
      <c r="V448" s="809">
        <v>-16.399999999999999</v>
      </c>
      <c r="W448" s="809">
        <v>-51.3</v>
      </c>
      <c r="X448" s="809">
        <v>-67.2</v>
      </c>
      <c r="Y448" s="809">
        <v>-408.4</v>
      </c>
      <c r="Z448" s="809">
        <v>-263.8</v>
      </c>
      <c r="AA448" s="809">
        <v>-126</v>
      </c>
      <c r="AB448" s="809">
        <v>28.1</v>
      </c>
      <c r="AC448" s="809">
        <v>-61.7</v>
      </c>
      <c r="AD448" s="809">
        <v>-71</v>
      </c>
      <c r="AE448" s="809">
        <v>-54.2</v>
      </c>
      <c r="AF448" s="809">
        <v>-149.69999999999999</v>
      </c>
      <c r="AG448" s="809">
        <v>-35</v>
      </c>
      <c r="AH448" s="809">
        <v>-67.599999999999994</v>
      </c>
      <c r="AI448" s="809">
        <v>-60.5</v>
      </c>
      <c r="AJ448" s="809" t="s">
        <v>622</v>
      </c>
      <c r="AK448" s="809">
        <v>-188.3</v>
      </c>
      <c r="AL448" s="809">
        <v>-222.3</v>
      </c>
      <c r="AM448" s="809">
        <v>-301.60000000000002</v>
      </c>
      <c r="AN448" s="809">
        <v>-121.6</v>
      </c>
      <c r="AO448" s="393"/>
      <c r="AP448" s="393"/>
      <c r="AQ448" s="393"/>
      <c r="AR448" s="393"/>
      <c r="AS448" s="393"/>
      <c r="AT448" s="393"/>
      <c r="AU448" s="393"/>
      <c r="AV448" s="393"/>
      <c r="AW448" s="393"/>
      <c r="AX448" s="393"/>
      <c r="AY448" s="393"/>
      <c r="AZ448" s="393"/>
      <c r="BA448" s="393"/>
      <c r="BB448" s="393"/>
      <c r="BC448" s="393"/>
      <c r="BD448" s="393"/>
      <c r="BE448" s="393"/>
      <c r="BF448" s="393"/>
      <c r="BG448" s="393"/>
    </row>
    <row r="449" spans="2:59" ht="13.5" customHeight="1">
      <c r="B449" s="810" t="s">
        <v>623</v>
      </c>
      <c r="C449" s="811"/>
      <c r="D449" s="811"/>
      <c r="E449" s="811"/>
      <c r="F449" s="809">
        <v>-22.3</v>
      </c>
      <c r="G449" s="809">
        <v>-19.8</v>
      </c>
      <c r="H449" s="393"/>
      <c r="I449" s="393"/>
      <c r="J449" s="393"/>
      <c r="K449" s="393"/>
      <c r="L449" s="393"/>
      <c r="Q449" s="809">
        <v>-0.9</v>
      </c>
      <c r="R449" s="809">
        <v>-1.7</v>
      </c>
      <c r="S449" s="809">
        <v>-2.7</v>
      </c>
      <c r="T449" s="809">
        <v>-1.5</v>
      </c>
      <c r="U449" s="809">
        <v>-1.6</v>
      </c>
      <c r="V449" s="809">
        <v>-1.1000000000000001</v>
      </c>
      <c r="W449" s="809">
        <v>-1.1000000000000001</v>
      </c>
      <c r="X449" s="809">
        <v>-0.6</v>
      </c>
      <c r="Y449" s="809">
        <v>-3.2</v>
      </c>
      <c r="Z449" s="809">
        <v>-10.3</v>
      </c>
      <c r="AA449" s="809">
        <v>-2</v>
      </c>
      <c r="AB449" s="809">
        <v>1.1000000000000001</v>
      </c>
      <c r="AC449" s="809">
        <v>-1.3</v>
      </c>
      <c r="AD449" s="809">
        <v>-7</v>
      </c>
      <c r="AE449" s="809">
        <v>-2.2000000000000002</v>
      </c>
      <c r="AF449" s="809">
        <v>-3.1</v>
      </c>
      <c r="AG449" s="809">
        <v>-3</v>
      </c>
      <c r="AH449" s="809">
        <v>-7.6</v>
      </c>
      <c r="AI449" s="809">
        <v>-4.5</v>
      </c>
      <c r="AJ449" s="809" t="s">
        <v>624</v>
      </c>
      <c r="AK449" s="809">
        <v>-2.4</v>
      </c>
      <c r="AL449" s="809">
        <v>-7.4</v>
      </c>
      <c r="AM449" s="809">
        <v>-2</v>
      </c>
      <c r="AN449" s="809">
        <v>-6.5</v>
      </c>
      <c r="AO449" s="393"/>
      <c r="AP449" s="393"/>
      <c r="AQ449" s="393"/>
      <c r="AR449" s="393"/>
      <c r="AS449" s="393"/>
      <c r="AT449" s="393"/>
      <c r="AU449" s="393"/>
      <c r="AV449" s="393"/>
      <c r="AW449" s="393"/>
      <c r="AX449" s="393"/>
      <c r="AY449" s="393"/>
      <c r="AZ449" s="393"/>
      <c r="BA449" s="393"/>
      <c r="BB449" s="393"/>
      <c r="BC449" s="393"/>
      <c r="BD449" s="393"/>
      <c r="BE449" s="393"/>
      <c r="BF449" s="393"/>
      <c r="BG449" s="393"/>
    </row>
    <row r="451" spans="2:59" s="5" customFormat="1" ht="13.5" customHeight="1">
      <c r="B451" s="5" t="s">
        <v>625</v>
      </c>
      <c r="P451" s="155"/>
    </row>
    <row r="452" spans="2:59" ht="13.5" customHeight="1">
      <c r="B452" s="394" t="s">
        <v>626</v>
      </c>
      <c r="F452" s="395">
        <v>3699.8</v>
      </c>
      <c r="G452" s="395">
        <v>3943.1</v>
      </c>
      <c r="H452" s="395">
        <v>4525.1000000000004</v>
      </c>
      <c r="I452" s="395">
        <v>5391.6</v>
      </c>
      <c r="J452" s="395">
        <v>7629.8</v>
      </c>
      <c r="K452" s="395">
        <v>10859.4</v>
      </c>
      <c r="L452" s="68">
        <f>SUM(BD452:BG452)</f>
        <v>15719.899999999998</v>
      </c>
      <c r="M452" s="68"/>
      <c r="AG452" s="395">
        <v>534.79999999999995</v>
      </c>
      <c r="AH452" s="395">
        <v>719.4</v>
      </c>
      <c r="AI452" s="395">
        <v>780.9</v>
      </c>
      <c r="AJ452" s="6">
        <f>F452-AI452-AH452-AG452</f>
        <v>1664.7</v>
      </c>
      <c r="AK452" s="395">
        <v>526.29999999999995</v>
      </c>
      <c r="AL452" s="395">
        <v>1062.4000000000001</v>
      </c>
      <c r="AM452" s="395">
        <v>905.8</v>
      </c>
      <c r="AN452" s="68">
        <f>G452-AM452-AL452-AK452</f>
        <v>1448.6000000000001</v>
      </c>
      <c r="AO452" s="395">
        <v>883.6</v>
      </c>
      <c r="AP452" s="395">
        <v>956</v>
      </c>
      <c r="AQ452" s="395">
        <v>989.5</v>
      </c>
      <c r="AR452" s="68">
        <f>H452-AQ452-AP452-AO452</f>
        <v>1696.0000000000005</v>
      </c>
      <c r="AS452" s="395">
        <v>836.7</v>
      </c>
      <c r="AT452" s="395">
        <v>1171.7</v>
      </c>
      <c r="AU452" s="395">
        <v>1477.5</v>
      </c>
      <c r="AV452" s="68">
        <f>I452-AU452-AT452-AS452</f>
        <v>1905.7000000000005</v>
      </c>
      <c r="AW452" s="395">
        <v>1467.9</v>
      </c>
      <c r="AX452" s="395">
        <v>2097.6999999999998</v>
      </c>
      <c r="AY452" s="395">
        <v>1379.2</v>
      </c>
      <c r="AZ452" s="68">
        <f>J452-AY452-AX452-AW452</f>
        <v>2685.0000000000005</v>
      </c>
      <c r="BA452" s="395">
        <v>1845.3</v>
      </c>
      <c r="BB452" s="395">
        <v>2047.7</v>
      </c>
      <c r="BC452" s="395">
        <v>2513</v>
      </c>
      <c r="BD452" s="68">
        <f>K452-BC452-BB452-BA452</f>
        <v>4453.3999999999996</v>
      </c>
      <c r="BE452" s="395">
        <v>3442.7</v>
      </c>
      <c r="BF452" s="395">
        <v>4017.6</v>
      </c>
      <c r="BG452" s="395">
        <v>3806.2</v>
      </c>
    </row>
    <row r="453" spans="2:59" ht="13.5" customHeight="1">
      <c r="B453" s="394" t="s">
        <v>627</v>
      </c>
      <c r="F453" s="395">
        <v>8</v>
      </c>
      <c r="G453" s="395">
        <v>414.1</v>
      </c>
      <c r="H453" s="395">
        <v>1.8</v>
      </c>
      <c r="I453" s="395">
        <v>42.8</v>
      </c>
      <c r="J453" s="395">
        <v>0</v>
      </c>
      <c r="K453" s="395">
        <v>317.5</v>
      </c>
      <c r="L453" s="68">
        <f>SUM(BD453:BG453)</f>
        <v>2956.2</v>
      </c>
      <c r="M453" s="68"/>
      <c r="AG453" s="395">
        <v>1.7</v>
      </c>
      <c r="AH453" s="395">
        <v>3.4</v>
      </c>
      <c r="AI453" s="395">
        <v>1.3</v>
      </c>
      <c r="AJ453" s="6">
        <f>F453-AI453-AH453-AG453</f>
        <v>1.6000000000000003</v>
      </c>
      <c r="AK453" s="395">
        <v>188</v>
      </c>
      <c r="AL453" s="395">
        <v>137.19999999999999</v>
      </c>
      <c r="AM453" s="395">
        <v>87.2</v>
      </c>
      <c r="AN453" s="68">
        <f>G453-AM453-AL453-AK453</f>
        <v>1.7000000000000455</v>
      </c>
      <c r="AO453" s="395">
        <v>0.7</v>
      </c>
      <c r="AP453" s="395">
        <v>0.5</v>
      </c>
      <c r="AQ453" s="395">
        <v>0.4</v>
      </c>
      <c r="AR453" s="68">
        <f>H453-AQ453-AP453-AO453</f>
        <v>0.19999999999999996</v>
      </c>
      <c r="AS453" s="395">
        <v>28.1</v>
      </c>
      <c r="AT453" s="395">
        <v>3.5</v>
      </c>
      <c r="AU453" s="395">
        <v>3.1</v>
      </c>
      <c r="AV453" s="68">
        <f>I453-AU453-AT453-AS453</f>
        <v>8.0999999999999943</v>
      </c>
      <c r="AW453" s="395">
        <v>0</v>
      </c>
      <c r="AX453" s="395">
        <v>0</v>
      </c>
      <c r="AY453" s="395">
        <v>0</v>
      </c>
      <c r="AZ453" s="68">
        <f>J453-AY453-AX453-AW453</f>
        <v>0</v>
      </c>
      <c r="BA453" s="395">
        <v>0</v>
      </c>
      <c r="BB453" s="395">
        <v>0</v>
      </c>
      <c r="BC453" s="395">
        <v>0</v>
      </c>
      <c r="BD453" s="68">
        <f>K453-BC453-BB453-BA453</f>
        <v>317.5</v>
      </c>
      <c r="BE453" s="395">
        <v>14.4</v>
      </c>
      <c r="BF453" s="395">
        <v>2615.6999999999998</v>
      </c>
      <c r="BG453" s="395">
        <v>8.6</v>
      </c>
    </row>
    <row r="454" spans="2:59" ht="13.5" customHeight="1">
      <c r="B454" s="394" t="s">
        <v>628</v>
      </c>
      <c r="F454" s="395">
        <v>382.6</v>
      </c>
      <c r="G454" s="395">
        <v>3286.9</v>
      </c>
      <c r="H454" s="395">
        <v>2697.8</v>
      </c>
      <c r="I454" s="395">
        <v>3644.6</v>
      </c>
      <c r="J454" s="395">
        <v>3849.6</v>
      </c>
      <c r="K454" s="395">
        <v>5183.6000000000004</v>
      </c>
      <c r="L454" s="68">
        <f>SUM(BD454:BG454)</f>
        <v>7526.7000000000007</v>
      </c>
      <c r="M454" s="68"/>
      <c r="AG454" s="395">
        <v>35</v>
      </c>
      <c r="AH454" s="395">
        <v>51.3</v>
      </c>
      <c r="AI454" s="395">
        <v>155.9</v>
      </c>
      <c r="AJ454" s="6">
        <f>F454-AI454-AH454-AG454</f>
        <v>140.40000000000003</v>
      </c>
      <c r="AK454" s="395">
        <v>1845.9</v>
      </c>
      <c r="AL454" s="395">
        <v>384.3</v>
      </c>
      <c r="AM454" s="395">
        <v>272.5</v>
      </c>
      <c r="AN454" s="68">
        <f>G454-AM454-AL454-AK454</f>
        <v>784.19999999999982</v>
      </c>
      <c r="AO454" s="395">
        <v>468.4</v>
      </c>
      <c r="AP454" s="395">
        <v>851.3</v>
      </c>
      <c r="AQ454" s="395">
        <v>628.9</v>
      </c>
      <c r="AR454" s="68">
        <f>H454-AQ454-AP454-AO454</f>
        <v>749.20000000000016</v>
      </c>
      <c r="AS454" s="395">
        <v>695.2</v>
      </c>
      <c r="AT454" s="395">
        <v>586.4</v>
      </c>
      <c r="AU454" s="395">
        <v>1392.1</v>
      </c>
      <c r="AV454" s="68">
        <f>I454-AU454-AT454-AS454</f>
        <v>970.89999999999986</v>
      </c>
      <c r="AW454" s="395">
        <v>789.4</v>
      </c>
      <c r="AX454" s="395">
        <v>615.4</v>
      </c>
      <c r="AY454" s="395">
        <v>837.4</v>
      </c>
      <c r="AZ454" s="68">
        <f>J454-AY454-AX454-AW454</f>
        <v>1607.3999999999996</v>
      </c>
      <c r="BA454" s="395">
        <v>1073.0999999999999</v>
      </c>
      <c r="BB454" s="395">
        <v>1063.0999999999999</v>
      </c>
      <c r="BC454" s="395">
        <v>1384.8</v>
      </c>
      <c r="BD454" s="68">
        <f>K454-BC454-BB454-BA454</f>
        <v>1662.6000000000004</v>
      </c>
      <c r="BE454" s="395">
        <v>1981.4</v>
      </c>
      <c r="BF454" s="395">
        <v>1595.8</v>
      </c>
      <c r="BG454" s="395">
        <v>2286.9</v>
      </c>
    </row>
    <row r="455" spans="2:59" s="5" customFormat="1" ht="13.5" customHeight="1">
      <c r="B455" s="5" t="s">
        <v>629</v>
      </c>
      <c r="F455" s="407">
        <f t="shared" ref="F455:L455" si="851">+F454+F452+F453</f>
        <v>4090.4</v>
      </c>
      <c r="G455" s="407">
        <f t="shared" si="851"/>
        <v>7644.1</v>
      </c>
      <c r="H455" s="407">
        <f t="shared" si="851"/>
        <v>7224.7000000000007</v>
      </c>
      <c r="I455" s="407">
        <f t="shared" si="851"/>
        <v>9079</v>
      </c>
      <c r="J455" s="407">
        <f t="shared" si="851"/>
        <v>11479.4</v>
      </c>
      <c r="K455" s="407">
        <f>+K454+K452+K453</f>
        <v>16360.5</v>
      </c>
      <c r="L455" s="407">
        <f t="shared" si="851"/>
        <v>26202.799999999999</v>
      </c>
      <c r="M455" s="407"/>
      <c r="P455" s="155"/>
      <c r="AG455" s="407">
        <f t="shared" ref="AG455:AP455" si="852">+AG454+AG452+AG453</f>
        <v>571.5</v>
      </c>
      <c r="AH455" s="407">
        <f t="shared" si="852"/>
        <v>774.09999999999991</v>
      </c>
      <c r="AI455" s="407">
        <f t="shared" si="852"/>
        <v>938.09999999999991</v>
      </c>
      <c r="AJ455" s="407">
        <f t="shared" si="852"/>
        <v>1806.7</v>
      </c>
      <c r="AK455" s="407">
        <f t="shared" si="852"/>
        <v>2560.1999999999998</v>
      </c>
      <c r="AL455" s="407">
        <f t="shared" si="852"/>
        <v>1583.9</v>
      </c>
      <c r="AM455" s="407">
        <f t="shared" si="852"/>
        <v>1265.5</v>
      </c>
      <c r="AN455" s="407">
        <f t="shared" si="852"/>
        <v>2234.5</v>
      </c>
      <c r="AO455" s="407">
        <f t="shared" si="852"/>
        <v>1352.7</v>
      </c>
      <c r="AP455" s="407">
        <f t="shared" si="852"/>
        <v>1807.8</v>
      </c>
      <c r="AQ455" s="407">
        <f t="shared" ref="AQ455:AW455" si="853">+AQ454+AQ452+AQ453</f>
        <v>1618.8000000000002</v>
      </c>
      <c r="AR455" s="407">
        <f t="shared" si="853"/>
        <v>2445.4000000000005</v>
      </c>
      <c r="AS455" s="407">
        <f t="shared" si="853"/>
        <v>1560</v>
      </c>
      <c r="AT455" s="407">
        <f t="shared" si="853"/>
        <v>1761.6</v>
      </c>
      <c r="AU455" s="407">
        <f t="shared" si="853"/>
        <v>2872.7</v>
      </c>
      <c r="AV455" s="407">
        <f t="shared" si="853"/>
        <v>2884.7000000000003</v>
      </c>
      <c r="AW455" s="407">
        <f t="shared" si="853"/>
        <v>2257.3000000000002</v>
      </c>
      <c r="AX455" s="407">
        <f t="shared" ref="AX455:BC455" si="854">+AX454+AX452+AX453</f>
        <v>2713.1</v>
      </c>
      <c r="AY455" s="407">
        <f t="shared" si="854"/>
        <v>2216.6</v>
      </c>
      <c r="AZ455" s="407">
        <f t="shared" si="854"/>
        <v>4292.3999999999996</v>
      </c>
      <c r="BA455" s="407">
        <f t="shared" si="854"/>
        <v>2918.3999999999996</v>
      </c>
      <c r="BB455" s="407">
        <f t="shared" si="854"/>
        <v>3110.8</v>
      </c>
      <c r="BC455" s="407">
        <f t="shared" si="854"/>
        <v>3897.8</v>
      </c>
      <c r="BD455" s="407">
        <f>+BD454+BD452+BD453</f>
        <v>6433.5</v>
      </c>
      <c r="BE455" s="407">
        <f>+BE454+BE452+BE453</f>
        <v>5438.5</v>
      </c>
      <c r="BF455" s="407">
        <f>+BF454+BF452+BF453</f>
        <v>8229.0999999999985</v>
      </c>
      <c r="BG455" s="407">
        <f>+BG454+BG452+BG453</f>
        <v>6101.7000000000007</v>
      </c>
    </row>
    <row r="456" spans="2:59" ht="13.5" customHeight="1">
      <c r="AW456" s="2"/>
      <c r="AX456" s="2"/>
      <c r="AY456" s="2"/>
      <c r="BA456" s="2"/>
      <c r="BB456" s="2"/>
      <c r="BC456" s="2"/>
      <c r="BE456" s="2"/>
      <c r="BF456" s="2"/>
      <c r="BG456" s="2"/>
    </row>
    <row r="457" spans="2:59" ht="13.5" customHeight="1">
      <c r="AW457" s="2"/>
      <c r="AX457" s="2"/>
      <c r="AY457" s="2"/>
      <c r="BA457" s="2"/>
      <c r="BB457" s="2"/>
      <c r="BC457" s="2"/>
      <c r="BE457" s="2"/>
      <c r="BF457" s="2"/>
      <c r="BG457" s="2"/>
    </row>
    <row r="458" spans="2:59" ht="13.5" customHeight="1">
      <c r="AW458" s="2"/>
      <c r="AX458" s="2"/>
      <c r="AY458" s="2"/>
      <c r="BA458" s="2"/>
      <c r="BB458" s="2"/>
      <c r="BC458" s="2"/>
      <c r="BE458" s="2"/>
      <c r="BF458" s="2"/>
      <c r="BG458" s="2"/>
    </row>
    <row r="459" spans="2:59" ht="13.5" customHeight="1">
      <c r="AW459" s="2"/>
      <c r="AX459" s="2"/>
      <c r="AY459" s="2"/>
      <c r="BA459" s="2"/>
      <c r="BB459" s="2"/>
      <c r="BC459" s="2"/>
      <c r="BE459" s="2"/>
      <c r="BF459" s="2"/>
      <c r="BG459" s="2"/>
    </row>
    <row r="460" spans="2:59" ht="13.5" customHeight="1">
      <c r="AW460" s="2"/>
      <c r="AX460" s="2"/>
      <c r="AY460" s="2"/>
      <c r="BA460" s="2"/>
      <c r="BB460" s="2"/>
      <c r="BC460" s="2"/>
      <c r="BE460" s="2"/>
      <c r="BF460" s="2"/>
      <c r="BG460" s="2"/>
    </row>
    <row r="461" spans="2:59" ht="13.5" customHeight="1">
      <c r="AW461" s="2"/>
      <c r="AX461" s="2"/>
      <c r="AY461" s="2"/>
      <c r="BA461" s="2"/>
      <c r="BB461" s="2"/>
      <c r="BC461" s="2"/>
      <c r="BE461" s="2"/>
      <c r="BF461" s="2"/>
      <c r="BG461" s="2"/>
    </row>
    <row r="462" spans="2:59" ht="13.5" customHeight="1">
      <c r="AW462" s="2"/>
      <c r="AX462" s="2"/>
      <c r="AY462" s="2"/>
      <c r="BA462" s="2"/>
      <c r="BB462" s="2"/>
      <c r="BC462" s="2"/>
      <c r="BE462" s="2"/>
      <c r="BF462" s="2"/>
      <c r="BG462" s="2"/>
    </row>
    <row r="463" spans="2:59" ht="13.5" customHeight="1">
      <c r="AW463" s="2"/>
      <c r="AX463" s="2"/>
      <c r="AY463" s="2"/>
      <c r="BA463" s="2"/>
      <c r="BB463" s="2"/>
      <c r="BC463" s="2"/>
      <c r="BE463" s="2"/>
      <c r="BF463" s="2"/>
      <c r="BG463" s="2"/>
    </row>
    <row r="464" spans="2:59" ht="13.5" customHeight="1">
      <c r="AW464" s="2"/>
      <c r="AX464" s="2"/>
      <c r="AY464" s="2"/>
      <c r="BA464" s="2"/>
      <c r="BB464" s="2"/>
      <c r="BC464" s="2"/>
      <c r="BE464" s="2"/>
      <c r="BF464" s="2"/>
      <c r="BG464" s="2"/>
    </row>
  </sheetData>
  <pageMargins left="0.51181102362204722" right="0.47244094488188981" top="0.23622047244094491" bottom="0.43307086614173229" header="0.51181102362204722" footer="0.23622047244094491"/>
  <pageSetup paperSize="9" scale="83" fitToHeight="0" orientation="portrait" r:id="rId1"/>
  <headerFooter alignWithMargins="0">
    <oddFooter>&amp;L&amp;8U.S. Bank Loan Team&amp;C&amp;"Arial,Bold"&amp;8- Confidential -&amp;R&amp;8&amp;D &amp;T</oddFooter>
  </headerFooter>
  <rowBreaks count="1" manualBreakCount="1">
    <brk id="115" min="1" max="10" man="1"/>
  </rowBreaks>
  <ignoredErrors>
    <ignoredError sqref="AK351:AV353 AK355:AV358 AK310:AV311 G25:I25 AK25:AO25 C13:F13 C7:F11 AW110 AW310:AW311 AW351:AW353 AW355:AW358 C15:F26 C14:E14 L422:L424 L426 L420:L421 L417:L418" formulaRange="1"/>
    <ignoredError sqref="L354 AN30:AV32 C112:I112 L96 L84:AU84 AK52:AV53 AN49:AV51 L53 AN137:AV137 L137 L213:L225 L90:AU90 L30 L32 AW53 AV64 AS14 AN103:AV109 AN101:AU101 AN99:AQ100 M85:AU85 AN96:AU97 AO98:AP98 AN102:AQ102 AS99:AT100 AS102:AU102 C213:I225 C53:I53 C354:I354 M87:AU89 M86:AO86 AQ86:AU86 AN139:AV147 AN138:AS138 AU138:AV138" formula="1"/>
    <ignoredError sqref="AN354:AW354 AK354:AM354 AN110:AV110 AK49:AM51 L425 L419" formula="1" formulaRange="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D0F0-8FD4-43E9-AD43-C7717171A0E9}">
  <dimension ref="A2:M534"/>
  <sheetViews>
    <sheetView showGridLines="0" tabSelected="1" zoomScaleNormal="100" workbookViewId="0">
      <selection activeCell="N1" sqref="N1"/>
    </sheetView>
  </sheetViews>
  <sheetFormatPr defaultColWidth="11.42578125" defaultRowHeight="12.75"/>
  <cols>
    <col min="1" max="1" width="5.5703125" style="36" bestFit="1" customWidth="1"/>
    <col min="2" max="2" width="58.7109375" style="36" customWidth="1"/>
    <col min="3" max="8" width="12.7109375" style="36" customWidth="1"/>
    <col min="9" max="9" width="50.7109375" style="36" customWidth="1"/>
    <col min="10" max="13" width="12.7109375" style="36" customWidth="1"/>
    <col min="14" max="16384" width="11.42578125" style="36"/>
  </cols>
  <sheetData>
    <row r="2" spans="1:13">
      <c r="A2" s="80" t="s">
        <v>630</v>
      </c>
      <c r="I2" s="1" t="s">
        <v>631</v>
      </c>
      <c r="J2" s="455">
        <v>44.453699999999998</v>
      </c>
    </row>
    <row r="3" spans="1:13" ht="12.75" customHeight="1">
      <c r="I3" s="1" t="s">
        <v>632</v>
      </c>
      <c r="J3" s="455">
        <v>41.369824999999999</v>
      </c>
    </row>
    <row r="4" spans="1:13" ht="12.75" customHeight="1" thickBot="1"/>
    <row r="5" spans="1:13">
      <c r="B5" s="633" t="s">
        <v>633</v>
      </c>
      <c r="C5" s="632" t="s">
        <v>4</v>
      </c>
      <c r="D5" s="632" t="s">
        <v>5</v>
      </c>
      <c r="E5" s="632" t="s">
        <v>634</v>
      </c>
      <c r="F5" s="745" t="s">
        <v>635</v>
      </c>
      <c r="I5" s="746" t="s">
        <v>636</v>
      </c>
      <c r="J5" s="747" t="s">
        <v>4</v>
      </c>
      <c r="K5" s="747" t="s">
        <v>5</v>
      </c>
      <c r="L5" s="747" t="s">
        <v>634</v>
      </c>
      <c r="M5" s="748" t="s">
        <v>635</v>
      </c>
    </row>
    <row r="6" spans="1:13">
      <c r="D6" s="620"/>
      <c r="I6" s="647" t="s">
        <v>8</v>
      </c>
      <c r="J6" s="484">
        <f>C33</f>
        <v>206346.85499999998</v>
      </c>
      <c r="K6" s="484">
        <f>D33</f>
        <v>4641.8375748250428</v>
      </c>
      <c r="L6" s="749">
        <f>+J6/J11</f>
        <v>1.8530094778366901</v>
      </c>
      <c r="M6" s="750">
        <f>+K6/K11</f>
        <v>1.7244611319517893</v>
      </c>
    </row>
    <row r="7" spans="1:13">
      <c r="B7" s="621" t="s">
        <v>637</v>
      </c>
      <c r="C7" s="622">
        <v>408.173</v>
      </c>
      <c r="D7" s="623">
        <f>C7/$J2</f>
        <v>9.1819803525915731</v>
      </c>
      <c r="E7" s="622"/>
      <c r="F7" s="624"/>
      <c r="I7" s="649" t="s">
        <v>11</v>
      </c>
      <c r="J7" s="496">
        <f>J6-J8</f>
        <v>157519.85499999998</v>
      </c>
      <c r="K7" s="496">
        <f>J7/$J2</f>
        <v>3543.4588122023588</v>
      </c>
      <c r="L7" s="47"/>
      <c r="M7" s="650"/>
    </row>
    <row r="8" spans="1:13">
      <c r="B8" s="621" t="s">
        <v>638</v>
      </c>
      <c r="C8" s="622">
        <v>6567.99</v>
      </c>
      <c r="D8" s="623">
        <f>C8/$J2</f>
        <v>147.74900626944438</v>
      </c>
      <c r="E8" s="622"/>
      <c r="F8" s="624"/>
      <c r="I8" s="647" t="s">
        <v>14</v>
      </c>
      <c r="J8" s="488">
        <v>48827</v>
      </c>
      <c r="K8" s="484">
        <f>K6-K7</f>
        <v>1098.378762622684</v>
      </c>
      <c r="L8" s="749">
        <f>+J8/J11</f>
        <v>0.43846994311753418</v>
      </c>
      <c r="M8" s="750">
        <f>+K8/K11</f>
        <v>0.40805208148100935</v>
      </c>
    </row>
    <row r="9" spans="1:13">
      <c r="B9" s="621" t="s">
        <v>639</v>
      </c>
      <c r="C9" s="622">
        <v>8595.4509999999991</v>
      </c>
      <c r="D9" s="623">
        <f>C9/$J2</f>
        <v>193.3573808254431</v>
      </c>
      <c r="E9" s="624"/>
      <c r="F9" s="624"/>
      <c r="I9" s="651" t="s">
        <v>17</v>
      </c>
      <c r="J9" s="489">
        <f>C36</f>
        <v>290909.22600000002</v>
      </c>
      <c r="K9" s="489">
        <f>J9/$J2</f>
        <v>6544.0947772626359</v>
      </c>
      <c r="L9" s="85"/>
      <c r="M9" s="652"/>
    </row>
    <row r="10" spans="1:13">
      <c r="B10" s="621" t="s">
        <v>640</v>
      </c>
      <c r="C10" s="622">
        <v>657.95799999999997</v>
      </c>
      <c r="D10" s="623">
        <f>C10/$J2</f>
        <v>14.800972697435759</v>
      </c>
      <c r="E10" s="624"/>
      <c r="F10" s="624"/>
      <c r="I10" s="651" t="s">
        <v>20</v>
      </c>
      <c r="J10" s="489">
        <f>J6+J9</f>
        <v>497256.08100000001</v>
      </c>
      <c r="K10" s="489">
        <f>K6+K9</f>
        <v>11185.932352087679</v>
      </c>
      <c r="L10" s="85"/>
      <c r="M10" s="652"/>
    </row>
    <row r="11" spans="1:13" ht="13.5" thickBot="1">
      <c r="B11" s="625" t="s">
        <v>24</v>
      </c>
      <c r="C11" s="626">
        <f>SUM(C7:C10)</f>
        <v>16229.571999999998</v>
      </c>
      <c r="D11" s="626">
        <f>SUM(D7:D10)</f>
        <v>365.08934014491484</v>
      </c>
      <c r="E11" s="624"/>
      <c r="F11" s="624"/>
      <c r="I11" s="653" t="s">
        <v>23</v>
      </c>
      <c r="J11" s="654">
        <f>C38</f>
        <v>111357.68999999999</v>
      </c>
      <c r="K11" s="654">
        <f>D38</f>
        <v>2691.7612051779283</v>
      </c>
      <c r="L11" s="655"/>
      <c r="M11" s="656"/>
    </row>
    <row r="12" spans="1:13">
      <c r="E12" s="228"/>
      <c r="F12" s="228"/>
    </row>
    <row r="13" spans="1:13">
      <c r="B13" s="625"/>
      <c r="C13" s="626"/>
      <c r="D13" s="627"/>
      <c r="E13" s="228"/>
      <c r="F13" s="228"/>
    </row>
    <row r="14" spans="1:13">
      <c r="B14" s="630" t="s">
        <v>641</v>
      </c>
      <c r="C14" s="622">
        <v>3640.585</v>
      </c>
      <c r="D14" s="623">
        <f>C14/$J2</f>
        <v>81.896107635584897</v>
      </c>
      <c r="E14" s="228"/>
      <c r="F14" s="228"/>
      <c r="J14" s="769"/>
    </row>
    <row r="15" spans="1:13">
      <c r="B15" s="621" t="s">
        <v>642</v>
      </c>
      <c r="C15" s="622">
        <v>596.50900000000001</v>
      </c>
      <c r="D15" s="623">
        <f>C15/$J2</f>
        <v>13.418658064458077</v>
      </c>
      <c r="E15" s="228"/>
      <c r="F15" s="228"/>
    </row>
    <row r="16" spans="1:13">
      <c r="B16" s="621" t="s">
        <v>643</v>
      </c>
      <c r="C16" s="622">
        <v>4234.3140000000003</v>
      </c>
      <c r="D16" s="623">
        <f>C16/$J2</f>
        <v>95.252228723368376</v>
      </c>
      <c r="E16" s="228"/>
      <c r="F16" s="228"/>
    </row>
    <row r="17" spans="2:10">
      <c r="B17" s="621" t="s">
        <v>644</v>
      </c>
      <c r="C17" s="622">
        <v>7537.0789999999997</v>
      </c>
      <c r="D17" s="623">
        <f>C17/$J2</f>
        <v>169.5489689272209</v>
      </c>
      <c r="E17" s="228"/>
      <c r="F17" s="228"/>
    </row>
    <row r="18" spans="2:10">
      <c r="B18" s="625" t="s">
        <v>31</v>
      </c>
      <c r="C18" s="626">
        <f>SUM(C14:C17)</f>
        <v>16008.486999999999</v>
      </c>
      <c r="D18" s="626">
        <f>SUM(D14:D17)</f>
        <v>360.11596335063223</v>
      </c>
      <c r="E18" s="228"/>
      <c r="F18" s="228"/>
    </row>
    <row r="19" spans="2:10">
      <c r="B19" s="625"/>
      <c r="C19" s="626"/>
      <c r="D19" s="627"/>
      <c r="E19" s="228"/>
      <c r="F19" s="228"/>
      <c r="H19" s="450"/>
      <c r="J19" s="450"/>
    </row>
    <row r="20" spans="2:10" ht="25.5">
      <c r="B20" s="621" t="s">
        <v>645</v>
      </c>
      <c r="C20" s="622">
        <v>35612.224000000002</v>
      </c>
      <c r="D20" s="623">
        <f>C20/$J2</f>
        <v>801.10820921543097</v>
      </c>
      <c r="E20" s="628"/>
      <c r="F20" s="628"/>
      <c r="H20" s="450"/>
      <c r="I20" s="738"/>
      <c r="J20" s="450"/>
    </row>
    <row r="21" spans="2:10">
      <c r="B21" s="621" t="s">
        <v>646</v>
      </c>
      <c r="C21" s="622">
        <v>3588.1550000000002</v>
      </c>
      <c r="D21" s="623">
        <f>C21/$J2</f>
        <v>80.716678251754075</v>
      </c>
      <c r="E21" s="628"/>
      <c r="F21" s="631" t="s">
        <v>647</v>
      </c>
      <c r="H21" s="450"/>
      <c r="I21" s="738"/>
    </row>
    <row r="22" spans="2:10">
      <c r="B22" s="621" t="s">
        <v>648</v>
      </c>
      <c r="C22" s="622">
        <v>59226.142999999996</v>
      </c>
      <c r="D22" s="623">
        <f>C22/$J2</f>
        <v>1332.3107637834421</v>
      </c>
      <c r="E22" s="628"/>
      <c r="F22" s="628"/>
      <c r="H22" s="450"/>
      <c r="I22" s="450"/>
    </row>
    <row r="23" spans="2:10">
      <c r="B23" s="621" t="s">
        <v>649</v>
      </c>
      <c r="C23" s="622">
        <v>56.582999999999998</v>
      </c>
      <c r="D23" s="623">
        <f>C23/$J2</f>
        <v>1.2728524284817686</v>
      </c>
      <c r="E23" s="628"/>
      <c r="F23" s="628"/>
      <c r="H23" s="450"/>
    </row>
    <row r="24" spans="2:10">
      <c r="B24" s="621" t="s">
        <v>650</v>
      </c>
      <c r="C24" s="622">
        <v>244.27</v>
      </c>
      <c r="D24" s="623">
        <f>C24/$J2</f>
        <v>5.4949306806857479</v>
      </c>
      <c r="E24" s="628"/>
      <c r="F24" s="628"/>
      <c r="H24" s="450"/>
      <c r="I24" s="450"/>
    </row>
    <row r="25" spans="2:10">
      <c r="B25" s="621" t="s">
        <v>651</v>
      </c>
      <c r="C25" s="622">
        <v>2334.7759999999998</v>
      </c>
      <c r="D25" s="623">
        <f>C25/$J2</f>
        <v>52.521522392961664</v>
      </c>
      <c r="E25" s="628"/>
      <c r="F25" s="628"/>
      <c r="H25" s="450"/>
      <c r="I25" s="450"/>
    </row>
    <row r="26" spans="2:10">
      <c r="B26" s="621" t="s">
        <v>652</v>
      </c>
      <c r="C26" s="622">
        <v>2849.7310000000002</v>
      </c>
      <c r="D26" s="623">
        <f>C26/$J2</f>
        <v>64.105597509318699</v>
      </c>
      <c r="E26" s="628"/>
      <c r="F26" s="628"/>
      <c r="H26" s="450"/>
      <c r="I26" s="450"/>
    </row>
    <row r="27" spans="2:10">
      <c r="B27" s="625" t="s">
        <v>48</v>
      </c>
      <c r="C27" s="626">
        <f>SUM(C20:C26)</f>
        <v>103911.882</v>
      </c>
      <c r="D27" s="626">
        <f>SUM(D20:D26)</f>
        <v>2337.5305542620749</v>
      </c>
      <c r="E27" s="628"/>
      <c r="F27" s="628"/>
      <c r="I27" s="285"/>
    </row>
    <row r="28" spans="2:10">
      <c r="B28" s="625"/>
      <c r="C28" s="626"/>
      <c r="D28" s="626"/>
      <c r="E28" s="628"/>
      <c r="F28" s="628"/>
      <c r="I28" s="285"/>
    </row>
    <row r="29" spans="2:10">
      <c r="B29" s="621" t="s">
        <v>653</v>
      </c>
      <c r="C29" s="622">
        <v>2931.4949999999999</v>
      </c>
      <c r="D29" s="623">
        <f>C29/$J2</f>
        <v>65.944904473643362</v>
      </c>
      <c r="E29" s="628"/>
      <c r="F29" s="628"/>
      <c r="I29" s="285"/>
    </row>
    <row r="30" spans="2:10">
      <c r="B30" s="621" t="s">
        <v>654</v>
      </c>
      <c r="C30" s="622">
        <v>67265.418999999994</v>
      </c>
      <c r="D30" s="623">
        <f>C30/$J2</f>
        <v>1513.1568125937772</v>
      </c>
      <c r="E30" s="628"/>
      <c r="F30" s="628"/>
      <c r="I30" s="285"/>
    </row>
    <row r="31" spans="2:10">
      <c r="B31" s="625" t="s">
        <v>655</v>
      </c>
      <c r="C31" s="626">
        <f>SUM(C29:C30)</f>
        <v>70196.91399999999</v>
      </c>
      <c r="D31" s="626">
        <f>SUM(D29:D30)</f>
        <v>1579.1017170674206</v>
      </c>
      <c r="E31" s="628"/>
      <c r="F31" s="628"/>
      <c r="I31" s="285"/>
    </row>
    <row r="32" spans="2:10">
      <c r="B32" s="621"/>
      <c r="C32" s="622"/>
      <c r="D32" s="629"/>
      <c r="E32" s="628"/>
      <c r="F32" s="628"/>
    </row>
    <row r="33" spans="2:9">
      <c r="B33" s="45" t="s">
        <v>49</v>
      </c>
      <c r="C33" s="484">
        <f>+C18+C27+C11+C31</f>
        <v>206346.85499999998</v>
      </c>
      <c r="D33" s="484">
        <f>+D18+D27+D11+D31</f>
        <v>4641.8375748250428</v>
      </c>
      <c r="E33" s="46">
        <f>+C33/C38</f>
        <v>1.8530094778366901</v>
      </c>
      <c r="F33" s="46">
        <f>+D33/D38</f>
        <v>1.7244611319517893</v>
      </c>
    </row>
    <row r="34" spans="2:9">
      <c r="B34" s="44" t="s">
        <v>11</v>
      </c>
      <c r="C34" s="272">
        <v>95773.428</v>
      </c>
      <c r="D34" s="272">
        <f>C34/$J2</f>
        <v>2154.4534650659002</v>
      </c>
      <c r="E34" s="47"/>
      <c r="F34" s="47"/>
      <c r="I34" s="416"/>
    </row>
    <row r="35" spans="2:9">
      <c r="B35" s="45" t="s">
        <v>14</v>
      </c>
      <c r="C35" s="484">
        <f>+C33-C34</f>
        <v>110573.42699999998</v>
      </c>
      <c r="D35" s="498">
        <f>+D33-D34</f>
        <v>2487.3841097591426</v>
      </c>
      <c r="E35" s="46">
        <f>+C35/C38</f>
        <v>0.99295726231390036</v>
      </c>
      <c r="F35" s="46">
        <f>+D35/D38</f>
        <v>0.92407309570193608</v>
      </c>
    </row>
    <row r="36" spans="2:9">
      <c r="B36" s="44" t="s">
        <v>17</v>
      </c>
      <c r="C36" s="496">
        <v>290909.22600000002</v>
      </c>
      <c r="D36" s="496">
        <f>C36/$J2</f>
        <v>6544.0947772626359</v>
      </c>
      <c r="E36" s="47"/>
      <c r="F36" s="47"/>
    </row>
    <row r="37" spans="2:9">
      <c r="B37" s="268" t="s">
        <v>20</v>
      </c>
      <c r="C37" s="499">
        <f>C33+C36</f>
        <v>497256.08100000001</v>
      </c>
      <c r="D37" s="500">
        <f>D33+D36</f>
        <v>11185.932352087679</v>
      </c>
      <c r="E37" s="270"/>
      <c r="F37" s="270"/>
    </row>
    <row r="38" spans="2:9">
      <c r="B38" s="268" t="s">
        <v>23</v>
      </c>
      <c r="C38" s="515">
        <v>111357.68999999999</v>
      </c>
      <c r="D38" s="516">
        <f>C38/$J3</f>
        <v>2691.7612051779283</v>
      </c>
      <c r="E38" s="270"/>
      <c r="F38" s="270"/>
    </row>
    <row r="39" spans="2:9">
      <c r="B39" s="770" t="s">
        <v>656</v>
      </c>
      <c r="C39" s="772">
        <v>0</v>
      </c>
    </row>
    <row r="41" spans="2:9">
      <c r="B41" s="36" t="s">
        <v>50</v>
      </c>
      <c r="C41" s="501">
        <v>219820.7</v>
      </c>
    </row>
    <row r="42" spans="2:9">
      <c r="B42" s="36" t="s">
        <v>51</v>
      </c>
      <c r="C42" s="227">
        <f>C41+C35</f>
        <v>330394.12699999998</v>
      </c>
    </row>
    <row r="43" spans="2:9">
      <c r="B43" s="80" t="s">
        <v>52</v>
      </c>
      <c r="C43" s="228">
        <f>C42/C38</f>
        <v>2.9669628294193244</v>
      </c>
      <c r="D43" s="228"/>
      <c r="F43" s="410"/>
    </row>
    <row r="44" spans="2:9">
      <c r="B44" s="80"/>
      <c r="D44" s="228"/>
    </row>
    <row r="45" spans="2:9" ht="13.5" thickBot="1"/>
    <row r="46" spans="2:9" ht="13.5" thickBot="1">
      <c r="B46" s="634" t="s">
        <v>657</v>
      </c>
      <c r="C46" s="635" t="s">
        <v>4</v>
      </c>
      <c r="D46" s="636" t="s">
        <v>5</v>
      </c>
    </row>
    <row r="47" spans="2:9">
      <c r="B47" s="141" t="s">
        <v>64</v>
      </c>
      <c r="C47" s="502">
        <f>C34</f>
        <v>95773.428</v>
      </c>
      <c r="D47" s="502">
        <f>C47/J2</f>
        <v>2154.4534650659002</v>
      </c>
    </row>
    <row r="48" spans="2:9" ht="13.5" thickBot="1">
      <c r="B48" s="245" t="s">
        <v>65</v>
      </c>
      <c r="C48" s="637">
        <f>SUM(C47:C47)</f>
        <v>95773.428</v>
      </c>
      <c r="D48" s="638">
        <f>SUM(D47:D47)</f>
        <v>2154.4534650659002</v>
      </c>
      <c r="I48" s="738"/>
    </row>
    <row r="49" spans="1:10">
      <c r="I49" s="738"/>
    </row>
    <row r="50" spans="1:10" ht="13.5" thickBot="1">
      <c r="I50" s="738"/>
    </row>
    <row r="51" spans="1:10" ht="13.5" thickBot="1">
      <c r="B51" s="639" t="s">
        <v>658</v>
      </c>
      <c r="C51" s="635" t="s">
        <v>4</v>
      </c>
      <c r="D51" s="636" t="s">
        <v>5</v>
      </c>
      <c r="I51" s="738"/>
    </row>
    <row r="52" spans="1:10">
      <c r="B52" s="86">
        <v>2026</v>
      </c>
      <c r="C52" s="503">
        <f>3588.155+56.583+2334.776+2931.495</f>
        <v>8911.009</v>
      </c>
      <c r="D52" s="744">
        <f t="shared" ref="D52:D57" si="0">C52/$J$2</f>
        <v>200.45595754684089</v>
      </c>
      <c r="I52" s="738"/>
    </row>
    <row r="53" spans="1:10">
      <c r="B53" s="86">
        <v>2027</v>
      </c>
      <c r="C53" s="503">
        <f>244.27</f>
        <v>244.27</v>
      </c>
      <c r="D53" s="744">
        <f t="shared" si="0"/>
        <v>5.4949306806857479</v>
      </c>
      <c r="I53" s="738"/>
    </row>
    <row r="54" spans="1:10">
      <c r="B54" s="86">
        <v>2028</v>
      </c>
      <c r="C54" s="503">
        <f>2849.731+596.509+657.958</f>
        <v>4104.1980000000003</v>
      </c>
      <c r="D54" s="744">
        <f t="shared" si="0"/>
        <v>92.325228271212538</v>
      </c>
      <c r="I54" s="738"/>
    </row>
    <row r="55" spans="1:10">
      <c r="B55" s="86">
        <v>2029</v>
      </c>
      <c r="C55" s="503"/>
      <c r="D55" s="744">
        <f t="shared" si="0"/>
        <v>0</v>
      </c>
      <c r="I55" s="738"/>
    </row>
    <row r="56" spans="1:10">
      <c r="B56" s="86">
        <v>2030</v>
      </c>
      <c r="C56" s="503">
        <f>35612.224</f>
        <v>35612.224000000002</v>
      </c>
      <c r="D56" s="744">
        <f t="shared" si="0"/>
        <v>801.10820921543097</v>
      </c>
      <c r="I56" s="738"/>
    </row>
    <row r="57" spans="1:10" ht="13.5" thickBot="1">
      <c r="B57" s="86" t="s">
        <v>659</v>
      </c>
      <c r="C57" s="503">
        <f>59226.143+3640.585+4234.314+7537.079+67265.419+408.173+6567.99+8595.451</f>
        <v>157475.15399999998</v>
      </c>
      <c r="D57" s="744">
        <f t="shared" si="0"/>
        <v>3542.4532491108725</v>
      </c>
      <c r="I57" s="738"/>
    </row>
    <row r="58" spans="1:10" ht="13.5" thickBot="1">
      <c r="B58" s="640" t="s">
        <v>70</v>
      </c>
      <c r="C58" s="642">
        <f>SUM(C52:C57)</f>
        <v>206346.85499999998</v>
      </c>
      <c r="D58" s="642">
        <f>SUM(D52:D57)</f>
        <v>4641.8375748250428</v>
      </c>
      <c r="I58" s="738"/>
    </row>
    <row r="59" spans="1:10">
      <c r="B59" s="770" t="s">
        <v>656</v>
      </c>
      <c r="C59" s="771">
        <f>C58-C33</f>
        <v>0</v>
      </c>
      <c r="I59" s="738"/>
    </row>
    <row r="63" spans="1:10">
      <c r="A63" s="80" t="s">
        <v>660</v>
      </c>
      <c r="I63" s="5" t="s">
        <v>631</v>
      </c>
      <c r="J63" s="455">
        <v>44.453699999999998</v>
      </c>
    </row>
    <row r="64" spans="1:10" ht="12.75" customHeight="1">
      <c r="I64" s="5" t="s">
        <v>632</v>
      </c>
      <c r="J64" s="455">
        <v>41.369824999999999</v>
      </c>
    </row>
    <row r="65" spans="2:13" ht="12.75" customHeight="1" thickBot="1"/>
    <row r="66" spans="2:13">
      <c r="B66" s="633" t="s">
        <v>661</v>
      </c>
      <c r="C66" s="632" t="s">
        <v>4</v>
      </c>
      <c r="D66" s="632" t="s">
        <v>5</v>
      </c>
      <c r="E66" s="632" t="s">
        <v>634</v>
      </c>
      <c r="F66" s="745" t="s">
        <v>635</v>
      </c>
      <c r="I66" s="746" t="s">
        <v>636</v>
      </c>
      <c r="J66" s="747" t="s">
        <v>4</v>
      </c>
      <c r="K66" s="747" t="s">
        <v>5</v>
      </c>
      <c r="L66" s="747" t="s">
        <v>634</v>
      </c>
      <c r="M66" s="748" t="s">
        <v>635</v>
      </c>
    </row>
    <row r="67" spans="2:13">
      <c r="D67" s="620"/>
      <c r="I67" s="647" t="s">
        <v>8</v>
      </c>
      <c r="J67" s="484">
        <f>C94</f>
        <v>158649.12599999999</v>
      </c>
      <c r="K67" s="484">
        <f>D94</f>
        <v>3568.8621194636221</v>
      </c>
      <c r="L67" s="749">
        <f>+J67/J72</f>
        <v>1.5252234166586749</v>
      </c>
      <c r="M67" s="750">
        <f>+K67/K72</f>
        <v>1.4194144881769453</v>
      </c>
    </row>
    <row r="68" spans="2:13">
      <c r="B68" s="621" t="s">
        <v>637</v>
      </c>
      <c r="C68" s="622">
        <v>404.83100000000002</v>
      </c>
      <c r="D68" s="623">
        <f>C68/$J63</f>
        <v>9.106801008689942</v>
      </c>
      <c r="E68" s="622"/>
      <c r="F68" s="624"/>
      <c r="I68" s="649" t="s">
        <v>11</v>
      </c>
      <c r="J68" s="496">
        <f>J67-J69</f>
        <v>143761.12599999999</v>
      </c>
      <c r="K68" s="496">
        <f>J68/$J63</f>
        <v>3233.9518645242129</v>
      </c>
      <c r="L68" s="47"/>
      <c r="M68" s="650"/>
    </row>
    <row r="69" spans="2:13">
      <c r="B69" s="621" t="s">
        <v>638</v>
      </c>
      <c r="C69" s="622">
        <v>5016.942</v>
      </c>
      <c r="D69" s="623">
        <f>C69/$J63</f>
        <v>112.85769238556071</v>
      </c>
      <c r="E69" s="622"/>
      <c r="F69" s="624"/>
      <c r="I69" s="647" t="s">
        <v>14</v>
      </c>
      <c r="J69" s="488">
        <v>14888</v>
      </c>
      <c r="K69" s="484">
        <f>K67-K68</f>
        <v>334.91025493940924</v>
      </c>
      <c r="L69" s="749">
        <f>+J69/J72</f>
        <v>0.1431304842310594</v>
      </c>
      <c r="M69" s="750">
        <f>+K69/K72</f>
        <v>0.13320113027271505</v>
      </c>
    </row>
    <row r="70" spans="2:13">
      <c r="B70" s="621" t="s">
        <v>639</v>
      </c>
      <c r="C70" s="622">
        <v>9221.6389999999992</v>
      </c>
      <c r="D70" s="623">
        <f>C70/$J63</f>
        <v>207.44367735419098</v>
      </c>
      <c r="E70" s="624"/>
      <c r="F70" s="624"/>
      <c r="I70" s="651" t="s">
        <v>17</v>
      </c>
      <c r="J70" s="489">
        <f>C97</f>
        <v>259333.06899999999</v>
      </c>
      <c r="K70" s="489">
        <f>J70/$J63</f>
        <v>5833.7791679882666</v>
      </c>
      <c r="L70" s="85"/>
      <c r="M70" s="652"/>
    </row>
    <row r="71" spans="2:13">
      <c r="B71" s="621" t="s">
        <v>640</v>
      </c>
      <c r="C71" s="622">
        <v>840.90499999999997</v>
      </c>
      <c r="D71" s="623">
        <f>C71/$J63</f>
        <v>18.916423154877997</v>
      </c>
      <c r="E71" s="624"/>
      <c r="F71" s="624"/>
      <c r="I71" s="651" t="s">
        <v>20</v>
      </c>
      <c r="J71" s="489">
        <f>J67+J70</f>
        <v>417982.19499999995</v>
      </c>
      <c r="K71" s="489">
        <f>K67+K70</f>
        <v>9402.6412874518883</v>
      </c>
      <c r="L71" s="85"/>
      <c r="M71" s="652"/>
    </row>
    <row r="72" spans="2:13" ht="13.5" thickBot="1">
      <c r="B72" s="625" t="s">
        <v>24</v>
      </c>
      <c r="C72" s="626">
        <f>SUM(C68:C71)</f>
        <v>15484.317000000001</v>
      </c>
      <c r="D72" s="626">
        <f>SUM(D68:D71)</f>
        <v>348.32459390331962</v>
      </c>
      <c r="E72" s="624"/>
      <c r="F72" s="624"/>
      <c r="I72" s="653" t="s">
        <v>23</v>
      </c>
      <c r="J72" s="654">
        <f>C99</f>
        <v>104016.97500000001</v>
      </c>
      <c r="K72" s="654">
        <f>D99</f>
        <v>2514.3199179595276</v>
      </c>
      <c r="L72" s="655"/>
      <c r="M72" s="656"/>
    </row>
    <row r="73" spans="2:13">
      <c r="E73" s="228"/>
      <c r="F73" s="228"/>
    </row>
    <row r="74" spans="2:13">
      <c r="B74" s="625"/>
      <c r="C74" s="626"/>
      <c r="D74" s="627"/>
      <c r="E74" s="228"/>
      <c r="F74" s="228"/>
    </row>
    <row r="75" spans="2:13">
      <c r="B75" s="630" t="s">
        <v>662</v>
      </c>
      <c r="C75" s="622">
        <v>2949.366</v>
      </c>
      <c r="D75" s="623">
        <f>C75/$J63</f>
        <v>66.346918254273547</v>
      </c>
      <c r="E75" s="228"/>
      <c r="F75" s="228"/>
    </row>
    <row r="76" spans="2:13">
      <c r="B76" s="621" t="s">
        <v>642</v>
      </c>
      <c r="C76" s="622">
        <v>689.31399999999996</v>
      </c>
      <c r="D76" s="623">
        <f>C76/$J63</f>
        <v>15.50633580556849</v>
      </c>
      <c r="E76" s="228"/>
      <c r="F76" s="228"/>
    </row>
    <row r="77" spans="2:13">
      <c r="B77" s="621" t="s">
        <v>643</v>
      </c>
      <c r="C77" s="622">
        <v>4296.6809999999996</v>
      </c>
      <c r="D77" s="623">
        <f>C77/$J63</f>
        <v>96.655194055837867</v>
      </c>
      <c r="E77" s="228"/>
      <c r="F77" s="228"/>
    </row>
    <row r="78" spans="2:13">
      <c r="B78" s="621" t="s">
        <v>644</v>
      </c>
      <c r="C78" s="622">
        <v>6467.0910000000003</v>
      </c>
      <c r="D78" s="623">
        <f>C78/$J63</f>
        <v>145.4792514458864</v>
      </c>
      <c r="E78" s="228"/>
      <c r="F78" s="228"/>
    </row>
    <row r="79" spans="2:13">
      <c r="B79" s="625" t="s">
        <v>31</v>
      </c>
      <c r="C79" s="626">
        <f>SUM(C75:C78)</f>
        <v>14402.451999999999</v>
      </c>
      <c r="D79" s="626">
        <f>SUM(D75:D78)</f>
        <v>323.98769956156633</v>
      </c>
      <c r="E79" s="228"/>
      <c r="F79" s="228"/>
    </row>
    <row r="80" spans="2:13">
      <c r="B80" s="625"/>
      <c r="C80" s="626"/>
      <c r="D80" s="627"/>
      <c r="E80" s="228"/>
      <c r="F80" s="228"/>
      <c r="H80" s="450"/>
      <c r="J80" s="450"/>
    </row>
    <row r="81" spans="2:10" ht="25.5">
      <c r="B81" s="621" t="s">
        <v>645</v>
      </c>
      <c r="C81" s="622">
        <v>35323.659</v>
      </c>
      <c r="D81" s="623">
        <f>C81/$J63</f>
        <v>794.61684854129135</v>
      </c>
      <c r="E81" s="628"/>
      <c r="F81" s="628"/>
      <c r="H81" s="450"/>
      <c r="I81" s="738"/>
      <c r="J81" s="450"/>
    </row>
    <row r="82" spans="2:10">
      <c r="B82" s="621" t="s">
        <v>663</v>
      </c>
      <c r="C82" s="622">
        <v>1973.1389999999999</v>
      </c>
      <c r="D82" s="623">
        <f>C82/$J63</f>
        <v>44.3863840355246</v>
      </c>
      <c r="E82" s="628"/>
      <c r="F82" s="631" t="s">
        <v>647</v>
      </c>
      <c r="H82" s="450"/>
      <c r="I82" s="738"/>
    </row>
    <row r="83" spans="2:10">
      <c r="B83" s="621" t="s">
        <v>664</v>
      </c>
      <c r="C83" s="622">
        <v>14473.289000000001</v>
      </c>
      <c r="D83" s="623">
        <f>C83/$J63</f>
        <v>325.58120021505522</v>
      </c>
      <c r="E83" s="628"/>
      <c r="F83" s="628"/>
      <c r="H83" s="450"/>
      <c r="I83" s="450"/>
    </row>
    <row r="84" spans="2:10">
      <c r="B84" s="621" t="s">
        <v>665</v>
      </c>
      <c r="C84" s="622">
        <v>81.698999999999998</v>
      </c>
      <c r="D84" s="623">
        <f>C84/$J63</f>
        <v>1.8378447688268917</v>
      </c>
      <c r="E84" s="628"/>
      <c r="F84" s="628"/>
      <c r="H84" s="450"/>
    </row>
    <row r="85" spans="2:10">
      <c r="B85" s="621" t="s">
        <v>650</v>
      </c>
      <c r="C85" s="622">
        <v>243.161</v>
      </c>
      <c r="D85" s="623">
        <f>C85/$J63</f>
        <v>5.4699833759619558</v>
      </c>
      <c r="E85" s="628"/>
      <c r="F85" s="628"/>
      <c r="H85" s="450"/>
      <c r="I85" s="450"/>
    </row>
    <row r="86" spans="2:10">
      <c r="B86" s="621" t="s">
        <v>666</v>
      </c>
      <c r="C86" s="622">
        <v>6114.4480000000003</v>
      </c>
      <c r="D86" s="623">
        <f>C86/$J63</f>
        <v>137.54643595471245</v>
      </c>
      <c r="E86" s="628"/>
      <c r="F86" s="628"/>
      <c r="H86" s="450"/>
      <c r="I86" s="450"/>
    </row>
    <row r="87" spans="2:10">
      <c r="B87" s="621" t="s">
        <v>652</v>
      </c>
      <c r="C87" s="622">
        <v>2686.0949999999998</v>
      </c>
      <c r="D87" s="623">
        <f>C87/$J63</f>
        <v>60.424554086611465</v>
      </c>
      <c r="E87" s="628"/>
      <c r="F87" s="628"/>
      <c r="H87" s="450"/>
      <c r="I87" s="450"/>
    </row>
    <row r="88" spans="2:10">
      <c r="B88" s="625" t="s">
        <v>48</v>
      </c>
      <c r="C88" s="626">
        <f>SUM(C81:C87)</f>
        <v>60895.490000000005</v>
      </c>
      <c r="D88" s="626">
        <f>SUM(D81:D87)</f>
        <v>1369.8632509779841</v>
      </c>
      <c r="E88" s="628"/>
      <c r="F88" s="628"/>
      <c r="I88" s="285"/>
    </row>
    <row r="89" spans="2:10">
      <c r="B89" s="625"/>
      <c r="C89" s="626"/>
      <c r="D89" s="626"/>
      <c r="E89" s="628"/>
      <c r="F89" s="628"/>
      <c r="I89" s="285"/>
    </row>
    <row r="90" spans="2:10">
      <c r="B90" s="621" t="s">
        <v>667</v>
      </c>
      <c r="C90" s="622">
        <v>2408.2829999999999</v>
      </c>
      <c r="D90" s="623">
        <f>C90/$J63</f>
        <v>54.175085538436619</v>
      </c>
      <c r="E90" s="628"/>
      <c r="F90" s="628"/>
      <c r="I90" s="285"/>
    </row>
    <row r="91" spans="2:10">
      <c r="B91" s="621" t="s">
        <v>654</v>
      </c>
      <c r="C91" s="622">
        <v>65458.584000000003</v>
      </c>
      <c r="D91" s="623">
        <f>C91/$J63</f>
        <v>1472.5114894823155</v>
      </c>
      <c r="E91" s="628"/>
      <c r="F91" s="628"/>
      <c r="I91" s="285"/>
    </row>
    <row r="92" spans="2:10">
      <c r="B92" s="625" t="s">
        <v>655</v>
      </c>
      <c r="C92" s="626">
        <f>SUM(C90:C91)</f>
        <v>67866.866999999998</v>
      </c>
      <c r="D92" s="626">
        <f>SUM(D90:D91)</f>
        <v>1526.6865750207521</v>
      </c>
      <c r="E92" s="628"/>
      <c r="F92" s="628"/>
      <c r="I92" s="285"/>
    </row>
    <row r="93" spans="2:10">
      <c r="B93" s="621"/>
      <c r="C93" s="622"/>
      <c r="D93" s="629"/>
      <c r="E93" s="628"/>
      <c r="F93" s="628"/>
    </row>
    <row r="94" spans="2:10">
      <c r="B94" s="45" t="s">
        <v>49</v>
      </c>
      <c r="C94" s="484">
        <f>+C79+C88+C72+C92</f>
        <v>158649.12599999999</v>
      </c>
      <c r="D94" s="484">
        <f>+D79+D88+D72+D92</f>
        <v>3568.8621194636221</v>
      </c>
      <c r="E94" s="46">
        <f>+C94/C99</f>
        <v>1.5252234166586749</v>
      </c>
      <c r="F94" s="46">
        <f>+D94/D99</f>
        <v>1.4194144881769453</v>
      </c>
    </row>
    <row r="95" spans="2:10">
      <c r="B95" s="44" t="s">
        <v>11</v>
      </c>
      <c r="C95" s="272">
        <v>91828.282000000007</v>
      </c>
      <c r="D95" s="272">
        <f>C95/$J63</f>
        <v>2065.7061616918281</v>
      </c>
      <c r="E95" s="47"/>
      <c r="F95" s="47"/>
      <c r="I95" s="416"/>
    </row>
    <row r="96" spans="2:10">
      <c r="B96" s="45" t="s">
        <v>14</v>
      </c>
      <c r="C96" s="484">
        <f>+C94-C95</f>
        <v>66820.843999999983</v>
      </c>
      <c r="D96" s="498">
        <f>+D94-D95</f>
        <v>1503.155957771794</v>
      </c>
      <c r="E96" s="46">
        <f>+C96/C99</f>
        <v>0.64240326158302508</v>
      </c>
      <c r="F96" s="46">
        <f>+D96/D99</f>
        <v>0.59783798673943844</v>
      </c>
    </row>
    <row r="97" spans="2:9">
      <c r="B97" s="44" t="s">
        <v>17</v>
      </c>
      <c r="C97" s="496">
        <v>259333.06899999999</v>
      </c>
      <c r="D97" s="496">
        <f>C97/$J63</f>
        <v>5833.7791679882666</v>
      </c>
      <c r="E97" s="47"/>
      <c r="F97" s="47"/>
    </row>
    <row r="98" spans="2:9">
      <c r="B98" s="268" t="s">
        <v>20</v>
      </c>
      <c r="C98" s="499">
        <f>C94+C97</f>
        <v>417982.19499999995</v>
      </c>
      <c r="D98" s="500">
        <f>D94+D97</f>
        <v>9402.6412874518883</v>
      </c>
      <c r="E98" s="270"/>
      <c r="F98" s="270"/>
    </row>
    <row r="99" spans="2:9">
      <c r="B99" s="268" t="s">
        <v>23</v>
      </c>
      <c r="C99" s="515">
        <v>104016.97500000001</v>
      </c>
      <c r="D99" s="516">
        <f>C99/$J64</f>
        <v>2514.3199179595276</v>
      </c>
      <c r="E99" s="270"/>
      <c r="F99" s="270"/>
    </row>
    <row r="100" spans="2:9">
      <c r="B100" s="739" t="s">
        <v>656</v>
      </c>
      <c r="C100" s="740">
        <v>-47697.728999999992</v>
      </c>
    </row>
    <row r="102" spans="2:9">
      <c r="B102" s="36" t="s">
        <v>50</v>
      </c>
      <c r="C102" s="501">
        <v>238755.75</v>
      </c>
    </row>
    <row r="103" spans="2:9">
      <c r="B103" s="36" t="s">
        <v>51</v>
      </c>
      <c r="C103" s="227">
        <f>C102+C96</f>
        <v>305576.59399999998</v>
      </c>
    </row>
    <row r="104" spans="2:9">
      <c r="B104" s="80" t="s">
        <v>52</v>
      </c>
      <c r="C104" s="228">
        <f>C103/C99</f>
        <v>2.9377569766857761</v>
      </c>
      <c r="D104" s="228"/>
      <c r="F104" s="410"/>
    </row>
    <row r="105" spans="2:9">
      <c r="B105" s="80"/>
      <c r="D105" s="228"/>
    </row>
    <row r="106" spans="2:9" ht="13.5" thickBot="1"/>
    <row r="107" spans="2:9" ht="13.5" thickBot="1">
      <c r="B107" s="634" t="s">
        <v>668</v>
      </c>
      <c r="C107" s="635" t="s">
        <v>4</v>
      </c>
      <c r="D107" s="636" t="s">
        <v>5</v>
      </c>
    </row>
    <row r="108" spans="2:9">
      <c r="B108" s="141" t="s">
        <v>64</v>
      </c>
      <c r="C108" s="502">
        <f>C95</f>
        <v>91828.282000000007</v>
      </c>
      <c r="D108" s="502">
        <f>C108/J63</f>
        <v>2065.7061616918281</v>
      </c>
    </row>
    <row r="109" spans="2:9" ht="13.5" thickBot="1">
      <c r="B109" s="245" t="s">
        <v>65</v>
      </c>
      <c r="C109" s="637">
        <f>SUM(C108:C108)</f>
        <v>91828.282000000007</v>
      </c>
      <c r="D109" s="638">
        <f>SUM(D108:D108)</f>
        <v>2065.7061616918281</v>
      </c>
      <c r="I109" s="738"/>
    </row>
    <row r="110" spans="2:9">
      <c r="I110" s="738"/>
    </row>
    <row r="111" spans="2:9">
      <c r="D111" s="507"/>
    </row>
    <row r="112" spans="2:9" ht="13.5" thickBot="1"/>
    <row r="113" spans="1:13" ht="26.25" thickBot="1">
      <c r="B113" s="751" t="s">
        <v>669</v>
      </c>
      <c r="C113" s="741" t="s">
        <v>670</v>
      </c>
      <c r="D113" s="743" t="s">
        <v>671</v>
      </c>
      <c r="E113" s="743" t="s">
        <v>672</v>
      </c>
      <c r="F113" s="636" t="s">
        <v>673</v>
      </c>
      <c r="G113" s="743" t="s">
        <v>674</v>
      </c>
      <c r="H113" s="743" t="s">
        <v>675</v>
      </c>
    </row>
    <row r="114" spans="1:13">
      <c r="B114" s="86" t="s">
        <v>676</v>
      </c>
      <c r="C114" s="503">
        <v>14402.451999999999</v>
      </c>
      <c r="D114" s="744">
        <f>SUM(E114:H114)</f>
        <v>18179.334999999999</v>
      </c>
      <c r="E114" s="742">
        <f>915.531+952.683</f>
        <v>1868.2139999999999</v>
      </c>
      <c r="F114" s="742">
        <v>1783.3150000000001</v>
      </c>
      <c r="G114" s="742">
        <v>5664.5519999999997</v>
      </c>
      <c r="H114" s="742">
        <v>8863.2540000000008</v>
      </c>
    </row>
    <row r="115" spans="1:13">
      <c r="B115" s="86" t="s">
        <v>677</v>
      </c>
      <c r="C115" s="503">
        <v>60895.49</v>
      </c>
      <c r="D115" s="744">
        <f>SUM(E115:H115)</f>
        <v>67902.804000000004</v>
      </c>
      <c r="E115" s="742">
        <f>18071.669+6986.229</f>
        <v>25057.898000000001</v>
      </c>
      <c r="F115" s="742">
        <v>13642.418</v>
      </c>
      <c r="G115" s="742">
        <v>27358.54</v>
      </c>
      <c r="H115" s="742">
        <v>1843.9480000000001</v>
      </c>
    </row>
    <row r="116" spans="1:13">
      <c r="B116" s="86" t="s">
        <v>678</v>
      </c>
      <c r="C116" s="503">
        <v>67866.866999999998</v>
      </c>
      <c r="D116" s="744">
        <f>SUM(E116:H116)</f>
        <v>87445.714999999997</v>
      </c>
      <c r="E116" s="742">
        <f>4729.878+2232.097</f>
        <v>6961.9750000000004</v>
      </c>
      <c r="F116" s="742">
        <v>4464.1940000000004</v>
      </c>
      <c r="G116" s="742">
        <v>52129.171999999999</v>
      </c>
      <c r="H116" s="742">
        <v>23890.374</v>
      </c>
    </row>
    <row r="117" spans="1:13" ht="13.5" thickBot="1">
      <c r="B117" s="86" t="s">
        <v>336</v>
      </c>
      <c r="C117" s="503">
        <v>15484.316999999999</v>
      </c>
      <c r="D117" s="744">
        <f>SUM(E117:H117)</f>
        <v>27331.494999999999</v>
      </c>
      <c r="E117" s="742">
        <f>3109.393+1677.762</f>
        <v>4787.1549999999997</v>
      </c>
      <c r="F117" s="742">
        <v>4057.6280000000002</v>
      </c>
      <c r="G117" s="742">
        <v>6980.393</v>
      </c>
      <c r="H117" s="742">
        <v>11506.319</v>
      </c>
    </row>
    <row r="118" spans="1:13" ht="13.5" thickBot="1">
      <c r="B118" s="640" t="s">
        <v>70</v>
      </c>
      <c r="C118" s="642">
        <f t="shared" ref="C118:H118" si="1">SUM(C114:C117)</f>
        <v>158649.12600000002</v>
      </c>
      <c r="D118" s="642">
        <f t="shared" si="1"/>
        <v>200859.34899999999</v>
      </c>
      <c r="E118" s="642">
        <f t="shared" si="1"/>
        <v>38675.241999999998</v>
      </c>
      <c r="F118" s="642">
        <f t="shared" si="1"/>
        <v>23947.555</v>
      </c>
      <c r="G118" s="642">
        <f t="shared" si="1"/>
        <v>92132.656999999992</v>
      </c>
      <c r="H118" s="642">
        <f t="shared" si="1"/>
        <v>46103.895000000004</v>
      </c>
    </row>
    <row r="119" spans="1:13">
      <c r="B119" s="80"/>
      <c r="C119" s="509"/>
      <c r="D119" s="510"/>
    </row>
    <row r="120" spans="1:13">
      <c r="B120" s="80"/>
      <c r="C120" s="509"/>
      <c r="D120" s="510"/>
    </row>
    <row r="121" spans="1:13">
      <c r="B121" s="80"/>
      <c r="C121" s="509"/>
      <c r="D121" s="510"/>
    </row>
    <row r="122" spans="1:13">
      <c r="B122" s="80"/>
      <c r="C122" s="509"/>
      <c r="D122" s="510"/>
    </row>
    <row r="125" spans="1:13">
      <c r="A125" s="80" t="s">
        <v>679</v>
      </c>
      <c r="I125" s="5" t="s">
        <v>631</v>
      </c>
      <c r="J125" s="455">
        <v>39.742400000000004</v>
      </c>
    </row>
    <row r="126" spans="1:13" ht="12.75" customHeight="1">
      <c r="I126" s="5" t="s">
        <v>632</v>
      </c>
      <c r="J126" s="455">
        <v>37.58314403114187</v>
      </c>
    </row>
    <row r="127" spans="1:13" ht="12.75" customHeight="1" thickBot="1"/>
    <row r="128" spans="1:13" ht="25.5">
      <c r="B128" s="633" t="s">
        <v>680</v>
      </c>
      <c r="C128" s="632" t="s">
        <v>4</v>
      </c>
      <c r="D128" s="632" t="s">
        <v>5</v>
      </c>
      <c r="E128" s="632" t="s">
        <v>6</v>
      </c>
      <c r="F128" s="632" t="s">
        <v>7</v>
      </c>
      <c r="I128" s="643" t="s">
        <v>636</v>
      </c>
      <c r="J128" s="644" t="s">
        <v>4</v>
      </c>
      <c r="K128" s="644" t="s">
        <v>5</v>
      </c>
      <c r="L128" s="645" t="s">
        <v>6</v>
      </c>
      <c r="M128" s="646" t="s">
        <v>6</v>
      </c>
    </row>
    <row r="129" spans="2:13">
      <c r="D129" s="620"/>
      <c r="I129" s="647" t="s">
        <v>8</v>
      </c>
      <c r="J129" s="484">
        <f>C154</f>
        <v>181280.84499999997</v>
      </c>
      <c r="K129" s="484">
        <f>D154</f>
        <v>4561.3965185796533</v>
      </c>
      <c r="L129" s="46">
        <f>+J129/J134</f>
        <v>1.916006474735741</v>
      </c>
      <c r="M129" s="648">
        <f>+K129/K134</f>
        <v>1.8119073660522202</v>
      </c>
    </row>
    <row r="130" spans="2:13">
      <c r="B130" s="621" t="s">
        <v>681</v>
      </c>
      <c r="C130" s="622">
        <v>5266.6679999999997</v>
      </c>
      <c r="D130" s="623">
        <f>C130/$J125</f>
        <v>132.52012963484842</v>
      </c>
      <c r="E130" s="622"/>
      <c r="F130" s="624"/>
      <c r="I130" s="649" t="s">
        <v>11</v>
      </c>
      <c r="J130" s="496">
        <f>J129-J131</f>
        <v>161425.84499999997</v>
      </c>
      <c r="K130" s="496">
        <f>J130/$J125</f>
        <v>4061.8041436853323</v>
      </c>
      <c r="L130" s="47"/>
      <c r="M130" s="650"/>
    </row>
    <row r="131" spans="2:13">
      <c r="B131" s="621" t="s">
        <v>682</v>
      </c>
      <c r="C131" s="622">
        <v>449.185</v>
      </c>
      <c r="D131" s="623">
        <f>C131/$J125</f>
        <v>11.302412536736583</v>
      </c>
      <c r="E131" s="622"/>
      <c r="F131" s="624"/>
      <c r="I131" s="647" t="s">
        <v>14</v>
      </c>
      <c r="J131" s="488">
        <v>19855</v>
      </c>
      <c r="K131" s="484">
        <f>K129-K130</f>
        <v>499.59237489432098</v>
      </c>
      <c r="L131" s="46">
        <f>+J131/J134</f>
        <v>0.20985288630951685</v>
      </c>
      <c r="M131" s="648">
        <f>+K131/K134</f>
        <v>0.19845130770968628</v>
      </c>
    </row>
    <row r="132" spans="2:13">
      <c r="B132" s="621" t="s">
        <v>683</v>
      </c>
      <c r="C132" s="622">
        <v>739.89099999999996</v>
      </c>
      <c r="D132" s="623">
        <f>C132/$J125</f>
        <v>18.617169572043959</v>
      </c>
      <c r="E132" s="624"/>
      <c r="F132" s="624"/>
      <c r="I132" s="651" t="s">
        <v>17</v>
      </c>
      <c r="J132" s="489">
        <f>C157</f>
        <v>243029.36499999999</v>
      </c>
      <c r="K132" s="489">
        <f>J132/$J125</f>
        <v>6115.1154686178988</v>
      </c>
      <c r="L132" s="85"/>
      <c r="M132" s="652"/>
    </row>
    <row r="133" spans="2:13">
      <c r="B133" s="621" t="s">
        <v>684</v>
      </c>
      <c r="C133" s="622">
        <v>8728.3220000000001</v>
      </c>
      <c r="D133" s="623">
        <f>C133/$J125</f>
        <v>219.62241837433066</v>
      </c>
      <c r="E133" s="624"/>
      <c r="F133" s="624"/>
      <c r="I133" s="651" t="s">
        <v>20</v>
      </c>
      <c r="J133" s="489">
        <f>J129+J132</f>
        <v>424310.20999999996</v>
      </c>
      <c r="K133" s="489">
        <f>K129+K132</f>
        <v>10676.511987197551</v>
      </c>
      <c r="L133" s="85"/>
      <c r="M133" s="652"/>
    </row>
    <row r="134" spans="2:13" ht="13.5" thickBot="1">
      <c r="B134" s="625" t="s">
        <v>24</v>
      </c>
      <c r="C134" s="626">
        <f>SUM(C130:C133)</f>
        <v>15184.065999999999</v>
      </c>
      <c r="D134" s="626">
        <f>SUM(D130:D133)</f>
        <v>382.06213011795961</v>
      </c>
      <c r="E134" s="624"/>
      <c r="F134" s="624"/>
      <c r="I134" s="653" t="s">
        <v>23</v>
      </c>
      <c r="J134" s="654">
        <f>C159</f>
        <v>94613.900000000023</v>
      </c>
      <c r="K134" s="654">
        <f>D159</f>
        <v>2517.4556956065662</v>
      </c>
      <c r="L134" s="655"/>
      <c r="M134" s="656"/>
    </row>
    <row r="135" spans="2:13">
      <c r="E135" s="228"/>
      <c r="F135" s="228"/>
    </row>
    <row r="136" spans="2:13">
      <c r="B136" s="625"/>
      <c r="C136" s="626"/>
      <c r="D136" s="627"/>
      <c r="E136" s="228"/>
      <c r="F136" s="228"/>
    </row>
    <row r="137" spans="2:13">
      <c r="B137" s="630" t="s">
        <v>685</v>
      </c>
      <c r="C137" s="622">
        <v>4321.6819999999998</v>
      </c>
      <c r="D137" s="623">
        <f>C137/$J125</f>
        <v>108.74235073875758</v>
      </c>
      <c r="E137" s="228"/>
      <c r="F137" s="228"/>
    </row>
    <row r="138" spans="2:13">
      <c r="B138" s="621" t="s">
        <v>686</v>
      </c>
      <c r="C138" s="622">
        <v>683.85799999999995</v>
      </c>
      <c r="D138" s="623">
        <f>C138/$J125</f>
        <v>17.207264785216793</v>
      </c>
      <c r="E138" s="228"/>
      <c r="F138" s="228"/>
    </row>
    <row r="139" spans="2:13">
      <c r="B139" s="621" t="s">
        <v>687</v>
      </c>
      <c r="C139" s="622">
        <v>2897.9470000000001</v>
      </c>
      <c r="D139" s="623">
        <f>C139/$J125</f>
        <v>72.918268650106683</v>
      </c>
      <c r="E139" s="228"/>
      <c r="F139" s="228"/>
    </row>
    <row r="140" spans="2:13">
      <c r="B140" s="621" t="s">
        <v>688</v>
      </c>
      <c r="C140" s="622">
        <v>5446.0519999999997</v>
      </c>
      <c r="D140" s="623">
        <f>C140/$J125</f>
        <v>137.03379765691048</v>
      </c>
      <c r="E140" s="228"/>
      <c r="F140" s="228"/>
    </row>
    <row r="141" spans="2:13">
      <c r="B141" s="625" t="s">
        <v>31</v>
      </c>
      <c r="C141" s="626">
        <f>SUM(C137:C140)</f>
        <v>13349.539000000001</v>
      </c>
      <c r="D141" s="626">
        <f>SUM(D137:D140)</f>
        <v>335.90168183099149</v>
      </c>
      <c r="E141" s="228"/>
      <c r="F141" s="228"/>
    </row>
    <row r="142" spans="2:13">
      <c r="B142" s="625"/>
      <c r="C142" s="626"/>
      <c r="D142" s="627"/>
      <c r="E142" s="228"/>
      <c r="F142" s="228"/>
      <c r="H142" s="450"/>
      <c r="J142" s="450"/>
    </row>
    <row r="143" spans="2:13" ht="25.5">
      <c r="B143" s="621" t="s">
        <v>689</v>
      </c>
      <c r="C143" s="622">
        <v>41612.436000000002</v>
      </c>
      <c r="D143" s="623">
        <f>C143/$J125</f>
        <v>1047.0539272917588</v>
      </c>
      <c r="E143" s="628"/>
      <c r="F143" s="628"/>
      <c r="H143" s="450"/>
      <c r="J143" s="450"/>
    </row>
    <row r="144" spans="2:13">
      <c r="B144" s="621" t="s">
        <v>690</v>
      </c>
      <c r="C144" s="622">
        <v>10070.376</v>
      </c>
      <c r="D144" s="623">
        <f>C144/$J125</f>
        <v>253.39123958291395</v>
      </c>
      <c r="E144" s="628"/>
      <c r="F144" s="631" t="s">
        <v>647</v>
      </c>
      <c r="H144" s="450"/>
    </row>
    <row r="145" spans="2:9" ht="25.5">
      <c r="B145" s="621" t="s">
        <v>691</v>
      </c>
      <c r="C145" s="622">
        <v>11328.231</v>
      </c>
      <c r="D145" s="623">
        <f>C145/$J125</f>
        <v>285.04144188574418</v>
      </c>
      <c r="E145" s="628"/>
      <c r="F145" s="628"/>
      <c r="H145" s="450"/>
      <c r="I145" s="450"/>
    </row>
    <row r="146" spans="2:9">
      <c r="B146" s="621" t="s">
        <v>692</v>
      </c>
      <c r="C146" s="622">
        <v>2974.3789999999999</v>
      </c>
      <c r="D146" s="623">
        <f>C146/$J125</f>
        <v>74.841453963525097</v>
      </c>
      <c r="E146" s="628"/>
      <c r="F146" s="628"/>
      <c r="H146" s="450"/>
    </row>
    <row r="147" spans="2:9">
      <c r="B147" s="621" t="s">
        <v>693</v>
      </c>
      <c r="C147" s="622">
        <v>508.50599999999997</v>
      </c>
      <c r="D147" s="623">
        <f>C147/$J125</f>
        <v>12.795050122790771</v>
      </c>
      <c r="E147" s="628"/>
      <c r="F147" s="628"/>
      <c r="H147" s="450"/>
      <c r="I147" s="450"/>
    </row>
    <row r="148" spans="2:9">
      <c r="B148" s="621" t="s">
        <v>694</v>
      </c>
      <c r="C148" s="622">
        <v>105.111</v>
      </c>
      <c r="D148" s="623">
        <f>C148/$J125</f>
        <v>2.644807560690849</v>
      </c>
      <c r="E148" s="628"/>
      <c r="F148" s="628"/>
      <c r="H148" s="450"/>
      <c r="I148" s="450"/>
    </row>
    <row r="149" spans="2:9">
      <c r="B149" s="621" t="s">
        <v>695</v>
      </c>
      <c r="C149" s="622">
        <v>243.62299999999999</v>
      </c>
      <c r="D149" s="623">
        <f>C149/$J125</f>
        <v>6.1300525383469537</v>
      </c>
      <c r="E149" s="628"/>
      <c r="F149" s="628"/>
      <c r="H149" s="450"/>
      <c r="I149" s="450"/>
    </row>
    <row r="150" spans="2:9">
      <c r="B150" s="621" t="s">
        <v>696</v>
      </c>
      <c r="C150" s="622">
        <v>82823.316000000006</v>
      </c>
      <c r="D150" s="623">
        <f>C150/$J125</f>
        <v>2084.0038850195256</v>
      </c>
      <c r="E150" s="228"/>
      <c r="F150" s="228"/>
      <c r="H150" s="450"/>
      <c r="I150" s="450"/>
    </row>
    <row r="151" spans="2:9">
      <c r="B151" s="621" t="s">
        <v>697</v>
      </c>
      <c r="C151" s="622">
        <v>3081.2620000000002</v>
      </c>
      <c r="D151" s="623">
        <f>C151/$J125</f>
        <v>77.530848665405202</v>
      </c>
      <c r="E151" s="228"/>
      <c r="F151" s="228"/>
      <c r="H151" s="450"/>
      <c r="I151" s="450"/>
    </row>
    <row r="152" spans="2:9">
      <c r="B152" s="625" t="s">
        <v>48</v>
      </c>
      <c r="C152" s="626">
        <f>SUM(C143:C151)</f>
        <v>152747.24</v>
      </c>
      <c r="D152" s="626">
        <f>SUM(D143:D151)</f>
        <v>3843.4327066307019</v>
      </c>
      <c r="E152" s="628"/>
      <c r="F152" s="628"/>
      <c r="I152" s="285"/>
    </row>
    <row r="153" spans="2:9">
      <c r="B153" s="621"/>
      <c r="C153" s="622"/>
      <c r="D153" s="629"/>
      <c r="E153" s="628"/>
      <c r="F153" s="628"/>
    </row>
    <row r="154" spans="2:9">
      <c r="B154" s="265" t="s">
        <v>49</v>
      </c>
      <c r="C154" s="494">
        <f>+C141+C152+C134</f>
        <v>181280.84499999997</v>
      </c>
      <c r="D154" s="495">
        <f>+D141+D152+D134</f>
        <v>4561.3965185796533</v>
      </c>
      <c r="E154" s="267">
        <f>+C154/C159</f>
        <v>1.916006474735741</v>
      </c>
      <c r="F154" s="267">
        <f>+D154/D159</f>
        <v>1.8119073660522202</v>
      </c>
    </row>
    <row r="155" spans="2:9">
      <c r="B155" s="44" t="s">
        <v>11</v>
      </c>
      <c r="C155" s="272">
        <v>122346.742</v>
      </c>
      <c r="D155" s="497">
        <f>C155/$J125</f>
        <v>3078.4940516929018</v>
      </c>
      <c r="E155" s="47"/>
      <c r="F155" s="47"/>
      <c r="I155" s="416"/>
    </row>
    <row r="156" spans="2:9">
      <c r="B156" s="45" t="s">
        <v>14</v>
      </c>
      <c r="C156" s="484">
        <f>+C154-C155</f>
        <v>58934.102999999974</v>
      </c>
      <c r="D156" s="498">
        <f>+D154-D155</f>
        <v>1482.9024668867514</v>
      </c>
      <c r="E156" s="46">
        <f>+C156/C159</f>
        <v>0.62289053722550236</v>
      </c>
      <c r="F156" s="46">
        <f>+D156/D159</f>
        <v>0.58904808909832862</v>
      </c>
    </row>
    <row r="157" spans="2:9">
      <c r="B157" s="44" t="s">
        <v>17</v>
      </c>
      <c r="C157" s="496">
        <v>243029.36499999999</v>
      </c>
      <c r="D157" s="497">
        <f>C157/$J125</f>
        <v>6115.1154686178988</v>
      </c>
      <c r="E157" s="47"/>
      <c r="F157" s="47"/>
    </row>
    <row r="158" spans="2:9">
      <c r="B158" s="268" t="s">
        <v>20</v>
      </c>
      <c r="C158" s="499">
        <f>C154+C157</f>
        <v>424310.20999999996</v>
      </c>
      <c r="D158" s="500">
        <f>D154+D157</f>
        <v>10676.511987197551</v>
      </c>
      <c r="E158" s="270"/>
      <c r="F158" s="270"/>
    </row>
    <row r="159" spans="2:9">
      <c r="B159" s="268" t="s">
        <v>23</v>
      </c>
      <c r="C159" s="515">
        <v>94613.900000000023</v>
      </c>
      <c r="D159" s="516">
        <f>C159/$J126</f>
        <v>2517.4556956065662</v>
      </c>
      <c r="E159" s="270"/>
      <c r="F159" s="270"/>
    </row>
    <row r="162" spans="2:6">
      <c r="B162" s="36" t="s">
        <v>50</v>
      </c>
      <c r="C162" s="501">
        <v>212080.5</v>
      </c>
    </row>
    <row r="163" spans="2:6">
      <c r="B163" s="36" t="s">
        <v>51</v>
      </c>
      <c r="C163" s="227">
        <f>C162+C156</f>
        <v>271014.603</v>
      </c>
    </row>
    <row r="164" spans="2:6">
      <c r="B164" s="80" t="s">
        <v>52</v>
      </c>
      <c r="C164" s="228">
        <f>C163/C159</f>
        <v>2.8644269288127848</v>
      </c>
      <c r="D164" s="228"/>
      <c r="F164" s="410"/>
    </row>
    <row r="165" spans="2:6">
      <c r="B165" s="80"/>
      <c r="D165" s="228"/>
    </row>
    <row r="166" spans="2:6" ht="13.5" thickBot="1"/>
    <row r="167" spans="2:6" ht="13.5" thickBot="1">
      <c r="B167" s="634" t="s">
        <v>698</v>
      </c>
      <c r="C167" s="635" t="s">
        <v>4</v>
      </c>
      <c r="D167" s="636" t="s">
        <v>5</v>
      </c>
    </row>
    <row r="168" spans="2:6">
      <c r="B168" s="141" t="s">
        <v>64</v>
      </c>
      <c r="C168" s="502">
        <f>C155</f>
        <v>122346.742</v>
      </c>
      <c r="D168" s="504">
        <f>D155</f>
        <v>3078.4940516929018</v>
      </c>
    </row>
    <row r="169" spans="2:6" ht="13.5" thickBot="1">
      <c r="B169" s="245" t="s">
        <v>65</v>
      </c>
      <c r="C169" s="637">
        <f>SUM(C168:C168)</f>
        <v>122346.742</v>
      </c>
      <c r="D169" s="638">
        <f>SUM(D168:D168)</f>
        <v>3078.4940516929018</v>
      </c>
    </row>
    <row r="171" spans="2:6">
      <c r="D171" s="507"/>
    </row>
    <row r="172" spans="2:6" ht="13.5" thickBot="1"/>
    <row r="173" spans="2:6" ht="13.5" thickBot="1">
      <c r="B173" s="639" t="s">
        <v>699</v>
      </c>
      <c r="C173" s="635" t="s">
        <v>4</v>
      </c>
      <c r="D173" s="636" t="s">
        <v>5</v>
      </c>
    </row>
    <row r="174" spans="2:6">
      <c r="B174" s="86">
        <v>2025</v>
      </c>
      <c r="C174" s="508">
        <f>D174*$J125</f>
        <v>36841.204800000007</v>
      </c>
      <c r="D174" s="503">
        <v>927</v>
      </c>
    </row>
    <row r="175" spans="2:6">
      <c r="B175" s="86">
        <v>2026</v>
      </c>
      <c r="C175" s="508">
        <f>D175*$J125</f>
        <v>21739.092800000002</v>
      </c>
      <c r="D175" s="503">
        <v>547</v>
      </c>
    </row>
    <row r="176" spans="2:6">
      <c r="B176" s="86">
        <v>2027</v>
      </c>
      <c r="C176" s="508">
        <f>D176*$J125</f>
        <v>17884.080000000002</v>
      </c>
      <c r="D176" s="503">
        <v>450</v>
      </c>
    </row>
    <row r="177" spans="1:13">
      <c r="B177" s="86">
        <v>2028</v>
      </c>
      <c r="C177" s="508">
        <f>D177*$J125</f>
        <v>36364.296000000002</v>
      </c>
      <c r="D177" s="503">
        <v>915</v>
      </c>
    </row>
    <row r="178" spans="1:13">
      <c r="B178" s="86">
        <v>2029</v>
      </c>
      <c r="C178" s="508">
        <f>D178*$J125</f>
        <v>8147.1920000000009</v>
      </c>
      <c r="D178" s="503">
        <v>205</v>
      </c>
    </row>
    <row r="179" spans="1:13">
      <c r="B179" s="86">
        <v>2030</v>
      </c>
      <c r="C179" s="508">
        <f>D179*$J125</f>
        <v>31475.980800000001</v>
      </c>
      <c r="D179" s="503">
        <v>792</v>
      </c>
    </row>
    <row r="180" spans="1:13" ht="13.5" thickBot="1">
      <c r="B180" s="86" t="s">
        <v>700</v>
      </c>
      <c r="C180" s="508">
        <f>D180*$J125</f>
        <v>29488.860800000002</v>
      </c>
      <c r="D180" s="503">
        <v>742</v>
      </c>
    </row>
    <row r="181" spans="1:13" ht="13.5" thickBot="1">
      <c r="B181" s="640" t="s">
        <v>70</v>
      </c>
      <c r="C181" s="642">
        <f>C174+C180</f>
        <v>66330.065600000002</v>
      </c>
      <c r="D181" s="641">
        <f>D174+D180</f>
        <v>1669</v>
      </c>
    </row>
    <row r="182" spans="1:13">
      <c r="B182" s="80"/>
      <c r="C182" s="509"/>
      <c r="D182" s="510"/>
    </row>
    <row r="183" spans="1:13">
      <c r="B183" s="80"/>
      <c r="C183" s="509"/>
      <c r="D183" s="510"/>
    </row>
    <row r="184" spans="1:13">
      <c r="B184" s="80"/>
      <c r="C184" s="509"/>
      <c r="D184" s="510"/>
    </row>
    <row r="185" spans="1:13">
      <c r="B185" s="80"/>
      <c r="C185" s="509"/>
      <c r="D185" s="510"/>
    </row>
    <row r="186" spans="1:13">
      <c r="B186" s="80"/>
      <c r="C186" s="238"/>
      <c r="D186" s="220"/>
    </row>
    <row r="187" spans="1:13">
      <c r="A187" s="80" t="s">
        <v>701</v>
      </c>
      <c r="I187" s="273" t="s">
        <v>1</v>
      </c>
    </row>
    <row r="188" spans="1:13" ht="12.75" customHeight="1">
      <c r="B188" s="256" t="s">
        <v>702</v>
      </c>
      <c r="C188" s="256"/>
      <c r="D188" s="256"/>
      <c r="E188" s="256"/>
      <c r="F188" s="256"/>
      <c r="G188" s="256"/>
      <c r="I188" s="256" t="s">
        <v>702</v>
      </c>
      <c r="J188" s="256"/>
      <c r="K188" s="256"/>
      <c r="L188" s="256"/>
      <c r="M188" s="256"/>
    </row>
    <row r="189" spans="1:13" ht="25.5">
      <c r="B189" s="34"/>
      <c r="C189" s="212" t="s">
        <v>3</v>
      </c>
      <c r="D189" s="212" t="s">
        <v>4</v>
      </c>
      <c r="E189" s="212" t="s">
        <v>5</v>
      </c>
      <c r="F189" s="212" t="s">
        <v>6</v>
      </c>
      <c r="G189" s="212" t="s">
        <v>7</v>
      </c>
      <c r="I189" s="34"/>
      <c r="J189" s="34" t="s">
        <v>4</v>
      </c>
      <c r="K189" s="34" t="s">
        <v>5</v>
      </c>
      <c r="L189" s="37" t="s">
        <v>6</v>
      </c>
      <c r="M189" s="37" t="s">
        <v>6</v>
      </c>
    </row>
    <row r="190" spans="1:13">
      <c r="B190" s="411"/>
      <c r="C190" s="411"/>
      <c r="D190" s="411"/>
      <c r="E190" s="435"/>
      <c r="F190" s="411"/>
      <c r="G190" s="411"/>
      <c r="I190" s="45" t="s">
        <v>8</v>
      </c>
      <c r="J190" s="484">
        <f>D215</f>
        <v>172858.079</v>
      </c>
      <c r="K190" s="484">
        <f>E215</f>
        <v>4349.4625135875031</v>
      </c>
      <c r="L190" s="46">
        <f>+J190/J195</f>
        <v>2.0051803852991243</v>
      </c>
      <c r="M190" s="46">
        <f>+K190/K195</f>
        <v>1.9539943597725842</v>
      </c>
    </row>
    <row r="191" spans="1:13">
      <c r="B191" s="161" t="s">
        <v>703</v>
      </c>
      <c r="C191" s="248" t="s">
        <v>704</v>
      </c>
      <c r="D191" s="485">
        <v>5183.0659999999998</v>
      </c>
      <c r="E191" s="486">
        <f>D191/$C234</f>
        <v>130.41653246910099</v>
      </c>
      <c r="F191" s="485"/>
      <c r="G191" s="277"/>
      <c r="I191" s="44" t="s">
        <v>11</v>
      </c>
      <c r="J191" s="487">
        <f>J190-J192</f>
        <v>147487.079</v>
      </c>
      <c r="K191" s="487">
        <f>J191/$C234</f>
        <v>3711.0763064133012</v>
      </c>
      <c r="L191" s="47"/>
      <c r="M191" s="47"/>
    </row>
    <row r="192" spans="1:13">
      <c r="B192" s="161" t="s">
        <v>705</v>
      </c>
      <c r="C192" s="248" t="s">
        <v>706</v>
      </c>
      <c r="D192" s="485">
        <v>6.0999999999999999E-2</v>
      </c>
      <c r="E192" s="486">
        <f>D192/$C234</f>
        <v>1.5348846571923184E-3</v>
      </c>
      <c r="F192" s="485"/>
      <c r="G192" s="277"/>
      <c r="I192" s="45" t="s">
        <v>14</v>
      </c>
      <c r="J192" s="488">
        <v>25371</v>
      </c>
      <c r="K192" s="484">
        <f>K190-K191</f>
        <v>638.3862071742019</v>
      </c>
      <c r="L192" s="46">
        <f>+J192/J195</f>
        <v>0.29430751428994006</v>
      </c>
      <c r="M192" s="46">
        <f>+K192/K195</f>
        <v>0.28679475780701141</v>
      </c>
    </row>
    <row r="193" spans="2:13">
      <c r="B193" s="161" t="s">
        <v>707</v>
      </c>
      <c r="C193" s="248" t="s">
        <v>16</v>
      </c>
      <c r="D193" s="485">
        <v>431.49200000000002</v>
      </c>
      <c r="E193" s="486">
        <f>D193/$C234</f>
        <v>10.857220500020128</v>
      </c>
      <c r="F193" s="277"/>
      <c r="G193" s="277"/>
      <c r="I193" s="84" t="s">
        <v>17</v>
      </c>
      <c r="J193" s="489">
        <f>D218</f>
        <v>219706.432</v>
      </c>
      <c r="K193" s="489">
        <f>J193/$C234</f>
        <v>5528.2628125125802</v>
      </c>
      <c r="L193" s="85"/>
      <c r="M193" s="85"/>
    </row>
    <row r="194" spans="2:13">
      <c r="B194" s="161" t="s">
        <v>708</v>
      </c>
      <c r="C194" s="248" t="s">
        <v>709</v>
      </c>
      <c r="D194" s="485">
        <v>677.00099999999998</v>
      </c>
      <c r="E194" s="486">
        <f>D194/$C234</f>
        <v>17.03472865252224</v>
      </c>
      <c r="F194" s="277"/>
      <c r="G194" s="277"/>
      <c r="I194" s="84" t="s">
        <v>20</v>
      </c>
      <c r="J194" s="489">
        <f>J190+J193</f>
        <v>392564.511</v>
      </c>
      <c r="K194" s="489">
        <f>K190+K193</f>
        <v>9877.7253261000842</v>
      </c>
      <c r="L194" s="85"/>
      <c r="M194" s="85"/>
    </row>
    <row r="195" spans="2:13">
      <c r="B195" s="161" t="s">
        <v>710</v>
      </c>
      <c r="C195" s="248" t="s">
        <v>711</v>
      </c>
      <c r="D195" s="485">
        <v>8028.5519999999997</v>
      </c>
      <c r="E195" s="486">
        <f>D195/$C234</f>
        <v>202.01477515197871</v>
      </c>
      <c r="F195" s="277"/>
      <c r="G195" s="277"/>
      <c r="I195" s="44" t="s">
        <v>23</v>
      </c>
      <c r="J195" s="397">
        <f>D220</f>
        <v>86205.75</v>
      </c>
      <c r="K195" s="397">
        <f>E220</f>
        <v>2225.9340165617036</v>
      </c>
      <c r="L195" s="44"/>
      <c r="M195" s="44"/>
    </row>
    <row r="196" spans="2:13">
      <c r="B196" s="209" t="s">
        <v>24</v>
      </c>
      <c r="C196" s="250"/>
      <c r="D196" s="490">
        <f>SUM(D191:D195)</f>
        <v>14320.171999999999</v>
      </c>
      <c r="E196" s="491">
        <f>D196/$C234</f>
        <v>360.32479165827925</v>
      </c>
      <c r="F196" s="222"/>
      <c r="G196" s="222"/>
    </row>
    <row r="197" spans="2:13">
      <c r="B197" s="209"/>
      <c r="C197" s="250"/>
      <c r="D197" s="490"/>
      <c r="E197" s="492"/>
      <c r="F197" s="222"/>
      <c r="G197" s="222"/>
    </row>
    <row r="198" spans="2:13">
      <c r="B198" s="161" t="s">
        <v>712</v>
      </c>
      <c r="C198" s="248" t="s">
        <v>26</v>
      </c>
      <c r="D198" s="485">
        <v>4329.25</v>
      </c>
      <c r="E198" s="486">
        <f>D198/$C234</f>
        <v>108.93277708442368</v>
      </c>
      <c r="F198" s="222"/>
      <c r="G198" s="222"/>
    </row>
    <row r="199" spans="2:13" ht="25.5">
      <c r="B199" s="161" t="s">
        <v>713</v>
      </c>
      <c r="C199" s="249" t="s">
        <v>714</v>
      </c>
      <c r="D199" s="485">
        <v>763.54100000000005</v>
      </c>
      <c r="E199" s="486">
        <f>D199/$C234</f>
        <v>19.212251902250493</v>
      </c>
      <c r="F199" s="222"/>
      <c r="G199" s="222"/>
    </row>
    <row r="200" spans="2:13">
      <c r="B200" s="161" t="s">
        <v>715</v>
      </c>
      <c r="C200" s="249" t="s">
        <v>716</v>
      </c>
      <c r="D200" s="485">
        <v>2760.6170000000002</v>
      </c>
      <c r="E200" s="486">
        <f>D200/$C234</f>
        <v>69.462765207939128</v>
      </c>
      <c r="F200" s="222"/>
      <c r="G200" s="222"/>
    </row>
    <row r="201" spans="2:13">
      <c r="B201" s="161" t="s">
        <v>717</v>
      </c>
      <c r="C201" s="249">
        <v>0.04</v>
      </c>
      <c r="D201" s="485">
        <v>4339.3389999999999</v>
      </c>
      <c r="E201" s="486">
        <f>D201/$C234</f>
        <v>109.18663694190586</v>
      </c>
      <c r="F201" s="222"/>
      <c r="G201" s="222"/>
    </row>
    <row r="202" spans="2:13">
      <c r="B202" s="209" t="s">
        <v>31</v>
      </c>
      <c r="C202" s="250"/>
      <c r="D202" s="490">
        <f>SUM(D198:D201)</f>
        <v>12192.746999999999</v>
      </c>
      <c r="E202" s="491">
        <f>D202/$C234</f>
        <v>306.79443113651917</v>
      </c>
      <c r="F202" s="222"/>
      <c r="G202" s="222"/>
    </row>
    <row r="203" spans="2:13">
      <c r="B203" s="209"/>
      <c r="C203" s="250"/>
      <c r="D203" s="490"/>
      <c r="E203" s="492"/>
      <c r="F203" s="222"/>
      <c r="G203" s="222"/>
      <c r="H203" s="450"/>
      <c r="J203" s="450"/>
    </row>
    <row r="204" spans="2:13" ht="25.5">
      <c r="B204" s="161" t="s">
        <v>718</v>
      </c>
      <c r="C204" s="248" t="s">
        <v>719</v>
      </c>
      <c r="D204" s="485">
        <v>39902.330999999998</v>
      </c>
      <c r="E204" s="486">
        <f>D204/$C234</f>
        <v>1004.024190788679</v>
      </c>
      <c r="F204" s="162"/>
      <c r="G204" s="162"/>
      <c r="H204" s="450"/>
      <c r="J204" s="450"/>
    </row>
    <row r="205" spans="2:13">
      <c r="B205" s="161" t="s">
        <v>720</v>
      </c>
      <c r="C205" s="248" t="s">
        <v>721</v>
      </c>
      <c r="D205" s="485">
        <v>10014.950999999999</v>
      </c>
      <c r="E205" s="486">
        <f>D205/$C234</f>
        <v>251.99663331857155</v>
      </c>
      <c r="F205" s="162"/>
      <c r="G205" s="162"/>
      <c r="H205" s="450"/>
    </row>
    <row r="206" spans="2:13">
      <c r="B206" s="161" t="s">
        <v>720</v>
      </c>
      <c r="C206" s="251" t="s">
        <v>722</v>
      </c>
      <c r="D206" s="485">
        <v>242.97499999999999</v>
      </c>
      <c r="E206" s="486">
        <f>D206/$C234</f>
        <v>6.1137475341197307</v>
      </c>
      <c r="F206" s="162"/>
      <c r="G206" s="162"/>
      <c r="H206" s="450"/>
      <c r="I206" s="450"/>
    </row>
    <row r="207" spans="2:13" ht="25.5">
      <c r="B207" s="161" t="s">
        <v>723</v>
      </c>
      <c r="C207" s="251" t="s">
        <v>724</v>
      </c>
      <c r="D207" s="485">
        <v>10691.262000000001</v>
      </c>
      <c r="E207" s="486">
        <f>D207/$C234</f>
        <v>269.01400016103707</v>
      </c>
      <c r="F207" s="162"/>
      <c r="G207" s="162"/>
      <c r="H207" s="450"/>
    </row>
    <row r="208" spans="2:13">
      <c r="B208" s="161" t="s">
        <v>725</v>
      </c>
      <c r="C208" s="249" t="s">
        <v>41</v>
      </c>
      <c r="D208" s="485">
        <v>2791.7150000000001</v>
      </c>
      <c r="E208" s="486">
        <f>D208/$C234</f>
        <v>70.245254438584482</v>
      </c>
      <c r="F208" s="162"/>
      <c r="G208" s="162"/>
      <c r="H208" s="450"/>
      <c r="I208" s="450"/>
    </row>
    <row r="209" spans="2:9">
      <c r="B209" s="161" t="s">
        <v>726</v>
      </c>
      <c r="C209" s="249">
        <v>0.05</v>
      </c>
      <c r="D209" s="485">
        <v>480.65600000000001</v>
      </c>
      <c r="E209" s="486">
        <f>D209/$C234</f>
        <v>12.094287209630016</v>
      </c>
      <c r="F209" s="162"/>
      <c r="G209" s="162"/>
      <c r="H209" s="450"/>
      <c r="I209" s="450"/>
    </row>
    <row r="210" spans="2:9">
      <c r="B210" s="161" t="s">
        <v>727</v>
      </c>
      <c r="C210" s="249">
        <v>2.5999999999999999E-2</v>
      </c>
      <c r="D210" s="485">
        <v>125.408</v>
      </c>
      <c r="E210" s="486">
        <f>D210/$C234</f>
        <v>3.1555215588389225</v>
      </c>
      <c r="F210" s="162"/>
      <c r="G210" s="162"/>
      <c r="H210" s="450"/>
      <c r="I210" s="450"/>
    </row>
    <row r="211" spans="2:9">
      <c r="B211" s="161" t="s">
        <v>728</v>
      </c>
      <c r="C211" s="408" t="s">
        <v>729</v>
      </c>
      <c r="D211" s="485">
        <v>79475.414000000004</v>
      </c>
      <c r="E211" s="486">
        <f>D211/$C234</f>
        <v>1999.7638290591408</v>
      </c>
      <c r="F211" s="222"/>
      <c r="G211" s="222"/>
      <c r="H211" s="450"/>
      <c r="I211" s="450"/>
    </row>
    <row r="212" spans="2:9">
      <c r="B212" s="161" t="s">
        <v>730</v>
      </c>
      <c r="C212" s="248" t="s">
        <v>731</v>
      </c>
      <c r="D212" s="485">
        <v>2620.4479999999999</v>
      </c>
      <c r="E212" s="486">
        <f>D212/$C234</f>
        <v>65.935826724103222</v>
      </c>
      <c r="F212" s="222"/>
      <c r="G212" s="222"/>
      <c r="H212" s="450"/>
      <c r="I212" s="450"/>
    </row>
    <row r="213" spans="2:9">
      <c r="B213" s="209" t="s">
        <v>48</v>
      </c>
      <c r="C213" s="408"/>
      <c r="D213" s="490">
        <f>SUM(D204:D212)</f>
        <v>146345.16</v>
      </c>
      <c r="E213" s="491">
        <f>D213/$C234</f>
        <v>3682.3432907927049</v>
      </c>
      <c r="F213" s="162"/>
      <c r="G213" s="162"/>
      <c r="I213" s="285"/>
    </row>
    <row r="214" spans="2:9">
      <c r="B214" s="161"/>
      <c r="C214" s="408"/>
      <c r="D214" s="485"/>
      <c r="E214" s="493"/>
      <c r="F214" s="162"/>
      <c r="G214" s="162"/>
    </row>
    <row r="215" spans="2:9">
      <c r="B215" s="265" t="s">
        <v>49</v>
      </c>
      <c r="C215" s="265"/>
      <c r="D215" s="494">
        <f>+D202+D213+D196</f>
        <v>172858.079</v>
      </c>
      <c r="E215" s="495">
        <f>+E202+E213+E196</f>
        <v>4349.4625135875031</v>
      </c>
      <c r="F215" s="267">
        <f>+D215/D220</f>
        <v>2.0051803852991243</v>
      </c>
      <c r="G215" s="267">
        <f>+E215/E220</f>
        <v>1.9539943597725842</v>
      </c>
    </row>
    <row r="216" spans="2:9">
      <c r="B216" s="44" t="s">
        <v>11</v>
      </c>
      <c r="C216" s="44"/>
      <c r="D216" s="272">
        <v>116601.09699999999</v>
      </c>
      <c r="E216" s="497">
        <f>D216/$C234</f>
        <v>2933.9218819195617</v>
      </c>
      <c r="F216" s="47"/>
      <c r="G216" s="47"/>
      <c r="I216" s="416"/>
    </row>
    <row r="217" spans="2:9">
      <c r="B217" s="45" t="s">
        <v>14</v>
      </c>
      <c r="C217" s="45"/>
      <c r="D217" s="484">
        <f>+D215-D216</f>
        <v>56256.982000000004</v>
      </c>
      <c r="E217" s="498">
        <f>+E215-E216</f>
        <v>1415.5406316679414</v>
      </c>
      <c r="F217" s="46">
        <f>+D217/D220</f>
        <v>0.65258967064261963</v>
      </c>
      <c r="G217" s="46">
        <f>+E217/E220</f>
        <v>0.63593108382182006</v>
      </c>
    </row>
    <row r="218" spans="2:9">
      <c r="B218" s="44" t="s">
        <v>17</v>
      </c>
      <c r="C218" s="44"/>
      <c r="D218" s="496">
        <v>219706.432</v>
      </c>
      <c r="E218" s="497">
        <f>D218/$C234</f>
        <v>5528.2628125125802</v>
      </c>
      <c r="F218" s="47"/>
      <c r="G218" s="47"/>
    </row>
    <row r="219" spans="2:9">
      <c r="B219" s="268" t="s">
        <v>20</v>
      </c>
      <c r="C219" s="268"/>
      <c r="D219" s="499">
        <f>D215+D218</f>
        <v>392564.511</v>
      </c>
      <c r="E219" s="500">
        <f>E215+E218</f>
        <v>9877.7253261000842</v>
      </c>
      <c r="F219" s="270"/>
      <c r="G219" s="270"/>
    </row>
    <row r="220" spans="2:9">
      <c r="B220" s="268" t="s">
        <v>23</v>
      </c>
      <c r="C220" s="268"/>
      <c r="D220" s="515">
        <v>86205.75</v>
      </c>
      <c r="E220" s="516">
        <v>2225.9340165617036</v>
      </c>
      <c r="F220" s="270"/>
      <c r="G220" s="270"/>
    </row>
    <row r="223" spans="2:9">
      <c r="B223" s="36" t="s">
        <v>50</v>
      </c>
      <c r="D223" s="501">
        <v>214585.85</v>
      </c>
    </row>
    <row r="224" spans="2:9">
      <c r="B224" s="36" t="s">
        <v>51</v>
      </c>
      <c r="D224" s="227">
        <f>D223+D217</f>
        <v>270842.83199999999</v>
      </c>
    </row>
    <row r="225" spans="2:7">
      <c r="B225" s="80" t="s">
        <v>52</v>
      </c>
      <c r="D225" s="228">
        <f>D224/D220</f>
        <v>3.1418186373878774</v>
      </c>
      <c r="E225" s="228"/>
      <c r="G225" s="410"/>
    </row>
    <row r="226" spans="2:7">
      <c r="B226" s="80"/>
      <c r="D226" s="228"/>
    </row>
    <row r="227" spans="2:7" ht="13.5" thickBot="1"/>
    <row r="228" spans="2:7">
      <c r="B228" s="140" t="s">
        <v>732</v>
      </c>
      <c r="C228" s="240" t="s">
        <v>54</v>
      </c>
      <c r="D228" s="232" t="s">
        <v>55</v>
      </c>
    </row>
    <row r="229" spans="2:7">
      <c r="B229" s="141" t="s">
        <v>63</v>
      </c>
      <c r="C229" s="502">
        <f>+D229*$C234</f>
        <v>0</v>
      </c>
      <c r="D229" s="503">
        <v>0</v>
      </c>
    </row>
    <row r="230" spans="2:7">
      <c r="B230" s="141" t="s">
        <v>64</v>
      </c>
      <c r="C230" s="502">
        <f>D216</f>
        <v>116601.09699999999</v>
      </c>
      <c r="D230" s="504">
        <f>E216</f>
        <v>2933.9218819195617</v>
      </c>
    </row>
    <row r="231" spans="2:7" ht="13.5" thickBot="1">
      <c r="B231" s="143" t="s">
        <v>65</v>
      </c>
      <c r="C231" s="505">
        <f>SUM(C229:C230)</f>
        <v>116601.09699999999</v>
      </c>
      <c r="D231" s="506">
        <f>SUM(D229:D230)</f>
        <v>2933.9218819195617</v>
      </c>
    </row>
    <row r="233" spans="2:7">
      <c r="D233" s="507"/>
    </row>
    <row r="234" spans="2:7" ht="13.5" thickBot="1">
      <c r="B234" s="36" t="s">
        <v>733</v>
      </c>
      <c r="C234" s="455">
        <v>39.742400000000004</v>
      </c>
    </row>
    <row r="235" spans="2:7">
      <c r="B235" s="234" t="s">
        <v>734</v>
      </c>
      <c r="C235" s="240" t="s">
        <v>54</v>
      </c>
      <c r="D235" s="232" t="s">
        <v>55</v>
      </c>
    </row>
    <row r="236" spans="2:7">
      <c r="B236" s="86">
        <v>2025</v>
      </c>
      <c r="C236" s="508">
        <f>D236*$C234</f>
        <v>39265.491200000004</v>
      </c>
      <c r="D236" s="503">
        <v>988</v>
      </c>
    </row>
    <row r="237" spans="2:7">
      <c r="B237" s="86">
        <v>2026</v>
      </c>
      <c r="C237" s="508">
        <f>D237*$C234</f>
        <v>21659.608</v>
      </c>
      <c r="D237" s="503">
        <v>545</v>
      </c>
    </row>
    <row r="238" spans="2:7">
      <c r="B238" s="86">
        <v>2027</v>
      </c>
      <c r="C238" s="508">
        <f>D238*$C234</f>
        <v>17804.595200000003</v>
      </c>
      <c r="D238" s="503">
        <v>448</v>
      </c>
    </row>
    <row r="239" spans="2:7">
      <c r="B239" s="86">
        <v>2028</v>
      </c>
      <c r="C239" s="508">
        <f>D239*$C234</f>
        <v>36324.553600000007</v>
      </c>
      <c r="D239" s="503">
        <v>914</v>
      </c>
    </row>
    <row r="240" spans="2:7">
      <c r="B240" s="86">
        <v>2029</v>
      </c>
      <c r="C240" s="508">
        <f>D240*$C234</f>
        <v>8067.7072000000007</v>
      </c>
      <c r="D240" s="503">
        <v>203</v>
      </c>
    </row>
    <row r="241" spans="1:13">
      <c r="B241" s="86">
        <v>2030</v>
      </c>
      <c r="C241" s="508">
        <f>D241*$C234</f>
        <v>31356.753600000004</v>
      </c>
      <c r="D241" s="503">
        <v>789</v>
      </c>
    </row>
    <row r="242" spans="1:13">
      <c r="B242" s="86" t="s">
        <v>700</v>
      </c>
      <c r="C242" s="508">
        <f>D242*$C234</f>
        <v>28694.012800000004</v>
      </c>
      <c r="D242" s="503">
        <v>722</v>
      </c>
    </row>
    <row r="243" spans="1:13" ht="13.5" thickBot="1">
      <c r="B243" s="87"/>
      <c r="C243" s="244"/>
      <c r="D243" s="233"/>
    </row>
    <row r="244" spans="1:13">
      <c r="B244" s="80" t="s">
        <v>70</v>
      </c>
      <c r="C244" s="509">
        <f>C236+C242</f>
        <v>67959.504000000015</v>
      </c>
      <c r="D244" s="510">
        <f>D236+D242</f>
        <v>1710</v>
      </c>
    </row>
    <row r="245" spans="1:13">
      <c r="B245" s="80"/>
      <c r="C245" s="238"/>
      <c r="D245" s="220"/>
    </row>
    <row r="247" spans="1:13">
      <c r="A247" s="80" t="s">
        <v>735</v>
      </c>
      <c r="I247" s="273" t="s">
        <v>1</v>
      </c>
    </row>
    <row r="248" spans="1:13" ht="12.75" customHeight="1">
      <c r="B248" s="256" t="s">
        <v>736</v>
      </c>
      <c r="C248" s="256"/>
      <c r="D248" s="256"/>
      <c r="E248" s="256"/>
      <c r="F248" s="256"/>
      <c r="G248" s="256"/>
      <c r="I248" s="256" t="s">
        <v>736</v>
      </c>
      <c r="J248" s="256"/>
      <c r="K248" s="256"/>
      <c r="L248" s="256"/>
      <c r="M248" s="256"/>
    </row>
    <row r="249" spans="1:13" ht="25.5">
      <c r="B249" s="34"/>
      <c r="C249" s="212" t="s">
        <v>3</v>
      </c>
      <c r="D249" s="212" t="s">
        <v>4</v>
      </c>
      <c r="E249" s="212" t="s">
        <v>5</v>
      </c>
      <c r="F249" s="212" t="s">
        <v>6</v>
      </c>
      <c r="G249" s="212" t="s">
        <v>7</v>
      </c>
      <c r="I249" s="34"/>
      <c r="J249" s="34" t="s">
        <v>4</v>
      </c>
      <c r="K249" s="34" t="s">
        <v>5</v>
      </c>
      <c r="L249" s="37" t="s">
        <v>6</v>
      </c>
      <c r="M249" s="37" t="s">
        <v>6</v>
      </c>
    </row>
    <row r="250" spans="1:13">
      <c r="B250" s="411"/>
      <c r="C250" s="411"/>
      <c r="D250" s="411"/>
      <c r="E250" s="435"/>
      <c r="F250" s="411"/>
      <c r="G250" s="411"/>
      <c r="I250" s="45" t="s">
        <v>8</v>
      </c>
      <c r="J250" s="484">
        <f>D274</f>
        <v>150711.508</v>
      </c>
      <c r="K250" s="484">
        <f>E274</f>
        <v>3972.1864861089512</v>
      </c>
      <c r="L250" s="46">
        <f>+J250/J255</f>
        <v>1.9320291982570557</v>
      </c>
      <c r="M250" s="46">
        <f>+K250/K255</f>
        <v>1.8442006623413281</v>
      </c>
    </row>
    <row r="251" spans="1:13">
      <c r="B251" s="161" t="s">
        <v>703</v>
      </c>
      <c r="C251" s="248" t="s">
        <v>704</v>
      </c>
      <c r="D251" s="485">
        <v>5419.43</v>
      </c>
      <c r="E251" s="486">
        <f>D251/$C293</f>
        <v>142.83571901100902</v>
      </c>
      <c r="F251" s="485"/>
      <c r="G251" s="277"/>
      <c r="I251" s="44" t="s">
        <v>11</v>
      </c>
      <c r="J251" s="487">
        <f>J250-J252</f>
        <v>134074.508</v>
      </c>
      <c r="K251" s="487">
        <f>J251/$C293</f>
        <v>3533.6979629273337</v>
      </c>
      <c r="L251" s="47"/>
      <c r="M251" s="47"/>
    </row>
    <row r="252" spans="1:13">
      <c r="B252" s="161" t="s">
        <v>705</v>
      </c>
      <c r="C252" s="248" t="s">
        <v>706</v>
      </c>
      <c r="D252" s="485">
        <v>6.0999999999999999E-2</v>
      </c>
      <c r="E252" s="486">
        <f>D252/$C293</f>
        <v>1.6077297538064979E-3</v>
      </c>
      <c r="F252" s="485"/>
      <c r="G252" s="277"/>
      <c r="I252" s="45" t="s">
        <v>14</v>
      </c>
      <c r="J252" s="488">
        <v>16637</v>
      </c>
      <c r="K252" s="484">
        <f>K250-K251</f>
        <v>438.48852318161744</v>
      </c>
      <c r="L252" s="46">
        <f>+J252/J255</f>
        <v>0.2132761472428677</v>
      </c>
      <c r="M252" s="46">
        <f>+K252/K255</f>
        <v>0.20358078043630637</v>
      </c>
    </row>
    <row r="253" spans="1:13">
      <c r="B253" s="161" t="s">
        <v>707</v>
      </c>
      <c r="C253" s="248" t="s">
        <v>16</v>
      </c>
      <c r="D253" s="485">
        <v>570.24800000000005</v>
      </c>
      <c r="E253" s="486">
        <f>D253/$C293</f>
        <v>15.029584863092589</v>
      </c>
      <c r="F253" s="277"/>
      <c r="G253" s="277"/>
      <c r="I253" s="84" t="s">
        <v>17</v>
      </c>
      <c r="J253" s="489">
        <f>D277</f>
        <v>209834.864</v>
      </c>
      <c r="K253" s="489">
        <f>J253/$C293</f>
        <v>5530.4549875203274</v>
      </c>
      <c r="L253" s="85"/>
      <c r="M253" s="85"/>
    </row>
    <row r="254" spans="1:13">
      <c r="B254" s="161" t="s">
        <v>708</v>
      </c>
      <c r="C254" s="248" t="s">
        <v>709</v>
      </c>
      <c r="D254" s="485">
        <v>376.392</v>
      </c>
      <c r="E254" s="486">
        <f>D254/$C293</f>
        <v>9.9202724179464816</v>
      </c>
      <c r="F254" s="277"/>
      <c r="G254" s="277"/>
      <c r="I254" s="84" t="s">
        <v>20</v>
      </c>
      <c r="J254" s="489">
        <f>J250+J253</f>
        <v>360546.37199999997</v>
      </c>
      <c r="K254" s="489">
        <f>K250+K253</f>
        <v>9502.6414736292791</v>
      </c>
      <c r="L254" s="85"/>
      <c r="M254" s="85"/>
    </row>
    <row r="255" spans="1:13">
      <c r="B255" s="161" t="s">
        <v>710</v>
      </c>
      <c r="C255" s="248" t="s">
        <v>711</v>
      </c>
      <c r="D255" s="485">
        <v>45.279000000000003</v>
      </c>
      <c r="E255" s="486">
        <f>D255/$C293</f>
        <v>1.1933835331574496</v>
      </c>
      <c r="F255" s="277"/>
      <c r="G255" s="277"/>
      <c r="I255" s="44" t="s">
        <v>23</v>
      </c>
      <c r="J255" s="397">
        <f>D279</f>
        <v>78006.847999999998</v>
      </c>
      <c r="K255" s="397">
        <f>E279</f>
        <v>2153.8797633149161</v>
      </c>
      <c r="L255" s="44"/>
      <c r="M255" s="44"/>
    </row>
    <row r="256" spans="1:13">
      <c r="B256" s="209" t="s">
        <v>24</v>
      </c>
      <c r="C256" s="250"/>
      <c r="D256" s="490">
        <f>SUM(D251:D255)</f>
        <v>6411.41</v>
      </c>
      <c r="E256" s="491">
        <f>D256/$C293</f>
        <v>168.98056755495932</v>
      </c>
      <c r="F256" s="222"/>
      <c r="G256" s="222"/>
    </row>
    <row r="257" spans="2:10">
      <c r="B257" s="209"/>
      <c r="C257" s="250"/>
      <c r="D257" s="490"/>
      <c r="E257" s="492"/>
      <c r="F257" s="222"/>
      <c r="G257" s="222"/>
    </row>
    <row r="258" spans="2:10">
      <c r="B258" s="161" t="s">
        <v>712</v>
      </c>
      <c r="C258" s="248" t="s">
        <v>26</v>
      </c>
      <c r="D258" s="485">
        <v>4258.8459999999995</v>
      </c>
      <c r="E258" s="486">
        <f>D258/$C293</f>
        <v>112.24710542753751</v>
      </c>
      <c r="F258" s="222"/>
      <c r="G258" s="222"/>
    </row>
    <row r="259" spans="2:10" ht="25.5">
      <c r="B259" s="161" t="s">
        <v>713</v>
      </c>
      <c r="C259" s="249" t="s">
        <v>714</v>
      </c>
      <c r="D259" s="485">
        <v>740.07100000000003</v>
      </c>
      <c r="E259" s="486">
        <f>D259/$C293</f>
        <v>19.505478141464408</v>
      </c>
      <c r="F259" s="222"/>
      <c r="G259" s="222"/>
    </row>
    <row r="260" spans="2:10">
      <c r="B260" s="161" t="s">
        <v>715</v>
      </c>
      <c r="C260" s="249" t="s">
        <v>716</v>
      </c>
      <c r="D260" s="485">
        <v>2455.0529999999999</v>
      </c>
      <c r="E260" s="486">
        <f>D260/$C293</f>
        <v>64.705930414293505</v>
      </c>
      <c r="F260" s="222"/>
      <c r="G260" s="222"/>
    </row>
    <row r="261" spans="2:10">
      <c r="B261" s="161" t="s">
        <v>717</v>
      </c>
      <c r="C261" s="249">
        <v>0.04</v>
      </c>
      <c r="D261" s="485">
        <v>2426.8449999999998</v>
      </c>
      <c r="E261" s="486">
        <f>D261/$C293</f>
        <v>63.962474006172627</v>
      </c>
      <c r="F261" s="222"/>
      <c r="G261" s="222"/>
    </row>
    <row r="262" spans="2:10">
      <c r="B262" s="209" t="s">
        <v>31</v>
      </c>
      <c r="C262" s="250"/>
      <c r="D262" s="490">
        <f>SUM(D258:D261)</f>
        <v>9880.8149999999987</v>
      </c>
      <c r="E262" s="491">
        <f>D262/$C293</f>
        <v>260.42098798946802</v>
      </c>
      <c r="F262" s="222"/>
      <c r="G262" s="222"/>
    </row>
    <row r="263" spans="2:10">
      <c r="B263" s="209"/>
      <c r="C263" s="250"/>
      <c r="D263" s="490"/>
      <c r="E263" s="492"/>
      <c r="F263" s="222"/>
      <c r="G263" s="222"/>
      <c r="H263" s="450"/>
      <c r="J263" s="450"/>
    </row>
    <row r="264" spans="2:10" ht="25.5">
      <c r="B264" s="161" t="s">
        <v>718</v>
      </c>
      <c r="C264" s="248" t="s">
        <v>719</v>
      </c>
      <c r="D264" s="485">
        <v>34202.728999999999</v>
      </c>
      <c r="E264" s="486">
        <f>D264/$C293</f>
        <v>901.45483728984209</v>
      </c>
      <c r="F264" s="162"/>
      <c r="G264" s="162"/>
      <c r="H264" s="450"/>
      <c r="J264" s="450"/>
    </row>
    <row r="265" spans="2:10">
      <c r="B265" s="161" t="s">
        <v>720</v>
      </c>
      <c r="C265" s="248" t="s">
        <v>737</v>
      </c>
      <c r="D265" s="485">
        <v>11912.962</v>
      </c>
      <c r="E265" s="486">
        <f>D265/$C293</f>
        <v>313.98071251419941</v>
      </c>
      <c r="F265" s="162"/>
      <c r="G265" s="162"/>
      <c r="H265" s="450"/>
    </row>
    <row r="266" spans="2:10" ht="25.5">
      <c r="B266" s="161" t="s">
        <v>738</v>
      </c>
      <c r="C266" s="251" t="s">
        <v>724</v>
      </c>
      <c r="D266" s="485">
        <v>5554.8339999999998</v>
      </c>
      <c r="E266" s="486">
        <f>D266/$C293</f>
        <v>146.40445736485188</v>
      </c>
      <c r="F266" s="162"/>
      <c r="G266" s="162"/>
      <c r="H266" s="450"/>
      <c r="I266" s="450"/>
    </row>
    <row r="267" spans="2:10">
      <c r="B267" s="161" t="s">
        <v>739</v>
      </c>
      <c r="C267" s="249" t="s">
        <v>41</v>
      </c>
      <c r="D267" s="485">
        <v>2805.1329999999998</v>
      </c>
      <c r="E267" s="486">
        <f>D267/$C293</f>
        <v>73.932717827614468</v>
      </c>
      <c r="F267" s="162"/>
      <c r="G267" s="162"/>
      <c r="H267" s="450"/>
    </row>
    <row r="268" spans="2:10">
      <c r="B268" s="161" t="s">
        <v>740</v>
      </c>
      <c r="C268" s="249">
        <v>0.05</v>
      </c>
      <c r="D268" s="485">
        <v>415.10300000000001</v>
      </c>
      <c r="E268" s="486">
        <f>D268/$C293</f>
        <v>10.940548262202274</v>
      </c>
      <c r="F268" s="162"/>
      <c r="G268" s="162"/>
      <c r="H268" s="450"/>
      <c r="I268" s="450"/>
    </row>
    <row r="269" spans="2:10">
      <c r="B269" s="161" t="s">
        <v>741</v>
      </c>
      <c r="C269" s="249">
        <v>2.5999999999999999E-2</v>
      </c>
      <c r="D269" s="485">
        <v>142.536</v>
      </c>
      <c r="E269" s="486">
        <f>D269/$C293</f>
        <v>3.756710953910869</v>
      </c>
      <c r="F269" s="162"/>
      <c r="G269" s="162"/>
      <c r="H269" s="450"/>
      <c r="I269" s="450"/>
    </row>
    <row r="270" spans="2:10">
      <c r="B270" s="161" t="s">
        <v>728</v>
      </c>
      <c r="C270" s="408" t="s">
        <v>729</v>
      </c>
      <c r="D270" s="485">
        <v>75309.274999999994</v>
      </c>
      <c r="E270" s="486">
        <f>D270/$C293</f>
        <v>1984.8682320507514</v>
      </c>
      <c r="F270" s="222"/>
      <c r="G270" s="222"/>
      <c r="H270" s="450"/>
      <c r="I270" s="450"/>
    </row>
    <row r="271" spans="2:10">
      <c r="B271" s="161" t="s">
        <v>730</v>
      </c>
      <c r="C271" s="248" t="s">
        <v>731</v>
      </c>
      <c r="D271" s="485">
        <v>4076.7109999999998</v>
      </c>
      <c r="E271" s="486">
        <f>D271/$C293</f>
        <v>107.4467143011515</v>
      </c>
      <c r="F271" s="222"/>
      <c r="G271" s="222"/>
      <c r="H271" s="450"/>
      <c r="I271" s="450"/>
    </row>
    <row r="272" spans="2:10">
      <c r="B272" s="209" t="s">
        <v>48</v>
      </c>
      <c r="C272" s="408"/>
      <c r="D272" s="490">
        <f>SUM(D264:D271)</f>
        <v>134419.283</v>
      </c>
      <c r="E272" s="486">
        <f>D272/$C293</f>
        <v>3542.7849305645241</v>
      </c>
      <c r="F272" s="162"/>
      <c r="G272" s="162"/>
      <c r="I272" s="285"/>
    </row>
    <row r="273" spans="2:9">
      <c r="B273" s="161"/>
      <c r="C273" s="408"/>
      <c r="D273" s="485"/>
      <c r="E273" s="493"/>
      <c r="F273" s="162"/>
      <c r="G273" s="162"/>
    </row>
    <row r="274" spans="2:9">
      <c r="B274" s="265" t="s">
        <v>49</v>
      </c>
      <c r="C274" s="265"/>
      <c r="D274" s="494">
        <f>+D262+D272+D256</f>
        <v>150711.508</v>
      </c>
      <c r="E274" s="495">
        <f>+E262+E272+E256</f>
        <v>3972.1864861089512</v>
      </c>
      <c r="F274" s="267">
        <f>+D274/D279</f>
        <v>1.9320291982570557</v>
      </c>
      <c r="G274" s="267">
        <f>+E274/E279</f>
        <v>1.8442006623413281</v>
      </c>
    </row>
    <row r="275" spans="2:9">
      <c r="B275" s="44" t="s">
        <v>11</v>
      </c>
      <c r="C275" s="44"/>
      <c r="D275" s="272">
        <v>108420.52899999999</v>
      </c>
      <c r="E275" s="497">
        <f>D275/$C293</f>
        <v>2857.555908143283</v>
      </c>
      <c r="F275" s="47"/>
      <c r="G275" s="47"/>
      <c r="I275" s="416"/>
    </row>
    <row r="276" spans="2:9">
      <c r="B276" s="45" t="s">
        <v>14</v>
      </c>
      <c r="C276" s="45"/>
      <c r="D276" s="484">
        <f>+D274-D275</f>
        <v>42290.979000000007</v>
      </c>
      <c r="E276" s="498">
        <f>+E274-E275</f>
        <v>1114.6305779656682</v>
      </c>
      <c r="F276" s="46">
        <f>+D276/D279</f>
        <v>0.54214444095985015</v>
      </c>
      <c r="G276" s="46">
        <f>+E276/E279</f>
        <v>0.51749897879638485</v>
      </c>
    </row>
    <row r="277" spans="2:9">
      <c r="B277" s="44" t="s">
        <v>17</v>
      </c>
      <c r="C277" s="44"/>
      <c r="D277" s="496">
        <v>209834.864</v>
      </c>
      <c r="E277" s="497">
        <f>D277/$C293</f>
        <v>5530.4549875203274</v>
      </c>
      <c r="F277" s="47"/>
      <c r="G277" s="47"/>
    </row>
    <row r="278" spans="2:9">
      <c r="B278" s="268" t="s">
        <v>20</v>
      </c>
      <c r="C278" s="268"/>
      <c r="D278" s="499">
        <f>D274+D277</f>
        <v>360546.37199999997</v>
      </c>
      <c r="E278" s="500">
        <f>E274+E277</f>
        <v>9502.6414736292791</v>
      </c>
      <c r="F278" s="270"/>
      <c r="G278" s="270"/>
    </row>
    <row r="279" spans="2:9">
      <c r="B279" s="268" t="s">
        <v>23</v>
      </c>
      <c r="C279" s="268"/>
      <c r="D279" s="515">
        <v>78006.847999999998</v>
      </c>
      <c r="E279" s="516">
        <v>2153.8797633149161</v>
      </c>
      <c r="F279" s="270"/>
      <c r="G279" s="270"/>
    </row>
    <row r="282" spans="2:9">
      <c r="B282" s="36" t="s">
        <v>50</v>
      </c>
      <c r="D282" s="501">
        <v>209700</v>
      </c>
    </row>
    <row r="283" spans="2:9">
      <c r="B283" s="36" t="s">
        <v>51</v>
      </c>
      <c r="D283" s="227">
        <f>D282+D276</f>
        <v>251990.97899999999</v>
      </c>
    </row>
    <row r="284" spans="2:9">
      <c r="B284" s="80" t="s">
        <v>52</v>
      </c>
      <c r="D284" s="228">
        <f>D283/D279</f>
        <v>3.2303699670059736</v>
      </c>
      <c r="E284" s="228"/>
      <c r="G284" s="410"/>
    </row>
    <row r="285" spans="2:9">
      <c r="B285" s="80"/>
      <c r="D285" s="228"/>
    </row>
    <row r="286" spans="2:9" ht="13.5" thickBot="1"/>
    <row r="287" spans="2:9">
      <c r="B287" s="140" t="s">
        <v>742</v>
      </c>
      <c r="C287" s="240" t="s">
        <v>54</v>
      </c>
      <c r="D287" s="232" t="s">
        <v>55</v>
      </c>
    </row>
    <row r="288" spans="2:9">
      <c r="B288" s="141" t="s">
        <v>63</v>
      </c>
      <c r="C288" s="502">
        <f>+D288*$C293</f>
        <v>0</v>
      </c>
      <c r="D288" s="503">
        <v>0</v>
      </c>
    </row>
    <row r="289" spans="2:4">
      <c r="B289" s="141" t="s">
        <v>64</v>
      </c>
      <c r="C289" s="502">
        <f>D275</f>
        <v>108420.52899999999</v>
      </c>
      <c r="D289" s="504">
        <f>E275</f>
        <v>2857.555908143283</v>
      </c>
    </row>
    <row r="290" spans="2:4" ht="13.5" thickBot="1">
      <c r="B290" s="143" t="s">
        <v>65</v>
      </c>
      <c r="C290" s="505">
        <f>SUM(C288:C289)</f>
        <v>108420.52899999999</v>
      </c>
      <c r="D290" s="506">
        <f>SUM(D288:D289)</f>
        <v>2857.555908143283</v>
      </c>
    </row>
    <row r="292" spans="2:4">
      <c r="D292" s="507"/>
    </row>
    <row r="293" spans="2:4" ht="13.5" thickBot="1">
      <c r="B293" s="36" t="s">
        <v>743</v>
      </c>
      <c r="C293" s="455">
        <v>37.941699999999997</v>
      </c>
    </row>
    <row r="294" spans="2:4">
      <c r="B294" s="234" t="s">
        <v>744</v>
      </c>
      <c r="C294" s="240" t="s">
        <v>54</v>
      </c>
      <c r="D294" s="232" t="s">
        <v>55</v>
      </c>
    </row>
    <row r="295" spans="2:4">
      <c r="B295" s="86">
        <v>2025</v>
      </c>
      <c r="C295" s="508">
        <f>D295*$C293</f>
        <v>47465.066699999996</v>
      </c>
      <c r="D295" s="503">
        <v>1251</v>
      </c>
    </row>
    <row r="296" spans="2:4">
      <c r="B296" s="86">
        <v>2026</v>
      </c>
      <c r="C296" s="508">
        <f>D296*$C293</f>
        <v>18477.607899999999</v>
      </c>
      <c r="D296" s="503">
        <v>487</v>
      </c>
    </row>
    <row r="297" spans="2:4">
      <c r="B297" s="86">
        <v>2027</v>
      </c>
      <c r="C297" s="508">
        <f>D297*$C293</f>
        <v>14873.1464</v>
      </c>
      <c r="D297" s="503">
        <v>392</v>
      </c>
    </row>
    <row r="298" spans="2:4">
      <c r="B298" s="86">
        <v>2028</v>
      </c>
      <c r="C298" s="508">
        <f>D298*$C293</f>
        <v>32478.095199999996</v>
      </c>
      <c r="D298" s="503">
        <v>856</v>
      </c>
    </row>
    <row r="299" spans="2:4">
      <c r="B299" s="86">
        <v>2029</v>
      </c>
      <c r="C299" s="508">
        <f>D299*$C293</f>
        <v>5956.8468999999996</v>
      </c>
      <c r="D299" s="503">
        <v>157</v>
      </c>
    </row>
    <row r="300" spans="2:4">
      <c r="B300" s="86">
        <v>2030</v>
      </c>
      <c r="C300" s="508">
        <f>D300*$C293</f>
        <v>23182.378699999997</v>
      </c>
      <c r="D300" s="503">
        <v>611</v>
      </c>
    </row>
    <row r="301" spans="2:4">
      <c r="B301" s="86" t="s">
        <v>700</v>
      </c>
      <c r="C301" s="508">
        <f>D301*$C293</f>
        <v>25610.647499999999</v>
      </c>
      <c r="D301" s="503">
        <v>675</v>
      </c>
    </row>
    <row r="302" spans="2:4" ht="13.5" thickBot="1">
      <c r="B302" s="87"/>
      <c r="C302" s="244"/>
      <c r="D302" s="233"/>
    </row>
    <row r="303" spans="2:4">
      <c r="B303" s="80" t="s">
        <v>70</v>
      </c>
      <c r="C303" s="509">
        <f>C295+C301</f>
        <v>73075.714199999988</v>
      </c>
      <c r="D303" s="510">
        <f>D295+D301</f>
        <v>1926</v>
      </c>
    </row>
    <row r="304" spans="2:4">
      <c r="B304" s="80"/>
      <c r="C304" s="238"/>
      <c r="D304" s="220"/>
    </row>
    <row r="306" spans="1:13">
      <c r="A306" s="80" t="s">
        <v>745</v>
      </c>
      <c r="I306" s="273" t="s">
        <v>1</v>
      </c>
    </row>
    <row r="307" spans="1:13" ht="12.75" customHeight="1">
      <c r="I307" s="256" t="s">
        <v>746</v>
      </c>
      <c r="J307" s="256"/>
      <c r="K307" s="256"/>
      <c r="L307" s="256"/>
      <c r="M307" s="256"/>
    </row>
    <row r="308" spans="1:13">
      <c r="B308" s="256" t="s">
        <v>746</v>
      </c>
      <c r="C308" s="256"/>
      <c r="D308" s="256"/>
      <c r="E308" s="256"/>
      <c r="F308" s="256"/>
      <c r="G308" s="256"/>
      <c r="I308" s="34"/>
      <c r="J308" s="34" t="s">
        <v>4</v>
      </c>
      <c r="K308" s="34" t="s">
        <v>5</v>
      </c>
      <c r="L308" s="37" t="s">
        <v>6</v>
      </c>
      <c r="M308" s="37" t="s">
        <v>6</v>
      </c>
    </row>
    <row r="309" spans="1:13" ht="25.5">
      <c r="B309" s="34"/>
      <c r="C309" s="212" t="s">
        <v>3</v>
      </c>
      <c r="D309" s="212" t="s">
        <v>4</v>
      </c>
      <c r="E309" s="212" t="s">
        <v>5</v>
      </c>
      <c r="F309" s="212" t="s">
        <v>6</v>
      </c>
      <c r="G309" s="212" t="s">
        <v>7</v>
      </c>
      <c r="I309" s="45" t="s">
        <v>8</v>
      </c>
      <c r="J309" s="484">
        <f>D335</f>
        <v>106728.42499999999</v>
      </c>
      <c r="K309" s="484">
        <f>E335</f>
        <v>3287.23549</v>
      </c>
      <c r="L309" s="46">
        <f>+J309/J314</f>
        <v>2.3434406801484089</v>
      </c>
      <c r="M309" s="46">
        <f>+K309/K314</f>
        <v>2.4059324316190338</v>
      </c>
    </row>
    <row r="310" spans="1:13">
      <c r="B310" s="411"/>
      <c r="C310" s="411"/>
      <c r="D310" s="411"/>
      <c r="E310" s="435"/>
      <c r="F310" s="411"/>
      <c r="G310" s="411"/>
      <c r="I310" s="44" t="s">
        <v>11</v>
      </c>
      <c r="J310" s="487">
        <f>J309-J311</f>
        <v>97368.424999999988</v>
      </c>
      <c r="K310" s="487">
        <f>J310/$C$354</f>
        <v>2843.1580099999996</v>
      </c>
      <c r="L310" s="47"/>
      <c r="M310" s="47"/>
    </row>
    <row r="311" spans="1:13">
      <c r="B311" s="161" t="s">
        <v>747</v>
      </c>
      <c r="C311" s="248" t="s">
        <v>748</v>
      </c>
      <c r="D311" s="485">
        <v>2943.31</v>
      </c>
      <c r="E311" s="486">
        <f>D311/$C$354</f>
        <v>85.944652000000005</v>
      </c>
      <c r="F311" s="485"/>
      <c r="G311" s="277"/>
      <c r="I311" s="45" t="s">
        <v>14</v>
      </c>
      <c r="J311" s="488">
        <v>9360</v>
      </c>
      <c r="K311" s="484">
        <f>K309-K310</f>
        <v>444.07748000000038</v>
      </c>
      <c r="L311" s="46">
        <f>+J311/J314</f>
        <v>0.20551792801392046</v>
      </c>
      <c r="M311" s="46">
        <f>+K311/K314</f>
        <v>0.32502095287479804</v>
      </c>
    </row>
    <row r="312" spans="1:13">
      <c r="B312" s="161" t="s">
        <v>749</v>
      </c>
      <c r="C312" s="248" t="s">
        <v>16</v>
      </c>
      <c r="D312" s="485">
        <v>498.78899999999999</v>
      </c>
      <c r="E312" s="486">
        <f>D312/$C$354</f>
        <v>14.564638799999999</v>
      </c>
      <c r="F312" s="277"/>
      <c r="G312" s="277"/>
      <c r="I312" s="84" t="s">
        <v>17</v>
      </c>
      <c r="J312" s="489">
        <f>D338</f>
        <v>174478.88</v>
      </c>
      <c r="K312" s="489">
        <f>J312/$C$354</f>
        <v>5094.7832960000005</v>
      </c>
      <c r="L312" s="85"/>
      <c r="M312" s="85"/>
    </row>
    <row r="313" spans="1:13">
      <c r="B313" s="161" t="s">
        <v>750</v>
      </c>
      <c r="C313" s="248" t="s">
        <v>19</v>
      </c>
      <c r="D313" s="485">
        <v>404.161</v>
      </c>
      <c r="E313" s="486">
        <f>D313/$C$354</f>
        <v>11.801501200000001</v>
      </c>
      <c r="F313" s="277"/>
      <c r="G313" s="277"/>
      <c r="I313" s="84" t="s">
        <v>20</v>
      </c>
      <c r="J313" s="489">
        <f>J309+J312</f>
        <v>281207.30499999999</v>
      </c>
      <c r="K313" s="489">
        <f>K309+K312</f>
        <v>8382.0187860000005</v>
      </c>
      <c r="L313" s="85"/>
      <c r="M313" s="85"/>
    </row>
    <row r="314" spans="1:13">
      <c r="B314" s="161" t="s">
        <v>751</v>
      </c>
      <c r="C314" s="248" t="s">
        <v>22</v>
      </c>
      <c r="D314" s="485">
        <v>47.758000000000003</v>
      </c>
      <c r="E314" s="486">
        <f>D314/$C$354</f>
        <v>1.3945336000000002</v>
      </c>
      <c r="F314" s="277"/>
      <c r="G314" s="277"/>
      <c r="I314" s="44" t="s">
        <v>23</v>
      </c>
      <c r="J314" s="397">
        <f>D340</f>
        <v>45543.471999999987</v>
      </c>
      <c r="K314" s="397">
        <f>E340</f>
        <v>1366.3041599999995</v>
      </c>
      <c r="L314" s="44"/>
      <c r="M314" s="44"/>
    </row>
    <row r="315" spans="1:13">
      <c r="B315" s="209" t="s">
        <v>24</v>
      </c>
      <c r="C315" s="250"/>
      <c r="D315" s="490">
        <f>SUM(D311:D314)</f>
        <v>3894.018</v>
      </c>
      <c r="E315" s="491">
        <f>D315/$C$468</f>
        <v>119.93575440000001</v>
      </c>
      <c r="F315" s="222"/>
      <c r="G315" s="222"/>
    </row>
    <row r="316" spans="1:13">
      <c r="B316" s="209"/>
      <c r="C316" s="250"/>
      <c r="D316" s="490"/>
      <c r="E316" s="492"/>
      <c r="F316" s="222"/>
      <c r="G316" s="222"/>
    </row>
    <row r="317" spans="1:13">
      <c r="B317" s="161" t="s">
        <v>712</v>
      </c>
      <c r="C317" s="248" t="s">
        <v>26</v>
      </c>
      <c r="D317" s="485">
        <v>4137.598</v>
      </c>
      <c r="E317" s="486">
        <f>D317/$C$354</f>
        <v>120.8178616</v>
      </c>
      <c r="F317" s="222"/>
      <c r="G317" s="222"/>
    </row>
    <row r="318" spans="1:13" ht="25.5">
      <c r="B318" s="161" t="s">
        <v>713</v>
      </c>
      <c r="C318" s="249" t="s">
        <v>714</v>
      </c>
      <c r="D318" s="485">
        <v>774.85699999999997</v>
      </c>
      <c r="E318" s="486">
        <f>D318/$C$354</f>
        <v>22.625824399999999</v>
      </c>
      <c r="F318" s="222"/>
      <c r="G318" s="222"/>
    </row>
    <row r="319" spans="1:13">
      <c r="B319" s="209" t="s">
        <v>31</v>
      </c>
      <c r="C319" s="250"/>
      <c r="D319" s="490">
        <f>SUM(D317:D318)</f>
        <v>4912.4549999999999</v>
      </c>
      <c r="E319" s="491">
        <f>D319/$C$468</f>
        <v>151.30361400000001</v>
      </c>
      <c r="F319" s="222"/>
      <c r="G319" s="222"/>
    </row>
    <row r="320" spans="1:13">
      <c r="B320" s="209"/>
      <c r="C320" s="250"/>
      <c r="D320" s="490"/>
      <c r="E320" s="492"/>
      <c r="F320" s="222"/>
      <c r="G320" s="222"/>
    </row>
    <row r="321" spans="2:10" ht="25.5">
      <c r="B321" s="161" t="s">
        <v>752</v>
      </c>
      <c r="C321" s="248" t="s">
        <v>719</v>
      </c>
      <c r="D321" s="485">
        <v>36324.275999999998</v>
      </c>
      <c r="E321" s="486">
        <f>D321/$C$354</f>
        <v>1060.6688592</v>
      </c>
      <c r="F321" s="162"/>
      <c r="G321" s="162"/>
    </row>
    <row r="322" spans="2:10">
      <c r="B322" s="161" t="s">
        <v>753</v>
      </c>
      <c r="C322" s="248" t="s">
        <v>754</v>
      </c>
      <c r="D322" s="485">
        <v>15284.734</v>
      </c>
      <c r="E322" s="486">
        <f t="shared" ref="E322:E332" si="2">D322/$C$354</f>
        <v>446.31423280000001</v>
      </c>
      <c r="F322" s="162"/>
      <c r="G322" s="162"/>
      <c r="H322" s="450"/>
      <c r="J322" s="450"/>
    </row>
    <row r="323" spans="2:10">
      <c r="B323" s="161" t="s">
        <v>755</v>
      </c>
      <c r="C323" s="251" t="s">
        <v>37</v>
      </c>
      <c r="D323" s="485">
        <v>4342.8019999999997</v>
      </c>
      <c r="E323" s="486">
        <f t="shared" si="2"/>
        <v>126.80981839999998</v>
      </c>
      <c r="F323" s="162"/>
      <c r="G323" s="162"/>
      <c r="H323" s="450"/>
      <c r="J323" s="450"/>
    </row>
    <row r="324" spans="2:10">
      <c r="B324" s="161" t="s">
        <v>38</v>
      </c>
      <c r="C324" s="249" t="s">
        <v>39</v>
      </c>
      <c r="D324" s="485"/>
      <c r="E324" s="486">
        <f t="shared" si="2"/>
        <v>0</v>
      </c>
      <c r="F324" s="162"/>
      <c r="G324" s="162"/>
      <c r="H324" s="450"/>
    </row>
    <row r="325" spans="2:10">
      <c r="B325" s="161" t="s">
        <v>756</v>
      </c>
      <c r="C325" s="249" t="s">
        <v>41</v>
      </c>
      <c r="D325" s="485">
        <v>2763.68</v>
      </c>
      <c r="E325" s="486">
        <f t="shared" si="2"/>
        <v>80.699455999999998</v>
      </c>
      <c r="F325" s="162"/>
      <c r="G325" s="162"/>
      <c r="H325" s="450"/>
      <c r="I325" s="450"/>
    </row>
    <row r="326" spans="2:10">
      <c r="B326" s="161" t="s">
        <v>757</v>
      </c>
      <c r="C326" s="249">
        <v>0.06</v>
      </c>
      <c r="D326" s="485">
        <v>0</v>
      </c>
      <c r="E326" s="486">
        <f t="shared" si="2"/>
        <v>0</v>
      </c>
      <c r="F326" s="162"/>
      <c r="G326" s="162"/>
      <c r="H326" s="450"/>
    </row>
    <row r="327" spans="2:10">
      <c r="B327" s="161" t="s">
        <v>758</v>
      </c>
      <c r="C327" s="249">
        <v>2.5999999999999999E-2</v>
      </c>
      <c r="D327" s="485">
        <v>170.429</v>
      </c>
      <c r="E327" s="486">
        <f t="shared" si="2"/>
        <v>4.9765268000000003</v>
      </c>
      <c r="F327" s="162"/>
      <c r="G327" s="162"/>
      <c r="H327" s="450"/>
      <c r="I327" s="450"/>
    </row>
    <row r="328" spans="2:10">
      <c r="B328" s="161" t="s">
        <v>759</v>
      </c>
      <c r="C328" s="249">
        <v>0.14000000000000001</v>
      </c>
      <c r="D328" s="485">
        <v>0</v>
      </c>
      <c r="E328" s="486">
        <f t="shared" si="2"/>
        <v>0</v>
      </c>
      <c r="F328" s="162"/>
      <c r="G328" s="162"/>
      <c r="H328" s="450"/>
      <c r="I328" s="450"/>
    </row>
    <row r="329" spans="2:10">
      <c r="B329" s="161" t="s">
        <v>760</v>
      </c>
      <c r="C329" s="408">
        <v>5.8000000000000003E-2</v>
      </c>
      <c r="D329" s="485">
        <v>33466.339</v>
      </c>
      <c r="E329" s="486">
        <f t="shared" si="2"/>
        <v>977.21709880000003</v>
      </c>
      <c r="F329" s="222"/>
      <c r="G329" s="222"/>
      <c r="H329" s="450"/>
      <c r="I329" s="450"/>
    </row>
    <row r="330" spans="2:10">
      <c r="B330" s="161" t="s">
        <v>761</v>
      </c>
      <c r="C330" s="248" t="s">
        <v>762</v>
      </c>
      <c r="D330" s="485">
        <v>3556.7930000000001</v>
      </c>
      <c r="E330" s="486">
        <f t="shared" si="2"/>
        <v>103.85835560000001</v>
      </c>
      <c r="F330" s="222"/>
      <c r="G330" s="222"/>
      <c r="H330" s="450"/>
      <c r="I330" s="450"/>
    </row>
    <row r="331" spans="2:10">
      <c r="B331" s="161" t="s">
        <v>763</v>
      </c>
      <c r="C331" s="248" t="s">
        <v>764</v>
      </c>
      <c r="D331" s="485">
        <v>1149.732</v>
      </c>
      <c r="E331" s="486">
        <f t="shared" si="2"/>
        <v>33.572174400000002</v>
      </c>
      <c r="F331" s="222"/>
      <c r="G331" s="222"/>
      <c r="H331" s="450"/>
      <c r="I331" s="450"/>
    </row>
    <row r="332" spans="2:10">
      <c r="B332" s="161" t="s">
        <v>761</v>
      </c>
      <c r="C332" s="248" t="s">
        <v>765</v>
      </c>
      <c r="D332" s="485">
        <v>863.16700000000003</v>
      </c>
      <c r="E332" s="486">
        <f t="shared" si="2"/>
        <v>25.204476400000001</v>
      </c>
      <c r="F332" s="162"/>
      <c r="G332" s="162"/>
      <c r="H332" s="450"/>
    </row>
    <row r="333" spans="2:10">
      <c r="B333" s="209" t="s">
        <v>48</v>
      </c>
      <c r="C333" s="408"/>
      <c r="D333" s="490">
        <f>SUM(D321:D332)</f>
        <v>97921.95199999999</v>
      </c>
      <c r="E333" s="491">
        <f>D333/$C$468</f>
        <v>3015.9961216000002</v>
      </c>
      <c r="F333" s="162"/>
      <c r="G333" s="162"/>
    </row>
    <row r="334" spans="2:10">
      <c r="B334" s="161"/>
      <c r="C334" s="408"/>
      <c r="D334" s="485"/>
      <c r="E334" s="493"/>
      <c r="F334" s="162"/>
      <c r="G334" s="162"/>
    </row>
    <row r="335" spans="2:10">
      <c r="B335" s="265" t="s">
        <v>49</v>
      </c>
      <c r="C335" s="265"/>
      <c r="D335" s="494">
        <f>+D319+D333+D315</f>
        <v>106728.42499999999</v>
      </c>
      <c r="E335" s="495">
        <f>+E319+E333+E315</f>
        <v>3287.23549</v>
      </c>
      <c r="F335" s="267">
        <f>+D335/D340</f>
        <v>2.3434406801484089</v>
      </c>
      <c r="G335" s="267">
        <f>+E335/E340</f>
        <v>2.4059324316190338</v>
      </c>
    </row>
    <row r="336" spans="2:10">
      <c r="B336" s="44" t="s">
        <v>11</v>
      </c>
      <c r="C336" s="44"/>
      <c r="D336" s="272">
        <v>81008.661999999997</v>
      </c>
      <c r="E336" s="497">
        <f>D336/$C$354</f>
        <v>2365.4529303999998</v>
      </c>
      <c r="F336" s="47"/>
      <c r="G336" s="47"/>
      <c r="I336" s="416"/>
    </row>
    <row r="337" spans="2:7">
      <c r="B337" s="45" t="s">
        <v>14</v>
      </c>
      <c r="C337" s="45"/>
      <c r="D337" s="484">
        <f>+D335-D336</f>
        <v>25719.762999999992</v>
      </c>
      <c r="E337" s="498">
        <f>+E335-E336</f>
        <v>921.78255960000024</v>
      </c>
      <c r="F337" s="46">
        <f>+D337/D340</f>
        <v>0.56472995734712539</v>
      </c>
      <c r="G337" s="46">
        <f>+E337/E340</f>
        <v>0.67465399475911758</v>
      </c>
    </row>
    <row r="338" spans="2:7">
      <c r="B338" s="44" t="s">
        <v>17</v>
      </c>
      <c r="C338" s="44"/>
      <c r="D338" s="496">
        <v>174478.88</v>
      </c>
      <c r="E338" s="497">
        <f>D338/$C$354</f>
        <v>5094.7832960000005</v>
      </c>
      <c r="F338" s="47"/>
      <c r="G338" s="47"/>
    </row>
    <row r="339" spans="2:7">
      <c r="B339" s="268" t="s">
        <v>20</v>
      </c>
      <c r="C339" s="268"/>
      <c r="D339" s="499">
        <f>D335+D338</f>
        <v>281207.30499999999</v>
      </c>
      <c r="E339" s="500">
        <f>E335+E338</f>
        <v>8382.0187860000005</v>
      </c>
      <c r="F339" s="270"/>
      <c r="G339" s="270"/>
    </row>
    <row r="340" spans="2:7">
      <c r="B340" s="268" t="s">
        <v>23</v>
      </c>
      <c r="C340" s="268"/>
      <c r="D340" s="515">
        <v>45543.471999999987</v>
      </c>
      <c r="E340" s="516">
        <v>1366.3041599999995</v>
      </c>
      <c r="F340" s="270"/>
      <c r="G340" s="270"/>
    </row>
    <row r="343" spans="2:7">
      <c r="B343" s="36" t="s">
        <v>50</v>
      </c>
      <c r="D343" s="501">
        <v>204355</v>
      </c>
    </row>
    <row r="344" spans="2:7">
      <c r="B344" s="36" t="s">
        <v>51</v>
      </c>
      <c r="D344" s="227">
        <f>D343+D337</f>
        <v>230074.76299999998</v>
      </c>
    </row>
    <row r="345" spans="2:7">
      <c r="B345" s="80" t="s">
        <v>52</v>
      </c>
      <c r="D345" s="228">
        <f>D344/D340</f>
        <v>5.0517616004330996</v>
      </c>
      <c r="E345" s="228"/>
      <c r="G345" s="410"/>
    </row>
    <row r="346" spans="2:7">
      <c r="B346" s="80"/>
      <c r="D346" s="228"/>
    </row>
    <row r="347" spans="2:7" ht="13.5" thickBot="1"/>
    <row r="348" spans="2:7">
      <c r="B348" s="140" t="s">
        <v>766</v>
      </c>
      <c r="C348" s="240" t="s">
        <v>54</v>
      </c>
      <c r="D348" s="232" t="s">
        <v>55</v>
      </c>
    </row>
    <row r="349" spans="2:7">
      <c r="B349" s="141" t="s">
        <v>63</v>
      </c>
      <c r="C349" s="502">
        <f>+D349*$C354</f>
        <v>0</v>
      </c>
      <c r="D349" s="503">
        <v>0</v>
      </c>
    </row>
    <row r="350" spans="2:7">
      <c r="B350" s="141" t="s">
        <v>64</v>
      </c>
      <c r="C350" s="502">
        <f>D336</f>
        <v>81008.661999999997</v>
      </c>
      <c r="D350" s="504">
        <f>E336</f>
        <v>2365.4529303999998</v>
      </c>
    </row>
    <row r="351" spans="2:7" ht="13.5" thickBot="1">
      <c r="B351" s="143" t="s">
        <v>65</v>
      </c>
      <c r="C351" s="505">
        <f>SUM(C349:C350)</f>
        <v>81008.661999999997</v>
      </c>
      <c r="D351" s="506">
        <f>SUM(D349:D350)</f>
        <v>2365.4529303999998</v>
      </c>
    </row>
    <row r="353" spans="1:13">
      <c r="D353" s="507"/>
    </row>
    <row r="354" spans="1:13" ht="13.5" thickBot="1">
      <c r="B354" s="36" t="s">
        <v>767</v>
      </c>
      <c r="C354" s="455">
        <v>34.246575342465754</v>
      </c>
    </row>
    <row r="355" spans="1:13">
      <c r="B355" s="234" t="s">
        <v>768</v>
      </c>
      <c r="C355" s="240" t="s">
        <v>54</v>
      </c>
      <c r="D355" s="232" t="s">
        <v>55</v>
      </c>
    </row>
    <row r="356" spans="1:13">
      <c r="B356" s="86">
        <v>2024</v>
      </c>
      <c r="C356" s="508">
        <f>D356*$C$354</f>
        <v>15924.657534246575</v>
      </c>
      <c r="D356" s="503">
        <v>465</v>
      </c>
    </row>
    <row r="357" spans="1:13">
      <c r="B357" s="86">
        <v>2025</v>
      </c>
      <c r="C357" s="508">
        <f>D357*$C$354</f>
        <v>41335.616438356163</v>
      </c>
      <c r="D357" s="503">
        <v>1207</v>
      </c>
    </row>
    <row r="358" spans="1:13">
      <c r="B358" s="86">
        <v>2026</v>
      </c>
      <c r="C358" s="508">
        <f>D358*$C$354</f>
        <v>13219.17808219178</v>
      </c>
      <c r="D358" s="503">
        <v>386</v>
      </c>
    </row>
    <row r="359" spans="1:13">
      <c r="B359" s="86">
        <v>2027</v>
      </c>
      <c r="C359" s="508">
        <f>D359*$C$354</f>
        <v>10445.205479452055</v>
      </c>
      <c r="D359" s="503">
        <v>305</v>
      </c>
    </row>
    <row r="360" spans="1:13">
      <c r="B360" s="86" t="s">
        <v>769</v>
      </c>
      <c r="C360" s="508">
        <f>D360*$C$354</f>
        <v>30787.671232876713</v>
      </c>
      <c r="D360" s="503">
        <v>899</v>
      </c>
    </row>
    <row r="361" spans="1:13" ht="13.5" thickBot="1">
      <c r="B361" s="87"/>
      <c r="C361" s="244"/>
      <c r="D361" s="233"/>
    </row>
    <row r="362" spans="1:13">
      <c r="B362" s="80" t="s">
        <v>70</v>
      </c>
      <c r="C362" s="509">
        <f>C356+C360</f>
        <v>46712.32876712329</v>
      </c>
      <c r="D362" s="510">
        <f>D356+D360</f>
        <v>1364</v>
      </c>
    </row>
    <row r="363" spans="1:13">
      <c r="B363" s="80"/>
      <c r="C363" s="238"/>
      <c r="D363" s="220"/>
    </row>
    <row r="365" spans="1:13">
      <c r="A365" s="80" t="s">
        <v>770</v>
      </c>
      <c r="I365" s="273" t="s">
        <v>1</v>
      </c>
    </row>
    <row r="366" spans="1:13">
      <c r="I366" s="256" t="s">
        <v>771</v>
      </c>
      <c r="J366" s="256"/>
      <c r="K366" s="256"/>
      <c r="L366" s="256"/>
      <c r="M366" s="256"/>
    </row>
    <row r="367" spans="1:13">
      <c r="B367" s="256" t="s">
        <v>771</v>
      </c>
      <c r="C367" s="256"/>
      <c r="D367" s="256"/>
      <c r="E367" s="256"/>
      <c r="F367" s="256"/>
      <c r="G367" s="256"/>
      <c r="I367" s="34"/>
      <c r="J367" s="34" t="s">
        <v>4</v>
      </c>
      <c r="K367" s="34" t="s">
        <v>5</v>
      </c>
      <c r="L367" s="37" t="s">
        <v>6</v>
      </c>
      <c r="M367" s="37" t="s">
        <v>6</v>
      </c>
    </row>
    <row r="368" spans="1:13" ht="25.5">
      <c r="B368" s="34"/>
      <c r="C368" s="212" t="s">
        <v>3</v>
      </c>
      <c r="D368" s="212" t="s">
        <v>4</v>
      </c>
      <c r="E368" s="212" t="s">
        <v>5</v>
      </c>
      <c r="F368" s="212" t="s">
        <v>6</v>
      </c>
      <c r="G368" s="212" t="s">
        <v>7</v>
      </c>
      <c r="I368" s="45" t="s">
        <v>8</v>
      </c>
      <c r="J368" s="484">
        <f>D392</f>
        <v>99190.731999999989</v>
      </c>
      <c r="K368" s="484">
        <f>E392</f>
        <v>3055.0745456000004</v>
      </c>
      <c r="L368" s="46">
        <f>+J368/J373</f>
        <v>2.2584841154645865</v>
      </c>
      <c r="M368" s="46">
        <f>+K368/K373</f>
        <v>2.2511751053821776</v>
      </c>
    </row>
    <row r="369" spans="2:13">
      <c r="B369" s="411"/>
      <c r="C369" s="411"/>
      <c r="D369" s="411"/>
      <c r="E369" s="435"/>
      <c r="F369" s="411"/>
      <c r="G369" s="411"/>
      <c r="I369" s="44" t="s">
        <v>11</v>
      </c>
      <c r="J369" s="487">
        <f>J368-J370</f>
        <v>66790.731999999989</v>
      </c>
      <c r="K369" s="487">
        <f>J369/$C$411</f>
        <v>2037.1173259999998</v>
      </c>
      <c r="L369" s="47"/>
      <c r="M369" s="47"/>
    </row>
    <row r="370" spans="2:13">
      <c r="B370" s="161" t="s">
        <v>747</v>
      </c>
      <c r="C370" s="248" t="s">
        <v>748</v>
      </c>
      <c r="D370" s="485">
        <v>2163.5100000000002</v>
      </c>
      <c r="E370" s="486">
        <f>D370/$C$411</f>
        <v>65.987055000000012</v>
      </c>
      <c r="F370" s="485"/>
      <c r="G370" s="277"/>
      <c r="I370" s="45" t="s">
        <v>14</v>
      </c>
      <c r="J370" s="488">
        <v>32400</v>
      </c>
      <c r="K370" s="484">
        <f>K368-K369</f>
        <v>1017.9572196000006</v>
      </c>
      <c r="L370" s="46">
        <f>+J370/J373</f>
        <v>0.73771897702148848</v>
      </c>
      <c r="M370" s="46">
        <f>+K370/K373</f>
        <v>0.75009624704837496</v>
      </c>
    </row>
    <row r="371" spans="2:13">
      <c r="B371" s="161" t="s">
        <v>749</v>
      </c>
      <c r="C371" s="248" t="s">
        <v>16</v>
      </c>
      <c r="D371" s="485">
        <v>476.63299999999998</v>
      </c>
      <c r="E371" s="486">
        <f>D371/$C$411</f>
        <v>14.537306500000001</v>
      </c>
      <c r="F371" s="277"/>
      <c r="G371" s="277"/>
      <c r="I371" s="84" t="s">
        <v>17</v>
      </c>
      <c r="J371" s="489">
        <f>D395</f>
        <v>152290.595</v>
      </c>
      <c r="K371" s="489">
        <f>J371/$C$411</f>
        <v>4644.8631475000002</v>
      </c>
      <c r="L371" s="85"/>
      <c r="M371" s="85"/>
    </row>
    <row r="372" spans="2:13">
      <c r="B372" s="161" t="s">
        <v>750</v>
      </c>
      <c r="C372" s="248" t="s">
        <v>19</v>
      </c>
      <c r="D372" s="485">
        <v>370.86399999999998</v>
      </c>
      <c r="E372" s="486">
        <f>D372/$C$411</f>
        <v>11.311351999999999</v>
      </c>
      <c r="F372" s="277"/>
      <c r="G372" s="277"/>
      <c r="I372" s="84" t="s">
        <v>20</v>
      </c>
      <c r="J372" s="489">
        <f>J368+J371</f>
        <v>251481.32699999999</v>
      </c>
      <c r="K372" s="489">
        <f>K368+K371</f>
        <v>7699.9376931000006</v>
      </c>
      <c r="L372" s="85"/>
      <c r="M372" s="85"/>
    </row>
    <row r="373" spans="2:13">
      <c r="B373" s="161" t="s">
        <v>751</v>
      </c>
      <c r="C373" s="248" t="s">
        <v>22</v>
      </c>
      <c r="D373" s="485">
        <v>40.368000000000002</v>
      </c>
      <c r="E373" s="486">
        <f>D373/$C$411</f>
        <v>1.2312240000000001</v>
      </c>
      <c r="F373" s="277"/>
      <c r="G373" s="277"/>
      <c r="I373" s="44" t="s">
        <v>23</v>
      </c>
      <c r="J373" s="397">
        <f>D397</f>
        <v>43919.162999999993</v>
      </c>
      <c r="K373" s="397">
        <f>E397</f>
        <v>1357.1021366999998</v>
      </c>
      <c r="L373" s="44"/>
      <c r="M373" s="44"/>
    </row>
    <row r="374" spans="2:13">
      <c r="B374" s="209" t="s">
        <v>24</v>
      </c>
      <c r="C374" s="250"/>
      <c r="D374" s="490">
        <f>SUM(D370:D373)</f>
        <v>3051.375</v>
      </c>
      <c r="E374" s="491">
        <f>D374/$C$468</f>
        <v>93.982350000000011</v>
      </c>
      <c r="F374" s="222"/>
      <c r="G374" s="222"/>
    </row>
    <row r="375" spans="2:13">
      <c r="B375" s="209"/>
      <c r="C375" s="250"/>
      <c r="D375" s="490"/>
      <c r="E375" s="492"/>
      <c r="F375" s="222"/>
      <c r="G375" s="222"/>
    </row>
    <row r="376" spans="2:13">
      <c r="B376" s="161" t="s">
        <v>712</v>
      </c>
      <c r="C376" s="248" t="s">
        <v>26</v>
      </c>
      <c r="D376" s="485">
        <v>4141.6549999999997</v>
      </c>
      <c r="E376" s="486">
        <f>D376/$C$411</f>
        <v>126.3204775</v>
      </c>
      <c r="F376" s="222"/>
      <c r="G376" s="222"/>
    </row>
    <row r="377" spans="2:13" ht="25.5">
      <c r="B377" s="161" t="s">
        <v>713</v>
      </c>
      <c r="C377" s="249" t="s">
        <v>714</v>
      </c>
      <c r="D377" s="485">
        <v>843.95299999999997</v>
      </c>
      <c r="E377" s="486">
        <f>D377/$C$411</f>
        <v>25.7405665</v>
      </c>
      <c r="F377" s="222"/>
      <c r="G377" s="222"/>
    </row>
    <row r="378" spans="2:13">
      <c r="B378" s="209" t="s">
        <v>31</v>
      </c>
      <c r="C378" s="250"/>
      <c r="D378" s="490">
        <f>SUM(D376:D377)</f>
        <v>4985.6080000000002</v>
      </c>
      <c r="E378" s="491">
        <f>D378/$C$468</f>
        <v>153.55672640000003</v>
      </c>
      <c r="F378" s="222"/>
      <c r="G378" s="222"/>
    </row>
    <row r="379" spans="2:13">
      <c r="B379" s="209"/>
      <c r="C379" s="250"/>
      <c r="D379" s="490"/>
      <c r="E379" s="492"/>
      <c r="F379" s="222"/>
      <c r="G379" s="222"/>
    </row>
    <row r="380" spans="2:13" ht="25.5">
      <c r="B380" s="161" t="s">
        <v>752</v>
      </c>
      <c r="C380" s="248" t="s">
        <v>719</v>
      </c>
      <c r="D380" s="485">
        <v>32248.722000000002</v>
      </c>
      <c r="E380" s="486">
        <f>D380/$C$411</f>
        <v>983.58602100000007</v>
      </c>
      <c r="F380" s="162"/>
      <c r="G380" s="162"/>
    </row>
    <row r="381" spans="2:13">
      <c r="B381" s="161" t="s">
        <v>772</v>
      </c>
      <c r="C381" s="248" t="s">
        <v>773</v>
      </c>
      <c r="D381" s="485">
        <v>14520.648999999999</v>
      </c>
      <c r="E381" s="486">
        <f>D381/$C$411</f>
        <v>442.8797945</v>
      </c>
      <c r="F381" s="162"/>
      <c r="G381" s="162"/>
      <c r="H381" s="450"/>
      <c r="J381" s="450"/>
    </row>
    <row r="382" spans="2:13">
      <c r="B382" s="161" t="s">
        <v>774</v>
      </c>
      <c r="C382" s="251" t="s">
        <v>37</v>
      </c>
      <c r="D382" s="485">
        <v>4140.2860000000001</v>
      </c>
      <c r="E382" s="486">
        <f>D382/$C$411</f>
        <v>126.27872300000001</v>
      </c>
      <c r="F382" s="162"/>
      <c r="G382" s="162"/>
      <c r="H382" s="450"/>
      <c r="J382" s="450"/>
    </row>
    <row r="383" spans="2:13">
      <c r="B383" s="161" t="s">
        <v>38</v>
      </c>
      <c r="C383" s="249" t="s">
        <v>39</v>
      </c>
      <c r="D383" s="485"/>
      <c r="E383" s="486">
        <f>D383/$C$411</f>
        <v>0</v>
      </c>
      <c r="F383" s="162"/>
      <c r="G383" s="162"/>
      <c r="H383" s="450"/>
    </row>
    <row r="384" spans="2:13">
      <c r="B384" s="161" t="s">
        <v>756</v>
      </c>
      <c r="C384" s="249" t="s">
        <v>41</v>
      </c>
      <c r="D384" s="485">
        <v>2535.2820000000002</v>
      </c>
      <c r="E384" s="486">
        <f t="shared" ref="E384:E389" si="3">D384/$C$411</f>
        <v>77.326101000000008</v>
      </c>
      <c r="F384" s="162"/>
      <c r="G384" s="162"/>
      <c r="H384" s="450"/>
      <c r="I384" s="450"/>
    </row>
    <row r="385" spans="2:9">
      <c r="B385" s="161" t="s">
        <v>757</v>
      </c>
      <c r="C385" s="249">
        <v>0.06</v>
      </c>
      <c r="D385" s="485">
        <v>0</v>
      </c>
      <c r="E385" s="486">
        <f t="shared" si="3"/>
        <v>0</v>
      </c>
      <c r="F385" s="162"/>
      <c r="G385" s="162"/>
      <c r="H385" s="450"/>
    </row>
    <row r="386" spans="2:9">
      <c r="B386" s="161" t="s">
        <v>758</v>
      </c>
      <c r="C386" s="249">
        <v>2.5999999999999999E-2</v>
      </c>
      <c r="D386" s="485">
        <v>184.00800000000001</v>
      </c>
      <c r="E386" s="486">
        <f t="shared" si="3"/>
        <v>5.6122440000000005</v>
      </c>
      <c r="F386" s="162"/>
      <c r="G386" s="162"/>
      <c r="H386" s="450"/>
      <c r="I386" s="450"/>
    </row>
    <row r="387" spans="2:9">
      <c r="B387" s="161" t="s">
        <v>759</v>
      </c>
      <c r="C387" s="249">
        <v>0.14000000000000001</v>
      </c>
      <c r="D387" s="485">
        <v>12.938000000000001</v>
      </c>
      <c r="E387" s="486">
        <f t="shared" si="3"/>
        <v>0.39460900000000004</v>
      </c>
      <c r="F387" s="162"/>
      <c r="G387" s="162"/>
      <c r="H387" s="450"/>
      <c r="I387" s="450"/>
    </row>
    <row r="388" spans="2:9">
      <c r="B388" s="161" t="s">
        <v>760</v>
      </c>
      <c r="C388" s="408">
        <v>5.8000000000000003E-2</v>
      </c>
      <c r="D388" s="485">
        <v>31741.633999999998</v>
      </c>
      <c r="E388" s="486">
        <f t="shared" si="3"/>
        <v>968.11983700000008</v>
      </c>
      <c r="F388" s="222"/>
      <c r="G388" s="222"/>
      <c r="H388" s="450"/>
      <c r="I388" s="450"/>
    </row>
    <row r="389" spans="2:9">
      <c r="B389" s="161" t="s">
        <v>761</v>
      </c>
      <c r="C389" s="248" t="s">
        <v>775</v>
      </c>
      <c r="D389" s="485">
        <v>5770.23</v>
      </c>
      <c r="E389" s="486">
        <f t="shared" si="3"/>
        <v>175.99201500000001</v>
      </c>
      <c r="F389" s="162"/>
      <c r="G389" s="162"/>
      <c r="H389" s="450"/>
    </row>
    <row r="390" spans="2:9">
      <c r="B390" s="209" t="s">
        <v>48</v>
      </c>
      <c r="C390" s="408"/>
      <c r="D390" s="490">
        <f>SUM(D380:D389)</f>
        <v>91153.748999999996</v>
      </c>
      <c r="E390" s="491">
        <f>D390/$C$468</f>
        <v>2807.5354692000001</v>
      </c>
      <c r="F390" s="162"/>
      <c r="G390" s="162"/>
    </row>
    <row r="391" spans="2:9">
      <c r="B391" s="161"/>
      <c r="C391" s="408"/>
      <c r="D391" s="485"/>
      <c r="E391" s="493"/>
      <c r="F391" s="162"/>
      <c r="G391" s="162"/>
    </row>
    <row r="392" spans="2:9">
      <c r="B392" s="265" t="s">
        <v>49</v>
      </c>
      <c r="C392" s="265"/>
      <c r="D392" s="494">
        <f>+D378+D390+D374</f>
        <v>99190.731999999989</v>
      </c>
      <c r="E392" s="495">
        <f>+E378+E390+E374</f>
        <v>3055.0745456000004</v>
      </c>
      <c r="F392" s="267">
        <f>+D392/D397</f>
        <v>2.2584841154645865</v>
      </c>
      <c r="G392" s="267">
        <f>+E392/E397</f>
        <v>2.2511751053821776</v>
      </c>
    </row>
    <row r="393" spans="2:9">
      <c r="B393" s="44" t="s">
        <v>11</v>
      </c>
      <c r="C393" s="44"/>
      <c r="D393" s="272">
        <v>50189.445</v>
      </c>
      <c r="E393" s="497">
        <f>D393/$C$411</f>
        <v>1530.7780725</v>
      </c>
      <c r="F393" s="47"/>
      <c r="G393" s="47"/>
      <c r="I393" s="416"/>
    </row>
    <row r="394" spans="2:9">
      <c r="B394" s="45" t="s">
        <v>14</v>
      </c>
      <c r="C394" s="45"/>
      <c r="D394" s="484">
        <f>+D392-D393</f>
        <v>49001.286999999989</v>
      </c>
      <c r="E394" s="498">
        <f>+E392-E393</f>
        <v>1524.2964731000004</v>
      </c>
      <c r="F394" s="46">
        <f>+D394/D397</f>
        <v>1.1157154110609986</v>
      </c>
      <c r="G394" s="46">
        <f>+E394/E397</f>
        <v>1.1231995233656908</v>
      </c>
    </row>
    <row r="395" spans="2:9">
      <c r="B395" s="44" t="s">
        <v>17</v>
      </c>
      <c r="C395" s="44"/>
      <c r="D395" s="496">
        <v>152290.595</v>
      </c>
      <c r="E395" s="497">
        <f>D395/$C$411</f>
        <v>4644.8631475000002</v>
      </c>
      <c r="F395" s="47"/>
      <c r="G395" s="47"/>
    </row>
    <row r="396" spans="2:9">
      <c r="B396" s="268" t="s">
        <v>20</v>
      </c>
      <c r="C396" s="268"/>
      <c r="D396" s="499">
        <f>D392+D395</f>
        <v>251481.32699999999</v>
      </c>
      <c r="E396" s="500">
        <f>E392+E395</f>
        <v>7699.9376931000006</v>
      </c>
      <c r="F396" s="270"/>
      <c r="G396" s="270"/>
    </row>
    <row r="397" spans="2:9">
      <c r="B397" s="268" t="s">
        <v>23</v>
      </c>
      <c r="C397" s="268"/>
      <c r="D397" s="515">
        <v>43919.162999999993</v>
      </c>
      <c r="E397" s="516">
        <v>1357.1021366999998</v>
      </c>
      <c r="F397" s="270"/>
      <c r="G397" s="270"/>
    </row>
    <row r="400" spans="2:9">
      <c r="B400" s="36" t="s">
        <v>50</v>
      </c>
      <c r="D400" s="501">
        <v>203264</v>
      </c>
    </row>
    <row r="401" spans="2:7">
      <c r="B401" s="36" t="s">
        <v>51</v>
      </c>
      <c r="D401" s="227">
        <f>D400+D394</f>
        <v>252265.28699999998</v>
      </c>
    </row>
    <row r="402" spans="2:7">
      <c r="B402" s="80" t="s">
        <v>52</v>
      </c>
      <c r="D402" s="228">
        <f>D401/D397</f>
        <v>5.7438546130763015</v>
      </c>
      <c r="E402" s="228"/>
      <c r="G402" s="410"/>
    </row>
    <row r="403" spans="2:7">
      <c r="B403" s="80"/>
      <c r="D403" s="228"/>
    </row>
    <row r="404" spans="2:7" ht="13.5" thickBot="1"/>
    <row r="405" spans="2:7">
      <c r="B405" s="140" t="s">
        <v>776</v>
      </c>
      <c r="C405" s="240" t="s">
        <v>54</v>
      </c>
      <c r="D405" s="232" t="s">
        <v>55</v>
      </c>
    </row>
    <row r="406" spans="2:7">
      <c r="B406" s="141" t="s">
        <v>63</v>
      </c>
      <c r="C406" s="502">
        <f>+D406*$C411</f>
        <v>0</v>
      </c>
      <c r="D406" s="503">
        <v>0</v>
      </c>
    </row>
    <row r="407" spans="2:7">
      <c r="B407" s="141" t="s">
        <v>64</v>
      </c>
      <c r="C407" s="502">
        <f>D393</f>
        <v>50189.445</v>
      </c>
      <c r="D407" s="504">
        <f>E393</f>
        <v>1530.7780725</v>
      </c>
    </row>
    <row r="408" spans="2:7" ht="13.5" thickBot="1">
      <c r="B408" s="143" t="s">
        <v>65</v>
      </c>
      <c r="C408" s="505">
        <f>SUM(C406:C407)</f>
        <v>50189.445</v>
      </c>
      <c r="D408" s="506">
        <f>SUM(D406:D407)</f>
        <v>1530.7780725</v>
      </c>
    </row>
    <row r="410" spans="2:7">
      <c r="D410" s="507"/>
    </row>
    <row r="411" spans="2:7" ht="13.5" thickBot="1">
      <c r="B411" s="36" t="s">
        <v>777</v>
      </c>
      <c r="C411" s="455">
        <v>32.786885245901637</v>
      </c>
    </row>
    <row r="412" spans="2:7">
      <c r="B412" s="234" t="s">
        <v>778</v>
      </c>
      <c r="C412" s="240" t="s">
        <v>54</v>
      </c>
      <c r="D412" s="232" t="s">
        <v>55</v>
      </c>
    </row>
    <row r="413" spans="2:7">
      <c r="B413" s="86">
        <v>2024</v>
      </c>
      <c r="C413" s="508">
        <f>D413*$C$411</f>
        <v>20000</v>
      </c>
      <c r="D413" s="503">
        <v>610</v>
      </c>
    </row>
    <row r="414" spans="2:7">
      <c r="B414" s="86">
        <v>2025</v>
      </c>
      <c r="C414" s="508">
        <f>D414*$C$411</f>
        <v>38229.508196721312</v>
      </c>
      <c r="D414" s="503">
        <v>1166</v>
      </c>
    </row>
    <row r="415" spans="2:7">
      <c r="B415" s="86">
        <v>2026</v>
      </c>
      <c r="C415" s="508">
        <f>D415*$C$411</f>
        <v>11934.426229508195</v>
      </c>
      <c r="D415" s="503">
        <v>364</v>
      </c>
    </row>
    <row r="416" spans="2:7">
      <c r="B416" s="86">
        <v>2027</v>
      </c>
      <c r="C416" s="508">
        <f>D416*$C$411</f>
        <v>9311.4754098360645</v>
      </c>
      <c r="D416" s="503">
        <v>284</v>
      </c>
    </row>
    <row r="417" spans="1:13">
      <c r="B417" s="86" t="s">
        <v>769</v>
      </c>
      <c r="C417" s="508">
        <f>D417*$C$411</f>
        <v>27377.049180327867</v>
      </c>
      <c r="D417" s="503">
        <v>835</v>
      </c>
    </row>
    <row r="418" spans="1:13" ht="13.5" thickBot="1">
      <c r="B418" s="87"/>
      <c r="C418" s="244"/>
      <c r="D418" s="233"/>
    </row>
    <row r="419" spans="1:13">
      <c r="B419" s="80" t="s">
        <v>70</v>
      </c>
      <c r="C419" s="509">
        <f>C413+C417</f>
        <v>47377.049180327871</v>
      </c>
      <c r="D419" s="510">
        <f>D413+D417</f>
        <v>1445</v>
      </c>
    </row>
    <row r="420" spans="1:13">
      <c r="B420" s="80"/>
      <c r="C420" s="238"/>
      <c r="D420" s="220"/>
    </row>
    <row r="422" spans="1:13">
      <c r="A422" s="80" t="s">
        <v>779</v>
      </c>
      <c r="I422" s="273" t="s">
        <v>1</v>
      </c>
    </row>
    <row r="423" spans="1:13">
      <c r="I423" s="256" t="s">
        <v>780</v>
      </c>
      <c r="J423" s="256"/>
      <c r="K423" s="256"/>
      <c r="L423" s="256"/>
      <c r="M423" s="256"/>
    </row>
    <row r="424" spans="1:13">
      <c r="B424" s="256" t="s">
        <v>780</v>
      </c>
      <c r="C424" s="256"/>
      <c r="D424" s="256"/>
      <c r="E424" s="256"/>
      <c r="F424" s="256"/>
      <c r="G424" s="256"/>
      <c r="I424" s="34"/>
      <c r="J424" s="34" t="s">
        <v>4</v>
      </c>
      <c r="K424" s="34" t="s">
        <v>5</v>
      </c>
      <c r="L424" s="37" t="s">
        <v>6</v>
      </c>
      <c r="M424" s="37" t="s">
        <v>6</v>
      </c>
    </row>
    <row r="425" spans="1:13" ht="25.5">
      <c r="B425" s="34"/>
      <c r="C425" s="212" t="s">
        <v>3</v>
      </c>
      <c r="D425" s="212" t="s">
        <v>4</v>
      </c>
      <c r="E425" s="212" t="s">
        <v>5</v>
      </c>
      <c r="F425" s="212" t="s">
        <v>6</v>
      </c>
      <c r="G425" s="212" t="s">
        <v>7</v>
      </c>
      <c r="I425" s="45" t="s">
        <v>8</v>
      </c>
      <c r="J425" s="484">
        <f>D449</f>
        <v>460247.96800000005</v>
      </c>
      <c r="K425" s="484">
        <f>E449</f>
        <v>14175.637414400002</v>
      </c>
      <c r="L425" s="46">
        <f>+J425/J430</f>
        <v>9.945398666712137</v>
      </c>
      <c r="M425" s="46">
        <f>+K425/K430</f>
        <v>8.0188031134747071</v>
      </c>
    </row>
    <row r="426" spans="1:13">
      <c r="B426" s="411"/>
      <c r="C426" s="411"/>
      <c r="D426" s="411"/>
      <c r="E426" s="435"/>
      <c r="F426" s="411"/>
      <c r="G426" s="411"/>
      <c r="I426" s="44" t="s">
        <v>11</v>
      </c>
      <c r="J426" s="487">
        <f>J425-J427</f>
        <v>426806.96800000005</v>
      </c>
      <c r="K426" s="487">
        <f>J426/$C$468</f>
        <v>13145.654614400002</v>
      </c>
      <c r="L426" s="47"/>
      <c r="M426" s="47"/>
    </row>
    <row r="427" spans="1:13">
      <c r="B427" s="161" t="s">
        <v>747</v>
      </c>
      <c r="C427" s="248" t="s">
        <v>10</v>
      </c>
      <c r="D427" s="485">
        <v>2333.3020000000001</v>
      </c>
      <c r="E427" s="486">
        <f>D427/$C$468</f>
        <v>71.865701600000008</v>
      </c>
      <c r="F427" s="485"/>
      <c r="G427" s="277"/>
      <c r="I427" s="45" t="s">
        <v>14</v>
      </c>
      <c r="J427" s="488">
        <v>33441</v>
      </c>
      <c r="K427" s="484">
        <f>K425-K426</f>
        <v>1029.9827999999998</v>
      </c>
      <c r="L427" s="46">
        <f>+J427/J430</f>
        <v>0.72261932683539953</v>
      </c>
      <c r="M427" s="46">
        <f>+K427/K430</f>
        <v>0.58263547818142158</v>
      </c>
    </row>
    <row r="428" spans="1:13">
      <c r="B428" s="161" t="s">
        <v>749</v>
      </c>
      <c r="C428" s="248" t="s">
        <v>16</v>
      </c>
      <c r="D428" s="485">
        <v>465.83699999999999</v>
      </c>
      <c r="E428" s="486">
        <f t="shared" ref="E428:E447" si="4">D428/$C$468</f>
        <v>14.347779600000001</v>
      </c>
      <c r="F428" s="277"/>
      <c r="G428" s="277"/>
      <c r="I428" s="84" t="s">
        <v>17</v>
      </c>
      <c r="J428" s="489">
        <f>D452</f>
        <v>122234.86500000001</v>
      </c>
      <c r="K428" s="489">
        <f>J428/$C$468</f>
        <v>3764.8338420000005</v>
      </c>
      <c r="L428" s="85"/>
      <c r="M428" s="85"/>
    </row>
    <row r="429" spans="1:13">
      <c r="B429" s="161" t="s">
        <v>750</v>
      </c>
      <c r="C429" s="248" t="s">
        <v>19</v>
      </c>
      <c r="D429" s="485">
        <v>362561</v>
      </c>
      <c r="E429" s="486">
        <f t="shared" si="4"/>
        <v>11166.8788</v>
      </c>
      <c r="F429" s="277"/>
      <c r="G429" s="277"/>
      <c r="I429" s="84" t="s">
        <v>20</v>
      </c>
      <c r="J429" s="489">
        <f>J425+J428</f>
        <v>582482.8330000001</v>
      </c>
      <c r="K429" s="489">
        <f>K425+K428</f>
        <v>17940.471256400004</v>
      </c>
      <c r="L429" s="85"/>
      <c r="M429" s="85"/>
    </row>
    <row r="430" spans="1:13">
      <c r="B430" s="161" t="s">
        <v>751</v>
      </c>
      <c r="C430" s="248" t="s">
        <v>22</v>
      </c>
      <c r="D430" s="485">
        <v>35.39</v>
      </c>
      <c r="E430" s="486">
        <f t="shared" si="4"/>
        <v>1.0900120000000002</v>
      </c>
      <c r="F430" s="277"/>
      <c r="G430" s="277"/>
      <c r="I430" s="44" t="s">
        <v>23</v>
      </c>
      <c r="J430" s="397">
        <f>D454</f>
        <v>46277.477999999981</v>
      </c>
      <c r="K430" s="397">
        <f>E454</f>
        <v>1767.7996595999991</v>
      </c>
      <c r="L430" s="44"/>
      <c r="M430" s="44"/>
    </row>
    <row r="431" spans="1:13">
      <c r="B431" s="209" t="s">
        <v>24</v>
      </c>
      <c r="C431" s="250"/>
      <c r="D431" s="490">
        <f>SUM(D427:D430)</f>
        <v>365395.52900000004</v>
      </c>
      <c r="E431" s="491">
        <f t="shared" si="4"/>
        <v>11254.182293200001</v>
      </c>
      <c r="F431" s="222"/>
      <c r="G431" s="222"/>
    </row>
    <row r="432" spans="1:13">
      <c r="B432" s="209"/>
      <c r="C432" s="250"/>
      <c r="D432" s="490"/>
      <c r="E432" s="492"/>
      <c r="F432" s="222"/>
      <c r="G432" s="222"/>
    </row>
    <row r="433" spans="2:9">
      <c r="B433" s="161" t="s">
        <v>712</v>
      </c>
      <c r="C433" s="248" t="s">
        <v>26</v>
      </c>
      <c r="D433" s="485">
        <v>4193.3869999999997</v>
      </c>
      <c r="E433" s="486">
        <f t="shared" si="4"/>
        <v>129.15631959999999</v>
      </c>
      <c r="F433" s="222"/>
      <c r="G433" s="222"/>
    </row>
    <row r="434" spans="2:9" ht="25.5">
      <c r="B434" s="161" t="s">
        <v>713</v>
      </c>
      <c r="C434" s="249" t="s">
        <v>28</v>
      </c>
      <c r="D434" s="485">
        <v>840.04200000000003</v>
      </c>
      <c r="E434" s="486">
        <f t="shared" si="4"/>
        <v>25.873293600000004</v>
      </c>
      <c r="F434" s="222"/>
      <c r="G434" s="222"/>
    </row>
    <row r="435" spans="2:9">
      <c r="B435" s="209" t="s">
        <v>31</v>
      </c>
      <c r="C435" s="250"/>
      <c r="D435" s="490">
        <f>SUM(D433:D434)</f>
        <v>5033.4290000000001</v>
      </c>
      <c r="E435" s="491">
        <f t="shared" si="4"/>
        <v>155.02961320000003</v>
      </c>
      <c r="F435" s="222"/>
      <c r="G435" s="222"/>
    </row>
    <row r="436" spans="2:9">
      <c r="B436" s="209"/>
      <c r="C436" s="250"/>
      <c r="D436" s="490"/>
      <c r="E436" s="492"/>
      <c r="F436" s="222"/>
      <c r="G436" s="222"/>
    </row>
    <row r="437" spans="2:9" ht="25.5">
      <c r="B437" s="161" t="s">
        <v>752</v>
      </c>
      <c r="C437" s="248" t="s">
        <v>719</v>
      </c>
      <c r="D437" s="485">
        <v>31711.147000000001</v>
      </c>
      <c r="E437" s="486">
        <f t="shared" si="4"/>
        <v>976.70332760000008</v>
      </c>
      <c r="F437" s="162"/>
      <c r="G437" s="162"/>
    </row>
    <row r="438" spans="2:9">
      <c r="B438" s="161" t="s">
        <v>781</v>
      </c>
      <c r="C438" s="248" t="s">
        <v>782</v>
      </c>
      <c r="D438" s="485">
        <v>13469.346</v>
      </c>
      <c r="E438" s="486">
        <f t="shared" si="4"/>
        <v>414.85585680000003</v>
      </c>
      <c r="F438" s="162"/>
      <c r="G438" s="162"/>
      <c r="H438" s="450"/>
    </row>
    <row r="439" spans="2:9">
      <c r="B439" s="161" t="s">
        <v>774</v>
      </c>
      <c r="C439" s="251" t="s">
        <v>37</v>
      </c>
      <c r="D439" s="485">
        <v>4989.0129999999999</v>
      </c>
      <c r="E439" s="486">
        <f t="shared" si="4"/>
        <v>153.6616004</v>
      </c>
      <c r="F439" s="162"/>
      <c r="G439" s="162"/>
      <c r="H439" s="450"/>
    </row>
    <row r="440" spans="2:9">
      <c r="B440" s="161" t="s">
        <v>38</v>
      </c>
      <c r="C440" s="249" t="s">
        <v>39</v>
      </c>
      <c r="D440" s="485"/>
      <c r="E440" s="486">
        <f t="shared" si="4"/>
        <v>0</v>
      </c>
      <c r="F440" s="162"/>
      <c r="G440" s="162"/>
      <c r="H440" s="450"/>
    </row>
    <row r="441" spans="2:9">
      <c r="B441" s="161" t="s">
        <v>783</v>
      </c>
      <c r="C441" s="249" t="s">
        <v>41</v>
      </c>
      <c r="D441" s="485">
        <v>2641.8809999999999</v>
      </c>
      <c r="E441" s="486">
        <f t="shared" si="4"/>
        <v>81.36993480000001</v>
      </c>
      <c r="F441" s="162"/>
      <c r="G441" s="162"/>
      <c r="H441" s="450"/>
      <c r="I441" s="450"/>
    </row>
    <row r="442" spans="2:9">
      <c r="B442" s="161" t="s">
        <v>757</v>
      </c>
      <c r="C442" s="249">
        <v>0.06</v>
      </c>
      <c r="D442" s="485">
        <v>0</v>
      </c>
      <c r="E442" s="486">
        <f t="shared" si="4"/>
        <v>0</v>
      </c>
      <c r="F442" s="162"/>
      <c r="G442" s="162"/>
      <c r="H442" s="450"/>
    </row>
    <row r="443" spans="2:9">
      <c r="B443" s="161" t="s">
        <v>758</v>
      </c>
      <c r="C443" s="249">
        <v>2.5999999999999999E-2</v>
      </c>
      <c r="D443" s="485">
        <v>200.42599999999999</v>
      </c>
      <c r="E443" s="486">
        <f t="shared" si="4"/>
        <v>6.1731208000000004</v>
      </c>
      <c r="F443" s="162"/>
      <c r="G443" s="162"/>
      <c r="H443" s="450"/>
      <c r="I443" s="450"/>
    </row>
    <row r="444" spans="2:9">
      <c r="B444" s="161" t="s">
        <v>784</v>
      </c>
      <c r="C444" s="249">
        <v>1.4E-3</v>
      </c>
      <c r="D444" s="485">
        <v>17.600000000000001</v>
      </c>
      <c r="E444" s="486">
        <f t="shared" si="4"/>
        <v>0.54208000000000012</v>
      </c>
      <c r="F444" s="162"/>
      <c r="G444" s="162"/>
      <c r="H444" s="450"/>
      <c r="I444" s="450"/>
    </row>
    <row r="445" spans="2:9">
      <c r="B445" s="161" t="s">
        <v>760</v>
      </c>
      <c r="C445" s="408">
        <v>5.8000000000000003E-2</v>
      </c>
      <c r="D445" s="485">
        <v>31650.714</v>
      </c>
      <c r="E445" s="486">
        <f t="shared" si="4"/>
        <v>974.84199120000005</v>
      </c>
      <c r="F445" s="222"/>
      <c r="G445" s="222"/>
      <c r="H445" s="450"/>
      <c r="I445" s="450"/>
    </row>
    <row r="446" spans="2:9">
      <c r="B446" s="161" t="s">
        <v>761</v>
      </c>
      <c r="C446" s="248" t="s">
        <v>785</v>
      </c>
      <c r="D446" s="485">
        <v>5138.8829999999998</v>
      </c>
      <c r="E446" s="486">
        <f t="shared" si="4"/>
        <v>158.27759640000002</v>
      </c>
      <c r="F446" s="162"/>
      <c r="G446" s="162"/>
      <c r="H446" s="450"/>
    </row>
    <row r="447" spans="2:9">
      <c r="B447" s="209" t="s">
        <v>48</v>
      </c>
      <c r="C447" s="408"/>
      <c r="D447" s="490">
        <f>SUM(D437:D446)</f>
        <v>89819.010000000009</v>
      </c>
      <c r="E447" s="491">
        <f t="shared" si="4"/>
        <v>2766.4255080000007</v>
      </c>
      <c r="F447" s="162"/>
      <c r="G447" s="162"/>
    </row>
    <row r="448" spans="2:9">
      <c r="B448" s="161"/>
      <c r="C448" s="408"/>
      <c r="D448" s="485"/>
      <c r="E448" s="493"/>
      <c r="F448" s="162"/>
      <c r="G448" s="162"/>
    </row>
    <row r="449" spans="2:9">
      <c r="B449" s="265" t="s">
        <v>49</v>
      </c>
      <c r="C449" s="265"/>
      <c r="D449" s="494">
        <f>+D435+D447+D431</f>
        <v>460247.96800000005</v>
      </c>
      <c r="E449" s="495">
        <f>+E435+E447+E431</f>
        <v>14175.637414400002</v>
      </c>
      <c r="F449" s="267">
        <f>+D449/D454</f>
        <v>9.945398666712137</v>
      </c>
      <c r="G449" s="267">
        <f>+E449/E454</f>
        <v>8.0188031134747071</v>
      </c>
    </row>
    <row r="450" spans="2:9">
      <c r="B450" s="44" t="s">
        <v>11</v>
      </c>
      <c r="C450" s="44"/>
      <c r="D450" s="496">
        <f>[32]Model_IFRS!E85</f>
        <v>33533.694999999985</v>
      </c>
      <c r="E450" s="497">
        <f>D450/$C$468</f>
        <v>1032.8378059999995</v>
      </c>
      <c r="F450" s="47"/>
      <c r="G450" s="47"/>
      <c r="I450" s="416"/>
    </row>
    <row r="451" spans="2:9">
      <c r="B451" s="45" t="s">
        <v>14</v>
      </c>
      <c r="C451" s="45"/>
      <c r="D451" s="484">
        <f>+D449-D450</f>
        <v>426714.27300000004</v>
      </c>
      <c r="E451" s="498">
        <f>+E449-E450</f>
        <v>13142.799608400002</v>
      </c>
      <c r="F451" s="46">
        <f>+D451/D454</f>
        <v>9.2207763136962697</v>
      </c>
      <c r="G451" s="46">
        <f>+E451/E454</f>
        <v>7.4345526298912343</v>
      </c>
    </row>
    <row r="452" spans="2:9">
      <c r="B452" s="44" t="s">
        <v>17</v>
      </c>
      <c r="C452" s="44"/>
      <c r="D452" s="496">
        <f>[32]Model_IFRS!$E$167</f>
        <v>122234.86500000001</v>
      </c>
      <c r="E452" s="497">
        <f>D452/$C$468</f>
        <v>3764.8338420000005</v>
      </c>
      <c r="F452" s="47"/>
      <c r="G452" s="47"/>
    </row>
    <row r="453" spans="2:9">
      <c r="B453" s="268" t="s">
        <v>20</v>
      </c>
      <c r="C453" s="268"/>
      <c r="D453" s="499">
        <f>D449+D452</f>
        <v>582482.8330000001</v>
      </c>
      <c r="E453" s="500">
        <f>E449+E452</f>
        <v>17940.471256400004</v>
      </c>
      <c r="F453" s="270"/>
      <c r="G453" s="270"/>
    </row>
    <row r="454" spans="2:9">
      <c r="B454" s="268" t="s">
        <v>23</v>
      </c>
      <c r="C454" s="268"/>
      <c r="D454" s="499">
        <v>46277.477999999981</v>
      </c>
      <c r="E454" s="500">
        <v>1767.7996595999991</v>
      </c>
      <c r="F454" s="270"/>
      <c r="G454" s="270"/>
    </row>
    <row r="457" spans="2:9">
      <c r="B457" s="36" t="s">
        <v>50</v>
      </c>
      <c r="D457" s="501">
        <f>[32]Model_IFRS!E109</f>
        <v>43877.113999999987</v>
      </c>
    </row>
    <row r="458" spans="2:9">
      <c r="B458" s="36" t="s">
        <v>51</v>
      </c>
      <c r="D458" s="227">
        <f>D457+D451</f>
        <v>470591.38700000005</v>
      </c>
    </row>
    <row r="459" spans="2:9">
      <c r="B459" s="80" t="s">
        <v>52</v>
      </c>
      <c r="D459" s="228">
        <f>D458/D454</f>
        <v>10.168907367856136</v>
      </c>
      <c r="E459" s="228"/>
      <c r="G459" s="410"/>
    </row>
    <row r="460" spans="2:9">
      <c r="B460" s="80"/>
      <c r="D460" s="228"/>
    </row>
    <row r="461" spans="2:9" ht="13.5" thickBot="1"/>
    <row r="462" spans="2:9">
      <c r="B462" s="140" t="s">
        <v>786</v>
      </c>
      <c r="C462" s="240" t="s">
        <v>54</v>
      </c>
      <c r="D462" s="232" t="s">
        <v>55</v>
      </c>
    </row>
    <row r="463" spans="2:9">
      <c r="B463" s="141" t="s">
        <v>63</v>
      </c>
      <c r="C463" s="502">
        <f>+D463*$C468</f>
        <v>0</v>
      </c>
      <c r="D463" s="503">
        <v>0</v>
      </c>
    </row>
    <row r="464" spans="2:9">
      <c r="B464" s="141" t="s">
        <v>64</v>
      </c>
      <c r="C464" s="502">
        <f>D450</f>
        <v>33533.694999999985</v>
      </c>
      <c r="D464" s="504">
        <f>E450</f>
        <v>1032.8378059999995</v>
      </c>
    </row>
    <row r="465" spans="1:13" ht="13.5" thickBot="1">
      <c r="B465" s="143" t="s">
        <v>65</v>
      </c>
      <c r="C465" s="505">
        <f>SUM(C463:C464)</f>
        <v>33533.694999999985</v>
      </c>
      <c r="D465" s="506">
        <f>SUM(D463:D464)</f>
        <v>1032.8378059999995</v>
      </c>
    </row>
    <row r="467" spans="1:13">
      <c r="D467" s="507"/>
    </row>
    <row r="468" spans="1:13" ht="13.5" thickBot="1">
      <c r="B468" s="36" t="s">
        <v>787</v>
      </c>
      <c r="C468" s="455">
        <v>32.467532467532465</v>
      </c>
    </row>
    <row r="469" spans="1:13">
      <c r="B469" s="234" t="s">
        <v>788</v>
      </c>
      <c r="C469" s="240" t="s">
        <v>54</v>
      </c>
      <c r="D469" s="232" t="s">
        <v>55</v>
      </c>
    </row>
    <row r="470" spans="1:13">
      <c r="B470" s="86">
        <v>2024</v>
      </c>
      <c r="C470" s="508">
        <f>D470*$C$468</f>
        <v>26103.896103896102</v>
      </c>
      <c r="D470" s="503">
        <v>804</v>
      </c>
    </row>
    <row r="471" spans="1:13">
      <c r="B471" s="86">
        <v>2025</v>
      </c>
      <c r="C471" s="508">
        <f>D471*$C$468</f>
        <v>34870.129870129866</v>
      </c>
      <c r="D471" s="503">
        <v>1074</v>
      </c>
    </row>
    <row r="472" spans="1:13">
      <c r="B472" s="86">
        <v>2026</v>
      </c>
      <c r="C472" s="508">
        <f>D472*$C$468</f>
        <v>11071.428571428571</v>
      </c>
      <c r="D472" s="503">
        <v>341</v>
      </c>
    </row>
    <row r="473" spans="1:13">
      <c r="B473" s="86">
        <v>2027</v>
      </c>
      <c r="C473" s="508">
        <f>D473*$C$468</f>
        <v>8279.2207792207791</v>
      </c>
      <c r="D473" s="503">
        <v>255</v>
      </c>
    </row>
    <row r="474" spans="1:13">
      <c r="B474" s="86" t="s">
        <v>769</v>
      </c>
      <c r="C474" s="508">
        <f>D474*$C$468</f>
        <v>25389.610389610389</v>
      </c>
      <c r="D474" s="503">
        <v>782</v>
      </c>
    </row>
    <row r="475" spans="1:13" ht="13.5" thickBot="1">
      <c r="B475" s="87"/>
      <c r="C475" s="244"/>
      <c r="D475" s="233"/>
    </row>
    <row r="476" spans="1:13">
      <c r="B476" s="80" t="s">
        <v>70</v>
      </c>
      <c r="C476" s="509">
        <f>C470+C474</f>
        <v>51493.506493506487</v>
      </c>
      <c r="D476" s="510">
        <f>D470+D474</f>
        <v>1586</v>
      </c>
    </row>
    <row r="477" spans="1:13">
      <c r="B477" s="80"/>
      <c r="C477" s="238"/>
      <c r="D477" s="220"/>
    </row>
    <row r="479" spans="1:13">
      <c r="A479" s="80" t="s">
        <v>789</v>
      </c>
      <c r="I479" s="273" t="s">
        <v>1</v>
      </c>
    </row>
    <row r="480" spans="1:13">
      <c r="I480" s="256" t="s">
        <v>790</v>
      </c>
      <c r="J480" s="256"/>
      <c r="K480" s="256"/>
      <c r="L480" s="256"/>
      <c r="M480" s="256"/>
    </row>
    <row r="481" spans="2:13">
      <c r="B481" s="256" t="s">
        <v>790</v>
      </c>
      <c r="C481" s="256"/>
      <c r="D481" s="256"/>
      <c r="E481" s="256"/>
      <c r="F481" s="256"/>
      <c r="G481" s="256"/>
      <c r="I481" s="34"/>
      <c r="J481" s="34" t="s">
        <v>4</v>
      </c>
      <c r="K481" s="34" t="s">
        <v>5</v>
      </c>
      <c r="L481" s="37" t="s">
        <v>6</v>
      </c>
      <c r="M481" s="37" t="s">
        <v>6</v>
      </c>
    </row>
    <row r="482" spans="2:13" ht="25.5">
      <c r="B482" s="34"/>
      <c r="C482" s="212" t="s">
        <v>3</v>
      </c>
      <c r="D482" s="212" t="s">
        <v>4</v>
      </c>
      <c r="E482" s="212" t="s">
        <v>5</v>
      </c>
      <c r="F482" s="212" t="s">
        <v>6</v>
      </c>
      <c r="G482" s="212" t="s">
        <v>7</v>
      </c>
      <c r="I482" s="45" t="s">
        <v>8</v>
      </c>
      <c r="J482" s="402">
        <f>D506</f>
        <v>84084.209000000003</v>
      </c>
      <c r="K482" s="402">
        <f>E506</f>
        <v>2856.295867274494</v>
      </c>
      <c r="L482" s="46">
        <f>+J482/J487</f>
        <v>1.9163568734260878</v>
      </c>
      <c r="M482" s="46">
        <f>+K482/K487</f>
        <v>1.3786260513638413</v>
      </c>
    </row>
    <row r="483" spans="2:13">
      <c r="B483" s="411"/>
      <c r="C483" s="411"/>
      <c r="D483" s="411"/>
      <c r="E483" s="435"/>
      <c r="F483" s="411"/>
      <c r="G483" s="411"/>
      <c r="I483" s="44" t="s">
        <v>11</v>
      </c>
      <c r="J483" s="404">
        <f>J482-J484</f>
        <v>60281.209000000003</v>
      </c>
      <c r="K483" s="404">
        <f>J483/$C$525</f>
        <v>2047.7206147114975</v>
      </c>
      <c r="L483" s="47"/>
      <c r="M483" s="47"/>
    </row>
    <row r="484" spans="2:13">
      <c r="B484" s="161" t="s">
        <v>747</v>
      </c>
      <c r="C484" s="248" t="s">
        <v>10</v>
      </c>
      <c r="D484" s="211">
        <v>1569.7950000000001</v>
      </c>
      <c r="E484" s="436">
        <f>D484/$C$525</f>
        <v>53.325101398862707</v>
      </c>
      <c r="F484" s="211"/>
      <c r="G484" s="277"/>
      <c r="I484" s="45" t="s">
        <v>14</v>
      </c>
      <c r="J484" s="460">
        <v>23803</v>
      </c>
      <c r="K484" s="402">
        <f>K482-K483</f>
        <v>808.57525256299641</v>
      </c>
      <c r="L484" s="46">
        <f>+J484/J487</f>
        <v>0.54249237996829069</v>
      </c>
      <c r="M484" s="46">
        <f>+K484/K487</f>
        <v>0.39026871146059677</v>
      </c>
    </row>
    <row r="485" spans="2:13">
      <c r="B485" s="161" t="s">
        <v>791</v>
      </c>
      <c r="C485" s="248" t="s">
        <v>16</v>
      </c>
      <c r="D485" s="211">
        <v>415.56</v>
      </c>
      <c r="E485" s="436">
        <f>D485/$C$525</f>
        <v>14.116352222622307</v>
      </c>
      <c r="F485" s="277"/>
      <c r="G485" s="277"/>
      <c r="I485" s="84" t="s">
        <v>17</v>
      </c>
      <c r="J485" s="400">
        <f>D509</f>
        <v>122234.86500000001</v>
      </c>
      <c r="K485" s="400">
        <f>J485/$C$525</f>
        <v>4152.2533646758302</v>
      </c>
      <c r="L485" s="85"/>
      <c r="M485" s="85"/>
    </row>
    <row r="486" spans="2:13">
      <c r="B486" s="161" t="s">
        <v>750</v>
      </c>
      <c r="C486" s="248" t="s">
        <v>19</v>
      </c>
      <c r="D486" s="211">
        <v>407.90699999999998</v>
      </c>
      <c r="E486" s="436">
        <f>D486/$C$525</f>
        <v>13.856383882166709</v>
      </c>
      <c r="F486" s="277"/>
      <c r="G486" s="277"/>
      <c r="I486" s="84" t="s">
        <v>20</v>
      </c>
      <c r="J486" s="400">
        <f>J482+J485</f>
        <v>206319.07400000002</v>
      </c>
      <c r="K486" s="400">
        <f>K482+K485</f>
        <v>7008.5492319503246</v>
      </c>
      <c r="L486" s="85"/>
      <c r="M486" s="85"/>
    </row>
    <row r="487" spans="2:13">
      <c r="B487" s="161" t="s">
        <v>751</v>
      </c>
      <c r="C487" s="248" t="s">
        <v>22</v>
      </c>
      <c r="D487" s="211">
        <v>34.326000000000001</v>
      </c>
      <c r="E487" s="436">
        <f>D487/$C$525</f>
        <v>1.1660359668729747</v>
      </c>
      <c r="F487" s="277"/>
      <c r="G487" s="277"/>
      <c r="I487" s="44" t="s">
        <v>23</v>
      </c>
      <c r="J487" s="397">
        <f>D511</f>
        <v>43877.113999999987</v>
      </c>
      <c r="K487" s="397">
        <f>E511</f>
        <v>2071.8423712135932</v>
      </c>
      <c r="L487" s="44"/>
      <c r="M487" s="44"/>
    </row>
    <row r="488" spans="2:13">
      <c r="B488" s="209" t="s">
        <v>24</v>
      </c>
      <c r="C488" s="250"/>
      <c r="D488" s="210">
        <f>SUM(D484:D487)</f>
        <v>2427.5880000000002</v>
      </c>
      <c r="E488" s="449">
        <f>D488/$C$525</f>
        <v>82.463873470524703</v>
      </c>
      <c r="F488" s="222"/>
      <c r="G488" s="222"/>
    </row>
    <row r="489" spans="2:13">
      <c r="B489" s="209"/>
      <c r="C489" s="250"/>
      <c r="D489" s="210"/>
      <c r="E489" s="437"/>
      <c r="F489" s="222"/>
      <c r="G489" s="222"/>
    </row>
    <row r="490" spans="2:13">
      <c r="B490" s="161" t="s">
        <v>712</v>
      </c>
      <c r="C490" s="248" t="s">
        <v>26</v>
      </c>
      <c r="D490" s="211">
        <v>3872.4740000000002</v>
      </c>
      <c r="E490" s="436">
        <f>D490/$C$525</f>
        <v>131.54588256075439</v>
      </c>
      <c r="F490" s="222"/>
      <c r="G490" s="222"/>
    </row>
    <row r="491" spans="2:13" ht="25.5">
      <c r="B491" s="161" t="s">
        <v>713</v>
      </c>
      <c r="C491" s="249" t="s">
        <v>28</v>
      </c>
      <c r="D491" s="211">
        <v>851.779</v>
      </c>
      <c r="E491" s="436">
        <f>D491/$C$525</f>
        <v>28.934479689654939</v>
      </c>
      <c r="F491" s="222"/>
      <c r="G491" s="222"/>
    </row>
    <row r="492" spans="2:13">
      <c r="B492" s="209" t="s">
        <v>31</v>
      </c>
      <c r="C492" s="250"/>
      <c r="D492" s="210">
        <f>SUM(D490:D491)</f>
        <v>4724.2530000000006</v>
      </c>
      <c r="E492" s="449">
        <f>D492/$C$525</f>
        <v>160.48036225040937</v>
      </c>
      <c r="F492" s="222"/>
      <c r="G492" s="222"/>
    </row>
    <row r="493" spans="2:13">
      <c r="B493" s="209"/>
      <c r="C493" s="250"/>
      <c r="D493" s="210"/>
      <c r="E493" s="437"/>
      <c r="F493" s="222"/>
      <c r="G493" s="222"/>
    </row>
    <row r="494" spans="2:13" ht="25.5">
      <c r="B494" s="161" t="s">
        <v>792</v>
      </c>
      <c r="C494" s="248" t="s">
        <v>719</v>
      </c>
      <c r="D494" s="211">
        <v>25815.919999999998</v>
      </c>
      <c r="E494" s="436">
        <f t="shared" ref="E494:E504" si="5">D494/$C$525</f>
        <v>876.95307457657054</v>
      </c>
      <c r="F494" s="162"/>
      <c r="G494" s="162"/>
    </row>
    <row r="495" spans="2:13">
      <c r="B495" s="161" t="s">
        <v>781</v>
      </c>
      <c r="C495" s="248" t="s">
        <v>782</v>
      </c>
      <c r="D495" s="211">
        <v>11942.102999999999</v>
      </c>
      <c r="E495" s="436">
        <f t="shared" si="5"/>
        <v>405.66688860052585</v>
      </c>
      <c r="F495" s="162"/>
      <c r="G495" s="162"/>
      <c r="H495" s="450"/>
    </row>
    <row r="496" spans="2:13">
      <c r="B496" s="161" t="s">
        <v>774</v>
      </c>
      <c r="C496" s="251" t="s">
        <v>37</v>
      </c>
      <c r="D496" s="211">
        <v>4483.1450000000004</v>
      </c>
      <c r="E496" s="436">
        <f t="shared" si="5"/>
        <v>152.2900517015307</v>
      </c>
      <c r="F496" s="162"/>
      <c r="G496" s="162"/>
      <c r="H496" s="450"/>
    </row>
    <row r="497" spans="2:9">
      <c r="B497" s="161" t="s">
        <v>38</v>
      </c>
      <c r="C497" s="249" t="s">
        <v>39</v>
      </c>
      <c r="D497" s="211"/>
      <c r="E497" s="436">
        <f t="shared" si="5"/>
        <v>0</v>
      </c>
      <c r="F497" s="162"/>
      <c r="G497" s="162"/>
      <c r="H497" s="450"/>
    </row>
    <row r="498" spans="2:9">
      <c r="B498" s="161" t="s">
        <v>783</v>
      </c>
      <c r="C498" s="249" t="s">
        <v>41</v>
      </c>
      <c r="D498" s="211">
        <v>2261.585</v>
      </c>
      <c r="E498" s="436">
        <f t="shared" si="5"/>
        <v>76.824839833957242</v>
      </c>
      <c r="F498" s="162"/>
      <c r="G498" s="162"/>
      <c r="H498" s="450"/>
      <c r="I498" s="450"/>
    </row>
    <row r="499" spans="2:9">
      <c r="B499" s="161" t="s">
        <v>757</v>
      </c>
      <c r="C499" s="249">
        <v>0.06</v>
      </c>
      <c r="D499" s="211">
        <v>345.43099999999998</v>
      </c>
      <c r="E499" s="436">
        <f t="shared" si="5"/>
        <v>11.734107384283007</v>
      </c>
      <c r="F499" s="162"/>
      <c r="G499" s="162"/>
      <c r="H499" s="450"/>
    </row>
    <row r="500" spans="2:9">
      <c r="B500" s="161" t="s">
        <v>758</v>
      </c>
      <c r="C500" s="249">
        <v>2.5999999999999999E-2</v>
      </c>
      <c r="D500" s="211">
        <v>200.37100000000001</v>
      </c>
      <c r="E500" s="436">
        <f t="shared" si="5"/>
        <v>6.8064963211065903</v>
      </c>
      <c r="F500" s="162"/>
      <c r="G500" s="162"/>
      <c r="H500" s="450"/>
      <c r="I500" s="450"/>
    </row>
    <row r="501" spans="2:9">
      <c r="B501" s="161" t="s">
        <v>784</v>
      </c>
      <c r="C501" s="249">
        <v>0.14000000000000001</v>
      </c>
      <c r="D501" s="211">
        <v>15.856999999999999</v>
      </c>
      <c r="E501" s="436">
        <f t="shared" si="5"/>
        <v>0.53865385791250819</v>
      </c>
      <c r="F501" s="162"/>
      <c r="G501" s="162"/>
      <c r="H501" s="450"/>
      <c r="I501" s="450"/>
    </row>
    <row r="502" spans="2:9">
      <c r="B502" s="161" t="s">
        <v>760</v>
      </c>
      <c r="C502" s="408">
        <v>5.8000000000000003E-2</v>
      </c>
      <c r="D502" s="211">
        <v>28430.71</v>
      </c>
      <c r="E502" s="436">
        <f t="shared" si="5"/>
        <v>965.77610044092376</v>
      </c>
      <c r="F502" s="222"/>
      <c r="G502" s="222"/>
      <c r="H502" s="450"/>
      <c r="I502" s="450"/>
    </row>
    <row r="503" spans="2:9">
      <c r="B503" s="161" t="s">
        <v>760</v>
      </c>
      <c r="C503" s="248" t="s">
        <v>793</v>
      </c>
      <c r="D503" s="211">
        <v>3437.2460000000001</v>
      </c>
      <c r="E503" s="436">
        <f t="shared" si="5"/>
        <v>116.76141883674954</v>
      </c>
      <c r="F503" s="162"/>
      <c r="G503" s="162"/>
      <c r="H503" s="450"/>
    </row>
    <row r="504" spans="2:9">
      <c r="B504" s="209" t="s">
        <v>48</v>
      </c>
      <c r="C504" s="408"/>
      <c r="D504" s="210">
        <f>SUM(D494:D503)</f>
        <v>76932.368000000002</v>
      </c>
      <c r="E504" s="449">
        <f t="shared" si="5"/>
        <v>2613.3516315535599</v>
      </c>
      <c r="F504" s="162"/>
      <c r="G504" s="162"/>
    </row>
    <row r="505" spans="2:9">
      <c r="B505" s="161"/>
      <c r="C505" s="408"/>
      <c r="D505" s="211"/>
      <c r="E505" s="438"/>
      <c r="F505" s="162"/>
      <c r="G505" s="162"/>
    </row>
    <row r="506" spans="2:9">
      <c r="B506" s="265" t="s">
        <v>49</v>
      </c>
      <c r="C506" s="265"/>
      <c r="D506" s="399">
        <f>+D492+D504+D488</f>
        <v>84084.209000000003</v>
      </c>
      <c r="E506" s="439">
        <f>+E492+E504+E488</f>
        <v>2856.295867274494</v>
      </c>
      <c r="F506" s="267">
        <f>+D506/D511</f>
        <v>1.9163568734260878</v>
      </c>
      <c r="G506" s="267">
        <f>+E506/E511</f>
        <v>1.3786260513638413</v>
      </c>
    </row>
    <row r="507" spans="2:9">
      <c r="B507" s="44" t="s">
        <v>11</v>
      </c>
      <c r="C507" s="44"/>
      <c r="D507" s="272">
        <v>49978.716</v>
      </c>
      <c r="E507" s="440">
        <f>D507/$C$525</f>
        <v>1697.7504059351456</v>
      </c>
      <c r="F507" s="47"/>
      <c r="G507" s="47"/>
      <c r="I507" s="416"/>
    </row>
    <row r="508" spans="2:9">
      <c r="B508" s="45" t="s">
        <v>14</v>
      </c>
      <c r="C508" s="45"/>
      <c r="D508" s="402">
        <f>+D506-D507</f>
        <v>34105.493000000002</v>
      </c>
      <c r="E508" s="441">
        <f>+E506-E507</f>
        <v>1158.5454613393483</v>
      </c>
      <c r="F508" s="46">
        <f>+D508/D511</f>
        <v>0.77729572186539009</v>
      </c>
      <c r="G508" s="46">
        <f>+E508/E511</f>
        <v>0.55918610287940196</v>
      </c>
    </row>
    <row r="509" spans="2:9">
      <c r="B509" s="44" t="s">
        <v>17</v>
      </c>
      <c r="C509" s="44"/>
      <c r="D509" s="272">
        <v>122234.86500000001</v>
      </c>
      <c r="E509" s="440">
        <f>D509/$C$525</f>
        <v>4152.2533646758302</v>
      </c>
      <c r="F509" s="47"/>
      <c r="G509" s="47"/>
    </row>
    <row r="510" spans="2:9">
      <c r="B510" s="268" t="s">
        <v>20</v>
      </c>
      <c r="C510" s="268"/>
      <c r="D510" s="396">
        <f>D506+D509</f>
        <v>206319.07400000002</v>
      </c>
      <c r="E510" s="442">
        <f>E506+E509</f>
        <v>7008.5492319503246</v>
      </c>
      <c r="F510" s="270"/>
      <c r="G510" s="270"/>
    </row>
    <row r="511" spans="2:9">
      <c r="B511" s="268" t="s">
        <v>23</v>
      </c>
      <c r="C511" s="268"/>
      <c r="D511" s="396">
        <v>43877.113999999987</v>
      </c>
      <c r="E511" s="442">
        <v>2071.8423712135932</v>
      </c>
      <c r="F511" s="270"/>
      <c r="G511" s="270"/>
    </row>
    <row r="514" spans="2:7">
      <c r="B514" s="36" t="s">
        <v>50</v>
      </c>
      <c r="D514" s="387">
        <v>152900</v>
      </c>
    </row>
    <row r="515" spans="2:7">
      <c r="B515" s="36" t="s">
        <v>51</v>
      </c>
      <c r="D515" s="227">
        <f>D514+D508</f>
        <v>187005.49300000002</v>
      </c>
    </row>
    <row r="516" spans="2:7">
      <c r="B516" s="80" t="s">
        <v>52</v>
      </c>
      <c r="D516" s="228">
        <f>D515/D511</f>
        <v>4.2620281042185244</v>
      </c>
      <c r="E516" s="228"/>
      <c r="G516" s="410"/>
    </row>
    <row r="517" spans="2:7">
      <c r="B517" s="80"/>
      <c r="D517" s="228"/>
    </row>
    <row r="518" spans="2:7" ht="13.5" thickBot="1"/>
    <row r="519" spans="2:7">
      <c r="B519" s="140" t="s">
        <v>794</v>
      </c>
      <c r="C519" s="240" t="s">
        <v>54</v>
      </c>
      <c r="D519" s="232" t="s">
        <v>55</v>
      </c>
    </row>
    <row r="520" spans="2:7">
      <c r="B520" s="141" t="s">
        <v>63</v>
      </c>
      <c r="C520" s="242">
        <f>+D520*$C525</f>
        <v>0</v>
      </c>
      <c r="D520" s="253">
        <v>0</v>
      </c>
    </row>
    <row r="521" spans="2:7">
      <c r="B521" s="141" t="s">
        <v>64</v>
      </c>
      <c r="C521" s="242">
        <f>D507</f>
        <v>49978.716</v>
      </c>
      <c r="D521" s="237">
        <f>E507</f>
        <v>1697.7504059351456</v>
      </c>
    </row>
    <row r="522" spans="2:7" ht="13.5" thickBot="1">
      <c r="B522" s="143" t="s">
        <v>65</v>
      </c>
      <c r="C522" s="243">
        <f>SUM(C520:C521)</f>
        <v>49978.716</v>
      </c>
      <c r="D522" s="236">
        <f>SUM(D520:D521)</f>
        <v>1697.7504059351456</v>
      </c>
    </row>
    <row r="524" spans="2:7">
      <c r="D524" s="39"/>
    </row>
    <row r="525" spans="2:7" ht="13.5" thickBot="1">
      <c r="B525" s="36" t="s">
        <v>795</v>
      </c>
      <c r="C525" s="455">
        <v>29.438199999999998</v>
      </c>
    </row>
    <row r="526" spans="2:7">
      <c r="B526" s="234" t="s">
        <v>796</v>
      </c>
      <c r="C526" s="240" t="s">
        <v>54</v>
      </c>
      <c r="D526" s="232" t="s">
        <v>55</v>
      </c>
    </row>
    <row r="527" spans="2:7">
      <c r="B527" s="86">
        <v>2024</v>
      </c>
      <c r="C527" s="461">
        <f>D527*$C$525</f>
        <v>23697.751</v>
      </c>
      <c r="D527" s="253">
        <v>805</v>
      </c>
    </row>
    <row r="528" spans="2:7">
      <c r="B528" s="86">
        <v>2025</v>
      </c>
      <c r="C528" s="461">
        <f>D528*$C$525</f>
        <v>29232.132599999997</v>
      </c>
      <c r="D528" s="253">
        <v>993</v>
      </c>
    </row>
    <row r="529" spans="2:4">
      <c r="B529" s="86">
        <v>2026</v>
      </c>
      <c r="C529" s="461">
        <f>D529*$C$525</f>
        <v>9302.4712</v>
      </c>
      <c r="D529" s="253">
        <v>316</v>
      </c>
    </row>
    <row r="530" spans="2:4">
      <c r="B530" s="86">
        <v>2027</v>
      </c>
      <c r="C530" s="461">
        <f>D530*$C$525</f>
        <v>6564.7185999999992</v>
      </c>
      <c r="D530" s="253">
        <v>223</v>
      </c>
    </row>
    <row r="531" spans="2:4">
      <c r="B531" s="86" t="s">
        <v>769</v>
      </c>
      <c r="C531" s="461">
        <f>D531*$C$525</f>
        <v>22373.031999999999</v>
      </c>
      <c r="D531" s="253">
        <v>760</v>
      </c>
    </row>
    <row r="532" spans="2:4" ht="13.5" thickBot="1">
      <c r="B532" s="87"/>
      <c r="C532" s="244"/>
      <c r="D532" s="233"/>
    </row>
    <row r="533" spans="2:4">
      <c r="B533" s="80" t="s">
        <v>70</v>
      </c>
      <c r="C533" s="238">
        <f>C527+C531</f>
        <v>46070.782999999996</v>
      </c>
      <c r="D533" s="220">
        <f>D527+D531</f>
        <v>1565</v>
      </c>
    </row>
    <row r="534" spans="2:4">
      <c r="B534" s="80"/>
      <c r="C534" s="238"/>
      <c r="D534" s="220"/>
    </row>
  </sheetData>
  <phoneticPr fontId="2" type="noConversion"/>
  <pageMargins left="0.7" right="0.7" top="0.75" bottom="0.75" header="0.3" footer="0.3"/>
  <pageSetup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63FCB-58E7-42BA-BCBD-5AB9693A9887}">
  <sheetPr>
    <pageSetUpPr fitToPage="1"/>
  </sheetPr>
  <dimension ref="B2:AH488"/>
  <sheetViews>
    <sheetView showGridLines="0" zoomScaleNormal="100" zoomScaleSheetLayoutView="100" workbookViewId="0">
      <pane xSplit="2" ySplit="6" topLeftCell="I7" activePane="bottomRight" state="frozen"/>
      <selection pane="bottomRight" activeCell="AF1" sqref="AF1"/>
      <selection pane="bottomLeft" activeCell="K27" sqref="K27"/>
      <selection pane="topRight" activeCell="K27" sqref="K27"/>
    </sheetView>
  </sheetViews>
  <sheetFormatPr defaultColWidth="11.42578125" defaultRowHeight="13.5" customHeight="1" outlineLevelRow="1" outlineLevelCol="1"/>
  <cols>
    <col min="1" max="1" width="2.7109375" style="1" customWidth="1"/>
    <col min="2" max="2" width="50.7109375" style="1" customWidth="1"/>
    <col min="3" max="8" width="12.7109375" style="1" hidden="1" customWidth="1" outlineLevel="1"/>
    <col min="9" max="9" width="12.7109375" style="1" customWidth="1" collapsed="1"/>
    <col min="10" max="12" width="12.7109375" style="1" customWidth="1"/>
    <col min="13" max="19" width="12.7109375" style="1" hidden="1" customWidth="1" outlineLevel="1"/>
    <col min="20" max="20" width="12.7109375" style="1" customWidth="1" collapsed="1"/>
    <col min="21" max="36" width="12.7109375" style="1" customWidth="1"/>
    <col min="37" max="16384" width="11.42578125" style="1"/>
  </cols>
  <sheetData>
    <row r="2" spans="2:34" s="2" customFormat="1" ht="24.75" customHeight="1">
      <c r="B2" s="536" t="s">
        <v>405</v>
      </c>
      <c r="C2" s="537" t="s">
        <v>406</v>
      </c>
      <c r="D2" s="537" t="s">
        <v>406</v>
      </c>
      <c r="E2" s="537" t="s">
        <v>406</v>
      </c>
      <c r="F2" s="537" t="s">
        <v>406</v>
      </c>
      <c r="G2" s="537" t="s">
        <v>406</v>
      </c>
      <c r="H2" s="537" t="s">
        <v>406</v>
      </c>
      <c r="I2" s="537" t="s">
        <v>406</v>
      </c>
      <c r="J2" s="537" t="s">
        <v>406</v>
      </c>
      <c r="K2" s="537" t="s">
        <v>407</v>
      </c>
      <c r="L2" s="426" t="s">
        <v>397</v>
      </c>
      <c r="M2" s="538" t="s">
        <v>408</v>
      </c>
      <c r="N2" s="538" t="s">
        <v>408</v>
      </c>
      <c r="O2" s="538" t="s">
        <v>408</v>
      </c>
      <c r="P2" s="538" t="s">
        <v>408</v>
      </c>
      <c r="Q2" s="537" t="s">
        <v>408</v>
      </c>
      <c r="R2" s="537" t="s">
        <v>408</v>
      </c>
      <c r="S2" s="537" t="s">
        <v>408</v>
      </c>
      <c r="T2" s="537" t="s">
        <v>408</v>
      </c>
      <c r="U2" s="537" t="s">
        <v>408</v>
      </c>
      <c r="V2" s="537" t="s">
        <v>408</v>
      </c>
      <c r="W2" s="538" t="s">
        <v>408</v>
      </c>
      <c r="X2" s="538" t="s">
        <v>408</v>
      </c>
      <c r="Y2" s="538" t="s">
        <v>408</v>
      </c>
      <c r="Z2" s="426"/>
      <c r="AA2" s="537" t="s">
        <v>408</v>
      </c>
      <c r="AB2" s="537" t="s">
        <v>408</v>
      </c>
      <c r="AC2" s="538" t="s">
        <v>408</v>
      </c>
      <c r="AD2" s="538" t="s">
        <v>408</v>
      </c>
      <c r="AE2" s="538" t="s">
        <v>408</v>
      </c>
      <c r="AG2" s="537" t="s">
        <v>797</v>
      </c>
      <c r="AH2" s="538" t="s">
        <v>797</v>
      </c>
    </row>
    <row r="3" spans="2:34" s="2" customFormat="1" ht="13.5" customHeight="1">
      <c r="B3" s="539" t="s">
        <v>409</v>
      </c>
      <c r="C3" s="540">
        <v>44561</v>
      </c>
      <c r="D3" s="540">
        <v>44926</v>
      </c>
      <c r="E3" s="540">
        <v>44926</v>
      </c>
      <c r="F3" s="540">
        <v>45291</v>
      </c>
      <c r="G3" s="540">
        <v>45291</v>
      </c>
      <c r="H3" s="540">
        <v>45657</v>
      </c>
      <c r="I3" s="540">
        <v>45657</v>
      </c>
      <c r="J3" s="540">
        <v>46022</v>
      </c>
      <c r="K3" s="540">
        <f>Y3</f>
        <v>46112</v>
      </c>
      <c r="L3" s="295" t="s">
        <v>397</v>
      </c>
      <c r="M3" s="540">
        <v>45016</v>
      </c>
      <c r="N3" s="540">
        <v>45107</v>
      </c>
      <c r="O3" s="540">
        <v>45199</v>
      </c>
      <c r="P3" s="540">
        <v>45291</v>
      </c>
      <c r="Q3" s="540">
        <v>45382</v>
      </c>
      <c r="R3" s="540">
        <v>45473</v>
      </c>
      <c r="S3" s="540">
        <v>45565</v>
      </c>
      <c r="T3" s="540">
        <v>45657</v>
      </c>
      <c r="U3" s="540">
        <v>45747</v>
      </c>
      <c r="V3" s="540">
        <v>45838</v>
      </c>
      <c r="W3" s="541">
        <v>45930</v>
      </c>
      <c r="X3" s="541">
        <v>46022</v>
      </c>
      <c r="Y3" s="541">
        <v>46112</v>
      </c>
      <c r="Z3" s="295"/>
      <c r="AA3" s="540">
        <v>45382</v>
      </c>
      <c r="AB3" s="540">
        <v>45473</v>
      </c>
      <c r="AC3" s="541">
        <v>45565</v>
      </c>
      <c r="AD3" s="541">
        <v>45656</v>
      </c>
      <c r="AE3" s="541">
        <v>45747</v>
      </c>
      <c r="AG3" s="540">
        <v>45565</v>
      </c>
      <c r="AH3" s="541">
        <v>45930</v>
      </c>
    </row>
    <row r="4" spans="2:34" s="5" customFormat="1" ht="13.5" customHeight="1">
      <c r="B4" s="539"/>
      <c r="C4" s="541" t="s">
        <v>410</v>
      </c>
      <c r="D4" s="541" t="s">
        <v>410</v>
      </c>
      <c r="E4" s="542" t="s">
        <v>798</v>
      </c>
      <c r="F4" s="541" t="s">
        <v>410</v>
      </c>
      <c r="G4" s="541" t="s">
        <v>410</v>
      </c>
      <c r="H4" s="541" t="s">
        <v>410</v>
      </c>
      <c r="I4" s="541" t="s">
        <v>410</v>
      </c>
      <c r="J4" s="541" t="s">
        <v>410</v>
      </c>
      <c r="K4" s="541" t="s">
        <v>410</v>
      </c>
      <c r="L4" s="423"/>
      <c r="M4" s="540" t="s">
        <v>410</v>
      </c>
      <c r="N4" s="540" t="s">
        <v>410</v>
      </c>
      <c r="O4" s="540" t="s">
        <v>410</v>
      </c>
      <c r="P4" s="540" t="s">
        <v>410</v>
      </c>
      <c r="Q4" s="541" t="s">
        <v>410</v>
      </c>
      <c r="R4" s="541" t="s">
        <v>410</v>
      </c>
      <c r="S4" s="541" t="s">
        <v>410</v>
      </c>
      <c r="T4" s="541" t="s">
        <v>410</v>
      </c>
      <c r="U4" s="541" t="s">
        <v>410</v>
      </c>
      <c r="V4" s="541" t="s">
        <v>410</v>
      </c>
      <c r="W4" s="541" t="s">
        <v>410</v>
      </c>
      <c r="X4" s="541" t="s">
        <v>410</v>
      </c>
      <c r="Y4" s="541" t="s">
        <v>410</v>
      </c>
      <c r="Z4" s="423"/>
      <c r="AA4" s="541" t="s">
        <v>410</v>
      </c>
      <c r="AB4" s="541" t="s">
        <v>410</v>
      </c>
      <c r="AC4" s="541" t="s">
        <v>410</v>
      </c>
      <c r="AD4" s="541" t="s">
        <v>410</v>
      </c>
      <c r="AE4" s="541" t="s">
        <v>410</v>
      </c>
      <c r="AG4" s="541" t="s">
        <v>410</v>
      </c>
      <c r="AH4" s="541" t="s">
        <v>410</v>
      </c>
    </row>
    <row r="5" spans="2:34" s="3" customFormat="1" ht="13.5" customHeight="1">
      <c r="C5" s="23" t="s">
        <v>412</v>
      </c>
      <c r="D5" s="23" t="s">
        <v>412</v>
      </c>
      <c r="E5" s="23" t="s">
        <v>412</v>
      </c>
      <c r="F5" s="23" t="s">
        <v>412</v>
      </c>
      <c r="G5" s="23" t="s">
        <v>412</v>
      </c>
      <c r="H5" s="23" t="s">
        <v>412</v>
      </c>
      <c r="I5" s="23" t="s">
        <v>412</v>
      </c>
      <c r="J5" s="23" t="s">
        <v>412</v>
      </c>
      <c r="K5" s="767" t="s">
        <v>407</v>
      </c>
      <c r="L5" s="23"/>
      <c r="M5" s="462" t="s">
        <v>413</v>
      </c>
      <c r="N5" s="462" t="s">
        <v>414</v>
      </c>
      <c r="O5" s="462" t="s">
        <v>415</v>
      </c>
      <c r="P5" s="511" t="s">
        <v>416</v>
      </c>
      <c r="Q5" s="462" t="s">
        <v>413</v>
      </c>
      <c r="R5" s="462" t="s">
        <v>414</v>
      </c>
      <c r="S5" s="462" t="s">
        <v>415</v>
      </c>
      <c r="T5" s="462" t="s">
        <v>416</v>
      </c>
      <c r="U5" s="462" t="s">
        <v>413</v>
      </c>
      <c r="V5" s="462" t="s">
        <v>414</v>
      </c>
      <c r="W5" s="462" t="s">
        <v>415</v>
      </c>
      <c r="X5" s="462" t="s">
        <v>416</v>
      </c>
      <c r="Y5" s="462" t="s">
        <v>413</v>
      </c>
      <c r="Z5" s="462"/>
      <c r="AA5" s="462" t="s">
        <v>413</v>
      </c>
      <c r="AB5" s="462" t="s">
        <v>414</v>
      </c>
      <c r="AC5" s="462" t="s">
        <v>415</v>
      </c>
      <c r="AD5" s="462" t="s">
        <v>416</v>
      </c>
      <c r="AE5" s="462" t="s">
        <v>413</v>
      </c>
      <c r="AG5" s="462" t="s">
        <v>797</v>
      </c>
      <c r="AH5" s="462" t="s">
        <v>797</v>
      </c>
    </row>
    <row r="6" spans="2:34" ht="13.5" customHeight="1">
      <c r="B6" s="543" t="s">
        <v>417</v>
      </c>
      <c r="C6" s="544"/>
      <c r="D6" s="544"/>
      <c r="E6" s="544"/>
      <c r="F6" s="544"/>
      <c r="G6" s="542" t="s">
        <v>798</v>
      </c>
      <c r="H6" s="544"/>
      <c r="I6" s="542" t="s">
        <v>798</v>
      </c>
      <c r="J6" s="542"/>
      <c r="K6" s="544"/>
      <c r="M6" s="544"/>
      <c r="N6" s="544"/>
      <c r="O6" s="544"/>
      <c r="P6" s="544"/>
      <c r="Q6" s="544"/>
      <c r="R6" s="544"/>
      <c r="S6" s="544"/>
      <c r="T6" s="544"/>
      <c r="U6" s="544"/>
      <c r="V6" s="544"/>
      <c r="W6" s="544"/>
      <c r="X6" s="544"/>
      <c r="Y6" s="544"/>
      <c r="AA6" s="542" t="s">
        <v>798</v>
      </c>
      <c r="AB6" s="542" t="s">
        <v>798</v>
      </c>
      <c r="AC6" s="542" t="s">
        <v>798</v>
      </c>
      <c r="AD6" s="542" t="s">
        <v>798</v>
      </c>
      <c r="AE6" s="542" t="s">
        <v>798</v>
      </c>
      <c r="AG6" s="544"/>
      <c r="AH6" s="544"/>
    </row>
    <row r="7" spans="2:34" ht="13.5" customHeight="1">
      <c r="B7" s="5"/>
      <c r="K7" s="196"/>
    </row>
    <row r="8" spans="2:34" ht="13.5" customHeight="1">
      <c r="B8" s="1" t="s">
        <v>56</v>
      </c>
      <c r="C8" s="195">
        <v>90008.603000000003</v>
      </c>
      <c r="D8" s="195">
        <v>77951.747000000003</v>
      </c>
      <c r="E8" s="195">
        <v>111946.394</v>
      </c>
      <c r="F8" s="195">
        <v>91952.842999999993</v>
      </c>
      <c r="G8" s="195">
        <v>131630.73499999999</v>
      </c>
      <c r="H8" s="195">
        <v>142529.58600000001</v>
      </c>
      <c r="I8" s="195">
        <v>199742.397</v>
      </c>
      <c r="J8" s="195">
        <v>220319.476</v>
      </c>
      <c r="K8" s="196">
        <f>SUM(V8:Y8)</f>
        <v>238329.726</v>
      </c>
      <c r="L8" s="196"/>
      <c r="M8" s="463">
        <v>23455.132000000001</v>
      </c>
      <c r="N8" s="463">
        <v>29968.973999999998</v>
      </c>
      <c r="O8" s="463">
        <v>32550.2</v>
      </c>
      <c r="P8" s="196">
        <f>F8-O8-N8-M8</f>
        <v>5978.5369999999966</v>
      </c>
      <c r="Q8" s="463">
        <v>26515.823</v>
      </c>
      <c r="R8" s="463">
        <v>30433.43</v>
      </c>
      <c r="S8" s="463">
        <v>34853.599999999999</v>
      </c>
      <c r="T8" s="196">
        <f>H8-S8-R8-Q8</f>
        <v>50726.733000000007</v>
      </c>
      <c r="U8" s="463">
        <v>43523.377999999997</v>
      </c>
      <c r="V8" s="463">
        <v>48219.8</v>
      </c>
      <c r="W8" s="463">
        <v>54454.014000000003</v>
      </c>
      <c r="X8" s="196">
        <f>J8-W8-V8-U8</f>
        <v>74122.284</v>
      </c>
      <c r="Y8" s="463">
        <v>61533.627999999997</v>
      </c>
      <c r="AA8" s="463">
        <v>38984.362999999998</v>
      </c>
      <c r="AB8" s="463">
        <v>43143.199999999997</v>
      </c>
      <c r="AC8" s="463">
        <v>48695.898000000001</v>
      </c>
      <c r="AD8" s="518">
        <f>I8-SUM(AA8:AC8)</f>
        <v>68918.936000000002</v>
      </c>
      <c r="AE8" s="463">
        <v>56607.038999999997</v>
      </c>
      <c r="AG8" s="463">
        <v>139800.516</v>
      </c>
      <c r="AH8" s="463">
        <v>155892.478</v>
      </c>
    </row>
    <row r="9" spans="2:34" ht="13.5" hidden="1" customHeight="1" outlineLevel="1">
      <c r="B9" s="1" t="s">
        <v>418</v>
      </c>
      <c r="C9" s="195"/>
      <c r="D9" s="195"/>
      <c r="E9" s="195"/>
      <c r="F9" s="195"/>
      <c r="G9" s="195"/>
      <c r="H9" s="195"/>
      <c r="I9" s="195"/>
      <c r="J9" s="195"/>
      <c r="K9" s="196">
        <f>SUM(U9:X9)</f>
        <v>0</v>
      </c>
      <c r="L9" s="195"/>
      <c r="M9" s="463"/>
      <c r="N9" s="463"/>
      <c r="O9" s="463"/>
      <c r="P9" s="463"/>
      <c r="Q9" s="463"/>
      <c r="R9" s="463"/>
      <c r="S9" s="463"/>
      <c r="T9" s="195"/>
      <c r="U9" s="463"/>
      <c r="V9" s="463"/>
      <c r="W9" s="463"/>
      <c r="X9" s="195"/>
      <c r="Y9" s="463"/>
      <c r="Z9" s="463"/>
      <c r="AA9" s="463"/>
      <c r="AB9" s="463"/>
      <c r="AC9" s="463"/>
      <c r="AD9" s="463"/>
      <c r="AE9" s="463"/>
      <c r="AG9" s="463"/>
      <c r="AH9" s="463"/>
    </row>
    <row r="10" spans="2:34" ht="13.5" hidden="1" customHeight="1" outlineLevel="1">
      <c r="B10" s="1" t="s">
        <v>419</v>
      </c>
      <c r="C10" s="195"/>
      <c r="D10" s="195"/>
      <c r="E10" s="195"/>
      <c r="F10" s="195"/>
      <c r="G10" s="195"/>
      <c r="H10" s="195"/>
      <c r="I10" s="195"/>
      <c r="J10" s="195"/>
      <c r="K10" s="196">
        <f>SUM(U10:X10)</f>
        <v>0</v>
      </c>
      <c r="L10" s="195"/>
      <c r="M10" s="463"/>
      <c r="N10" s="463"/>
      <c r="O10" s="463"/>
      <c r="P10" s="463"/>
      <c r="Q10" s="463"/>
      <c r="R10" s="463"/>
      <c r="S10" s="463"/>
      <c r="T10" s="195"/>
      <c r="U10" s="463"/>
      <c r="V10" s="463"/>
      <c r="W10" s="463"/>
      <c r="X10" s="195"/>
      <c r="Y10" s="463"/>
      <c r="Z10" s="463"/>
      <c r="AA10" s="463"/>
      <c r="AB10" s="463"/>
      <c r="AC10" s="463"/>
      <c r="AD10" s="463"/>
      <c r="AE10" s="463"/>
      <c r="AG10" s="463"/>
      <c r="AH10" s="463"/>
    </row>
    <row r="11" spans="2:34" ht="13.5" hidden="1" customHeight="1" outlineLevel="1">
      <c r="B11" s="1" t="s">
        <v>420</v>
      </c>
      <c r="C11" s="195"/>
      <c r="D11" s="195"/>
      <c r="E11" s="195"/>
      <c r="F11" s="195"/>
      <c r="G11" s="195"/>
      <c r="H11" s="195"/>
      <c r="I11" s="195"/>
      <c r="J11" s="195"/>
      <c r="K11" s="196">
        <f>SUM(U11:X11)</f>
        <v>0</v>
      </c>
      <c r="L11" s="195"/>
      <c r="M11" s="463"/>
      <c r="N11" s="463"/>
      <c r="O11" s="463"/>
      <c r="P11" s="463"/>
      <c r="Q11" s="463"/>
      <c r="R11" s="463"/>
      <c r="S11" s="463"/>
      <c r="T11" s="195"/>
      <c r="U11" s="463"/>
      <c r="V11" s="463"/>
      <c r="W11" s="463"/>
      <c r="X11" s="195"/>
      <c r="Y11" s="463"/>
      <c r="Z11" s="463"/>
      <c r="AA11" s="463"/>
      <c r="AB11" s="463"/>
      <c r="AC11" s="463"/>
      <c r="AD11" s="463"/>
      <c r="AE11" s="463"/>
      <c r="AG11" s="463"/>
      <c r="AH11" s="463"/>
    </row>
    <row r="12" spans="2:34" ht="13.5" customHeight="1" collapsed="1">
      <c r="B12" s="5" t="s">
        <v>421</v>
      </c>
      <c r="C12" s="195">
        <v>2667.1709999999998</v>
      </c>
      <c r="D12" s="195">
        <v>2673.0569999999998</v>
      </c>
      <c r="E12" s="195">
        <v>3514.3969999999999</v>
      </c>
      <c r="F12" s="195">
        <v>2625.6860000000001</v>
      </c>
      <c r="G12" s="195">
        <v>3572.76</v>
      </c>
      <c r="H12" s="195">
        <v>3875.9769999999999</v>
      </c>
      <c r="I12" s="463">
        <v>0</v>
      </c>
      <c r="J12" s="463">
        <v>0</v>
      </c>
      <c r="K12" s="196">
        <f>SUM(V12:Y12)</f>
        <v>0</v>
      </c>
      <c r="L12" s="196"/>
      <c r="M12" s="463">
        <v>797.48</v>
      </c>
      <c r="N12" s="463">
        <v>866.64099999999996</v>
      </c>
      <c r="O12" s="463">
        <v>775.2</v>
      </c>
      <c r="P12" s="196">
        <f>F12-O12-N12-M12</f>
        <v>186.36500000000012</v>
      </c>
      <c r="Q12" s="463">
        <v>815.03399999999999</v>
      </c>
      <c r="R12" s="463">
        <v>889.73599999999999</v>
      </c>
      <c r="S12" s="463">
        <v>934.9</v>
      </c>
      <c r="T12" s="196">
        <f>H12-S12-R12-Q12</f>
        <v>1236.3069999999998</v>
      </c>
      <c r="U12" s="463">
        <v>0</v>
      </c>
      <c r="V12" s="463">
        <v>0</v>
      </c>
      <c r="W12" s="463">
        <v>0</v>
      </c>
      <c r="X12" s="196">
        <f>J12-W12-V12-U12</f>
        <v>0</v>
      </c>
      <c r="Y12" s="463">
        <v>0</v>
      </c>
      <c r="Z12" s="463"/>
      <c r="AA12" s="463">
        <v>0</v>
      </c>
      <c r="AB12" s="463">
        <v>0</v>
      </c>
      <c r="AC12" s="463">
        <v>0</v>
      </c>
      <c r="AD12" s="463">
        <v>0</v>
      </c>
      <c r="AE12" s="463">
        <v>0</v>
      </c>
      <c r="AG12" s="463">
        <v>0</v>
      </c>
      <c r="AH12" s="463">
        <v>0</v>
      </c>
    </row>
    <row r="13" spans="2:34" ht="13.5" customHeight="1">
      <c r="B13" s="5" t="s">
        <v>422</v>
      </c>
      <c r="C13" s="195">
        <v>3550.7759999999998</v>
      </c>
      <c r="D13" s="195">
        <v>3545.3789999999999</v>
      </c>
      <c r="E13" s="195">
        <v>4736.402</v>
      </c>
      <c r="F13" s="195">
        <v>4568.674</v>
      </c>
      <c r="G13" s="195">
        <v>5996.6319999999996</v>
      </c>
      <c r="H13" s="195">
        <v>7817.3559999999998</v>
      </c>
      <c r="I13" s="195">
        <v>11300.922</v>
      </c>
      <c r="J13" s="195">
        <v>13688.815000000001</v>
      </c>
      <c r="K13" s="196">
        <f>SUM(V13:Y13)</f>
        <v>14368.112000000001</v>
      </c>
      <c r="L13" s="196"/>
      <c r="M13" s="463">
        <v>1053.087</v>
      </c>
      <c r="N13" s="463">
        <v>1420.9880000000001</v>
      </c>
      <c r="O13" s="463">
        <v>1629.1</v>
      </c>
      <c r="P13" s="196">
        <f>F13-O13-N13-M13</f>
        <v>465.49900000000002</v>
      </c>
      <c r="Q13" s="463">
        <v>1512.874</v>
      </c>
      <c r="R13" s="463">
        <v>1754.4870000000001</v>
      </c>
      <c r="S13" s="463">
        <v>2131.6999999999998</v>
      </c>
      <c r="T13" s="196">
        <f>H13-S13-R13-Q13</f>
        <v>2418.2950000000001</v>
      </c>
      <c r="U13" s="463">
        <v>2746.567</v>
      </c>
      <c r="V13" s="463">
        <v>2916.3</v>
      </c>
      <c r="W13" s="463">
        <v>3410.2310000000002</v>
      </c>
      <c r="X13" s="196">
        <f>J13-W13-V13-U13</f>
        <v>4615.7170000000006</v>
      </c>
      <c r="Y13" s="463">
        <v>3425.864</v>
      </c>
      <c r="Z13" s="463"/>
      <c r="AA13" s="463">
        <v>2089.337</v>
      </c>
      <c r="AB13" s="463">
        <v>2369.4</v>
      </c>
      <c r="AC13" s="463">
        <v>2569.96</v>
      </c>
      <c r="AD13" s="518">
        <f>I13-SUM(AA13:AC13)</f>
        <v>4272.2250000000004</v>
      </c>
      <c r="AE13" s="463">
        <v>3341.9180000000001</v>
      </c>
      <c r="AG13" s="463">
        <v>7769.6570000000002</v>
      </c>
      <c r="AH13" s="463">
        <v>9675.3760000000002</v>
      </c>
    </row>
    <row r="14" spans="2:34" ht="13.5" customHeight="1">
      <c r="B14" s="5" t="s">
        <v>59</v>
      </c>
      <c r="C14" s="195">
        <f>15775.237-3402.143</f>
        <v>12373.093999999999</v>
      </c>
      <c r="D14" s="195">
        <f>13558.486-4241.823</f>
        <v>9316.6630000000005</v>
      </c>
      <c r="E14" s="195">
        <v>14777.966</v>
      </c>
      <c r="F14" s="195">
        <f>10161.753-2192.772</f>
        <v>7968.9810000000007</v>
      </c>
      <c r="G14" s="195">
        <v>13452.904</v>
      </c>
      <c r="H14" s="195">
        <v>12448.445</v>
      </c>
      <c r="I14" s="195">
        <f>10974.558-3857.847</f>
        <v>7116.7110000000011</v>
      </c>
      <c r="J14" s="195">
        <f>14139.663-6677.133</f>
        <v>7462.5300000000007</v>
      </c>
      <c r="K14" s="196">
        <f>SUM(V14:Y14)</f>
        <v>9187.3009999999995</v>
      </c>
      <c r="L14" s="196"/>
      <c r="M14" s="463">
        <f>2915.892-652.473</f>
        <v>2263.4189999999999</v>
      </c>
      <c r="N14" s="463">
        <f>3377.613-605.353</f>
        <v>2772.2599999999998</v>
      </c>
      <c r="O14" s="463">
        <v>2635.6</v>
      </c>
      <c r="P14" s="196">
        <f>F14-O14-N14-M14</f>
        <v>297.70200000000159</v>
      </c>
      <c r="Q14" s="463">
        <f>2612.919-634.316</f>
        <v>1978.6029999999998</v>
      </c>
      <c r="R14" s="463">
        <f>2482.943-647.125</f>
        <v>1835.8180000000002</v>
      </c>
      <c r="S14" s="463">
        <v>2251.1999999999998</v>
      </c>
      <c r="T14" s="196">
        <f>H14-S14-R14-Q14</f>
        <v>6382.8239999999996</v>
      </c>
      <c r="U14" s="463">
        <f>2947.326-1254.629</f>
        <v>1692.6970000000001</v>
      </c>
      <c r="V14" s="463">
        <v>1885.9</v>
      </c>
      <c r="W14" s="463">
        <f>(3545705-1874473)/1000</f>
        <v>1671.232</v>
      </c>
      <c r="X14" s="196">
        <f>J14-W14-V14-U14</f>
        <v>2212.7010000000005</v>
      </c>
      <c r="Y14" s="463">
        <v>3417.4679999999998</v>
      </c>
      <c r="Z14" s="463"/>
      <c r="AA14" s="463">
        <f>2324.334-831.211</f>
        <v>1493.1229999999998</v>
      </c>
      <c r="AB14" s="463">
        <v>1637.5</v>
      </c>
      <c r="AC14" s="463">
        <v>2280.1770000000001</v>
      </c>
      <c r="AD14" s="518">
        <f>I14-SUM(AA14:AC14)</f>
        <v>1705.9110000000019</v>
      </c>
      <c r="AE14" s="463">
        <v>2817.5720000000001</v>
      </c>
      <c r="AG14" s="463">
        <f>(7954075-2779761)/1000</f>
        <v>5174.3140000000003</v>
      </c>
      <c r="AH14" s="463">
        <f>(10451838-4824205)/1000</f>
        <v>5627.6329999999998</v>
      </c>
    </row>
    <row r="15" spans="2:34" s="5" customFormat="1" ht="16.5" customHeight="1">
      <c r="B15" s="5" t="s">
        <v>423</v>
      </c>
      <c r="C15" s="198">
        <f t="shared" ref="C15:H15" si="0">SUM(C8:C14)</f>
        <v>108599.644</v>
      </c>
      <c r="D15" s="198">
        <f t="shared" si="0"/>
        <v>93486.846000000005</v>
      </c>
      <c r="E15" s="198">
        <f>SUM(E8:E14)</f>
        <v>134975.15899999999</v>
      </c>
      <c r="F15" s="198">
        <f t="shared" si="0"/>
        <v>107116.18399999999</v>
      </c>
      <c r="G15" s="198">
        <f t="shared" si="0"/>
        <v>154653.03100000002</v>
      </c>
      <c r="H15" s="198">
        <f t="shared" si="0"/>
        <v>166671.36400000003</v>
      </c>
      <c r="I15" s="198">
        <f>SUM(I8:I14)</f>
        <v>218160.03</v>
      </c>
      <c r="J15" s="198">
        <f>SUM(J8:J14)</f>
        <v>241470.821</v>
      </c>
      <c r="K15" s="198">
        <f>K8+K12+K13+K14</f>
        <v>261885.139</v>
      </c>
      <c r="L15" s="202"/>
      <c r="M15" s="464">
        <f t="shared" ref="M15:U15" si="1">M8+M12+M13+M14</f>
        <v>27569.118000000002</v>
      </c>
      <c r="N15" s="464">
        <f t="shared" si="1"/>
        <v>35028.862999999998</v>
      </c>
      <c r="O15" s="464">
        <f t="shared" si="1"/>
        <v>37590.1</v>
      </c>
      <c r="P15" s="198">
        <f t="shared" si="1"/>
        <v>6928.1029999999973</v>
      </c>
      <c r="Q15" s="464">
        <f t="shared" si="1"/>
        <v>30822.333999999999</v>
      </c>
      <c r="R15" s="464">
        <f t="shared" si="1"/>
        <v>34913.470999999998</v>
      </c>
      <c r="S15" s="464">
        <f t="shared" si="1"/>
        <v>40171.399999999994</v>
      </c>
      <c r="T15" s="198">
        <f t="shared" si="1"/>
        <v>60764.159000000007</v>
      </c>
      <c r="U15" s="198">
        <f t="shared" si="1"/>
        <v>47962.642</v>
      </c>
      <c r="V15" s="464">
        <f>V8+V12+V13+V14</f>
        <v>53022.000000000007</v>
      </c>
      <c r="W15" s="464">
        <f>W8+W12+W13+W14</f>
        <v>59535.476999999999</v>
      </c>
      <c r="X15" s="198">
        <f>X8+X12+X13+X14</f>
        <v>80950.702000000005</v>
      </c>
      <c r="Y15" s="464">
        <f>Y8+Y12+Y13+Y14</f>
        <v>68376.959999999992</v>
      </c>
      <c r="Z15" s="464"/>
      <c r="AA15" s="198">
        <f>AA8+AA12+AA13+AA14</f>
        <v>42566.822999999997</v>
      </c>
      <c r="AB15" s="464">
        <f>AB8+AB12+AB13+AB14</f>
        <v>47150.1</v>
      </c>
      <c r="AC15" s="464">
        <f>AC8+AC12+AC13+AC14</f>
        <v>53546.035000000003</v>
      </c>
      <c r="AD15" s="464">
        <f>AD8+AD12+AD13+AD14</f>
        <v>74897.072000000015</v>
      </c>
      <c r="AE15" s="464">
        <f>AE8+AE12+AE13+AE14</f>
        <v>62766.528999999995</v>
      </c>
      <c r="AF15" s="551"/>
      <c r="AG15" s="464">
        <f>AG8+AG12+AG13+AG14</f>
        <v>152744.48700000002</v>
      </c>
      <c r="AH15" s="464">
        <f>AH8+AH12+AH13+AH14</f>
        <v>171195.48699999999</v>
      </c>
    </row>
    <row r="16" spans="2:34" s="29" customFormat="1" ht="13.5" customHeight="1">
      <c r="B16" s="20" t="s">
        <v>424</v>
      </c>
      <c r="C16" s="21"/>
      <c r="D16" s="21">
        <f>D15/C15-1</f>
        <v>-0.13916065875869721</v>
      </c>
      <c r="E16" s="21">
        <f>E15/C15-1</f>
        <v>0.24286925839278051</v>
      </c>
      <c r="F16" s="21">
        <f>F15/D15-1</f>
        <v>0.14578883108325202</v>
      </c>
      <c r="G16" s="21">
        <f>G15/E15-1</f>
        <v>0.14578884104148404</v>
      </c>
      <c r="H16" s="21">
        <f>H15/G15-1</f>
        <v>7.7711590405234343E-2</v>
      </c>
      <c r="I16" s="21">
        <f>I15/G15-1</f>
        <v>0.4106417998364349</v>
      </c>
      <c r="J16" s="21">
        <f>J15/I15-1</f>
        <v>0.10685179590413507</v>
      </c>
      <c r="K16" s="21"/>
      <c r="L16" s="315"/>
      <c r="M16" s="465"/>
      <c r="N16" s="465"/>
      <c r="O16" s="465"/>
      <c r="P16" s="21"/>
      <c r="Q16" s="465">
        <f>Q15/M15-1</f>
        <v>0.11800217910489552</v>
      </c>
      <c r="R16" s="465">
        <f>R15/N15-1</f>
        <v>-3.2941977020493063E-3</v>
      </c>
      <c r="S16" s="465">
        <f>S15/O15-1</f>
        <v>6.8669676324351281E-2</v>
      </c>
      <c r="T16" s="21">
        <f>T15/P15-1</f>
        <v>7.7706777742767432</v>
      </c>
      <c r="U16" s="21">
        <f>U15/AA15-1</f>
        <v>0.12676113977310455</v>
      </c>
      <c r="V16" s="465">
        <f>V15/AB15-1</f>
        <v>0.12453632123791913</v>
      </c>
      <c r="W16" s="465">
        <f>W15/AC15-1</f>
        <v>0.11185593853961362</v>
      </c>
      <c r="X16" s="21">
        <f>X15/AD15-1</f>
        <v>8.082599010012026E-2</v>
      </c>
      <c r="Y16" s="21">
        <f>Y15/AE15-1</f>
        <v>8.9385713841209746E-2</v>
      </c>
      <c r="Z16" s="468"/>
      <c r="AA16" s="21">
        <f>AA15/M15-1</f>
        <v>0.54400380164501438</v>
      </c>
      <c r="AB16" s="465">
        <f>AB15/N15-1</f>
        <v>0.34603569633419173</v>
      </c>
      <c r="AC16" s="465">
        <f>AC15/O15-1</f>
        <v>0.42447173590918896</v>
      </c>
      <c r="AD16" s="465">
        <f>AD15/O15-1</f>
        <v>0.99246801684486119</v>
      </c>
      <c r="AE16" s="465">
        <f>AE15/Q15-1</f>
        <v>1.0363976654071685</v>
      </c>
      <c r="AG16" s="465"/>
      <c r="AH16" s="465">
        <f>AH15/AG15-1</f>
        <v>0.12079650377168738</v>
      </c>
    </row>
    <row r="17" spans="2:34" ht="13.5" customHeight="1">
      <c r="B17" s="1" t="s">
        <v>799</v>
      </c>
      <c r="C17" s="195">
        <v>-86138.066999999995</v>
      </c>
      <c r="D17" s="195">
        <v>-81680.929000000004</v>
      </c>
      <c r="E17" s="195">
        <v>-117929.921</v>
      </c>
      <c r="F17" s="195">
        <v>-84418.035000000003</v>
      </c>
      <c r="G17" s="195">
        <v>-121881.72199999999</v>
      </c>
      <c r="H17" s="195">
        <v>-125542.614</v>
      </c>
      <c r="I17" s="195">
        <v>-164325.65</v>
      </c>
      <c r="J17" s="195">
        <v>-173124.43799999999</v>
      </c>
      <c r="K17" s="196">
        <f>SUM(V17:Y17)</f>
        <v>-188840.943</v>
      </c>
      <c r="L17" s="196"/>
      <c r="M17" s="463">
        <v>-22307.850999999999</v>
      </c>
      <c r="N17" s="463">
        <v>-27127.953000000001</v>
      </c>
      <c r="O17" s="463">
        <v>-28263.1</v>
      </c>
      <c r="P17" s="196">
        <f>F17-O17-N17-M17</f>
        <v>-6719.1310000000049</v>
      </c>
      <c r="Q17" s="463">
        <v>-24180.016</v>
      </c>
      <c r="R17" s="463">
        <v>-26526.524000000001</v>
      </c>
      <c r="S17" s="463">
        <v>-29195.5</v>
      </c>
      <c r="T17" s="196">
        <f>H17-S17-R17-Q17</f>
        <v>-45640.573999999993</v>
      </c>
      <c r="U17" s="463">
        <v>-34339.792999999998</v>
      </c>
      <c r="V17" s="463">
        <v>-38579.1</v>
      </c>
      <c r="W17" s="463">
        <v>-42121.764999999999</v>
      </c>
      <c r="X17" s="196">
        <f>J17-W17-V17-U17</f>
        <v>-58083.780000000006</v>
      </c>
      <c r="Y17" s="463">
        <v>-50056.298000000003</v>
      </c>
      <c r="Z17" s="463"/>
      <c r="AA17" s="463">
        <v>-33393.527999999998</v>
      </c>
      <c r="AB17" s="463">
        <v>-35823.699999999997</v>
      </c>
      <c r="AC17" s="463">
        <v>-38915.889000000003</v>
      </c>
      <c r="AD17" s="518">
        <f>I17-SUM(AA17:AC17)</f>
        <v>-56192.532999999996</v>
      </c>
      <c r="AE17" s="463">
        <v>-44938.925999999999</v>
      </c>
      <c r="AG17" s="463">
        <v>-115483.841</v>
      </c>
      <c r="AH17" s="463">
        <v>-122730.245</v>
      </c>
    </row>
    <row r="18" spans="2:34" ht="13.5" customHeight="1">
      <c r="B18" s="610" t="s">
        <v>426</v>
      </c>
      <c r="C18" s="195">
        <v>-31188.016</v>
      </c>
      <c r="D18" s="195">
        <v>-32595.995999999999</v>
      </c>
      <c r="E18" s="195">
        <v>-47061.7</v>
      </c>
      <c r="F18" s="195">
        <v>-31298.992999999999</v>
      </c>
      <c r="G18" s="195">
        <v>-45189.101000000002</v>
      </c>
      <c r="H18" s="195">
        <v>-47563.03</v>
      </c>
      <c r="I18" s="195">
        <v>-62256.36</v>
      </c>
      <c r="J18" s="195">
        <v>-63928.334999999999</v>
      </c>
      <c r="K18" s="196">
        <f>SUM(V18:Y18)</f>
        <v>-69043.263999999996</v>
      </c>
      <c r="L18" s="196"/>
      <c r="M18" s="520">
        <v>-7820.45</v>
      </c>
      <c r="N18" s="520">
        <v>-9884.9110000000001</v>
      </c>
      <c r="O18" s="520">
        <v>-10295.892</v>
      </c>
      <c r="P18" s="196">
        <f>F18-O18-N18-M18</f>
        <v>-3297.7399999999989</v>
      </c>
      <c r="Q18" s="463">
        <v>-9231.875</v>
      </c>
      <c r="R18" s="463">
        <v>-10205.672</v>
      </c>
      <c r="S18" s="463">
        <v>-11205.05</v>
      </c>
      <c r="T18" s="196">
        <f>H18-S18-R18-Q18</f>
        <v>-16920.432999999997</v>
      </c>
      <c r="U18" s="463">
        <v>-12745.592000000001</v>
      </c>
      <c r="V18" s="463">
        <v>-14267.8</v>
      </c>
      <c r="W18" s="463">
        <v>-15806.473</v>
      </c>
      <c r="X18" s="196">
        <f>J18-W18-V18-U18</f>
        <v>-21108.470000000005</v>
      </c>
      <c r="Y18" s="463">
        <v>-17860.521000000001</v>
      </c>
      <c r="Z18" s="463"/>
      <c r="AA18" s="463">
        <v>-12749.573</v>
      </c>
      <c r="AB18" s="463">
        <v>-13782.6</v>
      </c>
      <c r="AC18" s="463">
        <v>-14935.665000000001</v>
      </c>
      <c r="AD18" s="518">
        <f>I18-SUM(AA18:AC18)</f>
        <v>-20788.521999999997</v>
      </c>
      <c r="AE18" s="463">
        <v>-16679.577000000001</v>
      </c>
      <c r="AG18" s="463">
        <v>-44282.239999999998</v>
      </c>
      <c r="AH18" s="463">
        <v>-45670.148000000001</v>
      </c>
    </row>
    <row r="19" spans="2:34" s="5" customFormat="1" ht="16.5" customHeight="1">
      <c r="B19" s="5" t="s">
        <v>428</v>
      </c>
      <c r="C19" s="8">
        <f t="shared" ref="C19:K19" si="2">SUM(C15,C17)</f>
        <v>22461.577000000005</v>
      </c>
      <c r="D19" s="8">
        <f t="shared" si="2"/>
        <v>11805.917000000001</v>
      </c>
      <c r="E19" s="8">
        <f>SUM(E15,E17)</f>
        <v>17045.237999999983</v>
      </c>
      <c r="F19" s="8">
        <f t="shared" si="2"/>
        <v>22698.14899999999</v>
      </c>
      <c r="G19" s="8">
        <f t="shared" si="2"/>
        <v>32771.309000000023</v>
      </c>
      <c r="H19" s="8">
        <f t="shared" si="2"/>
        <v>41128.750000000029</v>
      </c>
      <c r="I19" s="8">
        <f>SUM(I15,I17)</f>
        <v>53834.380000000005</v>
      </c>
      <c r="J19" s="8">
        <f>SUM(J15,J17)</f>
        <v>68346.383000000002</v>
      </c>
      <c r="K19" s="8">
        <f t="shared" si="2"/>
        <v>73044.195999999996</v>
      </c>
      <c r="L19" s="8"/>
      <c r="M19" s="8">
        <f t="shared" ref="M19:U19" si="3">SUM(M15,M17)</f>
        <v>5261.2670000000035</v>
      </c>
      <c r="N19" s="8">
        <f t="shared" si="3"/>
        <v>7900.9099999999962</v>
      </c>
      <c r="O19" s="8">
        <f t="shared" si="3"/>
        <v>9327</v>
      </c>
      <c r="P19" s="8">
        <f t="shared" si="3"/>
        <v>208.97199999999248</v>
      </c>
      <c r="Q19" s="8">
        <f t="shared" si="3"/>
        <v>6642.3179999999993</v>
      </c>
      <c r="R19" s="8">
        <f t="shared" si="3"/>
        <v>8386.9469999999965</v>
      </c>
      <c r="S19" s="8">
        <f t="shared" si="3"/>
        <v>10975.899999999994</v>
      </c>
      <c r="T19" s="8">
        <f t="shared" si="3"/>
        <v>15123.585000000014</v>
      </c>
      <c r="U19" s="8">
        <f t="shared" si="3"/>
        <v>13622.849000000002</v>
      </c>
      <c r="V19" s="8">
        <f>SUM(V15,V17)</f>
        <v>14442.900000000009</v>
      </c>
      <c r="W19" s="8">
        <f>SUM(W15,W17)</f>
        <v>17413.712</v>
      </c>
      <c r="X19" s="8">
        <f>SUM(X15,X17)</f>
        <v>22866.921999999999</v>
      </c>
      <c r="Y19" s="8">
        <f>SUM(Y15,Y17)</f>
        <v>18320.661999999989</v>
      </c>
      <c r="Z19" s="8"/>
      <c r="AA19" s="8">
        <f>SUM(AA15,AA17)</f>
        <v>9173.2949999999983</v>
      </c>
      <c r="AB19" s="8">
        <f>SUM(AB15,AB17)</f>
        <v>11326.400000000001</v>
      </c>
      <c r="AC19" s="8">
        <f>SUM(AC15,AC17)</f>
        <v>14630.146000000001</v>
      </c>
      <c r="AD19" s="8">
        <f>SUM(AD15,AD17)</f>
        <v>18704.539000000019</v>
      </c>
      <c r="AE19" s="8">
        <f>SUM(AE15,AE17)</f>
        <v>17827.602999999996</v>
      </c>
      <c r="AG19" s="8">
        <f>SUM(AG15,AG17)</f>
        <v>37260.646000000022</v>
      </c>
      <c r="AH19" s="8">
        <f>SUM(AH15,AH17)</f>
        <v>48465.241999999998</v>
      </c>
    </row>
    <row r="20" spans="2:34" s="29" customFormat="1" ht="13.5" customHeight="1">
      <c r="B20" s="20" t="s">
        <v>429</v>
      </c>
      <c r="C20" s="21">
        <f t="shared" ref="C20:K20" si="4">C19/C15</f>
        <v>0.20682919549902029</v>
      </c>
      <c r="D20" s="21">
        <f t="shared" si="4"/>
        <v>0.12628425821532155</v>
      </c>
      <c r="E20" s="21">
        <f>E19/E15</f>
        <v>0.12628425946140195</v>
      </c>
      <c r="F20" s="21">
        <f t="shared" si="4"/>
        <v>0.21190214356403875</v>
      </c>
      <c r="G20" s="21">
        <f t="shared" si="4"/>
        <v>0.2119021450022536</v>
      </c>
      <c r="H20" s="21">
        <f t="shared" si="4"/>
        <v>0.24676554515987534</v>
      </c>
      <c r="I20" s="21">
        <f>I19/I15</f>
        <v>0.24676555095816591</v>
      </c>
      <c r="J20" s="21">
        <f>J19/J15</f>
        <v>0.28304199537218622</v>
      </c>
      <c r="K20" s="21">
        <f t="shared" si="4"/>
        <v>0.27891691861140694</v>
      </c>
      <c r="L20" s="315"/>
      <c r="M20" s="465">
        <f t="shared" ref="M20:U20" si="5">M19/M15</f>
        <v>0.19083914835432902</v>
      </c>
      <c r="N20" s="465">
        <f t="shared" si="5"/>
        <v>0.22555428076555031</v>
      </c>
      <c r="O20" s="465">
        <f t="shared" si="5"/>
        <v>0.24812384111774111</v>
      </c>
      <c r="P20" s="21">
        <f t="shared" si="5"/>
        <v>3.0162946480442418E-2</v>
      </c>
      <c r="Q20" s="465">
        <f t="shared" si="5"/>
        <v>0.21550340736687881</v>
      </c>
      <c r="R20" s="465">
        <f t="shared" si="5"/>
        <v>0.24022094509022024</v>
      </c>
      <c r="S20" s="465">
        <f t="shared" si="5"/>
        <v>0.27322672348984589</v>
      </c>
      <c r="T20" s="21">
        <f t="shared" si="5"/>
        <v>0.24888989247757073</v>
      </c>
      <c r="U20" s="21">
        <f t="shared" si="5"/>
        <v>0.28403041266992762</v>
      </c>
      <c r="V20" s="465">
        <f>V19/V15</f>
        <v>0.27239447776394715</v>
      </c>
      <c r="W20" s="465">
        <f>W19/W15</f>
        <v>0.29249302898841306</v>
      </c>
      <c r="X20" s="21">
        <f>X19/X15</f>
        <v>0.28247960097986546</v>
      </c>
      <c r="Y20" s="21">
        <f>Y19/Y15</f>
        <v>0.26793618786211015</v>
      </c>
      <c r="Z20" s="468"/>
      <c r="AA20" s="21">
        <f>AA19/AA15</f>
        <v>0.21550339803372215</v>
      </c>
      <c r="AB20" s="465">
        <f>AB19/AB15</f>
        <v>0.24022006315999334</v>
      </c>
      <c r="AC20" s="465">
        <f>AC19/AC15</f>
        <v>0.2732255712304375</v>
      </c>
      <c r="AD20" s="465">
        <f>AD19/AD15</f>
        <v>0.24973658516316921</v>
      </c>
      <c r="AE20" s="21">
        <f>AE19/AE15</f>
        <v>0.28403041053934969</v>
      </c>
      <c r="AG20" s="465">
        <f>AG19/AG15</f>
        <v>0.24394102027394296</v>
      </c>
      <c r="AH20" s="465">
        <f>AH19/AH15</f>
        <v>0.28309882958538501</v>
      </c>
    </row>
    <row r="21" spans="2:34" ht="13.5" customHeight="1">
      <c r="B21" s="1" t="s">
        <v>430</v>
      </c>
      <c r="C21" s="195">
        <v>-2658.3429999999998</v>
      </c>
      <c r="D21" s="195">
        <v>-2579.4110000000001</v>
      </c>
      <c r="E21" s="195">
        <v>-3724.1219999999998</v>
      </c>
      <c r="F21" s="195">
        <v>-3429.518</v>
      </c>
      <c r="G21" s="195">
        <v>-4951.4960000000001</v>
      </c>
      <c r="H21" s="195">
        <v>-6919.8620000000001</v>
      </c>
      <c r="I21" s="195">
        <v>-9057.5689999999995</v>
      </c>
      <c r="J21" s="195">
        <v>-9948.3150000000005</v>
      </c>
      <c r="K21" s="196">
        <f>SUM(V21:Y21)</f>
        <v>-10927.302</v>
      </c>
      <c r="L21" s="196"/>
      <c r="M21" s="463">
        <v>-916.11599999999999</v>
      </c>
      <c r="N21" s="463">
        <v>-901.44899999999996</v>
      </c>
      <c r="O21" s="463">
        <v>-1216.5999999999999</v>
      </c>
      <c r="P21" s="196">
        <f>F21-O21-N21-M21</f>
        <v>-395.35300000000007</v>
      </c>
      <c r="Q21" s="463">
        <v>-1161.057</v>
      </c>
      <c r="R21" s="463">
        <v>-1197.5119999999999</v>
      </c>
      <c r="S21" s="463">
        <v>-1632.6</v>
      </c>
      <c r="T21" s="196">
        <f>H21-S21-R21-Q21</f>
        <v>-2928.6930000000011</v>
      </c>
      <c r="U21" s="195">
        <v>-2000.317</v>
      </c>
      <c r="V21" s="463">
        <v>-1975.4</v>
      </c>
      <c r="W21" s="463">
        <v>-2604.0369999999998</v>
      </c>
      <c r="X21" s="196">
        <f>J21-W21-V21-U21</f>
        <v>-3368.5610000000006</v>
      </c>
      <c r="Y21" s="463">
        <v>-2979.3040000000001</v>
      </c>
      <c r="Z21" s="463"/>
      <c r="AA21" s="195">
        <v>-1603.4639999999999</v>
      </c>
      <c r="AB21" s="463">
        <v>-1617.2</v>
      </c>
      <c r="AC21" s="463">
        <v>-2176.2130000000002</v>
      </c>
      <c r="AD21" s="518">
        <f>I21-SUM(AA21:AC21)</f>
        <v>-3660.6919999999991</v>
      </c>
      <c r="AE21" s="463">
        <v>-2617.7240000000002</v>
      </c>
      <c r="AG21" s="463">
        <v>-5742.1379999999999</v>
      </c>
      <c r="AH21" s="463">
        <v>-7007.2870000000003</v>
      </c>
    </row>
    <row r="22" spans="2:34" ht="13.5" customHeight="1">
      <c r="B22" s="1" t="s">
        <v>431</v>
      </c>
      <c r="C22" s="195">
        <v>-5201.0339999999997</v>
      </c>
      <c r="D22" s="195">
        <v>-4592.7929999999997</v>
      </c>
      <c r="E22" s="195">
        <v>-6631.018</v>
      </c>
      <c r="F22" s="195">
        <v>-5682.3459999999995</v>
      </c>
      <c r="G22" s="195">
        <v>-8204.1020000000008</v>
      </c>
      <c r="H22" s="195">
        <v>-10948.678</v>
      </c>
      <c r="I22" s="195">
        <v>-14330.98</v>
      </c>
      <c r="J22" s="195">
        <v>-16880.722000000002</v>
      </c>
      <c r="K22" s="196">
        <f>SUM(V22:Y22)</f>
        <v>-18208.615000000002</v>
      </c>
      <c r="L22" s="196"/>
      <c r="M22" s="463">
        <v>-1450.4690000000001</v>
      </c>
      <c r="N22" s="463">
        <v>-1678.04</v>
      </c>
      <c r="O22" s="463">
        <v>-2026.2</v>
      </c>
      <c r="P22" s="196">
        <f>F22-O22-N22-M22</f>
        <v>-527.63699999999972</v>
      </c>
      <c r="Q22" s="463">
        <v>-1757.9110000000001</v>
      </c>
      <c r="R22" s="463">
        <v>-2256.835</v>
      </c>
      <c r="S22" s="463">
        <v>-2539.3000000000002</v>
      </c>
      <c r="T22" s="196">
        <f>H22-S22-R22-Q22</f>
        <v>-4394.6320000000005</v>
      </c>
      <c r="U22" s="195">
        <v>-3214.9470000000001</v>
      </c>
      <c r="V22" s="463">
        <v>-3341.5</v>
      </c>
      <c r="W22" s="463">
        <v>-4082.962</v>
      </c>
      <c r="X22" s="196">
        <f>J22-W22-V22-U22</f>
        <v>-6241.3130000000019</v>
      </c>
      <c r="Y22" s="463">
        <v>-4542.84</v>
      </c>
      <c r="Z22" s="463"/>
      <c r="AA22" s="195">
        <v>-2427.7420000000002</v>
      </c>
      <c r="AB22" s="463">
        <v>-3047.8</v>
      </c>
      <c r="AC22" s="463">
        <v>-3384.7570000000001</v>
      </c>
      <c r="AD22" s="518">
        <f>I22-SUM(AA22:AC22)</f>
        <v>-5470.6809999999987</v>
      </c>
      <c r="AE22" s="463">
        <v>-4207.2550000000001</v>
      </c>
      <c r="AG22" s="463">
        <v>-9428.0030000000006</v>
      </c>
      <c r="AH22" s="463">
        <v>-11339.008</v>
      </c>
    </row>
    <row r="23" spans="2:34" ht="13.5" customHeight="1">
      <c r="B23" s="1" t="s">
        <v>432</v>
      </c>
      <c r="C23" s="195">
        <v>-847.03499999999997</v>
      </c>
      <c r="D23" s="195">
        <v>-621.97799999999995</v>
      </c>
      <c r="E23" s="195">
        <v>-898.00400000000002</v>
      </c>
      <c r="F23" s="195">
        <v>-1008.164</v>
      </c>
      <c r="G23" s="195">
        <v>-1455.575</v>
      </c>
      <c r="H23" s="195">
        <v>-1021.23</v>
      </c>
      <c r="I23" s="195">
        <v>-1336.712</v>
      </c>
      <c r="J23" s="195">
        <v>-1428.7059999999999</v>
      </c>
      <c r="K23" s="196">
        <f>SUM(V23:Y23)</f>
        <v>-1593.8530000000001</v>
      </c>
      <c r="L23" s="196"/>
      <c r="M23" s="463">
        <v>-361.209</v>
      </c>
      <c r="N23" s="463">
        <v>-361.483</v>
      </c>
      <c r="O23" s="463">
        <v>-289.5</v>
      </c>
      <c r="P23" s="196">
        <f>F23-O23-N23-M23</f>
        <v>4.02800000000002</v>
      </c>
      <c r="Q23" s="463">
        <v>-200.93799999999999</v>
      </c>
      <c r="R23" s="463">
        <v>-251.374</v>
      </c>
      <c r="S23" s="463">
        <v>-252.1</v>
      </c>
      <c r="T23" s="196">
        <f>H23-S23-R23-Q23</f>
        <v>-316.81799999999998</v>
      </c>
      <c r="U23" s="195">
        <v>-194.05199999999999</v>
      </c>
      <c r="V23" s="463">
        <v>-308</v>
      </c>
      <c r="W23" s="463">
        <v>-368.09899999999999</v>
      </c>
      <c r="X23" s="196">
        <f>J23-W23-V23-U23</f>
        <v>-558.55499999999995</v>
      </c>
      <c r="Y23" s="463">
        <v>-359.19900000000001</v>
      </c>
      <c r="Z23" s="463"/>
      <c r="AA23" s="195">
        <v>-277.50299999999999</v>
      </c>
      <c r="AB23" s="463">
        <v>-339.5</v>
      </c>
      <c r="AC23" s="463">
        <v>-335.99799999999999</v>
      </c>
      <c r="AD23" s="518">
        <f>I23-SUM(AA23:AC23)</f>
        <v>-383.71100000000001</v>
      </c>
      <c r="AE23" s="463">
        <v>-253.947</v>
      </c>
      <c r="AG23" s="463">
        <v>-1017.2</v>
      </c>
      <c r="AH23" s="463">
        <v>-920.36500000000001</v>
      </c>
    </row>
    <row r="24" spans="2:34" ht="13.5" customHeight="1">
      <c r="B24" s="1" t="s">
        <v>800</v>
      </c>
      <c r="C24" s="195">
        <v>356.404</v>
      </c>
      <c r="D24" s="195">
        <v>348.61099999999999</v>
      </c>
      <c r="E24" s="195">
        <v>503.315</v>
      </c>
      <c r="F24" s="195">
        <v>882.78200000000004</v>
      </c>
      <c r="G24" s="195">
        <v>1274.549</v>
      </c>
      <c r="H24" s="195">
        <v>251.41900000000001</v>
      </c>
      <c r="I24" s="195">
        <v>329.08800000000002</v>
      </c>
      <c r="J24" s="195">
        <v>452.24400000000003</v>
      </c>
      <c r="K24" s="196">
        <f>SUM(V24:Y24)</f>
        <v>576.70900000000006</v>
      </c>
      <c r="L24" s="196"/>
      <c r="M24" s="463">
        <f>104.615</f>
        <v>104.61499999999999</v>
      </c>
      <c r="N24" s="463">
        <f>551.816</f>
        <v>551.81600000000003</v>
      </c>
      <c r="O24" s="463">
        <f>159.651</f>
        <v>159.65100000000001</v>
      </c>
      <c r="P24" s="196">
        <f>F24-O24-N24-M24</f>
        <v>66.70000000000006</v>
      </c>
      <c r="Q24" s="463">
        <f>50.969</f>
        <v>50.969000000000001</v>
      </c>
      <c r="R24" s="463">
        <f>4.783</f>
        <v>4.7830000000000004</v>
      </c>
      <c r="S24" s="463">
        <f>62.881</f>
        <v>62.881</v>
      </c>
      <c r="T24" s="196">
        <f>H24-S24-R24-Q24</f>
        <v>132.78600000000003</v>
      </c>
      <c r="U24" s="195">
        <v>33.003</v>
      </c>
      <c r="V24" s="463">
        <v>23.663</v>
      </c>
      <c r="W24" s="463">
        <v>193.809</v>
      </c>
      <c r="X24" s="196">
        <f>J24-W24-V24-U24</f>
        <v>201.76900000000006</v>
      </c>
      <c r="Y24" s="463">
        <v>157.46799999999999</v>
      </c>
      <c r="Z24" s="463"/>
      <c r="AA24" s="195">
        <v>69.995999999999995</v>
      </c>
      <c r="AB24" s="463">
        <v>6.8840000000000003</v>
      </c>
      <c r="AC24" s="463">
        <v>83.855000000000004</v>
      </c>
      <c r="AD24" s="518">
        <f>I24-SUM(AA24:AC24)</f>
        <v>168.35300000000001</v>
      </c>
      <c r="AE24" s="463">
        <v>43.19</v>
      </c>
      <c r="AG24" s="463">
        <v>170.98400000000001</v>
      </c>
      <c r="AH24" s="463">
        <v>256.85899999999998</v>
      </c>
    </row>
    <row r="25" spans="2:34" ht="13.5" customHeight="1">
      <c r="B25" s="1" t="s">
        <v>801</v>
      </c>
      <c r="C25" s="195">
        <v>-2010.123</v>
      </c>
      <c r="D25" s="195">
        <v>-1406.9760000000001</v>
      </c>
      <c r="E25" s="195">
        <v>-2031.367</v>
      </c>
      <c r="F25" s="195">
        <v>-5648.3339999999998</v>
      </c>
      <c r="G25" s="195">
        <v>-8154.9949999999999</v>
      </c>
      <c r="H25" s="195">
        <v>-2577.904</v>
      </c>
      <c r="I25" s="195">
        <v>-3374.279</v>
      </c>
      <c r="J25" s="195">
        <v>-2227.2779999999998</v>
      </c>
      <c r="K25" s="196">
        <f>SUM(V25:Y25)</f>
        <v>-2329.4840000000004</v>
      </c>
      <c r="L25" s="196"/>
      <c r="M25" s="520">
        <v>-337.40800000000002</v>
      </c>
      <c r="N25" s="520">
        <v>-393.779</v>
      </c>
      <c r="O25" s="520">
        <v>-3075.72</v>
      </c>
      <c r="P25" s="196">
        <f>F25-O25-N25-M25</f>
        <v>-1841.4270000000001</v>
      </c>
      <c r="Q25" s="463">
        <v>-269.35300000000001</v>
      </c>
      <c r="R25" s="463">
        <v>-214.803</v>
      </c>
      <c r="S25" s="463">
        <v>-242.14500000000001</v>
      </c>
      <c r="T25" s="518">
        <f>H25-S25-R25-Q25</f>
        <v>-1851.6030000000001</v>
      </c>
      <c r="U25" s="195">
        <v>-482.65699999999998</v>
      </c>
      <c r="V25" s="463">
        <v>-218.178</v>
      </c>
      <c r="W25" s="463">
        <v>-736.07100000000003</v>
      </c>
      <c r="X25" s="196">
        <f>J25-W25-V25-U25</f>
        <v>-790.37200000000007</v>
      </c>
      <c r="Y25" s="463">
        <v>-584.86300000000006</v>
      </c>
      <c r="Z25" s="463"/>
      <c r="AA25" s="195">
        <v>-371.59</v>
      </c>
      <c r="AB25" s="463">
        <v>-290.512</v>
      </c>
      <c r="AC25" s="463">
        <v>-322.76499999999999</v>
      </c>
      <c r="AD25" s="518">
        <f>I25-SUM(AA25:AC25)</f>
        <v>-2389.4120000000003</v>
      </c>
      <c r="AE25" s="463">
        <v>-631.63099999999997</v>
      </c>
      <c r="AG25" s="463">
        <v>-1058.546</v>
      </c>
      <c r="AH25" s="463">
        <v>-1520.6669999999999</v>
      </c>
    </row>
    <row r="26" spans="2:34" s="5" customFormat="1" ht="13.5" customHeight="1">
      <c r="B26" s="5" t="s">
        <v>434</v>
      </c>
      <c r="C26" s="202">
        <f t="shared" ref="C26:K26" si="6">SUM(C19,C21,C22,C23,C25,C24)</f>
        <v>12101.446000000005</v>
      </c>
      <c r="D26" s="202">
        <f t="shared" si="6"/>
        <v>2953.3700000000013</v>
      </c>
      <c r="E26" s="202">
        <f>SUM(E19,E21,E22,E23,E25,E24)</f>
        <v>4264.0419999999831</v>
      </c>
      <c r="F26" s="202">
        <f t="shared" si="6"/>
        <v>7812.5689999999904</v>
      </c>
      <c r="G26" s="202">
        <f t="shared" si="6"/>
        <v>11279.690000000024</v>
      </c>
      <c r="H26" s="202">
        <f t="shared" si="6"/>
        <v>19912.495000000032</v>
      </c>
      <c r="I26" s="202">
        <f>SUM(I19,I21,I22,I23,I25,I24)</f>
        <v>26063.928000000004</v>
      </c>
      <c r="J26" s="202">
        <f>SUM(J19,J21,J22,J23,J25,J24)</f>
        <v>38313.606</v>
      </c>
      <c r="K26" s="202">
        <f t="shared" si="6"/>
        <v>40561.650999999998</v>
      </c>
      <c r="L26" s="202"/>
      <c r="M26" s="521">
        <f t="shared" ref="M26:U26" si="7">SUM(M19,M21,M22,M23,M25,M24)</f>
        <v>2300.6800000000035</v>
      </c>
      <c r="N26" s="521">
        <f t="shared" si="7"/>
        <v>5117.9749999999958</v>
      </c>
      <c r="O26" s="521">
        <f t="shared" si="7"/>
        <v>2878.6309999999999</v>
      </c>
      <c r="P26" s="466">
        <f t="shared" si="7"/>
        <v>-2484.7170000000074</v>
      </c>
      <c r="Q26" s="466">
        <f t="shared" si="7"/>
        <v>3304.0279999999993</v>
      </c>
      <c r="R26" s="466">
        <f t="shared" si="7"/>
        <v>4471.2059999999974</v>
      </c>
      <c r="S26" s="466">
        <f t="shared" si="7"/>
        <v>6372.6359999999931</v>
      </c>
      <c r="T26" s="466">
        <f t="shared" si="7"/>
        <v>5764.6250000000118</v>
      </c>
      <c r="U26" s="466">
        <f t="shared" si="7"/>
        <v>7763.8790000000026</v>
      </c>
      <c r="V26" s="466">
        <f>SUM(V19,V21,V22,V23,V25,V24)</f>
        <v>8623.4850000000097</v>
      </c>
      <c r="W26" s="466">
        <f>SUM(W19,W21,W22,W23,W25,W24)</f>
        <v>9816.351999999999</v>
      </c>
      <c r="X26" s="466">
        <f>SUM(X19,X21,X22,X23,X25,X24)</f>
        <v>12109.889999999996</v>
      </c>
      <c r="Y26" s="466">
        <f>SUM(Y19,Y21,Y22,Y23,Y25,Y24)</f>
        <v>10011.92399999999</v>
      </c>
      <c r="Z26" s="466"/>
      <c r="AA26" s="466">
        <f>SUM(AA19,AA21,AA22,AA23,AA25,AA24)</f>
        <v>4562.9919999999984</v>
      </c>
      <c r="AB26" s="466">
        <f>SUM(AB19,AB21,AB22,AB23,AB25,AB24)</f>
        <v>6038.2720000000008</v>
      </c>
      <c r="AC26" s="466">
        <f>SUM(AC19,AC21,AC22,AC23,AC25,AC24)</f>
        <v>8494.2680000000018</v>
      </c>
      <c r="AD26" s="466">
        <f>SUM(AD19,AD21,AD22,AD23,AD25,AD24)</f>
        <v>6968.3960000000216</v>
      </c>
      <c r="AE26" s="466">
        <f>SUM(AE19,AE21,AE22,AE23,AE25,AE24)</f>
        <v>10160.235999999997</v>
      </c>
      <c r="AG26" s="466">
        <f>SUM(AG19,AG21,AG22,AG23,AG25,AG24)</f>
        <v>20185.743000000024</v>
      </c>
      <c r="AH26" s="466">
        <f>SUM(AH19,AH21,AH22,AH23,AH25,AH24)</f>
        <v>27934.773999999998</v>
      </c>
    </row>
    <row r="27" spans="2:34" s="5" customFormat="1" ht="13.5" customHeight="1">
      <c r="B27" s="5" t="s">
        <v>435</v>
      </c>
      <c r="C27" s="202">
        <f t="shared" ref="C27:K27" si="8">SUM(C28:C30)</f>
        <v>-4975.5120000000006</v>
      </c>
      <c r="D27" s="202">
        <f t="shared" si="8"/>
        <v>-224.3700000000008</v>
      </c>
      <c r="E27" s="202">
        <f>SUM(E28:E30)</f>
        <v>-323.9469999999983</v>
      </c>
      <c r="F27" s="202">
        <f t="shared" si="8"/>
        <v>-3451.0629999999978</v>
      </c>
      <c r="G27" s="202">
        <f t="shared" si="8"/>
        <v>-4982.6029999999992</v>
      </c>
      <c r="H27" s="202">
        <f t="shared" si="8"/>
        <v>-796.91999999999825</v>
      </c>
      <c r="I27" s="202">
        <f>SUM(I28:I30)</f>
        <v>-1043.1059999999989</v>
      </c>
      <c r="J27" s="202">
        <f>SUM(J28:J30)</f>
        <v>-3624.2070000000003</v>
      </c>
      <c r="K27" s="202">
        <f t="shared" si="8"/>
        <v>-1696.9779999999982</v>
      </c>
      <c r="L27" s="202"/>
      <c r="M27" s="466">
        <f t="shared" ref="M27:U27" si="9">SUM(M28:M30)</f>
        <v>-872.04600000000005</v>
      </c>
      <c r="N27" s="466">
        <f t="shared" si="9"/>
        <v>-5482.3769999999995</v>
      </c>
      <c r="O27" s="466">
        <f t="shared" si="9"/>
        <v>2187.2000000000007</v>
      </c>
      <c r="P27" s="466">
        <f t="shared" si="9"/>
        <v>716.16000000000577</v>
      </c>
      <c r="Q27" s="466">
        <f t="shared" si="9"/>
        <v>160.79199999999946</v>
      </c>
      <c r="R27" s="466">
        <f t="shared" si="9"/>
        <v>-1489.4340000000002</v>
      </c>
      <c r="S27" s="466">
        <f t="shared" si="9"/>
        <v>-345.30000000000018</v>
      </c>
      <c r="T27" s="466">
        <f t="shared" si="9"/>
        <v>877.02200000000175</v>
      </c>
      <c r="U27" s="466">
        <f t="shared" si="9"/>
        <v>-358.07699999999954</v>
      </c>
      <c r="V27" s="466">
        <f>SUM(V28:V30)</f>
        <v>-1341.2999999999997</v>
      </c>
      <c r="W27" s="466">
        <f>SUM(W28:W30)</f>
        <v>-1334.6949999999999</v>
      </c>
      <c r="X27" s="466">
        <f>SUM(X28:X30)</f>
        <v>-590.1350000000009</v>
      </c>
      <c r="Y27" s="466">
        <f>SUM(Y28:Y30)</f>
        <v>1569.152</v>
      </c>
      <c r="Z27" s="466"/>
      <c r="AA27" s="466">
        <f>SUM(AA28:AA30)</f>
        <v>222.0570000000007</v>
      </c>
      <c r="AB27" s="466">
        <f>SUM(AB28:AB30)</f>
        <v>-2011.4999999999998</v>
      </c>
      <c r="AC27" s="466">
        <f>SUM(AC28:AC30)</f>
        <v>-460.14800000000037</v>
      </c>
      <c r="AD27" s="466">
        <f>SUM(AD28:AD30)</f>
        <v>1206.4850000000033</v>
      </c>
      <c r="AE27" s="466">
        <f>SUM(AE28:AE30)</f>
        <v>-468.59999999999991</v>
      </c>
      <c r="AG27" s="466">
        <f>SUM(AG28:AG30)</f>
        <v>-2369.4919999999984</v>
      </c>
      <c r="AH27" s="466">
        <f>SUM(AH28:AH30)</f>
        <v>-3184.6299999999997</v>
      </c>
    </row>
    <row r="28" spans="2:34" ht="13.5" customHeight="1">
      <c r="B28" s="1" t="s">
        <v>436</v>
      </c>
      <c r="C28" s="195">
        <v>11527.995999999999</v>
      </c>
      <c r="D28" s="195">
        <v>3957.6840000000002</v>
      </c>
      <c r="E28" s="195">
        <v>-17252.048999999999</v>
      </c>
      <c r="F28" s="195">
        <v>12663.682000000001</v>
      </c>
      <c r="G28" s="195">
        <v>-28777.024000000001</v>
      </c>
      <c r="H28" s="195">
        <v>-17025.89</v>
      </c>
      <c r="I28" s="195">
        <v>-22285.583999999999</v>
      </c>
      <c r="J28" s="195">
        <v>-22064.023000000001</v>
      </c>
      <c r="K28" s="196">
        <f t="shared" ref="K28:K35" si="10">SUM(V28:Y28)</f>
        <v>-24416.877</v>
      </c>
      <c r="L28" s="196"/>
      <c r="M28" s="463">
        <v>-1885.5260000000001</v>
      </c>
      <c r="N28" s="463">
        <v>-14577.779</v>
      </c>
      <c r="O28" s="463">
        <v>-4405.8999999999996</v>
      </c>
      <c r="P28" s="196">
        <f>F28-O28-N28-M28</f>
        <v>33532.887000000002</v>
      </c>
      <c r="Q28" s="463">
        <v>-7964.1</v>
      </c>
      <c r="R28" s="463">
        <v>-4265.049</v>
      </c>
      <c r="S28" s="463">
        <v>-4654.8</v>
      </c>
      <c r="T28" s="518">
        <f>H28-S28-R28-Q28</f>
        <v>-141.9409999999998</v>
      </c>
      <c r="U28" s="195">
        <v>-5273.0919999999996</v>
      </c>
      <c r="V28" s="463">
        <v>-5058.8999999999996</v>
      </c>
      <c r="W28" s="463">
        <v>-4962.0529999999999</v>
      </c>
      <c r="X28" s="196">
        <f>J28-W28-V28-U28</f>
        <v>-6769.9780000000019</v>
      </c>
      <c r="Y28" s="463">
        <v>-7625.9459999999999</v>
      </c>
      <c r="Z28" s="463"/>
      <c r="AA28" s="195">
        <v>-10998.728999999999</v>
      </c>
      <c r="AB28" s="463">
        <v>-5759.9</v>
      </c>
      <c r="AC28" s="463">
        <v>-6204.5190000000002</v>
      </c>
      <c r="AD28" s="518">
        <f>I28-SUM(AA28:AC28)</f>
        <v>677.56400000000212</v>
      </c>
      <c r="AE28" s="463">
        <v>-6900.6559999999999</v>
      </c>
      <c r="AG28" s="463">
        <v>-19965.958999999999</v>
      </c>
      <c r="AH28" s="463">
        <v>-16409.874</v>
      </c>
    </row>
    <row r="29" spans="2:34" ht="13.5" customHeight="1">
      <c r="B29" s="1" t="s">
        <v>437</v>
      </c>
      <c r="C29" s="195">
        <v>-21308.035</v>
      </c>
      <c r="D29" s="195">
        <v>-11949.156000000001</v>
      </c>
      <c r="E29" s="195">
        <v>5714.0550000000003</v>
      </c>
      <c r="F29" s="195">
        <v>-19931.616999999998</v>
      </c>
      <c r="G29" s="195">
        <v>18283.669000000002</v>
      </c>
      <c r="H29" s="195">
        <v>10378.433000000001</v>
      </c>
      <c r="I29" s="195">
        <v>13584.573</v>
      </c>
      <c r="J29" s="195">
        <v>16841.45</v>
      </c>
      <c r="K29" s="196">
        <f t="shared" si="10"/>
        <v>16615.709000000003</v>
      </c>
      <c r="L29" s="196"/>
      <c r="M29" s="463">
        <v>1456.24</v>
      </c>
      <c r="N29" s="463">
        <v>8369.0750000000007</v>
      </c>
      <c r="O29" s="463">
        <v>3885.3</v>
      </c>
      <c r="P29" s="196">
        <f>F29-O29-N29-M29</f>
        <v>-33642.231999999996</v>
      </c>
      <c r="Q29" s="463">
        <v>5477.2619999999997</v>
      </c>
      <c r="R29" s="463">
        <v>1571.432</v>
      </c>
      <c r="S29" s="463">
        <v>2783.6</v>
      </c>
      <c r="T29" s="518">
        <f>H29-S29-R29-Q29</f>
        <v>546.13900000000103</v>
      </c>
      <c r="U29" s="195">
        <v>3956.1790000000001</v>
      </c>
      <c r="V29" s="463">
        <v>2891.5</v>
      </c>
      <c r="W29" s="463">
        <v>3982.64</v>
      </c>
      <c r="X29" s="196">
        <f>J29-W29-V29-U29</f>
        <v>6011.1310000000012</v>
      </c>
      <c r="Y29" s="463">
        <v>3730.4380000000001</v>
      </c>
      <c r="Z29" s="463"/>
      <c r="AA29" s="195">
        <v>7564.3090000000002</v>
      </c>
      <c r="AB29" s="463">
        <v>2122.1999999999998</v>
      </c>
      <c r="AC29" s="463">
        <v>3710.3809999999999</v>
      </c>
      <c r="AD29" s="518">
        <f>I29-SUM(AA29:AC29)</f>
        <v>187.6830000000009</v>
      </c>
      <c r="AE29" s="463">
        <v>5177.2719999999999</v>
      </c>
      <c r="AG29" s="463">
        <v>9647.2150000000001</v>
      </c>
      <c r="AH29" s="463">
        <v>11599.688</v>
      </c>
    </row>
    <row r="30" spans="2:34" ht="13.5" customHeight="1">
      <c r="B30" s="1" t="s">
        <v>439</v>
      </c>
      <c r="C30" s="194">
        <v>4804.527</v>
      </c>
      <c r="D30" s="194">
        <v>7767.1019999999999</v>
      </c>
      <c r="E30" s="195">
        <v>11214.047</v>
      </c>
      <c r="F30" s="195">
        <v>3816.8719999999998</v>
      </c>
      <c r="G30" s="195">
        <v>5510.7520000000004</v>
      </c>
      <c r="H30" s="195">
        <v>5850.5370000000003</v>
      </c>
      <c r="I30" s="195">
        <v>7657.9049999999997</v>
      </c>
      <c r="J30" s="195">
        <v>1598.366</v>
      </c>
      <c r="K30" s="196">
        <f t="shared" si="10"/>
        <v>6104.19</v>
      </c>
      <c r="L30" s="196"/>
      <c r="M30" s="532">
        <v>-442.76</v>
      </c>
      <c r="N30" s="463">
        <v>726.327</v>
      </c>
      <c r="O30" s="463">
        <v>2707.8</v>
      </c>
      <c r="P30" s="196">
        <f>F30-O30-N30-M30</f>
        <v>825.50499999999965</v>
      </c>
      <c r="Q30" s="467">
        <v>2647.63</v>
      </c>
      <c r="R30" s="463">
        <v>1204.183</v>
      </c>
      <c r="S30" s="463">
        <v>1525.9</v>
      </c>
      <c r="T30" s="518">
        <f>H30-S30-R30-Q30</f>
        <v>472.82400000000052</v>
      </c>
      <c r="U30" s="195">
        <v>958.83600000000001</v>
      </c>
      <c r="V30" s="463">
        <v>826.1</v>
      </c>
      <c r="W30" s="463">
        <v>-355.28199999999998</v>
      </c>
      <c r="X30" s="196">
        <f>J30-W30-V30-U30</f>
        <v>168.71199999999976</v>
      </c>
      <c r="Y30" s="463">
        <v>5464.66</v>
      </c>
      <c r="Z30" s="463"/>
      <c r="AA30" s="195">
        <v>3656.4769999999999</v>
      </c>
      <c r="AB30" s="463">
        <v>1626.2</v>
      </c>
      <c r="AC30" s="463">
        <v>2033.99</v>
      </c>
      <c r="AD30" s="518">
        <f>I30-SUM(AA30:AC30)</f>
        <v>341.23800000000028</v>
      </c>
      <c r="AE30" s="463">
        <v>1254.7840000000001</v>
      </c>
      <c r="AG30" s="463">
        <v>7949.2520000000004</v>
      </c>
      <c r="AH30" s="463">
        <v>1625.556</v>
      </c>
    </row>
    <row r="31" spans="2:34" ht="13.5" customHeight="1">
      <c r="B31" s="1" t="s">
        <v>438</v>
      </c>
      <c r="C31" s="195">
        <v>191.303</v>
      </c>
      <c r="D31" s="195">
        <v>522.221</v>
      </c>
      <c r="E31" s="195">
        <v>753.97699999999998</v>
      </c>
      <c r="F31" s="195">
        <v>1525.175</v>
      </c>
      <c r="G31" s="195">
        <v>2202.029</v>
      </c>
      <c r="H31" s="195">
        <v>-3162.643</v>
      </c>
      <c r="I31" s="195">
        <v>-4139.6570000000002</v>
      </c>
      <c r="J31" s="195">
        <v>-3499.1469999999999</v>
      </c>
      <c r="K31" s="196">
        <f t="shared" si="10"/>
        <v>-2329.6179999999999</v>
      </c>
      <c r="L31" s="196"/>
      <c r="M31" s="532">
        <v>94.024000000000001</v>
      </c>
      <c r="N31" s="467">
        <v>-221.185</v>
      </c>
      <c r="O31" s="467">
        <v>-65.5</v>
      </c>
      <c r="P31" s="196">
        <f>F31-O31-N31-M31</f>
        <v>1717.8359999999998</v>
      </c>
      <c r="Q31" s="467">
        <v>-55.904000000000003</v>
      </c>
      <c r="R31" s="467">
        <v>-761.88300000000004</v>
      </c>
      <c r="S31" s="467">
        <v>-672.3</v>
      </c>
      <c r="T31" s="519">
        <f>H31-S31-R31-Q31</f>
        <v>-1672.5559999999998</v>
      </c>
      <c r="U31" s="195">
        <v>-864.00900000000001</v>
      </c>
      <c r="V31" s="467">
        <v>-1204.2</v>
      </c>
      <c r="W31" s="467">
        <v>-408.45299999999997</v>
      </c>
      <c r="X31" s="196">
        <f>J31-W31-V31-U31</f>
        <v>-1022.4849999999999</v>
      </c>
      <c r="Y31" s="463">
        <v>305.52</v>
      </c>
      <c r="Z31" s="467"/>
      <c r="AA31" s="195">
        <v>-77.206000000000003</v>
      </c>
      <c r="AB31" s="467">
        <v>-1028.9000000000001</v>
      </c>
      <c r="AC31" s="467">
        <v>-896.18700000000001</v>
      </c>
      <c r="AD31" s="518">
        <f>I31-SUM(AA31:AC31)</f>
        <v>-2137.364</v>
      </c>
      <c r="AE31" s="463">
        <v>-1130.6890000000001</v>
      </c>
      <c r="AG31" s="467">
        <v>-2090.2979999999998</v>
      </c>
      <c r="AH31" s="467">
        <v>-2687.6149999999998</v>
      </c>
    </row>
    <row r="32" spans="2:34" s="5" customFormat="1" ht="13.5" customHeight="1">
      <c r="B32" s="5" t="s">
        <v>440</v>
      </c>
      <c r="C32" s="202">
        <f t="shared" ref="C32:K32" si="11">C26+C27+C31</f>
        <v>7317.2370000000046</v>
      </c>
      <c r="D32" s="202">
        <f t="shared" si="11"/>
        <v>3251.2210000000005</v>
      </c>
      <c r="E32" s="202">
        <f>E26+E27+E31</f>
        <v>4694.0719999999847</v>
      </c>
      <c r="F32" s="202">
        <f t="shared" si="11"/>
        <v>5886.6809999999923</v>
      </c>
      <c r="G32" s="202">
        <f t="shared" si="11"/>
        <v>8499.1160000000255</v>
      </c>
      <c r="H32" s="202">
        <f t="shared" si="11"/>
        <v>15952.932000000033</v>
      </c>
      <c r="I32" s="202">
        <f>I26+I27+I31</f>
        <v>20881.165000000005</v>
      </c>
      <c r="J32" s="202">
        <f>J26+J27+J31</f>
        <v>31190.251999999997</v>
      </c>
      <c r="K32" s="202">
        <f t="shared" si="11"/>
        <v>36535.055</v>
      </c>
      <c r="L32" s="202"/>
      <c r="M32" s="466">
        <f t="shared" ref="M32:U32" si="12">M26+M27+M31</f>
        <v>1522.6580000000035</v>
      </c>
      <c r="N32" s="466">
        <f t="shared" si="12"/>
        <v>-585.58700000000363</v>
      </c>
      <c r="O32" s="466">
        <f t="shared" si="12"/>
        <v>5000.3310000000001</v>
      </c>
      <c r="P32" s="466">
        <f t="shared" si="12"/>
        <v>-50.721000000001823</v>
      </c>
      <c r="Q32" s="466">
        <f t="shared" si="12"/>
        <v>3408.9159999999988</v>
      </c>
      <c r="R32" s="466">
        <f t="shared" si="12"/>
        <v>2219.8889999999974</v>
      </c>
      <c r="S32" s="466">
        <f t="shared" si="12"/>
        <v>5355.0359999999928</v>
      </c>
      <c r="T32" s="466">
        <f t="shared" si="12"/>
        <v>4969.091000000014</v>
      </c>
      <c r="U32" s="466">
        <f t="shared" si="12"/>
        <v>6541.7930000000033</v>
      </c>
      <c r="V32" s="466">
        <f>V26+V27+V31</f>
        <v>6077.9850000000106</v>
      </c>
      <c r="W32" s="466">
        <f>W26+W27+W31</f>
        <v>8073.2039999999997</v>
      </c>
      <c r="X32" s="466">
        <f>X26+X27+X31</f>
        <v>10497.269999999995</v>
      </c>
      <c r="Y32" s="466">
        <f>Y26+Y27+Y31</f>
        <v>11886.59599999999</v>
      </c>
      <c r="Z32" s="466"/>
      <c r="AA32" s="466">
        <f>AA26+AA27+AA31</f>
        <v>4707.8429999999989</v>
      </c>
      <c r="AB32" s="466">
        <f>AB26+AB27+AB31</f>
        <v>2997.8720000000008</v>
      </c>
      <c r="AC32" s="466">
        <f>AC26+AC27+AC31</f>
        <v>7137.9330000000018</v>
      </c>
      <c r="AD32" s="466">
        <f>AD26+AD27+AD31</f>
        <v>6037.5170000000253</v>
      </c>
      <c r="AE32" s="466">
        <f>AE26+AE27+AE31</f>
        <v>8560.9469999999965</v>
      </c>
      <c r="AG32" s="466">
        <f>AG26+AG27+AG31</f>
        <v>15725.953000000027</v>
      </c>
      <c r="AH32" s="466">
        <f>AH26+AH27+AH31</f>
        <v>22062.528999999995</v>
      </c>
    </row>
    <row r="33" spans="2:34" ht="13.5" customHeight="1">
      <c r="B33" s="1" t="s">
        <v>441</v>
      </c>
      <c r="C33" s="195">
        <v>-900.33900000000006</v>
      </c>
      <c r="D33" s="195">
        <v>2785.2649999999999</v>
      </c>
      <c r="E33" s="195">
        <v>4021.3319999999999</v>
      </c>
      <c r="F33" s="195">
        <v>4675.8909999999996</v>
      </c>
      <c r="G33" s="195">
        <v>6750.9939999999997</v>
      </c>
      <c r="H33" s="195">
        <v>-4866.0330000000004</v>
      </c>
      <c r="I33" s="195">
        <v>-6369.2640000000001</v>
      </c>
      <c r="J33" s="195">
        <v>-13398.842000000001</v>
      </c>
      <c r="K33" s="196">
        <f t="shared" si="10"/>
        <v>-17191.34</v>
      </c>
      <c r="L33" s="196"/>
      <c r="M33" s="463">
        <v>-2319.1469999999999</v>
      </c>
      <c r="N33" s="463">
        <v>-935.149</v>
      </c>
      <c r="O33" s="463">
        <v>-9763.5</v>
      </c>
      <c r="P33" s="196">
        <f>F33-O33-N33-M33</f>
        <v>17693.686999999998</v>
      </c>
      <c r="Q33" s="463">
        <v>-1320.431</v>
      </c>
      <c r="R33" s="463">
        <v>155.06700000000001</v>
      </c>
      <c r="S33" s="463">
        <v>-2289.6999999999998</v>
      </c>
      <c r="T33" s="518">
        <f>H33-S33-R33-Q33</f>
        <v>-1410.9690000000005</v>
      </c>
      <c r="U33" s="195">
        <v>-3459.683</v>
      </c>
      <c r="V33" s="463">
        <v>-1690.1</v>
      </c>
      <c r="W33" s="463">
        <v>-2689.7660000000001</v>
      </c>
      <c r="X33" s="196">
        <f>J33-W33-V33-U33</f>
        <v>-5559.2930000000006</v>
      </c>
      <c r="Y33" s="463">
        <v>-7252.1809999999996</v>
      </c>
      <c r="Z33" s="463"/>
      <c r="AA33" s="195">
        <v>-1823.566</v>
      </c>
      <c r="AB33" s="463">
        <v>209.4</v>
      </c>
      <c r="AC33" s="463">
        <v>-3052.0929999999998</v>
      </c>
      <c r="AD33" s="518">
        <f>I33-SUM(AA33:AC33)</f>
        <v>-1703.0050000000001</v>
      </c>
      <c r="AE33" s="463">
        <v>-4527.53</v>
      </c>
      <c r="AG33" s="463">
        <v>-4905.1319999999996</v>
      </c>
      <c r="AH33" s="463">
        <v>-8449.4609999999993</v>
      </c>
    </row>
    <row r="34" spans="2:34" s="5" customFormat="1" ht="13.5" customHeight="1">
      <c r="B34" s="5" t="s">
        <v>442</v>
      </c>
      <c r="C34" s="202">
        <f t="shared" ref="C34:K34" si="13">C32+C33</f>
        <v>6416.8980000000047</v>
      </c>
      <c r="D34" s="202">
        <f t="shared" si="13"/>
        <v>6036.4860000000008</v>
      </c>
      <c r="E34" s="202">
        <f>E32+E33</f>
        <v>8715.4039999999841</v>
      </c>
      <c r="F34" s="202">
        <f t="shared" si="13"/>
        <v>10562.571999999993</v>
      </c>
      <c r="G34" s="202">
        <f t="shared" si="13"/>
        <v>15250.110000000026</v>
      </c>
      <c r="H34" s="202">
        <f t="shared" si="13"/>
        <v>11086.899000000034</v>
      </c>
      <c r="I34" s="202">
        <f>I32+I33</f>
        <v>14511.901000000005</v>
      </c>
      <c r="J34" s="202">
        <f>J32+J33</f>
        <v>17791.409999999996</v>
      </c>
      <c r="K34" s="202">
        <f t="shared" si="13"/>
        <v>19343.715</v>
      </c>
      <c r="L34" s="202"/>
      <c r="M34" s="466">
        <f t="shared" ref="M34:U34" si="14">M32+M33</f>
        <v>-796.48899999999639</v>
      </c>
      <c r="N34" s="466">
        <f t="shared" si="14"/>
        <v>-1520.7360000000035</v>
      </c>
      <c r="O34" s="466">
        <f t="shared" si="14"/>
        <v>-4763.1689999999999</v>
      </c>
      <c r="P34" s="466">
        <f t="shared" si="14"/>
        <v>17642.965999999997</v>
      </c>
      <c r="Q34" s="466">
        <f t="shared" si="14"/>
        <v>2088.4849999999988</v>
      </c>
      <c r="R34" s="466">
        <f t="shared" si="14"/>
        <v>2374.9559999999974</v>
      </c>
      <c r="S34" s="466">
        <f t="shared" si="14"/>
        <v>3065.335999999993</v>
      </c>
      <c r="T34" s="466">
        <f t="shared" si="14"/>
        <v>3558.1220000000135</v>
      </c>
      <c r="U34" s="466">
        <f t="shared" si="14"/>
        <v>3082.1100000000033</v>
      </c>
      <c r="V34" s="466">
        <f>V32+V33</f>
        <v>4387.8850000000111</v>
      </c>
      <c r="W34" s="466">
        <f>W32+W33</f>
        <v>5383.4380000000001</v>
      </c>
      <c r="X34" s="466">
        <f>X32+X33</f>
        <v>4937.9769999999944</v>
      </c>
      <c r="Y34" s="466">
        <f>Y32+Y33</f>
        <v>4634.4149999999909</v>
      </c>
      <c r="Z34" s="466"/>
      <c r="AA34" s="466">
        <f>AA32+AA33</f>
        <v>2884.2769999999991</v>
      </c>
      <c r="AB34" s="466">
        <f>AB32+AB33</f>
        <v>3207.2720000000008</v>
      </c>
      <c r="AC34" s="466">
        <f>AC32+AC33</f>
        <v>4085.840000000002</v>
      </c>
      <c r="AD34" s="466">
        <f>AD32+AD33</f>
        <v>4334.5120000000252</v>
      </c>
      <c r="AE34" s="466">
        <f>AE32+AE33</f>
        <v>4033.4169999999967</v>
      </c>
      <c r="AG34" s="466">
        <f>AG32+AG33</f>
        <v>10820.821000000027</v>
      </c>
      <c r="AH34" s="466">
        <f>AH32+AH33</f>
        <v>13613.067999999996</v>
      </c>
    </row>
    <row r="35" spans="2:34" ht="13.5" customHeight="1">
      <c r="B35" s="1" t="s">
        <v>443</v>
      </c>
      <c r="C35" s="230">
        <v>718.72699999999998</v>
      </c>
      <c r="D35" s="230">
        <v>842.37</v>
      </c>
      <c r="E35" s="230">
        <v>1216.203</v>
      </c>
      <c r="F35" s="230">
        <v>1969.674</v>
      </c>
      <c r="G35" s="230">
        <v>2843.7930000000001</v>
      </c>
      <c r="H35" s="230">
        <v>12427.963</v>
      </c>
      <c r="I35" s="230">
        <v>16267.25</v>
      </c>
      <c r="J35" s="230">
        <v>-187.40299999999999</v>
      </c>
      <c r="K35" s="196">
        <f t="shared" si="10"/>
        <v>-187.40299999999999</v>
      </c>
      <c r="L35" s="196"/>
      <c r="M35" s="463">
        <v>526.82899999999995</v>
      </c>
      <c r="N35" s="463">
        <v>698.78899999999999</v>
      </c>
      <c r="O35" s="463">
        <v>265.8</v>
      </c>
      <c r="P35" s="196">
        <f>F35-O35-N35-M35</f>
        <v>478.25600000000009</v>
      </c>
      <c r="Q35" s="463">
        <v>540.63900000000001</v>
      </c>
      <c r="R35" s="463">
        <v>528.05899999999997</v>
      </c>
      <c r="S35" s="463">
        <v>11214.4</v>
      </c>
      <c r="T35" s="518">
        <f>H35-S35-R35-Q35</f>
        <v>144.86500000000012</v>
      </c>
      <c r="U35" s="230">
        <v>0</v>
      </c>
      <c r="V35" s="463">
        <v>-187.4</v>
      </c>
      <c r="W35" s="463">
        <v>14.063000000000001</v>
      </c>
      <c r="X35" s="196">
        <f>J35-W35-V35-U35</f>
        <v>-14.065999999999974</v>
      </c>
      <c r="Y35" s="463">
        <v>0</v>
      </c>
      <c r="Z35" s="463"/>
      <c r="AA35" s="463">
        <v>746.64400000000001</v>
      </c>
      <c r="AB35" s="463">
        <v>713.2</v>
      </c>
      <c r="AC35" s="463">
        <v>14948.154</v>
      </c>
      <c r="AD35" s="518">
        <f>I35-SUM(AA35:AC35)</f>
        <v>-140.74799999999959</v>
      </c>
      <c r="AE35" s="463">
        <v>0</v>
      </c>
      <c r="AG35" s="463">
        <v>16565.728999999999</v>
      </c>
      <c r="AH35" s="463">
        <v>-187.40299999999999</v>
      </c>
    </row>
    <row r="36" spans="2:34" ht="12.75" hidden="1">
      <c r="B36" s="531" t="s">
        <v>444</v>
      </c>
      <c r="C36" s="520">
        <v>0</v>
      </c>
      <c r="D36" s="520">
        <v>0</v>
      </c>
      <c r="E36" s="520">
        <v>0</v>
      </c>
      <c r="F36" s="463">
        <v>0</v>
      </c>
      <c r="G36" s="463">
        <v>0</v>
      </c>
      <c r="H36" s="463">
        <v>0</v>
      </c>
      <c r="I36" s="463">
        <v>0</v>
      </c>
      <c r="J36" s="463">
        <v>0</v>
      </c>
      <c r="K36" s="196">
        <f>SUM(S36:V36)</f>
        <v>0</v>
      </c>
      <c r="L36" s="196"/>
      <c r="M36" s="463">
        <v>0</v>
      </c>
      <c r="N36" s="463">
        <v>0</v>
      </c>
      <c r="O36" s="463">
        <v>0</v>
      </c>
      <c r="P36" s="518">
        <f>D36-O36-N36-M36</f>
        <v>0</v>
      </c>
      <c r="Q36" s="463">
        <v>0</v>
      </c>
      <c r="R36" s="463">
        <v>0</v>
      </c>
      <c r="S36" s="463">
        <v>0</v>
      </c>
      <c r="T36" s="518">
        <f>H36-S36-R36-Q36</f>
        <v>0</v>
      </c>
      <c r="U36" s="195">
        <v>0</v>
      </c>
      <c r="V36" s="463">
        <v>0</v>
      </c>
      <c r="W36" s="463">
        <v>0</v>
      </c>
      <c r="X36" s="518">
        <f>L36-W36-V36-U36</f>
        <v>0</v>
      </c>
      <c r="Y36" s="463">
        <v>0</v>
      </c>
      <c r="Z36" s="463"/>
      <c r="AA36" s="195">
        <v>0</v>
      </c>
      <c r="AB36" s="463">
        <v>0</v>
      </c>
      <c r="AC36" s="463">
        <v>0</v>
      </c>
      <c r="AD36" s="463">
        <v>0</v>
      </c>
      <c r="AE36" s="463">
        <v>0</v>
      </c>
      <c r="AG36" s="463">
        <v>0</v>
      </c>
      <c r="AH36" s="463">
        <v>0</v>
      </c>
    </row>
    <row r="37" spans="2:34" s="5" customFormat="1" ht="13.5" customHeight="1">
      <c r="B37" s="5" t="s">
        <v>445</v>
      </c>
      <c r="C37" s="8">
        <f t="shared" ref="C37:K37" si="15">C34+C35+C36</f>
        <v>7135.6250000000045</v>
      </c>
      <c r="D37" s="8">
        <f t="shared" si="15"/>
        <v>6878.8560000000007</v>
      </c>
      <c r="E37" s="8">
        <f t="shared" si="15"/>
        <v>9931.6069999999836</v>
      </c>
      <c r="F37" s="8">
        <f t="shared" si="15"/>
        <v>12532.245999999992</v>
      </c>
      <c r="G37" s="8">
        <f t="shared" si="15"/>
        <v>18093.903000000028</v>
      </c>
      <c r="H37" s="8">
        <f t="shared" si="15"/>
        <v>23514.862000000034</v>
      </c>
      <c r="I37" s="8">
        <f t="shared" si="15"/>
        <v>30779.151000000005</v>
      </c>
      <c r="J37" s="8">
        <f t="shared" si="15"/>
        <v>17604.006999999998</v>
      </c>
      <c r="K37" s="8">
        <f t="shared" si="15"/>
        <v>19156.312000000002</v>
      </c>
      <c r="L37" s="8"/>
      <c r="M37" s="8">
        <f t="shared" ref="M37:Y37" si="16">M34+M35+M36</f>
        <v>-269.65999999999644</v>
      </c>
      <c r="N37" s="8">
        <f t="shared" si="16"/>
        <v>-821.94700000000353</v>
      </c>
      <c r="O37" s="8">
        <f t="shared" si="16"/>
        <v>-4497.3689999999997</v>
      </c>
      <c r="P37" s="8">
        <f t="shared" si="16"/>
        <v>18121.221999999998</v>
      </c>
      <c r="Q37" s="8">
        <f t="shared" si="16"/>
        <v>2629.1239999999989</v>
      </c>
      <c r="R37" s="8">
        <f t="shared" si="16"/>
        <v>2903.0149999999976</v>
      </c>
      <c r="S37" s="8">
        <f t="shared" si="16"/>
        <v>14279.735999999994</v>
      </c>
      <c r="T37" s="8">
        <f t="shared" si="16"/>
        <v>3702.9870000000137</v>
      </c>
      <c r="U37" s="8">
        <f t="shared" si="16"/>
        <v>3082.1100000000033</v>
      </c>
      <c r="V37" s="8">
        <f t="shared" si="16"/>
        <v>4200.4850000000115</v>
      </c>
      <c r="W37" s="8">
        <f t="shared" si="16"/>
        <v>5397.5010000000002</v>
      </c>
      <c r="X37" s="8">
        <f t="shared" si="16"/>
        <v>4923.9109999999946</v>
      </c>
      <c r="Y37" s="8">
        <f t="shared" si="16"/>
        <v>4634.4149999999909</v>
      </c>
      <c r="Z37" s="8"/>
      <c r="AA37" s="8">
        <f>AA34+AA35+AA36</f>
        <v>3630.9209999999994</v>
      </c>
      <c r="AB37" s="8">
        <f>AB34+AB35+AB36</f>
        <v>3920.4720000000007</v>
      </c>
      <c r="AC37" s="8">
        <f>AC34+AC35+AC36</f>
        <v>19033.994000000002</v>
      </c>
      <c r="AD37" s="8">
        <f>AD34+AD35+AD36</f>
        <v>4193.7640000000256</v>
      </c>
      <c r="AE37" s="8">
        <f>AE34+AE35+AE36</f>
        <v>4033.4169999999967</v>
      </c>
      <c r="AG37" s="8">
        <f>AG34+AG35+AG36</f>
        <v>27386.550000000025</v>
      </c>
      <c r="AH37" s="8">
        <f>AH34+AH35+AH36</f>
        <v>13425.664999999995</v>
      </c>
    </row>
    <row r="38" spans="2:34" s="5" customFormat="1" ht="13.5" customHeight="1">
      <c r="B38" s="1" t="s">
        <v>444</v>
      </c>
      <c r="C38" s="195">
        <v>-0.189</v>
      </c>
      <c r="D38" s="195">
        <v>1.58</v>
      </c>
      <c r="E38" s="195">
        <v>2.2810000000000001</v>
      </c>
      <c r="F38" s="195">
        <v>21.75</v>
      </c>
      <c r="G38" s="195">
        <v>31.402000000000001</v>
      </c>
      <c r="H38" s="195">
        <v>8.5630000000000006</v>
      </c>
      <c r="I38" s="463">
        <v>-1.208</v>
      </c>
      <c r="J38" s="195">
        <v>0</v>
      </c>
      <c r="K38" s="196">
        <f>SUM(V38:Y38)</f>
        <v>0</v>
      </c>
      <c r="L38" s="8"/>
      <c r="M38" s="463">
        <v>0.28299999999999997</v>
      </c>
      <c r="N38" s="463">
        <v>1.5840000000000001</v>
      </c>
      <c r="O38" s="463">
        <v>2.2799999999999998</v>
      </c>
      <c r="P38" s="196">
        <f>F38-O38-N38-M38</f>
        <v>17.602999999999998</v>
      </c>
      <c r="Q38" s="463">
        <v>5.4379999999999997</v>
      </c>
      <c r="R38" s="463">
        <v>1.32</v>
      </c>
      <c r="S38" s="463">
        <v>0.7</v>
      </c>
      <c r="T38" s="522">
        <f>H38-S38-R38-Q38</f>
        <v>1.1050000000000004</v>
      </c>
      <c r="U38" s="195">
        <v>0</v>
      </c>
      <c r="V38" s="463">
        <v>0</v>
      </c>
      <c r="W38" s="463">
        <v>0</v>
      </c>
      <c r="X38" s="196">
        <f>J38-W38-V38-U38</f>
        <v>0</v>
      </c>
      <c r="Y38" s="463">
        <v>0</v>
      </c>
      <c r="Z38" s="463"/>
      <c r="AA38" s="463">
        <v>7.51</v>
      </c>
      <c r="AB38" s="463">
        <v>-1.8</v>
      </c>
      <c r="AC38" s="657"/>
      <c r="AD38" s="657"/>
      <c r="AE38" s="657"/>
      <c r="AG38" s="463">
        <v>0</v>
      </c>
      <c r="AH38" s="463">
        <v>0</v>
      </c>
    </row>
    <row r="39" spans="2:34" s="29" customFormat="1" ht="13.5" customHeight="1">
      <c r="B39" s="72"/>
      <c r="C39" s="73"/>
      <c r="D39" s="73"/>
      <c r="E39" s="73"/>
      <c r="F39" s="73"/>
      <c r="G39" s="73"/>
      <c r="H39" s="73"/>
      <c r="I39" s="73"/>
      <c r="J39" s="73"/>
      <c r="K39" s="73"/>
      <c r="L39" s="315"/>
      <c r="M39" s="468"/>
      <c r="N39" s="468"/>
      <c r="O39" s="468"/>
      <c r="P39" s="468"/>
      <c r="Q39" s="468"/>
      <c r="R39" s="468"/>
      <c r="S39" s="468"/>
      <c r="T39" s="468"/>
      <c r="U39" s="73"/>
      <c r="V39" s="468"/>
      <c r="W39" s="468"/>
      <c r="X39" s="468"/>
      <c r="Y39" s="468"/>
      <c r="Z39" s="468"/>
      <c r="AB39" s="468"/>
      <c r="AC39" s="468"/>
      <c r="AD39" s="468"/>
      <c r="AE39" s="468"/>
      <c r="AG39" s="468"/>
      <c r="AH39" s="468"/>
    </row>
    <row r="40" spans="2:34" s="5" customFormat="1" ht="13.5" customHeight="1">
      <c r="B40" s="5" t="s">
        <v>446</v>
      </c>
      <c r="C40" s="203">
        <v>3.27</v>
      </c>
      <c r="D40" s="203">
        <v>3.15</v>
      </c>
      <c r="E40" s="203">
        <v>4.55</v>
      </c>
      <c r="F40" s="203">
        <v>5.75</v>
      </c>
      <c r="G40" s="203">
        <v>8.31</v>
      </c>
      <c r="H40" s="203">
        <v>10.79</v>
      </c>
      <c r="I40" s="658"/>
      <c r="J40" s="658"/>
      <c r="K40" s="658"/>
      <c r="L40" s="418"/>
      <c r="M40" s="204">
        <v>-0.12</v>
      </c>
      <c r="N40" s="204">
        <v>-0.38</v>
      </c>
      <c r="O40" s="204">
        <v>-2.06</v>
      </c>
      <c r="P40" s="657"/>
      <c r="Q40" s="204">
        <v>1.21</v>
      </c>
      <c r="R40" s="204">
        <v>1.33</v>
      </c>
      <c r="S40" s="204">
        <v>6.55</v>
      </c>
      <c r="T40" s="657"/>
      <c r="U40" s="203">
        <v>1.41</v>
      </c>
      <c r="V40" s="204">
        <v>1.93</v>
      </c>
      <c r="W40" s="657"/>
      <c r="X40" s="657"/>
      <c r="Y40" s="204">
        <v>2.13</v>
      </c>
      <c r="Z40" s="204"/>
      <c r="AA40" s="203">
        <v>1.67</v>
      </c>
      <c r="AB40" s="204">
        <v>1.8</v>
      </c>
      <c r="AC40" s="657"/>
      <c r="AD40" s="657"/>
      <c r="AE40" s="204">
        <v>1.85</v>
      </c>
      <c r="AG40" s="657"/>
      <c r="AH40" s="657"/>
    </row>
    <row r="41" spans="2:34" s="5" customFormat="1" ht="13.5" customHeight="1">
      <c r="B41" s="5" t="s">
        <v>802</v>
      </c>
      <c r="C41" s="203">
        <v>2.94</v>
      </c>
      <c r="D41" s="203">
        <v>2.77</v>
      </c>
      <c r="E41" s="203">
        <v>3.99</v>
      </c>
      <c r="F41" s="203">
        <v>4.8499999999999996</v>
      </c>
      <c r="G41" s="203">
        <v>7</v>
      </c>
      <c r="H41" s="203">
        <v>5.09</v>
      </c>
      <c r="I41" s="286"/>
      <c r="J41" s="286"/>
      <c r="K41" s="286"/>
      <c r="L41" s="4"/>
      <c r="M41" s="204">
        <v>-0.36</v>
      </c>
      <c r="N41" s="204">
        <v>-0.7</v>
      </c>
      <c r="O41" s="204">
        <v>-2.1800000000000002</v>
      </c>
      <c r="P41" s="657"/>
      <c r="Q41" s="204">
        <v>0.96</v>
      </c>
      <c r="R41" s="204">
        <v>1.0900000000000001</v>
      </c>
      <c r="S41" s="204">
        <v>1.41</v>
      </c>
      <c r="T41" s="657"/>
      <c r="U41" s="203">
        <v>1.41</v>
      </c>
      <c r="V41" s="204">
        <v>2.0099999999999998</v>
      </c>
      <c r="W41" s="657"/>
      <c r="X41" s="657"/>
      <c r="Y41" s="204">
        <v>2.13</v>
      </c>
      <c r="Z41" s="204"/>
      <c r="AA41" s="203">
        <v>1.33</v>
      </c>
      <c r="AB41" s="204">
        <v>1.47</v>
      </c>
      <c r="AC41" s="657"/>
      <c r="AD41" s="657"/>
      <c r="AE41" s="204">
        <v>1.85</v>
      </c>
      <c r="AG41" s="657"/>
      <c r="AH41" s="657"/>
    </row>
    <row r="42" spans="2:34" s="5" customFormat="1" ht="13.5" customHeight="1">
      <c r="B42" s="5" t="s">
        <v>803</v>
      </c>
      <c r="C42" s="286"/>
      <c r="D42" s="286"/>
      <c r="E42" s="203">
        <v>0.56000000000000005</v>
      </c>
      <c r="F42" s="286"/>
      <c r="G42" s="203">
        <v>1.3</v>
      </c>
      <c r="H42" s="203">
        <v>5.7</v>
      </c>
      <c r="I42" s="286"/>
      <c r="J42" s="286"/>
      <c r="K42" s="286"/>
      <c r="L42" s="4"/>
    </row>
    <row r="43" spans="2:34" s="5" customFormat="1" ht="13.5" customHeight="1">
      <c r="C43" s="4"/>
      <c r="D43" s="4"/>
      <c r="E43" s="4"/>
      <c r="F43" s="4"/>
      <c r="G43" s="4"/>
      <c r="H43" s="4"/>
      <c r="I43" s="4"/>
      <c r="J43" s="4"/>
      <c r="K43" s="4"/>
      <c r="L43" s="4"/>
      <c r="M43" s="4"/>
      <c r="N43" s="4"/>
      <c r="O43" s="4"/>
      <c r="P43" s="4"/>
      <c r="Q43" s="4"/>
      <c r="R43" s="4"/>
      <c r="S43" s="4"/>
      <c r="T43" s="4"/>
      <c r="V43" s="4"/>
      <c r="W43" s="4"/>
      <c r="X43" s="4"/>
      <c r="Y43" s="4"/>
      <c r="Z43" s="4"/>
      <c r="AB43" s="4"/>
      <c r="AC43" s="4"/>
      <c r="AD43" s="4"/>
      <c r="AE43" s="4"/>
      <c r="AG43" s="4"/>
      <c r="AH43" s="4"/>
    </row>
    <row r="44" spans="2:34" s="5" customFormat="1" ht="13.5" customHeight="1">
      <c r="B44" s="710" t="s">
        <v>447</v>
      </c>
      <c r="C44" s="711"/>
      <c r="D44" s="711"/>
      <c r="E44" s="711"/>
      <c r="F44" s="711"/>
      <c r="G44" s="711"/>
      <c r="H44" s="711"/>
      <c r="I44" s="711"/>
      <c r="J44" s="711"/>
      <c r="K44" s="711"/>
      <c r="L44" s="4"/>
      <c r="M44" s="711"/>
      <c r="N44" s="711"/>
      <c r="O44" s="711"/>
      <c r="P44" s="711"/>
      <c r="Q44" s="711"/>
      <c r="R44" s="711"/>
      <c r="S44" s="711"/>
      <c r="T44" s="711"/>
      <c r="U44" s="570"/>
      <c r="V44" s="711"/>
      <c r="W44" s="711"/>
      <c r="X44" s="711"/>
      <c r="Y44" s="711"/>
      <c r="Z44" s="4"/>
      <c r="AA44" s="570"/>
      <c r="AB44" s="711"/>
      <c r="AC44" s="711"/>
      <c r="AD44" s="711"/>
      <c r="AE44" s="711"/>
      <c r="AG44" s="711"/>
      <c r="AH44" s="711"/>
    </row>
    <row r="45" spans="2:34" s="5" customFormat="1" ht="13.5" customHeight="1">
      <c r="B45" s="768" t="str">
        <f>B17</f>
        <v>Total cost of revenues</v>
      </c>
      <c r="C45" s="712">
        <f t="shared" ref="C45:K45" si="17">-C17/C$15</f>
        <v>0.79317080450097976</v>
      </c>
      <c r="D45" s="712">
        <f t="shared" si="17"/>
        <v>0.87371574178467848</v>
      </c>
      <c r="E45" s="712">
        <f t="shared" si="17"/>
        <v>0.87371574053859802</v>
      </c>
      <c r="F45" s="712">
        <f t="shared" si="17"/>
        <v>0.7880978564359612</v>
      </c>
      <c r="G45" s="712">
        <f t="shared" si="17"/>
        <v>0.78809785499774643</v>
      </c>
      <c r="H45" s="712">
        <f t="shared" si="17"/>
        <v>0.75323445484012463</v>
      </c>
      <c r="I45" s="712">
        <f t="shared" si="17"/>
        <v>0.75323444904183412</v>
      </c>
      <c r="J45" s="712">
        <f t="shared" si="17"/>
        <v>0.71695800462781378</v>
      </c>
      <c r="K45" s="712">
        <f t="shared" si="17"/>
        <v>0.72108308138859301</v>
      </c>
      <c r="L45" s="57"/>
      <c r="M45" s="713">
        <f t="shared" ref="M45:X45" si="18">-M17/M$15</f>
        <v>0.80916085164567098</v>
      </c>
      <c r="N45" s="713">
        <f t="shared" si="18"/>
        <v>0.77444571923444971</v>
      </c>
      <c r="O45" s="713">
        <f t="shared" si="18"/>
        <v>0.75187615888225889</v>
      </c>
      <c r="P45" s="713">
        <f t="shared" si="18"/>
        <v>0.96983705351955762</v>
      </c>
      <c r="Q45" s="713">
        <f t="shared" si="18"/>
        <v>0.78449659263312121</v>
      </c>
      <c r="R45" s="713">
        <f t="shared" si="18"/>
        <v>0.75977905490977971</v>
      </c>
      <c r="S45" s="713">
        <f t="shared" si="18"/>
        <v>0.72677327651015411</v>
      </c>
      <c r="T45" s="713">
        <f t="shared" si="18"/>
        <v>0.75111010752242924</v>
      </c>
      <c r="U45" s="713">
        <f t="shared" si="18"/>
        <v>0.71596958733007243</v>
      </c>
      <c r="V45" s="713">
        <f t="shared" si="18"/>
        <v>0.72760552223605279</v>
      </c>
      <c r="W45" s="713">
        <f t="shared" si="18"/>
        <v>0.70750697101158688</v>
      </c>
      <c r="X45" s="713">
        <f t="shared" si="18"/>
        <v>0.71752039902013454</v>
      </c>
      <c r="Y45" s="713">
        <f>-Y17/Y$15</f>
        <v>0.73206381213788985</v>
      </c>
      <c r="Z45" s="4"/>
      <c r="AA45" s="713">
        <f t="shared" ref="AA45:AD46" si="19">-AA17/AA$15</f>
        <v>0.7844966019662778</v>
      </c>
      <c r="AB45" s="713">
        <f t="shared" si="19"/>
        <v>0.75977993684000666</v>
      </c>
      <c r="AC45" s="713">
        <f t="shared" si="19"/>
        <v>0.72677442876956244</v>
      </c>
      <c r="AD45" s="713">
        <f t="shared" si="19"/>
        <v>0.75026341483683079</v>
      </c>
      <c r="AE45" s="713">
        <f>-AE17/AE$15</f>
        <v>0.71596958946065037</v>
      </c>
      <c r="AG45" s="713">
        <f>-AG17/AG$15</f>
        <v>0.75605897972605707</v>
      </c>
      <c r="AH45" s="713">
        <f>-AH17/AH$15</f>
        <v>0.71690117041461499</v>
      </c>
    </row>
    <row r="46" spans="2:34" s="5" customFormat="1" ht="13.5" customHeight="1">
      <c r="B46" s="768" t="str">
        <f>B18</f>
        <v>Depreciation and amortization</v>
      </c>
      <c r="C46" s="712">
        <f t="shared" ref="C46:K46" si="20">-C18/C$15</f>
        <v>0.28718340918318297</v>
      </c>
      <c r="D46" s="712">
        <f t="shared" si="20"/>
        <v>0.3486693304424881</v>
      </c>
      <c r="E46" s="712">
        <f t="shared" si="20"/>
        <v>0.34866934292701962</v>
      </c>
      <c r="F46" s="712">
        <f t="shared" si="20"/>
        <v>0.29219667683456685</v>
      </c>
      <c r="G46" s="712">
        <f t="shared" si="20"/>
        <v>0.292196672175148</v>
      </c>
      <c r="H46" s="712">
        <f t="shared" si="20"/>
        <v>0.28537013712805515</v>
      </c>
      <c r="I46" s="712">
        <f t="shared" si="20"/>
        <v>0.28537014777638231</v>
      </c>
      <c r="J46" s="712">
        <f t="shared" si="20"/>
        <v>0.26474559011003651</v>
      </c>
      <c r="K46" s="712">
        <f t="shared" si="20"/>
        <v>0.26363948814980293</v>
      </c>
      <c r="L46" s="57"/>
      <c r="M46" s="713">
        <f t="shared" ref="M46:X46" si="21">-M18/M$15</f>
        <v>0.28366703642822377</v>
      </c>
      <c r="N46" s="713">
        <f t="shared" si="21"/>
        <v>0.28219331583785634</v>
      </c>
      <c r="O46" s="713">
        <f t="shared" si="21"/>
        <v>0.27389903192595921</v>
      </c>
      <c r="P46" s="713">
        <f t="shared" si="21"/>
        <v>0.4759946553912377</v>
      </c>
      <c r="Q46" s="713">
        <f t="shared" si="21"/>
        <v>0.29951901111706858</v>
      </c>
      <c r="R46" s="713">
        <f t="shared" si="21"/>
        <v>0.2923133022207961</v>
      </c>
      <c r="S46" s="713">
        <f t="shared" si="21"/>
        <v>0.27893103053416113</v>
      </c>
      <c r="T46" s="713">
        <f t="shared" si="21"/>
        <v>0.27846074525609738</v>
      </c>
      <c r="U46" s="713">
        <f t="shared" si="21"/>
        <v>0.26573998988629527</v>
      </c>
      <c r="V46" s="713">
        <f t="shared" si="21"/>
        <v>0.2690920749877409</v>
      </c>
      <c r="W46" s="713">
        <f t="shared" si="21"/>
        <v>0.26549670543497955</v>
      </c>
      <c r="X46" s="713">
        <f t="shared" si="21"/>
        <v>0.26075709633747218</v>
      </c>
      <c r="Y46" s="713">
        <f>-Y18/Y$15</f>
        <v>0.26120671348945612</v>
      </c>
      <c r="Z46" s="469"/>
      <c r="AA46" s="713">
        <f t="shared" si="19"/>
        <v>0.29951901742819759</v>
      </c>
      <c r="AB46" s="713">
        <f t="shared" si="19"/>
        <v>0.29231327187004907</v>
      </c>
      <c r="AC46" s="713">
        <f t="shared" si="19"/>
        <v>0.27893129715393494</v>
      </c>
      <c r="AD46" s="713">
        <f t="shared" si="19"/>
        <v>0.27756121093759167</v>
      </c>
      <c r="AE46" s="713">
        <f>-AE18/AE$15</f>
        <v>0.26573999336493503</v>
      </c>
      <c r="AG46" s="713">
        <f>-AG18/AG$15</f>
        <v>0.2899105615510692</v>
      </c>
      <c r="AH46" s="713">
        <f>-AH18/AH$15</f>
        <v>0.26677191554704943</v>
      </c>
    </row>
    <row r="47" spans="2:34" s="5" customFormat="1" ht="13.5" customHeight="1">
      <c r="B47" s="768" t="str">
        <f>B21</f>
        <v>Administrative expenses</v>
      </c>
      <c r="C47" s="712">
        <f t="shared" ref="C47:K47" si="22">-C21/C$15</f>
        <v>2.4478376743113449E-2</v>
      </c>
      <c r="D47" s="712">
        <f t="shared" si="22"/>
        <v>2.7591165071501073E-2</v>
      </c>
      <c r="E47" s="712">
        <f t="shared" si="22"/>
        <v>2.7591165867787572E-2</v>
      </c>
      <c r="F47" s="712">
        <f t="shared" si="22"/>
        <v>3.201680522898389E-2</v>
      </c>
      <c r="G47" s="712">
        <f t="shared" si="22"/>
        <v>3.2016805412627185E-2</v>
      </c>
      <c r="H47" s="712">
        <f t="shared" si="22"/>
        <v>4.1518001856635664E-2</v>
      </c>
      <c r="I47" s="712">
        <f t="shared" si="22"/>
        <v>4.1518004008341949E-2</v>
      </c>
      <c r="J47" s="712">
        <f t="shared" si="22"/>
        <v>4.1198828739643041E-2</v>
      </c>
      <c r="K47" s="712">
        <f t="shared" si="22"/>
        <v>4.1725552055857588E-2</v>
      </c>
      <c r="L47" s="57"/>
      <c r="M47" s="713">
        <f t="shared" ref="M47:X47" si="23">-M21/M$15</f>
        <v>3.3229789941049255E-2</v>
      </c>
      <c r="N47" s="713">
        <f t="shared" si="23"/>
        <v>2.5734463605056209E-2</v>
      </c>
      <c r="O47" s="713">
        <f t="shared" si="23"/>
        <v>3.2364904589240254E-2</v>
      </c>
      <c r="P47" s="713">
        <f t="shared" si="23"/>
        <v>5.7065115804427302E-2</v>
      </c>
      <c r="Q47" s="713">
        <f t="shared" si="23"/>
        <v>3.7669340680040651E-2</v>
      </c>
      <c r="R47" s="713">
        <f t="shared" si="23"/>
        <v>3.4299425571293098E-2</v>
      </c>
      <c r="S47" s="713">
        <f t="shared" si="23"/>
        <v>4.0640853940863406E-2</v>
      </c>
      <c r="T47" s="713">
        <f t="shared" si="23"/>
        <v>4.8197704834522612E-2</v>
      </c>
      <c r="U47" s="713">
        <f t="shared" si="23"/>
        <v>4.1705730055487771E-2</v>
      </c>
      <c r="V47" s="713">
        <f t="shared" si="23"/>
        <v>3.7256233261664967E-2</v>
      </c>
      <c r="W47" s="713">
        <f t="shared" si="23"/>
        <v>4.3739248112516171E-2</v>
      </c>
      <c r="X47" s="713">
        <f t="shared" si="23"/>
        <v>4.1612498925580665E-2</v>
      </c>
      <c r="Y47" s="713">
        <f>-Y21/Y$15</f>
        <v>4.3571752824343175E-2</v>
      </c>
      <c r="Z47" s="469"/>
      <c r="AA47" s="713">
        <f t="shared" ref="AA47:AD48" si="24">-AA21/AA$15</f>
        <v>3.7669336985755315E-2</v>
      </c>
      <c r="AB47" s="713">
        <f t="shared" si="24"/>
        <v>3.4298972854776559E-2</v>
      </c>
      <c r="AC47" s="713">
        <f t="shared" si="24"/>
        <v>4.0641907472700828E-2</v>
      </c>
      <c r="AD47" s="713">
        <f t="shared" si="24"/>
        <v>4.8876303201812729E-2</v>
      </c>
      <c r="AE47" s="713">
        <f>-AE21/AE$15</f>
        <v>4.1705731409809203E-2</v>
      </c>
      <c r="AG47" s="713">
        <f>-AG21/AG$15</f>
        <v>3.759309493114471E-2</v>
      </c>
      <c r="AH47" s="713">
        <f>-AH21/AH$15</f>
        <v>4.0931493713966892E-2</v>
      </c>
    </row>
    <row r="48" spans="2:34" s="5" customFormat="1" ht="13.5" customHeight="1">
      <c r="B48" s="768" t="str">
        <f>B22</f>
        <v>Selling &amp; marketing  expenses</v>
      </c>
      <c r="C48" s="712">
        <f t="shared" ref="C48:K48" si="25">-C22/C$15</f>
        <v>4.7891814451988438E-2</v>
      </c>
      <c r="D48" s="712">
        <f t="shared" si="25"/>
        <v>4.91276922530898E-2</v>
      </c>
      <c r="E48" s="712">
        <f t="shared" si="25"/>
        <v>4.9127691711035516E-2</v>
      </c>
      <c r="F48" s="712">
        <f t="shared" si="25"/>
        <v>5.3048435706036727E-2</v>
      </c>
      <c r="G48" s="712">
        <f t="shared" si="25"/>
        <v>5.3048439768374145E-2</v>
      </c>
      <c r="H48" s="712">
        <f t="shared" si="25"/>
        <v>6.5690216586935704E-2</v>
      </c>
      <c r="I48" s="712">
        <f t="shared" si="25"/>
        <v>6.5690218322760591E-2</v>
      </c>
      <c r="J48" s="712">
        <f t="shared" si="25"/>
        <v>6.990791653456134E-2</v>
      </c>
      <c r="K48" s="712">
        <f t="shared" si="25"/>
        <v>6.9529012106334151E-2</v>
      </c>
      <c r="L48" s="57"/>
      <c r="M48" s="713">
        <f t="shared" ref="M48:X48" si="26">-M22/M$15</f>
        <v>5.2612092994777704E-2</v>
      </c>
      <c r="N48" s="713">
        <f t="shared" si="26"/>
        <v>4.7904495215845291E-2</v>
      </c>
      <c r="O48" s="713">
        <f t="shared" si="26"/>
        <v>5.3902490283345886E-2</v>
      </c>
      <c r="P48" s="713">
        <f t="shared" si="26"/>
        <v>7.615894278708038E-2</v>
      </c>
      <c r="Q48" s="713">
        <f t="shared" si="26"/>
        <v>5.7033675645718464E-2</v>
      </c>
      <c r="R48" s="713">
        <f t="shared" si="26"/>
        <v>6.4640808701031185E-2</v>
      </c>
      <c r="S48" s="713">
        <f t="shared" si="26"/>
        <v>6.3211638130610343E-2</v>
      </c>
      <c r="T48" s="713">
        <f t="shared" si="26"/>
        <v>7.2322765135283115E-2</v>
      </c>
      <c r="U48" s="713">
        <f t="shared" si="26"/>
        <v>6.7030231570646179E-2</v>
      </c>
      <c r="V48" s="713">
        <f t="shared" si="26"/>
        <v>6.3021010146731532E-2</v>
      </c>
      <c r="W48" s="713">
        <f t="shared" si="26"/>
        <v>6.8580318924798406E-2</v>
      </c>
      <c r="X48" s="713">
        <f t="shared" si="26"/>
        <v>7.7100171410496243E-2</v>
      </c>
      <c r="Y48" s="713">
        <f>-Y22/Y$15</f>
        <v>6.6438168646280868E-2</v>
      </c>
      <c r="Z48" s="469"/>
      <c r="AA48" s="713">
        <f t="shared" si="24"/>
        <v>5.7033666806658327E-2</v>
      </c>
      <c r="AB48" s="713">
        <f t="shared" si="24"/>
        <v>6.4640371918617351E-2</v>
      </c>
      <c r="AC48" s="713">
        <f t="shared" si="24"/>
        <v>6.3212094042070524E-2</v>
      </c>
      <c r="AD48" s="713">
        <f t="shared" si="24"/>
        <v>7.3042655125423295E-2</v>
      </c>
      <c r="AE48" s="713">
        <f>-AE22/AE$15</f>
        <v>6.703023198877224E-2</v>
      </c>
      <c r="AG48" s="713">
        <f>-AG22/AG$15</f>
        <v>6.1724014955773815E-2</v>
      </c>
      <c r="AH48" s="713">
        <f>-AH22/AH$15</f>
        <v>6.6234269364822684E-2</v>
      </c>
    </row>
    <row r="49" spans="2:34" s="5" customFormat="1" ht="13.5" customHeight="1">
      <c r="B49" s="768" t="str">
        <f>B25</f>
        <v>Other expenses</v>
      </c>
      <c r="C49" s="712">
        <f t="shared" ref="C49:K49" si="27">-C25/C$15</f>
        <v>1.8509480565148079E-2</v>
      </c>
      <c r="D49" s="712">
        <f t="shared" si="27"/>
        <v>1.5049988957804824E-2</v>
      </c>
      <c r="E49" s="712">
        <f t="shared" si="27"/>
        <v>1.5049932261980148E-2</v>
      </c>
      <c r="F49" s="712">
        <f t="shared" si="27"/>
        <v>5.2730911325220474E-2</v>
      </c>
      <c r="G49" s="712">
        <f t="shared" si="27"/>
        <v>5.2730909619223686E-2</v>
      </c>
      <c r="H49" s="712">
        <f t="shared" si="27"/>
        <v>1.5466988078407995E-2</v>
      </c>
      <c r="I49" s="712">
        <f t="shared" si="27"/>
        <v>1.5466989988954438E-2</v>
      </c>
      <c r="J49" s="712">
        <f t="shared" si="27"/>
        <v>9.2237976860980644E-3</v>
      </c>
      <c r="K49" s="712">
        <f t="shared" si="27"/>
        <v>8.8950599063965987E-3</v>
      </c>
      <c r="L49" s="57"/>
      <c r="M49" s="713">
        <f t="shared" ref="M49:S49" si="28">-M24/M$15</f>
        <v>-3.7946444278703436E-3</v>
      </c>
      <c r="N49" s="713">
        <f t="shared" si="28"/>
        <v>-1.5753180455785849E-2</v>
      </c>
      <c r="O49" s="713">
        <f t="shared" si="28"/>
        <v>-4.2471555010494787E-3</v>
      </c>
      <c r="P49" s="713">
        <f t="shared" si="28"/>
        <v>-9.6274550190723323E-3</v>
      </c>
      <c r="Q49" s="713">
        <f t="shared" si="28"/>
        <v>-1.6536385596236808E-3</v>
      </c>
      <c r="R49" s="713">
        <f t="shared" si="28"/>
        <v>-1.3699583178080463E-4</v>
      </c>
      <c r="S49" s="713">
        <f t="shared" si="28"/>
        <v>-1.5653176140239078E-3</v>
      </c>
      <c r="T49" s="713">
        <f t="shared" ref="T49:Y49" si="29">-T25/T$15</f>
        <v>3.0471959630018083E-2</v>
      </c>
      <c r="U49" s="713">
        <f t="shared" si="29"/>
        <v>1.0063186260673464E-2</v>
      </c>
      <c r="V49" s="713">
        <f t="shared" si="29"/>
        <v>4.1148579834785551E-3</v>
      </c>
      <c r="W49" s="713">
        <f t="shared" si="29"/>
        <v>1.2363569372258494E-2</v>
      </c>
      <c r="X49" s="713">
        <f t="shared" si="29"/>
        <v>9.7636213210356097E-3</v>
      </c>
      <c r="Y49" s="713">
        <f t="shared" si="29"/>
        <v>8.553509837231724E-3</v>
      </c>
      <c r="Z49" s="469"/>
      <c r="AA49" s="713">
        <f>-AA25/AA$15</f>
        <v>8.7295685656408988E-3</v>
      </c>
      <c r="AB49" s="713">
        <f>-AB25/AB$15</f>
        <v>6.1614291380081912E-3</v>
      </c>
      <c r="AC49" s="713">
        <f>-AC25/AC$15</f>
        <v>6.027803926098356E-3</v>
      </c>
      <c r="AD49" s="713">
        <f>-AD25/AD$15</f>
        <v>3.1902608956462276E-2</v>
      </c>
      <c r="AE49" s="713">
        <f>-AE25/AE$15</f>
        <v>1.0063181922964069E-2</v>
      </c>
      <c r="AG49" s="713">
        <f>-AG25/AG$15</f>
        <v>6.9301748350498564E-3</v>
      </c>
      <c r="AH49" s="713">
        <f>-AH25/AH$15</f>
        <v>8.8826348559059853E-3</v>
      </c>
    </row>
    <row r="50" spans="2:34" s="5" customFormat="1" ht="13.5" customHeight="1">
      <c r="B50" s="768" t="str">
        <f>B26</f>
        <v>Operating profit before financing costs/ EBIT</v>
      </c>
      <c r="C50" s="712">
        <f t="shared" ref="C50:K50" si="30">C26/C$15</f>
        <v>0.11143172808190795</v>
      </c>
      <c r="D50" s="712">
        <f t="shared" si="30"/>
        <v>3.1591289324275643E-2</v>
      </c>
      <c r="E50" s="712">
        <f t="shared" si="30"/>
        <v>3.1591309331222818E-2</v>
      </c>
      <c r="F50" s="712">
        <f t="shared" si="30"/>
        <v>7.2935467902777329E-2</v>
      </c>
      <c r="G50" s="712">
        <f t="shared" si="30"/>
        <v>7.2935460282055664E-2</v>
      </c>
      <c r="H50" s="712">
        <f t="shared" si="30"/>
        <v>0.11947160281234651</v>
      </c>
      <c r="I50" s="712">
        <f t="shared" si="30"/>
        <v>0.11947160073272819</v>
      </c>
      <c r="J50" s="712">
        <f t="shared" si="30"/>
        <v>0.15866764291160462</v>
      </c>
      <c r="K50" s="712">
        <f t="shared" si="30"/>
        <v>0.15488336281655141</v>
      </c>
      <c r="L50" s="57"/>
      <c r="M50" s="713">
        <f t="shared" ref="M50:X50" si="31">M26/M$15</f>
        <v>8.3451345813819772E-2</v>
      </c>
      <c r="N50" s="713">
        <f t="shared" si="31"/>
        <v>0.14610736865766943</v>
      </c>
      <c r="O50" s="713">
        <f t="shared" si="31"/>
        <v>7.6579498325356946E-2</v>
      </c>
      <c r="P50" s="713">
        <f t="shared" si="31"/>
        <v>-0.3586431956915202</v>
      </c>
      <c r="Q50" s="713">
        <f t="shared" si="31"/>
        <v>0.10719590541066745</v>
      </c>
      <c r="R50" s="713">
        <f t="shared" si="31"/>
        <v>0.12806535334169433</v>
      </c>
      <c r="S50" s="713">
        <f t="shared" si="31"/>
        <v>0.15863614412243521</v>
      </c>
      <c r="T50" s="713">
        <f t="shared" si="31"/>
        <v>9.4868835426489009E-2</v>
      </c>
      <c r="U50" s="713">
        <f t="shared" si="31"/>
        <v>0.16187346393470156</v>
      </c>
      <c r="V50" s="713">
        <f t="shared" si="31"/>
        <v>0.16263975330994698</v>
      </c>
      <c r="W50" s="713">
        <f t="shared" si="31"/>
        <v>0.16488239440829539</v>
      </c>
      <c r="X50" s="713">
        <f t="shared" si="31"/>
        <v>0.14959586144169565</v>
      </c>
      <c r="Y50" s="713">
        <f>Y26/Y$15</f>
        <v>0.14642247915087175</v>
      </c>
      <c r="Z50" s="469"/>
      <c r="AA50" s="713">
        <f t="shared" ref="AA50:AD51" si="32">AA26/AA$15</f>
        <v>0.10719597278847892</v>
      </c>
      <c r="AB50" s="713">
        <f t="shared" si="32"/>
        <v>0.12806488215295408</v>
      </c>
      <c r="AC50" s="713">
        <f t="shared" si="32"/>
        <v>0.15863486437417823</v>
      </c>
      <c r="AD50" s="713">
        <f t="shared" si="32"/>
        <v>9.3039631776259832E-2</v>
      </c>
      <c r="AE50" s="713">
        <f>AE26/AE$15</f>
        <v>0.16187347240437652</v>
      </c>
      <c r="AG50" s="713">
        <f>AG26/AG$15</f>
        <v>0.13215365998774162</v>
      </c>
      <c r="AH50" s="713">
        <f>AH26/AH$15</f>
        <v>0.16317471032399353</v>
      </c>
    </row>
    <row r="51" spans="2:34" s="5" customFormat="1" ht="13.5" customHeight="1">
      <c r="B51" s="768" t="str">
        <f>B27</f>
        <v>Net financial income / (expense)</v>
      </c>
      <c r="C51" s="712">
        <f t="shared" ref="C51:K51" si="33">C27/C$15</f>
        <v>-4.5815177810343471E-2</v>
      </c>
      <c r="D51" s="712">
        <f t="shared" si="33"/>
        <v>-2.4000167895278099E-3</v>
      </c>
      <c r="E51" s="712">
        <f t="shared" si="33"/>
        <v>-2.4000490342078302E-3</v>
      </c>
      <c r="F51" s="712">
        <f t="shared" si="33"/>
        <v>-3.2217941968507746E-2</v>
      </c>
      <c r="G51" s="712">
        <f t="shared" si="33"/>
        <v>-3.2217945990337546E-2</v>
      </c>
      <c r="H51" s="712">
        <f t="shared" si="33"/>
        <v>-4.7813852414383441E-3</v>
      </c>
      <c r="I51" s="712">
        <f t="shared" si="33"/>
        <v>-4.7813799805583035E-3</v>
      </c>
      <c r="J51" s="712">
        <f t="shared" si="33"/>
        <v>-1.5008881756359293E-2</v>
      </c>
      <c r="K51" s="712">
        <f t="shared" si="33"/>
        <v>-6.4798560410103999E-3</v>
      </c>
      <c r="L51" s="57"/>
      <c r="M51" s="713">
        <f t="shared" ref="M51:X51" si="34">M27/M$15</f>
        <v>-3.1631262197071373E-2</v>
      </c>
      <c r="N51" s="713">
        <f t="shared" si="34"/>
        <v>-0.15651027554048785</v>
      </c>
      <c r="O51" s="713">
        <f t="shared" si="34"/>
        <v>5.8185532892969183E-2</v>
      </c>
      <c r="P51" s="713">
        <f t="shared" si="34"/>
        <v>0.10337028765305684</v>
      </c>
      <c r="Q51" s="713">
        <f t="shared" si="34"/>
        <v>5.2167366689362159E-3</v>
      </c>
      <c r="R51" s="713">
        <f t="shared" si="34"/>
        <v>-4.2660725426011077E-2</v>
      </c>
      <c r="S51" s="713">
        <f t="shared" si="34"/>
        <v>-8.595667564486183E-3</v>
      </c>
      <c r="T51" s="713">
        <f t="shared" si="34"/>
        <v>1.4433212183517617E-2</v>
      </c>
      <c r="U51" s="713">
        <f t="shared" si="34"/>
        <v>-7.4657480294767651E-3</v>
      </c>
      <c r="V51" s="713">
        <f t="shared" si="34"/>
        <v>-2.5297046508996258E-2</v>
      </c>
      <c r="W51" s="713">
        <f t="shared" si="34"/>
        <v>-2.2418481672700798E-2</v>
      </c>
      <c r="X51" s="713">
        <f t="shared" si="34"/>
        <v>-7.2900541368992808E-3</v>
      </c>
      <c r="Y51" s="713">
        <f>Y27/Y$15</f>
        <v>2.2948548750924291E-2</v>
      </c>
      <c r="Z51" s="469"/>
      <c r="AA51" s="713">
        <f t="shared" si="32"/>
        <v>5.2166683898396812E-3</v>
      </c>
      <c r="AB51" s="713">
        <f t="shared" si="32"/>
        <v>-4.266162744087499E-2</v>
      </c>
      <c r="AC51" s="713">
        <f t="shared" si="32"/>
        <v>-8.5935027682255156E-3</v>
      </c>
      <c r="AD51" s="713">
        <f t="shared" si="32"/>
        <v>1.6108573643573185E-2</v>
      </c>
      <c r="AE51" s="713">
        <f>AE27/AE$15</f>
        <v>-7.4657625244817973E-3</v>
      </c>
      <c r="AG51" s="713">
        <f>AG27/AG$15</f>
        <v>-1.5512782467887027E-2</v>
      </c>
      <c r="AH51" s="713">
        <f>AH27/AH$15</f>
        <v>-1.8602301122575736E-2</v>
      </c>
    </row>
    <row r="52" spans="2:34" s="5" customFormat="1" ht="13.5" customHeight="1">
      <c r="B52" s="768" t="s">
        <v>448</v>
      </c>
      <c r="C52" s="712"/>
      <c r="D52" s="712">
        <f>-D28/D139</f>
        <v>-4.7282354536730208E-2</v>
      </c>
      <c r="E52" s="670" t="s">
        <v>804</v>
      </c>
      <c r="F52" s="712">
        <f t="shared" ref="F52:K52" si="35">-F28/F139</f>
        <v>-0.15508457054572466</v>
      </c>
      <c r="G52" s="712">
        <f t="shared" si="35"/>
        <v>0.24409064190746893</v>
      </c>
      <c r="H52" s="712">
        <f t="shared" si="35"/>
        <v>0.17108397814721166</v>
      </c>
      <c r="I52" s="712">
        <f t="shared" si="35"/>
        <v>0.17108397864439645</v>
      </c>
      <c r="J52" s="712">
        <f t="shared" si="35"/>
        <v>0.15411624654212336</v>
      </c>
      <c r="K52" s="712">
        <f t="shared" si="35"/>
        <v>0.1284306014409011</v>
      </c>
      <c r="L52" s="57"/>
      <c r="M52" s="713"/>
      <c r="N52" s="713"/>
      <c r="O52" s="713"/>
      <c r="P52" s="713"/>
      <c r="Q52" s="713">
        <f t="shared" ref="Q52:Y52" si="36">-SUM(N28:Q28)/Q139</f>
        <v>-6.9424761971592544E-2</v>
      </c>
      <c r="R52" s="713">
        <f t="shared" si="36"/>
        <v>-0.17576400058510902</v>
      </c>
      <c r="S52" s="713">
        <f t="shared" si="36"/>
        <v>-0.16190046197281038</v>
      </c>
      <c r="T52" s="713">
        <f t="shared" si="36"/>
        <v>0.17108397814721166</v>
      </c>
      <c r="U52" s="713">
        <f t="shared" si="36"/>
        <v>9.9340764134477594E-2</v>
      </c>
      <c r="V52" s="713">
        <f t="shared" si="36"/>
        <v>9.5426597249073042E-2</v>
      </c>
      <c r="W52" s="713">
        <f t="shared" si="36"/>
        <v>9.2933686570767282E-2</v>
      </c>
      <c r="X52" s="713">
        <f t="shared" si="36"/>
        <v>0.15411624654212336</v>
      </c>
      <c r="Y52" s="713">
        <f t="shared" si="36"/>
        <v>0.1284306014409011</v>
      </c>
      <c r="Z52" s="469"/>
      <c r="AA52" s="713"/>
      <c r="AB52" s="713"/>
      <c r="AC52" s="713"/>
      <c r="AD52" s="713">
        <f>-SUM(AA28:AD28)/AD139</f>
        <v>0.22393580400518559</v>
      </c>
      <c r="AE52" s="713">
        <f>-SUM(AB28:AE28)/AE139</f>
        <v>0.12603949167103129</v>
      </c>
      <c r="AG52" s="713"/>
      <c r="AH52" s="713"/>
    </row>
    <row r="53" spans="2:34" s="29" customFormat="1" ht="13.5" customHeight="1">
      <c r="B53" s="768" t="s">
        <v>449</v>
      </c>
      <c r="C53" s="712"/>
      <c r="D53" s="712">
        <f>D29/D143</f>
        <v>-0.27934148366753819</v>
      </c>
      <c r="E53" s="670" t="s">
        <v>804</v>
      </c>
      <c r="F53" s="712">
        <f t="shared" ref="F53:K53" si="37">F29/F143</f>
        <v>-0.39880210207881289</v>
      </c>
      <c r="G53" s="712">
        <f t="shared" si="37"/>
        <v>0.25338150699480877</v>
      </c>
      <c r="H53" s="712">
        <f t="shared" si="37"/>
        <v>0.15055535534085751</v>
      </c>
      <c r="I53" s="712">
        <f t="shared" si="37"/>
        <v>0.15055536060261632</v>
      </c>
      <c r="J53" s="712">
        <f t="shared" si="37"/>
        <v>0.18340155813870065</v>
      </c>
      <c r="K53" s="712">
        <f t="shared" si="37"/>
        <v>0.17348975960221455</v>
      </c>
      <c r="L53" s="57"/>
      <c r="M53" s="713"/>
      <c r="N53" s="713"/>
      <c r="O53" s="713"/>
      <c r="P53" s="713"/>
      <c r="Q53" s="713">
        <f t="shared" ref="Q53:Y53" si="38">SUM(N29:Q29)/Q143</f>
        <v>-0.32617911184441828</v>
      </c>
      <c r="R53" s="713">
        <f t="shared" si="38"/>
        <v>-0.45245047041265346</v>
      </c>
      <c r="S53" s="713">
        <f t="shared" si="38"/>
        <v>-0.29391842072394675</v>
      </c>
      <c r="T53" s="713">
        <f t="shared" si="38"/>
        <v>0.15055535534085751</v>
      </c>
      <c r="U53" s="713">
        <f t="shared" si="38"/>
        <v>8.1694399406592108E-2</v>
      </c>
      <c r="V53" s="713">
        <f t="shared" si="38"/>
        <v>8.728406731885209E-2</v>
      </c>
      <c r="W53" s="713">
        <f t="shared" si="38"/>
        <v>9.2985377575481337E-2</v>
      </c>
      <c r="X53" s="713">
        <f t="shared" si="38"/>
        <v>0.18340155813870065</v>
      </c>
      <c r="Y53" s="713">
        <f t="shared" si="38"/>
        <v>0.17348975960221455</v>
      </c>
      <c r="Z53" s="469"/>
      <c r="AA53" s="713"/>
      <c r="AB53" s="713"/>
      <c r="AC53" s="713"/>
      <c r="AD53" s="713">
        <f>SUM(AA29:AD29)/AD143</f>
        <v>0.19706541586468967</v>
      </c>
      <c r="AE53" s="713">
        <f>SUM(AB29:AE29)/AE143</f>
        <v>0.10327874345641683</v>
      </c>
      <c r="AG53" s="713"/>
      <c r="AH53" s="713"/>
    </row>
    <row r="54" spans="2:34" s="29" customFormat="1" ht="13.5" customHeight="1">
      <c r="B54" s="768" t="str">
        <f>B30</f>
        <v>Monetary gain/(loss)</v>
      </c>
      <c r="C54" s="712">
        <f t="shared" ref="C54:K54" si="39">C30/C$15</f>
        <v>4.4240725135342066E-2</v>
      </c>
      <c r="D54" s="712">
        <f t="shared" si="39"/>
        <v>8.3082298016557324E-2</v>
      </c>
      <c r="E54" s="712">
        <f t="shared" si="39"/>
        <v>8.3082302573912886E-2</v>
      </c>
      <c r="F54" s="712">
        <f t="shared" si="39"/>
        <v>3.5633009480621529E-2</v>
      </c>
      <c r="G54" s="712">
        <f t="shared" si="39"/>
        <v>3.5633003532921384E-2</v>
      </c>
      <c r="H54" s="712">
        <f t="shared" si="39"/>
        <v>3.5102232678674176E-2</v>
      </c>
      <c r="I54" s="712">
        <f t="shared" si="39"/>
        <v>3.5102236647107168E-2</v>
      </c>
      <c r="J54" s="712">
        <f t="shared" si="39"/>
        <v>6.6192925231326393E-3</v>
      </c>
      <c r="K54" s="712">
        <f t="shared" si="39"/>
        <v>2.3308653646055111E-2</v>
      </c>
      <c r="L54" s="57"/>
      <c r="M54" s="713">
        <f t="shared" ref="M54:S54" si="40">M31/M$15</f>
        <v>3.4104827002445271E-3</v>
      </c>
      <c r="N54" s="713">
        <f t="shared" si="40"/>
        <v>-6.3143642429958407E-3</v>
      </c>
      <c r="O54" s="713">
        <f t="shared" si="40"/>
        <v>-1.7424800678902158E-3</v>
      </c>
      <c r="P54" s="713">
        <f t="shared" si="40"/>
        <v>0.24795185637395986</v>
      </c>
      <c r="Q54" s="713">
        <f t="shared" si="40"/>
        <v>-1.8137497309580776E-3</v>
      </c>
      <c r="R54" s="713">
        <f t="shared" si="40"/>
        <v>-2.1822035397168048E-2</v>
      </c>
      <c r="S54" s="713">
        <f t="shared" si="40"/>
        <v>-1.6735787152053452E-2</v>
      </c>
      <c r="T54" s="713">
        <f t="shared" ref="T54:Y54" si="41">T30/T$15</f>
        <v>7.7812975244173207E-3</v>
      </c>
      <c r="U54" s="713">
        <f t="shared" si="41"/>
        <v>1.9991309069254358E-2</v>
      </c>
      <c r="V54" s="713">
        <f t="shared" si="41"/>
        <v>1.558032514805175E-2</v>
      </c>
      <c r="W54" s="713">
        <f t="shared" si="41"/>
        <v>-5.9675678755374715E-3</v>
      </c>
      <c r="X54" s="713">
        <f t="shared" si="41"/>
        <v>2.0841326366755875E-3</v>
      </c>
      <c r="Y54" s="713">
        <f t="shared" si="41"/>
        <v>7.9919610348281073E-2</v>
      </c>
      <c r="Z54" s="469"/>
      <c r="AA54" s="713">
        <f>AA30/AA$15</f>
        <v>8.5899692349602888E-2</v>
      </c>
      <c r="AB54" s="713">
        <f>AB30/AB$15</f>
        <v>3.4489852619612689E-2</v>
      </c>
      <c r="AC54" s="713">
        <f>AC30/AC$15</f>
        <v>3.7985819118072889E-2</v>
      </c>
      <c r="AD54" s="713">
        <f>AD30/AD$15</f>
        <v>4.5560926600708802E-3</v>
      </c>
      <c r="AE54" s="713">
        <f>AE30/AE$15</f>
        <v>1.9991291855568437E-2</v>
      </c>
      <c r="AG54" s="713">
        <f>AG30/AG$15</f>
        <v>5.2042807934534481E-2</v>
      </c>
      <c r="AH54" s="713">
        <f>AH30/AH$15</f>
        <v>9.4953203994215113E-3</v>
      </c>
    </row>
    <row r="55" spans="2:34" s="29" customFormat="1" ht="13.5" customHeight="1">
      <c r="B55" s="768" t="str">
        <f>B32</f>
        <v>Income before tax and non-controlling interest</v>
      </c>
      <c r="C55" s="712">
        <f t="shared" ref="C55:K55" si="42">C32/C$15</f>
        <v>6.7378093799276215E-2</v>
      </c>
      <c r="D55" s="712">
        <f t="shared" si="42"/>
        <v>3.4777309740452685E-2</v>
      </c>
      <c r="E55" s="712">
        <f t="shared" si="42"/>
        <v>3.47773029850625E-2</v>
      </c>
      <c r="F55" s="712">
        <f t="shared" si="42"/>
        <v>5.495603726884065E-2</v>
      </c>
      <c r="G55" s="712">
        <f t="shared" si="42"/>
        <v>5.4956026047753466E-2</v>
      </c>
      <c r="H55" s="712">
        <f t="shared" si="42"/>
        <v>9.5714894371417225E-2</v>
      </c>
      <c r="I55" s="712">
        <f t="shared" si="42"/>
        <v>9.5714897912326125E-2</v>
      </c>
      <c r="J55" s="712">
        <f t="shared" si="42"/>
        <v>0.1291677887656662</v>
      </c>
      <c r="K55" s="712">
        <f t="shared" si="42"/>
        <v>0.13950793519444415</v>
      </c>
      <c r="L55" s="57"/>
      <c r="M55" s="713">
        <f t="shared" ref="M55:X55" si="43">M32/M$15</f>
        <v>5.5230566316992927E-2</v>
      </c>
      <c r="N55" s="713">
        <f t="shared" si="43"/>
        <v>-1.6717271125814264E-2</v>
      </c>
      <c r="O55" s="713">
        <f t="shared" si="43"/>
        <v>0.1330225511504359</v>
      </c>
      <c r="P55" s="713">
        <f t="shared" si="43"/>
        <v>-7.3210516645035219E-3</v>
      </c>
      <c r="Q55" s="713">
        <f t="shared" si="43"/>
        <v>0.11059889234864559</v>
      </c>
      <c r="R55" s="713">
        <f t="shared" si="43"/>
        <v>6.358259251851521E-2</v>
      </c>
      <c r="S55" s="713">
        <f t="shared" si="43"/>
        <v>0.13330468940589557</v>
      </c>
      <c r="T55" s="713">
        <f t="shared" si="43"/>
        <v>8.1776676938785792E-2</v>
      </c>
      <c r="U55" s="713">
        <f t="shared" si="43"/>
        <v>0.13639350809740639</v>
      </c>
      <c r="V55" s="713">
        <f t="shared" si="43"/>
        <v>0.11463137942740767</v>
      </c>
      <c r="W55" s="713">
        <f t="shared" si="43"/>
        <v>0.13560324711936045</v>
      </c>
      <c r="X55" s="713">
        <f t="shared" si="43"/>
        <v>0.12967484827988265</v>
      </c>
      <c r="Y55" s="713">
        <f>Y32/Y$15</f>
        <v>0.17383919963683661</v>
      </c>
      <c r="Z55" s="469"/>
      <c r="AA55" s="713">
        <f>AA32/AA$15</f>
        <v>0.11059888119909722</v>
      </c>
      <c r="AB55" s="713">
        <f>AB32/AB$15</f>
        <v>6.3581455818757557E-2</v>
      </c>
      <c r="AC55" s="713">
        <f>AC32/AC$15</f>
        <v>0.13330460415976647</v>
      </c>
      <c r="AD55" s="713">
        <f>AD32/AD$15</f>
        <v>8.0610854854246156E-2</v>
      </c>
      <c r="AE55" s="713">
        <f>AE32/AE$15</f>
        <v>0.13639350680041581</v>
      </c>
      <c r="AG55" s="713">
        <f>AG32/AG$15</f>
        <v>0.10295594498281319</v>
      </c>
      <c r="AH55" s="713">
        <f>AH32/AH$15</f>
        <v>0.12887330961008334</v>
      </c>
    </row>
    <row r="56" spans="2:34" s="29" customFormat="1" ht="13.5" customHeight="1">
      <c r="B56" s="768" t="s">
        <v>450</v>
      </c>
      <c r="C56" s="712">
        <f t="shared" ref="C56:K56" si="44">-C33/C32</f>
        <v>0.12304357505435447</v>
      </c>
      <c r="D56" s="712">
        <f t="shared" si="44"/>
        <v>-0.85668276625919904</v>
      </c>
      <c r="E56" s="712">
        <f t="shared" si="44"/>
        <v>-0.85668306749449374</v>
      </c>
      <c r="F56" s="712">
        <f t="shared" si="44"/>
        <v>-0.79431703535489795</v>
      </c>
      <c r="G56" s="712">
        <f t="shared" si="44"/>
        <v>-0.79431719722380301</v>
      </c>
      <c r="H56" s="712">
        <f t="shared" si="44"/>
        <v>0.30502436793437032</v>
      </c>
      <c r="I56" s="712">
        <f t="shared" si="44"/>
        <v>0.30502436047030895</v>
      </c>
      <c r="J56" s="712">
        <f t="shared" si="44"/>
        <v>0.42958428165312679</v>
      </c>
      <c r="K56" s="712">
        <f t="shared" si="44"/>
        <v>0.47054370111116572</v>
      </c>
      <c r="L56" s="57"/>
      <c r="M56" s="713">
        <f t="shared" ref="M56:X56" si="45">-M33/M32</f>
        <v>1.5230911997309931</v>
      </c>
      <c r="N56" s="713">
        <f t="shared" si="45"/>
        <v>-1.5969428966148398</v>
      </c>
      <c r="O56" s="713">
        <f t="shared" si="45"/>
        <v>1.952570739817024</v>
      </c>
      <c r="P56" s="713">
        <f t="shared" si="45"/>
        <v>348.84341791367211</v>
      </c>
      <c r="Q56" s="713">
        <f t="shared" si="45"/>
        <v>0.38734630011417132</v>
      </c>
      <c r="R56" s="713">
        <f t="shared" si="45"/>
        <v>-6.985349267463381E-2</v>
      </c>
      <c r="S56" s="713">
        <f t="shared" si="45"/>
        <v>0.42757882486691084</v>
      </c>
      <c r="T56" s="713">
        <f t="shared" si="45"/>
        <v>0.28394911664930195</v>
      </c>
      <c r="U56" s="713">
        <f t="shared" si="45"/>
        <v>0.52885852548376233</v>
      </c>
      <c r="V56" s="713">
        <f t="shared" si="45"/>
        <v>0.27806912981851667</v>
      </c>
      <c r="W56" s="713">
        <f t="shared" si="45"/>
        <v>0.33317205907344843</v>
      </c>
      <c r="X56" s="713">
        <f t="shared" si="45"/>
        <v>0.52959417067485193</v>
      </c>
      <c r="Y56" s="713">
        <f>-Y33/Y32</f>
        <v>0.61011419922070254</v>
      </c>
      <c r="Z56" s="469"/>
      <c r="AA56" s="713">
        <f>-AA33/AA32</f>
        <v>0.38734639196761667</v>
      </c>
      <c r="AB56" s="713">
        <f>-AB33/AB32</f>
        <v>-6.9849546611729901E-2</v>
      </c>
      <c r="AC56" s="713">
        <f>-AC33/AC32</f>
        <v>0.42758779047099477</v>
      </c>
      <c r="AD56" s="713">
        <f>-AD33/AD32</f>
        <v>0.28207042729651827</v>
      </c>
      <c r="AE56" s="713">
        <f>-AE33/AE32</f>
        <v>0.52885854800876608</v>
      </c>
      <c r="AG56" s="713">
        <f>-AG33/AG32</f>
        <v>0.31191317944292413</v>
      </c>
      <c r="AH56" s="713">
        <f>-AH33/AH32</f>
        <v>0.38297789886191203</v>
      </c>
    </row>
    <row r="57" spans="2:34" s="29" customFormat="1" ht="13.5" customHeight="1">
      <c r="B57" s="768" t="str">
        <f>B34</f>
        <v>Income from continuing operations before non-controlling interest</v>
      </c>
      <c r="C57" s="712">
        <f t="shared" ref="C57:K57" si="46">C34/C$15</f>
        <v>5.9087652257865643E-2</v>
      </c>
      <c r="D57" s="712">
        <f t="shared" si="46"/>
        <v>6.4570431651956695E-2</v>
      </c>
      <c r="E57" s="712">
        <f t="shared" si="46"/>
        <v>6.4570429585491251E-2</v>
      </c>
      <c r="F57" s="712">
        <f t="shared" si="46"/>
        <v>9.8608553867079451E-2</v>
      </c>
      <c r="G57" s="712">
        <f t="shared" si="46"/>
        <v>9.860854262856332E-2</v>
      </c>
      <c r="H57" s="712">
        <f t="shared" si="46"/>
        <v>6.651951921387067E-2</v>
      </c>
      <c r="I57" s="712">
        <f t="shared" si="46"/>
        <v>6.6519522389137942E-2</v>
      </c>
      <c r="J57" s="712">
        <f t="shared" si="46"/>
        <v>7.3679337016044663E-2</v>
      </c>
      <c r="K57" s="712">
        <f t="shared" si="46"/>
        <v>7.386335503367375E-2</v>
      </c>
      <c r="L57" s="57"/>
      <c r="M57" s="713">
        <f t="shared" ref="M57:X57" si="47">M34/M$15</f>
        <v>-2.8890623196578008E-2</v>
      </c>
      <c r="N57" s="713">
        <f t="shared" si="47"/>
        <v>-4.3413798500967722E-2</v>
      </c>
      <c r="O57" s="713">
        <f t="shared" si="47"/>
        <v>-0.12671338996171866</v>
      </c>
      <c r="P57" s="713">
        <f t="shared" si="47"/>
        <v>2.5465796337034834</v>
      </c>
      <c r="Q57" s="713">
        <f t="shared" si="47"/>
        <v>6.775882060067219E-2</v>
      </c>
      <c r="R57" s="713">
        <f t="shared" si="47"/>
        <v>6.8024058679241536E-2</v>
      </c>
      <c r="S57" s="713">
        <f t="shared" si="47"/>
        <v>7.6306426960474197E-2</v>
      </c>
      <c r="T57" s="713">
        <f t="shared" si="47"/>
        <v>5.855626175950223E-2</v>
      </c>
      <c r="U57" s="713">
        <f t="shared" si="47"/>
        <v>6.4260638519454433E-2</v>
      </c>
      <c r="V57" s="713">
        <f t="shared" si="47"/>
        <v>8.2755931500132218E-2</v>
      </c>
      <c r="W57" s="713">
        <f t="shared" si="47"/>
        <v>9.042403405955747E-2</v>
      </c>
      <c r="X57" s="713">
        <f t="shared" si="47"/>
        <v>6.0999804547710951E-2</v>
      </c>
      <c r="Y57" s="713">
        <f>Y34/Y$15</f>
        <v>6.7777435557240209E-2</v>
      </c>
      <c r="Z57" s="469"/>
      <c r="AA57" s="713">
        <f t="shared" ref="AA57:AD58" si="48">AA34/AA$15</f>
        <v>6.7758803610971849E-2</v>
      </c>
      <c r="AB57" s="713">
        <f t="shared" si="48"/>
        <v>6.8022591680611519E-2</v>
      </c>
      <c r="AC57" s="713">
        <f t="shared" si="48"/>
        <v>7.6305183007481348E-2</v>
      </c>
      <c r="AD57" s="713">
        <f t="shared" si="48"/>
        <v>5.787291658077133E-2</v>
      </c>
      <c r="AE57" s="713">
        <f>AE34/AE$15</f>
        <v>6.4260634836124153E-2</v>
      </c>
      <c r="AG57" s="713">
        <f t="shared" ref="AG57:AH60" si="49">AG34/AG$15</f>
        <v>7.0842628840673147E-2</v>
      </c>
      <c r="AH57" s="713">
        <f t="shared" si="49"/>
        <v>7.951768027623296E-2</v>
      </c>
    </row>
    <row r="58" spans="2:34" s="29" customFormat="1" ht="13.5" customHeight="1">
      <c r="B58" s="768" t="str">
        <f>B35</f>
        <v>Discontinued operations</v>
      </c>
      <c r="C58" s="712">
        <f t="shared" ref="C58:K58" si="50">C35/C$15</f>
        <v>6.6181340336622096E-3</v>
      </c>
      <c r="D58" s="712">
        <f t="shared" si="50"/>
        <v>9.0105724606432871E-3</v>
      </c>
      <c r="E58" s="712">
        <f t="shared" si="50"/>
        <v>9.0105691225746219E-3</v>
      </c>
      <c r="F58" s="712">
        <f t="shared" si="50"/>
        <v>1.8388201730562024E-2</v>
      </c>
      <c r="G58" s="712">
        <f t="shared" si="50"/>
        <v>1.8388213807461685E-2</v>
      </c>
      <c r="H58" s="712">
        <f t="shared" si="50"/>
        <v>7.456567644097517E-2</v>
      </c>
      <c r="I58" s="712">
        <f t="shared" si="50"/>
        <v>7.4565675481434432E-2</v>
      </c>
      <c r="J58" s="712">
        <f t="shared" si="50"/>
        <v>-7.7608962947949716E-4</v>
      </c>
      <c r="K58" s="712">
        <f t="shared" si="50"/>
        <v>-7.1559234218326526E-4</v>
      </c>
      <c r="L58" s="57"/>
      <c r="M58" s="713">
        <f t="shared" ref="M58:X58" si="51">M35/M$15</f>
        <v>1.9109388990971705E-2</v>
      </c>
      <c r="N58" s="713">
        <f t="shared" si="51"/>
        <v>1.9948948956750326E-2</v>
      </c>
      <c r="O58" s="713">
        <f t="shared" si="51"/>
        <v>7.0710107182476245E-3</v>
      </c>
      <c r="P58" s="713">
        <f t="shared" si="51"/>
        <v>6.9031306260891365E-2</v>
      </c>
      <c r="Q58" s="713">
        <f t="shared" si="51"/>
        <v>1.7540495148745065E-2</v>
      </c>
      <c r="R58" s="713">
        <f t="shared" si="51"/>
        <v>1.5124792375985761E-2</v>
      </c>
      <c r="S58" s="713">
        <f t="shared" si="51"/>
        <v>0.27916378318903501</v>
      </c>
      <c r="T58" s="713">
        <f t="shared" si="51"/>
        <v>2.3840534022695863E-3</v>
      </c>
      <c r="U58" s="713">
        <f t="shared" si="51"/>
        <v>0</v>
      </c>
      <c r="V58" s="713">
        <f t="shared" si="51"/>
        <v>-3.5343819546603292E-3</v>
      </c>
      <c r="W58" s="713">
        <f t="shared" si="51"/>
        <v>2.3621209921606911E-4</v>
      </c>
      <c r="X58" s="713">
        <f t="shared" si="51"/>
        <v>-1.7376007437217743E-4</v>
      </c>
      <c r="Y58" s="713">
        <f>Y35/Y$15</f>
        <v>0</v>
      </c>
      <c r="Z58" s="469"/>
      <c r="AA58" s="713">
        <f t="shared" si="48"/>
        <v>1.7540515062634581E-2</v>
      </c>
      <c r="AB58" s="713">
        <f t="shared" si="48"/>
        <v>1.5126160920125304E-2</v>
      </c>
      <c r="AC58" s="713">
        <f t="shared" si="48"/>
        <v>0.27916453571212135</v>
      </c>
      <c r="AD58" s="713">
        <f t="shared" si="48"/>
        <v>-1.8792189900294042E-3</v>
      </c>
      <c r="AE58" s="713">
        <f>AE35/AE$15</f>
        <v>0</v>
      </c>
      <c r="AG58" s="713">
        <f t="shared" si="49"/>
        <v>0.10845385863255409</v>
      </c>
      <c r="AH58" s="713">
        <f t="shared" si="49"/>
        <v>-1.0946725482313677E-3</v>
      </c>
    </row>
    <row r="59" spans="2:34" s="29" customFormat="1" ht="13.5" customHeight="1">
      <c r="B59" s="768" t="str">
        <f>B36</f>
        <v>Non-controlling interests</v>
      </c>
      <c r="C59" s="712">
        <f t="shared" ref="C59:K60" si="52">C36/C$15</f>
        <v>0</v>
      </c>
      <c r="D59" s="712">
        <f t="shared" si="52"/>
        <v>0</v>
      </c>
      <c r="E59" s="712">
        <f>E36/E$15</f>
        <v>0</v>
      </c>
      <c r="F59" s="712">
        <f t="shared" si="52"/>
        <v>0</v>
      </c>
      <c r="G59" s="712">
        <f t="shared" si="52"/>
        <v>0</v>
      </c>
      <c r="H59" s="712">
        <f t="shared" si="52"/>
        <v>0</v>
      </c>
      <c r="I59" s="712">
        <f>I36/I$15</f>
        <v>0</v>
      </c>
      <c r="J59" s="712">
        <f>J36/J$15</f>
        <v>0</v>
      </c>
      <c r="K59" s="712">
        <f t="shared" si="52"/>
        <v>0</v>
      </c>
      <c r="L59" s="57"/>
      <c r="M59" s="713">
        <f t="shared" ref="M59:P60" si="53">M36/M$15</f>
        <v>0</v>
      </c>
      <c r="N59" s="713">
        <f t="shared" si="53"/>
        <v>0</v>
      </c>
      <c r="O59" s="713">
        <f t="shared" si="53"/>
        <v>0</v>
      </c>
      <c r="P59" s="713">
        <f t="shared" si="53"/>
        <v>0</v>
      </c>
      <c r="Q59" s="713">
        <f t="shared" ref="Q59:U60" si="54">Q36/Q$15</f>
        <v>0</v>
      </c>
      <c r="R59" s="713">
        <f t="shared" si="54"/>
        <v>0</v>
      </c>
      <c r="S59" s="713">
        <f t="shared" si="54"/>
        <v>0</v>
      </c>
      <c r="T59" s="713">
        <f t="shared" si="54"/>
        <v>0</v>
      </c>
      <c r="U59" s="713">
        <f t="shared" si="54"/>
        <v>0</v>
      </c>
      <c r="V59" s="713">
        <f t="shared" ref="V59:X60" si="55">V36/V$15</f>
        <v>0</v>
      </c>
      <c r="W59" s="713">
        <f t="shared" si="55"/>
        <v>0</v>
      </c>
      <c r="X59" s="713">
        <f t="shared" si="55"/>
        <v>0</v>
      </c>
      <c r="Y59" s="713">
        <f>Y36/Y$15</f>
        <v>0</v>
      </c>
      <c r="Z59" s="469"/>
      <c r="AA59" s="713">
        <f t="shared" ref="AA59:AC60" si="56">AA36/AA$15</f>
        <v>0</v>
      </c>
      <c r="AB59" s="713">
        <f t="shared" si="56"/>
        <v>0</v>
      </c>
      <c r="AC59" s="713">
        <f t="shared" si="56"/>
        <v>0</v>
      </c>
      <c r="AD59" s="713">
        <f>AD36/AD$15</f>
        <v>0</v>
      </c>
      <c r="AE59" s="713">
        <f>AE36/AE$15</f>
        <v>0</v>
      </c>
      <c r="AG59" s="713">
        <f t="shared" si="49"/>
        <v>0</v>
      </c>
      <c r="AH59" s="713">
        <f t="shared" si="49"/>
        <v>0</v>
      </c>
    </row>
    <row r="60" spans="2:34" s="29" customFormat="1" ht="13.5" customHeight="1">
      <c r="B60" s="768" t="str">
        <f>B37</f>
        <v xml:space="preserve">Net Income </v>
      </c>
      <c r="C60" s="712">
        <f t="shared" si="52"/>
        <v>6.5705786291527846E-2</v>
      </c>
      <c r="D60" s="712">
        <f t="shared" si="52"/>
        <v>7.3581004112599976E-2</v>
      </c>
      <c r="E60" s="712">
        <f>E37/E$15</f>
        <v>7.3580998708065865E-2</v>
      </c>
      <c r="F60" s="712">
        <f t="shared" si="52"/>
        <v>0.11699675559764146</v>
      </c>
      <c r="G60" s="712">
        <f t="shared" si="52"/>
        <v>0.11699675643602502</v>
      </c>
      <c r="H60" s="712">
        <f t="shared" si="52"/>
        <v>0.14108519565484584</v>
      </c>
      <c r="I60" s="712">
        <f>I37/I$15</f>
        <v>0.14108519787057239</v>
      </c>
      <c r="J60" s="712">
        <f>J37/J$15</f>
        <v>7.2903247386565173E-2</v>
      </c>
      <c r="K60" s="712">
        <f t="shared" si="52"/>
        <v>7.3147762691490495E-2</v>
      </c>
      <c r="L60" s="57"/>
      <c r="M60" s="713">
        <f t="shared" si="53"/>
        <v>-9.7812342056063026E-3</v>
      </c>
      <c r="N60" s="713">
        <f t="shared" si="53"/>
        <v>-2.3464849544217396E-2</v>
      </c>
      <c r="O60" s="713">
        <f t="shared" si="53"/>
        <v>-0.11964237924347101</v>
      </c>
      <c r="P60" s="713">
        <f t="shared" si="53"/>
        <v>2.615610939964375</v>
      </c>
      <c r="Q60" s="713">
        <f t="shared" si="54"/>
        <v>8.5299315749417251E-2</v>
      </c>
      <c r="R60" s="713">
        <f t="shared" si="54"/>
        <v>8.3148851055227305E-2</v>
      </c>
      <c r="S60" s="713">
        <f t="shared" si="54"/>
        <v>0.35547021014950925</v>
      </c>
      <c r="T60" s="713">
        <f t="shared" si="54"/>
        <v>6.0940315161771813E-2</v>
      </c>
      <c r="U60" s="713">
        <f t="shared" si="54"/>
        <v>6.4260638519454433E-2</v>
      </c>
      <c r="V60" s="713">
        <f t="shared" si="55"/>
        <v>7.9221549545471892E-2</v>
      </c>
      <c r="W60" s="713">
        <f t="shared" si="55"/>
        <v>9.0660246158773536E-2</v>
      </c>
      <c r="X60" s="713">
        <f t="shared" si="55"/>
        <v>6.0826044473338781E-2</v>
      </c>
      <c r="Y60" s="713">
        <f>Y37/Y$15</f>
        <v>6.7777435557240209E-2</v>
      </c>
      <c r="Z60" s="469"/>
      <c r="AA60" s="713">
        <f t="shared" si="56"/>
        <v>8.5299318673606433E-2</v>
      </c>
      <c r="AB60" s="713">
        <f t="shared" si="56"/>
        <v>8.3148752600736814E-2</v>
      </c>
      <c r="AC60" s="713">
        <f t="shared" si="56"/>
        <v>0.3554697187196027</v>
      </c>
      <c r="AD60" s="713">
        <f>AD37/AD$15</f>
        <v>5.599369759074193E-2</v>
      </c>
      <c r="AE60" s="713">
        <f>AE37/AE$15</f>
        <v>6.4260634836124153E-2</v>
      </c>
      <c r="AG60" s="713">
        <f t="shared" si="49"/>
        <v>0.17929648747322724</v>
      </c>
      <c r="AH60" s="713">
        <f t="shared" si="49"/>
        <v>7.8423007728001592E-2</v>
      </c>
    </row>
    <row r="61" spans="2:34" s="29" customFormat="1" ht="13.5" customHeight="1">
      <c r="B61" s="1"/>
      <c r="C61" s="66"/>
      <c r="D61" s="66"/>
      <c r="E61" s="66"/>
      <c r="F61" s="66"/>
      <c r="G61" s="66"/>
      <c r="H61" s="66"/>
      <c r="I61" s="66"/>
      <c r="J61" s="66"/>
      <c r="K61" s="66"/>
      <c r="L61" s="57"/>
      <c r="M61" s="469"/>
      <c r="N61" s="469"/>
      <c r="O61" s="469"/>
      <c r="P61" s="469"/>
      <c r="Q61" s="469"/>
      <c r="R61" s="469"/>
      <c r="S61" s="469"/>
      <c r="T61" s="469"/>
      <c r="U61" s="469"/>
      <c r="V61" s="469"/>
      <c r="W61" s="469"/>
      <c r="X61" s="469"/>
      <c r="Y61" s="469"/>
      <c r="Z61" s="469"/>
      <c r="AA61" s="469"/>
      <c r="AB61" s="469"/>
      <c r="AC61" s="469"/>
      <c r="AD61" s="469"/>
      <c r="AE61" s="469"/>
      <c r="AG61" s="469"/>
      <c r="AH61" s="469"/>
    </row>
    <row r="62" spans="2:34" s="29" customFormat="1" ht="13.5" customHeight="1">
      <c r="B62" s="664" t="s">
        <v>451</v>
      </c>
      <c r="C62" s="712">
        <f t="shared" ref="C62:K62" si="57">C88/C15</f>
        <v>-0.15999272520635519</v>
      </c>
      <c r="D62" s="712">
        <f t="shared" si="57"/>
        <v>-0.15211175270582986</v>
      </c>
      <c r="E62" s="712">
        <f t="shared" si="57"/>
        <v>-0.15211175265220472</v>
      </c>
      <c r="F62" s="712">
        <f t="shared" si="57"/>
        <v>-0.12956328802751224</v>
      </c>
      <c r="G62" s="712">
        <f t="shared" si="57"/>
        <v>-0.12956328673571227</v>
      </c>
      <c r="H62" s="712">
        <f t="shared" si="57"/>
        <v>-0.17273964350588741</v>
      </c>
      <c r="I62" s="712">
        <f t="shared" si="57"/>
        <v>-0.17255458756583411</v>
      </c>
      <c r="J62" s="712">
        <f t="shared" si="57"/>
        <v>-0.1791933568652587</v>
      </c>
      <c r="K62" s="712">
        <f t="shared" si="57"/>
        <v>-0.18031643635952938</v>
      </c>
      <c r="L62" s="57"/>
      <c r="M62" s="713">
        <f t="shared" ref="M62:Y62" si="58">M88/M15</f>
        <v>-7.8228291525321916E-2</v>
      </c>
      <c r="N62" s="713">
        <f t="shared" si="58"/>
        <v>-0.14635884698855342</v>
      </c>
      <c r="O62" s="713">
        <f t="shared" si="58"/>
        <v>-0.14104766946616268</v>
      </c>
      <c r="P62" s="713">
        <f t="shared" si="58"/>
        <v>-0.1866109669558895</v>
      </c>
      <c r="Q62" s="713">
        <f t="shared" si="58"/>
        <v>-0.22835168809733877</v>
      </c>
      <c r="R62" s="713">
        <f t="shared" si="58"/>
        <v>-0.15835417796185311</v>
      </c>
      <c r="S62" s="713">
        <f t="shared" si="58"/>
        <v>-0.10777690097930377</v>
      </c>
      <c r="T62" s="713">
        <f t="shared" si="58"/>
        <v>-0.19574329992784062</v>
      </c>
      <c r="U62" s="713">
        <f t="shared" si="58"/>
        <v>-0.11454831866851707</v>
      </c>
      <c r="V62" s="713">
        <f t="shared" si="58"/>
        <v>-0.17550635585228772</v>
      </c>
      <c r="W62" s="713">
        <f t="shared" si="58"/>
        <v>-0.18181796040703593</v>
      </c>
      <c r="X62" s="713">
        <f t="shared" si="58"/>
        <v>-0.21797970325198665</v>
      </c>
      <c r="Y62" s="713">
        <f t="shared" si="58"/>
        <v>-0.13814986802572096</v>
      </c>
      <c r="Z62" s="469"/>
      <c r="AA62" s="713">
        <f>AA88/AA15</f>
        <v>-0.22835171419769809</v>
      </c>
      <c r="AB62" s="713">
        <f>AB88/AB15</f>
        <v>-0.15379379895270631</v>
      </c>
      <c r="AC62" s="713">
        <f>AC88/AC15</f>
        <v>-0.1036588983666111</v>
      </c>
      <c r="AD62" s="713">
        <f>AD88/AD15</f>
        <v>-0.2019089744923539</v>
      </c>
      <c r="AE62" s="713">
        <f>AE88/AE15</f>
        <v>-0.15044731882497436</v>
      </c>
      <c r="AG62" s="713">
        <f>AG88/AG15</f>
        <v>-0.14744966212757646</v>
      </c>
      <c r="AH62" s="713">
        <f>AH88/AH15</f>
        <v>-0.14967892816006301</v>
      </c>
    </row>
    <row r="63" spans="2:34" s="29" customFormat="1" ht="13.5" customHeight="1">
      <c r="B63" s="664" t="s">
        <v>452</v>
      </c>
      <c r="C63" s="712">
        <f t="shared" ref="C63:K63" si="59">C67/C15</f>
        <v>0.28718340918318297</v>
      </c>
      <c r="D63" s="712">
        <f t="shared" si="59"/>
        <v>0.3486693304424881</v>
      </c>
      <c r="E63" s="712">
        <f t="shared" si="59"/>
        <v>0.34866934292701962</v>
      </c>
      <c r="F63" s="712">
        <f t="shared" si="59"/>
        <v>0.29219667683456685</v>
      </c>
      <c r="G63" s="712">
        <f t="shared" si="59"/>
        <v>0.292196672175148</v>
      </c>
      <c r="H63" s="712">
        <f t="shared" si="59"/>
        <v>0.28537013712805515</v>
      </c>
      <c r="I63" s="712">
        <f t="shared" si="59"/>
        <v>0.28537014777638231</v>
      </c>
      <c r="J63" s="712">
        <f t="shared" si="59"/>
        <v>0.26474559011003651</v>
      </c>
      <c r="K63" s="712">
        <f t="shared" si="59"/>
        <v>0.26363948814980293</v>
      </c>
      <c r="L63" s="57"/>
      <c r="M63" s="713">
        <f t="shared" ref="M63:X63" si="60">M67/M15</f>
        <v>0.28366703642822377</v>
      </c>
      <c r="N63" s="713">
        <f t="shared" si="60"/>
        <v>0.28219331583785634</v>
      </c>
      <c r="O63" s="713">
        <f t="shared" si="60"/>
        <v>0.27389903192595921</v>
      </c>
      <c r="P63" s="713">
        <f t="shared" si="60"/>
        <v>0.4759946553912377</v>
      </c>
      <c r="Q63" s="713">
        <f t="shared" si="60"/>
        <v>0.29951901111706858</v>
      </c>
      <c r="R63" s="713">
        <f t="shared" si="60"/>
        <v>0.2923133022207961</v>
      </c>
      <c r="S63" s="713">
        <f t="shared" si="60"/>
        <v>0.27893103053416113</v>
      </c>
      <c r="T63" s="713">
        <f t="shared" si="60"/>
        <v>0.27846074525609738</v>
      </c>
      <c r="U63" s="713">
        <f t="shared" si="60"/>
        <v>0.26573998988629527</v>
      </c>
      <c r="V63" s="713">
        <f t="shared" si="60"/>
        <v>0.2690920749877409</v>
      </c>
      <c r="W63" s="713">
        <f t="shared" si="60"/>
        <v>0.26549670543497955</v>
      </c>
      <c r="X63" s="713">
        <f t="shared" si="60"/>
        <v>0.26075709633747218</v>
      </c>
      <c r="Y63" s="713">
        <f>Y67/Y15</f>
        <v>0.26120671348945612</v>
      </c>
      <c r="Z63" s="469"/>
      <c r="AA63" s="713">
        <f>AA67/AA15</f>
        <v>0.29951901742819759</v>
      </c>
      <c r="AB63" s="713">
        <f>AB67/AB15</f>
        <v>0.29231327187004907</v>
      </c>
      <c r="AC63" s="713">
        <f>AC67/AC15</f>
        <v>0.27893129715393494</v>
      </c>
      <c r="AD63" s="713">
        <f>AD67/AD15</f>
        <v>0.27756121093759167</v>
      </c>
      <c r="AE63" s="713">
        <f>AE67/AE15</f>
        <v>0.26573999336493503</v>
      </c>
      <c r="AG63" s="713">
        <f>AG67/AG15</f>
        <v>0.2899105615510692</v>
      </c>
      <c r="AH63" s="713">
        <f>AH67/AH15</f>
        <v>0.26677191554704943</v>
      </c>
    </row>
    <row r="64" spans="2:34" s="29" customFormat="1" ht="13.5" customHeight="1">
      <c r="C64" s="66"/>
      <c r="D64" s="66"/>
      <c r="E64" s="66"/>
      <c r="F64" s="66"/>
      <c r="G64" s="66"/>
      <c r="H64" s="66"/>
      <c r="I64" s="66"/>
      <c r="J64" s="66"/>
      <c r="K64" s="66"/>
      <c r="L64" s="57"/>
      <c r="M64" s="469"/>
      <c r="N64" s="469"/>
      <c r="O64" s="469"/>
      <c r="P64" s="469"/>
      <c r="Q64" s="469"/>
      <c r="R64" s="469"/>
      <c r="S64" s="469"/>
      <c r="T64" s="469"/>
      <c r="V64" s="469"/>
      <c r="W64" s="469"/>
      <c r="X64" s="469"/>
      <c r="Y64" s="469"/>
      <c r="Z64" s="469"/>
      <c r="AB64" s="469"/>
      <c r="AC64" s="469"/>
      <c r="AD64" s="469"/>
      <c r="AE64" s="469"/>
      <c r="AG64" s="469"/>
      <c r="AH64" s="469"/>
    </row>
    <row r="65" spans="2:34" ht="13.5" customHeight="1">
      <c r="B65" s="543" t="s">
        <v>453</v>
      </c>
      <c r="C65" s="574">
        <f t="shared" ref="C65:K65" si="61">C3</f>
        <v>44561</v>
      </c>
      <c r="D65" s="574">
        <f t="shared" si="61"/>
        <v>44926</v>
      </c>
      <c r="E65" s="574">
        <f t="shared" si="61"/>
        <v>44926</v>
      </c>
      <c r="F65" s="574">
        <f t="shared" si="61"/>
        <v>45291</v>
      </c>
      <c r="G65" s="574">
        <f t="shared" si="61"/>
        <v>45291</v>
      </c>
      <c r="H65" s="574">
        <f t="shared" si="61"/>
        <v>45657</v>
      </c>
      <c r="I65" s="574">
        <f t="shared" si="61"/>
        <v>45657</v>
      </c>
      <c r="J65" s="574">
        <f t="shared" si="61"/>
        <v>46022</v>
      </c>
      <c r="K65" s="574">
        <f t="shared" si="61"/>
        <v>46112</v>
      </c>
      <c r="L65" s="57"/>
      <c r="M65" s="574">
        <f t="shared" ref="M65:Y65" si="62">+M3</f>
        <v>45016</v>
      </c>
      <c r="N65" s="574">
        <f t="shared" si="62"/>
        <v>45107</v>
      </c>
      <c r="O65" s="574">
        <f t="shared" si="62"/>
        <v>45199</v>
      </c>
      <c r="P65" s="574">
        <f t="shared" si="62"/>
        <v>45291</v>
      </c>
      <c r="Q65" s="574">
        <f t="shared" si="62"/>
        <v>45382</v>
      </c>
      <c r="R65" s="574">
        <f t="shared" si="62"/>
        <v>45473</v>
      </c>
      <c r="S65" s="574">
        <f t="shared" si="62"/>
        <v>45565</v>
      </c>
      <c r="T65" s="574">
        <f t="shared" si="62"/>
        <v>45657</v>
      </c>
      <c r="U65" s="574">
        <f t="shared" si="62"/>
        <v>45747</v>
      </c>
      <c r="V65" s="574">
        <f t="shared" si="62"/>
        <v>45838</v>
      </c>
      <c r="W65" s="576">
        <f t="shared" si="62"/>
        <v>45930</v>
      </c>
      <c r="X65" s="576">
        <f t="shared" si="62"/>
        <v>46022</v>
      </c>
      <c r="Y65" s="576">
        <f t="shared" si="62"/>
        <v>46112</v>
      </c>
      <c r="Z65" s="469"/>
      <c r="AA65" s="48">
        <f>+AA3</f>
        <v>45382</v>
      </c>
      <c r="AB65" s="48">
        <f>+AB3</f>
        <v>45473</v>
      </c>
      <c r="AC65" s="48">
        <f>+AC3</f>
        <v>45565</v>
      </c>
      <c r="AD65" s="48">
        <f>+AD3</f>
        <v>45656</v>
      </c>
      <c r="AE65" s="48">
        <f>+AE3</f>
        <v>45747</v>
      </c>
      <c r="AG65" s="48">
        <f>+AG3</f>
        <v>45565</v>
      </c>
      <c r="AH65" s="48">
        <f>+AH3</f>
        <v>45930</v>
      </c>
    </row>
    <row r="66" spans="2:34" s="5" customFormat="1" ht="13.5" customHeight="1">
      <c r="B66" s="16" t="s">
        <v>454</v>
      </c>
      <c r="C66" s="8">
        <f t="shared" ref="C66:K66" si="63">C26</f>
        <v>12101.446000000005</v>
      </c>
      <c r="D66" s="8">
        <f t="shared" si="63"/>
        <v>2953.3700000000013</v>
      </c>
      <c r="E66" s="8">
        <f t="shared" si="63"/>
        <v>4264.0419999999831</v>
      </c>
      <c r="F66" s="8">
        <f t="shared" si="63"/>
        <v>7812.5689999999904</v>
      </c>
      <c r="G66" s="8">
        <f t="shared" si="63"/>
        <v>11279.690000000024</v>
      </c>
      <c r="H66" s="8">
        <f t="shared" si="63"/>
        <v>19912.495000000032</v>
      </c>
      <c r="I66" s="8">
        <f t="shared" si="63"/>
        <v>26063.928000000004</v>
      </c>
      <c r="J66" s="8">
        <f t="shared" si="63"/>
        <v>38313.606</v>
      </c>
      <c r="K66" s="8">
        <f t="shared" si="63"/>
        <v>40561.650999999998</v>
      </c>
      <c r="L66" s="8"/>
      <c r="M66" s="8">
        <f t="shared" ref="M66:Y66" si="64">M26</f>
        <v>2300.6800000000035</v>
      </c>
      <c r="N66" s="8">
        <f t="shared" si="64"/>
        <v>5117.9749999999958</v>
      </c>
      <c r="O66" s="8">
        <f t="shared" si="64"/>
        <v>2878.6309999999999</v>
      </c>
      <c r="P66" s="8">
        <f t="shared" si="64"/>
        <v>-2484.7170000000074</v>
      </c>
      <c r="Q66" s="8">
        <f t="shared" si="64"/>
        <v>3304.0279999999993</v>
      </c>
      <c r="R66" s="8">
        <f t="shared" si="64"/>
        <v>4471.2059999999974</v>
      </c>
      <c r="S66" s="8">
        <f t="shared" si="64"/>
        <v>6372.6359999999931</v>
      </c>
      <c r="T66" s="8">
        <f t="shared" si="64"/>
        <v>5764.6250000000118</v>
      </c>
      <c r="U66" s="8">
        <f t="shared" si="64"/>
        <v>7763.8790000000026</v>
      </c>
      <c r="V66" s="8">
        <f t="shared" si="64"/>
        <v>8623.4850000000097</v>
      </c>
      <c r="W66" s="8">
        <f t="shared" si="64"/>
        <v>9816.351999999999</v>
      </c>
      <c r="X66" s="8">
        <f t="shared" si="64"/>
        <v>12109.889999999996</v>
      </c>
      <c r="Y66" s="8">
        <f t="shared" si="64"/>
        <v>10011.92399999999</v>
      </c>
      <c r="Z66" s="469"/>
      <c r="AA66" s="8">
        <f>AA26</f>
        <v>4562.9919999999984</v>
      </c>
      <c r="AB66" s="8">
        <f>AB26</f>
        <v>6038.2720000000008</v>
      </c>
      <c r="AC66" s="8">
        <f>AC26</f>
        <v>8494.2680000000018</v>
      </c>
      <c r="AD66" s="8">
        <f>AD26</f>
        <v>6968.3960000000216</v>
      </c>
      <c r="AE66" s="8">
        <f>AE26</f>
        <v>10160.235999999997</v>
      </c>
      <c r="AG66" s="8">
        <f>AG26</f>
        <v>20185.743000000024</v>
      </c>
      <c r="AH66" s="8">
        <f>AH26</f>
        <v>27934.773999999998</v>
      </c>
    </row>
    <row r="67" spans="2:34" ht="13.5" customHeight="1">
      <c r="B67" s="7" t="s">
        <v>455</v>
      </c>
      <c r="C67" s="6">
        <f t="shared" ref="C67:J67" si="65">-C18</f>
        <v>31188.016</v>
      </c>
      <c r="D67" s="6">
        <f t="shared" si="65"/>
        <v>32595.995999999999</v>
      </c>
      <c r="E67" s="6">
        <f t="shared" si="65"/>
        <v>47061.7</v>
      </c>
      <c r="F67" s="6">
        <f t="shared" si="65"/>
        <v>31298.992999999999</v>
      </c>
      <c r="G67" s="6">
        <f t="shared" si="65"/>
        <v>45189.101000000002</v>
      </c>
      <c r="H67" s="6">
        <f t="shared" si="65"/>
        <v>47563.03</v>
      </c>
      <c r="I67" s="6">
        <f t="shared" si="65"/>
        <v>62256.36</v>
      </c>
      <c r="J67" s="6">
        <f t="shared" si="65"/>
        <v>63928.334999999999</v>
      </c>
      <c r="K67" s="6">
        <f>SUM(V67:Y67)</f>
        <v>69043.263999999996</v>
      </c>
      <c r="L67" s="6"/>
      <c r="M67" s="6">
        <f t="shared" ref="M67:Y67" si="66">-M18</f>
        <v>7820.45</v>
      </c>
      <c r="N67" s="6">
        <f t="shared" si="66"/>
        <v>9884.9110000000001</v>
      </c>
      <c r="O67" s="6">
        <f t="shared" si="66"/>
        <v>10295.892</v>
      </c>
      <c r="P67" s="6">
        <f t="shared" si="66"/>
        <v>3297.7399999999989</v>
      </c>
      <c r="Q67" s="6">
        <f t="shared" si="66"/>
        <v>9231.875</v>
      </c>
      <c r="R67" s="6">
        <f t="shared" si="66"/>
        <v>10205.672</v>
      </c>
      <c r="S67" s="6">
        <f t="shared" si="66"/>
        <v>11205.05</v>
      </c>
      <c r="T67" s="6">
        <f t="shared" si="66"/>
        <v>16920.432999999997</v>
      </c>
      <c r="U67" s="6">
        <f t="shared" si="66"/>
        <v>12745.592000000001</v>
      </c>
      <c r="V67" s="6">
        <f t="shared" si="66"/>
        <v>14267.8</v>
      </c>
      <c r="W67" s="6">
        <f t="shared" si="66"/>
        <v>15806.473</v>
      </c>
      <c r="X67" s="6">
        <f t="shared" si="66"/>
        <v>21108.470000000005</v>
      </c>
      <c r="Y67" s="6">
        <f t="shared" si="66"/>
        <v>17860.521000000001</v>
      </c>
      <c r="Z67" s="738"/>
      <c r="AA67" s="6">
        <f>-AA18</f>
        <v>12749.573</v>
      </c>
      <c r="AB67" s="6">
        <f>-AB18</f>
        <v>13782.6</v>
      </c>
      <c r="AC67" s="6">
        <f>-AC18</f>
        <v>14935.665000000001</v>
      </c>
      <c r="AD67" s="6">
        <f>-AD18</f>
        <v>20788.521999999997</v>
      </c>
      <c r="AE67" s="6">
        <f>-AE18</f>
        <v>16679.577000000001</v>
      </c>
      <c r="AG67" s="6">
        <f>-AG18</f>
        <v>44282.239999999998</v>
      </c>
      <c r="AH67" s="6">
        <f>-AH18</f>
        <v>45670.148000000001</v>
      </c>
    </row>
    <row r="68" spans="2:34" s="5" customFormat="1" ht="13.5" customHeight="1">
      <c r="B68" s="5" t="s">
        <v>453</v>
      </c>
      <c r="C68" s="8">
        <f t="shared" ref="C68:K68" si="67">SUM(C66+C67)</f>
        <v>43289.462000000007</v>
      </c>
      <c r="D68" s="8">
        <f t="shared" si="67"/>
        <v>35549.366000000002</v>
      </c>
      <c r="E68" s="8">
        <f>SUM(E66+E67)</f>
        <v>51325.741999999984</v>
      </c>
      <c r="F68" s="8">
        <f t="shared" si="67"/>
        <v>39111.561999999991</v>
      </c>
      <c r="G68" s="8">
        <f t="shared" si="67"/>
        <v>56468.791000000027</v>
      </c>
      <c r="H68" s="8">
        <f t="shared" si="67"/>
        <v>67475.525000000023</v>
      </c>
      <c r="I68" s="8">
        <f>SUM(I66+I67)</f>
        <v>88320.288</v>
      </c>
      <c r="J68" s="8">
        <f>SUM(J66+J67)</f>
        <v>102241.94099999999</v>
      </c>
      <c r="K68" s="8">
        <f t="shared" si="67"/>
        <v>109604.91499999999</v>
      </c>
      <c r="L68" s="8"/>
      <c r="M68" s="8">
        <f t="shared" ref="M68:U68" si="68">SUM(M66+M67)</f>
        <v>10121.130000000003</v>
      </c>
      <c r="N68" s="8">
        <f t="shared" si="68"/>
        <v>15002.885999999995</v>
      </c>
      <c r="O68" s="8">
        <f t="shared" si="68"/>
        <v>13174.522999999999</v>
      </c>
      <c r="P68" s="8">
        <f t="shared" si="68"/>
        <v>813.0229999999915</v>
      </c>
      <c r="Q68" s="8">
        <f t="shared" si="68"/>
        <v>12535.902999999998</v>
      </c>
      <c r="R68" s="8">
        <f t="shared" si="68"/>
        <v>14676.877999999997</v>
      </c>
      <c r="S68" s="8">
        <f t="shared" si="68"/>
        <v>17577.685999999994</v>
      </c>
      <c r="T68" s="8">
        <f t="shared" si="68"/>
        <v>22685.058000000008</v>
      </c>
      <c r="U68" s="8">
        <f t="shared" si="68"/>
        <v>20509.471000000005</v>
      </c>
      <c r="V68" s="8">
        <f>SUM(V66+V67)</f>
        <v>22891.285000000011</v>
      </c>
      <c r="W68" s="8">
        <f>SUM(W66+W67)</f>
        <v>25622.824999999997</v>
      </c>
      <c r="X68" s="8">
        <f>SUM(X66+X67)</f>
        <v>33218.36</v>
      </c>
      <c r="Y68" s="8">
        <f>SUM(Y66+Y67)</f>
        <v>27872.444999999992</v>
      </c>
      <c r="Z68" s="738"/>
      <c r="AA68" s="8">
        <f>SUM(AA66+AA67)</f>
        <v>17312.564999999999</v>
      </c>
      <c r="AB68" s="8">
        <f>SUM(AB66+AB67)</f>
        <v>19820.872000000003</v>
      </c>
      <c r="AC68" s="8">
        <f>SUM(AC66+AC67)</f>
        <v>23429.933000000005</v>
      </c>
      <c r="AD68" s="8">
        <f>SUM(AD66+AD67)</f>
        <v>27756.91800000002</v>
      </c>
      <c r="AE68" s="8">
        <f>SUM(AE66+AE67)</f>
        <v>26839.812999999998</v>
      </c>
      <c r="AG68" s="8">
        <f>SUM(AG66+AG67)</f>
        <v>64467.983000000022</v>
      </c>
      <c r="AH68" s="8">
        <f>SUM(AH66+AH67)</f>
        <v>73604.921999999991</v>
      </c>
    </row>
    <row r="69" spans="2:34" s="29" customFormat="1" ht="13.5" customHeight="1">
      <c r="B69" s="714" t="s">
        <v>456</v>
      </c>
      <c r="C69" s="715"/>
      <c r="D69" s="715">
        <f>+D68/C68-1</f>
        <v>-0.17879861847208922</v>
      </c>
      <c r="E69" s="715">
        <f>+E68/C68-1</f>
        <v>0.185640560744321</v>
      </c>
      <c r="F69" s="715">
        <f>+F68/D68-1</f>
        <v>0.10020420617346559</v>
      </c>
      <c r="G69" s="715">
        <f>+G68/E68-1</f>
        <v>0.10020408472614073</v>
      </c>
      <c r="H69" s="715">
        <f>+H68/G68-1</f>
        <v>0.19491711802365286</v>
      </c>
      <c r="I69" s="21">
        <f>I68/G68-1</f>
        <v>0.56405487767570506</v>
      </c>
      <c r="J69" s="21">
        <f>J68/I68-1</f>
        <v>0.15762689768402915</v>
      </c>
      <c r="K69" s="715"/>
      <c r="L69" s="315"/>
      <c r="M69" s="716"/>
      <c r="N69" s="716"/>
      <c r="O69" s="716"/>
      <c r="P69" s="716"/>
      <c r="Q69" s="716">
        <f>+Q68/M68-1</f>
        <v>0.23858729213042373</v>
      </c>
      <c r="R69" s="716">
        <f>+R68/N68-1</f>
        <v>-2.1729685875104154E-2</v>
      </c>
      <c r="S69" s="716">
        <f>+S68/O68-1</f>
        <v>0.33421802064484574</v>
      </c>
      <c r="T69" s="716">
        <f>+T68/P68-1</f>
        <v>26.902111010389923</v>
      </c>
      <c r="U69" s="715">
        <f>U68/AA68-1</f>
        <v>0.18465813702360134</v>
      </c>
      <c r="V69" s="716">
        <f>+V68/AB68-1</f>
        <v>0.15490806862584083</v>
      </c>
      <c r="W69" s="716">
        <f>W68/AC68-1</f>
        <v>9.3593609507973907E-2</v>
      </c>
      <c r="X69" s="716">
        <f>X68/AD68-1</f>
        <v>0.19675966906700437</v>
      </c>
      <c r="Y69" s="716">
        <f>Y68/AE68-1</f>
        <v>3.8473889516294157E-2</v>
      </c>
      <c r="Z69" s="468"/>
      <c r="AA69" s="715">
        <f>AA68/M68-1</f>
        <v>0.71053676812766886</v>
      </c>
      <c r="AB69" s="716">
        <f>AB68/N68-1</f>
        <v>0.32113727985402329</v>
      </c>
      <c r="AC69" s="716">
        <f>AC68/O68-1</f>
        <v>0.77842742389990183</v>
      </c>
      <c r="AD69" s="716">
        <f>AD68/P68-1</f>
        <v>33.140384712363989</v>
      </c>
      <c r="AE69" s="716">
        <f>AE68/AA68-1</f>
        <v>0.55030828765119444</v>
      </c>
      <c r="AG69" s="716"/>
      <c r="AH69" s="716">
        <f>AH68/AG68-1</f>
        <v>0.14172832117300715</v>
      </c>
    </row>
    <row r="70" spans="2:34" s="29" customFormat="1" ht="13.5" customHeight="1">
      <c r="B70" s="714" t="s">
        <v>457</v>
      </c>
      <c r="C70" s="715">
        <f t="shared" ref="C70:K70" si="69">C68/C15</f>
        <v>0.3986151372650909</v>
      </c>
      <c r="D70" s="715">
        <f t="shared" si="69"/>
        <v>0.38026061976676379</v>
      </c>
      <c r="E70" s="715">
        <f t="shared" si="69"/>
        <v>0.38026065225824252</v>
      </c>
      <c r="F70" s="715">
        <f t="shared" si="69"/>
        <v>0.36513214473734418</v>
      </c>
      <c r="G70" s="715">
        <f t="shared" si="69"/>
        <v>0.36513213245720366</v>
      </c>
      <c r="H70" s="715">
        <f t="shared" si="69"/>
        <v>0.40484173994040157</v>
      </c>
      <c r="I70" s="715">
        <f t="shared" si="69"/>
        <v>0.40484174850911048</v>
      </c>
      <c r="J70" s="715">
        <f t="shared" si="69"/>
        <v>0.42341323302164113</v>
      </c>
      <c r="K70" s="715">
        <f t="shared" si="69"/>
        <v>0.41852285096635433</v>
      </c>
      <c r="L70" s="315"/>
      <c r="M70" s="716">
        <f t="shared" ref="M70:Y70" si="70">M68/M15</f>
        <v>0.36711838224204352</v>
      </c>
      <c r="N70" s="716">
        <f t="shared" si="70"/>
        <v>0.42830068449552577</v>
      </c>
      <c r="O70" s="716">
        <f t="shared" si="70"/>
        <v>0.35047853025131614</v>
      </c>
      <c r="P70" s="716">
        <f t="shared" si="70"/>
        <v>0.11735145969971748</v>
      </c>
      <c r="Q70" s="716">
        <f t="shared" si="70"/>
        <v>0.406714916527736</v>
      </c>
      <c r="R70" s="716">
        <f t="shared" si="70"/>
        <v>0.42037865556249043</v>
      </c>
      <c r="S70" s="716">
        <f t="shared" si="70"/>
        <v>0.43756717465659639</v>
      </c>
      <c r="T70" s="716">
        <f t="shared" si="70"/>
        <v>0.37332958068258637</v>
      </c>
      <c r="U70" s="716">
        <f t="shared" si="70"/>
        <v>0.42761345382099686</v>
      </c>
      <c r="V70" s="716">
        <f t="shared" si="70"/>
        <v>0.43173182829768791</v>
      </c>
      <c r="W70" s="716">
        <f t="shared" si="70"/>
        <v>0.43037909984327494</v>
      </c>
      <c r="X70" s="716">
        <f t="shared" si="70"/>
        <v>0.41035295777916786</v>
      </c>
      <c r="Y70" s="716">
        <f t="shared" si="70"/>
        <v>0.40762919264032793</v>
      </c>
      <c r="Z70" s="468"/>
      <c r="AA70" s="716">
        <f>AA68/AA15</f>
        <v>0.40671499021667651</v>
      </c>
      <c r="AB70" s="716">
        <f>AB68/AB15</f>
        <v>0.42037815402300321</v>
      </c>
      <c r="AC70" s="716">
        <f>AC68/AC15</f>
        <v>0.43756616152811323</v>
      </c>
      <c r="AD70" s="716">
        <f>AD68/AD15</f>
        <v>0.37060084271385152</v>
      </c>
      <c r="AE70" s="716">
        <f>AE68/AE15</f>
        <v>0.42761346576931153</v>
      </c>
      <c r="AG70" s="716">
        <f>AG68/AG15</f>
        <v>0.42206422153881085</v>
      </c>
      <c r="AH70" s="716">
        <f>AH68/AH15</f>
        <v>0.42994662587104293</v>
      </c>
    </row>
    <row r="71" spans="2:34" s="29" customFormat="1" ht="13.5" customHeight="1">
      <c r="B71" s="72"/>
      <c r="C71" s="73"/>
      <c r="D71" s="73"/>
      <c r="E71" s="73"/>
      <c r="F71" s="73"/>
      <c r="G71" s="73"/>
      <c r="H71" s="73"/>
      <c r="I71" s="73"/>
      <c r="J71" s="73"/>
      <c r="K71" s="73"/>
      <c r="L71" s="315"/>
      <c r="M71" s="468"/>
      <c r="N71" s="468"/>
      <c r="O71" s="468"/>
      <c r="P71" s="468"/>
      <c r="Q71" s="468"/>
      <c r="R71" s="468"/>
      <c r="S71" s="468"/>
      <c r="T71" s="468"/>
      <c r="U71" s="468"/>
      <c r="V71" s="468"/>
      <c r="W71" s="468"/>
      <c r="X71" s="468"/>
      <c r="Y71" s="468"/>
      <c r="Z71" s="468"/>
      <c r="AA71" s="468"/>
      <c r="AB71" s="468"/>
      <c r="AC71" s="468"/>
      <c r="AD71" s="468"/>
      <c r="AE71" s="468"/>
      <c r="AG71" s="468"/>
      <c r="AH71" s="468"/>
    </row>
    <row r="72" spans="2:34" ht="13.5" customHeight="1">
      <c r="B72" s="717" t="str">
        <f>B25</f>
        <v>Other expenses</v>
      </c>
      <c r="C72" s="573">
        <f t="shared" ref="C72:H72" si="71">-C25-C24</f>
        <v>1653.7190000000001</v>
      </c>
      <c r="D72" s="573">
        <f t="shared" si="71"/>
        <v>1058.3650000000002</v>
      </c>
      <c r="E72" s="573">
        <f t="shared" si="71"/>
        <v>1528.0519999999999</v>
      </c>
      <c r="F72" s="573">
        <f t="shared" si="71"/>
        <v>4765.5519999999997</v>
      </c>
      <c r="G72" s="573">
        <f t="shared" si="71"/>
        <v>6880.4459999999999</v>
      </c>
      <c r="H72" s="573">
        <f t="shared" si="71"/>
        <v>2326.4850000000001</v>
      </c>
      <c r="I72" s="573">
        <f>I73-I68</f>
        <v>3045.1910000000062</v>
      </c>
      <c r="J72" s="573">
        <f>J73-J68</f>
        <v>1775.0340000000142</v>
      </c>
      <c r="K72" s="573">
        <f>K73-K68</f>
        <v>1752.7749999999942</v>
      </c>
      <c r="L72" s="6"/>
      <c r="M72" s="718">
        <f t="shared" ref="M72:Y72" si="72">-M25-M24</f>
        <v>232.79300000000001</v>
      </c>
      <c r="N72" s="718">
        <f t="shared" si="72"/>
        <v>-158.03700000000003</v>
      </c>
      <c r="O72" s="718">
        <f t="shared" si="72"/>
        <v>2916.069</v>
      </c>
      <c r="P72" s="718">
        <f t="shared" si="72"/>
        <v>1774.7270000000001</v>
      </c>
      <c r="Q72" s="718">
        <f t="shared" si="72"/>
        <v>218.38400000000001</v>
      </c>
      <c r="R72" s="718">
        <f t="shared" si="72"/>
        <v>210.02</v>
      </c>
      <c r="S72" s="718">
        <f t="shared" si="72"/>
        <v>179.26400000000001</v>
      </c>
      <c r="T72" s="718">
        <f t="shared" si="72"/>
        <v>1718.817</v>
      </c>
      <c r="U72" s="718">
        <f t="shared" si="72"/>
        <v>449.654</v>
      </c>
      <c r="V72" s="718">
        <f t="shared" si="72"/>
        <v>194.51499999999999</v>
      </c>
      <c r="W72" s="718">
        <f t="shared" si="72"/>
        <v>542.26200000000006</v>
      </c>
      <c r="X72" s="718">
        <f t="shared" si="72"/>
        <v>588.60300000000007</v>
      </c>
      <c r="Y72" s="718">
        <f t="shared" si="72"/>
        <v>427.3950000000001</v>
      </c>
      <c r="Z72" s="547"/>
      <c r="AA72" s="718">
        <f>-AA25-AA24</f>
        <v>301.59399999999999</v>
      </c>
      <c r="AB72" s="718">
        <f>-AB25-AB24</f>
        <v>283.62799999999999</v>
      </c>
      <c r="AC72" s="718">
        <f>-AC25-AC24</f>
        <v>238.90999999999997</v>
      </c>
      <c r="AD72" s="718">
        <f>-AD25-AD24</f>
        <v>2221.0590000000002</v>
      </c>
      <c r="AE72" s="718">
        <f>-AE25-AE24</f>
        <v>588.44100000000003</v>
      </c>
      <c r="AG72" s="718">
        <f>-AG25-AG24</f>
        <v>887.56200000000001</v>
      </c>
      <c r="AH72" s="718">
        <f>-AH25-AH24</f>
        <v>1263.808</v>
      </c>
    </row>
    <row r="73" spans="2:34" s="5" customFormat="1" ht="13.5" customHeight="1">
      <c r="B73" s="5" t="s">
        <v>458</v>
      </c>
      <c r="C73" s="8">
        <f t="shared" ref="C73:H73" si="73">C68+C72</f>
        <v>44943.181000000004</v>
      </c>
      <c r="D73" s="8">
        <f t="shared" si="73"/>
        <v>36607.731</v>
      </c>
      <c r="E73" s="8">
        <f>E68+E72</f>
        <v>52853.793999999987</v>
      </c>
      <c r="F73" s="8">
        <f t="shared" si="73"/>
        <v>43877.113999999987</v>
      </c>
      <c r="G73" s="8">
        <f t="shared" si="73"/>
        <v>63349.237000000023</v>
      </c>
      <c r="H73" s="8">
        <f t="shared" si="73"/>
        <v>69802.010000000024</v>
      </c>
      <c r="I73" s="569">
        <v>91365.479000000007</v>
      </c>
      <c r="J73" s="569">
        <v>104016.97500000001</v>
      </c>
      <c r="K73" s="8">
        <f>SUM(V73:Y73)</f>
        <v>111357.68999999999</v>
      </c>
      <c r="L73" s="8"/>
      <c r="M73" s="464">
        <f t="shared" ref="M73:U73" si="74">M72+M68</f>
        <v>10353.923000000003</v>
      </c>
      <c r="N73" s="464">
        <f t="shared" si="74"/>
        <v>14844.848999999995</v>
      </c>
      <c r="O73" s="464">
        <f t="shared" si="74"/>
        <v>16090.591999999999</v>
      </c>
      <c r="P73" s="464">
        <f t="shared" si="74"/>
        <v>2587.7499999999918</v>
      </c>
      <c r="Q73" s="464">
        <f t="shared" si="74"/>
        <v>12754.286999999998</v>
      </c>
      <c r="R73" s="464">
        <f t="shared" si="74"/>
        <v>14886.897999999997</v>
      </c>
      <c r="S73" s="464">
        <f t="shared" si="74"/>
        <v>17756.949999999993</v>
      </c>
      <c r="T73" s="464">
        <f t="shared" si="74"/>
        <v>24403.875000000007</v>
      </c>
      <c r="U73" s="464">
        <f t="shared" si="74"/>
        <v>20959.125000000004</v>
      </c>
      <c r="V73" s="464">
        <f>V72+V68</f>
        <v>23085.80000000001</v>
      </c>
      <c r="W73" s="569">
        <v>26165.1</v>
      </c>
      <c r="X73" s="464">
        <f>J73-SUM(U73:W73)</f>
        <v>33806.949999999983</v>
      </c>
      <c r="Y73" s="569">
        <v>28299.84</v>
      </c>
      <c r="Z73" s="464"/>
      <c r="AA73" s="464">
        <f>AA72+AA68</f>
        <v>17614.159</v>
      </c>
      <c r="AB73" s="464">
        <f>AB72+AB68</f>
        <v>20104.500000000004</v>
      </c>
      <c r="AC73" s="569">
        <v>23668.799999999999</v>
      </c>
      <c r="AD73" s="569">
        <f>I73-SUM(AA73:AC73)</f>
        <v>29978.020000000004</v>
      </c>
      <c r="AE73" s="569">
        <v>27428.254000000001</v>
      </c>
      <c r="AG73" s="569">
        <v>65355.5</v>
      </c>
      <c r="AH73" s="569">
        <v>74868.7</v>
      </c>
    </row>
    <row r="74" spans="2:34" s="29" customFormat="1" ht="13.5" customHeight="1">
      <c r="B74" s="714" t="s">
        <v>456</v>
      </c>
      <c r="C74" s="715"/>
      <c r="D74" s="715">
        <f>+D73/C73-1</f>
        <v>-0.1854664003422456</v>
      </c>
      <c r="E74" s="715">
        <f>+E73/C73-1</f>
        <v>0.17601364264803565</v>
      </c>
      <c r="F74" s="715">
        <f>+F73/D73-1</f>
        <v>0.19857507694208065</v>
      </c>
      <c r="G74" s="715">
        <f>+G73/E73-1</f>
        <v>0.19857501620413553</v>
      </c>
      <c r="H74" s="715">
        <f>+H73/G73-1</f>
        <v>0.10186031127730866</v>
      </c>
      <c r="I74" s="21">
        <f>I73/G73-1</f>
        <v>0.44225066199297669</v>
      </c>
      <c r="J74" s="21">
        <f>J73/I73-1</f>
        <v>0.13847129286105964</v>
      </c>
      <c r="K74" s="715"/>
      <c r="L74" s="315"/>
      <c r="M74" s="716"/>
      <c r="N74" s="716"/>
      <c r="O74" s="716"/>
      <c r="P74" s="716"/>
      <c r="Q74" s="716">
        <f>+Q73/M73-1</f>
        <v>0.23183135512983788</v>
      </c>
      <c r="R74" s="716">
        <f>+R73/N73-1</f>
        <v>2.8325650196914243E-3</v>
      </c>
      <c r="S74" s="716">
        <f>+S73/O73-1</f>
        <v>0.10356101254695882</v>
      </c>
      <c r="T74" s="716">
        <f>+T73/P73-1</f>
        <v>8.4305381122597183</v>
      </c>
      <c r="U74" s="715">
        <f>U73/AA73-1</f>
        <v>0.18990211227229215</v>
      </c>
      <c r="V74" s="716">
        <f>+V73/AB73-1</f>
        <v>0.14829018378969905</v>
      </c>
      <c r="W74" s="716">
        <f>W73/AC73-1</f>
        <v>0.10546795781788676</v>
      </c>
      <c r="X74" s="21">
        <f>X73/AD73-1</f>
        <v>0.12772457954194372</v>
      </c>
      <c r="Y74" s="21">
        <f>Y73/AE73-1</f>
        <v>3.1776940668552855E-2</v>
      </c>
      <c r="Z74" s="468"/>
      <c r="AA74" s="715">
        <f>AA73/M73-1</f>
        <v>0.70120629639606125</v>
      </c>
      <c r="AB74" s="716">
        <f>AB73/N73-1</f>
        <v>0.35430815092831258</v>
      </c>
      <c r="AC74" s="716">
        <f>AC73/O73-1</f>
        <v>0.47097136015878105</v>
      </c>
      <c r="AD74" s="716">
        <f>AD73/P73-1</f>
        <v>10.584588928605971</v>
      </c>
      <c r="AE74" s="716">
        <f>AE73/AA73-1</f>
        <v>0.55717079651659795</v>
      </c>
      <c r="AG74" s="716"/>
      <c r="AH74" s="716">
        <f>AH73/AG73-1</f>
        <v>0.14556081737573723</v>
      </c>
    </row>
    <row r="75" spans="2:34" s="29" customFormat="1" ht="13.5" customHeight="1">
      <c r="B75" s="714" t="s">
        <v>457</v>
      </c>
      <c r="C75" s="715">
        <f t="shared" ref="C75:K75" si="75">C73/C15</f>
        <v>0.41384280228395598</v>
      </c>
      <c r="D75" s="715">
        <f t="shared" si="75"/>
        <v>0.39158162422123</v>
      </c>
      <c r="E75" s="715">
        <f t="shared" si="75"/>
        <v>0.39158163910738564</v>
      </c>
      <c r="F75" s="715">
        <f t="shared" si="75"/>
        <v>0.40962170571722373</v>
      </c>
      <c r="G75" s="715">
        <f t="shared" si="75"/>
        <v>0.40962169697146134</v>
      </c>
      <c r="H75" s="715">
        <f t="shared" si="75"/>
        <v>0.41880025653356995</v>
      </c>
      <c r="I75" s="715">
        <f t="shared" si="75"/>
        <v>0.41880026785841573</v>
      </c>
      <c r="J75" s="715">
        <f t="shared" si="75"/>
        <v>0.43076415845705851</v>
      </c>
      <c r="K75" s="715">
        <f t="shared" si="75"/>
        <v>0.42521576606147166</v>
      </c>
      <c r="L75" s="315"/>
      <c r="M75" s="716">
        <f t="shared" ref="M75:Y75" si="76">M73/M15</f>
        <v>0.37556235930362375</v>
      </c>
      <c r="N75" s="716">
        <f t="shared" si="76"/>
        <v>0.42378906217995133</v>
      </c>
      <c r="O75" s="716">
        <f t="shared" si="76"/>
        <v>0.4280539822985307</v>
      </c>
      <c r="P75" s="716">
        <f t="shared" si="76"/>
        <v>0.37351494341235875</v>
      </c>
      <c r="Q75" s="716">
        <f t="shared" si="76"/>
        <v>0.41380016841034811</v>
      </c>
      <c r="R75" s="716">
        <f t="shared" si="76"/>
        <v>0.42639409871335904</v>
      </c>
      <c r="S75" s="716">
        <f t="shared" si="76"/>
        <v>0.44202965293716417</v>
      </c>
      <c r="T75" s="716">
        <f t="shared" si="76"/>
        <v>0.40161627185525606</v>
      </c>
      <c r="U75" s="716">
        <f t="shared" si="76"/>
        <v>0.43698854204069915</v>
      </c>
      <c r="V75" s="716">
        <f t="shared" si="76"/>
        <v>0.43540039983403128</v>
      </c>
      <c r="W75" s="716">
        <f t="shared" si="76"/>
        <v>0.43948753446621414</v>
      </c>
      <c r="X75" s="716">
        <f t="shared" si="76"/>
        <v>0.41762392622611205</v>
      </c>
      <c r="Y75" s="716">
        <f t="shared" si="76"/>
        <v>0.41387976300789042</v>
      </c>
      <c r="Z75" s="468"/>
      <c r="AA75" s="716">
        <f>AA73/AA15</f>
        <v>0.41380017954358495</v>
      </c>
      <c r="AB75" s="716">
        <f>AB73/AB15</f>
        <v>0.42639358134977451</v>
      </c>
      <c r="AC75" s="716">
        <f>AC73/AC15</f>
        <v>0.4420271267517753</v>
      </c>
      <c r="AD75" s="716">
        <f>AD73/AD15</f>
        <v>0.40025623431580876</v>
      </c>
      <c r="AE75" s="716">
        <f>AE73/AE15</f>
        <v>0.43698854209382842</v>
      </c>
      <c r="AG75" s="716">
        <f>AG73/AG15</f>
        <v>0.42787468984068794</v>
      </c>
      <c r="AH75" s="716">
        <f>AH73/AH15</f>
        <v>0.43732870131091717</v>
      </c>
    </row>
    <row r="76" spans="2:34" s="29" customFormat="1" ht="13.5" hidden="1" customHeight="1" outlineLevel="1">
      <c r="B76" s="72"/>
      <c r="C76" s="73"/>
      <c r="D76" s="73"/>
      <c r="E76" s="73"/>
      <c r="F76" s="73"/>
      <c r="G76" s="73"/>
      <c r="H76" s="73"/>
      <c r="I76" s="73"/>
      <c r="J76" s="73"/>
      <c r="K76" s="73"/>
      <c r="L76" s="315"/>
      <c r="M76" s="468"/>
      <c r="N76" s="468"/>
      <c r="O76" s="468"/>
      <c r="P76" s="468"/>
      <c r="Q76" s="468"/>
      <c r="R76" s="468"/>
      <c r="S76" s="468"/>
      <c r="T76" s="468"/>
      <c r="U76" s="468"/>
      <c r="V76" s="468"/>
      <c r="W76" s="468"/>
      <c r="X76" s="468"/>
      <c r="Y76" s="468"/>
      <c r="Z76" s="468"/>
      <c r="AA76" s="468"/>
      <c r="AB76" s="468"/>
      <c r="AC76" s="468"/>
      <c r="AD76" s="468"/>
      <c r="AE76" s="468"/>
      <c r="AG76" s="468"/>
      <c r="AH76" s="468"/>
    </row>
    <row r="77" spans="2:34" s="5" customFormat="1" ht="13.5" hidden="1" customHeight="1" outlineLevel="1">
      <c r="C77" s="51"/>
      <c r="D77" s="51"/>
      <c r="E77" s="51"/>
      <c r="F77" s="51"/>
      <c r="G77" s="51"/>
      <c r="H77" s="51"/>
      <c r="I77" s="51"/>
      <c r="J77" s="51"/>
      <c r="K77" s="51"/>
      <c r="L77" s="51"/>
      <c r="M77" s="8"/>
      <c r="N77" s="8"/>
      <c r="O77" s="8"/>
      <c r="P77" s="8"/>
      <c r="Q77" s="8"/>
      <c r="R77" s="8"/>
      <c r="S77" s="8"/>
      <c r="T77" s="8"/>
      <c r="U77" s="8"/>
      <c r="V77" s="8"/>
      <c r="W77" s="8"/>
      <c r="X77" s="8"/>
      <c r="Y77" s="8"/>
      <c r="Z77" s="8"/>
      <c r="AA77" s="8"/>
      <c r="AB77" s="8"/>
      <c r="AC77" s="8"/>
      <c r="AD77" s="8"/>
      <c r="AE77" s="8"/>
      <c r="AG77" s="8"/>
      <c r="AH77" s="8"/>
    </row>
    <row r="78" spans="2:34" s="5" customFormat="1" ht="13.5" hidden="1" customHeight="1" outlineLevel="1">
      <c r="B78" s="5" t="s">
        <v>459</v>
      </c>
      <c r="C78" s="4">
        <v>0</v>
      </c>
      <c r="D78" s="4">
        <v>0</v>
      </c>
      <c r="E78" s="4">
        <v>0</v>
      </c>
      <c r="F78" s="4">
        <v>0</v>
      </c>
      <c r="G78" s="4">
        <v>0</v>
      </c>
      <c r="H78" s="4">
        <v>0</v>
      </c>
      <c r="I78" s="4">
        <v>0</v>
      </c>
      <c r="J78" s="4">
        <v>0</v>
      </c>
      <c r="K78" s="4">
        <v>0</v>
      </c>
      <c r="L78" s="196"/>
      <c r="M78" s="388">
        <v>0</v>
      </c>
      <c r="N78" s="388">
        <v>0</v>
      </c>
      <c r="O78" s="388">
        <v>0</v>
      </c>
      <c r="P78" s="388">
        <v>0</v>
      </c>
      <c r="Q78" s="388">
        <v>0</v>
      </c>
      <c r="R78" s="388">
        <v>0</v>
      </c>
      <c r="S78" s="388">
        <v>0</v>
      </c>
      <c r="T78" s="388">
        <v>0</v>
      </c>
      <c r="U78" s="388">
        <v>0</v>
      </c>
      <c r="V78" s="388">
        <v>0</v>
      </c>
      <c r="W78" s="388">
        <v>0</v>
      </c>
      <c r="X78" s="388">
        <v>0</v>
      </c>
      <c r="Y78" s="388">
        <v>0</v>
      </c>
      <c r="Z78" s="388"/>
      <c r="AA78" s="388">
        <v>0</v>
      </c>
      <c r="AB78" s="388">
        <v>0</v>
      </c>
      <c r="AC78" s="388">
        <v>0</v>
      </c>
      <c r="AD78" s="388">
        <v>0</v>
      </c>
      <c r="AE78" s="388">
        <v>0</v>
      </c>
      <c r="AG78" s="388">
        <v>0</v>
      </c>
      <c r="AH78" s="388">
        <v>0</v>
      </c>
    </row>
    <row r="79" spans="2:34" s="5" customFormat="1" ht="13.5" customHeight="1" collapsed="1">
      <c r="M79" s="8"/>
      <c r="N79" s="8"/>
      <c r="O79" s="8"/>
      <c r="P79" s="8"/>
      <c r="Q79" s="8"/>
      <c r="R79" s="8"/>
      <c r="S79" s="8"/>
      <c r="T79" s="8"/>
      <c r="U79" s="8"/>
      <c r="V79" s="8"/>
      <c r="W79" s="8"/>
      <c r="X79" s="8"/>
      <c r="Y79" s="8"/>
      <c r="Z79" s="8"/>
      <c r="AA79" s="8"/>
      <c r="AB79" s="8"/>
      <c r="AC79" s="8"/>
      <c r="AD79" s="8"/>
      <c r="AE79" s="8"/>
      <c r="AG79" s="8"/>
      <c r="AH79" s="8"/>
    </row>
    <row r="80" spans="2:34" s="5" customFormat="1" ht="13.5" customHeight="1">
      <c r="B80" s="5" t="s">
        <v>460</v>
      </c>
      <c r="C80" s="8">
        <f t="shared" ref="C80:K80" si="77">C78+C73</f>
        <v>44943.181000000004</v>
      </c>
      <c r="D80" s="8">
        <f t="shared" si="77"/>
        <v>36607.731</v>
      </c>
      <c r="E80" s="8">
        <f>E78+E73</f>
        <v>52853.793999999987</v>
      </c>
      <c r="F80" s="8">
        <f t="shared" si="77"/>
        <v>43877.113999999987</v>
      </c>
      <c r="G80" s="8">
        <f t="shared" si="77"/>
        <v>63349.237000000023</v>
      </c>
      <c r="H80" s="8">
        <f t="shared" si="77"/>
        <v>69802.010000000024</v>
      </c>
      <c r="I80" s="8">
        <f>I78+I73</f>
        <v>91365.479000000007</v>
      </c>
      <c r="J80" s="8">
        <f>J78+J73</f>
        <v>104016.97500000001</v>
      </c>
      <c r="K80" s="8">
        <f t="shared" si="77"/>
        <v>111357.68999999999</v>
      </c>
      <c r="L80" s="8"/>
      <c r="M80" s="8">
        <f t="shared" ref="M80:U80" si="78">M78+M73</f>
        <v>10353.923000000003</v>
      </c>
      <c r="N80" s="8">
        <f t="shared" si="78"/>
        <v>14844.848999999995</v>
      </c>
      <c r="O80" s="8">
        <f t="shared" si="78"/>
        <v>16090.591999999999</v>
      </c>
      <c r="P80" s="8">
        <f t="shared" si="78"/>
        <v>2587.7499999999918</v>
      </c>
      <c r="Q80" s="8">
        <f t="shared" si="78"/>
        <v>12754.286999999998</v>
      </c>
      <c r="R80" s="8">
        <f t="shared" si="78"/>
        <v>14886.897999999997</v>
      </c>
      <c r="S80" s="8">
        <f t="shared" si="78"/>
        <v>17756.949999999993</v>
      </c>
      <c r="T80" s="8">
        <f t="shared" si="78"/>
        <v>24403.875000000007</v>
      </c>
      <c r="U80" s="8">
        <f t="shared" si="78"/>
        <v>20959.125000000004</v>
      </c>
      <c r="V80" s="8">
        <f>V78+V73</f>
        <v>23085.80000000001</v>
      </c>
      <c r="W80" s="8">
        <f>W78+W73</f>
        <v>26165.1</v>
      </c>
      <c r="X80" s="8">
        <f>X78+X73</f>
        <v>33806.949999999983</v>
      </c>
      <c r="Y80" s="8">
        <f>Y78+Y73</f>
        <v>28299.84</v>
      </c>
      <c r="Z80" s="8"/>
      <c r="AA80" s="8">
        <f>AA78+AA73</f>
        <v>17614.159</v>
      </c>
      <c r="AB80" s="8">
        <f>AB78+AB73</f>
        <v>20104.500000000004</v>
      </c>
      <c r="AC80" s="8">
        <f>AC78+AC73</f>
        <v>23668.799999999999</v>
      </c>
      <c r="AD80" s="8">
        <f>AD78+AD73</f>
        <v>29978.020000000004</v>
      </c>
      <c r="AE80" s="8">
        <f>AE78+AE73</f>
        <v>27428.254000000001</v>
      </c>
      <c r="AG80" s="8">
        <f>AG78+AG73</f>
        <v>65355.5</v>
      </c>
      <c r="AH80" s="8">
        <f>AH78+AH73</f>
        <v>74868.7</v>
      </c>
    </row>
    <row r="81" spans="2:34" s="5" customFormat="1" ht="13.5" customHeight="1">
      <c r="C81" s="51"/>
      <c r="D81" s="51"/>
      <c r="E81" s="51"/>
      <c r="F81" s="51"/>
      <c r="G81" s="51"/>
      <c r="H81" s="51"/>
      <c r="I81" s="51"/>
      <c r="J81" s="51"/>
      <c r="AG81" s="8"/>
      <c r="AH81" s="8"/>
    </row>
    <row r="82" spans="2:34" ht="13.5" customHeight="1">
      <c r="B82" s="543" t="s">
        <v>461</v>
      </c>
      <c r="C82" s="574">
        <f t="shared" ref="C82:K82" si="79">C3</f>
        <v>44561</v>
      </c>
      <c r="D82" s="574">
        <f t="shared" si="79"/>
        <v>44926</v>
      </c>
      <c r="E82" s="574">
        <f t="shared" si="79"/>
        <v>44926</v>
      </c>
      <c r="F82" s="574">
        <f t="shared" si="79"/>
        <v>45291</v>
      </c>
      <c r="G82" s="574">
        <f t="shared" si="79"/>
        <v>45291</v>
      </c>
      <c r="H82" s="574">
        <f t="shared" si="79"/>
        <v>45657</v>
      </c>
      <c r="I82" s="574">
        <f t="shared" si="79"/>
        <v>45657</v>
      </c>
      <c r="J82" s="574">
        <f t="shared" si="79"/>
        <v>46022</v>
      </c>
      <c r="K82" s="574">
        <f t="shared" si="79"/>
        <v>46112</v>
      </c>
      <c r="M82" s="574">
        <f t="shared" ref="M82:Y82" si="80">+M3</f>
        <v>45016</v>
      </c>
      <c r="N82" s="574">
        <f t="shared" si="80"/>
        <v>45107</v>
      </c>
      <c r="O82" s="574">
        <f t="shared" si="80"/>
        <v>45199</v>
      </c>
      <c r="P82" s="574">
        <f t="shared" si="80"/>
        <v>45291</v>
      </c>
      <c r="Q82" s="574">
        <f t="shared" si="80"/>
        <v>45382</v>
      </c>
      <c r="R82" s="574">
        <f t="shared" si="80"/>
        <v>45473</v>
      </c>
      <c r="S82" s="574">
        <f t="shared" si="80"/>
        <v>45565</v>
      </c>
      <c r="T82" s="574">
        <f t="shared" si="80"/>
        <v>45657</v>
      </c>
      <c r="U82" s="574">
        <f t="shared" si="80"/>
        <v>45747</v>
      </c>
      <c r="V82" s="574">
        <f t="shared" si="80"/>
        <v>45838</v>
      </c>
      <c r="W82" s="576">
        <f t="shared" si="80"/>
        <v>45930</v>
      </c>
      <c r="X82" s="574">
        <f t="shared" si="80"/>
        <v>46022</v>
      </c>
      <c r="Y82" s="574">
        <f t="shared" si="80"/>
        <v>46112</v>
      </c>
      <c r="Z82" s="8"/>
      <c r="AA82" s="574">
        <f>+AA3</f>
        <v>45382</v>
      </c>
      <c r="AB82" s="574">
        <f>+AB3</f>
        <v>45473</v>
      </c>
      <c r="AC82" s="574">
        <f>+AC3</f>
        <v>45565</v>
      </c>
      <c r="AD82" s="574">
        <f>+AD3</f>
        <v>45656</v>
      </c>
      <c r="AE82" s="574">
        <f>+AE3</f>
        <v>45747</v>
      </c>
      <c r="AG82" s="574">
        <f>+AG3</f>
        <v>45565</v>
      </c>
      <c r="AH82" s="574">
        <f>+AH3</f>
        <v>45930</v>
      </c>
    </row>
    <row r="83" spans="2:34" s="5" customFormat="1" ht="13.5" customHeight="1">
      <c r="B83" s="5" t="s">
        <v>462</v>
      </c>
      <c r="C83" s="8">
        <f t="shared" ref="C83:K83" si="81">C73</f>
        <v>44943.181000000004</v>
      </c>
      <c r="D83" s="8">
        <f t="shared" si="81"/>
        <v>36607.731</v>
      </c>
      <c r="E83" s="8">
        <f t="shared" si="81"/>
        <v>52853.793999999987</v>
      </c>
      <c r="F83" s="8">
        <f t="shared" si="81"/>
        <v>43877.113999999987</v>
      </c>
      <c r="G83" s="8">
        <f t="shared" si="81"/>
        <v>63349.237000000023</v>
      </c>
      <c r="H83" s="8">
        <f t="shared" si="81"/>
        <v>69802.010000000024</v>
      </c>
      <c r="I83" s="8">
        <f t="shared" si="81"/>
        <v>91365.479000000007</v>
      </c>
      <c r="J83" s="8">
        <f t="shared" si="81"/>
        <v>104016.97500000001</v>
      </c>
      <c r="K83" s="8">
        <f t="shared" si="81"/>
        <v>111357.68999999999</v>
      </c>
      <c r="L83" s="1"/>
      <c r="M83" s="8">
        <f t="shared" ref="M83:Y83" si="82">M73</f>
        <v>10353.923000000003</v>
      </c>
      <c r="N83" s="8">
        <f t="shared" si="82"/>
        <v>14844.848999999995</v>
      </c>
      <c r="O83" s="8">
        <f t="shared" si="82"/>
        <v>16090.591999999999</v>
      </c>
      <c r="P83" s="8">
        <f t="shared" si="82"/>
        <v>2587.7499999999918</v>
      </c>
      <c r="Q83" s="8">
        <f t="shared" si="82"/>
        <v>12754.286999999998</v>
      </c>
      <c r="R83" s="8">
        <f t="shared" si="82"/>
        <v>14886.897999999997</v>
      </c>
      <c r="S83" s="8">
        <f t="shared" si="82"/>
        <v>17756.949999999993</v>
      </c>
      <c r="T83" s="8">
        <f t="shared" si="82"/>
        <v>24403.875000000007</v>
      </c>
      <c r="U83" s="8">
        <f t="shared" si="82"/>
        <v>20959.125000000004</v>
      </c>
      <c r="V83" s="8">
        <f t="shared" si="82"/>
        <v>23085.80000000001</v>
      </c>
      <c r="W83" s="8">
        <f t="shared" si="82"/>
        <v>26165.1</v>
      </c>
      <c r="X83" s="8">
        <f t="shared" si="82"/>
        <v>33806.949999999983</v>
      </c>
      <c r="Y83" s="8">
        <f t="shared" si="82"/>
        <v>28299.84</v>
      </c>
      <c r="Z83" s="8"/>
      <c r="AA83" s="8">
        <f>AA73</f>
        <v>17614.159</v>
      </c>
      <c r="AB83" s="8">
        <f>AB73</f>
        <v>20104.500000000004</v>
      </c>
      <c r="AC83" s="8">
        <f>AC73</f>
        <v>23668.799999999999</v>
      </c>
      <c r="AD83" s="8">
        <f>AD73</f>
        <v>29978.020000000004</v>
      </c>
      <c r="AE83" s="8">
        <f>AE73</f>
        <v>27428.254000000001</v>
      </c>
      <c r="AG83" s="8">
        <f>AG73</f>
        <v>65355.5</v>
      </c>
      <c r="AH83" s="8">
        <f>AH73</f>
        <v>74868.7</v>
      </c>
    </row>
    <row r="84" spans="2:34" ht="13.5" customHeight="1">
      <c r="B84" s="7" t="s">
        <v>463</v>
      </c>
      <c r="C84" s="4">
        <f>69977.061-69809.13</f>
        <v>167.93099999999686</v>
      </c>
      <c r="D84" s="4">
        <f>49559.996-52169.681</f>
        <v>-2609.6849999999977</v>
      </c>
      <c r="E84" s="4">
        <f>71554.113-75321.944</f>
        <v>-3767.8310000000056</v>
      </c>
      <c r="F84" s="4">
        <f>49640.955-52064.907</f>
        <v>-2423.9519999999975</v>
      </c>
      <c r="G84" s="4">
        <f>71671-75170.672</f>
        <v>-3499.6720000000059</v>
      </c>
      <c r="H84" s="4">
        <f>79158.949-82835.101</f>
        <v>-3676.1520000000019</v>
      </c>
      <c r="I84" s="4">
        <f>103612.992-108424.793</f>
        <v>-4811.8010000000068</v>
      </c>
      <c r="J84" s="4">
        <f>122709.607-128097.233</f>
        <v>-5387.6259999999893</v>
      </c>
      <c r="K84" s="6">
        <f>SUM(V84:Y84)</f>
        <v>-12098.207999999988</v>
      </c>
      <c r="M84" s="4">
        <f>3757.808-10269.784</f>
        <v>-6511.9759999999997</v>
      </c>
      <c r="N84" s="4">
        <f>29786.51-35673.458-M84</f>
        <v>625.02799999999934</v>
      </c>
      <c r="O84" s="4">
        <f>43556.883-52595.231-N84-M84</f>
        <v>-3151.3999999999969</v>
      </c>
      <c r="P84" s="6">
        <f>F84-O84-N84-M84</f>
        <v>6614.3959999999997</v>
      </c>
      <c r="Q84" s="4">
        <f>6887.268-15139.826</f>
        <v>-8252.5579999999991</v>
      </c>
      <c r="R84" s="4">
        <f>22674.517-33013.462-Q84</f>
        <v>-2086.3870000000006</v>
      </c>
      <c r="S84" s="4">
        <f>46580.543-60237.326-R84-Q84</f>
        <v>-3317.8380000000034</v>
      </c>
      <c r="T84" s="6">
        <f>H84-S84-R84-Q84</f>
        <v>9980.6310000000012</v>
      </c>
      <c r="U84" s="4">
        <f>15894.216-27355.596</f>
        <v>-11461.380000000001</v>
      </c>
      <c r="V84" s="4">
        <f>47089.594-61486.558-U84</f>
        <v>-2935.5839999999989</v>
      </c>
      <c r="W84" s="6">
        <f>AH84-U84-V84</f>
        <v>-2141.2649999999994</v>
      </c>
      <c r="X84" s="6">
        <f>J84-W84-V84-U84</f>
        <v>11150.60300000001</v>
      </c>
      <c r="Y84" s="4">
        <f>14649.452-32821.414</f>
        <v>-18171.962</v>
      </c>
      <c r="Z84" s="8"/>
      <c r="AA84" s="4">
        <f>-20908.679+9511.58</f>
        <v>-11397.099</v>
      </c>
      <c r="AB84" s="4">
        <f>30621.631-44584.237-AA84</f>
        <v>-2565.5069999999996</v>
      </c>
      <c r="AC84" s="6">
        <f>AG84-AB84-AA84</f>
        <v>3120.0720000000001</v>
      </c>
      <c r="AD84" s="6">
        <f>I84-SUM(AA84:AC84)</f>
        <v>6030.7329999999929</v>
      </c>
      <c r="AE84" s="4">
        <f>20800.037-35799.023</f>
        <v>-14998.986000000001</v>
      </c>
      <c r="AG84" s="4">
        <f>(51246535-62089069)/1000</f>
        <v>-10842.534</v>
      </c>
      <c r="AH84" s="4">
        <f>(79998578-96536807)/1000</f>
        <v>-16538.228999999999</v>
      </c>
    </row>
    <row r="85" spans="2:34" ht="13.5" customHeight="1">
      <c r="B85" s="7" t="s">
        <v>464</v>
      </c>
      <c r="C85" s="4">
        <v>-2276.9589999999998</v>
      </c>
      <c r="D85" s="4">
        <v>-1335.5440000000001</v>
      </c>
      <c r="E85" s="4">
        <v>-1928.242</v>
      </c>
      <c r="F85" s="4">
        <v>-563.33000000000004</v>
      </c>
      <c r="G85" s="4">
        <v>-813.32799999999997</v>
      </c>
      <c r="H85" s="4">
        <v>-2151.453</v>
      </c>
      <c r="I85" s="4">
        <v>-2816.087</v>
      </c>
      <c r="J85" s="4">
        <v>-9026.0280000000002</v>
      </c>
      <c r="K85" s="6">
        <f t="shared" ref="K85:K100" si="83">SUM(V85:Y85)</f>
        <v>-10524.039000000001</v>
      </c>
      <c r="M85" s="4">
        <v>-642.23400000000004</v>
      </c>
      <c r="N85" s="4">
        <f>-192.247+M85</f>
        <v>-834.48099999999999</v>
      </c>
      <c r="O85" s="4">
        <f>-774.461+N85+M85</f>
        <v>-2251.1759999999999</v>
      </c>
      <c r="P85" s="6">
        <f>F85-O85-N85-M85</f>
        <v>3164.5610000000001</v>
      </c>
      <c r="Q85" s="4">
        <v>-110.947</v>
      </c>
      <c r="R85" s="4">
        <f>-158.346+Q85</f>
        <v>-269.29300000000001</v>
      </c>
      <c r="S85" s="4">
        <f>-366.513+R85+Q85</f>
        <v>-746.75300000000004</v>
      </c>
      <c r="T85" s="6">
        <f>H85-S85-R85-Q85</f>
        <v>-1024.4599999999996</v>
      </c>
      <c r="U85" s="4">
        <v>-173.00200000000001</v>
      </c>
      <c r="V85" s="4">
        <f>-3201.363+U85</f>
        <v>-3374.3649999999998</v>
      </c>
      <c r="W85" s="6">
        <f>AH85-U85-V85</f>
        <v>-2668.5860000000002</v>
      </c>
      <c r="X85" s="6">
        <f>J85-W85-V85-U85</f>
        <v>-2810.0750000000003</v>
      </c>
      <c r="Y85" s="4">
        <v>-1671.0129999999999</v>
      </c>
      <c r="Z85" s="4"/>
      <c r="AA85" s="4">
        <v>153.22300000000001</v>
      </c>
      <c r="AB85" s="4">
        <f>-213.844+AA85</f>
        <v>-60.620999999999981</v>
      </c>
      <c r="AC85" s="6">
        <f>AG85-AB85-AA85</f>
        <v>-541.14900000000011</v>
      </c>
      <c r="AD85" s="6">
        <f>I85-SUM(AA85:AC85)</f>
        <v>-2367.54</v>
      </c>
      <c r="AE85" s="4">
        <v>-226.399</v>
      </c>
      <c r="AG85" s="4">
        <v>-448.54700000000003</v>
      </c>
      <c r="AH85" s="4">
        <v>-6215.9530000000004</v>
      </c>
    </row>
    <row r="86" spans="2:34" ht="13.5" customHeight="1">
      <c r="B86" s="7" t="s">
        <v>465</v>
      </c>
      <c r="C86" s="4">
        <v>-6053.3530000000001</v>
      </c>
      <c r="D86" s="4">
        <v>-5943.326</v>
      </c>
      <c r="E86" s="4">
        <v>-8580.9009999999998</v>
      </c>
      <c r="F86" s="4">
        <v>-7356.1369999999997</v>
      </c>
      <c r="G86" s="4">
        <v>-10620.7</v>
      </c>
      <c r="H86" s="4">
        <v>-13750.356</v>
      </c>
      <c r="I86" s="4">
        <v>-17998.161</v>
      </c>
      <c r="J86" s="4">
        <v>-17064.006000000001</v>
      </c>
      <c r="K86" s="6">
        <f t="shared" si="83"/>
        <v>-18523.745999999999</v>
      </c>
      <c r="M86" s="4">
        <v>-761.755</v>
      </c>
      <c r="N86" s="4">
        <f>-4320.249-M86</f>
        <v>-3558.4939999999997</v>
      </c>
      <c r="O86" s="4">
        <f>-5666.275-N86-M86</f>
        <v>-1346.0259999999998</v>
      </c>
      <c r="P86" s="6">
        <f>F86-O86-N86-M86</f>
        <v>-1689.8620000000001</v>
      </c>
      <c r="Q86" s="4">
        <v>-1410.9069999999999</v>
      </c>
      <c r="R86" s="4">
        <f>-5756.268-Q86</f>
        <v>-4345.3609999999999</v>
      </c>
      <c r="S86" s="4">
        <f>-7797.79-R86-Q86</f>
        <v>-2041.5220000000002</v>
      </c>
      <c r="T86" s="6">
        <f>H86-S86-R86-Q86</f>
        <v>-5952.5659999999989</v>
      </c>
      <c r="U86" s="4">
        <v>-2991.3220000000001</v>
      </c>
      <c r="V86" s="4">
        <f>-8024.348-U86</f>
        <v>-5033.0259999999998</v>
      </c>
      <c r="W86" s="6">
        <f>AH86-U86-V86</f>
        <v>-4744.1000000000004</v>
      </c>
      <c r="X86" s="6">
        <f>J86-W86-V86-U86</f>
        <v>-4295.5580000000009</v>
      </c>
      <c r="Y86" s="4">
        <v>-4451.0619999999999</v>
      </c>
      <c r="Z86" s="4"/>
      <c r="AA86" s="4">
        <v>-1948.5170000000001</v>
      </c>
      <c r="AB86" s="4">
        <f>-7773.763-AA86</f>
        <v>-5825.2460000000001</v>
      </c>
      <c r="AC86" s="6">
        <f>AG86-AB86-AA86</f>
        <v>-2620.2239999999993</v>
      </c>
      <c r="AD86" s="6">
        <f>I86-SUM(AA86:AC86)</f>
        <v>-7604.1740000000009</v>
      </c>
      <c r="AE86" s="4">
        <v>-3914.607</v>
      </c>
      <c r="AG86" s="4">
        <v>-10393.986999999999</v>
      </c>
      <c r="AH86" s="4">
        <v>-12768.448</v>
      </c>
    </row>
    <row r="87" spans="2:34" s="5" customFormat="1" ht="13.5" customHeight="1">
      <c r="B87" s="5" t="s">
        <v>466</v>
      </c>
      <c r="C87" s="41">
        <f t="shared" ref="C87:K87" si="84">SUM(C83:C86)</f>
        <v>36780.799999999996</v>
      </c>
      <c r="D87" s="41">
        <f t="shared" si="84"/>
        <v>26719.175999999999</v>
      </c>
      <c r="E87" s="41">
        <f>SUM(E83:E86)</f>
        <v>38576.819999999985</v>
      </c>
      <c r="F87" s="41">
        <f t="shared" si="84"/>
        <v>33533.694999999985</v>
      </c>
      <c r="G87" s="41">
        <f t="shared" si="84"/>
        <v>48415.537000000011</v>
      </c>
      <c r="H87" s="41">
        <f t="shared" si="84"/>
        <v>50224.049000000021</v>
      </c>
      <c r="I87" s="41">
        <f>SUM(I83:I86)</f>
        <v>65739.429999999993</v>
      </c>
      <c r="J87" s="41">
        <f>SUM(J83:J86)</f>
        <v>72539.315000000002</v>
      </c>
      <c r="K87" s="41">
        <f t="shared" si="84"/>
        <v>70211.697</v>
      </c>
      <c r="L87" s="1"/>
      <c r="M87" s="41">
        <f t="shared" ref="M87:U87" si="85">SUM(M83:M86)</f>
        <v>2437.9580000000028</v>
      </c>
      <c r="N87" s="41">
        <f t="shared" si="85"/>
        <v>11076.901999999995</v>
      </c>
      <c r="O87" s="41">
        <f t="shared" si="85"/>
        <v>9341.9900000000034</v>
      </c>
      <c r="P87" s="41">
        <f t="shared" si="85"/>
        <v>10676.84499999999</v>
      </c>
      <c r="Q87" s="41">
        <f t="shared" si="85"/>
        <v>2979.8749999999991</v>
      </c>
      <c r="R87" s="41">
        <f t="shared" si="85"/>
        <v>8185.8569999999972</v>
      </c>
      <c r="S87" s="41">
        <f t="shared" si="85"/>
        <v>11650.836999999989</v>
      </c>
      <c r="T87" s="41">
        <f t="shared" si="85"/>
        <v>27407.48000000001</v>
      </c>
      <c r="U87" s="41">
        <f t="shared" si="85"/>
        <v>6333.4210000000021</v>
      </c>
      <c r="V87" s="41">
        <f>SUM(V83:V86)</f>
        <v>11742.82500000001</v>
      </c>
      <c r="W87" s="8">
        <f>SUM(W83:W86)</f>
        <v>16611.148999999998</v>
      </c>
      <c r="X87" s="41">
        <f>SUM(X83:X86)</f>
        <v>37851.919999999998</v>
      </c>
      <c r="Y87" s="41">
        <f>SUM(Y83:Y86)</f>
        <v>4005.8030000000017</v>
      </c>
      <c r="Z87" s="41"/>
      <c r="AA87" s="41">
        <f>SUM(AA83:AA86)</f>
        <v>4421.7659999999996</v>
      </c>
      <c r="AB87" s="41">
        <f>SUM(AB83:AB86)</f>
        <v>11653.126000000004</v>
      </c>
      <c r="AC87" s="41">
        <f>SUM(AC83:AC86)</f>
        <v>23627.499</v>
      </c>
      <c r="AD87" s="41">
        <f>SUM(AD83:AD86)</f>
        <v>26037.038999999997</v>
      </c>
      <c r="AE87" s="41">
        <f>SUM(AE83:AE86)</f>
        <v>8288.2620000000006</v>
      </c>
      <c r="AG87" s="41">
        <f>SUM(AG83:AG86)</f>
        <v>43670.432000000001</v>
      </c>
      <c r="AH87" s="41">
        <f>SUM(AH83:AH86)</f>
        <v>39346.069999999992</v>
      </c>
    </row>
    <row r="88" spans="2:34" ht="13.5" customHeight="1">
      <c r="B88" s="7" t="s">
        <v>467</v>
      </c>
      <c r="C88" s="4">
        <f>-18058.499+683.346</f>
        <v>-17375.152999999998</v>
      </c>
      <c r="D88" s="4">
        <f>-15381.134+1160.686</f>
        <v>-14220.448</v>
      </c>
      <c r="E88" s="4">
        <f>-22207.092+1675.784</f>
        <v>-20531.308000000001</v>
      </c>
      <c r="F88" s="4">
        <f>-14216.712+338.387</f>
        <v>-13878.324999999999</v>
      </c>
      <c r="G88" s="4">
        <f>-20525.914+488.559</f>
        <v>-20037.355</v>
      </c>
      <c r="H88" s="4">
        <f>-30698.851+1908.099</f>
        <v>-28790.752</v>
      </c>
      <c r="I88" s="4">
        <f>-40182.441+2497.555+40.372</f>
        <v>-37644.513999999996</v>
      </c>
      <c r="J88" s="4">
        <f>-43967.866+815.642-117.743</f>
        <v>-43269.967000000004</v>
      </c>
      <c r="K88" s="6">
        <f t="shared" si="83"/>
        <v>-47222.195000000007</v>
      </c>
      <c r="M88" s="4">
        <f>-2199.582+42.897</f>
        <v>-2156.6849999999999</v>
      </c>
      <c r="N88" s="4">
        <f>-7390.546+107.077-M88</f>
        <v>-5126.7839999999997</v>
      </c>
      <c r="O88" s="4">
        <f>-12866.403+280.938-N88-M88</f>
        <v>-5301.996000000001</v>
      </c>
      <c r="P88" s="6">
        <f>F88-O88-N88-M88</f>
        <v>-1292.8599999999983</v>
      </c>
      <c r="Q88" s="4">
        <f>-4736.694+339.534-2641.172</f>
        <v>-7038.3320000000003</v>
      </c>
      <c r="R88" s="4">
        <f>-11676.73+991.601-1881.897-Q88</f>
        <v>-5528.6939999999977</v>
      </c>
      <c r="S88" s="4">
        <f>-18179.359+1282.784-R88-Q88</f>
        <v>-4329.5490000000027</v>
      </c>
      <c r="T88" s="6">
        <f>H88-S88-R88-Q88</f>
        <v>-11894.176999999998</v>
      </c>
      <c r="U88" s="4">
        <f>-7532.885+317.034+1721.811</f>
        <v>-5494.0400000000009</v>
      </c>
      <c r="V88" s="4">
        <f>-16457.866+604.35+1053.778-U88</f>
        <v>-9305.6980000000003</v>
      </c>
      <c r="W88" s="6">
        <f>AH88-U88-V88</f>
        <v>-10824.618999999999</v>
      </c>
      <c r="X88" s="6">
        <f>J88-W88-V88-U88</f>
        <v>-17645.610000000004</v>
      </c>
      <c r="Y88" s="4">
        <f>-9780.632+334.364</f>
        <v>-9446.268</v>
      </c>
      <c r="Z88" s="4"/>
      <c r="AA88" s="4">
        <f>-6541.556+468.909-3647.56</f>
        <v>-9720.2070000000003</v>
      </c>
      <c r="AB88" s="4">
        <f>-15769.267+1339.144-2541.477-AA88</f>
        <v>-7251.3929999999982</v>
      </c>
      <c r="AC88" s="6">
        <f>AG88-AB88-AA88</f>
        <v>-5550.523000000001</v>
      </c>
      <c r="AD88" s="6">
        <f>I88-SUM(AA88:AC88)</f>
        <v>-15122.390999999996</v>
      </c>
      <c r="AE88" s="4">
        <f>-9857.944+414.888</f>
        <v>-9443.0559999999987</v>
      </c>
      <c r="AG88" s="4">
        <f>(-24231997+1709874)/1000</f>
        <v>-22522.123</v>
      </c>
      <c r="AH88" s="4">
        <f>(-26203576+692045-112826)/1000</f>
        <v>-25624.357</v>
      </c>
    </row>
    <row r="89" spans="2:34" ht="13.5" customHeight="1">
      <c r="B89" s="7" t="s">
        <v>468</v>
      </c>
      <c r="C89" s="4">
        <f>-13435.35</f>
        <v>-13435.35</v>
      </c>
      <c r="D89" s="4">
        <f>-11152.761</f>
        <v>-11152.761</v>
      </c>
      <c r="E89" s="4">
        <v>-16102.218999999999</v>
      </c>
      <c r="F89" s="4">
        <v>-15287.058999999999</v>
      </c>
      <c r="G89" s="4">
        <v>-22071.268</v>
      </c>
      <c r="H89" s="4">
        <v>-20230.938999999998</v>
      </c>
      <c r="I89" s="4">
        <v>-26480.746999999999</v>
      </c>
      <c r="J89" s="4">
        <f>-27808.416</f>
        <v>-27808.416000000001</v>
      </c>
      <c r="K89" s="6">
        <f t="shared" si="83"/>
        <v>-49890.688000000002</v>
      </c>
      <c r="M89" s="4">
        <v>-3343.643</v>
      </c>
      <c r="N89" s="4">
        <f>-11932.718-M89</f>
        <v>-8589.0750000000007</v>
      </c>
      <c r="O89" s="4">
        <f>-15536.589-N89-M89</f>
        <v>-3603.8709999999992</v>
      </c>
      <c r="P89" s="6">
        <f>F89-O89-N89-M89</f>
        <v>249.53000000000065</v>
      </c>
      <c r="Q89" s="4">
        <v>-1887.7180000000001</v>
      </c>
      <c r="R89" s="4">
        <f>-7487.99-Q89</f>
        <v>-5600.2719999999999</v>
      </c>
      <c r="S89" s="4">
        <f>-12127.575-R89-Q89</f>
        <v>-4639.5850000000009</v>
      </c>
      <c r="T89" s="6">
        <f>H89-S89-R89-Q89</f>
        <v>-8103.3639999999987</v>
      </c>
      <c r="U89" s="4">
        <v>-5522.4</v>
      </c>
      <c r="V89" s="4">
        <f>-11144.023-U89</f>
        <v>-5621.6229999999996</v>
      </c>
      <c r="W89" s="6">
        <f>AH89-U89-V89</f>
        <v>-6146.7490000000016</v>
      </c>
      <c r="X89" s="6">
        <f>J89-W89-V89-U89</f>
        <v>-10517.644000000002</v>
      </c>
      <c r="Y89" s="4">
        <v>-27604.671999999999</v>
      </c>
      <c r="Z89" s="4"/>
      <c r="AA89" s="4">
        <v>-2607.011</v>
      </c>
      <c r="AB89" s="4">
        <f>-10112.43-AA89</f>
        <v>-7505.4189999999999</v>
      </c>
      <c r="AC89" s="6">
        <f>AG89-AB89-AA89</f>
        <v>-6052.9009999999998</v>
      </c>
      <c r="AD89" s="6">
        <f>I89-SUM(AA89:AC89)</f>
        <v>-10315.415999999999</v>
      </c>
      <c r="AE89" s="4">
        <v>-7226.9139999999998</v>
      </c>
      <c r="AG89" s="4">
        <f>(-16165331)/1000</f>
        <v>-16165.331</v>
      </c>
      <c r="AH89" s="4">
        <v>-17290.772000000001</v>
      </c>
    </row>
    <row r="90" spans="2:34" ht="13.5" customHeight="1">
      <c r="B90" s="7" t="s">
        <v>470</v>
      </c>
      <c r="C90" s="4">
        <v>4342.451</v>
      </c>
      <c r="D90" s="4">
        <v>3986.5909999999999</v>
      </c>
      <c r="E90" s="4">
        <v>5755.7910000000002</v>
      </c>
      <c r="F90" s="4">
        <v>5825.402</v>
      </c>
      <c r="G90" s="4">
        <v>8410.6440000000002</v>
      </c>
      <c r="H90" s="4">
        <v>11755.169</v>
      </c>
      <c r="I90" s="4">
        <v>15386.614</v>
      </c>
      <c r="J90" s="4">
        <v>15526.268</v>
      </c>
      <c r="K90" s="6">
        <f t="shared" si="83"/>
        <v>16428.892</v>
      </c>
      <c r="M90" s="4">
        <v>1277.9110000000001</v>
      </c>
      <c r="N90" s="4">
        <f>3107.196-M90</f>
        <v>1829.2849999999999</v>
      </c>
      <c r="O90" s="4">
        <f>5129.146-N90-M90</f>
        <v>2021.9499999999998</v>
      </c>
      <c r="P90" s="6">
        <f>F90-O90-N90-M90</f>
        <v>696.25600000000031</v>
      </c>
      <c r="Q90" s="4">
        <v>1817.97</v>
      </c>
      <c r="R90" s="4">
        <f>4763.245-Q90</f>
        <v>2945.2749999999996</v>
      </c>
      <c r="S90" s="4">
        <f>7539.965-R90-Q90</f>
        <v>2776.7200000000003</v>
      </c>
      <c r="T90" s="6">
        <f>H90-S90-R90-Q90</f>
        <v>4215.2040000000006</v>
      </c>
      <c r="U90" s="4">
        <v>3386.194</v>
      </c>
      <c r="V90" s="4">
        <f>6979.043-U90</f>
        <v>3592.8489999999997</v>
      </c>
      <c r="W90" s="6">
        <f>AH90-U90-V90</f>
        <v>6323.08</v>
      </c>
      <c r="X90" s="6">
        <f>J90-W90-V90-U90</f>
        <v>2224.145</v>
      </c>
      <c r="Y90" s="4">
        <v>4288.8180000000002</v>
      </c>
      <c r="Z90" s="4"/>
      <c r="AA90" s="4">
        <v>2510.6860000000001</v>
      </c>
      <c r="AB90" s="4">
        <f>6432.698-AA90</f>
        <v>3922.0120000000002</v>
      </c>
      <c r="AC90" s="6">
        <f>AG90-AB90-AA90</f>
        <v>3617.6239999999993</v>
      </c>
      <c r="AD90" s="6">
        <f>I90-SUM(AA90:AC90)</f>
        <v>5336.2919999999995</v>
      </c>
      <c r="AE90" s="4">
        <v>4431.3580000000002</v>
      </c>
      <c r="AG90" s="4">
        <v>10050.322</v>
      </c>
      <c r="AH90" s="4">
        <v>13302.123</v>
      </c>
    </row>
    <row r="91" spans="2:34" s="5" customFormat="1" ht="13.5" customHeight="1">
      <c r="B91" s="16" t="s">
        <v>472</v>
      </c>
      <c r="C91" s="8">
        <f>SUM(C87:C90)</f>
        <v>10312.747999999996</v>
      </c>
      <c r="D91" s="8">
        <f t="shared" ref="D91:AH91" si="86">SUM(D87:D90)</f>
        <v>5332.5579999999991</v>
      </c>
      <c r="E91" s="8">
        <f t="shared" si="86"/>
        <v>7699.0839999999853</v>
      </c>
      <c r="F91" s="8">
        <f t="shared" si="86"/>
        <v>10193.712999999989</v>
      </c>
      <c r="G91" s="8">
        <f t="shared" si="86"/>
        <v>14717.558000000012</v>
      </c>
      <c r="H91" s="8">
        <f t="shared" si="86"/>
        <v>12957.527000000022</v>
      </c>
      <c r="I91" s="8">
        <f t="shared" si="86"/>
        <v>17000.782999999996</v>
      </c>
      <c r="J91" s="8">
        <f t="shared" si="86"/>
        <v>16987.199999999997</v>
      </c>
      <c r="K91" s="8">
        <f t="shared" si="86"/>
        <v>-10472.294000000009</v>
      </c>
      <c r="L91" s="8">
        <f t="shared" si="86"/>
        <v>0</v>
      </c>
      <c r="M91" s="8">
        <f t="shared" si="86"/>
        <v>-1784.4589999999971</v>
      </c>
      <c r="N91" s="8">
        <f t="shared" si="86"/>
        <v>-809.67200000000594</v>
      </c>
      <c r="O91" s="8">
        <f t="shared" si="86"/>
        <v>2458.073000000003</v>
      </c>
      <c r="P91" s="8">
        <f t="shared" si="86"/>
        <v>10329.770999999993</v>
      </c>
      <c r="Q91" s="8">
        <f t="shared" si="86"/>
        <v>-4128.2050000000008</v>
      </c>
      <c r="R91" s="8">
        <f t="shared" si="86"/>
        <v>2.1659999999992579</v>
      </c>
      <c r="S91" s="8">
        <f t="shared" si="86"/>
        <v>5458.4229999999852</v>
      </c>
      <c r="T91" s="8">
        <f t="shared" si="86"/>
        <v>11625.143000000015</v>
      </c>
      <c r="U91" s="8">
        <f t="shared" si="86"/>
        <v>-1296.8249999999985</v>
      </c>
      <c r="V91" s="8">
        <f t="shared" si="86"/>
        <v>408.35300000000962</v>
      </c>
      <c r="W91" s="8">
        <f t="shared" si="86"/>
        <v>5962.8609999999971</v>
      </c>
      <c r="X91" s="8">
        <f t="shared" si="86"/>
        <v>11912.810999999992</v>
      </c>
      <c r="Y91" s="8">
        <f t="shared" si="86"/>
        <v>-28756.318999999996</v>
      </c>
      <c r="Z91" s="4"/>
      <c r="AA91" s="8">
        <f t="shared" si="86"/>
        <v>-5394.7660000000014</v>
      </c>
      <c r="AB91" s="8">
        <f t="shared" si="86"/>
        <v>818.32600000000593</v>
      </c>
      <c r="AC91" s="8">
        <f t="shared" si="86"/>
        <v>15641.698999999999</v>
      </c>
      <c r="AD91" s="8">
        <f t="shared" si="86"/>
        <v>5935.5240000000013</v>
      </c>
      <c r="AE91" s="8">
        <f t="shared" si="86"/>
        <v>-3950.3499999999985</v>
      </c>
      <c r="AF91" s="1"/>
      <c r="AG91" s="8">
        <f t="shared" si="86"/>
        <v>15033.300000000001</v>
      </c>
      <c r="AH91" s="8">
        <f t="shared" si="86"/>
        <v>9733.0639999999912</v>
      </c>
    </row>
    <row r="92" spans="2:34" ht="13.5" customHeight="1">
      <c r="B92" s="7" t="s">
        <v>471</v>
      </c>
      <c r="C92" s="4">
        <f>-234.68-348.938-1614.614+2295.452-3428.074+789.278</f>
        <v>-2541.576</v>
      </c>
      <c r="D92" s="4">
        <f>-1014.279+2158.111-3560.647-1744.603-1.592-6162.44</f>
        <v>-10325.449999999999</v>
      </c>
      <c r="E92" s="4">
        <f>-1464.404+3115.854-5140.818-2.299-8897.255</f>
        <v>-12388.921999999999</v>
      </c>
      <c r="F92" s="4">
        <f>-543.356+15307.389-16115.347+14043.065-10257.554</f>
        <v>2434.1970000000001</v>
      </c>
      <c r="G92" s="4">
        <f>-784.491+22100.62-23267.14+20275.204-14809.73</f>
        <v>3514.4630000000034</v>
      </c>
      <c r="H92" s="4">
        <f>-0.068+38699.081-60178.59-703.013+30.844+15311.139-6712.35+13719.342</f>
        <v>166.38500000000386</v>
      </c>
      <c r="I92" s="4">
        <f>-0.089+50654.128-78769.158+20041.106-8785.951-920.19+17957.566</f>
        <v>177.41200000000026</v>
      </c>
      <c r="J92" s="4">
        <f>81869.801-108053.208+4313.672+1955.206+528.041</f>
        <v>-19386.487999999994</v>
      </c>
      <c r="K92" s="6">
        <f>SUM(V92:Y92)</f>
        <v>-29161.608999999997</v>
      </c>
      <c r="M92" s="4">
        <f>2754.381-2266.136+945.912-2087.851</f>
        <v>-653.69400000000019</v>
      </c>
      <c r="N92" s="4">
        <f>8040.092-7076.799+1616.475-7769.311-M92</f>
        <v>-4535.8489999999993</v>
      </c>
      <c r="O92" s="4">
        <f>19072.613-16302.456-9044.139-242.861-N92-M92</f>
        <v>-1327.2999999999986</v>
      </c>
      <c r="P92" s="6">
        <f t="shared" ref="P92:P97" si="87">F92-O92-N92-M92</f>
        <v>8951.0399999999972</v>
      </c>
      <c r="Q92" s="4">
        <f>380.976-5681.588+2582.487-1929.672</f>
        <v>-4647.7970000000005</v>
      </c>
      <c r="R92" s="4">
        <f>4604.462-13064.991+7749.1-4578.331-Q92</f>
        <v>-641.96299999999792</v>
      </c>
      <c r="S92" s="4">
        <f>28052.255-37231.063+13719.342+4995.307-R92-Q92</f>
        <v>14825.600999999999</v>
      </c>
      <c r="T92" s="6">
        <f t="shared" ref="T92:T97" si="88">H92-S92-R92-Q92</f>
        <v>-9369.4559999999965</v>
      </c>
      <c r="U92" s="4">
        <f>16330.026-17520.875+1480.127</f>
        <v>289.27799999999979</v>
      </c>
      <c r="V92" s="4">
        <f>39298.469-43862.999+1651.129-U92</f>
        <v>-3202.679000000006</v>
      </c>
      <c r="W92" s="6">
        <f t="shared" ref="W92:W97" si="89">AH92-U92-V92</f>
        <v>-4607.2579999999944</v>
      </c>
      <c r="X92" s="6">
        <f t="shared" ref="X92:X97" si="90">J92-W92-V92-U92</f>
        <v>-11865.828999999994</v>
      </c>
      <c r="Y92" s="4">
        <f>36856.157-47532.952+1190.952</f>
        <v>-9485.8429999999989</v>
      </c>
      <c r="Z92" s="4"/>
      <c r="AA92" s="4">
        <f>526.142-7846.491+3566.514-2664.951</f>
        <v>-6418.7860000000001</v>
      </c>
      <c r="AB92" s="4">
        <f>6218.264-17644.095-6182.975+10465.056-AA92</f>
        <v>-724.96400000000358</v>
      </c>
      <c r="AC92" s="6">
        <f t="shared" ref="AC92:AC97" si="91">AG92-AB92-AA92</f>
        <v>19854.455000000002</v>
      </c>
      <c r="AD92" s="6">
        <f t="shared" ref="AD92:AD97" si="92">I92-SUM(AA92:AC92)</f>
        <v>-12533.292999999998</v>
      </c>
      <c r="AE92" s="4">
        <f>21370.363-22928.773+1936.975+2253.256</f>
        <v>2631.8209999999999</v>
      </c>
      <c r="AG92" s="4">
        <f>(-49626777-1455252+18287061+37391976+8113697)/1000</f>
        <v>12710.705</v>
      </c>
      <c r="AH92" s="4">
        <f>(-72339067+2794296+57756365+4267747)/1000</f>
        <v>-7520.6589999999997</v>
      </c>
    </row>
    <row r="93" spans="2:34" ht="13.5" customHeight="1">
      <c r="B93" s="7" t="s">
        <v>473</v>
      </c>
      <c r="C93" s="4">
        <v>0</v>
      </c>
      <c r="D93" s="4">
        <v>0</v>
      </c>
      <c r="E93" s="4">
        <v>0</v>
      </c>
      <c r="F93" s="4">
        <v>0</v>
      </c>
      <c r="G93" s="4">
        <v>0</v>
      </c>
      <c r="H93" s="4">
        <v>0</v>
      </c>
      <c r="I93" s="4">
        <f>-429.322</f>
        <v>-429.322</v>
      </c>
      <c r="J93" s="4">
        <f>-257.576</f>
        <v>-257.57600000000002</v>
      </c>
      <c r="K93" s="6">
        <f t="shared" si="83"/>
        <v>-257.57600000000002</v>
      </c>
      <c r="M93" s="4">
        <v>0</v>
      </c>
      <c r="N93" s="4">
        <v>0</v>
      </c>
      <c r="O93" s="4">
        <v>0</v>
      </c>
      <c r="P93" s="6">
        <f t="shared" si="87"/>
        <v>0</v>
      </c>
      <c r="Q93" s="4">
        <v>0</v>
      </c>
      <c r="R93" s="4">
        <v>0</v>
      </c>
      <c r="S93" s="4">
        <v>0</v>
      </c>
      <c r="T93" s="6">
        <f t="shared" si="88"/>
        <v>0</v>
      </c>
      <c r="U93" s="4">
        <v>0</v>
      </c>
      <c r="V93" s="4">
        <f>-53.008-U93</f>
        <v>-53.008000000000003</v>
      </c>
      <c r="W93" s="6">
        <f t="shared" si="89"/>
        <v>-3.9779999999999944</v>
      </c>
      <c r="X93" s="6">
        <f t="shared" si="90"/>
        <v>-200.59</v>
      </c>
      <c r="Y93" s="4">
        <v>0</v>
      </c>
      <c r="Z93" s="4"/>
      <c r="AA93" s="4">
        <v>0</v>
      </c>
      <c r="AB93" s="4">
        <f>0-AA93</f>
        <v>0</v>
      </c>
      <c r="AC93" s="6">
        <f t="shared" si="91"/>
        <v>-411.404</v>
      </c>
      <c r="AD93" s="6">
        <f t="shared" si="92"/>
        <v>-17.918000000000006</v>
      </c>
      <c r="AE93" s="4">
        <v>-65.436999999999998</v>
      </c>
      <c r="AG93" s="4">
        <v>-411.404</v>
      </c>
      <c r="AH93" s="4">
        <v>-56.985999999999997</v>
      </c>
    </row>
    <row r="94" spans="2:34" ht="13.5" customHeight="1">
      <c r="B94" s="7" t="s">
        <v>474</v>
      </c>
      <c r="C94" s="4">
        <f>-8962.728-0.858</f>
        <v>-8963.5859999999993</v>
      </c>
      <c r="D94" s="4">
        <f>-2391.534</f>
        <v>-2391.5340000000001</v>
      </c>
      <c r="E94" s="4">
        <f>-3452.867</f>
        <v>-3452.8670000000002</v>
      </c>
      <c r="F94" s="4">
        <f>-2484.979-50.755</f>
        <v>-2535.7339999999999</v>
      </c>
      <c r="G94" s="4">
        <f>-3587.782-73.279</f>
        <v>-3661.0610000000001</v>
      </c>
      <c r="H94" s="4">
        <f>-7314.621-327.996</f>
        <v>-7642.6170000000002</v>
      </c>
      <c r="I94" s="4">
        <f>-9574.277</f>
        <v>-9574.277</v>
      </c>
      <c r="J94" s="4">
        <f>-8985.749</f>
        <v>-8985.7489999999998</v>
      </c>
      <c r="K94" s="6">
        <f>SUM(V94:Y94)</f>
        <v>-8985.7489999999998</v>
      </c>
      <c r="M94" s="4">
        <v>0</v>
      </c>
      <c r="N94" s="4">
        <f>-63.309-M94</f>
        <v>-63.308999999999997</v>
      </c>
      <c r="O94" s="4">
        <f>0-N94-M94</f>
        <v>63.308999999999997</v>
      </c>
      <c r="P94" s="6">
        <f t="shared" si="87"/>
        <v>-2535.7339999999999</v>
      </c>
      <c r="Q94" s="4">
        <v>0</v>
      </c>
      <c r="R94" s="4">
        <v>0</v>
      </c>
      <c r="S94" s="4">
        <v>0</v>
      </c>
      <c r="T94" s="6">
        <f t="shared" si="88"/>
        <v>-7642.6170000000002</v>
      </c>
      <c r="U94" s="4">
        <v>0</v>
      </c>
      <c r="V94" s="4">
        <f>-3659.876-U94</f>
        <v>-3659.8760000000002</v>
      </c>
      <c r="W94" s="6">
        <f t="shared" si="89"/>
        <v>-632.92199999999957</v>
      </c>
      <c r="X94" s="6">
        <f t="shared" si="90"/>
        <v>-4692.9510000000009</v>
      </c>
      <c r="Y94" s="4">
        <v>0</v>
      </c>
      <c r="Z94" s="4"/>
      <c r="AA94" s="4">
        <v>0</v>
      </c>
      <c r="AB94" s="4">
        <f>0-AA94</f>
        <v>0</v>
      </c>
      <c r="AC94" s="6">
        <f t="shared" si="91"/>
        <v>0</v>
      </c>
      <c r="AD94" s="6">
        <f t="shared" si="92"/>
        <v>-9574.277</v>
      </c>
      <c r="AE94" s="4">
        <v>0</v>
      </c>
      <c r="AG94" s="4">
        <v>0</v>
      </c>
      <c r="AH94" s="4">
        <v>-4292.7979999999998</v>
      </c>
    </row>
    <row r="95" spans="2:34" ht="12.75">
      <c r="B95" s="7" t="s">
        <v>805</v>
      </c>
      <c r="C95" s="4">
        <f>636.194-470.654</f>
        <v>165.53999999999996</v>
      </c>
      <c r="D95" s="4">
        <f>4472.292-3564.408</f>
        <v>907.88400000000047</v>
      </c>
      <c r="E95" s="4">
        <f>6457.04-5146.248</f>
        <v>1310.7920000000004</v>
      </c>
      <c r="F95" s="4">
        <f>7824.254-5289.151</f>
        <v>2535.1030000000001</v>
      </c>
      <c r="G95" s="4">
        <f>11296.562-7636.411</f>
        <v>3660.1509999999998</v>
      </c>
      <c r="H95" s="4">
        <f>14870.998-15280.501</f>
        <v>-409.50300000000061</v>
      </c>
      <c r="I95" s="4">
        <f>19464.996-20001.004</f>
        <v>-536.00800000000163</v>
      </c>
      <c r="J95" s="4">
        <f>51166.565-33961.746</f>
        <v>17204.819000000003</v>
      </c>
      <c r="K95" s="6">
        <f t="shared" si="83"/>
        <v>-19736.059999999998</v>
      </c>
      <c r="M95" s="4">
        <f>1753.824-1036.744</f>
        <v>717.08000000000015</v>
      </c>
      <c r="N95" s="4">
        <f>3258.627-2541.094-M95</f>
        <v>0.45299999999974716</v>
      </c>
      <c r="O95" s="4">
        <f>8974.634-5286.418-M95-N95</f>
        <v>2970.6830000000009</v>
      </c>
      <c r="P95" s="6">
        <f t="shared" si="87"/>
        <v>-1153.1130000000007</v>
      </c>
      <c r="Q95" s="4">
        <f>4963.951-3241.637</f>
        <v>1722.3139999999999</v>
      </c>
      <c r="R95" s="4">
        <f>6679.678-4678.878-Q95</f>
        <v>278.48600000000033</v>
      </c>
      <c r="S95" s="4">
        <f>11494.335-10456.494-Q95-R95</f>
        <v>-962.95900000000165</v>
      </c>
      <c r="T95" s="6">
        <f t="shared" si="88"/>
        <v>-1447.3439999999991</v>
      </c>
      <c r="U95" s="4">
        <f>39437.944-1949.98</f>
        <v>37487.964</v>
      </c>
      <c r="V95" s="4">
        <f>43064.644-6050.01-U95</f>
        <v>-473.33000000000175</v>
      </c>
      <c r="W95" s="6">
        <f t="shared" si="89"/>
        <v>2063.510000000002</v>
      </c>
      <c r="X95" s="6">
        <f t="shared" si="90"/>
        <v>-21873.324999999997</v>
      </c>
      <c r="Y95" s="4">
        <f>2919.493-2372.408</f>
        <v>547.08500000000004</v>
      </c>
      <c r="Z95" s="4"/>
      <c r="AA95" s="4">
        <f>6855.406-4476.825</f>
        <v>2378.5810000000001</v>
      </c>
      <c r="AB95" s="4">
        <f>9020.815-6318.762-AA95</f>
        <v>323.47200000000066</v>
      </c>
      <c r="AC95" s="6">
        <f t="shared" si="91"/>
        <v>-1318.6730000000007</v>
      </c>
      <c r="AD95" s="6">
        <f t="shared" si="92"/>
        <v>-1919.3880000000017</v>
      </c>
      <c r="AE95" s="4">
        <f>51610.644-2551.85</f>
        <v>49058.794000000002</v>
      </c>
      <c r="AG95" s="4">
        <f>(15321260-13937880)/1000</f>
        <v>1383.38</v>
      </c>
      <c r="AH95" s="4">
        <f>(48088113-9009969)/1000</f>
        <v>39078.144</v>
      </c>
    </row>
    <row r="96" spans="2:34" ht="13.5" customHeight="1">
      <c r="B96" s="7" t="s">
        <v>476</v>
      </c>
      <c r="C96" s="4">
        <f>43150.81-41372.286-3129.58</f>
        <v>-1351.0560000000023</v>
      </c>
      <c r="D96" s="4">
        <f>53139.28-44653.449-4310.581</f>
        <v>4175.2499999999982</v>
      </c>
      <c r="E96" s="4">
        <f>76721.84-64470.101-6223.564</f>
        <v>6028.1749999999938</v>
      </c>
      <c r="F96" s="4">
        <f>62689.793-54790.77-4121.99</f>
        <v>3777.0330000000013</v>
      </c>
      <c r="G96" s="4">
        <f>90510.753-79106.241-5951.279</f>
        <v>5453.233000000002</v>
      </c>
      <c r="H96" s="4">
        <f>51431.455-47027.783-5723.476</f>
        <v>-1319.804000000001</v>
      </c>
      <c r="I96" s="4">
        <f>67319.829-61555.76-7491.591</f>
        <v>-1727.5220000000045</v>
      </c>
      <c r="J96" s="4">
        <f>90940.793-92008.008-9036.861</f>
        <v>-10104.075999999997</v>
      </c>
      <c r="K96" s="6">
        <f t="shared" si="83"/>
        <v>33422.793000000005</v>
      </c>
      <c r="M96" s="4">
        <f>13868.141-10332.988-1244.586-58.4</f>
        <v>2232.1669999999999</v>
      </c>
      <c r="N96" s="4">
        <f>38556.736-28919.012-2612.762-M96</f>
        <v>4792.7949999999983</v>
      </c>
      <c r="O96" s="4">
        <f>-50878.582+61914.637-4092.658-N96-M96</f>
        <v>-81.564999999997326</v>
      </c>
      <c r="P96" s="6">
        <f t="shared" si="87"/>
        <v>-3166.3639999999996</v>
      </c>
      <c r="Q96" s="4">
        <f>14713.424-9996.223-1348.84</f>
        <v>3368.3610000000008</v>
      </c>
      <c r="R96" s="4">
        <f>28528.677-22831.951-2379.286-Q96</f>
        <v>-50.921000000002095</v>
      </c>
      <c r="S96" s="4">
        <f>36879.922-32058.389-308.644-3950.543-R96-Q96</f>
        <v>-2755.0939999999996</v>
      </c>
      <c r="T96" s="6">
        <f t="shared" si="88"/>
        <v>-1882.15</v>
      </c>
      <c r="U96" s="4">
        <f>20177.262-21950.135-1760.703</f>
        <v>-3533.5759999999996</v>
      </c>
      <c r="V96" s="4">
        <f>43724.028-38287.09-U96</f>
        <v>8970.514000000001</v>
      </c>
      <c r="W96" s="6">
        <f t="shared" si="89"/>
        <v>657.86499999999796</v>
      </c>
      <c r="X96" s="6">
        <f t="shared" si="90"/>
        <v>-16198.878999999995</v>
      </c>
      <c r="Y96" s="4">
        <f>56112.44-12455.942-3663.205</f>
        <v>39993.293000000005</v>
      </c>
      <c r="Z96" s="4"/>
      <c r="AA96" s="4">
        <f>20319.802-13805.167-1862.8</f>
        <v>4651.835</v>
      </c>
      <c r="AB96" s="4">
        <f>38527.595-30834.243-AA96</f>
        <v>3041.5170000000026</v>
      </c>
      <c r="AC96" s="6">
        <f t="shared" si="91"/>
        <v>-1266.5380000000023</v>
      </c>
      <c r="AD96" s="6">
        <f t="shared" si="92"/>
        <v>-8154.3360000000048</v>
      </c>
      <c r="AE96" s="4">
        <f>26405.065-28725.144-2304.152</f>
        <v>-4624.2310000000016</v>
      </c>
      <c r="AG96" s="4">
        <f>(49158727-42731913)/1000</f>
        <v>6426.8140000000003</v>
      </c>
      <c r="AH96" s="4">
        <f>(69746471-63651668)/1000</f>
        <v>6094.8029999999999</v>
      </c>
    </row>
    <row r="97" spans="2:34" ht="13.5" customHeight="1">
      <c r="B97" s="7" t="s">
        <v>477</v>
      </c>
      <c r="C97" s="4">
        <f>5987.453-5715.348</f>
        <v>272.10500000000047</v>
      </c>
      <c r="D97" s="4">
        <f>5961.522-5264.741</f>
        <v>696.78099999999995</v>
      </c>
      <c r="E97" s="4">
        <f>8607.172-7601.168</f>
        <v>1006.0040000000008</v>
      </c>
      <c r="F97" s="4">
        <f>7749.663-4756.73</f>
        <v>2992.933</v>
      </c>
      <c r="G97" s="4">
        <f>11188.868-6867.708</f>
        <v>4321.1600000000008</v>
      </c>
      <c r="H97" s="4">
        <f>5417.456-5791.757-38</f>
        <v>-412.30099999999948</v>
      </c>
      <c r="I97" s="4">
        <f>7091.034-7580.966-49.739</f>
        <v>-539.67100000000073</v>
      </c>
      <c r="J97" s="4">
        <f>9747.641-9136.039</f>
        <v>611.60199999999895</v>
      </c>
      <c r="K97" s="6">
        <f t="shared" si="83"/>
        <v>-3780.2590000000009</v>
      </c>
      <c r="M97" s="4">
        <f>163.43-255.468</f>
        <v>-92.037999999999982</v>
      </c>
      <c r="N97" s="4">
        <f>2820.564-2885.255-M97</f>
        <v>27.346999999999724</v>
      </c>
      <c r="O97" s="4">
        <f>4086.562-3279.296-41.496-N97-M97</f>
        <v>830.46100000000035</v>
      </c>
      <c r="P97" s="6">
        <f t="shared" si="87"/>
        <v>2227.163</v>
      </c>
      <c r="Q97" s="4">
        <f>88.833-179.935</f>
        <v>-91.102000000000004</v>
      </c>
      <c r="R97" s="4">
        <f>2323.56-2713.834-Q97</f>
        <v>-299.17199999999991</v>
      </c>
      <c r="S97" s="4">
        <f>2380.597-2902.772-38-R97-Q97</f>
        <v>-169.90099999999981</v>
      </c>
      <c r="T97" s="6">
        <f t="shared" si="88"/>
        <v>147.87400000000025</v>
      </c>
      <c r="U97" s="4">
        <f>159.654-353.081-50.003</f>
        <v>-243.43</v>
      </c>
      <c r="V97" s="4">
        <f>3238.559-3630.492-3539.435-U97</f>
        <v>-3687.9380000000001</v>
      </c>
      <c r="W97" s="6">
        <f t="shared" si="89"/>
        <v>-3447.9039999999995</v>
      </c>
      <c r="X97" s="6">
        <f t="shared" si="90"/>
        <v>7990.8739999999989</v>
      </c>
      <c r="Y97" s="4">
        <f>445.873-5081.164</f>
        <v>-4635.2910000000002</v>
      </c>
      <c r="Z97" s="4"/>
      <c r="AA97" s="4">
        <f>122.682-248.497</f>
        <v>-125.81500000000001</v>
      </c>
      <c r="AB97" s="4">
        <f>3137.937-3664.996-3213.194-AA97</f>
        <v>-3614.4380000000001</v>
      </c>
      <c r="AC97" s="6">
        <f t="shared" si="91"/>
        <v>-2272.2639999999997</v>
      </c>
      <c r="AD97" s="6">
        <f t="shared" si="92"/>
        <v>5472.8459999999995</v>
      </c>
      <c r="AE97" s="4">
        <f>208.932-462.061</f>
        <v>-253.12899999999999</v>
      </c>
      <c r="AG97" s="4">
        <f>(3173193-3869221-50652-5265837)/1000</f>
        <v>-6012.5169999999998</v>
      </c>
      <c r="AH97" s="4">
        <f>(3623908-4139506-6863674)/1000</f>
        <v>-7379.2719999999999</v>
      </c>
    </row>
    <row r="98" spans="2:34" s="5" customFormat="1" ht="13.5" customHeight="1">
      <c r="B98" s="16" t="s">
        <v>478</v>
      </c>
      <c r="C98" s="8">
        <f t="shared" ref="C98:K98" si="93">SUM(C91:C97)</f>
        <v>-2105.8250000000053</v>
      </c>
      <c r="D98" s="8">
        <f t="shared" si="93"/>
        <v>-1604.5110000000013</v>
      </c>
      <c r="E98" s="8">
        <f t="shared" si="93"/>
        <v>202.26599999998143</v>
      </c>
      <c r="F98" s="8">
        <f t="shared" si="93"/>
        <v>19397.244999999992</v>
      </c>
      <c r="G98" s="8">
        <f t="shared" si="93"/>
        <v>28005.504000000019</v>
      </c>
      <c r="H98" s="8">
        <f t="shared" si="93"/>
        <v>3339.6870000000245</v>
      </c>
      <c r="I98" s="8">
        <f t="shared" si="93"/>
        <v>4371.3949999999895</v>
      </c>
      <c r="J98" s="8">
        <f t="shared" si="93"/>
        <v>-3930.2679999999928</v>
      </c>
      <c r="K98" s="8">
        <f t="shared" si="93"/>
        <v>-38970.753999999994</v>
      </c>
      <c r="L98" s="1"/>
      <c r="M98" s="8">
        <f t="shared" ref="M98:U98" si="94">SUM(M91:M97)</f>
        <v>419.05600000000254</v>
      </c>
      <c r="N98" s="8">
        <f t="shared" si="94"/>
        <v>-588.23500000000786</v>
      </c>
      <c r="O98" s="8">
        <f t="shared" si="94"/>
        <v>4913.6610000000082</v>
      </c>
      <c r="P98" s="8">
        <f t="shared" si="94"/>
        <v>14652.76299999999</v>
      </c>
      <c r="Q98" s="8">
        <f t="shared" si="94"/>
        <v>-3776.4289999999992</v>
      </c>
      <c r="R98" s="8">
        <f t="shared" si="94"/>
        <v>-711.40400000000034</v>
      </c>
      <c r="S98" s="8">
        <f t="shared" si="94"/>
        <v>16396.069999999982</v>
      </c>
      <c r="T98" s="8">
        <f t="shared" si="94"/>
        <v>-8568.5499999999811</v>
      </c>
      <c r="U98" s="8">
        <f t="shared" si="94"/>
        <v>32703.411</v>
      </c>
      <c r="V98" s="8">
        <f>SUM(V91:V97)</f>
        <v>-1697.9639999999972</v>
      </c>
      <c r="W98" s="8">
        <f>SUM(W91:W97)</f>
        <v>-7.8259999999963838</v>
      </c>
      <c r="X98" s="8">
        <f>SUM(X91:X97)</f>
        <v>-34927.888999999996</v>
      </c>
      <c r="Y98" s="8">
        <f>SUM(Y91:Y97)</f>
        <v>-2337.0749999999925</v>
      </c>
      <c r="Z98" s="8"/>
      <c r="AA98" s="8">
        <f>SUM(AA91:AA97)</f>
        <v>-4908.9510000000009</v>
      </c>
      <c r="AB98" s="8">
        <f>SUM(AB91:AB97)</f>
        <v>-156.08699999999453</v>
      </c>
      <c r="AC98" s="8">
        <f>SUM(AC91:AC97)</f>
        <v>30227.274999999998</v>
      </c>
      <c r="AD98" s="8">
        <f>SUM(AD91:AD97)</f>
        <v>-20790.842000000004</v>
      </c>
      <c r="AE98" s="8">
        <f>SUM(AE91:AE97)</f>
        <v>42797.468000000001</v>
      </c>
      <c r="AG98" s="8">
        <f>SUM(AG91:AG97)</f>
        <v>29130.278000000006</v>
      </c>
      <c r="AH98" s="8">
        <f>SUM(AH91:AH97)</f>
        <v>35656.295999999995</v>
      </c>
    </row>
    <row r="99" spans="2:34" ht="13.5" customHeight="1">
      <c r="B99" s="7" t="s">
        <v>479</v>
      </c>
      <c r="C99" s="4">
        <v>15807.882</v>
      </c>
      <c r="D99" s="4">
        <v>-21614.006000000001</v>
      </c>
      <c r="E99" s="4">
        <v>-31206.037</v>
      </c>
      <c r="F99" s="4">
        <v>-16502.366999999998</v>
      </c>
      <c r="G99" s="4">
        <v>-23825.915000000001</v>
      </c>
      <c r="H99" s="4">
        <v>-25430.407999999999</v>
      </c>
      <c r="I99" s="4">
        <v>-33286.451999999997</v>
      </c>
      <c r="J99" s="4">
        <v>-18245.118999999999</v>
      </c>
      <c r="K99" s="6">
        <f t="shared" si="83"/>
        <v>-19323.938999999998</v>
      </c>
      <c r="M99" s="4">
        <v>-4806.8440000000001</v>
      </c>
      <c r="N99" s="4">
        <f>-4808.022-M99</f>
        <v>-1.1779999999998836</v>
      </c>
      <c r="O99" s="4">
        <f>-18743.592-N99-M99</f>
        <v>-13935.57</v>
      </c>
      <c r="P99" s="6">
        <f>F99-O99-N99-M99</f>
        <v>2241.2250000000013</v>
      </c>
      <c r="Q99" s="4">
        <v>-7185.6589999999997</v>
      </c>
      <c r="R99" s="4">
        <f>-12997.838-Q99</f>
        <v>-5812.1790000000001</v>
      </c>
      <c r="S99" s="4">
        <f>-20181.071-R99-Q99</f>
        <v>-7183.2330000000002</v>
      </c>
      <c r="T99" s="6">
        <f>H99-S99-R99-Q99</f>
        <v>-5249.3369999999995</v>
      </c>
      <c r="U99" s="4">
        <v>-6352.848</v>
      </c>
      <c r="V99" s="4">
        <f>-12360.186-U99</f>
        <v>-6007.3379999999997</v>
      </c>
      <c r="W99" s="6">
        <f>AH99-U99-V99</f>
        <v>-8787.7960000000003</v>
      </c>
      <c r="X99" s="6">
        <f>J99-W99-V99-U99</f>
        <v>2902.8630000000012</v>
      </c>
      <c r="Y99" s="4">
        <v>-7431.6679999999997</v>
      </c>
      <c r="Z99" s="4"/>
      <c r="AA99" s="4">
        <v>-9923.6669999999995</v>
      </c>
      <c r="AB99" s="4">
        <f>-17553.405-AA99</f>
        <v>-7629.7379999999994</v>
      </c>
      <c r="AC99" s="6">
        <f>AG99-AB99-AA99</f>
        <v>-9346.7529999999988</v>
      </c>
      <c r="AD99" s="6">
        <f>I99-SUM(AA99:AC99)</f>
        <v>-6386.2940000000017</v>
      </c>
      <c r="AE99" s="4">
        <v>-8313.6820000000007</v>
      </c>
      <c r="AG99" s="4">
        <f>(-26900158)/1000</f>
        <v>-26900.157999999999</v>
      </c>
      <c r="AH99" s="4">
        <f>-21147.982</f>
        <v>-21147.982</v>
      </c>
    </row>
    <row r="100" spans="2:34" ht="13.5" customHeight="1">
      <c r="B100" s="7" t="s">
        <v>480</v>
      </c>
      <c r="C100" s="4">
        <f>-9071.63-C98</f>
        <v>-6965.8049999999939</v>
      </c>
      <c r="D100" s="4">
        <f>13957.439-D98</f>
        <v>15561.95</v>
      </c>
      <c r="E100" s="4">
        <f>20151.58-E98</f>
        <v>19949.31400000002</v>
      </c>
      <c r="F100" s="4">
        <f>27585.038-F98</f>
        <v>8187.7930000000088</v>
      </c>
      <c r="G100" s="4">
        <f>39826.939-G98</f>
        <v>11821.434999999979</v>
      </c>
      <c r="H100" s="4">
        <f>16372.778-H98</f>
        <v>13033.090999999975</v>
      </c>
      <c r="I100" s="4">
        <f>21430.709-I98</f>
        <v>17059.314000000009</v>
      </c>
      <c r="J100" s="4">
        <f>20149.99-J98</f>
        <v>24080.257999999994</v>
      </c>
      <c r="K100" s="6">
        <f t="shared" si="83"/>
        <v>22205.36099999999</v>
      </c>
      <c r="M100" s="4">
        <f>1619.385-M98</f>
        <v>1200.3289999999974</v>
      </c>
      <c r="N100" s="4">
        <f>11589.975-N98-M98-M100</f>
        <v>10558.825000000008</v>
      </c>
      <c r="O100" s="4">
        <f>19003.779-O98-N98-N100-M98-M100</f>
        <v>2500.1429999999914</v>
      </c>
      <c r="P100" s="6">
        <f>27585.038-P98-O98-O100-N98-N100-M98-M100</f>
        <v>-6071.5039999999899</v>
      </c>
      <c r="Q100" s="4">
        <f>-1168.996-Q98</f>
        <v>2607.4329999999991</v>
      </c>
      <c r="R100" s="4">
        <f>1106.338-R98-Q98-Q100</f>
        <v>2986.7380000000003</v>
      </c>
      <c r="S100" s="4">
        <f>27537.908-S98-R98-R100-Q98-Q100</f>
        <v>10035.50000000002</v>
      </c>
      <c r="T100" s="6">
        <f>16372.778-T98-S98-S100-R98-R100-Q98-Q100</f>
        <v>-2596.5800000000218</v>
      </c>
      <c r="U100" s="4">
        <f>39099.882-U98</f>
        <v>6396.4709999999977</v>
      </c>
      <c r="V100" s="4">
        <f>48793.084-V98-U98-U100</f>
        <v>11391.166000000005</v>
      </c>
      <c r="W100" s="6">
        <f>57324.403-W98-V98-V100-U98-U100</f>
        <v>8539.1449999999895</v>
      </c>
      <c r="X100" s="6">
        <f>J100-W100-V100-U100</f>
        <v>-2246.5239999999976</v>
      </c>
      <c r="Y100" s="4">
        <f>2184.499-Y98</f>
        <v>4521.5739999999923</v>
      </c>
      <c r="Z100" s="4"/>
      <c r="AA100" s="4">
        <f>-1614.431-AA98</f>
        <v>3294.5200000000009</v>
      </c>
      <c r="AB100" s="4">
        <f>1494.094-AB98-AA98-AA100</f>
        <v>3264.6119999999951</v>
      </c>
      <c r="AC100" s="4">
        <f>36706.381-AC98-AB98-AB100-AA98-AA100</f>
        <v>4985.0120000000024</v>
      </c>
      <c r="AD100" s="6">
        <f>I100-SUM(AA100:AC100)</f>
        <v>5515.170000000011</v>
      </c>
      <c r="AE100" s="4">
        <f>51168.237-AE98</f>
        <v>8370.7690000000002</v>
      </c>
      <c r="AG100" s="4">
        <f>36706.381-AG98-Z98-Z100</f>
        <v>7576.1029999999955</v>
      </c>
      <c r="AH100" s="4">
        <f>57324.403-AH98</f>
        <v>21668.107000000004</v>
      </c>
    </row>
    <row r="101" spans="2:34" ht="13.5" customHeight="1">
      <c r="B101" s="16" t="s">
        <v>481</v>
      </c>
      <c r="C101" s="8">
        <f t="shared" ref="C101:H101" si="95">SUM(C98:C100)</f>
        <v>6736.2519999999995</v>
      </c>
      <c r="D101" s="8">
        <f t="shared" si="95"/>
        <v>-7656.5670000000027</v>
      </c>
      <c r="E101" s="8">
        <f>SUM(E98:E100)</f>
        <v>-11054.456999999999</v>
      </c>
      <c r="F101" s="8">
        <f t="shared" si="95"/>
        <v>11082.671000000002</v>
      </c>
      <c r="G101" s="8">
        <f t="shared" si="95"/>
        <v>16001.023999999998</v>
      </c>
      <c r="H101" s="8">
        <f t="shared" si="95"/>
        <v>-9057.630000000001</v>
      </c>
      <c r="I101" s="8">
        <f>SUM(I98:I100)</f>
        <v>-11855.742999999999</v>
      </c>
      <c r="J101" s="8">
        <f>SUM(J98:J100)</f>
        <v>1904.8710000000028</v>
      </c>
      <c r="K101" s="8">
        <f>SUM(K98,K100)</f>
        <v>-16765.393000000004</v>
      </c>
      <c r="M101" s="8">
        <f t="shared" ref="M101:U101" si="96">SUM(M98,M100)</f>
        <v>1619.385</v>
      </c>
      <c r="N101" s="8">
        <f t="shared" si="96"/>
        <v>9970.59</v>
      </c>
      <c r="O101" s="8">
        <f t="shared" si="96"/>
        <v>7413.8040000000001</v>
      </c>
      <c r="P101" s="8">
        <f t="shared" si="96"/>
        <v>8581.259</v>
      </c>
      <c r="Q101" s="8">
        <f t="shared" si="96"/>
        <v>-1168.9960000000001</v>
      </c>
      <c r="R101" s="8">
        <f t="shared" si="96"/>
        <v>2275.3339999999998</v>
      </c>
      <c r="S101" s="8">
        <f t="shared" si="96"/>
        <v>26431.57</v>
      </c>
      <c r="T101" s="8">
        <f t="shared" si="96"/>
        <v>-11165.130000000003</v>
      </c>
      <c r="U101" s="8">
        <f t="shared" si="96"/>
        <v>39099.881999999998</v>
      </c>
      <c r="V101" s="8">
        <f>SUM(V98,V100)</f>
        <v>9693.2020000000084</v>
      </c>
      <c r="W101" s="8">
        <f>SUM(W98,W100)</f>
        <v>8531.3189999999922</v>
      </c>
      <c r="X101" s="8">
        <f>SUM(X98,X100)</f>
        <v>-37174.412999999993</v>
      </c>
      <c r="Y101" s="8">
        <f>SUM(Y98,Y100)</f>
        <v>2184.4989999999998</v>
      </c>
      <c r="Z101" s="8"/>
      <c r="AA101" s="8">
        <f>SUM(AA98,AA100)</f>
        <v>-1614.431</v>
      </c>
      <c r="AB101" s="8">
        <f>SUM(AB98,AB100)</f>
        <v>3108.5250000000005</v>
      </c>
      <c r="AC101" s="8">
        <f>SUM(AC98,AC100)</f>
        <v>35212.286999999997</v>
      </c>
      <c r="AD101" s="6">
        <f>I101-SUM(AA101:AC101)</f>
        <v>-48562.123999999996</v>
      </c>
      <c r="AE101" s="8">
        <f>SUM(AE98,AE100)</f>
        <v>51168.237000000001</v>
      </c>
      <c r="AG101" s="8">
        <f>SUM(AG98,AG100)</f>
        <v>36706.381000000001</v>
      </c>
      <c r="AH101" s="8">
        <f>SUM(AH98,AH100)</f>
        <v>57324.402999999998</v>
      </c>
    </row>
    <row r="102" spans="2:34" s="5" customFormat="1" ht="13.5" customHeight="1">
      <c r="B102" s="16" t="s">
        <v>482</v>
      </c>
      <c r="C102" s="8">
        <f>43662.519+C101</f>
        <v>50398.771000000001</v>
      </c>
      <c r="D102" s="8">
        <f>C102+D101</f>
        <v>42742.203999999998</v>
      </c>
      <c r="E102" s="8">
        <f>72765.126+E101</f>
        <v>61710.669000000009</v>
      </c>
      <c r="F102" s="8">
        <f>D102+F101</f>
        <v>53824.875</v>
      </c>
      <c r="G102" s="8">
        <f>E102+G101</f>
        <v>77711.692999999999</v>
      </c>
      <c r="H102" s="8">
        <f>G102+H101</f>
        <v>68654.062999999995</v>
      </c>
      <c r="I102" s="8">
        <f>101718.644+I101</f>
        <v>89862.900999999998</v>
      </c>
      <c r="J102" s="8">
        <f>I102+J101</f>
        <v>91767.771999999997</v>
      </c>
      <c r="K102" s="8">
        <f>Y102</f>
        <v>95734.241999999984</v>
      </c>
      <c r="L102" s="8"/>
      <c r="M102" s="8">
        <f>49174.33+M101+M99</f>
        <v>45986.871000000006</v>
      </c>
      <c r="N102" s="8">
        <f>53207.222+N101+N99+M99+M101</f>
        <v>59989.17500000001</v>
      </c>
      <c r="O102" s="8">
        <f>58007.674+O101+O99+N99+N101+M99+M101</f>
        <v>58267.861000000012</v>
      </c>
      <c r="P102" s="8">
        <f>42742.2+P101+P99+O99+O101+N99+N101+M101+M99</f>
        <v>53824.870999999992</v>
      </c>
      <c r="Q102" s="8">
        <f>61932.851+Q101+Q99</f>
        <v>53578.196000000004</v>
      </c>
      <c r="R102" s="8">
        <f>67138.236+R101+R99+Q99+Q101</f>
        <v>55246.736000000004</v>
      </c>
      <c r="S102" s="8">
        <f>73126.658+S101+S99+R99+R101+Q99+Q101</f>
        <v>80483.494999999995</v>
      </c>
      <c r="T102" s="8">
        <f>77711.693+T101+T99+S99+S101+R99+R101+Q101+Q99</f>
        <v>68654.062999999995</v>
      </c>
      <c r="U102" s="8">
        <f>75536.45+U101+U99</f>
        <v>108283.484</v>
      </c>
      <c r="V102" s="8">
        <f>80101.394+V101+V99+U99+U101</f>
        <v>116534.292</v>
      </c>
      <c r="W102" s="8">
        <f>86112.508+W101+W99+V99+V101+U99+U101</f>
        <v>122288.92899999999</v>
      </c>
      <c r="X102" s="8">
        <f>I102+X101+X99+W99+W101+V99+V101+U101+U99</f>
        <v>91767.771999999997</v>
      </c>
      <c r="Y102" s="8">
        <f>100981.411+Y101+Y99</f>
        <v>95734.241999999984</v>
      </c>
      <c r="Z102" s="8"/>
      <c r="AA102" s="8">
        <f>85531.638+AA101+AA99</f>
        <v>73993.540000000008</v>
      </c>
      <c r="AB102" s="8">
        <f>90669.286+AB101+AB99+AA99+AA101</f>
        <v>74609.974999999991</v>
      </c>
      <c r="AC102" s="8">
        <f>97473.456+AC101+AC99+AB99+AB101+AA99+AA101</f>
        <v>107279.67900000002</v>
      </c>
      <c r="AD102" s="8">
        <f>101718.644+SUM(AA101:AD101)</f>
        <v>89862.900999999998</v>
      </c>
      <c r="AE102" s="8">
        <f>98851.117+AE101+AE99</f>
        <v>141705.67199999999</v>
      </c>
      <c r="AG102" s="8">
        <f>97473.456+AG101+AG99</f>
        <v>107279.679</v>
      </c>
      <c r="AH102" s="8">
        <f>86112.508+AH101+AH99</f>
        <v>122288.92899999999</v>
      </c>
    </row>
    <row r="103" spans="2:34" s="164" customFormat="1" ht="13.5" customHeight="1">
      <c r="B103" s="719" t="s">
        <v>483</v>
      </c>
      <c r="C103" s="720"/>
      <c r="D103" s="720">
        <f t="shared" ref="D103:K103" si="97">D102-D143</f>
        <v>-33.956000000005588</v>
      </c>
      <c r="E103" s="720"/>
      <c r="F103" s="720">
        <f t="shared" si="97"/>
        <v>3846.1589999999997</v>
      </c>
      <c r="G103" s="720">
        <f t="shared" si="97"/>
        <v>5553.0369999999966</v>
      </c>
      <c r="H103" s="720">
        <f t="shared" si="97"/>
        <v>-280.27000000000407</v>
      </c>
      <c r="I103" s="720">
        <f>I102-I143</f>
        <v>-366.85199999999895</v>
      </c>
      <c r="J103" s="720">
        <f>J102-J143</f>
        <v>-60.510000000009313</v>
      </c>
      <c r="K103" s="720">
        <f t="shared" si="97"/>
        <v>-39.186000000016065</v>
      </c>
      <c r="L103" s="720"/>
      <c r="M103" s="720">
        <f>M102-49174.33</f>
        <v>-3187.4589999999953</v>
      </c>
      <c r="N103" s="720">
        <f>N102-59989.175</f>
        <v>0</v>
      </c>
      <c r="O103" s="720">
        <f>O102-58267.861</f>
        <v>0</v>
      </c>
      <c r="P103" s="720">
        <f t="shared" ref="P103:U103" si="98">P102-P143</f>
        <v>3846.1549999999916</v>
      </c>
      <c r="Q103" s="720">
        <f t="shared" si="98"/>
        <v>4799.4900000000052</v>
      </c>
      <c r="R103" s="720">
        <f t="shared" si="98"/>
        <v>5057.2910000000047</v>
      </c>
      <c r="S103" s="720">
        <f t="shared" si="98"/>
        <v>-525.16700000000128</v>
      </c>
      <c r="T103" s="720">
        <f t="shared" si="98"/>
        <v>-280.27000000000407</v>
      </c>
      <c r="U103" s="720">
        <f t="shared" si="98"/>
        <v>-137.04499999999825</v>
      </c>
      <c r="V103" s="720">
        <f>V102-V143</f>
        <v>-66.804999999993015</v>
      </c>
      <c r="W103" s="720">
        <f>W102-W143</f>
        <v>-57.813000000009197</v>
      </c>
      <c r="X103" s="720">
        <f>X102-X143</f>
        <v>-60.510000000009313</v>
      </c>
      <c r="Y103" s="720">
        <f>Y102-Y143</f>
        <v>-39.186000000016065</v>
      </c>
      <c r="Z103" s="720"/>
      <c r="AA103" s="720"/>
      <c r="AB103" s="720"/>
      <c r="AC103" s="720"/>
      <c r="AD103" s="720"/>
      <c r="AE103" s="720"/>
      <c r="AG103" s="720"/>
      <c r="AH103" s="720"/>
    </row>
    <row r="104" spans="2:34" s="164" customFormat="1" ht="13.5" customHeight="1">
      <c r="B104" s="719" t="s">
        <v>484</v>
      </c>
      <c r="C104" s="720">
        <f>29814.995-C100-C83-C84-C85-C86</f>
        <v>0</v>
      </c>
      <c r="D104" s="720">
        <f>42281.126-D100-D83-D84-D85-D86</f>
        <v>0</v>
      </c>
      <c r="E104" s="720">
        <f>61044.97-E100-E83-E84-E85-E86</f>
        <v>2518.8359999999993</v>
      </c>
      <c r="F104" s="720">
        <f>41721.488-F100-F83-F84-F85-F86</f>
        <v>0</v>
      </c>
      <c r="G104" s="720">
        <f>60236.972-G100-G83-G84-G85-G86</f>
        <v>0</v>
      </c>
      <c r="H104" s="720">
        <f>63257.14-H100-H83-H84-H85-H86</f>
        <v>0</v>
      </c>
      <c r="I104" s="720">
        <f>82798.744-I100-I83-I84-I85-I86</f>
        <v>0</v>
      </c>
      <c r="J104" s="720">
        <f>96619.573-J100-J83-J84-J85-J86</f>
        <v>0</v>
      </c>
      <c r="K104" s="720"/>
      <c r="L104" s="720"/>
      <c r="M104" s="720">
        <f>3638.287-M83-M84-M85-M86-M100</f>
        <v>0</v>
      </c>
      <c r="N104" s="720">
        <f>25274.014-N83-N84-N85-N86-N100-M83-M84-M85-M86-M100</f>
        <v>-3.637978807091713E-12</v>
      </c>
      <c r="O104" s="720">
        <f>37116.147-O83-O84-O85-O86-O100-N83-N84-N85-N86-N100-M83-M84-M85-M86-M100</f>
        <v>3.637978807091713E-12</v>
      </c>
      <c r="P104" s="720">
        <f>41721.488-P83-P84-P85-P86-P100-O83-O84-O85-O86-O100-N83-N84-N85-N86-N100-M83-M84-M85-M86-M100</f>
        <v>3.637978807091713E-12</v>
      </c>
      <c r="Q104" s="720">
        <f>5587.308-Q83-Q84-Q85-Q86-Q100</f>
        <v>0</v>
      </c>
      <c r="R104" s="720">
        <f>16759.903-R83-R84-R85-R86-R100-Q83-Q84-Q85-Q86-Q100</f>
        <v>3.637978807091713E-12</v>
      </c>
      <c r="S104" s="720">
        <f>38446.24-S83-S84-S85-S86-S100-R83-R84-R85-R86-R100-Q83-Q84-Q85-Q86-Q100</f>
        <v>-3.637978807091713E-12</v>
      </c>
      <c r="T104" s="720">
        <f>63257.14-T83-T84-T85-T86-T100-S83-S84-S85-S86-S100-R83-R84-R85-R86-R100-Q83-Q84-Q85-Q86-Q100</f>
        <v>1.0913936421275139E-11</v>
      </c>
      <c r="U104" s="720">
        <f>12729.892-U83-U84-U85-U86-U100</f>
        <v>0</v>
      </c>
      <c r="V104" s="720">
        <f>35863.883-V83-V84-V85-V86-V100-U83-U84-U85-U86-U100</f>
        <v>-1.4551915228366852E-11</v>
      </c>
      <c r="W104" s="720">
        <f>61014.177-W83-W84-W85-W86-W100-V83-V84-V85-V86-V100-U83-U84-U85-U86-U100</f>
        <v>0</v>
      </c>
      <c r="X104" s="720">
        <f>96619.573-X83-X84-X85-X86-X100-W83-W84-W85-W86-W100-V83-V84-V85-V86-V100-U83-U84-U85-U86-U100</f>
        <v>0</v>
      </c>
      <c r="Y104" s="720">
        <f>8527.377-Y83-Y84-Y85-Y86-Y100</f>
        <v>7.2759576141834259E-12</v>
      </c>
      <c r="Z104" s="720"/>
      <c r="AA104" s="720">
        <f>7716.286-AA83-AA84-AA85-AA86-AA100</f>
        <v>0</v>
      </c>
      <c r="AB104" s="720">
        <f>22634.024-AB83-AB84-AB85-AB86-AB100-AA83-AA84-AA85-AA86-AA100</f>
        <v>0</v>
      </c>
      <c r="AC104" s="720">
        <f>51246.535-AC83-AC84-AC85-AC86-AC100-AB83-AB84-AB85-AB86-AB100-AA83-AA84-AA85-AA86-AA100</f>
        <v>0</v>
      </c>
      <c r="AD104" s="720">
        <f>82798.744-AD83-AD84-AD85-AD86-AD100-AC83-AC84-AC85-AC86-AC100-AB83-AB84-AB85-AB86-AB100-AA83-AA84-AA85-AA86-AA100</f>
        <v>-5.9117155615240335E-12</v>
      </c>
      <c r="AE104" s="720">
        <f>16659.031-AE83-AE84-AE85-AE86-AE100</f>
        <v>0</v>
      </c>
      <c r="AG104" s="720">
        <f>51246.535-AG83-AG84-AG85-AG86-AG100</f>
        <v>7.2759576141834259E-12</v>
      </c>
      <c r="AH104" s="720">
        <f>61014.177-AH83-AH84-AH85-AH86-AH100</f>
        <v>0</v>
      </c>
    </row>
    <row r="105" spans="2:34" ht="11.25" customHeight="1">
      <c r="C105" s="63"/>
      <c r="D105" s="63"/>
      <c r="E105" s="63"/>
      <c r="F105" s="63"/>
      <c r="G105" s="63"/>
      <c r="H105" s="63"/>
      <c r="Z105" s="470"/>
      <c r="AB105" s="470"/>
      <c r="AC105" s="470"/>
      <c r="AD105" s="470"/>
      <c r="AE105" s="470"/>
      <c r="AG105" s="470"/>
      <c r="AH105" s="470"/>
    </row>
    <row r="106" spans="2:34" ht="13.5" customHeight="1">
      <c r="B106" s="543" t="s">
        <v>485</v>
      </c>
      <c r="C106" s="574">
        <f t="shared" ref="C106:K106" si="99">+C3</f>
        <v>44561</v>
      </c>
      <c r="D106" s="574">
        <f t="shared" si="99"/>
        <v>44926</v>
      </c>
      <c r="E106" s="574">
        <f t="shared" si="99"/>
        <v>44926</v>
      </c>
      <c r="F106" s="574">
        <f t="shared" si="99"/>
        <v>45291</v>
      </c>
      <c r="G106" s="574">
        <f t="shared" si="99"/>
        <v>45291</v>
      </c>
      <c r="H106" s="574">
        <f t="shared" si="99"/>
        <v>45657</v>
      </c>
      <c r="I106" s="574">
        <f t="shared" si="99"/>
        <v>45657</v>
      </c>
      <c r="J106" s="574">
        <f t="shared" si="99"/>
        <v>46022</v>
      </c>
      <c r="K106" s="574">
        <f t="shared" si="99"/>
        <v>46112</v>
      </c>
      <c r="L106" s="295" t="s">
        <v>397</v>
      </c>
      <c r="M106" s="574">
        <f t="shared" ref="M106:Y106" si="100">+M3</f>
        <v>45016</v>
      </c>
      <c r="N106" s="574">
        <f t="shared" si="100"/>
        <v>45107</v>
      </c>
      <c r="O106" s="574">
        <f t="shared" si="100"/>
        <v>45199</v>
      </c>
      <c r="P106" s="574">
        <f t="shared" si="100"/>
        <v>45291</v>
      </c>
      <c r="Q106" s="574">
        <f t="shared" si="100"/>
        <v>45382</v>
      </c>
      <c r="R106" s="574">
        <f t="shared" si="100"/>
        <v>45473</v>
      </c>
      <c r="S106" s="574">
        <f t="shared" si="100"/>
        <v>45565</v>
      </c>
      <c r="T106" s="574">
        <f t="shared" si="100"/>
        <v>45657</v>
      </c>
      <c r="U106" s="574">
        <f t="shared" si="100"/>
        <v>45747</v>
      </c>
      <c r="V106" s="574">
        <f t="shared" si="100"/>
        <v>45838</v>
      </c>
      <c r="W106" s="576">
        <f t="shared" si="100"/>
        <v>45930</v>
      </c>
      <c r="X106" s="576">
        <f t="shared" si="100"/>
        <v>46022</v>
      </c>
      <c r="Y106" s="576">
        <f t="shared" si="100"/>
        <v>46112</v>
      </c>
      <c r="Z106" s="295"/>
      <c r="AA106" s="576">
        <f>+AA3</f>
        <v>45382</v>
      </c>
      <c r="AB106" s="576">
        <f>+AB3</f>
        <v>45473</v>
      </c>
      <c r="AC106" s="576">
        <f>+AC3</f>
        <v>45565</v>
      </c>
      <c r="AD106" s="576">
        <f>+AD3</f>
        <v>45656</v>
      </c>
      <c r="AE106" s="576">
        <f>+AE3</f>
        <v>45747</v>
      </c>
      <c r="AG106" s="576">
        <f>+AG3</f>
        <v>45565</v>
      </c>
      <c r="AH106" s="576">
        <f>+AH3</f>
        <v>45930</v>
      </c>
    </row>
    <row r="107" spans="2:34" ht="13.5" customHeight="1">
      <c r="B107" s="1" t="str">
        <f>+B15</f>
        <v>Total Revenues</v>
      </c>
      <c r="C107" s="6">
        <f t="shared" ref="C107:K107" si="101">C15</f>
        <v>108599.644</v>
      </c>
      <c r="D107" s="6">
        <f t="shared" si="101"/>
        <v>93486.846000000005</v>
      </c>
      <c r="E107" s="6">
        <f t="shared" si="101"/>
        <v>134975.15899999999</v>
      </c>
      <c r="F107" s="6">
        <f t="shared" si="101"/>
        <v>107116.18399999999</v>
      </c>
      <c r="G107" s="6">
        <f t="shared" si="101"/>
        <v>154653.03100000002</v>
      </c>
      <c r="H107" s="6">
        <f t="shared" si="101"/>
        <v>166671.36400000003</v>
      </c>
      <c r="I107" s="6">
        <f t="shared" si="101"/>
        <v>218160.03</v>
      </c>
      <c r="J107" s="6">
        <f t="shared" si="101"/>
        <v>241470.821</v>
      </c>
      <c r="K107" s="6">
        <f t="shared" si="101"/>
        <v>261885.139</v>
      </c>
      <c r="L107" s="6"/>
      <c r="M107" s="659"/>
      <c r="N107" s="659"/>
      <c r="O107" s="659"/>
      <c r="P107" s="6">
        <f>SUM(M15:P15)</f>
        <v>107116.18400000001</v>
      </c>
      <c r="Q107" s="6">
        <f>Q15+F15-M15</f>
        <v>110369.39999999998</v>
      </c>
      <c r="R107" s="6">
        <f>R15+F15-N15</f>
        <v>107000.792</v>
      </c>
      <c r="S107" s="6">
        <f>S15+F15-O15</f>
        <v>109697.48399999997</v>
      </c>
      <c r="T107" s="6">
        <f>SUM(Q15:T15)</f>
        <v>166671.364</v>
      </c>
      <c r="U107" s="6">
        <f>SUM(R15:U15)</f>
        <v>183811.67199999999</v>
      </c>
      <c r="V107" s="6">
        <f>SUM(S15:V15)</f>
        <v>201920.201</v>
      </c>
      <c r="W107" s="6">
        <f>W15+U15+V15+T15</f>
        <v>221284.27800000002</v>
      </c>
      <c r="X107" s="6">
        <f>SUM(U15:X15)</f>
        <v>241470.821</v>
      </c>
      <c r="Y107" s="6">
        <f>SUM(V15:Y15)</f>
        <v>261885.139</v>
      </c>
      <c r="Z107" s="6"/>
      <c r="AA107" s="660"/>
      <c r="AB107" s="752"/>
      <c r="AC107" s="752"/>
      <c r="AD107" s="6">
        <f>SUM(AA15:AD15)</f>
        <v>218160.03</v>
      </c>
      <c r="AE107" s="6">
        <f>SUM(AB15:AE15)</f>
        <v>238359.73600000003</v>
      </c>
      <c r="AG107" s="660"/>
      <c r="AH107" s="660"/>
    </row>
    <row r="108" spans="2:34" ht="13.5" customHeight="1">
      <c r="B108" s="1" t="s">
        <v>454</v>
      </c>
      <c r="C108" s="6">
        <f t="shared" ref="C108:K108" si="102">C26</f>
        <v>12101.446000000005</v>
      </c>
      <c r="D108" s="6">
        <f t="shared" si="102"/>
        <v>2953.3700000000013</v>
      </c>
      <c r="E108" s="6">
        <f t="shared" si="102"/>
        <v>4264.0419999999831</v>
      </c>
      <c r="F108" s="6">
        <f t="shared" si="102"/>
        <v>7812.5689999999904</v>
      </c>
      <c r="G108" s="6">
        <f t="shared" si="102"/>
        <v>11279.690000000024</v>
      </c>
      <c r="H108" s="6">
        <f t="shared" si="102"/>
        <v>19912.495000000032</v>
      </c>
      <c r="I108" s="6">
        <f t="shared" si="102"/>
        <v>26063.928000000004</v>
      </c>
      <c r="J108" s="6">
        <f t="shared" si="102"/>
        <v>38313.606</v>
      </c>
      <c r="K108" s="6">
        <f t="shared" si="102"/>
        <v>40561.650999999998</v>
      </c>
      <c r="L108" s="6"/>
      <c r="M108" s="659"/>
      <c r="N108" s="659"/>
      <c r="O108" s="659"/>
      <c r="P108" s="6">
        <f>SUM(M26:P26)</f>
        <v>7812.5689999999904</v>
      </c>
      <c r="Q108" s="6">
        <f>Q26+F26-M26</f>
        <v>8815.9169999999867</v>
      </c>
      <c r="R108" s="6">
        <f>R26+F26-N26</f>
        <v>7165.7999999999911</v>
      </c>
      <c r="S108" s="6">
        <f>S26+F26-O26</f>
        <v>11306.573999999984</v>
      </c>
      <c r="T108" s="6">
        <f>SUM(Q26:T26)</f>
        <v>19912.495000000003</v>
      </c>
      <c r="U108" s="6">
        <f>SUM(R26:U26)</f>
        <v>24372.346000000005</v>
      </c>
      <c r="V108" s="6">
        <f>SUM(S26:V26)</f>
        <v>28524.625000000015</v>
      </c>
      <c r="W108" s="6">
        <f>W26+U26+V26+T26</f>
        <v>31968.341000000019</v>
      </c>
      <c r="X108" s="6">
        <f>SUM(U26:X26)</f>
        <v>38313.606000000007</v>
      </c>
      <c r="Y108" s="6">
        <f>SUM(V26:Y26)</f>
        <v>40561.650999999991</v>
      </c>
      <c r="Z108" s="6"/>
      <c r="AA108" s="660"/>
      <c r="AB108" s="752"/>
      <c r="AC108" s="752"/>
      <c r="AD108" s="6">
        <f>SUM(AA26:AD26)</f>
        <v>26063.928000000022</v>
      </c>
      <c r="AE108" s="6">
        <f>SUM(AB26:AE26)</f>
        <v>31661.17200000002</v>
      </c>
      <c r="AG108" s="660"/>
      <c r="AH108" s="660"/>
    </row>
    <row r="109" spans="2:34" ht="13.5" customHeight="1">
      <c r="B109" s="1" t="s">
        <v>486</v>
      </c>
      <c r="C109" s="6">
        <f t="shared" ref="C109:K109" si="103">C68</f>
        <v>43289.462000000007</v>
      </c>
      <c r="D109" s="6">
        <f t="shared" si="103"/>
        <v>35549.366000000002</v>
      </c>
      <c r="E109" s="6">
        <f t="shared" si="103"/>
        <v>51325.741999999984</v>
      </c>
      <c r="F109" s="6">
        <f t="shared" si="103"/>
        <v>39111.561999999991</v>
      </c>
      <c r="G109" s="6">
        <f t="shared" si="103"/>
        <v>56468.791000000027</v>
      </c>
      <c r="H109" s="6">
        <f t="shared" si="103"/>
        <v>67475.525000000023</v>
      </c>
      <c r="I109" s="6">
        <f t="shared" si="103"/>
        <v>88320.288</v>
      </c>
      <c r="J109" s="6">
        <f t="shared" si="103"/>
        <v>102241.94099999999</v>
      </c>
      <c r="K109" s="6">
        <f t="shared" si="103"/>
        <v>109604.91499999999</v>
      </c>
      <c r="L109" s="6"/>
      <c r="M109" s="659"/>
      <c r="N109" s="659"/>
      <c r="O109" s="659"/>
      <c r="P109" s="6">
        <f>SUM(M68:P68)</f>
        <v>39111.561999999991</v>
      </c>
      <c r="Q109" s="6">
        <f>Q68+F68-M68</f>
        <v>41526.334999999985</v>
      </c>
      <c r="R109" s="6">
        <f>R68+F68-N68</f>
        <v>38785.553999999989</v>
      </c>
      <c r="S109" s="6">
        <f>S68+F68-O68</f>
        <v>43514.724999999984</v>
      </c>
      <c r="T109" s="6">
        <f>SUM(Q68:T68)</f>
        <v>67475.524999999994</v>
      </c>
      <c r="U109" s="6">
        <f>SUM(R68:U68)</f>
        <v>75449.093000000008</v>
      </c>
      <c r="V109" s="6">
        <f>SUM(S68:V68)</f>
        <v>83663.500000000029</v>
      </c>
      <c r="W109" s="6">
        <f>W68+U68+V68+T68</f>
        <v>91708.63900000001</v>
      </c>
      <c r="X109" s="6">
        <f>SUM(U68:X68)</f>
        <v>102241.94100000001</v>
      </c>
      <c r="Y109" s="6">
        <f>SUM(V68:Y68)</f>
        <v>109604.91499999999</v>
      </c>
      <c r="Z109" s="6"/>
      <c r="AA109" s="660"/>
      <c r="AB109" s="752"/>
      <c r="AC109" s="752"/>
      <c r="AD109" s="6">
        <f>SUM(AA68:AD68)</f>
        <v>88320.28800000003</v>
      </c>
      <c r="AE109" s="6">
        <f>SUM(AB68:AE68)</f>
        <v>97847.536000000022</v>
      </c>
      <c r="AG109" s="660"/>
      <c r="AH109" s="660"/>
    </row>
    <row r="110" spans="2:34" s="5" customFormat="1" ht="13.5" customHeight="1">
      <c r="B110" s="1" t="s">
        <v>487</v>
      </c>
      <c r="C110" s="6">
        <f t="shared" ref="C110:K110" si="104">C73</f>
        <v>44943.181000000004</v>
      </c>
      <c r="D110" s="6">
        <f t="shared" si="104"/>
        <v>36607.731</v>
      </c>
      <c r="E110" s="6">
        <f t="shared" si="104"/>
        <v>52853.793999999987</v>
      </c>
      <c r="F110" s="6">
        <f t="shared" si="104"/>
        <v>43877.113999999987</v>
      </c>
      <c r="G110" s="6">
        <f t="shared" si="104"/>
        <v>63349.237000000023</v>
      </c>
      <c r="H110" s="6">
        <f t="shared" si="104"/>
        <v>69802.010000000024</v>
      </c>
      <c r="I110" s="6">
        <f t="shared" si="104"/>
        <v>91365.479000000007</v>
      </c>
      <c r="J110" s="6">
        <f t="shared" si="104"/>
        <v>104016.97500000001</v>
      </c>
      <c r="K110" s="6">
        <f t="shared" si="104"/>
        <v>111357.68999999999</v>
      </c>
      <c r="L110" s="6"/>
      <c r="M110" s="659"/>
      <c r="N110" s="659"/>
      <c r="O110" s="659"/>
      <c r="P110" s="6">
        <f>SUM(M73:P73)</f>
        <v>43877.113999999987</v>
      </c>
      <c r="Q110" s="6">
        <f>Q73+F73-M73</f>
        <v>46277.477999999981</v>
      </c>
      <c r="R110" s="6">
        <f>R73+F73-N73</f>
        <v>43919.162999999993</v>
      </c>
      <c r="S110" s="6">
        <f>S73+F73-O73</f>
        <v>45543.471999999987</v>
      </c>
      <c r="T110" s="6">
        <f>SUM(Q73:T73)</f>
        <v>69802.010000000009</v>
      </c>
      <c r="U110" s="6">
        <f>SUM(R73:U73)</f>
        <v>78006.847999999998</v>
      </c>
      <c r="V110" s="6">
        <f>SUM(S73:V73)</f>
        <v>86205.75</v>
      </c>
      <c r="W110" s="6">
        <f>W73+V73+U73+T73</f>
        <v>94613.900000000023</v>
      </c>
      <c r="X110" s="6">
        <f>SUM(U73:X73)</f>
        <v>104016.97500000001</v>
      </c>
      <c r="Y110" s="6">
        <f>SUM(V73:Y73)</f>
        <v>111357.68999999999</v>
      </c>
      <c r="Z110" s="6"/>
      <c r="AA110" s="660"/>
      <c r="AB110" s="752"/>
      <c r="AC110" s="752"/>
      <c r="AD110" s="6">
        <f>SUM(AA73:AD73)</f>
        <v>91365.479000000007</v>
      </c>
      <c r="AE110" s="6">
        <f>SUM(AB73:AE73)</f>
        <v>101179.57400000001</v>
      </c>
      <c r="AF110" s="1"/>
      <c r="AG110" s="660"/>
      <c r="AH110" s="660"/>
    </row>
    <row r="111" spans="2:34" s="5" customFormat="1" ht="13.5" customHeight="1">
      <c r="B111" s="1" t="s">
        <v>488</v>
      </c>
      <c r="C111" s="6">
        <f t="shared" ref="C111:K111" si="105">C80</f>
        <v>44943.181000000004</v>
      </c>
      <c r="D111" s="6">
        <f t="shared" si="105"/>
        <v>36607.731</v>
      </c>
      <c r="E111" s="6">
        <f t="shared" si="105"/>
        <v>52853.793999999987</v>
      </c>
      <c r="F111" s="6">
        <f t="shared" si="105"/>
        <v>43877.113999999987</v>
      </c>
      <c r="G111" s="6">
        <f t="shared" si="105"/>
        <v>63349.237000000023</v>
      </c>
      <c r="H111" s="6">
        <f t="shared" si="105"/>
        <v>69802.010000000024</v>
      </c>
      <c r="I111" s="6">
        <f t="shared" si="105"/>
        <v>91365.479000000007</v>
      </c>
      <c r="J111" s="6">
        <f t="shared" si="105"/>
        <v>104016.97500000001</v>
      </c>
      <c r="K111" s="6">
        <f t="shared" si="105"/>
        <v>111357.68999999999</v>
      </c>
      <c r="L111" s="6"/>
      <c r="M111" s="659"/>
      <c r="N111" s="659"/>
      <c r="O111" s="659"/>
      <c r="P111" s="6">
        <f>SUM(M80:P80)</f>
        <v>43877.113999999987</v>
      </c>
      <c r="Q111" s="6">
        <f>Q80+F80-M80</f>
        <v>46277.477999999981</v>
      </c>
      <c r="R111" s="6">
        <f>R80+F80-N80</f>
        <v>43919.162999999993</v>
      </c>
      <c r="S111" s="6">
        <f>S80+F80-O80</f>
        <v>45543.471999999987</v>
      </c>
      <c r="T111" s="6">
        <f>SUM(Q80:T80)</f>
        <v>69802.010000000009</v>
      </c>
      <c r="U111" s="6">
        <f>SUM(R80:U80)</f>
        <v>78006.847999999998</v>
      </c>
      <c r="V111" s="6">
        <f>SUM(S80:V80)</f>
        <v>86205.75</v>
      </c>
      <c r="W111" s="6">
        <f>W80+V80+U80+T80</f>
        <v>94613.900000000023</v>
      </c>
      <c r="X111" s="6">
        <f>SUM(U80:X80)</f>
        <v>104016.97500000001</v>
      </c>
      <c r="Y111" s="6">
        <f>SUM(V80:Y80)</f>
        <v>111357.68999999999</v>
      </c>
      <c r="Z111" s="6"/>
      <c r="AA111" s="660"/>
      <c r="AB111" s="752"/>
      <c r="AC111" s="752"/>
      <c r="AD111" s="6">
        <f>SUM(AA80:AD80)</f>
        <v>91365.479000000007</v>
      </c>
      <c r="AE111" s="6">
        <f>SUM(AB80:AE80)</f>
        <v>101179.57400000001</v>
      </c>
      <c r="AF111" s="1"/>
      <c r="AG111" s="660"/>
      <c r="AH111" s="660"/>
    </row>
    <row r="112" spans="2:34" s="5" customFormat="1" ht="13.5" customHeight="1">
      <c r="B112" s="1" t="s">
        <v>489</v>
      </c>
      <c r="C112" s="6">
        <f t="shared" ref="C112:K112" si="106">C78</f>
        <v>0</v>
      </c>
      <c r="D112" s="6">
        <f t="shared" si="106"/>
        <v>0</v>
      </c>
      <c r="E112" s="6">
        <f t="shared" si="106"/>
        <v>0</v>
      </c>
      <c r="F112" s="6">
        <f t="shared" si="106"/>
        <v>0</v>
      </c>
      <c r="G112" s="6">
        <f t="shared" si="106"/>
        <v>0</v>
      </c>
      <c r="H112" s="6">
        <f t="shared" si="106"/>
        <v>0</v>
      </c>
      <c r="I112" s="6">
        <f t="shared" si="106"/>
        <v>0</v>
      </c>
      <c r="J112" s="6">
        <f t="shared" si="106"/>
        <v>0</v>
      </c>
      <c r="K112" s="6">
        <f t="shared" si="106"/>
        <v>0</v>
      </c>
      <c r="L112" s="6"/>
      <c r="M112" s="659"/>
      <c r="N112" s="659"/>
      <c r="O112" s="659"/>
      <c r="P112" s="6" t="e">
        <f>P78+E78-#REF!</f>
        <v>#REF!</v>
      </c>
      <c r="Q112" s="6">
        <f>Q78+F78-M78</f>
        <v>0</v>
      </c>
      <c r="R112" s="6">
        <f>R78+F78-N78</f>
        <v>0</v>
      </c>
      <c r="S112" s="6">
        <f>S78+F78-O78</f>
        <v>0</v>
      </c>
      <c r="T112" s="6">
        <f t="shared" ref="T112:Y112" si="107">SUM(Q78:T78)</f>
        <v>0</v>
      </c>
      <c r="U112" s="6">
        <f t="shared" si="107"/>
        <v>0</v>
      </c>
      <c r="V112" s="6">
        <f t="shared" si="107"/>
        <v>0</v>
      </c>
      <c r="W112" s="6">
        <f t="shared" si="107"/>
        <v>0</v>
      </c>
      <c r="X112" s="6">
        <f t="shared" si="107"/>
        <v>0</v>
      </c>
      <c r="Y112" s="6">
        <f t="shared" si="107"/>
        <v>0</v>
      </c>
      <c r="Z112" s="6"/>
      <c r="AA112" s="660"/>
      <c r="AB112" s="752"/>
      <c r="AC112" s="752"/>
      <c r="AD112" s="6">
        <f>SUM(AA78:AD78)</f>
        <v>0</v>
      </c>
      <c r="AE112" s="6">
        <f>SUM(AB78:AE78)</f>
        <v>0</v>
      </c>
      <c r="AF112" s="1"/>
      <c r="AG112" s="660"/>
      <c r="AH112" s="660"/>
    </row>
    <row r="113" spans="2:34" ht="13.5" customHeight="1">
      <c r="B113" s="1" t="s">
        <v>465</v>
      </c>
      <c r="C113" s="6">
        <f t="shared" ref="C113:K113" si="108">-C86</f>
        <v>6053.3530000000001</v>
      </c>
      <c r="D113" s="6">
        <f t="shared" si="108"/>
        <v>5943.326</v>
      </c>
      <c r="E113" s="6">
        <f t="shared" si="108"/>
        <v>8580.9009999999998</v>
      </c>
      <c r="F113" s="6">
        <f t="shared" si="108"/>
        <v>7356.1369999999997</v>
      </c>
      <c r="G113" s="6">
        <f t="shared" si="108"/>
        <v>10620.7</v>
      </c>
      <c r="H113" s="6">
        <f t="shared" si="108"/>
        <v>13750.356</v>
      </c>
      <c r="I113" s="6">
        <f t="shared" si="108"/>
        <v>17998.161</v>
      </c>
      <c r="J113" s="6">
        <f t="shared" si="108"/>
        <v>17064.006000000001</v>
      </c>
      <c r="K113" s="6">
        <f t="shared" si="108"/>
        <v>18523.745999999999</v>
      </c>
      <c r="L113" s="6"/>
      <c r="M113" s="659"/>
      <c r="N113" s="659"/>
      <c r="O113" s="659"/>
      <c r="P113" s="6">
        <f>-SUM(M86:P86)</f>
        <v>7356.1369999999997</v>
      </c>
      <c r="Q113" s="6">
        <f>-Q86-F86+M86</f>
        <v>8005.2889999999998</v>
      </c>
      <c r="R113" s="6">
        <f>-R86-F86+N86</f>
        <v>8143.0039999999999</v>
      </c>
      <c r="S113" s="6">
        <f>-S86-F86+O86</f>
        <v>8051.6329999999998</v>
      </c>
      <c r="T113" s="6">
        <f t="shared" ref="T113:Y113" si="109">-SUM(Q86:T86)</f>
        <v>13750.356</v>
      </c>
      <c r="U113" s="6">
        <f t="shared" si="109"/>
        <v>15330.770999999999</v>
      </c>
      <c r="V113" s="6">
        <f t="shared" si="109"/>
        <v>16018.436</v>
      </c>
      <c r="W113" s="6">
        <f t="shared" si="109"/>
        <v>18721.013999999999</v>
      </c>
      <c r="X113" s="6">
        <f t="shared" si="109"/>
        <v>17064.006000000001</v>
      </c>
      <c r="Y113" s="6">
        <f t="shared" si="109"/>
        <v>18523.745999999999</v>
      </c>
      <c r="Z113" s="6"/>
      <c r="AA113" s="660"/>
      <c r="AB113" s="752"/>
      <c r="AC113" s="752"/>
      <c r="AD113" s="6">
        <f>-SUM(AA86:AD86)</f>
        <v>17998.161</v>
      </c>
      <c r="AE113" s="6">
        <f>-SUM(AB86:AE86)</f>
        <v>19964.251</v>
      </c>
      <c r="AG113" s="660"/>
      <c r="AH113" s="660"/>
    </row>
    <row r="114" spans="2:34" ht="13.5" customHeight="1">
      <c r="B114" s="1" t="s">
        <v>490</v>
      </c>
      <c r="C114" s="6">
        <f t="shared" ref="C114:K114" si="110">C37</f>
        <v>7135.6250000000045</v>
      </c>
      <c r="D114" s="6">
        <f t="shared" si="110"/>
        <v>6878.8560000000007</v>
      </c>
      <c r="E114" s="6">
        <f t="shared" si="110"/>
        <v>9931.6069999999836</v>
      </c>
      <c r="F114" s="6">
        <f t="shared" si="110"/>
        <v>12532.245999999992</v>
      </c>
      <c r="G114" s="6">
        <f t="shared" si="110"/>
        <v>18093.903000000028</v>
      </c>
      <c r="H114" s="6">
        <f t="shared" si="110"/>
        <v>23514.862000000034</v>
      </c>
      <c r="I114" s="6">
        <f t="shared" si="110"/>
        <v>30779.151000000005</v>
      </c>
      <c r="J114" s="6">
        <f t="shared" si="110"/>
        <v>17604.006999999998</v>
      </c>
      <c r="K114" s="6">
        <f t="shared" si="110"/>
        <v>19156.312000000002</v>
      </c>
      <c r="L114" s="6"/>
      <c r="M114" s="659"/>
      <c r="N114" s="659"/>
      <c r="O114" s="659"/>
      <c r="P114" s="6">
        <f>SUM(M37:P37)</f>
        <v>12532.245999999999</v>
      </c>
      <c r="Q114" s="6">
        <f>Q37+F37-M37</f>
        <v>15431.029999999988</v>
      </c>
      <c r="R114" s="6">
        <f>R37+F37-N37</f>
        <v>16257.207999999993</v>
      </c>
      <c r="S114" s="6">
        <f>S37+F37-O37</f>
        <v>31309.350999999984</v>
      </c>
      <c r="T114" s="6">
        <f t="shared" ref="T114:Y114" si="111">SUM(Q37:T37)</f>
        <v>23514.862000000001</v>
      </c>
      <c r="U114" s="6">
        <f t="shared" si="111"/>
        <v>23967.848000000009</v>
      </c>
      <c r="V114" s="6">
        <f t="shared" si="111"/>
        <v>25265.318000000021</v>
      </c>
      <c r="W114" s="6">
        <f t="shared" si="111"/>
        <v>16383.083000000028</v>
      </c>
      <c r="X114" s="6">
        <f t="shared" si="111"/>
        <v>17604.007000000012</v>
      </c>
      <c r="Y114" s="6">
        <f t="shared" si="111"/>
        <v>19156.311999999998</v>
      </c>
      <c r="Z114" s="6"/>
      <c r="AA114" s="660"/>
      <c r="AB114" s="752"/>
      <c r="AC114" s="752"/>
      <c r="AD114" s="6">
        <f>SUM(AA37:AD37)</f>
        <v>30779.151000000027</v>
      </c>
      <c r="AE114" s="6">
        <f>SUM(AB37:AE37)</f>
        <v>31181.647000000026</v>
      </c>
      <c r="AG114" s="660"/>
      <c r="AH114" s="660"/>
    </row>
    <row r="115" spans="2:34" ht="13.5" customHeight="1">
      <c r="B115" s="1" t="s">
        <v>491</v>
      </c>
      <c r="C115" s="6">
        <f t="shared" ref="C115:K115" si="112">-C88</f>
        <v>17375.152999999998</v>
      </c>
      <c r="D115" s="6">
        <f t="shared" si="112"/>
        <v>14220.448</v>
      </c>
      <c r="E115" s="6">
        <f t="shared" si="112"/>
        <v>20531.308000000001</v>
      </c>
      <c r="F115" s="6">
        <f t="shared" si="112"/>
        <v>13878.324999999999</v>
      </c>
      <c r="G115" s="6">
        <f t="shared" si="112"/>
        <v>20037.355</v>
      </c>
      <c r="H115" s="6">
        <f t="shared" si="112"/>
        <v>28790.752</v>
      </c>
      <c r="I115" s="6">
        <f t="shared" si="112"/>
        <v>37644.513999999996</v>
      </c>
      <c r="J115" s="6">
        <f t="shared" si="112"/>
        <v>43269.967000000004</v>
      </c>
      <c r="K115" s="6">
        <f t="shared" si="112"/>
        <v>47222.195000000007</v>
      </c>
      <c r="L115" s="6"/>
      <c r="M115" s="659"/>
      <c r="N115" s="659"/>
      <c r="O115" s="659"/>
      <c r="P115" s="6">
        <f>-SUM(M88:P88)</f>
        <v>13878.324999999999</v>
      </c>
      <c r="Q115" s="6">
        <f>-Q88-F88+M88</f>
        <v>18759.971999999998</v>
      </c>
      <c r="R115" s="6">
        <f>-R88-F88+N88</f>
        <v>14280.234999999997</v>
      </c>
      <c r="S115" s="6">
        <f>-S88-F88+O88</f>
        <v>12905.878000000002</v>
      </c>
      <c r="T115" s="6">
        <f t="shared" ref="T115:Y115" si="113">-SUM(Q88:T88)</f>
        <v>28790.752</v>
      </c>
      <c r="U115" s="6">
        <f t="shared" si="113"/>
        <v>27246.46</v>
      </c>
      <c r="V115" s="6">
        <f t="shared" si="113"/>
        <v>31023.464000000004</v>
      </c>
      <c r="W115" s="6">
        <f t="shared" si="113"/>
        <v>37518.534</v>
      </c>
      <c r="X115" s="6">
        <f t="shared" si="113"/>
        <v>43269.967000000004</v>
      </c>
      <c r="Y115" s="6">
        <f t="shared" si="113"/>
        <v>47222.195000000007</v>
      </c>
      <c r="Z115" s="6"/>
      <c r="AA115" s="660"/>
      <c r="AB115" s="752"/>
      <c r="AC115" s="752"/>
      <c r="AD115" s="6">
        <f>-SUM(AA88:AD88)</f>
        <v>37644.513999999996</v>
      </c>
      <c r="AE115" s="6">
        <f>-SUM(AB88:AE88)</f>
        <v>37367.36299999999</v>
      </c>
      <c r="AG115" s="660"/>
      <c r="AH115" s="660"/>
    </row>
    <row r="116" spans="2:34" ht="13.5" customHeight="1">
      <c r="B116" s="1" t="s">
        <v>472</v>
      </c>
      <c r="C116" s="6">
        <f t="shared" ref="C116:H116" si="114">C91</f>
        <v>10312.747999999996</v>
      </c>
      <c r="D116" s="6">
        <f t="shared" si="114"/>
        <v>5332.5579999999991</v>
      </c>
      <c r="E116" s="6">
        <f>E91</f>
        <v>7699.0839999999853</v>
      </c>
      <c r="F116" s="6">
        <f t="shared" si="114"/>
        <v>10193.712999999989</v>
      </c>
      <c r="G116" s="6">
        <f t="shared" si="114"/>
        <v>14717.558000000012</v>
      </c>
      <c r="H116" s="6">
        <f t="shared" si="114"/>
        <v>12957.527000000022</v>
      </c>
      <c r="I116" s="6">
        <f>I91</f>
        <v>17000.782999999996</v>
      </c>
      <c r="J116" s="6">
        <f>J91</f>
        <v>16987.199999999997</v>
      </c>
      <c r="K116" s="6">
        <f>K91</f>
        <v>-10472.294000000009</v>
      </c>
      <c r="L116" s="6"/>
      <c r="M116" s="659"/>
      <c r="N116" s="659"/>
      <c r="O116" s="659"/>
      <c r="P116" s="6">
        <f>SUM(M91:P91)</f>
        <v>10193.712999999992</v>
      </c>
      <c r="Q116" s="6">
        <f>Q91+F91-M91</f>
        <v>7849.9669999999851</v>
      </c>
      <c r="R116" s="6">
        <f>R91+F91-N91</f>
        <v>11005.550999999994</v>
      </c>
      <c r="S116" s="6">
        <f>S91+F91-O91</f>
        <v>13194.062999999969</v>
      </c>
      <c r="T116" s="6">
        <f t="shared" ref="T116:Y116" si="115">SUM(Q91:T91)</f>
        <v>12957.526999999998</v>
      </c>
      <c r="U116" s="6">
        <f t="shared" si="115"/>
        <v>15788.907000000001</v>
      </c>
      <c r="V116" s="6">
        <f t="shared" si="115"/>
        <v>16195.09400000001</v>
      </c>
      <c r="W116" s="6">
        <f t="shared" si="115"/>
        <v>16699.532000000021</v>
      </c>
      <c r="X116" s="6">
        <f t="shared" si="115"/>
        <v>16987.2</v>
      </c>
      <c r="Y116" s="6">
        <f t="shared" si="115"/>
        <v>-10472.293999999994</v>
      </c>
      <c r="Z116" s="6"/>
      <c r="AA116" s="660"/>
      <c r="AB116" s="752"/>
      <c r="AC116" s="752"/>
      <c r="AD116" s="6">
        <f>SUM(AA91:AD91)</f>
        <v>17000.783000000003</v>
      </c>
      <c r="AE116" s="6">
        <f>SUM(AB91:AE91)</f>
        <v>18445.199000000008</v>
      </c>
      <c r="AG116" s="660"/>
      <c r="AH116" s="660"/>
    </row>
    <row r="117" spans="2:34" ht="13.5" customHeight="1">
      <c r="C117" s="6"/>
      <c r="D117" s="6"/>
      <c r="E117" s="6"/>
      <c r="F117" s="6"/>
      <c r="G117" s="6"/>
      <c r="H117" s="6"/>
      <c r="I117" s="6"/>
      <c r="J117" s="6"/>
      <c r="K117" s="6"/>
      <c r="L117" s="6"/>
      <c r="M117" s="660"/>
      <c r="N117" s="660"/>
      <c r="O117" s="660"/>
      <c r="P117" s="6"/>
      <c r="Q117" s="6"/>
      <c r="R117" s="6"/>
      <c r="S117" s="6"/>
      <c r="T117" s="6"/>
      <c r="V117" s="6"/>
      <c r="W117" s="6"/>
      <c r="X117" s="6"/>
      <c r="Y117" s="6"/>
      <c r="Z117" s="6"/>
      <c r="AB117" s="470"/>
      <c r="AC117" s="470"/>
      <c r="AD117" s="470"/>
      <c r="AE117" s="470"/>
      <c r="AG117" s="470"/>
      <c r="AH117" s="470"/>
    </row>
    <row r="118" spans="2:34" ht="13.5" customHeight="1">
      <c r="B118" s="543" t="s">
        <v>492</v>
      </c>
      <c r="C118" s="574">
        <f t="shared" ref="C118:K118" si="116">+C3</f>
        <v>44561</v>
      </c>
      <c r="D118" s="574">
        <f t="shared" si="116"/>
        <v>44926</v>
      </c>
      <c r="E118" s="574">
        <f t="shared" si="116"/>
        <v>44926</v>
      </c>
      <c r="F118" s="574">
        <f t="shared" si="116"/>
        <v>45291</v>
      </c>
      <c r="G118" s="574">
        <f t="shared" si="116"/>
        <v>45291</v>
      </c>
      <c r="H118" s="574">
        <f t="shared" si="116"/>
        <v>45657</v>
      </c>
      <c r="I118" s="574">
        <f t="shared" si="116"/>
        <v>45657</v>
      </c>
      <c r="J118" s="574">
        <f t="shared" si="116"/>
        <v>46022</v>
      </c>
      <c r="K118" s="574">
        <f t="shared" si="116"/>
        <v>46112</v>
      </c>
      <c r="L118" s="295" t="s">
        <v>397</v>
      </c>
      <c r="M118" s="545"/>
      <c r="N118" s="545"/>
      <c r="O118" s="545"/>
      <c r="P118" s="574">
        <f t="shared" ref="P118:Y118" si="117">+P3</f>
        <v>45291</v>
      </c>
      <c r="Q118" s="574">
        <f t="shared" si="117"/>
        <v>45382</v>
      </c>
      <c r="R118" s="574">
        <f t="shared" si="117"/>
        <v>45473</v>
      </c>
      <c r="S118" s="574">
        <f t="shared" si="117"/>
        <v>45565</v>
      </c>
      <c r="T118" s="574">
        <f t="shared" si="117"/>
        <v>45657</v>
      </c>
      <c r="U118" s="574">
        <f t="shared" si="117"/>
        <v>45747</v>
      </c>
      <c r="V118" s="574">
        <f t="shared" si="117"/>
        <v>45838</v>
      </c>
      <c r="W118" s="576">
        <f t="shared" si="117"/>
        <v>45930</v>
      </c>
      <c r="X118" s="576">
        <f t="shared" si="117"/>
        <v>46022</v>
      </c>
      <c r="Y118" s="576">
        <f t="shared" si="117"/>
        <v>46112</v>
      </c>
      <c r="Z118" s="295"/>
      <c r="AA118" s="576">
        <f>+AA3</f>
        <v>45382</v>
      </c>
      <c r="AB118" s="576">
        <f>+AB3</f>
        <v>45473</v>
      </c>
      <c r="AC118" s="576">
        <f>+AC3</f>
        <v>45565</v>
      </c>
      <c r="AD118" s="576">
        <f>+AD3</f>
        <v>45656</v>
      </c>
      <c r="AE118" s="576">
        <f>+AE3</f>
        <v>45747</v>
      </c>
      <c r="AG118" s="576">
        <f>+AG3</f>
        <v>45565</v>
      </c>
      <c r="AH118" s="576">
        <f>+AH3</f>
        <v>45930</v>
      </c>
    </row>
    <row r="119" spans="2:34" ht="13.5" customHeight="1">
      <c r="C119" s="173"/>
      <c r="D119" s="173"/>
      <c r="E119" s="173"/>
      <c r="F119" s="173"/>
      <c r="G119" s="173"/>
      <c r="H119" s="173"/>
      <c r="AG119" s="470"/>
      <c r="AH119" s="470"/>
    </row>
    <row r="120" spans="2:34" s="5" customFormat="1" ht="13.5" customHeight="1">
      <c r="B120" s="1" t="s">
        <v>493</v>
      </c>
      <c r="C120" s="4"/>
      <c r="D120" s="4">
        <f>71494.396+8054.305</f>
        <v>79548.701000000001</v>
      </c>
      <c r="E120" s="4"/>
      <c r="F120" s="4">
        <f>66650.246+6136.092</f>
        <v>72786.338000000003</v>
      </c>
      <c r="G120" s="4">
        <f>96228.806+8859.214</f>
        <v>105088.01999999999</v>
      </c>
      <c r="H120" s="4">
        <f>104625.744+10173.872</f>
        <v>114799.61600000001</v>
      </c>
      <c r="I120" s="4">
        <f>136947.073+13316.818</f>
        <v>150263.891</v>
      </c>
      <c r="J120" s="4">
        <f>157349.726+22960.789</f>
        <v>180310.51499999998</v>
      </c>
      <c r="K120" s="6">
        <f>Y120</f>
        <v>201539.37100000001</v>
      </c>
      <c r="L120" s="6"/>
      <c r="P120" s="6">
        <f>F120</f>
        <v>72786.338000000003</v>
      </c>
      <c r="Q120" s="4">
        <f>76589.958+7654.141</f>
        <v>84244.099000000002</v>
      </c>
      <c r="R120" s="4">
        <f>84551.339+7774.927</f>
        <v>92326.266000000003</v>
      </c>
      <c r="S120" s="4">
        <f>92508.904+8915.773</f>
        <v>101424.677</v>
      </c>
      <c r="T120" s="6">
        <f>H120</f>
        <v>114799.61600000001</v>
      </c>
      <c r="U120" s="4">
        <f>117929.623+12453.255</f>
        <v>130382.87800000001</v>
      </c>
      <c r="V120" s="4">
        <f>128067.91+21101.13</f>
        <v>149169.04</v>
      </c>
      <c r="W120" s="4">
        <f>139965.013+22486.673</f>
        <v>162451.68600000002</v>
      </c>
      <c r="X120" s="6">
        <f>J120</f>
        <v>180310.51499999998</v>
      </c>
      <c r="Y120" s="4">
        <f>175291.059+26248.312</f>
        <v>201539.37100000001</v>
      </c>
      <c r="Z120" s="4"/>
      <c r="AA120" s="752"/>
      <c r="AB120" s="752"/>
      <c r="AC120" s="752"/>
      <c r="AD120" s="6">
        <f t="shared" ref="AD120:AE124" si="118">T120</f>
        <v>114799.61600000001</v>
      </c>
      <c r="AE120" s="6">
        <f t="shared" si="118"/>
        <v>130382.87800000001</v>
      </c>
      <c r="AG120" s="660"/>
      <c r="AH120" s="660"/>
    </row>
    <row r="121" spans="2:34" s="5" customFormat="1" ht="13.5" customHeight="1">
      <c r="B121" s="1" t="s">
        <v>494</v>
      </c>
      <c r="C121" s="661"/>
      <c r="D121" s="43">
        <v>2949.4859999999999</v>
      </c>
      <c r="E121" s="661"/>
      <c r="F121" s="43">
        <v>2052.3249999999998</v>
      </c>
      <c r="G121" s="43">
        <v>2963.1219999999998</v>
      </c>
      <c r="H121" s="43">
        <v>3032.078</v>
      </c>
      <c r="I121" s="43">
        <v>3968.7570000000001</v>
      </c>
      <c r="J121" s="43">
        <v>2890.6930000000002</v>
      </c>
      <c r="K121" s="6">
        <f>Y121</f>
        <v>3276.4830000000002</v>
      </c>
      <c r="L121" s="6"/>
      <c r="M121" s="662"/>
      <c r="N121" s="662"/>
      <c r="O121" s="662"/>
      <c r="P121" s="274">
        <f>F121</f>
        <v>2052.3249999999998</v>
      </c>
      <c r="Q121" s="43">
        <v>2401.018</v>
      </c>
      <c r="R121" s="43">
        <v>2541.17</v>
      </c>
      <c r="S121" s="43">
        <v>2682.0569999999998</v>
      </c>
      <c r="T121" s="274">
        <f>H121</f>
        <v>3032.078</v>
      </c>
      <c r="U121" s="43">
        <v>3516.7220000000002</v>
      </c>
      <c r="V121" s="43">
        <v>3742.2849999999999</v>
      </c>
      <c r="W121" s="43">
        <v>3724.38</v>
      </c>
      <c r="X121" s="6">
        <f>J121</f>
        <v>2890.6930000000002</v>
      </c>
      <c r="Y121" s="43">
        <v>3276.4830000000002</v>
      </c>
      <c r="Z121" s="43"/>
      <c r="AA121" s="752"/>
      <c r="AB121" s="752"/>
      <c r="AC121" s="752"/>
      <c r="AD121" s="6">
        <f t="shared" si="118"/>
        <v>3032.078</v>
      </c>
      <c r="AE121" s="6">
        <f t="shared" si="118"/>
        <v>3516.7220000000002</v>
      </c>
      <c r="AG121" s="660"/>
      <c r="AH121" s="660"/>
    </row>
    <row r="122" spans="2:34" s="5" customFormat="1" ht="13.5" customHeight="1">
      <c r="B122" s="7" t="s">
        <v>495</v>
      </c>
      <c r="C122" s="286"/>
      <c r="D122" s="4">
        <v>494.988</v>
      </c>
      <c r="E122" s="286"/>
      <c r="F122" s="4">
        <v>540.50699999999995</v>
      </c>
      <c r="G122" s="4">
        <v>780.37699999999995</v>
      </c>
      <c r="H122" s="4">
        <v>674.61099999999999</v>
      </c>
      <c r="I122" s="4">
        <v>883.01400000000001</v>
      </c>
      <c r="J122" s="4">
        <v>897.95299999999997</v>
      </c>
      <c r="K122" s="6">
        <f>Y122</f>
        <v>828.29700000000003</v>
      </c>
      <c r="L122" s="6"/>
      <c r="M122" s="662"/>
      <c r="N122" s="662"/>
      <c r="O122" s="662"/>
      <c r="P122" s="6">
        <f>F122</f>
        <v>540.50699999999995</v>
      </c>
      <c r="Q122" s="4">
        <v>593.56600000000003</v>
      </c>
      <c r="R122" s="4">
        <v>697.452</v>
      </c>
      <c r="S122" s="4">
        <v>745.10299999999995</v>
      </c>
      <c r="T122" s="6">
        <f>H122</f>
        <v>674.61099999999999</v>
      </c>
      <c r="U122" s="4">
        <v>841.88599999999997</v>
      </c>
      <c r="V122" s="4">
        <v>731.24300000000005</v>
      </c>
      <c r="W122" s="4">
        <v>818.85500000000002</v>
      </c>
      <c r="X122" s="6">
        <f>J122</f>
        <v>897.95299999999997</v>
      </c>
      <c r="Y122" s="4">
        <v>828.29700000000003</v>
      </c>
      <c r="Z122" s="4"/>
      <c r="AA122" s="752"/>
      <c r="AB122" s="752"/>
      <c r="AC122" s="752"/>
      <c r="AD122" s="6">
        <f t="shared" si="118"/>
        <v>674.61099999999999</v>
      </c>
      <c r="AE122" s="6">
        <f t="shared" si="118"/>
        <v>841.88599999999997</v>
      </c>
      <c r="AG122" s="660"/>
      <c r="AH122" s="660"/>
    </row>
    <row r="123" spans="2:34" s="5" customFormat="1" ht="13.5" customHeight="1">
      <c r="B123" s="7" t="s">
        <v>496</v>
      </c>
      <c r="C123" s="286"/>
      <c r="D123" s="4">
        <v>10982.217000000001</v>
      </c>
      <c r="E123" s="286"/>
      <c r="F123" s="4">
        <v>10925.645</v>
      </c>
      <c r="G123" s="4">
        <v>15774.312</v>
      </c>
      <c r="H123" s="4">
        <v>16463.246999999999</v>
      </c>
      <c r="I123" s="4">
        <v>21549.127</v>
      </c>
      <c r="J123" s="4">
        <v>23545.457999999999</v>
      </c>
      <c r="K123" s="6">
        <f>Y123</f>
        <v>27677.631000000001</v>
      </c>
      <c r="L123" s="6"/>
      <c r="M123" s="662"/>
      <c r="N123" s="662"/>
      <c r="O123" s="662"/>
      <c r="P123" s="6">
        <f>F123</f>
        <v>10925.645</v>
      </c>
      <c r="Q123" s="4">
        <v>14178.686</v>
      </c>
      <c r="R123" s="4">
        <v>14970.326999999999</v>
      </c>
      <c r="S123" s="4">
        <v>16308.531999999999</v>
      </c>
      <c r="T123" s="6">
        <f>H123</f>
        <v>16463.246999999999</v>
      </c>
      <c r="U123" s="4">
        <v>19877.514999999999</v>
      </c>
      <c r="V123" s="4">
        <v>21293.108</v>
      </c>
      <c r="W123" s="4">
        <v>22580.53</v>
      </c>
      <c r="X123" s="6">
        <f>J123</f>
        <v>23545.457999999999</v>
      </c>
      <c r="Y123" s="4">
        <v>27677.631000000001</v>
      </c>
      <c r="Z123" s="4"/>
      <c r="AA123" s="752"/>
      <c r="AB123" s="752"/>
      <c r="AC123" s="752"/>
      <c r="AD123" s="6">
        <f t="shared" si="118"/>
        <v>16463.246999999999</v>
      </c>
      <c r="AE123" s="6">
        <f t="shared" si="118"/>
        <v>19877.514999999999</v>
      </c>
      <c r="AG123" s="660"/>
      <c r="AH123" s="660"/>
    </row>
    <row r="124" spans="2:34" s="5" customFormat="1" ht="13.5" customHeight="1">
      <c r="B124" s="7" t="s">
        <v>497</v>
      </c>
      <c r="C124" s="286"/>
      <c r="D124" s="4">
        <v>17018.440999999999</v>
      </c>
      <c r="E124" s="286"/>
      <c r="F124" s="4">
        <v>20606.223999999998</v>
      </c>
      <c r="G124" s="4">
        <v>29751.010999999999</v>
      </c>
      <c r="H124" s="4">
        <v>29672.414000000001</v>
      </c>
      <c r="I124" s="4">
        <v>38838.913</v>
      </c>
      <c r="J124" s="4">
        <v>42996.243000000002</v>
      </c>
      <c r="K124" s="6">
        <f>Y124</f>
        <v>44782.627</v>
      </c>
      <c r="L124" s="6"/>
      <c r="M124" s="662"/>
      <c r="N124" s="662"/>
      <c r="O124" s="662"/>
      <c r="P124" s="6">
        <f>F124</f>
        <v>20606.223999999998</v>
      </c>
      <c r="Q124" s="4">
        <v>18742.787</v>
      </c>
      <c r="R124" s="4">
        <v>24021.678</v>
      </c>
      <c r="S124" s="4">
        <v>23960.142</v>
      </c>
      <c r="T124" s="6">
        <f>H124</f>
        <v>29672.414000000001</v>
      </c>
      <c r="U124" s="4">
        <v>29167.726999999999</v>
      </c>
      <c r="V124" s="4">
        <v>31430.059000000001</v>
      </c>
      <c r="W124" s="4">
        <v>32632.983</v>
      </c>
      <c r="X124" s="6">
        <f>J124</f>
        <v>42996.243000000002</v>
      </c>
      <c r="Y124" s="4">
        <v>44782.627</v>
      </c>
      <c r="Z124" s="4"/>
      <c r="AA124" s="752"/>
      <c r="AB124" s="752"/>
      <c r="AC124" s="752"/>
      <c r="AD124" s="6">
        <f t="shared" si="118"/>
        <v>29672.414000000001</v>
      </c>
      <c r="AE124" s="6">
        <f t="shared" si="118"/>
        <v>29167.726999999999</v>
      </c>
      <c r="AG124" s="660"/>
      <c r="AH124" s="660"/>
    </row>
    <row r="125" spans="2:34" s="5" customFormat="1" ht="13.5" customHeight="1">
      <c r="B125" s="5" t="s">
        <v>498</v>
      </c>
      <c r="C125" s="663"/>
      <c r="D125" s="8">
        <f>D122+D123-D124</f>
        <v>-5541.235999999999</v>
      </c>
      <c r="E125" s="663"/>
      <c r="F125" s="8">
        <f t="shared" ref="F125:K125" si="119">F122+F123-F124</f>
        <v>-9140.0719999999983</v>
      </c>
      <c r="G125" s="8">
        <f t="shared" si="119"/>
        <v>-13196.322</v>
      </c>
      <c r="H125" s="8">
        <f t="shared" si="119"/>
        <v>-12534.556</v>
      </c>
      <c r="I125" s="8">
        <f t="shared" si="119"/>
        <v>-16406.772000000001</v>
      </c>
      <c r="J125" s="8">
        <f t="shared" si="119"/>
        <v>-18552.832000000002</v>
      </c>
      <c r="K125" s="8">
        <f t="shared" si="119"/>
        <v>-16276.699000000001</v>
      </c>
      <c r="L125" s="8"/>
      <c r="M125" s="662"/>
      <c r="N125" s="662"/>
      <c r="O125" s="662"/>
      <c r="P125" s="8">
        <f t="shared" ref="P125:U125" si="120">P122+P123-P124</f>
        <v>-9140.0719999999983</v>
      </c>
      <c r="Q125" s="8">
        <f t="shared" si="120"/>
        <v>-3970.5349999999999</v>
      </c>
      <c r="R125" s="8">
        <f t="shared" si="120"/>
        <v>-8353.8990000000013</v>
      </c>
      <c r="S125" s="8">
        <f t="shared" si="120"/>
        <v>-6906.5070000000014</v>
      </c>
      <c r="T125" s="8">
        <f t="shared" si="120"/>
        <v>-12534.556</v>
      </c>
      <c r="U125" s="8">
        <f t="shared" si="120"/>
        <v>-8448.3260000000009</v>
      </c>
      <c r="V125" s="8">
        <f>V122+V123-V124</f>
        <v>-9405.7080000000024</v>
      </c>
      <c r="W125" s="8">
        <f>W122+W123-W124</f>
        <v>-9233.5980000000018</v>
      </c>
      <c r="X125" s="8">
        <f>X122+X123-X124</f>
        <v>-18552.832000000002</v>
      </c>
      <c r="Y125" s="8">
        <f>Y122+Y123-Y124</f>
        <v>-16276.699000000001</v>
      </c>
      <c r="Z125" s="8"/>
      <c r="AA125" s="752"/>
      <c r="AB125" s="752"/>
      <c r="AC125" s="752"/>
      <c r="AD125" s="8">
        <f>AD122+AD123-AD124</f>
        <v>-12534.556</v>
      </c>
      <c r="AE125" s="8">
        <f>AE122+AE123-AE124</f>
        <v>-8448.3260000000009</v>
      </c>
      <c r="AG125" s="660"/>
      <c r="AH125" s="660"/>
    </row>
    <row r="126" spans="2:34" s="29" customFormat="1" ht="13.5" customHeight="1">
      <c r="B126" s="22" t="s">
        <v>499</v>
      </c>
      <c r="C126" s="286"/>
      <c r="D126" s="42">
        <f>D125/D107</f>
        <v>-5.927289492684349E-2</v>
      </c>
      <c r="E126" s="286"/>
      <c r="F126" s="42">
        <f t="shared" ref="F126:K126" si="121">F125/F107</f>
        <v>-8.5328581160060729E-2</v>
      </c>
      <c r="G126" s="42">
        <f t="shared" si="121"/>
        <v>-8.5328570120297209E-2</v>
      </c>
      <c r="H126" s="42">
        <f t="shared" si="121"/>
        <v>-7.5205216416180512E-2</v>
      </c>
      <c r="I126" s="42">
        <f t="shared" si="121"/>
        <v>-7.5205215180800991E-2</v>
      </c>
      <c r="J126" s="42">
        <f t="shared" si="121"/>
        <v>-7.6832604134807664E-2</v>
      </c>
      <c r="K126" s="42">
        <f t="shared" si="121"/>
        <v>-6.2152052850925614E-2</v>
      </c>
      <c r="L126" s="424"/>
      <c r="M126" s="664"/>
      <c r="N126" s="664"/>
      <c r="O126" s="664"/>
      <c r="P126" s="42">
        <f t="shared" ref="P126:U126" si="122">P125/P107</f>
        <v>-8.5328581160060715E-2</v>
      </c>
      <c r="Q126" s="42">
        <f t="shared" si="122"/>
        <v>-3.5974962263091041E-2</v>
      </c>
      <c r="R126" s="42">
        <f t="shared" si="122"/>
        <v>-7.8073244541965639E-2</v>
      </c>
      <c r="S126" s="42">
        <f t="shared" si="122"/>
        <v>-6.2959575262455464E-2</v>
      </c>
      <c r="T126" s="42">
        <f t="shared" si="122"/>
        <v>-7.5205216416180526E-2</v>
      </c>
      <c r="U126" s="42">
        <f t="shared" si="122"/>
        <v>-4.5961858178407741E-2</v>
      </c>
      <c r="V126" s="42">
        <f>V125/V107</f>
        <v>-4.6581312584965201E-2</v>
      </c>
      <c r="W126" s="42">
        <f>W125/W107</f>
        <v>-4.1727311508321444E-2</v>
      </c>
      <c r="X126" s="42">
        <f>X125/X107</f>
        <v>-7.6832604134807664E-2</v>
      </c>
      <c r="Y126" s="42">
        <f>Y125/Y107</f>
        <v>-6.2152052850925614E-2</v>
      </c>
      <c r="Z126" s="424"/>
      <c r="AA126" s="752"/>
      <c r="AB126" s="752"/>
      <c r="AC126" s="752"/>
      <c r="AD126" s="42">
        <f>AD125/AD107</f>
        <v>-5.7455786011763939E-2</v>
      </c>
      <c r="AE126" s="42">
        <f>AE125/AE107</f>
        <v>-3.5443595221971547E-2</v>
      </c>
      <c r="AG126" s="660"/>
      <c r="AH126" s="660"/>
    </row>
    <row r="127" spans="2:34" ht="13.5" customHeight="1">
      <c r="C127" s="40"/>
      <c r="D127" s="40"/>
      <c r="E127" s="40"/>
      <c r="F127" s="40"/>
      <c r="G127" s="40"/>
      <c r="H127" s="40"/>
      <c r="I127" s="40"/>
      <c r="J127" s="40"/>
      <c r="K127" s="40"/>
      <c r="L127" s="40"/>
      <c r="AA127" s="470"/>
      <c r="AB127" s="470"/>
      <c r="AC127" s="470"/>
      <c r="AD127" s="470"/>
      <c r="AE127" s="470"/>
    </row>
    <row r="128" spans="2:34" ht="13.5" customHeight="1">
      <c r="B128" s="721" t="s">
        <v>500</v>
      </c>
      <c r="C128" s="722"/>
      <c r="D128" s="723">
        <f>IFERROR((D122/-D17)*365,"-")</f>
        <v>2.2119070168753834</v>
      </c>
      <c r="E128" s="722"/>
      <c r="F128" s="723">
        <f t="shared" ref="F128:K128" si="123">IFERROR((F122/-F17)*365,"-")</f>
        <v>2.3370012699300569</v>
      </c>
      <c r="G128" s="723">
        <f t="shared" si="123"/>
        <v>2.3370001697219212</v>
      </c>
      <c r="H128" s="723">
        <f t="shared" si="123"/>
        <v>1.9613500719365298</v>
      </c>
      <c r="I128" s="723">
        <f t="shared" si="123"/>
        <v>1.9613499779249317</v>
      </c>
      <c r="J128" s="723">
        <f t="shared" si="123"/>
        <v>1.8931633730415345</v>
      </c>
      <c r="K128" s="723">
        <f t="shared" si="123"/>
        <v>1.6009685198405308</v>
      </c>
      <c r="L128" s="168"/>
      <c r="M128" s="664"/>
      <c r="N128" s="664"/>
      <c r="O128" s="664"/>
      <c r="P128" s="723">
        <f t="shared" ref="P128:Y128" si="124">IFERROR((P122/-P17)*(365/4),"-")</f>
        <v>7.3404230026174462</v>
      </c>
      <c r="Q128" s="723">
        <f t="shared" si="124"/>
        <v>2.2399860074534277</v>
      </c>
      <c r="R128" s="723">
        <f t="shared" si="124"/>
        <v>2.3992022098334482</v>
      </c>
      <c r="S128" s="723">
        <f t="shared" si="124"/>
        <v>2.3288057662996007</v>
      </c>
      <c r="T128" s="723">
        <f t="shared" si="124"/>
        <v>1.3487616029982445</v>
      </c>
      <c r="U128" s="723">
        <f t="shared" si="124"/>
        <v>2.2371159168024106</v>
      </c>
      <c r="V128" s="723">
        <f t="shared" si="124"/>
        <v>1.7295873607730612</v>
      </c>
      <c r="W128" s="723">
        <f t="shared" si="124"/>
        <v>1.7739170889443974</v>
      </c>
      <c r="X128" s="723">
        <f t="shared" si="124"/>
        <v>1.4106900626990873</v>
      </c>
      <c r="Y128" s="723">
        <f t="shared" si="124"/>
        <v>1.5099418908286026</v>
      </c>
      <c r="Z128" s="444"/>
      <c r="AA128" s="752"/>
      <c r="AB128" s="752"/>
      <c r="AC128" s="752"/>
      <c r="AD128" s="723">
        <f>IFERROR((AD122/-AD17)*(365/4),"-")</f>
        <v>1.0954881451953769</v>
      </c>
      <c r="AE128" s="723">
        <f>IFERROR((AE122/-AE17)*(365/4),"-")</f>
        <v>1.7094778255270273</v>
      </c>
      <c r="AG128" s="660"/>
      <c r="AH128" s="660"/>
    </row>
    <row r="129" spans="2:34" ht="13.5" customHeight="1">
      <c r="B129" s="721" t="s">
        <v>501</v>
      </c>
      <c r="C129" s="722"/>
      <c r="D129" s="723">
        <f>IFERROR((D123/D15)*365,"-")</f>
        <v>42.87778844309284</v>
      </c>
      <c r="E129" s="722"/>
      <c r="F129" s="723">
        <f t="shared" ref="F129:K129" si="125">IFERROR((F123/F15)*365,"-")</f>
        <v>37.229298842460636</v>
      </c>
      <c r="G129" s="723">
        <f t="shared" si="125"/>
        <v>37.229298661466252</v>
      </c>
      <c r="H129" s="723">
        <f t="shared" si="125"/>
        <v>36.053494798302594</v>
      </c>
      <c r="I129" s="723">
        <f t="shared" si="125"/>
        <v>36.053494102471475</v>
      </c>
      <c r="J129" s="723">
        <f t="shared" si="125"/>
        <v>35.590603180994691</v>
      </c>
      <c r="K129" s="723">
        <f t="shared" si="125"/>
        <v>38.575443240404717</v>
      </c>
      <c r="L129" s="168"/>
      <c r="M129" s="664"/>
      <c r="N129" s="664"/>
      <c r="O129" s="664"/>
      <c r="P129" s="723">
        <f t="shared" ref="P129:Y129" si="126">IFERROR((P123/P15)*(365/4),"-")</f>
        <v>143.90159994012797</v>
      </c>
      <c r="Q129" s="723">
        <f t="shared" si="126"/>
        <v>41.976220798204317</v>
      </c>
      <c r="R129" s="723">
        <f t="shared" si="126"/>
        <v>39.12651190567675</v>
      </c>
      <c r="S129" s="723">
        <f t="shared" si="126"/>
        <v>37.04510036991492</v>
      </c>
      <c r="T129" s="723">
        <f t="shared" si="126"/>
        <v>24.722983309124707</v>
      </c>
      <c r="U129" s="723">
        <f t="shared" si="126"/>
        <v>37.817417225473108</v>
      </c>
      <c r="V129" s="723">
        <f t="shared" si="126"/>
        <v>36.645092697370899</v>
      </c>
      <c r="W129" s="723">
        <f t="shared" si="126"/>
        <v>34.609168622265344</v>
      </c>
      <c r="X129" s="723">
        <f t="shared" si="126"/>
        <v>26.541129223314208</v>
      </c>
      <c r="Y129" s="723">
        <f t="shared" si="126"/>
        <v>36.936181847657458</v>
      </c>
      <c r="Z129" s="444"/>
      <c r="AA129" s="752"/>
      <c r="AB129" s="752"/>
      <c r="AC129" s="752"/>
      <c r="AD129" s="723">
        <f>IFERROR((AD123/AD15)*(365/4),"-")</f>
        <v>20.057810654467236</v>
      </c>
      <c r="AE129" s="723">
        <f>IFERROR((AE123/AE15)*(365/4),"-")</f>
        <v>28.897937685067788</v>
      </c>
      <c r="AG129" s="660"/>
      <c r="AH129" s="660"/>
    </row>
    <row r="130" spans="2:34" ht="13.5" customHeight="1">
      <c r="B130" s="721" t="s">
        <v>502</v>
      </c>
      <c r="C130" s="722"/>
      <c r="D130" s="723">
        <f>IFERROR((D124/-D17)*365,"-")</f>
        <v>76.048730603933251</v>
      </c>
      <c r="E130" s="722"/>
      <c r="F130" s="723">
        <f t="shared" ref="F130:K130" si="127">IFERROR((F124/-F17)*365,"-")</f>
        <v>89.095555943703246</v>
      </c>
      <c r="G130" s="723">
        <f t="shared" si="127"/>
        <v>89.095549659201566</v>
      </c>
      <c r="H130" s="723">
        <f t="shared" si="127"/>
        <v>86.268962903703752</v>
      </c>
      <c r="I130" s="723">
        <f t="shared" si="127"/>
        <v>86.268961936252808</v>
      </c>
      <c r="J130" s="723">
        <f t="shared" si="127"/>
        <v>90.649413082860093</v>
      </c>
      <c r="K130" s="723">
        <f t="shared" si="127"/>
        <v>86.557812068328857</v>
      </c>
      <c r="L130" s="168"/>
      <c r="M130" s="664"/>
      <c r="N130" s="664"/>
      <c r="O130" s="664"/>
      <c r="P130" s="723">
        <f t="shared" ref="P130:Y130" si="128">IFERROR((P124/-P17)*(365/4),"-")</f>
        <v>279.84540560378991</v>
      </c>
      <c r="Q130" s="723">
        <f t="shared" si="128"/>
        <v>70.731107611756755</v>
      </c>
      <c r="R130" s="723">
        <f t="shared" si="128"/>
        <v>82.633447092427176</v>
      </c>
      <c r="S130" s="723">
        <f t="shared" si="128"/>
        <v>74.886984552413907</v>
      </c>
      <c r="T130" s="723">
        <f t="shared" si="128"/>
        <v>59.324577677309684</v>
      </c>
      <c r="U130" s="723">
        <f t="shared" si="128"/>
        <v>77.506439504454789</v>
      </c>
      <c r="V130" s="723">
        <f t="shared" si="128"/>
        <v>74.340585543727059</v>
      </c>
      <c r="W130" s="723">
        <f t="shared" si="128"/>
        <v>70.694086507296163</v>
      </c>
      <c r="X130" s="723">
        <f t="shared" si="128"/>
        <v>67.54738024539725</v>
      </c>
      <c r="Y130" s="723">
        <f t="shared" si="128"/>
        <v>81.636374982225007</v>
      </c>
      <c r="Z130" s="444"/>
      <c r="AA130" s="752"/>
      <c r="AB130" s="752"/>
      <c r="AC130" s="752"/>
      <c r="AD130" s="723">
        <f>IFERROR((AD124/-AD17)*(365/4),"-")</f>
        <v>48.184476352044861</v>
      </c>
      <c r="AE130" s="723">
        <f>IFERROR((AE124/-AE17)*(365/4),"-")</f>
        <v>59.226050234266836</v>
      </c>
      <c r="AG130" s="660"/>
      <c r="AH130" s="660"/>
    </row>
    <row r="131" spans="2:34" ht="13.5" customHeight="1">
      <c r="C131" s="40"/>
      <c r="D131" s="40"/>
      <c r="E131" s="40"/>
      <c r="F131" s="40"/>
      <c r="G131" s="40"/>
      <c r="H131" s="40"/>
      <c r="I131" s="40"/>
      <c r="J131" s="40"/>
      <c r="K131" s="40"/>
      <c r="L131" s="40"/>
      <c r="AA131" s="470"/>
      <c r="AB131" s="470"/>
      <c r="AC131" s="470"/>
      <c r="AD131" s="470"/>
      <c r="AE131" s="470"/>
    </row>
    <row r="132" spans="2:34" ht="13.5" customHeight="1">
      <c r="B132" s="5" t="s">
        <v>503</v>
      </c>
      <c r="C132" s="40"/>
      <c r="D132" s="40"/>
      <c r="E132" s="40"/>
      <c r="F132" s="40"/>
      <c r="G132" s="40"/>
      <c r="H132" s="40"/>
    </row>
    <row r="133" spans="2:34" ht="13.5" customHeight="1">
      <c r="B133" s="1" t="s">
        <v>504</v>
      </c>
      <c r="C133" s="286"/>
      <c r="D133" s="4">
        <f>3775.341+1393.368</f>
        <v>5168.7089999999998</v>
      </c>
      <c r="E133" s="286"/>
      <c r="F133" s="4">
        <f>3950.491+773.762</f>
        <v>4724.2529999999997</v>
      </c>
      <c r="G133" s="4">
        <f>5703.67+1117.148</f>
        <v>6820.8180000000002</v>
      </c>
      <c r="H133" s="4">
        <f>6600.324+1222.252</f>
        <v>7822.5759999999991</v>
      </c>
      <c r="I133" s="4">
        <f>8639.318+1599.835</f>
        <v>10239.152999999998</v>
      </c>
      <c r="J133" s="4">
        <f>12576.314+1826.138</f>
        <v>14402.452000000001</v>
      </c>
      <c r="K133" s="6">
        <f>Y133</f>
        <v>16008.487000000001</v>
      </c>
      <c r="L133" s="6"/>
      <c r="M133" s="660"/>
      <c r="N133" s="660"/>
      <c r="O133" s="660"/>
      <c r="P133" s="6">
        <f>F133</f>
        <v>4724.2529999999997</v>
      </c>
      <c r="Q133" s="4">
        <f>4094.738+938.691</f>
        <v>5033.4290000000001</v>
      </c>
      <c r="R133" s="4">
        <f>4028.826+956.782</f>
        <v>4985.6080000000002</v>
      </c>
      <c r="S133" s="4">
        <f>5003.618+1058.569</f>
        <v>6062.1869999999999</v>
      </c>
      <c r="T133" s="6">
        <f>H133</f>
        <v>7822.5759999999991</v>
      </c>
      <c r="U133" s="4">
        <f>8574.11+1306.705</f>
        <v>9880.8150000000005</v>
      </c>
      <c r="V133" s="4">
        <f>10625.587+1567.16</f>
        <v>12192.746999999999</v>
      </c>
      <c r="W133" s="4">
        <f>11724.13+1625.409</f>
        <v>13349.538999999999</v>
      </c>
      <c r="X133" s="6">
        <f>J133</f>
        <v>14402.452000000001</v>
      </c>
      <c r="Y133" s="4">
        <f>14110.341+1898.146</f>
        <v>16008.487000000001</v>
      </c>
      <c r="Z133" s="4"/>
      <c r="AA133" s="752"/>
      <c r="AB133" s="752"/>
      <c r="AC133" s="752"/>
      <c r="AD133" s="6">
        <f>T133</f>
        <v>7822.5759999999991</v>
      </c>
      <c r="AE133" s="6">
        <f>U133</f>
        <v>9880.8150000000005</v>
      </c>
      <c r="AG133" s="660"/>
      <c r="AH133" s="660"/>
    </row>
    <row r="134" spans="2:34" ht="13.5" customHeight="1">
      <c r="B134" s="5" t="s">
        <v>31</v>
      </c>
      <c r="C134" s="286"/>
      <c r="D134" s="8">
        <f>D133</f>
        <v>5168.7089999999998</v>
      </c>
      <c r="E134" s="286"/>
      <c r="F134" s="8">
        <f t="shared" ref="F134:K134" si="129">F133</f>
        <v>4724.2529999999997</v>
      </c>
      <c r="G134" s="8">
        <f t="shared" si="129"/>
        <v>6820.8180000000002</v>
      </c>
      <c r="H134" s="8">
        <f t="shared" si="129"/>
        <v>7822.5759999999991</v>
      </c>
      <c r="I134" s="8">
        <f t="shared" si="129"/>
        <v>10239.152999999998</v>
      </c>
      <c r="J134" s="8">
        <f t="shared" si="129"/>
        <v>14402.452000000001</v>
      </c>
      <c r="K134" s="8">
        <f t="shared" si="129"/>
        <v>16008.487000000001</v>
      </c>
      <c r="L134" s="8"/>
      <c r="M134" s="660"/>
      <c r="N134" s="660"/>
      <c r="O134" s="660"/>
      <c r="P134" s="8">
        <f t="shared" ref="P134:U134" si="130">P133</f>
        <v>4724.2529999999997</v>
      </c>
      <c r="Q134" s="8">
        <f t="shared" si="130"/>
        <v>5033.4290000000001</v>
      </c>
      <c r="R134" s="8">
        <f t="shared" si="130"/>
        <v>4985.6080000000002</v>
      </c>
      <c r="S134" s="8">
        <f t="shared" si="130"/>
        <v>6062.1869999999999</v>
      </c>
      <c r="T134" s="8">
        <f t="shared" si="130"/>
        <v>7822.5759999999991</v>
      </c>
      <c r="U134" s="8">
        <f t="shared" si="130"/>
        <v>9880.8150000000005</v>
      </c>
      <c r="V134" s="8">
        <f>V133</f>
        <v>12192.746999999999</v>
      </c>
      <c r="W134" s="8">
        <f>W133</f>
        <v>13349.538999999999</v>
      </c>
      <c r="X134" s="8">
        <f>X133</f>
        <v>14402.452000000001</v>
      </c>
      <c r="Y134" s="8">
        <f>Y133</f>
        <v>16008.487000000001</v>
      </c>
      <c r="Z134" s="8"/>
      <c r="AA134" s="752"/>
      <c r="AB134" s="752"/>
      <c r="AC134" s="752"/>
      <c r="AD134" s="8">
        <f>AD133</f>
        <v>7822.5759999999991</v>
      </c>
      <c r="AE134" s="8">
        <f>AE133</f>
        <v>9880.8150000000005</v>
      </c>
      <c r="AG134" s="660"/>
      <c r="AH134" s="660"/>
    </row>
    <row r="135" spans="2:34" ht="13.5" customHeight="1">
      <c r="B135" s="5"/>
      <c r="C135" s="4"/>
      <c r="D135" s="40"/>
      <c r="E135" s="4"/>
      <c r="F135" s="40"/>
      <c r="G135" s="40"/>
      <c r="H135" s="40"/>
      <c r="I135" s="40"/>
      <c r="J135" s="40"/>
      <c r="K135" s="40"/>
      <c r="L135" s="40"/>
      <c r="P135" s="40"/>
      <c r="Q135" s="40"/>
      <c r="R135" s="40"/>
      <c r="S135" s="40"/>
      <c r="T135" s="40"/>
      <c r="V135" s="40"/>
      <c r="W135" s="40"/>
      <c r="X135" s="40"/>
      <c r="Y135" s="40"/>
      <c r="Z135" s="40"/>
      <c r="AA135" s="470"/>
      <c r="AB135" s="470"/>
      <c r="AC135" s="470"/>
      <c r="AD135" s="470"/>
      <c r="AE135" s="470"/>
    </row>
    <row r="136" spans="2:34" ht="13.5" customHeight="1">
      <c r="B136" s="1" t="s">
        <v>505</v>
      </c>
      <c r="C136" s="286"/>
      <c r="D136" s="4">
        <f>25793.259+21207.113</f>
        <v>47000.372000000003</v>
      </c>
      <c r="E136" s="286"/>
      <c r="F136" s="4">
        <f>25494.99+19569.422</f>
        <v>45064.411999999997</v>
      </c>
      <c r="G136" s="4">
        <f>36809.354+28254.091</f>
        <v>65063.445</v>
      </c>
      <c r="H136" s="4">
        <f>25595.454+28982.083</f>
        <v>54577.536999999997</v>
      </c>
      <c r="I136" s="4">
        <f>33502.486+37935.323</f>
        <v>71437.808999999994</v>
      </c>
      <c r="J136" s="4">
        <f>36529.205+24366.285</f>
        <v>60895.490000000005</v>
      </c>
      <c r="K136" s="6">
        <f>Y136</f>
        <v>103911.882</v>
      </c>
      <c r="L136" s="6"/>
      <c r="M136" s="660"/>
      <c r="N136" s="660"/>
      <c r="O136" s="660"/>
      <c r="P136" s="6">
        <f>F136</f>
        <v>45064.411999999997</v>
      </c>
      <c r="Q136" s="4">
        <f>29399.54+23629.873</f>
        <v>53029.413</v>
      </c>
      <c r="R136" s="4">
        <f>28260.588+25381.297</f>
        <v>53641.884999999995</v>
      </c>
      <c r="S136" s="4">
        <f>31820.015+27065.906</f>
        <v>58885.921000000002</v>
      </c>
      <c r="T136" s="6">
        <f>H136</f>
        <v>54577.536999999997</v>
      </c>
      <c r="U136" s="4">
        <f>28666.424+26366.873</f>
        <v>55033.296999999999</v>
      </c>
      <c r="V136" s="4">
        <f>34666.277+29583.021</f>
        <v>64249.298000000003</v>
      </c>
      <c r="W136" s="4">
        <f>36088.86+30753.802</f>
        <v>66842.661999999997</v>
      </c>
      <c r="X136" s="6">
        <f>J136</f>
        <v>60895.490000000005</v>
      </c>
      <c r="Y136" s="4">
        <f>78756.508+25155.374</f>
        <v>103911.882</v>
      </c>
      <c r="Z136" s="40"/>
      <c r="AA136" s="752"/>
      <c r="AB136" s="752"/>
      <c r="AC136" s="752"/>
      <c r="AD136" s="6">
        <f t="shared" ref="AD136:AE138" si="131">T136</f>
        <v>54577.536999999997</v>
      </c>
      <c r="AE136" s="6">
        <f t="shared" si="131"/>
        <v>55033.296999999999</v>
      </c>
      <c r="AG136" s="660"/>
      <c r="AH136" s="660"/>
    </row>
    <row r="137" spans="2:34" ht="13.5" customHeight="1">
      <c r="B137" s="1" t="s">
        <v>506</v>
      </c>
      <c r="C137" s="286"/>
      <c r="D137" s="43">
        <f>28021.429+3512.682</f>
        <v>31534.111000000001</v>
      </c>
      <c r="E137" s="286"/>
      <c r="F137" s="43">
        <f>5022.572+26845.384</f>
        <v>31867.955999999998</v>
      </c>
      <c r="G137" s="43">
        <f>38759.036+7251.528</f>
        <v>46010.563999999998</v>
      </c>
      <c r="H137" s="43">
        <f>16461.755+20655.867</f>
        <v>37117.622000000003</v>
      </c>
      <c r="I137" s="43">
        <f>21547.174+27036.945</f>
        <v>48584.118999999999</v>
      </c>
      <c r="J137" s="43">
        <f>61107.212+6759.655</f>
        <v>67866.866999999998</v>
      </c>
      <c r="K137" s="6">
        <f>Y137</f>
        <v>70196.914000000004</v>
      </c>
      <c r="L137" s="6"/>
      <c r="M137" s="660"/>
      <c r="N137" s="660"/>
      <c r="O137" s="660"/>
      <c r="P137" s="274">
        <f>F137</f>
        <v>31867.955999999998</v>
      </c>
      <c r="Q137" s="43">
        <f>29885.835+6903.762</f>
        <v>36789.597000000002</v>
      </c>
      <c r="R137" s="43">
        <f>29974.004+7537.86</f>
        <v>37511.864000000001</v>
      </c>
      <c r="S137" s="43">
        <f>31602.661+6283.638</f>
        <v>37886.298999999999</v>
      </c>
      <c r="T137" s="274">
        <f>H137</f>
        <v>37117.622000000003</v>
      </c>
      <c r="U137" s="4">
        <f>53369.565+26016.421</f>
        <v>79385.986000000004</v>
      </c>
      <c r="V137" s="43">
        <f>56607.553+25488.309</f>
        <v>82095.861999999994</v>
      </c>
      <c r="W137" s="43">
        <f>58686.679+27217.899</f>
        <v>85904.577999999994</v>
      </c>
      <c r="X137" s="6">
        <f>J137</f>
        <v>67866.866999999998</v>
      </c>
      <c r="Y137" s="43">
        <f>62802.288+7394.626</f>
        <v>70196.914000000004</v>
      </c>
      <c r="Z137" s="40"/>
      <c r="AA137" s="752"/>
      <c r="AB137" s="752"/>
      <c r="AC137" s="752"/>
      <c r="AD137" s="6">
        <f t="shared" si="131"/>
        <v>37117.622000000003</v>
      </c>
      <c r="AE137" s="6">
        <f t="shared" si="131"/>
        <v>79385.986000000004</v>
      </c>
      <c r="AG137" s="660"/>
      <c r="AH137" s="660"/>
    </row>
    <row r="138" spans="2:34" ht="13.5" customHeight="1">
      <c r="B138" s="1" t="s">
        <v>507</v>
      </c>
      <c r="C138" s="286"/>
      <c r="D138" s="43">
        <v>0</v>
      </c>
      <c r="E138" s="286"/>
      <c r="F138" s="43">
        <v>0</v>
      </c>
      <c r="G138" s="43">
        <v>0</v>
      </c>
      <c r="H138" s="43">
        <v>0</v>
      </c>
      <c r="I138" s="43">
        <v>0</v>
      </c>
      <c r="J138" s="43">
        <v>0</v>
      </c>
      <c r="K138" s="6">
        <f>Y138</f>
        <v>0</v>
      </c>
      <c r="L138" s="6"/>
      <c r="M138" s="660"/>
      <c r="N138" s="660"/>
      <c r="O138" s="660"/>
      <c r="P138" s="274">
        <f>F138</f>
        <v>0</v>
      </c>
      <c r="Q138" s="43">
        <v>0</v>
      </c>
      <c r="R138" s="43">
        <v>0</v>
      </c>
      <c r="S138" s="43">
        <v>0</v>
      </c>
      <c r="T138" s="274">
        <f>H138</f>
        <v>0</v>
      </c>
      <c r="U138" s="43">
        <v>0</v>
      </c>
      <c r="V138" s="43">
        <v>0</v>
      </c>
      <c r="W138" s="43">
        <v>0</v>
      </c>
      <c r="X138" s="6">
        <f>J138</f>
        <v>0</v>
      </c>
      <c r="Y138" s="43">
        <v>0</v>
      </c>
      <c r="Z138" s="40"/>
      <c r="AA138" s="752"/>
      <c r="AB138" s="752"/>
      <c r="AC138" s="752"/>
      <c r="AD138" s="6">
        <f t="shared" si="131"/>
        <v>0</v>
      </c>
      <c r="AE138" s="6">
        <f t="shared" si="131"/>
        <v>0</v>
      </c>
      <c r="AG138" s="660"/>
      <c r="AH138" s="660"/>
    </row>
    <row r="139" spans="2:34" ht="13.5" customHeight="1">
      <c r="B139" s="5" t="s">
        <v>508</v>
      </c>
      <c r="C139" s="286"/>
      <c r="D139" s="58">
        <f>D134+D136+D137+D138</f>
        <v>83703.19200000001</v>
      </c>
      <c r="E139" s="286"/>
      <c r="F139" s="58">
        <f t="shared" ref="F139:K139" si="132">F134+F136+F137+F138</f>
        <v>81656.620999999985</v>
      </c>
      <c r="G139" s="58">
        <f t="shared" si="132"/>
        <v>117894.827</v>
      </c>
      <c r="H139" s="58">
        <f t="shared" si="132"/>
        <v>99517.735000000001</v>
      </c>
      <c r="I139" s="58">
        <f t="shared" si="132"/>
        <v>130261.08100000001</v>
      </c>
      <c r="J139" s="58">
        <f t="shared" si="132"/>
        <v>143164.80900000001</v>
      </c>
      <c r="K139" s="58">
        <f t="shared" si="132"/>
        <v>190117.283</v>
      </c>
      <c r="L139" s="58"/>
      <c r="M139" s="660"/>
      <c r="N139" s="660"/>
      <c r="O139" s="660"/>
      <c r="P139" s="58">
        <f t="shared" ref="P139:Y139" si="133">P134+P136+P137+P138</f>
        <v>81656.620999999985</v>
      </c>
      <c r="Q139" s="58">
        <f t="shared" si="133"/>
        <v>94852.439000000013</v>
      </c>
      <c r="R139" s="58">
        <f t="shared" si="133"/>
        <v>96139.356999999989</v>
      </c>
      <c r="S139" s="58">
        <f t="shared" si="133"/>
        <v>102834.40700000001</v>
      </c>
      <c r="T139" s="58">
        <f t="shared" si="133"/>
        <v>99517.735000000001</v>
      </c>
      <c r="U139" s="58">
        <f t="shared" si="133"/>
        <v>144300.098</v>
      </c>
      <c r="V139" s="58">
        <f t="shared" si="133"/>
        <v>158537.90700000001</v>
      </c>
      <c r="W139" s="58">
        <f t="shared" si="133"/>
        <v>166096.77899999998</v>
      </c>
      <c r="X139" s="58">
        <f t="shared" si="133"/>
        <v>143164.80900000001</v>
      </c>
      <c r="Y139" s="58">
        <f t="shared" si="133"/>
        <v>190117.283</v>
      </c>
      <c r="Z139" s="40"/>
      <c r="AA139" s="752"/>
      <c r="AB139" s="752"/>
      <c r="AC139" s="752"/>
      <c r="AD139" s="58">
        <f>AD134+AD136+AD137+AD138</f>
        <v>99517.735000000001</v>
      </c>
      <c r="AE139" s="58">
        <f>AE134+AE136+AE137+AE138</f>
        <v>144300.098</v>
      </c>
      <c r="AG139" s="660"/>
      <c r="AH139" s="660"/>
    </row>
    <row r="140" spans="2:34" ht="13.5" customHeight="1">
      <c r="B140" s="1" t="s">
        <v>336</v>
      </c>
      <c r="C140" s="286"/>
      <c r="D140" s="43">
        <f>3595.27+1438.923</f>
        <v>5034.1930000000002</v>
      </c>
      <c r="E140" s="286"/>
      <c r="F140" s="43">
        <f>1655.783+771.805</f>
        <v>2427.5879999999997</v>
      </c>
      <c r="G140" s="43">
        <f>2390.599+1114.322</f>
        <v>3504.9210000000003</v>
      </c>
      <c r="H140" s="43">
        <f>3777.631+1044.893</f>
        <v>4822.5239999999994</v>
      </c>
      <c r="I140" s="43">
        <f>4944.629+1367.685</f>
        <v>6312.3140000000003</v>
      </c>
      <c r="J140" s="43">
        <f>12520.129+2964.188</f>
        <v>15484.317000000001</v>
      </c>
      <c r="K140" s="6">
        <f>Y140</f>
        <v>16229.572</v>
      </c>
      <c r="L140" s="6"/>
      <c r="M140" s="660"/>
      <c r="N140" s="660"/>
      <c r="O140" s="660"/>
      <c r="P140" s="274">
        <f>F140</f>
        <v>2427.5879999999997</v>
      </c>
      <c r="Q140" s="43">
        <f>1797.02+1400.07</f>
        <v>3197.09</v>
      </c>
      <c r="R140" s="43">
        <f>1769.771+1281.604</f>
        <v>3051.375</v>
      </c>
      <c r="S140" s="43">
        <f>2611.739+1282.279</f>
        <v>3894.018</v>
      </c>
      <c r="T140" s="274">
        <f>H140</f>
        <v>4822.5239999999994</v>
      </c>
      <c r="U140" s="43">
        <f>4154.575+2256.835</f>
        <v>6411.41</v>
      </c>
      <c r="V140" s="43">
        <f>11521.661+2798.511</f>
        <v>14320.172</v>
      </c>
      <c r="W140" s="43">
        <f>12121.905+3062.161</f>
        <v>15184.066000000001</v>
      </c>
      <c r="X140" s="6">
        <f>J140</f>
        <v>15484.317000000001</v>
      </c>
      <c r="Y140" s="43">
        <f>12393.957+3835.615</f>
        <v>16229.572</v>
      </c>
      <c r="Z140" s="43"/>
      <c r="AA140" s="752"/>
      <c r="AB140" s="752"/>
      <c r="AC140" s="752"/>
      <c r="AD140" s="6">
        <f>T140</f>
        <v>4822.5239999999994</v>
      </c>
      <c r="AE140" s="6">
        <f>U140</f>
        <v>6411.41</v>
      </c>
      <c r="AG140" s="660"/>
      <c r="AH140" s="660"/>
    </row>
    <row r="141" spans="2:34" s="5" customFormat="1" ht="13.5" customHeight="1">
      <c r="B141" s="5" t="s">
        <v>509</v>
      </c>
      <c r="C141" s="286"/>
      <c r="D141" s="278">
        <f>+D139+D140</f>
        <v>88737.385000000009</v>
      </c>
      <c r="E141" s="286"/>
      <c r="F141" s="278">
        <f t="shared" ref="F141:K141" si="134">+F139+F140</f>
        <v>84084.208999999988</v>
      </c>
      <c r="G141" s="278">
        <f t="shared" si="134"/>
        <v>121399.74800000001</v>
      </c>
      <c r="H141" s="278">
        <f t="shared" si="134"/>
        <v>104340.25900000001</v>
      </c>
      <c r="I141" s="278">
        <f t="shared" si="134"/>
        <v>136573.39500000002</v>
      </c>
      <c r="J141" s="278">
        <f t="shared" si="134"/>
        <v>158649.12600000002</v>
      </c>
      <c r="K141" s="278">
        <f t="shared" si="134"/>
        <v>206346.85499999998</v>
      </c>
      <c r="L141" s="278"/>
      <c r="M141" s="662"/>
      <c r="N141" s="662"/>
      <c r="O141" s="662"/>
      <c r="P141" s="278">
        <f t="shared" ref="P141:U141" si="135">+P139+P140</f>
        <v>84084.208999999988</v>
      </c>
      <c r="Q141" s="278">
        <f t="shared" si="135"/>
        <v>98049.52900000001</v>
      </c>
      <c r="R141" s="278">
        <f t="shared" si="135"/>
        <v>99190.731999999989</v>
      </c>
      <c r="S141" s="278">
        <f t="shared" si="135"/>
        <v>106728.425</v>
      </c>
      <c r="T141" s="278">
        <f t="shared" si="135"/>
        <v>104340.25900000001</v>
      </c>
      <c r="U141" s="278">
        <f t="shared" si="135"/>
        <v>150711.508</v>
      </c>
      <c r="V141" s="278">
        <f>+V139+V140</f>
        <v>172858.079</v>
      </c>
      <c r="W141" s="278">
        <f>+W139+W140</f>
        <v>181280.84499999997</v>
      </c>
      <c r="X141" s="278">
        <f>+X139+X140</f>
        <v>158649.12600000002</v>
      </c>
      <c r="Y141" s="278">
        <f>+Y139+Y140</f>
        <v>206346.85499999998</v>
      </c>
      <c r="Z141" s="278"/>
      <c r="AA141" s="752"/>
      <c r="AB141" s="752"/>
      <c r="AC141" s="752"/>
      <c r="AD141" s="278">
        <f>+AD139+AD140</f>
        <v>104340.25900000001</v>
      </c>
      <c r="AE141" s="278">
        <f>+AE139+AE140</f>
        <v>150711.508</v>
      </c>
      <c r="AG141" s="660"/>
      <c r="AH141" s="660"/>
    </row>
    <row r="142" spans="2:34" ht="13.5" customHeight="1">
      <c r="C142" s="4"/>
      <c r="D142" s="40"/>
      <c r="E142" s="4"/>
      <c r="F142" s="40"/>
      <c r="G142" s="40"/>
      <c r="H142" s="40"/>
      <c r="L142" s="40"/>
      <c r="P142" s="40"/>
      <c r="Q142" s="40"/>
      <c r="R142" s="40"/>
      <c r="S142" s="40"/>
      <c r="T142" s="40"/>
      <c r="V142" s="40"/>
      <c r="W142" s="40"/>
      <c r="X142" s="40"/>
      <c r="Y142" s="40"/>
      <c r="Z142" s="40"/>
      <c r="AA142" s="470"/>
      <c r="AB142" s="470"/>
      <c r="AC142" s="470"/>
      <c r="AD142" s="470"/>
      <c r="AE142" s="470"/>
    </row>
    <row r="143" spans="2:34" ht="13.5" customHeight="1">
      <c r="B143" s="7" t="s">
        <v>510</v>
      </c>
      <c r="C143" s="286"/>
      <c r="D143" s="4">
        <v>42776.160000000003</v>
      </c>
      <c r="E143" s="286"/>
      <c r="F143" s="4">
        <v>49978.716</v>
      </c>
      <c r="G143" s="4">
        <v>72158.656000000003</v>
      </c>
      <c r="H143" s="4">
        <v>68934.332999999999</v>
      </c>
      <c r="I143" s="4">
        <v>90229.752999999997</v>
      </c>
      <c r="J143" s="4">
        <v>91828.282000000007</v>
      </c>
      <c r="K143" s="6">
        <f>Y143</f>
        <v>95773.428</v>
      </c>
      <c r="L143" s="6"/>
      <c r="M143" s="660"/>
      <c r="N143" s="660"/>
      <c r="O143" s="660"/>
      <c r="P143" s="6">
        <f>F143</f>
        <v>49978.716</v>
      </c>
      <c r="Q143" s="213">
        <v>48778.705999999998</v>
      </c>
      <c r="R143" s="213">
        <v>50189.445</v>
      </c>
      <c r="S143" s="213">
        <v>81008.661999999997</v>
      </c>
      <c r="T143" s="6">
        <f>H143</f>
        <v>68934.332999999999</v>
      </c>
      <c r="U143" s="213">
        <v>108420.52899999999</v>
      </c>
      <c r="V143" s="213">
        <v>116601.09699999999</v>
      </c>
      <c r="W143" s="213">
        <v>122346.742</v>
      </c>
      <c r="X143" s="6">
        <f>J143</f>
        <v>91828.282000000007</v>
      </c>
      <c r="Y143" s="213">
        <v>95773.428</v>
      </c>
      <c r="Z143" s="213"/>
      <c r="AA143" s="752"/>
      <c r="AB143" s="752"/>
      <c r="AC143" s="752"/>
      <c r="AD143" s="6">
        <f>T143</f>
        <v>68934.332999999999</v>
      </c>
      <c r="AE143" s="6">
        <f>U143</f>
        <v>108420.52899999999</v>
      </c>
      <c r="AG143" s="660"/>
      <c r="AH143" s="660"/>
    </row>
    <row r="144" spans="2:34" ht="13.5" customHeight="1">
      <c r="B144" s="7"/>
      <c r="C144" s="4"/>
      <c r="D144" s="8"/>
      <c r="E144" s="4"/>
      <c r="F144" s="8"/>
      <c r="G144" s="8"/>
      <c r="H144" s="8"/>
      <c r="I144" s="8"/>
      <c r="J144" s="8"/>
      <c r="K144" s="8"/>
      <c r="L144" s="8"/>
      <c r="P144" s="8"/>
      <c r="Q144" s="8"/>
      <c r="R144" s="8"/>
      <c r="S144" s="8"/>
      <c r="T144" s="8"/>
      <c r="V144" s="8"/>
      <c r="W144" s="8"/>
      <c r="X144" s="8"/>
      <c r="Y144" s="8"/>
      <c r="Z144" s="8"/>
      <c r="AA144" s="470"/>
      <c r="AB144" s="470"/>
      <c r="AC144" s="470"/>
      <c r="AD144" s="470"/>
      <c r="AE144" s="470"/>
    </row>
    <row r="145" spans="2:34" ht="13.5" customHeight="1">
      <c r="B145" s="1" t="s">
        <v>511</v>
      </c>
      <c r="C145" s="4"/>
      <c r="D145" s="43">
        <f>27552.086-1438.923</f>
        <v>26113.163</v>
      </c>
      <c r="E145" s="4"/>
      <c r="F145" s="43">
        <f>26137.561-771.805</f>
        <v>25365.756000000001</v>
      </c>
      <c r="G145" s="43">
        <f>37737.089-1114.322</f>
        <v>36622.767</v>
      </c>
      <c r="H145" s="43">
        <f>51905.095-1044.893</f>
        <v>50860.202000000005</v>
      </c>
      <c r="I145" s="43">
        <f>68633.607-1367.685</f>
        <v>67265.922000000006</v>
      </c>
      <c r="J145" s="43">
        <f>122732.86-2964.188</f>
        <v>119768.67200000001</v>
      </c>
      <c r="K145" s="6">
        <f>Y145</f>
        <v>34448.146000000001</v>
      </c>
      <c r="L145" s="6"/>
      <c r="P145" s="274">
        <f>F145</f>
        <v>25365.756000000001</v>
      </c>
      <c r="Q145" s="43">
        <f>32872.396-1400.07</f>
        <v>31472.326000000001</v>
      </c>
      <c r="R145" s="43">
        <f>35157.543-1281.604</f>
        <v>33875.938999999998</v>
      </c>
      <c r="S145" s="43">
        <f>35690.392-1282.279</f>
        <v>34408.112999999998</v>
      </c>
      <c r="T145" s="274">
        <f>H145</f>
        <v>50860.202000000005</v>
      </c>
      <c r="U145" s="213">
        <f>55946.834-2256.835</f>
        <v>53689.999000000003</v>
      </c>
      <c r="V145" s="43">
        <f>59437.001-2798.511</f>
        <v>56638.49</v>
      </c>
      <c r="W145" s="43">
        <f>62659.271-3062.161</f>
        <v>59597.11</v>
      </c>
      <c r="X145" s="6">
        <f>J145</f>
        <v>119768.67200000001</v>
      </c>
      <c r="Y145" s="43">
        <f>38283.761-3835.615</f>
        <v>34448.146000000001</v>
      </c>
      <c r="Z145" s="43"/>
      <c r="AA145" s="752"/>
      <c r="AB145" s="752"/>
      <c r="AC145" s="752"/>
      <c r="AD145" s="6">
        <f>T145</f>
        <v>50860.202000000005</v>
      </c>
      <c r="AE145" s="6">
        <f>U145</f>
        <v>53689.999000000003</v>
      </c>
      <c r="AF145" s="6"/>
      <c r="AG145" s="660"/>
      <c r="AH145" s="660"/>
    </row>
    <row r="146" spans="2:34" ht="13.5" customHeight="1">
      <c r="B146" s="1" t="s">
        <v>512</v>
      </c>
      <c r="C146" s="286"/>
      <c r="D146" s="6">
        <f>D139-D145</f>
        <v>57590.02900000001</v>
      </c>
      <c r="E146" s="286"/>
      <c r="F146" s="6">
        <f t="shared" ref="F146:K146" si="136">F139-F145</f>
        <v>56290.864999999983</v>
      </c>
      <c r="G146" s="6">
        <f t="shared" si="136"/>
        <v>81272.06</v>
      </c>
      <c r="H146" s="6">
        <f t="shared" si="136"/>
        <v>48657.532999999996</v>
      </c>
      <c r="I146" s="6">
        <f t="shared" si="136"/>
        <v>62995.159</v>
      </c>
      <c r="J146" s="6">
        <f t="shared" si="136"/>
        <v>23396.137000000002</v>
      </c>
      <c r="K146" s="6">
        <f t="shared" si="136"/>
        <v>155669.13699999999</v>
      </c>
      <c r="L146" s="6"/>
      <c r="M146" s="660"/>
      <c r="N146" s="660"/>
      <c r="O146" s="660"/>
      <c r="P146" s="6">
        <f t="shared" ref="P146:U146" si="137">P139-P145</f>
        <v>56290.864999999983</v>
      </c>
      <c r="Q146" s="6">
        <f t="shared" si="137"/>
        <v>63380.113000000012</v>
      </c>
      <c r="R146" s="6">
        <f t="shared" si="137"/>
        <v>62263.417999999991</v>
      </c>
      <c r="S146" s="6">
        <f t="shared" si="137"/>
        <v>68426.294000000009</v>
      </c>
      <c r="T146" s="6">
        <f t="shared" si="137"/>
        <v>48657.532999999996</v>
      </c>
      <c r="U146" s="6">
        <f t="shared" si="137"/>
        <v>90610.098999999987</v>
      </c>
      <c r="V146" s="6">
        <f>V139-V145</f>
        <v>101899.41700000002</v>
      </c>
      <c r="W146" s="6">
        <f>W139-W145</f>
        <v>106499.66899999998</v>
      </c>
      <c r="X146" s="6">
        <f>X139-X145</f>
        <v>23396.137000000002</v>
      </c>
      <c r="Y146" s="6">
        <f>Y139-Y145</f>
        <v>155669.13699999999</v>
      </c>
      <c r="Z146" s="6"/>
      <c r="AA146" s="752"/>
      <c r="AB146" s="752"/>
      <c r="AC146" s="752"/>
      <c r="AD146" s="6">
        <f>AD139-AD145</f>
        <v>48657.532999999996</v>
      </c>
      <c r="AE146" s="6">
        <f>AE139-AE145</f>
        <v>90610.098999999987</v>
      </c>
      <c r="AG146" s="660"/>
      <c r="AH146" s="660"/>
    </row>
    <row r="147" spans="2:34" s="5" customFormat="1" ht="13.5" customHeight="1">
      <c r="C147" s="4"/>
      <c r="D147" s="8"/>
      <c r="E147" s="4"/>
      <c r="F147" s="8"/>
      <c r="G147" s="8"/>
      <c r="H147" s="8"/>
      <c r="I147" s="8"/>
      <c r="J147" s="8"/>
      <c r="K147" s="8"/>
      <c r="L147" s="8"/>
      <c r="P147" s="8"/>
      <c r="Q147" s="8"/>
      <c r="R147" s="8"/>
      <c r="S147" s="8"/>
      <c r="T147" s="8"/>
      <c r="V147" s="8"/>
      <c r="W147" s="8"/>
      <c r="X147" s="8"/>
      <c r="Y147" s="8"/>
      <c r="Z147" s="8"/>
      <c r="AA147" s="470"/>
      <c r="AB147" s="470"/>
      <c r="AC147" s="470"/>
      <c r="AD147" s="470"/>
      <c r="AE147" s="470"/>
      <c r="AG147" s="1"/>
      <c r="AH147" s="1"/>
    </row>
    <row r="148" spans="2:34" ht="13.5" customHeight="1">
      <c r="B148" s="5" t="s">
        <v>806</v>
      </c>
      <c r="C148" s="286"/>
      <c r="D148" s="8">
        <f>D146+D145-D143</f>
        <v>40927.032000000007</v>
      </c>
      <c r="E148" s="286"/>
      <c r="F148" s="8">
        <f t="shared" ref="F148:K148" si="138">F146+F145-F143</f>
        <v>31677.904999999984</v>
      </c>
      <c r="G148" s="8">
        <f t="shared" si="138"/>
        <v>45736.170999999988</v>
      </c>
      <c r="H148" s="8">
        <f t="shared" si="138"/>
        <v>30583.402000000002</v>
      </c>
      <c r="I148" s="8">
        <f t="shared" si="138"/>
        <v>40031.328000000009</v>
      </c>
      <c r="J148" s="8">
        <f t="shared" si="138"/>
        <v>51336.527000000002</v>
      </c>
      <c r="K148" s="8">
        <f t="shared" si="138"/>
        <v>94343.854999999996</v>
      </c>
      <c r="L148" s="8"/>
      <c r="M148" s="660"/>
      <c r="N148" s="660"/>
      <c r="O148" s="660"/>
      <c r="P148" s="8">
        <f t="shared" ref="P148:U148" si="139">P146+P145-P143</f>
        <v>31677.904999999984</v>
      </c>
      <c r="Q148" s="8">
        <f t="shared" si="139"/>
        <v>46073.733000000015</v>
      </c>
      <c r="R148" s="8">
        <f t="shared" si="139"/>
        <v>45949.911999999989</v>
      </c>
      <c r="S148" s="8">
        <f t="shared" si="139"/>
        <v>21825.74500000001</v>
      </c>
      <c r="T148" s="8">
        <f t="shared" si="139"/>
        <v>30583.402000000002</v>
      </c>
      <c r="U148" s="8">
        <f t="shared" si="139"/>
        <v>35879.569000000003</v>
      </c>
      <c r="V148" s="8">
        <f>V146+V145-V143</f>
        <v>41936.810000000012</v>
      </c>
      <c r="W148" s="8">
        <f>W146+W145-W143</f>
        <v>43750.036999999982</v>
      </c>
      <c r="X148" s="8">
        <f>X146+X145-X143</f>
        <v>51336.527000000002</v>
      </c>
      <c r="Y148" s="8">
        <f>Y146+Y145-Y143</f>
        <v>94343.854999999996</v>
      </c>
      <c r="Z148" s="8"/>
      <c r="AA148" s="752"/>
      <c r="AB148" s="752"/>
      <c r="AC148" s="752"/>
      <c r="AD148" s="8">
        <f>AD146+AD145-AD143</f>
        <v>30583.402000000002</v>
      </c>
      <c r="AE148" s="8">
        <f>AE146+AE145-AE143</f>
        <v>35879.569000000003</v>
      </c>
      <c r="AG148" s="660"/>
      <c r="AH148" s="660"/>
    </row>
    <row r="149" spans="2:34" s="5" customFormat="1" ht="13.5" customHeight="1">
      <c r="B149" s="5" t="s">
        <v>807</v>
      </c>
      <c r="C149" s="286"/>
      <c r="D149" s="8">
        <f>D145+D146</f>
        <v>83703.19200000001</v>
      </c>
      <c r="E149" s="286"/>
      <c r="F149" s="8">
        <f t="shared" ref="F149:K149" si="140">F145+F146</f>
        <v>81656.620999999985</v>
      </c>
      <c r="G149" s="8">
        <f t="shared" si="140"/>
        <v>117894.82699999999</v>
      </c>
      <c r="H149" s="8">
        <f t="shared" si="140"/>
        <v>99517.735000000001</v>
      </c>
      <c r="I149" s="8">
        <f t="shared" si="140"/>
        <v>130261.08100000001</v>
      </c>
      <c r="J149" s="8">
        <f t="shared" si="140"/>
        <v>143164.80900000001</v>
      </c>
      <c r="K149" s="8">
        <f t="shared" si="140"/>
        <v>190117.283</v>
      </c>
      <c r="L149" s="8"/>
      <c r="M149" s="662"/>
      <c r="N149" s="662"/>
      <c r="O149" s="662"/>
      <c r="P149" s="8">
        <f t="shared" ref="P149:U149" si="141">P145+P146</f>
        <v>81656.620999999985</v>
      </c>
      <c r="Q149" s="8">
        <f t="shared" si="141"/>
        <v>94852.439000000013</v>
      </c>
      <c r="R149" s="8">
        <f t="shared" si="141"/>
        <v>96139.356999999989</v>
      </c>
      <c r="S149" s="8">
        <f t="shared" si="141"/>
        <v>102834.40700000001</v>
      </c>
      <c r="T149" s="8">
        <f t="shared" si="141"/>
        <v>99517.735000000001</v>
      </c>
      <c r="U149" s="8">
        <f t="shared" si="141"/>
        <v>144300.098</v>
      </c>
      <c r="V149" s="8">
        <f>V145+V146</f>
        <v>158537.90700000001</v>
      </c>
      <c r="W149" s="8">
        <f>W145+W146</f>
        <v>166096.77899999998</v>
      </c>
      <c r="X149" s="8">
        <f>X145+X146</f>
        <v>143164.80900000001</v>
      </c>
      <c r="Y149" s="8">
        <f>Y145+Y146</f>
        <v>190117.283</v>
      </c>
      <c r="Z149" s="8"/>
      <c r="AA149" s="752"/>
      <c r="AB149" s="752"/>
      <c r="AC149" s="752"/>
      <c r="AD149" s="8">
        <f>AD145+AD146</f>
        <v>99517.735000000001</v>
      </c>
      <c r="AE149" s="8">
        <f>AE145+AE146</f>
        <v>144300.098</v>
      </c>
      <c r="AG149" s="660"/>
      <c r="AH149" s="660"/>
    </row>
    <row r="150" spans="2:34" s="5" customFormat="1" ht="13.5" customHeight="1">
      <c r="C150" s="4"/>
      <c r="D150" s="8"/>
      <c r="E150" s="4"/>
      <c r="F150" s="8"/>
      <c r="G150" s="8"/>
      <c r="H150" s="8"/>
      <c r="I150" s="8"/>
      <c r="J150" s="8"/>
      <c r="K150" s="8"/>
      <c r="L150" s="8"/>
      <c r="P150" s="8"/>
      <c r="Q150" s="8"/>
      <c r="R150" s="8"/>
      <c r="S150" s="8"/>
      <c r="T150" s="8"/>
      <c r="V150" s="8"/>
      <c r="W150" s="8"/>
      <c r="X150" s="8"/>
      <c r="Y150" s="8"/>
      <c r="Z150" s="8"/>
      <c r="AA150" s="470"/>
      <c r="AB150" s="470"/>
      <c r="AC150" s="470"/>
      <c r="AD150" s="470"/>
      <c r="AE150" s="470"/>
      <c r="AG150" s="1"/>
      <c r="AH150" s="1"/>
    </row>
    <row r="151" spans="2:34" ht="13.5" customHeight="1">
      <c r="B151" s="1" t="s">
        <v>514</v>
      </c>
      <c r="C151" s="286"/>
      <c r="D151" s="4">
        <v>0</v>
      </c>
      <c r="E151" s="286"/>
      <c r="F151" s="4">
        <v>0</v>
      </c>
      <c r="G151" s="4">
        <v>0</v>
      </c>
      <c r="H151" s="4">
        <v>0</v>
      </c>
      <c r="I151" s="4">
        <v>0</v>
      </c>
      <c r="J151" s="4">
        <v>0</v>
      </c>
      <c r="K151" s="6">
        <f>X151</f>
        <v>0</v>
      </c>
      <c r="L151" s="6"/>
      <c r="M151" s="660"/>
      <c r="N151" s="660"/>
      <c r="O151" s="660"/>
      <c r="P151" s="4">
        <v>0</v>
      </c>
      <c r="Q151" s="4">
        <v>0</v>
      </c>
      <c r="R151" s="4">
        <v>0</v>
      </c>
      <c r="S151" s="4">
        <v>0</v>
      </c>
      <c r="T151" s="4">
        <v>0</v>
      </c>
      <c r="U151" s="4">
        <v>0</v>
      </c>
      <c r="V151" s="4">
        <v>0</v>
      </c>
      <c r="W151" s="4">
        <v>0</v>
      </c>
      <c r="X151" s="6">
        <f>J151</f>
        <v>0</v>
      </c>
      <c r="Y151" s="4">
        <v>0</v>
      </c>
      <c r="Z151" s="4"/>
      <c r="AA151" s="752"/>
      <c r="AB151" s="752"/>
      <c r="AC151" s="752"/>
      <c r="AD151" s="6">
        <f>T151</f>
        <v>0</v>
      </c>
      <c r="AE151" s="6">
        <f>U151</f>
        <v>0</v>
      </c>
      <c r="AG151" s="660"/>
      <c r="AH151" s="660"/>
    </row>
    <row r="152" spans="2:34" s="5" customFormat="1" ht="13.5" customHeight="1">
      <c r="C152" s="4"/>
      <c r="D152" s="8"/>
      <c r="E152" s="4"/>
      <c r="F152" s="8"/>
      <c r="G152" s="8"/>
      <c r="H152" s="8"/>
      <c r="I152" s="8"/>
      <c r="J152" s="8"/>
      <c r="K152" s="8"/>
      <c r="L152" s="8"/>
      <c r="P152" s="8"/>
      <c r="Q152" s="8"/>
      <c r="R152" s="8"/>
      <c r="S152" s="8"/>
      <c r="T152" s="8"/>
      <c r="V152" s="8"/>
      <c r="W152" s="8"/>
      <c r="X152" s="8"/>
      <c r="Y152" s="8"/>
      <c r="Z152" s="8"/>
      <c r="AA152" s="470"/>
      <c r="AB152" s="470"/>
      <c r="AC152" s="470"/>
      <c r="AD152" s="470"/>
      <c r="AE152" s="470"/>
      <c r="AG152" s="1"/>
      <c r="AH152" s="1"/>
    </row>
    <row r="153" spans="2:34" s="5" customFormat="1" ht="13.5" customHeight="1">
      <c r="B153" s="224" t="s">
        <v>515</v>
      </c>
      <c r="C153" s="286"/>
      <c r="D153" s="8">
        <f>D148+D151</f>
        <v>40927.032000000007</v>
      </c>
      <c r="E153" s="286"/>
      <c r="F153" s="8">
        <f t="shared" ref="F153:K153" si="142">F148+F151</f>
        <v>31677.904999999984</v>
      </c>
      <c r="G153" s="8">
        <f t="shared" si="142"/>
        <v>45736.170999999988</v>
      </c>
      <c r="H153" s="8">
        <f t="shared" si="142"/>
        <v>30583.402000000002</v>
      </c>
      <c r="I153" s="8">
        <f t="shared" si="142"/>
        <v>40031.328000000009</v>
      </c>
      <c r="J153" s="8">
        <f t="shared" si="142"/>
        <v>51336.527000000002</v>
      </c>
      <c r="K153" s="8">
        <f t="shared" si="142"/>
        <v>94343.854999999996</v>
      </c>
      <c r="L153" s="8"/>
      <c r="M153" s="662"/>
      <c r="N153" s="662"/>
      <c r="O153" s="662"/>
      <c r="P153" s="8">
        <f t="shared" ref="P153:U153" si="143">P148+P151</f>
        <v>31677.904999999984</v>
      </c>
      <c r="Q153" s="8">
        <f t="shared" si="143"/>
        <v>46073.733000000015</v>
      </c>
      <c r="R153" s="8">
        <f t="shared" si="143"/>
        <v>45949.911999999989</v>
      </c>
      <c r="S153" s="8">
        <f t="shared" si="143"/>
        <v>21825.74500000001</v>
      </c>
      <c r="T153" s="8">
        <f t="shared" si="143"/>
        <v>30583.402000000002</v>
      </c>
      <c r="U153" s="8">
        <f t="shared" si="143"/>
        <v>35879.569000000003</v>
      </c>
      <c r="V153" s="8">
        <f>V148+V151</f>
        <v>41936.810000000012</v>
      </c>
      <c r="W153" s="8">
        <f>W148+W151</f>
        <v>43750.036999999982</v>
      </c>
      <c r="X153" s="8">
        <f>X148+X151</f>
        <v>51336.527000000002</v>
      </c>
      <c r="Y153" s="8">
        <f>Y148+Y151</f>
        <v>94343.854999999996</v>
      </c>
      <c r="Z153" s="8"/>
      <c r="AA153" s="752"/>
      <c r="AB153" s="752"/>
      <c r="AC153" s="752"/>
      <c r="AD153" s="8">
        <f>AD148+AD151</f>
        <v>30583.402000000002</v>
      </c>
      <c r="AE153" s="8">
        <f>AE148+AE151</f>
        <v>35879.569000000003</v>
      </c>
      <c r="AG153" s="660"/>
      <c r="AH153" s="660"/>
    </row>
    <row r="154" spans="2:34" s="5" customFormat="1" ht="13.5" customHeight="1">
      <c r="B154" s="224" t="s">
        <v>516</v>
      </c>
      <c r="C154" s="286"/>
      <c r="D154" s="8">
        <f>D149+D151</f>
        <v>83703.19200000001</v>
      </c>
      <c r="E154" s="286"/>
      <c r="F154" s="8">
        <f t="shared" ref="F154:K154" si="144">F149+F151</f>
        <v>81656.620999999985</v>
      </c>
      <c r="G154" s="8">
        <f t="shared" si="144"/>
        <v>117894.82699999999</v>
      </c>
      <c r="H154" s="8">
        <f t="shared" si="144"/>
        <v>99517.735000000001</v>
      </c>
      <c r="I154" s="8">
        <f t="shared" si="144"/>
        <v>130261.08100000001</v>
      </c>
      <c r="J154" s="8">
        <f t="shared" si="144"/>
        <v>143164.80900000001</v>
      </c>
      <c r="K154" s="8">
        <f t="shared" si="144"/>
        <v>190117.283</v>
      </c>
      <c r="L154" s="8"/>
      <c r="M154" s="662"/>
      <c r="N154" s="662"/>
      <c r="O154" s="662"/>
      <c r="P154" s="8">
        <f t="shared" ref="P154:U154" si="145">P149+P151</f>
        <v>81656.620999999985</v>
      </c>
      <c r="Q154" s="8">
        <f t="shared" si="145"/>
        <v>94852.439000000013</v>
      </c>
      <c r="R154" s="8">
        <f t="shared" si="145"/>
        <v>96139.356999999989</v>
      </c>
      <c r="S154" s="8">
        <f t="shared" si="145"/>
        <v>102834.40700000001</v>
      </c>
      <c r="T154" s="8">
        <f t="shared" si="145"/>
        <v>99517.735000000001</v>
      </c>
      <c r="U154" s="8">
        <f t="shared" si="145"/>
        <v>144300.098</v>
      </c>
      <c r="V154" s="8">
        <f>V149+V151</f>
        <v>158537.90700000001</v>
      </c>
      <c r="W154" s="8">
        <f>W149+W151</f>
        <v>166096.77899999998</v>
      </c>
      <c r="X154" s="8">
        <f>X149+X151</f>
        <v>143164.80900000001</v>
      </c>
      <c r="Y154" s="8">
        <f>Y149+Y151</f>
        <v>190117.283</v>
      </c>
      <c r="Z154" s="8"/>
      <c r="AA154" s="752"/>
      <c r="AB154" s="752"/>
      <c r="AC154" s="752"/>
      <c r="AD154" s="8">
        <f>AD149+AD151</f>
        <v>99517.735000000001</v>
      </c>
      <c r="AE154" s="8">
        <f>AE149+AE151</f>
        <v>144300.098</v>
      </c>
      <c r="AG154" s="660"/>
      <c r="AH154" s="660"/>
    </row>
    <row r="155" spans="2:34" ht="14.25" customHeight="1">
      <c r="C155" s="4"/>
      <c r="E155" s="4"/>
      <c r="AA155" s="470"/>
      <c r="AB155" s="470"/>
      <c r="AC155" s="470"/>
      <c r="AD155" s="470"/>
      <c r="AE155" s="470"/>
    </row>
    <row r="156" spans="2:34" ht="14.25" customHeight="1">
      <c r="B156" s="5" t="s">
        <v>517</v>
      </c>
      <c r="C156" s="286"/>
      <c r="D156" s="8">
        <f>D141-D143</f>
        <v>45961.225000000006</v>
      </c>
      <c r="E156" s="286"/>
      <c r="F156" s="8">
        <f t="shared" ref="F156:K156" si="146">F141-F143</f>
        <v>34105.492999999988</v>
      </c>
      <c r="G156" s="8">
        <f t="shared" si="146"/>
        <v>49241.092000000004</v>
      </c>
      <c r="H156" s="8">
        <f t="shared" si="146"/>
        <v>35405.926000000007</v>
      </c>
      <c r="I156" s="8">
        <f t="shared" si="146"/>
        <v>46343.642000000022</v>
      </c>
      <c r="J156" s="8">
        <f t="shared" si="146"/>
        <v>66820.844000000012</v>
      </c>
      <c r="K156" s="8">
        <f t="shared" si="146"/>
        <v>110573.42699999998</v>
      </c>
      <c r="L156" s="8"/>
      <c r="M156" s="660"/>
      <c r="N156" s="660"/>
      <c r="O156" s="660"/>
      <c r="P156" s="8">
        <f t="shared" ref="P156:U156" si="147">P141-P143</f>
        <v>34105.492999999988</v>
      </c>
      <c r="Q156" s="8">
        <f t="shared" si="147"/>
        <v>49270.823000000011</v>
      </c>
      <c r="R156" s="8">
        <f t="shared" si="147"/>
        <v>49001.286999999989</v>
      </c>
      <c r="S156" s="8">
        <f t="shared" si="147"/>
        <v>25719.763000000006</v>
      </c>
      <c r="T156" s="8">
        <f t="shared" si="147"/>
        <v>35405.926000000007</v>
      </c>
      <c r="U156" s="8">
        <f t="shared" si="147"/>
        <v>42290.979000000007</v>
      </c>
      <c r="V156" s="8">
        <f>V141-V143</f>
        <v>56256.982000000004</v>
      </c>
      <c r="W156" s="8">
        <f>W141-W143</f>
        <v>58934.102999999974</v>
      </c>
      <c r="X156" s="8">
        <f>X141-X143</f>
        <v>66820.844000000012</v>
      </c>
      <c r="Y156" s="8">
        <f>Y141-Y143</f>
        <v>110573.42699999998</v>
      </c>
      <c r="Z156" s="8"/>
      <c r="AA156" s="752"/>
      <c r="AB156" s="752"/>
      <c r="AC156" s="752"/>
      <c r="AD156" s="8">
        <f>AD141-AD143</f>
        <v>35405.926000000007</v>
      </c>
      <c r="AE156" s="8">
        <f>AE141-AE143</f>
        <v>42290.979000000007</v>
      </c>
      <c r="AG156" s="660"/>
      <c r="AH156" s="660"/>
    </row>
    <row r="157" spans="2:34" ht="14.25" customHeight="1">
      <c r="B157" s="5" t="s">
        <v>518</v>
      </c>
      <c r="C157" s="286"/>
      <c r="D157" s="8">
        <f>+D141</f>
        <v>88737.385000000009</v>
      </c>
      <c r="E157" s="286"/>
      <c r="F157" s="8">
        <f t="shared" ref="F157:K157" si="148">+F141</f>
        <v>84084.208999999988</v>
      </c>
      <c r="G157" s="8">
        <f t="shared" si="148"/>
        <v>121399.74800000001</v>
      </c>
      <c r="H157" s="8">
        <f t="shared" si="148"/>
        <v>104340.25900000001</v>
      </c>
      <c r="I157" s="8">
        <f t="shared" si="148"/>
        <v>136573.39500000002</v>
      </c>
      <c r="J157" s="8">
        <f t="shared" si="148"/>
        <v>158649.12600000002</v>
      </c>
      <c r="K157" s="8">
        <f t="shared" si="148"/>
        <v>206346.85499999998</v>
      </c>
      <c r="L157" s="8"/>
      <c r="M157" s="660"/>
      <c r="N157" s="660"/>
      <c r="O157" s="660"/>
      <c r="P157" s="8">
        <f t="shared" ref="P157:U157" si="149">+P141</f>
        <v>84084.208999999988</v>
      </c>
      <c r="Q157" s="8">
        <f t="shared" si="149"/>
        <v>98049.52900000001</v>
      </c>
      <c r="R157" s="8">
        <f t="shared" si="149"/>
        <v>99190.731999999989</v>
      </c>
      <c r="S157" s="8">
        <f t="shared" si="149"/>
        <v>106728.425</v>
      </c>
      <c r="T157" s="8">
        <f t="shared" si="149"/>
        <v>104340.25900000001</v>
      </c>
      <c r="U157" s="8">
        <f t="shared" si="149"/>
        <v>150711.508</v>
      </c>
      <c r="V157" s="8">
        <f>+V141</f>
        <v>172858.079</v>
      </c>
      <c r="W157" s="8">
        <f>+W141</f>
        <v>181280.84499999997</v>
      </c>
      <c r="X157" s="8">
        <f>+X141</f>
        <v>158649.12600000002</v>
      </c>
      <c r="Y157" s="8">
        <f>+Y141</f>
        <v>206346.85499999998</v>
      </c>
      <c r="Z157" s="8"/>
      <c r="AA157" s="752"/>
      <c r="AB157" s="752"/>
      <c r="AC157" s="752"/>
      <c r="AD157" s="8">
        <f>+AD141</f>
        <v>104340.25900000001</v>
      </c>
      <c r="AE157" s="8">
        <f>+AE141</f>
        <v>150711.508</v>
      </c>
      <c r="AG157" s="660"/>
      <c r="AH157" s="660"/>
    </row>
    <row r="158" spans="2:34" ht="14.25" customHeight="1">
      <c r="C158" s="4"/>
      <c r="E158" s="4"/>
      <c r="AA158" s="470"/>
      <c r="AB158" s="470"/>
      <c r="AC158" s="470"/>
      <c r="AD158" s="470"/>
      <c r="AE158" s="470"/>
    </row>
    <row r="159" spans="2:34" ht="12.75" customHeight="1">
      <c r="B159" s="5" t="s">
        <v>519</v>
      </c>
      <c r="C159" s="286"/>
      <c r="D159" s="8">
        <f>D78*8</f>
        <v>0</v>
      </c>
      <c r="E159" s="286"/>
      <c r="F159" s="8">
        <f t="shared" ref="F159:K159" si="150">F78*8</f>
        <v>0</v>
      </c>
      <c r="G159" s="8">
        <f t="shared" si="150"/>
        <v>0</v>
      </c>
      <c r="H159" s="8">
        <f t="shared" si="150"/>
        <v>0</v>
      </c>
      <c r="I159" s="8">
        <f t="shared" si="150"/>
        <v>0</v>
      </c>
      <c r="J159" s="8">
        <f t="shared" si="150"/>
        <v>0</v>
      </c>
      <c r="K159" s="8">
        <f t="shared" si="150"/>
        <v>0</v>
      </c>
      <c r="L159" s="6"/>
      <c r="M159" s="660"/>
      <c r="N159" s="660"/>
      <c r="O159" s="660"/>
      <c r="P159" s="8">
        <f t="shared" ref="P159:Y159" si="151">P78*8*4</f>
        <v>0</v>
      </c>
      <c r="Q159" s="8">
        <f t="shared" si="151"/>
        <v>0</v>
      </c>
      <c r="R159" s="8">
        <f t="shared" si="151"/>
        <v>0</v>
      </c>
      <c r="S159" s="8">
        <f t="shared" si="151"/>
        <v>0</v>
      </c>
      <c r="T159" s="8">
        <f t="shared" si="151"/>
        <v>0</v>
      </c>
      <c r="U159" s="8">
        <f t="shared" si="151"/>
        <v>0</v>
      </c>
      <c r="V159" s="8">
        <f t="shared" si="151"/>
        <v>0</v>
      </c>
      <c r="W159" s="8">
        <f t="shared" si="151"/>
        <v>0</v>
      </c>
      <c r="X159" s="8">
        <f t="shared" si="151"/>
        <v>0</v>
      </c>
      <c r="Y159" s="8">
        <f t="shared" si="151"/>
        <v>0</v>
      </c>
      <c r="Z159" s="8"/>
      <c r="AA159" s="752"/>
      <c r="AB159" s="752"/>
      <c r="AC159" s="752"/>
      <c r="AD159" s="8">
        <f>AD78*8*4</f>
        <v>0</v>
      </c>
      <c r="AE159" s="8">
        <f>AE78*8*4</f>
        <v>0</v>
      </c>
      <c r="AG159" s="660"/>
      <c r="AH159" s="660"/>
    </row>
    <row r="160" spans="2:34" ht="13.5" customHeight="1">
      <c r="B160" s="5"/>
      <c r="C160" s="4"/>
      <c r="D160" s="28"/>
      <c r="E160" s="4"/>
      <c r="F160" s="28"/>
      <c r="G160" s="28"/>
      <c r="H160" s="28"/>
      <c r="I160" s="28"/>
      <c r="J160" s="28"/>
      <c r="K160" s="28"/>
      <c r="L160" s="28"/>
      <c r="P160" s="28"/>
      <c r="Q160" s="28"/>
      <c r="R160" s="28"/>
      <c r="S160" s="28"/>
      <c r="T160" s="28"/>
      <c r="U160" s="28"/>
      <c r="V160" s="28"/>
      <c r="W160" s="28"/>
      <c r="X160" s="28"/>
      <c r="Y160" s="28"/>
      <c r="Z160" s="28"/>
      <c r="AA160" s="470"/>
      <c r="AB160" s="470"/>
      <c r="AC160" s="470"/>
      <c r="AD160" s="470"/>
      <c r="AE160" s="470"/>
    </row>
    <row r="161" spans="2:34" ht="13.5" customHeight="1">
      <c r="B161" s="5" t="s">
        <v>520</v>
      </c>
      <c r="C161" s="286"/>
      <c r="D161" s="8">
        <f>D159+D153</f>
        <v>40927.032000000007</v>
      </c>
      <c r="E161" s="286"/>
      <c r="F161" s="8">
        <f t="shared" ref="F161:K161" si="152">F159+F153</f>
        <v>31677.904999999984</v>
      </c>
      <c r="G161" s="8">
        <f t="shared" si="152"/>
        <v>45736.170999999988</v>
      </c>
      <c r="H161" s="8">
        <f t="shared" si="152"/>
        <v>30583.402000000002</v>
      </c>
      <c r="I161" s="8">
        <f t="shared" si="152"/>
        <v>40031.328000000009</v>
      </c>
      <c r="J161" s="8">
        <f t="shared" si="152"/>
        <v>51336.527000000002</v>
      </c>
      <c r="K161" s="8">
        <f t="shared" si="152"/>
        <v>94343.854999999996</v>
      </c>
      <c r="L161" s="8"/>
      <c r="M161" s="660"/>
      <c r="N161" s="660"/>
      <c r="O161" s="660"/>
      <c r="P161" s="8">
        <f t="shared" ref="P161:U161" si="153">P159+P153</f>
        <v>31677.904999999984</v>
      </c>
      <c r="Q161" s="8">
        <f t="shared" si="153"/>
        <v>46073.733000000015</v>
      </c>
      <c r="R161" s="8">
        <f t="shared" si="153"/>
        <v>45949.911999999989</v>
      </c>
      <c r="S161" s="8">
        <f t="shared" si="153"/>
        <v>21825.74500000001</v>
      </c>
      <c r="T161" s="8">
        <f t="shared" si="153"/>
        <v>30583.402000000002</v>
      </c>
      <c r="U161" s="8">
        <f t="shared" si="153"/>
        <v>35879.569000000003</v>
      </c>
      <c r="V161" s="8">
        <f>V159+V153</f>
        <v>41936.810000000012</v>
      </c>
      <c r="W161" s="8">
        <f>W159+W153</f>
        <v>43750.036999999982</v>
      </c>
      <c r="X161" s="8">
        <f>X159+X153</f>
        <v>51336.527000000002</v>
      </c>
      <c r="Y161" s="8">
        <f>Y159+Y153</f>
        <v>94343.854999999996</v>
      </c>
      <c r="Z161" s="8"/>
      <c r="AA161" s="752"/>
      <c r="AB161" s="752"/>
      <c r="AC161" s="752"/>
      <c r="AD161" s="8">
        <f>AD159+AD153</f>
        <v>30583.402000000002</v>
      </c>
      <c r="AE161" s="8">
        <f>AE159+AE153</f>
        <v>35879.569000000003</v>
      </c>
      <c r="AG161" s="660"/>
      <c r="AH161" s="660"/>
    </row>
    <row r="162" spans="2:34" ht="13.5" customHeight="1">
      <c r="B162" s="5" t="s">
        <v>521</v>
      </c>
      <c r="C162" s="286"/>
      <c r="D162" s="8">
        <f>D159+D154</f>
        <v>83703.19200000001</v>
      </c>
      <c r="E162" s="286"/>
      <c r="F162" s="8">
        <f t="shared" ref="F162:K162" si="154">F159+F154</f>
        <v>81656.620999999985</v>
      </c>
      <c r="G162" s="8">
        <f t="shared" si="154"/>
        <v>117894.82699999999</v>
      </c>
      <c r="H162" s="8">
        <f t="shared" si="154"/>
        <v>99517.735000000001</v>
      </c>
      <c r="I162" s="8">
        <f t="shared" si="154"/>
        <v>130261.08100000001</v>
      </c>
      <c r="J162" s="8">
        <f t="shared" si="154"/>
        <v>143164.80900000001</v>
      </c>
      <c r="K162" s="8">
        <f t="shared" si="154"/>
        <v>190117.283</v>
      </c>
      <c r="L162" s="8"/>
      <c r="M162" s="660"/>
      <c r="N162" s="660"/>
      <c r="O162" s="660"/>
      <c r="P162" s="8">
        <f t="shared" ref="P162:U162" si="155">P159+P154</f>
        <v>81656.620999999985</v>
      </c>
      <c r="Q162" s="8">
        <f t="shared" si="155"/>
        <v>94852.439000000013</v>
      </c>
      <c r="R162" s="8">
        <f t="shared" si="155"/>
        <v>96139.356999999989</v>
      </c>
      <c r="S162" s="8">
        <f t="shared" si="155"/>
        <v>102834.40700000001</v>
      </c>
      <c r="T162" s="8">
        <f t="shared" si="155"/>
        <v>99517.735000000001</v>
      </c>
      <c r="U162" s="8">
        <f t="shared" si="155"/>
        <v>144300.098</v>
      </c>
      <c r="V162" s="8">
        <f>V159+V154</f>
        <v>158537.90700000001</v>
      </c>
      <c r="W162" s="8">
        <f>W159+W154</f>
        <v>166096.77899999998</v>
      </c>
      <c r="X162" s="8">
        <f>X159+X154</f>
        <v>143164.80900000001</v>
      </c>
      <c r="Y162" s="8">
        <f>Y159+Y154</f>
        <v>190117.283</v>
      </c>
      <c r="Z162" s="8"/>
      <c r="AA162" s="752"/>
      <c r="AB162" s="752"/>
      <c r="AC162" s="752"/>
      <c r="AD162" s="8">
        <f>AD159+AD154</f>
        <v>99517.735000000001</v>
      </c>
      <c r="AE162" s="8">
        <f>AE159+AE154</f>
        <v>144300.098</v>
      </c>
      <c r="AG162" s="660"/>
      <c r="AH162" s="660"/>
    </row>
    <row r="163" spans="2:34" ht="13.5" customHeight="1">
      <c r="C163" s="4"/>
      <c r="D163" s="28"/>
      <c r="E163" s="4"/>
      <c r="F163" s="28"/>
      <c r="G163" s="28"/>
      <c r="H163" s="28"/>
      <c r="L163" s="28"/>
      <c r="P163" s="28"/>
      <c r="Q163" s="28"/>
      <c r="R163" s="28"/>
      <c r="S163" s="28"/>
      <c r="T163" s="28"/>
      <c r="V163" s="28"/>
      <c r="W163" s="28"/>
      <c r="X163" s="28"/>
      <c r="Y163" s="28"/>
      <c r="Z163" s="28"/>
      <c r="AA163" s="470"/>
      <c r="AB163" s="470"/>
      <c r="AC163" s="470"/>
      <c r="AD163" s="470"/>
      <c r="AE163" s="470"/>
    </row>
    <row r="164" spans="2:34" ht="13.5" customHeight="1">
      <c r="B164" s="1" t="s">
        <v>522</v>
      </c>
      <c r="C164" s="286"/>
      <c r="D164" s="6">
        <f>+D154-D165</f>
        <v>67037.198000000004</v>
      </c>
      <c r="E164" s="286"/>
      <c r="F164" s="6">
        <f t="shared" ref="F164:K164" si="156">+F154-F165</f>
        <v>64707.476999999984</v>
      </c>
      <c r="G164" s="6">
        <f t="shared" si="156"/>
        <v>93423.859999999986</v>
      </c>
      <c r="H164" s="6">
        <f t="shared" si="156"/>
        <v>78135.305000000008</v>
      </c>
      <c r="I164" s="6">
        <f t="shared" si="156"/>
        <v>102273.12100000001</v>
      </c>
      <c r="J164" s="6">
        <f t="shared" si="156"/>
        <v>129381.97500000001</v>
      </c>
      <c r="K164" s="6">
        <f t="shared" si="156"/>
        <v>178038.75200000001</v>
      </c>
      <c r="L164" s="6"/>
      <c r="M164" s="660"/>
      <c r="N164" s="660"/>
      <c r="O164" s="660"/>
      <c r="P164" s="6">
        <f t="shared" ref="P164:U164" si="157">+P154-P165</f>
        <v>64707.476999999984</v>
      </c>
      <c r="Q164" s="6">
        <f t="shared" si="157"/>
        <v>73910.90800000001</v>
      </c>
      <c r="R164" s="6">
        <f t="shared" si="157"/>
        <v>73684.967999999993</v>
      </c>
      <c r="S164" s="6">
        <f t="shared" si="157"/>
        <v>80186.403000000006</v>
      </c>
      <c r="T164" s="6">
        <f t="shared" si="157"/>
        <v>78135.305000000008</v>
      </c>
      <c r="U164" s="6">
        <f t="shared" si="157"/>
        <v>122890.995</v>
      </c>
      <c r="V164" s="6">
        <f>+V154-V165</f>
        <v>140476.467</v>
      </c>
      <c r="W164" s="6">
        <f>+W154-W165</f>
        <v>147434.84999999998</v>
      </c>
      <c r="X164" s="6">
        <f>+X154-X165</f>
        <v>129381.97500000001</v>
      </c>
      <c r="Y164" s="6">
        <f>+Y154-Y165</f>
        <v>178038.75200000001</v>
      </c>
      <c r="Z164" s="6"/>
      <c r="AA164" s="752"/>
      <c r="AB164" s="752"/>
      <c r="AC164" s="752"/>
      <c r="AD164" s="6">
        <f>+AD154-AD165</f>
        <v>78135.305000000008</v>
      </c>
      <c r="AE164" s="6">
        <f>+AE154-AE165</f>
        <v>122890.995</v>
      </c>
      <c r="AG164" s="660"/>
      <c r="AH164" s="660"/>
    </row>
    <row r="165" spans="2:34" ht="13.5" customHeight="1">
      <c r="B165" s="1" t="s">
        <v>523</v>
      </c>
      <c r="C165" s="286"/>
      <c r="D165" s="4">
        <f>12822.981+1853.222+1989.791</f>
        <v>16665.993999999999</v>
      </c>
      <c r="E165" s="286"/>
      <c r="F165" s="4">
        <f>11942.103+3437.246+1569.795</f>
        <v>16949.144</v>
      </c>
      <c r="G165" s="4">
        <f>17241.862+4962.654+2266.451</f>
        <v>24470.967000000004</v>
      </c>
      <c r="H165" s="4">
        <f>14419.059+3003.557+3959.814</f>
        <v>21382.429999999997</v>
      </c>
      <c r="I165" s="4">
        <f>18873.442+3931.425+5183.093</f>
        <v>27987.96</v>
      </c>
      <c r="J165" s="4">
        <f>243.161+6114.448+2408.283+5016.942</f>
        <v>13782.833999999999</v>
      </c>
      <c r="K165" s="6">
        <f>Y165</f>
        <v>12078.530999999999</v>
      </c>
      <c r="L165" s="6"/>
      <c r="M165" s="660"/>
      <c r="N165" s="660"/>
      <c r="O165" s="660"/>
      <c r="P165" s="6">
        <f>F165</f>
        <v>16949.144</v>
      </c>
      <c r="Q165" s="4">
        <f>13469.346+5138.883+2333.302</f>
        <v>20941.530999999999</v>
      </c>
      <c r="R165" s="4">
        <f>14520.649+5770.23+2163.51</f>
        <v>22454.389000000003</v>
      </c>
      <c r="S165" s="4">
        <f>15284.734+3556.793+863.167+2943.31</f>
        <v>22648.004000000004</v>
      </c>
      <c r="T165" s="6">
        <f>H165</f>
        <v>21382.429999999997</v>
      </c>
      <c r="U165" s="4">
        <f>11912.962+4076.711+5419.43</f>
        <v>21409.102999999999</v>
      </c>
      <c r="V165" s="4">
        <f>10014.951+242.975+2620.448+5183.066</f>
        <v>18061.439999999999</v>
      </c>
      <c r="W165" s="4">
        <f>10070.376+243.623+3081.262+5266.668</f>
        <v>18661.929</v>
      </c>
      <c r="X165" s="6">
        <f>J165</f>
        <v>13782.833999999999</v>
      </c>
      <c r="Y165" s="4">
        <f>244.27+2334.776+2931.495+6567.99</f>
        <v>12078.530999999999</v>
      </c>
      <c r="Z165" s="4"/>
      <c r="AA165" s="752"/>
      <c r="AB165" s="752"/>
      <c r="AC165" s="752"/>
      <c r="AD165" s="6">
        <f>T165</f>
        <v>21382.429999999997</v>
      </c>
      <c r="AE165" s="6">
        <f>U165</f>
        <v>21409.102999999999</v>
      </c>
      <c r="AG165" s="660"/>
      <c r="AH165" s="660"/>
    </row>
    <row r="166" spans="2:34" ht="13.5" customHeight="1">
      <c r="C166" s="286"/>
      <c r="D166" s="4"/>
      <c r="E166" s="286"/>
      <c r="F166" s="4"/>
      <c r="G166" s="4"/>
      <c r="H166" s="4"/>
      <c r="I166" s="4"/>
      <c r="J166" s="4"/>
      <c r="K166" s="4"/>
      <c r="L166" s="4"/>
      <c r="M166" s="4"/>
      <c r="N166" s="4"/>
      <c r="O166" s="4"/>
      <c r="P166" s="4"/>
      <c r="Q166" s="28"/>
      <c r="R166" s="28"/>
      <c r="S166" s="28"/>
      <c r="T166" s="28"/>
      <c r="V166" s="28"/>
      <c r="W166" s="28"/>
      <c r="X166" s="28"/>
      <c r="Y166" s="28"/>
      <c r="Z166" s="28"/>
      <c r="AA166" s="752"/>
      <c r="AB166" s="752"/>
      <c r="AC166" s="752"/>
      <c r="AD166" s="470"/>
      <c r="AE166" s="470"/>
      <c r="AG166" s="660"/>
      <c r="AH166" s="660"/>
    </row>
    <row r="167" spans="2:34" ht="13.5" customHeight="1">
      <c r="B167" s="5" t="s">
        <v>524</v>
      </c>
      <c r="C167" s="286"/>
      <c r="D167" s="4">
        <v>147000</v>
      </c>
      <c r="E167" s="286"/>
      <c r="F167" s="4">
        <v>152900</v>
      </c>
      <c r="G167" s="4">
        <v>152900</v>
      </c>
      <c r="H167" s="4">
        <v>202220</v>
      </c>
      <c r="I167" s="4">
        <v>202220</v>
      </c>
      <c r="J167" s="4">
        <v>238755.75</v>
      </c>
      <c r="K167" s="6">
        <f>Y167</f>
        <v>219820.7</v>
      </c>
      <c r="L167" s="6"/>
      <c r="M167" s="660"/>
      <c r="N167" s="660"/>
      <c r="O167" s="660"/>
      <c r="P167" s="6">
        <f>F167</f>
        <v>152900</v>
      </c>
      <c r="Q167" s="4">
        <v>194208</v>
      </c>
      <c r="R167" s="4">
        <v>203264</v>
      </c>
      <c r="S167" s="4">
        <v>204355</v>
      </c>
      <c r="T167" s="6">
        <f>H167</f>
        <v>202220</v>
      </c>
      <c r="U167" s="4">
        <v>209700</v>
      </c>
      <c r="V167" s="4">
        <v>214585.85</v>
      </c>
      <c r="W167" s="4">
        <v>212080.5</v>
      </c>
      <c r="X167" s="6">
        <f>J167</f>
        <v>238755.75</v>
      </c>
      <c r="Y167" s="4">
        <v>219820.7</v>
      </c>
      <c r="Z167" s="447"/>
      <c r="AA167" s="752"/>
      <c r="AB167" s="752"/>
      <c r="AC167" s="752"/>
      <c r="AD167" s="6">
        <f>T167</f>
        <v>202220</v>
      </c>
      <c r="AE167" s="6">
        <f>U167</f>
        <v>209700</v>
      </c>
      <c r="AG167" s="660"/>
      <c r="AH167" s="660"/>
    </row>
    <row r="168" spans="2:34" ht="13.5" customHeight="1" outlineLevel="1">
      <c r="B168" s="1" t="s">
        <v>525</v>
      </c>
      <c r="C168" s="286"/>
      <c r="D168" s="4">
        <v>109377.939</v>
      </c>
      <c r="E168" s="286"/>
      <c r="F168" s="4">
        <v>122234.86500000001</v>
      </c>
      <c r="G168" s="4">
        <v>176481.19699999999</v>
      </c>
      <c r="H168" s="4">
        <v>186966.53</v>
      </c>
      <c r="I168" s="4">
        <v>244724.84599999999</v>
      </c>
      <c r="J168" s="4">
        <v>259333.06899999999</v>
      </c>
      <c r="K168" s="6">
        <f>Y168</f>
        <v>290909.22600000002</v>
      </c>
      <c r="L168" s="6"/>
      <c r="P168" s="6">
        <f>F168</f>
        <v>122234.86500000001</v>
      </c>
      <c r="Q168" s="4">
        <v>143444.405</v>
      </c>
      <c r="R168" s="4">
        <v>152290.595</v>
      </c>
      <c r="S168" s="4">
        <v>174478.88</v>
      </c>
      <c r="T168" s="6">
        <f>H168</f>
        <v>186966.53</v>
      </c>
      <c r="U168" s="4">
        <v>209834.864</v>
      </c>
      <c r="V168" s="4">
        <v>219706.432</v>
      </c>
      <c r="W168" s="4">
        <v>243029.36499999999</v>
      </c>
      <c r="X168" s="6">
        <f>J168</f>
        <v>259333.06899999999</v>
      </c>
      <c r="Y168" s="4">
        <v>290909.22600000002</v>
      </c>
      <c r="Z168" s="4"/>
      <c r="AA168" s="752"/>
      <c r="AB168" s="752"/>
      <c r="AC168" s="752"/>
      <c r="AD168" s="6">
        <f>T168</f>
        <v>186966.53</v>
      </c>
      <c r="AE168" s="6">
        <f>U168</f>
        <v>209834.864</v>
      </c>
      <c r="AG168" s="660"/>
      <c r="AH168" s="660"/>
    </row>
    <row r="169" spans="2:34" s="5" customFormat="1" ht="13.5" customHeight="1" outlineLevel="1">
      <c r="B169" s="5" t="s">
        <v>526</v>
      </c>
      <c r="C169" s="286"/>
      <c r="D169" s="8">
        <f>D168+D154</f>
        <v>193081.13099999999</v>
      </c>
      <c r="E169" s="286"/>
      <c r="F169" s="8">
        <f t="shared" ref="F169:K169" si="158">F168+F154</f>
        <v>203891.48599999998</v>
      </c>
      <c r="G169" s="8">
        <f t="shared" si="158"/>
        <v>294376.02399999998</v>
      </c>
      <c r="H169" s="8">
        <f t="shared" si="158"/>
        <v>286484.26500000001</v>
      </c>
      <c r="I169" s="8">
        <f t="shared" si="158"/>
        <v>374985.92700000003</v>
      </c>
      <c r="J169" s="8">
        <f t="shared" si="158"/>
        <v>402497.87800000003</v>
      </c>
      <c r="K169" s="8">
        <f t="shared" si="158"/>
        <v>481026.50900000002</v>
      </c>
      <c r="L169" s="8"/>
      <c r="M169" s="662"/>
      <c r="N169" s="662"/>
      <c r="O169" s="662"/>
      <c r="P169" s="8">
        <f t="shared" ref="P169:U169" si="159">P168+P154</f>
        <v>203891.48599999998</v>
      </c>
      <c r="Q169" s="8">
        <f t="shared" si="159"/>
        <v>238296.84400000001</v>
      </c>
      <c r="R169" s="8">
        <f t="shared" si="159"/>
        <v>248429.95199999999</v>
      </c>
      <c r="S169" s="8">
        <f t="shared" si="159"/>
        <v>277313.28700000001</v>
      </c>
      <c r="T169" s="8">
        <f t="shared" si="159"/>
        <v>286484.26500000001</v>
      </c>
      <c r="U169" s="8">
        <f t="shared" si="159"/>
        <v>354134.962</v>
      </c>
      <c r="V169" s="8">
        <f>V168+V154</f>
        <v>378244.33900000004</v>
      </c>
      <c r="W169" s="8">
        <f>W168+W154</f>
        <v>409126.14399999997</v>
      </c>
      <c r="X169" s="8">
        <f>X168+X154</f>
        <v>402497.87800000003</v>
      </c>
      <c r="Y169" s="8">
        <f>Y168+Y154</f>
        <v>481026.50900000002</v>
      </c>
      <c r="Z169" s="8"/>
      <c r="AA169" s="752"/>
      <c r="AB169" s="752"/>
      <c r="AC169" s="752"/>
      <c r="AD169" s="8">
        <f>AD168+AD154</f>
        <v>286484.26500000001</v>
      </c>
      <c r="AE169" s="8">
        <f>AE168+AE154</f>
        <v>354134.962</v>
      </c>
      <c r="AG169" s="660"/>
      <c r="AH169" s="660"/>
    </row>
    <row r="170" spans="2:34" s="5" customFormat="1" ht="13.5" customHeight="1" outlineLevel="1">
      <c r="B170" s="5" t="s">
        <v>527</v>
      </c>
      <c r="C170" s="286"/>
      <c r="D170" s="8">
        <f>D167+D153</f>
        <v>187927.03200000001</v>
      </c>
      <c r="E170" s="286"/>
      <c r="F170" s="8">
        <f t="shared" ref="F170:K170" si="160">F167+F153</f>
        <v>184577.90499999997</v>
      </c>
      <c r="G170" s="8">
        <f t="shared" si="160"/>
        <v>198636.17099999997</v>
      </c>
      <c r="H170" s="8">
        <f t="shared" si="160"/>
        <v>232803.402</v>
      </c>
      <c r="I170" s="8">
        <f t="shared" si="160"/>
        <v>242251.32800000001</v>
      </c>
      <c r="J170" s="8">
        <f t="shared" si="160"/>
        <v>290092.277</v>
      </c>
      <c r="K170" s="8">
        <f t="shared" si="160"/>
        <v>314164.55499999999</v>
      </c>
      <c r="L170" s="8"/>
      <c r="M170" s="662"/>
      <c r="N170" s="662"/>
      <c r="O170" s="662"/>
      <c r="P170" s="8">
        <f t="shared" ref="P170:U170" si="161">P167+P153</f>
        <v>184577.90499999997</v>
      </c>
      <c r="Q170" s="8">
        <f t="shared" si="161"/>
        <v>240281.73300000001</v>
      </c>
      <c r="R170" s="8">
        <f t="shared" si="161"/>
        <v>249213.91199999998</v>
      </c>
      <c r="S170" s="8">
        <f t="shared" si="161"/>
        <v>226180.745</v>
      </c>
      <c r="T170" s="8">
        <f t="shared" si="161"/>
        <v>232803.402</v>
      </c>
      <c r="U170" s="8">
        <f t="shared" si="161"/>
        <v>245579.56900000002</v>
      </c>
      <c r="V170" s="8">
        <f>V167+V153</f>
        <v>256522.66000000003</v>
      </c>
      <c r="W170" s="8">
        <f>W167+W153</f>
        <v>255830.53699999998</v>
      </c>
      <c r="X170" s="8">
        <f>X167+X153</f>
        <v>290092.277</v>
      </c>
      <c r="Y170" s="8">
        <f>Y167+Y153</f>
        <v>314164.55499999999</v>
      </c>
      <c r="Z170" s="8"/>
      <c r="AA170" s="752"/>
      <c r="AB170" s="752"/>
      <c r="AC170" s="752"/>
      <c r="AD170" s="8">
        <f>AD167+AD153</f>
        <v>232803.402</v>
      </c>
      <c r="AE170" s="8">
        <f>AE167+AE153</f>
        <v>245579.56900000002</v>
      </c>
      <c r="AG170" s="660"/>
      <c r="AH170" s="660"/>
    </row>
    <row r="171" spans="2:34" ht="13.5" customHeight="1">
      <c r="AB171" s="470"/>
      <c r="AC171" s="470"/>
      <c r="AD171" s="470"/>
      <c r="AE171" s="470"/>
      <c r="AG171" s="470"/>
      <c r="AH171" s="470"/>
    </row>
    <row r="172" spans="2:34" ht="13.5" customHeight="1">
      <c r="AB172" s="470"/>
      <c r="AC172" s="470"/>
      <c r="AD172" s="470"/>
      <c r="AE172" s="470"/>
      <c r="AG172" s="470"/>
      <c r="AH172" s="470"/>
    </row>
    <row r="173" spans="2:34" ht="13.5" customHeight="1">
      <c r="B173" s="543" t="s">
        <v>528</v>
      </c>
      <c r="C173" s="574">
        <f t="shared" ref="C173:K173" si="162">+C3</f>
        <v>44561</v>
      </c>
      <c r="D173" s="574">
        <f t="shared" si="162"/>
        <v>44926</v>
      </c>
      <c r="E173" s="574">
        <f t="shared" si="162"/>
        <v>44926</v>
      </c>
      <c r="F173" s="574">
        <f t="shared" si="162"/>
        <v>45291</v>
      </c>
      <c r="G173" s="574">
        <f t="shared" si="162"/>
        <v>45291</v>
      </c>
      <c r="H173" s="574">
        <f t="shared" si="162"/>
        <v>45657</v>
      </c>
      <c r="I173" s="574">
        <f t="shared" si="162"/>
        <v>45657</v>
      </c>
      <c r="J173" s="574">
        <f t="shared" si="162"/>
        <v>46022</v>
      </c>
      <c r="K173" s="574">
        <f t="shared" si="162"/>
        <v>46112</v>
      </c>
      <c r="L173" s="295" t="s">
        <v>397</v>
      </c>
      <c r="M173" s="545"/>
      <c r="N173" s="545"/>
      <c r="O173" s="545"/>
      <c r="P173" s="574">
        <f t="shared" ref="P173:Y173" si="163">+P3</f>
        <v>45291</v>
      </c>
      <c r="Q173" s="574">
        <f t="shared" si="163"/>
        <v>45382</v>
      </c>
      <c r="R173" s="574">
        <f t="shared" si="163"/>
        <v>45473</v>
      </c>
      <c r="S173" s="574">
        <f t="shared" si="163"/>
        <v>45565</v>
      </c>
      <c r="T173" s="574">
        <f t="shared" si="163"/>
        <v>45657</v>
      </c>
      <c r="U173" s="574">
        <f t="shared" si="163"/>
        <v>45747</v>
      </c>
      <c r="V173" s="574">
        <f t="shared" si="163"/>
        <v>45838</v>
      </c>
      <c r="W173" s="576">
        <f t="shared" si="163"/>
        <v>45930</v>
      </c>
      <c r="X173" s="576">
        <f t="shared" si="163"/>
        <v>46022</v>
      </c>
      <c r="Y173" s="576">
        <f t="shared" si="163"/>
        <v>46112</v>
      </c>
      <c r="Z173" s="295"/>
      <c r="AA173" s="576">
        <f>+AA3</f>
        <v>45382</v>
      </c>
      <c r="AB173" s="576">
        <f>+AB3</f>
        <v>45473</v>
      </c>
      <c r="AC173" s="576">
        <f>+AC3</f>
        <v>45565</v>
      </c>
      <c r="AD173" s="576">
        <f>+AD3</f>
        <v>45656</v>
      </c>
      <c r="AE173" s="576">
        <f>+AE3</f>
        <v>45747</v>
      </c>
      <c r="AG173" s="576">
        <f>+AG3</f>
        <v>45565</v>
      </c>
      <c r="AH173" s="576">
        <f>+AH3</f>
        <v>45930</v>
      </c>
    </row>
    <row r="174" spans="2:34" ht="13.5" customHeight="1">
      <c r="B174" s="5"/>
      <c r="M174" s="660"/>
      <c r="N174" s="660"/>
      <c r="O174" s="660"/>
      <c r="AB174" s="470"/>
      <c r="AC174" s="470"/>
      <c r="AD174" s="470"/>
      <c r="AE174" s="470"/>
      <c r="AG174" s="470"/>
      <c r="AH174" s="470"/>
    </row>
    <row r="175" spans="2:34" s="5" customFormat="1" ht="13.5" customHeight="1">
      <c r="B175" s="5" t="s">
        <v>529</v>
      </c>
      <c r="C175" s="724"/>
      <c r="D175" s="725">
        <f>+D148/D110</f>
        <v>1.1179887658156145</v>
      </c>
      <c r="E175" s="724"/>
      <c r="F175" s="725">
        <f t="shared" ref="F175:K175" si="164">+F148/F110</f>
        <v>0.72196874662266974</v>
      </c>
      <c r="G175" s="725">
        <f t="shared" si="164"/>
        <v>0.72196877446211338</v>
      </c>
      <c r="H175" s="725">
        <f t="shared" si="164"/>
        <v>0.43814500470688439</v>
      </c>
      <c r="I175" s="725">
        <f t="shared" si="164"/>
        <v>0.43814500222781083</v>
      </c>
      <c r="J175" s="725">
        <f t="shared" si="164"/>
        <v>0.49353989577181995</v>
      </c>
      <c r="K175" s="725">
        <f t="shared" si="164"/>
        <v>0.8472145480029265</v>
      </c>
      <c r="L175" s="725"/>
      <c r="M175" s="724"/>
      <c r="N175" s="724"/>
      <c r="O175" s="724"/>
      <c r="P175" s="725">
        <f t="shared" ref="P175:U175" si="165">+P148/P110</f>
        <v>0.72196874662266974</v>
      </c>
      <c r="Q175" s="725">
        <f t="shared" si="165"/>
        <v>0.99559731841912458</v>
      </c>
      <c r="R175" s="725">
        <f t="shared" si="165"/>
        <v>1.0462383356440559</v>
      </c>
      <c r="S175" s="725">
        <f t="shared" si="165"/>
        <v>0.47922883437608832</v>
      </c>
      <c r="T175" s="725">
        <f t="shared" si="165"/>
        <v>0.4381450047068845</v>
      </c>
      <c r="U175" s="725">
        <f t="shared" si="165"/>
        <v>0.45995409274837001</v>
      </c>
      <c r="V175" s="725">
        <f>+V148/V110</f>
        <v>0.48647346609709924</v>
      </c>
      <c r="W175" s="725">
        <f>+W148/W110</f>
        <v>0.46240602067983638</v>
      </c>
      <c r="X175" s="725">
        <f>+X148/X110</f>
        <v>0.49353989577181995</v>
      </c>
      <c r="Y175" s="725">
        <f>+Y148/Y110</f>
        <v>0.8472145480029265</v>
      </c>
      <c r="Z175" s="32"/>
      <c r="AA175" s="660"/>
      <c r="AB175" s="660"/>
      <c r="AC175" s="660"/>
      <c r="AD175" s="725">
        <f>+AD148/AD110</f>
        <v>0.33473695245443852</v>
      </c>
      <c r="AE175" s="725">
        <f>+AE148/AE110</f>
        <v>0.35461276996481522</v>
      </c>
      <c r="AG175" s="660"/>
      <c r="AH175" s="660"/>
    </row>
    <row r="176" spans="2:34" ht="13.5" customHeight="1">
      <c r="B176" s="1" t="s">
        <v>530</v>
      </c>
      <c r="C176" s="665"/>
      <c r="D176" s="33">
        <f>+D149/D110</f>
        <v>2.286489484966987</v>
      </c>
      <c r="E176" s="665"/>
      <c r="F176" s="33">
        <f t="shared" ref="F176:K176" si="166">+F149/F110</f>
        <v>1.8610298981833675</v>
      </c>
      <c r="G176" s="33">
        <f t="shared" si="166"/>
        <v>1.8610299442122713</v>
      </c>
      <c r="H176" s="33">
        <f t="shared" si="166"/>
        <v>1.4257144600850316</v>
      </c>
      <c r="I176" s="33">
        <f t="shared" si="166"/>
        <v>1.4257144210889541</v>
      </c>
      <c r="J176" s="33">
        <f t="shared" si="166"/>
        <v>1.3763600508474698</v>
      </c>
      <c r="K176" s="33">
        <f t="shared" si="166"/>
        <v>1.7072667635257162</v>
      </c>
      <c r="L176" s="33"/>
      <c r="M176" s="665"/>
      <c r="N176" s="665"/>
      <c r="O176" s="665"/>
      <c r="P176" s="33">
        <f t="shared" ref="P176:U176" si="167">+P149/P110</f>
        <v>1.8610298981833675</v>
      </c>
      <c r="Q176" s="33">
        <f t="shared" si="167"/>
        <v>2.0496458125916033</v>
      </c>
      <c r="R176" s="33">
        <f t="shared" si="167"/>
        <v>2.189007040047644</v>
      </c>
      <c r="S176" s="33">
        <f t="shared" si="167"/>
        <v>2.2579395571773717</v>
      </c>
      <c r="T176" s="33">
        <f t="shared" si="167"/>
        <v>1.4257144600850318</v>
      </c>
      <c r="U176" s="33">
        <f t="shared" si="167"/>
        <v>1.8498388500455756</v>
      </c>
      <c r="V176" s="33">
        <f>+V149/V110</f>
        <v>1.8390641807536041</v>
      </c>
      <c r="W176" s="33">
        <f>+W149/W110</f>
        <v>1.7555219581900749</v>
      </c>
      <c r="X176" s="33">
        <f>+X149/X110</f>
        <v>1.3763600508474698</v>
      </c>
      <c r="Y176" s="33">
        <f>+Y149/Y110</f>
        <v>1.7072667635257162</v>
      </c>
      <c r="Z176" s="33"/>
      <c r="AA176" s="660"/>
      <c r="AB176" s="660"/>
      <c r="AC176" s="660"/>
      <c r="AD176" s="33">
        <f>+AD149/AD110</f>
        <v>1.0892268730950341</v>
      </c>
      <c r="AE176" s="33">
        <f>+AE149/AE110</f>
        <v>1.4261781533098765</v>
      </c>
      <c r="AG176" s="660"/>
      <c r="AH176" s="660"/>
    </row>
    <row r="177" spans="2:34" ht="13.5" customHeight="1">
      <c r="C177" s="665"/>
      <c r="D177" s="33"/>
      <c r="E177" s="665"/>
      <c r="F177" s="33"/>
      <c r="G177" s="33"/>
      <c r="H177" s="33"/>
      <c r="I177" s="33"/>
      <c r="J177" s="33"/>
      <c r="K177" s="33"/>
      <c r="L177" s="33"/>
      <c r="M177" s="665"/>
      <c r="N177" s="665"/>
      <c r="O177" s="665"/>
      <c r="P177" s="33"/>
      <c r="Q177" s="33"/>
      <c r="R177" s="33"/>
      <c r="S177" s="33"/>
      <c r="T177" s="33"/>
      <c r="U177" s="33"/>
      <c r="V177" s="33"/>
      <c r="W177" s="33"/>
      <c r="X177" s="33"/>
      <c r="Y177" s="33"/>
      <c r="Z177" s="33"/>
      <c r="AA177" s="470"/>
      <c r="AB177" s="470"/>
      <c r="AC177" s="470"/>
      <c r="AD177" s="33"/>
      <c r="AE177" s="33"/>
      <c r="AG177" s="470"/>
      <c r="AH177" s="470"/>
    </row>
    <row r="178" spans="2:34" ht="13.5" customHeight="1">
      <c r="B178" s="224" t="s">
        <v>531</v>
      </c>
      <c r="C178" s="724"/>
      <c r="D178" s="725">
        <f>+D153/D110</f>
        <v>1.1179887658156145</v>
      </c>
      <c r="E178" s="724"/>
      <c r="F178" s="725">
        <f t="shared" ref="F178:K178" si="168">+F153/F110</f>
        <v>0.72196874662266974</v>
      </c>
      <c r="G178" s="725">
        <f t="shared" si="168"/>
        <v>0.72196877446211338</v>
      </c>
      <c r="H178" s="725">
        <f t="shared" si="168"/>
        <v>0.43814500470688439</v>
      </c>
      <c r="I178" s="725">
        <f t="shared" si="168"/>
        <v>0.43814500222781083</v>
      </c>
      <c r="J178" s="725">
        <f t="shared" si="168"/>
        <v>0.49353989577181995</v>
      </c>
      <c r="K178" s="725">
        <f t="shared" si="168"/>
        <v>0.8472145480029265</v>
      </c>
      <c r="L178" s="725"/>
      <c r="M178" s="724"/>
      <c r="N178" s="724"/>
      <c r="O178" s="724"/>
      <c r="P178" s="725">
        <f t="shared" ref="P178:U178" si="169">+P153/P110</f>
        <v>0.72196874662266974</v>
      </c>
      <c r="Q178" s="725">
        <f t="shared" si="169"/>
        <v>0.99559731841912458</v>
      </c>
      <c r="R178" s="725">
        <f t="shared" si="169"/>
        <v>1.0462383356440559</v>
      </c>
      <c r="S178" s="725">
        <f t="shared" si="169"/>
        <v>0.47922883437608832</v>
      </c>
      <c r="T178" s="725">
        <f t="shared" si="169"/>
        <v>0.4381450047068845</v>
      </c>
      <c r="U178" s="725">
        <f t="shared" si="169"/>
        <v>0.45995409274837001</v>
      </c>
      <c r="V178" s="725">
        <f>+V153/V110</f>
        <v>0.48647346609709924</v>
      </c>
      <c r="W178" s="725">
        <f>+W153/W110</f>
        <v>0.46240602067983638</v>
      </c>
      <c r="X178" s="725">
        <f>+X153/X110</f>
        <v>0.49353989577181995</v>
      </c>
      <c r="Y178" s="725">
        <f>+Y153/Y110</f>
        <v>0.8472145480029265</v>
      </c>
      <c r="Z178" s="32"/>
      <c r="AA178" s="660"/>
      <c r="AB178" s="660"/>
      <c r="AC178" s="660"/>
      <c r="AD178" s="725">
        <f>+AD153/AD110</f>
        <v>0.33473695245443852</v>
      </c>
      <c r="AE178" s="725">
        <f>+AE153/AE110</f>
        <v>0.35461276996481522</v>
      </c>
      <c r="AG178" s="660"/>
      <c r="AH178" s="660"/>
    </row>
    <row r="179" spans="2:34" ht="13.5" customHeight="1">
      <c r="B179" s="225" t="s">
        <v>532</v>
      </c>
      <c r="C179" s="665"/>
      <c r="D179" s="33">
        <f>+D154/D110</f>
        <v>2.286489484966987</v>
      </c>
      <c r="E179" s="665"/>
      <c r="F179" s="33">
        <f t="shared" ref="F179:K179" si="170">+F154/F110</f>
        <v>1.8610298981833675</v>
      </c>
      <c r="G179" s="33">
        <f t="shared" si="170"/>
        <v>1.8610299442122713</v>
      </c>
      <c r="H179" s="33">
        <f t="shared" si="170"/>
        <v>1.4257144600850316</v>
      </c>
      <c r="I179" s="33">
        <f t="shared" si="170"/>
        <v>1.4257144210889541</v>
      </c>
      <c r="J179" s="33">
        <f t="shared" si="170"/>
        <v>1.3763600508474698</v>
      </c>
      <c r="K179" s="33">
        <f t="shared" si="170"/>
        <v>1.7072667635257162</v>
      </c>
      <c r="L179" s="33"/>
      <c r="M179" s="665"/>
      <c r="N179" s="665"/>
      <c r="O179" s="665"/>
      <c r="P179" s="33">
        <f t="shared" ref="P179:U179" si="171">+P154/P110</f>
        <v>1.8610298981833675</v>
      </c>
      <c r="Q179" s="33">
        <f t="shared" si="171"/>
        <v>2.0496458125916033</v>
      </c>
      <c r="R179" s="33">
        <f t="shared" si="171"/>
        <v>2.189007040047644</v>
      </c>
      <c r="S179" s="33">
        <f t="shared" si="171"/>
        <v>2.2579395571773717</v>
      </c>
      <c r="T179" s="33">
        <f t="shared" si="171"/>
        <v>1.4257144600850318</v>
      </c>
      <c r="U179" s="33">
        <f t="shared" si="171"/>
        <v>1.8498388500455756</v>
      </c>
      <c r="V179" s="33">
        <f>+V154/V110</f>
        <v>1.8390641807536041</v>
      </c>
      <c r="W179" s="33">
        <f>+W154/W110</f>
        <v>1.7555219581900749</v>
      </c>
      <c r="X179" s="33">
        <f>+X154/X110</f>
        <v>1.3763600508474698</v>
      </c>
      <c r="Y179" s="33">
        <f>+Y154/Y110</f>
        <v>1.7072667635257162</v>
      </c>
      <c r="Z179" s="33"/>
      <c r="AA179" s="660"/>
      <c r="AB179" s="660"/>
      <c r="AC179" s="660"/>
      <c r="AD179" s="33">
        <f>+AD154/AD110</f>
        <v>1.0892268730950341</v>
      </c>
      <c r="AE179" s="33">
        <f>+AE154/AE110</f>
        <v>1.4261781533098765</v>
      </c>
      <c r="AG179" s="660"/>
      <c r="AH179" s="660"/>
    </row>
    <row r="180" spans="2:34" ht="13.5" customHeight="1">
      <c r="C180" s="665"/>
      <c r="D180" s="33"/>
      <c r="E180" s="665"/>
      <c r="F180" s="33"/>
      <c r="G180" s="33"/>
      <c r="H180" s="33"/>
      <c r="I180" s="33"/>
      <c r="J180" s="33"/>
      <c r="K180" s="33"/>
      <c r="L180" s="33"/>
      <c r="M180" s="665"/>
      <c r="N180" s="665"/>
      <c r="O180" s="665"/>
      <c r="P180" s="33"/>
      <c r="Q180" s="33"/>
      <c r="R180" s="33"/>
      <c r="S180" s="33"/>
      <c r="T180" s="33"/>
      <c r="U180" s="33"/>
      <c r="V180" s="33"/>
      <c r="W180" s="33"/>
      <c r="X180" s="33"/>
      <c r="Y180" s="33"/>
      <c r="Z180" s="33"/>
      <c r="AA180" s="470"/>
      <c r="AB180" s="470"/>
      <c r="AC180" s="470"/>
      <c r="AD180" s="33"/>
      <c r="AE180" s="33"/>
      <c r="AG180" s="470"/>
      <c r="AH180" s="470"/>
    </row>
    <row r="181" spans="2:34" ht="13.5" customHeight="1">
      <c r="B181" s="224" t="s">
        <v>533</v>
      </c>
      <c r="C181" s="724"/>
      <c r="D181" s="725">
        <f>+D156/D110</f>
        <v>1.2555059749537607</v>
      </c>
      <c r="E181" s="724"/>
      <c r="F181" s="725">
        <f t="shared" ref="F181:K181" si="172">+F156/F110</f>
        <v>0.77729572186538975</v>
      </c>
      <c r="G181" s="725">
        <f t="shared" si="172"/>
        <v>0.77729573917362238</v>
      </c>
      <c r="H181" s="725">
        <f t="shared" si="172"/>
        <v>0.50723361691160462</v>
      </c>
      <c r="I181" s="725">
        <f t="shared" si="172"/>
        <v>0.50723361281781298</v>
      </c>
      <c r="J181" s="725">
        <f t="shared" si="172"/>
        <v>0.6424032615830253</v>
      </c>
      <c r="K181" s="725">
        <f t="shared" si="172"/>
        <v>0.99295726231390036</v>
      </c>
      <c r="L181" s="725"/>
      <c r="M181" s="724"/>
      <c r="N181" s="724"/>
      <c r="O181" s="724"/>
      <c r="P181" s="725">
        <f t="shared" ref="P181:U181" si="173">+P156/P110</f>
        <v>0.77729572186538975</v>
      </c>
      <c r="Q181" s="725">
        <f t="shared" si="173"/>
        <v>1.0646825438499485</v>
      </c>
      <c r="R181" s="725">
        <f t="shared" si="173"/>
        <v>1.1157154110609986</v>
      </c>
      <c r="S181" s="725">
        <f t="shared" si="173"/>
        <v>0.56472995734712572</v>
      </c>
      <c r="T181" s="725">
        <f t="shared" si="173"/>
        <v>0.50723361691160473</v>
      </c>
      <c r="U181" s="725">
        <f t="shared" si="173"/>
        <v>0.54214444095985015</v>
      </c>
      <c r="V181" s="725">
        <f>+V156/V110</f>
        <v>0.65258967064261963</v>
      </c>
      <c r="W181" s="725">
        <f>+W156/W110</f>
        <v>0.62289053722550236</v>
      </c>
      <c r="X181" s="725">
        <f>+X156/X110</f>
        <v>0.6424032615830253</v>
      </c>
      <c r="Y181" s="725">
        <f>+Y156/Y110</f>
        <v>0.99295726231390036</v>
      </c>
      <c r="Z181" s="32"/>
      <c r="AA181" s="660"/>
      <c r="AB181" s="660"/>
      <c r="AC181" s="660"/>
      <c r="AD181" s="725">
        <f>+AD156/AD110</f>
        <v>0.38751973269904277</v>
      </c>
      <c r="AE181" s="725">
        <f>+AE156/AE110</f>
        <v>0.41797941351284995</v>
      </c>
      <c r="AG181" s="660"/>
      <c r="AH181" s="660"/>
    </row>
    <row r="182" spans="2:34" ht="13.5" customHeight="1">
      <c r="B182" s="225" t="s">
        <v>534</v>
      </c>
      <c r="C182" s="665"/>
      <c r="D182" s="33">
        <f>+D157/D110</f>
        <v>2.4240066941051333</v>
      </c>
      <c r="E182" s="665"/>
      <c r="F182" s="33">
        <f t="shared" ref="F182:K182" si="174">+F157/F110</f>
        <v>1.9163568734260876</v>
      </c>
      <c r="G182" s="33">
        <f t="shared" si="174"/>
        <v>1.9163569089237802</v>
      </c>
      <c r="H182" s="33">
        <f t="shared" si="174"/>
        <v>1.4948030722897516</v>
      </c>
      <c r="I182" s="33">
        <f t="shared" si="174"/>
        <v>1.4948030316789562</v>
      </c>
      <c r="J182" s="33">
        <f t="shared" si="174"/>
        <v>1.5252234166586753</v>
      </c>
      <c r="K182" s="33">
        <f t="shared" si="174"/>
        <v>1.8530094778366901</v>
      </c>
      <c r="L182" s="33"/>
      <c r="M182" s="665"/>
      <c r="N182" s="665"/>
      <c r="O182" s="665"/>
      <c r="P182" s="33">
        <f t="shared" ref="P182:U182" si="175">+P157/P110</f>
        <v>1.9163568734260876</v>
      </c>
      <c r="Q182" s="33">
        <f t="shared" si="175"/>
        <v>2.1187310380224273</v>
      </c>
      <c r="R182" s="33">
        <f t="shared" si="175"/>
        <v>2.2584841154645865</v>
      </c>
      <c r="S182" s="33">
        <f t="shared" si="175"/>
        <v>2.3434406801484093</v>
      </c>
      <c r="T182" s="33">
        <f t="shared" si="175"/>
        <v>1.4948030722897521</v>
      </c>
      <c r="U182" s="33">
        <f t="shared" si="175"/>
        <v>1.9320291982570557</v>
      </c>
      <c r="V182" s="33">
        <f>+V157/V110</f>
        <v>2.0051803852991243</v>
      </c>
      <c r="W182" s="33">
        <f>+W157/W110</f>
        <v>1.916006474735741</v>
      </c>
      <c r="X182" s="33">
        <f>+X157/X110</f>
        <v>1.5252234166586753</v>
      </c>
      <c r="Y182" s="33">
        <f>+Y157/Y110</f>
        <v>1.8530094778366901</v>
      </c>
      <c r="Z182" s="33"/>
      <c r="AA182" s="660"/>
      <c r="AB182" s="660"/>
      <c r="AC182" s="660"/>
      <c r="AD182" s="33">
        <f>+AD157/AD110</f>
        <v>1.1420096533396382</v>
      </c>
      <c r="AE182" s="33">
        <f>+AE157/AE110</f>
        <v>1.4895447968579112</v>
      </c>
      <c r="AG182" s="660"/>
      <c r="AH182" s="660"/>
    </row>
    <row r="183" spans="2:34" ht="13.5" customHeight="1">
      <c r="C183" s="665"/>
      <c r="D183" s="33"/>
      <c r="E183" s="665"/>
      <c r="F183" s="33"/>
      <c r="G183" s="33"/>
      <c r="H183" s="33"/>
      <c r="I183" s="33"/>
      <c r="J183" s="33"/>
      <c r="K183" s="33"/>
      <c r="L183" s="33"/>
      <c r="M183" s="665"/>
      <c r="N183" s="665"/>
      <c r="O183" s="665"/>
      <c r="P183" s="33"/>
      <c r="Q183" s="33"/>
      <c r="R183" s="33"/>
      <c r="S183" s="33"/>
      <c r="T183" s="33"/>
      <c r="U183" s="33"/>
      <c r="V183" s="33"/>
      <c r="W183" s="33"/>
      <c r="X183" s="33"/>
      <c r="Y183" s="33"/>
      <c r="Z183" s="33"/>
      <c r="AA183" s="470"/>
      <c r="AB183" s="470"/>
      <c r="AC183" s="470"/>
      <c r="AD183" s="33"/>
      <c r="AE183" s="33"/>
      <c r="AG183" s="470"/>
      <c r="AH183" s="470"/>
    </row>
    <row r="184" spans="2:34" s="5" customFormat="1" ht="13.5" customHeight="1">
      <c r="B184" s="5" t="s">
        <v>535</v>
      </c>
      <c r="C184" s="724"/>
      <c r="D184" s="725">
        <f>D161/D111</f>
        <v>1.1179887658156145</v>
      </c>
      <c r="E184" s="724"/>
      <c r="F184" s="725">
        <f t="shared" ref="F184:K184" si="176">F161/F111</f>
        <v>0.72196874662266974</v>
      </c>
      <c r="G184" s="725">
        <f t="shared" si="176"/>
        <v>0.72196877446211338</v>
      </c>
      <c r="H184" s="725">
        <f t="shared" si="176"/>
        <v>0.43814500470688439</v>
      </c>
      <c r="I184" s="725">
        <f t="shared" si="176"/>
        <v>0.43814500222781083</v>
      </c>
      <c r="J184" s="725">
        <f t="shared" si="176"/>
        <v>0.49353989577181995</v>
      </c>
      <c r="K184" s="725">
        <f t="shared" si="176"/>
        <v>0.8472145480029265</v>
      </c>
      <c r="L184" s="725"/>
      <c r="M184" s="724"/>
      <c r="N184" s="724"/>
      <c r="O184" s="724"/>
      <c r="P184" s="725">
        <f t="shared" ref="P184:U184" si="177">P161/P111</f>
        <v>0.72196874662266974</v>
      </c>
      <c r="Q184" s="725">
        <f t="shared" si="177"/>
        <v>0.99559731841912458</v>
      </c>
      <c r="R184" s="725">
        <f t="shared" si="177"/>
        <v>1.0462383356440559</v>
      </c>
      <c r="S184" s="725">
        <f t="shared" si="177"/>
        <v>0.47922883437608832</v>
      </c>
      <c r="T184" s="725">
        <f t="shared" si="177"/>
        <v>0.4381450047068845</v>
      </c>
      <c r="U184" s="725">
        <f t="shared" si="177"/>
        <v>0.45995409274837001</v>
      </c>
      <c r="V184" s="725">
        <f>V161/V111</f>
        <v>0.48647346609709924</v>
      </c>
      <c r="W184" s="725">
        <f>W161/W111</f>
        <v>0.46240602067983638</v>
      </c>
      <c r="X184" s="725">
        <f>X161/X111</f>
        <v>0.49353989577181995</v>
      </c>
      <c r="Y184" s="725">
        <f>Y161/Y111</f>
        <v>0.8472145480029265</v>
      </c>
      <c r="Z184" s="32"/>
      <c r="AA184" s="660"/>
      <c r="AB184" s="660"/>
      <c r="AC184" s="660"/>
      <c r="AD184" s="725">
        <f>AD161/AD111</f>
        <v>0.33473695245443852</v>
      </c>
      <c r="AE184" s="725">
        <f>AE161/AE111</f>
        <v>0.35461276996481522</v>
      </c>
      <c r="AG184" s="660"/>
      <c r="AH184" s="660"/>
    </row>
    <row r="185" spans="2:34" ht="13.5" customHeight="1">
      <c r="B185" s="1" t="s">
        <v>536</v>
      </c>
      <c r="C185" s="665"/>
      <c r="D185" s="33">
        <f>D162/D111</f>
        <v>2.286489484966987</v>
      </c>
      <c r="E185" s="665"/>
      <c r="F185" s="33">
        <f t="shared" ref="F185:K185" si="178">F162/F111</f>
        <v>1.8610298981833675</v>
      </c>
      <c r="G185" s="33">
        <f t="shared" si="178"/>
        <v>1.8610299442122713</v>
      </c>
      <c r="H185" s="33">
        <f t="shared" si="178"/>
        <v>1.4257144600850316</v>
      </c>
      <c r="I185" s="33">
        <f t="shared" si="178"/>
        <v>1.4257144210889541</v>
      </c>
      <c r="J185" s="33">
        <f t="shared" si="178"/>
        <v>1.3763600508474698</v>
      </c>
      <c r="K185" s="33">
        <f t="shared" si="178"/>
        <v>1.7072667635257162</v>
      </c>
      <c r="L185" s="33"/>
      <c r="M185" s="665"/>
      <c r="N185" s="665"/>
      <c r="O185" s="665"/>
      <c r="P185" s="33">
        <f t="shared" ref="P185:U185" si="179">P162/P111</f>
        <v>1.8610298981833675</v>
      </c>
      <c r="Q185" s="33">
        <f t="shared" si="179"/>
        <v>2.0496458125916033</v>
      </c>
      <c r="R185" s="33">
        <f t="shared" si="179"/>
        <v>2.189007040047644</v>
      </c>
      <c r="S185" s="33">
        <f t="shared" si="179"/>
        <v>2.2579395571773717</v>
      </c>
      <c r="T185" s="33">
        <f t="shared" si="179"/>
        <v>1.4257144600850318</v>
      </c>
      <c r="U185" s="33">
        <f t="shared" si="179"/>
        <v>1.8498388500455756</v>
      </c>
      <c r="V185" s="33">
        <f>V162/V111</f>
        <v>1.8390641807536041</v>
      </c>
      <c r="W185" s="33">
        <f>W162/W111</f>
        <v>1.7555219581900749</v>
      </c>
      <c r="X185" s="33">
        <f>X162/X111</f>
        <v>1.3763600508474698</v>
      </c>
      <c r="Y185" s="33">
        <f>Y162/Y111</f>
        <v>1.7072667635257162</v>
      </c>
      <c r="Z185" s="33"/>
      <c r="AA185" s="660"/>
      <c r="AB185" s="660"/>
      <c r="AC185" s="660"/>
      <c r="AD185" s="33">
        <f>AD162/AD111</f>
        <v>1.0892268730950341</v>
      </c>
      <c r="AE185" s="33">
        <f>AE162/AE111</f>
        <v>1.4261781533098765</v>
      </c>
      <c r="AG185" s="660"/>
      <c r="AH185" s="660"/>
    </row>
    <row r="186" spans="2:34" ht="13.5" customHeight="1">
      <c r="C186" s="665"/>
      <c r="D186" s="33"/>
      <c r="E186" s="665"/>
      <c r="F186" s="33"/>
      <c r="G186" s="33"/>
      <c r="H186" s="33"/>
      <c r="I186" s="33"/>
      <c r="J186" s="33"/>
      <c r="K186" s="33"/>
      <c r="L186" s="33"/>
      <c r="M186" s="665"/>
      <c r="N186" s="665"/>
      <c r="O186" s="665"/>
      <c r="P186" s="33"/>
      <c r="Q186" s="33"/>
      <c r="R186" s="33"/>
      <c r="S186" s="33"/>
      <c r="T186" s="33"/>
      <c r="U186" s="33"/>
      <c r="V186" s="33"/>
      <c r="W186" s="33"/>
      <c r="X186" s="33"/>
      <c r="Y186" s="33"/>
      <c r="Z186" s="33"/>
      <c r="AA186" s="470"/>
      <c r="AB186" s="470"/>
      <c r="AC186" s="470"/>
      <c r="AD186" s="33"/>
      <c r="AE186" s="33"/>
      <c r="AG186" s="470"/>
      <c r="AH186" s="470"/>
    </row>
    <row r="187" spans="2:34" s="5" customFormat="1" ht="13.5" customHeight="1">
      <c r="B187" s="5" t="s">
        <v>537</v>
      </c>
      <c r="C187" s="724"/>
      <c r="D187" s="725">
        <f>+(D109-D115)/D113</f>
        <v>3.5887174958937136</v>
      </c>
      <c r="E187" s="724"/>
      <c r="F187" s="725">
        <f t="shared" ref="F187:K187" si="180">+(F109-F115)/F113</f>
        <v>3.4302293445595149</v>
      </c>
      <c r="G187" s="725">
        <f t="shared" si="180"/>
        <v>3.4302292692572078</v>
      </c>
      <c r="H187" s="725">
        <f t="shared" si="180"/>
        <v>2.8133651957811145</v>
      </c>
      <c r="I187" s="725">
        <f t="shared" si="180"/>
        <v>2.81560843910664</v>
      </c>
      <c r="J187" s="725">
        <f t="shared" si="180"/>
        <v>3.4559278753183738</v>
      </c>
      <c r="K187" s="725">
        <f t="shared" si="180"/>
        <v>3.3677162275924095</v>
      </c>
      <c r="L187" s="725"/>
      <c r="M187" s="724"/>
      <c r="N187" s="724"/>
      <c r="O187" s="724"/>
      <c r="P187" s="725">
        <f t="shared" ref="P187:U187" si="181">+(P109-P115)/P113</f>
        <v>3.4302293445595149</v>
      </c>
      <c r="Q187" s="725">
        <f t="shared" si="181"/>
        <v>2.8439151915689722</v>
      </c>
      <c r="R187" s="725">
        <f t="shared" si="181"/>
        <v>3.0093708660833265</v>
      </c>
      <c r="S187" s="725">
        <f t="shared" si="181"/>
        <v>3.8015700665939418</v>
      </c>
      <c r="T187" s="725">
        <f t="shared" si="181"/>
        <v>2.8133651957811123</v>
      </c>
      <c r="U187" s="725">
        <f t="shared" si="181"/>
        <v>3.1441753973104167</v>
      </c>
      <c r="V187" s="725">
        <f>+(V109-V115)/V113</f>
        <v>3.2862157079505154</v>
      </c>
      <c r="W187" s="725">
        <f>+(W109-W115)/W113</f>
        <v>2.8946137746598564</v>
      </c>
      <c r="X187" s="725">
        <f>+(X109-X115)/X113</f>
        <v>3.4559278753183746</v>
      </c>
      <c r="Y187" s="725">
        <f>+(Y109-Y115)/Y113</f>
        <v>3.3677162275924095</v>
      </c>
      <c r="Z187" s="32"/>
      <c r="AA187" s="660"/>
      <c r="AB187" s="660"/>
      <c r="AC187" s="660"/>
      <c r="AD187" s="725">
        <f>+(AD109-AD115)/AD113</f>
        <v>2.8156084391066418</v>
      </c>
      <c r="AE187" s="725">
        <f>+(AE109-AE115)/AE113</f>
        <v>3.02942359320167</v>
      </c>
      <c r="AG187" s="660"/>
      <c r="AH187" s="660"/>
    </row>
    <row r="188" spans="2:34" ht="13.5" customHeight="1">
      <c r="B188" s="1" t="s">
        <v>538</v>
      </c>
      <c r="C188" s="665"/>
      <c r="D188" s="33">
        <f>+D109/D113</f>
        <v>5.9813925737878089</v>
      </c>
      <c r="E188" s="665"/>
      <c r="F188" s="33">
        <f t="shared" ref="F188:K188" si="182">+F109/F113</f>
        <v>5.3168615538291348</v>
      </c>
      <c r="G188" s="33">
        <f t="shared" si="182"/>
        <v>5.3168615063037299</v>
      </c>
      <c r="H188" s="33">
        <f t="shared" si="182"/>
        <v>4.9071838576397599</v>
      </c>
      <c r="I188" s="33">
        <f t="shared" si="182"/>
        <v>4.907184017300434</v>
      </c>
      <c r="J188" s="33">
        <f t="shared" si="182"/>
        <v>5.9916728228998508</v>
      </c>
      <c r="K188" s="33">
        <f t="shared" si="182"/>
        <v>5.9169951369447622</v>
      </c>
      <c r="L188" s="33"/>
      <c r="M188" s="665"/>
      <c r="N188" s="665"/>
      <c r="O188" s="665"/>
      <c r="P188" s="33">
        <f t="shared" ref="P188:U188" si="183">+P109/P113</f>
        <v>5.3168615538291348</v>
      </c>
      <c r="Q188" s="33">
        <f t="shared" si="183"/>
        <v>5.1873623800464896</v>
      </c>
      <c r="R188" s="33">
        <f t="shared" si="183"/>
        <v>4.7630523084601197</v>
      </c>
      <c r="S188" s="33">
        <f t="shared" si="183"/>
        <v>5.4044595673945874</v>
      </c>
      <c r="T188" s="33">
        <f t="shared" si="183"/>
        <v>4.9071838576397582</v>
      </c>
      <c r="U188" s="33">
        <f t="shared" si="183"/>
        <v>4.9214154330529114</v>
      </c>
      <c r="V188" s="33">
        <f>+V109/V113</f>
        <v>5.2229506051652006</v>
      </c>
      <c r="W188" s="33">
        <f>+W109/W113</f>
        <v>4.8987004122746773</v>
      </c>
      <c r="X188" s="33">
        <f>+X109/X113</f>
        <v>5.9916728228998508</v>
      </c>
      <c r="Y188" s="33">
        <f>+Y109/Y113</f>
        <v>5.9169951369447622</v>
      </c>
      <c r="Z188" s="33"/>
      <c r="AA188" s="660"/>
      <c r="AB188" s="660"/>
      <c r="AC188" s="660"/>
      <c r="AD188" s="33">
        <f>+AD109/AD113</f>
        <v>4.9071840173004357</v>
      </c>
      <c r="AE188" s="33">
        <f>+AE109/AE113</f>
        <v>4.9011373379346921</v>
      </c>
      <c r="AG188" s="660"/>
      <c r="AH188" s="660"/>
    </row>
    <row r="189" spans="2:34" ht="13.5" customHeight="1">
      <c r="C189" s="666"/>
      <c r="D189" s="9"/>
      <c r="E189" s="666"/>
      <c r="F189" s="9"/>
      <c r="G189" s="9"/>
      <c r="H189" s="9"/>
      <c r="I189" s="9"/>
      <c r="J189" s="9"/>
      <c r="K189" s="9"/>
      <c r="L189" s="9"/>
      <c r="M189" s="665"/>
      <c r="N189" s="665"/>
      <c r="O189" s="665"/>
      <c r="P189" s="33"/>
      <c r="Q189" s="33"/>
      <c r="R189" s="33"/>
      <c r="S189" s="33"/>
      <c r="T189" s="33"/>
      <c r="U189" s="33"/>
      <c r="V189" s="33"/>
      <c r="W189" s="33"/>
      <c r="X189" s="33"/>
      <c r="Y189" s="33"/>
      <c r="Z189" s="33"/>
      <c r="AA189" s="470"/>
      <c r="AB189" s="470"/>
      <c r="AC189" s="470"/>
      <c r="AD189" s="33"/>
      <c r="AE189" s="33"/>
      <c r="AG189" s="470"/>
      <c r="AH189" s="470"/>
    </row>
    <row r="190" spans="2:34" s="5" customFormat="1" ht="13.5" customHeight="1">
      <c r="B190" s="5" t="s">
        <v>539</v>
      </c>
      <c r="C190" s="667"/>
      <c r="D190" s="70">
        <f>D148/D168</f>
        <v>0.37417995232109841</v>
      </c>
      <c r="E190" s="667"/>
      <c r="F190" s="70">
        <f t="shared" ref="F190:K190" si="184">F148/F168</f>
        <v>0.25915605175331918</v>
      </c>
      <c r="G190" s="70">
        <f t="shared" si="184"/>
        <v>0.25915605615480947</v>
      </c>
      <c r="H190" s="70">
        <f t="shared" si="184"/>
        <v>0.16357688191570974</v>
      </c>
      <c r="I190" s="70">
        <f t="shared" si="184"/>
        <v>0.16357688503765577</v>
      </c>
      <c r="J190" s="70">
        <f t="shared" si="184"/>
        <v>0.19795596141269589</v>
      </c>
      <c r="K190" s="70">
        <f t="shared" si="184"/>
        <v>0.32430685096250605</v>
      </c>
      <c r="L190" s="70"/>
      <c r="M190" s="662"/>
      <c r="N190" s="662"/>
      <c r="O190" s="662"/>
      <c r="P190" s="70">
        <f t="shared" ref="P190:U190" si="185">P148/P168</f>
        <v>0.25915605175331918</v>
      </c>
      <c r="Q190" s="70">
        <f t="shared" si="185"/>
        <v>0.3211957482761354</v>
      </c>
      <c r="R190" s="70">
        <f t="shared" si="185"/>
        <v>0.30172521159300736</v>
      </c>
      <c r="S190" s="70">
        <f t="shared" si="185"/>
        <v>0.12509104253764128</v>
      </c>
      <c r="T190" s="70">
        <f t="shared" si="185"/>
        <v>0.16357688191570974</v>
      </c>
      <c r="U190" s="70">
        <f t="shared" si="185"/>
        <v>0.17098955014453654</v>
      </c>
      <c r="V190" s="70">
        <f>V148/V168</f>
        <v>0.19087656933047828</v>
      </c>
      <c r="W190" s="70">
        <f>W148/W168</f>
        <v>0.18001955031236649</v>
      </c>
      <c r="X190" s="70">
        <f>X148/X168</f>
        <v>0.19795596141269589</v>
      </c>
      <c r="Y190" s="70">
        <f>Y148/Y168</f>
        <v>0.32430685096250605</v>
      </c>
      <c r="Z190" s="70"/>
      <c r="AA190" s="660"/>
      <c r="AB190" s="660"/>
      <c r="AC190" s="660"/>
      <c r="AD190" s="70">
        <f>AD148/AD168</f>
        <v>0.16357688191570974</v>
      </c>
      <c r="AE190" s="70">
        <f>AE148/AE168</f>
        <v>0.17098955014453654</v>
      </c>
      <c r="AG190" s="660"/>
      <c r="AH190" s="660"/>
    </row>
    <row r="191" spans="2:34" s="5" customFormat="1" ht="15.75" customHeight="1">
      <c r="C191" s="38"/>
      <c r="D191" s="38"/>
      <c r="E191" s="38"/>
      <c r="F191" s="38"/>
      <c r="G191" s="38"/>
      <c r="H191" s="38"/>
      <c r="I191" s="38"/>
      <c r="J191" s="38"/>
      <c r="K191" s="38"/>
      <c r="L191" s="38"/>
      <c r="M191" s="662"/>
      <c r="N191" s="662"/>
      <c r="O191" s="662"/>
      <c r="P191" s="38"/>
      <c r="Q191" s="38"/>
      <c r="R191" s="38"/>
      <c r="S191" s="38"/>
      <c r="T191" s="38"/>
      <c r="V191" s="38"/>
      <c r="W191" s="38"/>
      <c r="X191" s="38"/>
      <c r="Y191" s="38"/>
      <c r="Z191" s="38"/>
      <c r="AA191" s="1"/>
      <c r="AB191" s="470"/>
      <c r="AC191" s="470"/>
      <c r="AD191" s="470"/>
      <c r="AE191" s="470"/>
      <c r="AG191" s="470"/>
      <c r="AH191" s="470"/>
    </row>
    <row r="192" spans="2:34" s="5" customFormat="1" ht="13.5" customHeight="1">
      <c r="C192" s="160"/>
      <c r="D192" s="160"/>
      <c r="E192" s="160"/>
      <c r="F192" s="160"/>
      <c r="G192" s="160"/>
      <c r="H192" s="160"/>
      <c r="I192" s="160"/>
      <c r="J192" s="160"/>
      <c r="K192" s="160"/>
      <c r="L192" s="160"/>
      <c r="M192" s="160"/>
      <c r="N192" s="160"/>
      <c r="O192" s="160"/>
      <c r="P192" s="160"/>
      <c r="Q192" s="160"/>
      <c r="R192" s="160"/>
      <c r="S192" s="160"/>
      <c r="T192" s="160"/>
      <c r="V192" s="160"/>
      <c r="W192" s="160"/>
      <c r="X192" s="160"/>
      <c r="Y192" s="160"/>
      <c r="Z192" s="160"/>
      <c r="AA192" s="1"/>
      <c r="AB192" s="470"/>
      <c r="AC192" s="470"/>
      <c r="AD192" s="470"/>
      <c r="AE192" s="470"/>
      <c r="AG192" s="470"/>
      <c r="AH192" s="470"/>
    </row>
    <row r="193" spans="2:34" ht="13.5" customHeight="1">
      <c r="B193" s="543" t="s">
        <v>542</v>
      </c>
      <c r="C193" s="574"/>
      <c r="D193" s="574"/>
      <c r="E193" s="574"/>
      <c r="F193" s="574"/>
      <c r="G193" s="574"/>
      <c r="H193" s="574"/>
      <c r="I193" s="574"/>
      <c r="J193" s="574"/>
      <c r="K193" s="574"/>
      <c r="L193" s="295"/>
      <c r="M193" s="574"/>
      <c r="N193" s="574"/>
      <c r="O193" s="574"/>
      <c r="P193" s="574"/>
      <c r="Q193" s="574"/>
      <c r="R193" s="574"/>
      <c r="S193" s="574"/>
      <c r="T193" s="574"/>
      <c r="U193" s="574"/>
      <c r="V193" s="574"/>
      <c r="W193" s="574"/>
      <c r="X193" s="574"/>
      <c r="Y193" s="574"/>
      <c r="Z193" s="295"/>
      <c r="AA193" s="574"/>
      <c r="AB193" s="574"/>
      <c r="AC193" s="574"/>
      <c r="AD193" s="574"/>
      <c r="AE193" s="574"/>
      <c r="AG193" s="574"/>
      <c r="AH193" s="574"/>
    </row>
    <row r="194" spans="2:34" s="2" customFormat="1" ht="13.5" customHeight="1">
      <c r="B194" s="609" t="s">
        <v>54</v>
      </c>
      <c r="C194" s="574"/>
      <c r="D194" s="574">
        <f t="shared" ref="D194:K194" si="186">+D3</f>
        <v>44926</v>
      </c>
      <c r="E194" s="575">
        <f t="shared" si="186"/>
        <v>44926</v>
      </c>
      <c r="F194" s="575">
        <f t="shared" si="186"/>
        <v>45291</v>
      </c>
      <c r="G194" s="574">
        <f t="shared" si="186"/>
        <v>45291</v>
      </c>
      <c r="H194" s="574">
        <f t="shared" si="186"/>
        <v>45657</v>
      </c>
      <c r="I194" s="574">
        <f t="shared" si="186"/>
        <v>45657</v>
      </c>
      <c r="J194" s="574">
        <f t="shared" si="186"/>
        <v>46022</v>
      </c>
      <c r="K194" s="574">
        <f t="shared" si="186"/>
        <v>46112</v>
      </c>
      <c r="L194" s="295" t="s">
        <v>397</v>
      </c>
      <c r="M194" s="574">
        <f t="shared" ref="M194:Y194" si="187">M3</f>
        <v>45016</v>
      </c>
      <c r="N194" s="574">
        <f t="shared" si="187"/>
        <v>45107</v>
      </c>
      <c r="O194" s="574">
        <f t="shared" si="187"/>
        <v>45199</v>
      </c>
      <c r="P194" s="574">
        <f t="shared" si="187"/>
        <v>45291</v>
      </c>
      <c r="Q194" s="574">
        <f t="shared" si="187"/>
        <v>45382</v>
      </c>
      <c r="R194" s="574">
        <f t="shared" si="187"/>
        <v>45473</v>
      </c>
      <c r="S194" s="574">
        <f t="shared" si="187"/>
        <v>45565</v>
      </c>
      <c r="T194" s="574">
        <f t="shared" si="187"/>
        <v>45657</v>
      </c>
      <c r="U194" s="574">
        <f t="shared" si="187"/>
        <v>45747</v>
      </c>
      <c r="V194" s="574">
        <f t="shared" si="187"/>
        <v>45838</v>
      </c>
      <c r="W194" s="576">
        <f t="shared" si="187"/>
        <v>45930</v>
      </c>
      <c r="X194" s="576">
        <f t="shared" si="187"/>
        <v>46022</v>
      </c>
      <c r="Y194" s="576">
        <f t="shared" si="187"/>
        <v>46112</v>
      </c>
      <c r="Z194" s="295"/>
      <c r="AA194" s="576">
        <f t="shared" ref="AA194:AE196" si="188">AA3</f>
        <v>45382</v>
      </c>
      <c r="AB194" s="576">
        <f t="shared" si="188"/>
        <v>45473</v>
      </c>
      <c r="AC194" s="576">
        <f t="shared" si="188"/>
        <v>45565</v>
      </c>
      <c r="AD194" s="576">
        <f t="shared" si="188"/>
        <v>45656</v>
      </c>
      <c r="AE194" s="576">
        <f t="shared" si="188"/>
        <v>45747</v>
      </c>
      <c r="AG194" s="576">
        <f t="shared" ref="AG194:AH196" si="189">AG3</f>
        <v>45565</v>
      </c>
      <c r="AH194" s="576">
        <f t="shared" si="189"/>
        <v>45930</v>
      </c>
    </row>
    <row r="195" spans="2:34" s="5" customFormat="1" ht="13.5" customHeight="1">
      <c r="B195" s="539"/>
      <c r="C195" s="541"/>
      <c r="D195" s="541" t="s">
        <v>410</v>
      </c>
      <c r="E195" s="541" t="s">
        <v>410</v>
      </c>
      <c r="F195" s="541" t="s">
        <v>410</v>
      </c>
      <c r="G195" s="541" t="str">
        <f>G4</f>
        <v>Act</v>
      </c>
      <c r="H195" s="541" t="s">
        <v>410</v>
      </c>
      <c r="I195" s="541" t="s">
        <v>410</v>
      </c>
      <c r="J195" s="541" t="s">
        <v>410</v>
      </c>
      <c r="K195" s="541" t="s">
        <v>410</v>
      </c>
      <c r="L195" s="423"/>
      <c r="M195" s="541" t="str">
        <f t="shared" ref="M195:Y195" si="190">M4</f>
        <v>Act</v>
      </c>
      <c r="N195" s="541" t="str">
        <f t="shared" si="190"/>
        <v>Act</v>
      </c>
      <c r="O195" s="541" t="str">
        <f t="shared" si="190"/>
        <v>Act</v>
      </c>
      <c r="P195" s="541" t="str">
        <f t="shared" si="190"/>
        <v>Act</v>
      </c>
      <c r="Q195" s="541" t="str">
        <f t="shared" si="190"/>
        <v>Act</v>
      </c>
      <c r="R195" s="541" t="str">
        <f t="shared" si="190"/>
        <v>Act</v>
      </c>
      <c r="S195" s="541" t="str">
        <f t="shared" si="190"/>
        <v>Act</v>
      </c>
      <c r="T195" s="541" t="str">
        <f t="shared" si="190"/>
        <v>Act</v>
      </c>
      <c r="U195" s="541" t="str">
        <f t="shared" si="190"/>
        <v>Act</v>
      </c>
      <c r="V195" s="541" t="str">
        <f t="shared" si="190"/>
        <v>Act</v>
      </c>
      <c r="W195" s="541" t="str">
        <f t="shared" si="190"/>
        <v>Act</v>
      </c>
      <c r="X195" s="541" t="str">
        <f t="shared" si="190"/>
        <v>Act</v>
      </c>
      <c r="Y195" s="541" t="str">
        <f t="shared" si="190"/>
        <v>Act</v>
      </c>
      <c r="Z195" s="423"/>
      <c r="AA195" s="541" t="str">
        <f t="shared" si="188"/>
        <v>Act</v>
      </c>
      <c r="AB195" s="541" t="str">
        <f t="shared" si="188"/>
        <v>Act</v>
      </c>
      <c r="AC195" s="541" t="str">
        <f t="shared" si="188"/>
        <v>Act</v>
      </c>
      <c r="AD195" s="541" t="str">
        <f t="shared" si="188"/>
        <v>Act</v>
      </c>
      <c r="AE195" s="541" t="str">
        <f t="shared" si="188"/>
        <v>Act</v>
      </c>
      <c r="AG195" s="541" t="str">
        <f t="shared" si="189"/>
        <v>Act</v>
      </c>
      <c r="AH195" s="541" t="str">
        <f t="shared" si="189"/>
        <v>Act</v>
      </c>
    </row>
    <row r="196" spans="2:34" s="3" customFormat="1" ht="13.5" customHeight="1">
      <c r="C196" s="668"/>
      <c r="D196" s="23" t="s">
        <v>412</v>
      </c>
      <c r="E196" s="23" t="s">
        <v>412</v>
      </c>
      <c r="F196" s="23" t="s">
        <v>412</v>
      </c>
      <c r="G196" s="23" t="s">
        <v>412</v>
      </c>
      <c r="H196" s="23" t="s">
        <v>412</v>
      </c>
      <c r="I196" s="23" t="s">
        <v>412</v>
      </c>
      <c r="J196" s="23" t="s">
        <v>412</v>
      </c>
      <c r="K196" s="23" t="s">
        <v>412</v>
      </c>
      <c r="L196" s="23"/>
      <c r="M196" s="462" t="str">
        <f t="shared" ref="M196:Y196" si="191">M5</f>
        <v>Q1</v>
      </c>
      <c r="N196" s="462" t="str">
        <f t="shared" si="191"/>
        <v>Q2</v>
      </c>
      <c r="O196" s="462" t="str">
        <f t="shared" si="191"/>
        <v>Q3</v>
      </c>
      <c r="P196" s="462" t="str">
        <f t="shared" si="191"/>
        <v>Q4</v>
      </c>
      <c r="Q196" s="462" t="str">
        <f t="shared" si="191"/>
        <v>Q1</v>
      </c>
      <c r="R196" s="462" t="str">
        <f t="shared" si="191"/>
        <v>Q2</v>
      </c>
      <c r="S196" s="462" t="str">
        <f t="shared" si="191"/>
        <v>Q3</v>
      </c>
      <c r="T196" s="462" t="str">
        <f t="shared" si="191"/>
        <v>Q4</v>
      </c>
      <c r="U196" s="462" t="str">
        <f t="shared" si="191"/>
        <v>Q1</v>
      </c>
      <c r="V196" s="462" t="str">
        <f t="shared" si="191"/>
        <v>Q2</v>
      </c>
      <c r="W196" s="462" t="str">
        <f t="shared" si="191"/>
        <v>Q3</v>
      </c>
      <c r="X196" s="462" t="str">
        <f t="shared" si="191"/>
        <v>Q4</v>
      </c>
      <c r="Y196" s="462" t="str">
        <f t="shared" si="191"/>
        <v>Q1</v>
      </c>
      <c r="Z196" s="462"/>
      <c r="AA196" s="462" t="str">
        <f t="shared" si="188"/>
        <v>Q1</v>
      </c>
      <c r="AB196" s="462" t="str">
        <f t="shared" si="188"/>
        <v>Q2</v>
      </c>
      <c r="AC196" s="462" t="str">
        <f t="shared" si="188"/>
        <v>Q3</v>
      </c>
      <c r="AD196" s="462" t="str">
        <f t="shared" si="188"/>
        <v>Q4</v>
      </c>
      <c r="AE196" s="462" t="str">
        <f t="shared" si="188"/>
        <v>Q1</v>
      </c>
      <c r="AG196" s="462" t="str">
        <f t="shared" si="189"/>
        <v>9M</v>
      </c>
      <c r="AH196" s="462" t="str">
        <f t="shared" si="189"/>
        <v>9M</v>
      </c>
    </row>
    <row r="197" spans="2:34" s="5" customFormat="1" ht="13.5" customHeight="1">
      <c r="B197" s="5" t="s">
        <v>543</v>
      </c>
      <c r="C197" s="669"/>
      <c r="D197" s="58">
        <f t="shared" ref="D197:K197" si="192">D15</f>
        <v>93486.846000000005</v>
      </c>
      <c r="E197" s="58">
        <f t="shared" si="192"/>
        <v>134975.15899999999</v>
      </c>
      <c r="F197" s="58">
        <f t="shared" si="192"/>
        <v>107116.18399999999</v>
      </c>
      <c r="G197" s="58">
        <f t="shared" si="192"/>
        <v>154653.03100000002</v>
      </c>
      <c r="H197" s="58">
        <f t="shared" si="192"/>
        <v>166671.36400000003</v>
      </c>
      <c r="I197" s="58">
        <f t="shared" si="192"/>
        <v>218160.03</v>
      </c>
      <c r="J197" s="58">
        <f t="shared" si="192"/>
        <v>241470.821</v>
      </c>
      <c r="K197" s="58">
        <f t="shared" si="192"/>
        <v>261885.139</v>
      </c>
      <c r="L197" s="58"/>
      <c r="M197" s="58">
        <f t="shared" ref="M197:Y197" si="193">M15</f>
        <v>27569.118000000002</v>
      </c>
      <c r="N197" s="58">
        <f t="shared" si="193"/>
        <v>35028.862999999998</v>
      </c>
      <c r="O197" s="58">
        <f t="shared" si="193"/>
        <v>37590.1</v>
      </c>
      <c r="P197" s="58">
        <f t="shared" si="193"/>
        <v>6928.1029999999973</v>
      </c>
      <c r="Q197" s="58">
        <f t="shared" si="193"/>
        <v>30822.333999999999</v>
      </c>
      <c r="R197" s="58">
        <f t="shared" si="193"/>
        <v>34913.470999999998</v>
      </c>
      <c r="S197" s="58">
        <f t="shared" si="193"/>
        <v>40171.399999999994</v>
      </c>
      <c r="T197" s="58">
        <f t="shared" si="193"/>
        <v>60764.159000000007</v>
      </c>
      <c r="U197" s="58">
        <f t="shared" si="193"/>
        <v>47962.642</v>
      </c>
      <c r="V197" s="58">
        <f t="shared" si="193"/>
        <v>53022.000000000007</v>
      </c>
      <c r="W197" s="58">
        <f t="shared" si="193"/>
        <v>59535.476999999999</v>
      </c>
      <c r="X197" s="58">
        <f t="shared" si="193"/>
        <v>80950.702000000005</v>
      </c>
      <c r="Y197" s="58">
        <f t="shared" si="193"/>
        <v>68376.959999999992</v>
      </c>
      <c r="Z197" s="58"/>
      <c r="AA197" s="58">
        <f t="shared" ref="AA197:AE198" si="194">AA15</f>
        <v>42566.822999999997</v>
      </c>
      <c r="AB197" s="58">
        <f t="shared" si="194"/>
        <v>47150.1</v>
      </c>
      <c r="AC197" s="58">
        <f t="shared" si="194"/>
        <v>53546.035000000003</v>
      </c>
      <c r="AD197" s="58">
        <f t="shared" si="194"/>
        <v>74897.072000000015</v>
      </c>
      <c r="AE197" s="58">
        <f t="shared" si="194"/>
        <v>62766.528999999995</v>
      </c>
      <c r="AG197" s="660"/>
      <c r="AH197" s="660"/>
    </row>
    <row r="198" spans="2:34" s="29" customFormat="1" ht="13.5" customHeight="1">
      <c r="B198" s="30" t="s">
        <v>424</v>
      </c>
      <c r="C198" s="670"/>
      <c r="D198" s="79">
        <f t="shared" ref="D198:J198" si="195">D16</f>
        <v>-0.13916065875869721</v>
      </c>
      <c r="E198" s="79">
        <f t="shared" si="195"/>
        <v>0.24286925839278051</v>
      </c>
      <c r="F198" s="79">
        <f t="shared" si="195"/>
        <v>0.14578883108325202</v>
      </c>
      <c r="G198" s="79">
        <f t="shared" si="195"/>
        <v>0.14578884104148404</v>
      </c>
      <c r="H198" s="79">
        <f t="shared" si="195"/>
        <v>7.7711590405234343E-2</v>
      </c>
      <c r="I198" s="79">
        <f t="shared" si="195"/>
        <v>0.4106417998364349</v>
      </c>
      <c r="J198" s="79">
        <f t="shared" si="195"/>
        <v>0.10685179590413507</v>
      </c>
      <c r="K198" s="79"/>
      <c r="L198" s="189"/>
      <c r="M198" s="471"/>
      <c r="N198" s="471"/>
      <c r="O198" s="471"/>
      <c r="P198" s="471"/>
      <c r="Q198" s="471">
        <f t="shared" ref="Q198:Y198" si="196">Q16</f>
        <v>0.11800217910489552</v>
      </c>
      <c r="R198" s="471">
        <f t="shared" si="196"/>
        <v>-3.2941977020493063E-3</v>
      </c>
      <c r="S198" s="471">
        <f t="shared" si="196"/>
        <v>6.8669676324351281E-2</v>
      </c>
      <c r="T198" s="471">
        <f t="shared" si="196"/>
        <v>7.7706777742767432</v>
      </c>
      <c r="U198" s="471">
        <f t="shared" si="196"/>
        <v>0.12676113977310455</v>
      </c>
      <c r="V198" s="471">
        <f t="shared" si="196"/>
        <v>0.12453632123791913</v>
      </c>
      <c r="W198" s="471">
        <f t="shared" si="196"/>
        <v>0.11185593853961362</v>
      </c>
      <c r="X198" s="471">
        <f t="shared" si="196"/>
        <v>8.082599010012026E-2</v>
      </c>
      <c r="Y198" s="471">
        <f t="shared" si="196"/>
        <v>8.9385713841209746E-2</v>
      </c>
      <c r="Z198" s="478"/>
      <c r="AA198" s="471">
        <f t="shared" si="194"/>
        <v>0.54400380164501438</v>
      </c>
      <c r="AB198" s="471">
        <f t="shared" si="194"/>
        <v>0.34603569633419173</v>
      </c>
      <c r="AC198" s="471">
        <f t="shared" si="194"/>
        <v>0.42447173590918896</v>
      </c>
      <c r="AD198" s="471">
        <f t="shared" si="194"/>
        <v>0.99246801684486119</v>
      </c>
      <c r="AE198" s="471">
        <f t="shared" si="194"/>
        <v>1.0363976654071685</v>
      </c>
      <c r="AG198" s="660"/>
      <c r="AH198" s="660"/>
    </row>
    <row r="199" spans="2:34" s="5" customFormat="1" ht="13.5" customHeight="1" outlineLevel="1" thickBot="1">
      <c r="B199" s="25" t="s">
        <v>453</v>
      </c>
      <c r="C199" s="671"/>
      <c r="D199" s="67">
        <f t="shared" ref="D199:K199" si="197">D68</f>
        <v>35549.366000000002</v>
      </c>
      <c r="E199" s="67">
        <f t="shared" si="197"/>
        <v>51325.741999999984</v>
      </c>
      <c r="F199" s="67">
        <f t="shared" si="197"/>
        <v>39111.561999999991</v>
      </c>
      <c r="G199" s="67">
        <f t="shared" si="197"/>
        <v>56468.791000000027</v>
      </c>
      <c r="H199" s="67">
        <f t="shared" si="197"/>
        <v>67475.525000000023</v>
      </c>
      <c r="I199" s="67">
        <f t="shared" si="197"/>
        <v>88320.288</v>
      </c>
      <c r="J199" s="67">
        <f t="shared" si="197"/>
        <v>102241.94099999999</v>
      </c>
      <c r="K199" s="67">
        <f t="shared" si="197"/>
        <v>109604.91499999999</v>
      </c>
      <c r="L199" s="8"/>
      <c r="M199" s="67">
        <f t="shared" ref="M199:Y199" si="198">M68</f>
        <v>10121.130000000003</v>
      </c>
      <c r="N199" s="67">
        <f t="shared" si="198"/>
        <v>15002.885999999995</v>
      </c>
      <c r="O199" s="67">
        <f t="shared" si="198"/>
        <v>13174.522999999999</v>
      </c>
      <c r="P199" s="67">
        <f t="shared" si="198"/>
        <v>813.0229999999915</v>
      </c>
      <c r="Q199" s="67">
        <f t="shared" si="198"/>
        <v>12535.902999999998</v>
      </c>
      <c r="R199" s="67">
        <f t="shared" si="198"/>
        <v>14676.877999999997</v>
      </c>
      <c r="S199" s="67">
        <f t="shared" si="198"/>
        <v>17577.685999999994</v>
      </c>
      <c r="T199" s="67">
        <f t="shared" si="198"/>
        <v>22685.058000000008</v>
      </c>
      <c r="U199" s="67">
        <f t="shared" si="198"/>
        <v>20509.471000000005</v>
      </c>
      <c r="V199" s="67">
        <f t="shared" si="198"/>
        <v>22891.285000000011</v>
      </c>
      <c r="W199" s="67">
        <f t="shared" si="198"/>
        <v>25622.824999999997</v>
      </c>
      <c r="X199" s="67">
        <f t="shared" si="198"/>
        <v>33218.36</v>
      </c>
      <c r="Y199" s="67">
        <f t="shared" si="198"/>
        <v>27872.444999999992</v>
      </c>
      <c r="Z199" s="8"/>
      <c r="AA199" s="67">
        <f t="shared" ref="AA199:AE200" si="199">AA68</f>
        <v>17312.564999999999</v>
      </c>
      <c r="AB199" s="67">
        <f t="shared" si="199"/>
        <v>19820.872000000003</v>
      </c>
      <c r="AC199" s="67">
        <f t="shared" si="199"/>
        <v>23429.933000000005</v>
      </c>
      <c r="AD199" s="67">
        <f t="shared" si="199"/>
        <v>27756.91800000002</v>
      </c>
      <c r="AE199" s="67">
        <f t="shared" si="199"/>
        <v>26839.812999999998</v>
      </c>
      <c r="AG199" s="660"/>
      <c r="AH199" s="660"/>
    </row>
    <row r="200" spans="2:34" s="29" customFormat="1" ht="13.5" customHeight="1" outlineLevel="1" thickTop="1">
      <c r="B200" s="30" t="s">
        <v>456</v>
      </c>
      <c r="C200" s="670"/>
      <c r="D200" s="79">
        <f t="shared" ref="D200:J200" si="200">D69</f>
        <v>-0.17879861847208922</v>
      </c>
      <c r="E200" s="79">
        <f t="shared" si="200"/>
        <v>0.185640560744321</v>
      </c>
      <c r="F200" s="79">
        <f t="shared" si="200"/>
        <v>0.10020420617346559</v>
      </c>
      <c r="G200" s="79">
        <f t="shared" si="200"/>
        <v>0.10020408472614073</v>
      </c>
      <c r="H200" s="79">
        <f t="shared" si="200"/>
        <v>0.19491711802365286</v>
      </c>
      <c r="I200" s="79">
        <f t="shared" si="200"/>
        <v>0.56405487767570506</v>
      </c>
      <c r="J200" s="79">
        <f t="shared" si="200"/>
        <v>0.15762689768402915</v>
      </c>
      <c r="K200" s="79"/>
      <c r="L200" s="189"/>
      <c r="M200" s="471"/>
      <c r="N200" s="471"/>
      <c r="O200" s="471"/>
      <c r="P200" s="471"/>
      <c r="Q200" s="471">
        <f t="shared" ref="Q200:Y200" si="201">Q69</f>
        <v>0.23858729213042373</v>
      </c>
      <c r="R200" s="471">
        <f t="shared" si="201"/>
        <v>-2.1729685875104154E-2</v>
      </c>
      <c r="S200" s="471">
        <f t="shared" si="201"/>
        <v>0.33421802064484574</v>
      </c>
      <c r="T200" s="471">
        <f t="shared" si="201"/>
        <v>26.902111010389923</v>
      </c>
      <c r="U200" s="471">
        <f t="shared" si="201"/>
        <v>0.18465813702360134</v>
      </c>
      <c r="V200" s="471">
        <f t="shared" si="201"/>
        <v>0.15490806862584083</v>
      </c>
      <c r="W200" s="471">
        <f t="shared" si="201"/>
        <v>9.3593609507973907E-2</v>
      </c>
      <c r="X200" s="471">
        <f t="shared" si="201"/>
        <v>0.19675966906700437</v>
      </c>
      <c r="Y200" s="471">
        <f t="shared" si="201"/>
        <v>3.8473889516294157E-2</v>
      </c>
      <c r="Z200" s="478"/>
      <c r="AA200" s="471">
        <f t="shared" si="199"/>
        <v>0.71053676812766886</v>
      </c>
      <c r="AB200" s="471">
        <f t="shared" si="199"/>
        <v>0.32113727985402329</v>
      </c>
      <c r="AC200" s="471">
        <f t="shared" si="199"/>
        <v>0.77842742389990183</v>
      </c>
      <c r="AD200" s="471">
        <f t="shared" si="199"/>
        <v>33.140384712363989</v>
      </c>
      <c r="AE200" s="471">
        <f t="shared" si="199"/>
        <v>0.55030828765119444</v>
      </c>
      <c r="AG200" s="660"/>
      <c r="AH200" s="660"/>
    </row>
    <row r="201" spans="2:34" s="29" customFormat="1" ht="13.5" customHeight="1" outlineLevel="1">
      <c r="B201" s="30" t="s">
        <v>457</v>
      </c>
      <c r="C201" s="670"/>
      <c r="D201" s="79">
        <f t="shared" ref="D201:K201" si="202">D199/D197</f>
        <v>0.38026061976676379</v>
      </c>
      <c r="E201" s="79">
        <f>E199/E197</f>
        <v>0.38026065225824252</v>
      </c>
      <c r="F201" s="79">
        <f t="shared" si="202"/>
        <v>0.36513214473734418</v>
      </c>
      <c r="G201" s="79">
        <f t="shared" si="202"/>
        <v>0.36513213245720366</v>
      </c>
      <c r="H201" s="79">
        <f t="shared" si="202"/>
        <v>0.40484173994040157</v>
      </c>
      <c r="I201" s="79">
        <f>I199/I197</f>
        <v>0.40484174850911048</v>
      </c>
      <c r="J201" s="79">
        <f>J199/J197</f>
        <v>0.42341323302164113</v>
      </c>
      <c r="K201" s="79">
        <f t="shared" si="202"/>
        <v>0.41852285096635433</v>
      </c>
      <c r="L201" s="189"/>
      <c r="M201" s="471">
        <f t="shared" ref="M201:U201" si="203">M199/M197</f>
        <v>0.36711838224204352</v>
      </c>
      <c r="N201" s="471">
        <f t="shared" si="203"/>
        <v>0.42830068449552577</v>
      </c>
      <c r="O201" s="471">
        <f t="shared" si="203"/>
        <v>0.35047853025131614</v>
      </c>
      <c r="P201" s="471">
        <f t="shared" si="203"/>
        <v>0.11735145969971748</v>
      </c>
      <c r="Q201" s="471">
        <f t="shared" si="203"/>
        <v>0.406714916527736</v>
      </c>
      <c r="R201" s="471">
        <f t="shared" si="203"/>
        <v>0.42037865556249043</v>
      </c>
      <c r="S201" s="471">
        <f t="shared" si="203"/>
        <v>0.43756717465659639</v>
      </c>
      <c r="T201" s="471">
        <f t="shared" si="203"/>
        <v>0.37332958068258637</v>
      </c>
      <c r="U201" s="471">
        <f t="shared" si="203"/>
        <v>0.42761345382099686</v>
      </c>
      <c r="V201" s="471">
        <f>V199/V197</f>
        <v>0.43173182829768791</v>
      </c>
      <c r="W201" s="471">
        <f>W199/W197</f>
        <v>0.43037909984327494</v>
      </c>
      <c r="X201" s="471">
        <f>X199/X197</f>
        <v>0.41035295777916786</v>
      </c>
      <c r="Y201" s="471">
        <f>Y199/Y197</f>
        <v>0.40762919264032793</v>
      </c>
      <c r="Z201" s="478"/>
      <c r="AA201" s="471">
        <f>AA199/AA197</f>
        <v>0.40671499021667651</v>
      </c>
      <c r="AB201" s="471">
        <f>AB199/AB197</f>
        <v>0.42037815402300321</v>
      </c>
      <c r="AC201" s="471">
        <f>AC199/AC197</f>
        <v>0.43756616152811323</v>
      </c>
      <c r="AD201" s="471">
        <f>AD199/AD197</f>
        <v>0.37060084271385152</v>
      </c>
      <c r="AE201" s="471">
        <f>AE199/AE197</f>
        <v>0.42761346576931153</v>
      </c>
      <c r="AG201" s="660"/>
      <c r="AH201" s="660"/>
    </row>
    <row r="202" spans="2:34" ht="13.5" customHeight="1">
      <c r="AB202" s="470"/>
      <c r="AC202" s="470"/>
      <c r="AD202" s="470"/>
      <c r="AE202" s="470"/>
    </row>
    <row r="203" spans="2:34" s="5" customFormat="1" ht="13.5" customHeight="1" thickBot="1">
      <c r="B203" s="25" t="s">
        <v>458</v>
      </c>
      <c r="C203" s="671"/>
      <c r="D203" s="67">
        <f t="shared" ref="D203:K203" si="204">D73</f>
        <v>36607.731</v>
      </c>
      <c r="E203" s="67">
        <f t="shared" si="204"/>
        <v>52853.793999999987</v>
      </c>
      <c r="F203" s="67">
        <f t="shared" si="204"/>
        <v>43877.113999999987</v>
      </c>
      <c r="G203" s="67">
        <f t="shared" si="204"/>
        <v>63349.237000000023</v>
      </c>
      <c r="H203" s="67">
        <f t="shared" si="204"/>
        <v>69802.010000000024</v>
      </c>
      <c r="I203" s="67">
        <f t="shared" si="204"/>
        <v>91365.479000000007</v>
      </c>
      <c r="J203" s="67">
        <f t="shared" si="204"/>
        <v>104016.97500000001</v>
      </c>
      <c r="K203" s="67">
        <f t="shared" si="204"/>
        <v>111357.68999999999</v>
      </c>
      <c r="L203" s="8"/>
      <c r="M203" s="67">
        <f t="shared" ref="M203:Y203" si="205">M73</f>
        <v>10353.923000000003</v>
      </c>
      <c r="N203" s="67">
        <f t="shared" si="205"/>
        <v>14844.848999999995</v>
      </c>
      <c r="O203" s="67">
        <f t="shared" si="205"/>
        <v>16090.591999999999</v>
      </c>
      <c r="P203" s="67">
        <f t="shared" si="205"/>
        <v>2587.7499999999918</v>
      </c>
      <c r="Q203" s="67">
        <f t="shared" si="205"/>
        <v>12754.286999999998</v>
      </c>
      <c r="R203" s="67">
        <f t="shared" si="205"/>
        <v>14886.897999999997</v>
      </c>
      <c r="S203" s="67">
        <f t="shared" si="205"/>
        <v>17756.949999999993</v>
      </c>
      <c r="T203" s="67">
        <f t="shared" si="205"/>
        <v>24403.875000000007</v>
      </c>
      <c r="U203" s="67">
        <f t="shared" si="205"/>
        <v>20959.125000000004</v>
      </c>
      <c r="V203" s="67">
        <f t="shared" si="205"/>
        <v>23085.80000000001</v>
      </c>
      <c r="W203" s="67">
        <f t="shared" si="205"/>
        <v>26165.1</v>
      </c>
      <c r="X203" s="67">
        <f t="shared" si="205"/>
        <v>33806.949999999983</v>
      </c>
      <c r="Y203" s="67">
        <f t="shared" si="205"/>
        <v>28299.84</v>
      </c>
      <c r="Z203" s="8"/>
      <c r="AA203" s="67">
        <f t="shared" ref="AA203:AE204" si="206">AA73</f>
        <v>17614.159</v>
      </c>
      <c r="AB203" s="67">
        <f t="shared" si="206"/>
        <v>20104.500000000004</v>
      </c>
      <c r="AC203" s="67">
        <f t="shared" si="206"/>
        <v>23668.799999999999</v>
      </c>
      <c r="AD203" s="67">
        <f t="shared" si="206"/>
        <v>29978.020000000004</v>
      </c>
      <c r="AE203" s="67">
        <f t="shared" si="206"/>
        <v>27428.254000000001</v>
      </c>
      <c r="AG203" s="660"/>
      <c r="AH203" s="660"/>
    </row>
    <row r="204" spans="2:34" s="29" customFormat="1" ht="13.5" customHeight="1" thickTop="1">
      <c r="B204" s="30" t="s">
        <v>456</v>
      </c>
      <c r="C204" s="670"/>
      <c r="D204" s="79">
        <f t="shared" ref="D204:J204" si="207">D74</f>
        <v>-0.1854664003422456</v>
      </c>
      <c r="E204" s="79">
        <f t="shared" si="207"/>
        <v>0.17601364264803565</v>
      </c>
      <c r="F204" s="79">
        <f t="shared" si="207"/>
        <v>0.19857507694208065</v>
      </c>
      <c r="G204" s="79">
        <f t="shared" si="207"/>
        <v>0.19857501620413553</v>
      </c>
      <c r="H204" s="79">
        <f t="shared" si="207"/>
        <v>0.10186031127730866</v>
      </c>
      <c r="I204" s="79">
        <f t="shared" si="207"/>
        <v>0.44225066199297669</v>
      </c>
      <c r="J204" s="79">
        <f t="shared" si="207"/>
        <v>0.13847129286105964</v>
      </c>
      <c r="K204" s="79"/>
      <c r="L204" s="189"/>
      <c r="M204" s="471"/>
      <c r="N204" s="471"/>
      <c r="O204" s="471"/>
      <c r="P204" s="471"/>
      <c r="Q204" s="471">
        <f t="shared" ref="Q204:Y204" si="208">Q74</f>
        <v>0.23183135512983788</v>
      </c>
      <c r="R204" s="471">
        <f t="shared" si="208"/>
        <v>2.8325650196914243E-3</v>
      </c>
      <c r="S204" s="471">
        <f t="shared" si="208"/>
        <v>0.10356101254695882</v>
      </c>
      <c r="T204" s="471">
        <f t="shared" si="208"/>
        <v>8.4305381122597183</v>
      </c>
      <c r="U204" s="471">
        <f t="shared" si="208"/>
        <v>0.18990211227229215</v>
      </c>
      <c r="V204" s="471">
        <f t="shared" si="208"/>
        <v>0.14829018378969905</v>
      </c>
      <c r="W204" s="471">
        <f t="shared" si="208"/>
        <v>0.10546795781788676</v>
      </c>
      <c r="X204" s="471">
        <f t="shared" si="208"/>
        <v>0.12772457954194372</v>
      </c>
      <c r="Y204" s="471">
        <f t="shared" si="208"/>
        <v>3.1776940668552855E-2</v>
      </c>
      <c r="Z204" s="478"/>
      <c r="AA204" s="471">
        <f t="shared" si="206"/>
        <v>0.70120629639606125</v>
      </c>
      <c r="AB204" s="471">
        <f t="shared" si="206"/>
        <v>0.35430815092831258</v>
      </c>
      <c r="AC204" s="471">
        <f t="shared" si="206"/>
        <v>0.47097136015878105</v>
      </c>
      <c r="AD204" s="471">
        <f t="shared" si="206"/>
        <v>10.584588928605971</v>
      </c>
      <c r="AE204" s="471">
        <f t="shared" si="206"/>
        <v>0.55717079651659795</v>
      </c>
      <c r="AG204" s="660"/>
      <c r="AH204" s="660"/>
    </row>
    <row r="205" spans="2:34" s="29" customFormat="1" ht="13.5" customHeight="1">
      <c r="B205" s="30" t="s">
        <v>457</v>
      </c>
      <c r="C205" s="670"/>
      <c r="D205" s="79">
        <f t="shared" ref="D205:K205" si="209">D203/D197</f>
        <v>0.39158162422123</v>
      </c>
      <c r="E205" s="79">
        <f>E203/E197</f>
        <v>0.39158163910738564</v>
      </c>
      <c r="F205" s="79">
        <f t="shared" si="209"/>
        <v>0.40962170571722373</v>
      </c>
      <c r="G205" s="79">
        <f t="shared" si="209"/>
        <v>0.40962169697146134</v>
      </c>
      <c r="H205" s="79">
        <f t="shared" si="209"/>
        <v>0.41880025653356995</v>
      </c>
      <c r="I205" s="79">
        <f>I203/I197</f>
        <v>0.41880026785841573</v>
      </c>
      <c r="J205" s="79">
        <f>J203/J197</f>
        <v>0.43076415845705851</v>
      </c>
      <c r="K205" s="79">
        <f t="shared" si="209"/>
        <v>0.42521576606147166</v>
      </c>
      <c r="L205" s="189"/>
      <c r="M205" s="471">
        <f t="shared" ref="M205:U205" si="210">M203/M197</f>
        <v>0.37556235930362375</v>
      </c>
      <c r="N205" s="471">
        <f t="shared" si="210"/>
        <v>0.42378906217995133</v>
      </c>
      <c r="O205" s="471">
        <f t="shared" si="210"/>
        <v>0.4280539822985307</v>
      </c>
      <c r="P205" s="471">
        <f t="shared" si="210"/>
        <v>0.37351494341235875</v>
      </c>
      <c r="Q205" s="471">
        <f t="shared" si="210"/>
        <v>0.41380016841034811</v>
      </c>
      <c r="R205" s="471">
        <f t="shared" si="210"/>
        <v>0.42639409871335904</v>
      </c>
      <c r="S205" s="471">
        <f t="shared" si="210"/>
        <v>0.44202965293716417</v>
      </c>
      <c r="T205" s="471">
        <f t="shared" si="210"/>
        <v>0.40161627185525606</v>
      </c>
      <c r="U205" s="471">
        <f t="shared" si="210"/>
        <v>0.43698854204069915</v>
      </c>
      <c r="V205" s="471">
        <f>V203/V197</f>
        <v>0.43540039983403128</v>
      </c>
      <c r="W205" s="471">
        <f>W203/W197</f>
        <v>0.43948753446621414</v>
      </c>
      <c r="X205" s="471">
        <f>X203/X197</f>
        <v>0.41762392622611205</v>
      </c>
      <c r="Y205" s="471">
        <f>Y203/Y197</f>
        <v>0.41387976300789042</v>
      </c>
      <c r="Z205" s="478"/>
      <c r="AA205" s="471">
        <f>AA203/AA197</f>
        <v>0.41380017954358495</v>
      </c>
      <c r="AB205" s="471">
        <f>AB203/AB197</f>
        <v>0.42639358134977451</v>
      </c>
      <c r="AC205" s="471">
        <f>AC203/AC197</f>
        <v>0.4420271267517753</v>
      </c>
      <c r="AD205" s="471">
        <f>AD203/AD197</f>
        <v>0.40025623431580876</v>
      </c>
      <c r="AE205" s="471">
        <f>AE203/AE197</f>
        <v>0.43698854209382842</v>
      </c>
      <c r="AG205" s="660"/>
      <c r="AH205" s="660"/>
    </row>
    <row r="206" spans="2:34" ht="13.5" customHeight="1">
      <c r="AB206" s="470"/>
      <c r="AC206" s="470"/>
      <c r="AD206" s="470"/>
      <c r="AE206" s="470"/>
    </row>
    <row r="207" spans="2:34" s="5" customFormat="1" ht="13.5" customHeight="1">
      <c r="B207" s="5" t="s">
        <v>462</v>
      </c>
      <c r="C207" s="672"/>
      <c r="D207" s="198">
        <f t="shared" ref="D207:K210" si="211">D83</f>
        <v>36607.731</v>
      </c>
      <c r="E207" s="198">
        <f t="shared" si="211"/>
        <v>52853.793999999987</v>
      </c>
      <c r="F207" s="198">
        <f t="shared" si="211"/>
        <v>43877.113999999987</v>
      </c>
      <c r="G207" s="198">
        <f t="shared" si="211"/>
        <v>63349.237000000023</v>
      </c>
      <c r="H207" s="198">
        <f t="shared" si="211"/>
        <v>69802.010000000024</v>
      </c>
      <c r="I207" s="198">
        <f t="shared" si="211"/>
        <v>91365.479000000007</v>
      </c>
      <c r="J207" s="198">
        <f t="shared" si="211"/>
        <v>104016.97500000001</v>
      </c>
      <c r="K207" s="198">
        <f t="shared" si="211"/>
        <v>111357.68999999999</v>
      </c>
      <c r="L207" s="202"/>
      <c r="M207" s="464">
        <f t="shared" ref="M207:Y207" si="212">M83</f>
        <v>10353.923000000003</v>
      </c>
      <c r="N207" s="464">
        <f t="shared" si="212"/>
        <v>14844.848999999995</v>
      </c>
      <c r="O207" s="464">
        <f t="shared" si="212"/>
        <v>16090.591999999999</v>
      </c>
      <c r="P207" s="464">
        <f t="shared" si="212"/>
        <v>2587.7499999999918</v>
      </c>
      <c r="Q207" s="464">
        <f t="shared" si="212"/>
        <v>12754.286999999998</v>
      </c>
      <c r="R207" s="464">
        <f t="shared" si="212"/>
        <v>14886.897999999997</v>
      </c>
      <c r="S207" s="464">
        <f t="shared" si="212"/>
        <v>17756.949999999993</v>
      </c>
      <c r="T207" s="464">
        <f t="shared" si="212"/>
        <v>24403.875000000007</v>
      </c>
      <c r="U207" s="464">
        <f t="shared" si="212"/>
        <v>20959.125000000004</v>
      </c>
      <c r="V207" s="464">
        <f t="shared" si="212"/>
        <v>23085.80000000001</v>
      </c>
      <c r="W207" s="464">
        <f t="shared" si="212"/>
        <v>26165.1</v>
      </c>
      <c r="X207" s="464">
        <f t="shared" si="212"/>
        <v>33806.949999999983</v>
      </c>
      <c r="Y207" s="464">
        <f t="shared" si="212"/>
        <v>28299.84</v>
      </c>
      <c r="Z207" s="464"/>
      <c r="AA207" s="464">
        <f t="shared" ref="AA207:AE214" si="213">AA83</f>
        <v>17614.159</v>
      </c>
      <c r="AB207" s="464">
        <f t="shared" si="213"/>
        <v>20104.500000000004</v>
      </c>
      <c r="AC207" s="464">
        <f t="shared" si="213"/>
        <v>23668.799999999999</v>
      </c>
      <c r="AD207" s="464">
        <f t="shared" si="213"/>
        <v>29978.020000000004</v>
      </c>
      <c r="AE207" s="464">
        <f t="shared" si="213"/>
        <v>27428.254000000001</v>
      </c>
      <c r="AG207" s="660"/>
      <c r="AH207" s="660"/>
    </row>
    <row r="208" spans="2:34" ht="13.5" customHeight="1">
      <c r="B208" s="1" t="s">
        <v>463</v>
      </c>
      <c r="C208" s="673"/>
      <c r="D208" s="214">
        <f t="shared" si="211"/>
        <v>-2609.6849999999977</v>
      </c>
      <c r="E208" s="214">
        <f t="shared" si="211"/>
        <v>-3767.8310000000056</v>
      </c>
      <c r="F208" s="214">
        <f t="shared" si="211"/>
        <v>-2423.9519999999975</v>
      </c>
      <c r="G208" s="214">
        <f t="shared" si="211"/>
        <v>-3499.6720000000059</v>
      </c>
      <c r="H208" s="214">
        <f t="shared" si="211"/>
        <v>-3676.1520000000019</v>
      </c>
      <c r="I208" s="214">
        <f t="shared" si="211"/>
        <v>-4811.8010000000068</v>
      </c>
      <c r="J208" s="214">
        <f t="shared" si="211"/>
        <v>-5387.6259999999893</v>
      </c>
      <c r="K208" s="214">
        <f t="shared" si="211"/>
        <v>-12098.207999999988</v>
      </c>
      <c r="L208" s="196"/>
      <c r="M208" s="472">
        <f t="shared" ref="M208:Y208" si="214">M84</f>
        <v>-6511.9759999999997</v>
      </c>
      <c r="N208" s="472">
        <f t="shared" si="214"/>
        <v>625.02799999999934</v>
      </c>
      <c r="O208" s="472">
        <f t="shared" si="214"/>
        <v>-3151.3999999999969</v>
      </c>
      <c r="P208" s="472">
        <f t="shared" si="214"/>
        <v>6614.3959999999997</v>
      </c>
      <c r="Q208" s="472">
        <f t="shared" si="214"/>
        <v>-8252.5579999999991</v>
      </c>
      <c r="R208" s="472">
        <f t="shared" si="214"/>
        <v>-2086.3870000000006</v>
      </c>
      <c r="S208" s="472">
        <f t="shared" si="214"/>
        <v>-3317.8380000000034</v>
      </c>
      <c r="T208" s="472">
        <f t="shared" si="214"/>
        <v>9980.6310000000012</v>
      </c>
      <c r="U208" s="472">
        <f t="shared" si="214"/>
        <v>-11461.380000000001</v>
      </c>
      <c r="V208" s="472">
        <f t="shared" si="214"/>
        <v>-2935.5839999999989</v>
      </c>
      <c r="W208" s="472">
        <f t="shared" si="214"/>
        <v>-2141.2649999999994</v>
      </c>
      <c r="X208" s="472">
        <f t="shared" si="214"/>
        <v>11150.60300000001</v>
      </c>
      <c r="Y208" s="472">
        <f t="shared" si="214"/>
        <v>-18171.962</v>
      </c>
      <c r="Z208" s="554"/>
      <c r="AA208" s="472">
        <f t="shared" si="213"/>
        <v>-11397.099</v>
      </c>
      <c r="AB208" s="472">
        <f t="shared" si="213"/>
        <v>-2565.5069999999996</v>
      </c>
      <c r="AC208" s="472">
        <f t="shared" si="213"/>
        <v>3120.0720000000001</v>
      </c>
      <c r="AD208" s="472">
        <f t="shared" si="213"/>
        <v>6030.7329999999929</v>
      </c>
      <c r="AE208" s="472">
        <f t="shared" si="213"/>
        <v>-14998.986000000001</v>
      </c>
      <c r="AG208" s="660"/>
      <c r="AH208" s="660"/>
    </row>
    <row r="209" spans="2:34" ht="13.5" customHeight="1">
      <c r="B209" s="1" t="s">
        <v>464</v>
      </c>
      <c r="C209" s="673"/>
      <c r="D209" s="214">
        <f t="shared" si="211"/>
        <v>-1335.5440000000001</v>
      </c>
      <c r="E209" s="214">
        <f t="shared" si="211"/>
        <v>-1928.242</v>
      </c>
      <c r="F209" s="214">
        <f t="shared" si="211"/>
        <v>-563.33000000000004</v>
      </c>
      <c r="G209" s="214">
        <f t="shared" si="211"/>
        <v>-813.32799999999997</v>
      </c>
      <c r="H209" s="214">
        <f t="shared" si="211"/>
        <v>-2151.453</v>
      </c>
      <c r="I209" s="214">
        <f t="shared" si="211"/>
        <v>-2816.087</v>
      </c>
      <c r="J209" s="214">
        <f t="shared" si="211"/>
        <v>-9026.0280000000002</v>
      </c>
      <c r="K209" s="214">
        <f t="shared" si="211"/>
        <v>-10524.039000000001</v>
      </c>
      <c r="L209" s="196"/>
      <c r="M209" s="472">
        <f t="shared" ref="M209:Y209" si="215">M85</f>
        <v>-642.23400000000004</v>
      </c>
      <c r="N209" s="472">
        <f t="shared" si="215"/>
        <v>-834.48099999999999</v>
      </c>
      <c r="O209" s="472">
        <f t="shared" si="215"/>
        <v>-2251.1759999999999</v>
      </c>
      <c r="P209" s="472">
        <f t="shared" si="215"/>
        <v>3164.5610000000001</v>
      </c>
      <c r="Q209" s="472">
        <f t="shared" si="215"/>
        <v>-110.947</v>
      </c>
      <c r="R209" s="472">
        <f t="shared" si="215"/>
        <v>-269.29300000000001</v>
      </c>
      <c r="S209" s="472">
        <f t="shared" si="215"/>
        <v>-746.75300000000004</v>
      </c>
      <c r="T209" s="472">
        <f t="shared" si="215"/>
        <v>-1024.4599999999996</v>
      </c>
      <c r="U209" s="472">
        <f t="shared" si="215"/>
        <v>-173.00200000000001</v>
      </c>
      <c r="V209" s="472">
        <f t="shared" si="215"/>
        <v>-3374.3649999999998</v>
      </c>
      <c r="W209" s="472">
        <f t="shared" si="215"/>
        <v>-2668.5860000000002</v>
      </c>
      <c r="X209" s="472">
        <f t="shared" si="215"/>
        <v>-2810.0750000000003</v>
      </c>
      <c r="Y209" s="472">
        <f t="shared" si="215"/>
        <v>-1671.0129999999999</v>
      </c>
      <c r="Z209" s="554"/>
      <c r="AA209" s="472">
        <f t="shared" si="213"/>
        <v>153.22300000000001</v>
      </c>
      <c r="AB209" s="472">
        <f t="shared" si="213"/>
        <v>-60.620999999999981</v>
      </c>
      <c r="AC209" s="472">
        <f t="shared" si="213"/>
        <v>-541.14900000000011</v>
      </c>
      <c r="AD209" s="472">
        <f t="shared" si="213"/>
        <v>-2367.54</v>
      </c>
      <c r="AE209" s="472">
        <f t="shared" si="213"/>
        <v>-226.399</v>
      </c>
      <c r="AG209" s="660"/>
      <c r="AH209" s="660"/>
    </row>
    <row r="210" spans="2:34" ht="13.5" customHeight="1">
      <c r="B210" s="1" t="str">
        <f>B86</f>
        <v>Cash interest paid</v>
      </c>
      <c r="C210" s="673"/>
      <c r="D210" s="214">
        <f t="shared" si="211"/>
        <v>-5943.326</v>
      </c>
      <c r="E210" s="214">
        <f t="shared" si="211"/>
        <v>-8580.9009999999998</v>
      </c>
      <c r="F210" s="214">
        <f t="shared" si="211"/>
        <v>-7356.1369999999997</v>
      </c>
      <c r="G210" s="214">
        <f t="shared" si="211"/>
        <v>-10620.7</v>
      </c>
      <c r="H210" s="214">
        <f t="shared" si="211"/>
        <v>-13750.356</v>
      </c>
      <c r="I210" s="214">
        <f t="shared" si="211"/>
        <v>-17998.161</v>
      </c>
      <c r="J210" s="214">
        <f t="shared" si="211"/>
        <v>-17064.006000000001</v>
      </c>
      <c r="K210" s="214">
        <f t="shared" si="211"/>
        <v>-18523.745999999999</v>
      </c>
      <c r="L210" s="196"/>
      <c r="M210" s="472">
        <f t="shared" ref="M210:Y210" si="216">M86</f>
        <v>-761.755</v>
      </c>
      <c r="N210" s="472">
        <f t="shared" si="216"/>
        <v>-3558.4939999999997</v>
      </c>
      <c r="O210" s="472">
        <f t="shared" si="216"/>
        <v>-1346.0259999999998</v>
      </c>
      <c r="P210" s="472">
        <f t="shared" si="216"/>
        <v>-1689.8620000000001</v>
      </c>
      <c r="Q210" s="472">
        <f t="shared" si="216"/>
        <v>-1410.9069999999999</v>
      </c>
      <c r="R210" s="472">
        <f t="shared" si="216"/>
        <v>-4345.3609999999999</v>
      </c>
      <c r="S210" s="472">
        <f t="shared" si="216"/>
        <v>-2041.5220000000002</v>
      </c>
      <c r="T210" s="472">
        <f t="shared" si="216"/>
        <v>-5952.5659999999989</v>
      </c>
      <c r="U210" s="472">
        <f t="shared" si="216"/>
        <v>-2991.3220000000001</v>
      </c>
      <c r="V210" s="472">
        <f t="shared" si="216"/>
        <v>-5033.0259999999998</v>
      </c>
      <c r="W210" s="472">
        <f t="shared" si="216"/>
        <v>-4744.1000000000004</v>
      </c>
      <c r="X210" s="472">
        <f t="shared" si="216"/>
        <v>-4295.5580000000009</v>
      </c>
      <c r="Y210" s="472">
        <f t="shared" si="216"/>
        <v>-4451.0619999999999</v>
      </c>
      <c r="Z210" s="554"/>
      <c r="AA210" s="472">
        <f t="shared" si="213"/>
        <v>-1948.5170000000001</v>
      </c>
      <c r="AB210" s="472">
        <f t="shared" si="213"/>
        <v>-5825.2460000000001</v>
      </c>
      <c r="AC210" s="472">
        <f t="shared" si="213"/>
        <v>-2620.2239999999993</v>
      </c>
      <c r="AD210" s="472">
        <f t="shared" si="213"/>
        <v>-7604.1740000000009</v>
      </c>
      <c r="AE210" s="472">
        <f t="shared" si="213"/>
        <v>-3914.607</v>
      </c>
      <c r="AG210" s="660"/>
      <c r="AH210" s="660"/>
    </row>
    <row r="211" spans="2:34" s="5" customFormat="1" ht="13.5" customHeight="1" thickBot="1">
      <c r="B211" s="25" t="str">
        <f>B87</f>
        <v xml:space="preserve">Net cash from operations </v>
      </c>
      <c r="C211" s="674"/>
      <c r="D211" s="215">
        <f t="shared" ref="D211:K211" si="217">SUM(D207:D210)</f>
        <v>26719.175999999999</v>
      </c>
      <c r="E211" s="215">
        <f t="shared" si="217"/>
        <v>38576.819999999985</v>
      </c>
      <c r="F211" s="215">
        <f t="shared" si="217"/>
        <v>33533.694999999985</v>
      </c>
      <c r="G211" s="215">
        <f t="shared" si="217"/>
        <v>48415.537000000011</v>
      </c>
      <c r="H211" s="215">
        <f t="shared" si="217"/>
        <v>50224.049000000021</v>
      </c>
      <c r="I211" s="215">
        <f>SUM(I207:I210)</f>
        <v>65739.429999999993</v>
      </c>
      <c r="J211" s="215">
        <f>SUM(J207:J210)</f>
        <v>72539.315000000002</v>
      </c>
      <c r="K211" s="215">
        <f t="shared" si="217"/>
        <v>70211.697</v>
      </c>
      <c r="L211" s="427"/>
      <c r="M211" s="473">
        <f t="shared" ref="M211:Y211" si="218">M87</f>
        <v>2437.9580000000028</v>
      </c>
      <c r="N211" s="473">
        <f t="shared" si="218"/>
        <v>11076.901999999995</v>
      </c>
      <c r="O211" s="473">
        <f t="shared" si="218"/>
        <v>9341.9900000000034</v>
      </c>
      <c r="P211" s="473">
        <f t="shared" si="218"/>
        <v>10676.84499999999</v>
      </c>
      <c r="Q211" s="473">
        <f t="shared" si="218"/>
        <v>2979.8749999999991</v>
      </c>
      <c r="R211" s="473">
        <f t="shared" si="218"/>
        <v>8185.8569999999972</v>
      </c>
      <c r="S211" s="473">
        <f t="shared" si="218"/>
        <v>11650.836999999989</v>
      </c>
      <c r="T211" s="473">
        <f t="shared" si="218"/>
        <v>27407.48000000001</v>
      </c>
      <c r="U211" s="473">
        <f t="shared" si="218"/>
        <v>6333.4210000000021</v>
      </c>
      <c r="V211" s="473">
        <f t="shared" si="218"/>
        <v>11742.82500000001</v>
      </c>
      <c r="W211" s="473">
        <f t="shared" si="218"/>
        <v>16611.148999999998</v>
      </c>
      <c r="X211" s="473">
        <f t="shared" si="218"/>
        <v>37851.919999999998</v>
      </c>
      <c r="Y211" s="473">
        <f t="shared" si="218"/>
        <v>4005.8030000000017</v>
      </c>
      <c r="Z211" s="548"/>
      <c r="AA211" s="473">
        <f t="shared" si="213"/>
        <v>4421.7659999999996</v>
      </c>
      <c r="AB211" s="473">
        <f t="shared" si="213"/>
        <v>11653.126000000004</v>
      </c>
      <c r="AC211" s="473">
        <f t="shared" si="213"/>
        <v>23627.499</v>
      </c>
      <c r="AD211" s="473">
        <f t="shared" si="213"/>
        <v>26037.038999999997</v>
      </c>
      <c r="AE211" s="473">
        <f t="shared" si="213"/>
        <v>8288.2620000000006</v>
      </c>
      <c r="AG211" s="660"/>
      <c r="AH211" s="660"/>
    </row>
    <row r="212" spans="2:34" s="5" customFormat="1" ht="13.5" customHeight="1" thickTop="1">
      <c r="B212" s="1" t="str">
        <f>B88</f>
        <v>Gross Capex</v>
      </c>
      <c r="C212" s="675"/>
      <c r="D212" s="216">
        <f t="shared" ref="D212:K214" si="219">D88</f>
        <v>-14220.448</v>
      </c>
      <c r="E212" s="216">
        <f t="shared" si="219"/>
        <v>-20531.308000000001</v>
      </c>
      <c r="F212" s="216">
        <f t="shared" si="219"/>
        <v>-13878.324999999999</v>
      </c>
      <c r="G212" s="216">
        <f t="shared" si="219"/>
        <v>-20037.355</v>
      </c>
      <c r="H212" s="216">
        <f t="shared" si="219"/>
        <v>-28790.752</v>
      </c>
      <c r="I212" s="216">
        <f t="shared" si="219"/>
        <v>-37644.513999999996</v>
      </c>
      <c r="J212" s="216">
        <f t="shared" si="219"/>
        <v>-43269.967000000004</v>
      </c>
      <c r="K212" s="216">
        <f t="shared" si="219"/>
        <v>-47222.195000000007</v>
      </c>
      <c r="L212" s="196"/>
      <c r="M212" s="474">
        <f t="shared" ref="M212:Y212" si="220">M88</f>
        <v>-2156.6849999999999</v>
      </c>
      <c r="N212" s="474">
        <f t="shared" si="220"/>
        <v>-5126.7839999999997</v>
      </c>
      <c r="O212" s="474">
        <f t="shared" si="220"/>
        <v>-5301.996000000001</v>
      </c>
      <c r="P212" s="474">
        <f t="shared" si="220"/>
        <v>-1292.8599999999983</v>
      </c>
      <c r="Q212" s="474">
        <f t="shared" si="220"/>
        <v>-7038.3320000000003</v>
      </c>
      <c r="R212" s="474">
        <f t="shared" si="220"/>
        <v>-5528.6939999999977</v>
      </c>
      <c r="S212" s="474">
        <f t="shared" si="220"/>
        <v>-4329.5490000000027</v>
      </c>
      <c r="T212" s="474">
        <f t="shared" si="220"/>
        <v>-11894.176999999998</v>
      </c>
      <c r="U212" s="474">
        <f t="shared" si="220"/>
        <v>-5494.0400000000009</v>
      </c>
      <c r="V212" s="474">
        <f t="shared" si="220"/>
        <v>-9305.6980000000003</v>
      </c>
      <c r="W212" s="474">
        <f t="shared" si="220"/>
        <v>-10824.618999999999</v>
      </c>
      <c r="X212" s="474">
        <f t="shared" si="220"/>
        <v>-17645.610000000004</v>
      </c>
      <c r="Y212" s="474">
        <f t="shared" si="220"/>
        <v>-9446.268</v>
      </c>
      <c r="Z212" s="518"/>
      <c r="AA212" s="474">
        <f t="shared" si="213"/>
        <v>-9720.2070000000003</v>
      </c>
      <c r="AB212" s="474">
        <f t="shared" si="213"/>
        <v>-7251.3929999999982</v>
      </c>
      <c r="AC212" s="474">
        <f t="shared" si="213"/>
        <v>-5550.523000000001</v>
      </c>
      <c r="AD212" s="474">
        <f t="shared" si="213"/>
        <v>-15122.390999999996</v>
      </c>
      <c r="AE212" s="474">
        <f t="shared" si="213"/>
        <v>-9443.0559999999987</v>
      </c>
      <c r="AG212" s="660"/>
      <c r="AH212" s="660"/>
    </row>
    <row r="213" spans="2:34" ht="13.5" customHeight="1">
      <c r="B213" s="1" t="str">
        <f>B89</f>
        <v>Net Payment for acquisition  of intangible assets</v>
      </c>
      <c r="C213" s="675"/>
      <c r="D213" s="216">
        <f t="shared" si="219"/>
        <v>-11152.761</v>
      </c>
      <c r="E213" s="216">
        <f t="shared" si="219"/>
        <v>-16102.218999999999</v>
      </c>
      <c r="F213" s="216">
        <f t="shared" si="219"/>
        <v>-15287.058999999999</v>
      </c>
      <c r="G213" s="216">
        <f t="shared" si="219"/>
        <v>-22071.268</v>
      </c>
      <c r="H213" s="216">
        <f t="shared" si="219"/>
        <v>-20230.938999999998</v>
      </c>
      <c r="I213" s="216">
        <f t="shared" si="219"/>
        <v>-26480.746999999999</v>
      </c>
      <c r="J213" s="216">
        <f t="shared" si="219"/>
        <v>-27808.416000000001</v>
      </c>
      <c r="K213" s="216">
        <f t="shared" si="219"/>
        <v>-49890.688000000002</v>
      </c>
      <c r="L213" s="196"/>
      <c r="M213" s="474">
        <f t="shared" ref="M213:Y213" si="221">M89</f>
        <v>-3343.643</v>
      </c>
      <c r="N213" s="474">
        <f t="shared" si="221"/>
        <v>-8589.0750000000007</v>
      </c>
      <c r="O213" s="474">
        <f t="shared" si="221"/>
        <v>-3603.8709999999992</v>
      </c>
      <c r="P213" s="474">
        <f t="shared" si="221"/>
        <v>249.53000000000065</v>
      </c>
      <c r="Q213" s="474">
        <f t="shared" si="221"/>
        <v>-1887.7180000000001</v>
      </c>
      <c r="R213" s="474">
        <f t="shared" si="221"/>
        <v>-5600.2719999999999</v>
      </c>
      <c r="S213" s="474">
        <f t="shared" si="221"/>
        <v>-4639.5850000000009</v>
      </c>
      <c r="T213" s="474">
        <f t="shared" si="221"/>
        <v>-8103.3639999999987</v>
      </c>
      <c r="U213" s="474">
        <f t="shared" si="221"/>
        <v>-5522.4</v>
      </c>
      <c r="V213" s="474">
        <f t="shared" si="221"/>
        <v>-5621.6229999999996</v>
      </c>
      <c r="W213" s="474">
        <f t="shared" si="221"/>
        <v>-6146.7490000000016</v>
      </c>
      <c r="X213" s="474">
        <f t="shared" si="221"/>
        <v>-10517.644000000002</v>
      </c>
      <c r="Y213" s="474">
        <f t="shared" si="221"/>
        <v>-27604.671999999999</v>
      </c>
      <c r="Z213" s="518"/>
      <c r="AA213" s="474">
        <f t="shared" si="213"/>
        <v>-2607.011</v>
      </c>
      <c r="AB213" s="474">
        <f t="shared" si="213"/>
        <v>-7505.4189999999999</v>
      </c>
      <c r="AC213" s="474">
        <f t="shared" si="213"/>
        <v>-6052.9009999999998</v>
      </c>
      <c r="AD213" s="474">
        <f t="shared" si="213"/>
        <v>-10315.415999999999</v>
      </c>
      <c r="AE213" s="474">
        <f t="shared" si="213"/>
        <v>-7226.9139999999998</v>
      </c>
      <c r="AG213" s="660"/>
      <c r="AH213" s="660"/>
    </row>
    <row r="214" spans="2:34" ht="13.5" customHeight="1">
      <c r="B214" s="1" t="str">
        <f>B90</f>
        <v>Deposits interest received</v>
      </c>
      <c r="C214" s="675"/>
      <c r="D214" s="216">
        <f t="shared" si="219"/>
        <v>3986.5909999999999</v>
      </c>
      <c r="E214" s="216">
        <f t="shared" si="219"/>
        <v>5755.7910000000002</v>
      </c>
      <c r="F214" s="216">
        <f t="shared" si="219"/>
        <v>5825.402</v>
      </c>
      <c r="G214" s="216">
        <f t="shared" si="219"/>
        <v>8410.6440000000002</v>
      </c>
      <c r="H214" s="216">
        <f t="shared" si="219"/>
        <v>11755.169</v>
      </c>
      <c r="I214" s="216">
        <f t="shared" si="219"/>
        <v>15386.614</v>
      </c>
      <c r="J214" s="216">
        <f t="shared" si="219"/>
        <v>15526.268</v>
      </c>
      <c r="K214" s="216">
        <f t="shared" si="219"/>
        <v>16428.892</v>
      </c>
      <c r="L214" s="196"/>
      <c r="M214" s="474">
        <f t="shared" ref="M214:Y214" si="222">M90</f>
        <v>1277.9110000000001</v>
      </c>
      <c r="N214" s="474">
        <f t="shared" si="222"/>
        <v>1829.2849999999999</v>
      </c>
      <c r="O214" s="474">
        <f t="shared" si="222"/>
        <v>2021.9499999999998</v>
      </c>
      <c r="P214" s="474">
        <f t="shared" si="222"/>
        <v>696.25600000000031</v>
      </c>
      <c r="Q214" s="474">
        <f t="shared" si="222"/>
        <v>1817.97</v>
      </c>
      <c r="R214" s="474">
        <f t="shared" si="222"/>
        <v>2945.2749999999996</v>
      </c>
      <c r="S214" s="474">
        <f t="shared" si="222"/>
        <v>2776.7200000000003</v>
      </c>
      <c r="T214" s="474">
        <f t="shared" si="222"/>
        <v>4215.2040000000006</v>
      </c>
      <c r="U214" s="474">
        <f t="shared" si="222"/>
        <v>3386.194</v>
      </c>
      <c r="V214" s="474">
        <f t="shared" si="222"/>
        <v>3592.8489999999997</v>
      </c>
      <c r="W214" s="474">
        <f t="shared" si="222"/>
        <v>6323.08</v>
      </c>
      <c r="X214" s="474">
        <f t="shared" si="222"/>
        <v>2224.145</v>
      </c>
      <c r="Y214" s="474">
        <f t="shared" si="222"/>
        <v>4288.8180000000002</v>
      </c>
      <c r="Z214" s="518"/>
      <c r="AA214" s="474">
        <f t="shared" si="213"/>
        <v>2510.6860000000001</v>
      </c>
      <c r="AB214" s="474">
        <f t="shared" si="213"/>
        <v>3922.0120000000002</v>
      </c>
      <c r="AC214" s="474">
        <f t="shared" si="213"/>
        <v>3617.6239999999993</v>
      </c>
      <c r="AD214" s="474">
        <f t="shared" si="213"/>
        <v>5336.2919999999995</v>
      </c>
      <c r="AE214" s="474">
        <f t="shared" si="213"/>
        <v>4431.3580000000002</v>
      </c>
      <c r="AG214" s="660"/>
      <c r="AH214" s="660"/>
    </row>
    <row r="215" spans="2:34" ht="13.5" customHeight="1" thickBot="1">
      <c r="B215" s="64" t="str">
        <f>B92</f>
        <v>Other investing activities</v>
      </c>
      <c r="C215" s="676"/>
      <c r="D215" s="217">
        <f t="shared" ref="D215:K215" si="223">D92</f>
        <v>-10325.449999999999</v>
      </c>
      <c r="E215" s="217">
        <f t="shared" si="223"/>
        <v>-12388.921999999999</v>
      </c>
      <c r="F215" s="217">
        <f t="shared" si="223"/>
        <v>2434.1970000000001</v>
      </c>
      <c r="G215" s="217">
        <f t="shared" si="223"/>
        <v>3514.4630000000034</v>
      </c>
      <c r="H215" s="217">
        <f t="shared" si="223"/>
        <v>166.38500000000386</v>
      </c>
      <c r="I215" s="217">
        <f t="shared" si="223"/>
        <v>177.41200000000026</v>
      </c>
      <c r="J215" s="217">
        <f t="shared" si="223"/>
        <v>-19386.487999999994</v>
      </c>
      <c r="K215" s="217">
        <f t="shared" si="223"/>
        <v>-29161.608999999997</v>
      </c>
      <c r="L215" s="196"/>
      <c r="M215" s="475">
        <f t="shared" ref="M215:Y215" si="224">M92</f>
        <v>-653.69400000000019</v>
      </c>
      <c r="N215" s="475">
        <f t="shared" si="224"/>
        <v>-4535.8489999999993</v>
      </c>
      <c r="O215" s="475">
        <f t="shared" si="224"/>
        <v>-1327.2999999999986</v>
      </c>
      <c r="P215" s="475">
        <f t="shared" si="224"/>
        <v>8951.0399999999972</v>
      </c>
      <c r="Q215" s="475">
        <f t="shared" si="224"/>
        <v>-4647.7970000000005</v>
      </c>
      <c r="R215" s="475">
        <f t="shared" si="224"/>
        <v>-641.96299999999792</v>
      </c>
      <c r="S215" s="475">
        <f t="shared" si="224"/>
        <v>14825.600999999999</v>
      </c>
      <c r="T215" s="475">
        <f t="shared" si="224"/>
        <v>-9369.4559999999965</v>
      </c>
      <c r="U215" s="475">
        <f t="shared" si="224"/>
        <v>289.27799999999979</v>
      </c>
      <c r="V215" s="475">
        <f t="shared" si="224"/>
        <v>-3202.679000000006</v>
      </c>
      <c r="W215" s="475">
        <f t="shared" si="224"/>
        <v>-4607.2579999999944</v>
      </c>
      <c r="X215" s="475">
        <f t="shared" si="224"/>
        <v>-11865.828999999994</v>
      </c>
      <c r="Y215" s="475">
        <f t="shared" si="224"/>
        <v>-9485.8429999999989</v>
      </c>
      <c r="Z215" s="518"/>
      <c r="AA215" s="475">
        <f>AA92</f>
        <v>-6418.7860000000001</v>
      </c>
      <c r="AB215" s="475">
        <f>AB92</f>
        <v>-724.96400000000358</v>
      </c>
      <c r="AC215" s="475">
        <f>AC92</f>
        <v>19854.455000000002</v>
      </c>
      <c r="AD215" s="475">
        <f>AD92</f>
        <v>-12533.292999999998</v>
      </c>
      <c r="AE215" s="475">
        <f>AE92</f>
        <v>2631.8209999999999</v>
      </c>
      <c r="AG215" s="660"/>
      <c r="AH215" s="660"/>
    </row>
    <row r="216" spans="2:34" ht="13.5" customHeight="1" thickTop="1" thickBot="1">
      <c r="B216" s="76" t="s">
        <v>472</v>
      </c>
      <c r="C216" s="677"/>
      <c r="D216" s="218">
        <f t="shared" ref="D216:K216" si="225">SUM(D211:D215)</f>
        <v>-4992.8919999999998</v>
      </c>
      <c r="E216" s="218">
        <f t="shared" si="225"/>
        <v>-4689.8380000000134</v>
      </c>
      <c r="F216" s="218">
        <f t="shared" si="225"/>
        <v>12627.909999999989</v>
      </c>
      <c r="G216" s="218">
        <f t="shared" si="225"/>
        <v>18232.021000000015</v>
      </c>
      <c r="H216" s="218">
        <f t="shared" si="225"/>
        <v>13123.912000000026</v>
      </c>
      <c r="I216" s="218">
        <f t="shared" si="225"/>
        <v>17178.194999999996</v>
      </c>
      <c r="J216" s="218">
        <f t="shared" si="225"/>
        <v>-2399.2879999999968</v>
      </c>
      <c r="K216" s="218">
        <f t="shared" si="225"/>
        <v>-39633.903000000006</v>
      </c>
      <c r="L216" s="202"/>
      <c r="M216" s="476">
        <f t="shared" ref="M216:Y216" si="226">M91</f>
        <v>-1784.4589999999971</v>
      </c>
      <c r="N216" s="476">
        <f t="shared" si="226"/>
        <v>-809.67200000000594</v>
      </c>
      <c r="O216" s="476">
        <f t="shared" si="226"/>
        <v>2458.073000000003</v>
      </c>
      <c r="P216" s="476">
        <f t="shared" si="226"/>
        <v>10329.770999999993</v>
      </c>
      <c r="Q216" s="476">
        <f t="shared" si="226"/>
        <v>-4128.2050000000008</v>
      </c>
      <c r="R216" s="476">
        <f t="shared" si="226"/>
        <v>2.1659999999992579</v>
      </c>
      <c r="S216" s="476">
        <f t="shared" si="226"/>
        <v>5458.4229999999852</v>
      </c>
      <c r="T216" s="476">
        <f t="shared" si="226"/>
        <v>11625.143000000015</v>
      </c>
      <c r="U216" s="476">
        <f t="shared" si="226"/>
        <v>-1296.8249999999985</v>
      </c>
      <c r="V216" s="476">
        <f t="shared" si="226"/>
        <v>408.35300000000962</v>
      </c>
      <c r="W216" s="476">
        <f t="shared" si="226"/>
        <v>5962.8609999999971</v>
      </c>
      <c r="X216" s="476">
        <f t="shared" si="226"/>
        <v>11912.810999999992</v>
      </c>
      <c r="Y216" s="476">
        <f t="shared" si="226"/>
        <v>-28756.318999999996</v>
      </c>
      <c r="Z216" s="466"/>
      <c r="AA216" s="476">
        <f>AA91</f>
        <v>-5394.7660000000014</v>
      </c>
      <c r="AB216" s="476">
        <f>AB91</f>
        <v>818.32600000000593</v>
      </c>
      <c r="AC216" s="476">
        <f>AC91</f>
        <v>15641.698999999999</v>
      </c>
      <c r="AD216" s="476">
        <f>AD91</f>
        <v>5935.5240000000013</v>
      </c>
      <c r="AE216" s="476">
        <f>AE91</f>
        <v>-3950.3499999999985</v>
      </c>
      <c r="AG216" s="660"/>
      <c r="AH216" s="660"/>
    </row>
    <row r="217" spans="2:34" ht="13.5" customHeight="1" thickTop="1">
      <c r="B217" s="1" t="str">
        <f t="shared" ref="B217:B225" si="227">B93</f>
        <v>Equity Issuance/Buyback</v>
      </c>
      <c r="C217" s="673"/>
      <c r="D217" s="214">
        <f t="shared" ref="D217:K221" si="228">D93</f>
        <v>0</v>
      </c>
      <c r="E217" s="214">
        <f t="shared" si="228"/>
        <v>0</v>
      </c>
      <c r="F217" s="214">
        <f t="shared" si="228"/>
        <v>0</v>
      </c>
      <c r="G217" s="214">
        <f t="shared" si="228"/>
        <v>0</v>
      </c>
      <c r="H217" s="214">
        <f t="shared" si="228"/>
        <v>0</v>
      </c>
      <c r="I217" s="214">
        <f t="shared" si="228"/>
        <v>-429.322</v>
      </c>
      <c r="J217" s="214">
        <f t="shared" si="228"/>
        <v>-257.57600000000002</v>
      </c>
      <c r="K217" s="214">
        <f t="shared" si="228"/>
        <v>-257.57600000000002</v>
      </c>
      <c r="L217" s="196"/>
      <c r="M217" s="472">
        <f t="shared" ref="M217:Y217" si="229">M93</f>
        <v>0</v>
      </c>
      <c r="N217" s="472">
        <f t="shared" si="229"/>
        <v>0</v>
      </c>
      <c r="O217" s="472">
        <f t="shared" si="229"/>
        <v>0</v>
      </c>
      <c r="P217" s="472">
        <f t="shared" si="229"/>
        <v>0</v>
      </c>
      <c r="Q217" s="472">
        <f t="shared" si="229"/>
        <v>0</v>
      </c>
      <c r="R217" s="472">
        <f t="shared" si="229"/>
        <v>0</v>
      </c>
      <c r="S217" s="472">
        <f t="shared" si="229"/>
        <v>0</v>
      </c>
      <c r="T217" s="472">
        <f t="shared" si="229"/>
        <v>0</v>
      </c>
      <c r="U217" s="472">
        <f t="shared" si="229"/>
        <v>0</v>
      </c>
      <c r="V217" s="472">
        <f t="shared" si="229"/>
        <v>-53.008000000000003</v>
      </c>
      <c r="W217" s="472">
        <f t="shared" si="229"/>
        <v>-3.9779999999999944</v>
      </c>
      <c r="X217" s="472">
        <f t="shared" si="229"/>
        <v>-200.59</v>
      </c>
      <c r="Y217" s="472">
        <f t="shared" si="229"/>
        <v>0</v>
      </c>
      <c r="Z217" s="554"/>
      <c r="AA217" s="472">
        <f t="shared" ref="AA217:AE225" si="230">AA93</f>
        <v>0</v>
      </c>
      <c r="AB217" s="472">
        <f t="shared" si="230"/>
        <v>0</v>
      </c>
      <c r="AC217" s="472">
        <f t="shared" si="230"/>
        <v>-411.404</v>
      </c>
      <c r="AD217" s="472">
        <f t="shared" si="230"/>
        <v>-17.918000000000006</v>
      </c>
      <c r="AE217" s="472">
        <f t="shared" si="230"/>
        <v>-65.436999999999998</v>
      </c>
      <c r="AG217" s="660"/>
      <c r="AH217" s="660"/>
    </row>
    <row r="218" spans="2:34" s="5" customFormat="1" ht="13.5" customHeight="1">
      <c r="B218" s="1" t="str">
        <f t="shared" si="227"/>
        <v xml:space="preserve">Dividends received  / Dividends Paid </v>
      </c>
      <c r="C218" s="673"/>
      <c r="D218" s="214">
        <f t="shared" si="228"/>
        <v>-2391.5340000000001</v>
      </c>
      <c r="E218" s="214">
        <f t="shared" si="228"/>
        <v>-3452.8670000000002</v>
      </c>
      <c r="F218" s="214">
        <f t="shared" si="228"/>
        <v>-2535.7339999999999</v>
      </c>
      <c r="G218" s="214">
        <f t="shared" si="228"/>
        <v>-3661.0610000000001</v>
      </c>
      <c r="H218" s="214">
        <f t="shared" si="228"/>
        <v>-7642.6170000000002</v>
      </c>
      <c r="I218" s="214">
        <f t="shared" si="228"/>
        <v>-9574.277</v>
      </c>
      <c r="J218" s="214">
        <f t="shared" si="228"/>
        <v>-8985.7489999999998</v>
      </c>
      <c r="K218" s="214">
        <f t="shared" si="228"/>
        <v>-8985.7489999999998</v>
      </c>
      <c r="L218" s="196"/>
      <c r="M218" s="472">
        <f t="shared" ref="M218:Y218" si="231">M94</f>
        <v>0</v>
      </c>
      <c r="N218" s="472">
        <f t="shared" si="231"/>
        <v>-63.308999999999997</v>
      </c>
      <c r="O218" s="472">
        <f t="shared" si="231"/>
        <v>63.308999999999997</v>
      </c>
      <c r="P218" s="472">
        <f t="shared" si="231"/>
        <v>-2535.7339999999999</v>
      </c>
      <c r="Q218" s="472">
        <f t="shared" si="231"/>
        <v>0</v>
      </c>
      <c r="R218" s="472">
        <f t="shared" si="231"/>
        <v>0</v>
      </c>
      <c r="S218" s="472">
        <f t="shared" si="231"/>
        <v>0</v>
      </c>
      <c r="T218" s="472">
        <f t="shared" si="231"/>
        <v>-7642.6170000000002</v>
      </c>
      <c r="U218" s="472">
        <f t="shared" si="231"/>
        <v>0</v>
      </c>
      <c r="V218" s="472">
        <f t="shared" si="231"/>
        <v>-3659.8760000000002</v>
      </c>
      <c r="W218" s="472">
        <f t="shared" si="231"/>
        <v>-632.92199999999957</v>
      </c>
      <c r="X218" s="472">
        <f t="shared" si="231"/>
        <v>-4692.9510000000009</v>
      </c>
      <c r="Y218" s="472">
        <f t="shared" si="231"/>
        <v>0</v>
      </c>
      <c r="Z218" s="554"/>
      <c r="AA218" s="472">
        <f t="shared" si="230"/>
        <v>0</v>
      </c>
      <c r="AB218" s="472">
        <f t="shared" si="230"/>
        <v>0</v>
      </c>
      <c r="AC218" s="472">
        <f t="shared" si="230"/>
        <v>0</v>
      </c>
      <c r="AD218" s="472">
        <f t="shared" si="230"/>
        <v>-9574.277</v>
      </c>
      <c r="AE218" s="472">
        <f t="shared" si="230"/>
        <v>0</v>
      </c>
      <c r="AG218" s="660"/>
      <c r="AH218" s="660"/>
    </row>
    <row r="219" spans="2:34" ht="13.5" customHeight="1">
      <c r="B219" s="1" t="str">
        <f t="shared" si="227"/>
        <v>Acquisition/Repayments of bonds</v>
      </c>
      <c r="C219" s="673"/>
      <c r="D219" s="214">
        <f t="shared" si="228"/>
        <v>907.88400000000047</v>
      </c>
      <c r="E219" s="214">
        <f t="shared" si="228"/>
        <v>1310.7920000000004</v>
      </c>
      <c r="F219" s="214">
        <f t="shared" si="228"/>
        <v>2535.1030000000001</v>
      </c>
      <c r="G219" s="214">
        <f t="shared" si="228"/>
        <v>3660.1509999999998</v>
      </c>
      <c r="H219" s="214">
        <f t="shared" si="228"/>
        <v>-409.50300000000061</v>
      </c>
      <c r="I219" s="214">
        <f t="shared" si="228"/>
        <v>-536.00800000000163</v>
      </c>
      <c r="J219" s="214">
        <f t="shared" si="228"/>
        <v>17204.819000000003</v>
      </c>
      <c r="K219" s="214">
        <f t="shared" si="228"/>
        <v>-19736.059999999998</v>
      </c>
      <c r="L219" s="196"/>
      <c r="M219" s="472">
        <f t="shared" ref="M219:Y219" si="232">M95</f>
        <v>717.08000000000015</v>
      </c>
      <c r="N219" s="472">
        <f t="shared" si="232"/>
        <v>0.45299999999974716</v>
      </c>
      <c r="O219" s="472">
        <f t="shared" si="232"/>
        <v>2970.6830000000009</v>
      </c>
      <c r="P219" s="472">
        <f t="shared" si="232"/>
        <v>-1153.1130000000007</v>
      </c>
      <c r="Q219" s="472">
        <f t="shared" si="232"/>
        <v>1722.3139999999999</v>
      </c>
      <c r="R219" s="472">
        <f t="shared" si="232"/>
        <v>278.48600000000033</v>
      </c>
      <c r="S219" s="472">
        <f t="shared" si="232"/>
        <v>-962.95900000000165</v>
      </c>
      <c r="T219" s="472">
        <f t="shared" si="232"/>
        <v>-1447.3439999999991</v>
      </c>
      <c r="U219" s="472">
        <f t="shared" si="232"/>
        <v>37487.964</v>
      </c>
      <c r="V219" s="472">
        <f t="shared" si="232"/>
        <v>-473.33000000000175</v>
      </c>
      <c r="W219" s="472">
        <f t="shared" si="232"/>
        <v>2063.510000000002</v>
      </c>
      <c r="X219" s="472">
        <f t="shared" si="232"/>
        <v>-21873.324999999997</v>
      </c>
      <c r="Y219" s="472">
        <f t="shared" si="232"/>
        <v>547.08500000000004</v>
      </c>
      <c r="Z219" s="554"/>
      <c r="AA219" s="472">
        <f t="shared" si="230"/>
        <v>2378.5810000000001</v>
      </c>
      <c r="AB219" s="472">
        <f t="shared" si="230"/>
        <v>323.47200000000066</v>
      </c>
      <c r="AC219" s="472">
        <f t="shared" si="230"/>
        <v>-1318.6730000000007</v>
      </c>
      <c r="AD219" s="472">
        <f t="shared" si="230"/>
        <v>-1919.3880000000017</v>
      </c>
      <c r="AE219" s="472">
        <f t="shared" si="230"/>
        <v>49058.794000000002</v>
      </c>
      <c r="AG219" s="660"/>
      <c r="AH219" s="660"/>
    </row>
    <row r="220" spans="2:34" ht="13.5" customHeight="1">
      <c r="B220" s="1" t="str">
        <f t="shared" si="227"/>
        <v>Change in debt /Finance Costs</v>
      </c>
      <c r="C220" s="673"/>
      <c r="D220" s="214">
        <f t="shared" si="228"/>
        <v>4175.2499999999982</v>
      </c>
      <c r="E220" s="214">
        <f t="shared" si="228"/>
        <v>6028.1749999999938</v>
      </c>
      <c r="F220" s="214">
        <f t="shared" si="228"/>
        <v>3777.0330000000013</v>
      </c>
      <c r="G220" s="214">
        <f t="shared" si="228"/>
        <v>5453.233000000002</v>
      </c>
      <c r="H220" s="214">
        <f t="shared" si="228"/>
        <v>-1319.804000000001</v>
      </c>
      <c r="I220" s="214">
        <f t="shared" si="228"/>
        <v>-1727.5220000000045</v>
      </c>
      <c r="J220" s="214">
        <f t="shared" si="228"/>
        <v>-10104.075999999997</v>
      </c>
      <c r="K220" s="214">
        <f t="shared" si="228"/>
        <v>33422.793000000005</v>
      </c>
      <c r="L220" s="196"/>
      <c r="M220" s="472">
        <f t="shared" ref="M220:Y220" si="233">M96</f>
        <v>2232.1669999999999</v>
      </c>
      <c r="N220" s="472">
        <f t="shared" si="233"/>
        <v>4792.7949999999983</v>
      </c>
      <c r="O220" s="472">
        <f t="shared" si="233"/>
        <v>-81.564999999997326</v>
      </c>
      <c r="P220" s="472">
        <f t="shared" si="233"/>
        <v>-3166.3639999999996</v>
      </c>
      <c r="Q220" s="472">
        <f t="shared" si="233"/>
        <v>3368.3610000000008</v>
      </c>
      <c r="R220" s="472">
        <f t="shared" si="233"/>
        <v>-50.921000000002095</v>
      </c>
      <c r="S220" s="472">
        <f t="shared" si="233"/>
        <v>-2755.0939999999996</v>
      </c>
      <c r="T220" s="472">
        <f t="shared" si="233"/>
        <v>-1882.15</v>
      </c>
      <c r="U220" s="472">
        <f t="shared" si="233"/>
        <v>-3533.5759999999996</v>
      </c>
      <c r="V220" s="472">
        <f t="shared" si="233"/>
        <v>8970.514000000001</v>
      </c>
      <c r="W220" s="472">
        <f t="shared" si="233"/>
        <v>657.86499999999796</v>
      </c>
      <c r="X220" s="472">
        <f t="shared" si="233"/>
        <v>-16198.878999999995</v>
      </c>
      <c r="Y220" s="472">
        <f t="shared" si="233"/>
        <v>39993.293000000005</v>
      </c>
      <c r="Z220" s="554"/>
      <c r="AA220" s="472">
        <f t="shared" si="230"/>
        <v>4651.835</v>
      </c>
      <c r="AB220" s="472">
        <f t="shared" si="230"/>
        <v>3041.5170000000026</v>
      </c>
      <c r="AC220" s="472">
        <f t="shared" si="230"/>
        <v>-1266.5380000000023</v>
      </c>
      <c r="AD220" s="472">
        <f t="shared" si="230"/>
        <v>-8154.3360000000048</v>
      </c>
      <c r="AE220" s="472">
        <f t="shared" si="230"/>
        <v>-4624.2310000000016</v>
      </c>
      <c r="AG220" s="660"/>
      <c r="AH220" s="660"/>
    </row>
    <row r="221" spans="2:34" ht="13.5" customHeight="1" thickBot="1">
      <c r="B221" s="1" t="str">
        <f t="shared" si="227"/>
        <v>Other Finance</v>
      </c>
      <c r="C221" s="673"/>
      <c r="D221" s="214">
        <f t="shared" si="228"/>
        <v>696.78099999999995</v>
      </c>
      <c r="E221" s="214">
        <f t="shared" si="228"/>
        <v>1006.0040000000008</v>
      </c>
      <c r="F221" s="214">
        <f t="shared" si="228"/>
        <v>2992.933</v>
      </c>
      <c r="G221" s="214">
        <f t="shared" si="228"/>
        <v>4321.1600000000008</v>
      </c>
      <c r="H221" s="214">
        <f t="shared" si="228"/>
        <v>-412.30099999999948</v>
      </c>
      <c r="I221" s="214">
        <f t="shared" si="228"/>
        <v>-539.67100000000073</v>
      </c>
      <c r="J221" s="214">
        <f t="shared" si="228"/>
        <v>611.60199999999895</v>
      </c>
      <c r="K221" s="214">
        <f t="shared" si="228"/>
        <v>-3780.2590000000009</v>
      </c>
      <c r="L221" s="196"/>
      <c r="M221" s="472">
        <f t="shared" ref="M221:Y221" si="234">M97</f>
        <v>-92.037999999999982</v>
      </c>
      <c r="N221" s="472">
        <f t="shared" si="234"/>
        <v>27.346999999999724</v>
      </c>
      <c r="O221" s="472">
        <f t="shared" si="234"/>
        <v>830.46100000000035</v>
      </c>
      <c r="P221" s="472">
        <f t="shared" si="234"/>
        <v>2227.163</v>
      </c>
      <c r="Q221" s="472">
        <f t="shared" si="234"/>
        <v>-91.102000000000004</v>
      </c>
      <c r="R221" s="472">
        <f t="shared" si="234"/>
        <v>-299.17199999999991</v>
      </c>
      <c r="S221" s="472">
        <f t="shared" si="234"/>
        <v>-169.90099999999981</v>
      </c>
      <c r="T221" s="472">
        <f t="shared" si="234"/>
        <v>147.87400000000025</v>
      </c>
      <c r="U221" s="472">
        <f t="shared" si="234"/>
        <v>-243.43</v>
      </c>
      <c r="V221" s="472">
        <f t="shared" si="234"/>
        <v>-3687.9380000000001</v>
      </c>
      <c r="W221" s="472">
        <f t="shared" si="234"/>
        <v>-3447.9039999999995</v>
      </c>
      <c r="X221" s="472">
        <f t="shared" si="234"/>
        <v>7990.8739999999989</v>
      </c>
      <c r="Y221" s="472">
        <f t="shared" si="234"/>
        <v>-4635.2910000000002</v>
      </c>
      <c r="Z221" s="554"/>
      <c r="AA221" s="472">
        <f t="shared" si="230"/>
        <v>-125.81500000000001</v>
      </c>
      <c r="AB221" s="472">
        <f t="shared" si="230"/>
        <v>-3614.4380000000001</v>
      </c>
      <c r="AC221" s="472">
        <f t="shared" si="230"/>
        <v>-2272.2639999999997</v>
      </c>
      <c r="AD221" s="472">
        <f t="shared" si="230"/>
        <v>5472.8459999999995</v>
      </c>
      <c r="AE221" s="472">
        <f t="shared" si="230"/>
        <v>-253.12899999999999</v>
      </c>
      <c r="AG221" s="660"/>
      <c r="AH221" s="660"/>
    </row>
    <row r="222" spans="2:34" ht="13.5" customHeight="1" thickTop="1" thickBot="1">
      <c r="B222" s="136" t="str">
        <f t="shared" si="227"/>
        <v>Cash flow after financing activities</v>
      </c>
      <c r="C222" s="678"/>
      <c r="D222" s="219">
        <f t="shared" ref="D222:K222" si="235">SUM(D216:D221)</f>
        <v>-1604.5110000000013</v>
      </c>
      <c r="E222" s="219">
        <f t="shared" si="235"/>
        <v>202.26599999998143</v>
      </c>
      <c r="F222" s="219">
        <f t="shared" si="235"/>
        <v>19397.244999999992</v>
      </c>
      <c r="G222" s="219">
        <f t="shared" si="235"/>
        <v>28005.504000000019</v>
      </c>
      <c r="H222" s="219">
        <f t="shared" si="235"/>
        <v>3339.6870000000245</v>
      </c>
      <c r="I222" s="219">
        <f>SUM(I216:I221)</f>
        <v>4371.3949999999895</v>
      </c>
      <c r="J222" s="219">
        <f>SUM(J216:J221)</f>
        <v>-3930.2679999999928</v>
      </c>
      <c r="K222" s="219">
        <f t="shared" si="235"/>
        <v>-38970.753999999994</v>
      </c>
      <c r="L222" s="202"/>
      <c r="M222" s="477">
        <f t="shared" ref="M222:Y222" si="236">M98</f>
        <v>419.05600000000254</v>
      </c>
      <c r="N222" s="477">
        <f t="shared" si="236"/>
        <v>-588.23500000000786</v>
      </c>
      <c r="O222" s="477">
        <f t="shared" si="236"/>
        <v>4913.6610000000082</v>
      </c>
      <c r="P222" s="477">
        <f t="shared" si="236"/>
        <v>14652.76299999999</v>
      </c>
      <c r="Q222" s="477">
        <f t="shared" si="236"/>
        <v>-3776.4289999999992</v>
      </c>
      <c r="R222" s="477">
        <f t="shared" si="236"/>
        <v>-711.40400000000034</v>
      </c>
      <c r="S222" s="477">
        <f t="shared" si="236"/>
        <v>16396.069999999982</v>
      </c>
      <c r="T222" s="477">
        <f t="shared" si="236"/>
        <v>-8568.5499999999811</v>
      </c>
      <c r="U222" s="477">
        <f t="shared" si="236"/>
        <v>32703.411</v>
      </c>
      <c r="V222" s="477">
        <f t="shared" si="236"/>
        <v>-1697.9639999999972</v>
      </c>
      <c r="W222" s="477">
        <f t="shared" si="236"/>
        <v>-7.8259999999963838</v>
      </c>
      <c r="X222" s="477">
        <f t="shared" si="236"/>
        <v>-34927.888999999996</v>
      </c>
      <c r="Y222" s="477">
        <f t="shared" si="236"/>
        <v>-2337.0749999999925</v>
      </c>
      <c r="Z222" s="466"/>
      <c r="AA222" s="477">
        <f t="shared" si="230"/>
        <v>-4908.9510000000009</v>
      </c>
      <c r="AB222" s="477">
        <f t="shared" si="230"/>
        <v>-156.08699999999453</v>
      </c>
      <c r="AC222" s="477">
        <f t="shared" si="230"/>
        <v>30227.274999999998</v>
      </c>
      <c r="AD222" s="477">
        <f t="shared" si="230"/>
        <v>-20790.842000000004</v>
      </c>
      <c r="AE222" s="477">
        <f t="shared" si="230"/>
        <v>42797.468000000001</v>
      </c>
      <c r="AG222" s="660"/>
      <c r="AH222" s="660"/>
    </row>
    <row r="223" spans="2:34" s="5" customFormat="1" ht="13.5" customHeight="1" thickTop="1">
      <c r="B223" s="1" t="str">
        <f t="shared" si="227"/>
        <v xml:space="preserve">FX </v>
      </c>
      <c r="C223" s="675"/>
      <c r="D223" s="216">
        <f t="shared" ref="D223:K224" si="237">D99</f>
        <v>-21614.006000000001</v>
      </c>
      <c r="E223" s="216">
        <f t="shared" si="237"/>
        <v>-31206.037</v>
      </c>
      <c r="F223" s="216">
        <f t="shared" si="237"/>
        <v>-16502.366999999998</v>
      </c>
      <c r="G223" s="216">
        <f t="shared" si="237"/>
        <v>-23825.915000000001</v>
      </c>
      <c r="H223" s="216">
        <f t="shared" si="237"/>
        <v>-25430.407999999999</v>
      </c>
      <c r="I223" s="216">
        <f t="shared" si="237"/>
        <v>-33286.451999999997</v>
      </c>
      <c r="J223" s="216">
        <f t="shared" si="237"/>
        <v>-18245.118999999999</v>
      </c>
      <c r="K223" s="216">
        <f t="shared" si="237"/>
        <v>-19323.938999999998</v>
      </c>
      <c r="L223" s="196"/>
      <c r="M223" s="474">
        <f t="shared" ref="M223:Y223" si="238">M99</f>
        <v>-4806.8440000000001</v>
      </c>
      <c r="N223" s="474">
        <f t="shared" si="238"/>
        <v>-1.1779999999998836</v>
      </c>
      <c r="O223" s="474">
        <f t="shared" si="238"/>
        <v>-13935.57</v>
      </c>
      <c r="P223" s="474">
        <f t="shared" si="238"/>
        <v>2241.2250000000013</v>
      </c>
      <c r="Q223" s="474">
        <f t="shared" si="238"/>
        <v>-7185.6589999999997</v>
      </c>
      <c r="R223" s="474">
        <f t="shared" si="238"/>
        <v>-5812.1790000000001</v>
      </c>
      <c r="S223" s="474">
        <f t="shared" si="238"/>
        <v>-7183.2330000000002</v>
      </c>
      <c r="T223" s="474">
        <f t="shared" si="238"/>
        <v>-5249.3369999999995</v>
      </c>
      <c r="U223" s="474">
        <f t="shared" si="238"/>
        <v>-6352.848</v>
      </c>
      <c r="V223" s="474">
        <f t="shared" si="238"/>
        <v>-6007.3379999999997</v>
      </c>
      <c r="W223" s="474">
        <f t="shared" si="238"/>
        <v>-8787.7960000000003</v>
      </c>
      <c r="X223" s="474">
        <f t="shared" si="238"/>
        <v>2902.8630000000012</v>
      </c>
      <c r="Y223" s="474">
        <f t="shared" si="238"/>
        <v>-7431.6679999999997</v>
      </c>
      <c r="Z223" s="518"/>
      <c r="AA223" s="474">
        <f t="shared" si="230"/>
        <v>-9923.6669999999995</v>
      </c>
      <c r="AB223" s="474">
        <f t="shared" si="230"/>
        <v>-7629.7379999999994</v>
      </c>
      <c r="AC223" s="474">
        <f t="shared" si="230"/>
        <v>-9346.7529999999988</v>
      </c>
      <c r="AD223" s="474">
        <f t="shared" si="230"/>
        <v>-6386.2940000000017</v>
      </c>
      <c r="AE223" s="474">
        <f t="shared" si="230"/>
        <v>-8313.6820000000007</v>
      </c>
      <c r="AG223" s="660"/>
      <c r="AH223" s="660"/>
    </row>
    <row r="224" spans="2:34" s="5" customFormat="1" ht="13.5" customHeight="1">
      <c r="B224" s="1" t="str">
        <f t="shared" si="227"/>
        <v>Balancing figure</v>
      </c>
      <c r="C224" s="675"/>
      <c r="D224" s="216">
        <f t="shared" si="237"/>
        <v>15561.95</v>
      </c>
      <c r="E224" s="216">
        <f t="shared" si="237"/>
        <v>19949.31400000002</v>
      </c>
      <c r="F224" s="216">
        <f t="shared" si="237"/>
        <v>8187.7930000000088</v>
      </c>
      <c r="G224" s="216">
        <f t="shared" si="237"/>
        <v>11821.434999999979</v>
      </c>
      <c r="H224" s="216">
        <f t="shared" si="237"/>
        <v>13033.090999999975</v>
      </c>
      <c r="I224" s="216">
        <f t="shared" si="237"/>
        <v>17059.314000000009</v>
      </c>
      <c r="J224" s="216">
        <f t="shared" si="237"/>
        <v>24080.257999999994</v>
      </c>
      <c r="K224" s="216">
        <f t="shared" si="237"/>
        <v>22205.36099999999</v>
      </c>
      <c r="L224" s="196"/>
      <c r="M224" s="474">
        <f t="shared" ref="M224:Y224" si="239">M100</f>
        <v>1200.3289999999974</v>
      </c>
      <c r="N224" s="474">
        <f t="shared" si="239"/>
        <v>10558.825000000008</v>
      </c>
      <c r="O224" s="474">
        <f t="shared" si="239"/>
        <v>2500.1429999999914</v>
      </c>
      <c r="P224" s="474">
        <f t="shared" si="239"/>
        <v>-6071.5039999999899</v>
      </c>
      <c r="Q224" s="474">
        <f t="shared" si="239"/>
        <v>2607.4329999999991</v>
      </c>
      <c r="R224" s="474">
        <f t="shared" si="239"/>
        <v>2986.7380000000003</v>
      </c>
      <c r="S224" s="474">
        <f t="shared" si="239"/>
        <v>10035.50000000002</v>
      </c>
      <c r="T224" s="474">
        <f t="shared" si="239"/>
        <v>-2596.5800000000218</v>
      </c>
      <c r="U224" s="474">
        <f t="shared" si="239"/>
        <v>6396.4709999999977</v>
      </c>
      <c r="V224" s="474">
        <f t="shared" si="239"/>
        <v>11391.166000000005</v>
      </c>
      <c r="W224" s="474">
        <f t="shared" si="239"/>
        <v>8539.1449999999895</v>
      </c>
      <c r="X224" s="474">
        <f t="shared" si="239"/>
        <v>-2246.5239999999976</v>
      </c>
      <c r="Y224" s="474">
        <f t="shared" si="239"/>
        <v>4521.5739999999923</v>
      </c>
      <c r="Z224" s="518"/>
      <c r="AA224" s="474">
        <f t="shared" si="230"/>
        <v>3294.5200000000009</v>
      </c>
      <c r="AB224" s="474">
        <f t="shared" si="230"/>
        <v>3264.6119999999951</v>
      </c>
      <c r="AC224" s="474">
        <f t="shared" si="230"/>
        <v>4985.0120000000024</v>
      </c>
      <c r="AD224" s="474">
        <f t="shared" si="230"/>
        <v>5515.170000000011</v>
      </c>
      <c r="AE224" s="474">
        <f t="shared" si="230"/>
        <v>8370.7690000000002</v>
      </c>
      <c r="AG224" s="660"/>
      <c r="AH224" s="660"/>
    </row>
    <row r="225" spans="2:34" s="5" customFormat="1" ht="13.5" customHeight="1" thickBot="1">
      <c r="B225" s="76" t="str">
        <f t="shared" si="227"/>
        <v xml:space="preserve">Net change in cash </v>
      </c>
      <c r="C225" s="677"/>
      <c r="D225" s="218">
        <f t="shared" ref="D225:J225" si="240">SUM(D222:D224)</f>
        <v>-7656.5670000000027</v>
      </c>
      <c r="E225" s="218">
        <f t="shared" si="240"/>
        <v>-11054.456999999999</v>
      </c>
      <c r="F225" s="218">
        <f t="shared" si="240"/>
        <v>11082.671000000002</v>
      </c>
      <c r="G225" s="218">
        <f t="shared" si="240"/>
        <v>16001.023999999998</v>
      </c>
      <c r="H225" s="218">
        <f t="shared" si="240"/>
        <v>-9057.630000000001</v>
      </c>
      <c r="I225" s="218">
        <f t="shared" si="240"/>
        <v>-11855.742999999999</v>
      </c>
      <c r="J225" s="218">
        <f t="shared" si="240"/>
        <v>1904.8710000000028</v>
      </c>
      <c r="K225" s="218">
        <f>K101</f>
        <v>-16765.393000000004</v>
      </c>
      <c r="L225" s="202"/>
      <c r="M225" s="476">
        <f t="shared" ref="M225:Y225" si="241">M101</f>
        <v>1619.385</v>
      </c>
      <c r="N225" s="476">
        <f t="shared" si="241"/>
        <v>9970.59</v>
      </c>
      <c r="O225" s="476">
        <f t="shared" si="241"/>
        <v>7413.8040000000001</v>
      </c>
      <c r="P225" s="476">
        <f t="shared" si="241"/>
        <v>8581.259</v>
      </c>
      <c r="Q225" s="476">
        <f t="shared" si="241"/>
        <v>-1168.9960000000001</v>
      </c>
      <c r="R225" s="476">
        <f t="shared" si="241"/>
        <v>2275.3339999999998</v>
      </c>
      <c r="S225" s="476">
        <f t="shared" si="241"/>
        <v>26431.57</v>
      </c>
      <c r="T225" s="476">
        <f t="shared" si="241"/>
        <v>-11165.130000000003</v>
      </c>
      <c r="U225" s="476">
        <f t="shared" si="241"/>
        <v>39099.881999999998</v>
      </c>
      <c r="V225" s="476">
        <f t="shared" si="241"/>
        <v>9693.2020000000084</v>
      </c>
      <c r="W225" s="476">
        <f t="shared" si="241"/>
        <v>8531.3189999999922</v>
      </c>
      <c r="X225" s="476">
        <f t="shared" si="241"/>
        <v>-37174.412999999993</v>
      </c>
      <c r="Y225" s="476">
        <f t="shared" si="241"/>
        <v>2184.4989999999998</v>
      </c>
      <c r="Z225" s="466"/>
      <c r="AA225" s="476">
        <f t="shared" si="230"/>
        <v>-1614.431</v>
      </c>
      <c r="AB225" s="476">
        <f t="shared" si="230"/>
        <v>3108.5250000000005</v>
      </c>
      <c r="AC225" s="476">
        <f t="shared" si="230"/>
        <v>35212.286999999997</v>
      </c>
      <c r="AD225" s="476">
        <f t="shared" si="230"/>
        <v>-48562.123999999996</v>
      </c>
      <c r="AE225" s="476">
        <f t="shared" si="230"/>
        <v>51168.237000000001</v>
      </c>
      <c r="AG225" s="660"/>
      <c r="AH225" s="660"/>
    </row>
    <row r="226" spans="2:34" ht="13.5" customHeight="1" thickTop="1">
      <c r="B226" s="225" t="s">
        <v>544</v>
      </c>
      <c r="C226" s="679"/>
      <c r="D226" s="274">
        <f>D143</f>
        <v>42776.160000000003</v>
      </c>
      <c r="E226" s="679"/>
      <c r="F226" s="274">
        <f t="shared" ref="F226:K226" si="242">F143</f>
        <v>49978.716</v>
      </c>
      <c r="G226" s="274">
        <f t="shared" si="242"/>
        <v>72158.656000000003</v>
      </c>
      <c r="H226" s="274">
        <f t="shared" si="242"/>
        <v>68934.332999999999</v>
      </c>
      <c r="I226" s="274">
        <f t="shared" si="242"/>
        <v>90229.752999999997</v>
      </c>
      <c r="J226" s="274">
        <f t="shared" si="242"/>
        <v>91828.282000000007</v>
      </c>
      <c r="K226" s="274">
        <f t="shared" si="242"/>
        <v>95773.428</v>
      </c>
      <c r="L226" s="274"/>
      <c r="M226" s="660"/>
      <c r="N226" s="660"/>
      <c r="O226" s="660"/>
      <c r="P226" s="274">
        <f t="shared" ref="P226:Y226" si="243">P143</f>
        <v>49978.716</v>
      </c>
      <c r="Q226" s="274">
        <f t="shared" si="243"/>
        <v>48778.705999999998</v>
      </c>
      <c r="R226" s="274">
        <f t="shared" si="243"/>
        <v>50189.445</v>
      </c>
      <c r="S226" s="274">
        <f t="shared" si="243"/>
        <v>81008.661999999997</v>
      </c>
      <c r="T226" s="274">
        <f t="shared" si="243"/>
        <v>68934.332999999999</v>
      </c>
      <c r="U226" s="274">
        <f t="shared" si="243"/>
        <v>108420.52899999999</v>
      </c>
      <c r="V226" s="274">
        <f t="shared" si="243"/>
        <v>116601.09699999999</v>
      </c>
      <c r="W226" s="274">
        <f t="shared" si="243"/>
        <v>122346.742</v>
      </c>
      <c r="X226" s="274">
        <f t="shared" si="243"/>
        <v>91828.282000000007</v>
      </c>
      <c r="Y226" s="274">
        <f t="shared" si="243"/>
        <v>95773.428</v>
      </c>
      <c r="Z226" s="274"/>
      <c r="AA226" s="660"/>
      <c r="AB226" s="660"/>
      <c r="AC226" s="660"/>
      <c r="AD226" s="274">
        <f>AD143</f>
        <v>68934.332999999999</v>
      </c>
      <c r="AE226" s="274">
        <f>AE143</f>
        <v>108420.52899999999</v>
      </c>
      <c r="AG226" s="660"/>
      <c r="AH226" s="660"/>
    </row>
    <row r="227" spans="2:34" ht="13.5" customHeight="1">
      <c r="B227" s="225"/>
      <c r="C227" s="680"/>
      <c r="D227" s="52"/>
      <c r="E227" s="680"/>
      <c r="F227" s="52"/>
      <c r="G227" s="52"/>
      <c r="H227" s="52"/>
      <c r="I227" s="52"/>
      <c r="J227" s="52"/>
      <c r="K227" s="52"/>
      <c r="L227" s="52"/>
      <c r="M227" s="660"/>
      <c r="N227" s="660"/>
      <c r="O227" s="660"/>
      <c r="P227" s="52"/>
      <c r="Q227" s="52"/>
      <c r="R227" s="52"/>
      <c r="S227" s="52"/>
      <c r="T227" s="52"/>
      <c r="U227" s="52"/>
      <c r="V227" s="52"/>
      <c r="W227" s="52"/>
      <c r="X227" s="52"/>
      <c r="Y227" s="52"/>
      <c r="Z227" s="52"/>
      <c r="AB227" s="470"/>
      <c r="AC227" s="470"/>
      <c r="AD227" s="52"/>
      <c r="AE227" s="52"/>
      <c r="AG227" s="660"/>
      <c r="AH227" s="660"/>
    </row>
    <row r="228" spans="2:34" ht="13.5" customHeight="1">
      <c r="B228" s="225" t="s">
        <v>545</v>
      </c>
      <c r="C228" s="679"/>
      <c r="D228" s="274">
        <f>+D161</f>
        <v>40927.032000000007</v>
      </c>
      <c r="E228" s="679"/>
      <c r="F228" s="274">
        <f t="shared" ref="F228:K228" si="244">+F161</f>
        <v>31677.904999999984</v>
      </c>
      <c r="G228" s="274">
        <f t="shared" si="244"/>
        <v>45736.170999999988</v>
      </c>
      <c r="H228" s="274">
        <f t="shared" si="244"/>
        <v>30583.402000000002</v>
      </c>
      <c r="I228" s="274">
        <f t="shared" si="244"/>
        <v>40031.328000000009</v>
      </c>
      <c r="J228" s="274">
        <f t="shared" si="244"/>
        <v>51336.527000000002</v>
      </c>
      <c r="K228" s="274">
        <f t="shared" si="244"/>
        <v>94343.854999999996</v>
      </c>
      <c r="L228" s="274"/>
      <c r="M228" s="660"/>
      <c r="N228" s="660"/>
      <c r="O228" s="660"/>
      <c r="P228" s="274">
        <f t="shared" ref="P228:Y228" si="245">+P161</f>
        <v>31677.904999999984</v>
      </c>
      <c r="Q228" s="274">
        <f t="shared" si="245"/>
        <v>46073.733000000015</v>
      </c>
      <c r="R228" s="274">
        <f t="shared" si="245"/>
        <v>45949.911999999989</v>
      </c>
      <c r="S228" s="274">
        <f t="shared" si="245"/>
        <v>21825.74500000001</v>
      </c>
      <c r="T228" s="274">
        <f t="shared" si="245"/>
        <v>30583.402000000002</v>
      </c>
      <c r="U228" s="274">
        <f t="shared" si="245"/>
        <v>35879.569000000003</v>
      </c>
      <c r="V228" s="274">
        <f t="shared" si="245"/>
        <v>41936.810000000012</v>
      </c>
      <c r="W228" s="274">
        <f t="shared" si="245"/>
        <v>43750.036999999982</v>
      </c>
      <c r="X228" s="274">
        <f t="shared" si="245"/>
        <v>51336.527000000002</v>
      </c>
      <c r="Y228" s="274">
        <f t="shared" si="245"/>
        <v>94343.854999999996</v>
      </c>
      <c r="Z228" s="274"/>
      <c r="AA228" s="660"/>
      <c r="AB228" s="660"/>
      <c r="AC228" s="660"/>
      <c r="AD228" s="274">
        <f>+AD161</f>
        <v>30583.402000000002</v>
      </c>
      <c r="AE228" s="274">
        <f>+AE161</f>
        <v>35879.569000000003</v>
      </c>
      <c r="AG228" s="660"/>
      <c r="AH228" s="660"/>
    </row>
    <row r="229" spans="2:34" ht="13.5" customHeight="1">
      <c r="B229" s="225" t="s">
        <v>546</v>
      </c>
      <c r="C229" s="679"/>
      <c r="D229" s="274">
        <f>D149</f>
        <v>83703.19200000001</v>
      </c>
      <c r="E229" s="679"/>
      <c r="F229" s="274">
        <f t="shared" ref="F229:K229" si="246">F149</f>
        <v>81656.620999999985</v>
      </c>
      <c r="G229" s="274">
        <f t="shared" si="246"/>
        <v>117894.82699999999</v>
      </c>
      <c r="H229" s="274">
        <f t="shared" si="246"/>
        <v>99517.735000000001</v>
      </c>
      <c r="I229" s="274">
        <f t="shared" si="246"/>
        <v>130261.08100000001</v>
      </c>
      <c r="J229" s="274">
        <f t="shared" si="246"/>
        <v>143164.80900000001</v>
      </c>
      <c r="K229" s="274">
        <f t="shared" si="246"/>
        <v>190117.283</v>
      </c>
      <c r="L229" s="274"/>
      <c r="M229" s="660"/>
      <c r="N229" s="660"/>
      <c r="O229" s="660"/>
      <c r="P229" s="274">
        <f t="shared" ref="P229:Y229" si="247">P149</f>
        <v>81656.620999999985</v>
      </c>
      <c r="Q229" s="274">
        <f t="shared" si="247"/>
        <v>94852.439000000013</v>
      </c>
      <c r="R229" s="274">
        <f t="shared" si="247"/>
        <v>96139.356999999989</v>
      </c>
      <c r="S229" s="274">
        <f t="shared" si="247"/>
        <v>102834.40700000001</v>
      </c>
      <c r="T229" s="274">
        <f t="shared" si="247"/>
        <v>99517.735000000001</v>
      </c>
      <c r="U229" s="274">
        <f t="shared" si="247"/>
        <v>144300.098</v>
      </c>
      <c r="V229" s="274">
        <f t="shared" si="247"/>
        <v>158537.90700000001</v>
      </c>
      <c r="W229" s="274">
        <f t="shared" si="247"/>
        <v>166096.77899999998</v>
      </c>
      <c r="X229" s="274">
        <f t="shared" si="247"/>
        <v>143164.80900000001</v>
      </c>
      <c r="Y229" s="274">
        <f t="shared" si="247"/>
        <v>190117.283</v>
      </c>
      <c r="Z229" s="274"/>
      <c r="AA229" s="660"/>
      <c r="AB229" s="660"/>
      <c r="AC229" s="660"/>
      <c r="AD229" s="274">
        <f>AD149</f>
        <v>99517.735000000001</v>
      </c>
      <c r="AE229" s="274">
        <f>AE149</f>
        <v>144300.098</v>
      </c>
      <c r="AG229" s="660"/>
      <c r="AH229" s="660"/>
    </row>
    <row r="230" spans="2:34" ht="13.5" customHeight="1">
      <c r="B230" s="224"/>
      <c r="C230" s="680"/>
      <c r="D230" s="52"/>
      <c r="E230" s="680"/>
      <c r="F230" s="52"/>
      <c r="G230" s="52"/>
      <c r="H230" s="52"/>
      <c r="I230" s="52"/>
      <c r="J230" s="52"/>
      <c r="K230" s="52"/>
      <c r="L230" s="52"/>
      <c r="M230" s="660"/>
      <c r="N230" s="660"/>
      <c r="O230" s="660"/>
      <c r="P230" s="74"/>
      <c r="Q230" s="74"/>
      <c r="R230" s="74"/>
      <c r="S230" s="74"/>
      <c r="T230" s="74"/>
      <c r="U230" s="74"/>
      <c r="V230" s="74"/>
      <c r="W230" s="74"/>
      <c r="X230" s="74"/>
      <c r="Y230" s="74"/>
      <c r="Z230" s="74"/>
      <c r="AB230" s="470"/>
      <c r="AC230" s="470"/>
      <c r="AD230" s="74"/>
      <c r="AE230" s="74"/>
      <c r="AG230" s="660"/>
      <c r="AH230" s="660"/>
    </row>
    <row r="231" spans="2:34" ht="13.5" customHeight="1">
      <c r="B231" s="224" t="s">
        <v>515</v>
      </c>
      <c r="C231" s="679"/>
      <c r="D231" s="274">
        <f>D153</f>
        <v>40927.032000000007</v>
      </c>
      <c r="E231" s="679"/>
      <c r="F231" s="274">
        <f t="shared" ref="F231:K232" si="248">F153</f>
        <v>31677.904999999984</v>
      </c>
      <c r="G231" s="274">
        <f t="shared" si="248"/>
        <v>45736.170999999988</v>
      </c>
      <c r="H231" s="274">
        <f t="shared" si="248"/>
        <v>30583.402000000002</v>
      </c>
      <c r="I231" s="274">
        <f t="shared" si="248"/>
        <v>40031.328000000009</v>
      </c>
      <c r="J231" s="274">
        <f t="shared" si="248"/>
        <v>51336.527000000002</v>
      </c>
      <c r="K231" s="274">
        <f t="shared" si="248"/>
        <v>94343.854999999996</v>
      </c>
      <c r="L231" s="274"/>
      <c r="M231" s="660"/>
      <c r="N231" s="660"/>
      <c r="O231" s="660"/>
      <c r="P231" s="274">
        <f t="shared" ref="P231:Y231" si="249">P153</f>
        <v>31677.904999999984</v>
      </c>
      <c r="Q231" s="274">
        <f t="shared" si="249"/>
        <v>46073.733000000015</v>
      </c>
      <c r="R231" s="274">
        <f t="shared" si="249"/>
        <v>45949.911999999989</v>
      </c>
      <c r="S231" s="274">
        <f t="shared" si="249"/>
        <v>21825.74500000001</v>
      </c>
      <c r="T231" s="274">
        <f t="shared" si="249"/>
        <v>30583.402000000002</v>
      </c>
      <c r="U231" s="274">
        <f t="shared" si="249"/>
        <v>35879.569000000003</v>
      </c>
      <c r="V231" s="274">
        <f t="shared" si="249"/>
        <v>41936.810000000012</v>
      </c>
      <c r="W231" s="274">
        <f t="shared" si="249"/>
        <v>43750.036999999982</v>
      </c>
      <c r="X231" s="274">
        <f t="shared" si="249"/>
        <v>51336.527000000002</v>
      </c>
      <c r="Y231" s="274">
        <f t="shared" si="249"/>
        <v>94343.854999999996</v>
      </c>
      <c r="Z231" s="274"/>
      <c r="AA231" s="660"/>
      <c r="AB231" s="660"/>
      <c r="AC231" s="660"/>
      <c r="AD231" s="274">
        <f>AD153</f>
        <v>30583.402000000002</v>
      </c>
      <c r="AE231" s="274">
        <f>AE153</f>
        <v>35879.569000000003</v>
      </c>
      <c r="AG231" s="660"/>
      <c r="AH231" s="660"/>
    </row>
    <row r="232" spans="2:34" ht="13.5" customHeight="1">
      <c r="B232" s="224" t="s">
        <v>516</v>
      </c>
      <c r="C232" s="679"/>
      <c r="D232" s="274">
        <f>D154</f>
        <v>83703.19200000001</v>
      </c>
      <c r="E232" s="679"/>
      <c r="F232" s="274">
        <f t="shared" si="248"/>
        <v>81656.620999999985</v>
      </c>
      <c r="G232" s="274">
        <f t="shared" si="248"/>
        <v>117894.82699999999</v>
      </c>
      <c r="H232" s="274">
        <f t="shared" si="248"/>
        <v>99517.735000000001</v>
      </c>
      <c r="I232" s="274">
        <f t="shared" si="248"/>
        <v>130261.08100000001</v>
      </c>
      <c r="J232" s="274">
        <f t="shared" si="248"/>
        <v>143164.80900000001</v>
      </c>
      <c r="K232" s="274">
        <f t="shared" si="248"/>
        <v>190117.283</v>
      </c>
      <c r="L232" s="274"/>
      <c r="M232" s="660"/>
      <c r="N232" s="660"/>
      <c r="O232" s="660"/>
      <c r="P232" s="274">
        <f t="shared" ref="P232:Y232" si="250">P154</f>
        <v>81656.620999999985</v>
      </c>
      <c r="Q232" s="274">
        <f t="shared" si="250"/>
        <v>94852.439000000013</v>
      </c>
      <c r="R232" s="274">
        <f t="shared" si="250"/>
        <v>96139.356999999989</v>
      </c>
      <c r="S232" s="274">
        <f t="shared" si="250"/>
        <v>102834.40700000001</v>
      </c>
      <c r="T232" s="274">
        <f t="shared" si="250"/>
        <v>99517.735000000001</v>
      </c>
      <c r="U232" s="274">
        <f t="shared" si="250"/>
        <v>144300.098</v>
      </c>
      <c r="V232" s="274">
        <f t="shared" si="250"/>
        <v>158537.90700000001</v>
      </c>
      <c r="W232" s="274">
        <f t="shared" si="250"/>
        <v>166096.77899999998</v>
      </c>
      <c r="X232" s="274">
        <f t="shared" si="250"/>
        <v>143164.80900000001</v>
      </c>
      <c r="Y232" s="274">
        <f t="shared" si="250"/>
        <v>190117.283</v>
      </c>
      <c r="Z232" s="274"/>
      <c r="AA232" s="660"/>
      <c r="AB232" s="660"/>
      <c r="AC232" s="660"/>
      <c r="AD232" s="274">
        <f>AD154</f>
        <v>99517.735000000001</v>
      </c>
      <c r="AE232" s="274">
        <f>AE154</f>
        <v>144300.098</v>
      </c>
      <c r="AG232" s="660"/>
      <c r="AH232" s="660"/>
    </row>
    <row r="233" spans="2:34" ht="13.5" customHeight="1">
      <c r="C233" s="680"/>
      <c r="D233" s="52"/>
      <c r="E233" s="680"/>
      <c r="F233" s="52"/>
      <c r="G233" s="52"/>
      <c r="H233" s="52"/>
      <c r="I233" s="52"/>
      <c r="J233" s="52"/>
      <c r="K233" s="52"/>
      <c r="L233" s="52"/>
      <c r="M233" s="660"/>
      <c r="N233" s="660"/>
      <c r="O233" s="660"/>
      <c r="P233" s="52"/>
      <c r="Q233" s="52"/>
      <c r="R233" s="52"/>
      <c r="S233" s="52"/>
      <c r="T233" s="52"/>
      <c r="U233" s="52"/>
      <c r="V233" s="52"/>
      <c r="W233" s="52"/>
      <c r="X233" s="52"/>
      <c r="Y233" s="52"/>
      <c r="Z233" s="52"/>
      <c r="AB233" s="470"/>
      <c r="AC233" s="470"/>
      <c r="AD233" s="52"/>
      <c r="AE233" s="52"/>
      <c r="AG233" s="660"/>
      <c r="AH233" s="660"/>
    </row>
    <row r="234" spans="2:34" ht="13.5" customHeight="1">
      <c r="B234" s="5" t="s">
        <v>517</v>
      </c>
      <c r="C234" s="679"/>
      <c r="D234" s="274">
        <f>D156</f>
        <v>45961.225000000006</v>
      </c>
      <c r="E234" s="679"/>
      <c r="F234" s="274">
        <f t="shared" ref="F234:K235" si="251">F156</f>
        <v>34105.492999999988</v>
      </c>
      <c r="G234" s="274">
        <f t="shared" si="251"/>
        <v>49241.092000000004</v>
      </c>
      <c r="H234" s="274">
        <f t="shared" si="251"/>
        <v>35405.926000000007</v>
      </c>
      <c r="I234" s="274">
        <f t="shared" si="251"/>
        <v>46343.642000000022</v>
      </c>
      <c r="J234" s="274">
        <f t="shared" si="251"/>
        <v>66820.844000000012</v>
      </c>
      <c r="K234" s="274">
        <f t="shared" si="251"/>
        <v>110573.42699999998</v>
      </c>
      <c r="L234" s="274"/>
      <c r="M234" s="660"/>
      <c r="N234" s="660"/>
      <c r="O234" s="660"/>
      <c r="P234" s="274">
        <f t="shared" ref="P234:Y234" si="252">P156</f>
        <v>34105.492999999988</v>
      </c>
      <c r="Q234" s="274">
        <f t="shared" si="252"/>
        <v>49270.823000000011</v>
      </c>
      <c r="R234" s="274">
        <f t="shared" si="252"/>
        <v>49001.286999999989</v>
      </c>
      <c r="S234" s="274">
        <f t="shared" si="252"/>
        <v>25719.763000000006</v>
      </c>
      <c r="T234" s="274">
        <f t="shared" si="252"/>
        <v>35405.926000000007</v>
      </c>
      <c r="U234" s="274">
        <f t="shared" si="252"/>
        <v>42290.979000000007</v>
      </c>
      <c r="V234" s="274">
        <f t="shared" si="252"/>
        <v>56256.982000000004</v>
      </c>
      <c r="W234" s="274">
        <f t="shared" si="252"/>
        <v>58934.102999999974</v>
      </c>
      <c r="X234" s="274">
        <f t="shared" si="252"/>
        <v>66820.844000000012</v>
      </c>
      <c r="Y234" s="274">
        <f t="shared" si="252"/>
        <v>110573.42699999998</v>
      </c>
      <c r="Z234" s="274"/>
      <c r="AA234" s="660"/>
      <c r="AB234" s="660"/>
      <c r="AC234" s="660"/>
      <c r="AD234" s="274">
        <f>AD156</f>
        <v>35405.926000000007</v>
      </c>
      <c r="AE234" s="274">
        <f>AE156</f>
        <v>42290.979000000007</v>
      </c>
      <c r="AG234" s="660"/>
      <c r="AH234" s="660"/>
    </row>
    <row r="235" spans="2:34" ht="13.5" customHeight="1">
      <c r="B235" s="5" t="s">
        <v>518</v>
      </c>
      <c r="C235" s="679"/>
      <c r="D235" s="274">
        <f>D157</f>
        <v>88737.385000000009</v>
      </c>
      <c r="E235" s="679"/>
      <c r="F235" s="274">
        <f t="shared" si="251"/>
        <v>84084.208999999988</v>
      </c>
      <c r="G235" s="274">
        <f t="shared" si="251"/>
        <v>121399.74800000001</v>
      </c>
      <c r="H235" s="274">
        <f t="shared" si="251"/>
        <v>104340.25900000001</v>
      </c>
      <c r="I235" s="274">
        <f t="shared" si="251"/>
        <v>136573.39500000002</v>
      </c>
      <c r="J235" s="274">
        <f t="shared" si="251"/>
        <v>158649.12600000002</v>
      </c>
      <c r="K235" s="274">
        <f t="shared" si="251"/>
        <v>206346.85499999998</v>
      </c>
      <c r="L235" s="274"/>
      <c r="M235" s="660"/>
      <c r="N235" s="660"/>
      <c r="O235" s="660"/>
      <c r="P235" s="274">
        <f t="shared" ref="P235:Y235" si="253">P157</f>
        <v>84084.208999999988</v>
      </c>
      <c r="Q235" s="274">
        <f t="shared" si="253"/>
        <v>98049.52900000001</v>
      </c>
      <c r="R235" s="274">
        <f t="shared" si="253"/>
        <v>99190.731999999989</v>
      </c>
      <c r="S235" s="274">
        <f t="shared" si="253"/>
        <v>106728.425</v>
      </c>
      <c r="T235" s="274">
        <f t="shared" si="253"/>
        <v>104340.25900000001</v>
      </c>
      <c r="U235" s="274">
        <f t="shared" si="253"/>
        <v>150711.508</v>
      </c>
      <c r="V235" s="274">
        <f t="shared" si="253"/>
        <v>172858.079</v>
      </c>
      <c r="W235" s="274">
        <f t="shared" si="253"/>
        <v>181280.84499999997</v>
      </c>
      <c r="X235" s="274">
        <f t="shared" si="253"/>
        <v>158649.12600000002</v>
      </c>
      <c r="Y235" s="274">
        <f t="shared" si="253"/>
        <v>206346.85499999998</v>
      </c>
      <c r="Z235" s="274"/>
      <c r="AA235" s="660"/>
      <c r="AB235" s="660"/>
      <c r="AC235" s="660"/>
      <c r="AD235" s="274">
        <f>AD157</f>
        <v>104340.25900000001</v>
      </c>
      <c r="AE235" s="274">
        <f>AE157</f>
        <v>150711.508</v>
      </c>
      <c r="AG235" s="660"/>
      <c r="AH235" s="660"/>
    </row>
    <row r="236" spans="2:34" ht="13.5" customHeight="1">
      <c r="B236" s="224"/>
      <c r="C236" s="680"/>
      <c r="D236" s="52"/>
      <c r="E236" s="680"/>
      <c r="F236" s="52"/>
      <c r="G236" s="52"/>
      <c r="H236" s="52"/>
      <c r="I236" s="52"/>
      <c r="J236" s="52"/>
      <c r="K236" s="52"/>
      <c r="L236" s="52"/>
      <c r="M236" s="660"/>
      <c r="N236" s="660"/>
      <c r="O236" s="660"/>
      <c r="P236" s="52"/>
      <c r="Q236" s="52"/>
      <c r="R236" s="52"/>
      <c r="S236" s="52"/>
      <c r="T236" s="52"/>
      <c r="U236" s="52"/>
      <c r="V236" s="52"/>
      <c r="W236" s="52"/>
      <c r="X236" s="52"/>
      <c r="Y236" s="52"/>
      <c r="Z236" s="52"/>
      <c r="AB236" s="470"/>
      <c r="AC236" s="470"/>
      <c r="AD236" s="52"/>
      <c r="AE236" s="52"/>
      <c r="AG236" s="660"/>
      <c r="AH236" s="660"/>
    </row>
    <row r="237" spans="2:34" ht="13.5" customHeight="1">
      <c r="B237" s="5" t="s">
        <v>520</v>
      </c>
      <c r="C237" s="679"/>
      <c r="D237" s="274">
        <f>D161</f>
        <v>40927.032000000007</v>
      </c>
      <c r="E237" s="679"/>
      <c r="F237" s="274">
        <f t="shared" ref="F237:K238" si="254">F161</f>
        <v>31677.904999999984</v>
      </c>
      <c r="G237" s="274">
        <f t="shared" si="254"/>
        <v>45736.170999999988</v>
      </c>
      <c r="H237" s="274">
        <f t="shared" si="254"/>
        <v>30583.402000000002</v>
      </c>
      <c r="I237" s="274">
        <f t="shared" si="254"/>
        <v>40031.328000000009</v>
      </c>
      <c r="J237" s="274">
        <f t="shared" si="254"/>
        <v>51336.527000000002</v>
      </c>
      <c r="K237" s="274">
        <f t="shared" si="254"/>
        <v>94343.854999999996</v>
      </c>
      <c r="L237" s="274"/>
      <c r="M237" s="660"/>
      <c r="N237" s="660"/>
      <c r="O237" s="660"/>
      <c r="P237" s="274">
        <f t="shared" ref="P237:Y237" si="255">P161</f>
        <v>31677.904999999984</v>
      </c>
      <c r="Q237" s="274">
        <f t="shared" si="255"/>
        <v>46073.733000000015</v>
      </c>
      <c r="R237" s="274">
        <f t="shared" si="255"/>
        <v>45949.911999999989</v>
      </c>
      <c r="S237" s="274">
        <f t="shared" si="255"/>
        <v>21825.74500000001</v>
      </c>
      <c r="T237" s="274">
        <f t="shared" si="255"/>
        <v>30583.402000000002</v>
      </c>
      <c r="U237" s="274">
        <f t="shared" si="255"/>
        <v>35879.569000000003</v>
      </c>
      <c r="V237" s="274">
        <f t="shared" si="255"/>
        <v>41936.810000000012</v>
      </c>
      <c r="W237" s="274">
        <f t="shared" si="255"/>
        <v>43750.036999999982</v>
      </c>
      <c r="X237" s="274">
        <f t="shared" si="255"/>
        <v>51336.527000000002</v>
      </c>
      <c r="Y237" s="274">
        <f t="shared" si="255"/>
        <v>94343.854999999996</v>
      </c>
      <c r="Z237" s="274"/>
      <c r="AA237" s="660"/>
      <c r="AB237" s="660"/>
      <c r="AC237" s="660"/>
      <c r="AD237" s="274">
        <f>AD161</f>
        <v>30583.402000000002</v>
      </c>
      <c r="AE237" s="274">
        <f>AE161</f>
        <v>35879.569000000003</v>
      </c>
      <c r="AG237" s="660"/>
      <c r="AH237" s="660"/>
    </row>
    <row r="238" spans="2:34" ht="13.5" customHeight="1">
      <c r="B238" s="5" t="s">
        <v>521</v>
      </c>
      <c r="C238" s="679"/>
      <c r="D238" s="274">
        <f>D162</f>
        <v>83703.19200000001</v>
      </c>
      <c r="E238" s="679"/>
      <c r="F238" s="274">
        <f t="shared" si="254"/>
        <v>81656.620999999985</v>
      </c>
      <c r="G238" s="274">
        <f t="shared" si="254"/>
        <v>117894.82699999999</v>
      </c>
      <c r="H238" s="274">
        <f t="shared" si="254"/>
        <v>99517.735000000001</v>
      </c>
      <c r="I238" s="274">
        <f t="shared" si="254"/>
        <v>130261.08100000001</v>
      </c>
      <c r="J238" s="274">
        <f t="shared" si="254"/>
        <v>143164.80900000001</v>
      </c>
      <c r="K238" s="274">
        <f t="shared" si="254"/>
        <v>190117.283</v>
      </c>
      <c r="L238" s="274"/>
      <c r="M238" s="660"/>
      <c r="N238" s="660"/>
      <c r="O238" s="660"/>
      <c r="P238" s="274">
        <f t="shared" ref="P238:Y238" si="256">P162</f>
        <v>81656.620999999985</v>
      </c>
      <c r="Q238" s="274">
        <f t="shared" si="256"/>
        <v>94852.439000000013</v>
      </c>
      <c r="R238" s="274">
        <f t="shared" si="256"/>
        <v>96139.356999999989</v>
      </c>
      <c r="S238" s="274">
        <f t="shared" si="256"/>
        <v>102834.40700000001</v>
      </c>
      <c r="T238" s="274">
        <f t="shared" si="256"/>
        <v>99517.735000000001</v>
      </c>
      <c r="U238" s="274">
        <f t="shared" si="256"/>
        <v>144300.098</v>
      </c>
      <c r="V238" s="274">
        <f t="shared" si="256"/>
        <v>158537.90700000001</v>
      </c>
      <c r="W238" s="274">
        <f t="shared" si="256"/>
        <v>166096.77899999998</v>
      </c>
      <c r="X238" s="274">
        <f t="shared" si="256"/>
        <v>143164.80900000001</v>
      </c>
      <c r="Y238" s="274">
        <f t="shared" si="256"/>
        <v>190117.283</v>
      </c>
      <c r="Z238" s="274"/>
      <c r="AA238" s="660"/>
      <c r="AB238" s="660"/>
      <c r="AC238" s="660"/>
      <c r="AD238" s="274">
        <f>AD162</f>
        <v>99517.735000000001</v>
      </c>
      <c r="AE238" s="274">
        <f>AE162</f>
        <v>144300.098</v>
      </c>
      <c r="AG238" s="660"/>
      <c r="AH238" s="660"/>
    </row>
    <row r="239" spans="2:34" ht="13.5" customHeight="1">
      <c r="B239" s="224"/>
      <c r="C239" s="52"/>
      <c r="D239" s="52"/>
      <c r="E239" s="52"/>
      <c r="F239" s="52"/>
      <c r="G239" s="52"/>
      <c r="H239" s="52"/>
      <c r="I239" s="52"/>
      <c r="J239" s="52"/>
      <c r="K239" s="52"/>
      <c r="L239" s="52"/>
      <c r="P239" s="52"/>
      <c r="Q239" s="52"/>
      <c r="R239" s="52"/>
      <c r="S239" s="52"/>
      <c r="T239" s="52"/>
      <c r="U239" s="52"/>
      <c r="V239" s="52"/>
      <c r="W239" s="52"/>
      <c r="X239" s="52"/>
      <c r="Y239" s="52"/>
      <c r="Z239" s="52"/>
      <c r="AB239" s="470"/>
      <c r="AC239" s="470"/>
      <c r="AD239" s="52"/>
      <c r="AE239" s="52"/>
    </row>
    <row r="240" spans="2:34" ht="13.5" customHeight="1">
      <c r="B240" s="224" t="s">
        <v>23</v>
      </c>
      <c r="C240" s="679"/>
      <c r="D240" s="274">
        <f>D110</f>
        <v>36607.731</v>
      </c>
      <c r="E240" s="679"/>
      <c r="F240" s="274">
        <f t="shared" ref="F240:K241" si="257">F110</f>
        <v>43877.113999999987</v>
      </c>
      <c r="G240" s="274">
        <f t="shared" si="257"/>
        <v>63349.237000000023</v>
      </c>
      <c r="H240" s="274">
        <f t="shared" si="257"/>
        <v>69802.010000000024</v>
      </c>
      <c r="I240" s="274">
        <f t="shared" si="257"/>
        <v>91365.479000000007</v>
      </c>
      <c r="J240" s="274">
        <f t="shared" si="257"/>
        <v>104016.97500000001</v>
      </c>
      <c r="K240" s="274">
        <f t="shared" si="257"/>
        <v>111357.68999999999</v>
      </c>
      <c r="L240" s="274"/>
      <c r="M240" s="660"/>
      <c r="N240" s="660"/>
      <c r="O240" s="660"/>
      <c r="P240" s="274">
        <f t="shared" ref="P240:Y240" si="258">P110</f>
        <v>43877.113999999987</v>
      </c>
      <c r="Q240" s="274">
        <f t="shared" si="258"/>
        <v>46277.477999999981</v>
      </c>
      <c r="R240" s="274">
        <f t="shared" si="258"/>
        <v>43919.162999999993</v>
      </c>
      <c r="S240" s="274">
        <f t="shared" si="258"/>
        <v>45543.471999999987</v>
      </c>
      <c r="T240" s="274">
        <f t="shared" si="258"/>
        <v>69802.010000000009</v>
      </c>
      <c r="U240" s="274">
        <f t="shared" si="258"/>
        <v>78006.847999999998</v>
      </c>
      <c r="V240" s="274">
        <f t="shared" si="258"/>
        <v>86205.75</v>
      </c>
      <c r="W240" s="274">
        <f t="shared" si="258"/>
        <v>94613.900000000023</v>
      </c>
      <c r="X240" s="274">
        <f t="shared" si="258"/>
        <v>104016.97500000001</v>
      </c>
      <c r="Y240" s="274">
        <f t="shared" si="258"/>
        <v>111357.68999999999</v>
      </c>
      <c r="Z240" s="274"/>
      <c r="AA240" s="660"/>
      <c r="AB240" s="660"/>
      <c r="AC240" s="660"/>
      <c r="AD240" s="274">
        <f>AD110</f>
        <v>91365.479000000007</v>
      </c>
      <c r="AE240" s="274">
        <f>AE110</f>
        <v>101179.57400000001</v>
      </c>
      <c r="AG240" s="660"/>
      <c r="AH240" s="660"/>
    </row>
    <row r="241" spans="2:34" ht="13.5" customHeight="1">
      <c r="B241" s="224" t="s">
        <v>547</v>
      </c>
      <c r="C241" s="679"/>
      <c r="D241" s="274">
        <f>D111</f>
        <v>36607.731</v>
      </c>
      <c r="E241" s="679"/>
      <c r="F241" s="274">
        <f t="shared" si="257"/>
        <v>43877.113999999987</v>
      </c>
      <c r="G241" s="274">
        <f t="shared" si="257"/>
        <v>63349.237000000023</v>
      </c>
      <c r="H241" s="274">
        <f t="shared" si="257"/>
        <v>69802.010000000024</v>
      </c>
      <c r="I241" s="274">
        <f t="shared" si="257"/>
        <v>91365.479000000007</v>
      </c>
      <c r="J241" s="274">
        <f t="shared" si="257"/>
        <v>104016.97500000001</v>
      </c>
      <c r="K241" s="274">
        <f t="shared" si="257"/>
        <v>111357.68999999999</v>
      </c>
      <c r="L241" s="274"/>
      <c r="M241" s="660"/>
      <c r="N241" s="660"/>
      <c r="O241" s="660"/>
      <c r="P241" s="274">
        <f t="shared" ref="P241:Y241" si="259">P111</f>
        <v>43877.113999999987</v>
      </c>
      <c r="Q241" s="274">
        <f t="shared" si="259"/>
        <v>46277.477999999981</v>
      </c>
      <c r="R241" s="274">
        <f t="shared" si="259"/>
        <v>43919.162999999993</v>
      </c>
      <c r="S241" s="274">
        <f t="shared" si="259"/>
        <v>45543.471999999987</v>
      </c>
      <c r="T241" s="274">
        <f t="shared" si="259"/>
        <v>69802.010000000009</v>
      </c>
      <c r="U241" s="274">
        <f t="shared" si="259"/>
        <v>78006.847999999998</v>
      </c>
      <c r="V241" s="274">
        <f t="shared" si="259"/>
        <v>86205.75</v>
      </c>
      <c r="W241" s="274">
        <f t="shared" si="259"/>
        <v>94613.900000000023</v>
      </c>
      <c r="X241" s="274">
        <f t="shared" si="259"/>
        <v>104016.97500000001</v>
      </c>
      <c r="Y241" s="274">
        <f t="shared" si="259"/>
        <v>111357.68999999999</v>
      </c>
      <c r="Z241" s="274"/>
      <c r="AA241" s="660"/>
      <c r="AB241" s="660"/>
      <c r="AC241" s="660"/>
      <c r="AD241" s="274">
        <f>AD111</f>
        <v>91365.479000000007</v>
      </c>
      <c r="AE241" s="274">
        <f>AE111</f>
        <v>101179.57400000001</v>
      </c>
      <c r="AG241" s="660"/>
      <c r="AH241" s="660"/>
    </row>
    <row r="242" spans="2:34" ht="13.5" customHeight="1">
      <c r="B242" s="224"/>
      <c r="C242" s="52"/>
      <c r="D242" s="52"/>
      <c r="E242" s="52"/>
      <c r="F242" s="52"/>
      <c r="G242" s="52"/>
      <c r="H242" s="52"/>
      <c r="I242" s="52"/>
      <c r="J242" s="52"/>
      <c r="K242" s="52"/>
      <c r="L242" s="52"/>
      <c r="P242" s="74"/>
      <c r="Q242" s="74"/>
      <c r="R242" s="74"/>
      <c r="S242" s="74"/>
      <c r="T242" s="74"/>
      <c r="U242" s="74"/>
      <c r="V242" s="74"/>
      <c r="W242" s="74"/>
      <c r="X242" s="74"/>
      <c r="Y242" s="74"/>
      <c r="Z242" s="74"/>
      <c r="AB242" s="470"/>
      <c r="AC242" s="470"/>
      <c r="AD242" s="74"/>
      <c r="AE242" s="74"/>
    </row>
    <row r="243" spans="2:34" s="5" customFormat="1" ht="13.5" customHeight="1">
      <c r="B243" s="5" t="s">
        <v>529</v>
      </c>
      <c r="C243" s="681"/>
      <c r="D243" s="53">
        <f>D175</f>
        <v>1.1179887658156145</v>
      </c>
      <c r="E243" s="681"/>
      <c r="F243" s="53">
        <f t="shared" ref="F243:K244" si="260">F175</f>
        <v>0.72196874662266974</v>
      </c>
      <c r="G243" s="53">
        <f t="shared" si="260"/>
        <v>0.72196877446211338</v>
      </c>
      <c r="H243" s="53">
        <f t="shared" si="260"/>
        <v>0.43814500470688439</v>
      </c>
      <c r="I243" s="53">
        <f t="shared" si="260"/>
        <v>0.43814500222781083</v>
      </c>
      <c r="J243" s="53">
        <f t="shared" si="260"/>
        <v>0.49353989577181995</v>
      </c>
      <c r="K243" s="53">
        <f t="shared" si="260"/>
        <v>0.8472145480029265</v>
      </c>
      <c r="L243" s="53"/>
      <c r="M243" s="662"/>
      <c r="N243" s="662"/>
      <c r="O243" s="662"/>
      <c r="P243" s="53">
        <f t="shared" ref="P243:Y243" si="261">P175</f>
        <v>0.72196874662266974</v>
      </c>
      <c r="Q243" s="53">
        <f t="shared" si="261"/>
        <v>0.99559731841912458</v>
      </c>
      <c r="R243" s="53">
        <f t="shared" si="261"/>
        <v>1.0462383356440559</v>
      </c>
      <c r="S243" s="53">
        <f t="shared" si="261"/>
        <v>0.47922883437608832</v>
      </c>
      <c r="T243" s="53">
        <f t="shared" si="261"/>
        <v>0.4381450047068845</v>
      </c>
      <c r="U243" s="53">
        <f t="shared" si="261"/>
        <v>0.45995409274837001</v>
      </c>
      <c r="V243" s="53">
        <f t="shared" si="261"/>
        <v>0.48647346609709924</v>
      </c>
      <c r="W243" s="53">
        <f t="shared" si="261"/>
        <v>0.46240602067983638</v>
      </c>
      <c r="X243" s="53">
        <f t="shared" si="261"/>
        <v>0.49353989577181995</v>
      </c>
      <c r="Y243" s="53">
        <f t="shared" si="261"/>
        <v>0.8472145480029265</v>
      </c>
      <c r="Z243" s="53"/>
      <c r="AA243" s="660"/>
      <c r="AB243" s="660"/>
      <c r="AC243" s="660"/>
      <c r="AD243" s="53">
        <f>AD175</f>
        <v>0.33473695245443852</v>
      </c>
      <c r="AE243" s="53">
        <f>AE175</f>
        <v>0.35461276996481522</v>
      </c>
      <c r="AG243" s="660"/>
      <c r="AH243" s="660"/>
    </row>
    <row r="244" spans="2:34" ht="12.75">
      <c r="B244" s="1" t="s">
        <v>530</v>
      </c>
      <c r="C244" s="682"/>
      <c r="D244" s="54">
        <f>D176</f>
        <v>2.286489484966987</v>
      </c>
      <c r="E244" s="682"/>
      <c r="F244" s="54">
        <f t="shared" si="260"/>
        <v>1.8610298981833675</v>
      </c>
      <c r="G244" s="54">
        <f t="shared" si="260"/>
        <v>1.8610299442122713</v>
      </c>
      <c r="H244" s="54">
        <f t="shared" si="260"/>
        <v>1.4257144600850316</v>
      </c>
      <c r="I244" s="54">
        <f t="shared" si="260"/>
        <v>1.4257144210889541</v>
      </c>
      <c r="J244" s="54">
        <f t="shared" si="260"/>
        <v>1.3763600508474698</v>
      </c>
      <c r="K244" s="54">
        <f t="shared" si="260"/>
        <v>1.7072667635257162</v>
      </c>
      <c r="L244" s="54"/>
      <c r="M244" s="660"/>
      <c r="N244" s="660"/>
      <c r="O244" s="660"/>
      <c r="P244" s="54">
        <f t="shared" ref="P244:Y244" si="262">P176</f>
        <v>1.8610298981833675</v>
      </c>
      <c r="Q244" s="54">
        <f t="shared" si="262"/>
        <v>2.0496458125916033</v>
      </c>
      <c r="R244" s="54">
        <f t="shared" si="262"/>
        <v>2.189007040047644</v>
      </c>
      <c r="S244" s="54">
        <f t="shared" si="262"/>
        <v>2.2579395571773717</v>
      </c>
      <c r="T244" s="54">
        <f t="shared" si="262"/>
        <v>1.4257144600850318</v>
      </c>
      <c r="U244" s="54">
        <f t="shared" si="262"/>
        <v>1.8498388500455756</v>
      </c>
      <c r="V244" s="54">
        <f t="shared" si="262"/>
        <v>1.8390641807536041</v>
      </c>
      <c r="W244" s="54">
        <f t="shared" si="262"/>
        <v>1.7555219581900749</v>
      </c>
      <c r="X244" s="54">
        <f t="shared" si="262"/>
        <v>1.3763600508474698</v>
      </c>
      <c r="Y244" s="54">
        <f t="shared" si="262"/>
        <v>1.7072667635257162</v>
      </c>
      <c r="Z244" s="54"/>
      <c r="AA244" s="660"/>
      <c r="AB244" s="660"/>
      <c r="AC244" s="660"/>
      <c r="AD244" s="54">
        <f>AD176</f>
        <v>1.0892268730950341</v>
      </c>
      <c r="AE244" s="54">
        <f>AE176</f>
        <v>1.4261781533098765</v>
      </c>
      <c r="AG244" s="660"/>
      <c r="AH244" s="660"/>
    </row>
    <row r="245" spans="2:34" ht="12.75">
      <c r="C245" s="88"/>
      <c r="D245" s="88"/>
      <c r="E245" s="88"/>
      <c r="F245" s="88"/>
      <c r="G245" s="88"/>
      <c r="H245" s="88"/>
      <c r="I245" s="88"/>
      <c r="J245" s="88"/>
      <c r="K245" s="88"/>
      <c r="L245" s="88"/>
      <c r="P245" s="88"/>
      <c r="Q245" s="88"/>
      <c r="R245" s="88"/>
      <c r="S245" s="88"/>
      <c r="T245" s="88"/>
      <c r="U245" s="88"/>
      <c r="V245" s="88"/>
      <c r="W245" s="88"/>
      <c r="X245" s="88"/>
      <c r="Y245" s="88"/>
      <c r="Z245" s="88"/>
      <c r="AB245" s="470"/>
      <c r="AC245" s="470"/>
      <c r="AD245" s="88"/>
      <c r="AE245" s="88"/>
    </row>
    <row r="246" spans="2:34" ht="12.75">
      <c r="B246" s="225" t="s">
        <v>531</v>
      </c>
      <c r="C246" s="681"/>
      <c r="D246" s="53">
        <f>D178</f>
        <v>1.1179887658156145</v>
      </c>
      <c r="E246" s="681"/>
      <c r="F246" s="53">
        <f t="shared" ref="F246:K247" si="263">F178</f>
        <v>0.72196874662266974</v>
      </c>
      <c r="G246" s="53">
        <f t="shared" si="263"/>
        <v>0.72196877446211338</v>
      </c>
      <c r="H246" s="53">
        <f t="shared" si="263"/>
        <v>0.43814500470688439</v>
      </c>
      <c r="I246" s="53">
        <f t="shared" si="263"/>
        <v>0.43814500222781083</v>
      </c>
      <c r="J246" s="53">
        <f t="shared" si="263"/>
        <v>0.49353989577181995</v>
      </c>
      <c r="K246" s="53">
        <f t="shared" si="263"/>
        <v>0.8472145480029265</v>
      </c>
      <c r="L246" s="53"/>
      <c r="M246" s="660"/>
      <c r="N246" s="660"/>
      <c r="O246" s="660"/>
      <c r="P246" s="53">
        <f t="shared" ref="P246:Y246" si="264">P178</f>
        <v>0.72196874662266974</v>
      </c>
      <c r="Q246" s="53">
        <f t="shared" si="264"/>
        <v>0.99559731841912458</v>
      </c>
      <c r="R246" s="53">
        <f t="shared" si="264"/>
        <v>1.0462383356440559</v>
      </c>
      <c r="S246" s="53">
        <f t="shared" si="264"/>
        <v>0.47922883437608832</v>
      </c>
      <c r="T246" s="53">
        <f t="shared" si="264"/>
        <v>0.4381450047068845</v>
      </c>
      <c r="U246" s="53">
        <f t="shared" si="264"/>
        <v>0.45995409274837001</v>
      </c>
      <c r="V246" s="53">
        <f t="shared" si="264"/>
        <v>0.48647346609709924</v>
      </c>
      <c r="W246" s="53">
        <f t="shared" si="264"/>
        <v>0.46240602067983638</v>
      </c>
      <c r="X246" s="53">
        <f t="shared" si="264"/>
        <v>0.49353989577181995</v>
      </c>
      <c r="Y246" s="53">
        <f t="shared" si="264"/>
        <v>0.8472145480029265</v>
      </c>
      <c r="Z246" s="53"/>
      <c r="AA246" s="660"/>
      <c r="AB246" s="660"/>
      <c r="AC246" s="660"/>
      <c r="AD246" s="53">
        <f>AD178</f>
        <v>0.33473695245443852</v>
      </c>
      <c r="AE246" s="53">
        <f>AE178</f>
        <v>0.35461276996481522</v>
      </c>
      <c r="AG246" s="660"/>
      <c r="AH246" s="660"/>
    </row>
    <row r="247" spans="2:34" ht="12.75">
      <c r="B247" s="225" t="s">
        <v>532</v>
      </c>
      <c r="C247" s="682"/>
      <c r="D247" s="54">
        <f>D179</f>
        <v>2.286489484966987</v>
      </c>
      <c r="E247" s="682"/>
      <c r="F247" s="54">
        <f t="shared" si="263"/>
        <v>1.8610298981833675</v>
      </c>
      <c r="G247" s="54">
        <f t="shared" si="263"/>
        <v>1.8610299442122713</v>
      </c>
      <c r="H247" s="54">
        <f t="shared" si="263"/>
        <v>1.4257144600850316</v>
      </c>
      <c r="I247" s="54">
        <f t="shared" si="263"/>
        <v>1.4257144210889541</v>
      </c>
      <c r="J247" s="54">
        <f t="shared" si="263"/>
        <v>1.3763600508474698</v>
      </c>
      <c r="K247" s="54">
        <f t="shared" si="263"/>
        <v>1.7072667635257162</v>
      </c>
      <c r="L247" s="54"/>
      <c r="M247" s="660"/>
      <c r="N247" s="660"/>
      <c r="O247" s="660"/>
      <c r="P247" s="54">
        <f t="shared" ref="P247:Y247" si="265">P179</f>
        <v>1.8610298981833675</v>
      </c>
      <c r="Q247" s="54">
        <f t="shared" si="265"/>
        <v>2.0496458125916033</v>
      </c>
      <c r="R247" s="54">
        <f t="shared" si="265"/>
        <v>2.189007040047644</v>
      </c>
      <c r="S247" s="54">
        <f t="shared" si="265"/>
        <v>2.2579395571773717</v>
      </c>
      <c r="T247" s="54">
        <f t="shared" si="265"/>
        <v>1.4257144600850318</v>
      </c>
      <c r="U247" s="54">
        <f t="shared" si="265"/>
        <v>1.8498388500455756</v>
      </c>
      <c r="V247" s="54">
        <f t="shared" si="265"/>
        <v>1.8390641807536041</v>
      </c>
      <c r="W247" s="54">
        <f t="shared" si="265"/>
        <v>1.7555219581900749</v>
      </c>
      <c r="X247" s="54">
        <f t="shared" si="265"/>
        <v>1.3763600508474698</v>
      </c>
      <c r="Y247" s="54">
        <f t="shared" si="265"/>
        <v>1.7072667635257162</v>
      </c>
      <c r="Z247" s="54"/>
      <c r="AA247" s="660"/>
      <c r="AB247" s="660"/>
      <c r="AC247" s="660"/>
      <c r="AD247" s="54">
        <f>AD179</f>
        <v>1.0892268730950341</v>
      </c>
      <c r="AE247" s="54">
        <f>AE179</f>
        <v>1.4261781533098765</v>
      </c>
      <c r="AG247" s="660"/>
      <c r="AH247" s="660"/>
    </row>
    <row r="248" spans="2:34" ht="12.75">
      <c r="C248" s="54"/>
      <c r="D248" s="54"/>
      <c r="E248" s="88"/>
      <c r="F248" s="54"/>
      <c r="G248" s="54"/>
      <c r="H248" s="54"/>
      <c r="I248" s="54"/>
      <c r="J248" s="54"/>
      <c r="K248" s="54"/>
      <c r="L248" s="88"/>
      <c r="P248" s="88"/>
      <c r="Q248" s="88"/>
      <c r="R248" s="88"/>
      <c r="S248" s="88"/>
      <c r="T248" s="88"/>
      <c r="U248" s="88"/>
      <c r="V248" s="88"/>
      <c r="W248" s="88"/>
      <c r="X248" s="88"/>
      <c r="Y248" s="88"/>
      <c r="Z248" s="88"/>
      <c r="AB248" s="470"/>
      <c r="AC248" s="470"/>
      <c r="AD248" s="88"/>
      <c r="AE248" s="88"/>
    </row>
    <row r="249" spans="2:34" s="5" customFormat="1" ht="12.75">
      <c r="B249" s="224" t="s">
        <v>533</v>
      </c>
      <c r="C249" s="681"/>
      <c r="D249" s="53">
        <f>D181</f>
        <v>1.2555059749537607</v>
      </c>
      <c r="E249" s="681"/>
      <c r="F249" s="53">
        <f t="shared" ref="F249:K250" si="266">F181</f>
        <v>0.77729572186538975</v>
      </c>
      <c r="G249" s="53">
        <f t="shared" si="266"/>
        <v>0.77729573917362238</v>
      </c>
      <c r="H249" s="53">
        <f t="shared" si="266"/>
        <v>0.50723361691160462</v>
      </c>
      <c r="I249" s="53">
        <f t="shared" si="266"/>
        <v>0.50723361281781298</v>
      </c>
      <c r="J249" s="53">
        <f t="shared" si="266"/>
        <v>0.6424032615830253</v>
      </c>
      <c r="K249" s="53">
        <f t="shared" si="266"/>
        <v>0.99295726231390036</v>
      </c>
      <c r="L249" s="53"/>
      <c r="M249" s="662"/>
      <c r="N249" s="662"/>
      <c r="O249" s="662"/>
      <c r="P249" s="53">
        <f t="shared" ref="P249:Y249" si="267">P181</f>
        <v>0.77729572186538975</v>
      </c>
      <c r="Q249" s="53">
        <f t="shared" si="267"/>
        <v>1.0646825438499485</v>
      </c>
      <c r="R249" s="53">
        <f t="shared" si="267"/>
        <v>1.1157154110609986</v>
      </c>
      <c r="S249" s="53">
        <f t="shared" si="267"/>
        <v>0.56472995734712572</v>
      </c>
      <c r="T249" s="53">
        <f t="shared" si="267"/>
        <v>0.50723361691160473</v>
      </c>
      <c r="U249" s="53">
        <f t="shared" si="267"/>
        <v>0.54214444095985015</v>
      </c>
      <c r="V249" s="53">
        <f t="shared" si="267"/>
        <v>0.65258967064261963</v>
      </c>
      <c r="W249" s="53">
        <f t="shared" si="267"/>
        <v>0.62289053722550236</v>
      </c>
      <c r="X249" s="53">
        <f t="shared" si="267"/>
        <v>0.6424032615830253</v>
      </c>
      <c r="Y249" s="53">
        <f t="shared" si="267"/>
        <v>0.99295726231390036</v>
      </c>
      <c r="Z249" s="53"/>
      <c r="AA249" s="660"/>
      <c r="AB249" s="660"/>
      <c r="AC249" s="660"/>
      <c r="AD249" s="53">
        <f>AD181</f>
        <v>0.38751973269904277</v>
      </c>
      <c r="AE249" s="53">
        <f>AE181</f>
        <v>0.41797941351284995</v>
      </c>
      <c r="AG249" s="660"/>
      <c r="AH249" s="660"/>
    </row>
    <row r="250" spans="2:34" ht="12.75">
      <c r="B250" s="225" t="s">
        <v>534</v>
      </c>
      <c r="C250" s="682"/>
      <c r="D250" s="54">
        <f>D182</f>
        <v>2.4240066941051333</v>
      </c>
      <c r="E250" s="682"/>
      <c r="F250" s="54">
        <f t="shared" si="266"/>
        <v>1.9163568734260876</v>
      </c>
      <c r="G250" s="54">
        <f t="shared" si="266"/>
        <v>1.9163569089237802</v>
      </c>
      <c r="H250" s="54">
        <f t="shared" si="266"/>
        <v>1.4948030722897516</v>
      </c>
      <c r="I250" s="54">
        <f t="shared" si="266"/>
        <v>1.4948030316789562</v>
      </c>
      <c r="J250" s="54">
        <f t="shared" si="266"/>
        <v>1.5252234166586753</v>
      </c>
      <c r="K250" s="54">
        <f t="shared" si="266"/>
        <v>1.8530094778366901</v>
      </c>
      <c r="L250" s="54"/>
      <c r="M250" s="660"/>
      <c r="N250" s="660"/>
      <c r="O250" s="660"/>
      <c r="P250" s="54">
        <f t="shared" ref="P250:Y250" si="268">P182</f>
        <v>1.9163568734260876</v>
      </c>
      <c r="Q250" s="54">
        <f t="shared" si="268"/>
        <v>2.1187310380224273</v>
      </c>
      <c r="R250" s="54">
        <f t="shared" si="268"/>
        <v>2.2584841154645865</v>
      </c>
      <c r="S250" s="54">
        <f t="shared" si="268"/>
        <v>2.3434406801484093</v>
      </c>
      <c r="T250" s="54">
        <f t="shared" si="268"/>
        <v>1.4948030722897521</v>
      </c>
      <c r="U250" s="54">
        <f t="shared" si="268"/>
        <v>1.9320291982570557</v>
      </c>
      <c r="V250" s="54">
        <f t="shared" si="268"/>
        <v>2.0051803852991243</v>
      </c>
      <c r="W250" s="54">
        <f t="shared" si="268"/>
        <v>1.916006474735741</v>
      </c>
      <c r="X250" s="54">
        <f t="shared" si="268"/>
        <v>1.5252234166586753</v>
      </c>
      <c r="Y250" s="54">
        <f t="shared" si="268"/>
        <v>1.8530094778366901</v>
      </c>
      <c r="Z250" s="54"/>
      <c r="AA250" s="660"/>
      <c r="AB250" s="660"/>
      <c r="AC250" s="660"/>
      <c r="AD250" s="54">
        <f>AD182</f>
        <v>1.1420096533396382</v>
      </c>
      <c r="AE250" s="54">
        <f>AE182</f>
        <v>1.4895447968579112</v>
      </c>
      <c r="AG250" s="660"/>
      <c r="AH250" s="660"/>
    </row>
    <row r="251" spans="2:34" ht="12.75">
      <c r="C251" s="54"/>
      <c r="D251" s="54"/>
      <c r="E251" s="88"/>
      <c r="F251" s="54"/>
      <c r="G251" s="54"/>
      <c r="H251" s="54"/>
      <c r="I251" s="54"/>
      <c r="J251" s="54"/>
      <c r="K251" s="54"/>
      <c r="L251" s="88"/>
      <c r="P251" s="88"/>
      <c r="Q251" s="88"/>
      <c r="R251" s="88"/>
      <c r="S251" s="88"/>
      <c r="T251" s="88"/>
      <c r="U251" s="88"/>
      <c r="V251" s="88"/>
      <c r="W251" s="88"/>
      <c r="X251" s="88"/>
      <c r="Y251" s="88"/>
      <c r="Z251" s="88"/>
      <c r="AB251" s="470"/>
      <c r="AC251" s="470"/>
      <c r="AD251" s="88"/>
      <c r="AE251" s="88"/>
    </row>
    <row r="252" spans="2:34" ht="12.75">
      <c r="B252" s="1" t="s">
        <v>535</v>
      </c>
      <c r="C252" s="681"/>
      <c r="D252" s="53">
        <f>D184</f>
        <v>1.1179887658156145</v>
      </c>
      <c r="E252" s="681"/>
      <c r="F252" s="53">
        <f t="shared" ref="F252:K253" si="269">F184</f>
        <v>0.72196874662266974</v>
      </c>
      <c r="G252" s="53">
        <f t="shared" si="269"/>
        <v>0.72196877446211338</v>
      </c>
      <c r="H252" s="53">
        <f t="shared" si="269"/>
        <v>0.43814500470688439</v>
      </c>
      <c r="I252" s="53">
        <f t="shared" si="269"/>
        <v>0.43814500222781083</v>
      </c>
      <c r="J252" s="53">
        <f t="shared" si="269"/>
        <v>0.49353989577181995</v>
      </c>
      <c r="K252" s="53">
        <f t="shared" si="269"/>
        <v>0.8472145480029265</v>
      </c>
      <c r="L252" s="53"/>
      <c r="M252" s="660"/>
      <c r="N252" s="660"/>
      <c r="O252" s="660"/>
      <c r="P252" s="53">
        <f t="shared" ref="P252:Y252" si="270">P184</f>
        <v>0.72196874662266974</v>
      </c>
      <c r="Q252" s="53">
        <f t="shared" si="270"/>
        <v>0.99559731841912458</v>
      </c>
      <c r="R252" s="53">
        <f t="shared" si="270"/>
        <v>1.0462383356440559</v>
      </c>
      <c r="S252" s="53">
        <f t="shared" si="270"/>
        <v>0.47922883437608832</v>
      </c>
      <c r="T252" s="53">
        <f t="shared" si="270"/>
        <v>0.4381450047068845</v>
      </c>
      <c r="U252" s="53">
        <f t="shared" si="270"/>
        <v>0.45995409274837001</v>
      </c>
      <c r="V252" s="53">
        <f t="shared" si="270"/>
        <v>0.48647346609709924</v>
      </c>
      <c r="W252" s="53">
        <f t="shared" si="270"/>
        <v>0.46240602067983638</v>
      </c>
      <c r="X252" s="53">
        <f t="shared" si="270"/>
        <v>0.49353989577181995</v>
      </c>
      <c r="Y252" s="53">
        <f t="shared" si="270"/>
        <v>0.8472145480029265</v>
      </c>
      <c r="Z252" s="53"/>
      <c r="AA252" s="660"/>
      <c r="AB252" s="660"/>
      <c r="AC252" s="660"/>
      <c r="AD252" s="53">
        <f>AD184</f>
        <v>0.33473695245443852</v>
      </c>
      <c r="AE252" s="53">
        <f>AE184</f>
        <v>0.35461276996481522</v>
      </c>
      <c r="AG252" s="660"/>
      <c r="AH252" s="660"/>
    </row>
    <row r="253" spans="2:34" ht="12.75">
      <c r="B253" s="1" t="s">
        <v>536</v>
      </c>
      <c r="C253" s="682"/>
      <c r="D253" s="54">
        <f>D185</f>
        <v>2.286489484966987</v>
      </c>
      <c r="E253" s="682"/>
      <c r="F253" s="54">
        <f t="shared" si="269"/>
        <v>1.8610298981833675</v>
      </c>
      <c r="G253" s="54">
        <f t="shared" si="269"/>
        <v>1.8610299442122713</v>
      </c>
      <c r="H253" s="54">
        <f t="shared" si="269"/>
        <v>1.4257144600850316</v>
      </c>
      <c r="I253" s="54">
        <f t="shared" si="269"/>
        <v>1.4257144210889541</v>
      </c>
      <c r="J253" s="54">
        <f t="shared" si="269"/>
        <v>1.3763600508474698</v>
      </c>
      <c r="K253" s="54">
        <f t="shared" si="269"/>
        <v>1.7072667635257162</v>
      </c>
      <c r="L253" s="54"/>
      <c r="M253" s="660"/>
      <c r="N253" s="660"/>
      <c r="O253" s="660"/>
      <c r="P253" s="54">
        <f t="shared" ref="P253:Y253" si="271">P185</f>
        <v>1.8610298981833675</v>
      </c>
      <c r="Q253" s="54">
        <f t="shared" si="271"/>
        <v>2.0496458125916033</v>
      </c>
      <c r="R253" s="54">
        <f t="shared" si="271"/>
        <v>2.189007040047644</v>
      </c>
      <c r="S253" s="54">
        <f t="shared" si="271"/>
        <v>2.2579395571773717</v>
      </c>
      <c r="T253" s="54">
        <f t="shared" si="271"/>
        <v>1.4257144600850318</v>
      </c>
      <c r="U253" s="54">
        <f t="shared" si="271"/>
        <v>1.8498388500455756</v>
      </c>
      <c r="V253" s="54">
        <f t="shared" si="271"/>
        <v>1.8390641807536041</v>
      </c>
      <c r="W253" s="54">
        <f t="shared" si="271"/>
        <v>1.7555219581900749</v>
      </c>
      <c r="X253" s="54">
        <f t="shared" si="271"/>
        <v>1.3763600508474698</v>
      </c>
      <c r="Y253" s="54">
        <f t="shared" si="271"/>
        <v>1.7072667635257162</v>
      </c>
      <c r="Z253" s="54"/>
      <c r="AA253" s="660"/>
      <c r="AB253" s="660"/>
      <c r="AC253" s="660"/>
      <c r="AD253" s="54">
        <f>AD185</f>
        <v>1.0892268730950341</v>
      </c>
      <c r="AE253" s="54">
        <f>AE185</f>
        <v>1.4261781533098765</v>
      </c>
      <c r="AG253" s="660"/>
      <c r="AH253" s="660"/>
    </row>
    <row r="254" spans="2:34" ht="12.75">
      <c r="C254" s="88"/>
      <c r="D254" s="88"/>
      <c r="E254" s="88"/>
      <c r="F254" s="88"/>
      <c r="G254" s="88"/>
      <c r="H254" s="88"/>
      <c r="I254" s="88"/>
      <c r="J254" s="88"/>
      <c r="K254" s="88"/>
      <c r="L254" s="88"/>
      <c r="P254" s="88"/>
      <c r="Q254" s="88"/>
      <c r="R254" s="88"/>
      <c r="S254" s="88"/>
      <c r="T254" s="88"/>
      <c r="U254" s="88"/>
      <c r="V254" s="88"/>
      <c r="W254" s="88"/>
      <c r="X254" s="88"/>
      <c r="Y254" s="88"/>
      <c r="Z254" s="88"/>
      <c r="AB254" s="470"/>
      <c r="AC254" s="470"/>
      <c r="AD254" s="88"/>
      <c r="AE254" s="88"/>
    </row>
    <row r="255" spans="2:34" ht="12.75">
      <c r="B255" s="1" t="s">
        <v>537</v>
      </c>
      <c r="C255" s="681"/>
      <c r="D255" s="53">
        <f>D187</f>
        <v>3.5887174958937136</v>
      </c>
      <c r="E255" s="681"/>
      <c r="F255" s="53">
        <f t="shared" ref="F255:K256" si="272">F187</f>
        <v>3.4302293445595149</v>
      </c>
      <c r="G255" s="53">
        <f t="shared" si="272"/>
        <v>3.4302292692572078</v>
      </c>
      <c r="H255" s="53">
        <f t="shared" si="272"/>
        <v>2.8133651957811145</v>
      </c>
      <c r="I255" s="53">
        <f t="shared" si="272"/>
        <v>2.81560843910664</v>
      </c>
      <c r="J255" s="53">
        <f t="shared" si="272"/>
        <v>3.4559278753183738</v>
      </c>
      <c r="K255" s="53">
        <f t="shared" si="272"/>
        <v>3.3677162275924095</v>
      </c>
      <c r="L255" s="53"/>
      <c r="M255" s="660"/>
      <c r="N255" s="660"/>
      <c r="O255" s="660"/>
      <c r="P255" s="53">
        <f t="shared" ref="P255:Y255" si="273">P187</f>
        <v>3.4302293445595149</v>
      </c>
      <c r="Q255" s="53">
        <f t="shared" si="273"/>
        <v>2.8439151915689722</v>
      </c>
      <c r="R255" s="53">
        <f t="shared" si="273"/>
        <v>3.0093708660833265</v>
      </c>
      <c r="S255" s="53">
        <f t="shared" si="273"/>
        <v>3.8015700665939418</v>
      </c>
      <c r="T255" s="53">
        <f t="shared" si="273"/>
        <v>2.8133651957811123</v>
      </c>
      <c r="U255" s="53">
        <f t="shared" si="273"/>
        <v>3.1441753973104167</v>
      </c>
      <c r="V255" s="53">
        <f t="shared" si="273"/>
        <v>3.2862157079505154</v>
      </c>
      <c r="W255" s="53">
        <f t="shared" si="273"/>
        <v>2.8946137746598564</v>
      </c>
      <c r="X255" s="53">
        <f t="shared" si="273"/>
        <v>3.4559278753183746</v>
      </c>
      <c r="Y255" s="53">
        <f t="shared" si="273"/>
        <v>3.3677162275924095</v>
      </c>
      <c r="Z255" s="53"/>
      <c r="AA255" s="660"/>
      <c r="AB255" s="660"/>
      <c r="AC255" s="660"/>
      <c r="AD255" s="53">
        <f>AD187</f>
        <v>2.8156084391066418</v>
      </c>
      <c r="AE255" s="53">
        <f>AE187</f>
        <v>3.02942359320167</v>
      </c>
      <c r="AG255" s="660"/>
      <c r="AH255" s="660"/>
    </row>
    <row r="256" spans="2:34" ht="12.75">
      <c r="B256" s="1" t="s">
        <v>538</v>
      </c>
      <c r="C256" s="682"/>
      <c r="D256" s="54">
        <f>D188</f>
        <v>5.9813925737878089</v>
      </c>
      <c r="E256" s="682"/>
      <c r="F256" s="54">
        <f t="shared" si="272"/>
        <v>5.3168615538291348</v>
      </c>
      <c r="G256" s="54">
        <f t="shared" si="272"/>
        <v>5.3168615063037299</v>
      </c>
      <c r="H256" s="54">
        <f t="shared" si="272"/>
        <v>4.9071838576397599</v>
      </c>
      <c r="I256" s="54">
        <f t="shared" si="272"/>
        <v>4.907184017300434</v>
      </c>
      <c r="J256" s="54">
        <f t="shared" si="272"/>
        <v>5.9916728228998508</v>
      </c>
      <c r="K256" s="54">
        <f t="shared" si="272"/>
        <v>5.9169951369447622</v>
      </c>
      <c r="L256" s="54"/>
      <c r="M256" s="660"/>
      <c r="N256" s="660"/>
      <c r="O256" s="660"/>
      <c r="P256" s="54">
        <f t="shared" ref="P256:Y256" si="274">P188</f>
        <v>5.3168615538291348</v>
      </c>
      <c r="Q256" s="54">
        <f t="shared" si="274"/>
        <v>5.1873623800464896</v>
      </c>
      <c r="R256" s="54">
        <f t="shared" si="274"/>
        <v>4.7630523084601197</v>
      </c>
      <c r="S256" s="54">
        <f t="shared" si="274"/>
        <v>5.4044595673945874</v>
      </c>
      <c r="T256" s="54">
        <f t="shared" si="274"/>
        <v>4.9071838576397582</v>
      </c>
      <c r="U256" s="54">
        <f t="shared" si="274"/>
        <v>4.9214154330529114</v>
      </c>
      <c r="V256" s="54">
        <f t="shared" si="274"/>
        <v>5.2229506051652006</v>
      </c>
      <c r="W256" s="54">
        <f t="shared" si="274"/>
        <v>4.8987004122746773</v>
      </c>
      <c r="X256" s="54">
        <f t="shared" si="274"/>
        <v>5.9916728228998508</v>
      </c>
      <c r="Y256" s="54">
        <f t="shared" si="274"/>
        <v>5.9169951369447622</v>
      </c>
      <c r="Z256" s="54"/>
      <c r="AA256" s="660"/>
      <c r="AB256" s="660"/>
      <c r="AC256" s="660"/>
      <c r="AD256" s="54">
        <f>AD188</f>
        <v>4.9071840173004357</v>
      </c>
      <c r="AE256" s="54">
        <f>AE188</f>
        <v>4.9011373379346921</v>
      </c>
      <c r="AG256" s="660"/>
      <c r="AH256" s="660"/>
    </row>
    <row r="257" spans="2:34" ht="12.75">
      <c r="C257" s="54"/>
      <c r="D257" s="54"/>
      <c r="E257" s="54"/>
      <c r="F257" s="54"/>
      <c r="G257" s="54"/>
      <c r="H257" s="54"/>
      <c r="I257" s="54"/>
      <c r="J257" s="54"/>
      <c r="K257" s="54"/>
      <c r="L257" s="54"/>
      <c r="P257" s="54"/>
      <c r="Q257" s="54"/>
      <c r="R257" s="54"/>
      <c r="S257" s="54"/>
      <c r="T257" s="54"/>
      <c r="U257" s="54"/>
      <c r="V257" s="54"/>
      <c r="W257" s="54"/>
      <c r="X257" s="54"/>
      <c r="Y257" s="54"/>
      <c r="Z257" s="54"/>
      <c r="AB257" s="470"/>
      <c r="AC257" s="470"/>
      <c r="AD257" s="470"/>
      <c r="AE257" s="470"/>
    </row>
    <row r="258" spans="2:34" s="5" customFormat="1" ht="13.5" customHeight="1">
      <c r="B258" s="571" t="s">
        <v>631</v>
      </c>
      <c r="C258" s="726"/>
      <c r="D258" s="726">
        <v>18.6983</v>
      </c>
      <c r="E258" s="726">
        <v>18.6983</v>
      </c>
      <c r="F258" s="727">
        <v>29.438199999999998</v>
      </c>
      <c r="G258" s="727">
        <v>29.438199999999998</v>
      </c>
      <c r="H258" s="727">
        <v>35.335000000000001</v>
      </c>
      <c r="I258" s="727">
        <v>35.335000000000001</v>
      </c>
      <c r="J258" s="727">
        <f>X258</f>
        <v>42.9587</v>
      </c>
      <c r="K258" s="727">
        <f>Y258</f>
        <v>44.453699999999998</v>
      </c>
      <c r="L258" s="522"/>
      <c r="M258" s="727">
        <f>1/0.0308</f>
        <v>32.467532467532465</v>
      </c>
      <c r="N258" s="727">
        <f>1/0.0308</f>
        <v>32.467532467532465</v>
      </c>
      <c r="O258" s="727">
        <f>1/0.0364</f>
        <v>27.472527472527471</v>
      </c>
      <c r="P258" s="727">
        <f>F258</f>
        <v>29.438199999999998</v>
      </c>
      <c r="Q258" s="727">
        <f>1/0.0308</f>
        <v>32.467532467532465</v>
      </c>
      <c r="R258" s="727">
        <f>1/0.0305</f>
        <v>32.786885245901637</v>
      </c>
      <c r="S258" s="727">
        <f>1/0.0292</f>
        <v>34.246575342465754</v>
      </c>
      <c r="T258" s="727">
        <f>H258</f>
        <v>35.335000000000001</v>
      </c>
      <c r="U258" s="727">
        <v>37.941699999999997</v>
      </c>
      <c r="V258" s="727">
        <v>39.742400000000004</v>
      </c>
      <c r="W258" s="727">
        <v>41.5852</v>
      </c>
      <c r="X258" s="727">
        <v>42.9587</v>
      </c>
      <c r="Y258" s="727">
        <v>44.453699999999998</v>
      </c>
      <c r="Z258" s="160"/>
      <c r="AA258" s="727">
        <f t="shared" ref="AA258:AE259" si="275">Q258</f>
        <v>32.467532467532465</v>
      </c>
      <c r="AB258" s="727">
        <f t="shared" si="275"/>
        <v>32.786885245901637</v>
      </c>
      <c r="AC258" s="727">
        <f t="shared" si="275"/>
        <v>34.246575342465754</v>
      </c>
      <c r="AD258" s="727">
        <f t="shared" si="275"/>
        <v>35.335000000000001</v>
      </c>
      <c r="AE258" s="727">
        <f t="shared" si="275"/>
        <v>37.941699999999997</v>
      </c>
      <c r="AG258" s="727"/>
      <c r="AH258" s="727"/>
    </row>
    <row r="259" spans="2:34" s="5" customFormat="1" ht="13.5" customHeight="1">
      <c r="B259" s="571" t="s">
        <v>808</v>
      </c>
      <c r="C259" s="726"/>
      <c r="D259" s="726">
        <v>16.489999999999998</v>
      </c>
      <c r="E259" s="726">
        <v>16.489999999999998</v>
      </c>
      <c r="F259" s="727">
        <v>23.698499999999999</v>
      </c>
      <c r="G259" s="727">
        <v>23.698499999999999</v>
      </c>
      <c r="H259" s="727">
        <v>32.827100000000002</v>
      </c>
      <c r="I259" s="727">
        <v>32.827100000000002</v>
      </c>
      <c r="J259" s="727">
        <f>AVERAGE(U259:X259)</f>
        <v>39.498975000000002</v>
      </c>
      <c r="K259" s="727">
        <f>AVERAGE(V259:Y259)</f>
        <v>41.369824999999999</v>
      </c>
      <c r="L259" s="522"/>
      <c r="M259" s="727">
        <f>1/0.0382</f>
        <v>26.178010471204189</v>
      </c>
      <c r="N259" s="727">
        <f>1/0.0382</f>
        <v>26.178010471204189</v>
      </c>
      <c r="O259" s="727">
        <f>1/0.0373</f>
        <v>26.809651474530831</v>
      </c>
      <c r="P259" s="727">
        <f>AVERAGE(O258:P258)</f>
        <v>28.455363736263735</v>
      </c>
      <c r="Q259" s="727">
        <f>1/0.0382</f>
        <v>26.178010471204189</v>
      </c>
      <c r="R259" s="727">
        <f>1/0.0309</f>
        <v>32.362459546925564</v>
      </c>
      <c r="S259" s="727">
        <f>1/0.03</f>
        <v>33.333333333333336</v>
      </c>
      <c r="T259" s="727">
        <f>1/0.0289</f>
        <v>34.602076124567475</v>
      </c>
      <c r="U259" s="727">
        <v>36.216900000000003</v>
      </c>
      <c r="V259" s="727">
        <v>38.727899999999998</v>
      </c>
      <c r="W259" s="727">
        <v>40.785699999999999</v>
      </c>
      <c r="X259" s="727">
        <v>42.2654</v>
      </c>
      <c r="Y259" s="727">
        <v>43.700299999999999</v>
      </c>
      <c r="Z259" s="160"/>
      <c r="AA259" s="727">
        <f t="shared" si="275"/>
        <v>26.178010471204189</v>
      </c>
      <c r="AB259" s="727">
        <f t="shared" si="275"/>
        <v>32.362459546925564</v>
      </c>
      <c r="AC259" s="727">
        <f t="shared" si="275"/>
        <v>33.333333333333336</v>
      </c>
      <c r="AD259" s="727">
        <f t="shared" si="275"/>
        <v>34.602076124567475</v>
      </c>
      <c r="AE259" s="727">
        <f t="shared" si="275"/>
        <v>36.216900000000003</v>
      </c>
      <c r="AG259" s="727"/>
      <c r="AH259" s="727"/>
    </row>
    <row r="260" spans="2:34" s="5" customFormat="1" ht="12.75" customHeight="1">
      <c r="C260" s="160"/>
      <c r="D260" s="160"/>
      <c r="E260" s="160"/>
      <c r="F260" s="160"/>
      <c r="G260" s="160"/>
      <c r="H260" s="160"/>
      <c r="I260" s="160"/>
      <c r="J260" s="160"/>
      <c r="K260" s="160"/>
      <c r="L260" s="160"/>
      <c r="P260" s="160"/>
      <c r="Q260" s="160"/>
      <c r="R260" s="160"/>
      <c r="S260" s="160"/>
      <c r="T260" s="160"/>
      <c r="U260" s="160"/>
      <c r="V260" s="160"/>
      <c r="W260" s="160"/>
      <c r="X260" s="160"/>
      <c r="Y260" s="160"/>
      <c r="Z260" s="160"/>
      <c r="AA260" s="1"/>
      <c r="AB260" s="470"/>
      <c r="AC260" s="470"/>
      <c r="AD260" s="470"/>
      <c r="AE260" s="470"/>
      <c r="AG260" s="1"/>
      <c r="AH260" s="1"/>
    </row>
    <row r="261" spans="2:34" ht="13.5" customHeight="1">
      <c r="B261" s="543" t="s">
        <v>542</v>
      </c>
      <c r="C261" s="574"/>
      <c r="D261" s="574"/>
      <c r="E261" s="574"/>
      <c r="F261" s="574"/>
      <c r="G261" s="574"/>
      <c r="H261" s="574"/>
      <c r="I261" s="574"/>
      <c r="J261" s="574"/>
      <c r="K261" s="574"/>
      <c r="L261" s="295"/>
      <c r="M261" s="574"/>
      <c r="N261" s="574"/>
      <c r="O261" s="574"/>
      <c r="P261" s="574"/>
      <c r="Q261" s="574"/>
      <c r="R261" s="574"/>
      <c r="S261" s="574"/>
      <c r="T261" s="574"/>
      <c r="U261" s="574"/>
      <c r="V261" s="574"/>
      <c r="W261" s="574"/>
      <c r="X261" s="574"/>
      <c r="Y261" s="574"/>
      <c r="Z261" s="295"/>
      <c r="AA261" s="574"/>
      <c r="AB261" s="574"/>
      <c r="AC261" s="574"/>
      <c r="AD261" s="574"/>
      <c r="AE261" s="574"/>
      <c r="AG261" s="574"/>
      <c r="AH261" s="574"/>
    </row>
    <row r="262" spans="2:34" s="2" customFormat="1" ht="13.5" customHeight="1">
      <c r="B262" s="609" t="s">
        <v>55</v>
      </c>
      <c r="C262" s="574"/>
      <c r="D262" s="574">
        <f t="shared" ref="D262:K262" si="276">+D3</f>
        <v>44926</v>
      </c>
      <c r="E262" s="574">
        <f t="shared" si="276"/>
        <v>44926</v>
      </c>
      <c r="F262" s="575">
        <f t="shared" si="276"/>
        <v>45291</v>
      </c>
      <c r="G262" s="574">
        <f t="shared" si="276"/>
        <v>45291</v>
      </c>
      <c r="H262" s="574">
        <f t="shared" si="276"/>
        <v>45657</v>
      </c>
      <c r="I262" s="574">
        <f t="shared" si="276"/>
        <v>45657</v>
      </c>
      <c r="J262" s="574">
        <f t="shared" si="276"/>
        <v>46022</v>
      </c>
      <c r="K262" s="574">
        <f t="shared" si="276"/>
        <v>46112</v>
      </c>
      <c r="L262" s="295" t="s">
        <v>397</v>
      </c>
      <c r="M262" s="574">
        <f t="shared" ref="M262:Y262" si="277">+M3</f>
        <v>45016</v>
      </c>
      <c r="N262" s="574">
        <f t="shared" si="277"/>
        <v>45107</v>
      </c>
      <c r="O262" s="574">
        <f t="shared" si="277"/>
        <v>45199</v>
      </c>
      <c r="P262" s="574">
        <f t="shared" si="277"/>
        <v>45291</v>
      </c>
      <c r="Q262" s="574">
        <f t="shared" si="277"/>
        <v>45382</v>
      </c>
      <c r="R262" s="574">
        <f t="shared" si="277"/>
        <v>45473</v>
      </c>
      <c r="S262" s="574">
        <f t="shared" si="277"/>
        <v>45565</v>
      </c>
      <c r="T262" s="574">
        <f t="shared" si="277"/>
        <v>45657</v>
      </c>
      <c r="U262" s="574">
        <f t="shared" si="277"/>
        <v>45747</v>
      </c>
      <c r="V262" s="574">
        <f t="shared" si="277"/>
        <v>45838</v>
      </c>
      <c r="W262" s="576">
        <f t="shared" si="277"/>
        <v>45930</v>
      </c>
      <c r="X262" s="576">
        <f t="shared" si="277"/>
        <v>46022</v>
      </c>
      <c r="Y262" s="576">
        <f t="shared" si="277"/>
        <v>46112</v>
      </c>
      <c r="Z262" s="295"/>
      <c r="AA262" s="576">
        <f>+AA3</f>
        <v>45382</v>
      </c>
      <c r="AB262" s="576">
        <f>+AB3</f>
        <v>45473</v>
      </c>
      <c r="AC262" s="576">
        <f>+AC3</f>
        <v>45565</v>
      </c>
      <c r="AD262" s="576">
        <f>+AD3</f>
        <v>45656</v>
      </c>
      <c r="AE262" s="576">
        <f>+AE3</f>
        <v>45747</v>
      </c>
      <c r="AG262" s="576">
        <f>+AG3</f>
        <v>45565</v>
      </c>
      <c r="AH262" s="576">
        <f>+AH3</f>
        <v>45930</v>
      </c>
    </row>
    <row r="263" spans="2:34" s="5" customFormat="1" ht="13.5" customHeight="1">
      <c r="B263" s="539"/>
      <c r="C263" s="541"/>
      <c r="D263" s="541" t="s">
        <v>410</v>
      </c>
      <c r="E263" s="541" t="s">
        <v>410</v>
      </c>
      <c r="F263" s="541" t="s">
        <v>410</v>
      </c>
      <c r="G263" s="541" t="s">
        <v>410</v>
      </c>
      <c r="H263" s="541" t="s">
        <v>410</v>
      </c>
      <c r="I263" s="541" t="s">
        <v>410</v>
      </c>
      <c r="J263" s="541" t="s">
        <v>410</v>
      </c>
      <c r="K263" s="541" t="s">
        <v>410</v>
      </c>
      <c r="L263" s="423"/>
      <c r="M263" s="541" t="str">
        <f t="shared" ref="M263:Y263" si="278">M4</f>
        <v>Act</v>
      </c>
      <c r="N263" s="541" t="str">
        <f t="shared" si="278"/>
        <v>Act</v>
      </c>
      <c r="O263" s="541" t="str">
        <f t="shared" si="278"/>
        <v>Act</v>
      </c>
      <c r="P263" s="541" t="str">
        <f t="shared" si="278"/>
        <v>Act</v>
      </c>
      <c r="Q263" s="541" t="str">
        <f t="shared" si="278"/>
        <v>Act</v>
      </c>
      <c r="R263" s="541" t="str">
        <f t="shared" si="278"/>
        <v>Act</v>
      </c>
      <c r="S263" s="541" t="str">
        <f t="shared" si="278"/>
        <v>Act</v>
      </c>
      <c r="T263" s="541" t="str">
        <f t="shared" si="278"/>
        <v>Act</v>
      </c>
      <c r="U263" s="541" t="str">
        <f t="shared" si="278"/>
        <v>Act</v>
      </c>
      <c r="V263" s="541" t="str">
        <f t="shared" si="278"/>
        <v>Act</v>
      </c>
      <c r="W263" s="541" t="str">
        <f t="shared" si="278"/>
        <v>Act</v>
      </c>
      <c r="X263" s="541" t="str">
        <f t="shared" si="278"/>
        <v>Act</v>
      </c>
      <c r="Y263" s="541" t="str">
        <f t="shared" si="278"/>
        <v>Act</v>
      </c>
      <c r="Z263" s="423"/>
      <c r="AA263" s="541" t="str">
        <f t="shared" ref="AA263:AE264" si="279">AA4</f>
        <v>Act</v>
      </c>
      <c r="AB263" s="541" t="str">
        <f t="shared" si="279"/>
        <v>Act</v>
      </c>
      <c r="AC263" s="541" t="str">
        <f t="shared" si="279"/>
        <v>Act</v>
      </c>
      <c r="AD263" s="541" t="str">
        <f t="shared" si="279"/>
        <v>Act</v>
      </c>
      <c r="AE263" s="541" t="str">
        <f t="shared" si="279"/>
        <v>Act</v>
      </c>
      <c r="AG263" s="541" t="str">
        <f>AG4</f>
        <v>Act</v>
      </c>
      <c r="AH263" s="541" t="str">
        <f>AH4</f>
        <v>Act</v>
      </c>
    </row>
    <row r="264" spans="2:34" s="3" customFormat="1" ht="13.5" customHeight="1">
      <c r="C264" s="668"/>
      <c r="D264" s="23" t="s">
        <v>412</v>
      </c>
      <c r="E264" s="23" t="s">
        <v>412</v>
      </c>
      <c r="F264" s="23" t="s">
        <v>412</v>
      </c>
      <c r="G264" s="23" t="s">
        <v>412</v>
      </c>
      <c r="H264" s="23" t="s">
        <v>412</v>
      </c>
      <c r="I264" s="23" t="s">
        <v>412</v>
      </c>
      <c r="J264" s="23" t="s">
        <v>412</v>
      </c>
      <c r="K264" s="23" t="s">
        <v>412</v>
      </c>
      <c r="L264" s="23"/>
      <c r="M264" s="462" t="str">
        <f t="shared" ref="M264:Y264" si="280">M5</f>
        <v>Q1</v>
      </c>
      <c r="N264" s="462" t="str">
        <f t="shared" si="280"/>
        <v>Q2</v>
      </c>
      <c r="O264" s="462" t="str">
        <f t="shared" si="280"/>
        <v>Q3</v>
      </c>
      <c r="P264" s="462" t="str">
        <f t="shared" si="280"/>
        <v>Q4</v>
      </c>
      <c r="Q264" s="462" t="str">
        <f t="shared" si="280"/>
        <v>Q1</v>
      </c>
      <c r="R264" s="462" t="str">
        <f t="shared" si="280"/>
        <v>Q2</v>
      </c>
      <c r="S264" s="462" t="str">
        <f t="shared" si="280"/>
        <v>Q3</v>
      </c>
      <c r="T264" s="462" t="str">
        <f t="shared" si="280"/>
        <v>Q4</v>
      </c>
      <c r="U264" s="462" t="str">
        <f t="shared" si="280"/>
        <v>Q1</v>
      </c>
      <c r="V264" s="462" t="str">
        <f t="shared" si="280"/>
        <v>Q2</v>
      </c>
      <c r="W264" s="462" t="str">
        <f t="shared" si="280"/>
        <v>Q3</v>
      </c>
      <c r="X264" s="462" t="str">
        <f t="shared" si="280"/>
        <v>Q4</v>
      </c>
      <c r="Y264" s="462" t="str">
        <f t="shared" si="280"/>
        <v>Q1</v>
      </c>
      <c r="Z264" s="462"/>
      <c r="AA264" s="462" t="str">
        <f t="shared" si="279"/>
        <v>Q1</v>
      </c>
      <c r="AB264" s="462" t="str">
        <f t="shared" si="279"/>
        <v>Q2</v>
      </c>
      <c r="AC264" s="462" t="str">
        <f t="shared" si="279"/>
        <v>Q3</v>
      </c>
      <c r="AD264" s="462" t="str">
        <f t="shared" si="279"/>
        <v>Q4</v>
      </c>
      <c r="AE264" s="462" t="str">
        <f t="shared" si="279"/>
        <v>Q1</v>
      </c>
      <c r="AG264" s="462" t="str">
        <f>AG5</f>
        <v>9M</v>
      </c>
      <c r="AH264" s="462" t="str">
        <f>AH5</f>
        <v>9M</v>
      </c>
    </row>
    <row r="265" spans="2:34" s="5" customFormat="1" ht="13.5" customHeight="1">
      <c r="B265" s="5" t="str">
        <f>+B15</f>
        <v>Total Revenues</v>
      </c>
      <c r="C265" s="669"/>
      <c r="D265" s="58">
        <f t="shared" ref="D265:K265" si="281">+D15/D$259</f>
        <v>5669.3053972104317</v>
      </c>
      <c r="E265" s="58">
        <f t="shared" si="281"/>
        <v>8185.2734384475434</v>
      </c>
      <c r="F265" s="58">
        <f t="shared" si="281"/>
        <v>4519.9562841530051</v>
      </c>
      <c r="G265" s="58">
        <f t="shared" si="281"/>
        <v>6525.8573749393427</v>
      </c>
      <c r="H265" s="58">
        <f t="shared" si="281"/>
        <v>5077.249102113803</v>
      </c>
      <c r="I265" s="58">
        <f t="shared" si="281"/>
        <v>6645.7295953648054</v>
      </c>
      <c r="J265" s="58">
        <f t="shared" si="281"/>
        <v>6113.3439791792061</v>
      </c>
      <c r="K265" s="58">
        <f t="shared" si="281"/>
        <v>6330.3419581784547</v>
      </c>
      <c r="L265" s="58"/>
      <c r="M265" s="58">
        <f t="shared" ref="M265:Y265" si="282">+M15/M$259</f>
        <v>1053.1403076000001</v>
      </c>
      <c r="N265" s="58">
        <f t="shared" si="282"/>
        <v>1338.1025665999998</v>
      </c>
      <c r="O265" s="58">
        <f t="shared" si="282"/>
        <v>1402.1107299999999</v>
      </c>
      <c r="P265" s="58">
        <f t="shared" si="282"/>
        <v>243.47265648095615</v>
      </c>
      <c r="Q265" s="58">
        <f t="shared" si="282"/>
        <v>1177.4131588</v>
      </c>
      <c r="R265" s="58">
        <f t="shared" si="282"/>
        <v>1078.8262539</v>
      </c>
      <c r="S265" s="58">
        <f t="shared" si="282"/>
        <v>1205.1419999999998</v>
      </c>
      <c r="T265" s="58">
        <f t="shared" si="282"/>
        <v>1756.0841951000002</v>
      </c>
      <c r="U265" s="58">
        <f t="shared" si="282"/>
        <v>1324.3166035745742</v>
      </c>
      <c r="V265" s="58">
        <f t="shared" si="282"/>
        <v>1369.0905006468208</v>
      </c>
      <c r="W265" s="58">
        <f t="shared" si="282"/>
        <v>1459.7144832625161</v>
      </c>
      <c r="X265" s="58">
        <f t="shared" si="282"/>
        <v>1915.2948274475104</v>
      </c>
      <c r="Y265" s="58">
        <f t="shared" si="282"/>
        <v>1564.6794186767595</v>
      </c>
      <c r="Z265" s="58"/>
      <c r="AA265" s="58">
        <f>+AA15/AA$259</f>
        <v>1626.0526385999999</v>
      </c>
      <c r="AB265" s="58">
        <f>+AB15/AB$259</f>
        <v>1456.9380900000001</v>
      </c>
      <c r="AC265" s="58">
        <f>+AC15/AC$259</f>
        <v>1606.38105</v>
      </c>
      <c r="AD265" s="58">
        <f>+AD15/AD$259</f>
        <v>2164.5253808000002</v>
      </c>
      <c r="AE265" s="58">
        <f>+AE15/AE$259</f>
        <v>1733.0729300409475</v>
      </c>
      <c r="AG265" s="660"/>
      <c r="AH265" s="660"/>
    </row>
    <row r="266" spans="2:34" s="29" customFormat="1" ht="13.5" customHeight="1">
      <c r="B266" s="30" t="str">
        <f>+B16</f>
        <v xml:space="preserve">% y-o-y growth </v>
      </c>
      <c r="C266" s="670"/>
      <c r="D266" s="79"/>
      <c r="E266" s="79"/>
      <c r="F266" s="79">
        <f>+F265/D265-1</f>
        <v>-0.20273191026593151</v>
      </c>
      <c r="G266" s="21">
        <f>+G265/E265-1</f>
        <v>-0.20273190333674829</v>
      </c>
      <c r="H266" s="21">
        <f>+H265/G265-1</f>
        <v>-0.2219797629026492</v>
      </c>
      <c r="I266" s="21">
        <f>+I265/H265-1</f>
        <v>0.30892328930601409</v>
      </c>
      <c r="J266" s="21">
        <f>+J265/I265-1</f>
        <v>-8.0109430958027805E-2</v>
      </c>
      <c r="K266" s="21"/>
      <c r="L266" s="189"/>
      <c r="M266" s="471"/>
      <c r="N266" s="471"/>
      <c r="O266" s="471"/>
      <c r="P266" s="55"/>
      <c r="Q266" s="55">
        <f t="shared" ref="Q266:W266" si="283">Q16</f>
        <v>0.11800217910489552</v>
      </c>
      <c r="R266" s="55">
        <f t="shared" si="283"/>
        <v>-3.2941977020493063E-3</v>
      </c>
      <c r="S266" s="55">
        <f t="shared" si="283"/>
        <v>6.8669676324351281E-2</v>
      </c>
      <c r="T266" s="55">
        <f t="shared" si="283"/>
        <v>7.7706777742767432</v>
      </c>
      <c r="U266" s="55">
        <f t="shared" si="283"/>
        <v>0.12676113977310455</v>
      </c>
      <c r="V266" s="55">
        <f t="shared" si="283"/>
        <v>0.12453632123791913</v>
      </c>
      <c r="W266" s="55">
        <f t="shared" si="283"/>
        <v>0.11185593853961362</v>
      </c>
      <c r="X266" s="55">
        <f>X265/AD265-1</f>
        <v>-0.11514328063012835</v>
      </c>
      <c r="Y266" s="55">
        <f>Y265/AE265-1</f>
        <v>-9.7164700022294714E-2</v>
      </c>
      <c r="Z266" s="555"/>
      <c r="AA266" s="55">
        <f>AA265/M265-1</f>
        <v>0.54400380164501416</v>
      </c>
      <c r="AB266" s="55">
        <f>AB265/N265-1</f>
        <v>8.8808979495458962E-2</v>
      </c>
      <c r="AC266" s="55">
        <f>AC265/O265-1</f>
        <v>0.14568772325135848</v>
      </c>
      <c r="AD266" s="55">
        <f>AD265/P265-1</f>
        <v>7.8902195921508103</v>
      </c>
      <c r="AE266" s="55">
        <f>AE265/AA265-1</f>
        <v>6.5816006751841627E-2</v>
      </c>
      <c r="AG266" s="660"/>
      <c r="AH266" s="660"/>
    </row>
    <row r="267" spans="2:34" s="29" customFormat="1" ht="13.5" customHeight="1">
      <c r="C267" s="117"/>
      <c r="D267" s="117"/>
      <c r="E267" s="117"/>
      <c r="F267" s="117"/>
      <c r="G267" s="117"/>
      <c r="H267" s="117"/>
      <c r="I267" s="117"/>
      <c r="J267" s="117"/>
      <c r="K267" s="117"/>
      <c r="L267" s="189"/>
      <c r="M267" s="478"/>
      <c r="N267" s="478"/>
      <c r="O267" s="478"/>
      <c r="P267" s="478"/>
      <c r="Q267" s="478"/>
      <c r="R267" s="478"/>
      <c r="S267" s="478"/>
      <c r="T267" s="478"/>
      <c r="U267" s="478"/>
      <c r="V267" s="478"/>
      <c r="W267" s="478"/>
      <c r="X267" s="478"/>
      <c r="Y267" s="478"/>
      <c r="Z267" s="478"/>
      <c r="AA267" s="1"/>
      <c r="AB267" s="470"/>
      <c r="AC267" s="470"/>
      <c r="AD267" s="470"/>
      <c r="AE267" s="470"/>
      <c r="AG267" s="1"/>
      <c r="AH267" s="1"/>
    </row>
    <row r="268" spans="2:34" s="5" customFormat="1" ht="13.5" customHeight="1" outlineLevel="1" thickBot="1">
      <c r="B268" s="25" t="str">
        <f>+B68</f>
        <v xml:space="preserve">EBITDA </v>
      </c>
      <c r="C268" s="671"/>
      <c r="D268" s="67">
        <f t="shared" ref="D268:K268" si="284">D68/D$259</f>
        <v>2155.8135839902975</v>
      </c>
      <c r="E268" s="67">
        <f t="shared" si="284"/>
        <v>3112.5374166161305</v>
      </c>
      <c r="F268" s="67">
        <f t="shared" si="284"/>
        <v>1650.3813321518237</v>
      </c>
      <c r="G268" s="67">
        <f t="shared" si="284"/>
        <v>2382.8002194231713</v>
      </c>
      <c r="H268" s="67">
        <f t="shared" si="284"/>
        <v>2055.4823606105938</v>
      </c>
      <c r="I268" s="67">
        <f t="shared" si="284"/>
        <v>2690.4687895062311</v>
      </c>
      <c r="J268" s="67">
        <f t="shared" si="284"/>
        <v>2588.4707387976518</v>
      </c>
      <c r="K268" s="67">
        <f t="shared" si="284"/>
        <v>2649.3927639287813</v>
      </c>
      <c r="L268" s="8"/>
      <c r="M268" s="67">
        <f t="shared" ref="M268:Y268" si="285">M68/M$259</f>
        <v>386.6271660000001</v>
      </c>
      <c r="N268" s="67">
        <f t="shared" si="285"/>
        <v>573.11024519999978</v>
      </c>
      <c r="O268" s="67">
        <f t="shared" si="285"/>
        <v>491.40970789999994</v>
      </c>
      <c r="P268" s="67">
        <f t="shared" si="285"/>
        <v>28.571871635008087</v>
      </c>
      <c r="Q268" s="67">
        <f t="shared" si="285"/>
        <v>478.87149459999995</v>
      </c>
      <c r="R268" s="67">
        <f t="shared" si="285"/>
        <v>453.51553019999994</v>
      </c>
      <c r="S268" s="67">
        <f t="shared" si="285"/>
        <v>527.33057999999983</v>
      </c>
      <c r="T268" s="67">
        <f t="shared" si="285"/>
        <v>655.59817620000024</v>
      </c>
      <c r="U268" s="67">
        <f t="shared" si="285"/>
        <v>566.29559680701561</v>
      </c>
      <c r="V268" s="67">
        <f t="shared" si="285"/>
        <v>591.07994494924878</v>
      </c>
      <c r="W268" s="67">
        <f t="shared" si="285"/>
        <v>628.23060533471289</v>
      </c>
      <c r="X268" s="67">
        <f t="shared" si="285"/>
        <v>785.94689746222684</v>
      </c>
      <c r="Y268" s="67">
        <f t="shared" si="285"/>
        <v>637.80900817614508</v>
      </c>
      <c r="Z268" s="8"/>
      <c r="AA268" s="67">
        <f>AA68/AA$259</f>
        <v>661.33998299999996</v>
      </c>
      <c r="AB268" s="67">
        <f>AB68/AB$259</f>
        <v>612.46494480000013</v>
      </c>
      <c r="AC268" s="67">
        <f>AC68/AC$259</f>
        <v>702.89799000000005</v>
      </c>
      <c r="AD268" s="67">
        <f>AD68/AD$259</f>
        <v>802.17493020000052</v>
      </c>
      <c r="AE268" s="67">
        <f>AE68/AE$259</f>
        <v>741.08532204578512</v>
      </c>
      <c r="AG268" s="660"/>
      <c r="AH268" s="660"/>
    </row>
    <row r="269" spans="2:34" s="29" customFormat="1" ht="13.5" customHeight="1" outlineLevel="1" thickTop="1">
      <c r="B269" s="30" t="s">
        <v>456</v>
      </c>
      <c r="C269" s="670"/>
      <c r="D269" s="79"/>
      <c r="E269" s="79"/>
      <c r="F269" s="79">
        <f>+F268/D268-1</f>
        <v>-0.23445081503890763</v>
      </c>
      <c r="G269" s="21">
        <f>+G268/E268-1</f>
        <v>-0.23445089954494769</v>
      </c>
      <c r="H269" s="21">
        <f>+H268/G268-1</f>
        <v>-0.13736689133418611</v>
      </c>
      <c r="I269" s="21">
        <f>+I268/H268-1</f>
        <v>0.30892331701013021</v>
      </c>
      <c r="J269" s="21">
        <f>+J268/I268-1</f>
        <v>-3.7910884194757188E-2</v>
      </c>
      <c r="K269" s="21"/>
      <c r="L269" s="189"/>
      <c r="M269" s="479"/>
      <c r="N269" s="479"/>
      <c r="O269" s="479"/>
      <c r="P269" s="479"/>
      <c r="Q269" s="479">
        <f t="shared" ref="Q269:W269" si="286">Q69</f>
        <v>0.23858729213042373</v>
      </c>
      <c r="R269" s="479">
        <f t="shared" si="286"/>
        <v>-2.1729685875104154E-2</v>
      </c>
      <c r="S269" s="479">
        <f t="shared" si="286"/>
        <v>0.33421802064484574</v>
      </c>
      <c r="T269" s="479">
        <f t="shared" si="286"/>
        <v>26.902111010389923</v>
      </c>
      <c r="U269" s="479">
        <f t="shared" si="286"/>
        <v>0.18465813702360134</v>
      </c>
      <c r="V269" s="479">
        <f t="shared" si="286"/>
        <v>0.15490806862584083</v>
      </c>
      <c r="W269" s="479">
        <f t="shared" si="286"/>
        <v>9.3593609507973907E-2</v>
      </c>
      <c r="X269" s="479">
        <f>X268/AD268-1</f>
        <v>-2.0230042259894221E-2</v>
      </c>
      <c r="Y269" s="479">
        <f>Y268/AE268-1</f>
        <v>-0.13935819641460867</v>
      </c>
      <c r="Z269" s="556"/>
      <c r="AA269" s="55">
        <f>AA268/M268-1</f>
        <v>0.71053676812766908</v>
      </c>
      <c r="AB269" s="55">
        <f>AB268/N268-1</f>
        <v>6.8668637368830554E-2</v>
      </c>
      <c r="AC269" s="55">
        <f>AC268/O268-1</f>
        <v>0.43037058222512203</v>
      </c>
      <c r="AD269" s="55">
        <f>AD268/P268-1</f>
        <v>27.075687180993928</v>
      </c>
      <c r="AE269" s="55">
        <f>AE268/AA268-1</f>
        <v>0.12058145748884064</v>
      </c>
      <c r="AG269" s="660"/>
      <c r="AH269" s="660"/>
    </row>
    <row r="270" spans="2:34" s="29" customFormat="1" ht="13.5" customHeight="1" outlineLevel="1">
      <c r="B270" s="30" t="s">
        <v>457</v>
      </c>
      <c r="C270" s="670"/>
      <c r="D270" s="79">
        <f t="shared" ref="D270:K270" si="287">D268/D265</f>
        <v>0.38026061976676373</v>
      </c>
      <c r="E270" s="79">
        <f>E268/E265</f>
        <v>0.38026065225824252</v>
      </c>
      <c r="F270" s="79">
        <f t="shared" si="287"/>
        <v>0.36513214473734423</v>
      </c>
      <c r="G270" s="79">
        <f t="shared" si="287"/>
        <v>0.36513213245720361</v>
      </c>
      <c r="H270" s="79">
        <f t="shared" si="287"/>
        <v>0.40484173994040162</v>
      </c>
      <c r="I270" s="79">
        <f>I268/I265</f>
        <v>0.40484174850911048</v>
      </c>
      <c r="J270" s="79">
        <f>J268/J265</f>
        <v>0.42341323302164108</v>
      </c>
      <c r="K270" s="79">
        <f t="shared" si="287"/>
        <v>0.41852285096635439</v>
      </c>
      <c r="L270" s="189"/>
      <c r="M270" s="479">
        <f t="shared" ref="M270:U270" si="288">M268/M265</f>
        <v>0.36711838224204346</v>
      </c>
      <c r="N270" s="479">
        <f t="shared" si="288"/>
        <v>0.42830068449552577</v>
      </c>
      <c r="O270" s="479">
        <f t="shared" si="288"/>
        <v>0.35047853025131614</v>
      </c>
      <c r="P270" s="479">
        <f t="shared" si="288"/>
        <v>0.1173514596997175</v>
      </c>
      <c r="Q270" s="479">
        <f t="shared" si="288"/>
        <v>0.40671491652773595</v>
      </c>
      <c r="R270" s="479">
        <f t="shared" si="288"/>
        <v>0.42037865556249043</v>
      </c>
      <c r="S270" s="479">
        <f t="shared" si="288"/>
        <v>0.43756717465659639</v>
      </c>
      <c r="T270" s="479">
        <f t="shared" si="288"/>
        <v>0.37332958068258637</v>
      </c>
      <c r="U270" s="479">
        <f t="shared" si="288"/>
        <v>0.42761345382099691</v>
      </c>
      <c r="V270" s="479">
        <f>V268/V265</f>
        <v>0.43173182829768786</v>
      </c>
      <c r="W270" s="479">
        <f>W268/W265</f>
        <v>0.43037909984327494</v>
      </c>
      <c r="X270" s="479">
        <f>X268/X265</f>
        <v>0.41035295777916786</v>
      </c>
      <c r="Y270" s="479">
        <f>Y268/Y265</f>
        <v>0.40762919264032793</v>
      </c>
      <c r="Z270" s="556"/>
      <c r="AA270" s="479">
        <f>AA268/AA265</f>
        <v>0.40671499021667651</v>
      </c>
      <c r="AB270" s="479">
        <f>AB268/AB265</f>
        <v>0.42037815402300321</v>
      </c>
      <c r="AC270" s="479">
        <f>AC268/AC265</f>
        <v>0.43756616152811317</v>
      </c>
      <c r="AD270" s="479">
        <f>AD268/AD265</f>
        <v>0.37060084271385157</v>
      </c>
      <c r="AE270" s="479">
        <f>AE268/AE265</f>
        <v>0.42761346576931153</v>
      </c>
      <c r="AG270" s="660"/>
      <c r="AH270" s="660"/>
    </row>
    <row r="271" spans="2:34" ht="13.5" customHeight="1">
      <c r="AB271" s="470"/>
      <c r="AC271" s="470"/>
      <c r="AD271" s="470"/>
      <c r="AE271" s="470"/>
    </row>
    <row r="272" spans="2:34" s="5" customFormat="1" ht="13.5" customHeight="1" thickBot="1">
      <c r="B272" s="25" t="str">
        <f>B73</f>
        <v xml:space="preserve">Adj. EBITDA </v>
      </c>
      <c r="C272" s="671"/>
      <c r="D272" s="67">
        <f t="shared" ref="D272:K272" si="289">D73/D$259</f>
        <v>2219.9958156458461</v>
      </c>
      <c r="E272" s="67">
        <f t="shared" si="289"/>
        <v>3205.2027895694355</v>
      </c>
      <c r="F272" s="67">
        <f t="shared" si="289"/>
        <v>1851.4722028820383</v>
      </c>
      <c r="G272" s="67">
        <f t="shared" si="289"/>
        <v>2673.1327721163798</v>
      </c>
      <c r="H272" s="67">
        <f t="shared" si="289"/>
        <v>2126.3532264500982</v>
      </c>
      <c r="I272" s="67">
        <f t="shared" si="289"/>
        <v>2783.233334653381</v>
      </c>
      <c r="J272" s="67">
        <f t="shared" si="289"/>
        <v>2633.4094745496559</v>
      </c>
      <c r="K272" s="67">
        <f t="shared" si="289"/>
        <v>2691.7612051779283</v>
      </c>
      <c r="L272" s="8"/>
      <c r="M272" s="67">
        <f t="shared" ref="M272:Y272" si="290">M73/M$259</f>
        <v>395.51985860000008</v>
      </c>
      <c r="N272" s="67">
        <f t="shared" si="290"/>
        <v>567.0732317999998</v>
      </c>
      <c r="O272" s="67">
        <f t="shared" si="290"/>
        <v>600.1790815999999</v>
      </c>
      <c r="P272" s="67">
        <f t="shared" si="290"/>
        <v>90.940675507940995</v>
      </c>
      <c r="Q272" s="67">
        <f t="shared" si="290"/>
        <v>487.21376339999995</v>
      </c>
      <c r="R272" s="67">
        <f t="shared" si="290"/>
        <v>460.00514819999995</v>
      </c>
      <c r="S272" s="67">
        <f t="shared" si="290"/>
        <v>532.70849999999973</v>
      </c>
      <c r="T272" s="67">
        <f t="shared" si="290"/>
        <v>705.27198750000025</v>
      </c>
      <c r="U272" s="67">
        <f t="shared" si="290"/>
        <v>578.71118179634379</v>
      </c>
      <c r="V272" s="67">
        <f t="shared" si="290"/>
        <v>596.10255139059984</v>
      </c>
      <c r="W272" s="67">
        <f t="shared" si="290"/>
        <v>641.52631927366701</v>
      </c>
      <c r="X272" s="67">
        <f t="shared" si="290"/>
        <v>799.87294571919313</v>
      </c>
      <c r="Y272" s="67">
        <f t="shared" si="290"/>
        <v>647.58914698526098</v>
      </c>
      <c r="Z272" s="8"/>
      <c r="AA272" s="67">
        <f>AA73/AA$259</f>
        <v>672.86087379999992</v>
      </c>
      <c r="AB272" s="67">
        <f>AB73/AB$259</f>
        <v>621.22905000000014</v>
      </c>
      <c r="AC272" s="67">
        <f>AC73/AC$259</f>
        <v>710.06399999999996</v>
      </c>
      <c r="AD272" s="67">
        <f>AD73/AD$259</f>
        <v>866.36477800000011</v>
      </c>
      <c r="AE272" s="67">
        <f>AE73/AE$259</f>
        <v>757.3330130408732</v>
      </c>
      <c r="AG272" s="660"/>
      <c r="AH272" s="660"/>
    </row>
    <row r="273" spans="2:34" s="29" customFormat="1" ht="13.5" customHeight="1" thickTop="1">
      <c r="B273" s="30" t="str">
        <f>B74</f>
        <v xml:space="preserve">% growth </v>
      </c>
      <c r="C273" s="670"/>
      <c r="D273" s="79"/>
      <c r="E273" s="79"/>
      <c r="F273" s="79">
        <f>F272/D272-1</f>
        <v>-0.16600194025888104</v>
      </c>
      <c r="G273" s="21">
        <f>+G272/E272-1</f>
        <v>-0.16600198252183918</v>
      </c>
      <c r="H273" s="21">
        <f>+H272/G272-1</f>
        <v>-0.20454634777956948</v>
      </c>
      <c r="I273" s="21">
        <f>+I272/H272-1</f>
        <v>0.3089233247008214</v>
      </c>
      <c r="J273" s="21">
        <f>+J272/I272-1</f>
        <v>-5.3830865791345439E-2</v>
      </c>
      <c r="K273" s="21"/>
      <c r="L273" s="189"/>
      <c r="M273" s="471"/>
      <c r="N273" s="471"/>
      <c r="O273" s="471"/>
      <c r="P273" s="471"/>
      <c r="Q273" s="471">
        <f t="shared" ref="Q273:W273" si="291">Q74</f>
        <v>0.23183135512983788</v>
      </c>
      <c r="R273" s="471">
        <f t="shared" si="291"/>
        <v>2.8325650196914243E-3</v>
      </c>
      <c r="S273" s="471">
        <f t="shared" si="291"/>
        <v>0.10356101254695882</v>
      </c>
      <c r="T273" s="471">
        <f t="shared" si="291"/>
        <v>8.4305381122597183</v>
      </c>
      <c r="U273" s="471">
        <f t="shared" si="291"/>
        <v>0.18990211227229215</v>
      </c>
      <c r="V273" s="471">
        <f t="shared" si="291"/>
        <v>0.14829018378969905</v>
      </c>
      <c r="W273" s="471">
        <f t="shared" si="291"/>
        <v>0.10546795781788676</v>
      </c>
      <c r="X273" s="471">
        <f>X272/AD272-1</f>
        <v>-7.6748078833840827E-2</v>
      </c>
      <c r="Y273" s="471">
        <f>Y272/AE272-1</f>
        <v>-0.14490833512587065</v>
      </c>
      <c r="Z273" s="478"/>
      <c r="AA273" s="55">
        <f>AA272/M272-1</f>
        <v>0.70120629639606125</v>
      </c>
      <c r="AB273" s="55">
        <f>AB272/N272-1</f>
        <v>9.5500572347771318E-2</v>
      </c>
      <c r="AC273" s="55">
        <f>AC272/O272-1</f>
        <v>0.18308688484620461</v>
      </c>
      <c r="AD273" s="55">
        <f>AD272/P272-1</f>
        <v>8.5267026900888663</v>
      </c>
      <c r="AE273" s="55">
        <f>AE272/AA272-1</f>
        <v>0.12554176135077455</v>
      </c>
      <c r="AG273" s="660"/>
      <c r="AH273" s="660"/>
    </row>
    <row r="274" spans="2:34" s="29" customFormat="1" ht="13.5" customHeight="1">
      <c r="B274" s="30" t="str">
        <f>B75</f>
        <v>% margin</v>
      </c>
      <c r="C274" s="670"/>
      <c r="D274" s="79">
        <f t="shared" ref="D274:K274" si="292">D272/D265</f>
        <v>0.39158162422122994</v>
      </c>
      <c r="E274" s="79">
        <f>E272/E265</f>
        <v>0.39158163910738564</v>
      </c>
      <c r="F274" s="79">
        <f t="shared" si="292"/>
        <v>0.40962170571722373</v>
      </c>
      <c r="G274" s="79">
        <f t="shared" si="292"/>
        <v>0.40962169697146139</v>
      </c>
      <c r="H274" s="79">
        <f t="shared" si="292"/>
        <v>0.41880025653356989</v>
      </c>
      <c r="I274" s="79">
        <f>I272/I265</f>
        <v>0.41880026785841568</v>
      </c>
      <c r="J274" s="79">
        <f>J272/J265</f>
        <v>0.43076415845705845</v>
      </c>
      <c r="K274" s="79">
        <f t="shared" si="292"/>
        <v>0.42521576606147166</v>
      </c>
      <c r="L274" s="189"/>
      <c r="M274" s="471">
        <f t="shared" ref="M274:U274" si="293">M272/M265</f>
        <v>0.37556235930362375</v>
      </c>
      <c r="N274" s="471">
        <f t="shared" si="293"/>
        <v>0.42378906217995133</v>
      </c>
      <c r="O274" s="471">
        <f t="shared" si="293"/>
        <v>0.4280539822985307</v>
      </c>
      <c r="P274" s="471">
        <f t="shared" si="293"/>
        <v>0.37351494341235875</v>
      </c>
      <c r="Q274" s="471">
        <f t="shared" si="293"/>
        <v>0.41380016841034811</v>
      </c>
      <c r="R274" s="471">
        <f t="shared" si="293"/>
        <v>0.42639409871335904</v>
      </c>
      <c r="S274" s="471">
        <f t="shared" si="293"/>
        <v>0.44202965293716412</v>
      </c>
      <c r="T274" s="471">
        <f t="shared" si="293"/>
        <v>0.40161627185525606</v>
      </c>
      <c r="U274" s="471">
        <f t="shared" si="293"/>
        <v>0.4369885420406992</v>
      </c>
      <c r="V274" s="471">
        <f>V272/V265</f>
        <v>0.43540039983403128</v>
      </c>
      <c r="W274" s="471">
        <f>W272/W265</f>
        <v>0.43948753446621414</v>
      </c>
      <c r="X274" s="471">
        <f>X272/X265</f>
        <v>0.41762392622611205</v>
      </c>
      <c r="Y274" s="471">
        <f>Y272/Y265</f>
        <v>0.41387976300789042</v>
      </c>
      <c r="Z274" s="478"/>
      <c r="AA274" s="471">
        <f>AA272/AA265</f>
        <v>0.41380017954358489</v>
      </c>
      <c r="AB274" s="471">
        <f>AB272/AB265</f>
        <v>0.42639358134977451</v>
      </c>
      <c r="AC274" s="471">
        <f>AC272/AC265</f>
        <v>0.44202712675177536</v>
      </c>
      <c r="AD274" s="471">
        <f>AD272/AD265</f>
        <v>0.40025623431580876</v>
      </c>
      <c r="AE274" s="471">
        <f>AE272/AE265</f>
        <v>0.43698854209382842</v>
      </c>
      <c r="AG274" s="660"/>
      <c r="AH274" s="660"/>
    </row>
    <row r="275" spans="2:34" ht="13.5" customHeight="1">
      <c r="AB275" s="470"/>
      <c r="AC275" s="470"/>
      <c r="AD275" s="470"/>
      <c r="AE275" s="470"/>
    </row>
    <row r="276" spans="2:34" s="5" customFormat="1" ht="13.5" customHeight="1">
      <c r="B276" s="5" t="str">
        <f t="shared" ref="B276:B283" si="294">B83</f>
        <v xml:space="preserve">Adjusted EBITDA </v>
      </c>
      <c r="C276" s="672"/>
      <c r="D276" s="198">
        <f t="shared" ref="D276:K283" si="295">D83/D$259</f>
        <v>2219.9958156458461</v>
      </c>
      <c r="E276" s="198">
        <f t="shared" si="295"/>
        <v>3205.2027895694355</v>
      </c>
      <c r="F276" s="198">
        <f t="shared" si="295"/>
        <v>1851.4722028820383</v>
      </c>
      <c r="G276" s="198">
        <f t="shared" si="295"/>
        <v>2673.1327721163798</v>
      </c>
      <c r="H276" s="198">
        <f t="shared" si="295"/>
        <v>2126.3532264500982</v>
      </c>
      <c r="I276" s="198">
        <f t="shared" si="295"/>
        <v>2783.233334653381</v>
      </c>
      <c r="J276" s="198">
        <f t="shared" si="295"/>
        <v>2633.4094745496559</v>
      </c>
      <c r="K276" s="198">
        <f t="shared" si="295"/>
        <v>2691.7612051779283</v>
      </c>
      <c r="L276" s="202"/>
      <c r="M276" s="464">
        <f t="shared" ref="M276:Y276" si="296">M83/M$259</f>
        <v>395.51985860000008</v>
      </c>
      <c r="N276" s="464">
        <f t="shared" si="296"/>
        <v>567.0732317999998</v>
      </c>
      <c r="O276" s="464">
        <f t="shared" si="296"/>
        <v>600.1790815999999</v>
      </c>
      <c r="P276" s="464">
        <f t="shared" si="296"/>
        <v>90.940675507940995</v>
      </c>
      <c r="Q276" s="464">
        <f t="shared" si="296"/>
        <v>487.21376339999995</v>
      </c>
      <c r="R276" s="464">
        <f t="shared" si="296"/>
        <v>460.00514819999995</v>
      </c>
      <c r="S276" s="464">
        <f t="shared" si="296"/>
        <v>532.70849999999973</v>
      </c>
      <c r="T276" s="464">
        <f t="shared" si="296"/>
        <v>705.27198750000025</v>
      </c>
      <c r="U276" s="464">
        <f t="shared" si="296"/>
        <v>578.71118179634379</v>
      </c>
      <c r="V276" s="464">
        <f t="shared" si="296"/>
        <v>596.10255139059984</v>
      </c>
      <c r="W276" s="464">
        <f t="shared" si="296"/>
        <v>641.52631927366701</v>
      </c>
      <c r="X276" s="464">
        <f t="shared" si="296"/>
        <v>799.87294571919313</v>
      </c>
      <c r="Y276" s="464">
        <f t="shared" si="296"/>
        <v>647.58914698526098</v>
      </c>
      <c r="Z276" s="464"/>
      <c r="AA276" s="464">
        <f t="shared" ref="AA276:AE283" si="297">AA83/AA$259</f>
        <v>672.86087379999992</v>
      </c>
      <c r="AB276" s="464">
        <f t="shared" si="297"/>
        <v>621.22905000000014</v>
      </c>
      <c r="AC276" s="464">
        <f t="shared" si="297"/>
        <v>710.06399999999996</v>
      </c>
      <c r="AD276" s="464">
        <f t="shared" si="297"/>
        <v>866.36477800000011</v>
      </c>
      <c r="AE276" s="464">
        <f t="shared" si="297"/>
        <v>757.3330130408732</v>
      </c>
      <c r="AG276" s="660"/>
      <c r="AH276" s="660"/>
    </row>
    <row r="277" spans="2:34" ht="13.5" customHeight="1">
      <c r="B277" s="1" t="str">
        <f t="shared" si="294"/>
        <v>Working Capital</v>
      </c>
      <c r="C277" s="673"/>
      <c r="D277" s="214">
        <f t="shared" si="295"/>
        <v>-158.25864160097015</v>
      </c>
      <c r="E277" s="214">
        <f t="shared" si="295"/>
        <v>-228.49187386294761</v>
      </c>
      <c r="F277" s="214">
        <f t="shared" si="295"/>
        <v>-102.28292929932265</v>
      </c>
      <c r="G277" s="214">
        <f t="shared" si="295"/>
        <v>-147.67483174040578</v>
      </c>
      <c r="H277" s="214">
        <f t="shared" si="295"/>
        <v>-111.98528045425888</v>
      </c>
      <c r="I277" s="214">
        <f t="shared" si="295"/>
        <v>-146.58014262606221</v>
      </c>
      <c r="J277" s="214">
        <f t="shared" si="295"/>
        <v>-136.3991344079179</v>
      </c>
      <c r="K277" s="214">
        <f t="shared" si="295"/>
        <v>-292.44039586824425</v>
      </c>
      <c r="L277" s="196"/>
      <c r="M277" s="472">
        <f t="shared" ref="M277:Y277" si="298">M84/M$259</f>
        <v>-248.7574832</v>
      </c>
      <c r="N277" s="472">
        <f t="shared" si="298"/>
        <v>23.876069599999973</v>
      </c>
      <c r="O277" s="472">
        <f t="shared" si="298"/>
        <v>-117.54721999999988</v>
      </c>
      <c r="P277" s="472">
        <f t="shared" si="298"/>
        <v>232.44812687354838</v>
      </c>
      <c r="Q277" s="472">
        <f t="shared" si="298"/>
        <v>-315.24771559999994</v>
      </c>
      <c r="R277" s="472">
        <f t="shared" si="298"/>
        <v>-64.469358300000025</v>
      </c>
      <c r="S277" s="472">
        <f t="shared" si="298"/>
        <v>-99.535140000000098</v>
      </c>
      <c r="T277" s="472">
        <f t="shared" si="298"/>
        <v>288.4402359</v>
      </c>
      <c r="U277" s="472">
        <f t="shared" si="298"/>
        <v>-316.46496525102924</v>
      </c>
      <c r="V277" s="472">
        <f t="shared" si="298"/>
        <v>-75.800237038414139</v>
      </c>
      <c r="W277" s="472">
        <f t="shared" si="298"/>
        <v>-52.500386164758716</v>
      </c>
      <c r="X277" s="472">
        <f t="shared" si="298"/>
        <v>263.82343477170474</v>
      </c>
      <c r="Y277" s="472">
        <f t="shared" si="298"/>
        <v>-415.83151603078238</v>
      </c>
      <c r="Z277" s="554"/>
      <c r="AA277" s="472">
        <f t="shared" si="297"/>
        <v>-435.36918179999998</v>
      </c>
      <c r="AB277" s="472">
        <f t="shared" si="297"/>
        <v>-79.27416629999999</v>
      </c>
      <c r="AC277" s="472">
        <f t="shared" si="297"/>
        <v>93.602159999999998</v>
      </c>
      <c r="AD277" s="472">
        <f t="shared" si="297"/>
        <v>174.28818369999979</v>
      </c>
      <c r="AE277" s="472">
        <f t="shared" si="297"/>
        <v>-414.14328669764666</v>
      </c>
      <c r="AG277" s="660"/>
      <c r="AH277" s="660"/>
    </row>
    <row r="278" spans="2:34" ht="13.5" customHeight="1">
      <c r="B278" s="1" t="str">
        <f t="shared" si="294"/>
        <v>Taxes</v>
      </c>
      <c r="C278" s="673"/>
      <c r="D278" s="214">
        <f t="shared" si="295"/>
        <v>-80.991146149181333</v>
      </c>
      <c r="E278" s="214">
        <f t="shared" si="295"/>
        <v>-116.93402061855672</v>
      </c>
      <c r="F278" s="214">
        <f t="shared" si="295"/>
        <v>-23.770702787096234</v>
      </c>
      <c r="G278" s="214">
        <f t="shared" si="295"/>
        <v>-34.319809270628944</v>
      </c>
      <c r="H278" s="214">
        <f t="shared" si="295"/>
        <v>-65.538929725744879</v>
      </c>
      <c r="I278" s="214">
        <f t="shared" si="295"/>
        <v>-85.785433376691813</v>
      </c>
      <c r="J278" s="214">
        <f t="shared" si="295"/>
        <v>-228.51296774156796</v>
      </c>
      <c r="K278" s="214">
        <f t="shared" si="295"/>
        <v>-254.38925593714745</v>
      </c>
      <c r="L278" s="196"/>
      <c r="M278" s="472">
        <f t="shared" ref="M278:Y278" si="299">M85/M$259</f>
        <v>-24.533338799999999</v>
      </c>
      <c r="N278" s="472">
        <f t="shared" si="299"/>
        <v>-31.877174199999999</v>
      </c>
      <c r="O278" s="472">
        <f t="shared" si="299"/>
        <v>-83.968864799999992</v>
      </c>
      <c r="P278" s="472">
        <f t="shared" si="299"/>
        <v>111.21140567136941</v>
      </c>
      <c r="Q278" s="472">
        <f t="shared" si="299"/>
        <v>-4.2381754000000003</v>
      </c>
      <c r="R278" s="472">
        <f t="shared" si="299"/>
        <v>-8.3211537</v>
      </c>
      <c r="S278" s="472">
        <f t="shared" si="299"/>
        <v>-22.40259</v>
      </c>
      <c r="T278" s="472">
        <f t="shared" si="299"/>
        <v>-29.606893999999986</v>
      </c>
      <c r="U278" s="472">
        <f t="shared" si="299"/>
        <v>-4.7768307061068178</v>
      </c>
      <c r="V278" s="472">
        <f t="shared" si="299"/>
        <v>-87.130079348480038</v>
      </c>
      <c r="W278" s="472">
        <f t="shared" si="299"/>
        <v>-65.429451989300176</v>
      </c>
      <c r="X278" s="472">
        <f t="shared" si="299"/>
        <v>-66.486416785361087</v>
      </c>
      <c r="Y278" s="472">
        <f t="shared" si="299"/>
        <v>-38.238021249282042</v>
      </c>
      <c r="Z278" s="554"/>
      <c r="AA278" s="472">
        <f t="shared" si="297"/>
        <v>5.8531186000000002</v>
      </c>
      <c r="AB278" s="472">
        <f t="shared" si="297"/>
        <v>-1.8731888999999995</v>
      </c>
      <c r="AC278" s="472">
        <f t="shared" si="297"/>
        <v>-16.234470000000002</v>
      </c>
      <c r="AD278" s="472">
        <f t="shared" si="297"/>
        <v>-68.421905999999993</v>
      </c>
      <c r="AE278" s="472">
        <f t="shared" si="297"/>
        <v>-6.2511976452981894</v>
      </c>
      <c r="AG278" s="660"/>
      <c r="AH278" s="660"/>
    </row>
    <row r="279" spans="2:34" ht="13.5" customHeight="1">
      <c r="B279" s="1" t="str">
        <f t="shared" si="294"/>
        <v>Cash interest paid</v>
      </c>
      <c r="C279" s="673"/>
      <c r="D279" s="214">
        <f t="shared" si="295"/>
        <v>-360.4200121285628</v>
      </c>
      <c r="E279" s="214">
        <f t="shared" si="295"/>
        <v>-520.36998180715591</v>
      </c>
      <c r="F279" s="214">
        <f t="shared" si="295"/>
        <v>-310.4051733232061</v>
      </c>
      <c r="G279" s="214">
        <f t="shared" si="295"/>
        <v>-448.15916619195315</v>
      </c>
      <c r="H279" s="214">
        <f t="shared" si="295"/>
        <v>-418.8720904374739</v>
      </c>
      <c r="I279" s="214">
        <f t="shared" si="295"/>
        <v>-548.27142817976608</v>
      </c>
      <c r="J279" s="214">
        <f t="shared" si="295"/>
        <v>-432.01136232016148</v>
      </c>
      <c r="K279" s="214">
        <f t="shared" si="295"/>
        <v>-447.75983461375529</v>
      </c>
      <c r="L279" s="196"/>
      <c r="M279" s="472">
        <f t="shared" ref="M279:Y279" si="300">M86/M$259</f>
        <v>-29.099041</v>
      </c>
      <c r="N279" s="472">
        <f t="shared" si="300"/>
        <v>-135.93447079999999</v>
      </c>
      <c r="O279" s="472">
        <f t="shared" si="300"/>
        <v>-50.206769799999996</v>
      </c>
      <c r="P279" s="472">
        <f t="shared" si="300"/>
        <v>-59.386413600695846</v>
      </c>
      <c r="Q279" s="472">
        <f t="shared" si="300"/>
        <v>-53.896647399999999</v>
      </c>
      <c r="R279" s="472">
        <f t="shared" si="300"/>
        <v>-134.27165490000002</v>
      </c>
      <c r="S279" s="472">
        <f t="shared" si="300"/>
        <v>-61.245660000000001</v>
      </c>
      <c r="T279" s="472">
        <f t="shared" si="300"/>
        <v>-172.02915739999997</v>
      </c>
      <c r="U279" s="472">
        <f t="shared" si="300"/>
        <v>-82.594645041403325</v>
      </c>
      <c r="V279" s="472">
        <f t="shared" si="300"/>
        <v>-129.95866029399994</v>
      </c>
      <c r="W279" s="472">
        <f t="shared" si="300"/>
        <v>-116.31772900796113</v>
      </c>
      <c r="X279" s="472">
        <f t="shared" si="300"/>
        <v>-101.63296691856698</v>
      </c>
      <c r="Y279" s="472">
        <f t="shared" si="300"/>
        <v>-101.85426644668344</v>
      </c>
      <c r="Z279" s="554"/>
      <c r="AA279" s="472">
        <f t="shared" si="297"/>
        <v>-74.433349399999997</v>
      </c>
      <c r="AB279" s="472">
        <f t="shared" si="297"/>
        <v>-180.00010140000001</v>
      </c>
      <c r="AC279" s="472">
        <f t="shared" si="297"/>
        <v>-78.606719999999967</v>
      </c>
      <c r="AD279" s="472">
        <f t="shared" si="297"/>
        <v>-219.76062860000002</v>
      </c>
      <c r="AE279" s="472">
        <f t="shared" si="297"/>
        <v>-108.08785401290557</v>
      </c>
      <c r="AG279" s="660"/>
      <c r="AH279" s="660"/>
    </row>
    <row r="280" spans="2:34" s="5" customFormat="1" ht="13.5" customHeight="1" thickBot="1">
      <c r="B280" s="25" t="str">
        <f t="shared" si="294"/>
        <v xml:space="preserve">Net cash from operations </v>
      </c>
      <c r="C280" s="674"/>
      <c r="D280" s="215">
        <f t="shared" si="295"/>
        <v>1620.3260157671318</v>
      </c>
      <c r="E280" s="215">
        <f t="shared" si="295"/>
        <v>2339.4069132807754</v>
      </c>
      <c r="F280" s="215">
        <f t="shared" si="295"/>
        <v>1415.0133974724133</v>
      </c>
      <c r="G280" s="215">
        <f t="shared" si="295"/>
        <v>2042.9789649133918</v>
      </c>
      <c r="H280" s="215">
        <f t="shared" si="295"/>
        <v>1529.9569258326205</v>
      </c>
      <c r="I280" s="215">
        <f t="shared" si="295"/>
        <v>2002.5963304708607</v>
      </c>
      <c r="J280" s="215">
        <f t="shared" si="295"/>
        <v>1836.4860100800083</v>
      </c>
      <c r="K280" s="215">
        <f t="shared" si="295"/>
        <v>1697.1717187587813</v>
      </c>
      <c r="L280" s="427"/>
      <c r="M280" s="473">
        <f t="shared" ref="M280:Y280" si="301">M87/M$259</f>
        <v>93.1299956000001</v>
      </c>
      <c r="N280" s="473">
        <f t="shared" si="301"/>
        <v>423.1376563999998</v>
      </c>
      <c r="O280" s="473">
        <f t="shared" si="301"/>
        <v>348.45622700000013</v>
      </c>
      <c r="P280" s="473">
        <f t="shared" si="301"/>
        <v>375.21379445216286</v>
      </c>
      <c r="Q280" s="473">
        <f t="shared" si="301"/>
        <v>113.83122499999996</v>
      </c>
      <c r="R280" s="473">
        <f t="shared" si="301"/>
        <v>252.94298129999993</v>
      </c>
      <c r="S280" s="473">
        <f t="shared" si="301"/>
        <v>349.52510999999964</v>
      </c>
      <c r="T280" s="473">
        <f t="shared" si="301"/>
        <v>792.07617200000027</v>
      </c>
      <c r="U280" s="473">
        <f t="shared" si="301"/>
        <v>174.87474079780438</v>
      </c>
      <c r="V280" s="473">
        <f t="shared" si="301"/>
        <v>303.21357470970565</v>
      </c>
      <c r="W280" s="473">
        <f t="shared" si="301"/>
        <v>407.27875211164695</v>
      </c>
      <c r="X280" s="473">
        <f t="shared" si="301"/>
        <v>895.57699678696997</v>
      </c>
      <c r="Y280" s="473">
        <f t="shared" si="301"/>
        <v>91.665343258513147</v>
      </c>
      <c r="Z280" s="548"/>
      <c r="AA280" s="473">
        <f t="shared" si="297"/>
        <v>168.91146119999999</v>
      </c>
      <c r="AB280" s="473">
        <f t="shared" si="297"/>
        <v>360.08159340000014</v>
      </c>
      <c r="AC280" s="473">
        <f t="shared" si="297"/>
        <v>708.82496999999989</v>
      </c>
      <c r="AD280" s="473">
        <f t="shared" si="297"/>
        <v>752.47042709999994</v>
      </c>
      <c r="AE280" s="473">
        <f t="shared" si="297"/>
        <v>228.85067468502274</v>
      </c>
      <c r="AG280" s="660"/>
      <c r="AH280" s="660"/>
    </row>
    <row r="281" spans="2:34" s="5" customFormat="1" ht="13.5" customHeight="1" thickTop="1">
      <c r="B281" s="1" t="str">
        <f t="shared" si="294"/>
        <v>Gross Capex</v>
      </c>
      <c r="C281" s="675"/>
      <c r="D281" s="216">
        <f t="shared" si="295"/>
        <v>-862.36798059429964</v>
      </c>
      <c r="E281" s="216">
        <f t="shared" si="295"/>
        <v>-1245.076288659794</v>
      </c>
      <c r="F281" s="216">
        <f t="shared" si="295"/>
        <v>-585.62039791547988</v>
      </c>
      <c r="G281" s="216">
        <f t="shared" si="295"/>
        <v>-845.51153026562861</v>
      </c>
      <c r="H281" s="216">
        <f t="shared" si="295"/>
        <v>-877.04219988972523</v>
      </c>
      <c r="I281" s="216">
        <f t="shared" si="295"/>
        <v>-1146.7511294022315</v>
      </c>
      <c r="J281" s="216">
        <f t="shared" si="295"/>
        <v>-1095.4706293011402</v>
      </c>
      <c r="K281" s="216">
        <f t="shared" si="295"/>
        <v>-1141.4647028359441</v>
      </c>
      <c r="L281" s="196"/>
      <c r="M281" s="474">
        <f t="shared" ref="M281:Y281" si="302">M88/M$259</f>
        <v>-82.385367000000002</v>
      </c>
      <c r="N281" s="474">
        <f t="shared" si="302"/>
        <v>-195.84314879999999</v>
      </c>
      <c r="O281" s="474">
        <f t="shared" si="302"/>
        <v>-197.76445080000005</v>
      </c>
      <c r="P281" s="474">
        <f t="shared" si="302"/>
        <v>-45.434667853230344</v>
      </c>
      <c r="Q281" s="474">
        <f t="shared" si="302"/>
        <v>-268.86428239999998</v>
      </c>
      <c r="R281" s="474">
        <f t="shared" si="302"/>
        <v>-170.83664459999994</v>
      </c>
      <c r="S281" s="474">
        <f t="shared" si="302"/>
        <v>-129.88647000000006</v>
      </c>
      <c r="T281" s="474">
        <f t="shared" si="302"/>
        <v>-343.74171529999995</v>
      </c>
      <c r="U281" s="474">
        <f t="shared" si="302"/>
        <v>-151.69824032426851</v>
      </c>
      <c r="V281" s="474">
        <f t="shared" si="302"/>
        <v>-240.28408460050767</v>
      </c>
      <c r="W281" s="474">
        <f t="shared" si="302"/>
        <v>-265.40231012340109</v>
      </c>
      <c r="X281" s="474">
        <f t="shared" si="302"/>
        <v>-417.49539812707332</v>
      </c>
      <c r="Y281" s="474">
        <f t="shared" si="302"/>
        <v>-216.16025519275613</v>
      </c>
      <c r="Z281" s="518"/>
      <c r="AA281" s="474">
        <f t="shared" si="297"/>
        <v>-371.3119074</v>
      </c>
      <c r="AB281" s="474">
        <f t="shared" si="297"/>
        <v>-224.06804369999998</v>
      </c>
      <c r="AC281" s="474">
        <f t="shared" si="297"/>
        <v>-166.51569000000001</v>
      </c>
      <c r="AD281" s="474">
        <f t="shared" si="297"/>
        <v>-437.03709989999987</v>
      </c>
      <c r="AE281" s="474">
        <f t="shared" si="297"/>
        <v>-260.7361756528029</v>
      </c>
      <c r="AG281" s="660"/>
      <c r="AH281" s="660"/>
    </row>
    <row r="282" spans="2:34" ht="13.5" customHeight="1">
      <c r="B282" s="1" t="str">
        <f t="shared" si="294"/>
        <v>Net Payment for acquisition  of intangible assets</v>
      </c>
      <c r="C282" s="675"/>
      <c r="D282" s="216">
        <f t="shared" si="295"/>
        <v>-676.33480897513653</v>
      </c>
      <c r="E282" s="216">
        <f t="shared" si="295"/>
        <v>-976.48386901152219</v>
      </c>
      <c r="F282" s="216">
        <f t="shared" si="295"/>
        <v>-645.06441335949535</v>
      </c>
      <c r="G282" s="216">
        <f t="shared" si="295"/>
        <v>-931.33607612296134</v>
      </c>
      <c r="H282" s="216">
        <f t="shared" si="295"/>
        <v>-616.287731782582</v>
      </c>
      <c r="I282" s="216">
        <f t="shared" si="295"/>
        <v>-806.67335829238641</v>
      </c>
      <c r="J282" s="216">
        <f t="shared" si="295"/>
        <v>-704.02880074736117</v>
      </c>
      <c r="K282" s="216">
        <f t="shared" si="295"/>
        <v>-1205.9680697223157</v>
      </c>
      <c r="L282" s="196"/>
      <c r="M282" s="474">
        <f t="shared" ref="M282:Y282" si="303">M89/M$259</f>
        <v>-127.7271626</v>
      </c>
      <c r="N282" s="474">
        <f t="shared" si="303"/>
        <v>-328.102665</v>
      </c>
      <c r="O282" s="474">
        <f t="shared" si="303"/>
        <v>-134.42438829999998</v>
      </c>
      <c r="P282" s="474">
        <f t="shared" si="303"/>
        <v>8.7691727406034765</v>
      </c>
      <c r="Q282" s="474">
        <f t="shared" si="303"/>
        <v>-72.110827600000007</v>
      </c>
      <c r="R282" s="474">
        <f t="shared" si="303"/>
        <v>-173.04840480000001</v>
      </c>
      <c r="S282" s="474">
        <f t="shared" si="303"/>
        <v>-139.18755000000002</v>
      </c>
      <c r="T282" s="474">
        <f t="shared" si="303"/>
        <v>-234.18721959999996</v>
      </c>
      <c r="U282" s="474">
        <f t="shared" si="303"/>
        <v>-152.48130016649682</v>
      </c>
      <c r="V282" s="474">
        <f t="shared" si="303"/>
        <v>-145.15692820937878</v>
      </c>
      <c r="W282" s="474">
        <f t="shared" si="303"/>
        <v>-150.70843457388256</v>
      </c>
      <c r="X282" s="474">
        <f t="shared" si="303"/>
        <v>-248.84761530708337</v>
      </c>
      <c r="Y282" s="474">
        <f t="shared" si="303"/>
        <v>-631.68152163715126</v>
      </c>
      <c r="Z282" s="518"/>
      <c r="AA282" s="474">
        <f t="shared" si="297"/>
        <v>-99.587820199999996</v>
      </c>
      <c r="AB282" s="474">
        <f t="shared" si="297"/>
        <v>-231.9174471</v>
      </c>
      <c r="AC282" s="474">
        <f t="shared" si="297"/>
        <v>-181.58702999999997</v>
      </c>
      <c r="AD282" s="474">
        <f t="shared" si="297"/>
        <v>-298.11552239999997</v>
      </c>
      <c r="AE282" s="474">
        <f t="shared" si="297"/>
        <v>-199.54535037510109</v>
      </c>
      <c r="AG282" s="660"/>
      <c r="AH282" s="660"/>
    </row>
    <row r="283" spans="2:34" ht="13.5" customHeight="1">
      <c r="B283" s="1" t="str">
        <f t="shared" si="294"/>
        <v>Deposits interest received</v>
      </c>
      <c r="C283" s="675"/>
      <c r="D283" s="216">
        <f t="shared" si="295"/>
        <v>241.75809581564587</v>
      </c>
      <c r="E283" s="216">
        <f t="shared" si="295"/>
        <v>349.04736203759859</v>
      </c>
      <c r="F283" s="216">
        <f t="shared" si="295"/>
        <v>245.81311053442201</v>
      </c>
      <c r="G283" s="216">
        <f t="shared" si="295"/>
        <v>354.90195581998864</v>
      </c>
      <c r="H283" s="216">
        <f t="shared" si="295"/>
        <v>358.09343499730403</v>
      </c>
      <c r="I283" s="216">
        <f t="shared" si="295"/>
        <v>468.71682238150794</v>
      </c>
      <c r="J283" s="216">
        <f t="shared" si="295"/>
        <v>393.08027613374776</v>
      </c>
      <c r="K283" s="216">
        <f t="shared" si="295"/>
        <v>397.12258874674961</v>
      </c>
      <c r="L283" s="196"/>
      <c r="M283" s="474">
        <f t="shared" ref="M283:Y283" si="304">M90/M$259</f>
        <v>48.816200200000004</v>
      </c>
      <c r="N283" s="474">
        <f t="shared" si="304"/>
        <v>69.878686999999999</v>
      </c>
      <c r="O283" s="474">
        <f t="shared" si="304"/>
        <v>75.418734999999998</v>
      </c>
      <c r="P283" s="474">
        <f t="shared" si="304"/>
        <v>24.468357053987901</v>
      </c>
      <c r="Q283" s="474">
        <f t="shared" si="304"/>
        <v>69.446454000000003</v>
      </c>
      <c r="R283" s="474">
        <f t="shared" si="304"/>
        <v>91.008997499999992</v>
      </c>
      <c r="S283" s="474">
        <f t="shared" si="304"/>
        <v>83.301600000000008</v>
      </c>
      <c r="T283" s="474">
        <f t="shared" si="304"/>
        <v>121.81939560000002</v>
      </c>
      <c r="U283" s="474">
        <f t="shared" si="304"/>
        <v>93.497621276255003</v>
      </c>
      <c r="V283" s="474">
        <f t="shared" si="304"/>
        <v>92.771593605643474</v>
      </c>
      <c r="W283" s="474">
        <f t="shared" si="304"/>
        <v>155.03178810220248</v>
      </c>
      <c r="X283" s="474">
        <f t="shared" si="304"/>
        <v>52.623304168421448</v>
      </c>
      <c r="Y283" s="474">
        <f t="shared" si="304"/>
        <v>98.141614588458211</v>
      </c>
      <c r="Z283" s="518"/>
      <c r="AA283" s="474">
        <f t="shared" si="297"/>
        <v>95.908205199999998</v>
      </c>
      <c r="AB283" s="474">
        <f t="shared" si="297"/>
        <v>121.19017080000002</v>
      </c>
      <c r="AC283" s="474">
        <f t="shared" si="297"/>
        <v>108.52871999999998</v>
      </c>
      <c r="AD283" s="474">
        <f t="shared" si="297"/>
        <v>154.21883879999999</v>
      </c>
      <c r="AE283" s="474">
        <f t="shared" si="297"/>
        <v>122.35608238142966</v>
      </c>
      <c r="AG283" s="660"/>
      <c r="AH283" s="660"/>
    </row>
    <row r="284" spans="2:34" ht="13.5" customHeight="1" thickBot="1">
      <c r="B284" s="64" t="str">
        <f>B92</f>
        <v>Other investing activities</v>
      </c>
      <c r="C284" s="676"/>
      <c r="D284" s="217">
        <f t="shared" ref="D284:K284" si="305">D92/D$259</f>
        <v>-626.16434202546998</v>
      </c>
      <c r="E284" s="217">
        <f t="shared" si="305"/>
        <v>-751.29909035779258</v>
      </c>
      <c r="F284" s="217">
        <f t="shared" si="305"/>
        <v>102.71523514146466</v>
      </c>
      <c r="G284" s="217">
        <f t="shared" si="305"/>
        <v>148.29896406945602</v>
      </c>
      <c r="H284" s="217">
        <f t="shared" si="305"/>
        <v>5.0685256998030237</v>
      </c>
      <c r="I284" s="217">
        <f t="shared" si="305"/>
        <v>5.4044371875675967</v>
      </c>
      <c r="J284" s="217">
        <f t="shared" si="305"/>
        <v>-490.80990076324747</v>
      </c>
      <c r="K284" s="217">
        <f t="shared" si="305"/>
        <v>-704.90046791350937</v>
      </c>
      <c r="L284" s="196"/>
      <c r="M284" s="475">
        <f t="shared" ref="M284:Y284" si="306">M92/M$259</f>
        <v>-24.971110800000005</v>
      </c>
      <c r="N284" s="475">
        <f t="shared" si="306"/>
        <v>-173.26943179999998</v>
      </c>
      <c r="O284" s="475">
        <f t="shared" si="306"/>
        <v>-49.508289999999946</v>
      </c>
      <c r="P284" s="475">
        <f t="shared" si="306"/>
        <v>314.56424465215053</v>
      </c>
      <c r="Q284" s="475">
        <f t="shared" si="306"/>
        <v>-177.54584540000002</v>
      </c>
      <c r="R284" s="475">
        <f t="shared" si="306"/>
        <v>-19.836656699999939</v>
      </c>
      <c r="S284" s="475">
        <f t="shared" si="306"/>
        <v>444.76802999999995</v>
      </c>
      <c r="T284" s="475">
        <f t="shared" si="306"/>
        <v>-270.77727839999989</v>
      </c>
      <c r="U284" s="475">
        <f t="shared" si="306"/>
        <v>7.9873760592430543</v>
      </c>
      <c r="V284" s="475">
        <f t="shared" si="306"/>
        <v>-82.696944580005791</v>
      </c>
      <c r="W284" s="475">
        <f t="shared" si="306"/>
        <v>-112.96258247375906</v>
      </c>
      <c r="X284" s="475">
        <f t="shared" si="306"/>
        <v>-280.74569269426041</v>
      </c>
      <c r="Y284" s="475">
        <f t="shared" si="306"/>
        <v>-217.0658553831438</v>
      </c>
      <c r="Z284" s="518"/>
      <c r="AA284" s="475">
        <f>AA92/AA$259</f>
        <v>-245.1976252</v>
      </c>
      <c r="AB284" s="475">
        <f>AB92/AB$259</f>
        <v>-22.401387600000113</v>
      </c>
      <c r="AC284" s="475">
        <f>AC92/AC$259</f>
        <v>595.63364999999999</v>
      </c>
      <c r="AD284" s="475">
        <f>AD92/AD$259</f>
        <v>-362.21216769999995</v>
      </c>
      <c r="AE284" s="475">
        <f>AE92/AE$259</f>
        <v>72.66831230723777</v>
      </c>
      <c r="AG284" s="660"/>
      <c r="AH284" s="660"/>
    </row>
    <row r="285" spans="2:34" ht="13.5" customHeight="1" thickTop="1" thickBot="1">
      <c r="B285" s="76" t="str">
        <f>B91</f>
        <v xml:space="preserve">Free cash flow </v>
      </c>
      <c r="C285" s="677"/>
      <c r="D285" s="218">
        <f t="shared" ref="D285:K285" si="307">D91/D$259</f>
        <v>323.38132201334139</v>
      </c>
      <c r="E285" s="218">
        <f t="shared" si="307"/>
        <v>466.89411764705795</v>
      </c>
      <c r="F285" s="218">
        <f t="shared" si="307"/>
        <v>430.14169673186024</v>
      </c>
      <c r="G285" s="218">
        <f t="shared" si="307"/>
        <v>621.03331434479026</v>
      </c>
      <c r="H285" s="218">
        <f t="shared" si="307"/>
        <v>394.72042915761739</v>
      </c>
      <c r="I285" s="218">
        <f t="shared" si="307"/>
        <v>517.88866515775067</v>
      </c>
      <c r="J285" s="218">
        <f t="shared" si="307"/>
        <v>430.06685616525482</v>
      </c>
      <c r="K285" s="218">
        <f t="shared" si="307"/>
        <v>-253.13846505272886</v>
      </c>
      <c r="L285" s="202"/>
      <c r="M285" s="476">
        <f t="shared" ref="M285:Y285" si="308">M91/M$259</f>
        <v>-68.16633379999989</v>
      </c>
      <c r="N285" s="476">
        <f t="shared" si="308"/>
        <v>-30.929470400000227</v>
      </c>
      <c r="O285" s="476">
        <f t="shared" si="308"/>
        <v>91.686122900000115</v>
      </c>
      <c r="P285" s="476">
        <f t="shared" si="308"/>
        <v>363.01665639352393</v>
      </c>
      <c r="Q285" s="476">
        <f t="shared" si="308"/>
        <v>-157.69743100000002</v>
      </c>
      <c r="R285" s="476">
        <f t="shared" si="308"/>
        <v>6.6929399999977074E-2</v>
      </c>
      <c r="S285" s="476">
        <f t="shared" si="308"/>
        <v>163.75268999999955</v>
      </c>
      <c r="T285" s="476">
        <f t="shared" si="308"/>
        <v>335.96663270000039</v>
      </c>
      <c r="U285" s="476">
        <f t="shared" si="308"/>
        <v>-35.807178416705966</v>
      </c>
      <c r="V285" s="476">
        <f t="shared" si="308"/>
        <v>10.544155505462719</v>
      </c>
      <c r="W285" s="476">
        <f t="shared" si="308"/>
        <v>146.19979551656579</v>
      </c>
      <c r="X285" s="476">
        <f t="shared" si="308"/>
        <v>281.8572875212347</v>
      </c>
      <c r="Y285" s="476">
        <f t="shared" si="308"/>
        <v>-658.03481898293592</v>
      </c>
      <c r="Z285" s="466"/>
      <c r="AA285" s="476">
        <f>AA91/AA$259</f>
        <v>-206.08006120000005</v>
      </c>
      <c r="AB285" s="476">
        <f>AB91/AB$259</f>
        <v>25.286273400000184</v>
      </c>
      <c r="AC285" s="476">
        <f>AC91/AC$259</f>
        <v>469.25096999999994</v>
      </c>
      <c r="AD285" s="476">
        <f>AD91/AD$259</f>
        <v>171.53664360000002</v>
      </c>
      <c r="AE285" s="476">
        <f>AE91/AE$259</f>
        <v>-109.07476896145165</v>
      </c>
      <c r="AG285" s="660"/>
      <c r="AH285" s="660"/>
    </row>
    <row r="286" spans="2:34" ht="13.5" customHeight="1" thickTop="1">
      <c r="B286" s="1" t="str">
        <f t="shared" ref="B286:B294" si="309">B93</f>
        <v>Equity Issuance/Buyback</v>
      </c>
      <c r="C286" s="673"/>
      <c r="D286" s="214">
        <f t="shared" ref="D286:K294" si="310">D93/D$259</f>
        <v>0</v>
      </c>
      <c r="E286" s="214">
        <f t="shared" si="310"/>
        <v>0</v>
      </c>
      <c r="F286" s="214">
        <f t="shared" si="310"/>
        <v>0</v>
      </c>
      <c r="G286" s="214">
        <f t="shared" si="310"/>
        <v>0</v>
      </c>
      <c r="H286" s="214">
        <f t="shared" si="310"/>
        <v>0</v>
      </c>
      <c r="I286" s="214">
        <f t="shared" si="310"/>
        <v>-13.078279835867317</v>
      </c>
      <c r="J286" s="214">
        <f t="shared" si="310"/>
        <v>-6.5210806103196353</v>
      </c>
      <c r="K286" s="214">
        <f t="shared" si="310"/>
        <v>-6.226180555513591</v>
      </c>
      <c r="L286" s="196"/>
      <c r="M286" s="472">
        <f t="shared" ref="M286:Y286" si="311">M93/M$259</f>
        <v>0</v>
      </c>
      <c r="N286" s="472">
        <f t="shared" si="311"/>
        <v>0</v>
      </c>
      <c r="O286" s="472">
        <f t="shared" si="311"/>
        <v>0</v>
      </c>
      <c r="P286" s="472">
        <f t="shared" si="311"/>
        <v>0</v>
      </c>
      <c r="Q286" s="472">
        <f t="shared" si="311"/>
        <v>0</v>
      </c>
      <c r="R286" s="472">
        <f t="shared" si="311"/>
        <v>0</v>
      </c>
      <c r="S286" s="472">
        <f t="shared" si="311"/>
        <v>0</v>
      </c>
      <c r="T286" s="472">
        <f t="shared" si="311"/>
        <v>0</v>
      </c>
      <c r="U286" s="472">
        <f t="shared" si="311"/>
        <v>0</v>
      </c>
      <c r="V286" s="472">
        <f t="shared" si="311"/>
        <v>-1.3687290041546276</v>
      </c>
      <c r="W286" s="472">
        <f t="shared" si="311"/>
        <v>-9.7534184775546193E-2</v>
      </c>
      <c r="X286" s="472">
        <f t="shared" si="311"/>
        <v>-4.7459624184320983</v>
      </c>
      <c r="Y286" s="472">
        <f t="shared" si="311"/>
        <v>0</v>
      </c>
      <c r="Z286" s="554"/>
      <c r="AA286" s="472">
        <f t="shared" ref="AA286:AE294" si="312">AA93/AA$259</f>
        <v>0</v>
      </c>
      <c r="AB286" s="472">
        <f t="shared" si="312"/>
        <v>0</v>
      </c>
      <c r="AC286" s="472">
        <f t="shared" si="312"/>
        <v>-12.34212</v>
      </c>
      <c r="AD286" s="472">
        <f t="shared" si="312"/>
        <v>-0.51783020000000013</v>
      </c>
      <c r="AE286" s="472">
        <f t="shared" si="312"/>
        <v>-1.8068084236917017</v>
      </c>
      <c r="AG286" s="660"/>
      <c r="AH286" s="660"/>
    </row>
    <row r="287" spans="2:34" s="5" customFormat="1" ht="13.5" customHeight="1">
      <c r="B287" s="1" t="str">
        <f t="shared" si="309"/>
        <v xml:space="preserve">Dividends received  / Dividends Paid </v>
      </c>
      <c r="C287" s="673"/>
      <c r="D287" s="214">
        <f t="shared" si="310"/>
        <v>-145.02935112189206</v>
      </c>
      <c r="E287" s="214">
        <f t="shared" si="310"/>
        <v>-209.39157064887814</v>
      </c>
      <c r="F287" s="214">
        <f t="shared" si="310"/>
        <v>-106.99976791780071</v>
      </c>
      <c r="G287" s="214">
        <f t="shared" si="310"/>
        <v>-154.48492520623668</v>
      </c>
      <c r="H287" s="214">
        <f t="shared" si="310"/>
        <v>-232.81426016918948</v>
      </c>
      <c r="I287" s="214">
        <f t="shared" si="310"/>
        <v>-291.65771572877287</v>
      </c>
      <c r="J287" s="214">
        <f t="shared" si="310"/>
        <v>-227.49321976076592</v>
      </c>
      <c r="K287" s="214">
        <f t="shared" si="310"/>
        <v>-217.20539064402618</v>
      </c>
      <c r="L287" s="196"/>
      <c r="M287" s="472">
        <f t="shared" ref="M287:Y287" si="313">M94/M$259</f>
        <v>0</v>
      </c>
      <c r="N287" s="472">
        <f t="shared" si="313"/>
        <v>-2.4184037999999997</v>
      </c>
      <c r="O287" s="472">
        <f t="shared" si="313"/>
        <v>2.3614256999999998</v>
      </c>
      <c r="P287" s="472">
        <f t="shared" si="313"/>
        <v>-89.112689737592106</v>
      </c>
      <c r="Q287" s="472">
        <f t="shared" si="313"/>
        <v>0</v>
      </c>
      <c r="R287" s="472">
        <f t="shared" si="313"/>
        <v>0</v>
      </c>
      <c r="S287" s="472">
        <f t="shared" si="313"/>
        <v>0</v>
      </c>
      <c r="T287" s="472">
        <f t="shared" si="313"/>
        <v>-220.87163129999999</v>
      </c>
      <c r="U287" s="472">
        <f t="shared" si="313"/>
        <v>0</v>
      </c>
      <c r="V287" s="472">
        <f t="shared" si="313"/>
        <v>-94.502309704373346</v>
      </c>
      <c r="W287" s="472">
        <f t="shared" si="313"/>
        <v>-15.518233106211236</v>
      </c>
      <c r="X287" s="472">
        <f t="shared" si="313"/>
        <v>-111.03529127844527</v>
      </c>
      <c r="Y287" s="472">
        <f t="shared" si="313"/>
        <v>0</v>
      </c>
      <c r="Z287" s="554"/>
      <c r="AA287" s="472">
        <f t="shared" si="312"/>
        <v>0</v>
      </c>
      <c r="AB287" s="472">
        <f t="shared" si="312"/>
        <v>0</v>
      </c>
      <c r="AC287" s="472">
        <f t="shared" si="312"/>
        <v>0</v>
      </c>
      <c r="AD287" s="472">
        <f t="shared" si="312"/>
        <v>-276.69660529999999</v>
      </c>
      <c r="AE287" s="472">
        <f t="shared" si="312"/>
        <v>0</v>
      </c>
      <c r="AG287" s="660"/>
      <c r="AH287" s="660"/>
    </row>
    <row r="288" spans="2:34" ht="13.5" customHeight="1">
      <c r="B288" s="1" t="str">
        <f t="shared" si="309"/>
        <v>Acquisition/Repayments of bonds</v>
      </c>
      <c r="C288" s="673"/>
      <c r="D288" s="214">
        <f t="shared" si="310"/>
        <v>55.05664038811404</v>
      </c>
      <c r="E288" s="214">
        <f t="shared" si="310"/>
        <v>79.490115221346301</v>
      </c>
      <c r="F288" s="214">
        <f t="shared" si="310"/>
        <v>106.97314176002702</v>
      </c>
      <c r="G288" s="214">
        <f t="shared" si="310"/>
        <v>154.44652615144417</v>
      </c>
      <c r="H288" s="214">
        <f t="shared" si="310"/>
        <v>-12.474540851918098</v>
      </c>
      <c r="I288" s="214">
        <f t="shared" si="310"/>
        <v>-16.328216625897554</v>
      </c>
      <c r="J288" s="214">
        <f t="shared" si="310"/>
        <v>435.57634090504888</v>
      </c>
      <c r="K288" s="214">
        <f t="shared" si="310"/>
        <v>-477.06414034867197</v>
      </c>
      <c r="L288" s="196"/>
      <c r="M288" s="472">
        <f t="shared" ref="M288:Y288" si="314">M95/M$259</f>
        <v>27.392456000000006</v>
      </c>
      <c r="N288" s="472">
        <f t="shared" si="314"/>
        <v>1.7304599999990341E-2</v>
      </c>
      <c r="O288" s="472">
        <f t="shared" si="314"/>
        <v>110.80647590000004</v>
      </c>
      <c r="P288" s="472">
        <f t="shared" si="314"/>
        <v>-40.523572662347121</v>
      </c>
      <c r="Q288" s="472">
        <f t="shared" si="314"/>
        <v>65.792394799999997</v>
      </c>
      <c r="R288" s="472">
        <f t="shared" si="314"/>
        <v>8.6052174000000115</v>
      </c>
      <c r="S288" s="472">
        <f t="shared" si="314"/>
        <v>-28.888770000000047</v>
      </c>
      <c r="T288" s="472">
        <f t="shared" si="314"/>
        <v>-41.828241599999977</v>
      </c>
      <c r="U288" s="472">
        <f t="shared" si="314"/>
        <v>1035.0958806524025</v>
      </c>
      <c r="V288" s="472">
        <f t="shared" si="314"/>
        <v>-12.221938189264117</v>
      </c>
      <c r="W288" s="472">
        <f t="shared" si="314"/>
        <v>50.593958176517802</v>
      </c>
      <c r="X288" s="472">
        <f t="shared" si="314"/>
        <v>-517.5231986447543</v>
      </c>
      <c r="Y288" s="472">
        <f t="shared" si="314"/>
        <v>12.519021608547311</v>
      </c>
      <c r="Z288" s="554"/>
      <c r="AA288" s="472">
        <f t="shared" si="312"/>
        <v>90.861794200000006</v>
      </c>
      <c r="AB288" s="472">
        <f t="shared" si="312"/>
        <v>9.9952848000000216</v>
      </c>
      <c r="AC288" s="472">
        <f t="shared" si="312"/>
        <v>-39.56019000000002</v>
      </c>
      <c r="AD288" s="472">
        <f t="shared" si="312"/>
        <v>-55.470313200000049</v>
      </c>
      <c r="AE288" s="472">
        <f t="shared" si="312"/>
        <v>1354.5829157106211</v>
      </c>
      <c r="AG288" s="660"/>
      <c r="AH288" s="660"/>
    </row>
    <row r="289" spans="2:34" ht="13.5" customHeight="1">
      <c r="B289" s="1" t="str">
        <f t="shared" si="309"/>
        <v>Change in debt /Finance Costs</v>
      </c>
      <c r="C289" s="673"/>
      <c r="D289" s="214">
        <f t="shared" si="310"/>
        <v>253.19890842935104</v>
      </c>
      <c r="E289" s="214">
        <f t="shared" si="310"/>
        <v>365.56549423893233</v>
      </c>
      <c r="F289" s="214">
        <f t="shared" si="310"/>
        <v>159.37856826381423</v>
      </c>
      <c r="G289" s="214">
        <f t="shared" si="310"/>
        <v>230.10878325632433</v>
      </c>
      <c r="H289" s="214">
        <f t="shared" si="310"/>
        <v>-40.20470891428122</v>
      </c>
      <c r="I289" s="214">
        <f t="shared" si="310"/>
        <v>-52.624873960843459</v>
      </c>
      <c r="J289" s="214">
        <f t="shared" si="310"/>
        <v>-255.80603040964979</v>
      </c>
      <c r="K289" s="214">
        <f t="shared" si="310"/>
        <v>807.90269236091785</v>
      </c>
      <c r="L289" s="196"/>
      <c r="M289" s="472">
        <f t="shared" ref="M289:Y289" si="315">M96/M$259</f>
        <v>85.2687794</v>
      </c>
      <c r="N289" s="472">
        <f t="shared" si="315"/>
        <v>183.08476899999994</v>
      </c>
      <c r="O289" s="472">
        <f t="shared" si="315"/>
        <v>-3.0423744999999003</v>
      </c>
      <c r="P289" s="472">
        <f t="shared" si="315"/>
        <v>-111.27476806647742</v>
      </c>
      <c r="Q289" s="472">
        <f t="shared" si="315"/>
        <v>128.67139020000002</v>
      </c>
      <c r="R289" s="472">
        <f t="shared" si="315"/>
        <v>-1.5734589000000649</v>
      </c>
      <c r="S289" s="472">
        <f t="shared" si="315"/>
        <v>-82.652819999999977</v>
      </c>
      <c r="T289" s="472">
        <f t="shared" si="315"/>
        <v>-54.394134999999999</v>
      </c>
      <c r="U289" s="472">
        <f t="shared" si="315"/>
        <v>-97.567047428134359</v>
      </c>
      <c r="V289" s="472">
        <f t="shared" si="315"/>
        <v>231.62923886913572</v>
      </c>
      <c r="W289" s="472">
        <f t="shared" si="315"/>
        <v>16.129795492047407</v>
      </c>
      <c r="X289" s="472">
        <f t="shared" si="315"/>
        <v>-383.2657208969984</v>
      </c>
      <c r="Y289" s="472">
        <f t="shared" si="315"/>
        <v>915.17204687382025</v>
      </c>
      <c r="Z289" s="554"/>
      <c r="AA289" s="472">
        <f t="shared" si="312"/>
        <v>177.700097</v>
      </c>
      <c r="AB289" s="472">
        <f t="shared" si="312"/>
        <v>93.982875300000089</v>
      </c>
      <c r="AC289" s="472">
        <f t="shared" si="312"/>
        <v>-37.996140000000068</v>
      </c>
      <c r="AD289" s="472">
        <f t="shared" si="312"/>
        <v>-235.66031040000013</v>
      </c>
      <c r="AE289" s="472">
        <f t="shared" si="312"/>
        <v>-127.68157959405696</v>
      </c>
      <c r="AG289" s="660"/>
      <c r="AH289" s="660"/>
    </row>
    <row r="290" spans="2:34" ht="13.5" customHeight="1" thickBot="1">
      <c r="B290" s="1" t="str">
        <f t="shared" si="309"/>
        <v>Other Finance</v>
      </c>
      <c r="C290" s="673"/>
      <c r="D290" s="214">
        <f t="shared" si="310"/>
        <v>42.254760460885386</v>
      </c>
      <c r="E290" s="214">
        <f t="shared" si="310"/>
        <v>61.006913280776281</v>
      </c>
      <c r="F290" s="214">
        <f t="shared" si="310"/>
        <v>126.29208599700404</v>
      </c>
      <c r="G290" s="214">
        <f t="shared" si="310"/>
        <v>182.33896660126172</v>
      </c>
      <c r="H290" s="214">
        <f t="shared" si="310"/>
        <v>-12.559775307596452</v>
      </c>
      <c r="I290" s="214">
        <f t="shared" si="310"/>
        <v>-16.439801261762408</v>
      </c>
      <c r="J290" s="214">
        <f t="shared" si="310"/>
        <v>15.483996736624151</v>
      </c>
      <c r="K290" s="214">
        <f t="shared" si="310"/>
        <v>-91.377205487332887</v>
      </c>
      <c r="L290" s="196"/>
      <c r="M290" s="472">
        <f t="shared" ref="M290:Y290" si="316">M97/M$259</f>
        <v>-3.5158515999999991</v>
      </c>
      <c r="N290" s="472">
        <f t="shared" si="316"/>
        <v>1.0446553999999895</v>
      </c>
      <c r="O290" s="472">
        <f t="shared" si="316"/>
        <v>30.976195300000015</v>
      </c>
      <c r="P290" s="472">
        <f t="shared" si="316"/>
        <v>78.268653342205795</v>
      </c>
      <c r="Q290" s="472">
        <f t="shared" si="316"/>
        <v>-3.4800963999999999</v>
      </c>
      <c r="R290" s="472">
        <f t="shared" si="316"/>
        <v>-9.2444147999999977</v>
      </c>
      <c r="S290" s="472">
        <f t="shared" si="316"/>
        <v>-5.097029999999994</v>
      </c>
      <c r="T290" s="472">
        <f t="shared" si="316"/>
        <v>4.2735586000000074</v>
      </c>
      <c r="U290" s="472">
        <f t="shared" si="316"/>
        <v>-6.7214477219198772</v>
      </c>
      <c r="V290" s="472">
        <f t="shared" si="316"/>
        <v>-95.226903601796124</v>
      </c>
      <c r="W290" s="472">
        <f t="shared" si="316"/>
        <v>-84.537080398276842</v>
      </c>
      <c r="X290" s="472">
        <f t="shared" si="316"/>
        <v>189.06419908483059</v>
      </c>
      <c r="Y290" s="472">
        <f t="shared" si="316"/>
        <v>-106.07000409608173</v>
      </c>
      <c r="Z290" s="554"/>
      <c r="AA290" s="472">
        <f t="shared" si="312"/>
        <v>-4.806133</v>
      </c>
      <c r="AB290" s="472">
        <f t="shared" si="312"/>
        <v>-111.68613420000001</v>
      </c>
      <c r="AC290" s="472">
        <f t="shared" si="312"/>
        <v>-68.167919999999981</v>
      </c>
      <c r="AD290" s="472">
        <f t="shared" si="312"/>
        <v>158.16524939999999</v>
      </c>
      <c r="AE290" s="472">
        <f t="shared" si="312"/>
        <v>-6.9892508745916953</v>
      </c>
      <c r="AG290" s="660"/>
      <c r="AH290" s="660"/>
    </row>
    <row r="291" spans="2:34" ht="13.5" customHeight="1" thickTop="1" thickBot="1">
      <c r="B291" s="136" t="str">
        <f t="shared" si="309"/>
        <v>Cash flow after financing activities</v>
      </c>
      <c r="C291" s="678"/>
      <c r="D291" s="219">
        <f t="shared" si="310"/>
        <v>-97.302061855670189</v>
      </c>
      <c r="E291" s="219">
        <f t="shared" si="310"/>
        <v>12.265979381442174</v>
      </c>
      <c r="F291" s="219">
        <f t="shared" si="310"/>
        <v>818.50095997636947</v>
      </c>
      <c r="G291" s="219">
        <f t="shared" si="310"/>
        <v>1181.7416292170399</v>
      </c>
      <c r="H291" s="219">
        <f t="shared" si="310"/>
        <v>101.73566961443515</v>
      </c>
      <c r="I291" s="219">
        <f t="shared" si="310"/>
        <v>133.16421493217462</v>
      </c>
      <c r="J291" s="219">
        <f t="shared" si="310"/>
        <v>-99.50303773705501</v>
      </c>
      <c r="K291" s="219">
        <f t="shared" si="310"/>
        <v>-942.00915764086494</v>
      </c>
      <c r="L291" s="202"/>
      <c r="M291" s="477">
        <f t="shared" ref="M291:Y291" si="317">M98/M$259</f>
        <v>16.007939200000095</v>
      </c>
      <c r="N291" s="477">
        <f t="shared" si="317"/>
        <v>-22.470577000000301</v>
      </c>
      <c r="O291" s="477">
        <f t="shared" si="317"/>
        <v>183.27955530000031</v>
      </c>
      <c r="P291" s="477">
        <f t="shared" si="317"/>
        <v>514.93852392146357</v>
      </c>
      <c r="Q291" s="477">
        <f t="shared" si="317"/>
        <v>-144.25958779999996</v>
      </c>
      <c r="R291" s="477">
        <f t="shared" si="317"/>
        <v>-21.982383600000013</v>
      </c>
      <c r="S291" s="477">
        <f t="shared" si="317"/>
        <v>491.88209999999941</v>
      </c>
      <c r="T291" s="477">
        <f t="shared" si="317"/>
        <v>-247.63109499999945</v>
      </c>
      <c r="U291" s="477">
        <f t="shared" si="317"/>
        <v>902.98758314488532</v>
      </c>
      <c r="V291" s="477">
        <f t="shared" si="317"/>
        <v>-43.843430704995555</v>
      </c>
      <c r="W291" s="477">
        <f t="shared" si="317"/>
        <v>-0.19188097789167244</v>
      </c>
      <c r="X291" s="477">
        <f t="shared" si="317"/>
        <v>-826.39437932682517</v>
      </c>
      <c r="Y291" s="477">
        <f t="shared" si="317"/>
        <v>-53.47960997979402</v>
      </c>
      <c r="Z291" s="466"/>
      <c r="AA291" s="477">
        <f t="shared" si="312"/>
        <v>-187.52192820000002</v>
      </c>
      <c r="AB291" s="477">
        <f t="shared" si="312"/>
        <v>-4.8230882999998315</v>
      </c>
      <c r="AC291" s="477">
        <f t="shared" si="312"/>
        <v>906.81824999999992</v>
      </c>
      <c r="AD291" s="477">
        <f t="shared" si="312"/>
        <v>-600.85533380000015</v>
      </c>
      <c r="AE291" s="477">
        <f t="shared" si="312"/>
        <v>1181.698820164067</v>
      </c>
      <c r="AG291" s="660"/>
      <c r="AH291" s="660"/>
    </row>
    <row r="292" spans="2:34" s="5" customFormat="1" ht="13.5" customHeight="1" thickTop="1">
      <c r="B292" s="1" t="str">
        <f t="shared" si="309"/>
        <v xml:space="preserve">FX </v>
      </c>
      <c r="C292" s="675"/>
      <c r="D292" s="216">
        <f t="shared" si="310"/>
        <v>-1310.7341419041845</v>
      </c>
      <c r="E292" s="216">
        <f t="shared" si="310"/>
        <v>-1892.4218920557917</v>
      </c>
      <c r="F292" s="216">
        <f t="shared" si="310"/>
        <v>-696.34647762516613</v>
      </c>
      <c r="G292" s="216">
        <f t="shared" si="310"/>
        <v>-1005.3765006224023</v>
      </c>
      <c r="H292" s="216">
        <f t="shared" si="310"/>
        <v>-774.67726360232848</v>
      </c>
      <c r="I292" s="216">
        <f t="shared" si="310"/>
        <v>-1013.9930727965613</v>
      </c>
      <c r="J292" s="216">
        <f t="shared" si="310"/>
        <v>-461.91373320446917</v>
      </c>
      <c r="K292" s="216">
        <f t="shared" si="310"/>
        <v>-467.10226596317483</v>
      </c>
      <c r="L292" s="196"/>
      <c r="M292" s="474">
        <f t="shared" ref="M292:Y292" si="318">M99/M$259</f>
        <v>-183.62144079999999</v>
      </c>
      <c r="N292" s="474">
        <f t="shared" si="318"/>
        <v>-4.4999599999995553E-2</v>
      </c>
      <c r="O292" s="474">
        <f t="shared" si="318"/>
        <v>-519.79676099999995</v>
      </c>
      <c r="P292" s="474">
        <f t="shared" si="318"/>
        <v>78.762830824185414</v>
      </c>
      <c r="Q292" s="474">
        <f t="shared" si="318"/>
        <v>-274.49217379999999</v>
      </c>
      <c r="R292" s="474">
        <f t="shared" si="318"/>
        <v>-179.59633110000001</v>
      </c>
      <c r="S292" s="474">
        <f t="shared" si="318"/>
        <v>-215.49698999999998</v>
      </c>
      <c r="T292" s="474">
        <f t="shared" si="318"/>
        <v>-151.70583929999998</v>
      </c>
      <c r="U292" s="474">
        <f t="shared" si="318"/>
        <v>-175.41114783429833</v>
      </c>
      <c r="V292" s="474">
        <f t="shared" si="318"/>
        <v>-155.11654388696522</v>
      </c>
      <c r="W292" s="474">
        <f t="shared" si="318"/>
        <v>-215.46267441774938</v>
      </c>
      <c r="X292" s="474">
        <f t="shared" si="318"/>
        <v>68.681782261613549</v>
      </c>
      <c r="Y292" s="474">
        <f t="shared" si="318"/>
        <v>-170.059885172413</v>
      </c>
      <c r="Z292" s="518"/>
      <c r="AA292" s="474">
        <f t="shared" si="312"/>
        <v>-379.08407939999995</v>
      </c>
      <c r="AB292" s="474">
        <f t="shared" si="312"/>
        <v>-235.75890419999999</v>
      </c>
      <c r="AC292" s="474">
        <f t="shared" si="312"/>
        <v>-280.40258999999992</v>
      </c>
      <c r="AD292" s="474">
        <f t="shared" si="312"/>
        <v>-184.56389660000005</v>
      </c>
      <c r="AE292" s="474">
        <f t="shared" si="312"/>
        <v>-229.55255695545449</v>
      </c>
      <c r="AG292" s="660"/>
      <c r="AH292" s="660"/>
    </row>
    <row r="293" spans="2:34" s="5" customFormat="1" ht="13.5" customHeight="1">
      <c r="B293" s="1" t="str">
        <f t="shared" si="309"/>
        <v>Balancing figure</v>
      </c>
      <c r="C293" s="675"/>
      <c r="D293" s="216">
        <f t="shared" si="310"/>
        <v>943.72043662825968</v>
      </c>
      <c r="E293" s="216">
        <f t="shared" si="310"/>
        <v>1209.7825348696192</v>
      </c>
      <c r="F293" s="216">
        <f t="shared" si="310"/>
        <v>345.49836487541444</v>
      </c>
      <c r="G293" s="216">
        <f t="shared" si="310"/>
        <v>498.8262970230175</v>
      </c>
      <c r="H293" s="216">
        <f t="shared" si="310"/>
        <v>397.0223077883814</v>
      </c>
      <c r="I293" s="216">
        <f t="shared" si="310"/>
        <v>519.67167370861296</v>
      </c>
      <c r="J293" s="216">
        <f t="shared" si="310"/>
        <v>609.64260464986728</v>
      </c>
      <c r="K293" s="216">
        <f t="shared" si="310"/>
        <v>536.75259685048195</v>
      </c>
      <c r="L293" s="196"/>
      <c r="M293" s="474">
        <f t="shared" ref="M293:Y293" si="319">M100/M$259</f>
        <v>45.852567799999903</v>
      </c>
      <c r="N293" s="474">
        <f t="shared" si="319"/>
        <v>403.34711500000031</v>
      </c>
      <c r="O293" s="474">
        <f t="shared" si="319"/>
        <v>93.255333899999684</v>
      </c>
      <c r="P293" s="474">
        <f t="shared" si="319"/>
        <v>-213.36940396451226</v>
      </c>
      <c r="Q293" s="474">
        <f t="shared" si="319"/>
        <v>99.603940599999959</v>
      </c>
      <c r="R293" s="474">
        <f t="shared" si="319"/>
        <v>92.290204200000019</v>
      </c>
      <c r="S293" s="474">
        <f t="shared" si="319"/>
        <v>301.06500000000057</v>
      </c>
      <c r="T293" s="474">
        <f t="shared" si="319"/>
        <v>-75.041162000000625</v>
      </c>
      <c r="U293" s="474">
        <f t="shared" si="319"/>
        <v>176.61564076439444</v>
      </c>
      <c r="V293" s="474">
        <f t="shared" si="319"/>
        <v>294.13332507055651</v>
      </c>
      <c r="W293" s="474">
        <f t="shared" si="319"/>
        <v>209.36615039094559</v>
      </c>
      <c r="X293" s="474">
        <f t="shared" si="319"/>
        <v>-53.152791645175434</v>
      </c>
      <c r="Y293" s="474">
        <f t="shared" si="319"/>
        <v>103.46780228053338</v>
      </c>
      <c r="Z293" s="518"/>
      <c r="AA293" s="474">
        <f t="shared" si="312"/>
        <v>125.85066400000004</v>
      </c>
      <c r="AB293" s="474">
        <f t="shared" si="312"/>
        <v>100.87651079999985</v>
      </c>
      <c r="AC293" s="474">
        <f t="shared" si="312"/>
        <v>149.55036000000007</v>
      </c>
      <c r="AD293" s="474">
        <f t="shared" si="312"/>
        <v>159.38841300000033</v>
      </c>
      <c r="AE293" s="474">
        <f t="shared" si="312"/>
        <v>231.12881003067628</v>
      </c>
      <c r="AG293" s="660"/>
      <c r="AH293" s="660"/>
    </row>
    <row r="294" spans="2:34" s="5" customFormat="1" ht="13.5" customHeight="1" thickBot="1">
      <c r="B294" s="76" t="str">
        <f t="shared" si="309"/>
        <v xml:space="preserve">Net change in cash </v>
      </c>
      <c r="C294" s="677"/>
      <c r="D294" s="218">
        <f t="shared" si="310"/>
        <v>-464.31576713159512</v>
      </c>
      <c r="E294" s="218">
        <f t="shared" si="310"/>
        <v>-670.37337780473013</v>
      </c>
      <c r="F294" s="218">
        <f t="shared" si="310"/>
        <v>467.65284722661784</v>
      </c>
      <c r="G294" s="218">
        <f t="shared" si="310"/>
        <v>675.191425617655</v>
      </c>
      <c r="H294" s="218">
        <f t="shared" si="310"/>
        <v>-275.91928619951199</v>
      </c>
      <c r="I294" s="218">
        <f t="shared" si="310"/>
        <v>-361.15718415577368</v>
      </c>
      <c r="J294" s="218">
        <f t="shared" si="310"/>
        <v>48.225833708343131</v>
      </c>
      <c r="K294" s="218">
        <f t="shared" si="310"/>
        <v>-405.25656079038293</v>
      </c>
      <c r="L294" s="202"/>
      <c r="M294" s="476">
        <f t="shared" ref="M294:Y294" si="320">M101/M$259</f>
        <v>61.860506999999998</v>
      </c>
      <c r="N294" s="476">
        <f t="shared" si="320"/>
        <v>380.87653799999998</v>
      </c>
      <c r="O294" s="476">
        <f t="shared" si="320"/>
        <v>276.53488920000001</v>
      </c>
      <c r="P294" s="476">
        <f t="shared" si="320"/>
        <v>301.56911995695128</v>
      </c>
      <c r="Q294" s="476">
        <f t="shared" si="320"/>
        <v>-44.655647200000004</v>
      </c>
      <c r="R294" s="476">
        <f t="shared" si="320"/>
        <v>70.307820599999999</v>
      </c>
      <c r="S294" s="476">
        <f t="shared" si="320"/>
        <v>792.94709999999998</v>
      </c>
      <c r="T294" s="476">
        <f t="shared" si="320"/>
        <v>-322.67225700000006</v>
      </c>
      <c r="U294" s="476">
        <f t="shared" si="320"/>
        <v>1079.6032239092797</v>
      </c>
      <c r="V294" s="476">
        <f t="shared" si="320"/>
        <v>250.28989436556097</v>
      </c>
      <c r="W294" s="476">
        <f t="shared" si="320"/>
        <v>209.17426941305391</v>
      </c>
      <c r="X294" s="476">
        <f t="shared" si="320"/>
        <v>-879.54717097200057</v>
      </c>
      <c r="Y294" s="476">
        <f t="shared" si="320"/>
        <v>49.98819230073935</v>
      </c>
      <c r="Z294" s="466"/>
      <c r="AA294" s="476">
        <f t="shared" si="312"/>
        <v>-61.671264200000003</v>
      </c>
      <c r="AB294" s="476">
        <f t="shared" si="312"/>
        <v>96.053422500000025</v>
      </c>
      <c r="AC294" s="476">
        <f t="shared" si="312"/>
        <v>1056.3686099999998</v>
      </c>
      <c r="AD294" s="476">
        <f t="shared" si="312"/>
        <v>-1403.4453835999998</v>
      </c>
      <c r="AE294" s="476">
        <f t="shared" si="312"/>
        <v>1412.8276301947433</v>
      </c>
      <c r="AG294" s="660"/>
      <c r="AH294" s="660"/>
    </row>
    <row r="295" spans="2:34" ht="13.5" customHeight="1" thickTop="1">
      <c r="B295" s="225" t="s">
        <v>544</v>
      </c>
      <c r="C295" s="679"/>
      <c r="D295" s="274">
        <f>D226/D258</f>
        <v>2287.7031601803374</v>
      </c>
      <c r="E295" s="679"/>
      <c r="F295" s="274">
        <f t="shared" ref="F295:K295" si="321">F226/F258</f>
        <v>1697.7504059351456</v>
      </c>
      <c r="G295" s="274">
        <f t="shared" si="321"/>
        <v>2451.1911733733723</v>
      </c>
      <c r="H295" s="274">
        <f t="shared" si="321"/>
        <v>1950.8796660534879</v>
      </c>
      <c r="I295" s="274">
        <f t="shared" si="321"/>
        <v>2553.5518041601808</v>
      </c>
      <c r="J295" s="274">
        <f t="shared" si="321"/>
        <v>2137.5945268362407</v>
      </c>
      <c r="K295" s="274">
        <f t="shared" si="321"/>
        <v>2154.4534650659002</v>
      </c>
      <c r="L295" s="274"/>
      <c r="M295" s="660"/>
      <c r="N295" s="660"/>
      <c r="O295" s="660"/>
      <c r="P295" s="274">
        <f t="shared" ref="P295:Y295" si="322">P226/P258</f>
        <v>1697.7504059351456</v>
      </c>
      <c r="Q295" s="274">
        <f t="shared" si="322"/>
        <v>1502.3841448000001</v>
      </c>
      <c r="R295" s="274">
        <f t="shared" si="322"/>
        <v>1530.7780725</v>
      </c>
      <c r="S295" s="274">
        <f t="shared" si="322"/>
        <v>2365.4529303999998</v>
      </c>
      <c r="T295" s="274">
        <f t="shared" si="322"/>
        <v>1950.8796660534879</v>
      </c>
      <c r="U295" s="274">
        <f t="shared" si="322"/>
        <v>2857.555908143283</v>
      </c>
      <c r="V295" s="274">
        <f t="shared" si="322"/>
        <v>2933.9218819195617</v>
      </c>
      <c r="W295" s="274">
        <f t="shared" si="322"/>
        <v>2942.0741513807798</v>
      </c>
      <c r="X295" s="274">
        <f t="shared" si="322"/>
        <v>2137.5945268362407</v>
      </c>
      <c r="Y295" s="274">
        <f t="shared" si="322"/>
        <v>2154.4534650659002</v>
      </c>
      <c r="Z295" s="274"/>
      <c r="AA295" s="660"/>
      <c r="AB295" s="660"/>
      <c r="AC295" s="660"/>
      <c r="AD295" s="274">
        <f>AD226/AD258</f>
        <v>1950.8796660534879</v>
      </c>
      <c r="AE295" s="274">
        <f>AE226/AE258</f>
        <v>2857.555908143283</v>
      </c>
      <c r="AG295" s="660"/>
      <c r="AH295" s="660"/>
    </row>
    <row r="296" spans="2:34" ht="13.5" customHeight="1">
      <c r="B296" s="225"/>
      <c r="C296" s="52"/>
      <c r="D296" s="52"/>
      <c r="E296" s="52"/>
      <c r="F296" s="52"/>
      <c r="G296" s="52"/>
      <c r="H296" s="52"/>
      <c r="I296" s="52"/>
      <c r="J296" s="52"/>
      <c r="K296" s="52"/>
      <c r="L296" s="52"/>
      <c r="P296" s="52"/>
      <c r="Q296" s="52"/>
      <c r="R296" s="52"/>
      <c r="S296" s="52"/>
      <c r="T296" s="52"/>
      <c r="U296" s="52"/>
      <c r="V296" s="52"/>
      <c r="W296" s="52"/>
      <c r="X296" s="52"/>
      <c r="Y296" s="52"/>
      <c r="Z296" s="52"/>
      <c r="AB296" s="470"/>
      <c r="AC296" s="470"/>
      <c r="AD296" s="470"/>
      <c r="AE296" s="470"/>
    </row>
    <row r="297" spans="2:34" ht="13.5" customHeight="1">
      <c r="B297" s="225" t="s">
        <v>545</v>
      </c>
      <c r="C297" s="679"/>
      <c r="D297" s="274">
        <f>D228/D258</f>
        <v>2188.8103196547286</v>
      </c>
      <c r="E297" s="679"/>
      <c r="F297" s="274">
        <f t="shared" ref="F297:K297" si="323">F228/F258</f>
        <v>1076.0815878688231</v>
      </c>
      <c r="G297" s="274">
        <f t="shared" si="323"/>
        <v>1553.6334082926262</v>
      </c>
      <c r="H297" s="274">
        <f t="shared" si="323"/>
        <v>865.52715437951042</v>
      </c>
      <c r="I297" s="274">
        <f t="shared" si="323"/>
        <v>1132.9086741191456</v>
      </c>
      <c r="J297" s="274">
        <f t="shared" si="323"/>
        <v>1195.0204964302925</v>
      </c>
      <c r="K297" s="274">
        <f t="shared" si="323"/>
        <v>2122.2947696142278</v>
      </c>
      <c r="L297" s="274"/>
      <c r="M297" s="660"/>
      <c r="N297" s="660"/>
      <c r="O297" s="660"/>
      <c r="P297" s="274">
        <f t="shared" ref="P297:Y297" si="324">P228/P258</f>
        <v>1076.0815878688231</v>
      </c>
      <c r="Q297" s="274">
        <f t="shared" si="324"/>
        <v>1419.0709764000005</v>
      </c>
      <c r="R297" s="274">
        <f t="shared" si="324"/>
        <v>1401.4723159999999</v>
      </c>
      <c r="S297" s="274">
        <f t="shared" si="324"/>
        <v>637.31175400000029</v>
      </c>
      <c r="T297" s="274">
        <f t="shared" si="324"/>
        <v>865.52715437951042</v>
      </c>
      <c r="U297" s="274">
        <f t="shared" si="324"/>
        <v>945.65001041070923</v>
      </c>
      <c r="V297" s="274">
        <f t="shared" si="324"/>
        <v>1055.2158400096625</v>
      </c>
      <c r="W297" s="274">
        <f t="shared" si="324"/>
        <v>1052.057871550455</v>
      </c>
      <c r="X297" s="274">
        <f t="shared" si="324"/>
        <v>1195.0204964302925</v>
      </c>
      <c r="Y297" s="274">
        <f t="shared" si="324"/>
        <v>2122.2947696142278</v>
      </c>
      <c r="Z297" s="274"/>
      <c r="AA297" s="660"/>
      <c r="AB297" s="660"/>
      <c r="AC297" s="660"/>
      <c r="AD297" s="274">
        <f>AD228/AD258</f>
        <v>865.52715437951042</v>
      </c>
      <c r="AE297" s="274">
        <f>AE228/AE258</f>
        <v>945.65001041070923</v>
      </c>
      <c r="AG297" s="660"/>
      <c r="AH297" s="660"/>
    </row>
    <row r="298" spans="2:34" ht="13.5" customHeight="1">
      <c r="B298" s="225" t="s">
        <v>546</v>
      </c>
      <c r="C298" s="679"/>
      <c r="D298" s="274">
        <f>D229/D258</f>
        <v>4476.5134798350655</v>
      </c>
      <c r="E298" s="679"/>
      <c r="F298" s="274">
        <f t="shared" ref="F298:K298" si="325">F229/F258</f>
        <v>2773.8319938039685</v>
      </c>
      <c r="G298" s="274">
        <f t="shared" si="325"/>
        <v>4004.8245816659983</v>
      </c>
      <c r="H298" s="274">
        <f t="shared" si="325"/>
        <v>2816.4068204329983</v>
      </c>
      <c r="I298" s="274">
        <f t="shared" si="325"/>
        <v>3686.4604782793267</v>
      </c>
      <c r="J298" s="274">
        <f t="shared" si="325"/>
        <v>3332.6150232665327</v>
      </c>
      <c r="K298" s="274">
        <f t="shared" si="325"/>
        <v>4276.748234680128</v>
      </c>
      <c r="L298" s="274"/>
      <c r="M298" s="660"/>
      <c r="N298" s="660"/>
      <c r="O298" s="660"/>
      <c r="P298" s="274">
        <f t="shared" ref="P298:Y298" si="326">P229/P258</f>
        <v>2773.8319938039685</v>
      </c>
      <c r="Q298" s="274">
        <f t="shared" si="326"/>
        <v>2921.4551212000006</v>
      </c>
      <c r="R298" s="274">
        <f t="shared" si="326"/>
        <v>2932.2503885000001</v>
      </c>
      <c r="S298" s="274">
        <f t="shared" si="326"/>
        <v>3002.7646844000001</v>
      </c>
      <c r="T298" s="274">
        <f t="shared" si="326"/>
        <v>2816.4068204329983</v>
      </c>
      <c r="U298" s="274">
        <f t="shared" si="326"/>
        <v>3803.2059185539924</v>
      </c>
      <c r="V298" s="274">
        <f t="shared" si="326"/>
        <v>3989.137721929224</v>
      </c>
      <c r="W298" s="274">
        <f t="shared" si="326"/>
        <v>3994.1320229312346</v>
      </c>
      <c r="X298" s="274">
        <f t="shared" si="326"/>
        <v>3332.6150232665327</v>
      </c>
      <c r="Y298" s="274">
        <f t="shared" si="326"/>
        <v>4276.748234680128</v>
      </c>
      <c r="Z298" s="274"/>
      <c r="AA298" s="660"/>
      <c r="AB298" s="660"/>
      <c r="AC298" s="660"/>
      <c r="AD298" s="274">
        <f>AD229/AD258</f>
        <v>2816.4068204329983</v>
      </c>
      <c r="AE298" s="274">
        <f>AE229/AE258</f>
        <v>3803.2059185539924</v>
      </c>
      <c r="AG298" s="660"/>
      <c r="AH298" s="660"/>
    </row>
    <row r="299" spans="2:34" ht="13.5" customHeight="1">
      <c r="C299" s="680"/>
      <c r="D299" s="52"/>
      <c r="E299" s="680"/>
      <c r="F299" s="52"/>
      <c r="G299" s="52"/>
      <c r="H299" s="52"/>
      <c r="I299" s="52"/>
      <c r="J299" s="52"/>
      <c r="K299" s="52"/>
      <c r="L299" s="52"/>
      <c r="M299" s="660"/>
      <c r="N299" s="660"/>
      <c r="O299" s="660"/>
      <c r="P299" s="74"/>
      <c r="Q299" s="74"/>
      <c r="R299" s="74"/>
      <c r="S299" s="74"/>
      <c r="T299" s="74"/>
      <c r="U299" s="74"/>
      <c r="V299" s="74"/>
      <c r="W299" s="74"/>
      <c r="X299" s="74"/>
      <c r="Y299" s="74"/>
      <c r="Z299" s="74"/>
      <c r="AA299" s="660"/>
      <c r="AB299" s="660"/>
      <c r="AC299" s="660"/>
      <c r="AD299" s="74"/>
      <c r="AE299" s="74"/>
      <c r="AG299" s="660"/>
      <c r="AH299" s="660"/>
    </row>
    <row r="300" spans="2:34" ht="13.5" customHeight="1">
      <c r="B300" s="224" t="s">
        <v>515</v>
      </c>
      <c r="C300" s="679"/>
      <c r="D300" s="274">
        <f>D231/D$258</f>
        <v>2188.8103196547286</v>
      </c>
      <c r="E300" s="679"/>
      <c r="F300" s="274">
        <f t="shared" ref="F300:K301" si="327">F231/F$258</f>
        <v>1076.0815878688231</v>
      </c>
      <c r="G300" s="274">
        <f t="shared" si="327"/>
        <v>1553.6334082926262</v>
      </c>
      <c r="H300" s="274">
        <f t="shared" si="327"/>
        <v>865.52715437951042</v>
      </c>
      <c r="I300" s="274">
        <f t="shared" si="327"/>
        <v>1132.9086741191456</v>
      </c>
      <c r="J300" s="274">
        <f t="shared" si="327"/>
        <v>1195.0204964302925</v>
      </c>
      <c r="K300" s="274">
        <f t="shared" si="327"/>
        <v>2122.2947696142278</v>
      </c>
      <c r="L300" s="274"/>
      <c r="M300" s="660"/>
      <c r="N300" s="660"/>
      <c r="O300" s="660"/>
      <c r="P300" s="274">
        <f t="shared" ref="P300:Y300" si="328">P231/P$258</f>
        <v>1076.0815878688231</v>
      </c>
      <c r="Q300" s="274">
        <f t="shared" si="328"/>
        <v>1419.0709764000005</v>
      </c>
      <c r="R300" s="274">
        <f t="shared" si="328"/>
        <v>1401.4723159999999</v>
      </c>
      <c r="S300" s="274">
        <f t="shared" si="328"/>
        <v>637.31175400000029</v>
      </c>
      <c r="T300" s="274">
        <f t="shared" si="328"/>
        <v>865.52715437951042</v>
      </c>
      <c r="U300" s="274">
        <f t="shared" si="328"/>
        <v>945.65001041070923</v>
      </c>
      <c r="V300" s="274">
        <f t="shared" si="328"/>
        <v>1055.2158400096625</v>
      </c>
      <c r="W300" s="274">
        <f t="shared" si="328"/>
        <v>1052.057871550455</v>
      </c>
      <c r="X300" s="274">
        <f t="shared" si="328"/>
        <v>1195.0204964302925</v>
      </c>
      <c r="Y300" s="274">
        <f t="shared" si="328"/>
        <v>2122.2947696142278</v>
      </c>
      <c r="Z300" s="274"/>
      <c r="AA300" s="660"/>
      <c r="AB300" s="660"/>
      <c r="AC300" s="660"/>
      <c r="AD300" s="274">
        <f>AD231/AD$258</f>
        <v>865.52715437951042</v>
      </c>
      <c r="AE300" s="274">
        <f>AE231/AE$258</f>
        <v>945.65001041070923</v>
      </c>
      <c r="AG300" s="660"/>
      <c r="AH300" s="660"/>
    </row>
    <row r="301" spans="2:34" ht="13.5" customHeight="1">
      <c r="B301" s="224" t="s">
        <v>516</v>
      </c>
      <c r="C301" s="679"/>
      <c r="D301" s="274">
        <f>D232/D$258</f>
        <v>4476.5134798350655</v>
      </c>
      <c r="E301" s="679"/>
      <c r="F301" s="274">
        <f t="shared" si="327"/>
        <v>2773.8319938039685</v>
      </c>
      <c r="G301" s="274">
        <f t="shared" si="327"/>
        <v>4004.8245816659983</v>
      </c>
      <c r="H301" s="274">
        <f t="shared" si="327"/>
        <v>2816.4068204329983</v>
      </c>
      <c r="I301" s="274">
        <f t="shared" si="327"/>
        <v>3686.4604782793267</v>
      </c>
      <c r="J301" s="274">
        <f t="shared" si="327"/>
        <v>3332.6150232665327</v>
      </c>
      <c r="K301" s="274">
        <f t="shared" si="327"/>
        <v>4276.748234680128</v>
      </c>
      <c r="L301" s="274"/>
      <c r="M301" s="660"/>
      <c r="N301" s="660"/>
      <c r="O301" s="660"/>
      <c r="P301" s="274">
        <f t="shared" ref="P301:Y301" si="329">P232/P$258</f>
        <v>2773.8319938039685</v>
      </c>
      <c r="Q301" s="274">
        <f t="shared" si="329"/>
        <v>2921.4551212000006</v>
      </c>
      <c r="R301" s="274">
        <f t="shared" si="329"/>
        <v>2932.2503885000001</v>
      </c>
      <c r="S301" s="274">
        <f t="shared" si="329"/>
        <v>3002.7646844000001</v>
      </c>
      <c r="T301" s="274">
        <f t="shared" si="329"/>
        <v>2816.4068204329983</v>
      </c>
      <c r="U301" s="274">
        <f t="shared" si="329"/>
        <v>3803.2059185539924</v>
      </c>
      <c r="V301" s="274">
        <f t="shared" si="329"/>
        <v>3989.137721929224</v>
      </c>
      <c r="W301" s="274">
        <f t="shared" si="329"/>
        <v>3994.1320229312346</v>
      </c>
      <c r="X301" s="274">
        <f t="shared" si="329"/>
        <v>3332.6150232665327</v>
      </c>
      <c r="Y301" s="274">
        <f t="shared" si="329"/>
        <v>4276.748234680128</v>
      </c>
      <c r="Z301" s="274"/>
      <c r="AA301" s="660"/>
      <c r="AB301" s="660"/>
      <c r="AC301" s="660"/>
      <c r="AD301" s="274">
        <f>AD232/AD$258</f>
        <v>2816.4068204329983</v>
      </c>
      <c r="AE301" s="274">
        <f>AE232/AE$258</f>
        <v>3803.2059185539924</v>
      </c>
      <c r="AG301" s="660"/>
      <c r="AH301" s="660"/>
    </row>
    <row r="302" spans="2:34" ht="13.5" customHeight="1">
      <c r="C302" s="680"/>
      <c r="D302" s="52"/>
      <c r="E302" s="680"/>
      <c r="F302" s="52"/>
      <c r="G302" s="52"/>
      <c r="H302" s="52"/>
      <c r="I302" s="52"/>
      <c r="J302" s="52"/>
      <c r="K302" s="52"/>
      <c r="L302" s="52"/>
      <c r="M302" s="660"/>
      <c r="N302" s="660"/>
      <c r="O302" s="660"/>
      <c r="P302" s="52"/>
      <c r="Q302" s="52"/>
      <c r="R302" s="52"/>
      <c r="S302" s="52"/>
      <c r="T302" s="52"/>
      <c r="U302" s="52"/>
      <c r="V302" s="52"/>
      <c r="W302" s="52"/>
      <c r="X302" s="52"/>
      <c r="Y302" s="52"/>
      <c r="Z302" s="52"/>
      <c r="AA302" s="660"/>
      <c r="AB302" s="660"/>
      <c r="AC302" s="660"/>
      <c r="AD302" s="52"/>
      <c r="AE302" s="52"/>
      <c r="AG302" s="660"/>
      <c r="AH302" s="660"/>
    </row>
    <row r="303" spans="2:34" ht="13.5" customHeight="1">
      <c r="B303" s="5" t="s">
        <v>517</v>
      </c>
      <c r="C303" s="679"/>
      <c r="D303" s="274">
        <f>D234/D$258</f>
        <v>2458.0429771690478</v>
      </c>
      <c r="E303" s="679"/>
      <c r="F303" s="274">
        <f t="shared" ref="F303:K304" si="330">F234/F$258</f>
        <v>1158.5454613393479</v>
      </c>
      <c r="G303" s="274">
        <f t="shared" si="330"/>
        <v>1672.69371089265</v>
      </c>
      <c r="H303" s="274">
        <f t="shared" si="330"/>
        <v>1002.0072449412766</v>
      </c>
      <c r="I303" s="274">
        <f t="shared" si="330"/>
        <v>1311.5506438375555</v>
      </c>
      <c r="J303" s="274">
        <f t="shared" si="330"/>
        <v>1555.4670881567647</v>
      </c>
      <c r="K303" s="274">
        <f t="shared" si="330"/>
        <v>2487.3841097591426</v>
      </c>
      <c r="L303" s="274"/>
      <c r="M303" s="660"/>
      <c r="N303" s="660"/>
      <c r="O303" s="660"/>
      <c r="P303" s="274">
        <f t="shared" ref="P303:Y303" si="331">P234/P$258</f>
        <v>1158.5454613393479</v>
      </c>
      <c r="Q303" s="274">
        <f t="shared" si="331"/>
        <v>1517.5413484000005</v>
      </c>
      <c r="R303" s="274">
        <f t="shared" si="331"/>
        <v>1494.5392534999999</v>
      </c>
      <c r="S303" s="274">
        <f t="shared" si="331"/>
        <v>751.01707960000022</v>
      </c>
      <c r="T303" s="274">
        <f t="shared" si="331"/>
        <v>1002.0072449412766</v>
      </c>
      <c r="U303" s="274">
        <f t="shared" si="331"/>
        <v>1114.6305779656686</v>
      </c>
      <c r="V303" s="274">
        <f t="shared" si="331"/>
        <v>1415.5406316679414</v>
      </c>
      <c r="W303" s="274">
        <f t="shared" si="331"/>
        <v>1417.1893606379185</v>
      </c>
      <c r="X303" s="274">
        <f t="shared" si="331"/>
        <v>1555.4670881567647</v>
      </c>
      <c r="Y303" s="274">
        <f t="shared" si="331"/>
        <v>2487.3841097591426</v>
      </c>
      <c r="Z303" s="274"/>
      <c r="AA303" s="660"/>
      <c r="AB303" s="660"/>
      <c r="AC303" s="660"/>
      <c r="AD303" s="274">
        <f>AD234/AD$258</f>
        <v>1002.0072449412766</v>
      </c>
      <c r="AE303" s="274">
        <f>AE234/AE$258</f>
        <v>1114.6305779656686</v>
      </c>
      <c r="AG303" s="660"/>
      <c r="AH303" s="660"/>
    </row>
    <row r="304" spans="2:34" ht="13.5" customHeight="1">
      <c r="B304" s="5" t="s">
        <v>518</v>
      </c>
      <c r="C304" s="679"/>
      <c r="D304" s="274">
        <f>D235/D$258</f>
        <v>4745.7461373493852</v>
      </c>
      <c r="E304" s="679"/>
      <c r="F304" s="274">
        <f t="shared" si="330"/>
        <v>2856.2958672744935</v>
      </c>
      <c r="G304" s="274">
        <f t="shared" si="330"/>
        <v>4123.8848842660218</v>
      </c>
      <c r="H304" s="274">
        <f t="shared" si="330"/>
        <v>2952.8869109947645</v>
      </c>
      <c r="I304" s="274">
        <f t="shared" si="330"/>
        <v>3865.1024479977364</v>
      </c>
      <c r="J304" s="274">
        <f t="shared" si="330"/>
        <v>3693.0616149930052</v>
      </c>
      <c r="K304" s="274">
        <f t="shared" si="330"/>
        <v>4641.8375748250428</v>
      </c>
      <c r="L304" s="274"/>
      <c r="M304" s="660"/>
      <c r="N304" s="660"/>
      <c r="O304" s="660"/>
      <c r="P304" s="274">
        <f t="shared" ref="P304:Y304" si="332">P235/P$258</f>
        <v>2856.2958672744935</v>
      </c>
      <c r="Q304" s="274">
        <f t="shared" si="332"/>
        <v>3019.9254932000003</v>
      </c>
      <c r="R304" s="274">
        <f t="shared" si="332"/>
        <v>3025.3173259999999</v>
      </c>
      <c r="S304" s="274">
        <f t="shared" si="332"/>
        <v>3116.47001</v>
      </c>
      <c r="T304" s="274">
        <f t="shared" si="332"/>
        <v>2952.8869109947645</v>
      </c>
      <c r="U304" s="274">
        <f t="shared" si="332"/>
        <v>3972.1864861089516</v>
      </c>
      <c r="V304" s="274">
        <f t="shared" si="332"/>
        <v>4349.4625135875031</v>
      </c>
      <c r="W304" s="274">
        <f t="shared" si="332"/>
        <v>4359.2635120186978</v>
      </c>
      <c r="X304" s="274">
        <f t="shared" si="332"/>
        <v>3693.0616149930052</v>
      </c>
      <c r="Y304" s="274">
        <f t="shared" si="332"/>
        <v>4641.8375748250428</v>
      </c>
      <c r="Z304" s="274"/>
      <c r="AA304" s="660"/>
      <c r="AB304" s="660"/>
      <c r="AC304" s="660"/>
      <c r="AD304" s="274">
        <f>AD235/AD$258</f>
        <v>2952.8869109947645</v>
      </c>
      <c r="AE304" s="274">
        <f>AE235/AE$258</f>
        <v>3972.1864861089516</v>
      </c>
      <c r="AG304" s="660"/>
      <c r="AH304" s="660"/>
    </row>
    <row r="305" spans="2:34" ht="13.5" customHeight="1">
      <c r="B305" s="224"/>
      <c r="C305" s="680"/>
      <c r="D305" s="52"/>
      <c r="E305" s="680"/>
      <c r="F305" s="52"/>
      <c r="G305" s="52"/>
      <c r="H305" s="52"/>
      <c r="I305" s="52"/>
      <c r="J305" s="52"/>
      <c r="K305" s="52"/>
      <c r="L305" s="52"/>
      <c r="M305" s="660"/>
      <c r="N305" s="660"/>
      <c r="O305" s="660"/>
      <c r="P305" s="52"/>
      <c r="Q305" s="52"/>
      <c r="R305" s="52"/>
      <c r="S305" s="52"/>
      <c r="T305" s="52"/>
      <c r="U305" s="52"/>
      <c r="V305" s="52"/>
      <c r="W305" s="52"/>
      <c r="X305" s="52"/>
      <c r="Y305" s="52"/>
      <c r="Z305" s="52"/>
      <c r="AA305" s="660"/>
      <c r="AB305" s="660"/>
      <c r="AC305" s="660"/>
      <c r="AD305" s="52"/>
      <c r="AE305" s="52"/>
      <c r="AG305" s="660"/>
      <c r="AH305" s="660"/>
    </row>
    <row r="306" spans="2:34" ht="13.5" customHeight="1">
      <c r="B306" s="5" t="s">
        <v>520</v>
      </c>
      <c r="C306" s="679"/>
      <c r="D306" s="274">
        <f>D237/D$258</f>
        <v>2188.8103196547286</v>
      </c>
      <c r="E306" s="679"/>
      <c r="F306" s="274">
        <f t="shared" ref="F306:K307" si="333">F237/F$258</f>
        <v>1076.0815878688231</v>
      </c>
      <c r="G306" s="274">
        <f t="shared" si="333"/>
        <v>1553.6334082926262</v>
      </c>
      <c r="H306" s="274">
        <f t="shared" si="333"/>
        <v>865.52715437951042</v>
      </c>
      <c r="I306" s="274">
        <f t="shared" si="333"/>
        <v>1132.9086741191456</v>
      </c>
      <c r="J306" s="274">
        <f t="shared" si="333"/>
        <v>1195.0204964302925</v>
      </c>
      <c r="K306" s="274">
        <f t="shared" si="333"/>
        <v>2122.2947696142278</v>
      </c>
      <c r="L306" s="274"/>
      <c r="M306" s="660"/>
      <c r="N306" s="660"/>
      <c r="O306" s="660"/>
      <c r="P306" s="274">
        <f t="shared" ref="P306:Y306" si="334">P237/P$258</f>
        <v>1076.0815878688231</v>
      </c>
      <c r="Q306" s="274">
        <f t="shared" si="334"/>
        <v>1419.0709764000005</v>
      </c>
      <c r="R306" s="274">
        <f t="shared" si="334"/>
        <v>1401.4723159999999</v>
      </c>
      <c r="S306" s="274">
        <f t="shared" si="334"/>
        <v>637.31175400000029</v>
      </c>
      <c r="T306" s="274">
        <f t="shared" si="334"/>
        <v>865.52715437951042</v>
      </c>
      <c r="U306" s="274">
        <f t="shared" si="334"/>
        <v>945.65001041070923</v>
      </c>
      <c r="V306" s="274">
        <f t="shared" si="334"/>
        <v>1055.2158400096625</v>
      </c>
      <c r="W306" s="274">
        <f t="shared" si="334"/>
        <v>1052.057871550455</v>
      </c>
      <c r="X306" s="274">
        <f t="shared" si="334"/>
        <v>1195.0204964302925</v>
      </c>
      <c r="Y306" s="274">
        <f t="shared" si="334"/>
        <v>2122.2947696142278</v>
      </c>
      <c r="Z306" s="274"/>
      <c r="AA306" s="660"/>
      <c r="AB306" s="660"/>
      <c r="AC306" s="660"/>
      <c r="AD306" s="274">
        <f>AD237/AD$258</f>
        <v>865.52715437951042</v>
      </c>
      <c r="AE306" s="274">
        <f>AE237/AE$258</f>
        <v>945.65001041070923</v>
      </c>
      <c r="AG306" s="660"/>
      <c r="AH306" s="660"/>
    </row>
    <row r="307" spans="2:34" ht="13.5" customHeight="1">
      <c r="B307" s="5" t="s">
        <v>521</v>
      </c>
      <c r="C307" s="679"/>
      <c r="D307" s="274">
        <f>D238/D$258</f>
        <v>4476.5134798350655</v>
      </c>
      <c r="E307" s="679"/>
      <c r="F307" s="274">
        <f t="shared" si="333"/>
        <v>2773.8319938039685</v>
      </c>
      <c r="G307" s="274">
        <f t="shared" si="333"/>
        <v>4004.8245816659983</v>
      </c>
      <c r="H307" s="274">
        <f t="shared" si="333"/>
        <v>2816.4068204329983</v>
      </c>
      <c r="I307" s="274">
        <f t="shared" si="333"/>
        <v>3686.4604782793267</v>
      </c>
      <c r="J307" s="274">
        <f t="shared" si="333"/>
        <v>3332.6150232665327</v>
      </c>
      <c r="K307" s="274">
        <f t="shared" si="333"/>
        <v>4276.748234680128</v>
      </c>
      <c r="L307" s="274"/>
      <c r="M307" s="660"/>
      <c r="N307" s="660"/>
      <c r="O307" s="660"/>
      <c r="P307" s="274">
        <f t="shared" ref="P307:Y307" si="335">P238/P$258</f>
        <v>2773.8319938039685</v>
      </c>
      <c r="Q307" s="274">
        <f t="shared" si="335"/>
        <v>2921.4551212000006</v>
      </c>
      <c r="R307" s="274">
        <f t="shared" si="335"/>
        <v>2932.2503885000001</v>
      </c>
      <c r="S307" s="274">
        <f t="shared" si="335"/>
        <v>3002.7646844000001</v>
      </c>
      <c r="T307" s="274">
        <f t="shared" si="335"/>
        <v>2816.4068204329983</v>
      </c>
      <c r="U307" s="274">
        <f t="shared" si="335"/>
        <v>3803.2059185539924</v>
      </c>
      <c r="V307" s="274">
        <f t="shared" si="335"/>
        <v>3989.137721929224</v>
      </c>
      <c r="W307" s="274">
        <f t="shared" si="335"/>
        <v>3994.1320229312346</v>
      </c>
      <c r="X307" s="274">
        <f t="shared" si="335"/>
        <v>3332.6150232665327</v>
      </c>
      <c r="Y307" s="274">
        <f t="shared" si="335"/>
        <v>4276.748234680128</v>
      </c>
      <c r="Z307" s="274"/>
      <c r="AA307" s="660"/>
      <c r="AB307" s="660"/>
      <c r="AC307" s="660"/>
      <c r="AD307" s="274">
        <f>AD238/AD$258</f>
        <v>2816.4068204329983</v>
      </c>
      <c r="AE307" s="274">
        <f>AE238/AE$258</f>
        <v>3803.2059185539924</v>
      </c>
      <c r="AG307" s="660"/>
      <c r="AH307" s="660"/>
    </row>
    <row r="308" spans="2:34" ht="13.5" customHeight="1">
      <c r="B308" s="224"/>
      <c r="C308" s="680"/>
      <c r="D308" s="52"/>
      <c r="E308" s="680"/>
      <c r="F308" s="52"/>
      <c r="G308" s="52"/>
      <c r="H308" s="52"/>
      <c r="I308" s="52"/>
      <c r="J308" s="52"/>
      <c r="K308" s="52"/>
      <c r="L308" s="52"/>
      <c r="M308" s="660"/>
      <c r="N308" s="660"/>
      <c r="O308" s="660"/>
      <c r="P308" s="52"/>
      <c r="Q308" s="52"/>
      <c r="R308" s="52"/>
      <c r="S308" s="52"/>
      <c r="T308" s="52"/>
      <c r="U308" s="52"/>
      <c r="V308" s="52"/>
      <c r="W308" s="52"/>
      <c r="X308" s="52"/>
      <c r="Y308" s="52"/>
      <c r="Z308" s="52"/>
      <c r="AA308" s="660"/>
      <c r="AB308" s="660"/>
      <c r="AC308" s="660"/>
      <c r="AD308" s="52"/>
      <c r="AE308" s="52"/>
      <c r="AG308" s="660"/>
      <c r="AH308" s="660"/>
    </row>
    <row r="309" spans="2:34" ht="13.5" customHeight="1">
      <c r="B309" s="224" t="s">
        <v>23</v>
      </c>
      <c r="C309" s="679"/>
      <c r="D309" s="274">
        <f>D240/D$259</f>
        <v>2219.9958156458461</v>
      </c>
      <c r="E309" s="679"/>
      <c r="F309" s="274">
        <f t="shared" ref="F309:K310" si="336">F240/F$259</f>
        <v>1851.4722028820383</v>
      </c>
      <c r="G309" s="274">
        <f t="shared" si="336"/>
        <v>2673.1327721163798</v>
      </c>
      <c r="H309" s="274">
        <f t="shared" si="336"/>
        <v>2126.3532264500982</v>
      </c>
      <c r="I309" s="274">
        <f t="shared" si="336"/>
        <v>2783.233334653381</v>
      </c>
      <c r="J309" s="274">
        <f t="shared" si="336"/>
        <v>2633.4094745496559</v>
      </c>
      <c r="K309" s="274">
        <f t="shared" si="336"/>
        <v>2691.7612051779283</v>
      </c>
      <c r="L309" s="274"/>
      <c r="M309" s="660"/>
      <c r="N309" s="660"/>
      <c r="O309" s="660"/>
      <c r="P309" s="523">
        <f t="shared" ref="P309:Y309" si="337">P240/P$259</f>
        <v>1541.9628582741557</v>
      </c>
      <c r="Q309" s="274">
        <f t="shared" si="337"/>
        <v>1767.7996595999991</v>
      </c>
      <c r="R309" s="274">
        <f t="shared" si="337"/>
        <v>1357.1021366999998</v>
      </c>
      <c r="S309" s="274">
        <f t="shared" si="337"/>
        <v>1366.3041599999995</v>
      </c>
      <c r="T309" s="274">
        <f t="shared" si="337"/>
        <v>2017.2780890000001</v>
      </c>
      <c r="U309" s="274">
        <f t="shared" si="337"/>
        <v>2153.8797633149161</v>
      </c>
      <c r="V309" s="274">
        <f t="shared" si="337"/>
        <v>2225.9340165617036</v>
      </c>
      <c r="W309" s="274">
        <f t="shared" si="337"/>
        <v>2319.781197821786</v>
      </c>
      <c r="X309" s="274">
        <f t="shared" si="337"/>
        <v>2461.0431937234712</v>
      </c>
      <c r="Y309" s="274">
        <f t="shared" si="337"/>
        <v>2548.2133989926842</v>
      </c>
      <c r="Z309" s="274"/>
      <c r="AA309" s="660"/>
      <c r="AB309" s="660"/>
      <c r="AC309" s="660"/>
      <c r="AD309" s="274">
        <f>AD240/AD$259</f>
        <v>2640.4623431</v>
      </c>
      <c r="AE309" s="274">
        <f>AE240/AE$259</f>
        <v>2793.7116097733378</v>
      </c>
      <c r="AG309" s="660"/>
      <c r="AH309" s="660"/>
    </row>
    <row r="310" spans="2:34" ht="13.5" customHeight="1">
      <c r="B310" s="224" t="s">
        <v>547</v>
      </c>
      <c r="C310" s="679"/>
      <c r="D310" s="274">
        <f>D241/D$259</f>
        <v>2219.9958156458461</v>
      </c>
      <c r="E310" s="679"/>
      <c r="F310" s="274">
        <f t="shared" si="336"/>
        <v>1851.4722028820383</v>
      </c>
      <c r="G310" s="274">
        <f t="shared" si="336"/>
        <v>2673.1327721163798</v>
      </c>
      <c r="H310" s="274">
        <f t="shared" si="336"/>
        <v>2126.3532264500982</v>
      </c>
      <c r="I310" s="274">
        <f t="shared" si="336"/>
        <v>2783.233334653381</v>
      </c>
      <c r="J310" s="274">
        <f t="shared" si="336"/>
        <v>2633.4094745496559</v>
      </c>
      <c r="K310" s="274">
        <f t="shared" si="336"/>
        <v>2691.7612051779283</v>
      </c>
      <c r="L310" s="274"/>
      <c r="M310" s="660"/>
      <c r="N310" s="660"/>
      <c r="O310" s="660"/>
      <c r="P310" s="523">
        <f t="shared" ref="P310:Y310" si="338">P241/P$259</f>
        <v>1541.9628582741557</v>
      </c>
      <c r="Q310" s="274">
        <f t="shared" si="338"/>
        <v>1767.7996595999991</v>
      </c>
      <c r="R310" s="274">
        <f t="shared" si="338"/>
        <v>1357.1021366999998</v>
      </c>
      <c r="S310" s="274">
        <f t="shared" si="338"/>
        <v>1366.3041599999995</v>
      </c>
      <c r="T310" s="274">
        <f t="shared" si="338"/>
        <v>2017.2780890000001</v>
      </c>
      <c r="U310" s="274">
        <f t="shared" si="338"/>
        <v>2153.8797633149161</v>
      </c>
      <c r="V310" s="274">
        <f t="shared" si="338"/>
        <v>2225.9340165617036</v>
      </c>
      <c r="W310" s="274">
        <f t="shared" si="338"/>
        <v>2319.781197821786</v>
      </c>
      <c r="X310" s="274">
        <f t="shared" si="338"/>
        <v>2461.0431937234712</v>
      </c>
      <c r="Y310" s="274">
        <f t="shared" si="338"/>
        <v>2548.2133989926842</v>
      </c>
      <c r="Z310" s="274"/>
      <c r="AA310" s="660"/>
      <c r="AB310" s="660"/>
      <c r="AC310" s="660"/>
      <c r="AD310" s="274">
        <f>AD241/AD$259</f>
        <v>2640.4623431</v>
      </c>
      <c r="AE310" s="274">
        <f>AE241/AE$259</f>
        <v>2793.7116097733378</v>
      </c>
      <c r="AG310" s="660"/>
      <c r="AH310" s="660"/>
    </row>
    <row r="311" spans="2:34" ht="13.5" customHeight="1">
      <c r="C311" s="680"/>
      <c r="D311" s="52"/>
      <c r="E311" s="680"/>
      <c r="F311" s="52"/>
      <c r="G311" s="52"/>
      <c r="H311" s="52"/>
      <c r="I311" s="52"/>
      <c r="J311" s="52"/>
      <c r="K311" s="52"/>
      <c r="L311" s="52"/>
      <c r="M311" s="660"/>
      <c r="N311" s="660"/>
      <c r="O311" s="660"/>
      <c r="P311" s="524"/>
      <c r="Q311" s="74"/>
      <c r="R311" s="74"/>
      <c r="S311" s="74"/>
      <c r="T311" s="74"/>
      <c r="U311" s="74"/>
      <c r="V311" s="74"/>
      <c r="W311" s="74"/>
      <c r="X311" s="74"/>
      <c r="Y311" s="74"/>
      <c r="Z311" s="74"/>
      <c r="AA311" s="660"/>
      <c r="AB311" s="660"/>
      <c r="AC311" s="660"/>
      <c r="AD311" s="74"/>
      <c r="AE311" s="74"/>
      <c r="AG311" s="660"/>
      <c r="AH311" s="660"/>
    </row>
    <row r="312" spans="2:34" s="5" customFormat="1" ht="13.5" customHeight="1">
      <c r="B312" s="5" t="str">
        <f>+B175</f>
        <v>Total Net Leverage</v>
      </c>
      <c r="C312" s="681"/>
      <c r="D312" s="53">
        <f>D297/D$309</f>
        <v>0.98595245280584243</v>
      </c>
      <c r="E312" s="681"/>
      <c r="F312" s="53">
        <f t="shared" ref="F312:K313" si="339">F297/F$309</f>
        <v>0.58120321017716237</v>
      </c>
      <c r="G312" s="53">
        <f t="shared" si="339"/>
        <v>0.58120323258862272</v>
      </c>
      <c r="H312" s="53">
        <f t="shared" si="339"/>
        <v>0.40704768314739959</v>
      </c>
      <c r="I312" s="53">
        <f>I297/I$309</f>
        <v>0.40704768084427823</v>
      </c>
      <c r="J312" s="53">
        <f>J297/J$309</f>
        <v>0.45379213068816621</v>
      </c>
      <c r="K312" s="53">
        <f t="shared" si="339"/>
        <v>0.78844095290909799</v>
      </c>
      <c r="L312" s="53"/>
      <c r="M312" s="681"/>
      <c r="N312" s="681"/>
      <c r="O312" s="681"/>
      <c r="P312" s="525">
        <f>P297/P$309</f>
        <v>0.69786479103214527</v>
      </c>
      <c r="Q312" s="53">
        <f t="shared" ref="Q312:U313" si="340">Q297/Q$309</f>
        <v>0.80273291642170264</v>
      </c>
      <c r="R312" s="53">
        <f t="shared" si="340"/>
        <v>1.0326947973185665</v>
      </c>
      <c r="S312" s="53">
        <f t="shared" si="340"/>
        <v>0.46644939879272601</v>
      </c>
      <c r="T312" s="53">
        <f t="shared" si="340"/>
        <v>0.42905693523324157</v>
      </c>
      <c r="U312" s="53">
        <f t="shared" si="340"/>
        <v>0.43904493951663859</v>
      </c>
      <c r="V312" s="53">
        <f t="shared" ref="V312:X313" si="341">V297/V$309</f>
        <v>0.47405530988721994</v>
      </c>
      <c r="W312" s="53">
        <f t="shared" si="341"/>
        <v>0.45351599217129179</v>
      </c>
      <c r="X312" s="53">
        <f t="shared" si="341"/>
        <v>0.48557477555778644</v>
      </c>
      <c r="Y312" s="53">
        <f>Y297/Y$309</f>
        <v>0.83285598076408229</v>
      </c>
      <c r="Z312" s="53"/>
      <c r="AA312" s="660"/>
      <c r="AB312" s="660"/>
      <c r="AC312" s="660"/>
      <c r="AD312" s="53">
        <f>AD297/AD$309</f>
        <v>0.32779378832699035</v>
      </c>
      <c r="AE312" s="53">
        <f>AE297/AE$309</f>
        <v>0.33849235085772961</v>
      </c>
      <c r="AG312" s="660"/>
      <c r="AH312" s="660"/>
    </row>
    <row r="313" spans="2:34" ht="12.75">
      <c r="B313" s="1" t="str">
        <f>+B176</f>
        <v xml:space="preserve">Total Gross Leverage </v>
      </c>
      <c r="C313" s="682"/>
      <c r="D313" s="54">
        <f>D298/D$309</f>
        <v>2.0164513141358098</v>
      </c>
      <c r="E313" s="682"/>
      <c r="F313" s="54">
        <f t="shared" si="339"/>
        <v>1.4981764184664326</v>
      </c>
      <c r="G313" s="54">
        <f t="shared" si="339"/>
        <v>1.498176455520871</v>
      </c>
      <c r="H313" s="54">
        <f t="shared" si="339"/>
        <v>1.3245244418468187</v>
      </c>
      <c r="I313" s="54">
        <f>I298/I$309</f>
        <v>1.3245244056184862</v>
      </c>
      <c r="J313" s="54">
        <f>J298/J$309</f>
        <v>1.2655134172920257</v>
      </c>
      <c r="K313" s="54">
        <f t="shared" si="339"/>
        <v>1.5888289891589511</v>
      </c>
      <c r="L313" s="54"/>
      <c r="M313" s="682"/>
      <c r="N313" s="682"/>
      <c r="O313" s="682"/>
      <c r="P313" s="526">
        <f>P298/P$309</f>
        <v>1.7988967626033381</v>
      </c>
      <c r="Q313" s="54">
        <f t="shared" si="340"/>
        <v>1.6525940059639108</v>
      </c>
      <c r="R313" s="54">
        <f t="shared" si="340"/>
        <v>2.1606703793350532</v>
      </c>
      <c r="S313" s="54">
        <f t="shared" si="340"/>
        <v>2.1977278356526422</v>
      </c>
      <c r="T313" s="54">
        <f t="shared" si="340"/>
        <v>1.3961420766876718</v>
      </c>
      <c r="U313" s="54">
        <f t="shared" si="340"/>
        <v>1.7657466230615819</v>
      </c>
      <c r="V313" s="54">
        <f t="shared" si="341"/>
        <v>1.792118585837984</v>
      </c>
      <c r="W313" s="54">
        <f t="shared" si="341"/>
        <v>1.7217710130083046</v>
      </c>
      <c r="X313" s="54">
        <f t="shared" si="341"/>
        <v>1.3541473110938798</v>
      </c>
      <c r="Y313" s="54">
        <f>Y298/Y$309</f>
        <v>1.6783320566365196</v>
      </c>
      <c r="Z313" s="54"/>
      <c r="AA313" s="660"/>
      <c r="AB313" s="660"/>
      <c r="AC313" s="660"/>
      <c r="AD313" s="54">
        <f>AD298/AD$309</f>
        <v>1.0666339657495107</v>
      </c>
      <c r="AE313" s="54">
        <f>AE298/AE$309</f>
        <v>1.3613452101674008</v>
      </c>
      <c r="AG313" s="660"/>
      <c r="AH313" s="660"/>
    </row>
    <row r="314" spans="2:34" ht="12.75">
      <c r="C314" s="682"/>
      <c r="D314" s="54"/>
      <c r="E314" s="682"/>
      <c r="F314" s="54"/>
      <c r="G314" s="54"/>
      <c r="H314" s="54"/>
      <c r="I314" s="54"/>
      <c r="J314" s="54"/>
      <c r="K314" s="54"/>
      <c r="L314" s="54"/>
      <c r="M314" s="682"/>
      <c r="N314" s="682"/>
      <c r="O314" s="682"/>
      <c r="P314" s="526"/>
      <c r="Q314" s="54"/>
      <c r="R314" s="54"/>
      <c r="S314" s="54"/>
      <c r="T314" s="54"/>
      <c r="U314" s="54"/>
      <c r="V314" s="54"/>
      <c r="W314" s="54"/>
      <c r="X314" s="54"/>
      <c r="Y314" s="54"/>
      <c r="Z314" s="54"/>
      <c r="AA314" s="660"/>
      <c r="AB314" s="660"/>
      <c r="AC314" s="660"/>
      <c r="AD314" s="54"/>
      <c r="AE314" s="54"/>
      <c r="AG314" s="660"/>
      <c r="AH314" s="660"/>
    </row>
    <row r="315" spans="2:34" s="5" customFormat="1" ht="12.75">
      <c r="B315" s="5" t="str">
        <f>+B178</f>
        <v>Total Net Leverage- including finance leases</v>
      </c>
      <c r="C315" s="681"/>
      <c r="D315" s="53">
        <f>D300/D$309</f>
        <v>0.98595245280584243</v>
      </c>
      <c r="E315" s="681"/>
      <c r="F315" s="53">
        <f>F300/F$309</f>
        <v>0.58120321017716237</v>
      </c>
      <c r="G315" s="53">
        <f t="shared" ref="G315:K316" si="342">G300/G$309</f>
        <v>0.58120323258862272</v>
      </c>
      <c r="H315" s="53">
        <f t="shared" si="342"/>
        <v>0.40704768314739959</v>
      </c>
      <c r="I315" s="53">
        <f>I300/I$309</f>
        <v>0.40704768084427823</v>
      </c>
      <c r="J315" s="53">
        <f>J300/J$309</f>
        <v>0.45379213068816621</v>
      </c>
      <c r="K315" s="53">
        <f t="shared" si="342"/>
        <v>0.78844095290909799</v>
      </c>
      <c r="L315" s="53"/>
      <c r="M315" s="681"/>
      <c r="N315" s="681"/>
      <c r="O315" s="681"/>
      <c r="P315" s="525">
        <f>P300/P$309</f>
        <v>0.69786479103214527</v>
      </c>
      <c r="Q315" s="53">
        <f t="shared" ref="Q315:U316" si="343">Q300/Q$309</f>
        <v>0.80273291642170264</v>
      </c>
      <c r="R315" s="53">
        <f t="shared" si="343"/>
        <v>1.0326947973185665</v>
      </c>
      <c r="S315" s="53">
        <f t="shared" si="343"/>
        <v>0.46644939879272601</v>
      </c>
      <c r="T315" s="53">
        <f t="shared" si="343"/>
        <v>0.42905693523324157</v>
      </c>
      <c r="U315" s="53">
        <f t="shared" si="343"/>
        <v>0.43904493951663859</v>
      </c>
      <c r="V315" s="53">
        <f t="shared" ref="V315:X316" si="344">V300/V$309</f>
        <v>0.47405530988721994</v>
      </c>
      <c r="W315" s="53">
        <f t="shared" si="344"/>
        <v>0.45351599217129179</v>
      </c>
      <c r="X315" s="53">
        <f t="shared" si="344"/>
        <v>0.48557477555778644</v>
      </c>
      <c r="Y315" s="53">
        <f>Y300/Y$309</f>
        <v>0.83285598076408229</v>
      </c>
      <c r="Z315" s="53"/>
      <c r="AA315" s="660"/>
      <c r="AB315" s="660"/>
      <c r="AC315" s="660"/>
      <c r="AD315" s="53">
        <f>AD300/AD$309</f>
        <v>0.32779378832699035</v>
      </c>
      <c r="AE315" s="53">
        <f>AE300/AE$309</f>
        <v>0.33849235085772961</v>
      </c>
      <c r="AG315" s="660"/>
      <c r="AH315" s="660"/>
    </row>
    <row r="316" spans="2:34" ht="12.75">
      <c r="B316" s="1" t="str">
        <f>+B179</f>
        <v>Total Gross Leverage - including finance leases</v>
      </c>
      <c r="C316" s="682"/>
      <c r="D316" s="54">
        <f>D301/D$309</f>
        <v>2.0164513141358098</v>
      </c>
      <c r="E316" s="682"/>
      <c r="F316" s="54">
        <f>F301/F$309</f>
        <v>1.4981764184664326</v>
      </c>
      <c r="G316" s="54">
        <f t="shared" si="342"/>
        <v>1.498176455520871</v>
      </c>
      <c r="H316" s="54">
        <f t="shared" si="342"/>
        <v>1.3245244418468187</v>
      </c>
      <c r="I316" s="54">
        <f>I301/I$309</f>
        <v>1.3245244056184862</v>
      </c>
      <c r="J316" s="54">
        <f>J301/J$309</f>
        <v>1.2655134172920257</v>
      </c>
      <c r="K316" s="54">
        <f t="shared" si="342"/>
        <v>1.5888289891589511</v>
      </c>
      <c r="L316" s="54"/>
      <c r="M316" s="682"/>
      <c r="N316" s="682"/>
      <c r="O316" s="682"/>
      <c r="P316" s="526">
        <f>P301/P$309</f>
        <v>1.7988967626033381</v>
      </c>
      <c r="Q316" s="54">
        <f t="shared" si="343"/>
        <v>1.6525940059639108</v>
      </c>
      <c r="R316" s="54">
        <f t="shared" si="343"/>
        <v>2.1606703793350532</v>
      </c>
      <c r="S316" s="54">
        <f t="shared" si="343"/>
        <v>2.1977278356526422</v>
      </c>
      <c r="T316" s="54">
        <f t="shared" si="343"/>
        <v>1.3961420766876718</v>
      </c>
      <c r="U316" s="54">
        <f t="shared" si="343"/>
        <v>1.7657466230615819</v>
      </c>
      <c r="V316" s="54">
        <f t="shared" si="344"/>
        <v>1.792118585837984</v>
      </c>
      <c r="W316" s="54">
        <f t="shared" si="344"/>
        <v>1.7217710130083046</v>
      </c>
      <c r="X316" s="54">
        <f t="shared" si="344"/>
        <v>1.3541473110938798</v>
      </c>
      <c r="Y316" s="54">
        <f>Y301/Y$309</f>
        <v>1.6783320566365196</v>
      </c>
      <c r="Z316" s="54"/>
      <c r="AA316" s="660"/>
      <c r="AB316" s="660"/>
      <c r="AC316" s="660"/>
      <c r="AD316" s="54">
        <f>AD301/AD$309</f>
        <v>1.0666339657495107</v>
      </c>
      <c r="AE316" s="54">
        <f>AE301/AE$309</f>
        <v>1.3613452101674008</v>
      </c>
      <c r="AG316" s="660"/>
      <c r="AH316" s="660"/>
    </row>
    <row r="317" spans="2:34" ht="12.75">
      <c r="C317" s="682"/>
      <c r="D317" s="54"/>
      <c r="E317" s="682"/>
      <c r="F317" s="54"/>
      <c r="G317" s="54"/>
      <c r="H317" s="54"/>
      <c r="I317" s="54"/>
      <c r="J317" s="54"/>
      <c r="K317" s="54"/>
      <c r="L317" s="54"/>
      <c r="M317" s="682"/>
      <c r="N317" s="682"/>
      <c r="O317" s="682"/>
      <c r="P317" s="526"/>
      <c r="Q317" s="54"/>
      <c r="R317" s="54"/>
      <c r="S317" s="54"/>
      <c r="T317" s="54"/>
      <c r="U317" s="54"/>
      <c r="V317" s="54"/>
      <c r="W317" s="54"/>
      <c r="X317" s="54"/>
      <c r="Y317" s="54"/>
      <c r="Z317" s="54"/>
      <c r="AA317" s="660"/>
      <c r="AB317" s="660"/>
      <c r="AC317" s="660"/>
      <c r="AD317" s="54"/>
      <c r="AE317" s="54"/>
      <c r="AG317" s="660"/>
      <c r="AH317" s="660"/>
    </row>
    <row r="318" spans="2:34" s="5" customFormat="1" ht="12.75">
      <c r="B318" s="224" t="s">
        <v>533</v>
      </c>
      <c r="C318" s="681"/>
      <c r="D318" s="53">
        <f>D303/D$309</f>
        <v>1.1072286532458839</v>
      </c>
      <c r="E318" s="681"/>
      <c r="F318" s="53">
        <f>F303/F$309</f>
        <v>0.62574283293907029</v>
      </c>
      <c r="G318" s="53">
        <f t="shared" ref="G318:K319" si="345">G303/G$309</f>
        <v>0.62574284687263793</v>
      </c>
      <c r="H318" s="53">
        <f t="shared" si="345"/>
        <v>0.47123273427816437</v>
      </c>
      <c r="I318" s="53">
        <f>I303/I$309</f>
        <v>0.47123273047492936</v>
      </c>
      <c r="J318" s="53">
        <f>J303/J$309</f>
        <v>0.59066662560055072</v>
      </c>
      <c r="K318" s="53">
        <f t="shared" si="345"/>
        <v>0.92407309570193608</v>
      </c>
      <c r="L318" s="53"/>
      <c r="M318" s="681"/>
      <c r="N318" s="681"/>
      <c r="O318" s="681"/>
      <c r="P318" s="525">
        <f>P303/P$309</f>
        <v>0.75134459635172512</v>
      </c>
      <c r="Q318" s="53">
        <f t="shared" ref="Q318:U319" si="346">Q303/Q$309</f>
        <v>0.85843514006749799</v>
      </c>
      <c r="R318" s="53">
        <f t="shared" si="346"/>
        <v>1.1012724931184614</v>
      </c>
      <c r="S318" s="53">
        <f t="shared" si="346"/>
        <v>0.54967049181786909</v>
      </c>
      <c r="T318" s="53">
        <f t="shared" si="346"/>
        <v>0.49671250107018661</v>
      </c>
      <c r="U318" s="53">
        <f t="shared" si="346"/>
        <v>0.51749897879638507</v>
      </c>
      <c r="V318" s="53">
        <f t="shared" ref="V318:X319" si="347">V303/V$309</f>
        <v>0.63593108382182006</v>
      </c>
      <c r="W318" s="53">
        <f t="shared" si="347"/>
        <v>0.61091509922083265</v>
      </c>
      <c r="X318" s="53">
        <f t="shared" si="347"/>
        <v>0.63203567175243203</v>
      </c>
      <c r="Y318" s="53">
        <f>Y303/Y$309</f>
        <v>0.97612865183991748</v>
      </c>
      <c r="Z318" s="53"/>
      <c r="AA318" s="660"/>
      <c r="AB318" s="660"/>
      <c r="AC318" s="660"/>
      <c r="AD318" s="53">
        <f>AD303/AD$309</f>
        <v>0.37948174021860248</v>
      </c>
      <c r="AE318" s="53">
        <f>AE303/AE$309</f>
        <v>0.39897839636214344</v>
      </c>
      <c r="AG318" s="660"/>
      <c r="AH318" s="660"/>
    </row>
    <row r="319" spans="2:34" ht="12.75">
      <c r="B319" s="225" t="s">
        <v>534</v>
      </c>
      <c r="C319" s="682"/>
      <c r="D319" s="54">
        <f>D304/D$309</f>
        <v>2.1377275145758516</v>
      </c>
      <c r="E319" s="682"/>
      <c r="F319" s="54">
        <f>F304/F$309</f>
        <v>1.5427160412283407</v>
      </c>
      <c r="G319" s="54">
        <f t="shared" si="345"/>
        <v>1.5427160698048861</v>
      </c>
      <c r="H319" s="54">
        <f t="shared" si="345"/>
        <v>1.3887094929775834</v>
      </c>
      <c r="I319" s="54">
        <f>I304/I$309</f>
        <v>1.3887094552491372</v>
      </c>
      <c r="J319" s="54">
        <f>J304/J$309</f>
        <v>1.4023879122044103</v>
      </c>
      <c r="K319" s="54">
        <f t="shared" si="345"/>
        <v>1.7244611319517893</v>
      </c>
      <c r="L319" s="54"/>
      <c r="M319" s="682"/>
      <c r="N319" s="682"/>
      <c r="O319" s="682"/>
      <c r="P319" s="526">
        <f>P304/P$309</f>
        <v>1.852376567922918</v>
      </c>
      <c r="Q319" s="54">
        <f t="shared" si="346"/>
        <v>1.7082962296097062</v>
      </c>
      <c r="R319" s="54">
        <f t="shared" si="346"/>
        <v>2.2292480751349482</v>
      </c>
      <c r="S319" s="54">
        <f t="shared" si="346"/>
        <v>2.2809489286777853</v>
      </c>
      <c r="T319" s="54">
        <f t="shared" si="346"/>
        <v>1.4637976425246169</v>
      </c>
      <c r="U319" s="54">
        <f t="shared" si="346"/>
        <v>1.8442006623413283</v>
      </c>
      <c r="V319" s="54">
        <f t="shared" si="347"/>
        <v>1.9539943597725842</v>
      </c>
      <c r="W319" s="54">
        <f t="shared" si="347"/>
        <v>1.8791701200578452</v>
      </c>
      <c r="X319" s="54">
        <f t="shared" si="347"/>
        <v>1.5006082072885254</v>
      </c>
      <c r="Y319" s="54">
        <f>Y304/Y$309</f>
        <v>1.8216047277123548</v>
      </c>
      <c r="Z319" s="54"/>
      <c r="AA319" s="660"/>
      <c r="AB319" s="660"/>
      <c r="AC319" s="660"/>
      <c r="AD319" s="54">
        <f>AD304/AD$309</f>
        <v>1.118321917641123</v>
      </c>
      <c r="AE319" s="54">
        <f>AE304/AE$309</f>
        <v>1.4218312556718147</v>
      </c>
      <c r="AG319" s="660"/>
      <c r="AH319" s="660"/>
    </row>
    <row r="320" spans="2:34" ht="12.75">
      <c r="C320" s="683"/>
      <c r="D320" s="88"/>
      <c r="E320" s="683"/>
      <c r="F320" s="88"/>
      <c r="G320" s="88"/>
      <c r="H320" s="88"/>
      <c r="I320" s="88"/>
      <c r="J320" s="88"/>
      <c r="K320" s="88"/>
      <c r="L320" s="88"/>
      <c r="M320" s="683"/>
      <c r="N320" s="683"/>
      <c r="O320" s="683"/>
      <c r="P320" s="527"/>
      <c r="Q320" s="88"/>
      <c r="R320" s="88"/>
      <c r="S320" s="88"/>
      <c r="T320" s="88"/>
      <c r="U320" s="88"/>
      <c r="V320" s="88"/>
      <c r="W320" s="88"/>
      <c r="X320" s="88"/>
      <c r="Y320" s="88"/>
      <c r="Z320" s="88"/>
      <c r="AA320" s="660"/>
      <c r="AB320" s="660"/>
      <c r="AC320" s="660"/>
      <c r="AD320" s="88"/>
      <c r="AE320" s="88"/>
      <c r="AG320" s="660"/>
      <c r="AH320" s="660"/>
    </row>
    <row r="321" spans="2:34" ht="12.75">
      <c r="B321" s="5" t="str">
        <f>B184</f>
        <v>Lease adjusted net leverage</v>
      </c>
      <c r="C321" s="681"/>
      <c r="D321" s="53">
        <f>D306/D$310</f>
        <v>0.98595245280584243</v>
      </c>
      <c r="E321" s="681"/>
      <c r="F321" s="53">
        <f>F306/F$310</f>
        <v>0.58120321017716237</v>
      </c>
      <c r="G321" s="53">
        <f t="shared" ref="G321:K322" si="348">G306/G$310</f>
        <v>0.58120323258862272</v>
      </c>
      <c r="H321" s="53">
        <f t="shared" si="348"/>
        <v>0.40704768314739959</v>
      </c>
      <c r="I321" s="53">
        <f>I306/I$310</f>
        <v>0.40704768084427823</v>
      </c>
      <c r="J321" s="53">
        <f>J306/J$310</f>
        <v>0.45379213068816621</v>
      </c>
      <c r="K321" s="53">
        <f t="shared" si="348"/>
        <v>0.78844095290909799</v>
      </c>
      <c r="L321" s="53"/>
      <c r="M321" s="681"/>
      <c r="N321" s="681"/>
      <c r="O321" s="681"/>
      <c r="P321" s="525">
        <f>P306/P$310</f>
        <v>0.69786479103214527</v>
      </c>
      <c r="Q321" s="53">
        <f t="shared" ref="Q321:U322" si="349">Q306/Q$310</f>
        <v>0.80273291642170264</v>
      </c>
      <c r="R321" s="53">
        <f t="shared" si="349"/>
        <v>1.0326947973185665</v>
      </c>
      <c r="S321" s="53">
        <f t="shared" si="349"/>
        <v>0.46644939879272601</v>
      </c>
      <c r="T321" s="53">
        <f t="shared" si="349"/>
        <v>0.42905693523324157</v>
      </c>
      <c r="U321" s="53">
        <f t="shared" si="349"/>
        <v>0.43904493951663859</v>
      </c>
      <c r="V321" s="53">
        <f t="shared" ref="V321:X322" si="350">V306/V$310</f>
        <v>0.47405530988721994</v>
      </c>
      <c r="W321" s="53">
        <f t="shared" si="350"/>
        <v>0.45351599217129179</v>
      </c>
      <c r="X321" s="53">
        <f t="shared" si="350"/>
        <v>0.48557477555778644</v>
      </c>
      <c r="Y321" s="53">
        <f>Y306/Y$310</f>
        <v>0.83285598076408229</v>
      </c>
      <c r="Z321" s="53"/>
      <c r="AA321" s="660"/>
      <c r="AB321" s="660"/>
      <c r="AC321" s="660"/>
      <c r="AD321" s="53">
        <f>AD306/AD$310</f>
        <v>0.32779378832699035</v>
      </c>
      <c r="AE321" s="53">
        <f>AE306/AE$310</f>
        <v>0.33849235085772961</v>
      </c>
      <c r="AG321" s="660"/>
      <c r="AH321" s="660"/>
    </row>
    <row r="322" spans="2:34" ht="12.75">
      <c r="B322" s="1" t="str">
        <f>B185</f>
        <v>Lease adjusted gross leverage</v>
      </c>
      <c r="C322" s="682"/>
      <c r="D322" s="54">
        <f>D307/D$310</f>
        <v>2.0164513141358098</v>
      </c>
      <c r="E322" s="682"/>
      <c r="F322" s="54">
        <f>F307/F$310</f>
        <v>1.4981764184664326</v>
      </c>
      <c r="G322" s="54">
        <f t="shared" si="348"/>
        <v>1.498176455520871</v>
      </c>
      <c r="H322" s="54">
        <f t="shared" si="348"/>
        <v>1.3245244418468187</v>
      </c>
      <c r="I322" s="54">
        <f>I307/I$310</f>
        <v>1.3245244056184862</v>
      </c>
      <c r="J322" s="54">
        <f>J307/J$310</f>
        <v>1.2655134172920257</v>
      </c>
      <c r="K322" s="54">
        <f t="shared" si="348"/>
        <v>1.5888289891589511</v>
      </c>
      <c r="L322" s="54"/>
      <c r="M322" s="682"/>
      <c r="N322" s="682"/>
      <c r="O322" s="682"/>
      <c r="P322" s="526">
        <f>P307/P$310</f>
        <v>1.7988967626033381</v>
      </c>
      <c r="Q322" s="54">
        <f t="shared" si="349"/>
        <v>1.6525940059639108</v>
      </c>
      <c r="R322" s="54">
        <f t="shared" si="349"/>
        <v>2.1606703793350532</v>
      </c>
      <c r="S322" s="54">
        <f t="shared" si="349"/>
        <v>2.1977278356526422</v>
      </c>
      <c r="T322" s="54">
        <f t="shared" si="349"/>
        <v>1.3961420766876718</v>
      </c>
      <c r="U322" s="54">
        <f t="shared" si="349"/>
        <v>1.7657466230615819</v>
      </c>
      <c r="V322" s="54">
        <f t="shared" si="350"/>
        <v>1.792118585837984</v>
      </c>
      <c r="W322" s="54">
        <f t="shared" si="350"/>
        <v>1.7217710130083046</v>
      </c>
      <c r="X322" s="54">
        <f t="shared" si="350"/>
        <v>1.3541473110938798</v>
      </c>
      <c r="Y322" s="54">
        <f>Y307/Y$310</f>
        <v>1.6783320566365196</v>
      </c>
      <c r="Z322" s="54"/>
      <c r="AA322" s="660"/>
      <c r="AB322" s="660"/>
      <c r="AC322" s="660"/>
      <c r="AD322" s="54">
        <f>AD307/AD$310</f>
        <v>1.0666339657495107</v>
      </c>
      <c r="AE322" s="54">
        <f>AE307/AE$310</f>
        <v>1.3613452101674008</v>
      </c>
      <c r="AG322" s="660"/>
      <c r="AH322" s="660"/>
    </row>
    <row r="323" spans="2:34" ht="12.75">
      <c r="C323" s="683"/>
      <c r="D323" s="88"/>
      <c r="E323" s="683"/>
      <c r="F323" s="88"/>
      <c r="G323" s="88"/>
      <c r="H323" s="88"/>
      <c r="I323" s="88"/>
      <c r="J323" s="88"/>
      <c r="K323" s="88"/>
      <c r="L323" s="88"/>
      <c r="M323" s="660"/>
      <c r="N323" s="660"/>
      <c r="O323" s="660"/>
      <c r="P323" s="88"/>
      <c r="Q323" s="88"/>
      <c r="R323" s="88"/>
      <c r="S323" s="88"/>
      <c r="T323" s="88"/>
      <c r="U323" s="88"/>
      <c r="V323" s="88"/>
      <c r="W323" s="88"/>
      <c r="X323" s="88"/>
      <c r="Y323" s="88"/>
      <c r="Z323" s="88"/>
      <c r="AA323" s="660"/>
      <c r="AB323" s="660"/>
      <c r="AC323" s="660"/>
      <c r="AD323" s="88"/>
      <c r="AE323" s="88"/>
      <c r="AG323" s="660"/>
      <c r="AH323" s="660"/>
    </row>
    <row r="324" spans="2:34" ht="12.75">
      <c r="B324" s="5" t="str">
        <f>B187</f>
        <v>EBITDA - Capex / Interest</v>
      </c>
      <c r="C324" s="681"/>
      <c r="D324" s="53">
        <f>(D309+SUM(D281))/-SUM(D279)</f>
        <v>3.7667937111307701</v>
      </c>
      <c r="E324" s="681"/>
      <c r="F324" s="53">
        <f t="shared" ref="F324:K324" si="351">(F309+SUM(F281))/-SUM(F279)</f>
        <v>4.0780628473885123</v>
      </c>
      <c r="G324" s="53">
        <f t="shared" si="351"/>
        <v>4.078062839549184</v>
      </c>
      <c r="H324" s="53">
        <f t="shared" si="351"/>
        <v>2.9825597242718676</v>
      </c>
      <c r="I324" s="53">
        <f t="shared" si="351"/>
        <v>2.9848030029290222</v>
      </c>
      <c r="J324" s="53">
        <f t="shared" si="351"/>
        <v>3.5599499906411185</v>
      </c>
      <c r="K324" s="53">
        <f t="shared" si="351"/>
        <v>3.4623393669941267</v>
      </c>
      <c r="L324" s="53"/>
      <c r="M324" s="660"/>
      <c r="N324" s="660"/>
      <c r="O324" s="660"/>
      <c r="P324" s="53">
        <f t="shared" ref="P324:Y324" si="352">(P309+SUM(M281:P281))/-SUM(M279:P279)</f>
        <v>3.7160816543166826</v>
      </c>
      <c r="Q324" s="53">
        <f t="shared" si="352"/>
        <v>3.5397698319096813</v>
      </c>
      <c r="R324" s="53">
        <f t="shared" si="352"/>
        <v>2.2642353810810327</v>
      </c>
      <c r="S324" s="53">
        <f t="shared" si="352"/>
        <v>2.432905377642308</v>
      </c>
      <c r="T324" s="53">
        <f t="shared" si="352"/>
        <v>2.6194495178515078</v>
      </c>
      <c r="U324" s="53">
        <f t="shared" si="352"/>
        <v>3.0162023436328433</v>
      </c>
      <c r="V324" s="53">
        <f t="shared" si="352"/>
        <v>3.0512285721021524</v>
      </c>
      <c r="W324" s="53">
        <f t="shared" si="352"/>
        <v>2.6325700592848245</v>
      </c>
      <c r="X324" s="53">
        <f t="shared" si="352"/>
        <v>3.2198612707082317</v>
      </c>
      <c r="Y324" s="53">
        <f t="shared" si="352"/>
        <v>3.1324706577957206</v>
      </c>
      <c r="Z324" s="53"/>
      <c r="AA324" s="660"/>
      <c r="AB324" s="660"/>
      <c r="AC324" s="660"/>
      <c r="AD324" s="53">
        <f>(AD309+SUM(AA281:AD281))/-SUM(AA279:AD279)</f>
        <v>2.6076836423981486</v>
      </c>
      <c r="AE324" s="53">
        <f>(AE309+SUM(AB281:AE281))/-SUM(AB279:AE279)</f>
        <v>2.907902083673553</v>
      </c>
      <c r="AG324" s="660"/>
      <c r="AH324" s="660"/>
    </row>
    <row r="325" spans="2:34" ht="12.75">
      <c r="B325" s="1" t="str">
        <f>B188</f>
        <v>EBITDA/Interest</v>
      </c>
      <c r="C325" s="682"/>
      <c r="D325" s="54">
        <f>(D309)/-SUM(D279)</f>
        <v>6.1594687890248654</v>
      </c>
      <c r="E325" s="682"/>
      <c r="F325" s="54">
        <f t="shared" ref="F325:K325" si="353">(F309)/-SUM(F279)</f>
        <v>5.9646950566581332</v>
      </c>
      <c r="G325" s="54">
        <f t="shared" si="353"/>
        <v>5.9646950765957065</v>
      </c>
      <c r="H325" s="54">
        <f t="shared" si="353"/>
        <v>5.0763783861305134</v>
      </c>
      <c r="I325" s="54">
        <f t="shared" si="353"/>
        <v>5.0763785811228166</v>
      </c>
      <c r="J325" s="54">
        <f t="shared" si="353"/>
        <v>6.0956949382225956</v>
      </c>
      <c r="K325" s="54">
        <f t="shared" si="353"/>
        <v>6.0116182763464794</v>
      </c>
      <c r="L325" s="54"/>
      <c r="M325" s="660"/>
      <c r="N325" s="660"/>
      <c r="O325" s="660"/>
      <c r="P325" s="54">
        <f t="shared" ref="P325:Y325" si="354">(P309)/-SUM(M279:P279)</f>
        <v>5.6147595453067547</v>
      </c>
      <c r="Q325" s="54">
        <f t="shared" si="354"/>
        <v>5.9039952674165015</v>
      </c>
      <c r="R325" s="54">
        <f t="shared" si="354"/>
        <v>4.5576819094197187</v>
      </c>
      <c r="S325" s="54">
        <f t="shared" si="354"/>
        <v>4.4245547176386077</v>
      </c>
      <c r="T325" s="54">
        <f t="shared" si="354"/>
        <v>4.7865963274853769</v>
      </c>
      <c r="U325" s="54">
        <f t="shared" si="354"/>
        <v>4.7848989579890686</v>
      </c>
      <c r="V325" s="54">
        <f t="shared" si="354"/>
        <v>4.9928075485780523</v>
      </c>
      <c r="W325" s="54">
        <f t="shared" si="354"/>
        <v>4.631224415682242</v>
      </c>
      <c r="X325" s="54">
        <f t="shared" si="354"/>
        <v>5.7166557953223291</v>
      </c>
      <c r="Y325" s="54">
        <f t="shared" si="354"/>
        <v>5.665672523449401</v>
      </c>
      <c r="Z325" s="54"/>
      <c r="AA325" s="660"/>
      <c r="AB325" s="660"/>
      <c r="AC325" s="660"/>
      <c r="AD325" s="54">
        <f>(AD309)/-SUM(AA279:AD279)</f>
        <v>4.7765168682207229</v>
      </c>
      <c r="AE325" s="54">
        <f>(AE309)/-SUM(AB279:AE279)</f>
        <v>4.7637246873836085</v>
      </c>
      <c r="AG325" s="660"/>
      <c r="AH325" s="660"/>
    </row>
    <row r="326" spans="2:34" s="5" customFormat="1" ht="13.5" customHeight="1">
      <c r="B326" s="19"/>
      <c r="C326" s="684"/>
      <c r="D326" s="19"/>
      <c r="E326" s="684"/>
      <c r="F326" s="19"/>
      <c r="G326" s="19"/>
      <c r="H326" s="19"/>
      <c r="I326" s="19"/>
      <c r="J326" s="19"/>
      <c r="K326" s="19"/>
      <c r="M326" s="660"/>
      <c r="N326" s="660"/>
      <c r="O326" s="660"/>
      <c r="P326" s="19"/>
      <c r="Q326" s="19"/>
      <c r="R326" s="19"/>
      <c r="S326" s="19"/>
      <c r="T326" s="19"/>
      <c r="U326" s="19"/>
      <c r="V326" s="19"/>
      <c r="W326" s="19"/>
      <c r="X326" s="19"/>
      <c r="Y326" s="19"/>
      <c r="AA326" s="660"/>
      <c r="AB326" s="660"/>
      <c r="AC326" s="660"/>
      <c r="AD326" s="19"/>
      <c r="AE326" s="19"/>
      <c r="AG326" s="660"/>
      <c r="AH326" s="660"/>
    </row>
    <row r="327" spans="2:34" s="5" customFormat="1" ht="13.5" customHeight="1">
      <c r="M327" s="660"/>
      <c r="N327" s="660"/>
      <c r="O327" s="660"/>
      <c r="AG327" s="660"/>
      <c r="AH327" s="660"/>
    </row>
    <row r="328" spans="2:34" ht="13.5" customHeight="1">
      <c r="C328" s="6"/>
      <c r="D328" s="6"/>
      <c r="E328" s="6"/>
      <c r="F328" s="6"/>
      <c r="G328" s="6"/>
      <c r="H328" s="6"/>
      <c r="I328" s="6"/>
      <c r="J328" s="6"/>
      <c r="Z328" s="6"/>
      <c r="AA328" s="5"/>
      <c r="AB328" s="5"/>
      <c r="AC328" s="5"/>
      <c r="AD328" s="5"/>
      <c r="AE328" s="5"/>
      <c r="AG328" s="660"/>
      <c r="AH328" s="660"/>
    </row>
    <row r="329" spans="2:34" ht="13.5" customHeight="1">
      <c r="B329" s="543" t="s">
        <v>548</v>
      </c>
      <c r="C329" s="574">
        <f t="shared" ref="C329:K329" si="355">+C3</f>
        <v>44561</v>
      </c>
      <c r="D329" s="574">
        <f t="shared" si="355"/>
        <v>44926</v>
      </c>
      <c r="E329" s="574">
        <f t="shared" si="355"/>
        <v>44926</v>
      </c>
      <c r="F329" s="575">
        <f t="shared" si="355"/>
        <v>45291</v>
      </c>
      <c r="G329" s="574">
        <f t="shared" si="355"/>
        <v>45291</v>
      </c>
      <c r="H329" s="574">
        <f t="shared" si="355"/>
        <v>45657</v>
      </c>
      <c r="I329" s="574">
        <f t="shared" si="355"/>
        <v>45657</v>
      </c>
      <c r="J329" s="574">
        <f t="shared" si="355"/>
        <v>46022</v>
      </c>
      <c r="K329" s="574">
        <f t="shared" si="355"/>
        <v>46112</v>
      </c>
      <c r="L329" s="5"/>
      <c r="M329" s="574">
        <f t="shared" ref="M329:Y329" si="356">+M3</f>
        <v>45016</v>
      </c>
      <c r="N329" s="574">
        <f t="shared" si="356"/>
        <v>45107</v>
      </c>
      <c r="O329" s="574">
        <f t="shared" si="356"/>
        <v>45199</v>
      </c>
      <c r="P329" s="574">
        <f t="shared" si="356"/>
        <v>45291</v>
      </c>
      <c r="Q329" s="574">
        <f t="shared" si="356"/>
        <v>45382</v>
      </c>
      <c r="R329" s="574">
        <f t="shared" si="356"/>
        <v>45473</v>
      </c>
      <c r="S329" s="574">
        <f t="shared" si="356"/>
        <v>45565</v>
      </c>
      <c r="T329" s="574">
        <f t="shared" si="356"/>
        <v>45657</v>
      </c>
      <c r="U329" s="574">
        <f t="shared" si="356"/>
        <v>45747</v>
      </c>
      <c r="V329" s="574">
        <f t="shared" si="356"/>
        <v>45838</v>
      </c>
      <c r="W329" s="576">
        <f t="shared" si="356"/>
        <v>45930</v>
      </c>
      <c r="X329" s="576">
        <f t="shared" si="356"/>
        <v>46022</v>
      </c>
      <c r="Y329" s="576">
        <f t="shared" si="356"/>
        <v>46112</v>
      </c>
      <c r="Z329" s="295"/>
      <c r="AA329" s="576">
        <f>+AA3</f>
        <v>45382</v>
      </c>
      <c r="AB329" s="576">
        <f>+AB3</f>
        <v>45473</v>
      </c>
      <c r="AC329" s="576">
        <f>+AC3</f>
        <v>45565</v>
      </c>
      <c r="AD329" s="576">
        <f>+AD3</f>
        <v>45656</v>
      </c>
      <c r="AE329" s="576">
        <f>+AE3</f>
        <v>45747</v>
      </c>
      <c r="AG329" s="576">
        <f>+AG3</f>
        <v>45565</v>
      </c>
      <c r="AH329" s="576">
        <f>+AH3</f>
        <v>45930</v>
      </c>
    </row>
    <row r="330" spans="2:34" ht="13.5" customHeight="1">
      <c r="B330" s="728" t="str">
        <f>B107</f>
        <v>Total Revenues</v>
      </c>
      <c r="C330" s="528"/>
      <c r="D330" s="528">
        <f>D107</f>
        <v>93486.846000000005</v>
      </c>
      <c r="E330" s="528"/>
      <c r="F330" s="528">
        <f t="shared" ref="F330:K330" si="357">F107</f>
        <v>107116.18399999999</v>
      </c>
      <c r="G330" s="528">
        <f t="shared" si="357"/>
        <v>154653.03100000002</v>
      </c>
      <c r="H330" s="528">
        <f t="shared" si="357"/>
        <v>166671.36400000003</v>
      </c>
      <c r="I330" s="528">
        <f t="shared" si="357"/>
        <v>218160.03</v>
      </c>
      <c r="J330" s="528">
        <f t="shared" si="357"/>
        <v>241470.821</v>
      </c>
      <c r="K330" s="528">
        <f t="shared" si="357"/>
        <v>261885.139</v>
      </c>
      <c r="L330" s="5"/>
      <c r="M330" s="660"/>
      <c r="N330" s="660"/>
      <c r="O330" s="660"/>
      <c r="P330" s="528">
        <f t="shared" ref="P330:Y330" si="358">P107</f>
        <v>107116.18400000001</v>
      </c>
      <c r="Q330" s="528">
        <f t="shared" si="358"/>
        <v>110369.39999999998</v>
      </c>
      <c r="R330" s="528">
        <f t="shared" si="358"/>
        <v>107000.792</v>
      </c>
      <c r="S330" s="528">
        <f t="shared" si="358"/>
        <v>109697.48399999997</v>
      </c>
      <c r="T330" s="528">
        <f t="shared" si="358"/>
        <v>166671.364</v>
      </c>
      <c r="U330" s="528">
        <f t="shared" si="358"/>
        <v>183811.67199999999</v>
      </c>
      <c r="V330" s="528">
        <f t="shared" si="358"/>
        <v>201920.201</v>
      </c>
      <c r="W330" s="528">
        <f t="shared" si="358"/>
        <v>221284.27800000002</v>
      </c>
      <c r="X330" s="528">
        <f t="shared" si="358"/>
        <v>241470.821</v>
      </c>
      <c r="Y330" s="528">
        <f t="shared" si="358"/>
        <v>261885.139</v>
      </c>
      <c r="Z330" s="24"/>
      <c r="AA330" s="660"/>
      <c r="AB330" s="660"/>
      <c r="AC330" s="660"/>
      <c r="AD330" s="528">
        <f>AD107</f>
        <v>218160.03</v>
      </c>
      <c r="AE330" s="528">
        <f>AE107</f>
        <v>238359.73600000003</v>
      </c>
      <c r="AG330" s="660"/>
      <c r="AH330" s="660"/>
    </row>
    <row r="331" spans="2:34" ht="13.5" customHeight="1">
      <c r="B331" s="728" t="str">
        <f>B110</f>
        <v>Adjusted EBITDA</v>
      </c>
      <c r="C331" s="528"/>
      <c r="D331" s="528">
        <f>D110</f>
        <v>36607.731</v>
      </c>
      <c r="E331" s="528"/>
      <c r="F331" s="528">
        <f t="shared" ref="F331:K332" si="359">F110</f>
        <v>43877.113999999987</v>
      </c>
      <c r="G331" s="528">
        <f t="shared" si="359"/>
        <v>63349.237000000023</v>
      </c>
      <c r="H331" s="528">
        <f t="shared" si="359"/>
        <v>69802.010000000024</v>
      </c>
      <c r="I331" s="528">
        <f t="shared" si="359"/>
        <v>91365.479000000007</v>
      </c>
      <c r="J331" s="528">
        <f t="shared" si="359"/>
        <v>104016.97500000001</v>
      </c>
      <c r="K331" s="528">
        <f t="shared" si="359"/>
        <v>111357.68999999999</v>
      </c>
      <c r="L331" s="5"/>
      <c r="M331" s="660"/>
      <c r="N331" s="660"/>
      <c r="O331" s="660"/>
      <c r="P331" s="528">
        <f t="shared" ref="P331:Y331" si="360">P110</f>
        <v>43877.113999999987</v>
      </c>
      <c r="Q331" s="528">
        <f t="shared" si="360"/>
        <v>46277.477999999981</v>
      </c>
      <c r="R331" s="528">
        <f t="shared" si="360"/>
        <v>43919.162999999993</v>
      </c>
      <c r="S331" s="528">
        <f t="shared" si="360"/>
        <v>45543.471999999987</v>
      </c>
      <c r="T331" s="528">
        <f t="shared" si="360"/>
        <v>69802.010000000009</v>
      </c>
      <c r="U331" s="528">
        <f t="shared" si="360"/>
        <v>78006.847999999998</v>
      </c>
      <c r="V331" s="528">
        <f t="shared" si="360"/>
        <v>86205.75</v>
      </c>
      <c r="W331" s="528">
        <f t="shared" si="360"/>
        <v>94613.900000000023</v>
      </c>
      <c r="X331" s="528">
        <f t="shared" si="360"/>
        <v>104016.97500000001</v>
      </c>
      <c r="Y331" s="528">
        <f t="shared" si="360"/>
        <v>111357.68999999999</v>
      </c>
      <c r="Z331" s="24"/>
      <c r="AA331" s="660"/>
      <c r="AB331" s="660"/>
      <c r="AC331" s="660"/>
      <c r="AD331" s="528">
        <f>AD110</f>
        <v>91365.479000000007</v>
      </c>
      <c r="AE331" s="528">
        <f>AE110</f>
        <v>101179.57400000001</v>
      </c>
      <c r="AG331" s="660"/>
      <c r="AH331" s="660"/>
    </row>
    <row r="332" spans="2:34" ht="13.5" customHeight="1">
      <c r="B332" s="728" t="str">
        <f>B111</f>
        <v>Adjusted EBITDAR</v>
      </c>
      <c r="C332" s="528"/>
      <c r="D332" s="528">
        <f>D111</f>
        <v>36607.731</v>
      </c>
      <c r="E332" s="528"/>
      <c r="F332" s="528">
        <f t="shared" si="359"/>
        <v>43877.113999999987</v>
      </c>
      <c r="G332" s="528">
        <f t="shared" si="359"/>
        <v>63349.237000000023</v>
      </c>
      <c r="H332" s="528">
        <f t="shared" si="359"/>
        <v>69802.010000000024</v>
      </c>
      <c r="I332" s="528">
        <f t="shared" si="359"/>
        <v>91365.479000000007</v>
      </c>
      <c r="J332" s="528">
        <f t="shared" si="359"/>
        <v>104016.97500000001</v>
      </c>
      <c r="K332" s="528">
        <f t="shared" si="359"/>
        <v>111357.68999999999</v>
      </c>
      <c r="L332" s="5"/>
      <c r="M332" s="660"/>
      <c r="N332" s="660"/>
      <c r="O332" s="660"/>
      <c r="P332" s="528">
        <f t="shared" ref="P332:Y332" si="361">P111</f>
        <v>43877.113999999987</v>
      </c>
      <c r="Q332" s="528">
        <f t="shared" si="361"/>
        <v>46277.477999999981</v>
      </c>
      <c r="R332" s="528">
        <f t="shared" si="361"/>
        <v>43919.162999999993</v>
      </c>
      <c r="S332" s="528">
        <f t="shared" si="361"/>
        <v>45543.471999999987</v>
      </c>
      <c r="T332" s="528">
        <f t="shared" si="361"/>
        <v>69802.010000000009</v>
      </c>
      <c r="U332" s="528">
        <f t="shared" si="361"/>
        <v>78006.847999999998</v>
      </c>
      <c r="V332" s="528">
        <f t="shared" si="361"/>
        <v>86205.75</v>
      </c>
      <c r="W332" s="528">
        <f t="shared" si="361"/>
        <v>94613.900000000023</v>
      </c>
      <c r="X332" s="528">
        <f t="shared" si="361"/>
        <v>104016.97500000001</v>
      </c>
      <c r="Y332" s="528">
        <f t="shared" si="361"/>
        <v>111357.68999999999</v>
      </c>
      <c r="Z332" s="24"/>
      <c r="AA332" s="660"/>
      <c r="AB332" s="660"/>
      <c r="AC332" s="660"/>
      <c r="AD332" s="528">
        <f>AD111</f>
        <v>91365.479000000007</v>
      </c>
      <c r="AE332" s="528">
        <f>AE111</f>
        <v>101179.57400000001</v>
      </c>
      <c r="AG332" s="660"/>
      <c r="AH332" s="660"/>
    </row>
    <row r="333" spans="2:34" ht="13.5" customHeight="1">
      <c r="B333" s="728" t="s">
        <v>549</v>
      </c>
      <c r="C333" s="730"/>
      <c r="D333" s="730">
        <f>D331/D330</f>
        <v>0.39158162422123</v>
      </c>
      <c r="E333" s="730"/>
      <c r="F333" s="730">
        <f t="shared" ref="F333:K333" si="362">F331/F330</f>
        <v>0.40962170571722373</v>
      </c>
      <c r="G333" s="730">
        <f t="shared" si="362"/>
        <v>0.40962169697146134</v>
      </c>
      <c r="H333" s="730">
        <f t="shared" si="362"/>
        <v>0.41880025653356995</v>
      </c>
      <c r="I333" s="730">
        <f t="shared" si="362"/>
        <v>0.41880026785841573</v>
      </c>
      <c r="J333" s="730">
        <f t="shared" si="362"/>
        <v>0.43076415845705851</v>
      </c>
      <c r="K333" s="730">
        <f t="shared" si="362"/>
        <v>0.42521576606147166</v>
      </c>
      <c r="L333" s="429"/>
      <c r="M333" s="660"/>
      <c r="N333" s="660"/>
      <c r="O333" s="660"/>
      <c r="P333" s="529">
        <f t="shared" ref="P333:U333" si="363">P331/P330</f>
        <v>0.40962170571722367</v>
      </c>
      <c r="Q333" s="529">
        <f t="shared" si="363"/>
        <v>0.41929627233635403</v>
      </c>
      <c r="R333" s="529">
        <f t="shared" si="363"/>
        <v>0.41045642914493563</v>
      </c>
      <c r="S333" s="529">
        <f t="shared" si="363"/>
        <v>0.41517335073974898</v>
      </c>
      <c r="T333" s="529">
        <f t="shared" si="363"/>
        <v>0.41880025653356989</v>
      </c>
      <c r="U333" s="529">
        <f t="shared" si="363"/>
        <v>0.42438462776183222</v>
      </c>
      <c r="V333" s="529">
        <f>V331/V330</f>
        <v>0.42692979490447319</v>
      </c>
      <c r="W333" s="529">
        <f>W331/W330</f>
        <v>0.42756720384807462</v>
      </c>
      <c r="X333" s="529">
        <f>X331/X330</f>
        <v>0.43076415845705851</v>
      </c>
      <c r="Y333" s="529">
        <f>Y331/Y330</f>
        <v>0.42521576606147166</v>
      </c>
      <c r="Z333" s="557"/>
      <c r="AA333" s="660"/>
      <c r="AB333" s="660"/>
      <c r="AC333" s="660"/>
      <c r="AD333" s="529">
        <f>AD331/AD330</f>
        <v>0.41880026785841573</v>
      </c>
      <c r="AE333" s="529">
        <f>AE331/AE330</f>
        <v>0.42448265675206148</v>
      </c>
      <c r="AG333" s="660"/>
      <c r="AH333" s="660"/>
    </row>
    <row r="334" spans="2:34" ht="13.5" customHeight="1">
      <c r="B334" s="728" t="str">
        <f>B112</f>
        <v>LTM Rent</v>
      </c>
      <c r="C334" s="530"/>
      <c r="D334" s="530">
        <f>D78</f>
        <v>0</v>
      </c>
      <c r="E334" s="530"/>
      <c r="F334" s="530">
        <f t="shared" ref="F334:K334" si="364">F78</f>
        <v>0</v>
      </c>
      <c r="G334" s="530">
        <f t="shared" si="364"/>
        <v>0</v>
      </c>
      <c r="H334" s="530">
        <f t="shared" si="364"/>
        <v>0</v>
      </c>
      <c r="I334" s="530">
        <f t="shared" si="364"/>
        <v>0</v>
      </c>
      <c r="J334" s="530">
        <f t="shared" si="364"/>
        <v>0</v>
      </c>
      <c r="K334" s="530">
        <f t="shared" si="364"/>
        <v>0</v>
      </c>
      <c r="L334" s="6"/>
      <c r="M334" s="660"/>
      <c r="N334" s="660"/>
      <c r="O334" s="660"/>
      <c r="P334" s="530">
        <f t="shared" ref="P334:Y334" si="365">P78</f>
        <v>0</v>
      </c>
      <c r="Q334" s="530">
        <f t="shared" si="365"/>
        <v>0</v>
      </c>
      <c r="R334" s="530">
        <f t="shared" si="365"/>
        <v>0</v>
      </c>
      <c r="S334" s="530">
        <f t="shared" si="365"/>
        <v>0</v>
      </c>
      <c r="T334" s="530">
        <f t="shared" si="365"/>
        <v>0</v>
      </c>
      <c r="U334" s="530">
        <f t="shared" si="365"/>
        <v>0</v>
      </c>
      <c r="V334" s="530">
        <f t="shared" si="365"/>
        <v>0</v>
      </c>
      <c r="W334" s="530">
        <f t="shared" si="365"/>
        <v>0</v>
      </c>
      <c r="X334" s="530">
        <f t="shared" si="365"/>
        <v>0</v>
      </c>
      <c r="Y334" s="530">
        <f t="shared" si="365"/>
        <v>0</v>
      </c>
      <c r="Z334" s="6"/>
      <c r="AA334" s="660"/>
      <c r="AB334" s="660"/>
      <c r="AC334" s="660"/>
      <c r="AD334" s="530">
        <f>AD78</f>
        <v>0</v>
      </c>
      <c r="AE334" s="530">
        <f>AE78</f>
        <v>0</v>
      </c>
      <c r="AG334" s="660"/>
      <c r="AH334" s="660"/>
    </row>
    <row r="335" spans="2:34" ht="13.5" customHeight="1">
      <c r="B335" s="728" t="str">
        <f>B113</f>
        <v>Cash interest paid</v>
      </c>
      <c r="C335" s="528"/>
      <c r="D335" s="528">
        <f>-D113</f>
        <v>-5943.326</v>
      </c>
      <c r="E335" s="528"/>
      <c r="F335" s="528">
        <f t="shared" ref="F335:K335" si="366">-F113</f>
        <v>-7356.1369999999997</v>
      </c>
      <c r="G335" s="528">
        <f t="shared" si="366"/>
        <v>-10620.7</v>
      </c>
      <c r="H335" s="528">
        <f t="shared" si="366"/>
        <v>-13750.356</v>
      </c>
      <c r="I335" s="528">
        <f t="shared" si="366"/>
        <v>-17998.161</v>
      </c>
      <c r="J335" s="528">
        <f t="shared" si="366"/>
        <v>-17064.006000000001</v>
      </c>
      <c r="K335" s="528">
        <f t="shared" si="366"/>
        <v>-18523.745999999999</v>
      </c>
      <c r="L335" s="24"/>
      <c r="M335" s="660"/>
      <c r="N335" s="660"/>
      <c r="O335" s="660"/>
      <c r="P335" s="528">
        <f t="shared" ref="P335:Y335" si="367">-P113</f>
        <v>-7356.1369999999997</v>
      </c>
      <c r="Q335" s="528">
        <f t="shared" si="367"/>
        <v>-8005.2889999999998</v>
      </c>
      <c r="R335" s="528">
        <f t="shared" si="367"/>
        <v>-8143.0039999999999</v>
      </c>
      <c r="S335" s="528">
        <f t="shared" si="367"/>
        <v>-8051.6329999999998</v>
      </c>
      <c r="T335" s="528">
        <f t="shared" si="367"/>
        <v>-13750.356</v>
      </c>
      <c r="U335" s="528">
        <f t="shared" si="367"/>
        <v>-15330.770999999999</v>
      </c>
      <c r="V335" s="528">
        <f t="shared" si="367"/>
        <v>-16018.436</v>
      </c>
      <c r="W335" s="528">
        <f t="shared" si="367"/>
        <v>-18721.013999999999</v>
      </c>
      <c r="X335" s="528">
        <f t="shared" si="367"/>
        <v>-17064.006000000001</v>
      </c>
      <c r="Y335" s="528">
        <f t="shared" si="367"/>
        <v>-18523.745999999999</v>
      </c>
      <c r="Z335" s="24"/>
      <c r="AA335" s="660"/>
      <c r="AB335" s="660"/>
      <c r="AC335" s="660"/>
      <c r="AD335" s="528">
        <f>-AD113</f>
        <v>-17998.161</v>
      </c>
      <c r="AE335" s="528">
        <f>-AE113</f>
        <v>-19964.251</v>
      </c>
      <c r="AG335" s="660"/>
      <c r="AH335" s="660"/>
    </row>
    <row r="336" spans="2:34" ht="13.5" customHeight="1">
      <c r="B336" s="728" t="str">
        <f>B115</f>
        <v>Capex</v>
      </c>
      <c r="C336" s="528"/>
      <c r="D336" s="528">
        <f>-D115</f>
        <v>-14220.448</v>
      </c>
      <c r="E336" s="528"/>
      <c r="F336" s="528">
        <f t="shared" ref="F336:K336" si="368">-F115</f>
        <v>-13878.324999999999</v>
      </c>
      <c r="G336" s="528">
        <f t="shared" si="368"/>
        <v>-20037.355</v>
      </c>
      <c r="H336" s="528">
        <f t="shared" si="368"/>
        <v>-28790.752</v>
      </c>
      <c r="I336" s="528">
        <f t="shared" si="368"/>
        <v>-37644.513999999996</v>
      </c>
      <c r="J336" s="528">
        <f t="shared" si="368"/>
        <v>-43269.967000000004</v>
      </c>
      <c r="K336" s="528">
        <f t="shared" si="368"/>
        <v>-47222.195000000007</v>
      </c>
      <c r="L336" s="24"/>
      <c r="M336" s="660"/>
      <c r="N336" s="660"/>
      <c r="O336" s="660"/>
      <c r="P336" s="528">
        <f t="shared" ref="P336:Y336" si="369">-P115</f>
        <v>-13878.324999999999</v>
      </c>
      <c r="Q336" s="528">
        <f t="shared" si="369"/>
        <v>-18759.971999999998</v>
      </c>
      <c r="R336" s="528">
        <f t="shared" si="369"/>
        <v>-14280.234999999997</v>
      </c>
      <c r="S336" s="528">
        <f t="shared" si="369"/>
        <v>-12905.878000000002</v>
      </c>
      <c r="T336" s="528">
        <f t="shared" si="369"/>
        <v>-28790.752</v>
      </c>
      <c r="U336" s="528">
        <f t="shared" si="369"/>
        <v>-27246.46</v>
      </c>
      <c r="V336" s="528">
        <f t="shared" si="369"/>
        <v>-31023.464000000004</v>
      </c>
      <c r="W336" s="528">
        <f t="shared" si="369"/>
        <v>-37518.534</v>
      </c>
      <c r="X336" s="528">
        <f t="shared" si="369"/>
        <v>-43269.967000000004</v>
      </c>
      <c r="Y336" s="528">
        <f t="shared" si="369"/>
        <v>-47222.195000000007</v>
      </c>
      <c r="Z336" s="24"/>
      <c r="AA336" s="660"/>
      <c r="AB336" s="660"/>
      <c r="AC336" s="660"/>
      <c r="AD336" s="528">
        <f>-AD115</f>
        <v>-37644.513999999996</v>
      </c>
      <c r="AE336" s="528">
        <f>-AE115</f>
        <v>-37367.36299999999</v>
      </c>
      <c r="AG336" s="660"/>
      <c r="AH336" s="660"/>
    </row>
    <row r="337" spans="2:34" ht="13.5" customHeight="1">
      <c r="B337" s="728" t="str">
        <f>B116</f>
        <v xml:space="preserve">Free cash flow </v>
      </c>
      <c r="C337" s="528"/>
      <c r="D337" s="528">
        <f>D116</f>
        <v>5332.5579999999991</v>
      </c>
      <c r="E337" s="528"/>
      <c r="F337" s="528">
        <f t="shared" ref="F337:K337" si="370">F116</f>
        <v>10193.712999999989</v>
      </c>
      <c r="G337" s="528">
        <f t="shared" si="370"/>
        <v>14717.558000000012</v>
      </c>
      <c r="H337" s="528">
        <f t="shared" si="370"/>
        <v>12957.527000000022</v>
      </c>
      <c r="I337" s="528">
        <f t="shared" si="370"/>
        <v>17000.782999999996</v>
      </c>
      <c r="J337" s="528">
        <f t="shared" si="370"/>
        <v>16987.199999999997</v>
      </c>
      <c r="K337" s="528">
        <f t="shared" si="370"/>
        <v>-10472.294000000009</v>
      </c>
      <c r="L337" s="24"/>
      <c r="M337" s="660"/>
      <c r="N337" s="660"/>
      <c r="O337" s="660"/>
      <c r="P337" s="528">
        <f t="shared" ref="P337:Y337" si="371">P116</f>
        <v>10193.712999999992</v>
      </c>
      <c r="Q337" s="528">
        <f t="shared" si="371"/>
        <v>7849.9669999999851</v>
      </c>
      <c r="R337" s="528">
        <f t="shared" si="371"/>
        <v>11005.550999999994</v>
      </c>
      <c r="S337" s="528">
        <f t="shared" si="371"/>
        <v>13194.062999999969</v>
      </c>
      <c r="T337" s="528">
        <f t="shared" si="371"/>
        <v>12957.526999999998</v>
      </c>
      <c r="U337" s="528">
        <f t="shared" si="371"/>
        <v>15788.907000000001</v>
      </c>
      <c r="V337" s="528">
        <f t="shared" si="371"/>
        <v>16195.09400000001</v>
      </c>
      <c r="W337" s="528">
        <f t="shared" si="371"/>
        <v>16699.532000000021</v>
      </c>
      <c r="X337" s="528">
        <f t="shared" si="371"/>
        <v>16987.2</v>
      </c>
      <c r="Y337" s="528">
        <f t="shared" si="371"/>
        <v>-10472.293999999994</v>
      </c>
      <c r="Z337" s="24"/>
      <c r="AA337" s="660"/>
      <c r="AB337" s="660"/>
      <c r="AC337" s="660"/>
      <c r="AD337" s="528">
        <f>AD116</f>
        <v>17000.783000000003</v>
      </c>
      <c r="AE337" s="528">
        <f>AE116</f>
        <v>18445.199000000008</v>
      </c>
      <c r="AG337" s="660"/>
      <c r="AH337" s="660"/>
    </row>
    <row r="338" spans="2:34" ht="13.5" customHeight="1">
      <c r="B338" s="1" t="s">
        <v>64</v>
      </c>
      <c r="C338" s="685"/>
      <c r="D338" s="24">
        <f>D143</f>
        <v>42776.160000000003</v>
      </c>
      <c r="E338" s="685"/>
      <c r="F338" s="24">
        <f t="shared" ref="F338:K338" si="372">F143</f>
        <v>49978.716</v>
      </c>
      <c r="G338" s="24">
        <f t="shared" si="372"/>
        <v>72158.656000000003</v>
      </c>
      <c r="H338" s="24">
        <f t="shared" si="372"/>
        <v>68934.332999999999</v>
      </c>
      <c r="I338" s="24">
        <f t="shared" si="372"/>
        <v>90229.752999999997</v>
      </c>
      <c r="J338" s="24">
        <f t="shared" si="372"/>
        <v>91828.282000000007</v>
      </c>
      <c r="K338" s="24">
        <f t="shared" si="372"/>
        <v>95773.428</v>
      </c>
      <c r="L338" s="24"/>
      <c r="M338" s="660"/>
      <c r="N338" s="660"/>
      <c r="O338" s="660"/>
      <c r="P338" s="24">
        <f t="shared" ref="P338:Y338" si="373">P143</f>
        <v>49978.716</v>
      </c>
      <c r="Q338" s="24">
        <f t="shared" si="373"/>
        <v>48778.705999999998</v>
      </c>
      <c r="R338" s="24">
        <f t="shared" si="373"/>
        <v>50189.445</v>
      </c>
      <c r="S338" s="24">
        <f t="shared" si="373"/>
        <v>81008.661999999997</v>
      </c>
      <c r="T338" s="24">
        <f t="shared" si="373"/>
        <v>68934.332999999999</v>
      </c>
      <c r="U338" s="24">
        <f t="shared" si="373"/>
        <v>108420.52899999999</v>
      </c>
      <c r="V338" s="24">
        <f t="shared" si="373"/>
        <v>116601.09699999999</v>
      </c>
      <c r="W338" s="24">
        <f t="shared" si="373"/>
        <v>122346.742</v>
      </c>
      <c r="X338" s="24">
        <f t="shared" si="373"/>
        <v>91828.282000000007</v>
      </c>
      <c r="Y338" s="24">
        <f t="shared" si="373"/>
        <v>95773.428</v>
      </c>
      <c r="Z338" s="24"/>
      <c r="AA338" s="660"/>
      <c r="AB338" s="660"/>
      <c r="AC338" s="660"/>
      <c r="AD338" s="24">
        <f>AD143</f>
        <v>68934.332999999999</v>
      </c>
      <c r="AE338" s="24">
        <f>AE143</f>
        <v>108420.52899999999</v>
      </c>
      <c r="AG338" s="660"/>
      <c r="AH338" s="660"/>
    </row>
    <row r="339" spans="2:34" ht="13.5" customHeight="1">
      <c r="B339" s="1" t="s">
        <v>550</v>
      </c>
      <c r="C339" s="685"/>
      <c r="D339" s="24">
        <f>D154</f>
        <v>83703.19200000001</v>
      </c>
      <c r="E339" s="685"/>
      <c r="F339" s="24">
        <f t="shared" ref="F339:K339" si="374">F154</f>
        <v>81656.620999999985</v>
      </c>
      <c r="G339" s="24">
        <f t="shared" si="374"/>
        <v>117894.82699999999</v>
      </c>
      <c r="H339" s="24">
        <f t="shared" si="374"/>
        <v>99517.735000000001</v>
      </c>
      <c r="I339" s="24">
        <f t="shared" si="374"/>
        <v>130261.08100000001</v>
      </c>
      <c r="J339" s="24">
        <f t="shared" si="374"/>
        <v>143164.80900000001</v>
      </c>
      <c r="K339" s="24">
        <f t="shared" si="374"/>
        <v>190117.283</v>
      </c>
      <c r="L339" s="24"/>
      <c r="M339" s="660"/>
      <c r="N339" s="660"/>
      <c r="O339" s="660"/>
      <c r="P339" s="24">
        <f t="shared" ref="P339:Y339" si="375">P154</f>
        <v>81656.620999999985</v>
      </c>
      <c r="Q339" s="24">
        <f t="shared" si="375"/>
        <v>94852.439000000013</v>
      </c>
      <c r="R339" s="24">
        <f t="shared" si="375"/>
        <v>96139.356999999989</v>
      </c>
      <c r="S339" s="24">
        <f t="shared" si="375"/>
        <v>102834.40700000001</v>
      </c>
      <c r="T339" s="24">
        <f t="shared" si="375"/>
        <v>99517.735000000001</v>
      </c>
      <c r="U339" s="24">
        <f t="shared" si="375"/>
        <v>144300.098</v>
      </c>
      <c r="V339" s="24">
        <f t="shared" si="375"/>
        <v>158537.90700000001</v>
      </c>
      <c r="W339" s="24">
        <f t="shared" si="375"/>
        <v>166096.77899999998</v>
      </c>
      <c r="X339" s="24">
        <f t="shared" si="375"/>
        <v>143164.80900000001</v>
      </c>
      <c r="Y339" s="24">
        <f t="shared" si="375"/>
        <v>190117.283</v>
      </c>
      <c r="Z339" s="24"/>
      <c r="AA339" s="660"/>
      <c r="AB339" s="660"/>
      <c r="AC339" s="660"/>
      <c r="AD339" s="24">
        <f>AD154</f>
        <v>99517.735000000001</v>
      </c>
      <c r="AE339" s="24">
        <f>AE154</f>
        <v>144300.098</v>
      </c>
      <c r="AG339" s="660"/>
      <c r="AH339" s="660"/>
    </row>
    <row r="340" spans="2:34" ht="13.5" customHeight="1">
      <c r="B340" s="1" t="s">
        <v>551</v>
      </c>
      <c r="C340" s="685"/>
      <c r="D340" s="24">
        <f>D157</f>
        <v>88737.385000000009</v>
      </c>
      <c r="E340" s="685"/>
      <c r="F340" s="24">
        <f t="shared" ref="F340:K340" si="376">F157</f>
        <v>84084.208999999988</v>
      </c>
      <c r="G340" s="24">
        <f t="shared" si="376"/>
        <v>121399.74800000001</v>
      </c>
      <c r="H340" s="24">
        <f t="shared" si="376"/>
        <v>104340.25900000001</v>
      </c>
      <c r="I340" s="24">
        <f t="shared" si="376"/>
        <v>136573.39500000002</v>
      </c>
      <c r="J340" s="24">
        <f t="shared" si="376"/>
        <v>158649.12600000002</v>
      </c>
      <c r="K340" s="24">
        <f t="shared" si="376"/>
        <v>206346.85499999998</v>
      </c>
      <c r="L340" s="24"/>
      <c r="M340" s="660"/>
      <c r="N340" s="660"/>
      <c r="O340" s="660"/>
      <c r="P340" s="24">
        <f t="shared" ref="P340:Y340" si="377">P157</f>
        <v>84084.208999999988</v>
      </c>
      <c r="Q340" s="24">
        <f t="shared" si="377"/>
        <v>98049.52900000001</v>
      </c>
      <c r="R340" s="24">
        <f t="shared" si="377"/>
        <v>99190.731999999989</v>
      </c>
      <c r="S340" s="24">
        <f t="shared" si="377"/>
        <v>106728.425</v>
      </c>
      <c r="T340" s="24">
        <f t="shared" si="377"/>
        <v>104340.25900000001</v>
      </c>
      <c r="U340" s="24">
        <f t="shared" si="377"/>
        <v>150711.508</v>
      </c>
      <c r="V340" s="24">
        <f t="shared" si="377"/>
        <v>172858.079</v>
      </c>
      <c r="W340" s="24">
        <f t="shared" si="377"/>
        <v>181280.84499999997</v>
      </c>
      <c r="X340" s="24">
        <f t="shared" si="377"/>
        <v>158649.12600000002</v>
      </c>
      <c r="Y340" s="24">
        <f t="shared" si="377"/>
        <v>206346.85499999998</v>
      </c>
      <c r="Z340" s="24"/>
      <c r="AA340" s="660"/>
      <c r="AB340" s="660"/>
      <c r="AC340" s="660"/>
      <c r="AD340" s="24">
        <f>AD157</f>
        <v>104340.25900000001</v>
      </c>
      <c r="AE340" s="24">
        <f>AE157</f>
        <v>150711.508</v>
      </c>
      <c r="AG340" s="660"/>
      <c r="AH340" s="660"/>
    </row>
    <row r="341" spans="2:34" ht="13.5" customHeight="1">
      <c r="B341" s="1" t="s">
        <v>552</v>
      </c>
      <c r="C341" s="685"/>
      <c r="D341" s="24">
        <f>D339-D338</f>
        <v>40927.032000000007</v>
      </c>
      <c r="E341" s="685"/>
      <c r="F341" s="24">
        <f t="shared" ref="F341:K341" si="378">F339-F338</f>
        <v>31677.904999999984</v>
      </c>
      <c r="G341" s="24">
        <f t="shared" si="378"/>
        <v>45736.170999999988</v>
      </c>
      <c r="H341" s="24">
        <f t="shared" si="378"/>
        <v>30583.402000000002</v>
      </c>
      <c r="I341" s="24">
        <f t="shared" si="378"/>
        <v>40031.328000000009</v>
      </c>
      <c r="J341" s="24">
        <f t="shared" si="378"/>
        <v>51336.527000000002</v>
      </c>
      <c r="K341" s="24">
        <f t="shared" si="378"/>
        <v>94343.854999999996</v>
      </c>
      <c r="L341" s="24"/>
      <c r="M341" s="660"/>
      <c r="N341" s="660"/>
      <c r="O341" s="660"/>
      <c r="P341" s="24">
        <f t="shared" ref="P341:U341" si="379">P339-P338</f>
        <v>31677.904999999984</v>
      </c>
      <c r="Q341" s="24">
        <f t="shared" si="379"/>
        <v>46073.733000000015</v>
      </c>
      <c r="R341" s="24">
        <f t="shared" si="379"/>
        <v>45949.911999999989</v>
      </c>
      <c r="S341" s="24">
        <f t="shared" si="379"/>
        <v>21825.74500000001</v>
      </c>
      <c r="T341" s="24">
        <f t="shared" si="379"/>
        <v>30583.402000000002</v>
      </c>
      <c r="U341" s="24">
        <f t="shared" si="379"/>
        <v>35879.569000000003</v>
      </c>
      <c r="V341" s="24">
        <f>V339-V338</f>
        <v>41936.810000000012</v>
      </c>
      <c r="W341" s="24">
        <f>W339-W338</f>
        <v>43750.036999999982</v>
      </c>
      <c r="X341" s="24">
        <f>X339-X338</f>
        <v>51336.527000000002</v>
      </c>
      <c r="Y341" s="24">
        <f>Y339-Y338</f>
        <v>94343.854999999996</v>
      </c>
      <c r="Z341" s="24"/>
      <c r="AA341" s="660"/>
      <c r="AB341" s="660"/>
      <c r="AC341" s="660"/>
      <c r="AD341" s="24">
        <f>AD339-AD338</f>
        <v>30583.402000000002</v>
      </c>
      <c r="AE341" s="24">
        <f>AE339-AE338</f>
        <v>35879.569000000003</v>
      </c>
      <c r="AG341" s="660"/>
      <c r="AH341" s="660"/>
    </row>
    <row r="342" spans="2:34" ht="13.5" customHeight="1">
      <c r="B342" s="1" t="s">
        <v>553</v>
      </c>
      <c r="C342" s="685"/>
      <c r="D342" s="24">
        <f>D340-D338</f>
        <v>45961.225000000006</v>
      </c>
      <c r="E342" s="685"/>
      <c r="F342" s="24">
        <f t="shared" ref="F342:K342" si="380">F340-F338</f>
        <v>34105.492999999988</v>
      </c>
      <c r="G342" s="24">
        <f t="shared" si="380"/>
        <v>49241.092000000004</v>
      </c>
      <c r="H342" s="24">
        <f t="shared" si="380"/>
        <v>35405.926000000007</v>
      </c>
      <c r="I342" s="24">
        <f t="shared" si="380"/>
        <v>46343.642000000022</v>
      </c>
      <c r="J342" s="24">
        <f t="shared" si="380"/>
        <v>66820.844000000012</v>
      </c>
      <c r="K342" s="24">
        <f t="shared" si="380"/>
        <v>110573.42699999998</v>
      </c>
      <c r="L342" s="24"/>
      <c r="M342" s="660"/>
      <c r="N342" s="660"/>
      <c r="O342" s="660"/>
      <c r="P342" s="24">
        <f t="shared" ref="P342:U342" si="381">P340-P338</f>
        <v>34105.492999999988</v>
      </c>
      <c r="Q342" s="24">
        <f t="shared" si="381"/>
        <v>49270.823000000011</v>
      </c>
      <c r="R342" s="24">
        <f t="shared" si="381"/>
        <v>49001.286999999989</v>
      </c>
      <c r="S342" s="24">
        <f t="shared" si="381"/>
        <v>25719.763000000006</v>
      </c>
      <c r="T342" s="24">
        <f t="shared" si="381"/>
        <v>35405.926000000007</v>
      </c>
      <c r="U342" s="24">
        <f t="shared" si="381"/>
        <v>42290.979000000007</v>
      </c>
      <c r="V342" s="24">
        <f>V340-V338</f>
        <v>56256.982000000004</v>
      </c>
      <c r="W342" s="24">
        <f>W340-W338</f>
        <v>58934.102999999974</v>
      </c>
      <c r="X342" s="24">
        <f>X340-X338</f>
        <v>66820.844000000012</v>
      </c>
      <c r="Y342" s="24">
        <f>Y340-Y338</f>
        <v>110573.42699999998</v>
      </c>
      <c r="Z342" s="24"/>
      <c r="AA342" s="660"/>
      <c r="AB342" s="660"/>
      <c r="AC342" s="660"/>
      <c r="AD342" s="24">
        <f>AD340-AD338</f>
        <v>35405.926000000007</v>
      </c>
      <c r="AE342" s="24">
        <f>AE340-AE338</f>
        <v>42290.979000000007</v>
      </c>
      <c r="AG342" s="660"/>
      <c r="AH342" s="660"/>
    </row>
    <row r="343" spans="2:34" ht="13.5" customHeight="1">
      <c r="B343" s="728" t="s">
        <v>554</v>
      </c>
      <c r="C343" s="526"/>
      <c r="D343" s="526">
        <f>D339/D331</f>
        <v>2.286489484966987</v>
      </c>
      <c r="E343" s="526"/>
      <c r="F343" s="526">
        <f t="shared" ref="F343:K343" si="382">F339/F331</f>
        <v>1.8610298981833675</v>
      </c>
      <c r="G343" s="526">
        <f t="shared" si="382"/>
        <v>1.8610299442122713</v>
      </c>
      <c r="H343" s="526">
        <f t="shared" si="382"/>
        <v>1.4257144600850316</v>
      </c>
      <c r="I343" s="526">
        <f t="shared" si="382"/>
        <v>1.4257144210889541</v>
      </c>
      <c r="J343" s="526">
        <f t="shared" si="382"/>
        <v>1.3763600508474698</v>
      </c>
      <c r="K343" s="526">
        <f t="shared" si="382"/>
        <v>1.7072667635257162</v>
      </c>
      <c r="L343" s="54"/>
      <c r="M343" s="728"/>
      <c r="N343" s="728"/>
      <c r="O343" s="728"/>
      <c r="P343" s="526">
        <f t="shared" ref="P343:U343" si="383">P339/P331</f>
        <v>1.8610298981833675</v>
      </c>
      <c r="Q343" s="526">
        <f t="shared" si="383"/>
        <v>2.0496458125916033</v>
      </c>
      <c r="R343" s="526">
        <f t="shared" si="383"/>
        <v>2.189007040047644</v>
      </c>
      <c r="S343" s="526">
        <f t="shared" si="383"/>
        <v>2.2579395571773717</v>
      </c>
      <c r="T343" s="526">
        <f t="shared" si="383"/>
        <v>1.4257144600850318</v>
      </c>
      <c r="U343" s="526">
        <f t="shared" si="383"/>
        <v>1.8498388500455756</v>
      </c>
      <c r="V343" s="526">
        <f>V339/V331</f>
        <v>1.8390641807536041</v>
      </c>
      <c r="W343" s="526">
        <f>W339/W331</f>
        <v>1.7555219581900749</v>
      </c>
      <c r="X343" s="526">
        <f>X339/X331</f>
        <v>1.3763600508474698</v>
      </c>
      <c r="Y343" s="526">
        <f>Y339/Y331</f>
        <v>1.7072667635257162</v>
      </c>
      <c r="Z343" s="54"/>
      <c r="AA343" s="660"/>
      <c r="AB343" s="660"/>
      <c r="AC343" s="660"/>
      <c r="AD343" s="526">
        <f>AD339/AD331</f>
        <v>1.0892268730950341</v>
      </c>
      <c r="AE343" s="526">
        <f>AE339/AE331</f>
        <v>1.4261781533098765</v>
      </c>
      <c r="AG343" s="660"/>
      <c r="AH343" s="660"/>
    </row>
    <row r="344" spans="2:34" ht="13.5" customHeight="1">
      <c r="B344" s="729" t="s">
        <v>555</v>
      </c>
      <c r="C344" s="525"/>
      <c r="D344" s="525">
        <f>D341/D331</f>
        <v>1.1179887658156145</v>
      </c>
      <c r="E344" s="525"/>
      <c r="F344" s="525">
        <f t="shared" ref="F344:K344" si="384">F341/F331</f>
        <v>0.72196874662266974</v>
      </c>
      <c r="G344" s="525">
        <f t="shared" si="384"/>
        <v>0.72196877446211338</v>
      </c>
      <c r="H344" s="525">
        <f t="shared" si="384"/>
        <v>0.43814500470688439</v>
      </c>
      <c r="I344" s="525">
        <f t="shared" si="384"/>
        <v>0.43814500222781083</v>
      </c>
      <c r="J344" s="525">
        <f t="shared" si="384"/>
        <v>0.49353989577181995</v>
      </c>
      <c r="K344" s="525">
        <f t="shared" si="384"/>
        <v>0.8472145480029265</v>
      </c>
      <c r="L344" s="53"/>
      <c r="M344" s="728"/>
      <c r="N344" s="728"/>
      <c r="O344" s="728"/>
      <c r="P344" s="525">
        <f t="shared" ref="P344:U344" si="385">P341/P331</f>
        <v>0.72196874662266974</v>
      </c>
      <c r="Q344" s="525">
        <f t="shared" si="385"/>
        <v>0.99559731841912458</v>
      </c>
      <c r="R344" s="525">
        <f t="shared" si="385"/>
        <v>1.0462383356440559</v>
      </c>
      <c r="S344" s="525">
        <f t="shared" si="385"/>
        <v>0.47922883437608832</v>
      </c>
      <c r="T344" s="525">
        <f t="shared" si="385"/>
        <v>0.4381450047068845</v>
      </c>
      <c r="U344" s="525">
        <f t="shared" si="385"/>
        <v>0.45995409274837001</v>
      </c>
      <c r="V344" s="525">
        <f>V341/V331</f>
        <v>0.48647346609709924</v>
      </c>
      <c r="W344" s="525">
        <f>W341/W331</f>
        <v>0.46240602067983638</v>
      </c>
      <c r="X344" s="525">
        <f>X341/X331</f>
        <v>0.49353989577181995</v>
      </c>
      <c r="Y344" s="525">
        <f>Y341/Y331</f>
        <v>0.8472145480029265</v>
      </c>
      <c r="Z344" s="53"/>
      <c r="AA344" s="660"/>
      <c r="AB344" s="660"/>
      <c r="AC344" s="660"/>
      <c r="AD344" s="525">
        <f>AD341/AD331</f>
        <v>0.33473695245443852</v>
      </c>
      <c r="AE344" s="525">
        <f>AE341/AE331</f>
        <v>0.35461276996481522</v>
      </c>
      <c r="AG344" s="660"/>
      <c r="AH344" s="660"/>
    </row>
    <row r="345" spans="2:34" ht="13.5" customHeight="1">
      <c r="B345" s="728" t="s">
        <v>556</v>
      </c>
      <c r="C345" s="526"/>
      <c r="D345" s="526">
        <f>D340/D332</f>
        <v>2.4240066941051333</v>
      </c>
      <c r="E345" s="526"/>
      <c r="F345" s="526">
        <f t="shared" ref="F345:K345" si="386">F340/F332</f>
        <v>1.9163568734260876</v>
      </c>
      <c r="G345" s="526">
        <f t="shared" si="386"/>
        <v>1.9163569089237802</v>
      </c>
      <c r="H345" s="526">
        <f t="shared" si="386"/>
        <v>1.4948030722897516</v>
      </c>
      <c r="I345" s="526">
        <f t="shared" si="386"/>
        <v>1.4948030316789562</v>
      </c>
      <c r="J345" s="526">
        <f t="shared" si="386"/>
        <v>1.5252234166586753</v>
      </c>
      <c r="K345" s="526">
        <f t="shared" si="386"/>
        <v>1.8530094778366901</v>
      </c>
      <c r="L345" s="54"/>
      <c r="M345" s="728"/>
      <c r="N345" s="728"/>
      <c r="O345" s="728"/>
      <c r="P345" s="526">
        <f t="shared" ref="P345:U345" si="387">P340/P332</f>
        <v>1.9163568734260876</v>
      </c>
      <c r="Q345" s="526">
        <f t="shared" si="387"/>
        <v>2.1187310380224273</v>
      </c>
      <c r="R345" s="526">
        <f t="shared" si="387"/>
        <v>2.2584841154645865</v>
      </c>
      <c r="S345" s="526">
        <f t="shared" si="387"/>
        <v>2.3434406801484093</v>
      </c>
      <c r="T345" s="526">
        <f t="shared" si="387"/>
        <v>1.4948030722897521</v>
      </c>
      <c r="U345" s="526">
        <f t="shared" si="387"/>
        <v>1.9320291982570557</v>
      </c>
      <c r="V345" s="526">
        <f>V340/V332</f>
        <v>2.0051803852991243</v>
      </c>
      <c r="W345" s="526">
        <f>W340/W332</f>
        <v>1.916006474735741</v>
      </c>
      <c r="X345" s="526">
        <f>X340/X332</f>
        <v>1.5252234166586753</v>
      </c>
      <c r="Y345" s="526">
        <f>Y340/Y332</f>
        <v>1.8530094778366901</v>
      </c>
      <c r="Z345" s="54"/>
      <c r="AA345" s="660"/>
      <c r="AB345" s="660"/>
      <c r="AC345" s="660"/>
      <c r="AD345" s="526">
        <f>AD340/AD332</f>
        <v>1.1420096533396382</v>
      </c>
      <c r="AE345" s="526">
        <f>AE340/AE332</f>
        <v>1.4895447968579112</v>
      </c>
      <c r="AG345" s="660"/>
      <c r="AH345" s="660"/>
    </row>
    <row r="346" spans="2:34" ht="13.5" customHeight="1">
      <c r="B346" s="729" t="s">
        <v>557</v>
      </c>
      <c r="C346" s="525"/>
      <c r="D346" s="525">
        <f>D342/D332</f>
        <v>1.2555059749537607</v>
      </c>
      <c r="E346" s="525"/>
      <c r="F346" s="525">
        <f t="shared" ref="F346:K346" si="388">F342/F332</f>
        <v>0.77729572186538975</v>
      </c>
      <c r="G346" s="525">
        <f t="shared" si="388"/>
        <v>0.77729573917362238</v>
      </c>
      <c r="H346" s="525">
        <f t="shared" si="388"/>
        <v>0.50723361691160462</v>
      </c>
      <c r="I346" s="525">
        <f t="shared" si="388"/>
        <v>0.50723361281781298</v>
      </c>
      <c r="J346" s="525">
        <f t="shared" si="388"/>
        <v>0.6424032615830253</v>
      </c>
      <c r="K346" s="525">
        <f t="shared" si="388"/>
        <v>0.99295726231390036</v>
      </c>
      <c r="L346" s="53"/>
      <c r="M346" s="728"/>
      <c r="N346" s="728"/>
      <c r="O346" s="728"/>
      <c r="P346" s="525">
        <f t="shared" ref="P346:U346" si="389">P342/P332</f>
        <v>0.77729572186538975</v>
      </c>
      <c r="Q346" s="525">
        <f t="shared" si="389"/>
        <v>1.0646825438499485</v>
      </c>
      <c r="R346" s="525">
        <f t="shared" si="389"/>
        <v>1.1157154110609986</v>
      </c>
      <c r="S346" s="525">
        <f t="shared" si="389"/>
        <v>0.56472995734712572</v>
      </c>
      <c r="T346" s="525">
        <f t="shared" si="389"/>
        <v>0.50723361691160473</v>
      </c>
      <c r="U346" s="525">
        <f t="shared" si="389"/>
        <v>0.54214444095985015</v>
      </c>
      <c r="V346" s="525">
        <f>V342/V332</f>
        <v>0.65258967064261963</v>
      </c>
      <c r="W346" s="525">
        <f>W342/W332</f>
        <v>0.62289053722550236</v>
      </c>
      <c r="X346" s="525">
        <f>X342/X332</f>
        <v>0.6424032615830253</v>
      </c>
      <c r="Y346" s="525">
        <f>Y342/Y332</f>
        <v>0.99295726231390036</v>
      </c>
      <c r="Z346" s="53"/>
      <c r="AA346" s="660"/>
      <c r="AB346" s="660"/>
      <c r="AC346" s="660"/>
      <c r="AD346" s="525">
        <f>AD342/AD332</f>
        <v>0.38751973269904277</v>
      </c>
      <c r="AE346" s="525">
        <f>AE342/AE332</f>
        <v>0.41797941351284995</v>
      </c>
      <c r="AG346" s="660"/>
      <c r="AH346" s="660"/>
    </row>
    <row r="347" spans="2:34" ht="13.5" customHeight="1">
      <c r="AA347" s="5"/>
      <c r="AB347" s="5"/>
      <c r="AC347" s="5"/>
      <c r="AD347" s="5"/>
      <c r="AE347" s="5"/>
    </row>
    <row r="348" spans="2:34" ht="13.5" customHeight="1">
      <c r="B348" s="543" t="s">
        <v>558</v>
      </c>
      <c r="C348" s="574"/>
      <c r="D348" s="574">
        <f>D3</f>
        <v>44926</v>
      </c>
      <c r="E348" s="545"/>
      <c r="F348" s="575">
        <f t="shared" ref="F348:K348" si="390">F3</f>
        <v>45291</v>
      </c>
      <c r="G348" s="574">
        <f t="shared" si="390"/>
        <v>45291</v>
      </c>
      <c r="H348" s="574">
        <f t="shared" si="390"/>
        <v>45657</v>
      </c>
      <c r="I348" s="574">
        <f t="shared" si="390"/>
        <v>45657</v>
      </c>
      <c r="J348" s="574">
        <f t="shared" si="390"/>
        <v>46022</v>
      </c>
      <c r="K348" s="574">
        <f t="shared" si="390"/>
        <v>46112</v>
      </c>
      <c r="L348" s="53"/>
      <c r="M348" s="545"/>
      <c r="N348" s="545"/>
      <c r="O348" s="545"/>
      <c r="P348" s="574">
        <f t="shared" ref="P348:Y348" si="391">P3</f>
        <v>45291</v>
      </c>
      <c r="Q348" s="574">
        <f t="shared" si="391"/>
        <v>45382</v>
      </c>
      <c r="R348" s="574">
        <f t="shared" si="391"/>
        <v>45473</v>
      </c>
      <c r="S348" s="574">
        <f t="shared" si="391"/>
        <v>45565</v>
      </c>
      <c r="T348" s="574">
        <f t="shared" si="391"/>
        <v>45657</v>
      </c>
      <c r="U348" s="574">
        <f t="shared" si="391"/>
        <v>45747</v>
      </c>
      <c r="V348" s="574">
        <f t="shared" si="391"/>
        <v>45838</v>
      </c>
      <c r="W348" s="576">
        <f t="shared" si="391"/>
        <v>45930</v>
      </c>
      <c r="X348" s="576">
        <f t="shared" si="391"/>
        <v>46022</v>
      </c>
      <c r="Y348" s="576">
        <f t="shared" si="391"/>
        <v>46112</v>
      </c>
      <c r="Z348" s="295"/>
      <c r="AA348" s="576">
        <f>AA3</f>
        <v>45382</v>
      </c>
      <c r="AB348" s="576">
        <f>AB3</f>
        <v>45473</v>
      </c>
      <c r="AC348" s="576">
        <f>AC3</f>
        <v>45565</v>
      </c>
      <c r="AD348" s="576">
        <f>AD3</f>
        <v>45656</v>
      </c>
      <c r="AE348" s="576">
        <f>AE3</f>
        <v>45747</v>
      </c>
      <c r="AG348" s="576">
        <f>AG3</f>
        <v>45565</v>
      </c>
      <c r="AH348" s="576">
        <f>AH3</f>
        <v>45930</v>
      </c>
    </row>
    <row r="349" spans="2:34" ht="13.5" customHeight="1">
      <c r="B349" s="728" t="s">
        <v>423</v>
      </c>
      <c r="C349" s="528"/>
      <c r="D349" s="528">
        <f>D330/D$259</f>
        <v>5669.3053972104317</v>
      </c>
      <c r="E349" s="528"/>
      <c r="F349" s="528">
        <f t="shared" ref="F349:H351" si="392">F330/F$259</f>
        <v>4519.9562841530051</v>
      </c>
      <c r="G349" s="528">
        <f t="shared" si="392"/>
        <v>6525.8573749393427</v>
      </c>
      <c r="H349" s="528">
        <f t="shared" si="392"/>
        <v>5077.249102113803</v>
      </c>
      <c r="I349" s="528">
        <f t="shared" ref="I349:K351" si="393">I330/I$259</f>
        <v>6645.7295953648054</v>
      </c>
      <c r="J349" s="528">
        <f t="shared" si="393"/>
        <v>6113.3439791792061</v>
      </c>
      <c r="K349" s="528">
        <f t="shared" si="393"/>
        <v>6330.3419581784547</v>
      </c>
      <c r="L349" s="53"/>
      <c r="M349" s="728"/>
      <c r="N349" s="728"/>
      <c r="O349" s="728"/>
      <c r="P349" s="528">
        <f t="shared" ref="P349:W351" si="394">P330/P$259</f>
        <v>3764.3582768014426</v>
      </c>
      <c r="Q349" s="528">
        <f t="shared" si="394"/>
        <v>4216.1110799999988</v>
      </c>
      <c r="R349" s="528">
        <f t="shared" si="394"/>
        <v>3306.3244728000004</v>
      </c>
      <c r="S349" s="528">
        <f t="shared" si="394"/>
        <v>3290.9245199999987</v>
      </c>
      <c r="T349" s="528">
        <f t="shared" si="394"/>
        <v>4816.8024195999997</v>
      </c>
      <c r="U349" s="528">
        <f t="shared" si="394"/>
        <v>5075.30108871825</v>
      </c>
      <c r="V349" s="528">
        <f t="shared" si="394"/>
        <v>5213.8174545999136</v>
      </c>
      <c r="W349" s="528">
        <f t="shared" si="394"/>
        <v>5425.5358618339278</v>
      </c>
      <c r="X349" s="528">
        <f t="shared" ref="X349:Y351" si="395">X330/X$259</f>
        <v>5713.2032584572726</v>
      </c>
      <c r="Y349" s="528">
        <f t="shared" si="395"/>
        <v>5992.7538026054744</v>
      </c>
      <c r="Z349" s="24"/>
      <c r="AA349" s="660"/>
      <c r="AB349" s="660"/>
      <c r="AC349" s="660"/>
      <c r="AD349" s="528">
        <f t="shared" ref="AD349:AE351" si="396">AD330/AD$259</f>
        <v>6304.8248670000003</v>
      </c>
      <c r="AE349" s="528">
        <f t="shared" si="396"/>
        <v>6581.4505382846137</v>
      </c>
      <c r="AG349" s="660"/>
      <c r="AH349" s="660"/>
    </row>
    <row r="350" spans="2:34" ht="13.5" customHeight="1">
      <c r="B350" s="728" t="s">
        <v>487</v>
      </c>
      <c r="C350" s="528"/>
      <c r="D350" s="528">
        <f>D331/D$259</f>
        <v>2219.9958156458461</v>
      </c>
      <c r="E350" s="528"/>
      <c r="F350" s="528">
        <f t="shared" si="392"/>
        <v>1851.4722028820383</v>
      </c>
      <c r="G350" s="528">
        <f t="shared" si="392"/>
        <v>2673.1327721163798</v>
      </c>
      <c r="H350" s="528">
        <f t="shared" si="392"/>
        <v>2126.3532264500982</v>
      </c>
      <c r="I350" s="528">
        <f t="shared" si="393"/>
        <v>2783.233334653381</v>
      </c>
      <c r="J350" s="528">
        <f t="shared" si="393"/>
        <v>2633.4094745496559</v>
      </c>
      <c r="K350" s="528">
        <f t="shared" si="393"/>
        <v>2691.7612051779283</v>
      </c>
      <c r="L350" s="53"/>
      <c r="M350" s="728"/>
      <c r="N350" s="728"/>
      <c r="O350" s="728"/>
      <c r="P350" s="528">
        <f t="shared" si="394"/>
        <v>1541.9628582741557</v>
      </c>
      <c r="Q350" s="528">
        <f t="shared" si="394"/>
        <v>1767.7996595999991</v>
      </c>
      <c r="R350" s="528">
        <f t="shared" si="394"/>
        <v>1357.1021366999998</v>
      </c>
      <c r="S350" s="528">
        <f t="shared" si="394"/>
        <v>1366.3041599999995</v>
      </c>
      <c r="T350" s="528">
        <f t="shared" si="394"/>
        <v>2017.2780890000001</v>
      </c>
      <c r="U350" s="528">
        <f t="shared" si="394"/>
        <v>2153.8797633149161</v>
      </c>
      <c r="V350" s="528">
        <f t="shared" si="394"/>
        <v>2225.9340165617036</v>
      </c>
      <c r="W350" s="528">
        <f t="shared" si="394"/>
        <v>2319.781197821786</v>
      </c>
      <c r="X350" s="528">
        <f t="shared" si="395"/>
        <v>2461.0431937234712</v>
      </c>
      <c r="Y350" s="528">
        <f t="shared" si="395"/>
        <v>2548.2133989926842</v>
      </c>
      <c r="Z350" s="24"/>
      <c r="AA350" s="660"/>
      <c r="AB350" s="660"/>
      <c r="AC350" s="660"/>
      <c r="AD350" s="528">
        <f t="shared" si="396"/>
        <v>2640.4623431</v>
      </c>
      <c r="AE350" s="528">
        <f t="shared" si="396"/>
        <v>2793.7116097733378</v>
      </c>
      <c r="AG350" s="660"/>
      <c r="AH350" s="660"/>
    </row>
    <row r="351" spans="2:34" ht="13.5" customHeight="1">
      <c r="B351" s="728" t="s">
        <v>488</v>
      </c>
      <c r="C351" s="528"/>
      <c r="D351" s="528">
        <f>D332/D$259</f>
        <v>2219.9958156458461</v>
      </c>
      <c r="E351" s="528"/>
      <c r="F351" s="528">
        <f t="shared" si="392"/>
        <v>1851.4722028820383</v>
      </c>
      <c r="G351" s="528">
        <f t="shared" si="392"/>
        <v>2673.1327721163798</v>
      </c>
      <c r="H351" s="528">
        <f t="shared" si="392"/>
        <v>2126.3532264500982</v>
      </c>
      <c r="I351" s="528">
        <f t="shared" si="393"/>
        <v>2783.233334653381</v>
      </c>
      <c r="J351" s="528">
        <f t="shared" si="393"/>
        <v>2633.4094745496559</v>
      </c>
      <c r="K351" s="528">
        <f t="shared" si="393"/>
        <v>2691.7612051779283</v>
      </c>
      <c r="L351" s="24"/>
      <c r="M351" s="728"/>
      <c r="N351" s="728"/>
      <c r="O351" s="728"/>
      <c r="P351" s="528">
        <f t="shared" si="394"/>
        <v>1541.9628582741557</v>
      </c>
      <c r="Q351" s="528">
        <f t="shared" si="394"/>
        <v>1767.7996595999991</v>
      </c>
      <c r="R351" s="528">
        <f t="shared" si="394"/>
        <v>1357.1021366999998</v>
      </c>
      <c r="S351" s="528">
        <f t="shared" si="394"/>
        <v>1366.3041599999995</v>
      </c>
      <c r="T351" s="528">
        <f t="shared" si="394"/>
        <v>2017.2780890000001</v>
      </c>
      <c r="U351" s="528">
        <f t="shared" si="394"/>
        <v>2153.8797633149161</v>
      </c>
      <c r="V351" s="528">
        <f t="shared" si="394"/>
        <v>2225.9340165617036</v>
      </c>
      <c r="W351" s="528">
        <f t="shared" si="394"/>
        <v>2319.781197821786</v>
      </c>
      <c r="X351" s="528">
        <f t="shared" si="395"/>
        <v>2461.0431937234712</v>
      </c>
      <c r="Y351" s="528">
        <f t="shared" si="395"/>
        <v>2548.2133989926842</v>
      </c>
      <c r="Z351" s="24"/>
      <c r="AA351" s="660"/>
      <c r="AB351" s="660"/>
      <c r="AC351" s="660"/>
      <c r="AD351" s="528">
        <f t="shared" si="396"/>
        <v>2640.4623431</v>
      </c>
      <c r="AE351" s="528">
        <f t="shared" si="396"/>
        <v>2793.7116097733378</v>
      </c>
      <c r="AG351" s="660"/>
      <c r="AH351" s="660"/>
    </row>
    <row r="352" spans="2:34" ht="13.5" customHeight="1">
      <c r="B352" s="728" t="s">
        <v>549</v>
      </c>
      <c r="C352" s="730"/>
      <c r="D352" s="730">
        <f>D350/D349</f>
        <v>0.39158162422122994</v>
      </c>
      <c r="E352" s="730"/>
      <c r="F352" s="730">
        <f t="shared" ref="F352:K352" si="397">F350/F349</f>
        <v>0.40962170571722373</v>
      </c>
      <c r="G352" s="730">
        <f t="shared" si="397"/>
        <v>0.40962169697146139</v>
      </c>
      <c r="H352" s="730">
        <f t="shared" si="397"/>
        <v>0.41880025653356989</v>
      </c>
      <c r="I352" s="730">
        <f t="shared" si="397"/>
        <v>0.41880026785841568</v>
      </c>
      <c r="J352" s="730">
        <f t="shared" si="397"/>
        <v>0.43076415845705845</v>
      </c>
      <c r="K352" s="730">
        <f t="shared" si="397"/>
        <v>0.42521576606147166</v>
      </c>
      <c r="L352" s="429"/>
      <c r="M352" s="728"/>
      <c r="N352" s="728"/>
      <c r="O352" s="728"/>
      <c r="P352" s="529">
        <f t="shared" ref="P352:U352" si="398">P350/P349</f>
        <v>0.40962170571722367</v>
      </c>
      <c r="Q352" s="529">
        <f t="shared" si="398"/>
        <v>0.41929627233635403</v>
      </c>
      <c r="R352" s="529">
        <f t="shared" si="398"/>
        <v>0.41045642914493558</v>
      </c>
      <c r="S352" s="529">
        <f t="shared" si="398"/>
        <v>0.41517335073974898</v>
      </c>
      <c r="T352" s="529">
        <f t="shared" si="398"/>
        <v>0.41880025653356989</v>
      </c>
      <c r="U352" s="529">
        <f t="shared" si="398"/>
        <v>0.42438462776183217</v>
      </c>
      <c r="V352" s="529">
        <f>V350/V349</f>
        <v>0.42692979490447319</v>
      </c>
      <c r="W352" s="529">
        <f>W350/W349</f>
        <v>0.42756720384807456</v>
      </c>
      <c r="X352" s="529">
        <f>X350/X349</f>
        <v>0.43076415845705845</v>
      </c>
      <c r="Y352" s="529">
        <f>Y350/Y349</f>
        <v>0.42521576606147166</v>
      </c>
      <c r="Z352" s="557"/>
      <c r="AA352" s="660"/>
      <c r="AB352" s="660"/>
      <c r="AC352" s="660"/>
      <c r="AD352" s="529">
        <f>AD350/AD349</f>
        <v>0.41880026785841568</v>
      </c>
      <c r="AE352" s="529">
        <f>AE350/AE349</f>
        <v>0.42448265675206148</v>
      </c>
      <c r="AG352" s="660"/>
      <c r="AH352" s="660"/>
    </row>
    <row r="353" spans="2:34" ht="13.5" customHeight="1">
      <c r="B353" s="728" t="s">
        <v>489</v>
      </c>
      <c r="C353" s="528"/>
      <c r="D353" s="528">
        <f>D334/D$259</f>
        <v>0</v>
      </c>
      <c r="E353" s="528"/>
      <c r="F353" s="528">
        <f t="shared" ref="F353:H356" si="399">F334/F$259</f>
        <v>0</v>
      </c>
      <c r="G353" s="528">
        <f t="shared" si="399"/>
        <v>0</v>
      </c>
      <c r="H353" s="528">
        <f t="shared" si="399"/>
        <v>0</v>
      </c>
      <c r="I353" s="528">
        <f t="shared" ref="I353:K356" si="400">I334/I$259</f>
        <v>0</v>
      </c>
      <c r="J353" s="528">
        <f t="shared" si="400"/>
        <v>0</v>
      </c>
      <c r="K353" s="528">
        <f t="shared" si="400"/>
        <v>0</v>
      </c>
      <c r="L353" s="24"/>
      <c r="M353" s="728"/>
      <c r="N353" s="728"/>
      <c r="O353" s="728"/>
      <c r="P353" s="528">
        <f t="shared" ref="P353:W356" si="401">P334/P$259</f>
        <v>0</v>
      </c>
      <c r="Q353" s="528">
        <f t="shared" si="401"/>
        <v>0</v>
      </c>
      <c r="R353" s="528">
        <f t="shared" si="401"/>
        <v>0</v>
      </c>
      <c r="S353" s="528">
        <f t="shared" si="401"/>
        <v>0</v>
      </c>
      <c r="T353" s="528">
        <f t="shared" si="401"/>
        <v>0</v>
      </c>
      <c r="U353" s="528">
        <f t="shared" si="401"/>
        <v>0</v>
      </c>
      <c r="V353" s="528">
        <f t="shared" si="401"/>
        <v>0</v>
      </c>
      <c r="W353" s="528">
        <f t="shared" si="401"/>
        <v>0</v>
      </c>
      <c r="X353" s="528">
        <f t="shared" ref="X353:Y356" si="402">X334/X$259</f>
        <v>0</v>
      </c>
      <c r="Y353" s="528">
        <f t="shared" si="402"/>
        <v>0</v>
      </c>
      <c r="Z353" s="24"/>
      <c r="AA353" s="660"/>
      <c r="AB353" s="660"/>
      <c r="AC353" s="660"/>
      <c r="AD353" s="528">
        <f t="shared" ref="AD353:AE356" si="403">AD334/AD$259</f>
        <v>0</v>
      </c>
      <c r="AE353" s="528">
        <f t="shared" si="403"/>
        <v>0</v>
      </c>
      <c r="AG353" s="660"/>
      <c r="AH353" s="660"/>
    </row>
    <row r="354" spans="2:34" ht="13.5" customHeight="1">
      <c r="B354" s="728" t="s">
        <v>465</v>
      </c>
      <c r="C354" s="528"/>
      <c r="D354" s="528">
        <f>D335/D$259</f>
        <v>-360.4200121285628</v>
      </c>
      <c r="E354" s="528"/>
      <c r="F354" s="528">
        <f t="shared" si="399"/>
        <v>-310.4051733232061</v>
      </c>
      <c r="G354" s="528">
        <f t="shared" si="399"/>
        <v>-448.15916619195315</v>
      </c>
      <c r="H354" s="528">
        <f t="shared" si="399"/>
        <v>-418.8720904374739</v>
      </c>
      <c r="I354" s="528">
        <f t="shared" si="400"/>
        <v>-548.27142817976608</v>
      </c>
      <c r="J354" s="528">
        <f t="shared" si="400"/>
        <v>-432.01136232016148</v>
      </c>
      <c r="K354" s="528">
        <f t="shared" si="400"/>
        <v>-447.75983461375529</v>
      </c>
      <c r="L354" s="24"/>
      <c r="M354" s="728"/>
      <c r="N354" s="728"/>
      <c r="O354" s="728"/>
      <c r="P354" s="528">
        <f t="shared" si="401"/>
        <v>-258.51495233657062</v>
      </c>
      <c r="Q354" s="528">
        <f t="shared" si="401"/>
        <v>-305.80203979999999</v>
      </c>
      <c r="R354" s="528">
        <f t="shared" si="401"/>
        <v>-251.61882360000001</v>
      </c>
      <c r="S354" s="528">
        <f t="shared" si="401"/>
        <v>-241.54898999999997</v>
      </c>
      <c r="T354" s="528">
        <f t="shared" si="401"/>
        <v>-397.38528839999998</v>
      </c>
      <c r="U354" s="528">
        <f t="shared" si="401"/>
        <v>-423.30434134340589</v>
      </c>
      <c r="V354" s="528">
        <f t="shared" si="401"/>
        <v>-413.61488745839563</v>
      </c>
      <c r="W354" s="528">
        <f t="shared" si="401"/>
        <v>-459.00926059869022</v>
      </c>
      <c r="X354" s="528">
        <f t="shared" si="402"/>
        <v>-403.73463873523025</v>
      </c>
      <c r="Y354" s="528">
        <f t="shared" si="402"/>
        <v>-423.88143788486576</v>
      </c>
      <c r="Z354" s="24"/>
      <c r="AA354" s="660"/>
      <c r="AB354" s="660"/>
      <c r="AC354" s="660"/>
      <c r="AD354" s="528">
        <f t="shared" si="403"/>
        <v>-520.1468529</v>
      </c>
      <c r="AE354" s="528">
        <f t="shared" si="403"/>
        <v>-551.24129895159444</v>
      </c>
      <c r="AG354" s="660"/>
      <c r="AH354" s="660"/>
    </row>
    <row r="355" spans="2:34" ht="13.5" customHeight="1">
      <c r="B355" s="728" t="s">
        <v>491</v>
      </c>
      <c r="C355" s="528"/>
      <c r="D355" s="528">
        <f>D336/D$259</f>
        <v>-862.36798059429964</v>
      </c>
      <c r="E355" s="528"/>
      <c r="F355" s="528">
        <f t="shared" si="399"/>
        <v>-585.62039791547988</v>
      </c>
      <c r="G355" s="528">
        <f t="shared" si="399"/>
        <v>-845.51153026562861</v>
      </c>
      <c r="H355" s="528">
        <f t="shared" si="399"/>
        <v>-877.04219988972523</v>
      </c>
      <c r="I355" s="528">
        <f t="shared" si="400"/>
        <v>-1146.7511294022315</v>
      </c>
      <c r="J355" s="528">
        <f t="shared" si="400"/>
        <v>-1095.4706293011402</v>
      </c>
      <c r="K355" s="528">
        <f t="shared" si="400"/>
        <v>-1141.4647028359441</v>
      </c>
      <c r="L355" s="24"/>
      <c r="M355" s="728"/>
      <c r="N355" s="728"/>
      <c r="O355" s="728"/>
      <c r="P355" s="528">
        <f t="shared" si="401"/>
        <v>-487.72263565597495</v>
      </c>
      <c r="Q355" s="528">
        <f t="shared" si="401"/>
        <v>-716.6309303999999</v>
      </c>
      <c r="R355" s="528">
        <f t="shared" si="401"/>
        <v>-441.25926149999992</v>
      </c>
      <c r="S355" s="528">
        <f t="shared" si="401"/>
        <v>-387.17634000000004</v>
      </c>
      <c r="T355" s="528">
        <f t="shared" si="401"/>
        <v>-832.05273279999994</v>
      </c>
      <c r="U355" s="528">
        <f t="shared" si="401"/>
        <v>-752.31342273910786</v>
      </c>
      <c r="V355" s="528">
        <f t="shared" si="401"/>
        <v>-801.06238654819924</v>
      </c>
      <c r="W355" s="528">
        <f t="shared" si="401"/>
        <v>-919.89432570729446</v>
      </c>
      <c r="X355" s="528">
        <f t="shared" si="402"/>
        <v>-1023.7680703364929</v>
      </c>
      <c r="Y355" s="528">
        <f t="shared" si="402"/>
        <v>-1080.5920096658376</v>
      </c>
      <c r="Z355" s="24"/>
      <c r="AA355" s="660"/>
      <c r="AB355" s="660"/>
      <c r="AC355" s="660"/>
      <c r="AD355" s="528">
        <f t="shared" si="403"/>
        <v>-1087.9264545999999</v>
      </c>
      <c r="AE355" s="528">
        <f t="shared" si="403"/>
        <v>-1031.7659159121843</v>
      </c>
      <c r="AG355" s="660"/>
      <c r="AH355" s="660"/>
    </row>
    <row r="356" spans="2:34" ht="13.5" customHeight="1">
      <c r="B356" s="728" t="s">
        <v>472</v>
      </c>
      <c r="C356" s="528"/>
      <c r="D356" s="528">
        <f>D337/D$259</f>
        <v>323.38132201334139</v>
      </c>
      <c r="E356" s="528"/>
      <c r="F356" s="528">
        <f t="shared" si="399"/>
        <v>430.14169673186024</v>
      </c>
      <c r="G356" s="528">
        <f t="shared" si="399"/>
        <v>621.03331434479026</v>
      </c>
      <c r="H356" s="528">
        <f t="shared" si="399"/>
        <v>394.72042915761739</v>
      </c>
      <c r="I356" s="528">
        <f t="shared" si="400"/>
        <v>517.88866515775067</v>
      </c>
      <c r="J356" s="528">
        <f t="shared" si="400"/>
        <v>430.06685616525482</v>
      </c>
      <c r="K356" s="528">
        <f t="shared" si="400"/>
        <v>-253.13846505272886</v>
      </c>
      <c r="L356" s="24"/>
      <c r="M356" s="728"/>
      <c r="N356" s="728"/>
      <c r="O356" s="728"/>
      <c r="P356" s="528">
        <f t="shared" si="401"/>
        <v>358.23520284188271</v>
      </c>
      <c r="Q356" s="528">
        <f t="shared" si="401"/>
        <v>299.86873939999941</v>
      </c>
      <c r="R356" s="528">
        <f t="shared" si="401"/>
        <v>340.07152589999987</v>
      </c>
      <c r="S356" s="528">
        <f t="shared" si="401"/>
        <v>395.82188999999903</v>
      </c>
      <c r="T356" s="528">
        <f t="shared" si="401"/>
        <v>374.47253029999996</v>
      </c>
      <c r="U356" s="528">
        <f t="shared" si="401"/>
        <v>435.95412638850922</v>
      </c>
      <c r="V356" s="528">
        <f t="shared" si="401"/>
        <v>418.17640512395485</v>
      </c>
      <c r="W356" s="528">
        <f t="shared" si="401"/>
        <v>409.44576162723752</v>
      </c>
      <c r="X356" s="528">
        <f t="shared" si="402"/>
        <v>401.91740761947125</v>
      </c>
      <c r="Y356" s="528">
        <f t="shared" si="402"/>
        <v>-239.63894984702611</v>
      </c>
      <c r="Z356" s="24"/>
      <c r="AA356" s="660"/>
      <c r="AB356" s="660"/>
      <c r="AC356" s="660"/>
      <c r="AD356" s="528">
        <f t="shared" si="403"/>
        <v>491.32262870000005</v>
      </c>
      <c r="AE356" s="528">
        <f t="shared" si="403"/>
        <v>509.29811772956845</v>
      </c>
      <c r="AG356" s="660"/>
      <c r="AH356" s="660"/>
    </row>
    <row r="357" spans="2:34" ht="13.5" customHeight="1">
      <c r="B357" s="1" t="s">
        <v>64</v>
      </c>
      <c r="C357" s="685"/>
      <c r="D357" s="24">
        <f>D338/D$258</f>
        <v>2287.7031601803374</v>
      </c>
      <c r="E357" s="685"/>
      <c r="F357" s="24">
        <f t="shared" ref="F357:H361" si="404">F338/F$258</f>
        <v>1697.7504059351456</v>
      </c>
      <c r="G357" s="24">
        <f t="shared" si="404"/>
        <v>2451.1911733733723</v>
      </c>
      <c r="H357" s="24">
        <f t="shared" si="404"/>
        <v>1950.8796660534879</v>
      </c>
      <c r="I357" s="24">
        <f t="shared" ref="I357:K361" si="405">I338/I$258</f>
        <v>2553.5518041601808</v>
      </c>
      <c r="J357" s="24">
        <f t="shared" si="405"/>
        <v>2137.5945268362407</v>
      </c>
      <c r="K357" s="24">
        <f t="shared" si="405"/>
        <v>2154.4534650659002</v>
      </c>
      <c r="L357" s="24"/>
      <c r="M357" s="660"/>
      <c r="N357" s="660"/>
      <c r="O357" s="660"/>
      <c r="P357" s="24">
        <f t="shared" ref="P357:W361" si="406">P338/P$258</f>
        <v>1697.7504059351456</v>
      </c>
      <c r="Q357" s="24">
        <f t="shared" si="406"/>
        <v>1502.3841448000001</v>
      </c>
      <c r="R357" s="24">
        <f t="shared" si="406"/>
        <v>1530.7780725</v>
      </c>
      <c r="S357" s="24">
        <f t="shared" si="406"/>
        <v>2365.4529303999998</v>
      </c>
      <c r="T357" s="24">
        <f t="shared" si="406"/>
        <v>1950.8796660534879</v>
      </c>
      <c r="U357" s="24">
        <f t="shared" si="406"/>
        <v>2857.555908143283</v>
      </c>
      <c r="V357" s="24">
        <f t="shared" si="406"/>
        <v>2933.9218819195617</v>
      </c>
      <c r="W357" s="24">
        <f t="shared" si="406"/>
        <v>2942.0741513807798</v>
      </c>
      <c r="X357" s="24">
        <f t="shared" ref="X357:Y361" si="407">X338/X$258</f>
        <v>2137.5945268362407</v>
      </c>
      <c r="Y357" s="24">
        <f t="shared" si="407"/>
        <v>2154.4534650659002</v>
      </c>
      <c r="Z357" s="24"/>
      <c r="AA357" s="660"/>
      <c r="AB357" s="660"/>
      <c r="AC357" s="660"/>
      <c r="AD357" s="24">
        <f t="shared" ref="AD357:AE361" si="408">AD338/AD$258</f>
        <v>1950.8796660534879</v>
      </c>
      <c r="AE357" s="24">
        <f t="shared" si="408"/>
        <v>2857.555908143283</v>
      </c>
      <c r="AG357" s="660"/>
      <c r="AH357" s="660"/>
    </row>
    <row r="358" spans="2:34" ht="13.5" customHeight="1">
      <c r="B358" s="1" t="s">
        <v>550</v>
      </c>
      <c r="C358" s="685"/>
      <c r="D358" s="24">
        <f>D339/D$258</f>
        <v>4476.5134798350655</v>
      </c>
      <c r="E358" s="685"/>
      <c r="F358" s="24">
        <f t="shared" si="404"/>
        <v>2773.8319938039685</v>
      </c>
      <c r="G358" s="24">
        <f t="shared" si="404"/>
        <v>4004.8245816659983</v>
      </c>
      <c r="H358" s="24">
        <f t="shared" si="404"/>
        <v>2816.4068204329983</v>
      </c>
      <c r="I358" s="24">
        <f t="shared" si="405"/>
        <v>3686.4604782793267</v>
      </c>
      <c r="J358" s="24">
        <f t="shared" si="405"/>
        <v>3332.6150232665327</v>
      </c>
      <c r="K358" s="24">
        <f t="shared" si="405"/>
        <v>4276.748234680128</v>
      </c>
      <c r="L358" s="24"/>
      <c r="M358" s="660"/>
      <c r="N358" s="660"/>
      <c r="O358" s="660"/>
      <c r="P358" s="24">
        <f t="shared" si="406"/>
        <v>2773.8319938039685</v>
      </c>
      <c r="Q358" s="24">
        <f t="shared" si="406"/>
        <v>2921.4551212000006</v>
      </c>
      <c r="R358" s="24">
        <f t="shared" si="406"/>
        <v>2932.2503885000001</v>
      </c>
      <c r="S358" s="24">
        <f t="shared" si="406"/>
        <v>3002.7646844000001</v>
      </c>
      <c r="T358" s="24">
        <f t="shared" si="406"/>
        <v>2816.4068204329983</v>
      </c>
      <c r="U358" s="24">
        <f t="shared" si="406"/>
        <v>3803.2059185539924</v>
      </c>
      <c r="V358" s="24">
        <f t="shared" si="406"/>
        <v>3989.137721929224</v>
      </c>
      <c r="W358" s="24">
        <f t="shared" si="406"/>
        <v>3994.1320229312346</v>
      </c>
      <c r="X358" s="24">
        <f t="shared" si="407"/>
        <v>3332.6150232665327</v>
      </c>
      <c r="Y358" s="24">
        <f t="shared" si="407"/>
        <v>4276.748234680128</v>
      </c>
      <c r="Z358" s="24"/>
      <c r="AA358" s="660"/>
      <c r="AB358" s="660"/>
      <c r="AC358" s="660"/>
      <c r="AD358" s="24">
        <f t="shared" si="408"/>
        <v>2816.4068204329983</v>
      </c>
      <c r="AE358" s="24">
        <f t="shared" si="408"/>
        <v>3803.2059185539924</v>
      </c>
      <c r="AG358" s="660"/>
      <c r="AH358" s="660"/>
    </row>
    <row r="359" spans="2:34" ht="13.5" customHeight="1">
      <c r="B359" s="1" t="s">
        <v>551</v>
      </c>
      <c r="C359" s="685"/>
      <c r="D359" s="24">
        <f>D340/D$258</f>
        <v>4745.7461373493852</v>
      </c>
      <c r="E359" s="685"/>
      <c r="F359" s="24">
        <f t="shared" si="404"/>
        <v>2856.2958672744935</v>
      </c>
      <c r="G359" s="24">
        <f t="shared" si="404"/>
        <v>4123.8848842660218</v>
      </c>
      <c r="H359" s="24">
        <f t="shared" si="404"/>
        <v>2952.8869109947645</v>
      </c>
      <c r="I359" s="24">
        <f t="shared" si="405"/>
        <v>3865.1024479977364</v>
      </c>
      <c r="J359" s="24">
        <f t="shared" si="405"/>
        <v>3693.0616149930052</v>
      </c>
      <c r="K359" s="24">
        <f t="shared" si="405"/>
        <v>4641.8375748250428</v>
      </c>
      <c r="L359" s="24"/>
      <c r="M359" s="660"/>
      <c r="N359" s="660"/>
      <c r="O359" s="660"/>
      <c r="P359" s="24">
        <f t="shared" si="406"/>
        <v>2856.2958672744935</v>
      </c>
      <c r="Q359" s="24">
        <f t="shared" si="406"/>
        <v>3019.9254932000003</v>
      </c>
      <c r="R359" s="24">
        <f t="shared" si="406"/>
        <v>3025.3173259999999</v>
      </c>
      <c r="S359" s="24">
        <f t="shared" si="406"/>
        <v>3116.47001</v>
      </c>
      <c r="T359" s="24">
        <f t="shared" si="406"/>
        <v>2952.8869109947645</v>
      </c>
      <c r="U359" s="24">
        <f t="shared" si="406"/>
        <v>3972.1864861089516</v>
      </c>
      <c r="V359" s="24">
        <f t="shared" si="406"/>
        <v>4349.4625135875031</v>
      </c>
      <c r="W359" s="24">
        <f t="shared" si="406"/>
        <v>4359.2635120186978</v>
      </c>
      <c r="X359" s="24">
        <f t="shared" si="407"/>
        <v>3693.0616149930052</v>
      </c>
      <c r="Y359" s="24">
        <f t="shared" si="407"/>
        <v>4641.8375748250428</v>
      </c>
      <c r="Z359" s="24"/>
      <c r="AA359" s="660"/>
      <c r="AB359" s="660"/>
      <c r="AC359" s="660"/>
      <c r="AD359" s="24">
        <f t="shared" si="408"/>
        <v>2952.8869109947645</v>
      </c>
      <c r="AE359" s="24">
        <f t="shared" si="408"/>
        <v>3972.1864861089516</v>
      </c>
      <c r="AG359" s="660"/>
      <c r="AH359" s="660"/>
    </row>
    <row r="360" spans="2:34" ht="13.5" customHeight="1">
      <c r="B360" s="1" t="s">
        <v>552</v>
      </c>
      <c r="C360" s="685"/>
      <c r="D360" s="24">
        <f>D341/D$258</f>
        <v>2188.8103196547286</v>
      </c>
      <c r="E360" s="685"/>
      <c r="F360" s="24">
        <f t="shared" si="404"/>
        <v>1076.0815878688231</v>
      </c>
      <c r="G360" s="24">
        <f t="shared" si="404"/>
        <v>1553.6334082926262</v>
      </c>
      <c r="H360" s="24">
        <f t="shared" si="404"/>
        <v>865.52715437951042</v>
      </c>
      <c r="I360" s="24">
        <f t="shared" si="405"/>
        <v>1132.9086741191456</v>
      </c>
      <c r="J360" s="24">
        <f t="shared" si="405"/>
        <v>1195.0204964302925</v>
      </c>
      <c r="K360" s="24">
        <f t="shared" si="405"/>
        <v>2122.2947696142278</v>
      </c>
      <c r="L360" s="24"/>
      <c r="M360" s="660"/>
      <c r="N360" s="660"/>
      <c r="O360" s="660"/>
      <c r="P360" s="24">
        <f t="shared" si="406"/>
        <v>1076.0815878688231</v>
      </c>
      <c r="Q360" s="24">
        <f t="shared" si="406"/>
        <v>1419.0709764000005</v>
      </c>
      <c r="R360" s="24">
        <f t="shared" si="406"/>
        <v>1401.4723159999999</v>
      </c>
      <c r="S360" s="24">
        <f t="shared" si="406"/>
        <v>637.31175400000029</v>
      </c>
      <c r="T360" s="24">
        <f t="shared" si="406"/>
        <v>865.52715437951042</v>
      </c>
      <c r="U360" s="24">
        <f t="shared" si="406"/>
        <v>945.65001041070923</v>
      </c>
      <c r="V360" s="24">
        <f t="shared" si="406"/>
        <v>1055.2158400096625</v>
      </c>
      <c r="W360" s="24">
        <f t="shared" si="406"/>
        <v>1052.057871550455</v>
      </c>
      <c r="X360" s="24">
        <f t="shared" si="407"/>
        <v>1195.0204964302925</v>
      </c>
      <c r="Y360" s="24">
        <f t="shared" si="407"/>
        <v>2122.2947696142278</v>
      </c>
      <c r="Z360" s="24"/>
      <c r="AA360" s="660"/>
      <c r="AB360" s="660"/>
      <c r="AC360" s="660"/>
      <c r="AD360" s="24">
        <f t="shared" si="408"/>
        <v>865.52715437951042</v>
      </c>
      <c r="AE360" s="24">
        <f t="shared" si="408"/>
        <v>945.65001041070923</v>
      </c>
      <c r="AG360" s="660"/>
      <c r="AH360" s="660"/>
    </row>
    <row r="361" spans="2:34" ht="13.5" customHeight="1">
      <c r="B361" s="1" t="s">
        <v>553</v>
      </c>
      <c r="C361" s="685"/>
      <c r="D361" s="24">
        <f>D342/D$258</f>
        <v>2458.0429771690478</v>
      </c>
      <c r="E361" s="685"/>
      <c r="F361" s="24">
        <f t="shared" si="404"/>
        <v>1158.5454613393479</v>
      </c>
      <c r="G361" s="24">
        <f t="shared" si="404"/>
        <v>1672.69371089265</v>
      </c>
      <c r="H361" s="24">
        <f t="shared" si="404"/>
        <v>1002.0072449412766</v>
      </c>
      <c r="I361" s="24">
        <f t="shared" si="405"/>
        <v>1311.5506438375555</v>
      </c>
      <c r="J361" s="24">
        <f t="shared" si="405"/>
        <v>1555.4670881567647</v>
      </c>
      <c r="K361" s="24">
        <f t="shared" si="405"/>
        <v>2487.3841097591426</v>
      </c>
      <c r="L361" s="24"/>
      <c r="M361" s="660"/>
      <c r="N361" s="660"/>
      <c r="O361" s="660"/>
      <c r="P361" s="24">
        <f t="shared" si="406"/>
        <v>1158.5454613393479</v>
      </c>
      <c r="Q361" s="24">
        <f t="shared" si="406"/>
        <v>1517.5413484000005</v>
      </c>
      <c r="R361" s="24">
        <f t="shared" si="406"/>
        <v>1494.5392534999999</v>
      </c>
      <c r="S361" s="24">
        <f t="shared" si="406"/>
        <v>751.01707960000022</v>
      </c>
      <c r="T361" s="24">
        <f t="shared" si="406"/>
        <v>1002.0072449412766</v>
      </c>
      <c r="U361" s="24">
        <f t="shared" si="406"/>
        <v>1114.6305779656686</v>
      </c>
      <c r="V361" s="24">
        <f t="shared" si="406"/>
        <v>1415.5406316679414</v>
      </c>
      <c r="W361" s="24">
        <f t="shared" si="406"/>
        <v>1417.1893606379185</v>
      </c>
      <c r="X361" s="24">
        <f t="shared" si="407"/>
        <v>1555.4670881567647</v>
      </c>
      <c r="Y361" s="24">
        <f t="shared" si="407"/>
        <v>2487.3841097591426</v>
      </c>
      <c r="Z361" s="24"/>
      <c r="AA361" s="660"/>
      <c r="AB361" s="660"/>
      <c r="AC361" s="660"/>
      <c r="AD361" s="24">
        <f t="shared" si="408"/>
        <v>1002.0072449412766</v>
      </c>
      <c r="AE361" s="24">
        <f t="shared" si="408"/>
        <v>1114.6305779656686</v>
      </c>
      <c r="AG361" s="660"/>
      <c r="AH361" s="660"/>
    </row>
    <row r="362" spans="2:34" ht="13.5" customHeight="1">
      <c r="B362" s="728" t="s">
        <v>554</v>
      </c>
      <c r="C362" s="526"/>
      <c r="D362" s="526">
        <f>D358/D350</f>
        <v>2.0164513141358098</v>
      </c>
      <c r="E362" s="526"/>
      <c r="F362" s="526">
        <f t="shared" ref="F362:K362" si="409">F358/F350</f>
        <v>1.4981764184664326</v>
      </c>
      <c r="G362" s="526">
        <f t="shared" si="409"/>
        <v>1.498176455520871</v>
      </c>
      <c r="H362" s="526">
        <f t="shared" si="409"/>
        <v>1.3245244418468187</v>
      </c>
      <c r="I362" s="526">
        <f t="shared" si="409"/>
        <v>1.3245244056184862</v>
      </c>
      <c r="J362" s="526">
        <f t="shared" si="409"/>
        <v>1.2655134172920257</v>
      </c>
      <c r="K362" s="526">
        <f t="shared" si="409"/>
        <v>1.5888289891589511</v>
      </c>
      <c r="L362" s="54"/>
      <c r="M362" s="728"/>
      <c r="N362" s="728"/>
      <c r="O362" s="728"/>
      <c r="P362" s="526">
        <f t="shared" ref="P362:U362" si="410">P358/P350</f>
        <v>1.7988967626033381</v>
      </c>
      <c r="Q362" s="526">
        <f t="shared" si="410"/>
        <v>1.6525940059639108</v>
      </c>
      <c r="R362" s="526">
        <f t="shared" si="410"/>
        <v>2.1606703793350532</v>
      </c>
      <c r="S362" s="526">
        <f t="shared" si="410"/>
        <v>2.1977278356526422</v>
      </c>
      <c r="T362" s="526">
        <f t="shared" si="410"/>
        <v>1.3961420766876718</v>
      </c>
      <c r="U362" s="526">
        <f t="shared" si="410"/>
        <v>1.7657466230615819</v>
      </c>
      <c r="V362" s="526">
        <f>V358/V350</f>
        <v>1.792118585837984</v>
      </c>
      <c r="W362" s="526">
        <f>W358/W350</f>
        <v>1.7217710130083046</v>
      </c>
      <c r="X362" s="526">
        <f>X358/X350</f>
        <v>1.3541473110938798</v>
      </c>
      <c r="Y362" s="526">
        <f>Y358/Y350</f>
        <v>1.6783320566365196</v>
      </c>
      <c r="Z362" s="54"/>
      <c r="AA362" s="660"/>
      <c r="AB362" s="660"/>
      <c r="AC362" s="660"/>
      <c r="AD362" s="526">
        <f>AD358/AD350</f>
        <v>1.0666339657495107</v>
      </c>
      <c r="AE362" s="526">
        <f>AE358/AE350</f>
        <v>1.3613452101674008</v>
      </c>
      <c r="AG362" s="660"/>
      <c r="AH362" s="660"/>
    </row>
    <row r="363" spans="2:34" ht="13.5" customHeight="1">
      <c r="B363" s="729" t="s">
        <v>555</v>
      </c>
      <c r="C363" s="525"/>
      <c r="D363" s="525">
        <f>D360/D350</f>
        <v>0.98595245280584243</v>
      </c>
      <c r="E363" s="525"/>
      <c r="F363" s="525">
        <f t="shared" ref="F363:K363" si="411">F360/F350</f>
        <v>0.58120321017716237</v>
      </c>
      <c r="G363" s="525">
        <f t="shared" si="411"/>
        <v>0.58120323258862272</v>
      </c>
      <c r="H363" s="525">
        <f t="shared" si="411"/>
        <v>0.40704768314739959</v>
      </c>
      <c r="I363" s="525">
        <f t="shared" si="411"/>
        <v>0.40704768084427823</v>
      </c>
      <c r="J363" s="525">
        <f t="shared" si="411"/>
        <v>0.45379213068816621</v>
      </c>
      <c r="K363" s="525">
        <f t="shared" si="411"/>
        <v>0.78844095290909799</v>
      </c>
      <c r="L363" s="53"/>
      <c r="M363" s="728"/>
      <c r="N363" s="728"/>
      <c r="O363" s="728"/>
      <c r="P363" s="525">
        <f t="shared" ref="P363:U363" si="412">P360/P350</f>
        <v>0.69786479103214527</v>
      </c>
      <c r="Q363" s="525">
        <f t="shared" si="412"/>
        <v>0.80273291642170264</v>
      </c>
      <c r="R363" s="525">
        <f t="shared" si="412"/>
        <v>1.0326947973185665</v>
      </c>
      <c r="S363" s="525">
        <f t="shared" si="412"/>
        <v>0.46644939879272601</v>
      </c>
      <c r="T363" s="525">
        <f t="shared" si="412"/>
        <v>0.42905693523324157</v>
      </c>
      <c r="U363" s="525">
        <f t="shared" si="412"/>
        <v>0.43904493951663859</v>
      </c>
      <c r="V363" s="525">
        <f>V360/V350</f>
        <v>0.47405530988721994</v>
      </c>
      <c r="W363" s="525">
        <f>W360/W350</f>
        <v>0.45351599217129179</v>
      </c>
      <c r="X363" s="525">
        <f>X360/X350</f>
        <v>0.48557477555778644</v>
      </c>
      <c r="Y363" s="525">
        <f>Y360/Y350</f>
        <v>0.83285598076408229</v>
      </c>
      <c r="Z363" s="53"/>
      <c r="AA363" s="660"/>
      <c r="AB363" s="660"/>
      <c r="AC363" s="660"/>
      <c r="AD363" s="525">
        <f>AD360/AD350</f>
        <v>0.32779378832699035</v>
      </c>
      <c r="AE363" s="525">
        <f>AE360/AE350</f>
        <v>0.33849235085772961</v>
      </c>
      <c r="AG363" s="660"/>
      <c r="AH363" s="660"/>
    </row>
    <row r="364" spans="2:34" ht="13.5" customHeight="1">
      <c r="B364" s="728" t="s">
        <v>556</v>
      </c>
      <c r="C364" s="526"/>
      <c r="D364" s="526">
        <f>D359/D351</f>
        <v>2.1377275145758516</v>
      </c>
      <c r="E364" s="526"/>
      <c r="F364" s="526">
        <f t="shared" ref="F364:K364" si="413">F359/F351</f>
        <v>1.5427160412283407</v>
      </c>
      <c r="G364" s="526">
        <f t="shared" si="413"/>
        <v>1.5427160698048861</v>
      </c>
      <c r="H364" s="526">
        <f t="shared" si="413"/>
        <v>1.3887094929775834</v>
      </c>
      <c r="I364" s="526">
        <f t="shared" si="413"/>
        <v>1.3887094552491372</v>
      </c>
      <c r="J364" s="526">
        <f t="shared" si="413"/>
        <v>1.4023879122044103</v>
      </c>
      <c r="K364" s="526">
        <f t="shared" si="413"/>
        <v>1.7244611319517893</v>
      </c>
      <c r="L364" s="54"/>
      <c r="M364" s="728"/>
      <c r="N364" s="728"/>
      <c r="O364" s="728"/>
      <c r="P364" s="526">
        <f t="shared" ref="P364:U364" si="414">P359/P351</f>
        <v>1.852376567922918</v>
      </c>
      <c r="Q364" s="526">
        <f t="shared" si="414"/>
        <v>1.7082962296097062</v>
      </c>
      <c r="R364" s="526">
        <f t="shared" si="414"/>
        <v>2.2292480751349482</v>
      </c>
      <c r="S364" s="526">
        <f t="shared" si="414"/>
        <v>2.2809489286777853</v>
      </c>
      <c r="T364" s="526">
        <f t="shared" si="414"/>
        <v>1.4637976425246169</v>
      </c>
      <c r="U364" s="526">
        <f t="shared" si="414"/>
        <v>1.8442006623413283</v>
      </c>
      <c r="V364" s="526">
        <f>V359/V351</f>
        <v>1.9539943597725842</v>
      </c>
      <c r="W364" s="526">
        <f>W359/W351</f>
        <v>1.8791701200578452</v>
      </c>
      <c r="X364" s="526">
        <f>X359/X351</f>
        <v>1.5006082072885254</v>
      </c>
      <c r="Y364" s="526">
        <f>Y359/Y351</f>
        <v>1.8216047277123548</v>
      </c>
      <c r="Z364" s="54"/>
      <c r="AA364" s="660"/>
      <c r="AB364" s="660"/>
      <c r="AC364" s="660"/>
      <c r="AD364" s="526">
        <f>AD359/AD351</f>
        <v>1.118321917641123</v>
      </c>
      <c r="AE364" s="526">
        <f>AE359/AE351</f>
        <v>1.4218312556718147</v>
      </c>
      <c r="AG364" s="660"/>
      <c r="AH364" s="660"/>
    </row>
    <row r="365" spans="2:34" ht="13.5" customHeight="1">
      <c r="B365" s="729" t="s">
        <v>557</v>
      </c>
      <c r="C365" s="525"/>
      <c r="D365" s="525">
        <f>D361/D351</f>
        <v>1.1072286532458839</v>
      </c>
      <c r="E365" s="525"/>
      <c r="F365" s="525">
        <f t="shared" ref="F365:K365" si="415">F361/F351</f>
        <v>0.62574283293907029</v>
      </c>
      <c r="G365" s="525">
        <f t="shared" si="415"/>
        <v>0.62574284687263793</v>
      </c>
      <c r="H365" s="525">
        <f t="shared" si="415"/>
        <v>0.47123273427816437</v>
      </c>
      <c r="I365" s="525">
        <f t="shared" si="415"/>
        <v>0.47123273047492936</v>
      </c>
      <c r="J365" s="525">
        <f t="shared" si="415"/>
        <v>0.59066662560055072</v>
      </c>
      <c r="K365" s="525">
        <f t="shared" si="415"/>
        <v>0.92407309570193608</v>
      </c>
      <c r="L365" s="53"/>
      <c r="M365" s="728"/>
      <c r="N365" s="728"/>
      <c r="O365" s="728"/>
      <c r="P365" s="525">
        <f t="shared" ref="P365:U365" si="416">P361/P351</f>
        <v>0.75134459635172512</v>
      </c>
      <c r="Q365" s="525">
        <f t="shared" si="416"/>
        <v>0.85843514006749799</v>
      </c>
      <c r="R365" s="525">
        <f t="shared" si="416"/>
        <v>1.1012724931184614</v>
      </c>
      <c r="S365" s="525">
        <f t="shared" si="416"/>
        <v>0.54967049181786909</v>
      </c>
      <c r="T365" s="525">
        <f t="shared" si="416"/>
        <v>0.49671250107018661</v>
      </c>
      <c r="U365" s="525">
        <f t="shared" si="416"/>
        <v>0.51749897879638507</v>
      </c>
      <c r="V365" s="525">
        <f>V361/V351</f>
        <v>0.63593108382182006</v>
      </c>
      <c r="W365" s="525">
        <f>W361/W351</f>
        <v>0.61091509922083265</v>
      </c>
      <c r="X365" s="525">
        <f>X361/X351</f>
        <v>0.63203567175243203</v>
      </c>
      <c r="Y365" s="525">
        <f>Y361/Y351</f>
        <v>0.97612865183991748</v>
      </c>
      <c r="Z365" s="53"/>
      <c r="AA365" s="660"/>
      <c r="AB365" s="660"/>
      <c r="AC365" s="660"/>
      <c r="AD365" s="525">
        <f>AD361/AD351</f>
        <v>0.37948174021860248</v>
      </c>
      <c r="AE365" s="525">
        <f>AE361/AE351</f>
        <v>0.39897839636214344</v>
      </c>
      <c r="AG365" s="660"/>
      <c r="AH365" s="660"/>
    </row>
    <row r="366" spans="2:34" ht="13.5" customHeight="1">
      <c r="B366" s="5"/>
      <c r="C366" s="53"/>
      <c r="D366" s="53"/>
      <c r="E366" s="53"/>
      <c r="F366" s="53"/>
      <c r="G366" s="53"/>
      <c r="H366" s="53"/>
      <c r="I366" s="53"/>
      <c r="J366" s="53"/>
      <c r="K366" s="53"/>
      <c r="L366" s="53"/>
      <c r="P366" s="53"/>
      <c r="Q366" s="53"/>
      <c r="R366" s="53"/>
      <c r="S366" s="53"/>
      <c r="T366" s="53"/>
      <c r="U366" s="53"/>
      <c r="V366" s="53"/>
      <c r="W366" s="53"/>
      <c r="X366" s="53"/>
      <c r="Y366" s="53"/>
      <c r="Z366" s="53"/>
      <c r="AA366" s="53"/>
      <c r="AB366" s="53"/>
      <c r="AC366" s="53"/>
      <c r="AD366" s="53"/>
      <c r="AE366" s="53"/>
      <c r="AG366" s="53"/>
      <c r="AH366" s="53"/>
    </row>
    <row r="367" spans="2:34" ht="13.5" customHeight="1">
      <c r="B367" s="5"/>
      <c r="C367" s="53"/>
      <c r="D367" s="53"/>
      <c r="E367" s="53"/>
      <c r="F367" s="53"/>
      <c r="G367" s="53"/>
      <c r="H367" s="53"/>
      <c r="I367" s="53"/>
      <c r="J367" s="53"/>
      <c r="K367" s="53"/>
      <c r="L367" s="53"/>
      <c r="P367" s="53"/>
      <c r="Q367" s="53"/>
      <c r="R367" s="53"/>
      <c r="S367" s="53"/>
      <c r="T367" s="53"/>
      <c r="U367" s="53"/>
      <c r="V367" s="53"/>
      <c r="W367" s="53"/>
      <c r="X367" s="53"/>
      <c r="Y367" s="53"/>
      <c r="Z367" s="53"/>
      <c r="AA367" s="53"/>
      <c r="AB367" s="53"/>
      <c r="AC367" s="53"/>
      <c r="AD367" s="53"/>
      <c r="AE367" s="53"/>
      <c r="AG367" s="53"/>
      <c r="AH367" s="53"/>
    </row>
    <row r="368" spans="2:34" ht="13.5" customHeight="1">
      <c r="L368" s="53"/>
      <c r="M368" s="660"/>
      <c r="N368" s="660"/>
      <c r="O368" s="660"/>
    </row>
    <row r="369" spans="2:34" s="5" customFormat="1" ht="13.5" customHeight="1">
      <c r="B369" s="570" t="s">
        <v>559</v>
      </c>
      <c r="C369" s="570"/>
      <c r="D369" s="570"/>
      <c r="E369" s="570"/>
      <c r="F369" s="570"/>
      <c r="G369" s="570"/>
      <c r="H369" s="570"/>
      <c r="I369" s="570"/>
      <c r="J369" s="570"/>
      <c r="K369" s="570"/>
      <c r="L369" s="53"/>
      <c r="M369" s="571"/>
      <c r="N369" s="571"/>
      <c r="O369" s="571"/>
      <c r="P369" s="570"/>
      <c r="Q369" s="570"/>
      <c r="R369" s="570"/>
      <c r="S369" s="570"/>
      <c r="T369" s="570"/>
      <c r="U369" s="570"/>
      <c r="V369" s="570"/>
      <c r="W369" s="570"/>
      <c r="X369" s="570"/>
      <c r="Y369" s="570"/>
      <c r="Z369" s="1"/>
      <c r="AA369" s="570"/>
      <c r="AB369" s="570"/>
      <c r="AC369" s="570"/>
      <c r="AD369" s="570"/>
      <c r="AE369" s="570"/>
      <c r="AG369" s="570"/>
      <c r="AH369" s="570"/>
    </row>
    <row r="370" spans="2:34" ht="13.5" customHeight="1">
      <c r="B370" s="572"/>
      <c r="C370" s="573"/>
      <c r="D370" s="573"/>
      <c r="E370" s="573"/>
      <c r="F370" s="573"/>
      <c r="G370" s="573"/>
      <c r="H370" s="573"/>
      <c r="I370" s="573"/>
      <c r="J370" s="573"/>
      <c r="K370" s="573"/>
      <c r="L370" s="53"/>
      <c r="M370" s="571"/>
      <c r="N370" s="571"/>
      <c r="O370" s="571"/>
      <c r="P370" s="573"/>
      <c r="Q370" s="573"/>
      <c r="R370" s="573"/>
      <c r="S370" s="573"/>
      <c r="T370" s="573"/>
      <c r="U370" s="573"/>
      <c r="V370" s="573"/>
      <c r="W370" s="573"/>
      <c r="X370" s="573"/>
      <c r="Y370" s="573"/>
      <c r="AA370" s="573"/>
      <c r="AB370" s="573"/>
      <c r="AC370" s="573"/>
      <c r="AD370" s="573"/>
      <c r="AE370" s="573"/>
      <c r="AG370" s="573"/>
      <c r="AH370" s="573"/>
    </row>
    <row r="371" spans="2:34" ht="13.5" customHeight="1">
      <c r="B371" s="5"/>
      <c r="C371" s="5"/>
      <c r="D371" s="5"/>
      <c r="E371" s="5"/>
      <c r="F371" s="5"/>
      <c r="G371" s="5"/>
      <c r="H371" s="5"/>
      <c r="I371" s="5"/>
      <c r="J371" s="5"/>
      <c r="L371" s="53"/>
      <c r="AA371" s="5"/>
      <c r="AB371" s="5"/>
      <c r="AC371" s="5"/>
      <c r="AD371" s="5"/>
      <c r="AE371" s="5"/>
      <c r="AG371" s="5"/>
      <c r="AH371" s="5"/>
    </row>
    <row r="372" spans="2:34" ht="13.5" customHeight="1">
      <c r="B372" s="577" t="s">
        <v>559</v>
      </c>
      <c r="C372" s="576">
        <f t="shared" ref="C372:K372" si="417">C3</f>
        <v>44561</v>
      </c>
      <c r="D372" s="576">
        <f t="shared" si="417"/>
        <v>44926</v>
      </c>
      <c r="E372" s="576">
        <f t="shared" si="417"/>
        <v>44926</v>
      </c>
      <c r="F372" s="576">
        <f t="shared" si="417"/>
        <v>45291</v>
      </c>
      <c r="G372" s="576">
        <f t="shared" si="417"/>
        <v>45291</v>
      </c>
      <c r="H372" s="576">
        <f t="shared" si="417"/>
        <v>45657</v>
      </c>
      <c r="I372" s="576">
        <f t="shared" si="417"/>
        <v>45657</v>
      </c>
      <c r="J372" s="576">
        <f t="shared" si="417"/>
        <v>46022</v>
      </c>
      <c r="K372" s="576">
        <f t="shared" si="417"/>
        <v>46112</v>
      </c>
      <c r="L372" s="53"/>
      <c r="M372" s="545"/>
      <c r="N372" s="545"/>
      <c r="O372" s="545"/>
      <c r="P372" s="574">
        <f t="shared" ref="P372:Y372" si="418">+P3</f>
        <v>45291</v>
      </c>
      <c r="Q372" s="574">
        <f t="shared" si="418"/>
        <v>45382</v>
      </c>
      <c r="R372" s="574">
        <f t="shared" si="418"/>
        <v>45473</v>
      </c>
      <c r="S372" s="574">
        <f t="shared" si="418"/>
        <v>45565</v>
      </c>
      <c r="T372" s="574">
        <f t="shared" si="418"/>
        <v>45657</v>
      </c>
      <c r="U372" s="574">
        <f t="shared" si="418"/>
        <v>45747</v>
      </c>
      <c r="V372" s="574">
        <f t="shared" si="418"/>
        <v>45838</v>
      </c>
      <c r="W372" s="576">
        <f t="shared" si="418"/>
        <v>45930</v>
      </c>
      <c r="X372" s="574">
        <f t="shared" si="418"/>
        <v>46022</v>
      </c>
      <c r="Y372" s="574">
        <f t="shared" si="418"/>
        <v>46112</v>
      </c>
      <c r="AA372" s="576">
        <f>AA3</f>
        <v>45382</v>
      </c>
      <c r="AB372" s="574">
        <f>+AB3</f>
        <v>45473</v>
      </c>
      <c r="AC372" s="574">
        <f>+AC3</f>
        <v>45565</v>
      </c>
      <c r="AD372" s="574">
        <f>+AD3</f>
        <v>45656</v>
      </c>
      <c r="AE372" s="574">
        <f>+AE3</f>
        <v>45747</v>
      </c>
      <c r="AG372" s="574">
        <f>+AG3</f>
        <v>45565</v>
      </c>
      <c r="AH372" s="574">
        <f>+AH3</f>
        <v>45930</v>
      </c>
    </row>
    <row r="373" spans="2:34" ht="13.5" customHeight="1">
      <c r="C373" s="4"/>
      <c r="D373" s="4"/>
      <c r="E373" s="4"/>
      <c r="F373" s="4"/>
      <c r="G373" s="4"/>
      <c r="H373" s="4"/>
    </row>
    <row r="374" spans="2:34" ht="13.5" customHeight="1">
      <c r="B374" s="297" t="s">
        <v>560</v>
      </c>
      <c r="C374" s="298">
        <v>39.4</v>
      </c>
      <c r="D374" s="298">
        <v>41.7</v>
      </c>
      <c r="E374" s="298">
        <v>41.7</v>
      </c>
      <c r="F374" s="578">
        <v>42.5</v>
      </c>
      <c r="G374" s="578">
        <v>42.5</v>
      </c>
      <c r="H374" s="578">
        <v>43.1</v>
      </c>
      <c r="I374" s="578">
        <v>43.1</v>
      </c>
      <c r="J374" s="578">
        <v>43.9</v>
      </c>
      <c r="K374" s="298">
        <f>Y374</f>
        <v>44.5</v>
      </c>
      <c r="L374" s="5"/>
      <c r="M374" s="660"/>
      <c r="N374" s="660"/>
      <c r="O374" s="660"/>
      <c r="P374" s="298">
        <v>42.5</v>
      </c>
      <c r="Q374" s="580">
        <v>42.8</v>
      </c>
      <c r="R374" s="580">
        <v>43.2</v>
      </c>
      <c r="S374" s="580">
        <v>43.5</v>
      </c>
      <c r="T374" s="580">
        <v>43.1</v>
      </c>
      <c r="U374" s="580">
        <v>43.1</v>
      </c>
      <c r="V374" s="580">
        <v>43.5</v>
      </c>
      <c r="W374" s="580">
        <v>43.8</v>
      </c>
      <c r="X374" s="578">
        <v>43.9</v>
      </c>
      <c r="Y374" s="580">
        <v>44.5</v>
      </c>
      <c r="Z374" s="6"/>
      <c r="AA374" s="578">
        <v>42.8</v>
      </c>
      <c r="AB374" s="580">
        <v>43.2</v>
      </c>
      <c r="AC374" s="580">
        <v>43.5</v>
      </c>
      <c r="AD374" s="578">
        <v>43.1</v>
      </c>
      <c r="AE374" s="753">
        <f>U374</f>
        <v>43.1</v>
      </c>
      <c r="AG374" s="681"/>
      <c r="AH374" s="681"/>
    </row>
    <row r="375" spans="2:34" ht="13.5" customHeight="1">
      <c r="B375" s="301" t="s">
        <v>561</v>
      </c>
      <c r="C375" s="298">
        <v>23.7</v>
      </c>
      <c r="D375" s="298">
        <v>25.6</v>
      </c>
      <c r="E375" s="298">
        <v>25.6</v>
      </c>
      <c r="F375" s="578">
        <v>27.2</v>
      </c>
      <c r="G375" s="578">
        <v>27.2</v>
      </c>
      <c r="H375" s="578">
        <v>29.1</v>
      </c>
      <c r="I375" s="578">
        <v>29.1</v>
      </c>
      <c r="J375" s="578">
        <v>31.5</v>
      </c>
      <c r="K375" s="298">
        <f t="shared" ref="K375:K382" si="419">Y375</f>
        <v>32.200000000000003</v>
      </c>
      <c r="L375" s="299"/>
      <c r="M375" s="660"/>
      <c r="N375" s="660"/>
      <c r="O375" s="660"/>
      <c r="P375" s="298">
        <v>27.2</v>
      </c>
      <c r="Q375" s="580">
        <v>27.6</v>
      </c>
      <c r="R375" s="580">
        <v>28.1</v>
      </c>
      <c r="S375" s="580">
        <v>28.6</v>
      </c>
      <c r="T375" s="580">
        <v>29.1</v>
      </c>
      <c r="U375" s="580">
        <v>29.3</v>
      </c>
      <c r="V375" s="580">
        <v>30.1</v>
      </c>
      <c r="W375" s="580">
        <v>30.6</v>
      </c>
      <c r="X375" s="578">
        <v>31.5</v>
      </c>
      <c r="Y375" s="580">
        <v>32.200000000000003</v>
      </c>
      <c r="Z375" s="6"/>
      <c r="AA375" s="578">
        <v>27.6</v>
      </c>
      <c r="AB375" s="580">
        <v>28.1</v>
      </c>
      <c r="AC375" s="580">
        <v>28.6</v>
      </c>
      <c r="AD375" s="578">
        <v>29.1</v>
      </c>
      <c r="AE375" s="753">
        <f>U375</f>
        <v>29.3</v>
      </c>
      <c r="AG375" s="681"/>
      <c r="AH375" s="681"/>
    </row>
    <row r="376" spans="2:34" ht="13.5" customHeight="1">
      <c r="B376" s="301" t="s">
        <v>562</v>
      </c>
      <c r="C376" s="298">
        <v>3.3</v>
      </c>
      <c r="D376" s="298">
        <v>4</v>
      </c>
      <c r="E376" s="298">
        <v>4</v>
      </c>
      <c r="F376" s="578">
        <v>4.5</v>
      </c>
      <c r="G376" s="578">
        <v>4.5</v>
      </c>
      <c r="H376" s="578">
        <v>5</v>
      </c>
      <c r="I376" s="578">
        <v>5</v>
      </c>
      <c r="J376" s="578">
        <v>5.9</v>
      </c>
      <c r="K376" s="298">
        <f t="shared" si="419"/>
        <v>6.2</v>
      </c>
      <c r="L376" s="299"/>
      <c r="M376" s="660"/>
      <c r="N376" s="660"/>
      <c r="O376" s="660"/>
      <c r="P376" s="298">
        <v>4.5</v>
      </c>
      <c r="Q376" s="580">
        <v>4.5999999999999996</v>
      </c>
      <c r="R376" s="580">
        <v>4.7</v>
      </c>
      <c r="S376" s="580">
        <v>4.9000000000000004</v>
      </c>
      <c r="T376" s="580">
        <v>5</v>
      </c>
      <c r="U376" s="580">
        <v>5.3</v>
      </c>
      <c r="V376" s="580">
        <v>5.4</v>
      </c>
      <c r="W376" s="580">
        <v>5.6</v>
      </c>
      <c r="X376" s="578">
        <v>5.9</v>
      </c>
      <c r="Y376" s="580">
        <v>6.2</v>
      </c>
      <c r="Z376" s="303"/>
      <c r="AA376" s="578">
        <v>4.5999999999999996</v>
      </c>
      <c r="AB376" s="580">
        <v>4.7</v>
      </c>
      <c r="AC376" s="580">
        <v>4.9000000000000004</v>
      </c>
      <c r="AD376" s="578">
        <v>5</v>
      </c>
      <c r="AE376" s="753">
        <f>U376</f>
        <v>5.3</v>
      </c>
      <c r="AG376" s="681"/>
      <c r="AH376" s="681"/>
    </row>
    <row r="377" spans="2:34" ht="13.5" customHeight="1">
      <c r="B377" s="301" t="s">
        <v>563</v>
      </c>
      <c r="C377" s="298">
        <v>12</v>
      </c>
      <c r="D377" s="298">
        <v>12</v>
      </c>
      <c r="E377" s="298">
        <v>12</v>
      </c>
      <c r="F377" s="578">
        <v>10.8</v>
      </c>
      <c r="G377" s="578">
        <v>10.8</v>
      </c>
      <c r="H377" s="578">
        <v>9.1999999999999993</v>
      </c>
      <c r="I377" s="578">
        <v>9.1999999999999993</v>
      </c>
      <c r="J377" s="578">
        <v>7.6</v>
      </c>
      <c r="K377" s="298">
        <f t="shared" si="419"/>
        <v>7.6</v>
      </c>
      <c r="L377" s="299"/>
      <c r="M377" s="660"/>
      <c r="N377" s="660"/>
      <c r="O377" s="660"/>
      <c r="P377" s="298">
        <v>10.8</v>
      </c>
      <c r="Q377" s="580">
        <v>10.6</v>
      </c>
      <c r="R377" s="580">
        <v>10.4</v>
      </c>
      <c r="S377" s="580">
        <v>10.1</v>
      </c>
      <c r="T377" s="580">
        <v>9.1999999999999993</v>
      </c>
      <c r="U377" s="580">
        <v>9</v>
      </c>
      <c r="V377" s="580">
        <v>8.6999999999999993</v>
      </c>
      <c r="W377" s="580">
        <v>8.4</v>
      </c>
      <c r="X377" s="578">
        <v>7.6</v>
      </c>
      <c r="Y377" s="580">
        <v>7.6</v>
      </c>
      <c r="Z377" s="303"/>
      <c r="AA377" s="578">
        <v>10.6</v>
      </c>
      <c r="AB377" s="580">
        <v>10.4</v>
      </c>
      <c r="AC377" s="580">
        <v>10.1</v>
      </c>
      <c r="AD377" s="578">
        <v>9.1999999999999993</v>
      </c>
      <c r="AE377" s="753">
        <f>U377</f>
        <v>9</v>
      </c>
      <c r="AG377" s="681"/>
      <c r="AH377" s="681"/>
    </row>
    <row r="378" spans="2:34" ht="13.5" customHeight="1">
      <c r="B378" s="301" t="s">
        <v>564</v>
      </c>
      <c r="C378" s="298">
        <v>1887.8</v>
      </c>
      <c r="D378" s="298">
        <v>2121.8000000000002</v>
      </c>
      <c r="E378" s="298">
        <v>2121.8000000000002</v>
      </c>
      <c r="F378" s="578">
        <v>2291</v>
      </c>
      <c r="G378" s="578">
        <v>2291</v>
      </c>
      <c r="H378" s="578">
        <f>2454.5+5.3</f>
        <v>2459.8000000000002</v>
      </c>
      <c r="I378" s="578">
        <f>2454.5+5.3</f>
        <v>2459.8000000000002</v>
      </c>
      <c r="J378" s="578">
        <v>2573.6</v>
      </c>
      <c r="K378" s="298">
        <f t="shared" si="419"/>
        <v>2594.9</v>
      </c>
      <c r="L378" s="299"/>
      <c r="M378" s="660"/>
      <c r="N378" s="660"/>
      <c r="O378" s="660"/>
      <c r="P378" s="298">
        <v>2291</v>
      </c>
      <c r="Q378" s="580">
        <v>2338.6</v>
      </c>
      <c r="R378" s="580">
        <v>2380.3000000000002</v>
      </c>
      <c r="S378" s="580">
        <v>2427.6</v>
      </c>
      <c r="T378" s="580">
        <v>2459.8000000000002</v>
      </c>
      <c r="U378" s="580">
        <f>2484.4+19.3</f>
        <v>2503.7000000000003</v>
      </c>
      <c r="V378" s="580">
        <f>2488.2+36</f>
        <v>2524.1999999999998</v>
      </c>
      <c r="W378" s="580">
        <f>2521.6+57.4</f>
        <v>2579</v>
      </c>
      <c r="X378" s="578">
        <v>2573.6</v>
      </c>
      <c r="Y378" s="580">
        <v>2594.9</v>
      </c>
      <c r="Z378" s="303"/>
      <c r="AA378" s="578">
        <f>2334+4.6</f>
        <v>2338.6</v>
      </c>
      <c r="AB378" s="580">
        <v>2380.3000000000002</v>
      </c>
      <c r="AC378" s="580">
        <f>2422.6+5</f>
        <v>2427.6</v>
      </c>
      <c r="AD378" s="578">
        <f>2454.5+5.3</f>
        <v>2459.8000000000002</v>
      </c>
      <c r="AE378" s="580">
        <v>2484.4</v>
      </c>
      <c r="AG378" s="681"/>
      <c r="AH378" s="681"/>
    </row>
    <row r="379" spans="2:34" ht="13.5" customHeight="1">
      <c r="B379" s="301" t="s">
        <v>566</v>
      </c>
      <c r="C379" s="298">
        <v>754.9</v>
      </c>
      <c r="D379" s="298">
        <v>751.4</v>
      </c>
      <c r="E379" s="298">
        <v>751.4</v>
      </c>
      <c r="F379" s="578">
        <v>760.7</v>
      </c>
      <c r="G379" s="578">
        <v>760.7</v>
      </c>
      <c r="H379" s="578">
        <v>738.2</v>
      </c>
      <c r="I379" s="578">
        <v>738.2</v>
      </c>
      <c r="J379" s="578">
        <v>712.9</v>
      </c>
      <c r="K379" s="298">
        <f t="shared" si="419"/>
        <v>687.4</v>
      </c>
      <c r="L379" s="299"/>
      <c r="M379" s="660"/>
      <c r="N379" s="660"/>
      <c r="O379" s="660"/>
      <c r="P379" s="298">
        <v>760.7</v>
      </c>
      <c r="Q379" s="580">
        <v>762.3</v>
      </c>
      <c r="R379" s="580">
        <v>767.8</v>
      </c>
      <c r="S379" s="580">
        <v>765</v>
      </c>
      <c r="T379" s="580">
        <v>738.2</v>
      </c>
      <c r="U379" s="580">
        <v>721.8</v>
      </c>
      <c r="V379" s="580">
        <v>695.9</v>
      </c>
      <c r="W379" s="580">
        <v>654.70000000000005</v>
      </c>
      <c r="X379" s="578">
        <v>712.9</v>
      </c>
      <c r="Y379" s="580">
        <v>687.4</v>
      </c>
      <c r="Z379" s="303"/>
      <c r="AA379" s="578">
        <v>762.3</v>
      </c>
      <c r="AB379" s="580">
        <v>767.8</v>
      </c>
      <c r="AC379" s="580">
        <v>765</v>
      </c>
      <c r="AD379" s="578">
        <v>738.2</v>
      </c>
      <c r="AE379" s="580">
        <v>774.2</v>
      </c>
      <c r="AG379" s="681"/>
      <c r="AH379" s="681"/>
    </row>
    <row r="380" spans="2:34" ht="13.5" customHeight="1">
      <c r="B380" s="389" t="s">
        <v>567</v>
      </c>
      <c r="C380" s="391">
        <v>603.6</v>
      </c>
      <c r="D380" s="391">
        <v>670.7</v>
      </c>
      <c r="E380" s="391">
        <v>670.7</v>
      </c>
      <c r="F380" s="579">
        <v>719.9</v>
      </c>
      <c r="G380" s="579">
        <v>719.9</v>
      </c>
      <c r="H380" s="579">
        <v>680.3</v>
      </c>
      <c r="I380" s="579">
        <v>680.3</v>
      </c>
      <c r="J380" s="579">
        <v>611.4</v>
      </c>
      <c r="K380" s="298">
        <f t="shared" si="419"/>
        <v>573.29999999999995</v>
      </c>
      <c r="L380" s="299"/>
      <c r="M380" s="660"/>
      <c r="N380" s="660"/>
      <c r="O380" s="660"/>
      <c r="P380" s="391">
        <v>719.9</v>
      </c>
      <c r="Q380" s="579">
        <v>737.6</v>
      </c>
      <c r="R380" s="579">
        <v>746.4</v>
      </c>
      <c r="S380" s="579">
        <v>715.2</v>
      </c>
      <c r="T380" s="579">
        <v>680.3</v>
      </c>
      <c r="U380" s="579">
        <v>660</v>
      </c>
      <c r="V380" s="579">
        <v>654.9</v>
      </c>
      <c r="W380" s="579">
        <v>678.1</v>
      </c>
      <c r="X380" s="579">
        <v>611.4</v>
      </c>
      <c r="Y380" s="579">
        <v>573.29999999999995</v>
      </c>
      <c r="Z380" s="558"/>
      <c r="AA380" s="579">
        <v>737.6</v>
      </c>
      <c r="AB380" s="579">
        <v>746.4</v>
      </c>
      <c r="AC380" s="579">
        <v>715.2</v>
      </c>
      <c r="AD380" s="579">
        <v>680.3</v>
      </c>
      <c r="AE380" s="579">
        <v>721.8</v>
      </c>
      <c r="AG380" s="681"/>
      <c r="AH380" s="681"/>
    </row>
    <row r="381" spans="2:34" ht="13.5" customHeight="1">
      <c r="B381" s="390" t="s">
        <v>568</v>
      </c>
      <c r="C381" s="298">
        <v>54.6</v>
      </c>
      <c r="D381" s="298">
        <v>43.9</v>
      </c>
      <c r="E381" s="298">
        <v>43.9</v>
      </c>
      <c r="F381" s="578">
        <v>38.5</v>
      </c>
      <c r="G381" s="578">
        <v>38.5</v>
      </c>
      <c r="H381" s="578">
        <v>35.5</v>
      </c>
      <c r="I381" s="578">
        <v>35.5</v>
      </c>
      <c r="J381" s="578">
        <v>25.7</v>
      </c>
      <c r="K381" s="298">
        <f t="shared" si="419"/>
        <v>23.3</v>
      </c>
      <c r="L381" s="299"/>
      <c r="M381" s="660"/>
      <c r="N381" s="660"/>
      <c r="O381" s="660"/>
      <c r="P381" s="298">
        <v>38.5</v>
      </c>
      <c r="Q381" s="580">
        <v>39.200000000000003</v>
      </c>
      <c r="R381" s="580">
        <v>38.1</v>
      </c>
      <c r="S381" s="580">
        <v>37.299999999999997</v>
      </c>
      <c r="T381" s="580">
        <v>35.5</v>
      </c>
      <c r="U381" s="580">
        <v>33.1</v>
      </c>
      <c r="V381" s="580">
        <v>31.3</v>
      </c>
      <c r="W381" s="580">
        <v>28.2</v>
      </c>
      <c r="X381" s="578">
        <v>25.7</v>
      </c>
      <c r="Y381" s="580">
        <v>23.3</v>
      </c>
      <c r="Z381" s="303"/>
      <c r="AA381" s="578">
        <v>39.200000000000003</v>
      </c>
      <c r="AB381" s="580">
        <v>38.1</v>
      </c>
      <c r="AC381" s="580">
        <v>37.299999999999997</v>
      </c>
      <c r="AD381" s="578">
        <v>35.5</v>
      </c>
      <c r="AE381" s="753">
        <f>U381</f>
        <v>33.1</v>
      </c>
      <c r="AG381" s="681"/>
      <c r="AH381" s="681"/>
    </row>
    <row r="382" spans="2:34" ht="13.5" customHeight="1">
      <c r="B382" s="301" t="s">
        <v>569</v>
      </c>
      <c r="C382" s="298">
        <v>1082.2</v>
      </c>
      <c r="D382" s="298">
        <v>1281.7</v>
      </c>
      <c r="E382" s="298">
        <v>1281.7</v>
      </c>
      <c r="F382" s="578">
        <v>1409.2</v>
      </c>
      <c r="G382" s="578">
        <v>1409.2</v>
      </c>
      <c r="H382" s="578">
        <v>1462.8</v>
      </c>
      <c r="I382" s="578">
        <v>1462.8</v>
      </c>
      <c r="J382" s="578">
        <v>1430.5</v>
      </c>
      <c r="K382" s="298">
        <f t="shared" si="419"/>
        <v>1423.2</v>
      </c>
      <c r="L382" s="299"/>
      <c r="M382" s="660"/>
      <c r="N382" s="660"/>
      <c r="O382" s="660"/>
      <c r="P382" s="298">
        <v>1409.2</v>
      </c>
      <c r="Q382" s="580">
        <v>1450.1</v>
      </c>
      <c r="R382" s="580">
        <v>1484.4</v>
      </c>
      <c r="S382" s="580">
        <v>1483.8</v>
      </c>
      <c r="T382" s="580">
        <v>1462.8</v>
      </c>
      <c r="U382" s="580">
        <v>1456.3</v>
      </c>
      <c r="V382" s="580">
        <v>1430</v>
      </c>
      <c r="W382" s="580">
        <v>1425.2</v>
      </c>
      <c r="X382" s="578">
        <v>1430.5</v>
      </c>
      <c r="Y382" s="580">
        <v>1423.2</v>
      </c>
      <c r="Z382" s="303"/>
      <c r="AA382" s="578">
        <v>1450.1</v>
      </c>
      <c r="AB382" s="580">
        <v>1484.4</v>
      </c>
      <c r="AC382" s="580">
        <v>1483.8</v>
      </c>
      <c r="AD382" s="578">
        <v>1462.8</v>
      </c>
      <c r="AE382" s="753">
        <f>U382</f>
        <v>1456.3</v>
      </c>
      <c r="AG382" s="681"/>
      <c r="AH382" s="681"/>
    </row>
    <row r="383" spans="2:34" ht="13.5" customHeight="1">
      <c r="B383" s="302"/>
      <c r="C383" s="299"/>
      <c r="D383" s="299"/>
      <c r="E383" s="299"/>
      <c r="F383" s="299"/>
      <c r="G383" s="299"/>
      <c r="H383" s="299"/>
      <c r="I383" s="299"/>
      <c r="J383" s="299"/>
      <c r="K383" s="299"/>
      <c r="L383" s="299"/>
      <c r="M383" s="660"/>
      <c r="N383" s="660"/>
      <c r="O383" s="660"/>
      <c r="P383" s="303"/>
      <c r="Q383" s="303"/>
      <c r="R383" s="303"/>
      <c r="S383" s="303"/>
      <c r="T383" s="303"/>
      <c r="U383" s="303"/>
      <c r="V383" s="303"/>
      <c r="W383" s="303"/>
      <c r="X383" s="299"/>
      <c r="Y383" s="303"/>
      <c r="Z383" s="303"/>
      <c r="AA383" s="299"/>
      <c r="AB383" s="303"/>
      <c r="AC383" s="303"/>
      <c r="AD383" s="299"/>
      <c r="AE383" s="303"/>
      <c r="AG383" s="303"/>
      <c r="AH383" s="303"/>
    </row>
    <row r="384" spans="2:34" ht="13.5" customHeight="1">
      <c r="B384" s="304" t="s">
        <v>570</v>
      </c>
      <c r="C384" s="781"/>
      <c r="D384" s="781"/>
      <c r="E384" s="781"/>
      <c r="F384" s="781"/>
      <c r="G384" s="781"/>
      <c r="H384" s="781"/>
      <c r="I384" s="781"/>
      <c r="J384" s="781"/>
      <c r="K384" s="781"/>
      <c r="L384" s="781"/>
      <c r="M384" s="660"/>
      <c r="N384" s="660"/>
      <c r="O384" s="660"/>
      <c r="P384" s="480"/>
      <c r="Q384" s="480"/>
      <c r="R384" s="480"/>
      <c r="S384" s="480"/>
      <c r="T384" s="480"/>
      <c r="U384" s="480"/>
      <c r="V384" s="480"/>
      <c r="W384" s="480"/>
      <c r="X384" s="781"/>
      <c r="Y384" s="480"/>
      <c r="Z384" s="480"/>
      <c r="AA384" s="781"/>
      <c r="AB384" s="480"/>
      <c r="AC384" s="480"/>
      <c r="AD384" s="781"/>
      <c r="AE384" s="480"/>
      <c r="AG384" s="480"/>
      <c r="AH384" s="480"/>
    </row>
    <row r="385" spans="2:34" ht="13.5" customHeight="1">
      <c r="B385" s="297" t="s">
        <v>571</v>
      </c>
      <c r="C385" s="306">
        <v>0.02</v>
      </c>
      <c r="D385" s="306">
        <v>0.02</v>
      </c>
      <c r="E385" s="306">
        <v>0.02</v>
      </c>
      <c r="F385" s="581">
        <v>0.02</v>
      </c>
      <c r="G385" s="581">
        <v>0.02</v>
      </c>
      <c r="H385" s="581">
        <v>0.02</v>
      </c>
      <c r="I385" s="581">
        <v>0.02</v>
      </c>
      <c r="J385" s="581">
        <v>2.3E-2</v>
      </c>
      <c r="K385" s="306">
        <f>Y385</f>
        <v>1.6E-2</v>
      </c>
      <c r="L385" s="307"/>
      <c r="M385" s="660"/>
      <c r="N385" s="660"/>
      <c r="O385" s="660"/>
      <c r="P385" s="534">
        <v>2.4E-2</v>
      </c>
      <c r="Q385" s="582">
        <v>1.4999999999999999E-2</v>
      </c>
      <c r="R385" s="582">
        <v>1.4999999999999999E-2</v>
      </c>
      <c r="S385" s="582">
        <v>2.1999999999999999E-2</v>
      </c>
      <c r="T385" s="582">
        <v>2.8000000000000001E-2</v>
      </c>
      <c r="U385" s="582">
        <v>1.7000000000000001E-2</v>
      </c>
      <c r="V385" s="582">
        <v>2.1999999999999999E-2</v>
      </c>
      <c r="W385" s="582">
        <v>2.5999999999999999E-2</v>
      </c>
      <c r="X385" s="581">
        <v>2.7E-2</v>
      </c>
      <c r="Y385" s="582">
        <v>1.6E-2</v>
      </c>
      <c r="Z385" s="312"/>
      <c r="AA385" s="581">
        <v>1.4999999999999999E-2</v>
      </c>
      <c r="AB385" s="582">
        <v>1.4999999999999999E-2</v>
      </c>
      <c r="AC385" s="582">
        <v>2.1999999999999999E-2</v>
      </c>
      <c r="AD385" s="581">
        <v>0.02</v>
      </c>
      <c r="AE385" s="754">
        <f>U385</f>
        <v>1.7000000000000001E-2</v>
      </c>
      <c r="AG385" s="681"/>
      <c r="AH385" s="681"/>
    </row>
    <row r="386" spans="2:34" ht="13.5" customHeight="1">
      <c r="B386" s="297" t="s">
        <v>572</v>
      </c>
      <c r="C386" s="306">
        <v>1.4999999999999999E-2</v>
      </c>
      <c r="D386" s="306">
        <v>1.4E-2</v>
      </c>
      <c r="E386" s="306">
        <v>1.4E-2</v>
      </c>
      <c r="F386" s="581">
        <v>1.4999999999999999E-2</v>
      </c>
      <c r="G386" s="581">
        <v>1.4999999999999999E-2</v>
      </c>
      <c r="H386" s="581">
        <v>1.4999999999999999E-2</v>
      </c>
      <c r="I386" s="581">
        <v>1.4999999999999999E-2</v>
      </c>
      <c r="J386" s="581">
        <v>1.7000000000000001E-2</v>
      </c>
      <c r="K386" s="306">
        <f>Y386</f>
        <v>1.6E-2</v>
      </c>
      <c r="L386" s="307"/>
      <c r="M386" s="660"/>
      <c r="N386" s="660"/>
      <c r="O386" s="660"/>
      <c r="P386" s="534">
        <v>1.6E-2</v>
      </c>
      <c r="Q386" s="582">
        <v>1.2999999999999999E-2</v>
      </c>
      <c r="R386" s="582">
        <v>1.2E-2</v>
      </c>
      <c r="S386" s="582">
        <v>1.6E-2</v>
      </c>
      <c r="T386" s="582">
        <v>1.7999999999999999E-2</v>
      </c>
      <c r="U386" s="582">
        <v>1.4E-2</v>
      </c>
      <c r="V386" s="582">
        <v>1.7000000000000001E-2</v>
      </c>
      <c r="W386" s="582">
        <v>0.02</v>
      </c>
      <c r="X386" s="581">
        <v>1.7999999999999999E-2</v>
      </c>
      <c r="Y386" s="582">
        <v>1.6E-2</v>
      </c>
      <c r="Z386" s="312"/>
      <c r="AA386" s="581">
        <v>1.2999999999999999E-2</v>
      </c>
      <c r="AB386" s="582">
        <v>1.2E-2</v>
      </c>
      <c r="AC386" s="582">
        <v>1.6E-2</v>
      </c>
      <c r="AD386" s="581">
        <v>1.4999999999999999E-2</v>
      </c>
      <c r="AE386" s="754">
        <f>U386</f>
        <v>1.4E-2</v>
      </c>
      <c r="AG386" s="681"/>
      <c r="AH386" s="681"/>
    </row>
    <row r="387" spans="2:34" ht="13.5" customHeight="1">
      <c r="B387" s="302"/>
      <c r="C387" s="299"/>
      <c r="D387" s="299"/>
      <c r="E387" s="299"/>
      <c r="F387" s="299"/>
      <c r="G387" s="299"/>
      <c r="H387" s="299"/>
      <c r="I387" s="299"/>
      <c r="J387" s="299"/>
      <c r="K387" s="299"/>
      <c r="L387" s="299"/>
      <c r="M387" s="660"/>
      <c r="N387" s="660"/>
      <c r="O387" s="660"/>
      <c r="P387" s="303"/>
      <c r="Q387" s="303"/>
      <c r="R387" s="303"/>
      <c r="S387" s="303"/>
      <c r="T387" s="303"/>
      <c r="U387" s="303"/>
      <c r="V387" s="303"/>
      <c r="W387" s="303"/>
      <c r="X387" s="299"/>
      <c r="Y387" s="303"/>
      <c r="Z387" s="303"/>
      <c r="AA387" s="585"/>
      <c r="AB387" s="586"/>
      <c r="AC387" s="586"/>
      <c r="AD387" s="299"/>
      <c r="AE387" s="586"/>
      <c r="AG387" s="303"/>
      <c r="AH387" s="303"/>
    </row>
    <row r="388" spans="2:34" ht="13.5" customHeight="1">
      <c r="B388" s="304" t="s">
        <v>573</v>
      </c>
      <c r="C388" s="781"/>
      <c r="D388" s="781"/>
      <c r="E388" s="781"/>
      <c r="F388" s="781"/>
      <c r="G388" s="781"/>
      <c r="H388" s="781"/>
      <c r="I388" s="781"/>
      <c r="J388" s="781"/>
      <c r="X388" s="781"/>
      <c r="Z388" s="480"/>
      <c r="AA388" s="587"/>
      <c r="AB388" s="588"/>
      <c r="AC388" s="588"/>
      <c r="AD388" s="781"/>
      <c r="AE388" s="588"/>
      <c r="AG388" s="480"/>
      <c r="AH388" s="480"/>
    </row>
    <row r="389" spans="2:34" ht="13.5" customHeight="1">
      <c r="B389" s="297" t="s">
        <v>574</v>
      </c>
      <c r="C389" s="298">
        <v>50.5</v>
      </c>
      <c r="D389" s="298">
        <v>70</v>
      </c>
      <c r="E389" s="686"/>
      <c r="F389" s="578">
        <v>125.5</v>
      </c>
      <c r="G389" s="578">
        <v>224.7</v>
      </c>
      <c r="H389" s="578">
        <v>244.5</v>
      </c>
      <c r="I389" s="578">
        <v>320</v>
      </c>
      <c r="J389" s="578">
        <v>348</v>
      </c>
      <c r="K389" s="298">
        <f>Y389</f>
        <v>363.2</v>
      </c>
      <c r="L389" s="299"/>
      <c r="M389" s="660"/>
      <c r="N389" s="660"/>
      <c r="O389" s="660"/>
      <c r="P389" s="300">
        <v>153.19999999999999</v>
      </c>
      <c r="Q389" s="580">
        <v>174.1</v>
      </c>
      <c r="R389" s="580">
        <v>205.8</v>
      </c>
      <c r="S389" s="580">
        <v>232.5</v>
      </c>
      <c r="T389" s="580">
        <v>251</v>
      </c>
      <c r="U389" s="580">
        <v>277.5</v>
      </c>
      <c r="V389" s="580">
        <v>302.2</v>
      </c>
      <c r="W389" s="580">
        <v>350.3</v>
      </c>
      <c r="X389" s="578">
        <v>379.5</v>
      </c>
      <c r="Y389" s="580">
        <v>363.2</v>
      </c>
      <c r="Z389" s="303"/>
      <c r="AA389" s="578">
        <v>174.1</v>
      </c>
      <c r="AB389" s="580">
        <v>205.8</v>
      </c>
      <c r="AC389" s="580">
        <v>318.60000000000002</v>
      </c>
      <c r="AD389" s="578">
        <v>320</v>
      </c>
      <c r="AE389" s="580">
        <v>371.6</v>
      </c>
      <c r="AG389" s="681"/>
      <c r="AH389" s="681"/>
    </row>
    <row r="390" spans="2:34" ht="13.5" customHeight="1">
      <c r="B390" s="309" t="s">
        <v>575</v>
      </c>
      <c r="C390" s="298">
        <v>54.9</v>
      </c>
      <c r="D390" s="298">
        <v>77</v>
      </c>
      <c r="E390" s="686"/>
      <c r="F390" s="578">
        <v>140.1</v>
      </c>
      <c r="G390" s="578">
        <v>250.8</v>
      </c>
      <c r="H390" s="578">
        <v>276.8</v>
      </c>
      <c r="I390" s="578">
        <v>362.3</v>
      </c>
      <c r="J390" s="578">
        <v>400.8</v>
      </c>
      <c r="K390" s="298">
        <f t="shared" ref="K390:K396" si="420">Y390</f>
        <v>423.8</v>
      </c>
      <c r="L390" s="299"/>
      <c r="M390" s="660"/>
      <c r="N390" s="660"/>
      <c r="O390" s="660"/>
      <c r="P390" s="300">
        <v>171.5</v>
      </c>
      <c r="Q390" s="580">
        <v>196.1</v>
      </c>
      <c r="R390" s="580">
        <v>232.8</v>
      </c>
      <c r="S390" s="580">
        <v>263.5</v>
      </c>
      <c r="T390" s="580">
        <v>285.39999999999998</v>
      </c>
      <c r="U390" s="580">
        <v>317.60000000000002</v>
      </c>
      <c r="V390" s="580">
        <v>347.6</v>
      </c>
      <c r="W390" s="580">
        <v>403.9</v>
      </c>
      <c r="X390" s="578">
        <v>439.5</v>
      </c>
      <c r="Y390" s="580">
        <v>423.8</v>
      </c>
      <c r="Z390" s="303"/>
      <c r="AA390" s="578">
        <v>196.1</v>
      </c>
      <c r="AB390" s="580">
        <v>232.8</v>
      </c>
      <c r="AC390" s="580">
        <v>361.1</v>
      </c>
      <c r="AD390" s="578">
        <v>362.3</v>
      </c>
      <c r="AE390" s="580">
        <v>425.4</v>
      </c>
      <c r="AG390" s="681"/>
      <c r="AH390" s="681"/>
    </row>
    <row r="391" spans="2:34" ht="13.5" customHeight="1">
      <c r="B391" s="310" t="s">
        <v>576</v>
      </c>
      <c r="C391" s="298">
        <v>62.8</v>
      </c>
      <c r="D391" s="298">
        <v>84.7</v>
      </c>
      <c r="E391" s="686"/>
      <c r="F391" s="578">
        <v>146.6</v>
      </c>
      <c r="G391" s="578">
        <v>262.3</v>
      </c>
      <c r="H391" s="578">
        <v>280.2</v>
      </c>
      <c r="I391" s="578">
        <v>366.8</v>
      </c>
      <c r="J391" s="578">
        <v>396.9</v>
      </c>
      <c r="K391" s="298">
        <f t="shared" si="420"/>
        <v>408</v>
      </c>
      <c r="L391" s="299"/>
      <c r="M391" s="660"/>
      <c r="N391" s="660"/>
      <c r="O391" s="660"/>
      <c r="P391" s="300">
        <v>177.5</v>
      </c>
      <c r="Q391" s="580">
        <v>200.9</v>
      </c>
      <c r="R391" s="580">
        <v>236.7</v>
      </c>
      <c r="S391" s="580">
        <v>262.39999999999998</v>
      </c>
      <c r="T391" s="580">
        <v>288.8</v>
      </c>
      <c r="U391" s="580">
        <v>319.5</v>
      </c>
      <c r="V391" s="580">
        <v>345.7</v>
      </c>
      <c r="W391" s="580">
        <v>396.1</v>
      </c>
      <c r="X391" s="578">
        <v>430.9</v>
      </c>
      <c r="Y391" s="580">
        <v>408</v>
      </c>
      <c r="Z391" s="303"/>
      <c r="AA391" s="578">
        <v>200.9</v>
      </c>
      <c r="AB391" s="580">
        <v>236.7</v>
      </c>
      <c r="AC391" s="580">
        <v>359.5</v>
      </c>
      <c r="AD391" s="578">
        <v>366.8</v>
      </c>
      <c r="AE391" s="580">
        <v>427.9</v>
      </c>
      <c r="AG391" s="681"/>
      <c r="AH391" s="681"/>
    </row>
    <row r="392" spans="2:34" ht="13.5" customHeight="1">
      <c r="B392" s="309" t="s">
        <v>577</v>
      </c>
      <c r="C392" s="298">
        <v>71.7</v>
      </c>
      <c r="D392" s="298">
        <v>98.4</v>
      </c>
      <c r="E392" s="686"/>
      <c r="F392" s="578">
        <v>172.8</v>
      </c>
      <c r="G392" s="578">
        <v>309.3</v>
      </c>
      <c r="H392" s="578">
        <v>334</v>
      </c>
      <c r="I392" s="578">
        <v>437.2</v>
      </c>
      <c r="J392" s="578">
        <v>478.9</v>
      </c>
      <c r="K392" s="298">
        <f t="shared" si="420"/>
        <v>496.6</v>
      </c>
      <c r="L392" s="299"/>
      <c r="M392" s="660"/>
      <c r="N392" s="660"/>
      <c r="O392" s="660"/>
      <c r="P392" s="300">
        <v>209.7</v>
      </c>
      <c r="Q392" s="580">
        <v>238.6</v>
      </c>
      <c r="R392" s="580">
        <v>282.2</v>
      </c>
      <c r="S392" s="580">
        <v>313</v>
      </c>
      <c r="T392" s="580">
        <v>345.2</v>
      </c>
      <c r="U392" s="580">
        <v>384</v>
      </c>
      <c r="V392" s="580">
        <v>417.1</v>
      </c>
      <c r="W392" s="580">
        <v>478.2</v>
      </c>
      <c r="X392" s="578">
        <v>521.9</v>
      </c>
      <c r="Y392" s="580">
        <v>496.6</v>
      </c>
      <c r="Z392" s="303"/>
      <c r="AA392" s="578">
        <v>238.6</v>
      </c>
      <c r="AB392" s="580">
        <v>282.2</v>
      </c>
      <c r="AC392" s="580">
        <v>428.9</v>
      </c>
      <c r="AD392" s="578">
        <v>437.2</v>
      </c>
      <c r="AE392" s="580">
        <v>514.20000000000005</v>
      </c>
      <c r="AG392" s="681"/>
      <c r="AH392" s="681"/>
    </row>
    <row r="393" spans="2:34" ht="13.5" customHeight="1">
      <c r="B393" s="310" t="s">
        <v>578</v>
      </c>
      <c r="C393" s="298">
        <v>26.9</v>
      </c>
      <c r="D393" s="298">
        <v>40.5</v>
      </c>
      <c r="E393" s="686"/>
      <c r="F393" s="578">
        <v>77.400000000000006</v>
      </c>
      <c r="G393" s="578">
        <v>138.6</v>
      </c>
      <c r="H393" s="578">
        <v>147.1</v>
      </c>
      <c r="I393" s="578">
        <v>192.6</v>
      </c>
      <c r="J393" s="578">
        <v>178.4</v>
      </c>
      <c r="K393" s="298">
        <f t="shared" si="420"/>
        <v>173.7</v>
      </c>
      <c r="L393" s="299"/>
      <c r="M393" s="660"/>
      <c r="N393" s="660"/>
      <c r="O393" s="660"/>
      <c r="P393" s="300">
        <v>95.4</v>
      </c>
      <c r="Q393" s="580">
        <v>105.5</v>
      </c>
      <c r="R393" s="580">
        <v>123.3</v>
      </c>
      <c r="S393" s="580">
        <v>149.9</v>
      </c>
      <c r="T393" s="580">
        <v>140</v>
      </c>
      <c r="U393" s="580">
        <v>143.19999999999999</v>
      </c>
      <c r="V393" s="580">
        <v>155.9</v>
      </c>
      <c r="W393" s="580">
        <v>186.9</v>
      </c>
      <c r="X393" s="578">
        <v>183.6</v>
      </c>
      <c r="Y393" s="580">
        <v>173.7</v>
      </c>
      <c r="Z393" s="303"/>
      <c r="AA393" s="578">
        <v>105.5</v>
      </c>
      <c r="AB393" s="580">
        <v>123.3</v>
      </c>
      <c r="AC393" s="580">
        <v>205.3</v>
      </c>
      <c r="AD393" s="578">
        <v>192.6</v>
      </c>
      <c r="AE393" s="580">
        <v>191.9</v>
      </c>
      <c r="AG393" s="681"/>
      <c r="AH393" s="681"/>
    </row>
    <row r="394" spans="2:34" ht="13.5" customHeight="1">
      <c r="B394" s="297" t="s">
        <v>579</v>
      </c>
      <c r="C394" s="298">
        <v>77.900000000000006</v>
      </c>
      <c r="D394" s="298">
        <v>98.7</v>
      </c>
      <c r="E394" s="686"/>
      <c r="F394" s="578">
        <v>153.6</v>
      </c>
      <c r="G394" s="578">
        <v>274.3</v>
      </c>
      <c r="H394" s="578">
        <v>310</v>
      </c>
      <c r="I394" s="578">
        <v>405.8</v>
      </c>
      <c r="J394" s="578">
        <v>474.6</v>
      </c>
      <c r="K394" s="298">
        <f t="shared" si="420"/>
        <v>545.9</v>
      </c>
      <c r="L394" s="299"/>
      <c r="M394" s="660"/>
      <c r="N394" s="660"/>
      <c r="O394" s="660"/>
      <c r="P394" s="300">
        <v>194.9</v>
      </c>
      <c r="Q394" s="580">
        <v>221.2</v>
      </c>
      <c r="R394" s="580">
        <v>254.3</v>
      </c>
      <c r="S394" s="580">
        <v>286.60000000000002</v>
      </c>
      <c r="T394" s="580">
        <v>333.2</v>
      </c>
      <c r="U394" s="580">
        <v>363.3</v>
      </c>
      <c r="V394" s="580">
        <v>408.9</v>
      </c>
      <c r="W394" s="580">
        <v>468.4</v>
      </c>
      <c r="X394" s="578">
        <v>552.4</v>
      </c>
      <c r="Y394" s="580">
        <v>545.9</v>
      </c>
      <c r="Z394" s="303"/>
      <c r="AA394" s="578">
        <v>221.2</v>
      </c>
      <c r="AB394" s="580">
        <v>254.3</v>
      </c>
      <c r="AC394" s="580">
        <v>392.5</v>
      </c>
      <c r="AD394" s="578">
        <v>405.8</v>
      </c>
      <c r="AE394" s="580">
        <v>486.5</v>
      </c>
      <c r="AG394" s="681"/>
      <c r="AH394" s="681"/>
    </row>
    <row r="395" spans="2:34" ht="13.5" customHeight="1">
      <c r="B395" s="392" t="s">
        <v>580</v>
      </c>
      <c r="C395" s="298">
        <v>78.400000000000006</v>
      </c>
      <c r="D395" s="298">
        <v>99.2</v>
      </c>
      <c r="E395" s="686"/>
      <c r="F395" s="578">
        <v>155.19999999999999</v>
      </c>
      <c r="G395" s="578">
        <v>277.3</v>
      </c>
      <c r="H395" s="578">
        <v>315</v>
      </c>
      <c r="I395" s="578">
        <v>412.4</v>
      </c>
      <c r="J395" s="578">
        <v>475.9</v>
      </c>
      <c r="K395" s="298">
        <f t="shared" si="420"/>
        <v>541.1</v>
      </c>
      <c r="L395" s="307"/>
      <c r="M395" s="660"/>
      <c r="N395" s="660"/>
      <c r="O395" s="660"/>
      <c r="P395" s="391">
        <v>194.9</v>
      </c>
      <c r="Q395" s="579">
        <v>224</v>
      </c>
      <c r="R395" s="579">
        <v>257.89999999999998</v>
      </c>
      <c r="S395" s="579">
        <v>291.2</v>
      </c>
      <c r="T395" s="579">
        <v>339.7</v>
      </c>
      <c r="U395" s="579">
        <v>368.4</v>
      </c>
      <c r="V395" s="579">
        <v>412.4</v>
      </c>
      <c r="W395" s="579">
        <v>467.5</v>
      </c>
      <c r="X395" s="578">
        <v>547.1</v>
      </c>
      <c r="Y395" s="579">
        <v>541.1</v>
      </c>
      <c r="Z395" s="558"/>
      <c r="AA395" s="578">
        <v>224</v>
      </c>
      <c r="AB395" s="579">
        <v>257.89999999999998</v>
      </c>
      <c r="AC395" s="579">
        <v>398.7</v>
      </c>
      <c r="AD395" s="578">
        <v>412.4</v>
      </c>
      <c r="AE395" s="579">
        <v>493.4</v>
      </c>
      <c r="AG395" s="681"/>
      <c r="AH395" s="681"/>
    </row>
    <row r="396" spans="2:34" s="57" customFormat="1" ht="13.5" customHeight="1">
      <c r="B396" s="313" t="s">
        <v>581</v>
      </c>
      <c r="C396" s="314">
        <v>13.3</v>
      </c>
      <c r="D396" s="314">
        <v>14.7</v>
      </c>
      <c r="E396" s="687"/>
      <c r="F396" s="583">
        <v>17</v>
      </c>
      <c r="G396" s="583">
        <v>17</v>
      </c>
      <c r="H396" s="583">
        <v>18.2</v>
      </c>
      <c r="I396" s="583">
        <v>18.2</v>
      </c>
      <c r="J396" s="583">
        <v>20</v>
      </c>
      <c r="K396" s="298">
        <f t="shared" si="420"/>
        <v>22.5</v>
      </c>
      <c r="L396" s="299"/>
      <c r="M396" s="688"/>
      <c r="N396" s="688"/>
      <c r="O396" s="688"/>
      <c r="P396" s="317">
        <v>17.399999999999999</v>
      </c>
      <c r="Q396" s="584">
        <v>17.8</v>
      </c>
      <c r="R396" s="584">
        <v>18.600000000000001</v>
      </c>
      <c r="S396" s="584">
        <v>18.600000000000001</v>
      </c>
      <c r="T396" s="584">
        <v>17.899999999999999</v>
      </c>
      <c r="U396" s="584">
        <v>17.899999999999999</v>
      </c>
      <c r="V396" s="584">
        <v>19.2</v>
      </c>
      <c r="W396" s="584">
        <v>20.9</v>
      </c>
      <c r="X396" s="583">
        <v>21.8</v>
      </c>
      <c r="Y396" s="584">
        <v>22.5</v>
      </c>
      <c r="Z396" s="303"/>
      <c r="AA396" s="583">
        <v>17.8</v>
      </c>
      <c r="AB396" s="584">
        <v>18.600000000000001</v>
      </c>
      <c r="AC396" s="584">
        <v>18.600000000000001</v>
      </c>
      <c r="AD396" s="583">
        <v>18.2</v>
      </c>
      <c r="AE396" s="584">
        <v>17.899999999999999</v>
      </c>
      <c r="AG396" s="681"/>
      <c r="AH396" s="681"/>
    </row>
    <row r="397" spans="2:34" s="166" customFormat="1" ht="13.5" customHeight="1">
      <c r="B397" s="318" t="s">
        <v>582</v>
      </c>
      <c r="C397" s="319">
        <v>551.20000000000005</v>
      </c>
      <c r="D397" s="319">
        <v>546.4</v>
      </c>
      <c r="E397" s="689"/>
      <c r="F397" s="689"/>
      <c r="G397" s="689"/>
      <c r="H397" s="689"/>
      <c r="I397" s="689"/>
      <c r="J397" s="689"/>
      <c r="K397" s="689"/>
      <c r="L397" s="425"/>
      <c r="M397" s="690"/>
      <c r="N397" s="690"/>
      <c r="O397" s="690"/>
      <c r="P397" s="689"/>
      <c r="Q397" s="689"/>
      <c r="R397" s="689"/>
      <c r="S397" s="689"/>
      <c r="T397" s="689"/>
      <c r="U397" s="689"/>
      <c r="V397" s="689"/>
      <c r="W397" s="689"/>
      <c r="X397" s="689"/>
      <c r="Y397" s="689"/>
      <c r="Z397" s="559"/>
      <c r="AA397" s="689"/>
      <c r="AB397" s="689"/>
      <c r="AC397" s="689"/>
      <c r="AD397" s="689"/>
      <c r="AE397" s="689"/>
      <c r="AG397" s="681"/>
      <c r="AH397" s="681"/>
    </row>
    <row r="398" spans="2:34" ht="13.5" customHeight="1">
      <c r="B398" s="322"/>
      <c r="C398" s="782"/>
      <c r="D398" s="782"/>
      <c r="E398" s="782"/>
      <c r="F398" s="782"/>
      <c r="G398" s="782"/>
      <c r="H398" s="782"/>
      <c r="I398" s="782"/>
      <c r="J398" s="782"/>
      <c r="K398" s="782"/>
      <c r="L398" s="783"/>
      <c r="M398" s="481"/>
      <c r="N398" s="481"/>
      <c r="O398" s="481"/>
      <c r="P398" s="481"/>
      <c r="Q398" s="481"/>
      <c r="R398" s="481"/>
      <c r="S398" s="481"/>
      <c r="T398" s="481"/>
      <c r="U398" s="481"/>
      <c r="V398" s="481"/>
      <c r="W398" s="481"/>
      <c r="X398" s="481"/>
      <c r="Y398" s="481"/>
      <c r="Z398" s="560"/>
      <c r="AA398" s="782"/>
      <c r="AB398" s="481"/>
      <c r="AC398" s="481"/>
      <c r="AD398" s="481"/>
      <c r="AE398" s="481"/>
      <c r="AG398" s="481"/>
      <c r="AH398" s="481"/>
    </row>
    <row r="399" spans="2:34" ht="13.5" customHeight="1">
      <c r="L399" s="783"/>
    </row>
    <row r="400" spans="2:34" ht="13.5" customHeight="1">
      <c r="B400" s="589" t="s">
        <v>583</v>
      </c>
      <c r="C400" s="576">
        <f t="shared" ref="C400:K400" si="421">C3</f>
        <v>44561</v>
      </c>
      <c r="D400" s="576">
        <f t="shared" si="421"/>
        <v>44926</v>
      </c>
      <c r="E400" s="576">
        <f t="shared" si="421"/>
        <v>44926</v>
      </c>
      <c r="F400" s="576">
        <f t="shared" si="421"/>
        <v>45291</v>
      </c>
      <c r="G400" s="576">
        <f t="shared" si="421"/>
        <v>45291</v>
      </c>
      <c r="H400" s="576">
        <f t="shared" si="421"/>
        <v>45657</v>
      </c>
      <c r="I400" s="576">
        <f t="shared" si="421"/>
        <v>45657</v>
      </c>
      <c r="J400" s="576">
        <f t="shared" si="421"/>
        <v>46022</v>
      </c>
      <c r="K400" s="576">
        <f t="shared" si="421"/>
        <v>46112</v>
      </c>
      <c r="L400" s="783"/>
      <c r="M400" s="574">
        <f t="shared" ref="M400:T400" si="422">+M3</f>
        <v>45016</v>
      </c>
      <c r="N400" s="574">
        <f t="shared" si="422"/>
        <v>45107</v>
      </c>
      <c r="O400" s="574">
        <f t="shared" si="422"/>
        <v>45199</v>
      </c>
      <c r="P400" s="574">
        <f t="shared" si="422"/>
        <v>45291</v>
      </c>
      <c r="Q400" s="574">
        <f t="shared" si="422"/>
        <v>45382</v>
      </c>
      <c r="R400" s="574">
        <f t="shared" si="422"/>
        <v>45473</v>
      </c>
      <c r="S400" s="574">
        <f t="shared" si="422"/>
        <v>45565</v>
      </c>
      <c r="T400" s="574">
        <f t="shared" si="422"/>
        <v>45657</v>
      </c>
      <c r="U400" s="576">
        <f>U3</f>
        <v>45747</v>
      </c>
      <c r="V400" s="574">
        <f>+V3</f>
        <v>45838</v>
      </c>
      <c r="W400" s="576">
        <f>+W3</f>
        <v>45930</v>
      </c>
      <c r="X400" s="574">
        <f>+X3</f>
        <v>46022</v>
      </c>
      <c r="Y400" s="574">
        <f>+Y3</f>
        <v>46112</v>
      </c>
      <c r="AA400" s="576">
        <f>AA3</f>
        <v>45382</v>
      </c>
      <c r="AB400" s="574">
        <f>+AB3</f>
        <v>45473</v>
      </c>
      <c r="AC400" s="574">
        <f>+AC3</f>
        <v>45565</v>
      </c>
      <c r="AD400" s="574">
        <f>+AD3</f>
        <v>45656</v>
      </c>
      <c r="AE400" s="574">
        <f>+AE3</f>
        <v>45747</v>
      </c>
      <c r="AG400" s="574">
        <f>+AG3</f>
        <v>45565</v>
      </c>
      <c r="AH400" s="574">
        <f>+AH3</f>
        <v>45930</v>
      </c>
    </row>
    <row r="401" spans="2:34" ht="13.5" customHeight="1">
      <c r="B401" s="326"/>
      <c r="C401" s="482"/>
      <c r="D401" s="482"/>
      <c r="E401" s="482"/>
      <c r="F401" s="482"/>
      <c r="G401" s="482"/>
      <c r="H401" s="482"/>
      <c r="I401" s="482"/>
      <c r="J401" s="482"/>
      <c r="AA401" s="482"/>
    </row>
    <row r="402" spans="2:34" ht="13.5" customHeight="1">
      <c r="B402" s="326"/>
      <c r="C402" s="482"/>
      <c r="D402" s="482"/>
      <c r="E402" s="482"/>
      <c r="F402" s="482"/>
      <c r="G402" s="482"/>
      <c r="H402" s="482"/>
      <c r="I402" s="482"/>
      <c r="J402" s="482"/>
      <c r="K402" s="482"/>
      <c r="L402" s="482"/>
      <c r="AA402" s="482"/>
    </row>
    <row r="403" spans="2:34" ht="13.5" customHeight="1">
      <c r="B403" s="327" t="s">
        <v>584</v>
      </c>
      <c r="C403" s="482"/>
      <c r="D403" s="482"/>
      <c r="E403" s="482"/>
      <c r="F403" s="482"/>
      <c r="G403" s="482"/>
      <c r="H403" s="482"/>
      <c r="I403" s="482"/>
      <c r="J403" s="482"/>
      <c r="K403" s="482"/>
      <c r="L403" s="482"/>
      <c r="AA403" s="482"/>
    </row>
    <row r="404" spans="2:34" ht="13.5" customHeight="1">
      <c r="B404" s="328" t="s">
        <v>56</v>
      </c>
      <c r="C404" s="329">
        <v>39.4</v>
      </c>
      <c r="D404" s="329">
        <v>41.7</v>
      </c>
      <c r="E404" s="329">
        <v>41.7</v>
      </c>
      <c r="F404" s="590">
        <v>42.5</v>
      </c>
      <c r="G404" s="590">
        <v>42.5</v>
      </c>
      <c r="H404" s="590">
        <v>43.1</v>
      </c>
      <c r="I404" s="590">
        <v>43.1</v>
      </c>
      <c r="J404" s="590">
        <v>43.9</v>
      </c>
      <c r="K404" s="329">
        <f>Y404</f>
        <v>44.5</v>
      </c>
      <c r="L404" s="329"/>
      <c r="M404" s="546">
        <v>41.7</v>
      </c>
      <c r="N404" s="512">
        <v>42</v>
      </c>
      <c r="O404" s="512">
        <v>42.7</v>
      </c>
      <c r="P404" s="329">
        <v>42.5</v>
      </c>
      <c r="Q404" s="591">
        <v>42.8</v>
      </c>
      <c r="R404" s="591">
        <v>43.2</v>
      </c>
      <c r="S404" s="591">
        <v>43.5</v>
      </c>
      <c r="T404" s="591">
        <v>43.1</v>
      </c>
      <c r="U404" s="591">
        <v>43.1</v>
      </c>
      <c r="V404" s="591">
        <v>43.5</v>
      </c>
      <c r="W404" s="591">
        <v>43.8</v>
      </c>
      <c r="X404" s="590">
        <v>43.9</v>
      </c>
      <c r="Y404" s="591">
        <v>44.5</v>
      </c>
      <c r="Z404" s="561"/>
      <c r="AA404" s="593">
        <v>42.8</v>
      </c>
      <c r="AB404" s="593">
        <v>43.2</v>
      </c>
      <c r="AC404" s="593">
        <v>43.5</v>
      </c>
      <c r="AD404" s="590">
        <v>43.1</v>
      </c>
      <c r="AE404" s="755">
        <f>U404</f>
        <v>43.1</v>
      </c>
      <c r="AG404" s="681"/>
      <c r="AH404" s="681"/>
    </row>
    <row r="405" spans="2:34" ht="13.5" customHeight="1">
      <c r="B405" s="328" t="s">
        <v>585</v>
      </c>
      <c r="C405" s="329">
        <v>10.1</v>
      </c>
      <c r="D405" s="329">
        <v>10.199999999999999</v>
      </c>
      <c r="E405" s="329">
        <v>10.199999999999999</v>
      </c>
      <c r="F405" s="590">
        <v>11.7</v>
      </c>
      <c r="G405" s="591">
        <v>0</v>
      </c>
      <c r="H405" s="591">
        <v>0</v>
      </c>
      <c r="I405" s="591">
        <v>0</v>
      </c>
      <c r="J405" s="591">
        <v>0</v>
      </c>
      <c r="K405" s="329">
        <f>Y405</f>
        <v>0</v>
      </c>
      <c r="L405" s="329"/>
      <c r="M405" s="546">
        <v>10.8</v>
      </c>
      <c r="N405" s="512">
        <v>11.1</v>
      </c>
      <c r="O405" s="512">
        <v>11.4</v>
      </c>
      <c r="P405" s="329">
        <v>11.7</v>
      </c>
      <c r="Q405" s="591">
        <v>11.3</v>
      </c>
      <c r="R405" s="591">
        <v>11.3</v>
      </c>
      <c r="S405" s="591" t="s">
        <v>590</v>
      </c>
      <c r="T405" s="591" t="s">
        <v>590</v>
      </c>
      <c r="U405" s="591" t="s">
        <v>590</v>
      </c>
      <c r="V405" s="591" t="s">
        <v>590</v>
      </c>
      <c r="W405" s="591" t="s">
        <v>590</v>
      </c>
      <c r="X405" s="591">
        <v>0</v>
      </c>
      <c r="Y405" s="591">
        <v>0</v>
      </c>
      <c r="Z405" s="561"/>
      <c r="AA405" s="593"/>
      <c r="AB405" s="593">
        <v>11.3</v>
      </c>
      <c r="AC405" s="593" t="s">
        <v>590</v>
      </c>
      <c r="AD405" s="591">
        <v>0</v>
      </c>
      <c r="AE405" s="755" t="str">
        <f>U405</f>
        <v>-</v>
      </c>
      <c r="AG405" s="681"/>
      <c r="AH405" s="681"/>
    </row>
    <row r="406" spans="2:34" ht="13.5" customHeight="1">
      <c r="B406" s="328" t="s">
        <v>586</v>
      </c>
      <c r="C406" s="329">
        <v>1.5</v>
      </c>
      <c r="D406" s="329">
        <v>1.5</v>
      </c>
      <c r="E406" s="329">
        <v>1.5</v>
      </c>
      <c r="F406" s="590">
        <v>1.5</v>
      </c>
      <c r="G406" s="590">
        <v>1.5</v>
      </c>
      <c r="H406" s="590">
        <v>1.5</v>
      </c>
      <c r="I406" s="590">
        <v>1.5</v>
      </c>
      <c r="J406" s="590">
        <v>1.6</v>
      </c>
      <c r="K406" s="329">
        <f>Y406</f>
        <v>1.5</v>
      </c>
      <c r="L406" s="329"/>
      <c r="M406" s="330">
        <v>1.5</v>
      </c>
      <c r="N406" s="330">
        <v>1.5</v>
      </c>
      <c r="O406" s="330">
        <v>1.5</v>
      </c>
      <c r="P406" s="329">
        <v>1.5</v>
      </c>
      <c r="Q406" s="591">
        <v>1.5</v>
      </c>
      <c r="R406" s="591">
        <v>1.5</v>
      </c>
      <c r="S406" s="591">
        <v>1.5</v>
      </c>
      <c r="T406" s="591">
        <v>1.5</v>
      </c>
      <c r="U406" s="591">
        <v>1.5</v>
      </c>
      <c r="V406" s="591">
        <v>1.5</v>
      </c>
      <c r="W406" s="591">
        <v>1.6</v>
      </c>
      <c r="X406" s="590">
        <v>1.6</v>
      </c>
      <c r="Y406" s="591">
        <v>1.5</v>
      </c>
      <c r="Z406" s="561"/>
      <c r="AA406" s="593">
        <v>1.5</v>
      </c>
      <c r="AB406" s="593">
        <v>1.5</v>
      </c>
      <c r="AC406" s="593">
        <v>1.5</v>
      </c>
      <c r="AD406" s="590">
        <v>1.5</v>
      </c>
      <c r="AE406" s="755">
        <f>U406</f>
        <v>1.5</v>
      </c>
      <c r="AG406" s="681"/>
      <c r="AH406" s="681"/>
    </row>
    <row r="407" spans="2:34" ht="13.5" customHeight="1">
      <c r="B407" s="328" t="s">
        <v>588</v>
      </c>
      <c r="C407" s="329">
        <v>0.6</v>
      </c>
      <c r="D407" s="329">
        <v>0.6</v>
      </c>
      <c r="E407" s="329">
        <v>0.6</v>
      </c>
      <c r="F407" s="590">
        <v>0.6</v>
      </c>
      <c r="G407" s="590">
        <v>0.6</v>
      </c>
      <c r="H407" s="590">
        <v>0.6</v>
      </c>
      <c r="I407" s="590">
        <v>0.6</v>
      </c>
      <c r="J407" s="590">
        <v>0.7</v>
      </c>
      <c r="K407" s="329">
        <f>Y407</f>
        <v>0.7</v>
      </c>
      <c r="L407" s="329"/>
      <c r="M407" s="330">
        <v>0.6</v>
      </c>
      <c r="N407" s="330">
        <v>0.6</v>
      </c>
      <c r="O407" s="330">
        <v>0.6</v>
      </c>
      <c r="P407" s="329">
        <v>0.6</v>
      </c>
      <c r="Q407" s="591">
        <v>0.6</v>
      </c>
      <c r="R407" s="591">
        <v>0.6</v>
      </c>
      <c r="S407" s="591">
        <v>0.6</v>
      </c>
      <c r="T407" s="591">
        <v>0.6</v>
      </c>
      <c r="U407" s="591">
        <v>0.6</v>
      </c>
      <c r="V407" s="591">
        <v>0.6</v>
      </c>
      <c r="W407" s="591">
        <v>0.6</v>
      </c>
      <c r="X407" s="590">
        <v>0.7</v>
      </c>
      <c r="Y407" s="591">
        <v>0.7</v>
      </c>
      <c r="Z407" s="561"/>
      <c r="AA407" s="593">
        <v>0.6</v>
      </c>
      <c r="AB407" s="593">
        <v>0.6</v>
      </c>
      <c r="AC407" s="593">
        <v>0.6</v>
      </c>
      <c r="AD407" s="590">
        <v>0.6</v>
      </c>
      <c r="AE407" s="755">
        <f>U407</f>
        <v>0.6</v>
      </c>
      <c r="AG407" s="681"/>
      <c r="AH407" s="681"/>
    </row>
    <row r="408" spans="2:34" ht="13.5" customHeight="1">
      <c r="B408" s="328" t="s">
        <v>589</v>
      </c>
      <c r="C408" s="329">
        <v>0</v>
      </c>
      <c r="D408" s="329">
        <v>0</v>
      </c>
      <c r="E408" s="329">
        <v>0</v>
      </c>
      <c r="F408" s="590">
        <v>0</v>
      </c>
      <c r="G408" s="590">
        <v>0</v>
      </c>
      <c r="H408" s="590">
        <v>0</v>
      </c>
      <c r="I408" s="590">
        <v>0</v>
      </c>
      <c r="J408" s="590">
        <v>0</v>
      </c>
      <c r="K408" s="329">
        <f>Y408</f>
        <v>0</v>
      </c>
      <c r="L408" s="329"/>
      <c r="M408" s="330" t="s">
        <v>590</v>
      </c>
      <c r="N408" s="330" t="s">
        <v>590</v>
      </c>
      <c r="O408" s="330" t="s">
        <v>590</v>
      </c>
      <c r="P408" s="329">
        <v>0</v>
      </c>
      <c r="Q408" s="591" t="s">
        <v>590</v>
      </c>
      <c r="R408" s="591" t="s">
        <v>590</v>
      </c>
      <c r="S408" s="591" t="s">
        <v>590</v>
      </c>
      <c r="T408" s="591" t="s">
        <v>590</v>
      </c>
      <c r="U408" s="591" t="s">
        <v>590</v>
      </c>
      <c r="V408" s="591" t="s">
        <v>590</v>
      </c>
      <c r="W408" s="591" t="s">
        <v>590</v>
      </c>
      <c r="X408" s="590">
        <v>0</v>
      </c>
      <c r="Y408" s="591">
        <v>0</v>
      </c>
      <c r="Z408" s="561"/>
      <c r="AA408" s="593"/>
      <c r="AB408" s="593" t="s">
        <v>590</v>
      </c>
      <c r="AC408" s="593" t="s">
        <v>590</v>
      </c>
      <c r="AD408" s="590">
        <v>0</v>
      </c>
      <c r="AE408" s="755" t="str">
        <f>U408</f>
        <v>-</v>
      </c>
      <c r="AG408" s="681"/>
      <c r="AH408" s="681"/>
    </row>
    <row r="409" spans="2:34" ht="13.5" customHeight="1">
      <c r="B409" s="331" t="s">
        <v>591</v>
      </c>
      <c r="C409" s="332">
        <v>51.6</v>
      </c>
      <c r="D409" s="332">
        <v>54</v>
      </c>
      <c r="E409" s="332">
        <v>54</v>
      </c>
      <c r="F409" s="756">
        <f t="shared" ref="F409:K409" si="423">SUM(F404:F408)</f>
        <v>56.300000000000004</v>
      </c>
      <c r="G409" s="756">
        <f t="shared" si="423"/>
        <v>44.6</v>
      </c>
      <c r="H409" s="756">
        <f t="shared" si="423"/>
        <v>45.2</v>
      </c>
      <c r="I409" s="756">
        <f t="shared" si="423"/>
        <v>45.2</v>
      </c>
      <c r="J409" s="756">
        <f t="shared" si="423"/>
        <v>46.2</v>
      </c>
      <c r="K409" s="756">
        <f t="shared" si="423"/>
        <v>46.7</v>
      </c>
      <c r="L409" s="332"/>
      <c r="M409" s="334">
        <v>54.6</v>
      </c>
      <c r="N409" s="334">
        <v>44.1</v>
      </c>
      <c r="O409" s="334">
        <v>44.8</v>
      </c>
      <c r="P409" s="334">
        <v>56.3</v>
      </c>
      <c r="Q409" s="592">
        <v>54.6</v>
      </c>
      <c r="R409" s="592">
        <v>45.3</v>
      </c>
      <c r="S409" s="592">
        <v>45.2</v>
      </c>
      <c r="T409" s="756">
        <f t="shared" ref="T409:Y409" si="424">SUM(T404:T408)</f>
        <v>45.2</v>
      </c>
      <c r="U409" s="756">
        <f t="shared" si="424"/>
        <v>45.2</v>
      </c>
      <c r="V409" s="756">
        <f t="shared" si="424"/>
        <v>45.6</v>
      </c>
      <c r="W409" s="756">
        <f t="shared" si="424"/>
        <v>46</v>
      </c>
      <c r="X409" s="756">
        <f t="shared" si="424"/>
        <v>46.2</v>
      </c>
      <c r="Y409" s="756">
        <f t="shared" si="424"/>
        <v>46.7</v>
      </c>
      <c r="Z409" s="334"/>
      <c r="AA409" s="756">
        <f>SUM(AA404:AA408)</f>
        <v>44.9</v>
      </c>
      <c r="AB409" s="756">
        <f>SUM(AB404:AB408)</f>
        <v>56.6</v>
      </c>
      <c r="AC409" s="756">
        <f>SUM(AC404:AC408)</f>
        <v>45.6</v>
      </c>
      <c r="AD409" s="756">
        <f>SUM(AD404:AD408)</f>
        <v>45.2</v>
      </c>
      <c r="AE409" s="756">
        <f>SUM(AE404:AE408)</f>
        <v>45.2</v>
      </c>
      <c r="AG409" s="681"/>
      <c r="AH409" s="681"/>
    </row>
    <row r="410" spans="2:34" ht="13.5" customHeight="1">
      <c r="B410" s="326"/>
      <c r="C410" s="482"/>
      <c r="D410" s="482"/>
      <c r="E410" s="482"/>
      <c r="F410" s="482"/>
      <c r="G410" s="482"/>
      <c r="H410" s="482"/>
    </row>
    <row r="411" spans="2:34" ht="13.5" hidden="1" customHeight="1" outlineLevel="1">
      <c r="B411" s="327" t="s">
        <v>57</v>
      </c>
      <c r="C411" s="482"/>
      <c r="D411" s="482"/>
      <c r="E411" s="482"/>
      <c r="F411" s="482"/>
      <c r="G411" s="482"/>
      <c r="H411" s="482"/>
      <c r="I411" s="482"/>
      <c r="J411" s="482"/>
      <c r="K411" s="482"/>
      <c r="L411" s="482"/>
      <c r="AA411" s="482"/>
    </row>
    <row r="412" spans="2:34" ht="13.5" hidden="1" customHeight="1" outlineLevel="1">
      <c r="B412" s="328" t="s">
        <v>592</v>
      </c>
    </row>
    <row r="413" spans="2:34" ht="13.5" hidden="1" customHeight="1" outlineLevel="1">
      <c r="B413" s="328" t="s">
        <v>61</v>
      </c>
      <c r="C413" s="329">
        <v>10.1</v>
      </c>
      <c r="D413" s="329">
        <v>10.199999999999999</v>
      </c>
      <c r="E413" s="691"/>
      <c r="F413" s="691"/>
      <c r="G413" s="691"/>
      <c r="H413" s="691"/>
      <c r="I413" s="691"/>
      <c r="J413" s="691"/>
      <c r="K413" s="691"/>
      <c r="L413" s="329"/>
      <c r="M413" s="339">
        <v>10.8</v>
      </c>
      <c r="N413" s="512">
        <v>11.1</v>
      </c>
      <c r="O413" s="512">
        <v>11.4</v>
      </c>
      <c r="P413" s="330" t="s">
        <v>590</v>
      </c>
      <c r="Q413" s="339">
        <v>11.3</v>
      </c>
      <c r="R413" s="330">
        <v>11.3</v>
      </c>
      <c r="S413" s="330" t="s">
        <v>590</v>
      </c>
      <c r="T413" s="330" t="s">
        <v>590</v>
      </c>
      <c r="U413" s="330" t="s">
        <v>590</v>
      </c>
      <c r="V413" s="330" t="s">
        <v>590</v>
      </c>
      <c r="W413" s="330" t="s">
        <v>590</v>
      </c>
      <c r="X413" s="330" t="s">
        <v>590</v>
      </c>
      <c r="Y413" s="330"/>
      <c r="Z413" s="561"/>
      <c r="AA413" s="330" t="s">
        <v>590</v>
      </c>
      <c r="AB413" s="330">
        <v>11.3</v>
      </c>
      <c r="AC413" s="330" t="s">
        <v>590</v>
      </c>
      <c r="AD413" s="330" t="s">
        <v>590</v>
      </c>
      <c r="AE413" s="330"/>
      <c r="AG413" s="330" t="s">
        <v>590</v>
      </c>
      <c r="AH413" s="330" t="s">
        <v>590</v>
      </c>
    </row>
    <row r="414" spans="2:34" ht="13.5" hidden="1" customHeight="1" outlineLevel="1">
      <c r="B414" s="328" t="s">
        <v>593</v>
      </c>
      <c r="C414" s="329">
        <v>9.1999999999999993</v>
      </c>
      <c r="D414" s="329">
        <v>8.5</v>
      </c>
      <c r="E414" s="691"/>
      <c r="F414" s="691"/>
      <c r="G414" s="691"/>
      <c r="H414" s="691"/>
      <c r="I414" s="691"/>
      <c r="J414" s="691"/>
      <c r="K414" s="691"/>
      <c r="L414" s="329"/>
      <c r="M414" s="692"/>
      <c r="N414" s="692"/>
      <c r="O414" s="692"/>
      <c r="P414" s="692"/>
      <c r="Q414" s="692"/>
      <c r="R414" s="692"/>
      <c r="S414" s="692"/>
      <c r="T414" s="692"/>
      <c r="U414" s="692"/>
      <c r="V414" s="692"/>
      <c r="W414" s="692"/>
      <c r="X414" s="692"/>
      <c r="Y414" s="692"/>
      <c r="Z414" s="562"/>
      <c r="AA414" s="692"/>
      <c r="AB414" s="692"/>
      <c r="AC414" s="692"/>
      <c r="AD414" s="692"/>
      <c r="AE414" s="692"/>
      <c r="AG414" s="692"/>
      <c r="AH414" s="692"/>
    </row>
    <row r="415" spans="2:34" ht="13.5" hidden="1" customHeight="1" outlineLevel="1">
      <c r="B415" s="328"/>
      <c r="C415" s="329"/>
      <c r="D415" s="329"/>
      <c r="E415" s="691"/>
      <c r="F415" s="691"/>
      <c r="G415" s="691"/>
      <c r="H415" s="691"/>
      <c r="I415" s="691"/>
      <c r="J415" s="691"/>
      <c r="K415" s="691"/>
      <c r="L415" s="329"/>
      <c r="M415" s="344"/>
      <c r="N415" s="344"/>
      <c r="O415" s="344"/>
      <c r="P415" s="344"/>
      <c r="Q415" s="344"/>
      <c r="R415" s="344"/>
      <c r="S415" s="344"/>
      <c r="T415" s="344"/>
      <c r="U415" s="344"/>
      <c r="V415" s="344"/>
      <c r="W415" s="344"/>
      <c r="X415" s="344"/>
      <c r="Y415" s="344"/>
      <c r="Z415" s="563"/>
      <c r="AA415" s="344"/>
      <c r="AB415" s="344"/>
      <c r="AC415" s="344"/>
      <c r="AD415" s="344"/>
      <c r="AE415" s="344"/>
      <c r="AG415" s="344"/>
      <c r="AH415" s="344"/>
    </row>
    <row r="416" spans="2:34" ht="13.5" hidden="1" customHeight="1" outlineLevel="1">
      <c r="B416" s="328" t="s">
        <v>594</v>
      </c>
      <c r="C416" s="329">
        <v>73.7</v>
      </c>
      <c r="D416" s="329">
        <v>77.099999999999994</v>
      </c>
      <c r="E416" s="691"/>
      <c r="F416" s="691"/>
      <c r="G416" s="691"/>
      <c r="H416" s="691"/>
      <c r="I416" s="691"/>
      <c r="J416" s="691"/>
      <c r="K416" s="691"/>
      <c r="L416" s="329"/>
      <c r="M416" s="692"/>
      <c r="N416" s="692"/>
      <c r="O416" s="692"/>
      <c r="P416" s="660"/>
      <c r="Q416" s="692"/>
      <c r="R416" s="692"/>
      <c r="S416" s="692"/>
      <c r="T416" s="692"/>
      <c r="U416" s="692"/>
      <c r="V416" s="692"/>
      <c r="W416" s="692"/>
      <c r="X416" s="692"/>
      <c r="Y416" s="692"/>
      <c r="Z416" s="562"/>
      <c r="AA416" s="692"/>
      <c r="AB416" s="692"/>
      <c r="AC416" s="692"/>
      <c r="AD416" s="692"/>
      <c r="AE416" s="692"/>
      <c r="AG416" s="692"/>
      <c r="AH416" s="692"/>
    </row>
    <row r="417" spans="2:34" ht="13.5" hidden="1" customHeight="1" outlineLevel="1">
      <c r="B417" s="328" t="s">
        <v>595</v>
      </c>
      <c r="C417" s="329">
        <v>83.2</v>
      </c>
      <c r="D417" s="329">
        <v>91.5</v>
      </c>
      <c r="E417" s="691"/>
      <c r="F417" s="691"/>
      <c r="G417" s="691"/>
      <c r="H417" s="691"/>
      <c r="I417" s="691"/>
      <c r="J417" s="691"/>
      <c r="K417" s="691"/>
      <c r="L417" s="329"/>
      <c r="M417" s="692"/>
      <c r="N417" s="692"/>
      <c r="O417" s="692"/>
      <c r="P417" s="660"/>
      <c r="Q417" s="692"/>
      <c r="R417" s="692"/>
      <c r="S417" s="692"/>
      <c r="T417" s="692"/>
      <c r="U417" s="692"/>
      <c r="V417" s="692"/>
      <c r="W417" s="692"/>
      <c r="X417" s="692"/>
      <c r="Y417" s="692"/>
      <c r="Z417" s="562"/>
      <c r="AA417" s="692"/>
      <c r="AB417" s="692"/>
      <c r="AC417" s="692"/>
      <c r="AD417" s="692"/>
      <c r="AE417" s="692"/>
      <c r="AG417" s="692"/>
      <c r="AH417" s="692"/>
    </row>
    <row r="418" spans="2:34" ht="13.5" hidden="1" customHeight="1" outlineLevel="1">
      <c r="B418" s="328" t="s">
        <v>596</v>
      </c>
      <c r="C418" s="329">
        <v>8482.7000000000007</v>
      </c>
      <c r="D418" s="329">
        <v>9411.7000000000007</v>
      </c>
      <c r="E418" s="691"/>
      <c r="F418" s="329">
        <v>11712.1</v>
      </c>
      <c r="G418" s="691"/>
      <c r="H418" s="691"/>
      <c r="I418" s="691"/>
      <c r="J418" s="691"/>
      <c r="K418" s="691"/>
      <c r="L418" s="329"/>
      <c r="M418" s="339">
        <v>2687.4</v>
      </c>
      <c r="N418" s="339">
        <v>2687.4</v>
      </c>
      <c r="O418" s="339">
        <v>2687.4</v>
      </c>
      <c r="P418" s="339">
        <f>F418-SUM(M418:O418)</f>
        <v>3649.8999999999996</v>
      </c>
      <c r="Q418" s="339">
        <v>3120.5</v>
      </c>
      <c r="R418" s="339">
        <v>3120.5</v>
      </c>
      <c r="S418" s="339">
        <v>3120.5</v>
      </c>
      <c r="T418" s="692"/>
      <c r="U418" s="692"/>
      <c r="V418" s="692"/>
      <c r="W418" s="692"/>
      <c r="X418" s="692"/>
      <c r="Y418" s="692"/>
      <c r="Z418" s="562"/>
      <c r="AA418" s="692"/>
      <c r="AB418" s="692"/>
      <c r="AC418" s="692"/>
      <c r="AD418" s="692"/>
      <c r="AE418" s="692"/>
      <c r="AG418" s="692"/>
      <c r="AH418" s="692"/>
    </row>
    <row r="419" spans="2:34" ht="13.5" hidden="1" customHeight="1" outlineLevel="1">
      <c r="B419" s="328" t="s">
        <v>598</v>
      </c>
      <c r="C419" s="329">
        <v>4751.2</v>
      </c>
      <c r="D419" s="329">
        <v>5446.5</v>
      </c>
      <c r="E419" s="691"/>
      <c r="F419" s="329">
        <v>6808.9</v>
      </c>
      <c r="G419" s="691"/>
      <c r="H419" s="691"/>
      <c r="I419" s="691"/>
      <c r="J419" s="691"/>
      <c r="K419" s="691"/>
      <c r="L419" s="329"/>
      <c r="M419" s="339">
        <v>1605</v>
      </c>
      <c r="N419" s="339">
        <v>1605</v>
      </c>
      <c r="O419" s="339">
        <v>1605</v>
      </c>
      <c r="P419" s="339">
        <f>F419-SUM(M419:O419)</f>
        <v>1993.8999999999996</v>
      </c>
      <c r="Q419" s="339">
        <v>1696.7</v>
      </c>
      <c r="R419" s="339">
        <v>1696.7</v>
      </c>
      <c r="S419" s="339">
        <v>1696.7</v>
      </c>
      <c r="T419" s="692"/>
      <c r="U419" s="692"/>
      <c r="V419" s="692"/>
      <c r="W419" s="692"/>
      <c r="X419" s="692"/>
      <c r="Y419" s="692"/>
      <c r="Z419" s="562"/>
      <c r="AA419" s="692"/>
      <c r="AB419" s="692"/>
      <c r="AC419" s="692"/>
      <c r="AD419" s="692"/>
      <c r="AE419" s="692"/>
      <c r="AG419" s="692"/>
      <c r="AH419" s="692"/>
    </row>
    <row r="420" spans="2:34" ht="13.5" hidden="1" customHeight="1" outlineLevel="1">
      <c r="B420" s="328" t="s">
        <v>599</v>
      </c>
      <c r="C420" s="347">
        <v>0.56000000000000005</v>
      </c>
      <c r="D420" s="347">
        <v>0.57899999999999996</v>
      </c>
      <c r="E420" s="693"/>
      <c r="F420" s="347">
        <v>0.58099999999999996</v>
      </c>
      <c r="G420" s="693"/>
      <c r="H420" s="693"/>
      <c r="I420" s="693"/>
      <c r="J420" s="693"/>
      <c r="K420" s="693"/>
      <c r="L420" s="347"/>
      <c r="M420" s="352">
        <v>0.59699999999999998</v>
      </c>
      <c r="N420" s="352">
        <v>0.59699999999999998</v>
      </c>
      <c r="O420" s="352">
        <v>0.59699999999999998</v>
      </c>
      <c r="P420" s="352">
        <f>P419/P418</f>
        <v>0.54628893942299783</v>
      </c>
      <c r="Q420" s="352">
        <v>0.54400000000000004</v>
      </c>
      <c r="R420" s="352">
        <v>0.54400000000000004</v>
      </c>
      <c r="S420" s="352">
        <v>0.54400000000000004</v>
      </c>
      <c r="T420" s="694"/>
      <c r="U420" s="694"/>
      <c r="V420" s="694"/>
      <c r="W420" s="694"/>
      <c r="X420" s="694"/>
      <c r="Y420" s="694"/>
      <c r="Z420" s="552"/>
      <c r="AA420" s="694"/>
      <c r="AB420" s="694"/>
      <c r="AC420" s="694"/>
      <c r="AD420" s="694"/>
      <c r="AE420" s="694"/>
      <c r="AG420" s="694"/>
      <c r="AH420" s="694"/>
    </row>
    <row r="421" spans="2:34" ht="13.5" hidden="1" customHeight="1" outlineLevel="1">
      <c r="B421" s="328" t="s">
        <v>601</v>
      </c>
      <c r="C421" s="329">
        <v>610.9</v>
      </c>
      <c r="D421" s="329">
        <v>972.3</v>
      </c>
      <c r="E421" s="691"/>
      <c r="F421" s="329">
        <v>2567.6999999999998</v>
      </c>
      <c r="G421" s="691"/>
      <c r="H421" s="691"/>
      <c r="I421" s="691"/>
      <c r="J421" s="691"/>
      <c r="K421" s="691"/>
      <c r="L421" s="329"/>
      <c r="M421" s="339">
        <v>515.6</v>
      </c>
      <c r="N421" s="339">
        <v>515.6</v>
      </c>
      <c r="O421" s="339">
        <v>515.6</v>
      </c>
      <c r="P421" s="339">
        <f>F421-SUM(M421:O421)</f>
        <v>1020.8999999999996</v>
      </c>
      <c r="Q421" s="339">
        <v>582.70000000000005</v>
      </c>
      <c r="R421" s="339">
        <v>582.70000000000005</v>
      </c>
      <c r="S421" s="339">
        <v>582.70000000000005</v>
      </c>
      <c r="T421" s="692"/>
      <c r="U421" s="692"/>
      <c r="V421" s="692"/>
      <c r="W421" s="692"/>
      <c r="X421" s="692"/>
      <c r="Y421" s="692"/>
      <c r="Z421" s="562"/>
      <c r="AA421" s="692"/>
      <c r="AB421" s="692"/>
      <c r="AC421" s="692"/>
      <c r="AD421" s="692"/>
      <c r="AE421" s="692"/>
      <c r="AG421" s="692"/>
      <c r="AH421" s="692"/>
    </row>
    <row r="422" spans="2:34" ht="13.5" hidden="1" customHeight="1" outlineLevel="1">
      <c r="B422" s="328" t="s">
        <v>602</v>
      </c>
      <c r="C422" s="329">
        <v>3593.6</v>
      </c>
      <c r="D422" s="329">
        <v>3007.6</v>
      </c>
      <c r="E422" s="691"/>
      <c r="F422" s="329">
        <v>4207.1000000000004</v>
      </c>
      <c r="G422" s="691"/>
      <c r="H422" s="691"/>
      <c r="I422" s="691"/>
      <c r="J422" s="691"/>
      <c r="K422" s="691"/>
      <c r="L422" s="329"/>
      <c r="M422" s="339">
        <v>638</v>
      </c>
      <c r="N422" s="339">
        <v>638</v>
      </c>
      <c r="O422" s="339">
        <v>638</v>
      </c>
      <c r="P422" s="339">
        <f>F422-SUM(M422:O422)</f>
        <v>2293.1000000000004</v>
      </c>
      <c r="Q422" s="339">
        <v>1008.2</v>
      </c>
      <c r="R422" s="339">
        <v>1008.2</v>
      </c>
      <c r="S422" s="339">
        <v>1008.2</v>
      </c>
      <c r="T422" s="692"/>
      <c r="U422" s="692"/>
      <c r="V422" s="692"/>
      <c r="W422" s="692"/>
      <c r="X422" s="692"/>
      <c r="Y422" s="692"/>
      <c r="Z422" s="562"/>
      <c r="AA422" s="692"/>
      <c r="AB422" s="692"/>
      <c r="AC422" s="692"/>
      <c r="AD422" s="692"/>
      <c r="AE422" s="692"/>
      <c r="AG422" s="692"/>
      <c r="AH422" s="692"/>
    </row>
    <row r="423" spans="2:34" ht="13.5" hidden="1" customHeight="1" outlineLevel="1">
      <c r="C423" s="355"/>
      <c r="D423" s="355"/>
      <c r="E423" s="695"/>
      <c r="F423" s="355"/>
      <c r="G423" s="695"/>
      <c r="H423" s="695"/>
      <c r="I423" s="695"/>
      <c r="J423" s="695"/>
      <c r="K423" s="695"/>
      <c r="L423" s="355"/>
      <c r="M423" s="361"/>
      <c r="N423" s="361"/>
      <c r="O423" s="361"/>
      <c r="P423" s="361"/>
      <c r="Q423" s="361"/>
      <c r="R423" s="361"/>
      <c r="S423" s="361"/>
      <c r="T423" s="696"/>
      <c r="U423" s="696"/>
      <c r="V423" s="696"/>
      <c r="W423" s="696"/>
      <c r="X423" s="696"/>
      <c r="Y423" s="696"/>
      <c r="Z423" s="361"/>
      <c r="AA423" s="696"/>
      <c r="AB423" s="696"/>
      <c r="AC423" s="696"/>
      <c r="AD423" s="696"/>
      <c r="AE423" s="696"/>
      <c r="AG423" s="696"/>
      <c r="AH423" s="696"/>
    </row>
    <row r="424" spans="2:34" ht="13.5" hidden="1" customHeight="1" outlineLevel="1">
      <c r="B424" s="328" t="s">
        <v>604</v>
      </c>
      <c r="C424" s="329">
        <v>2805.7</v>
      </c>
      <c r="D424" s="329">
        <v>4773.6000000000004</v>
      </c>
      <c r="E424" s="691"/>
      <c r="F424" s="329">
        <v>7649.8</v>
      </c>
      <c r="G424" s="691"/>
      <c r="H424" s="691"/>
      <c r="I424" s="691"/>
      <c r="J424" s="691"/>
      <c r="K424" s="691"/>
      <c r="L424" s="329"/>
      <c r="M424" s="339">
        <v>2335.6999999999998</v>
      </c>
      <c r="N424" s="339">
        <v>2335.6999999999998</v>
      </c>
      <c r="O424" s="339">
        <v>2335.6999999999998</v>
      </c>
      <c r="P424" s="339">
        <f>F424-SUM(M424:O424)</f>
        <v>642.70000000000073</v>
      </c>
      <c r="Q424" s="339">
        <v>2510.6</v>
      </c>
      <c r="R424" s="339">
        <v>2510.6</v>
      </c>
      <c r="S424" s="339">
        <v>2510.6</v>
      </c>
      <c r="T424" s="692"/>
      <c r="U424" s="692"/>
      <c r="V424" s="692"/>
      <c r="W424" s="692"/>
      <c r="X424" s="692"/>
      <c r="Y424" s="692"/>
      <c r="Z424" s="562"/>
      <c r="AA424" s="692"/>
      <c r="AB424" s="692"/>
      <c r="AC424" s="692"/>
      <c r="AD424" s="692"/>
      <c r="AE424" s="692"/>
      <c r="AG424" s="692"/>
      <c r="AH424" s="692"/>
    </row>
    <row r="425" spans="2:34" ht="13.5" hidden="1" customHeight="1" outlineLevel="1">
      <c r="B425" s="328" t="s">
        <v>605</v>
      </c>
      <c r="C425" s="329">
        <v>1566.4</v>
      </c>
      <c r="D425" s="329">
        <v>2763.4</v>
      </c>
      <c r="E425" s="691"/>
      <c r="F425" s="329">
        <v>4434.5</v>
      </c>
      <c r="G425" s="691"/>
      <c r="H425" s="691"/>
      <c r="I425" s="691"/>
      <c r="J425" s="691"/>
      <c r="K425" s="691"/>
      <c r="L425" s="329"/>
      <c r="M425" s="339">
        <v>1395</v>
      </c>
      <c r="N425" s="339">
        <v>1395</v>
      </c>
      <c r="O425" s="339">
        <v>1395</v>
      </c>
      <c r="P425" s="339">
        <f>F425-SUM(M425:O425)</f>
        <v>249.5</v>
      </c>
      <c r="Q425" s="339">
        <v>1365.1</v>
      </c>
      <c r="R425" s="339">
        <v>1365.1</v>
      </c>
      <c r="S425" s="339">
        <v>1365.1</v>
      </c>
      <c r="T425" s="692"/>
      <c r="U425" s="692"/>
      <c r="V425" s="692"/>
      <c r="W425" s="692"/>
      <c r="X425" s="692"/>
      <c r="Y425" s="692"/>
      <c r="Z425" s="562"/>
      <c r="AA425" s="692"/>
      <c r="AB425" s="692"/>
      <c r="AC425" s="692"/>
      <c r="AD425" s="692"/>
      <c r="AE425" s="692"/>
      <c r="AG425" s="692"/>
      <c r="AH425" s="692"/>
    </row>
    <row r="426" spans="2:34" ht="13.5" hidden="1" customHeight="1" outlineLevel="1">
      <c r="B426" s="328" t="s">
        <v>606</v>
      </c>
      <c r="C426" s="347">
        <v>0.55800000000000005</v>
      </c>
      <c r="D426" s="347">
        <v>0.57899999999999996</v>
      </c>
      <c r="E426" s="693"/>
      <c r="F426" s="347">
        <v>0.57999999999999996</v>
      </c>
      <c r="G426" s="693"/>
      <c r="H426" s="693"/>
      <c r="I426" s="693"/>
      <c r="J426" s="693"/>
      <c r="K426" s="697"/>
      <c r="L426" s="347"/>
      <c r="M426" s="352">
        <v>0.59699999999999998</v>
      </c>
      <c r="N426" s="352">
        <v>0.59699999999999998</v>
      </c>
      <c r="O426" s="352">
        <v>0.59699999999999998</v>
      </c>
      <c r="P426" s="352">
        <f>P425/P424</f>
        <v>0.38820600591255594</v>
      </c>
      <c r="Q426" s="352">
        <v>0.54400000000000004</v>
      </c>
      <c r="R426" s="352">
        <v>0.54400000000000004</v>
      </c>
      <c r="S426" s="352">
        <v>0.54400000000000004</v>
      </c>
      <c r="T426" s="694"/>
      <c r="U426" s="694"/>
      <c r="V426" s="694"/>
      <c r="W426" s="694"/>
      <c r="X426" s="694"/>
      <c r="Y426" s="694"/>
      <c r="Z426" s="552"/>
      <c r="AA426" s="694"/>
      <c r="AB426" s="694"/>
      <c r="AC426" s="694"/>
      <c r="AD426" s="694"/>
      <c r="AE426" s="694"/>
      <c r="AG426" s="694"/>
      <c r="AH426" s="694"/>
    </row>
    <row r="427" spans="2:34" ht="13.5" hidden="1" customHeight="1" outlineLevel="1">
      <c r="B427" s="328" t="s">
        <v>607</v>
      </c>
      <c r="C427" s="329">
        <v>210.8</v>
      </c>
      <c r="D427" s="329">
        <v>485.5</v>
      </c>
      <c r="E427" s="691"/>
      <c r="F427" s="329">
        <v>1707.8</v>
      </c>
      <c r="G427" s="691"/>
      <c r="H427" s="691"/>
      <c r="I427" s="691"/>
      <c r="J427" s="691"/>
      <c r="K427" s="691"/>
      <c r="L427" s="329"/>
      <c r="M427" s="339">
        <v>448.5</v>
      </c>
      <c r="N427" s="339">
        <v>448.5</v>
      </c>
      <c r="O427" s="339">
        <v>448.5</v>
      </c>
      <c r="P427" s="339">
        <f>F427-SUM(M427:O427)</f>
        <v>362.29999999999995</v>
      </c>
      <c r="Q427" s="339">
        <v>468.8</v>
      </c>
      <c r="R427" s="339">
        <v>468.8</v>
      </c>
      <c r="S427" s="339">
        <v>468.8</v>
      </c>
      <c r="T427" s="692"/>
      <c r="U427" s="692"/>
      <c r="V427" s="692"/>
      <c r="W427" s="692"/>
      <c r="X427" s="692"/>
      <c r="Y427" s="692"/>
      <c r="Z427" s="562"/>
      <c r="AA427" s="692"/>
      <c r="AB427" s="692"/>
      <c r="AC427" s="692"/>
      <c r="AD427" s="692"/>
      <c r="AE427" s="692"/>
      <c r="AG427" s="692"/>
      <c r="AH427" s="692"/>
    </row>
    <row r="428" spans="2:34" ht="13.5" hidden="1" customHeight="1" outlineLevel="1">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c r="AB428" s="482"/>
      <c r="AC428" s="482"/>
      <c r="AD428" s="482"/>
      <c r="AE428" s="482"/>
      <c r="AG428" s="482"/>
      <c r="AH428" s="482"/>
    </row>
    <row r="429" spans="2:34" ht="13.5" hidden="1" customHeight="1" outlineLevel="1">
      <c r="B429" s="785"/>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c r="AB429" s="482"/>
      <c r="AC429" s="482"/>
      <c r="AD429" s="482"/>
      <c r="AE429" s="482"/>
      <c r="AG429" s="482"/>
      <c r="AH429" s="482"/>
    </row>
    <row r="430" spans="2:34" ht="13.5" hidden="1" customHeight="1" outlineLevel="1"/>
    <row r="431" spans="2:34" s="5" customFormat="1" ht="13.5" customHeight="1" collapsed="1">
      <c r="B431" s="5" t="s">
        <v>608</v>
      </c>
      <c r="C431" s="347">
        <v>0.114</v>
      </c>
      <c r="D431" s="347">
        <v>5.5E-2</v>
      </c>
      <c r="E431" s="693"/>
      <c r="F431" s="594">
        <v>4.4999999999999998E-2</v>
      </c>
      <c r="G431" s="594">
        <v>4.4999999999999998E-2</v>
      </c>
      <c r="H431" s="594" t="s">
        <v>804</v>
      </c>
      <c r="I431" s="594">
        <v>3.3000000000000002E-2</v>
      </c>
      <c r="J431" s="594">
        <v>3.5999999999999997E-2</v>
      </c>
      <c r="K431" s="347" t="str">
        <f>Y431</f>
        <v>n.a</v>
      </c>
      <c r="M431" s="417">
        <v>0.04</v>
      </c>
      <c r="N431" s="417">
        <v>4.5999999999999999E-2</v>
      </c>
      <c r="O431" s="417">
        <v>6.5000000000000002E-2</v>
      </c>
      <c r="P431" s="417">
        <v>4.5999999999999999E-2</v>
      </c>
      <c r="Q431" s="597" t="s">
        <v>609</v>
      </c>
      <c r="R431" s="597">
        <v>2.5000000000000001E-2</v>
      </c>
      <c r="S431" s="597" t="s">
        <v>609</v>
      </c>
      <c r="T431" s="597" t="s">
        <v>609</v>
      </c>
      <c r="U431" s="597" t="s">
        <v>609</v>
      </c>
      <c r="V431" s="597" t="s">
        <v>609</v>
      </c>
      <c r="W431" s="597" t="s">
        <v>609</v>
      </c>
      <c r="X431" s="731">
        <v>3.4000000000000002E-2</v>
      </c>
      <c r="Y431" s="597" t="s">
        <v>609</v>
      </c>
      <c r="Z431" s="564"/>
      <c r="AA431" s="597">
        <v>5.3999999999999999E-2</v>
      </c>
      <c r="AB431" s="597">
        <v>2.5000000000000001E-2</v>
      </c>
      <c r="AC431" s="597" t="s">
        <v>609</v>
      </c>
      <c r="AD431" s="731">
        <v>3.2000000000000001E-2</v>
      </c>
      <c r="AE431" s="597">
        <v>2.5000000000000001E-2</v>
      </c>
      <c r="AG431" s="597" t="s">
        <v>609</v>
      </c>
      <c r="AH431" s="597" t="s">
        <v>609</v>
      </c>
    </row>
    <row r="432" spans="2:34" s="5" customFormat="1" ht="13.5" customHeight="1">
      <c r="B432" s="5" t="s">
        <v>610</v>
      </c>
      <c r="C432" s="347">
        <v>0.36099999999999999</v>
      </c>
      <c r="D432" s="347">
        <v>0.64300000000000002</v>
      </c>
      <c r="E432" s="693"/>
      <c r="F432" s="594">
        <v>0.64800000000000002</v>
      </c>
      <c r="G432" s="594">
        <v>0.64800000000000002</v>
      </c>
      <c r="H432" s="594">
        <v>0.44400000000000001</v>
      </c>
      <c r="I432" s="594">
        <v>0.44400000000000001</v>
      </c>
      <c r="J432" s="594">
        <v>0.309</v>
      </c>
      <c r="K432" s="347">
        <f>Y432</f>
        <v>0.309</v>
      </c>
      <c r="M432" s="419">
        <v>0.505</v>
      </c>
      <c r="N432" s="419">
        <v>0.38200000000000001</v>
      </c>
      <c r="O432" s="419">
        <v>0.61499999999999999</v>
      </c>
      <c r="P432" s="419">
        <v>0.64800000000000002</v>
      </c>
      <c r="Q432" s="598">
        <v>0.68500000000000005</v>
      </c>
      <c r="R432" s="598">
        <v>0.71599999999999997</v>
      </c>
      <c r="S432" s="598">
        <v>0.49399999999999999</v>
      </c>
      <c r="T432" s="598">
        <v>0.44400000000000001</v>
      </c>
      <c r="U432" s="598">
        <v>0.38100000000000001</v>
      </c>
      <c r="V432" s="598">
        <v>0.35</v>
      </c>
      <c r="W432" s="598">
        <v>0.33300000000000002</v>
      </c>
      <c r="X432" s="598">
        <v>0.309</v>
      </c>
      <c r="Y432" s="598">
        <v>0.309</v>
      </c>
      <c r="Z432" s="565"/>
      <c r="AA432" s="598">
        <v>0.68500000000000005</v>
      </c>
      <c r="AB432" s="598">
        <v>0.71599999999999997</v>
      </c>
      <c r="AC432" s="598">
        <v>0.49399999999999999</v>
      </c>
      <c r="AD432" s="598">
        <v>0.44400000000000001</v>
      </c>
      <c r="AE432" s="757">
        <f>U432</f>
        <v>0.38100000000000001</v>
      </c>
      <c r="AG432" s="598">
        <v>0.49399999999999999</v>
      </c>
      <c r="AH432" s="598">
        <v>0.33300000000000002</v>
      </c>
    </row>
    <row r="433" spans="2:34" s="5" customFormat="1" ht="13.5" customHeight="1">
      <c r="B433" s="5" t="s">
        <v>809</v>
      </c>
      <c r="C433" s="791"/>
      <c r="D433" s="791"/>
      <c r="E433" s="791"/>
      <c r="F433" s="595"/>
      <c r="G433" s="595"/>
      <c r="H433" s="595"/>
    </row>
    <row r="434" spans="2:34" ht="13.5" customHeight="1">
      <c r="B434" s="1" t="s">
        <v>614</v>
      </c>
      <c r="C434" s="370">
        <v>13.329000000000001</v>
      </c>
      <c r="D434" s="370">
        <v>18.6983</v>
      </c>
      <c r="E434" s="698"/>
      <c r="F434" s="596">
        <v>29.438199999999998</v>
      </c>
      <c r="G434" s="596">
        <v>29.438199999999998</v>
      </c>
      <c r="H434" s="596">
        <v>35.223300000000002</v>
      </c>
      <c r="I434" s="596">
        <v>35.223300000000002</v>
      </c>
      <c r="J434" s="596">
        <v>42.862299999999998</v>
      </c>
      <c r="K434" s="764">
        <f>Y434</f>
        <v>44.384099999999997</v>
      </c>
      <c r="M434" s="420">
        <v>19.146000000000001</v>
      </c>
      <c r="N434" s="420">
        <v>25.8231</v>
      </c>
      <c r="O434" s="420">
        <v>27.3767</v>
      </c>
      <c r="P434" s="420">
        <v>29.438199999999998</v>
      </c>
      <c r="Q434" s="599">
        <v>32.285400000000003</v>
      </c>
      <c r="R434" s="599">
        <v>32.8262</v>
      </c>
      <c r="S434" s="599">
        <v>34.090000000000003</v>
      </c>
      <c r="T434" s="760">
        <v>35.223300000000002</v>
      </c>
      <c r="U434" s="760">
        <v>37.765599999999999</v>
      </c>
      <c r="V434" s="760">
        <v>39.742400000000004</v>
      </c>
      <c r="W434" s="760">
        <v>41.498399999999997</v>
      </c>
      <c r="X434" s="760">
        <v>42.862299999999998</v>
      </c>
      <c r="Y434" s="760">
        <v>44.384099999999997</v>
      </c>
      <c r="Z434" s="566"/>
      <c r="AA434" s="760">
        <v>32.285400000000003</v>
      </c>
      <c r="AB434" s="760">
        <v>32.8262</v>
      </c>
      <c r="AC434" s="760">
        <v>34.090000000000003</v>
      </c>
      <c r="AD434" s="760">
        <v>35.223300000000002</v>
      </c>
      <c r="AE434" s="762">
        <f>U434</f>
        <v>37.765599999999999</v>
      </c>
      <c r="AG434" s="760">
        <v>34.090000000000003</v>
      </c>
      <c r="AH434" s="760">
        <v>41.498399999999997</v>
      </c>
    </row>
    <row r="435" spans="2:34" ht="13.5" customHeight="1">
      <c r="B435" s="1" t="s">
        <v>615</v>
      </c>
      <c r="C435" s="370">
        <v>8.8796999999999997</v>
      </c>
      <c r="D435" s="370">
        <v>16.489999999999998</v>
      </c>
      <c r="E435" s="698"/>
      <c r="F435" s="596">
        <v>23.698499999999999</v>
      </c>
      <c r="G435" s="596">
        <v>23.698499999999999</v>
      </c>
      <c r="H435" s="596">
        <v>32.774000000000001</v>
      </c>
      <c r="I435" s="596">
        <v>32.774000000000001</v>
      </c>
      <c r="J435" s="596">
        <v>39.438600000000001</v>
      </c>
      <c r="K435" s="764">
        <f>Y435</f>
        <v>43.588200000000001</v>
      </c>
      <c r="M435" s="374">
        <v>18.857700000000001</v>
      </c>
      <c r="N435" s="374">
        <v>20.740600000000001</v>
      </c>
      <c r="O435" s="374">
        <v>26.705200000000001</v>
      </c>
      <c r="P435" s="374">
        <v>28.490500000000001</v>
      </c>
      <c r="Q435" s="600">
        <v>30.7624</v>
      </c>
      <c r="R435" s="600">
        <v>32.3812</v>
      </c>
      <c r="S435" s="600">
        <v>33.470599999999997</v>
      </c>
      <c r="T435" s="761">
        <v>34.481900000000003</v>
      </c>
      <c r="U435" s="761">
        <v>36.193549999999995</v>
      </c>
      <c r="V435" s="761">
        <v>38.727899999999998</v>
      </c>
      <c r="W435" s="761">
        <v>40.688000000000002</v>
      </c>
      <c r="X435" s="761">
        <v>42.145000000000003</v>
      </c>
      <c r="Y435" s="761">
        <v>43.588200000000001</v>
      </c>
      <c r="Z435" s="567"/>
      <c r="AA435" s="761">
        <v>30.7624</v>
      </c>
      <c r="AB435" s="761">
        <v>32.3812</v>
      </c>
      <c r="AC435" s="761">
        <v>33.470599999999997</v>
      </c>
      <c r="AD435" s="761">
        <v>34.481900000000003</v>
      </c>
      <c r="AE435" s="763">
        <f>U435</f>
        <v>36.193549999999995</v>
      </c>
      <c r="AG435" s="761">
        <v>32.204700000000003</v>
      </c>
      <c r="AH435" s="761">
        <v>38.536499999999997</v>
      </c>
    </row>
    <row r="436" spans="2:34" s="5" customFormat="1" ht="13.5" customHeight="1">
      <c r="B436" s="5" t="s">
        <v>616</v>
      </c>
      <c r="C436" s="370"/>
      <c r="D436" s="370"/>
      <c r="E436" s="370"/>
      <c r="F436" s="596"/>
      <c r="G436" s="596"/>
      <c r="H436" s="596"/>
    </row>
    <row r="437" spans="2:34" ht="13.5" customHeight="1">
      <c r="B437" s="1" t="s">
        <v>614</v>
      </c>
      <c r="C437" s="370">
        <v>15.0867</v>
      </c>
      <c r="D437" s="370">
        <v>19.934899999999999</v>
      </c>
      <c r="E437" s="698"/>
      <c r="F437" s="596">
        <v>32.573900000000002</v>
      </c>
      <c r="G437" s="596">
        <v>32.573900000000002</v>
      </c>
      <c r="H437" s="596">
        <v>36.742899999999999</v>
      </c>
      <c r="I437" s="596">
        <v>36.742899999999999</v>
      </c>
      <c r="J437" s="596">
        <v>50.453200000000002</v>
      </c>
      <c r="K437" s="764">
        <f>Y437</f>
        <v>51.023600000000002</v>
      </c>
      <c r="M437" s="420">
        <v>20.802099999999999</v>
      </c>
      <c r="N437" s="420">
        <v>28.154</v>
      </c>
      <c r="O437" s="420">
        <v>29.0305</v>
      </c>
      <c r="P437" s="420">
        <v>32.573900000000002</v>
      </c>
      <c r="Q437" s="599">
        <v>34.802300000000002</v>
      </c>
      <c r="R437" s="599">
        <v>35.128399999999999</v>
      </c>
      <c r="S437" s="599">
        <v>38.018000000000001</v>
      </c>
      <c r="T437" s="599">
        <v>36.742899999999999</v>
      </c>
      <c r="U437" s="599">
        <v>40.701900000000002</v>
      </c>
      <c r="V437" s="599">
        <v>46.552599999999998</v>
      </c>
      <c r="W437" s="599">
        <v>48.6479</v>
      </c>
      <c r="X437" s="599">
        <v>50.453200000000002</v>
      </c>
      <c r="Y437" s="599">
        <v>51.023600000000002</v>
      </c>
      <c r="Z437" s="566"/>
      <c r="AA437" s="599">
        <v>34.802300000000002</v>
      </c>
      <c r="AB437" s="599">
        <v>35.128399999999999</v>
      </c>
      <c r="AC437" s="599">
        <v>38.018000000000001</v>
      </c>
      <c r="AD437" s="599">
        <v>36.742899999999999</v>
      </c>
      <c r="AE437" s="758">
        <f>U437</f>
        <v>40.701900000000002</v>
      </c>
      <c r="AG437" s="599">
        <v>38.018000000000001</v>
      </c>
      <c r="AH437" s="599">
        <v>48.6479</v>
      </c>
    </row>
    <row r="438" spans="2:34" ht="13.5" customHeight="1">
      <c r="B438" s="1" t="s">
        <v>615</v>
      </c>
      <c r="C438" s="370">
        <v>10.481</v>
      </c>
      <c r="D438" s="370">
        <v>17.3108</v>
      </c>
      <c r="E438" s="698"/>
      <c r="F438" s="596">
        <v>25.628299999999999</v>
      </c>
      <c r="G438" s="596">
        <v>25.628299999999999</v>
      </c>
      <c r="H438" s="596">
        <v>35.468200000000003</v>
      </c>
      <c r="I438" s="596">
        <v>35.468200000000003</v>
      </c>
      <c r="J438" s="596">
        <v>44.580599999999997</v>
      </c>
      <c r="K438" s="764">
        <f>Y438</f>
        <v>51.379399999999997</v>
      </c>
      <c r="M438" s="374">
        <v>20.2424</v>
      </c>
      <c r="N438" s="374">
        <v>22.533100000000001</v>
      </c>
      <c r="O438" s="374">
        <v>28.964400000000001</v>
      </c>
      <c r="P438" s="374">
        <v>30.773399999999999</v>
      </c>
      <c r="Q438" s="600">
        <v>33.385599999999997</v>
      </c>
      <c r="R438" s="600">
        <v>34.826500000000003</v>
      </c>
      <c r="S438" s="600">
        <v>36.668900000000001</v>
      </c>
      <c r="T438" s="600">
        <v>36.991700000000002</v>
      </c>
      <c r="U438" s="600">
        <v>38.003599999999999</v>
      </c>
      <c r="V438" s="600">
        <v>43.861199999999997</v>
      </c>
      <c r="W438" s="600">
        <v>47.384300000000003</v>
      </c>
      <c r="X438" s="600">
        <v>49.073399999999999</v>
      </c>
      <c r="Y438" s="600">
        <v>51.379399999999997</v>
      </c>
      <c r="Z438" s="567"/>
      <c r="AA438" s="600">
        <v>33.385599999999997</v>
      </c>
      <c r="AB438" s="600">
        <v>34.826500000000003</v>
      </c>
      <c r="AC438" s="600">
        <v>36.668900000000001</v>
      </c>
      <c r="AD438" s="600">
        <v>36.991700000000002</v>
      </c>
      <c r="AE438" s="759">
        <f>U438</f>
        <v>38.003599999999999</v>
      </c>
      <c r="AG438" s="600">
        <v>34.960299999999997</v>
      </c>
      <c r="AH438" s="600">
        <v>43.082999999999998</v>
      </c>
    </row>
    <row r="439" spans="2:34" s="5" customFormat="1" ht="13.5" customHeight="1">
      <c r="B439" s="5" t="s">
        <v>617</v>
      </c>
      <c r="C439" s="370"/>
      <c r="D439" s="370"/>
      <c r="E439" s="370"/>
      <c r="F439" s="596"/>
      <c r="G439" s="596"/>
      <c r="H439" s="596"/>
    </row>
    <row r="440" spans="2:34" ht="13.5" customHeight="1">
      <c r="B440" s="1" t="s">
        <v>614</v>
      </c>
      <c r="C440" s="370">
        <v>27.28</v>
      </c>
      <c r="D440" s="370">
        <v>36.568600000000004</v>
      </c>
      <c r="E440" s="698"/>
      <c r="F440" s="596">
        <v>37.982399999999998</v>
      </c>
      <c r="G440" s="596">
        <v>37.982399999999998</v>
      </c>
      <c r="H440" s="596">
        <v>42.039000000000001</v>
      </c>
      <c r="I440" s="699"/>
      <c r="J440" s="699"/>
      <c r="K440" s="699"/>
      <c r="M440" s="421">
        <v>36.568600000000004</v>
      </c>
      <c r="N440" s="421">
        <v>36.57</v>
      </c>
      <c r="O440" s="421">
        <v>36.57</v>
      </c>
      <c r="P440" s="421">
        <v>37.982399999999998</v>
      </c>
      <c r="Q440" s="601">
        <v>39.221400000000003</v>
      </c>
      <c r="R440" s="601">
        <v>40.54</v>
      </c>
      <c r="S440" s="601">
        <v>41.17</v>
      </c>
      <c r="T440" s="601">
        <v>42.039000000000001</v>
      </c>
      <c r="U440" s="699"/>
      <c r="V440" s="699"/>
      <c r="W440" s="699"/>
      <c r="X440" s="699"/>
      <c r="Y440" s="699"/>
      <c r="Z440" s="553"/>
      <c r="AA440" s="699"/>
      <c r="AB440" s="699"/>
      <c r="AC440" s="699"/>
      <c r="AD440" s="699"/>
      <c r="AE440" s="699"/>
      <c r="AG440" s="699"/>
      <c r="AH440" s="699"/>
    </row>
    <row r="441" spans="2:34" ht="13.5" customHeight="1">
      <c r="B441" s="1" t="s">
        <v>615</v>
      </c>
      <c r="C441" s="370">
        <v>27.34</v>
      </c>
      <c r="D441" s="370">
        <v>32.485399999999998</v>
      </c>
      <c r="E441" s="698"/>
      <c r="F441" s="596">
        <v>36.594499999999996</v>
      </c>
      <c r="G441" s="596">
        <v>36.594499999999996</v>
      </c>
      <c r="H441" s="596">
        <v>40.190100000000001</v>
      </c>
      <c r="I441" s="700"/>
      <c r="J441" s="700"/>
      <c r="K441" s="700"/>
      <c r="M441" s="379">
        <v>36.568600000000004</v>
      </c>
      <c r="N441" s="379">
        <v>36.57</v>
      </c>
      <c r="O441" s="379">
        <v>36.57</v>
      </c>
      <c r="P441" s="379">
        <v>36.672199999999997</v>
      </c>
      <c r="Q441" s="602">
        <v>38.228099999999998</v>
      </c>
      <c r="R441" s="602">
        <v>40.020000000000003</v>
      </c>
      <c r="S441" s="602">
        <v>41.02</v>
      </c>
      <c r="T441" s="602">
        <v>41.492400000000004</v>
      </c>
      <c r="U441" s="700"/>
      <c r="V441" s="700"/>
      <c r="W441" s="700"/>
      <c r="X441" s="700"/>
      <c r="Y441" s="700"/>
      <c r="Z441" s="549"/>
      <c r="AA441" s="700"/>
      <c r="AB441" s="700"/>
      <c r="AC441" s="700"/>
      <c r="AD441" s="700"/>
      <c r="AE441" s="700"/>
      <c r="AG441" s="700"/>
      <c r="AH441" s="700"/>
    </row>
    <row r="442" spans="2:34" s="5" customFormat="1" ht="13.5" customHeight="1">
      <c r="B442" s="5" t="s">
        <v>618</v>
      </c>
      <c r="C442" s="370"/>
      <c r="D442" s="370"/>
      <c r="E442" s="370"/>
      <c r="F442" s="596"/>
      <c r="G442" s="596"/>
      <c r="H442" s="596"/>
    </row>
    <row r="443" spans="2:34" ht="13.5" customHeight="1">
      <c r="B443" s="1" t="s">
        <v>614</v>
      </c>
      <c r="C443" s="370">
        <v>2.5480999999999998</v>
      </c>
      <c r="D443" s="370">
        <v>2.7364000000000002</v>
      </c>
      <c r="E443" s="698"/>
      <c r="F443" s="596">
        <v>3.1775000000000002</v>
      </c>
      <c r="G443" s="596">
        <v>3.1775000000000002</v>
      </c>
      <c r="H443" s="596">
        <v>3.4735</v>
      </c>
      <c r="I443" s="596">
        <v>3.4735</v>
      </c>
      <c r="J443" s="596">
        <v>2.9026999999999998</v>
      </c>
      <c r="K443" s="764">
        <f>Y443</f>
        <v>2.9508000000000001</v>
      </c>
      <c r="M443" s="483">
        <v>2.8571</v>
      </c>
      <c r="N443" s="483">
        <v>3.0314999999999999</v>
      </c>
      <c r="O443" s="483">
        <v>3.2869999999999999</v>
      </c>
      <c r="P443" s="483">
        <v>3.1775000000000002</v>
      </c>
      <c r="Q443" s="603">
        <v>3.2498</v>
      </c>
      <c r="R443" s="603">
        <v>3.1623999999999999</v>
      </c>
      <c r="S443" s="603">
        <v>3.2113</v>
      </c>
      <c r="T443" s="603">
        <v>3.4735</v>
      </c>
      <c r="U443" s="603">
        <v>3.1175999999999999</v>
      </c>
      <c r="V443" s="603">
        <v>2.9662999999999999</v>
      </c>
      <c r="W443" s="603">
        <v>3.0247000000000002</v>
      </c>
      <c r="X443" s="603">
        <v>2.9026999999999998</v>
      </c>
      <c r="Y443" s="603">
        <v>2.9508000000000001</v>
      </c>
      <c r="Z443" s="550"/>
      <c r="AA443" s="603">
        <v>3.2498</v>
      </c>
      <c r="AB443" s="603">
        <v>3.1623999999999999</v>
      </c>
      <c r="AC443" s="603">
        <v>3.2113</v>
      </c>
      <c r="AD443" s="603">
        <v>3.4735</v>
      </c>
      <c r="AE443" s="758">
        <f>U443</f>
        <v>3.1175999999999999</v>
      </c>
      <c r="AG443" s="603">
        <v>3.2113</v>
      </c>
      <c r="AH443" s="603">
        <v>3.0247000000000002</v>
      </c>
    </row>
    <row r="444" spans="2:34" ht="13.5" customHeight="1">
      <c r="B444" s="1" t="s">
        <v>615</v>
      </c>
      <c r="C444" s="370">
        <v>2.5448</v>
      </c>
      <c r="D444" s="370">
        <v>2.6097999999999999</v>
      </c>
      <c r="E444" s="698"/>
      <c r="F444" s="596">
        <v>2.9988000000000001</v>
      </c>
      <c r="G444" s="596">
        <v>2.9988000000000001</v>
      </c>
      <c r="H444" s="596">
        <v>3.2547999999999999</v>
      </c>
      <c r="I444" s="596">
        <v>3.2547999999999999</v>
      </c>
      <c r="J444" s="596">
        <v>3.069</v>
      </c>
      <c r="K444" s="764">
        <f>Y444</f>
        <v>2.8761999999999999</v>
      </c>
      <c r="M444" s="384">
        <v>2.7505000000000002</v>
      </c>
      <c r="N444" s="384">
        <v>2.9308000000000001</v>
      </c>
      <c r="O444" s="384">
        <v>3.1328999999999998</v>
      </c>
      <c r="P444" s="384">
        <v>3.1808999999999998</v>
      </c>
      <c r="Q444" s="604">
        <v>3.21</v>
      </c>
      <c r="R444" s="604">
        <v>3.2221000000000002</v>
      </c>
      <c r="S444" s="604">
        <v>3.1684000000000001</v>
      </c>
      <c r="T444" s="604">
        <v>3.4186999999999999</v>
      </c>
      <c r="U444" s="604">
        <v>3.2953166666666669</v>
      </c>
      <c r="V444" s="604">
        <v>3.03</v>
      </c>
      <c r="W444" s="604">
        <v>2.9984999999999999</v>
      </c>
      <c r="X444" s="604">
        <v>2.9521000000000002</v>
      </c>
      <c r="Y444" s="604">
        <v>2.8761999999999999</v>
      </c>
      <c r="Z444" s="568"/>
      <c r="AA444" s="604">
        <v>3.21</v>
      </c>
      <c r="AB444" s="604">
        <v>3.2221000000000002</v>
      </c>
      <c r="AC444" s="604">
        <v>3.1684000000000001</v>
      </c>
      <c r="AD444" s="604">
        <v>3.4186999999999999</v>
      </c>
      <c r="AE444" s="759">
        <f>U444</f>
        <v>3.2953166666666669</v>
      </c>
      <c r="AG444" s="604">
        <v>3.2000999999999999</v>
      </c>
      <c r="AH444" s="604">
        <v>3.1078999999999999</v>
      </c>
    </row>
    <row r="445" spans="2:34" ht="13.5" customHeight="1">
      <c r="C445" s="386"/>
      <c r="D445" s="386"/>
      <c r="E445" s="386"/>
      <c r="F445" s="386"/>
      <c r="G445" s="386"/>
      <c r="H445" s="386"/>
      <c r="I445" s="386"/>
      <c r="J445" s="386"/>
    </row>
    <row r="446" spans="2:34" ht="13.5" customHeight="1">
      <c r="C446" s="370"/>
      <c r="D446" s="370"/>
      <c r="E446" s="370"/>
      <c r="F446" s="370"/>
      <c r="G446" s="370"/>
      <c r="H446" s="370"/>
      <c r="I446" s="370"/>
      <c r="J446" s="370"/>
    </row>
    <row r="447" spans="2:34" ht="13.5" hidden="1" customHeight="1" outlineLevel="1">
      <c r="B447" s="1" t="s">
        <v>619</v>
      </c>
      <c r="C447" s="660"/>
      <c r="D447" s="660"/>
      <c r="E447" s="660"/>
      <c r="F447" s="660"/>
      <c r="G447" s="660"/>
      <c r="H447" s="660"/>
      <c r="I447" s="660"/>
      <c r="J447" s="660"/>
      <c r="K447" s="660"/>
      <c r="M447" s="660"/>
      <c r="N447" s="660"/>
      <c r="O447" s="660"/>
      <c r="P447" s="660"/>
      <c r="Q447" s="660"/>
      <c r="R447" s="660"/>
      <c r="S447" s="660"/>
      <c r="T447" s="660"/>
      <c r="U447" s="660"/>
      <c r="V447" s="660"/>
      <c r="W447" s="660"/>
      <c r="X447" s="660"/>
      <c r="Y447" s="660"/>
      <c r="AA447" s="660"/>
      <c r="AB447" s="660"/>
      <c r="AC447" s="660"/>
      <c r="AD447" s="660"/>
      <c r="AE447" s="660"/>
      <c r="AG447" s="660"/>
      <c r="AH447" s="660"/>
    </row>
    <row r="448" spans="2:34" ht="13.5" hidden="1" customHeight="1" outlineLevel="1">
      <c r="B448" s="810" t="s">
        <v>56</v>
      </c>
      <c r="C448" s="660"/>
      <c r="D448" s="660"/>
      <c r="E448" s="660"/>
      <c r="F448" s="660"/>
      <c r="G448" s="660"/>
      <c r="H448" s="660"/>
      <c r="I448" s="660"/>
      <c r="J448" s="660"/>
      <c r="K448" s="660"/>
      <c r="M448" s="660"/>
      <c r="N448" s="660"/>
      <c r="O448" s="660"/>
      <c r="P448" s="660"/>
      <c r="Q448" s="660"/>
      <c r="R448" s="660"/>
      <c r="S448" s="660"/>
      <c r="T448" s="660"/>
      <c r="U448" s="660"/>
      <c r="V448" s="660"/>
      <c r="W448" s="660"/>
      <c r="X448" s="660"/>
      <c r="Y448" s="660"/>
      <c r="AA448" s="660"/>
      <c r="AB448" s="660"/>
      <c r="AC448" s="660"/>
      <c r="AD448" s="660"/>
      <c r="AE448" s="660"/>
      <c r="AG448" s="660"/>
      <c r="AH448" s="660"/>
    </row>
    <row r="449" spans="2:34" ht="13.5" hidden="1" customHeight="1" outlineLevel="1">
      <c r="B449" s="810" t="s">
        <v>621</v>
      </c>
      <c r="C449" s="660"/>
      <c r="D449" s="660"/>
      <c r="E449" s="660"/>
      <c r="F449" s="660"/>
      <c r="G449" s="660"/>
      <c r="H449" s="660"/>
      <c r="I449" s="660"/>
      <c r="J449" s="660"/>
      <c r="K449" s="660"/>
      <c r="M449" s="660"/>
      <c r="N449" s="660"/>
      <c r="O449" s="660"/>
      <c r="P449" s="660"/>
      <c r="Q449" s="660"/>
      <c r="R449" s="660"/>
      <c r="S449" s="660"/>
      <c r="T449" s="660"/>
      <c r="U449" s="660"/>
      <c r="V449" s="660"/>
      <c r="W449" s="660"/>
      <c r="X449" s="660"/>
      <c r="Y449" s="660"/>
      <c r="AA449" s="660"/>
      <c r="AB449" s="660"/>
      <c r="AC449" s="660"/>
      <c r="AD449" s="660"/>
      <c r="AE449" s="660"/>
      <c r="AG449" s="660"/>
      <c r="AH449" s="660"/>
    </row>
    <row r="450" spans="2:34" ht="13.5" hidden="1" customHeight="1" outlineLevel="1">
      <c r="B450" s="810" t="s">
        <v>623</v>
      </c>
      <c r="C450" s="660"/>
      <c r="D450" s="660"/>
      <c r="E450" s="660"/>
      <c r="F450" s="660"/>
      <c r="G450" s="660"/>
      <c r="H450" s="660"/>
      <c r="I450" s="660"/>
      <c r="J450" s="660"/>
      <c r="K450" s="660"/>
      <c r="M450" s="660"/>
      <c r="N450" s="660"/>
      <c r="O450" s="660"/>
      <c r="P450" s="660"/>
      <c r="Q450" s="660"/>
      <c r="R450" s="660"/>
      <c r="S450" s="660"/>
      <c r="T450" s="660"/>
      <c r="U450" s="660"/>
      <c r="V450" s="660"/>
      <c r="W450" s="660"/>
      <c r="X450" s="660"/>
      <c r="Y450" s="660"/>
      <c r="AA450" s="660"/>
      <c r="AB450" s="660"/>
      <c r="AC450" s="660"/>
      <c r="AD450" s="660"/>
      <c r="AE450" s="660"/>
      <c r="AG450" s="660"/>
      <c r="AH450" s="660"/>
    </row>
    <row r="451" spans="2:34" ht="13.5" hidden="1" customHeight="1" outlineLevel="1"/>
    <row r="452" spans="2:34" s="5" customFormat="1" ht="13.5" customHeight="1" collapsed="1">
      <c r="B452" s="5" t="s">
        <v>625</v>
      </c>
    </row>
    <row r="453" spans="2:34" ht="13.5" customHeight="1">
      <c r="B453" s="394" t="s">
        <v>626</v>
      </c>
      <c r="C453" s="395">
        <v>7629.8</v>
      </c>
      <c r="D453" s="395">
        <v>10859.4</v>
      </c>
      <c r="E453" s="701"/>
      <c r="F453" s="395">
        <v>21430.3</v>
      </c>
      <c r="G453" s="395">
        <v>30940.799999999999</v>
      </c>
      <c r="H453" s="395">
        <v>38000.800000000003</v>
      </c>
      <c r="I453" s="395">
        <v>49740.1</v>
      </c>
      <c r="J453" s="395">
        <v>54651.8</v>
      </c>
      <c r="K453" s="68">
        <f>SUM(V453:Y453)</f>
        <v>59626.8</v>
      </c>
      <c r="L453" s="68"/>
      <c r="M453" s="395">
        <v>6000</v>
      </c>
      <c r="N453" s="395">
        <v>6996.5</v>
      </c>
      <c r="O453" s="395">
        <v>6045</v>
      </c>
      <c r="P453" s="68">
        <f>G453-SUM(M453:O453)</f>
        <v>11899.3</v>
      </c>
      <c r="Q453" s="395">
        <v>5596.7</v>
      </c>
      <c r="R453" s="395">
        <v>7870</v>
      </c>
      <c r="S453" s="395">
        <v>7252</v>
      </c>
      <c r="T453" s="68">
        <f>H453-SUM(Q453:S453)</f>
        <v>17282.100000000002</v>
      </c>
      <c r="U453" s="533">
        <v>9693.7999999999993</v>
      </c>
      <c r="V453" s="395">
        <v>8949.2000000000007</v>
      </c>
      <c r="W453" s="395">
        <f>AH453-V453-U453</f>
        <v>12321.900000000001</v>
      </c>
      <c r="X453" s="68">
        <f>J453-SUM(U453:W453)</f>
        <v>23686.9</v>
      </c>
      <c r="Y453" s="395">
        <v>14668.8</v>
      </c>
      <c r="Z453" s="395"/>
      <c r="AA453" s="533">
        <v>7729</v>
      </c>
      <c r="AB453" s="395">
        <v>11254.7</v>
      </c>
      <c r="AC453" s="395">
        <f>AG453-AB453-AA453</f>
        <v>10955.3</v>
      </c>
      <c r="AD453" s="68">
        <f>J453-SUM(AA453:AC453)</f>
        <v>24712.800000000003</v>
      </c>
      <c r="AE453" s="395">
        <v>12685.7</v>
      </c>
      <c r="AG453" s="395">
        <v>29939</v>
      </c>
      <c r="AH453" s="395">
        <v>30964.9</v>
      </c>
    </row>
    <row r="454" spans="2:34" ht="13.5" customHeight="1">
      <c r="B454" s="394" t="s">
        <v>627</v>
      </c>
      <c r="C454" s="395">
        <v>0</v>
      </c>
      <c r="D454" s="395">
        <v>317.5</v>
      </c>
      <c r="E454" s="701"/>
      <c r="F454" s="395">
        <v>3632.9</v>
      </c>
      <c r="G454" s="395">
        <v>5245.1</v>
      </c>
      <c r="H454" s="395">
        <v>26.5</v>
      </c>
      <c r="I454" s="395">
        <v>34.700000000000003</v>
      </c>
      <c r="J454" s="395">
        <v>254.4</v>
      </c>
      <c r="K454" s="68">
        <f>SUM(V454:Y454)</f>
        <v>56166.6</v>
      </c>
      <c r="L454" s="68"/>
      <c r="M454" s="395">
        <v>0</v>
      </c>
      <c r="N454" s="395">
        <v>4631.8999999999996</v>
      </c>
      <c r="O454" s="395">
        <v>15</v>
      </c>
      <c r="P454" s="68">
        <f>G454-SUM(M454:O454)</f>
        <v>598.20000000000073</v>
      </c>
      <c r="Q454" s="395">
        <v>0</v>
      </c>
      <c r="R454" s="395">
        <v>7.1</v>
      </c>
      <c r="S454" s="395">
        <v>7</v>
      </c>
      <c r="T454" s="68">
        <f>H454-SUM(Q454:S454)</f>
        <v>12.4</v>
      </c>
      <c r="U454" s="395">
        <v>9.3000000000000007</v>
      </c>
      <c r="V454" s="395">
        <v>213.6</v>
      </c>
      <c r="W454" s="395">
        <f>AH454-V454-U454</f>
        <v>18.900000000000016</v>
      </c>
      <c r="X454" s="68">
        <f>J454-SUM(U454:W454)</f>
        <v>12.599999999999994</v>
      </c>
      <c r="Y454" s="395">
        <v>55921.5</v>
      </c>
      <c r="Z454" s="395"/>
      <c r="AA454" s="395">
        <v>9.4</v>
      </c>
      <c r="AB454" s="395">
        <v>8.6</v>
      </c>
      <c r="AC454" s="395">
        <f>AG454-AB454-AA454</f>
        <v>12.6</v>
      </c>
      <c r="AD454" s="68">
        <f>J454-SUM(AA454:AC454)</f>
        <v>223.8</v>
      </c>
      <c r="AE454" s="395">
        <v>12.1</v>
      </c>
      <c r="AG454" s="395">
        <v>30.6</v>
      </c>
      <c r="AH454" s="395">
        <v>241.8</v>
      </c>
    </row>
    <row r="455" spans="2:34" ht="13.5" customHeight="1">
      <c r="B455" s="394" t="s">
        <v>628</v>
      </c>
      <c r="C455" s="395">
        <v>3849.6</v>
      </c>
      <c r="D455" s="395">
        <v>5183.6000000000004</v>
      </c>
      <c r="E455" s="701"/>
      <c r="F455" s="395">
        <v>8886.9</v>
      </c>
      <c r="G455" s="395">
        <v>12830.7</v>
      </c>
      <c r="H455" s="395">
        <v>16791.2</v>
      </c>
      <c r="I455" s="395">
        <v>21978.400000000001</v>
      </c>
      <c r="J455" s="395">
        <v>35055.199999999997</v>
      </c>
      <c r="K455" s="68">
        <f>SUM(V455:Y455)</f>
        <v>34633.9</v>
      </c>
      <c r="L455" s="68"/>
      <c r="M455" s="395">
        <v>2360</v>
      </c>
      <c r="N455" s="395">
        <v>2715.1</v>
      </c>
      <c r="O455" s="395">
        <v>6453</v>
      </c>
      <c r="P455" s="68">
        <f>G455-SUM(M455:O455)</f>
        <v>1302.6000000000004</v>
      </c>
      <c r="Q455" s="395">
        <v>1911.3</v>
      </c>
      <c r="R455" s="395">
        <v>2812.5</v>
      </c>
      <c r="S455" s="395">
        <v>2304</v>
      </c>
      <c r="T455" s="68">
        <f>H455-SUM(Q455:S455)</f>
        <v>9763.4000000000015</v>
      </c>
      <c r="U455" s="395">
        <v>6413.6</v>
      </c>
      <c r="V455" s="395">
        <v>15068.5</v>
      </c>
      <c r="W455" s="395">
        <f>AH455-V455-U455</f>
        <v>6440.1999999999989</v>
      </c>
      <c r="X455" s="68">
        <f>J455-SUM(U455:W455)</f>
        <v>7132.9000000000015</v>
      </c>
      <c r="Y455" s="395">
        <v>5992.3</v>
      </c>
      <c r="Z455" s="395"/>
      <c r="AA455" s="395">
        <v>4645.7</v>
      </c>
      <c r="AB455" s="395">
        <v>3514.5</v>
      </c>
      <c r="AC455" s="395">
        <v>2304</v>
      </c>
      <c r="AD455" s="68">
        <f>J455-SUM(AA455:AC455)</f>
        <v>24590.999999999996</v>
      </c>
      <c r="AE455" s="395">
        <v>8393.2000000000007</v>
      </c>
      <c r="AG455" s="395">
        <v>16001.4</v>
      </c>
      <c r="AH455" s="395">
        <v>27922.3</v>
      </c>
    </row>
    <row r="456" spans="2:34" s="5" customFormat="1" ht="13.5" customHeight="1">
      <c r="B456" s="5" t="s">
        <v>629</v>
      </c>
      <c r="C456" s="407">
        <f>+C455+C453+C454</f>
        <v>11479.4</v>
      </c>
      <c r="D456" s="407">
        <f>+D455+D453+D454</f>
        <v>16360.5</v>
      </c>
      <c r="E456" s="702"/>
      <c r="F456" s="407">
        <f t="shared" ref="F456:K456" si="425">SUM(F453:F455)</f>
        <v>33950.1</v>
      </c>
      <c r="G456" s="407">
        <f t="shared" si="425"/>
        <v>49016.600000000006</v>
      </c>
      <c r="H456" s="407">
        <f t="shared" si="425"/>
        <v>54818.5</v>
      </c>
      <c r="I456" s="407">
        <f t="shared" si="425"/>
        <v>71753.2</v>
      </c>
      <c r="J456" s="407">
        <f t="shared" si="425"/>
        <v>89961.4</v>
      </c>
      <c r="K456" s="407">
        <f t="shared" si="425"/>
        <v>150427.29999999999</v>
      </c>
      <c r="L456" s="407"/>
      <c r="M456" s="407">
        <f t="shared" ref="M456:T456" si="426">+M455+M453+M454</f>
        <v>8360</v>
      </c>
      <c r="N456" s="407">
        <f t="shared" si="426"/>
        <v>14343.5</v>
      </c>
      <c r="O456" s="407">
        <f t="shared" si="426"/>
        <v>12513</v>
      </c>
      <c r="P456" s="407">
        <f t="shared" si="426"/>
        <v>13800.1</v>
      </c>
      <c r="Q456" s="407">
        <f t="shared" si="426"/>
        <v>7508</v>
      </c>
      <c r="R456" s="407">
        <f t="shared" si="426"/>
        <v>10689.6</v>
      </c>
      <c r="S456" s="407">
        <f t="shared" si="426"/>
        <v>9563</v>
      </c>
      <c r="T456" s="407">
        <f t="shared" si="426"/>
        <v>27057.900000000005</v>
      </c>
      <c r="U456" s="407">
        <f>SUM(U453:U455)</f>
        <v>16116.699999999999</v>
      </c>
      <c r="V456" s="407">
        <f>+V455+V453+V454</f>
        <v>24231.3</v>
      </c>
      <c r="W456" s="407">
        <f>+W455+W453+W454</f>
        <v>18781</v>
      </c>
      <c r="X456" s="407">
        <f>+X455+X453+X454</f>
        <v>30832.400000000001</v>
      </c>
      <c r="Y456" s="407">
        <f>+Y455+Y453+Y454</f>
        <v>76582.600000000006</v>
      </c>
      <c r="Z456" s="407"/>
      <c r="AA456" s="407">
        <f>SUM(AA453:AA455)</f>
        <v>12384.099999999999</v>
      </c>
      <c r="AB456" s="407">
        <f>+AB455+AB453+AB454</f>
        <v>14777.800000000001</v>
      </c>
      <c r="AC456" s="407">
        <f>+AC455+AC453+AC454</f>
        <v>13271.9</v>
      </c>
      <c r="AD456" s="407">
        <f>+AD455+AD453+AD454</f>
        <v>49527.600000000006</v>
      </c>
      <c r="AE456" s="407">
        <f>+AE455+AE453+AE454</f>
        <v>21091</v>
      </c>
      <c r="AG456" s="407">
        <f>+AG455+AG453+AG454</f>
        <v>45971</v>
      </c>
      <c r="AH456" s="407">
        <f>+AH455+AH453+AH454</f>
        <v>59129</v>
      </c>
    </row>
    <row r="457" spans="2:34" ht="13.5" customHeight="1">
      <c r="M457" s="2"/>
      <c r="N457" s="2"/>
      <c r="O457" s="2"/>
      <c r="Q457" s="2"/>
      <c r="R457" s="2"/>
      <c r="S457" s="2"/>
      <c r="T457" s="2"/>
      <c r="U457" s="2"/>
      <c r="V457" s="2"/>
      <c r="W457" s="2"/>
      <c r="X457" s="2"/>
      <c r="Y457" s="2"/>
      <c r="Z457" s="2"/>
      <c r="AB457" s="2"/>
      <c r="AC457" s="2"/>
      <c r="AD457" s="2"/>
      <c r="AE457" s="2"/>
      <c r="AG457" s="2"/>
      <c r="AH457" s="2"/>
    </row>
    <row r="458" spans="2:34" ht="13.5" customHeight="1">
      <c r="B458" s="5" t="s">
        <v>810</v>
      </c>
    </row>
    <row r="459" spans="2:34" s="5" customFormat="1" ht="13.5" customHeight="1">
      <c r="B459" s="5" t="s">
        <v>811</v>
      </c>
      <c r="C459" s="605">
        <v>90008.6</v>
      </c>
      <c r="D459" s="605">
        <v>77951.7</v>
      </c>
      <c r="E459" s="703"/>
      <c r="F459" s="605">
        <v>91952.8</v>
      </c>
      <c r="G459" s="605">
        <v>132760.4</v>
      </c>
      <c r="H459" s="605">
        <v>143771.70000000001</v>
      </c>
      <c r="I459" s="605">
        <v>199742.4</v>
      </c>
      <c r="J459" s="605">
        <v>220319.5</v>
      </c>
      <c r="K459" s="77">
        <f>SUM(V459:Y459)</f>
        <v>221457.5</v>
      </c>
      <c r="M459" s="605">
        <v>23455.1</v>
      </c>
      <c r="N459" s="606">
        <v>29969</v>
      </c>
      <c r="O459" s="606">
        <v>32550.2</v>
      </c>
      <c r="P459" s="77">
        <f t="shared" ref="P459:P476" si="427">G459-SUM(M459:O459)</f>
        <v>46786.099999999991</v>
      </c>
      <c r="Q459" s="605">
        <v>26515.8</v>
      </c>
      <c r="R459" s="607">
        <v>30433.4</v>
      </c>
      <c r="S459" s="607">
        <v>34853.599999999999</v>
      </c>
      <c r="T459" s="607">
        <v>38235.199999999997</v>
      </c>
      <c r="U459" s="607">
        <v>43523.4</v>
      </c>
      <c r="V459" s="607">
        <v>47488.800000000003</v>
      </c>
      <c r="W459" s="607">
        <v>54454</v>
      </c>
      <c r="X459" s="605">
        <v>57637.5</v>
      </c>
      <c r="Y459" s="607">
        <v>61877.2</v>
      </c>
      <c r="Z459" s="607"/>
      <c r="AA459" s="607">
        <v>38984.400000000001</v>
      </c>
      <c r="AB459" s="607">
        <v>31186.5</v>
      </c>
      <c r="AC459" s="607">
        <v>48992.4</v>
      </c>
      <c r="AD459" s="605">
        <v>53853.3</v>
      </c>
      <c r="AE459" s="607">
        <v>56957.1</v>
      </c>
      <c r="AG459" s="704"/>
      <c r="AH459" s="704"/>
    </row>
    <row r="460" spans="2:34" ht="13.5" customHeight="1">
      <c r="B460" s="1" t="s">
        <v>812</v>
      </c>
      <c r="C460" s="395">
        <v>66375</v>
      </c>
      <c r="D460" s="395">
        <v>55886.9</v>
      </c>
      <c r="E460" s="701"/>
      <c r="F460" s="395">
        <v>66325.600000000006</v>
      </c>
      <c r="G460" s="395">
        <v>95358.7</v>
      </c>
      <c r="H460" s="395">
        <v>107802.7</v>
      </c>
      <c r="I460" s="395">
        <v>151723.29999999999</v>
      </c>
      <c r="J460" s="395">
        <v>165417.5</v>
      </c>
      <c r="K460" s="68">
        <f>SUM(V460:Y460)</f>
        <v>163791.9</v>
      </c>
      <c r="M460" s="395">
        <v>16436</v>
      </c>
      <c r="N460" s="514">
        <v>21454.7</v>
      </c>
      <c r="O460" s="514">
        <v>23647.200000000001</v>
      </c>
      <c r="P460" s="68">
        <f t="shared" si="427"/>
        <v>33820.800000000003</v>
      </c>
      <c r="Q460" s="395">
        <v>19641.7</v>
      </c>
      <c r="R460" s="513">
        <v>23174.799999999999</v>
      </c>
      <c r="S460" s="513">
        <v>26196.7</v>
      </c>
      <c r="T460" s="513">
        <v>28493</v>
      </c>
      <c r="U460" s="513">
        <v>33341.4</v>
      </c>
      <c r="V460" s="513">
        <v>35765</v>
      </c>
      <c r="W460" s="513">
        <v>41274.5</v>
      </c>
      <c r="X460" s="395">
        <v>42003.5</v>
      </c>
      <c r="Y460" s="513">
        <v>44748.9</v>
      </c>
      <c r="Z460" s="513"/>
      <c r="AA460" s="513">
        <v>29274.799999999999</v>
      </c>
      <c r="AB460" s="513">
        <v>24014</v>
      </c>
      <c r="AC460" s="513">
        <v>37264.800000000003</v>
      </c>
      <c r="AD460" s="395">
        <v>40886.199999999997</v>
      </c>
      <c r="AE460" s="513">
        <v>43631.199999999997</v>
      </c>
      <c r="AG460" s="705"/>
      <c r="AH460" s="705"/>
    </row>
    <row r="461" spans="2:34" ht="13.5" customHeight="1">
      <c r="B461" s="1" t="s">
        <v>813</v>
      </c>
      <c r="C461" s="395">
        <v>16946.3</v>
      </c>
      <c r="D461" s="395">
        <v>15875.4</v>
      </c>
      <c r="E461" s="701"/>
      <c r="F461" s="395">
        <v>19090.8</v>
      </c>
      <c r="G461" s="395">
        <v>27733</v>
      </c>
      <c r="H461" s="395">
        <v>26755.3</v>
      </c>
      <c r="I461" s="395">
        <v>35246.5</v>
      </c>
      <c r="J461" s="395">
        <v>42101.8</v>
      </c>
      <c r="K461" s="68">
        <f>SUM(V461:Y461)</f>
        <v>44951.5</v>
      </c>
      <c r="M461" s="395">
        <v>5301.1</v>
      </c>
      <c r="N461" s="514">
        <v>6649.4</v>
      </c>
      <c r="O461" s="514">
        <v>6147.8</v>
      </c>
      <c r="P461" s="68">
        <f t="shared" si="427"/>
        <v>9634.7000000000007</v>
      </c>
      <c r="Q461" s="395">
        <v>5225.2</v>
      </c>
      <c r="R461" s="513">
        <v>5364.7</v>
      </c>
      <c r="S461" s="513">
        <v>6059.4</v>
      </c>
      <c r="T461" s="513">
        <v>7550</v>
      </c>
      <c r="U461" s="513">
        <v>8031.1</v>
      </c>
      <c r="V461" s="513">
        <v>9159.6</v>
      </c>
      <c r="W461" s="513">
        <v>9474</v>
      </c>
      <c r="X461" s="395">
        <v>12237.3</v>
      </c>
      <c r="Y461" s="513">
        <v>14080.6</v>
      </c>
      <c r="Z461" s="513"/>
      <c r="AA461" s="513">
        <v>7260.8</v>
      </c>
      <c r="AB461" s="513">
        <v>5295.8</v>
      </c>
      <c r="AC461" s="513">
        <v>8089.6</v>
      </c>
      <c r="AD461" s="395">
        <v>9976.2000000000007</v>
      </c>
      <c r="AE461" s="513">
        <v>10509.7</v>
      </c>
      <c r="AG461" s="705"/>
      <c r="AH461" s="705"/>
    </row>
    <row r="462" spans="2:34" ht="13.5" customHeight="1">
      <c r="B462" s="1" t="s">
        <v>814</v>
      </c>
      <c r="C462" s="395">
        <v>6291.2</v>
      </c>
      <c r="D462" s="395">
        <v>6269.4</v>
      </c>
      <c r="E462" s="701"/>
      <c r="F462" s="395">
        <v>6475.2</v>
      </c>
      <c r="G462" s="395">
        <v>9298.1</v>
      </c>
      <c r="H462" s="395">
        <v>8442.7000000000007</v>
      </c>
      <c r="I462" s="395">
        <v>10885.2</v>
      </c>
      <c r="J462" s="395">
        <v>11430.4</v>
      </c>
      <c r="K462" s="68">
        <f>SUM(V462:Y462)</f>
        <v>11273.099999999999</v>
      </c>
      <c r="M462" s="395">
        <v>1544.4</v>
      </c>
      <c r="N462" s="514">
        <v>1977</v>
      </c>
      <c r="O462" s="514">
        <v>2638.8</v>
      </c>
      <c r="P462" s="68">
        <f t="shared" si="427"/>
        <v>3137.8999999999996</v>
      </c>
      <c r="Q462" s="395">
        <v>1450.1</v>
      </c>
      <c r="R462" s="513">
        <v>1722.2</v>
      </c>
      <c r="S462" s="513">
        <v>2378.1999999999998</v>
      </c>
      <c r="T462" s="513">
        <v>2102.4</v>
      </c>
      <c r="U462" s="513">
        <v>1796.9</v>
      </c>
      <c r="V462" s="513">
        <v>2273.3000000000002</v>
      </c>
      <c r="W462" s="513">
        <v>3413.5</v>
      </c>
      <c r="X462" s="395">
        <v>3051.1</v>
      </c>
      <c r="Y462" s="513">
        <v>2535.1999999999998</v>
      </c>
      <c r="Z462" s="513"/>
      <c r="AA462" s="513">
        <v>1968.8</v>
      </c>
      <c r="AB462" s="513">
        <v>1652.9</v>
      </c>
      <c r="AC462" s="513">
        <v>3117.1</v>
      </c>
      <c r="AD462" s="395">
        <v>2733.9</v>
      </c>
      <c r="AE462" s="513">
        <v>2350</v>
      </c>
      <c r="AG462" s="705"/>
      <c r="AH462" s="705"/>
    </row>
    <row r="463" spans="2:34" ht="13.5" customHeight="1">
      <c r="B463" s="1" t="s">
        <v>59</v>
      </c>
      <c r="C463" s="395">
        <v>396.1</v>
      </c>
      <c r="D463" s="395">
        <v>-80</v>
      </c>
      <c r="E463" s="701"/>
      <c r="F463" s="395">
        <v>61.3</v>
      </c>
      <c r="G463" s="395">
        <v>370.6</v>
      </c>
      <c r="H463" s="395">
        <v>771</v>
      </c>
      <c r="I463" s="395">
        <v>1887.4</v>
      </c>
      <c r="J463" s="395">
        <v>1369.8</v>
      </c>
      <c r="K463" s="68">
        <f>SUM(V463:Y463)</f>
        <v>1441.1</v>
      </c>
      <c r="M463" s="395">
        <v>173.6</v>
      </c>
      <c r="N463" s="514">
        <v>-112.1</v>
      </c>
      <c r="O463" s="514">
        <v>116.5</v>
      </c>
      <c r="P463" s="68">
        <f t="shared" si="427"/>
        <v>192.60000000000002</v>
      </c>
      <c r="Q463" s="395">
        <v>198.8</v>
      </c>
      <c r="R463" s="514">
        <v>171.7</v>
      </c>
      <c r="S463" s="514">
        <v>219.3</v>
      </c>
      <c r="T463" s="514">
        <v>89.7</v>
      </c>
      <c r="U463" s="514">
        <v>354</v>
      </c>
      <c r="V463" s="514">
        <v>290.89999999999998</v>
      </c>
      <c r="W463" s="514">
        <v>292.10000000000002</v>
      </c>
      <c r="X463" s="395">
        <v>345.6</v>
      </c>
      <c r="Y463" s="514">
        <v>512.5</v>
      </c>
      <c r="Z463" s="514"/>
      <c r="AA463" s="514">
        <v>480</v>
      </c>
      <c r="AB463" s="514">
        <v>223.8</v>
      </c>
      <c r="AC463" s="514">
        <v>520.9</v>
      </c>
      <c r="AD463" s="395">
        <v>257</v>
      </c>
      <c r="AE463" s="514">
        <v>466.2</v>
      </c>
      <c r="AG463" s="705"/>
      <c r="AH463" s="705"/>
    </row>
    <row r="464" spans="2:34" ht="13.5" customHeight="1">
      <c r="B464" s="1" t="s">
        <v>421</v>
      </c>
      <c r="C464" s="395">
        <v>2667.2</v>
      </c>
      <c r="D464" s="395">
        <v>2673.1</v>
      </c>
      <c r="E464" s="701"/>
      <c r="F464" s="395">
        <v>2625.7</v>
      </c>
      <c r="G464" s="395">
        <v>3790.9</v>
      </c>
      <c r="H464" s="395">
        <v>4014.9</v>
      </c>
      <c r="I464" s="701"/>
      <c r="J464" s="701"/>
      <c r="K464" s="707"/>
      <c r="M464" s="395">
        <v>797.5</v>
      </c>
      <c r="N464" s="514">
        <v>866.6</v>
      </c>
      <c r="O464" s="514">
        <v>775.2</v>
      </c>
      <c r="P464" s="68">
        <f t="shared" si="427"/>
        <v>1351.6</v>
      </c>
      <c r="Q464" s="395">
        <v>815</v>
      </c>
      <c r="R464" s="513">
        <v>889.7</v>
      </c>
      <c r="S464" s="513">
        <v>934.9</v>
      </c>
      <c r="T464" s="513">
        <v>968.7</v>
      </c>
      <c r="U464" s="705"/>
      <c r="V464" s="705"/>
      <c r="W464" s="705"/>
      <c r="X464" s="701"/>
      <c r="Y464" s="705"/>
      <c r="Z464" s="513"/>
      <c r="AA464" s="705"/>
      <c r="AB464" s="705"/>
      <c r="AC464" s="705"/>
      <c r="AD464" s="701"/>
      <c r="AE464" s="705"/>
      <c r="AG464" s="705"/>
      <c r="AH464" s="705"/>
    </row>
    <row r="465" spans="2:34" ht="13.5" customHeight="1">
      <c r="B465" s="1" t="s">
        <v>815</v>
      </c>
      <c r="C465" s="395">
        <v>1374.5</v>
      </c>
      <c r="D465" s="395">
        <v>1542.3</v>
      </c>
      <c r="E465" s="701"/>
      <c r="F465" s="395">
        <v>1390.3</v>
      </c>
      <c r="G465" s="395">
        <v>2007.2</v>
      </c>
      <c r="H465" s="395">
        <v>2179</v>
      </c>
      <c r="I465" s="701"/>
      <c r="J465" s="701"/>
      <c r="K465" s="707"/>
      <c r="M465" s="395">
        <v>453.9</v>
      </c>
      <c r="N465" s="514">
        <v>487.5</v>
      </c>
      <c r="O465" s="514">
        <v>358.8</v>
      </c>
      <c r="P465" s="68">
        <f t="shared" si="427"/>
        <v>707</v>
      </c>
      <c r="Q465" s="395">
        <v>467.6</v>
      </c>
      <c r="R465" s="513">
        <v>484.4</v>
      </c>
      <c r="S465" s="513">
        <v>508.1</v>
      </c>
      <c r="T465" s="513">
        <v>491.6</v>
      </c>
      <c r="U465" s="513">
        <v>646</v>
      </c>
      <c r="V465" s="513">
        <v>827.8</v>
      </c>
      <c r="W465" s="513">
        <v>825.2</v>
      </c>
      <c r="X465" s="701"/>
      <c r="Y465" s="701"/>
      <c r="Z465" s="513"/>
      <c r="AA465" s="513">
        <v>645.70000000000005</v>
      </c>
      <c r="AB465" s="513">
        <v>523.70000000000005</v>
      </c>
      <c r="AC465" s="513">
        <v>677.3</v>
      </c>
      <c r="AD465" s="701"/>
      <c r="AE465" s="701"/>
      <c r="AG465" s="705"/>
      <c r="AH465" s="705"/>
    </row>
    <row r="466" spans="2:34" ht="13.5" customHeight="1">
      <c r="B466" s="1" t="s">
        <v>816</v>
      </c>
      <c r="C466" s="395">
        <v>1012.4</v>
      </c>
      <c r="D466" s="395">
        <v>905.1</v>
      </c>
      <c r="E466" s="701"/>
      <c r="F466" s="395">
        <v>1090</v>
      </c>
      <c r="G466" s="395">
        <v>1573.7</v>
      </c>
      <c r="H466" s="395">
        <v>1687.4</v>
      </c>
      <c r="I466" s="701"/>
      <c r="J466" s="701"/>
      <c r="K466" s="707"/>
      <c r="M466" s="395">
        <v>281.60000000000002</v>
      </c>
      <c r="N466" s="514">
        <v>326.60000000000002</v>
      </c>
      <c r="O466" s="514">
        <v>389.5</v>
      </c>
      <c r="P466" s="68">
        <f t="shared" si="427"/>
        <v>576</v>
      </c>
      <c r="Q466" s="395">
        <v>300.60000000000002</v>
      </c>
      <c r="R466" s="513">
        <v>367.3</v>
      </c>
      <c r="S466" s="513">
        <v>401.5</v>
      </c>
      <c r="T466" s="513">
        <v>458.3</v>
      </c>
      <c r="U466" s="513">
        <v>524.5</v>
      </c>
      <c r="V466" s="513">
        <v>546</v>
      </c>
      <c r="W466" s="513">
        <v>572.70000000000005</v>
      </c>
      <c r="X466" s="701"/>
      <c r="Y466" s="701"/>
      <c r="Z466" s="513"/>
      <c r="AA466" s="513">
        <v>415.1</v>
      </c>
      <c r="AB466" s="513">
        <v>359.5</v>
      </c>
      <c r="AC466" s="513">
        <v>535.20000000000005</v>
      </c>
      <c r="AD466" s="701"/>
      <c r="AE466" s="701"/>
      <c r="AG466" s="705"/>
      <c r="AH466" s="705"/>
    </row>
    <row r="467" spans="2:34" ht="13.5" customHeight="1">
      <c r="B467" s="1" t="s">
        <v>59</v>
      </c>
      <c r="C467" s="395">
        <v>280.3</v>
      </c>
      <c r="D467" s="395">
        <v>225.7</v>
      </c>
      <c r="E467" s="701"/>
      <c r="F467" s="395">
        <v>145.5</v>
      </c>
      <c r="G467" s="395">
        <v>210</v>
      </c>
      <c r="H467" s="395">
        <v>148.5</v>
      </c>
      <c r="I467" s="701"/>
      <c r="J467" s="701"/>
      <c r="K467" s="707"/>
      <c r="M467" s="395">
        <v>62</v>
      </c>
      <c r="N467" s="514">
        <v>52.6</v>
      </c>
      <c r="O467" s="514">
        <v>26.9</v>
      </c>
      <c r="P467" s="68">
        <f t="shared" si="427"/>
        <v>68.5</v>
      </c>
      <c r="Q467" s="395">
        <v>46.9</v>
      </c>
      <c r="R467" s="513">
        <v>38</v>
      </c>
      <c r="S467" s="513">
        <v>25.3</v>
      </c>
      <c r="T467" s="513">
        <v>18.899999999999999</v>
      </c>
      <c r="U467" s="705"/>
      <c r="V467" s="705"/>
      <c r="W467" s="705"/>
      <c r="X467" s="701"/>
      <c r="Y467" s="705"/>
      <c r="Z467" s="513"/>
      <c r="AA467" s="705"/>
      <c r="AB467" s="705"/>
      <c r="AC467" s="705"/>
      <c r="AD467" s="701"/>
      <c r="AE467" s="705"/>
      <c r="AG467" s="705"/>
      <c r="AH467" s="705"/>
    </row>
    <row r="468" spans="2:34" s="5" customFormat="1" ht="13.5" customHeight="1">
      <c r="B468" s="5" t="s">
        <v>817</v>
      </c>
      <c r="C468" s="605">
        <v>3550.8</v>
      </c>
      <c r="D468" s="605">
        <v>3545.4</v>
      </c>
      <c r="E468" s="703"/>
      <c r="F468" s="605">
        <v>4568.7</v>
      </c>
      <c r="G468" s="605">
        <v>6596.2</v>
      </c>
      <c r="H468" s="605">
        <v>8633.7999999999993</v>
      </c>
      <c r="I468" s="605">
        <v>11300.9</v>
      </c>
      <c r="J468" s="605">
        <v>13688.8</v>
      </c>
      <c r="K468" s="77">
        <f>SUM(V468:Y468)</f>
        <v>13630.3</v>
      </c>
      <c r="M468" s="605">
        <v>1053.0999999999999</v>
      </c>
      <c r="N468" s="606">
        <v>1421</v>
      </c>
      <c r="O468" s="606">
        <v>1629.1</v>
      </c>
      <c r="P468" s="77">
        <f t="shared" si="427"/>
        <v>2493</v>
      </c>
      <c r="Q468" s="605">
        <v>1512.9</v>
      </c>
      <c r="R468" s="607">
        <v>1754.5</v>
      </c>
      <c r="S468" s="607">
        <v>2131.6999999999998</v>
      </c>
      <c r="T468" s="607">
        <v>2439.3000000000002</v>
      </c>
      <c r="U468" s="607">
        <v>2746.6</v>
      </c>
      <c r="V468" s="607">
        <v>2888.1</v>
      </c>
      <c r="W468" s="607">
        <v>3410.2</v>
      </c>
      <c r="X468" s="605">
        <v>3592.1</v>
      </c>
      <c r="Y468" s="607">
        <v>3739.9</v>
      </c>
      <c r="Z468" s="607"/>
      <c r="AA468" s="607">
        <v>2089.3000000000002</v>
      </c>
      <c r="AB468" s="607">
        <v>1695.6</v>
      </c>
      <c r="AC468" s="607">
        <v>2841.4</v>
      </c>
      <c r="AD468" s="605">
        <v>3192.9</v>
      </c>
      <c r="AE468" s="607">
        <v>3594.3</v>
      </c>
      <c r="AG468" s="704"/>
      <c r="AH468" s="704"/>
    </row>
    <row r="469" spans="2:34" ht="13.5" customHeight="1">
      <c r="B469" s="1" t="s">
        <v>818</v>
      </c>
      <c r="C469" s="395">
        <v>1989.8</v>
      </c>
      <c r="D469" s="395">
        <v>1848.2</v>
      </c>
      <c r="E469" s="701"/>
      <c r="F469" s="395">
        <v>2360.9</v>
      </c>
      <c r="G469" s="395">
        <v>3408.6</v>
      </c>
      <c r="H469" s="395">
        <v>4525.5</v>
      </c>
      <c r="I469" s="395">
        <v>5923.6</v>
      </c>
      <c r="J469" s="395">
        <v>5951.9</v>
      </c>
      <c r="K469" s="68">
        <f>SUM(V469:Y469)</f>
        <v>5690.5</v>
      </c>
      <c r="M469" s="395">
        <v>548.4</v>
      </c>
      <c r="N469" s="514">
        <v>707.3</v>
      </c>
      <c r="O469" s="514">
        <v>816.7</v>
      </c>
      <c r="P469" s="68">
        <f t="shared" si="427"/>
        <v>1336.2000000000003</v>
      </c>
      <c r="Q469" s="395">
        <v>841.7</v>
      </c>
      <c r="R469" s="513">
        <v>947.3</v>
      </c>
      <c r="S469" s="513">
        <v>1128.0999999999999</v>
      </c>
      <c r="T469" s="513">
        <v>1174.0999999999999</v>
      </c>
      <c r="U469" s="513">
        <v>1257.3</v>
      </c>
      <c r="V469" s="513">
        <v>1321.1</v>
      </c>
      <c r="W469" s="513">
        <v>1451.2</v>
      </c>
      <c r="X469" s="395">
        <v>1439.3</v>
      </c>
      <c r="Y469" s="513">
        <v>1478.9</v>
      </c>
      <c r="Z469" s="513"/>
      <c r="AA469" s="513">
        <v>1162.4000000000001</v>
      </c>
      <c r="AB469" s="513">
        <v>927.8</v>
      </c>
      <c r="AC469" s="513">
        <v>1503.7</v>
      </c>
      <c r="AD469" s="395">
        <v>1536.8</v>
      </c>
      <c r="AE469" s="513">
        <v>1645.4</v>
      </c>
      <c r="AG469" s="705"/>
      <c r="AH469" s="705"/>
    </row>
    <row r="470" spans="2:34" ht="13.5" customHeight="1">
      <c r="B470" s="1" t="s">
        <v>819</v>
      </c>
      <c r="C470" s="395">
        <v>1555.6</v>
      </c>
      <c r="D470" s="395">
        <v>1693</v>
      </c>
      <c r="E470" s="701"/>
      <c r="F470" s="395">
        <v>2176.5</v>
      </c>
      <c r="G470" s="395">
        <v>3142.4</v>
      </c>
      <c r="H470" s="395">
        <v>3926.6</v>
      </c>
      <c r="I470" s="395">
        <v>5139.5</v>
      </c>
      <c r="J470" s="395">
        <v>7247.8</v>
      </c>
      <c r="K470" s="68">
        <f>SUM(V470:Y470)</f>
        <v>7422.8000000000011</v>
      </c>
      <c r="M470" s="395">
        <v>511.1</v>
      </c>
      <c r="N470" s="514">
        <v>694.4</v>
      </c>
      <c r="O470" s="514">
        <v>811.3</v>
      </c>
      <c r="P470" s="68">
        <f t="shared" si="427"/>
        <v>1125.6000000000001</v>
      </c>
      <c r="Q470" s="395">
        <v>681</v>
      </c>
      <c r="R470" s="513">
        <v>804.1</v>
      </c>
      <c r="S470" s="513">
        <v>970.1</v>
      </c>
      <c r="T470" s="513">
        <v>1110.5</v>
      </c>
      <c r="U470" s="513">
        <v>1390</v>
      </c>
      <c r="V470" s="513">
        <v>1465.4</v>
      </c>
      <c r="W470" s="513">
        <v>1832.2</v>
      </c>
      <c r="X470" s="395">
        <v>2028.8</v>
      </c>
      <c r="Y470" s="513">
        <v>2096.4</v>
      </c>
      <c r="Z470" s="513"/>
      <c r="AA470" s="513">
        <v>940.4</v>
      </c>
      <c r="AB470" s="513">
        <v>765.6</v>
      </c>
      <c r="AC470" s="513">
        <v>1293.0999999999999</v>
      </c>
      <c r="AD470" s="395">
        <v>1453.4</v>
      </c>
      <c r="AE470" s="513">
        <v>1819</v>
      </c>
      <c r="AG470" s="705"/>
      <c r="AH470" s="705"/>
    </row>
    <row r="471" spans="2:34" ht="13.5" customHeight="1">
      <c r="B471" s="1" t="s">
        <v>59</v>
      </c>
      <c r="C471" s="395">
        <v>5.4</v>
      </c>
      <c r="D471" s="395">
        <v>4.2</v>
      </c>
      <c r="E471" s="701"/>
      <c r="F471" s="395">
        <v>31.3</v>
      </c>
      <c r="G471" s="395">
        <v>45.2</v>
      </c>
      <c r="H471" s="395">
        <v>181.6</v>
      </c>
      <c r="I471" s="395">
        <v>237.8</v>
      </c>
      <c r="J471" s="395">
        <v>489.1</v>
      </c>
      <c r="K471" s="68">
        <f>SUM(V471:Y471)</f>
        <v>517</v>
      </c>
      <c r="M471" s="395">
        <v>-6.4</v>
      </c>
      <c r="N471" s="514">
        <v>19.3</v>
      </c>
      <c r="O471" s="514">
        <v>1.1000000000000001</v>
      </c>
      <c r="P471" s="68">
        <f t="shared" si="427"/>
        <v>31.200000000000003</v>
      </c>
      <c r="Q471" s="395">
        <v>-9.8000000000000007</v>
      </c>
      <c r="R471" s="514">
        <v>3</v>
      </c>
      <c r="S471" s="514">
        <v>33.5</v>
      </c>
      <c r="T471" s="514">
        <v>154.80000000000001</v>
      </c>
      <c r="U471" s="514">
        <v>99.4</v>
      </c>
      <c r="V471" s="514">
        <v>101.6</v>
      </c>
      <c r="W471" s="514">
        <v>126.8</v>
      </c>
      <c r="X471" s="395">
        <v>124</v>
      </c>
      <c r="Y471" s="514">
        <v>164.6</v>
      </c>
      <c r="Z471" s="514"/>
      <c r="AA471" s="514">
        <v>-13.5</v>
      </c>
      <c r="AB471" s="514">
        <v>2.2000000000000002</v>
      </c>
      <c r="AC471" s="514">
        <v>44.7</v>
      </c>
      <c r="AD471" s="395">
        <v>202.7</v>
      </c>
      <c r="AE471" s="514">
        <v>129.9</v>
      </c>
      <c r="AG471" s="705"/>
      <c r="AH471" s="705"/>
    </row>
    <row r="472" spans="2:34" s="5" customFormat="1" ht="13.5" customHeight="1">
      <c r="B472" s="5" t="s">
        <v>820</v>
      </c>
      <c r="C472" s="605">
        <v>12373.1</v>
      </c>
      <c r="D472" s="605">
        <v>9316.7000000000007</v>
      </c>
      <c r="E472" s="703"/>
      <c r="F472" s="605">
        <v>7969</v>
      </c>
      <c r="G472" s="605">
        <v>11505.5</v>
      </c>
      <c r="H472" s="605">
        <v>10251.1</v>
      </c>
      <c r="I472" s="395">
        <v>7116.7</v>
      </c>
      <c r="J472" s="395">
        <v>7462.5</v>
      </c>
      <c r="K472" s="68">
        <f>SUM(V472:Y472)</f>
        <v>7929.4</v>
      </c>
      <c r="M472" s="605">
        <v>2263.4</v>
      </c>
      <c r="N472" s="606">
        <v>2772.3</v>
      </c>
      <c r="O472" s="606">
        <v>2635.6</v>
      </c>
      <c r="P472" s="77">
        <f t="shared" si="427"/>
        <v>3834.1999999999989</v>
      </c>
      <c r="Q472" s="605">
        <v>1978.6</v>
      </c>
      <c r="R472" s="607">
        <v>1835.8</v>
      </c>
      <c r="S472" s="607">
        <v>2251.1999999999998</v>
      </c>
      <c r="T472" s="607">
        <v>3251.1</v>
      </c>
      <c r="U472" s="607">
        <v>1692.7</v>
      </c>
      <c r="V472" s="607">
        <v>1908.5</v>
      </c>
      <c r="W472" s="607">
        <v>1671.2</v>
      </c>
      <c r="X472" s="605">
        <v>1589.8</v>
      </c>
      <c r="Y472" s="607">
        <v>2759.9</v>
      </c>
      <c r="Z472" s="607"/>
      <c r="AA472" s="607">
        <v>1493.1</v>
      </c>
      <c r="AB472" s="607">
        <v>1238.2</v>
      </c>
      <c r="AC472" s="607">
        <v>1712.3</v>
      </c>
      <c r="AD472" s="395">
        <v>1717</v>
      </c>
      <c r="AE472" s="607">
        <v>2215.1999999999998</v>
      </c>
      <c r="AG472" s="704"/>
      <c r="AH472" s="704"/>
    </row>
    <row r="473" spans="2:34" ht="13.5" customHeight="1">
      <c r="B473" s="1" t="s">
        <v>821</v>
      </c>
      <c r="C473" s="395">
        <v>9935.9</v>
      </c>
      <c r="D473" s="395">
        <v>7418.2</v>
      </c>
      <c r="E473" s="701"/>
      <c r="F473" s="395">
        <v>6676.6</v>
      </c>
      <c r="G473" s="395">
        <v>9629.2999999999993</v>
      </c>
      <c r="H473" s="395">
        <v>8972.2000000000007</v>
      </c>
      <c r="I473" s="701"/>
      <c r="J473" s="701"/>
      <c r="K473" s="707"/>
      <c r="M473" s="395">
        <v>1838.6</v>
      </c>
      <c r="N473" s="514">
        <v>2338.8000000000002</v>
      </c>
      <c r="O473" s="514">
        <v>2174.1999999999998</v>
      </c>
      <c r="P473" s="68">
        <f t="shared" si="427"/>
        <v>3277.7</v>
      </c>
      <c r="Q473" s="395">
        <v>1739.9</v>
      </c>
      <c r="R473" s="513">
        <v>1541.1</v>
      </c>
      <c r="S473" s="513">
        <v>1933.7</v>
      </c>
      <c r="T473" s="513">
        <v>2950.5</v>
      </c>
      <c r="U473" s="513">
        <v>0</v>
      </c>
      <c r="V473" s="513">
        <v>0</v>
      </c>
      <c r="W473" s="705"/>
      <c r="X473" s="701"/>
      <c r="Y473" s="705"/>
      <c r="Z473" s="513"/>
      <c r="AA473" s="513">
        <v>0</v>
      </c>
      <c r="AB473" s="513">
        <v>0</v>
      </c>
      <c r="AC473" s="513">
        <v>0</v>
      </c>
      <c r="AD473" s="701"/>
      <c r="AE473" s="701"/>
      <c r="AG473" s="705"/>
      <c r="AH473" s="705"/>
    </row>
    <row r="474" spans="2:34" ht="13.5" customHeight="1">
      <c r="B474" s="1" t="s">
        <v>822</v>
      </c>
      <c r="C474" s="395">
        <v>1543.9</v>
      </c>
      <c r="D474" s="395">
        <v>1295.8</v>
      </c>
      <c r="E474" s="701"/>
      <c r="F474" s="395">
        <v>801.5</v>
      </c>
      <c r="G474" s="395">
        <v>1157.0999999999999</v>
      </c>
      <c r="H474" s="395">
        <v>436.6</v>
      </c>
      <c r="I474" s="701"/>
      <c r="J474" s="701"/>
      <c r="K474" s="707"/>
      <c r="M474" s="395">
        <v>268</v>
      </c>
      <c r="N474" s="514">
        <v>285.89999999999998</v>
      </c>
      <c r="O474" s="514">
        <v>249.8</v>
      </c>
      <c r="P474" s="68">
        <f t="shared" si="427"/>
        <v>353.39999999999986</v>
      </c>
      <c r="Q474" s="395">
        <v>98</v>
      </c>
      <c r="R474" s="513">
        <v>87.6</v>
      </c>
      <c r="S474" s="513">
        <v>116.8</v>
      </c>
      <c r="T474" s="513">
        <v>88.1</v>
      </c>
      <c r="U474" s="513">
        <v>205.8</v>
      </c>
      <c r="V474" s="513">
        <v>225.3</v>
      </c>
      <c r="W474" s="513">
        <v>283.5</v>
      </c>
      <c r="X474" s="701"/>
      <c r="Y474" s="701"/>
      <c r="Z474" s="513"/>
      <c r="AA474" s="513">
        <v>135.30000000000001</v>
      </c>
      <c r="AB474" s="513">
        <v>85.8</v>
      </c>
      <c r="AC474" s="513">
        <v>155.69999999999999</v>
      </c>
      <c r="AD474" s="701"/>
      <c r="AE474" s="701"/>
      <c r="AG474" s="705"/>
      <c r="AH474" s="705"/>
    </row>
    <row r="475" spans="2:34" ht="13.5" customHeight="1">
      <c r="B475" s="1" t="s">
        <v>823</v>
      </c>
      <c r="C475" s="395">
        <v>893.3</v>
      </c>
      <c r="D475" s="395">
        <v>602.70000000000005</v>
      </c>
      <c r="E475" s="701"/>
      <c r="F475" s="395">
        <v>490.9</v>
      </c>
      <c r="G475" s="395">
        <v>719.1</v>
      </c>
      <c r="H475" s="395">
        <v>842.3</v>
      </c>
      <c r="I475" s="701"/>
      <c r="J475" s="701"/>
      <c r="K475" s="707"/>
      <c r="M475" s="395">
        <v>156.80000000000001</v>
      </c>
      <c r="N475" s="514">
        <v>147.5</v>
      </c>
      <c r="O475" s="514">
        <v>211.6</v>
      </c>
      <c r="P475" s="68">
        <f t="shared" si="427"/>
        <v>203.20000000000005</v>
      </c>
      <c r="Q475" s="395">
        <v>140.69999999999999</v>
      </c>
      <c r="R475" s="513">
        <v>207.2</v>
      </c>
      <c r="S475" s="513">
        <v>200.7</v>
      </c>
      <c r="T475" s="513">
        <v>212.4</v>
      </c>
      <c r="U475" s="513">
        <v>316.3</v>
      </c>
      <c r="V475" s="513">
        <v>309.39999999999998</v>
      </c>
      <c r="W475" s="513">
        <v>-10.3</v>
      </c>
      <c r="X475" s="701"/>
      <c r="Y475" s="701"/>
      <c r="Z475" s="513"/>
      <c r="AA475" s="513">
        <v>296.89999999999998</v>
      </c>
      <c r="AB475" s="513">
        <v>269.2</v>
      </c>
      <c r="AC475" s="513">
        <v>344.1</v>
      </c>
      <c r="AD475" s="701"/>
      <c r="AE475" s="701"/>
      <c r="AG475" s="705"/>
      <c r="AH475" s="705"/>
    </row>
    <row r="476" spans="2:34" s="5" customFormat="1" ht="13.5" customHeight="1">
      <c r="B476" s="5" t="s">
        <v>824</v>
      </c>
      <c r="C476" s="77">
        <v>108599.6</v>
      </c>
      <c r="D476" s="77">
        <v>93486.8</v>
      </c>
      <c r="E476" s="706"/>
      <c r="F476" s="77">
        <v>107116.2</v>
      </c>
      <c r="G476" s="77">
        <v>154653</v>
      </c>
      <c r="H476" s="77">
        <v>166671.4</v>
      </c>
      <c r="I476" s="77">
        <f>I472+I468+I459</f>
        <v>218160</v>
      </c>
      <c r="J476" s="77">
        <f>J472+J468+J459</f>
        <v>241470.8</v>
      </c>
      <c r="K476" s="77">
        <f>K472+K468+K459</f>
        <v>243017.2</v>
      </c>
      <c r="M476" s="77">
        <v>27569.1</v>
      </c>
      <c r="N476" s="608">
        <v>35028.9</v>
      </c>
      <c r="O476" s="608">
        <v>37590.1</v>
      </c>
      <c r="P476" s="77">
        <f t="shared" si="427"/>
        <v>54464.899999999994</v>
      </c>
      <c r="Q476" s="77">
        <v>30822.3</v>
      </c>
      <c r="R476" s="407">
        <v>34913.5</v>
      </c>
      <c r="S476" s="407">
        <v>40171.4</v>
      </c>
      <c r="T476" s="77">
        <f t="shared" ref="T476:Y476" si="428">T472+T468+T459</f>
        <v>43925.599999999999</v>
      </c>
      <c r="U476" s="77">
        <f t="shared" si="428"/>
        <v>47962.700000000004</v>
      </c>
      <c r="V476" s="77">
        <f t="shared" si="428"/>
        <v>52285.4</v>
      </c>
      <c r="W476" s="77">
        <f t="shared" si="428"/>
        <v>59535.4</v>
      </c>
      <c r="X476" s="77">
        <f t="shared" si="428"/>
        <v>62819.4</v>
      </c>
      <c r="Y476" s="77">
        <f t="shared" si="428"/>
        <v>68377</v>
      </c>
      <c r="Z476" s="407"/>
      <c r="AA476" s="77">
        <f>AA472+AA468+AA459</f>
        <v>42566.8</v>
      </c>
      <c r="AB476" s="77">
        <f>AB472+AB468+AB459</f>
        <v>34120.300000000003</v>
      </c>
      <c r="AC476" s="77">
        <f>AC472+AC468+AC459</f>
        <v>53546.1</v>
      </c>
      <c r="AD476" s="77">
        <f>AD472+AD468+AD459</f>
        <v>58763.200000000004</v>
      </c>
      <c r="AE476" s="77">
        <f>AE472+AE468+AE459</f>
        <v>62766.6</v>
      </c>
      <c r="AG476" s="702"/>
      <c r="AH476" s="702"/>
    </row>
    <row r="478" spans="2:34" ht="13.5" customHeight="1">
      <c r="B478" s="1" t="s">
        <v>825</v>
      </c>
    </row>
    <row r="479" spans="2:34" ht="13.5" customHeight="1">
      <c r="B479" s="1" t="s">
        <v>826</v>
      </c>
      <c r="C479" s="395">
        <v>5442.4</v>
      </c>
      <c r="D479" s="395">
        <v>4097.8999999999996</v>
      </c>
      <c r="E479" s="701"/>
      <c r="F479" s="395">
        <v>4892.6000000000004</v>
      </c>
      <c r="G479" s="395">
        <v>3940.4</v>
      </c>
      <c r="H479" s="395">
        <v>7038.4</v>
      </c>
      <c r="I479" s="708"/>
      <c r="J479" s="708"/>
      <c r="K479" s="707"/>
      <c r="M479" s="395">
        <v>1203.9000000000001</v>
      </c>
      <c r="N479" s="514">
        <v>1626.9</v>
      </c>
      <c r="O479" s="514">
        <v>1801.3</v>
      </c>
      <c r="P479" s="68">
        <f>F479-SUM(M479:O479)</f>
        <v>260.5</v>
      </c>
      <c r="Q479" s="395">
        <v>1592.7</v>
      </c>
      <c r="R479" s="514">
        <v>1706.8</v>
      </c>
      <c r="S479" s="514">
        <v>1874.2</v>
      </c>
      <c r="T479" s="514">
        <v>2032.4</v>
      </c>
      <c r="U479" s="708"/>
      <c r="V479" s="708"/>
      <c r="W479" s="708"/>
      <c r="X479" s="708"/>
      <c r="Y479" s="708"/>
      <c r="Z479" s="514"/>
      <c r="AA479" s="708"/>
      <c r="AB479" s="708"/>
      <c r="AC479" s="708"/>
      <c r="AD479" s="708"/>
      <c r="AE479" s="708"/>
      <c r="AG479" s="708"/>
      <c r="AH479" s="708"/>
    </row>
    <row r="480" spans="2:34" ht="13.5" customHeight="1">
      <c r="B480" s="1" t="s">
        <v>827</v>
      </c>
      <c r="C480" s="395">
        <v>7480.2</v>
      </c>
      <c r="D480" s="395">
        <v>8214.1</v>
      </c>
      <c r="E480" s="701"/>
      <c r="F480" s="395">
        <v>10107.299999999999</v>
      </c>
      <c r="G480" s="395">
        <v>8073.5</v>
      </c>
      <c r="H480" s="395">
        <v>12382.164204091678</v>
      </c>
      <c r="I480" s="708"/>
      <c r="J480" s="708"/>
      <c r="K480" s="707"/>
      <c r="M480" s="395">
        <v>2784.8</v>
      </c>
      <c r="N480" s="514">
        <v>3675.8</v>
      </c>
      <c r="O480" s="514">
        <v>2876.8</v>
      </c>
      <c r="P480" s="68">
        <f>F480-SUM(M480:O480)</f>
        <v>769.89999999999782</v>
      </c>
      <c r="Q480" s="395">
        <v>2782.4</v>
      </c>
      <c r="R480" s="514">
        <v>2624</v>
      </c>
      <c r="S480" s="514">
        <v>2883.6</v>
      </c>
      <c r="T480" s="514">
        <v>4354.2</v>
      </c>
      <c r="U480" s="708"/>
      <c r="V480" s="708"/>
      <c r="W480" s="708"/>
      <c r="X480" s="708"/>
      <c r="Y480" s="708"/>
      <c r="Z480" s="514"/>
      <c r="AA480" s="708"/>
      <c r="AB480" s="708"/>
      <c r="AC480" s="708"/>
      <c r="AD480" s="708"/>
      <c r="AE480" s="708"/>
      <c r="AG480" s="708"/>
      <c r="AH480" s="708"/>
    </row>
    <row r="481" spans="2:34" ht="13.5" customHeight="1">
      <c r="B481" s="1" t="s">
        <v>817</v>
      </c>
      <c r="C481" s="395">
        <v>3550.8</v>
      </c>
      <c r="D481" s="395">
        <v>3545.4</v>
      </c>
      <c r="E481" s="701"/>
      <c r="F481" s="395">
        <v>4568.7</v>
      </c>
      <c r="G481" s="395">
        <v>3726.1</v>
      </c>
      <c r="H481" s="395">
        <v>7643.8</v>
      </c>
      <c r="I481" s="705"/>
      <c r="J481" s="705"/>
      <c r="K481" s="707"/>
      <c r="M481" s="395">
        <v>1053.0999999999999</v>
      </c>
      <c r="N481" s="514">
        <v>1421</v>
      </c>
      <c r="O481" s="514">
        <v>1629.1</v>
      </c>
      <c r="P481" s="68">
        <f>F481-SUM(M481:O481)</f>
        <v>465.5</v>
      </c>
      <c r="Q481" s="395">
        <v>1512.9</v>
      </c>
      <c r="R481" s="513">
        <v>1754.5</v>
      </c>
      <c r="S481" s="513">
        <v>2131.6999999999998</v>
      </c>
      <c r="T481" s="513">
        <v>2439.3000000000002</v>
      </c>
      <c r="U481" s="705"/>
      <c r="V481" s="705"/>
      <c r="W481" s="705"/>
      <c r="X481" s="705"/>
      <c r="Y481" s="705"/>
      <c r="Z481" s="513"/>
      <c r="AA481" s="705"/>
      <c r="AB481" s="705"/>
      <c r="AC481" s="705"/>
      <c r="AD481" s="705"/>
      <c r="AE481" s="705"/>
      <c r="AG481" s="705"/>
      <c r="AH481" s="705"/>
    </row>
    <row r="483" spans="2:34" ht="13.5" customHeight="1">
      <c r="B483" s="5" t="s">
        <v>828</v>
      </c>
    </row>
    <row r="484" spans="2:34" ht="13.5" customHeight="1">
      <c r="B484" s="1" t="s">
        <v>811</v>
      </c>
      <c r="C484" s="395">
        <v>40815.4</v>
      </c>
      <c r="D484" s="395">
        <v>32770.6</v>
      </c>
      <c r="E484" s="701"/>
      <c r="F484" s="395">
        <v>40663.5</v>
      </c>
      <c r="G484" s="395">
        <v>58709.4</v>
      </c>
      <c r="H484" s="395">
        <v>66447.399999999994</v>
      </c>
      <c r="I484" s="395">
        <v>86852.7</v>
      </c>
      <c r="J484" s="395">
        <v>98416.5</v>
      </c>
      <c r="K484" s="68">
        <f>SUM(V484:Y484)</f>
        <v>97365.1</v>
      </c>
      <c r="M484" s="395">
        <v>9671</v>
      </c>
      <c r="N484" s="514">
        <v>13433.9</v>
      </c>
      <c r="O484" s="514">
        <v>14865.3</v>
      </c>
      <c r="P484" s="68">
        <f>G484-SUM(M484:O484)</f>
        <v>20739.200000000004</v>
      </c>
      <c r="Q484" s="395">
        <v>12027.4</v>
      </c>
      <c r="R484" s="513">
        <v>14248.5</v>
      </c>
      <c r="S484" s="513">
        <v>16738.900000000001</v>
      </c>
      <c r="T484" s="513">
        <v>17074.8</v>
      </c>
      <c r="U484" s="513">
        <v>19835</v>
      </c>
      <c r="V484" s="513">
        <v>21838.3</v>
      </c>
      <c r="W484" s="513">
        <v>24871.200000000001</v>
      </c>
      <c r="X484" s="513">
        <v>24373.5</v>
      </c>
      <c r="Y484" s="513">
        <v>26282.1</v>
      </c>
      <c r="Z484" s="513"/>
      <c r="AA484" s="513">
        <v>16799</v>
      </c>
      <c r="AB484" s="513">
        <v>19220.3</v>
      </c>
      <c r="AC484" s="513">
        <v>22342</v>
      </c>
      <c r="AD484" s="513">
        <v>21996.799999999999</v>
      </c>
      <c r="AE484" s="513">
        <v>25957.200000000001</v>
      </c>
      <c r="AG484" s="705"/>
      <c r="AH484" s="705"/>
    </row>
    <row r="485" spans="2:34" ht="13.5" customHeight="1">
      <c r="B485" s="1" t="s">
        <v>421</v>
      </c>
      <c r="C485" s="395">
        <v>859.1</v>
      </c>
      <c r="D485" s="395">
        <v>891.2</v>
      </c>
      <c r="E485" s="701"/>
      <c r="F485" s="395">
        <v>972.9</v>
      </c>
      <c r="G485" s="395">
        <v>1404.6</v>
      </c>
      <c r="H485" s="395">
        <v>1473.2</v>
      </c>
      <c r="I485" s="709"/>
      <c r="J485" s="709"/>
      <c r="K485" s="709"/>
      <c r="M485" s="395">
        <v>255.8</v>
      </c>
      <c r="N485" s="514">
        <v>345.4</v>
      </c>
      <c r="O485" s="514">
        <v>369.4</v>
      </c>
      <c r="P485" s="68">
        <f>G485-SUM(M485:O485)</f>
        <v>433.99999999999989</v>
      </c>
      <c r="Q485" s="395">
        <v>297.2</v>
      </c>
      <c r="R485" s="513">
        <v>334.2</v>
      </c>
      <c r="S485" s="513">
        <v>365.1</v>
      </c>
      <c r="T485" s="513">
        <v>325.39999999999998</v>
      </c>
      <c r="U485" s="705"/>
      <c r="V485" s="705"/>
      <c r="W485" s="705"/>
      <c r="X485" s="705"/>
      <c r="Y485" s="705"/>
      <c r="Z485" s="513"/>
      <c r="AA485" s="705"/>
      <c r="AB485" s="705"/>
      <c r="AC485" s="705"/>
      <c r="AD485" s="705"/>
      <c r="AE485" s="705"/>
      <c r="AG485" s="705"/>
      <c r="AH485" s="705"/>
    </row>
    <row r="486" spans="2:34" ht="13.5" customHeight="1">
      <c r="B486" s="1" t="s">
        <v>422</v>
      </c>
      <c r="C486" s="395">
        <v>2119.6</v>
      </c>
      <c r="D486" s="395">
        <v>1749.5</v>
      </c>
      <c r="E486" s="701"/>
      <c r="F486" s="395">
        <v>1607.5</v>
      </c>
      <c r="G486" s="395">
        <v>2320.9</v>
      </c>
      <c r="H486" s="395">
        <v>2174.3000000000002</v>
      </c>
      <c r="I486" s="395">
        <v>2845.9</v>
      </c>
      <c r="J486" s="395">
        <v>3383.1</v>
      </c>
      <c r="K486" s="68">
        <f>SUM(V486:Y486)</f>
        <v>3631.1</v>
      </c>
      <c r="M486" s="395">
        <v>416.2</v>
      </c>
      <c r="N486" s="514">
        <v>639.79999999999995</v>
      </c>
      <c r="O486" s="514">
        <v>620.29999999999995</v>
      </c>
      <c r="P486" s="68">
        <f>G486-SUM(M486:O486)</f>
        <v>644.60000000000014</v>
      </c>
      <c r="Q486" s="395">
        <v>345.3</v>
      </c>
      <c r="R486" s="513">
        <v>466.2</v>
      </c>
      <c r="S486" s="513">
        <v>595.1</v>
      </c>
      <c r="T486" s="513">
        <v>569</v>
      </c>
      <c r="U486" s="513">
        <v>716.9</v>
      </c>
      <c r="V486" s="513">
        <v>734.5</v>
      </c>
      <c r="W486" s="513">
        <v>748.4</v>
      </c>
      <c r="X486" s="513">
        <v>925.6</v>
      </c>
      <c r="Y486" s="513">
        <v>1222.5999999999999</v>
      </c>
      <c r="Z486" s="513"/>
      <c r="AA486" s="513">
        <v>476.9</v>
      </c>
      <c r="AB486" s="513">
        <v>629.6</v>
      </c>
      <c r="AC486" s="513">
        <v>793.2</v>
      </c>
      <c r="AD486" s="513">
        <v>744.8</v>
      </c>
      <c r="AE486" s="513">
        <v>938.1</v>
      </c>
      <c r="AG486" s="705"/>
      <c r="AH486" s="705"/>
    </row>
    <row r="487" spans="2:34" ht="13.5" customHeight="1">
      <c r="B487" s="1" t="s">
        <v>59</v>
      </c>
      <c r="C487" s="395">
        <v>1149</v>
      </c>
      <c r="D487" s="395">
        <v>1196.4000000000001</v>
      </c>
      <c r="E487" s="701"/>
      <c r="F487" s="395">
        <v>633.29999999999995</v>
      </c>
      <c r="G487" s="395">
        <v>914.3</v>
      </c>
      <c r="H487" s="395">
        <v>-292.89999999999998</v>
      </c>
      <c r="I487" s="395">
        <v>1666.8</v>
      </c>
      <c r="J487" s="395">
        <v>2217.4</v>
      </c>
      <c r="K487" s="68">
        <f>SUM(V487:Y487)</f>
        <v>2441.9</v>
      </c>
      <c r="M487" s="395">
        <v>11</v>
      </c>
      <c r="N487" s="514">
        <v>425.8</v>
      </c>
      <c r="O487" s="514">
        <v>235.6</v>
      </c>
      <c r="P487" s="68">
        <f>G487-SUM(M487:O487)</f>
        <v>241.89999999999998</v>
      </c>
      <c r="Q487" s="395">
        <v>84.4</v>
      </c>
      <c r="R487" s="514">
        <v>-162</v>
      </c>
      <c r="S487" s="514">
        <v>57.7</v>
      </c>
      <c r="T487" s="514">
        <v>-272.60000000000002</v>
      </c>
      <c r="U487" s="514">
        <v>407.2</v>
      </c>
      <c r="V487" s="514">
        <v>513</v>
      </c>
      <c r="W487" s="514">
        <v>545.4</v>
      </c>
      <c r="X487" s="514">
        <v>588.4</v>
      </c>
      <c r="Y487" s="514">
        <v>795.1</v>
      </c>
      <c r="Z487" s="514"/>
      <c r="AA487" s="514">
        <v>338.3</v>
      </c>
      <c r="AB487" s="514">
        <v>254.7</v>
      </c>
      <c r="AC487" s="514">
        <v>533.70000000000005</v>
      </c>
      <c r="AD487" s="514">
        <v>421.9</v>
      </c>
      <c r="AE487" s="514">
        <v>532.9</v>
      </c>
      <c r="AG487" s="705"/>
      <c r="AH487" s="705"/>
    </row>
    <row r="488" spans="2:34" s="5" customFormat="1" ht="13.5" customHeight="1">
      <c r="B488" s="5" t="s">
        <v>829</v>
      </c>
      <c r="C488" s="605">
        <v>44943.199999999997</v>
      </c>
      <c r="D488" s="605">
        <v>36607.699999999997</v>
      </c>
      <c r="E488" s="703"/>
      <c r="F488" s="407">
        <f t="shared" ref="F488:K488" si="429">SUM(F484:F487)</f>
        <v>43877.200000000004</v>
      </c>
      <c r="G488" s="407">
        <f t="shared" si="429"/>
        <v>63349.200000000004</v>
      </c>
      <c r="H488" s="407">
        <f t="shared" si="429"/>
        <v>69802</v>
      </c>
      <c r="I488" s="407">
        <f t="shared" si="429"/>
        <v>91365.4</v>
      </c>
      <c r="J488" s="407">
        <f t="shared" si="429"/>
        <v>104017</v>
      </c>
      <c r="K488" s="407">
        <f t="shared" si="429"/>
        <v>103438.1</v>
      </c>
      <c r="M488" s="605">
        <v>10353.9</v>
      </c>
      <c r="N488" s="606">
        <v>14844.8</v>
      </c>
      <c r="O488" s="606">
        <v>16090.5</v>
      </c>
      <c r="P488" s="77">
        <f>G488-SUM(M488:O488)</f>
        <v>22060.000000000007</v>
      </c>
      <c r="Q488" s="605">
        <v>12754.3</v>
      </c>
      <c r="R488" s="607">
        <v>14886.9</v>
      </c>
      <c r="S488" s="607">
        <v>17756.900000000001</v>
      </c>
      <c r="T488" s="407">
        <f t="shared" ref="T488:Y488" si="430">SUM(T484:T487)</f>
        <v>17696.600000000002</v>
      </c>
      <c r="U488" s="407">
        <f t="shared" si="430"/>
        <v>20959.100000000002</v>
      </c>
      <c r="V488" s="407">
        <f t="shared" si="430"/>
        <v>23085.8</v>
      </c>
      <c r="W488" s="407">
        <f t="shared" si="430"/>
        <v>26165.000000000004</v>
      </c>
      <c r="X488" s="407">
        <f t="shared" si="430"/>
        <v>25887.5</v>
      </c>
      <c r="Y488" s="407">
        <f t="shared" si="430"/>
        <v>28299.799999999996</v>
      </c>
      <c r="Z488" s="607"/>
      <c r="AA488" s="407">
        <f>SUM(AA484:AA487)</f>
        <v>17614.2</v>
      </c>
      <c r="AB488" s="407">
        <f>SUM(AB484:AB487)</f>
        <v>20104.599999999999</v>
      </c>
      <c r="AC488" s="407">
        <f>SUM(AC484:AC487)</f>
        <v>23668.9</v>
      </c>
      <c r="AD488" s="407">
        <f>SUM(AD484:AD487)</f>
        <v>23163.5</v>
      </c>
      <c r="AE488" s="407">
        <f>SUM(AE484:AE487)</f>
        <v>27428.2</v>
      </c>
      <c r="AG488" s="704"/>
      <c r="AH488" s="704"/>
    </row>
  </sheetData>
  <pageMargins left="0.51181102362204722" right="0.47244094488188981" top="0.23622047244094491" bottom="0.43307086614173229" header="0.51181102362204722" footer="0.23622047244094491"/>
  <pageSetup paperSize="9" scale="83" fitToHeight="0" orientation="portrait" r:id="rId1"/>
  <headerFooter alignWithMargins="0">
    <oddFooter>&amp;L&amp;8U.S. Bank Loan Team&amp;C&amp;"Arial,Bold"&amp;8- Confidential -&amp;R&amp;8&amp;D &amp;T</oddFooter>
  </headerFooter>
  <rowBreaks count="1" manualBreakCount="1">
    <brk id="117" min="1" max="10"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6A84-0142-470B-92A8-1058469209BC}">
  <dimension ref="B2:AE19"/>
  <sheetViews>
    <sheetView showGridLines="0" zoomScaleNormal="100" workbookViewId="0">
      <pane xSplit="2" ySplit="6" topLeftCell="C7" activePane="bottomRight" state="frozen"/>
      <selection pane="bottomRight" activeCell="K27" sqref="K27"/>
      <selection pane="bottomLeft" activeCell="K27" sqref="K27"/>
      <selection pane="topRight" activeCell="K27" sqref="K27"/>
    </sheetView>
  </sheetViews>
  <sheetFormatPr defaultRowHeight="12.75" outlineLevelCol="1"/>
  <cols>
    <col min="1" max="1" width="2.7109375" customWidth="1"/>
    <col min="2" max="2" width="50.7109375" customWidth="1"/>
    <col min="3" max="8" width="12.7109375" hidden="1" customWidth="1" outlineLevel="1"/>
    <col min="9" max="9" width="12.7109375" customWidth="1" collapsed="1"/>
    <col min="10" max="12" width="12.7109375" customWidth="1"/>
    <col min="13" max="19" width="12.7109375" hidden="1" customWidth="1" outlineLevel="1"/>
    <col min="20" max="20" width="12.7109375" customWidth="1" collapsed="1"/>
    <col min="21" max="32" width="12.7109375" customWidth="1"/>
  </cols>
  <sheetData>
    <row r="2" spans="2:31" s="2" customFormat="1" ht="24.75" customHeight="1">
      <c r="B2" s="536" t="s">
        <v>405</v>
      </c>
      <c r="C2" s="537" t="s">
        <v>406</v>
      </c>
      <c r="D2" s="537" t="s">
        <v>406</v>
      </c>
      <c r="E2" s="537" t="s">
        <v>406</v>
      </c>
      <c r="F2" s="537" t="s">
        <v>406</v>
      </c>
      <c r="G2" s="537" t="s">
        <v>406</v>
      </c>
      <c r="H2" s="537" t="s">
        <v>406</v>
      </c>
      <c r="I2" s="537" t="s">
        <v>406</v>
      </c>
      <c r="J2" s="537" t="s">
        <v>406</v>
      </c>
      <c r="K2" s="537" t="s">
        <v>407</v>
      </c>
      <c r="L2" s="426" t="s">
        <v>397</v>
      </c>
      <c r="M2" s="538" t="s">
        <v>408</v>
      </c>
      <c r="N2" s="538" t="s">
        <v>408</v>
      </c>
      <c r="O2" s="538" t="s">
        <v>408</v>
      </c>
      <c r="P2" s="538" t="s">
        <v>408</v>
      </c>
      <c r="Q2" s="537" t="s">
        <v>408</v>
      </c>
      <c r="R2" s="537" t="s">
        <v>408</v>
      </c>
      <c r="S2" s="537" t="s">
        <v>408</v>
      </c>
      <c r="T2" s="537" t="s">
        <v>408</v>
      </c>
      <c r="U2" s="537" t="s">
        <v>408</v>
      </c>
      <c r="V2" s="537" t="s">
        <v>408</v>
      </c>
      <c r="W2" s="537" t="s">
        <v>408</v>
      </c>
      <c r="X2" s="537" t="s">
        <v>408</v>
      </c>
      <c r="Y2" s="537" t="s">
        <v>408</v>
      </c>
      <c r="AA2" s="537" t="s">
        <v>408</v>
      </c>
      <c r="AB2" s="537" t="s">
        <v>408</v>
      </c>
      <c r="AC2" s="537" t="s">
        <v>408</v>
      </c>
      <c r="AD2" s="537" t="s">
        <v>408</v>
      </c>
      <c r="AE2" s="537" t="s">
        <v>408</v>
      </c>
    </row>
    <row r="3" spans="2:31" s="2" customFormat="1" ht="13.5" customHeight="1">
      <c r="B3" s="539" t="s">
        <v>409</v>
      </c>
      <c r="C3" s="540">
        <v>44561</v>
      </c>
      <c r="D3" s="540">
        <v>44926</v>
      </c>
      <c r="E3" s="540">
        <v>44926</v>
      </c>
      <c r="F3" s="540">
        <v>45291</v>
      </c>
      <c r="G3" s="540">
        <v>45291</v>
      </c>
      <c r="H3" s="540">
        <v>45657</v>
      </c>
      <c r="I3" s="540">
        <v>45657</v>
      </c>
      <c r="J3" s="540">
        <v>46022</v>
      </c>
      <c r="K3" s="540">
        <f>J3</f>
        <v>46022</v>
      </c>
      <c r="L3" s="295" t="s">
        <v>397</v>
      </c>
      <c r="M3" s="540">
        <v>45016</v>
      </c>
      <c r="N3" s="540">
        <v>45107</v>
      </c>
      <c r="O3" s="540">
        <v>45199</v>
      </c>
      <c r="P3" s="540">
        <v>45291</v>
      </c>
      <c r="Q3" s="540">
        <v>45382</v>
      </c>
      <c r="R3" s="540">
        <v>45473</v>
      </c>
      <c r="S3" s="540">
        <v>45565</v>
      </c>
      <c r="T3" s="540">
        <v>45657</v>
      </c>
      <c r="U3" s="540">
        <v>45747</v>
      </c>
      <c r="V3" s="540">
        <v>45838</v>
      </c>
      <c r="W3" s="540">
        <v>45930</v>
      </c>
      <c r="X3" s="540">
        <v>46022</v>
      </c>
      <c r="Y3" s="540">
        <v>46112</v>
      </c>
      <c r="AA3" s="540">
        <v>45382</v>
      </c>
      <c r="AB3" s="540">
        <v>45473</v>
      </c>
      <c r="AC3" s="540">
        <v>45536</v>
      </c>
      <c r="AD3" s="540">
        <v>45627</v>
      </c>
      <c r="AE3" s="540">
        <v>45717</v>
      </c>
    </row>
    <row r="4" spans="2:31" s="5" customFormat="1" ht="13.5" customHeight="1">
      <c r="B4" s="539"/>
      <c r="C4" s="541" t="s">
        <v>410</v>
      </c>
      <c r="D4" s="541" t="s">
        <v>410</v>
      </c>
      <c r="E4" s="541" t="s">
        <v>798</v>
      </c>
      <c r="F4" s="541" t="s">
        <v>410</v>
      </c>
      <c r="G4" s="541" t="s">
        <v>410</v>
      </c>
      <c r="H4" s="541" t="s">
        <v>410</v>
      </c>
      <c r="I4" s="541" t="s">
        <v>410</v>
      </c>
      <c r="J4" s="541" t="s">
        <v>410</v>
      </c>
      <c r="K4" s="541" t="s">
        <v>410</v>
      </c>
      <c r="L4" s="423"/>
      <c r="M4" s="541" t="s">
        <v>410</v>
      </c>
      <c r="N4" s="541" t="s">
        <v>410</v>
      </c>
      <c r="O4" s="541" t="s">
        <v>410</v>
      </c>
      <c r="P4" s="541" t="s">
        <v>410</v>
      </c>
      <c r="Q4" s="541" t="s">
        <v>410</v>
      </c>
      <c r="R4" s="541" t="s">
        <v>410</v>
      </c>
      <c r="S4" s="541" t="s">
        <v>410</v>
      </c>
      <c r="T4" s="541" t="s">
        <v>410</v>
      </c>
      <c r="U4" s="541" t="s">
        <v>410</v>
      </c>
      <c r="V4" s="541" t="s">
        <v>410</v>
      </c>
      <c r="W4" s="541" t="s">
        <v>410</v>
      </c>
      <c r="X4" s="541" t="s">
        <v>410</v>
      </c>
      <c r="Y4" s="541" t="s">
        <v>410</v>
      </c>
      <c r="AA4" s="542" t="s">
        <v>798</v>
      </c>
      <c r="AB4" s="542" t="s">
        <v>798</v>
      </c>
      <c r="AC4" s="542" t="s">
        <v>798</v>
      </c>
      <c r="AD4" s="542" t="s">
        <v>798</v>
      </c>
      <c r="AE4" s="542" t="s">
        <v>798</v>
      </c>
    </row>
    <row r="5" spans="2:31" s="3" customFormat="1" ht="13.5" customHeight="1">
      <c r="C5" s="23" t="s">
        <v>412</v>
      </c>
      <c r="D5" s="23" t="s">
        <v>412</v>
      </c>
      <c r="E5" s="23" t="s">
        <v>412</v>
      </c>
      <c r="F5" s="23" t="s">
        <v>412</v>
      </c>
      <c r="G5" s="23" t="s">
        <v>412</v>
      </c>
      <c r="H5" s="23" t="s">
        <v>412</v>
      </c>
      <c r="I5" s="23" t="s">
        <v>412</v>
      </c>
      <c r="J5" s="23" t="s">
        <v>412</v>
      </c>
      <c r="K5" s="23" t="s">
        <v>407</v>
      </c>
      <c r="L5" s="23"/>
      <c r="M5" s="462" t="s">
        <v>413</v>
      </c>
      <c r="N5" s="462" t="s">
        <v>414</v>
      </c>
      <c r="O5" s="462" t="s">
        <v>415</v>
      </c>
      <c r="P5" s="511" t="s">
        <v>416</v>
      </c>
      <c r="Q5" s="462" t="s">
        <v>413</v>
      </c>
      <c r="R5" s="462" t="s">
        <v>414</v>
      </c>
      <c r="S5" s="462" t="s">
        <v>415</v>
      </c>
      <c r="T5" s="462" t="s">
        <v>416</v>
      </c>
      <c r="U5" s="462" t="s">
        <v>413</v>
      </c>
      <c r="V5" s="462" t="s">
        <v>414</v>
      </c>
      <c r="W5" s="462" t="s">
        <v>415</v>
      </c>
      <c r="X5" s="462" t="s">
        <v>416</v>
      </c>
      <c r="Y5" s="462" t="s">
        <v>413</v>
      </c>
      <c r="AA5" s="462" t="s">
        <v>413</v>
      </c>
      <c r="AB5" s="462" t="s">
        <v>414</v>
      </c>
      <c r="AC5" s="462" t="s">
        <v>415</v>
      </c>
      <c r="AD5" s="462" t="s">
        <v>416</v>
      </c>
      <c r="AE5" s="462" t="s">
        <v>413</v>
      </c>
    </row>
    <row r="6" spans="2:31" s="3" customFormat="1" ht="13.5" customHeight="1">
      <c r="B6" s="615"/>
      <c r="C6" s="616"/>
      <c r="D6" s="616"/>
      <c r="E6" s="616"/>
      <c r="F6" s="616"/>
      <c r="G6" s="542" t="s">
        <v>798</v>
      </c>
      <c r="H6" s="616"/>
      <c r="I6" s="542" t="s">
        <v>798</v>
      </c>
      <c r="J6" s="616"/>
      <c r="K6" s="616"/>
      <c r="L6" s="611"/>
      <c r="M6" s="617"/>
      <c r="N6" s="617"/>
      <c r="O6" s="617"/>
      <c r="P6" s="618"/>
      <c r="Q6" s="617"/>
      <c r="R6" s="617"/>
      <c r="S6" s="617"/>
      <c r="T6" s="617"/>
      <c r="U6" s="615"/>
      <c r="V6" s="617"/>
      <c r="W6" s="617"/>
      <c r="X6" s="617"/>
      <c r="Y6" s="617"/>
      <c r="AA6" s="619"/>
      <c r="AB6" s="619"/>
      <c r="AC6" s="619"/>
      <c r="AD6" s="619"/>
      <c r="AE6" s="619"/>
    </row>
    <row r="7" spans="2:31" s="1" customFormat="1" ht="13.5" customHeight="1">
      <c r="B7" s="224" t="s">
        <v>830</v>
      </c>
      <c r="C7" s="736">
        <f t="shared" ref="C7:H7" si="0">SUM(C8:C10)</f>
        <v>7135.6250000000045</v>
      </c>
      <c r="D7" s="736">
        <f t="shared" si="0"/>
        <v>6878.8559999999998</v>
      </c>
      <c r="E7" s="736">
        <f>SUM(E8:E10)</f>
        <v>9931.6069999999854</v>
      </c>
      <c r="F7" s="736">
        <f t="shared" si="0"/>
        <v>12532.245999999992</v>
      </c>
      <c r="G7" s="736">
        <f t="shared" si="0"/>
        <v>18093.903000000028</v>
      </c>
      <c r="H7" s="736">
        <f t="shared" si="0"/>
        <v>23514.862000000034</v>
      </c>
      <c r="I7" s="735">
        <v>30779.200000000001</v>
      </c>
      <c r="J7" s="735">
        <v>17604</v>
      </c>
      <c r="K7" s="734">
        <f>J7</f>
        <v>17604</v>
      </c>
      <c r="L7" s="732"/>
      <c r="M7" s="736">
        <f t="shared" ref="M7:S7" si="1">SUM(M8:M10)</f>
        <v>-269.65999999999644</v>
      </c>
      <c r="N7" s="736">
        <f t="shared" si="1"/>
        <v>-821.94700000000364</v>
      </c>
      <c r="O7" s="736">
        <f t="shared" si="1"/>
        <v>-4497.3690000000006</v>
      </c>
      <c r="P7" s="736">
        <f t="shared" si="1"/>
        <v>18121.221999999998</v>
      </c>
      <c r="Q7" s="737">
        <f t="shared" si="1"/>
        <v>2629.1239999999989</v>
      </c>
      <c r="R7" s="737">
        <f t="shared" si="1"/>
        <v>2903.0149999999976</v>
      </c>
      <c r="S7" s="737">
        <f t="shared" si="1"/>
        <v>14279.735999999994</v>
      </c>
      <c r="T7" s="737">
        <f>SUM(T8:T10)</f>
        <v>3702.9870000000137</v>
      </c>
      <c r="U7" s="737">
        <f>SUM(U8:U10)</f>
        <v>3082.1100000000033</v>
      </c>
      <c r="V7" s="737">
        <f>SUM(V8:V10)</f>
        <v>4200.4850000000106</v>
      </c>
      <c r="W7" s="735">
        <v>5397.5010000000002</v>
      </c>
      <c r="X7" s="737">
        <f>SUM(X8:X10)</f>
        <v>26744.897999999986</v>
      </c>
      <c r="Y7" s="735">
        <v>4634.3999999999996</v>
      </c>
      <c r="Z7" s="193"/>
      <c r="AA7" s="77">
        <f>SUM(AA8:AA10)</f>
        <v>3630.9209999999989</v>
      </c>
      <c r="AB7" s="77">
        <f>SUM(AB8:AB10)</f>
        <v>3920.4720000000007</v>
      </c>
      <c r="AC7" s="735">
        <v>19033.994000000002</v>
      </c>
      <c r="AD7" s="77">
        <f>SUM(AD8:AD10)</f>
        <v>8189.9350000000022</v>
      </c>
      <c r="AE7" s="735">
        <v>4033.4</v>
      </c>
    </row>
    <row r="8" spans="2:31">
      <c r="B8" s="225" t="s">
        <v>831</v>
      </c>
      <c r="C8" s="733">
        <v>718.72699999999998</v>
      </c>
      <c r="D8" s="733">
        <v>842.37</v>
      </c>
      <c r="E8" s="733">
        <v>1216.203</v>
      </c>
      <c r="F8" s="733">
        <v>1969.674</v>
      </c>
      <c r="G8" s="733">
        <v>2843.7930000000001</v>
      </c>
      <c r="H8" s="733">
        <v>12427.963</v>
      </c>
      <c r="I8" s="733">
        <v>-16267.3</v>
      </c>
      <c r="J8" s="733">
        <v>187.4</v>
      </c>
      <c r="K8" s="614">
        <f t="shared" ref="K8:K17" si="2">J8</f>
        <v>187.4</v>
      </c>
      <c r="L8" s="732"/>
      <c r="M8" s="733">
        <v>526.82899999999995</v>
      </c>
      <c r="N8" s="733">
        <v>698.78899999999999</v>
      </c>
      <c r="O8" s="733">
        <v>265.8</v>
      </c>
      <c r="P8" s="733">
        <v>478.25600000000009</v>
      </c>
      <c r="Q8" s="733">
        <v>540.63900000000001</v>
      </c>
      <c r="R8" s="733">
        <v>528.05899999999997</v>
      </c>
      <c r="S8" s="733">
        <v>11214.4</v>
      </c>
      <c r="T8" s="733">
        <v>144.86500000000012</v>
      </c>
      <c r="U8" s="733">
        <v>0</v>
      </c>
      <c r="V8" s="733">
        <v>-187.4</v>
      </c>
      <c r="W8" s="733">
        <v>-14.063000000000001</v>
      </c>
      <c r="X8" s="614">
        <f>J8-SUM(U8:W8)</f>
        <v>388.863</v>
      </c>
      <c r="Y8" s="733">
        <v>0</v>
      </c>
      <c r="Z8" s="766"/>
      <c r="AA8" s="230">
        <v>746.64400000000001</v>
      </c>
      <c r="AB8" s="230">
        <v>713.2</v>
      </c>
      <c r="AC8" s="230">
        <v>-14948.154</v>
      </c>
      <c r="AD8" s="765">
        <f>I8-SUM(AA8:AC8)</f>
        <v>-2778.989999999998</v>
      </c>
      <c r="AE8" s="230">
        <v>0</v>
      </c>
    </row>
    <row r="9" spans="2:31">
      <c r="B9" s="225" t="s">
        <v>441</v>
      </c>
      <c r="C9" s="733">
        <v>-900.33900000000006</v>
      </c>
      <c r="D9" s="733">
        <v>2785.2649999999999</v>
      </c>
      <c r="E9" s="733">
        <v>4021.3319999999999</v>
      </c>
      <c r="F9" s="733">
        <v>4675.8909999999996</v>
      </c>
      <c r="G9" s="733">
        <v>6750.9939999999997</v>
      </c>
      <c r="H9" s="733">
        <v>-4866.0330000000004</v>
      </c>
      <c r="I9" s="733">
        <v>6369.3</v>
      </c>
      <c r="J9" s="733">
        <v>13398.8</v>
      </c>
      <c r="K9" s="614">
        <f t="shared" si="2"/>
        <v>13398.8</v>
      </c>
      <c r="L9" s="732"/>
      <c r="M9" s="733">
        <v>-2319.1469999999999</v>
      </c>
      <c r="N9" s="733">
        <v>-935.149</v>
      </c>
      <c r="O9" s="733">
        <v>-9763.5</v>
      </c>
      <c r="P9" s="733">
        <v>17693.686999999998</v>
      </c>
      <c r="Q9" s="733">
        <v>-1320.431</v>
      </c>
      <c r="R9" s="733">
        <v>155.06700000000001</v>
      </c>
      <c r="S9" s="733">
        <v>-2289.6999999999998</v>
      </c>
      <c r="T9" s="733">
        <v>-1410.9690000000005</v>
      </c>
      <c r="U9" s="733">
        <v>-3459.683</v>
      </c>
      <c r="V9" s="733">
        <v>-1690.1</v>
      </c>
      <c r="W9" s="733">
        <v>2689.7660000000001</v>
      </c>
      <c r="X9" s="614">
        <f>J9-SUM(U9:W9)</f>
        <v>15858.816999999999</v>
      </c>
      <c r="Y9" s="733">
        <v>7252.2</v>
      </c>
      <c r="Z9" s="766"/>
      <c r="AA9" s="230">
        <v>-1823.566</v>
      </c>
      <c r="AB9" s="230">
        <v>209.4</v>
      </c>
      <c r="AC9" s="230">
        <v>3052.0929999999998</v>
      </c>
      <c r="AD9" s="765">
        <f>I9-SUM(AA9:AC9)</f>
        <v>4931.3730000000005</v>
      </c>
      <c r="AE9" s="230">
        <v>4527.5</v>
      </c>
    </row>
    <row r="10" spans="2:31" s="5" customFormat="1" ht="13.5" customHeight="1">
      <c r="B10" s="224" t="s">
        <v>832</v>
      </c>
      <c r="C10" s="737">
        <v>7317.2370000000046</v>
      </c>
      <c r="D10" s="737">
        <v>3251.2210000000005</v>
      </c>
      <c r="E10" s="737">
        <v>4694.0719999999847</v>
      </c>
      <c r="F10" s="737">
        <v>5886.6809999999923</v>
      </c>
      <c r="G10" s="737">
        <v>8499.1160000000255</v>
      </c>
      <c r="H10" s="737">
        <v>15952.932000000033</v>
      </c>
      <c r="I10" s="734">
        <f>SUM(I7:I9)</f>
        <v>20881.2</v>
      </c>
      <c r="J10" s="734">
        <f>SUM(J7:J9)</f>
        <v>31190.2</v>
      </c>
      <c r="K10" s="734">
        <f>SUM(K7:K9)</f>
        <v>31190.2</v>
      </c>
      <c r="L10" s="224"/>
      <c r="M10" s="737">
        <v>1522.6580000000035</v>
      </c>
      <c r="N10" s="737">
        <v>-585.58700000000363</v>
      </c>
      <c r="O10" s="737">
        <v>5000.3310000000001</v>
      </c>
      <c r="P10" s="737">
        <v>-50.721000000001823</v>
      </c>
      <c r="Q10" s="735">
        <v>3408.9159999999988</v>
      </c>
      <c r="R10" s="735">
        <v>2219.8889999999974</v>
      </c>
      <c r="S10" s="735">
        <v>5355.0359999999928</v>
      </c>
      <c r="T10" s="735">
        <v>4969.091000000014</v>
      </c>
      <c r="U10" s="735">
        <v>6541.7930000000033</v>
      </c>
      <c r="V10" s="735">
        <v>6077.9850000000106</v>
      </c>
      <c r="W10" s="735">
        <v>8073.2039999999997</v>
      </c>
      <c r="X10" s="734">
        <f>J10-SUM(U10:W10)</f>
        <v>10497.21799999999</v>
      </c>
      <c r="Y10" s="734">
        <f>SUM(Y7:Y9)</f>
        <v>11886.599999999999</v>
      </c>
      <c r="AA10" s="605">
        <v>4707.8429999999989</v>
      </c>
      <c r="AB10" s="605">
        <v>2997.8720000000008</v>
      </c>
      <c r="AC10" s="734">
        <f>SUM(AC7:AC9)</f>
        <v>7137.9330000000018</v>
      </c>
      <c r="AD10" s="427">
        <f>I10-SUM(AA10:AC10)</f>
        <v>6037.5519999999997</v>
      </c>
      <c r="AE10" s="734">
        <f>SUM(AE7:AE9)</f>
        <v>8560.9</v>
      </c>
    </row>
    <row r="11" spans="2:31">
      <c r="B11" s="225" t="s">
        <v>438</v>
      </c>
      <c r="C11" s="733">
        <v>-191.303</v>
      </c>
      <c r="D11" s="733">
        <v>-522.221</v>
      </c>
      <c r="E11" s="733">
        <v>-753.97699999999998</v>
      </c>
      <c r="F11" s="733">
        <v>-1525.175</v>
      </c>
      <c r="G11" s="733">
        <v>-2202.029</v>
      </c>
      <c r="H11" s="733">
        <v>3162.643</v>
      </c>
      <c r="I11" s="733">
        <v>4139.7</v>
      </c>
      <c r="J11" s="733">
        <v>3499.1</v>
      </c>
      <c r="K11" s="614">
        <f t="shared" si="2"/>
        <v>3499.1</v>
      </c>
      <c r="L11" s="732"/>
      <c r="M11" s="733">
        <v>-94.024000000000001</v>
      </c>
      <c r="N11" s="733">
        <v>221.185</v>
      </c>
      <c r="O11" s="733">
        <v>65.5</v>
      </c>
      <c r="P11" s="733">
        <v>-1717.8359999999998</v>
      </c>
      <c r="Q11" s="733">
        <v>55.904000000000003</v>
      </c>
      <c r="R11" s="733">
        <v>761.88300000000004</v>
      </c>
      <c r="S11" s="733">
        <v>672.3</v>
      </c>
      <c r="T11" s="733">
        <v>1672.5559999999998</v>
      </c>
      <c r="U11" s="733">
        <v>864.00900000000001</v>
      </c>
      <c r="V11" s="733">
        <v>1204.2</v>
      </c>
      <c r="W11" s="733">
        <v>408.45299999999997</v>
      </c>
      <c r="X11" s="614">
        <f t="shared" ref="X11:X17" si="3">J11-SUM(U11:W11)</f>
        <v>1022.4380000000001</v>
      </c>
      <c r="Y11" s="733">
        <v>-305.5</v>
      </c>
      <c r="Z11" s="766"/>
      <c r="AA11" s="230">
        <v>77.206000000000003</v>
      </c>
      <c r="AB11" s="230">
        <v>1028.9000000000001</v>
      </c>
      <c r="AC11" s="230">
        <v>896.18700000000001</v>
      </c>
      <c r="AD11" s="765">
        <f t="shared" ref="AD11:AD17" si="4">I11-SUM(AA11:AC11)</f>
        <v>2137.4069999999997</v>
      </c>
      <c r="AE11" s="230">
        <v>1130.7</v>
      </c>
    </row>
    <row r="12" spans="2:31">
      <c r="B12" s="225" t="s">
        <v>437</v>
      </c>
      <c r="C12" s="733">
        <v>21308.035</v>
      </c>
      <c r="D12" s="733">
        <v>11949.156000000001</v>
      </c>
      <c r="E12" s="733">
        <v>-5714.0550000000003</v>
      </c>
      <c r="F12" s="733">
        <v>19931.616999999998</v>
      </c>
      <c r="G12" s="733">
        <v>-18283.669000000002</v>
      </c>
      <c r="H12" s="733">
        <v>-10378.433000000001</v>
      </c>
      <c r="I12" s="733">
        <v>-13584.6</v>
      </c>
      <c r="J12" s="733">
        <v>-16841.5</v>
      </c>
      <c r="K12" s="614">
        <f t="shared" si="2"/>
        <v>-16841.5</v>
      </c>
      <c r="L12" s="732"/>
      <c r="M12" s="733">
        <v>-1456.24</v>
      </c>
      <c r="N12" s="733">
        <v>-8369.0750000000007</v>
      </c>
      <c r="O12" s="733">
        <v>-3885.3</v>
      </c>
      <c r="P12" s="733">
        <v>33642.231999999996</v>
      </c>
      <c r="Q12" s="733">
        <v>-5477.2619999999997</v>
      </c>
      <c r="R12" s="733">
        <v>-1571.432</v>
      </c>
      <c r="S12" s="733">
        <v>-2783.6</v>
      </c>
      <c r="T12" s="733">
        <v>-546.13900000000103</v>
      </c>
      <c r="U12" s="733">
        <v>-3956.1790000000001</v>
      </c>
      <c r="V12" s="733">
        <v>-2891.5</v>
      </c>
      <c r="W12" s="733">
        <v>-3982.64</v>
      </c>
      <c r="X12" s="614">
        <f t="shared" si="3"/>
        <v>-6011.1810000000005</v>
      </c>
      <c r="Y12" s="733">
        <v>-3730.4</v>
      </c>
      <c r="Z12" s="766"/>
      <c r="AA12" s="230">
        <v>-7564.3090000000002</v>
      </c>
      <c r="AB12" s="230">
        <v>-2122.1999999999998</v>
      </c>
      <c r="AC12" s="230">
        <v>-3710.3809999999999</v>
      </c>
      <c r="AD12" s="765">
        <f t="shared" si="4"/>
        <v>-187.71000000000095</v>
      </c>
      <c r="AE12" s="230">
        <v>-5177.3</v>
      </c>
    </row>
    <row r="13" spans="2:31">
      <c r="B13" s="225" t="s">
        <v>436</v>
      </c>
      <c r="C13" s="733">
        <v>-11527.995999999999</v>
      </c>
      <c r="D13" s="733">
        <v>-3957.6840000000002</v>
      </c>
      <c r="E13" s="733">
        <v>17252.048999999999</v>
      </c>
      <c r="F13" s="733">
        <v>-12663.682000000001</v>
      </c>
      <c r="G13" s="733">
        <v>28777.024000000001</v>
      </c>
      <c r="H13" s="733">
        <v>17025.89</v>
      </c>
      <c r="I13" s="733">
        <v>22285.599999999999</v>
      </c>
      <c r="J13" s="733">
        <v>22064</v>
      </c>
      <c r="K13" s="614">
        <f t="shared" si="2"/>
        <v>22064</v>
      </c>
      <c r="L13" s="732"/>
      <c r="M13" s="733">
        <v>1885.5260000000001</v>
      </c>
      <c r="N13" s="733">
        <v>14577.779</v>
      </c>
      <c r="O13" s="733">
        <v>4405.8999999999996</v>
      </c>
      <c r="P13" s="733">
        <v>-33532.887000000002</v>
      </c>
      <c r="Q13" s="733">
        <v>7964.1</v>
      </c>
      <c r="R13" s="733">
        <v>4265.049</v>
      </c>
      <c r="S13" s="733">
        <v>4654.8</v>
      </c>
      <c r="T13" s="733">
        <v>141.9409999999998</v>
      </c>
      <c r="U13" s="733">
        <v>5273.0919999999996</v>
      </c>
      <c r="V13" s="733">
        <v>5058.8999999999996</v>
      </c>
      <c r="W13" s="733">
        <v>4962.0529999999999</v>
      </c>
      <c r="X13" s="614">
        <f t="shared" si="3"/>
        <v>6769.9550000000017</v>
      </c>
      <c r="Y13" s="733">
        <v>7625.9</v>
      </c>
      <c r="Z13" s="766"/>
      <c r="AA13" s="230">
        <v>10998.728999999999</v>
      </c>
      <c r="AB13" s="230">
        <v>5759.9</v>
      </c>
      <c r="AC13" s="230">
        <v>6204.5190000000002</v>
      </c>
      <c r="AD13" s="765">
        <f t="shared" si="4"/>
        <v>-677.5480000000025</v>
      </c>
      <c r="AE13" s="230">
        <v>6900.7</v>
      </c>
    </row>
    <row r="14" spans="2:31">
      <c r="B14" s="225" t="s">
        <v>833</v>
      </c>
      <c r="C14" s="733">
        <v>-4804.527</v>
      </c>
      <c r="D14" s="733">
        <v>-7767.1019999999999</v>
      </c>
      <c r="E14" s="733">
        <v>-11214.047</v>
      </c>
      <c r="F14" s="733">
        <v>-3816.8719999999998</v>
      </c>
      <c r="G14" s="733">
        <v>-5510.7520000000004</v>
      </c>
      <c r="H14" s="733">
        <v>-5850.5370000000003</v>
      </c>
      <c r="I14" s="733">
        <v>-7657.9</v>
      </c>
      <c r="J14" s="733">
        <v>-1598.4</v>
      </c>
      <c r="K14" s="614">
        <f t="shared" si="2"/>
        <v>-1598.4</v>
      </c>
      <c r="L14" s="732"/>
      <c r="M14" s="733">
        <v>442.76</v>
      </c>
      <c r="N14" s="733">
        <v>-726.327</v>
      </c>
      <c r="O14" s="733">
        <v>-2707.8</v>
      </c>
      <c r="P14" s="733">
        <v>-825.50499999999965</v>
      </c>
      <c r="Q14" s="733">
        <v>-2647.63</v>
      </c>
      <c r="R14" s="733">
        <v>-1204.183</v>
      </c>
      <c r="S14" s="733">
        <v>-1525.9</v>
      </c>
      <c r="T14" s="733">
        <v>-472.82400000000052</v>
      </c>
      <c r="U14" s="733">
        <v>-958.83600000000001</v>
      </c>
      <c r="V14" s="733">
        <v>-826.1</v>
      </c>
      <c r="W14" s="733">
        <v>355.28199999999998</v>
      </c>
      <c r="X14" s="614">
        <f t="shared" si="3"/>
        <v>-168.74599999999987</v>
      </c>
      <c r="Y14" s="733">
        <v>-5464.7</v>
      </c>
      <c r="Z14" s="766"/>
      <c r="AA14" s="230">
        <v>-3656.4769999999999</v>
      </c>
      <c r="AB14" s="230">
        <v>-1626.2</v>
      </c>
      <c r="AC14" s="230">
        <v>-2033.99</v>
      </c>
      <c r="AD14" s="765">
        <f t="shared" si="4"/>
        <v>-341.23300000000017</v>
      </c>
      <c r="AE14" s="230">
        <v>-1254.8</v>
      </c>
    </row>
    <row r="15" spans="2:31">
      <c r="B15" s="225" t="s">
        <v>834</v>
      </c>
      <c r="C15" s="733">
        <v>1653.7190000000001</v>
      </c>
      <c r="D15" s="733">
        <v>1058.3650000000002</v>
      </c>
      <c r="E15" s="733">
        <v>1528.0519999999999</v>
      </c>
      <c r="F15" s="733">
        <v>4765.5519999999997</v>
      </c>
      <c r="G15" s="733">
        <v>6880.4459999999999</v>
      </c>
      <c r="H15" s="733">
        <v>2326.4850000000001</v>
      </c>
      <c r="I15" s="733">
        <v>3045.2</v>
      </c>
      <c r="J15" s="733">
        <v>1775</v>
      </c>
      <c r="K15" s="614">
        <f t="shared" si="2"/>
        <v>1775</v>
      </c>
      <c r="L15" s="732"/>
      <c r="M15" s="733">
        <v>232.79300000000001</v>
      </c>
      <c r="N15" s="733">
        <v>-158.03700000000003</v>
      </c>
      <c r="O15" s="733">
        <v>2916.069</v>
      </c>
      <c r="P15" s="733">
        <v>1774.7270000000001</v>
      </c>
      <c r="Q15" s="733">
        <v>218.38400000000001</v>
      </c>
      <c r="R15" s="733">
        <v>210.02</v>
      </c>
      <c r="S15" s="733">
        <v>179.26400000000001</v>
      </c>
      <c r="T15" s="733">
        <v>1718.817</v>
      </c>
      <c r="U15" s="733">
        <v>449.654</v>
      </c>
      <c r="V15" s="733">
        <v>194.51499999999999</v>
      </c>
      <c r="W15" s="733">
        <v>542.26200000000006</v>
      </c>
      <c r="X15" s="614">
        <f t="shared" si="3"/>
        <v>588.56899999999996</v>
      </c>
      <c r="Y15" s="733">
        <v>427.4</v>
      </c>
      <c r="Z15" s="766"/>
      <c r="AA15" s="230">
        <v>301.59399999999999</v>
      </c>
      <c r="AB15" s="230">
        <v>283.62799999999999</v>
      </c>
      <c r="AC15" s="230">
        <v>238.90999999999997</v>
      </c>
      <c r="AD15" s="765">
        <f t="shared" si="4"/>
        <v>2221.0679999999998</v>
      </c>
      <c r="AE15" s="230">
        <v>588.4</v>
      </c>
    </row>
    <row r="16" spans="2:31" s="1" customFormat="1" ht="13.5" customHeight="1">
      <c r="B16" s="612" t="s">
        <v>835</v>
      </c>
      <c r="C16" s="613">
        <f t="shared" ref="C16:H16" si="5">SUM(C10:C15)</f>
        <v>13755.165000000005</v>
      </c>
      <c r="D16" s="613">
        <f t="shared" si="5"/>
        <v>4011.7350000000019</v>
      </c>
      <c r="E16" s="613">
        <f>SUM(E10:E15)</f>
        <v>5792.0939999999828</v>
      </c>
      <c r="F16" s="613">
        <f t="shared" si="5"/>
        <v>12578.120999999992</v>
      </c>
      <c r="G16" s="613">
        <f t="shared" si="5"/>
        <v>18160.136000000024</v>
      </c>
      <c r="H16" s="613">
        <f t="shared" si="5"/>
        <v>22238.980000000032</v>
      </c>
      <c r="I16" s="613">
        <f>SUM(I10:I15)</f>
        <v>29109.200000000001</v>
      </c>
      <c r="J16" s="613">
        <f>SUM(J10:J15)</f>
        <v>40088.400000000001</v>
      </c>
      <c r="K16" s="613">
        <f>SUM(K10:K15)</f>
        <v>40088.400000000001</v>
      </c>
      <c r="L16" s="225"/>
      <c r="M16" s="613">
        <f t="shared" ref="M16:S16" si="6">SUM(M10:M15)</f>
        <v>2533.473000000004</v>
      </c>
      <c r="N16" s="613">
        <f t="shared" si="6"/>
        <v>4959.9379999999956</v>
      </c>
      <c r="O16" s="613">
        <f t="shared" si="6"/>
        <v>5794.6999999999989</v>
      </c>
      <c r="P16" s="613">
        <f t="shared" si="6"/>
        <v>-709.99000000000638</v>
      </c>
      <c r="Q16" s="613">
        <f t="shared" si="6"/>
        <v>3522.4119999999994</v>
      </c>
      <c r="R16" s="613">
        <f t="shared" si="6"/>
        <v>4681.2259999999978</v>
      </c>
      <c r="S16" s="613">
        <f t="shared" si="6"/>
        <v>6551.8999999999933</v>
      </c>
      <c r="T16" s="613">
        <f t="shared" ref="T16:Y16" si="7">SUM(T10:T15)</f>
        <v>7483.4420000000118</v>
      </c>
      <c r="U16" s="613">
        <f t="shared" si="7"/>
        <v>8213.5330000000031</v>
      </c>
      <c r="V16" s="613">
        <f t="shared" si="7"/>
        <v>8818.0000000000091</v>
      </c>
      <c r="W16" s="613">
        <f t="shared" si="7"/>
        <v>10358.614</v>
      </c>
      <c r="X16" s="613">
        <f t="shared" si="7"/>
        <v>12698.252999999992</v>
      </c>
      <c r="Y16" s="613">
        <f t="shared" si="7"/>
        <v>10439.299999999997</v>
      </c>
      <c r="AA16" s="517">
        <f>SUM(AA10:AA15)</f>
        <v>4864.5859999999975</v>
      </c>
      <c r="AB16" s="517">
        <f>SUM(AB10:AB15)</f>
        <v>6321.9000000000005</v>
      </c>
      <c r="AC16" s="517">
        <f>SUM(AC10:AC15)</f>
        <v>8733.1780000000017</v>
      </c>
      <c r="AD16" s="517">
        <f>SUM(AD10:AD15)</f>
        <v>9189.5359999999946</v>
      </c>
      <c r="AE16" s="613">
        <f>SUM(AE10:AE15)</f>
        <v>10748.6</v>
      </c>
    </row>
    <row r="17" spans="2:31">
      <c r="B17" s="225" t="s">
        <v>426</v>
      </c>
      <c r="C17" s="733">
        <v>31188.016</v>
      </c>
      <c r="D17" s="733">
        <v>32595.995999999999</v>
      </c>
      <c r="E17" s="733">
        <v>47061.7</v>
      </c>
      <c r="F17" s="733">
        <v>31298.992999999999</v>
      </c>
      <c r="G17" s="733">
        <v>45189.101000000002</v>
      </c>
      <c r="H17" s="733">
        <v>47563.03</v>
      </c>
      <c r="I17" s="733">
        <v>62256.4</v>
      </c>
      <c r="J17" s="733">
        <v>63928.3</v>
      </c>
      <c r="K17" s="614">
        <f t="shared" si="2"/>
        <v>63928.3</v>
      </c>
      <c r="L17" s="732"/>
      <c r="M17" s="733">
        <v>7820.45</v>
      </c>
      <c r="N17" s="733">
        <v>9884.9110000000001</v>
      </c>
      <c r="O17" s="733">
        <v>10295.892</v>
      </c>
      <c r="P17" s="733">
        <v>3297.7399999999989</v>
      </c>
      <c r="Q17" s="733">
        <v>9231.875</v>
      </c>
      <c r="R17" s="733">
        <v>10205.672</v>
      </c>
      <c r="S17" s="733">
        <v>11205.05</v>
      </c>
      <c r="T17" s="733">
        <v>16920.432999999997</v>
      </c>
      <c r="U17" s="733">
        <v>12745.592000000001</v>
      </c>
      <c r="V17" s="733">
        <v>14267.8</v>
      </c>
      <c r="W17" s="733">
        <v>15806.473</v>
      </c>
      <c r="X17" s="614">
        <f t="shared" si="3"/>
        <v>21108.435000000005</v>
      </c>
      <c r="Y17" s="733">
        <v>17860.5</v>
      </c>
      <c r="Z17" s="766"/>
      <c r="AA17" s="230">
        <v>12749.573</v>
      </c>
      <c r="AB17" s="230">
        <v>13782.6</v>
      </c>
      <c r="AC17" s="230">
        <v>14935.665000000001</v>
      </c>
      <c r="AD17" s="765">
        <f t="shared" si="4"/>
        <v>20788.561999999998</v>
      </c>
      <c r="AE17" s="230">
        <v>16679.599999999999</v>
      </c>
    </row>
    <row r="18" spans="2:31" s="1" customFormat="1" ht="13.5" customHeight="1">
      <c r="B18" s="612" t="s">
        <v>487</v>
      </c>
      <c r="C18" s="613">
        <f t="shared" ref="C18:H18" si="8">SUM(C16:C17)</f>
        <v>44943.181000000004</v>
      </c>
      <c r="D18" s="613">
        <f t="shared" si="8"/>
        <v>36607.731</v>
      </c>
      <c r="E18" s="613">
        <f>SUM(E16:E17)</f>
        <v>52853.79399999998</v>
      </c>
      <c r="F18" s="613">
        <f t="shared" si="8"/>
        <v>43877.113999999987</v>
      </c>
      <c r="G18" s="613">
        <f t="shared" si="8"/>
        <v>63349.237000000023</v>
      </c>
      <c r="H18" s="613">
        <f t="shared" si="8"/>
        <v>69802.010000000038</v>
      </c>
      <c r="I18" s="613">
        <f>SUM(I16:I17)</f>
        <v>91365.6</v>
      </c>
      <c r="J18" s="613">
        <f>SUM(J16:J17)</f>
        <v>104016.70000000001</v>
      </c>
      <c r="K18" s="613">
        <f>SUM(K16:K17)</f>
        <v>104016.70000000001</v>
      </c>
      <c r="L18" s="225"/>
      <c r="M18" s="613">
        <f t="shared" ref="M18:S18" si="9">SUM(M16:M17)</f>
        <v>10353.923000000004</v>
      </c>
      <c r="N18" s="613">
        <f t="shared" si="9"/>
        <v>14844.848999999995</v>
      </c>
      <c r="O18" s="613">
        <f t="shared" si="9"/>
        <v>16090.591999999999</v>
      </c>
      <c r="P18" s="613">
        <f t="shared" si="9"/>
        <v>2587.7499999999927</v>
      </c>
      <c r="Q18" s="613">
        <f t="shared" si="9"/>
        <v>12754.287</v>
      </c>
      <c r="R18" s="613">
        <f t="shared" si="9"/>
        <v>14886.897999999997</v>
      </c>
      <c r="S18" s="613">
        <f t="shared" si="9"/>
        <v>17756.949999999993</v>
      </c>
      <c r="T18" s="613">
        <f t="shared" ref="T18:Y18" si="10">SUM(T16:T17)</f>
        <v>24403.875000000007</v>
      </c>
      <c r="U18" s="613">
        <f t="shared" si="10"/>
        <v>20959.125000000004</v>
      </c>
      <c r="V18" s="613">
        <f t="shared" si="10"/>
        <v>23085.80000000001</v>
      </c>
      <c r="W18" s="613">
        <f t="shared" si="10"/>
        <v>26165.087</v>
      </c>
      <c r="X18" s="613">
        <f t="shared" si="10"/>
        <v>33806.687999999995</v>
      </c>
      <c r="Y18" s="613">
        <f t="shared" si="10"/>
        <v>28299.799999999996</v>
      </c>
      <c r="AA18" s="517">
        <f>SUM(AA16:AA17)</f>
        <v>17614.159</v>
      </c>
      <c r="AB18" s="517">
        <f>SUM(AB16:AB17)</f>
        <v>20104.5</v>
      </c>
      <c r="AC18" s="517">
        <f>SUM(AC16:AC17)</f>
        <v>23668.843000000001</v>
      </c>
      <c r="AD18" s="517">
        <f>SUM(AD16:AD17)</f>
        <v>29978.097999999991</v>
      </c>
      <c r="AE18" s="613">
        <f>SUM(AE16:AE17)</f>
        <v>27428.199999999997</v>
      </c>
    </row>
    <row r="19" spans="2:31">
      <c r="C19" s="535"/>
      <c r="D19" s="535"/>
      <c r="E19" s="535"/>
      <c r="F19" s="535"/>
      <c r="G19" s="535"/>
      <c r="H19" s="535"/>
      <c r="I19" s="535"/>
      <c r="J19" s="535"/>
      <c r="K19" s="535"/>
      <c r="M19" s="535"/>
      <c r="N19" s="535"/>
      <c r="O19" s="535"/>
      <c r="P19" s="535"/>
      <c r="Q19" s="535"/>
      <c r="R19" s="535"/>
      <c r="S19" s="535"/>
      <c r="T19" s="535"/>
      <c r="U19" s="535"/>
      <c r="V19" s="535"/>
      <c r="W19" s="535"/>
      <c r="X19" s="535"/>
      <c r="Y19" s="535"/>
      <c r="AA19" s="535"/>
      <c r="AB19" s="535"/>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9B6B00-03A4-4B02-8B57-E58E79781FD2}"/>
</file>

<file path=customXml/itemProps2.xml><?xml version="1.0" encoding="utf-8"?>
<ds:datastoreItem xmlns:ds="http://schemas.openxmlformats.org/officeDocument/2006/customXml" ds:itemID="{261BF86B-2976-48DC-B41A-F55CAFEEB4E2}"/>
</file>

<file path=docProps/app.xml><?xml version="1.0" encoding="utf-8"?>
<Properties xmlns="http://schemas.openxmlformats.org/officeDocument/2006/extended-properties" xmlns:vt="http://schemas.openxmlformats.org/officeDocument/2006/docPropsVTypes">
  <Application>Microsoft Excel Online</Application>
  <Manager/>
  <Company>MassMutual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X</cp:lastModifiedBy>
  <cp:revision/>
  <dcterms:created xsi:type="dcterms:W3CDTF">2008-03-12T15:44:19Z</dcterms:created>
  <dcterms:modified xsi:type="dcterms:W3CDTF">2026-10-28T12:03:15Z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{672E3442-7A48-4BED-88DB-246A8393ADA5}</vt:lpwstr>
  </property>
</Properties>
</file>