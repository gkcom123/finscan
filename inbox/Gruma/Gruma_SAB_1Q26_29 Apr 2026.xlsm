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Apr 2026 - Gruma SAB/1Q26/"/>
    </mc:Choice>
  </mc:AlternateContent>
  <xr:revisionPtr revIDLastSave="0" documentId="8_{3DC536BC-DDED-4C29-AF95-C1FC56B4860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pitalisation" sheetId="17" r:id="rId1"/>
    <sheet name="Model_USD" sheetId="20" r:id="rId2"/>
    <sheet name="Model" sheetId="15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\A">#REF!</definedName>
    <definedName name="\B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0">MonthlyOpStats</definedName>
    <definedName name="_01_30_04" localSheetId="2">MonthlyOpStats</definedName>
    <definedName name="_01_30_04" localSheetId="1">MonthlyOpStats</definedName>
    <definedName name="_01_30_04">MonthlyOpStats</definedName>
    <definedName name="_1_30_01" localSheetId="0">MonthlyOpStats</definedName>
    <definedName name="_1_30_01" localSheetId="2">MonthlyOpStats</definedName>
    <definedName name="_1_30_01" localSheetId="1">MonthlyOpStats</definedName>
    <definedName name="_1_30_01">MonthlyOpStats</definedName>
    <definedName name="_1_30_02" localSheetId="0">MonthlyOpStats</definedName>
    <definedName name="_1_30_02" localSheetId="2">MonthlyOpStats</definedName>
    <definedName name="_1_30_02" localSheetId="1">MonthlyOpStats</definedName>
    <definedName name="_1_30_02">MonthlyOpStats</definedName>
    <definedName name="_1_31_01" localSheetId="0">MonthlyOpStats</definedName>
    <definedName name="_1_31_01" localSheetId="2">MonthlyOpStats</definedName>
    <definedName name="_1_31_01" localSheetId="1">MonthlyOpStats</definedName>
    <definedName name="_1_31_01">MonthlyOpStats</definedName>
    <definedName name="_1_31_02" localSheetId="0">MonthlyOpStats</definedName>
    <definedName name="_1_31_02" localSheetId="2">MonthlyOpStats</definedName>
    <definedName name="_1_31_02" localSheetId="1">MonthlyOpStats</definedName>
    <definedName name="_1_31_02">MonthlyOpStats</definedName>
    <definedName name="_12_31_05" localSheetId="0">MonthlyOpStats</definedName>
    <definedName name="_12_31_05" localSheetId="2">MonthlyOpStats</definedName>
    <definedName name="_12_31_05" localSheetId="1">MonthlyOpStats</definedName>
    <definedName name="_12_31_05">MonthlyOpStats</definedName>
    <definedName name="_A">#REF!</definedName>
    <definedName name="_A___0">#REF!</definedName>
    <definedName name="_B">#REF!</definedName>
    <definedName name="_B___0">#REF!</definedName>
    <definedName name="_C">#REF!</definedName>
    <definedName name="_C___0">#REF!</definedName>
    <definedName name="_Common_Size_Income_Statement" localSheetId="2" function="1" xlm="1">[1]Model!#REF!</definedName>
    <definedName name="_Common_Size_Income_Statement" localSheetId="1" function="1" xlm="1">[1]Model!#REF!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2" hidden="1">[3]FxdChg!#REF!</definedName>
    <definedName name="_Fill" localSheetId="1" hidden="1">[3]FxdChg!#REF!</definedName>
    <definedName name="_Fill" hidden="1">[3]FxdChg!#REF!</definedName>
    <definedName name="_xlnm._FilterDatabase" localSheetId="2" hidden="1">Model!#REF!</definedName>
    <definedName name="_xlnm._FilterDatabase" localSheetId="1" hidden="1">Model_USD!#REF!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2">[1]Model!#REF!</definedName>
    <definedName name="_GEI_Returns" localSheetId="1">[1]Model!#REF!</definedName>
    <definedName name="_GEI_Returns">[1]Model!#REF!</definedName>
    <definedName name="_L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localSheetId="2" function="1" xlm="1">[1]Model!#REF!</definedName>
    <definedName name="_Returns" localSheetId="1" function="1" xlm="1">[1]Model!#REF!</definedName>
    <definedName name="_Returns" function="1" xlm="1">[1]Model!#REF!</definedName>
    <definedName name="_Table2_Out" hidden="1">#REF!</definedName>
    <definedName name="_xleta.SUM" hidden="1" xlm="1">#NAME?</definedName>
    <definedName name="_Y">#REF!</definedName>
    <definedName name="_Y___0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2">'[4]Tanning Assumptions'!#REF!</definedName>
    <definedName name="Accrued_Comp_Sales" localSheetId="1">'[4]Tanning Assumptions'!#REF!</definedName>
    <definedName name="Accrued_Comp_Sales">'[4]Tanning Assumptions'!#REF!</definedName>
    <definedName name="acq">#REF!</definedName>
    <definedName name="acquiror">#REF!</definedName>
    <definedName name="AdSalesCash">#REF!</definedName>
    <definedName name="AdSalesTrade">#REF!</definedName>
    <definedName name="AdSalesWebsite">#REF!</definedName>
    <definedName name="AICORR" localSheetId="2">#REF!</definedName>
    <definedName name="AICORR" localSheetId="1">#REF!</definedName>
    <definedName name="AICORR">#REF!</definedName>
    <definedName name="AllBH">#REF!</definedName>
    <definedName name="allProjects">#REF!</definedName>
    <definedName name="amort" localSheetId="2">[5]Inputs!#REF!</definedName>
    <definedName name="amort" localSheetId="1">[5]Inputs!#REF!</definedName>
    <definedName name="amort">[5]Inputs!#REF!</definedName>
    <definedName name="AP_Sales" localSheetId="2">'[4]Tanning Assumptions'!#REF!</definedName>
    <definedName name="AP_Sales" localSheetId="1">'[4]Tanning Assumptions'!#REF!</definedName>
    <definedName name="AP_Sales">'[4]Tanning Assumptions'!#REF!</definedName>
    <definedName name="AR_Other_Sales" localSheetId="2">'[4]Tanning Assumptions'!#REF!</definedName>
    <definedName name="AR_Other_Sales" localSheetId="1">'[4]Tanning Assumptions'!#REF!</definedName>
    <definedName name="AR_Other_Sales">'[4]Tanning Assumptions'!#REF!</definedName>
    <definedName name="AR_Trade_Sales" localSheetId="2">'[4]Tanning Assumptions'!#REF!</definedName>
    <definedName name="AR_Trade_Sales" localSheetId="1">'[4]Tanning Assumptions'!#REF!</definedName>
    <definedName name="AR_Trade_Sales">'[4]Tanning Assumptions'!#REF!</definedName>
    <definedName name="As_Of_Date">[6]Selections!$C$2</definedName>
    <definedName name="asdfa">#REF!</definedName>
    <definedName name="AsOfDate">'[7]AUM YTD 2000'!$W$1</definedName>
    <definedName name="AssetPur" localSheetId="2" function="1" xlm="1">[1]Model!#REF!</definedName>
    <definedName name="AssetPur" localSheetId="1" function="1" xlm="1">[1]Model!#REF!</definedName>
    <definedName name="AssetPur" function="1" xlm="1">[1]Model!#REF!</definedName>
    <definedName name="ASSUMPTIONS">#REF!</definedName>
    <definedName name="B_S" localSheetId="2">#REF!</definedName>
    <definedName name="B_S" localSheetId="1">#REF!</definedName>
    <definedName name="B_S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>#REF!</definedName>
    <definedName name="Billable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 localSheetId="2">[5]Inputs!#REF!</definedName>
    <definedName name="bs" localSheetId="1">[5]Inputs!#REF!</definedName>
    <definedName name="bs">[5]Inputs!#REF!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2">#REF!</definedName>
    <definedName name="CASH_FLOW" localSheetId="1">#REF!</definedName>
    <definedName name="CASH_FLOW">#REF!</definedName>
    <definedName name="Cash_Sales" localSheetId="2">'[4]Tanning Assumptions'!#REF!</definedName>
    <definedName name="Cash_Sales" localSheetId="1">'[4]Tanning Assumptions'!#REF!</definedName>
    <definedName name="Cash_Sales">'[4]Tanning Assumptions'!#REF!</definedName>
    <definedName name="CASHBUDGET" localSheetId="2">#REF!</definedName>
    <definedName name="CASHBUDGET" localSheetId="1">#REF!</definedName>
    <definedName name="CASHBUDGET">#REF!</definedName>
    <definedName name="CASHBUDGET___0" localSheetId="2">#REF!</definedName>
    <definedName name="CASHBUDGET___0" localSheetId="1">#REF!</definedName>
    <definedName name="CASHBUDGET___0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 localSheetId="2">#REF!</definedName>
    <definedName name="cashint" localSheetId="1">#REF!</definedName>
    <definedName name="cashint">#REF!</definedName>
    <definedName name="cashint___0" localSheetId="2">#REF!</definedName>
    <definedName name="cashint___0" localSheetId="1">#REF!</definedName>
    <definedName name="cashint___0">#REF!</definedName>
    <definedName name="CBHC">#REF!</definedName>
    <definedName name="cfl">#REF!</definedName>
    <definedName name="ChartDataRange">#REF!</definedName>
    <definedName name="CINC" localSheetId="2">#REF!</definedName>
    <definedName name="CINC" localSheetId="1">#REF!</definedName>
    <definedName name="CINC">#REF!</definedName>
    <definedName name="CIQWBGuid" hidden="1">"b0a3970e-600e-486b-9de0-1d98a91b4987"</definedName>
    <definedName name="CIQWBInfo" hidden="1">"{ ""CIQVersion"":""9.45.614.5792"" }"</definedName>
    <definedName name="circ" localSheetId="2">[5]Inputs!#REF!</definedName>
    <definedName name="circ" localSheetId="1">[5]Inputs!#REF!</definedName>
    <definedName name="circ">[5]Inputs!#REF!</definedName>
    <definedName name="CircRev">#REF!</definedName>
    <definedName name="Class_3_Agg_Cash" localSheetId="2">[10]Revolver!#REF!</definedName>
    <definedName name="Class_3_Agg_Cash" localSheetId="1">[10]Revolver!#REF!</definedName>
    <definedName name="Class_3_Agg_Cash">[10]Revolver!#REF!</definedName>
    <definedName name="Class_3_Amt_BET" localSheetId="2">[10]Revolver!#REF!</definedName>
    <definedName name="Class_3_Amt_BET" localSheetId="1">[10]Revolver!#REF!</definedName>
    <definedName name="Class_3_Amt_BET">[10]Revolver!#REF!</definedName>
    <definedName name="Class_A_Interest">#REF!</definedName>
    <definedName name="Class_A_Principal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2">#REF!</definedName>
    <definedName name="Clients" localSheetId="1">#REF!</definedName>
    <definedName name="Clients">#REF!</definedName>
    <definedName name="closing_date">#REF!</definedName>
    <definedName name="closingttmrevenue">#REF!</definedName>
    <definedName name="CMBSIG" localSheetId="2">#REF!</definedName>
    <definedName name="CMBSIG" localSheetId="1">#REF!</definedName>
    <definedName name="CMBSIG">#REF!</definedName>
    <definedName name="Column_Lookup">'[11]MASTER DRIVER'!$C$5:$D$29</definedName>
    <definedName name="COMBINED_J_W__3_111403_JUP_IND_PROFORMA_List">#REF!</definedName>
    <definedName name="company">[12]CONTROL!$D$7</definedName>
    <definedName name="company___0">[8]CONTROL!$D$7</definedName>
    <definedName name="cons">#REF!</definedName>
    <definedName name="consultants">#REF!</definedName>
    <definedName name="contrib2" localSheetId="0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0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>#REF!</definedName>
    <definedName name="COSTREPORT___0">#REF!</definedName>
    <definedName name="counter" localSheetId="2">'[14]Portfolio Input'!#REF!</definedName>
    <definedName name="counter" localSheetId="1">'[14]Portfolio Input'!#REF!</definedName>
    <definedName name="counter">'[14]Portfolio Input'!#REF!</definedName>
    <definedName name="counter2" localSheetId="2">'[14]Portfolio Input'!#REF!</definedName>
    <definedName name="counter2" localSheetId="1">'[14]Portfolio Input'!#REF!</definedName>
    <definedName name="counter2">'[14]Portfolio Input'!#REF!</definedName>
    <definedName name="Coupon">[15]Inputs!$J$30</definedName>
    <definedName name="CSEnd">#REF!</definedName>
    <definedName name="CSHO" localSheetId="2">#REF!</definedName>
    <definedName name="CSHO" localSheetId="1">#REF!</definedName>
    <definedName name="CSHO">#REF!</definedName>
    <definedName name="CSHPRI" localSheetId="2">#REF!</definedName>
    <definedName name="CSHPRI" localSheetId="1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>#REF!</definedName>
    <definedName name="Date" localSheetId="2">[16]Comps!#REF!</definedName>
    <definedName name="Date" localSheetId="1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2">[5]Inputs!#REF!</definedName>
    <definedName name="debtsched" localSheetId="1">[5]Inputs!#REF!</definedName>
    <definedName name="debtsched">[5]Inputs!#REF!</definedName>
    <definedName name="decconsultants">#REF!</definedName>
    <definedName name="decemberemployees">#REF!</definedName>
    <definedName name="decemployees">#REF!</definedName>
    <definedName name="default">#REF!</definedName>
    <definedName name="Default_Scenario">#REF!</definedName>
    <definedName name="Default_Table" localSheetId="2">#REF!</definedName>
    <definedName name="Default_Table" localSheetId="1">#REF!</definedName>
    <definedName name="Default_Table">#REF!</definedName>
    <definedName name="Default_Timing">#REF!</definedName>
    <definedName name="depsched" localSheetId="2">[5]Inputs!#REF!</definedName>
    <definedName name="depsched" localSheetId="1">[5]Inputs!#REF!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>#REF!</definedName>
    <definedName name="earnout">#REF!</definedName>
    <definedName name="earnout___0">#REF!</definedName>
    <definedName name="EBIT" localSheetId="1">Model_USD!#REF!</definedName>
    <definedName name="EBIT">Model!#REF!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2">[17]Consolidated!#REF!</definedName>
    <definedName name="ePrint" localSheetId="1">[17]Consolidated!#REF!</definedName>
    <definedName name="ePrint">[17]Consolidated!#REF!</definedName>
    <definedName name="EQUITY">'[9]S&amp;U'!$E$12</definedName>
    <definedName name="equityamt">#REF!</definedName>
    <definedName name="equityamt___0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>#REF!</definedName>
    <definedName name="FinanceRev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0" hidden="1">{"BS",#N/A,FALSE,"USA"}</definedName>
    <definedName name="FSoPacific" hidden="1">{"BS",#N/A,FALSE,"USA"}</definedName>
    <definedName name="Fund">[6]Selections!$A$1</definedName>
    <definedName name="Fwd_Curve">#REF!</definedName>
    <definedName name="FYEMarker">#REF!</definedName>
    <definedName name="FYEMonth">#REF!</definedName>
    <definedName name="G_A_SUMMARY">#REF!</definedName>
    <definedName name="group_quarterly">#REF!</definedName>
    <definedName name="Header1">[19]_01_05_v_Wicks_xls__01_05_v_Wic!$N$1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2">'[20]LBO Summary'!#REF!</definedName>
    <definedName name="hl" localSheetId="1">'[20]LBO Summary'!#REF!</definedName>
    <definedName name="hl">'[20]LBO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 hidden="1">5000</definedName>
    <definedName name="IQ_CURRENCY_GAIN_BR" hidden="1">"c236"</definedName>
    <definedName name="IQ_CURRENT_PORT_DEBT_BR" hidden="1">"c1567"</definedName>
    <definedName name="IQ_CY" hidden="1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 hidden="1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 hidden="1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 hidden="1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 hidden="1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 hidden="1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2">'[9]S&amp;U'!#REF!</definedName>
    <definedName name="LBO" localSheetId="1">'[9]S&amp;U'!#REF!</definedName>
    <definedName name="LBO">'[9]S&amp;U'!#REF!</definedName>
    <definedName name="left">#REF!</definedName>
    <definedName name="lett" localSheetId="2">#REF!</definedName>
    <definedName name="lett" localSheetId="1">#REF!</definedName>
    <definedName name="lett">#REF!</definedName>
    <definedName name="LIBOR">[21]Portfolio!$E$2</definedName>
    <definedName name="Libor_Assumptions">#REF!</definedName>
    <definedName name="Libor_Curve">#REF!</definedName>
    <definedName name="Libor_Down">#REF!</definedName>
    <definedName name="Libor_Down_Up">#REF!</definedName>
    <definedName name="LIBOR_Minus_1SD" localSheetId="2">[10]Revolver!#REF!</definedName>
    <definedName name="LIBOR_Minus_1SD" localSheetId="1">[10]Revolver!#REF!</definedName>
    <definedName name="LIBOR_Minus_1SD">[10]Revolver!#REF!</definedName>
    <definedName name="Libor_Minus_2SD" localSheetId="2">[10]Revolver!#REF!</definedName>
    <definedName name="Libor_Minus_2SD" localSheetId="1">[10]Revolver!#REF!</definedName>
    <definedName name="Libor_Minus_2SD">[10]Revolver!#REF!</definedName>
    <definedName name="Libor_Plus_0SD" localSheetId="2">[10]Revolver!#REF!</definedName>
    <definedName name="Libor_Plus_0SD" localSheetId="1">[10]Revolver!#REF!</definedName>
    <definedName name="Libor_Plus_0SD">[10]Revolver!#REF!</definedName>
    <definedName name="Libor_Plus_1SD" localSheetId="2">[10]Revolver!#REF!</definedName>
    <definedName name="Libor_Plus_1SD" localSheetId="1">[10]Revolver!#REF!</definedName>
    <definedName name="Libor_Plus_1SD">[10]Revolver!#REF!</definedName>
    <definedName name="Libor_Plus_2SD" localSheetId="2">[10]Revolver!#REF!</definedName>
    <definedName name="Libor_Plus_2SD" localSheetId="1">[10]Revolver!#REF!</definedName>
    <definedName name="Libor_Plus_2SD">[10]Revolver!#REF!</definedName>
    <definedName name="Libor_Scenario">#REF!</definedName>
    <definedName name="Libor_Up">#REF!</definedName>
    <definedName name="longterm" localSheetId="2">[5]Inputs!#REF!</definedName>
    <definedName name="longterm" localSheetId="1">[5]Inputs!#REF!</definedName>
    <definedName name="longterm">[5]Inputs!#REF!</definedName>
    <definedName name="LTM_DATE">#REF!</definedName>
    <definedName name="Marketable_securities" localSheetId="2">'[22]Fly-by-night - problem 5'!#REF!</definedName>
    <definedName name="Marketable_securities" localSheetId="1">'[22]Fly-by-night - problem 5'!#REF!</definedName>
    <definedName name="Marketable_securities">'[22]Fly-by-night - problem 5'!#REF!</definedName>
    <definedName name="MaxMarkDate">[7]SaleData!$M$3</definedName>
    <definedName name="mcs03g.ReqArray" localSheetId="0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2">#REF!</definedName>
    <definedName name="MKVALM" localSheetId="1">#REF!</definedName>
    <definedName name="MKVALM">#REF!</definedName>
    <definedName name="MONTHLYSALES" localSheetId="2">#REF!</definedName>
    <definedName name="MONTHLYSALES" localSheetId="1">#REF!</definedName>
    <definedName name="MONTHLYSALES">#REF!</definedName>
    <definedName name="MONTHLYSALES___0" localSheetId="2">#REF!</definedName>
    <definedName name="MONTHLYSALES___0" localSheetId="1">#REF!</definedName>
    <definedName name="MONTHLYSALES___0">#REF!</definedName>
    <definedName name="moodys">#REF!</definedName>
    <definedName name="mu">'[23]LBO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2">#REF!</definedName>
    <definedName name="NDY" localSheetId="1">#REF!</definedName>
    <definedName name="NDY">#REF!</definedName>
    <definedName name="NDYWGT" localSheetId="2">#REF!</definedName>
    <definedName name="NDYWGT" localSheetId="1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>#REF!</definedName>
    <definedName name="Other_assets" localSheetId="2">'[22]Fly-by-night - problem 5'!#REF!</definedName>
    <definedName name="Other_assets" localSheetId="1">'[22]Fly-by-night - problem 5'!#REF!</definedName>
    <definedName name="Other_assets">'[22]Fly-by-night - problem 5'!#REF!</definedName>
    <definedName name="Other_current_liabilities_Sales" localSheetId="2">'[4]Tanning Assumptions'!#REF!</definedName>
    <definedName name="Other_current_liabilities_Sales" localSheetId="1">'[4]Tanning Assumptions'!#REF!</definedName>
    <definedName name="Other_current_liabilities_Sales">'[4]Tanning Assumptions'!#REF!</definedName>
    <definedName name="Other_long_term_liabilities" localSheetId="2">'[4]Tanning Assumptions'!#REF!</definedName>
    <definedName name="Other_long_term_liabilities" localSheetId="1">'[4]Tanning Assumptions'!#REF!</definedName>
    <definedName name="Other_long_term_liabilities">'[4]Tanning Assumptions'!#REF!</definedName>
    <definedName name="OtherRev">#REF!</definedName>
    <definedName name="P_L" localSheetId="2">#REF!</definedName>
    <definedName name="P_L" localSheetId="1">#REF!</definedName>
    <definedName name="P_L">#REF!</definedName>
    <definedName name="PCV">[6]Calcs!$B$1</definedName>
    <definedName name="Percentage">#REF!</definedName>
    <definedName name="Period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 localSheetId="2">#REF!</definedName>
    <definedName name="PERSONAL_FINANCIAL" localSheetId="1">#REF!</definedName>
    <definedName name="PERSONAL_FINANCIAL">#REF!</definedName>
    <definedName name="PERSONAL_FINANCIAL___0" localSheetId="2">#REF!</definedName>
    <definedName name="PERSONAL_FINANCIAL___0" localSheetId="1">#REF!</definedName>
    <definedName name="PERSONAL_FINANCIAL___0">#REF!</definedName>
    <definedName name="PFLTM" localSheetId="2">'[24]VeCTOR Import'!#REF!</definedName>
    <definedName name="PFLTM" localSheetId="1">'[24]VeCTOR Import'!#REF!</definedName>
    <definedName name="PFLTM">'[24]VeCTOR Import'!#REF!</definedName>
    <definedName name="pik" localSheetId="2">'[9]S&amp;U'!#REF!</definedName>
    <definedName name="pik" localSheetId="1">'[9]S&amp;U'!#REF!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2">'[4]Tanning Assumptions'!#REF!</definedName>
    <definedName name="PP_E_Sales" localSheetId="1">'[4]Tanning Assumptions'!#REF!</definedName>
    <definedName name="PP_E_Sales">'[4]Tanning Assumptions'!#REF!</definedName>
    <definedName name="prefbamt">#REF!</definedName>
    <definedName name="prefbamt___0">#REF!</definedName>
    <definedName name="prefbper">#REF!</definedName>
    <definedName name="prefbper___0">#REF!</definedName>
    <definedName name="Preliminary">#REF!</definedName>
    <definedName name="Prepaids_Sales" localSheetId="2">'[4]Tanning Assumptions'!#REF!</definedName>
    <definedName name="Prepaids_Sales" localSheetId="1">'[4]Tanning Assumptions'!#REF!</definedName>
    <definedName name="Prepaids_Sales">'[4]Tanning Assumptions'!#REF!</definedName>
    <definedName name="PRICES">#REF!</definedName>
    <definedName name="PRICES___0">#REF!</definedName>
    <definedName name="_xlnm.Print_Area" localSheetId="2">Model!$B$224:$D$282</definedName>
    <definedName name="_xlnm.Print_Area" localSheetId="1">Model_USD!$B$231:$B$287</definedName>
    <definedName name="_xlnm.Print_Area">#REF!</definedName>
    <definedName name="_xlnm.Print_Titles" localSheetId="2">Model!$1:$4</definedName>
    <definedName name="_xlnm.Print_Titles" localSheetId="1">Model_USD!$2:$5</definedName>
    <definedName name="_xlnm.Print_Titles">#REF!</definedName>
    <definedName name="project">[12]CONTROL!$D$8</definedName>
    <definedName name="project___0">[8]CONTROL!$D$8</definedName>
    <definedName name="ProjList">#REF!</definedName>
    <definedName name="PublicCompany" localSheetId="2">#REF!</definedName>
    <definedName name="PublicCompany" localSheetId="1">#REF!</definedName>
    <definedName name="PublicCompany">#REF!</definedName>
    <definedName name="purchase">[25]TRANSACTION!$Q$2</definedName>
    <definedName name="PURCHASE_PRICE">[26]Sheet5:D!$A$1:$H$23</definedName>
    <definedName name="qryWSO_Positions_ByFunds_CrossTab">#REF!</definedName>
    <definedName name="quarterly">#REF!</definedName>
    <definedName name="rate">#REF!</definedName>
    <definedName name="RateTable" localSheetId="2">[27]MASTER!#REF!</definedName>
    <definedName name="RateTable" localSheetId="1">[27]MASTER!#REF!</definedName>
    <definedName name="RateTable">[27]MASTER!#REF!</definedName>
    <definedName name="Rating">'[7]Actual vs Covenant'!$P$11:$Q$18</definedName>
    <definedName name="RatingFactors">#REF!</definedName>
    <definedName name="RATIOS">#REF!</definedName>
    <definedName name="RATIOS___0">#REF!</definedName>
    <definedName name="recovery">#REF!</definedName>
    <definedName name="refi">'[28]OBS - REFI'!$AP$5</definedName>
    <definedName name="REPORT">#REF!</definedName>
    <definedName name="REPORT___0">#REF!</definedName>
    <definedName name="ReprintRev">#REF!</definedName>
    <definedName name="ret">#REF!</definedName>
    <definedName name="rhl" localSheetId="2">'[20]LBO Summary'!#REF!</definedName>
    <definedName name="rhl" localSheetId="1">'[20]LBO Summary'!#REF!</definedName>
    <definedName name="rhl">'[20]LBO Summary'!#REF!</definedName>
    <definedName name="RoyaltyRev">#REF!</definedName>
    <definedName name="rptData">#REF!</definedName>
    <definedName name="rr" localSheetId="2">'[20]LBO Summary'!#REF!</definedName>
    <definedName name="rr" localSheetId="1">'[20]LBO Summary'!#REF!</definedName>
    <definedName name="rr">'[20]LBO Summary'!#REF!</definedName>
    <definedName name="s" localSheetId="2">#REF!</definedName>
    <definedName name="s" localSheetId="1">#REF!</definedName>
    <definedName name="s">#REF!</definedName>
    <definedName name="s.outstand" localSheetId="2">[5]Inputs!#REF!</definedName>
    <definedName name="s.outstand" localSheetId="1">[5]Inputs!#REF!</definedName>
    <definedName name="s.outstand">[5]Inputs!#REF!</definedName>
    <definedName name="SALES" localSheetId="2">#REF!</definedName>
    <definedName name="SALES" localSheetId="1">#REF!</definedName>
    <definedName name="SALES">#REF!</definedName>
    <definedName name="SALES___0" localSheetId="2">#REF!</definedName>
    <definedName name="SALES___0" localSheetId="1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>#REF!</definedName>
    <definedName name="Scenario_1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 localSheetId="2">#REF!</definedName>
    <definedName name="Scenario_39" localSheetId="1">#REF!</definedName>
    <definedName name="Scenario_39">#REF!</definedName>
    <definedName name="Scenario_41" localSheetId="2">#REF!</definedName>
    <definedName name="Scenario_41" localSheetId="1">#REF!</definedName>
    <definedName name="Scenario_41">#REF!</definedName>
    <definedName name="Scenario_42" localSheetId="2">#REF!</definedName>
    <definedName name="Scenario_42" localSheetId="1">#REF!</definedName>
    <definedName name="Scenario_42">#REF!</definedName>
    <definedName name="Scenario_43" localSheetId="2">#REF!</definedName>
    <definedName name="Scenario_43" localSheetId="1">#REF!</definedName>
    <definedName name="Scenario_43">#REF!</definedName>
    <definedName name="Scenario_44" localSheetId="2">#REF!</definedName>
    <definedName name="Scenario_44" localSheetId="1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 localSheetId="2">[5]Inputs!#REF!</definedName>
    <definedName name="sh.equity" localSheetId="1">[5]Inputs!#REF!</definedName>
    <definedName name="sh.equity">[5]Inputs!#REF!</definedName>
    <definedName name="sl" localSheetId="2">'[20]LBO Summary'!#REF!</definedName>
    <definedName name="sl" localSheetId="1">'[20]LBO Summary'!#REF!</definedName>
    <definedName name="sl">'[20]LBO Summary'!#REF!</definedName>
    <definedName name="snapshotdate">#REF!</definedName>
    <definedName name="sort_range">#REF!</definedName>
    <definedName name="sponsor">'[9]S&amp;U'!$J$21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2">'[14]Portfolio Input'!#REF!</definedName>
    <definedName name="StartRefresh" localSheetId="1">'[14]Portfolio Input'!#REF!</definedName>
    <definedName name="StartRefresh">'[14]Portfolio Input'!#REF!</definedName>
    <definedName name="StartYear">[6]Selections!$P$1</definedName>
    <definedName name="Strip_Amount">#REF!</definedName>
    <definedName name="Strip_PV" localSheetId="2">#REF!</definedName>
    <definedName name="Strip_PV" localSheetId="1">#REF!</definedName>
    <definedName name="Strip_PV">#REF!</definedName>
    <definedName name="stub">#REF!</definedName>
    <definedName name="stubmonths">'[29]D&amp;A'!$C$5</definedName>
    <definedName name="sub" localSheetId="2">'[20]LBO Summary'!#REF!</definedName>
    <definedName name="sub" localSheetId="1">'[20]LBO Summary'!#REF!</definedName>
    <definedName name="sub">'[20]LBO Summary'!#REF!</definedName>
    <definedName name="subdebtamount">[15]Inputs!$J$26</definedName>
    <definedName name="subdebtdate">[15]Inputs!$J$28</definedName>
    <definedName name="Subhead1">[19]_01_05_v_Wicks_xls__01_05_v_Wic!$N$2</definedName>
    <definedName name="subHeading" localSheetId="2">#REF!</definedName>
    <definedName name="subHeading" localSheetId="1">#REF!</definedName>
    <definedName name="subHeading">#REF!</definedName>
    <definedName name="summary">#REF!</definedName>
    <definedName name="support">#REF!</definedName>
    <definedName name="sweep___9" localSheetId="2">[30]COVS_ACTUAL!#REF!</definedName>
    <definedName name="sweep___9" localSheetId="1">[30]COVS_ACTUAL!#REF!</definedName>
    <definedName name="sweep___9">[30]COVS_ACTUAL!#REF!</definedName>
    <definedName name="target">#REF!</definedName>
    <definedName name="tax" localSheetId="2">[31]ISCF!#REF!</definedName>
    <definedName name="tax" localSheetId="1">[31]ISCF!#REF!</definedName>
    <definedName name="tax">[31]ISCF!#REF!</definedName>
    <definedName name="Taxes_Receivable_Sales" localSheetId="2">'[4]Tanning Assumptions'!#REF!</definedName>
    <definedName name="Taxes_Receivable_Sales" localSheetId="1">'[4]Tanning Assumptions'!#REF!</definedName>
    <definedName name="Taxes_Receivable_Sales">'[4]Tanning Assumptions'!#REF!</definedName>
    <definedName name="Test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[28]SUM!$A$2</definedName>
    <definedName name="today">#REF!</definedName>
    <definedName name="top">#REF!</definedName>
    <definedName name="TopIC">'[7]Actual vs Covenant'!$P$31:$Q$38</definedName>
    <definedName name="TopOC">'[7]Actual vs Covenant'!$P$21:$Q$28</definedName>
    <definedName name="TOTAL">#REF!</definedName>
    <definedName name="TOTAL___0">#REF!</definedName>
    <definedName name="Total_Europe" localSheetId="2">#REF!</definedName>
    <definedName name="Total_Europe" localSheetId="1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[28]SUM!$AE$2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2">'[14]Portfolio Input'!#REF!</definedName>
    <definedName name="WBMIN" localSheetId="1">'[14]Portfolio Input'!#REF!</definedName>
    <definedName name="WBMIN">'[14]Portfolio Input'!#REF!</definedName>
    <definedName name="WHAT_IF">#REF!</definedName>
    <definedName name="WHAT_IF___0">#REF!</definedName>
    <definedName name="whec">[28]WHEC!$AX$2</definedName>
    <definedName name="wicksequity">[15]Inputs!$E$35</definedName>
    <definedName name="WORKING_CAPITAL" localSheetId="2">#REF!</definedName>
    <definedName name="WORKING_CAPITAL" localSheetId="1">#REF!</definedName>
    <definedName name="WORKING_CAPITAL">#REF!</definedName>
    <definedName name="WORKING_CAPITAL___0" localSheetId="2">#REF!</definedName>
    <definedName name="WORKING_CAPITAL___0" localSheetId="1">#REF!</definedName>
    <definedName name="WORKING_CAPITAL___0">#REF!</definedName>
    <definedName name="wrn.Alloutput." localSheetId="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0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0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0" hidden="1">{"inputs raw data",#N/A,TRUE,"INPUT"}</definedName>
    <definedName name="wrn.print._.raw._.data._.entry." hidden="1">{"inputs raw data",#N/A,TRUE,"INPUT"}</definedName>
    <definedName name="wrn.print._.summary._.sheets." localSheetId="0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0" hidden="1">{#N/A,#N/A,FALSE,"Integration Systems"}</definedName>
    <definedName name="wrn.Sales._.Activity." hidden="1">{#N/A,#N/A,FALSE,"Integration Systems"}</definedName>
    <definedName name="wrn.Summary." localSheetId="0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0" hidden="1">{#N/A,#N/A,FALSE,"Combo"}</definedName>
    <definedName name="wrn.Weekly._.Inventory._.Report." hidden="1">{#N/A,#N/A,FALSE,"Combo"}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ip" localSheetId="2">#REF!</definedName>
    <definedName name="zip" localSheetId="1">#REF!</definedName>
    <definedName name="zip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7" l="1"/>
  <c r="AD153" i="20"/>
  <c r="AD150" i="20"/>
  <c r="AD147" i="20"/>
  <c r="C21" i="17"/>
  <c r="C19" i="17"/>
  <c r="C17" i="17"/>
  <c r="C34" i="17" s="1"/>
  <c r="C35" i="17" s="1"/>
  <c r="C15" i="17"/>
  <c r="C16" i="17" s="1"/>
  <c r="C65" i="17"/>
  <c r="C47" i="17"/>
  <c r="C48" i="17" s="1"/>
  <c r="AD357" i="20"/>
  <c r="AC357" i="20"/>
  <c r="AB357" i="20"/>
  <c r="AA357" i="20"/>
  <c r="Z357" i="20"/>
  <c r="Y357" i="20"/>
  <c r="X357" i="20"/>
  <c r="W357" i="20"/>
  <c r="V357" i="20"/>
  <c r="U357" i="20"/>
  <c r="T357" i="20"/>
  <c r="S357" i="20"/>
  <c r="R357" i="20"/>
  <c r="Q357" i="20"/>
  <c r="P357" i="20"/>
  <c r="O357" i="20"/>
  <c r="AD356" i="20"/>
  <c r="AC356" i="20"/>
  <c r="AB356" i="20"/>
  <c r="AA356" i="20"/>
  <c r="Z356" i="20"/>
  <c r="Y356" i="20"/>
  <c r="X356" i="20"/>
  <c r="W356" i="20"/>
  <c r="V356" i="20"/>
  <c r="U356" i="20"/>
  <c r="T356" i="20"/>
  <c r="S356" i="20"/>
  <c r="R356" i="20"/>
  <c r="Q356" i="20"/>
  <c r="P356" i="20"/>
  <c r="O356" i="20"/>
  <c r="AD355" i="20"/>
  <c r="AC355" i="20"/>
  <c r="AB355" i="20"/>
  <c r="AA355" i="20"/>
  <c r="Z355" i="20"/>
  <c r="Y355" i="20"/>
  <c r="X355" i="20"/>
  <c r="W355" i="20"/>
  <c r="V355" i="20"/>
  <c r="U355" i="20"/>
  <c r="T355" i="20"/>
  <c r="S355" i="20"/>
  <c r="R355" i="20"/>
  <c r="Q355" i="20"/>
  <c r="P355" i="20"/>
  <c r="O355" i="20"/>
  <c r="AD354" i="20"/>
  <c r="AC354" i="20"/>
  <c r="AB354" i="20"/>
  <c r="AA354" i="20"/>
  <c r="Z354" i="20"/>
  <c r="Y354" i="20"/>
  <c r="X354" i="20"/>
  <c r="W354" i="20"/>
  <c r="V354" i="20"/>
  <c r="U354" i="20"/>
  <c r="T354" i="20"/>
  <c r="S354" i="20"/>
  <c r="R354" i="20"/>
  <c r="Q354" i="20"/>
  <c r="P354" i="20"/>
  <c r="O354" i="20"/>
  <c r="AD353" i="20"/>
  <c r="AC353" i="20"/>
  <c r="AB353" i="20"/>
  <c r="AA353" i="20"/>
  <c r="Z353" i="20"/>
  <c r="Y353" i="20"/>
  <c r="X353" i="20"/>
  <c r="W353" i="20"/>
  <c r="V353" i="20"/>
  <c r="U353" i="20"/>
  <c r="T353" i="20"/>
  <c r="S353" i="20"/>
  <c r="R353" i="20"/>
  <c r="Q353" i="20"/>
  <c r="P353" i="20"/>
  <c r="O353" i="20"/>
  <c r="AD352" i="20"/>
  <c r="AC352" i="20"/>
  <c r="AB352" i="20"/>
  <c r="AA352" i="20"/>
  <c r="Z352" i="20"/>
  <c r="Y352" i="20"/>
  <c r="X352" i="20"/>
  <c r="W352" i="20"/>
  <c r="V352" i="20"/>
  <c r="U352" i="20"/>
  <c r="T352" i="20"/>
  <c r="S352" i="20"/>
  <c r="R352" i="20"/>
  <c r="Q352" i="20"/>
  <c r="P352" i="20"/>
  <c r="O352" i="20"/>
  <c r="AD351" i="20"/>
  <c r="AC351" i="20"/>
  <c r="AB351" i="20"/>
  <c r="AA351" i="20"/>
  <c r="Z351" i="20"/>
  <c r="Y351" i="20"/>
  <c r="X351" i="20"/>
  <c r="W351" i="20"/>
  <c r="V351" i="20"/>
  <c r="U351" i="20"/>
  <c r="T351" i="20"/>
  <c r="S351" i="20"/>
  <c r="R351" i="20"/>
  <c r="Q351" i="20"/>
  <c r="P351" i="20"/>
  <c r="O351" i="20"/>
  <c r="N357" i="20"/>
  <c r="N356" i="20"/>
  <c r="N355" i="20"/>
  <c r="N354" i="20"/>
  <c r="N353" i="20"/>
  <c r="N352" i="20"/>
  <c r="N351" i="20"/>
  <c r="E351" i="20"/>
  <c r="F351" i="20"/>
  <c r="G351" i="20"/>
  <c r="E352" i="20"/>
  <c r="F352" i="20"/>
  <c r="G352" i="20"/>
  <c r="E353" i="20"/>
  <c r="F353" i="20"/>
  <c r="G353" i="20"/>
  <c r="E354" i="20"/>
  <c r="F354" i="20"/>
  <c r="G354" i="20"/>
  <c r="E355" i="20"/>
  <c r="F355" i="20"/>
  <c r="G355" i="20"/>
  <c r="E356" i="20"/>
  <c r="F356" i="20"/>
  <c r="G356" i="20"/>
  <c r="E357" i="20"/>
  <c r="F357" i="20"/>
  <c r="G357" i="20"/>
  <c r="D352" i="20"/>
  <c r="D353" i="20"/>
  <c r="D354" i="20"/>
  <c r="D355" i="20"/>
  <c r="D356" i="20"/>
  <c r="D357" i="20"/>
  <c r="D351" i="20"/>
  <c r="AD347" i="20"/>
  <c r="AC347" i="20"/>
  <c r="AB347" i="20"/>
  <c r="AA347" i="20"/>
  <c r="Z347" i="20"/>
  <c r="Y347" i="20"/>
  <c r="X347" i="20"/>
  <c r="W347" i="20"/>
  <c r="V347" i="20"/>
  <c r="U347" i="20"/>
  <c r="T347" i="20"/>
  <c r="S347" i="20"/>
  <c r="R347" i="20"/>
  <c r="Q347" i="20"/>
  <c r="P347" i="20"/>
  <c r="O347" i="20"/>
  <c r="N347" i="20"/>
  <c r="M347" i="20"/>
  <c r="L347" i="20"/>
  <c r="K347" i="20"/>
  <c r="J347" i="20"/>
  <c r="H347" i="20"/>
  <c r="G347" i="20"/>
  <c r="F347" i="20"/>
  <c r="E347" i="20"/>
  <c r="D347" i="20"/>
  <c r="AD346" i="20"/>
  <c r="AC346" i="20"/>
  <c r="AB346" i="20"/>
  <c r="AA346" i="20"/>
  <c r="Z346" i="20"/>
  <c r="Y346" i="20"/>
  <c r="X346" i="20"/>
  <c r="W346" i="20"/>
  <c r="V346" i="20"/>
  <c r="U346" i="20"/>
  <c r="T346" i="20"/>
  <c r="S346" i="20"/>
  <c r="R346" i="20"/>
  <c r="Q346" i="20"/>
  <c r="P346" i="20"/>
  <c r="O346" i="20"/>
  <c r="N346" i="20"/>
  <c r="M346" i="20"/>
  <c r="L346" i="20"/>
  <c r="K346" i="20"/>
  <c r="J346" i="20"/>
  <c r="H346" i="20"/>
  <c r="G346" i="20"/>
  <c r="F346" i="20"/>
  <c r="E346" i="20"/>
  <c r="D346" i="20"/>
  <c r="AD345" i="20"/>
  <c r="AC345" i="20"/>
  <c r="AB345" i="20"/>
  <c r="AA345" i="20"/>
  <c r="Z345" i="20"/>
  <c r="Y345" i="20"/>
  <c r="X345" i="20"/>
  <c r="W345" i="20"/>
  <c r="V345" i="20"/>
  <c r="U345" i="20"/>
  <c r="T345" i="20"/>
  <c r="S345" i="20"/>
  <c r="R345" i="20"/>
  <c r="Q345" i="20"/>
  <c r="P345" i="20"/>
  <c r="O345" i="20"/>
  <c r="N345" i="20"/>
  <c r="M345" i="20"/>
  <c r="L345" i="20"/>
  <c r="K345" i="20"/>
  <c r="J345" i="20"/>
  <c r="H345" i="20"/>
  <c r="G345" i="20"/>
  <c r="F345" i="20"/>
  <c r="E345" i="20"/>
  <c r="D345" i="20"/>
  <c r="AD344" i="20"/>
  <c r="AC344" i="20"/>
  <c r="AB344" i="20"/>
  <c r="AA344" i="20"/>
  <c r="Z344" i="20"/>
  <c r="Y344" i="20"/>
  <c r="X344" i="20"/>
  <c r="W344" i="20"/>
  <c r="V344" i="20"/>
  <c r="U344" i="20"/>
  <c r="T344" i="20"/>
  <c r="S344" i="20"/>
  <c r="R344" i="20"/>
  <c r="Q344" i="20"/>
  <c r="P344" i="20"/>
  <c r="O344" i="20"/>
  <c r="N344" i="20"/>
  <c r="M344" i="20"/>
  <c r="L344" i="20"/>
  <c r="K344" i="20"/>
  <c r="J344" i="20"/>
  <c r="H344" i="20"/>
  <c r="G344" i="20"/>
  <c r="F344" i="20"/>
  <c r="E344" i="20"/>
  <c r="D344" i="20"/>
  <c r="AD343" i="20"/>
  <c r="AC343" i="20"/>
  <c r="AB343" i="20"/>
  <c r="AA343" i="20"/>
  <c r="Z343" i="20"/>
  <c r="Y343" i="20"/>
  <c r="X343" i="20"/>
  <c r="W343" i="20"/>
  <c r="V343" i="20"/>
  <c r="U343" i="20"/>
  <c r="T343" i="20"/>
  <c r="S343" i="20"/>
  <c r="R343" i="20"/>
  <c r="Q343" i="20"/>
  <c r="P343" i="20"/>
  <c r="O343" i="20"/>
  <c r="O348" i="20" s="1"/>
  <c r="N343" i="20"/>
  <c r="N348" i="20" s="1"/>
  <c r="M343" i="20"/>
  <c r="M348" i="20" s="1"/>
  <c r="L343" i="20"/>
  <c r="L348" i="20" s="1"/>
  <c r="K343" i="20"/>
  <c r="K348" i="20" s="1"/>
  <c r="J343" i="20"/>
  <c r="J348" i="20" s="1"/>
  <c r="H343" i="20"/>
  <c r="H348" i="20" s="1"/>
  <c r="G343" i="20"/>
  <c r="G348" i="20" s="1"/>
  <c r="F343" i="20"/>
  <c r="F348" i="20" s="1"/>
  <c r="E343" i="20"/>
  <c r="E348" i="20" s="1"/>
  <c r="D343" i="20"/>
  <c r="D348" i="20" s="1"/>
  <c r="AD342" i="20"/>
  <c r="AD348" i="20" s="1"/>
  <c r="AC342" i="20"/>
  <c r="AC348" i="20" s="1"/>
  <c r="AB342" i="20"/>
  <c r="AB348" i="20" s="1"/>
  <c r="AA342" i="20"/>
  <c r="AA348" i="20" s="1"/>
  <c r="Z342" i="20"/>
  <c r="Z348" i="20" s="1"/>
  <c r="Y342" i="20"/>
  <c r="Y348" i="20" s="1"/>
  <c r="X342" i="20"/>
  <c r="X348" i="20" s="1"/>
  <c r="W342" i="20"/>
  <c r="W348" i="20" s="1"/>
  <c r="V342" i="20"/>
  <c r="V348" i="20" s="1"/>
  <c r="U342" i="20"/>
  <c r="U348" i="20" s="1"/>
  <c r="T342" i="20"/>
  <c r="T348" i="20" s="1"/>
  <c r="S342" i="20"/>
  <c r="S348" i="20" s="1"/>
  <c r="R342" i="20"/>
  <c r="R348" i="20" s="1"/>
  <c r="Q342" i="20"/>
  <c r="Q348" i="20" s="1"/>
  <c r="P342" i="20"/>
  <c r="P348" i="20" s="1"/>
  <c r="O342" i="20"/>
  <c r="N342" i="20"/>
  <c r="M342" i="20"/>
  <c r="L342" i="20"/>
  <c r="K342" i="20"/>
  <c r="J342" i="20"/>
  <c r="H342" i="20"/>
  <c r="G342" i="20"/>
  <c r="F342" i="20"/>
  <c r="E342" i="20"/>
  <c r="D342" i="20"/>
  <c r="C348" i="20"/>
  <c r="C343" i="20"/>
  <c r="C344" i="20"/>
  <c r="C345" i="20"/>
  <c r="C346" i="20"/>
  <c r="C347" i="20"/>
  <c r="C342" i="20"/>
  <c r="H364" i="20"/>
  <c r="H363" i="20"/>
  <c r="H362" i="20"/>
  <c r="H361" i="20"/>
  <c r="H336" i="20"/>
  <c r="H335" i="20"/>
  <c r="H334" i="20"/>
  <c r="H333" i="20"/>
  <c r="H332" i="20"/>
  <c r="H331" i="20"/>
  <c r="AD130" i="20"/>
  <c r="H130" i="20" s="1"/>
  <c r="AD115" i="20"/>
  <c r="AD102" i="20"/>
  <c r="H141" i="20"/>
  <c r="H140" i="20"/>
  <c r="H124" i="20"/>
  <c r="H119" i="20"/>
  <c r="H106" i="20"/>
  <c r="H105" i="20"/>
  <c r="H104" i="20"/>
  <c r="H103" i="20"/>
  <c r="H102" i="20"/>
  <c r="AD77" i="20"/>
  <c r="AD68" i="20"/>
  <c r="AD64" i="20"/>
  <c r="AD176" i="20" s="1"/>
  <c r="AD12" i="20"/>
  <c r="AD27" i="20" s="1"/>
  <c r="H3" i="20"/>
  <c r="AD389" i="20"/>
  <c r="AD382" i="20"/>
  <c r="AD378" i="20"/>
  <c r="AD367" i="20"/>
  <c r="AD337" i="20"/>
  <c r="AD330" i="20"/>
  <c r="AD360" i="20" s="1"/>
  <c r="AD371" i="20" s="1"/>
  <c r="AD327" i="20"/>
  <c r="AD317" i="20"/>
  <c r="AD301" i="20"/>
  <c r="AD291" i="20"/>
  <c r="AD258" i="20"/>
  <c r="AD256" i="20"/>
  <c r="AD254" i="20"/>
  <c r="AD253" i="20"/>
  <c r="AD252" i="20"/>
  <c r="AD250" i="20"/>
  <c r="AD249" i="20"/>
  <c r="AD248" i="20"/>
  <c r="AD247" i="20"/>
  <c r="AD244" i="20"/>
  <c r="AD243" i="20"/>
  <c r="AD242" i="20"/>
  <c r="AD237" i="20"/>
  <c r="AD231" i="20"/>
  <c r="AD228" i="20"/>
  <c r="AD206" i="20"/>
  <c r="AD272" i="20" s="1"/>
  <c r="AD196" i="20"/>
  <c r="AD262" i="20" s="1"/>
  <c r="AD192" i="20"/>
  <c r="AD190" i="20"/>
  <c r="AD188" i="20"/>
  <c r="AD187" i="20"/>
  <c r="AD186" i="20"/>
  <c r="AD184" i="20"/>
  <c r="AD183" i="20"/>
  <c r="AD182" i="20"/>
  <c r="AD181" i="20"/>
  <c r="AD178" i="20"/>
  <c r="AD177" i="20"/>
  <c r="AD171" i="20"/>
  <c r="AD165" i="20"/>
  <c r="AD164" i="20"/>
  <c r="AD163" i="20"/>
  <c r="AD162" i="20"/>
  <c r="AD145" i="20"/>
  <c r="AD124" i="20"/>
  <c r="AD112" i="20"/>
  <c r="AD111" i="20"/>
  <c r="AD110" i="20"/>
  <c r="AD107" i="20"/>
  <c r="AD100" i="20"/>
  <c r="AD94" i="20"/>
  <c r="AD297" i="20" s="1"/>
  <c r="AD87" i="20"/>
  <c r="AD63" i="20"/>
  <c r="AD49" i="20"/>
  <c r="AD173" i="20" s="1"/>
  <c r="AD48" i="20"/>
  <c r="AD172" i="20" s="1"/>
  <c r="AD41" i="20"/>
  <c r="AD37" i="20" s="1"/>
  <c r="AD39" i="20"/>
  <c r="AD62" i="20" s="1"/>
  <c r="AD32" i="20"/>
  <c r="AD28" i="20"/>
  <c r="AD26" i="20"/>
  <c r="AD10" i="20"/>
  <c r="AD8" i="20"/>
  <c r="G115" i="20"/>
  <c r="C90" i="17"/>
  <c r="C91" i="17" s="1"/>
  <c r="AC388" i="20"/>
  <c r="H388" i="20" s="1"/>
  <c r="AC387" i="20"/>
  <c r="H387" i="20" s="1"/>
  <c r="AC386" i="20"/>
  <c r="H386" i="20" s="1"/>
  <c r="AC385" i="20"/>
  <c r="H385" i="20" s="1"/>
  <c r="AC384" i="20"/>
  <c r="H384" i="20" s="1"/>
  <c r="AC383" i="20"/>
  <c r="H383" i="20" s="1"/>
  <c r="AC377" i="20"/>
  <c r="H377" i="20" s="1"/>
  <c r="AC376" i="20"/>
  <c r="H376" i="20" s="1"/>
  <c r="AC375" i="20"/>
  <c r="H375" i="20" s="1"/>
  <c r="AC374" i="20"/>
  <c r="H374" i="20" s="1"/>
  <c r="AC373" i="20"/>
  <c r="H373" i="20" s="1"/>
  <c r="AC372" i="20"/>
  <c r="H372" i="20" s="1"/>
  <c r="AC366" i="20"/>
  <c r="H366" i="20" s="1"/>
  <c r="AC365" i="20"/>
  <c r="H365" i="20" s="1"/>
  <c r="AC364" i="20"/>
  <c r="AC363" i="20"/>
  <c r="AC362" i="20"/>
  <c r="AC361" i="20"/>
  <c r="AC336" i="20"/>
  <c r="AC335" i="20"/>
  <c r="AC334" i="20"/>
  <c r="AC333" i="20"/>
  <c r="AC332" i="20"/>
  <c r="AC331" i="20"/>
  <c r="C22" i="17" l="1"/>
  <c r="C25" i="17"/>
  <c r="C28" i="17" s="1"/>
  <c r="D16" i="17"/>
  <c r="C18" i="17"/>
  <c r="C20" i="17"/>
  <c r="AD122" i="20"/>
  <c r="H115" i="20"/>
  <c r="AD241" i="20"/>
  <c r="AD175" i="20"/>
  <c r="AD67" i="20"/>
  <c r="AD71" i="20" s="1"/>
  <c r="AD391" i="20"/>
  <c r="AD369" i="20"/>
  <c r="AD339" i="20"/>
  <c r="AD239" i="20"/>
  <c r="AD127" i="20"/>
  <c r="AD121" i="20"/>
  <c r="AD198" i="20"/>
  <c r="AD264" i="20" s="1"/>
  <c r="AD255" i="20"/>
  <c r="AD189" i="20"/>
  <c r="AD246" i="20"/>
  <c r="AD180" i="20"/>
  <c r="AD36" i="20"/>
  <c r="AD14" i="20"/>
  <c r="AD380" i="20" s="1"/>
  <c r="AD11" i="20"/>
  <c r="AC326" i="20"/>
  <c r="H326" i="20" s="1"/>
  <c r="AC325" i="20"/>
  <c r="H325" i="20" s="1"/>
  <c r="AC324" i="20"/>
  <c r="H324" i="20" s="1"/>
  <c r="AC323" i="20"/>
  <c r="H323" i="20" s="1"/>
  <c r="AC319" i="20"/>
  <c r="H319" i="20" s="1"/>
  <c r="AC318" i="20"/>
  <c r="H318" i="20" s="1"/>
  <c r="AC141" i="20"/>
  <c r="AC140" i="20"/>
  <c r="G130" i="20"/>
  <c r="AC130" i="20" s="1"/>
  <c r="AC119" i="20"/>
  <c r="G122" i="20"/>
  <c r="AC106" i="20"/>
  <c r="AC105" i="20"/>
  <c r="AC104" i="20"/>
  <c r="AC103" i="20"/>
  <c r="G102" i="20"/>
  <c r="AC102" i="20" s="1"/>
  <c r="G78" i="20"/>
  <c r="G77" i="20"/>
  <c r="G255" i="20" s="1"/>
  <c r="G75" i="20"/>
  <c r="G187" i="20" s="1"/>
  <c r="G73" i="20"/>
  <c r="G250" i="20"/>
  <c r="G68" i="20"/>
  <c r="G64" i="20"/>
  <c r="G176" i="20" s="1"/>
  <c r="AC47" i="20"/>
  <c r="H47" i="20" s="1"/>
  <c r="AC21" i="20"/>
  <c r="H21" i="20" s="1"/>
  <c r="AC19" i="20"/>
  <c r="H19" i="20" s="1"/>
  <c r="AC17" i="20"/>
  <c r="H17" i="20" s="1"/>
  <c r="AC15" i="20"/>
  <c r="H15" i="20" s="1"/>
  <c r="AC13" i="20"/>
  <c r="H13" i="20" s="1"/>
  <c r="AC9" i="20"/>
  <c r="H9" i="20" s="1"/>
  <c r="AC7" i="20"/>
  <c r="H7" i="20" s="1"/>
  <c r="G16" i="20"/>
  <c r="AC16" i="20" s="1"/>
  <c r="H16" i="20" s="1"/>
  <c r="G12" i="20"/>
  <c r="G27" i="20" s="1"/>
  <c r="AC206" i="20"/>
  <c r="AC272" i="20" s="1"/>
  <c r="AC164" i="20"/>
  <c r="AC163" i="20"/>
  <c r="AC124" i="20"/>
  <c r="AC94" i="20"/>
  <c r="AC297" i="20" s="1"/>
  <c r="G389" i="20"/>
  <c r="G382" i="20"/>
  <c r="G378" i="20"/>
  <c r="G367" i="20"/>
  <c r="G337" i="20"/>
  <c r="G339" i="20" s="1"/>
  <c r="G330" i="20"/>
  <c r="G360" i="20" s="1"/>
  <c r="G371" i="20" s="1"/>
  <c r="G327" i="20"/>
  <c r="G317" i="20"/>
  <c r="G291" i="20"/>
  <c r="G258" i="20"/>
  <c r="G254" i="20"/>
  <c r="G249" i="20"/>
  <c r="G248" i="20"/>
  <c r="G247" i="20"/>
  <c r="G244" i="20"/>
  <c r="G243" i="20"/>
  <c r="G231" i="20"/>
  <c r="G228" i="20"/>
  <c r="G206" i="20"/>
  <c r="G272" i="20" s="1"/>
  <c r="G192" i="20"/>
  <c r="G188" i="20"/>
  <c r="G183" i="20"/>
  <c r="G182" i="20"/>
  <c r="G181" i="20"/>
  <c r="G178" i="20"/>
  <c r="G177" i="20"/>
  <c r="G165" i="20"/>
  <c r="G163" i="20"/>
  <c r="G162" i="20"/>
  <c r="G145" i="20"/>
  <c r="G124" i="20"/>
  <c r="G112" i="20"/>
  <c r="G111" i="20"/>
  <c r="G110" i="20"/>
  <c r="G107" i="20"/>
  <c r="G108" i="20" s="1"/>
  <c r="G100" i="20"/>
  <c r="G95" i="20"/>
  <c r="G298" i="20" s="1"/>
  <c r="G94" i="20"/>
  <c r="G297" i="20" s="1"/>
  <c r="G88" i="20"/>
  <c r="G292" i="20" s="1"/>
  <c r="G87" i="20"/>
  <c r="G186" i="20"/>
  <c r="G180" i="20"/>
  <c r="G41" i="20"/>
  <c r="G37" i="20" s="1"/>
  <c r="G39" i="20"/>
  <c r="G62" i="20" s="1"/>
  <c r="G36" i="20"/>
  <c r="G32" i="20"/>
  <c r="G28" i="20"/>
  <c r="G26" i="20"/>
  <c r="G10" i="20"/>
  <c r="G8" i="20"/>
  <c r="G166" i="20" s="1"/>
  <c r="AA65" i="20"/>
  <c r="W65" i="20"/>
  <c r="X65" i="20" s="1"/>
  <c r="S65" i="20"/>
  <c r="T65" i="20" s="1"/>
  <c r="O65" i="20"/>
  <c r="P65" i="20" s="1"/>
  <c r="K65" i="20"/>
  <c r="L65" i="20" s="1"/>
  <c r="AB59" i="20"/>
  <c r="C112" i="17"/>
  <c r="C133" i="17"/>
  <c r="C109" i="17"/>
  <c r="D18" i="17" l="1"/>
  <c r="C26" i="17"/>
  <c r="C29" i="17" s="1"/>
  <c r="AB65" i="20"/>
  <c r="AC59" i="20"/>
  <c r="H59" i="20"/>
  <c r="AD245" i="20"/>
  <c r="AD179" i="20"/>
  <c r="AD136" i="20"/>
  <c r="AD137" i="20" s="1"/>
  <c r="AD142" i="20"/>
  <c r="AD134" i="20"/>
  <c r="AD201" i="20"/>
  <c r="AD267" i="20" s="1"/>
  <c r="AD302" i="20"/>
  <c r="AD197" i="20"/>
  <c r="AD263" i="20" s="1"/>
  <c r="AD304" i="20"/>
  <c r="AD126" i="20"/>
  <c r="AD18" i="20"/>
  <c r="AD29" i="20"/>
  <c r="AD40" i="20"/>
  <c r="AD42" i="20" s="1"/>
  <c r="AC112" i="20"/>
  <c r="G14" i="20"/>
  <c r="C69" i="17"/>
  <c r="C67" i="17"/>
  <c r="C77" i="17" s="1"/>
  <c r="C78" i="17" s="1"/>
  <c r="AD91" i="20"/>
  <c r="AD30" i="20"/>
  <c r="AC110" i="20"/>
  <c r="AD88" i="20"/>
  <c r="AD31" i="20"/>
  <c r="C134" i="17"/>
  <c r="AC107" i="20"/>
  <c r="H107" i="20"/>
  <c r="AC88" i="20"/>
  <c r="AC65" i="20"/>
  <c r="H65" i="20" s="1"/>
  <c r="AC115" i="20"/>
  <c r="AC378" i="20"/>
  <c r="G184" i="20"/>
  <c r="AC28" i="20"/>
  <c r="G256" i="20"/>
  <c r="G190" i="20"/>
  <c r="AC91" i="20"/>
  <c r="AC63" i="20"/>
  <c r="AC175" i="20" s="1"/>
  <c r="AC237" i="20"/>
  <c r="AC337" i="20"/>
  <c r="AC339" i="20" s="1"/>
  <c r="AC327" i="20"/>
  <c r="AC389" i="20"/>
  <c r="AC391" i="20" s="1"/>
  <c r="AC367" i="20"/>
  <c r="G252" i="20"/>
  <c r="AC41" i="20"/>
  <c r="AC37" i="20" s="1"/>
  <c r="G31" i="20"/>
  <c r="G198" i="20"/>
  <c r="G264" i="20" s="1"/>
  <c r="G189" i="20"/>
  <c r="AC165" i="20"/>
  <c r="AC111" i="20"/>
  <c r="G11" i="20"/>
  <c r="AC49" i="20"/>
  <c r="AC173" i="20" s="1"/>
  <c r="AC171" i="20"/>
  <c r="AC26" i="20"/>
  <c r="G369" i="20"/>
  <c r="AC10" i="20"/>
  <c r="AC32" i="20"/>
  <c r="AC231" i="20"/>
  <c r="G242" i="20"/>
  <c r="G127" i="20"/>
  <c r="G253" i="20"/>
  <c r="G97" i="20"/>
  <c r="G299" i="20" s="1"/>
  <c r="G246" i="20"/>
  <c r="C113" i="17"/>
  <c r="H94" i="20"/>
  <c r="AB130" i="20"/>
  <c r="AB115" i="20"/>
  <c r="AB102" i="20"/>
  <c r="X102" i="20"/>
  <c r="AB389" i="20"/>
  <c r="G18" i="20" l="1"/>
  <c r="G40" i="20"/>
  <c r="G42" i="20" s="1"/>
  <c r="G29" i="20"/>
  <c r="G89" i="20"/>
  <c r="G380" i="20"/>
  <c r="AD204" i="20"/>
  <c r="AD270" i="20" s="1"/>
  <c r="AD303" i="20"/>
  <c r="AD154" i="20"/>
  <c r="AD133" i="20"/>
  <c r="AD159" i="20"/>
  <c r="AD222" i="20" s="1"/>
  <c r="AD143" i="20"/>
  <c r="AD213" i="20"/>
  <c r="AD200" i="20"/>
  <c r="AD266" i="20" s="1"/>
  <c r="AD20" i="20"/>
  <c r="AD22" i="20" s="1"/>
  <c r="AD33" i="20"/>
  <c r="AD34" i="20"/>
  <c r="AD44" i="20"/>
  <c r="AD169" i="20" s="1"/>
  <c r="AD46" i="20"/>
  <c r="AD167" i="20"/>
  <c r="AD233" i="20"/>
  <c r="AD148" i="20"/>
  <c r="AD211" i="20" s="1"/>
  <c r="AD208" i="20"/>
  <c r="AD294" i="20"/>
  <c r="AD108" i="20"/>
  <c r="AD292" i="20"/>
  <c r="AD151" i="20"/>
  <c r="AD214" i="20" s="1"/>
  <c r="AD210" i="20"/>
  <c r="AC108" i="20"/>
  <c r="AC292" i="20"/>
  <c r="AC294" i="20"/>
  <c r="AC208" i="20"/>
  <c r="C71" i="17"/>
  <c r="AC122" i="20"/>
  <c r="AC239" i="20"/>
  <c r="AC241" i="20"/>
  <c r="AC369" i="20"/>
  <c r="AC11" i="20"/>
  <c r="AC243" i="20"/>
  <c r="AC177" i="20"/>
  <c r="G302" i="20"/>
  <c r="G142" i="20"/>
  <c r="G201" i="20"/>
  <c r="G267" i="20" s="1"/>
  <c r="G136" i="20"/>
  <c r="G137" i="20" s="1"/>
  <c r="G134" i="20"/>
  <c r="AB26" i="20"/>
  <c r="AB12" i="20"/>
  <c r="AB27" i="20" s="1"/>
  <c r="AB8" i="20"/>
  <c r="AB166" i="20" s="1"/>
  <c r="AB391" i="20"/>
  <c r="AB378" i="20"/>
  <c r="AB367" i="20"/>
  <c r="AD368" i="20" s="1"/>
  <c r="AB337" i="20"/>
  <c r="AB339" i="20" s="1"/>
  <c r="AB327" i="20"/>
  <c r="AB237" i="20"/>
  <c r="AB231" i="20"/>
  <c r="AB206" i="20"/>
  <c r="AB272" i="20" s="1"/>
  <c r="AB188" i="20"/>
  <c r="AB171" i="20"/>
  <c r="AB165" i="20"/>
  <c r="AB164" i="20"/>
  <c r="AB163" i="20"/>
  <c r="AB124" i="20"/>
  <c r="AB122" i="20"/>
  <c r="AB112" i="20"/>
  <c r="AB111" i="20"/>
  <c r="AB110" i="20"/>
  <c r="AB107" i="20"/>
  <c r="AB94" i="20"/>
  <c r="AB297" i="20" s="1"/>
  <c r="AB254" i="20"/>
  <c r="AB63" i="20"/>
  <c r="AB49" i="20"/>
  <c r="AB173" i="20" s="1"/>
  <c r="AB48" i="20"/>
  <c r="AB172" i="20" s="1"/>
  <c r="AB41" i="20"/>
  <c r="AB37" i="20" s="1"/>
  <c r="AB32" i="20"/>
  <c r="AB28" i="20"/>
  <c r="AB10" i="20"/>
  <c r="AB11" i="20" s="1"/>
  <c r="AC296" i="20" l="1"/>
  <c r="G33" i="20"/>
  <c r="G20" i="20"/>
  <c r="G34" i="20"/>
  <c r="G90" i="20"/>
  <c r="G44" i="20"/>
  <c r="G169" i="20" s="1"/>
  <c r="G167" i="20"/>
  <c r="G233" i="20"/>
  <c r="G235" i="20" s="1"/>
  <c r="AD217" i="20"/>
  <c r="AD308" i="20"/>
  <c r="AD305" i="20"/>
  <c r="AD203" i="20"/>
  <c r="AD269" i="20" s="1"/>
  <c r="AD296" i="20"/>
  <c r="AC148" i="20"/>
  <c r="AC211" i="20" s="1"/>
  <c r="C66" i="17"/>
  <c r="AC127" i="20"/>
  <c r="AC31" i="20"/>
  <c r="AC198" i="20"/>
  <c r="AC264" i="20" s="1"/>
  <c r="G204" i="20"/>
  <c r="G270" i="20" s="1"/>
  <c r="G303" i="20"/>
  <c r="G171" i="20"/>
  <c r="G91" i="20"/>
  <c r="G154" i="20" s="1"/>
  <c r="G237" i="20"/>
  <c r="G49" i="20"/>
  <c r="G173" i="20" s="1"/>
  <c r="G46" i="20"/>
  <c r="G63" i="20"/>
  <c r="G391" i="20"/>
  <c r="AB14" i="20"/>
  <c r="AB29" i="20" s="1"/>
  <c r="AB369" i="20"/>
  <c r="AB198" i="20"/>
  <c r="AB264" i="20" s="1"/>
  <c r="AB127" i="20"/>
  <c r="AB239" i="20"/>
  <c r="AB241" i="20"/>
  <c r="AB175" i="20"/>
  <c r="G96" i="20" l="1"/>
  <c r="G22" i="20"/>
  <c r="AD216" i="20"/>
  <c r="AD309" i="20"/>
  <c r="C70" i="17"/>
  <c r="C68" i="17"/>
  <c r="D68" i="17" s="1"/>
  <c r="D66" i="17"/>
  <c r="C72" i="17"/>
  <c r="AC201" i="20"/>
  <c r="AC267" i="20" s="1"/>
  <c r="AC302" i="20"/>
  <c r="AC151" i="20"/>
  <c r="AC214" i="20" s="1"/>
  <c r="AC142" i="20"/>
  <c r="AC134" i="20"/>
  <c r="AC136" i="20"/>
  <c r="AC137" i="20" s="1"/>
  <c r="G217" i="20"/>
  <c r="G308" i="20"/>
  <c r="G239" i="20"/>
  <c r="G294" i="20"/>
  <c r="G296" i="20" s="1"/>
  <c r="G208" i="20"/>
  <c r="G274" i="20" s="1"/>
  <c r="G283" i="20" s="1"/>
  <c r="G157" i="20"/>
  <c r="G220" i="20" s="1"/>
  <c r="G156" i="20"/>
  <c r="G219" i="20" s="1"/>
  <c r="G148" i="20"/>
  <c r="G211" i="20" s="1"/>
  <c r="G151" i="20"/>
  <c r="G214" i="20" s="1"/>
  <c r="G67" i="20"/>
  <c r="G71" i="20" s="1"/>
  <c r="G241" i="20"/>
  <c r="G175" i="20"/>
  <c r="AB18" i="20"/>
  <c r="AB34" i="20" s="1"/>
  <c r="AB40" i="20"/>
  <c r="AB42" i="20" s="1"/>
  <c r="AB167" i="20" s="1"/>
  <c r="AB380" i="20"/>
  <c r="AB142" i="20"/>
  <c r="AB201" i="20"/>
  <c r="AB267" i="20" s="1"/>
  <c r="AB136" i="20"/>
  <c r="AB137" i="20" s="1"/>
  <c r="AB134" i="20"/>
  <c r="AB302" i="20"/>
  <c r="AC204" i="20" l="1"/>
  <c r="AC270" i="20" s="1"/>
  <c r="AC154" i="20"/>
  <c r="AC303" i="20"/>
  <c r="AB44" i="20"/>
  <c r="AB169" i="20" s="1"/>
  <c r="AB46" i="20"/>
  <c r="G286" i="20"/>
  <c r="G285" i="20"/>
  <c r="G277" i="20"/>
  <c r="G280" i="20"/>
  <c r="G179" i="20"/>
  <c r="G245" i="20"/>
  <c r="AB233" i="20"/>
  <c r="AB33" i="20"/>
  <c r="AB20" i="20"/>
  <c r="AB22" i="20" s="1"/>
  <c r="AB204" i="20"/>
  <c r="AB270" i="20" s="1"/>
  <c r="AB303" i="20"/>
  <c r="AC217" i="20" l="1"/>
  <c r="AC308" i="20"/>
  <c r="C154" i="17"/>
  <c r="C175" i="17"/>
  <c r="C151" i="17"/>
  <c r="AA130" i="20"/>
  <c r="AA115" i="20"/>
  <c r="AA122" i="20" s="1"/>
  <c r="AA102" i="20"/>
  <c r="AA124" i="20"/>
  <c r="AA78" i="20"/>
  <c r="AC78" i="20" l="1"/>
  <c r="H78" i="20" s="1"/>
  <c r="AB190" i="20"/>
  <c r="AB256" i="20"/>
  <c r="C155" i="17"/>
  <c r="AA127" i="20"/>
  <c r="AA80" i="20"/>
  <c r="AA75" i="20"/>
  <c r="AA74" i="20"/>
  <c r="AA73" i="20"/>
  <c r="AA72" i="20"/>
  <c r="AA66" i="20"/>
  <c r="AA12" i="20"/>
  <c r="AA389" i="20"/>
  <c r="AA391" i="20" s="1"/>
  <c r="AA378" i="20"/>
  <c r="AA367" i="20"/>
  <c r="AA337" i="20"/>
  <c r="AA327" i="20"/>
  <c r="AD328" i="20" s="1"/>
  <c r="AA256" i="20"/>
  <c r="AA237" i="20"/>
  <c r="AD274" i="20" s="1"/>
  <c r="AA231" i="20"/>
  <c r="AA206" i="20"/>
  <c r="AA272" i="20" s="1"/>
  <c r="AA198" i="20"/>
  <c r="AA264" i="20" s="1"/>
  <c r="AA190" i="20"/>
  <c r="AA171" i="20"/>
  <c r="AA165" i="20"/>
  <c r="AA164" i="20"/>
  <c r="AA163" i="20"/>
  <c r="AA112" i="20"/>
  <c r="AA111" i="20"/>
  <c r="AA110" i="20"/>
  <c r="AA107" i="20"/>
  <c r="AA94" i="20"/>
  <c r="AA297" i="20" s="1"/>
  <c r="AA76" i="20"/>
  <c r="AA70" i="20"/>
  <c r="AA69" i="20"/>
  <c r="AA63" i="20"/>
  <c r="AA49" i="20"/>
  <c r="AA173" i="20" s="1"/>
  <c r="AA48" i="20"/>
  <c r="AA172" i="20" s="1"/>
  <c r="AA41" i="20"/>
  <c r="AA37" i="20" s="1"/>
  <c r="AA32" i="20"/>
  <c r="AA28" i="20"/>
  <c r="AA26" i="20"/>
  <c r="AA10" i="20"/>
  <c r="AA11" i="20" s="1"/>
  <c r="AA8" i="20"/>
  <c r="AA166" i="20" s="1"/>
  <c r="AA3" i="20"/>
  <c r="C192" i="17"/>
  <c r="C190" i="17"/>
  <c r="C200" i="17" s="1"/>
  <c r="C201" i="17" s="1"/>
  <c r="C213" i="17"/>
  <c r="C189" i="17"/>
  <c r="Z327" i="20"/>
  <c r="Z130" i="20"/>
  <c r="Z115" i="20"/>
  <c r="F115" i="20"/>
  <c r="Z102" i="20"/>
  <c r="Z77" i="20"/>
  <c r="Z68" i="20"/>
  <c r="Z64" i="20"/>
  <c r="Z12" i="20"/>
  <c r="Z389" i="20"/>
  <c r="Z382" i="20"/>
  <c r="Z378" i="20"/>
  <c r="AD379" i="20" s="1"/>
  <c r="Z367" i="20"/>
  <c r="Z337" i="20"/>
  <c r="Z339" i="20" s="1"/>
  <c r="Z330" i="20"/>
  <c r="Z360" i="20" s="1"/>
  <c r="Z371" i="20" s="1"/>
  <c r="Z317" i="20"/>
  <c r="Z291" i="20"/>
  <c r="Z258" i="20"/>
  <c r="Z256" i="20"/>
  <c r="Z254" i="20"/>
  <c r="Z253" i="20"/>
  <c r="Z252" i="20"/>
  <c r="Z250" i="20"/>
  <c r="Z249" i="20"/>
  <c r="Z248" i="20"/>
  <c r="Z247" i="20"/>
  <c r="Z244" i="20"/>
  <c r="Z243" i="20"/>
  <c r="Z237" i="20"/>
  <c r="AD238" i="20" s="1"/>
  <c r="Z231" i="20"/>
  <c r="AD232" i="20" s="1"/>
  <c r="Z228" i="20"/>
  <c r="Z206" i="20"/>
  <c r="Z272" i="20" s="1"/>
  <c r="Z192" i="20"/>
  <c r="Z190" i="20"/>
  <c r="Z188" i="20"/>
  <c r="Z187" i="20"/>
  <c r="Z186" i="20"/>
  <c r="Z184" i="20"/>
  <c r="Z183" i="20"/>
  <c r="Z182" i="20"/>
  <c r="Z181" i="20"/>
  <c r="Z178" i="20"/>
  <c r="Z177" i="20"/>
  <c r="Z171" i="20"/>
  <c r="Z165" i="20"/>
  <c r="Z164" i="20"/>
  <c r="Z163" i="20"/>
  <c r="Z162" i="20"/>
  <c r="Z145" i="20"/>
  <c r="Z124" i="20"/>
  <c r="Z112" i="20"/>
  <c r="Z111" i="20"/>
  <c r="Z110" i="20"/>
  <c r="Z107" i="20"/>
  <c r="Z100" i="20"/>
  <c r="Z94" i="20"/>
  <c r="Z297" i="20" s="1"/>
  <c r="Z87" i="20"/>
  <c r="Z63" i="20"/>
  <c r="Z175" i="20" s="1"/>
  <c r="Z49" i="20"/>
  <c r="Z173" i="20" s="1"/>
  <c r="Z48" i="20"/>
  <c r="Z172" i="20" s="1"/>
  <c r="Z41" i="20"/>
  <c r="Z37" i="20" s="1"/>
  <c r="Z39" i="20"/>
  <c r="Z62" i="20" s="1"/>
  <c r="Z32" i="20"/>
  <c r="Z28" i="20"/>
  <c r="Z26" i="20"/>
  <c r="Z10" i="20"/>
  <c r="Z8" i="20"/>
  <c r="F130" i="20"/>
  <c r="Y130" i="20" s="1"/>
  <c r="C250" i="17"/>
  <c r="C226" i="17"/>
  <c r="Y388" i="20"/>
  <c r="Y387" i="20"/>
  <c r="Y386" i="20"/>
  <c r="Y385" i="20"/>
  <c r="Y384" i="20"/>
  <c r="Y383" i="20"/>
  <c r="Y377" i="20"/>
  <c r="Y376" i="20"/>
  <c r="Y375" i="20"/>
  <c r="Y374" i="20"/>
  <c r="Y373" i="20"/>
  <c r="Y372" i="20"/>
  <c r="Y366" i="20"/>
  <c r="Y365" i="20"/>
  <c r="Y364" i="20"/>
  <c r="Y363" i="20"/>
  <c r="Y362" i="20"/>
  <c r="Y361" i="20"/>
  <c r="Y336" i="20"/>
  <c r="Y335" i="20"/>
  <c r="Y334" i="20"/>
  <c r="Y333" i="20"/>
  <c r="Y332" i="20"/>
  <c r="Y331" i="20"/>
  <c r="Y326" i="20"/>
  <c r="Y325" i="20"/>
  <c r="Y324" i="20"/>
  <c r="Y323" i="20"/>
  <c r="Y319" i="20"/>
  <c r="Y318" i="20"/>
  <c r="Y141" i="20"/>
  <c r="C229" i="17" s="1"/>
  <c r="Y106" i="20"/>
  <c r="Y105" i="20"/>
  <c r="Y104" i="20"/>
  <c r="Y103" i="20"/>
  <c r="Y59" i="20"/>
  <c r="Y21" i="20"/>
  <c r="Y19" i="20"/>
  <c r="Y17" i="20"/>
  <c r="Y16" i="20"/>
  <c r="Y15" i="20"/>
  <c r="Y13" i="20"/>
  <c r="Y9" i="20"/>
  <c r="Y7" i="20"/>
  <c r="AA183" i="20" l="1"/>
  <c r="AA27" i="20"/>
  <c r="AA339" i="20"/>
  <c r="AD338" i="20"/>
  <c r="AD282" i="20"/>
  <c r="AD279" i="20"/>
  <c r="AD283" i="20"/>
  <c r="AD276" i="20"/>
  <c r="AD280" i="20"/>
  <c r="AD277" i="20"/>
  <c r="Z391" i="20"/>
  <c r="AD390" i="20"/>
  <c r="AC256" i="20"/>
  <c r="AC190" i="20"/>
  <c r="Z255" i="20"/>
  <c r="AC76" i="20"/>
  <c r="H76" i="20" s="1"/>
  <c r="Z176" i="20"/>
  <c r="Z27" i="20"/>
  <c r="AC12" i="20"/>
  <c r="H12" i="20" s="1"/>
  <c r="AB72" i="20"/>
  <c r="Z246" i="20"/>
  <c r="AA254" i="20"/>
  <c r="AB73" i="20"/>
  <c r="AB74" i="20"/>
  <c r="AC274" i="20"/>
  <c r="AB75" i="20"/>
  <c r="AB80" i="20"/>
  <c r="H88" i="20"/>
  <c r="AC8" i="20"/>
  <c r="AB66" i="20"/>
  <c r="AB31" i="20"/>
  <c r="AA31" i="20"/>
  <c r="AA239" i="20"/>
  <c r="Z30" i="20"/>
  <c r="AA64" i="20"/>
  <c r="Z189" i="20"/>
  <c r="AA192" i="20"/>
  <c r="AA186" i="20"/>
  <c r="AA77" i="20"/>
  <c r="H26" i="20"/>
  <c r="AA253" i="20"/>
  <c r="AA258" i="20"/>
  <c r="AA247" i="20"/>
  <c r="AB69" i="20"/>
  <c r="AA177" i="20"/>
  <c r="Z88" i="20"/>
  <c r="Z292" i="20" s="1"/>
  <c r="AB88" i="20"/>
  <c r="AA182" i="20"/>
  <c r="AB70" i="20"/>
  <c r="AA68" i="20"/>
  <c r="AA181" i="20"/>
  <c r="AA187" i="20"/>
  <c r="AA248" i="20"/>
  <c r="AA184" i="20"/>
  <c r="AA330" i="20"/>
  <c r="AA360" i="20" s="1"/>
  <c r="AA371" i="20" s="1"/>
  <c r="AB3" i="20"/>
  <c r="AA188" i="20"/>
  <c r="AA142" i="20"/>
  <c r="AA136" i="20"/>
  <c r="AA137" i="20" s="1"/>
  <c r="AA134" i="20"/>
  <c r="AA204" i="20" s="1"/>
  <c r="AA270" i="20" s="1"/>
  <c r="AA369" i="20"/>
  <c r="AA88" i="20"/>
  <c r="AA292" i="20" s="1"/>
  <c r="AA162" i="20"/>
  <c r="AA302" i="20"/>
  <c r="AA201" i="20"/>
  <c r="AA267" i="20" s="1"/>
  <c r="AA228" i="20"/>
  <c r="AA249" i="20"/>
  <c r="AA175" i="20"/>
  <c r="AA87" i="20"/>
  <c r="AA241" i="20"/>
  <c r="Z180" i="20"/>
  <c r="AA178" i="20"/>
  <c r="AA244" i="20"/>
  <c r="AA243" i="20"/>
  <c r="AA250" i="20"/>
  <c r="AA145" i="20"/>
  <c r="AA39" i="20"/>
  <c r="AA62" i="20" s="1"/>
  <c r="AA291" i="20"/>
  <c r="AA382" i="20"/>
  <c r="AA317" i="20"/>
  <c r="AA14" i="20"/>
  <c r="AA100" i="20"/>
  <c r="AA252" i="20"/>
  <c r="C193" i="17"/>
  <c r="C191" i="17"/>
  <c r="Z369" i="20"/>
  <c r="Z122" i="20"/>
  <c r="Z31" i="20" s="1"/>
  <c r="Z11" i="20"/>
  <c r="Z14" i="20"/>
  <c r="Z239" i="20"/>
  <c r="Z67" i="20"/>
  <c r="Z71" i="20" s="1"/>
  <c r="Z36" i="20"/>
  <c r="Z241" i="20"/>
  <c r="Z242" i="20"/>
  <c r="C230" i="17"/>
  <c r="F336" i="17"/>
  <c r="F542" i="17" s="1"/>
  <c r="F88" i="20"/>
  <c r="F292" i="20" s="1"/>
  <c r="F389" i="17"/>
  <c r="F140" i="20"/>
  <c r="Y140" i="20" s="1"/>
  <c r="F379" i="17"/>
  <c r="F364" i="17"/>
  <c r="Y115" i="20"/>
  <c r="F350" i="17"/>
  <c r="F102" i="20"/>
  <c r="Y102" i="20" s="1"/>
  <c r="F348" i="17"/>
  <c r="F100" i="20"/>
  <c r="F329" i="17"/>
  <c r="F325" i="17"/>
  <c r="F77" i="20"/>
  <c r="F323" i="17"/>
  <c r="F75" i="20"/>
  <c r="F253" i="20" s="1"/>
  <c r="F322" i="17"/>
  <c r="F74" i="20"/>
  <c r="F316" i="17"/>
  <c r="F68" i="20"/>
  <c r="F246" i="20" s="1"/>
  <c r="F312" i="17"/>
  <c r="F64" i="20"/>
  <c r="F176" i="20" s="1"/>
  <c r="F291" i="17"/>
  <c r="F41" i="20"/>
  <c r="F37" i="20" s="1"/>
  <c r="F289" i="17"/>
  <c r="F39" i="20"/>
  <c r="F62" i="20" s="1"/>
  <c r="F262" i="17"/>
  <c r="F12" i="20"/>
  <c r="F27" i="20" s="1"/>
  <c r="Y389" i="20"/>
  <c r="AC390" i="20" s="1"/>
  <c r="Y327" i="20"/>
  <c r="AC328" i="20" s="1"/>
  <c r="Y206" i="20"/>
  <c r="Y272" i="20" s="1"/>
  <c r="Y164" i="20"/>
  <c r="Y163" i="20"/>
  <c r="Y124" i="20"/>
  <c r="Y94" i="20"/>
  <c r="Y297" i="20" s="1"/>
  <c r="Y88" i="20"/>
  <c r="Y292" i="20" s="1"/>
  <c r="Y41" i="20"/>
  <c r="Y37" i="20" s="1"/>
  <c r="Y32" i="20"/>
  <c r="Y28" i="20"/>
  <c r="Y112" i="20"/>
  <c r="F1293" i="17"/>
  <c r="F1280" i="17"/>
  <c r="F1281" i="17" s="1"/>
  <c r="F1269" i="17"/>
  <c r="F1267" i="17"/>
  <c r="F1250" i="17"/>
  <c r="F1237" i="17"/>
  <c r="F1238" i="17" s="1"/>
  <c r="F1226" i="17"/>
  <c r="F1224" i="17"/>
  <c r="F1211" i="17"/>
  <c r="F389" i="20"/>
  <c r="G390" i="20" s="1"/>
  <c r="F382" i="20"/>
  <c r="F378" i="20"/>
  <c r="G379" i="20" s="1"/>
  <c r="F367" i="20"/>
  <c r="G368" i="20" s="1"/>
  <c r="F337" i="20"/>
  <c r="F330" i="20"/>
  <c r="F360" i="20" s="1"/>
  <c r="F371" i="20" s="1"/>
  <c r="F327" i="20"/>
  <c r="G328" i="20" s="1"/>
  <c r="F317" i="20"/>
  <c r="F291" i="20"/>
  <c r="F258" i="20"/>
  <c r="F256" i="20"/>
  <c r="F254" i="20"/>
  <c r="F249" i="20"/>
  <c r="F247" i="20"/>
  <c r="F244" i="20"/>
  <c r="F243" i="20"/>
  <c r="F231" i="20"/>
  <c r="G232" i="20" s="1"/>
  <c r="F228" i="20"/>
  <c r="F206" i="20"/>
  <c r="F272" i="20" s="1"/>
  <c r="F192" i="20"/>
  <c r="F190" i="20"/>
  <c r="F188" i="20"/>
  <c r="F183" i="20"/>
  <c r="F181" i="20"/>
  <c r="F178" i="20"/>
  <c r="F177" i="20"/>
  <c r="F165" i="20"/>
  <c r="F163" i="20"/>
  <c r="F162" i="20"/>
  <c r="F145" i="20"/>
  <c r="F124" i="20"/>
  <c r="F112" i="20"/>
  <c r="F111" i="20"/>
  <c r="F110" i="20"/>
  <c r="F107" i="20"/>
  <c r="F95" i="20"/>
  <c r="F298" i="20" s="1"/>
  <c r="F94" i="20"/>
  <c r="F297" i="20" s="1"/>
  <c r="F87" i="20"/>
  <c r="F250" i="20"/>
  <c r="F248" i="20"/>
  <c r="F32" i="20"/>
  <c r="F28" i="20"/>
  <c r="F26" i="20"/>
  <c r="F10" i="20"/>
  <c r="F11" i="20" s="1"/>
  <c r="F8" i="20"/>
  <c r="F166" i="20" s="1"/>
  <c r="AB183" i="20" l="1"/>
  <c r="AC80" i="20"/>
  <c r="H80" i="20"/>
  <c r="AB64" i="20"/>
  <c r="AB242" i="20" s="1"/>
  <c r="AB77" i="20"/>
  <c r="AB255" i="20" s="1"/>
  <c r="AC69" i="20"/>
  <c r="H69" i="20"/>
  <c r="AC70" i="20"/>
  <c r="H70" i="20"/>
  <c r="AC74" i="20"/>
  <c r="AB186" i="20"/>
  <c r="AB253" i="20"/>
  <c r="AC75" i="20"/>
  <c r="H75" i="20" s="1"/>
  <c r="AB178" i="20"/>
  <c r="AB68" i="20"/>
  <c r="AC72" i="20"/>
  <c r="AC77" i="20"/>
  <c r="H77" i="20" s="1"/>
  <c r="AB252" i="20"/>
  <c r="AB249" i="20"/>
  <c r="AC68" i="20"/>
  <c r="AC64" i="20"/>
  <c r="H64" i="20" s="1"/>
  <c r="AC73" i="20"/>
  <c r="H73" i="20" s="1"/>
  <c r="AC66" i="20"/>
  <c r="H66" i="20" s="1"/>
  <c r="AB244" i="20"/>
  <c r="AC182" i="20"/>
  <c r="AC248" i="20"/>
  <c r="AC258" i="20"/>
  <c r="AC192" i="20"/>
  <c r="AC3" i="20"/>
  <c r="AC253" i="20"/>
  <c r="AC187" i="20"/>
  <c r="AC188" i="20"/>
  <c r="AC254" i="20"/>
  <c r="AC244" i="20"/>
  <c r="AC178" i="20"/>
  <c r="AC184" i="20"/>
  <c r="AB192" i="20"/>
  <c r="AC277" i="20"/>
  <c r="AC280" i="20"/>
  <c r="AC283" i="20"/>
  <c r="AC181" i="20"/>
  <c r="AC247" i="20"/>
  <c r="AB258" i="20"/>
  <c r="AB187" i="20"/>
  <c r="Z29" i="20"/>
  <c r="F339" i="20"/>
  <c r="G338" i="20"/>
  <c r="AB176" i="20"/>
  <c r="AA67" i="20"/>
  <c r="AA176" i="20"/>
  <c r="AA303" i="20"/>
  <c r="AA242" i="20"/>
  <c r="AB189" i="20"/>
  <c r="AA255" i="20"/>
  <c r="AA108" i="20"/>
  <c r="AA189" i="20"/>
  <c r="Z108" i="20"/>
  <c r="AB177" i="20"/>
  <c r="AB243" i="20"/>
  <c r="AB250" i="20"/>
  <c r="AB184" i="20"/>
  <c r="AB291" i="20"/>
  <c r="AB145" i="20"/>
  <c r="AB87" i="20"/>
  <c r="AB162" i="20"/>
  <c r="AB100" i="20"/>
  <c r="AB330" i="20"/>
  <c r="AB360" i="20" s="1"/>
  <c r="AB371" i="20" s="1"/>
  <c r="AB382" i="20"/>
  <c r="AB317" i="20"/>
  <c r="AB39" i="20"/>
  <c r="AB62" i="20" s="1"/>
  <c r="AB228" i="20"/>
  <c r="AB182" i="20"/>
  <c r="AB248" i="20"/>
  <c r="AB67" i="20"/>
  <c r="AB71" i="20" s="1"/>
  <c r="AB292" i="20"/>
  <c r="AB108" i="20"/>
  <c r="AB181" i="20"/>
  <c r="AB247" i="20"/>
  <c r="AA40" i="20"/>
  <c r="AA42" i="20" s="1"/>
  <c r="AA18" i="20"/>
  <c r="AA29" i="20"/>
  <c r="AA380" i="20"/>
  <c r="Z198" i="20"/>
  <c r="Z264" i="20" s="1"/>
  <c r="Z127" i="20"/>
  <c r="Z142" i="20" s="1"/>
  <c r="AA246" i="20"/>
  <c r="AA36" i="20"/>
  <c r="AA180" i="20"/>
  <c r="Z40" i="20"/>
  <c r="Z42" i="20" s="1"/>
  <c r="AD43" i="20" s="1"/>
  <c r="AD168" i="20" s="1"/>
  <c r="Z18" i="20"/>
  <c r="Z380" i="20"/>
  <c r="F108" i="20"/>
  <c r="Y107" i="20"/>
  <c r="Y108" i="20" s="1"/>
  <c r="F189" i="20"/>
  <c r="F187" i="20"/>
  <c r="F122" i="20"/>
  <c r="F31" i="20" s="1"/>
  <c r="Y122" i="20"/>
  <c r="F252" i="20"/>
  <c r="Z245" i="20"/>
  <c r="Z179" i="20"/>
  <c r="F332" i="17"/>
  <c r="Y10" i="20"/>
  <c r="Y11" i="20" s="1"/>
  <c r="Y367" i="20"/>
  <c r="AC368" i="20" s="1"/>
  <c r="Y378" i="20"/>
  <c r="AC379" i="20" s="1"/>
  <c r="Y111" i="20"/>
  <c r="Y231" i="20"/>
  <c r="Y337" i="20"/>
  <c r="F14" i="20"/>
  <c r="F89" i="20" s="1"/>
  <c r="Y110" i="20"/>
  <c r="Y165" i="20"/>
  <c r="F182" i="20"/>
  <c r="F36" i="20"/>
  <c r="F184" i="20"/>
  <c r="Y26" i="20"/>
  <c r="F186" i="20"/>
  <c r="F180" i="20"/>
  <c r="F369" i="20"/>
  <c r="F255" i="20"/>
  <c r="F97" i="20"/>
  <c r="F299" i="20" s="1"/>
  <c r="F242" i="20"/>
  <c r="C269" i="17"/>
  <c r="C289" i="17"/>
  <c r="C266" i="17"/>
  <c r="X389" i="20"/>
  <c r="X378" i="20"/>
  <c r="AB379" i="20" s="1"/>
  <c r="X367" i="20"/>
  <c r="X327" i="20"/>
  <c r="AB328" i="20" s="1"/>
  <c r="X230" i="20"/>
  <c r="X130" i="20"/>
  <c r="X115" i="20"/>
  <c r="X107" i="20"/>
  <c r="X12" i="20"/>
  <c r="X337" i="20"/>
  <c r="X237" i="20"/>
  <c r="AB238" i="20" s="1"/>
  <c r="X231" i="20"/>
  <c r="AB232" i="20" s="1"/>
  <c r="X206" i="20"/>
  <c r="X272" i="20" s="1"/>
  <c r="X171" i="20"/>
  <c r="X165" i="20"/>
  <c r="X164" i="20"/>
  <c r="X163" i="20"/>
  <c r="X124" i="20"/>
  <c r="X112" i="20"/>
  <c r="X111" i="20"/>
  <c r="X110" i="20"/>
  <c r="X94" i="20"/>
  <c r="X297" i="20" s="1"/>
  <c r="X63" i="20"/>
  <c r="X49" i="20"/>
  <c r="X173" i="20" s="1"/>
  <c r="X48" i="20"/>
  <c r="X172" i="20" s="1"/>
  <c r="X41" i="20"/>
  <c r="X37" i="20" s="1"/>
  <c r="X32" i="20"/>
  <c r="X28" i="20"/>
  <c r="X26" i="20"/>
  <c r="X10" i="20"/>
  <c r="X11" i="20" s="1"/>
  <c r="X8" i="20"/>
  <c r="X166" i="20" s="1"/>
  <c r="C308" i="17"/>
  <c r="C328" i="17"/>
  <c r="C305" i="17"/>
  <c r="H206" i="20"/>
  <c r="H272" i="20" s="1"/>
  <c r="H163" i="20"/>
  <c r="H100" i="20"/>
  <c r="H297" i="20"/>
  <c r="H62" i="20"/>
  <c r="W130" i="20"/>
  <c r="W115" i="20"/>
  <c r="W122" i="20" s="1"/>
  <c r="S115" i="20"/>
  <c r="W102" i="20"/>
  <c r="W80" i="20"/>
  <c r="W76" i="20"/>
  <c r="W75" i="20"/>
  <c r="W74" i="20"/>
  <c r="W73" i="20"/>
  <c r="W72" i="20"/>
  <c r="W66" i="20"/>
  <c r="W244" i="20" s="1"/>
  <c r="W12" i="20"/>
  <c r="W389" i="20"/>
  <c r="W378" i="20"/>
  <c r="AA379" i="20" s="1"/>
  <c r="W367" i="20"/>
  <c r="AA368" i="20" s="1"/>
  <c r="W337" i="20"/>
  <c r="AA338" i="20" s="1"/>
  <c r="W327" i="20"/>
  <c r="W237" i="20"/>
  <c r="W231" i="20"/>
  <c r="AA232" i="20" s="1"/>
  <c r="W206" i="20"/>
  <c r="W272" i="20" s="1"/>
  <c r="W171" i="20"/>
  <c r="W165" i="20"/>
  <c r="W164" i="20"/>
  <c r="W163" i="20"/>
  <c r="W124" i="20"/>
  <c r="W112" i="20"/>
  <c r="W111" i="20"/>
  <c r="W110" i="20"/>
  <c r="W107" i="20"/>
  <c r="W94" i="20"/>
  <c r="W297" i="20" s="1"/>
  <c r="W78" i="20"/>
  <c r="W70" i="20"/>
  <c r="W69" i="20"/>
  <c r="W63" i="20"/>
  <c r="W241" i="20" s="1"/>
  <c r="W49" i="20"/>
  <c r="W173" i="20" s="1"/>
  <c r="W48" i="20"/>
  <c r="W172" i="20" s="1"/>
  <c r="W41" i="20"/>
  <c r="W37" i="20" s="1"/>
  <c r="W32" i="20"/>
  <c r="W28" i="20"/>
  <c r="W26" i="20"/>
  <c r="W10" i="20"/>
  <c r="W8" i="20"/>
  <c r="W166" i="20" s="1"/>
  <c r="W3" i="20"/>
  <c r="W382" i="20" s="1"/>
  <c r="C347" i="17"/>
  <c r="C367" i="17"/>
  <c r="C344" i="17"/>
  <c r="V130" i="20"/>
  <c r="E130" i="20"/>
  <c r="V115" i="20"/>
  <c r="V122" i="20" s="1"/>
  <c r="V102" i="20"/>
  <c r="V77" i="20"/>
  <c r="V68" i="20"/>
  <c r="V64" i="20"/>
  <c r="V12" i="20"/>
  <c r="V389" i="20"/>
  <c r="Z390" i="20" s="1"/>
  <c r="V382" i="20"/>
  <c r="V378" i="20"/>
  <c r="Z379" i="20" s="1"/>
  <c r="V367" i="20"/>
  <c r="V337" i="20"/>
  <c r="V330" i="20"/>
  <c r="V360" i="20" s="1"/>
  <c r="V371" i="20" s="1"/>
  <c r="V327" i="20"/>
  <c r="V317" i="20"/>
  <c r="V291" i="20"/>
  <c r="V258" i="20"/>
  <c r="V256" i="20"/>
  <c r="V254" i="20"/>
  <c r="V253" i="20"/>
  <c r="V252" i="20"/>
  <c r="V250" i="20"/>
  <c r="V249" i="20"/>
  <c r="V248" i="20"/>
  <c r="V247" i="20"/>
  <c r="V244" i="20"/>
  <c r="V243" i="20"/>
  <c r="V237" i="20"/>
  <c r="V231" i="20"/>
  <c r="Z232" i="20" s="1"/>
  <c r="V228" i="20"/>
  <c r="V206" i="20"/>
  <c r="V272" i="20" s="1"/>
  <c r="V192" i="20"/>
  <c r="V190" i="20"/>
  <c r="V188" i="20"/>
  <c r="V187" i="20"/>
  <c r="V186" i="20"/>
  <c r="V184" i="20"/>
  <c r="V183" i="20"/>
  <c r="V182" i="20"/>
  <c r="V181" i="20"/>
  <c r="V178" i="20"/>
  <c r="V177" i="20"/>
  <c r="V171" i="20"/>
  <c r="V165" i="20"/>
  <c r="V164" i="20"/>
  <c r="V163" i="20"/>
  <c r="V162" i="20"/>
  <c r="V145" i="20"/>
  <c r="V124" i="20"/>
  <c r="V112" i="20"/>
  <c r="V111" i="20"/>
  <c r="V110" i="20"/>
  <c r="V107" i="20"/>
  <c r="V100" i="20"/>
  <c r="V94" i="20"/>
  <c r="V297" i="20" s="1"/>
  <c r="V87" i="20"/>
  <c r="V63" i="20"/>
  <c r="V241" i="20" s="1"/>
  <c r="V49" i="20"/>
  <c r="V173" i="20" s="1"/>
  <c r="V48" i="20"/>
  <c r="V172" i="20" s="1"/>
  <c r="V41" i="20"/>
  <c r="V37" i="20" s="1"/>
  <c r="V39" i="20"/>
  <c r="V62" i="20" s="1"/>
  <c r="V32" i="20"/>
  <c r="V28" i="20"/>
  <c r="V26" i="20"/>
  <c r="V10" i="20"/>
  <c r="V11" i="20" s="1"/>
  <c r="V8" i="20"/>
  <c r="AC252" i="20" l="1"/>
  <c r="AC186" i="20"/>
  <c r="H74" i="20"/>
  <c r="AB180" i="20"/>
  <c r="AB246" i="20"/>
  <c r="AB36" i="20"/>
  <c r="H68" i="20"/>
  <c r="H72" i="20"/>
  <c r="AC183" i="20"/>
  <c r="AC249" i="20"/>
  <c r="AA245" i="20"/>
  <c r="AA71" i="20"/>
  <c r="AD286" i="20"/>
  <c r="AD97" i="20"/>
  <c r="AC95" i="20"/>
  <c r="AD95" i="20"/>
  <c r="AC250" i="20"/>
  <c r="AC286" i="20"/>
  <c r="AC317" i="20"/>
  <c r="AC382" i="20"/>
  <c r="AC87" i="20"/>
  <c r="AC228" i="20"/>
  <c r="AC162" i="20"/>
  <c r="AC330" i="20"/>
  <c r="AC360" i="20" s="1"/>
  <c r="AC371" i="20" s="1"/>
  <c r="AC291" i="20"/>
  <c r="AC39" i="20"/>
  <c r="AC62" i="20" s="1"/>
  <c r="AC100" i="20"/>
  <c r="AC145" i="20"/>
  <c r="Y339" i="20"/>
  <c r="AC338" i="20"/>
  <c r="AA179" i="20"/>
  <c r="F29" i="20"/>
  <c r="Y127" i="20"/>
  <c r="Y201" i="20" s="1"/>
  <c r="Y267" i="20" s="1"/>
  <c r="Y31" i="20"/>
  <c r="Z134" i="20"/>
  <c r="Z303" i="20" s="1"/>
  <c r="Z136" i="20"/>
  <c r="Z137" i="20" s="1"/>
  <c r="Z201" i="20"/>
  <c r="Z267" i="20" s="1"/>
  <c r="F40" i="20"/>
  <c r="F42" i="20" s="1"/>
  <c r="Z302" i="20"/>
  <c r="Z368" i="20"/>
  <c r="AB368" i="20"/>
  <c r="AB245" i="20"/>
  <c r="AB179" i="20"/>
  <c r="X339" i="20"/>
  <c r="AB338" i="20"/>
  <c r="X27" i="20"/>
  <c r="X391" i="20"/>
  <c r="AB390" i="20"/>
  <c r="X175" i="20"/>
  <c r="W391" i="20"/>
  <c r="AA390" i="20"/>
  <c r="Z328" i="20"/>
  <c r="AA328" i="20"/>
  <c r="Z238" i="20"/>
  <c r="AA34" i="20"/>
  <c r="AA20" i="20"/>
  <c r="AA33" i="20"/>
  <c r="AA238" i="20"/>
  <c r="AA167" i="20"/>
  <c r="AA233" i="20"/>
  <c r="AA46" i="20"/>
  <c r="AA44" i="20"/>
  <c r="AA169" i="20" s="1"/>
  <c r="F127" i="20"/>
  <c r="F302" i="20" s="1"/>
  <c r="W27" i="20"/>
  <c r="F198" i="20"/>
  <c r="F264" i="20" s="1"/>
  <c r="Z33" i="20"/>
  <c r="Z34" i="20"/>
  <c r="Z20" i="20"/>
  <c r="Z233" i="20"/>
  <c r="Z167" i="20"/>
  <c r="Z46" i="20"/>
  <c r="Z44" i="20"/>
  <c r="Z169" i="20" s="1"/>
  <c r="X66" i="20"/>
  <c r="W14" i="20"/>
  <c r="W29" i="20" s="1"/>
  <c r="X72" i="20"/>
  <c r="W339" i="20"/>
  <c r="Z338" i="20"/>
  <c r="V27" i="20"/>
  <c r="W187" i="20"/>
  <c r="Y198" i="20"/>
  <c r="Y264" i="20" s="1"/>
  <c r="W77" i="20"/>
  <c r="W255" i="20" s="1"/>
  <c r="W64" i="20"/>
  <c r="X64" i="20" s="1"/>
  <c r="Y76" i="20"/>
  <c r="Y12" i="20"/>
  <c r="Y369" i="20"/>
  <c r="F18" i="20"/>
  <c r="F20" i="20" s="1"/>
  <c r="F380" i="20"/>
  <c r="W184" i="20"/>
  <c r="W190" i="20"/>
  <c r="W186" i="20"/>
  <c r="W248" i="20"/>
  <c r="X239" i="20"/>
  <c r="W177" i="20"/>
  <c r="W188" i="20"/>
  <c r="W68" i="20"/>
  <c r="W258" i="20"/>
  <c r="X80" i="20"/>
  <c r="W247" i="20"/>
  <c r="W249" i="20"/>
  <c r="W253" i="20"/>
  <c r="W178" i="20"/>
  <c r="V242" i="20"/>
  <c r="X69" i="20"/>
  <c r="X73" i="20"/>
  <c r="X70" i="20"/>
  <c r="X74" i="20"/>
  <c r="X78" i="20"/>
  <c r="X75" i="20"/>
  <c r="X122" i="20"/>
  <c r="X198" i="20" s="1"/>
  <c r="X264" i="20" s="1"/>
  <c r="C270" i="17"/>
  <c r="C348" i="17"/>
  <c r="X14" i="20"/>
  <c r="X369" i="20"/>
  <c r="X241" i="20"/>
  <c r="V189" i="20"/>
  <c r="X3" i="20"/>
  <c r="C309" i="17"/>
  <c r="V239" i="20"/>
  <c r="W256" i="20"/>
  <c r="W181" i="20"/>
  <c r="V180" i="20"/>
  <c r="H122" i="20"/>
  <c r="W254" i="20"/>
  <c r="W252" i="20"/>
  <c r="W239" i="20"/>
  <c r="W11" i="20"/>
  <c r="W369" i="20"/>
  <c r="W198" i="20"/>
  <c r="W264" i="20" s="1"/>
  <c r="W127" i="20"/>
  <c r="W250" i="20"/>
  <c r="W182" i="20"/>
  <c r="W243" i="20"/>
  <c r="W183" i="20"/>
  <c r="W192" i="20"/>
  <c r="W330" i="20"/>
  <c r="W360" i="20" s="1"/>
  <c r="W371" i="20" s="1"/>
  <c r="W175" i="20"/>
  <c r="W291" i="20"/>
  <c r="W317" i="20"/>
  <c r="W39" i="20"/>
  <c r="W62" i="20" s="1"/>
  <c r="W87" i="20"/>
  <c r="W145" i="20"/>
  <c r="W100" i="20"/>
  <c r="W228" i="20"/>
  <c r="W162" i="20"/>
  <c r="V391" i="20"/>
  <c r="V339" i="20"/>
  <c r="V175" i="20"/>
  <c r="V369" i="20"/>
  <c r="V198" i="20"/>
  <c r="V264" i="20" s="1"/>
  <c r="V127" i="20"/>
  <c r="V176" i="20"/>
  <c r="V246" i="20"/>
  <c r="V14" i="20"/>
  <c r="V67" i="20"/>
  <c r="V71" i="20" s="1"/>
  <c r="V255" i="20"/>
  <c r="V36" i="20"/>
  <c r="D77" i="20"/>
  <c r="D68" i="20"/>
  <c r="D64" i="20"/>
  <c r="E115" i="20"/>
  <c r="E122" i="20" s="1"/>
  <c r="E327" i="20"/>
  <c r="F328" i="20" s="1"/>
  <c r="E389" i="20"/>
  <c r="F390" i="20" s="1"/>
  <c r="E378" i="20"/>
  <c r="F379" i="20" s="1"/>
  <c r="D378" i="20"/>
  <c r="E102" i="20"/>
  <c r="U102" i="20" s="1"/>
  <c r="E68" i="20"/>
  <c r="E246" i="20" s="1"/>
  <c r="E73" i="20"/>
  <c r="E250" i="20" s="1"/>
  <c r="E77" i="20"/>
  <c r="E189" i="20" s="1"/>
  <c r="E74" i="20"/>
  <c r="E186" i="20" s="1"/>
  <c r="E70" i="20"/>
  <c r="E248" i="20" s="1"/>
  <c r="E64" i="20"/>
  <c r="E176" i="20" s="1"/>
  <c r="E12" i="20"/>
  <c r="E27" i="20" s="1"/>
  <c r="U7" i="20"/>
  <c r="Y8" i="20" s="1"/>
  <c r="U388" i="20"/>
  <c r="U387" i="20"/>
  <c r="U386" i="20"/>
  <c r="U385" i="20"/>
  <c r="U384" i="20"/>
  <c r="U383" i="20"/>
  <c r="U377" i="20"/>
  <c r="U376" i="20"/>
  <c r="U375" i="20"/>
  <c r="U374" i="20"/>
  <c r="U373" i="20"/>
  <c r="U372" i="20"/>
  <c r="U366" i="20"/>
  <c r="U365" i="20"/>
  <c r="U364" i="20"/>
  <c r="U363" i="20"/>
  <c r="U362" i="20"/>
  <c r="U361" i="20"/>
  <c r="U336" i="20"/>
  <c r="U335" i="20"/>
  <c r="U334" i="20"/>
  <c r="U333" i="20"/>
  <c r="U332" i="20"/>
  <c r="U331" i="20"/>
  <c r="U326" i="20"/>
  <c r="U325" i="20"/>
  <c r="U324" i="20"/>
  <c r="U323" i="20"/>
  <c r="U319" i="20"/>
  <c r="U318" i="20"/>
  <c r="U206" i="20"/>
  <c r="U272" i="20" s="1"/>
  <c r="U164" i="20"/>
  <c r="U163" i="20"/>
  <c r="U141" i="20"/>
  <c r="C386" i="17" s="1"/>
  <c r="U140" i="20"/>
  <c r="U124" i="20"/>
  <c r="U106" i="20"/>
  <c r="U105" i="20"/>
  <c r="U104" i="20"/>
  <c r="U103" i="20"/>
  <c r="U94" i="20"/>
  <c r="U297" i="20" s="1"/>
  <c r="U76" i="20"/>
  <c r="U59" i="20"/>
  <c r="U21" i="20"/>
  <c r="U19" i="20"/>
  <c r="U17" i="20"/>
  <c r="U15" i="20"/>
  <c r="U9" i="20"/>
  <c r="E382" i="20"/>
  <c r="E367" i="20"/>
  <c r="F368" i="20" s="1"/>
  <c r="E337" i="20"/>
  <c r="E330" i="20"/>
  <c r="E360" i="20" s="1"/>
  <c r="E371" i="20" s="1"/>
  <c r="E317" i="20"/>
  <c r="E291" i="20"/>
  <c r="E258" i="20"/>
  <c r="E254" i="20"/>
  <c r="E249" i="20"/>
  <c r="E247" i="20"/>
  <c r="E244" i="20"/>
  <c r="E243" i="20"/>
  <c r="E231" i="20"/>
  <c r="F232" i="20" s="1"/>
  <c r="E228" i="20"/>
  <c r="E206" i="20"/>
  <c r="E272" i="20" s="1"/>
  <c r="E192" i="20"/>
  <c r="E188" i="20"/>
  <c r="E183" i="20"/>
  <c r="E181" i="20"/>
  <c r="E178" i="20"/>
  <c r="E177" i="20"/>
  <c r="E165" i="20"/>
  <c r="E163" i="20"/>
  <c r="E162" i="20"/>
  <c r="E145" i="20"/>
  <c r="U130" i="20"/>
  <c r="E124" i="20"/>
  <c r="E112" i="20"/>
  <c r="E111" i="20"/>
  <c r="E110" i="20"/>
  <c r="E107" i="20"/>
  <c r="E108" i="20" s="1"/>
  <c r="E95" i="20"/>
  <c r="E298" i="20" s="1"/>
  <c r="E94" i="20"/>
  <c r="E297" i="20" s="1"/>
  <c r="E88" i="20"/>
  <c r="E292" i="20" s="1"/>
  <c r="E87" i="20"/>
  <c r="E190" i="20"/>
  <c r="E253" i="20"/>
  <c r="E62" i="20"/>
  <c r="E41" i="20"/>
  <c r="E37" i="20" s="1"/>
  <c r="E32" i="20"/>
  <c r="E26" i="20"/>
  <c r="U16" i="20"/>
  <c r="E28" i="20"/>
  <c r="E10" i="20"/>
  <c r="E11" i="20" s="1"/>
  <c r="E8" i="20"/>
  <c r="E166" i="20" s="1"/>
  <c r="AC298" i="20" l="1"/>
  <c r="AC157" i="20"/>
  <c r="AC220" i="20" s="1"/>
  <c r="AD299" i="20"/>
  <c r="AD156" i="20"/>
  <c r="AD219" i="20" s="1"/>
  <c r="AD157" i="20"/>
  <c r="AD220" i="20" s="1"/>
  <c r="AD298" i="20"/>
  <c r="Y134" i="20"/>
  <c r="Y204" i="20" s="1"/>
  <c r="Y270" i="20" s="1"/>
  <c r="Y302" i="20"/>
  <c r="AA22" i="20"/>
  <c r="Z22" i="20"/>
  <c r="Y136" i="20"/>
  <c r="Y137" i="20" s="1"/>
  <c r="F44" i="20"/>
  <c r="F169" i="20" s="1"/>
  <c r="G43" i="20"/>
  <c r="G168" i="20" s="1"/>
  <c r="Y142" i="20"/>
  <c r="F167" i="20"/>
  <c r="F90" i="20"/>
  <c r="Z204" i="20"/>
  <c r="Z270" i="20" s="1"/>
  <c r="F233" i="20"/>
  <c r="W176" i="20"/>
  <c r="X31" i="20"/>
  <c r="W31" i="20"/>
  <c r="V31" i="20"/>
  <c r="W67" i="20"/>
  <c r="X250" i="20"/>
  <c r="Y69" i="20"/>
  <c r="X253" i="20"/>
  <c r="Y65" i="20"/>
  <c r="Y74" i="20"/>
  <c r="Y72" i="20"/>
  <c r="F34" i="20"/>
  <c r="X40" i="20"/>
  <c r="X42" i="20" s="1"/>
  <c r="AB43" i="20" s="1"/>
  <c r="AB168" i="20" s="1"/>
  <c r="Y303" i="20"/>
  <c r="Y73" i="20"/>
  <c r="Y66" i="20"/>
  <c r="F142" i="20"/>
  <c r="X77" i="20"/>
  <c r="F136" i="20"/>
  <c r="F137" i="20" s="1"/>
  <c r="F134" i="20"/>
  <c r="F204" i="20" s="1"/>
  <c r="F270" i="20" s="1"/>
  <c r="W18" i="20"/>
  <c r="W20" i="20" s="1"/>
  <c r="W189" i="20"/>
  <c r="F201" i="20"/>
  <c r="F267" i="20" s="1"/>
  <c r="X67" i="20"/>
  <c r="X71" i="20" s="1"/>
  <c r="Y75" i="20"/>
  <c r="X68" i="20"/>
  <c r="Y68" i="20" s="1"/>
  <c r="W36" i="20"/>
  <c r="E182" i="20"/>
  <c r="W380" i="20"/>
  <c r="Y78" i="20"/>
  <c r="W40" i="20"/>
  <c r="W42" i="20" s="1"/>
  <c r="W167" i="20" s="1"/>
  <c r="F391" i="20"/>
  <c r="Y80" i="20"/>
  <c r="W242" i="20"/>
  <c r="Y70" i="20"/>
  <c r="W180" i="20"/>
  <c r="W246" i="20"/>
  <c r="X184" i="20"/>
  <c r="F33" i="20"/>
  <c r="Y188" i="20"/>
  <c r="Y254" i="20"/>
  <c r="X127" i="20"/>
  <c r="X201" i="20" s="1"/>
  <c r="X267" i="20" s="1"/>
  <c r="Y3" i="20"/>
  <c r="E252" i="20"/>
  <c r="X29" i="20"/>
  <c r="E339" i="20"/>
  <c r="F338" i="20"/>
  <c r="F22" i="20"/>
  <c r="F96" i="20"/>
  <c r="X187" i="20"/>
  <c r="X88" i="20"/>
  <c r="X108" i="20" s="1"/>
  <c r="X18" i="20"/>
  <c r="X20" i="20" s="1"/>
  <c r="X380" i="20"/>
  <c r="X183" i="20"/>
  <c r="X249" i="20"/>
  <c r="X188" i="20"/>
  <c r="X254" i="20"/>
  <c r="X291" i="20"/>
  <c r="X317" i="20"/>
  <c r="X228" i="20"/>
  <c r="X100" i="20"/>
  <c r="X382" i="20"/>
  <c r="X162" i="20"/>
  <c r="X87" i="20"/>
  <c r="X145" i="20"/>
  <c r="X39" i="20"/>
  <c r="X62" i="20" s="1"/>
  <c r="X330" i="20"/>
  <c r="X360" i="20" s="1"/>
  <c r="X371" i="20" s="1"/>
  <c r="X181" i="20"/>
  <c r="X247" i="20"/>
  <c r="X243" i="20"/>
  <c r="X177" i="20"/>
  <c r="X190" i="20"/>
  <c r="X256" i="20"/>
  <c r="X182" i="20"/>
  <c r="X248" i="20"/>
  <c r="X252" i="20"/>
  <c r="X186" i="20"/>
  <c r="X244" i="20"/>
  <c r="X178" i="20"/>
  <c r="X258" i="20"/>
  <c r="X192" i="20"/>
  <c r="H31" i="20"/>
  <c r="U32" i="20"/>
  <c r="H198" i="20"/>
  <c r="H264" i="20" s="1"/>
  <c r="H127" i="20"/>
  <c r="U88" i="20"/>
  <c r="U292" i="20" s="1"/>
  <c r="V88" i="20"/>
  <c r="W88" i="20"/>
  <c r="U41" i="20"/>
  <c r="U37" i="20" s="1"/>
  <c r="H41" i="20"/>
  <c r="H330" i="20"/>
  <c r="H360" i="20" s="1"/>
  <c r="H371" i="20" s="1"/>
  <c r="H317" i="20"/>
  <c r="U188" i="20"/>
  <c r="W134" i="20"/>
  <c r="W136" i="20"/>
  <c r="W137" i="20" s="1"/>
  <c r="W302" i="20"/>
  <c r="W142" i="20"/>
  <c r="W201" i="20"/>
  <c r="W267" i="20" s="1"/>
  <c r="V179" i="20"/>
  <c r="V245" i="20"/>
  <c r="V201" i="20"/>
  <c r="V267" i="20" s="1"/>
  <c r="V134" i="20"/>
  <c r="V136" i="20"/>
  <c r="V137" i="20" s="1"/>
  <c r="V142" i="20"/>
  <c r="V302" i="20"/>
  <c r="V29" i="20"/>
  <c r="V380" i="20"/>
  <c r="V18" i="20"/>
  <c r="V40" i="20"/>
  <c r="V42" i="20" s="1"/>
  <c r="Z43" i="20" s="1"/>
  <c r="Z168" i="20" s="1"/>
  <c r="U107" i="20"/>
  <c r="E184" i="20"/>
  <c r="U10" i="20"/>
  <c r="U11" i="20" s="1"/>
  <c r="U327" i="20"/>
  <c r="Y328" i="20" s="1"/>
  <c r="U389" i="20"/>
  <c r="Y390" i="20" s="1"/>
  <c r="U367" i="20"/>
  <c r="Y368" i="20" s="1"/>
  <c r="U378" i="20"/>
  <c r="Y379" i="20" s="1"/>
  <c r="U115" i="20"/>
  <c r="U122" i="20" s="1"/>
  <c r="U31" i="20" s="1"/>
  <c r="U13" i="20"/>
  <c r="U337" i="20"/>
  <c r="U231" i="20"/>
  <c r="U110" i="20"/>
  <c r="U165" i="20"/>
  <c r="U254" i="20"/>
  <c r="U26" i="20"/>
  <c r="U111" i="20"/>
  <c r="U112" i="20"/>
  <c r="E31" i="20"/>
  <c r="E36" i="20"/>
  <c r="E14" i="20"/>
  <c r="E40" i="20" s="1"/>
  <c r="E42" i="20" s="1"/>
  <c r="F43" i="20" s="1"/>
  <c r="F168" i="20" s="1"/>
  <c r="E180" i="20"/>
  <c r="E97" i="20"/>
  <c r="E299" i="20" s="1"/>
  <c r="E369" i="20"/>
  <c r="E255" i="20"/>
  <c r="E198" i="20"/>
  <c r="E264" i="20" s="1"/>
  <c r="E127" i="20"/>
  <c r="E187" i="20"/>
  <c r="E256" i="20"/>
  <c r="E242" i="20"/>
  <c r="C406" i="17"/>
  <c r="C383" i="17"/>
  <c r="C425" i="17"/>
  <c r="T115" i="20"/>
  <c r="C421" i="17"/>
  <c r="C422" i="17" s="1"/>
  <c r="C445" i="17"/>
  <c r="W179" i="20" l="1"/>
  <c r="W71" i="20"/>
  <c r="F235" i="20"/>
  <c r="G234" i="20"/>
  <c r="F237" i="20"/>
  <c r="G48" i="20"/>
  <c r="G172" i="20" s="1"/>
  <c r="F63" i="20"/>
  <c r="F67" i="20" s="1"/>
  <c r="F71" i="20" s="1"/>
  <c r="X36" i="20"/>
  <c r="Y95" i="20"/>
  <c r="Y298" i="20" s="1"/>
  <c r="F91" i="20"/>
  <c r="F156" i="20" s="1"/>
  <c r="Y47" i="20"/>
  <c r="Y177" i="20"/>
  <c r="F171" i="20"/>
  <c r="F46" i="20"/>
  <c r="F49" i="20"/>
  <c r="F173" i="20" s="1"/>
  <c r="Y249" i="20"/>
  <c r="W245" i="20"/>
  <c r="W44" i="20"/>
  <c r="W169" i="20" s="1"/>
  <c r="W233" i="20"/>
  <c r="F303" i="20"/>
  <c r="Y256" i="20"/>
  <c r="Y247" i="20"/>
  <c r="Y243" i="20"/>
  <c r="Y186" i="20"/>
  <c r="X46" i="20"/>
  <c r="Y252" i="20"/>
  <c r="X167" i="20"/>
  <c r="AB97" i="20"/>
  <c r="AB299" i="20" s="1"/>
  <c r="Y182" i="20"/>
  <c r="Y183" i="20"/>
  <c r="AA95" i="20"/>
  <c r="AA298" i="20" s="1"/>
  <c r="AB95" i="20"/>
  <c r="AB298" i="20" s="1"/>
  <c r="Z95" i="20"/>
  <c r="Z298" i="20" s="1"/>
  <c r="Y244" i="20"/>
  <c r="Y181" i="20"/>
  <c r="Y178" i="20"/>
  <c r="Y77" i="20"/>
  <c r="Y248" i="20"/>
  <c r="X22" i="20"/>
  <c r="X44" i="20"/>
  <c r="X169" i="20" s="1"/>
  <c r="X233" i="20"/>
  <c r="Y190" i="20"/>
  <c r="W46" i="20"/>
  <c r="AA43" i="20"/>
  <c r="AA168" i="20" s="1"/>
  <c r="X180" i="20"/>
  <c r="AA97" i="20"/>
  <c r="AA299" i="20" s="1"/>
  <c r="W34" i="20"/>
  <c r="X255" i="20"/>
  <c r="X189" i="20"/>
  <c r="W33" i="20"/>
  <c r="X242" i="20"/>
  <c r="X176" i="20"/>
  <c r="Y64" i="20"/>
  <c r="Z97" i="20"/>
  <c r="Z299" i="20" s="1"/>
  <c r="Y192" i="20"/>
  <c r="X292" i="20"/>
  <c r="Y258" i="20"/>
  <c r="X302" i="20"/>
  <c r="X142" i="20"/>
  <c r="X246" i="20"/>
  <c r="U108" i="20"/>
  <c r="Y187" i="20"/>
  <c r="Y253" i="20"/>
  <c r="H145" i="20"/>
  <c r="X134" i="20"/>
  <c r="X303" i="20" s="1"/>
  <c r="Y317" i="20"/>
  <c r="Y382" i="20"/>
  <c r="Y145" i="20"/>
  <c r="Y39" i="20"/>
  <c r="Y62" i="20" s="1"/>
  <c r="Y330" i="20"/>
  <c r="Y360" i="20" s="1"/>
  <c r="Y371" i="20" s="1"/>
  <c r="Y291" i="20"/>
  <c r="Y228" i="20"/>
  <c r="Y162" i="20"/>
  <c r="Y100" i="20"/>
  <c r="Y87" i="20"/>
  <c r="H291" i="20"/>
  <c r="X136" i="20"/>
  <c r="X137" i="20" s="1"/>
  <c r="U339" i="20"/>
  <c r="Y338" i="20"/>
  <c r="H87" i="20"/>
  <c r="Y250" i="20"/>
  <c r="Y184" i="20"/>
  <c r="H162" i="20"/>
  <c r="H228" i="20"/>
  <c r="H382" i="20"/>
  <c r="X34" i="20"/>
  <c r="X33" i="20"/>
  <c r="X179" i="20"/>
  <c r="X245" i="20"/>
  <c r="U369" i="20"/>
  <c r="H378" i="20"/>
  <c r="H327" i="20"/>
  <c r="V292" i="20"/>
  <c r="V108" i="20"/>
  <c r="H389" i="20"/>
  <c r="H32" i="20"/>
  <c r="H136" i="20"/>
  <c r="H137" i="20" s="1"/>
  <c r="H302" i="20"/>
  <c r="H201" i="20"/>
  <c r="H267" i="20" s="1"/>
  <c r="H134" i="20"/>
  <c r="H142" i="20"/>
  <c r="H110" i="20"/>
  <c r="H112" i="20"/>
  <c r="H254" i="20"/>
  <c r="H188" i="20"/>
  <c r="W292" i="20"/>
  <c r="W108" i="20"/>
  <c r="U28" i="20"/>
  <c r="H28" i="20"/>
  <c r="H367" i="20"/>
  <c r="H37" i="20"/>
  <c r="H231" i="20"/>
  <c r="H10" i="20"/>
  <c r="H14" i="20" s="1"/>
  <c r="H111" i="20"/>
  <c r="H165" i="20"/>
  <c r="H292" i="20"/>
  <c r="H108" i="20"/>
  <c r="H337" i="20"/>
  <c r="H339" i="20" s="1"/>
  <c r="W303" i="20"/>
  <c r="W204" i="20"/>
  <c r="W270" i="20" s="1"/>
  <c r="W22" i="20"/>
  <c r="V46" i="20"/>
  <c r="V44" i="20"/>
  <c r="V169" i="20" s="1"/>
  <c r="V167" i="20"/>
  <c r="V233" i="20"/>
  <c r="V303" i="20"/>
  <c r="V204" i="20"/>
  <c r="V270" i="20" s="1"/>
  <c r="V34" i="20"/>
  <c r="V33" i="20"/>
  <c r="V20" i="20"/>
  <c r="U127" i="20"/>
  <c r="U201" i="20" s="1"/>
  <c r="U267" i="20" s="1"/>
  <c r="U198" i="20"/>
  <c r="U264" i="20" s="1"/>
  <c r="E89" i="20"/>
  <c r="E18" i="20"/>
  <c r="E33" i="20" s="1"/>
  <c r="E29" i="20"/>
  <c r="E380" i="20"/>
  <c r="E167" i="20"/>
  <c r="E44" i="20"/>
  <c r="E169" i="20" s="1"/>
  <c r="E233" i="20"/>
  <c r="F234" i="20" s="1"/>
  <c r="E90" i="20"/>
  <c r="E47" i="20"/>
  <c r="E302" i="20"/>
  <c r="E142" i="20"/>
  <c r="E201" i="20"/>
  <c r="E267" i="20" s="1"/>
  <c r="E136" i="20"/>
  <c r="E137" i="20" s="1"/>
  <c r="E134" i="20"/>
  <c r="C387" i="17"/>
  <c r="C426" i="17"/>
  <c r="T327" i="20"/>
  <c r="X328" i="20" s="1"/>
  <c r="T130" i="20"/>
  <c r="T122" i="20"/>
  <c r="T102" i="20"/>
  <c r="T94" i="20"/>
  <c r="T297" i="20" s="1"/>
  <c r="S70" i="20"/>
  <c r="T12" i="20"/>
  <c r="T389" i="20"/>
  <c r="T378" i="20"/>
  <c r="X379" i="20" s="1"/>
  <c r="T367" i="20"/>
  <c r="T337" i="20"/>
  <c r="X338" i="20" s="1"/>
  <c r="T254" i="20"/>
  <c r="T237" i="20"/>
  <c r="T231" i="20"/>
  <c r="X232" i="20" s="1"/>
  <c r="T206" i="20"/>
  <c r="T272" i="20" s="1"/>
  <c r="T188" i="20"/>
  <c r="T171" i="20"/>
  <c r="T165" i="20"/>
  <c r="T164" i="20"/>
  <c r="T163" i="20"/>
  <c r="T124" i="20"/>
  <c r="T112" i="20"/>
  <c r="T111" i="20"/>
  <c r="T110" i="20"/>
  <c r="T107" i="20"/>
  <c r="T63" i="20"/>
  <c r="T175" i="20" s="1"/>
  <c r="T49" i="20"/>
  <c r="T173" i="20" s="1"/>
  <c r="T48" i="20"/>
  <c r="T172" i="20" s="1"/>
  <c r="T41" i="20"/>
  <c r="T37" i="20" s="1"/>
  <c r="T32" i="20"/>
  <c r="T28" i="20"/>
  <c r="T26" i="20"/>
  <c r="T10" i="20"/>
  <c r="T11" i="20" s="1"/>
  <c r="T8" i="20"/>
  <c r="T166" i="20" s="1"/>
  <c r="C464" i="17"/>
  <c r="C484" i="17"/>
  <c r="C460" i="17"/>
  <c r="C461" i="17" s="1"/>
  <c r="C524" i="17"/>
  <c r="S327" i="20"/>
  <c r="S140" i="20"/>
  <c r="S130" i="20"/>
  <c r="S124" i="20"/>
  <c r="S102" i="20"/>
  <c r="S80" i="20"/>
  <c r="S78" i="20"/>
  <c r="S75" i="20"/>
  <c r="S74" i="20"/>
  <c r="S73" i="20"/>
  <c r="S72" i="20"/>
  <c r="S69" i="20"/>
  <c r="S66" i="20"/>
  <c r="S8" i="20"/>
  <c r="S166" i="20" s="1"/>
  <c r="S12" i="20"/>
  <c r="S10" i="20"/>
  <c r="S11" i="20" s="1"/>
  <c r="S389" i="20"/>
  <c r="W390" i="20" s="1"/>
  <c r="S378" i="20"/>
  <c r="W379" i="20" s="1"/>
  <c r="S367" i="20"/>
  <c r="W368" i="20" s="1"/>
  <c r="S337" i="20"/>
  <c r="S254" i="20"/>
  <c r="S237" i="20"/>
  <c r="S231" i="20"/>
  <c r="W232" i="20" s="1"/>
  <c r="S206" i="20"/>
  <c r="S272" i="20" s="1"/>
  <c r="S188" i="20"/>
  <c r="S171" i="20"/>
  <c r="S165" i="20"/>
  <c r="S164" i="20"/>
  <c r="S163" i="20"/>
  <c r="S112" i="20"/>
  <c r="S111" i="20"/>
  <c r="S110" i="20"/>
  <c r="S107" i="20"/>
  <c r="S94" i="20"/>
  <c r="S297" i="20" s="1"/>
  <c r="S63" i="20"/>
  <c r="S175" i="20" s="1"/>
  <c r="S49" i="20"/>
  <c r="S173" i="20" s="1"/>
  <c r="S48" i="20"/>
  <c r="S172" i="20" s="1"/>
  <c r="S41" i="20"/>
  <c r="S37" i="20" s="1"/>
  <c r="S32" i="20"/>
  <c r="S28" i="20"/>
  <c r="S26" i="20"/>
  <c r="S3" i="20"/>
  <c r="D330" i="20"/>
  <c r="AC48" i="20" l="1"/>
  <c r="AC172" i="20" s="1"/>
  <c r="Y171" i="20"/>
  <c r="Y391" i="20"/>
  <c r="F245" i="20"/>
  <c r="AB91" i="20"/>
  <c r="Z91" i="20"/>
  <c r="F179" i="20"/>
  <c r="F175" i="20"/>
  <c r="Y91" i="20"/>
  <c r="Y237" i="20"/>
  <c r="AA91" i="20"/>
  <c r="Y49" i="20"/>
  <c r="Y173" i="20" s="1"/>
  <c r="Y63" i="20"/>
  <c r="Y241" i="20" s="1"/>
  <c r="F208" i="20"/>
  <c r="F274" i="20" s="1"/>
  <c r="F151" i="20"/>
  <c r="F214" i="20" s="1"/>
  <c r="F148" i="20"/>
  <c r="F211" i="20" s="1"/>
  <c r="AB274" i="20"/>
  <c r="AB277" i="20" s="1"/>
  <c r="AC238" i="20"/>
  <c r="F154" i="20"/>
  <c r="F217" i="20" s="1"/>
  <c r="F294" i="20"/>
  <c r="F296" i="20" s="1"/>
  <c r="F241" i="20"/>
  <c r="G238" i="20"/>
  <c r="F239" i="20"/>
  <c r="F157" i="20"/>
  <c r="F220" i="20" s="1"/>
  <c r="H40" i="20"/>
  <c r="H18" i="20"/>
  <c r="H20" i="20" s="1"/>
  <c r="H22" i="20" s="1"/>
  <c r="X204" i="20"/>
  <c r="X270" i="20" s="1"/>
  <c r="W238" i="20"/>
  <c r="X238" i="20"/>
  <c r="F219" i="20"/>
  <c r="U47" i="20"/>
  <c r="Y48" i="20" s="1"/>
  <c r="Y172" i="20" s="1"/>
  <c r="F48" i="20"/>
  <c r="F172" i="20" s="1"/>
  <c r="T391" i="20"/>
  <c r="X390" i="20"/>
  <c r="V368" i="20"/>
  <c r="X368" i="20"/>
  <c r="U136" i="20"/>
  <c r="U137" i="20" s="1"/>
  <c r="H369" i="20"/>
  <c r="U302" i="20"/>
  <c r="U142" i="20"/>
  <c r="U134" i="20"/>
  <c r="U204" i="20" s="1"/>
  <c r="U270" i="20" s="1"/>
  <c r="S339" i="20"/>
  <c r="V338" i="20"/>
  <c r="W338" i="20"/>
  <c r="H11" i="20"/>
  <c r="S27" i="20"/>
  <c r="H303" i="20"/>
  <c r="H204" i="20"/>
  <c r="H270" i="20" s="1"/>
  <c r="V328" i="20"/>
  <c r="W328" i="20"/>
  <c r="T27" i="20"/>
  <c r="V22" i="20"/>
  <c r="S186" i="20"/>
  <c r="T78" i="20"/>
  <c r="T80" i="20"/>
  <c r="T192" i="20" s="1"/>
  <c r="E34" i="20"/>
  <c r="E20" i="20"/>
  <c r="E96" i="20" s="1"/>
  <c r="T14" i="20"/>
  <c r="S187" i="20"/>
  <c r="S247" i="20"/>
  <c r="S243" i="20"/>
  <c r="S178" i="20"/>
  <c r="S183" i="20"/>
  <c r="T3" i="20"/>
  <c r="U3" i="20" s="1"/>
  <c r="T69" i="20"/>
  <c r="S258" i="20"/>
  <c r="S250" i="20"/>
  <c r="S182" i="20"/>
  <c r="S256" i="20"/>
  <c r="T74" i="20"/>
  <c r="T72" i="20"/>
  <c r="E46" i="20"/>
  <c r="E171" i="20"/>
  <c r="E91" i="20"/>
  <c r="E63" i="20"/>
  <c r="E49" i="20"/>
  <c r="E173" i="20" s="1"/>
  <c r="E237" i="20"/>
  <c r="F238" i="20" s="1"/>
  <c r="E391" i="20"/>
  <c r="T75" i="20"/>
  <c r="E235" i="20"/>
  <c r="S249" i="20"/>
  <c r="T73" i="20"/>
  <c r="E204" i="20"/>
  <c r="E270" i="20" s="1"/>
  <c r="E303" i="20"/>
  <c r="S184" i="20"/>
  <c r="T66" i="20"/>
  <c r="T339" i="20"/>
  <c r="T198" i="20"/>
  <c r="T264" i="20" s="1"/>
  <c r="S248" i="20"/>
  <c r="T70" i="20"/>
  <c r="T369" i="20"/>
  <c r="T127" i="20"/>
  <c r="T239" i="20"/>
  <c r="T241" i="20"/>
  <c r="S122" i="20"/>
  <c r="S198" i="20" s="1"/>
  <c r="S264" i="20" s="1"/>
  <c r="S241" i="20"/>
  <c r="C465" i="17"/>
  <c r="S391" i="20"/>
  <c r="S192" i="20"/>
  <c r="S253" i="20"/>
  <c r="S244" i="20"/>
  <c r="S239" i="20"/>
  <c r="S330" i="20"/>
  <c r="S360" i="20" s="1"/>
  <c r="S371" i="20" s="1"/>
  <c r="S100" i="20"/>
  <c r="S181" i="20"/>
  <c r="S252" i="20"/>
  <c r="S291" i="20"/>
  <c r="S369" i="20"/>
  <c r="S39" i="20"/>
  <c r="S62" i="20" s="1"/>
  <c r="S14" i="20"/>
  <c r="S190" i="20"/>
  <c r="S87" i="20"/>
  <c r="S162" i="20"/>
  <c r="S382" i="20"/>
  <c r="S177" i="20"/>
  <c r="S228" i="20"/>
  <c r="S317" i="20"/>
  <c r="S145" i="20"/>
  <c r="C500" i="17"/>
  <c r="C501" i="17" s="1"/>
  <c r="C504" i="17"/>
  <c r="R389" i="20"/>
  <c r="V390" i="20" s="1"/>
  <c r="R378" i="20"/>
  <c r="V379" i="20" s="1"/>
  <c r="R382" i="20"/>
  <c r="R367" i="20"/>
  <c r="R337" i="20"/>
  <c r="R339" i="20" s="1"/>
  <c r="R330" i="20"/>
  <c r="R360" i="20" s="1"/>
  <c r="R371" i="20" s="1"/>
  <c r="R327" i="20"/>
  <c r="R115" i="20"/>
  <c r="R122" i="20" s="1"/>
  <c r="R317" i="20"/>
  <c r="R231" i="20"/>
  <c r="V232" i="20" s="1"/>
  <c r="R291" i="20"/>
  <c r="R258" i="20"/>
  <c r="R256" i="20"/>
  <c r="R254" i="20"/>
  <c r="R253" i="20"/>
  <c r="R252" i="20"/>
  <c r="R250" i="20"/>
  <c r="R249" i="20"/>
  <c r="R248" i="20"/>
  <c r="R247" i="20"/>
  <c r="R244" i="20"/>
  <c r="R243" i="20"/>
  <c r="R237" i="20"/>
  <c r="R228" i="20"/>
  <c r="R206" i="20"/>
  <c r="R272" i="20" s="1"/>
  <c r="R192" i="20"/>
  <c r="R190" i="20"/>
  <c r="R188" i="20"/>
  <c r="R187" i="20"/>
  <c r="R186" i="20"/>
  <c r="R184" i="20"/>
  <c r="R183" i="20"/>
  <c r="R182" i="20"/>
  <c r="R181" i="20"/>
  <c r="R178" i="20"/>
  <c r="R177" i="20"/>
  <c r="R171" i="20"/>
  <c r="R165" i="20"/>
  <c r="R164" i="20"/>
  <c r="R163" i="20"/>
  <c r="R162" i="20"/>
  <c r="R145" i="20"/>
  <c r="R130" i="20"/>
  <c r="R124" i="20"/>
  <c r="R107" i="20"/>
  <c r="R102" i="20"/>
  <c r="R112" i="20"/>
  <c r="R111" i="20"/>
  <c r="P112" i="20"/>
  <c r="P111" i="20"/>
  <c r="O112" i="20"/>
  <c r="O111" i="20"/>
  <c r="N112" i="20"/>
  <c r="N111" i="20"/>
  <c r="D112" i="20"/>
  <c r="C112" i="20"/>
  <c r="D111" i="20"/>
  <c r="C111" i="20"/>
  <c r="R110" i="20"/>
  <c r="P110" i="20"/>
  <c r="O110" i="20"/>
  <c r="N110" i="20"/>
  <c r="D110" i="20"/>
  <c r="C110" i="20"/>
  <c r="R100" i="20"/>
  <c r="R94" i="20"/>
  <c r="R297" i="20" s="1"/>
  <c r="R87" i="20"/>
  <c r="R77" i="20"/>
  <c r="R68" i="20"/>
  <c r="R64" i="20"/>
  <c r="R63" i="20"/>
  <c r="R49" i="20"/>
  <c r="R173" i="20" s="1"/>
  <c r="R48" i="20"/>
  <c r="R172" i="20" s="1"/>
  <c r="R41" i="20"/>
  <c r="R37" i="20" s="1"/>
  <c r="R39" i="20"/>
  <c r="R62" i="20" s="1"/>
  <c r="R32" i="20"/>
  <c r="R28" i="20"/>
  <c r="R26" i="20"/>
  <c r="R12" i="20"/>
  <c r="U12" i="20" s="1"/>
  <c r="R10" i="20"/>
  <c r="R11" i="20" s="1"/>
  <c r="R8" i="20"/>
  <c r="L291" i="20"/>
  <c r="K188" i="20"/>
  <c r="K182" i="20"/>
  <c r="K171" i="20"/>
  <c r="L145" i="20"/>
  <c r="K49" i="20"/>
  <c r="K173" i="20" s="1"/>
  <c r="M388" i="20"/>
  <c r="M387" i="20"/>
  <c r="M386" i="20"/>
  <c r="M385" i="20"/>
  <c r="M384" i="20"/>
  <c r="M383" i="20"/>
  <c r="M377" i="20"/>
  <c r="M376" i="20"/>
  <c r="M375" i="20"/>
  <c r="M374" i="20"/>
  <c r="M373" i="20"/>
  <c r="M372" i="20"/>
  <c r="M366" i="20"/>
  <c r="M365" i="20"/>
  <c r="M364" i="20"/>
  <c r="M363" i="20"/>
  <c r="M362" i="20"/>
  <c r="M361" i="20"/>
  <c r="M336" i="20"/>
  <c r="M335" i="20"/>
  <c r="M334" i="20"/>
  <c r="M333" i="20"/>
  <c r="M332" i="20"/>
  <c r="M331" i="20"/>
  <c r="M326" i="20"/>
  <c r="M325" i="20"/>
  <c r="M324" i="20"/>
  <c r="M323" i="20"/>
  <c r="M319" i="20"/>
  <c r="M318" i="20"/>
  <c r="M141" i="20"/>
  <c r="M140" i="20"/>
  <c r="M106" i="20"/>
  <c r="M105" i="20"/>
  <c r="M104" i="20"/>
  <c r="M103" i="20"/>
  <c r="M76" i="20"/>
  <c r="M188" i="20" s="1"/>
  <c r="M70" i="20"/>
  <c r="M182" i="20" s="1"/>
  <c r="M59" i="20"/>
  <c r="M41" i="20" s="1"/>
  <c r="M21" i="20"/>
  <c r="M19" i="20"/>
  <c r="M17" i="20"/>
  <c r="M15" i="20"/>
  <c r="M9" i="20"/>
  <c r="M7" i="20"/>
  <c r="M165" i="20" s="1"/>
  <c r="M206" i="20"/>
  <c r="M272" i="20" s="1"/>
  <c r="M164" i="20"/>
  <c r="M163" i="20"/>
  <c r="M124" i="20"/>
  <c r="M94" i="20"/>
  <c r="M297" i="20" s="1"/>
  <c r="M3" i="20"/>
  <c r="M317" i="20" s="1"/>
  <c r="C114" i="17" l="1"/>
  <c r="D109" i="17" s="1"/>
  <c r="AB157" i="20"/>
  <c r="AB220" i="20" s="1"/>
  <c r="C194" i="17"/>
  <c r="Z294" i="20"/>
  <c r="Z296" i="20" s="1"/>
  <c r="Z208" i="20"/>
  <c r="Z157" i="20"/>
  <c r="Z220" i="20" s="1"/>
  <c r="Z148" i="20"/>
  <c r="Z211" i="20" s="1"/>
  <c r="Z151" i="20"/>
  <c r="Z214" i="20" s="1"/>
  <c r="Z154" i="20"/>
  <c r="Y157" i="20"/>
  <c r="Y220" i="20" s="1"/>
  <c r="Y208" i="20"/>
  <c r="Y239" i="20"/>
  <c r="AA274" i="20"/>
  <c r="Z274" i="20"/>
  <c r="Y274" i="20"/>
  <c r="Y283" i="20" s="1"/>
  <c r="C156" i="17"/>
  <c r="D151" i="17" s="1"/>
  <c r="AA157" i="20"/>
  <c r="AA220" i="20" s="1"/>
  <c r="AA156" i="20"/>
  <c r="AA219" i="20" s="1"/>
  <c r="AA208" i="20"/>
  <c r="AA148" i="20"/>
  <c r="AA211" i="20" s="1"/>
  <c r="AA151" i="20"/>
  <c r="AA214" i="20" s="1"/>
  <c r="AA294" i="20"/>
  <c r="AA296" i="20" s="1"/>
  <c r="AA154" i="20"/>
  <c r="F277" i="20"/>
  <c r="F280" i="20"/>
  <c r="F283" i="20"/>
  <c r="F286" i="20"/>
  <c r="F285" i="20"/>
  <c r="AB294" i="20"/>
  <c r="AB296" i="20" s="1"/>
  <c r="C231" i="17"/>
  <c r="D226" i="17" s="1"/>
  <c r="Y154" i="20"/>
  <c r="Y151" i="20"/>
  <c r="Y214" i="20" s="1"/>
  <c r="AB154" i="20"/>
  <c r="AB217" i="20" s="1"/>
  <c r="Y148" i="20"/>
  <c r="Y211" i="20" s="1"/>
  <c r="AB156" i="20"/>
  <c r="AB219" i="20" s="1"/>
  <c r="Y294" i="20"/>
  <c r="Y296" i="20" s="1"/>
  <c r="AB151" i="20"/>
  <c r="AB214" i="20" s="1"/>
  <c r="AB283" i="20"/>
  <c r="AB286" i="20"/>
  <c r="Y175" i="20"/>
  <c r="Z156" i="20"/>
  <c r="Z219" i="20" s="1"/>
  <c r="AB280" i="20"/>
  <c r="AB148" i="20"/>
  <c r="AB211" i="20" s="1"/>
  <c r="AB208" i="20"/>
  <c r="F308" i="20"/>
  <c r="W91" i="20"/>
  <c r="C310" i="17" s="1"/>
  <c r="D305" i="17" s="1"/>
  <c r="V238" i="20"/>
  <c r="U63" i="20"/>
  <c r="U175" i="20" s="1"/>
  <c r="X91" i="20"/>
  <c r="H391" i="20"/>
  <c r="U171" i="20"/>
  <c r="V91" i="20"/>
  <c r="V151" i="20" s="1"/>
  <c r="V214" i="20" s="1"/>
  <c r="U237" i="20"/>
  <c r="U274" i="20" s="1"/>
  <c r="U91" i="20"/>
  <c r="C388" i="17" s="1"/>
  <c r="U49" i="20"/>
  <c r="U173" i="20" s="1"/>
  <c r="U391" i="20"/>
  <c r="U303" i="20"/>
  <c r="H27" i="20"/>
  <c r="T252" i="20"/>
  <c r="T248" i="20"/>
  <c r="T250" i="20"/>
  <c r="T256" i="20"/>
  <c r="H49" i="20"/>
  <c r="H173" i="20" s="1"/>
  <c r="H237" i="20"/>
  <c r="H239" i="20" s="1"/>
  <c r="H91" i="20"/>
  <c r="H208" i="20" s="1"/>
  <c r="H274" i="20" s="1"/>
  <c r="T18" i="20"/>
  <c r="T33" i="20" s="1"/>
  <c r="T181" i="20"/>
  <c r="U75" i="20"/>
  <c r="U66" i="20"/>
  <c r="U65" i="20"/>
  <c r="T183" i="20"/>
  <c r="T258" i="20"/>
  <c r="U78" i="20"/>
  <c r="U69" i="20"/>
  <c r="U27" i="20"/>
  <c r="U14" i="20"/>
  <c r="U80" i="20"/>
  <c r="U317" i="20"/>
  <c r="U228" i="20"/>
  <c r="U39" i="20"/>
  <c r="U62" i="20" s="1"/>
  <c r="U145" i="20"/>
  <c r="U162" i="20"/>
  <c r="U382" i="20"/>
  <c r="U87" i="20"/>
  <c r="U291" i="20"/>
  <c r="U330" i="20"/>
  <c r="U360" i="20" s="1"/>
  <c r="U371" i="20" s="1"/>
  <c r="U100" i="20"/>
  <c r="U70" i="20"/>
  <c r="U73" i="20"/>
  <c r="U74" i="20"/>
  <c r="U72" i="20"/>
  <c r="T190" i="20"/>
  <c r="T382" i="20"/>
  <c r="R180" i="20"/>
  <c r="E22" i="20"/>
  <c r="T291" i="20"/>
  <c r="T247" i="20"/>
  <c r="T29" i="20"/>
  <c r="T87" i="20"/>
  <c r="T249" i="20"/>
  <c r="T162" i="20"/>
  <c r="T330" i="20"/>
  <c r="T360" i="20" s="1"/>
  <c r="T371" i="20" s="1"/>
  <c r="T145" i="20"/>
  <c r="T39" i="20"/>
  <c r="T62" i="20" s="1"/>
  <c r="T317" i="20"/>
  <c r="T380" i="20"/>
  <c r="T40" i="20"/>
  <c r="T42" i="20" s="1"/>
  <c r="X43" i="20" s="1"/>
  <c r="X168" i="20" s="1"/>
  <c r="T186" i="20"/>
  <c r="M37" i="20"/>
  <c r="T228" i="20"/>
  <c r="T100" i="20"/>
  <c r="R27" i="20"/>
  <c r="R67" i="20"/>
  <c r="R71" i="20" s="1"/>
  <c r="R242" i="20"/>
  <c r="R189" i="20"/>
  <c r="E67" i="20"/>
  <c r="E71" i="20" s="1"/>
  <c r="E175" i="20"/>
  <c r="E241" i="20"/>
  <c r="E156" i="20"/>
  <c r="E294" i="20"/>
  <c r="E208" i="20"/>
  <c r="E274" i="20" s="1"/>
  <c r="E157" i="20"/>
  <c r="E148" i="20"/>
  <c r="E211" i="20" s="1"/>
  <c r="E151" i="20"/>
  <c r="E214" i="20" s="1"/>
  <c r="E154" i="20"/>
  <c r="R391" i="20"/>
  <c r="T187" i="20"/>
  <c r="T253" i="20"/>
  <c r="T177" i="20"/>
  <c r="T243" i="20"/>
  <c r="T184" i="20"/>
  <c r="T244" i="20"/>
  <c r="T178" i="20"/>
  <c r="E239" i="20"/>
  <c r="T182" i="20"/>
  <c r="T201" i="20"/>
  <c r="T267" i="20" s="1"/>
  <c r="T134" i="20"/>
  <c r="T136" i="20"/>
  <c r="T137" i="20" s="1"/>
  <c r="T302" i="20"/>
  <c r="T142" i="20"/>
  <c r="R127" i="20"/>
  <c r="R302" i="20" s="1"/>
  <c r="S127" i="20"/>
  <c r="S136" i="20" s="1"/>
  <c r="S137" i="20" s="1"/>
  <c r="R255" i="20"/>
  <c r="S77" i="20"/>
  <c r="R176" i="20"/>
  <c r="S64" i="20"/>
  <c r="M112" i="20"/>
  <c r="R36" i="20"/>
  <c r="S68" i="20"/>
  <c r="R369" i="20"/>
  <c r="S18" i="20"/>
  <c r="S40" i="20"/>
  <c r="S42" i="20" s="1"/>
  <c r="S29" i="20"/>
  <c r="S380" i="20"/>
  <c r="R175" i="20"/>
  <c r="R246" i="20"/>
  <c r="M32" i="20"/>
  <c r="M111" i="20"/>
  <c r="M88" i="20"/>
  <c r="M292" i="20" s="1"/>
  <c r="M110" i="20"/>
  <c r="R239" i="20"/>
  <c r="R241" i="20"/>
  <c r="R198" i="20"/>
  <c r="R264" i="20" s="1"/>
  <c r="M107" i="20"/>
  <c r="M367" i="20"/>
  <c r="M378" i="20"/>
  <c r="M389" i="20"/>
  <c r="M10" i="20"/>
  <c r="M327" i="20"/>
  <c r="M26" i="20"/>
  <c r="M337" i="20"/>
  <c r="M339" i="20" s="1"/>
  <c r="R14" i="20"/>
  <c r="M330" i="20"/>
  <c r="M360" i="20" s="1"/>
  <c r="M371" i="20" s="1"/>
  <c r="M228" i="20"/>
  <c r="M291" i="20"/>
  <c r="M231" i="20"/>
  <c r="M254" i="20"/>
  <c r="M39" i="20"/>
  <c r="M62" i="20" s="1"/>
  <c r="M87" i="20"/>
  <c r="M162" i="20"/>
  <c r="M248" i="20"/>
  <c r="M382" i="20"/>
  <c r="M100" i="20"/>
  <c r="M145" i="20"/>
  <c r="C115" i="20"/>
  <c r="M115" i="20" s="1"/>
  <c r="M122" i="20" s="1"/>
  <c r="M127" i="20" s="1"/>
  <c r="L100" i="20"/>
  <c r="P91" i="20"/>
  <c r="P88" i="20"/>
  <c r="Z217" i="20" l="1"/>
  <c r="Z308" i="20"/>
  <c r="Y308" i="20"/>
  <c r="Y217" i="20"/>
  <c r="D189" i="17"/>
  <c r="D191" i="17"/>
  <c r="AA277" i="20"/>
  <c r="AA286" i="20"/>
  <c r="AA280" i="20"/>
  <c r="AA283" i="20"/>
  <c r="Z283" i="20"/>
  <c r="Z286" i="20"/>
  <c r="Z280" i="20"/>
  <c r="Z277" i="20"/>
  <c r="Y286" i="20"/>
  <c r="Y277" i="20"/>
  <c r="Y280" i="20"/>
  <c r="AA217" i="20"/>
  <c r="AA308" i="20"/>
  <c r="AB308" i="20"/>
  <c r="W154" i="20"/>
  <c r="W148" i="20"/>
  <c r="W211" i="20" s="1"/>
  <c r="U241" i="20"/>
  <c r="W151" i="20"/>
  <c r="W214" i="20" s="1"/>
  <c r="W294" i="20"/>
  <c r="W296" i="20" s="1"/>
  <c r="W208" i="20"/>
  <c r="V208" i="20"/>
  <c r="V148" i="20"/>
  <c r="V211" i="20" s="1"/>
  <c r="E277" i="20"/>
  <c r="E280" i="20"/>
  <c r="H277" i="20"/>
  <c r="H280" i="20"/>
  <c r="Y238" i="20"/>
  <c r="X274" i="20"/>
  <c r="W274" i="20"/>
  <c r="V274" i="20"/>
  <c r="U148" i="20"/>
  <c r="U211" i="20" s="1"/>
  <c r="U277" i="20"/>
  <c r="U280" i="20"/>
  <c r="T34" i="20"/>
  <c r="U154" i="20"/>
  <c r="U308" i="20" s="1"/>
  <c r="U294" i="20"/>
  <c r="U296" i="20" s="1"/>
  <c r="E283" i="20"/>
  <c r="E286" i="20"/>
  <c r="E285" i="20"/>
  <c r="U208" i="20"/>
  <c r="U283" i="20" s="1"/>
  <c r="T20" i="20"/>
  <c r="T22" i="20" s="1"/>
  <c r="U151" i="20"/>
  <c r="U214" i="20" s="1"/>
  <c r="V294" i="20"/>
  <c r="V296" i="20" s="1"/>
  <c r="C349" i="17"/>
  <c r="D344" i="17" s="1"/>
  <c r="U187" i="20"/>
  <c r="H63" i="20"/>
  <c r="H171" i="20"/>
  <c r="U239" i="20"/>
  <c r="V154" i="20"/>
  <c r="V308" i="20" s="1"/>
  <c r="U178" i="20"/>
  <c r="U244" i="20"/>
  <c r="U286" i="20" s="1"/>
  <c r="U95" i="20"/>
  <c r="U190" i="20"/>
  <c r="W95" i="20"/>
  <c r="W298" i="20" s="1"/>
  <c r="X154" i="20"/>
  <c r="C271" i="17"/>
  <c r="D266" i="17" s="1"/>
  <c r="X294" i="20"/>
  <c r="X148" i="20"/>
  <c r="X211" i="20" s="1"/>
  <c r="X151" i="20"/>
  <c r="X214" i="20" s="1"/>
  <c r="X208" i="20"/>
  <c r="V95" i="20"/>
  <c r="V298" i="20" s="1"/>
  <c r="X95" i="20"/>
  <c r="V89" i="20"/>
  <c r="X89" i="20"/>
  <c r="U243" i="20"/>
  <c r="U177" i="20"/>
  <c r="H187" i="20"/>
  <c r="H253" i="20"/>
  <c r="H184" i="20"/>
  <c r="H250" i="20"/>
  <c r="S46" i="20"/>
  <c r="W43" i="20"/>
  <c r="W168" i="20" s="1"/>
  <c r="T77" i="20"/>
  <c r="T255" i="20" s="1"/>
  <c r="U253" i="20"/>
  <c r="W89" i="20"/>
  <c r="T64" i="20"/>
  <c r="T67" i="20" s="1"/>
  <c r="T71" i="20" s="1"/>
  <c r="H243" i="20"/>
  <c r="H177" i="20"/>
  <c r="H294" i="20"/>
  <c r="H283" i="20"/>
  <c r="H148" i="20"/>
  <c r="H211" i="20" s="1"/>
  <c r="H151" i="20"/>
  <c r="H214" i="20" s="1"/>
  <c r="H154" i="20"/>
  <c r="T44" i="20"/>
  <c r="T169" i="20" s="1"/>
  <c r="T68" i="20"/>
  <c r="H29" i="20"/>
  <c r="H89" i="20"/>
  <c r="H42" i="20"/>
  <c r="H380" i="20"/>
  <c r="H95" i="20"/>
  <c r="H298" i="20" s="1"/>
  <c r="H244" i="20"/>
  <c r="H286" i="20" s="1"/>
  <c r="H178" i="20"/>
  <c r="H182" i="20"/>
  <c r="H248" i="20"/>
  <c r="U256" i="20"/>
  <c r="U89" i="20"/>
  <c r="U249" i="20"/>
  <c r="U183" i="20"/>
  <c r="U380" i="20"/>
  <c r="U40" i="20"/>
  <c r="U42" i="20" s="1"/>
  <c r="U29" i="20"/>
  <c r="U18" i="20"/>
  <c r="U186" i="20"/>
  <c r="U252" i="20"/>
  <c r="U248" i="20"/>
  <c r="U182" i="20"/>
  <c r="U247" i="20"/>
  <c r="U181" i="20"/>
  <c r="U250" i="20"/>
  <c r="U184" i="20"/>
  <c r="U258" i="20"/>
  <c r="U192" i="20"/>
  <c r="T46" i="20"/>
  <c r="R380" i="20"/>
  <c r="S302" i="20"/>
  <c r="S201" i="20"/>
  <c r="S267" i="20" s="1"/>
  <c r="T233" i="20"/>
  <c r="T167" i="20"/>
  <c r="M108" i="20"/>
  <c r="R179" i="20"/>
  <c r="R201" i="20"/>
  <c r="R267" i="20" s="1"/>
  <c r="R245" i="20"/>
  <c r="E220" i="20"/>
  <c r="E296" i="20"/>
  <c r="R134" i="20"/>
  <c r="R303" i="20" s="1"/>
  <c r="E219" i="20"/>
  <c r="E217" i="20"/>
  <c r="E308" i="20"/>
  <c r="R142" i="20"/>
  <c r="E245" i="20"/>
  <c r="E179" i="20"/>
  <c r="R136" i="20"/>
  <c r="R137" i="20" s="1"/>
  <c r="T303" i="20"/>
  <c r="T204" i="20"/>
  <c r="T270" i="20" s="1"/>
  <c r="S36" i="20"/>
  <c r="S180" i="20"/>
  <c r="S246" i="20"/>
  <c r="S242" i="20"/>
  <c r="S176" i="20"/>
  <c r="S67" i="20"/>
  <c r="S71" i="20" s="1"/>
  <c r="S134" i="20"/>
  <c r="S204" i="20" s="1"/>
  <c r="S270" i="20" s="1"/>
  <c r="S142" i="20"/>
  <c r="S255" i="20"/>
  <c r="S189" i="20"/>
  <c r="S167" i="20"/>
  <c r="S44" i="20"/>
  <c r="S169" i="20" s="1"/>
  <c r="S233" i="20"/>
  <c r="S34" i="20"/>
  <c r="S20" i="20"/>
  <c r="S33" i="20"/>
  <c r="M369" i="20"/>
  <c r="M11" i="20"/>
  <c r="R29" i="20"/>
  <c r="R18" i="20"/>
  <c r="R40" i="20"/>
  <c r="R42" i="20" s="1"/>
  <c r="V43" i="20" s="1"/>
  <c r="V168" i="20" s="1"/>
  <c r="M198" i="20"/>
  <c r="M264" i="20" s="1"/>
  <c r="M201" i="20"/>
  <c r="M267" i="20" s="1"/>
  <c r="M142" i="20"/>
  <c r="M302" i="20"/>
  <c r="M136" i="20"/>
  <c r="M137" i="20" s="1"/>
  <c r="O91" i="20"/>
  <c r="O88" i="20"/>
  <c r="N95" i="20"/>
  <c r="N91" i="20"/>
  <c r="N88" i="20"/>
  <c r="W217" i="20" l="1"/>
  <c r="W308" i="20"/>
  <c r="V283" i="20"/>
  <c r="V286" i="20"/>
  <c r="W286" i="20"/>
  <c r="X286" i="20"/>
  <c r="U217" i="20"/>
  <c r="H241" i="20"/>
  <c r="H67" i="20"/>
  <c r="H71" i="20" s="1"/>
  <c r="H175" i="20"/>
  <c r="W277" i="20"/>
  <c r="W280" i="20"/>
  <c r="W283" i="20"/>
  <c r="X277" i="20"/>
  <c r="X280" i="20"/>
  <c r="X283" i="20"/>
  <c r="V277" i="20"/>
  <c r="V280" i="20"/>
  <c r="V217" i="20"/>
  <c r="T242" i="20"/>
  <c r="U64" i="20"/>
  <c r="U176" i="20" s="1"/>
  <c r="X308" i="20"/>
  <c r="X217" i="20"/>
  <c r="U298" i="20"/>
  <c r="U157" i="20"/>
  <c r="W157" i="20"/>
  <c r="W220" i="20" s="1"/>
  <c r="X296" i="20"/>
  <c r="V157" i="20"/>
  <c r="U77" i="20"/>
  <c r="U255" i="20" s="1"/>
  <c r="V90" i="20"/>
  <c r="X90" i="20"/>
  <c r="T189" i="20"/>
  <c r="T176" i="20"/>
  <c r="X298" i="20"/>
  <c r="X157" i="20"/>
  <c r="H233" i="20"/>
  <c r="H235" i="20" s="1"/>
  <c r="H44" i="20"/>
  <c r="H169" i="20" s="1"/>
  <c r="H90" i="20"/>
  <c r="H167" i="20"/>
  <c r="H46" i="20"/>
  <c r="H252" i="20"/>
  <c r="H186" i="20"/>
  <c r="H192" i="20"/>
  <c r="H258" i="20"/>
  <c r="T36" i="20"/>
  <c r="U68" i="20"/>
  <c r="H190" i="20"/>
  <c r="H256" i="20"/>
  <c r="H33" i="20"/>
  <c r="H34" i="20"/>
  <c r="H249" i="20"/>
  <c r="H183" i="20"/>
  <c r="T246" i="20"/>
  <c r="T180" i="20"/>
  <c r="H181" i="20"/>
  <c r="H247" i="20"/>
  <c r="W90" i="20"/>
  <c r="H157" i="20"/>
  <c r="H308" i="20"/>
  <c r="H217" i="20"/>
  <c r="H296" i="20"/>
  <c r="U90" i="20"/>
  <c r="U233" i="20"/>
  <c r="U46" i="20"/>
  <c r="U44" i="20"/>
  <c r="U169" i="20" s="1"/>
  <c r="U167" i="20"/>
  <c r="U20" i="20"/>
  <c r="U34" i="20"/>
  <c r="U33" i="20"/>
  <c r="R204" i="20"/>
  <c r="R270" i="20" s="1"/>
  <c r="T245" i="20"/>
  <c r="T179" i="20"/>
  <c r="S303" i="20"/>
  <c r="S179" i="20"/>
  <c r="S245" i="20"/>
  <c r="S22" i="20"/>
  <c r="R46" i="20"/>
  <c r="R167" i="20"/>
  <c r="R233" i="20"/>
  <c r="R44" i="20"/>
  <c r="R169" i="20" s="1"/>
  <c r="R20" i="20"/>
  <c r="R33" i="20"/>
  <c r="R34" i="20"/>
  <c r="E379" i="20"/>
  <c r="B235" i="20"/>
  <c r="B234" i="20"/>
  <c r="D145" i="20"/>
  <c r="Q94" i="20"/>
  <c r="P48" i="20"/>
  <c r="P8" i="20"/>
  <c r="C389" i="20"/>
  <c r="C378" i="20"/>
  <c r="C258" i="20"/>
  <c r="C254" i="20"/>
  <c r="C252" i="20"/>
  <c r="C250" i="20"/>
  <c r="C249" i="20"/>
  <c r="C248" i="20"/>
  <c r="C247" i="20"/>
  <c r="C244" i="20"/>
  <c r="C243" i="20"/>
  <c r="C231" i="20"/>
  <c r="D8" i="20"/>
  <c r="D166" i="20" s="1"/>
  <c r="C206" i="20"/>
  <c r="C272" i="20" s="1"/>
  <c r="C192" i="20"/>
  <c r="C188" i="20"/>
  <c r="C186" i="20"/>
  <c r="C184" i="20"/>
  <c r="C183" i="20"/>
  <c r="C182" i="20"/>
  <c r="C181" i="20"/>
  <c r="C178" i="20"/>
  <c r="C177" i="20"/>
  <c r="C165" i="20"/>
  <c r="C130" i="20"/>
  <c r="M130" i="20" s="1"/>
  <c r="M134" i="20" s="1"/>
  <c r="M303" i="20" s="1"/>
  <c r="C124" i="20"/>
  <c r="C122" i="20"/>
  <c r="C198" i="20" s="1"/>
  <c r="C264" i="20" s="1"/>
  <c r="P94" i="20"/>
  <c r="O94" i="20"/>
  <c r="N94" i="20"/>
  <c r="C95" i="20"/>
  <c r="C298" i="20" s="1"/>
  <c r="C94" i="20"/>
  <c r="C297" i="20" s="1"/>
  <c r="C88" i="20"/>
  <c r="C292" i="20" s="1"/>
  <c r="C78" i="20"/>
  <c r="C190" i="20" s="1"/>
  <c r="C77" i="20"/>
  <c r="C189" i="20" s="1"/>
  <c r="C75" i="20"/>
  <c r="C253" i="20" s="1"/>
  <c r="C68" i="20"/>
  <c r="C246" i="20" s="1"/>
  <c r="C64" i="20"/>
  <c r="C176" i="20" s="1"/>
  <c r="C16" i="20"/>
  <c r="C13" i="20"/>
  <c r="M13" i="20" s="1"/>
  <c r="M28" i="20" s="1"/>
  <c r="C12" i="20"/>
  <c r="C41" i="20"/>
  <c r="C37" i="20" s="1"/>
  <c r="C32" i="20"/>
  <c r="C26" i="20"/>
  <c r="C10" i="20"/>
  <c r="D78" i="20"/>
  <c r="D190" i="20" s="1"/>
  <c r="D189" i="20"/>
  <c r="D75" i="20"/>
  <c r="D187" i="20" s="1"/>
  <c r="D97" i="20"/>
  <c r="D299" i="20" s="1"/>
  <c r="C539" i="17"/>
  <c r="D87" i="20"/>
  <c r="Q76" i="20"/>
  <c r="Q70" i="20"/>
  <c r="D258" i="20"/>
  <c r="D95" i="20"/>
  <c r="D177" i="20"/>
  <c r="Q388" i="20"/>
  <c r="Q387" i="20"/>
  <c r="Q386" i="20"/>
  <c r="Q385" i="20"/>
  <c r="Q384" i="20"/>
  <c r="Q383" i="20"/>
  <c r="Q377" i="20"/>
  <c r="Q376" i="20"/>
  <c r="Q375" i="20"/>
  <c r="Q374" i="20"/>
  <c r="Q373" i="20"/>
  <c r="Q372" i="20"/>
  <c r="D389" i="20"/>
  <c r="E390" i="20" s="1"/>
  <c r="D382" i="20"/>
  <c r="Q366" i="20"/>
  <c r="Q365" i="20"/>
  <c r="Q364" i="20"/>
  <c r="Q363" i="20"/>
  <c r="Q362" i="20"/>
  <c r="Q361" i="20"/>
  <c r="D367" i="20"/>
  <c r="E368" i="20" s="1"/>
  <c r="C367" i="20"/>
  <c r="C337" i="20"/>
  <c r="C339" i="20" s="1"/>
  <c r="Q336" i="20"/>
  <c r="Q335" i="20"/>
  <c r="Q334" i="20"/>
  <c r="Q333" i="20"/>
  <c r="Q332" i="20"/>
  <c r="Q331" i="20"/>
  <c r="C327" i="20"/>
  <c r="D337" i="20"/>
  <c r="D327" i="20"/>
  <c r="E328" i="20" s="1"/>
  <c r="Q326" i="20"/>
  <c r="Q325" i="20"/>
  <c r="Q324" i="20"/>
  <c r="Q323" i="20"/>
  <c r="Q319" i="20"/>
  <c r="Q318" i="20"/>
  <c r="D360" i="20"/>
  <c r="D371" i="20" s="1"/>
  <c r="D317" i="20"/>
  <c r="D94" i="20"/>
  <c r="D297" i="20" s="1"/>
  <c r="D291" i="20"/>
  <c r="D254" i="20"/>
  <c r="D252" i="20"/>
  <c r="D250" i="20"/>
  <c r="D249" i="20"/>
  <c r="D248" i="20"/>
  <c r="D247" i="20"/>
  <c r="D231" i="20"/>
  <c r="E232" i="20" s="1"/>
  <c r="D228" i="20"/>
  <c r="D206" i="20"/>
  <c r="D272" i="20" s="1"/>
  <c r="D188" i="20"/>
  <c r="D186" i="20"/>
  <c r="D184" i="20"/>
  <c r="D183" i="20"/>
  <c r="D182" i="20"/>
  <c r="D181" i="20"/>
  <c r="D165" i="20"/>
  <c r="D163" i="20"/>
  <c r="D162" i="20"/>
  <c r="Q141" i="20"/>
  <c r="C543" i="17" s="1"/>
  <c r="Q140" i="20"/>
  <c r="D130" i="20"/>
  <c r="Q130" i="20" s="1"/>
  <c r="D115" i="20"/>
  <c r="Q115" i="20" s="1"/>
  <c r="D124" i="20"/>
  <c r="Q106" i="20"/>
  <c r="Q105" i="20"/>
  <c r="Q104" i="20"/>
  <c r="Q103" i="20"/>
  <c r="D107" i="20"/>
  <c r="D108" i="20" s="1"/>
  <c r="D102" i="20"/>
  <c r="Q102" i="20" s="1"/>
  <c r="D88" i="20"/>
  <c r="D292" i="20" s="1"/>
  <c r="D62" i="20"/>
  <c r="Q59" i="20"/>
  <c r="U67" i="20" l="1"/>
  <c r="U242" i="20"/>
  <c r="V220" i="20"/>
  <c r="U220" i="20"/>
  <c r="U189" i="20"/>
  <c r="H189" i="20"/>
  <c r="U180" i="20"/>
  <c r="X97" i="20"/>
  <c r="W96" i="20"/>
  <c r="X96" i="20"/>
  <c r="X220" i="20"/>
  <c r="H246" i="20"/>
  <c r="H285" i="20" s="1"/>
  <c r="H36" i="20"/>
  <c r="H180" i="20"/>
  <c r="H97" i="20"/>
  <c r="U36" i="20"/>
  <c r="V97" i="20"/>
  <c r="U246" i="20"/>
  <c r="U97" i="20"/>
  <c r="H176" i="20"/>
  <c r="H242" i="20"/>
  <c r="H96" i="20"/>
  <c r="H220" i="20"/>
  <c r="W97" i="20"/>
  <c r="U22" i="20"/>
  <c r="V96" i="20"/>
  <c r="U96" i="20"/>
  <c r="R22" i="20"/>
  <c r="D339" i="20"/>
  <c r="E338" i="20"/>
  <c r="C28" i="20"/>
  <c r="D328" i="20"/>
  <c r="D390" i="20"/>
  <c r="Q327" i="20"/>
  <c r="U328" i="20" s="1"/>
  <c r="C97" i="20"/>
  <c r="C299" i="20" s="1"/>
  <c r="M204" i="20"/>
  <c r="M270" i="20" s="1"/>
  <c r="C180" i="20"/>
  <c r="D122" i="20"/>
  <c r="D198" i="20" s="1"/>
  <c r="D264" i="20" s="1"/>
  <c r="C14" i="20"/>
  <c r="C89" i="20" s="1"/>
  <c r="M16" i="20"/>
  <c r="C31" i="20"/>
  <c r="C187" i="20"/>
  <c r="D232" i="20"/>
  <c r="C255" i="20"/>
  <c r="C36" i="20"/>
  <c r="D368" i="20"/>
  <c r="C27" i="20"/>
  <c r="C242" i="20"/>
  <c r="C256" i="20"/>
  <c r="D379" i="20"/>
  <c r="C127" i="20"/>
  <c r="C11" i="20"/>
  <c r="D256" i="20"/>
  <c r="D255" i="20"/>
  <c r="D242" i="20"/>
  <c r="D176" i="20"/>
  <c r="D192" i="20"/>
  <c r="D253" i="20"/>
  <c r="D246" i="20"/>
  <c r="D180" i="20"/>
  <c r="D298" i="20"/>
  <c r="D178" i="20"/>
  <c r="D244" i="20"/>
  <c r="D243" i="20"/>
  <c r="C369" i="20"/>
  <c r="D338" i="20"/>
  <c r="U245" i="20" l="1"/>
  <c r="U71" i="20"/>
  <c r="V285" i="20"/>
  <c r="W285" i="20"/>
  <c r="X285" i="20"/>
  <c r="U285" i="20"/>
  <c r="M31" i="20"/>
  <c r="U179" i="20"/>
  <c r="H255" i="20"/>
  <c r="X299" i="20"/>
  <c r="X156" i="20"/>
  <c r="V299" i="20"/>
  <c r="V156" i="20"/>
  <c r="W299" i="20"/>
  <c r="W156" i="20"/>
  <c r="H245" i="20"/>
  <c r="H179" i="20"/>
  <c r="U299" i="20"/>
  <c r="U156" i="20"/>
  <c r="H299" i="20"/>
  <c r="H156" i="20"/>
  <c r="Q328" i="20"/>
  <c r="D127" i="20"/>
  <c r="D302" i="20" s="1"/>
  <c r="C40" i="20"/>
  <c r="C42" i="20" s="1"/>
  <c r="C44" i="20" s="1"/>
  <c r="C169" i="20" s="1"/>
  <c r="C29" i="20"/>
  <c r="C380" i="20"/>
  <c r="C18" i="20"/>
  <c r="C33" i="20" s="1"/>
  <c r="C302" i="20"/>
  <c r="C201" i="20"/>
  <c r="C267" i="20" s="1"/>
  <c r="C142" i="20"/>
  <c r="C136" i="20"/>
  <c r="C137" i="20" s="1"/>
  <c r="C134" i="20"/>
  <c r="X219" i="20" l="1"/>
  <c r="W219" i="20"/>
  <c r="H219" i="20"/>
  <c r="V219" i="20"/>
  <c r="U219" i="20"/>
  <c r="D142" i="20"/>
  <c r="D201" i="20"/>
  <c r="D267" i="20" s="1"/>
  <c r="D134" i="20"/>
  <c r="D303" i="20" s="1"/>
  <c r="C47" i="20"/>
  <c r="M47" i="20" s="1"/>
  <c r="M171" i="20" s="1"/>
  <c r="D136" i="20"/>
  <c r="D137" i="20" s="1"/>
  <c r="C20" i="20"/>
  <c r="C22" i="20" s="1"/>
  <c r="C34" i="20"/>
  <c r="C233" i="20"/>
  <c r="C235" i="20" s="1"/>
  <c r="C90" i="20"/>
  <c r="C167" i="20"/>
  <c r="C303" i="20"/>
  <c r="C204" i="20"/>
  <c r="C270" i="20" s="1"/>
  <c r="C96" i="20" l="1"/>
  <c r="D204" i="20"/>
  <c r="D270" i="20" s="1"/>
  <c r="C46" i="20"/>
  <c r="M91" i="20"/>
  <c r="M294" i="20" s="1"/>
  <c r="C391" i="20"/>
  <c r="C63" i="20"/>
  <c r="C175" i="20" s="1"/>
  <c r="M49" i="20"/>
  <c r="M173" i="20" s="1"/>
  <c r="C171" i="20"/>
  <c r="M391" i="20"/>
  <c r="C237" i="20"/>
  <c r="C239" i="20" s="1"/>
  <c r="M63" i="20"/>
  <c r="M175" i="20" s="1"/>
  <c r="M237" i="20"/>
  <c r="C91" i="20"/>
  <c r="C154" i="20" s="1"/>
  <c r="C308" i="20" s="1"/>
  <c r="C49" i="20"/>
  <c r="C173" i="20" s="1"/>
  <c r="M239" i="20" l="1"/>
  <c r="M154" i="20"/>
  <c r="M217" i="20" s="1"/>
  <c r="C67" i="20"/>
  <c r="C71" i="20" s="1"/>
  <c r="M148" i="20"/>
  <c r="M211" i="20" s="1"/>
  <c r="M208" i="20"/>
  <c r="M151" i="20"/>
  <c r="M214" i="20" s="1"/>
  <c r="M241" i="20"/>
  <c r="C151" i="20"/>
  <c r="C214" i="20" s="1"/>
  <c r="C294" i="20"/>
  <c r="C156" i="20"/>
  <c r="C219" i="20" s="1"/>
  <c r="C157" i="20"/>
  <c r="C217" i="20"/>
  <c r="C148" i="20"/>
  <c r="C211" i="20" s="1"/>
  <c r="C208" i="20"/>
  <c r="C274" i="20" s="1"/>
  <c r="C241" i="20"/>
  <c r="M296" i="20"/>
  <c r="C277" i="20" l="1"/>
  <c r="C280" i="20"/>
  <c r="C283" i="20"/>
  <c r="C285" i="20"/>
  <c r="C286" i="20"/>
  <c r="C296" i="20"/>
  <c r="C245" i="20"/>
  <c r="M308" i="20"/>
  <c r="C179" i="20"/>
  <c r="C220" i="20"/>
  <c r="Q21" i="20" l="1"/>
  <c r="Q19" i="20"/>
  <c r="Q17" i="20"/>
  <c r="Q15" i="20"/>
  <c r="Q9" i="20"/>
  <c r="Q7" i="20"/>
  <c r="U8" i="20" s="1"/>
  <c r="Q389" i="20"/>
  <c r="U390" i="20" s="1"/>
  <c r="Q378" i="20"/>
  <c r="U379" i="20" s="1"/>
  <c r="Q367" i="20"/>
  <c r="U368" i="20" s="1"/>
  <c r="Q337" i="20"/>
  <c r="U338" i="20" s="1"/>
  <c r="Q254" i="20"/>
  <c r="Q248" i="20"/>
  <c r="Q206" i="20"/>
  <c r="Q272" i="20" s="1"/>
  <c r="Q188" i="20"/>
  <c r="Q182" i="20"/>
  <c r="Q164" i="20"/>
  <c r="Q163" i="20"/>
  <c r="Q124" i="20"/>
  <c r="Q122" i="20"/>
  <c r="Q107" i="20"/>
  <c r="Q297" i="20"/>
  <c r="Q41" i="20"/>
  <c r="D41" i="20"/>
  <c r="D37" i="20" s="1"/>
  <c r="D36" i="20"/>
  <c r="D32" i="20"/>
  <c r="D26" i="20"/>
  <c r="D16" i="20"/>
  <c r="D31" i="20" s="1"/>
  <c r="D13" i="20"/>
  <c r="D28" i="20" s="1"/>
  <c r="D12" i="20"/>
  <c r="D27" i="20" s="1"/>
  <c r="D10" i="20"/>
  <c r="D369" i="20" s="1"/>
  <c r="C540" i="17"/>
  <c r="Q390" i="20" l="1"/>
  <c r="Q338" i="20"/>
  <c r="Q368" i="20"/>
  <c r="Q379" i="20"/>
  <c r="T88" i="20"/>
  <c r="Q111" i="20"/>
  <c r="S88" i="20"/>
  <c r="Q110" i="20"/>
  <c r="Q112" i="20"/>
  <c r="Q13" i="20"/>
  <c r="Q28" i="20" s="1"/>
  <c r="Q16" i="20"/>
  <c r="Q8" i="20"/>
  <c r="R88" i="20"/>
  <c r="Q88" i="20"/>
  <c r="Q292" i="20" s="1"/>
  <c r="Q165" i="20"/>
  <c r="Q26" i="20"/>
  <c r="Q10" i="20"/>
  <c r="Q37" i="20"/>
  <c r="Q231" i="20"/>
  <c r="Q32" i="20"/>
  <c r="Q339" i="20"/>
  <c r="Q198" i="20"/>
  <c r="Q264" i="20" s="1"/>
  <c r="Q127" i="20"/>
  <c r="D14" i="20"/>
  <c r="D11" i="20"/>
  <c r="C563" i="17"/>
  <c r="C584" i="17"/>
  <c r="L367" i="20"/>
  <c r="L327" i="20"/>
  <c r="L389" i="20"/>
  <c r="L391" i="20" s="1"/>
  <c r="L382" i="20"/>
  <c r="L378" i="20"/>
  <c r="L337" i="20"/>
  <c r="L339" i="20" s="1"/>
  <c r="L330" i="20"/>
  <c r="L360" i="20" s="1"/>
  <c r="L317" i="20"/>
  <c r="L254" i="20"/>
  <c r="L248" i="20"/>
  <c r="L237" i="20"/>
  <c r="L231" i="20"/>
  <c r="L228" i="20"/>
  <c r="L188" i="20"/>
  <c r="L182" i="20"/>
  <c r="L171" i="20"/>
  <c r="L165" i="20"/>
  <c r="L162" i="20"/>
  <c r="P130" i="20"/>
  <c r="P115" i="20"/>
  <c r="P107" i="20"/>
  <c r="P108" i="20" s="1"/>
  <c r="P102" i="20"/>
  <c r="C565" i="17"/>
  <c r="T31" i="20" l="1"/>
  <c r="S31" i="20"/>
  <c r="R31" i="20"/>
  <c r="Q31" i="20"/>
  <c r="R292" i="20"/>
  <c r="R108" i="20"/>
  <c r="S292" i="20"/>
  <c r="S108" i="20"/>
  <c r="T292" i="20"/>
  <c r="T108" i="20"/>
  <c r="Q108" i="20"/>
  <c r="D18" i="20"/>
  <c r="D89" i="20"/>
  <c r="D380" i="20"/>
  <c r="D29" i="20"/>
  <c r="D40" i="20"/>
  <c r="D42" i="20" s="1"/>
  <c r="L239" i="20"/>
  <c r="Q11" i="20"/>
  <c r="Q369" i="20"/>
  <c r="Q136" i="20"/>
  <c r="Q137" i="20" s="1"/>
  <c r="Q134" i="20"/>
  <c r="Q201" i="20"/>
  <c r="Q267" i="20" s="1"/>
  <c r="Q302" i="20"/>
  <c r="Q142" i="20"/>
  <c r="C564" i="17"/>
  <c r="D43" i="20" l="1"/>
  <c r="D168" i="20" s="1"/>
  <c r="E43" i="20"/>
  <c r="E168" i="20" s="1"/>
  <c r="D167" i="20"/>
  <c r="D90" i="20"/>
  <c r="D233" i="20"/>
  <c r="D47" i="20"/>
  <c r="D44" i="20"/>
  <c r="D169" i="20" s="1"/>
  <c r="D20" i="20"/>
  <c r="D34" i="20"/>
  <c r="D33" i="20"/>
  <c r="Q204" i="20"/>
  <c r="Q270" i="20" s="1"/>
  <c r="Q303" i="20"/>
  <c r="P292" i="20"/>
  <c r="L63" i="20"/>
  <c r="L49" i="20"/>
  <c r="L173" i="20" s="1"/>
  <c r="L41" i="20"/>
  <c r="L37" i="20" s="1"/>
  <c r="L32" i="20"/>
  <c r="L28" i="20"/>
  <c r="L26" i="20"/>
  <c r="L12" i="20"/>
  <c r="L27" i="20" s="1"/>
  <c r="L10" i="20"/>
  <c r="L369" i="20" s="1"/>
  <c r="P12" i="20"/>
  <c r="P389" i="20"/>
  <c r="P378" i="20"/>
  <c r="P367" i="20"/>
  <c r="P337" i="20"/>
  <c r="P327" i="20"/>
  <c r="P254" i="20"/>
  <c r="P248" i="20"/>
  <c r="P237" i="20"/>
  <c r="P231" i="20"/>
  <c r="P206" i="20"/>
  <c r="P272" i="20" s="1"/>
  <c r="P188" i="20"/>
  <c r="P182" i="20"/>
  <c r="P171" i="20"/>
  <c r="P165" i="20"/>
  <c r="P164" i="20"/>
  <c r="P163" i="20"/>
  <c r="P124" i="20"/>
  <c r="P122" i="20"/>
  <c r="P31" i="20" s="1"/>
  <c r="P297" i="20"/>
  <c r="P208" i="20"/>
  <c r="P63" i="20"/>
  <c r="P49" i="20"/>
  <c r="P173" i="20" s="1"/>
  <c r="P172" i="20"/>
  <c r="P41" i="20"/>
  <c r="P37" i="20" s="1"/>
  <c r="P32" i="20"/>
  <c r="P28" i="20"/>
  <c r="P26" i="20"/>
  <c r="P10" i="20"/>
  <c r="P166" i="20"/>
  <c r="O115" i="20"/>
  <c r="O122" i="20" s="1"/>
  <c r="O31" i="20" s="1"/>
  <c r="N115" i="20"/>
  <c r="N122" i="20" s="1"/>
  <c r="N31" i="20" s="1"/>
  <c r="K72" i="20"/>
  <c r="O80" i="20"/>
  <c r="K66" i="20"/>
  <c r="O66" i="20"/>
  <c r="K12" i="20"/>
  <c r="K27" i="20" s="1"/>
  <c r="O12" i="20"/>
  <c r="K80" i="20"/>
  <c r="C602" i="17"/>
  <c r="C642" i="17"/>
  <c r="C598" i="17"/>
  <c r="C599" i="17" s="1"/>
  <c r="C623" i="17"/>
  <c r="K254" i="20"/>
  <c r="O254" i="20"/>
  <c r="K248" i="20"/>
  <c r="O248" i="20"/>
  <c r="K237" i="20"/>
  <c r="O237" i="20"/>
  <c r="K231" i="20"/>
  <c r="O231" i="20"/>
  <c r="S232" i="20" s="1"/>
  <c r="O130" i="20"/>
  <c r="N107" i="20"/>
  <c r="N108" i="20" s="1"/>
  <c r="O206" i="20"/>
  <c r="O272" i="20" s="1"/>
  <c r="N184" i="20"/>
  <c r="N183" i="20"/>
  <c r="N182" i="20"/>
  <c r="N181" i="20"/>
  <c r="N178" i="20"/>
  <c r="N177" i="20"/>
  <c r="O182" i="20"/>
  <c r="O188" i="20"/>
  <c r="O171" i="20"/>
  <c r="O165" i="20"/>
  <c r="K165" i="20"/>
  <c r="O164" i="20"/>
  <c r="O163" i="20"/>
  <c r="N163" i="20"/>
  <c r="K163" i="20"/>
  <c r="O124" i="20"/>
  <c r="O102" i="20"/>
  <c r="O107" i="20"/>
  <c r="O108" i="20" s="1"/>
  <c r="O297" i="20"/>
  <c r="L85" i="15"/>
  <c r="L287" i="15"/>
  <c r="O389" i="20"/>
  <c r="S390" i="20" s="1"/>
  <c r="K389" i="20"/>
  <c r="M390" i="20" s="1"/>
  <c r="K378" i="20"/>
  <c r="M379" i="20" s="1"/>
  <c r="O378" i="20"/>
  <c r="S379" i="20" s="1"/>
  <c r="K367" i="20"/>
  <c r="M368" i="20" s="1"/>
  <c r="O367" i="20"/>
  <c r="K337" i="20"/>
  <c r="K339" i="20" s="1"/>
  <c r="O337" i="20"/>
  <c r="S338" i="20" s="1"/>
  <c r="O327" i="20"/>
  <c r="K327" i="20"/>
  <c r="K78" i="20"/>
  <c r="O78" i="20"/>
  <c r="K75" i="20"/>
  <c r="O75" i="20"/>
  <c r="K74" i="20"/>
  <c r="O74" i="20"/>
  <c r="O186" i="20" s="1"/>
  <c r="K73" i="20"/>
  <c r="O73" i="20"/>
  <c r="O72" i="20"/>
  <c r="O69" i="20"/>
  <c r="K69" i="20"/>
  <c r="N64" i="20"/>
  <c r="K63" i="20"/>
  <c r="O63" i="20"/>
  <c r="N63" i="20"/>
  <c r="N48" i="20"/>
  <c r="N172" i="20" s="1"/>
  <c r="O48" i="20"/>
  <c r="O172" i="20" s="1"/>
  <c r="O49" i="20"/>
  <c r="O173" i="20" s="1"/>
  <c r="O41" i="20"/>
  <c r="O37" i="20" s="1"/>
  <c r="K41" i="20"/>
  <c r="K37" i="20" s="1"/>
  <c r="N41" i="20"/>
  <c r="N37" i="20" s="1"/>
  <c r="K28" i="20"/>
  <c r="K26" i="20"/>
  <c r="K32" i="20"/>
  <c r="O26" i="20"/>
  <c r="O28" i="20"/>
  <c r="O32" i="20"/>
  <c r="N26" i="20"/>
  <c r="O8" i="20"/>
  <c r="O166" i="20" s="1"/>
  <c r="N8" i="20"/>
  <c r="N166" i="20" s="1"/>
  <c r="K3" i="20"/>
  <c r="K10" i="20"/>
  <c r="K11" i="20" s="1"/>
  <c r="AK6" i="15"/>
  <c r="AK9" i="15" s="1"/>
  <c r="AK10" i="15" s="1"/>
  <c r="O10" i="20"/>
  <c r="O11" i="20" s="1"/>
  <c r="O3" i="20"/>
  <c r="J592" i="17"/>
  <c r="C638" i="17"/>
  <c r="C639" i="17" s="1"/>
  <c r="C663" i="17"/>
  <c r="AK88" i="15"/>
  <c r="C684" i="17" s="1"/>
  <c r="C102" i="20"/>
  <c r="M102" i="20" s="1"/>
  <c r="N130" i="20"/>
  <c r="N102" i="20"/>
  <c r="J77" i="20"/>
  <c r="J189" i="20" s="1"/>
  <c r="J68" i="20"/>
  <c r="J64" i="20"/>
  <c r="N77" i="20"/>
  <c r="N68" i="20"/>
  <c r="J12" i="20"/>
  <c r="N12" i="20"/>
  <c r="N389" i="20"/>
  <c r="J389" i="20"/>
  <c r="J391" i="20" s="1"/>
  <c r="N382" i="20"/>
  <c r="C382" i="20"/>
  <c r="N378" i="20"/>
  <c r="J378" i="20"/>
  <c r="N367" i="20"/>
  <c r="J367" i="20"/>
  <c r="N337" i="20"/>
  <c r="J337" i="20"/>
  <c r="N330" i="20"/>
  <c r="N360" i="20" s="1"/>
  <c r="N371" i="20" s="1"/>
  <c r="C330" i="20"/>
  <c r="C360" i="20" s="1"/>
  <c r="C371" i="20" s="1"/>
  <c r="N327" i="20"/>
  <c r="J327" i="20"/>
  <c r="M328" i="20" s="1"/>
  <c r="N317" i="20"/>
  <c r="C317" i="20"/>
  <c r="B300" i="20"/>
  <c r="B299" i="20"/>
  <c r="B298" i="20"/>
  <c r="B297" i="20"/>
  <c r="B295" i="20"/>
  <c r="N291" i="20"/>
  <c r="C291" i="20"/>
  <c r="B286" i="20"/>
  <c r="B285" i="20"/>
  <c r="B283" i="20"/>
  <c r="B282" i="20"/>
  <c r="B280" i="20"/>
  <c r="B279" i="20"/>
  <c r="B277" i="20"/>
  <c r="B276" i="20"/>
  <c r="B260" i="20"/>
  <c r="B259" i="20"/>
  <c r="N258" i="20"/>
  <c r="B258" i="20"/>
  <c r="B257" i="20"/>
  <c r="N256" i="20"/>
  <c r="B256" i="20"/>
  <c r="B255" i="20"/>
  <c r="N254" i="20"/>
  <c r="B254" i="20"/>
  <c r="N253" i="20"/>
  <c r="B253" i="20"/>
  <c r="N252" i="20"/>
  <c r="B252" i="20"/>
  <c r="B251" i="20"/>
  <c r="N250" i="20"/>
  <c r="B250" i="20"/>
  <c r="N249" i="20"/>
  <c r="B249" i="20"/>
  <c r="N248" i="20"/>
  <c r="B248" i="20"/>
  <c r="N247" i="20"/>
  <c r="B247" i="20"/>
  <c r="B246" i="20"/>
  <c r="B245" i="20"/>
  <c r="N244" i="20"/>
  <c r="B244" i="20"/>
  <c r="N243" i="20"/>
  <c r="B243" i="20"/>
  <c r="B242" i="20"/>
  <c r="B241" i="20"/>
  <c r="B239" i="20"/>
  <c r="B238" i="20"/>
  <c r="N237" i="20"/>
  <c r="B237" i="20"/>
  <c r="B233" i="20"/>
  <c r="B232" i="20"/>
  <c r="N231" i="20"/>
  <c r="R232" i="20" s="1"/>
  <c r="B231" i="20"/>
  <c r="N228" i="20"/>
  <c r="C228" i="20"/>
  <c r="B222" i="20"/>
  <c r="B220" i="20"/>
  <c r="B219" i="20"/>
  <c r="B217" i="20"/>
  <c r="B216" i="20"/>
  <c r="B214" i="20"/>
  <c r="B213" i="20"/>
  <c r="B211" i="20"/>
  <c r="B210" i="20"/>
  <c r="N206" i="20"/>
  <c r="N272" i="20" s="1"/>
  <c r="B198" i="20"/>
  <c r="B197" i="20"/>
  <c r="B196" i="20"/>
  <c r="B194" i="20"/>
  <c r="B193" i="20"/>
  <c r="N192" i="20"/>
  <c r="J192" i="20"/>
  <c r="B192" i="20"/>
  <c r="B191" i="20"/>
  <c r="N190" i="20"/>
  <c r="J190" i="20"/>
  <c r="B190" i="20"/>
  <c r="B189" i="20"/>
  <c r="N188" i="20"/>
  <c r="J188" i="20"/>
  <c r="B188" i="20"/>
  <c r="N187" i="20"/>
  <c r="J187" i="20"/>
  <c r="B187" i="20"/>
  <c r="N186" i="20"/>
  <c r="J186" i="20"/>
  <c r="B186" i="20"/>
  <c r="B185" i="20"/>
  <c r="J184" i="20"/>
  <c r="B184" i="20"/>
  <c r="J183" i="20"/>
  <c r="B183" i="20"/>
  <c r="J182" i="20"/>
  <c r="B182" i="20"/>
  <c r="J181" i="20"/>
  <c r="B181" i="20"/>
  <c r="B180" i="20"/>
  <c r="B179" i="20"/>
  <c r="J178" i="20"/>
  <c r="B178" i="20"/>
  <c r="J177" i="20"/>
  <c r="B177" i="20"/>
  <c r="B176" i="20"/>
  <c r="B175" i="20"/>
  <c r="B173" i="20"/>
  <c r="B172" i="20"/>
  <c r="N171" i="20"/>
  <c r="J171" i="20"/>
  <c r="B171" i="20"/>
  <c r="B169" i="20"/>
  <c r="B168" i="20"/>
  <c r="B167" i="20"/>
  <c r="B166" i="20"/>
  <c r="N165" i="20"/>
  <c r="J165" i="20"/>
  <c r="B165" i="20"/>
  <c r="N164" i="20"/>
  <c r="J164" i="20"/>
  <c r="J163" i="20"/>
  <c r="C163" i="20"/>
  <c r="N162" i="20"/>
  <c r="C162" i="20"/>
  <c r="N145" i="20"/>
  <c r="C145" i="20"/>
  <c r="N124" i="20"/>
  <c r="C107" i="20"/>
  <c r="C108" i="20" s="1"/>
  <c r="N100" i="20"/>
  <c r="C100" i="20"/>
  <c r="N297" i="20"/>
  <c r="B88" i="20"/>
  <c r="B292" i="20" s="1"/>
  <c r="N87" i="20"/>
  <c r="C87" i="20"/>
  <c r="J63" i="20"/>
  <c r="J241" i="20" s="1"/>
  <c r="N49" i="20"/>
  <c r="N173" i="20" s="1"/>
  <c r="J49" i="20"/>
  <c r="J173" i="20" s="1"/>
  <c r="J41" i="20"/>
  <c r="J37" i="20" s="1"/>
  <c r="N39" i="20"/>
  <c r="N62" i="20" s="1"/>
  <c r="C62" i="20"/>
  <c r="B33" i="20"/>
  <c r="N32" i="20"/>
  <c r="J32" i="20"/>
  <c r="B32" i="20"/>
  <c r="B29" i="20"/>
  <c r="N28" i="20"/>
  <c r="J28" i="20"/>
  <c r="B28" i="20"/>
  <c r="B27" i="20"/>
  <c r="J26" i="20"/>
  <c r="B26" i="20"/>
  <c r="N10" i="20"/>
  <c r="N11" i="20" s="1"/>
  <c r="J10" i="20"/>
  <c r="J11" i="20" s="1"/>
  <c r="D678" i="17"/>
  <c r="D679" i="17" s="1"/>
  <c r="D703" i="17"/>
  <c r="AI357" i="15"/>
  <c r="AI358" i="15" s="1"/>
  <c r="AK376" i="15"/>
  <c r="AK375" i="15"/>
  <c r="AK374" i="15"/>
  <c r="AK373" i="15"/>
  <c r="AK366" i="15"/>
  <c r="AK365" i="15"/>
  <c r="AK364" i="15"/>
  <c r="AK363" i="15"/>
  <c r="AK356" i="15"/>
  <c r="AK355" i="15"/>
  <c r="AK358" i="15" s="1"/>
  <c r="AK354" i="15"/>
  <c r="AK353" i="15"/>
  <c r="AK346" i="15"/>
  <c r="AK345" i="15"/>
  <c r="AK344" i="15"/>
  <c r="AK343" i="15"/>
  <c r="AK337" i="15"/>
  <c r="AK338" i="15"/>
  <c r="AK336" i="15"/>
  <c r="AK335" i="15"/>
  <c r="AK331" i="15"/>
  <c r="AK330" i="15"/>
  <c r="AK218" i="15"/>
  <c r="H666" i="17"/>
  <c r="C673" i="17" s="1"/>
  <c r="AK135" i="15"/>
  <c r="AK134" i="15"/>
  <c r="AK103" i="15"/>
  <c r="AK102" i="15"/>
  <c r="AK101" i="15"/>
  <c r="AK100" i="15"/>
  <c r="AK99" i="15"/>
  <c r="AK46" i="15"/>
  <c r="AK166" i="15" s="1"/>
  <c r="AK20" i="15"/>
  <c r="AK18" i="15"/>
  <c r="AK14" i="15"/>
  <c r="AK8" i="15"/>
  <c r="K377" i="15"/>
  <c r="L377" i="15"/>
  <c r="L378" i="15" s="1"/>
  <c r="L380" i="15"/>
  <c r="K367" i="15"/>
  <c r="L367" i="15"/>
  <c r="K357" i="15"/>
  <c r="L357" i="15"/>
  <c r="L358" i="15"/>
  <c r="K347" i="15"/>
  <c r="L347" i="15"/>
  <c r="K339" i="15"/>
  <c r="L339" i="15"/>
  <c r="L218" i="15"/>
  <c r="L124" i="15"/>
  <c r="AK124" i="15"/>
  <c r="L109" i="15"/>
  <c r="K75" i="15"/>
  <c r="K74" i="15"/>
  <c r="K183" i="15" s="1"/>
  <c r="K65" i="15"/>
  <c r="K94" i="15"/>
  <c r="K61" i="15"/>
  <c r="L74" i="15"/>
  <c r="L65" i="15"/>
  <c r="L35" i="15"/>
  <c r="L61" i="15"/>
  <c r="L45" i="15"/>
  <c r="AK200" i="15"/>
  <c r="AK165" i="15"/>
  <c r="AK158" i="15"/>
  <c r="AK157" i="15"/>
  <c r="AK118" i="15"/>
  <c r="AK91" i="15"/>
  <c r="AK292" i="15" s="1"/>
  <c r="AK60" i="15"/>
  <c r="AK169" i="15"/>
  <c r="L40" i="15"/>
  <c r="L36" i="15" s="1"/>
  <c r="L16" i="15"/>
  <c r="L31" i="15"/>
  <c r="L15" i="15"/>
  <c r="AK15" i="15" s="1"/>
  <c r="L12" i="15"/>
  <c r="AK12" i="15"/>
  <c r="AK27" i="15"/>
  <c r="L11" i="15"/>
  <c r="L382" i="15"/>
  <c r="L372" i="15"/>
  <c r="L342" i="15"/>
  <c r="L352" i="15" s="1"/>
  <c r="L362" i="15" s="1"/>
  <c r="L329" i="15"/>
  <c r="L307" i="15"/>
  <c r="L292" i="15"/>
  <c r="L290" i="15"/>
  <c r="L288" i="15"/>
  <c r="L286" i="15"/>
  <c r="L221" i="15"/>
  <c r="L200" i="15"/>
  <c r="L186" i="15"/>
  <c r="L182" i="15"/>
  <c r="L181" i="15"/>
  <c r="L180" i="15"/>
  <c r="L178" i="15"/>
  <c r="L177" i="15"/>
  <c r="L176" i="15"/>
  <c r="L175" i="15"/>
  <c r="L172" i="15"/>
  <c r="L171" i="15"/>
  <c r="L159" i="15"/>
  <c r="L157" i="15"/>
  <c r="L156" i="15"/>
  <c r="L139" i="15"/>
  <c r="L118" i="15"/>
  <c r="L104" i="15"/>
  <c r="L105" i="15" s="1"/>
  <c r="L97" i="15"/>
  <c r="L92" i="15"/>
  <c r="L293" i="15"/>
  <c r="L84" i="15"/>
  <c r="L38" i="15"/>
  <c r="L59" i="15" s="1"/>
  <c r="L25" i="15"/>
  <c r="L9" i="15"/>
  <c r="L7" i="15"/>
  <c r="L160" i="15"/>
  <c r="D718" i="17"/>
  <c r="D719" i="17" s="1"/>
  <c r="C722" i="17"/>
  <c r="D744" i="17"/>
  <c r="AJ109" i="15"/>
  <c r="AJ116" i="15" s="1"/>
  <c r="AJ377" i="15"/>
  <c r="AJ378" i="15"/>
  <c r="AJ380" i="15" s="1"/>
  <c r="AJ367" i="15"/>
  <c r="AJ368" i="15" s="1"/>
  <c r="AJ357" i="15"/>
  <c r="AJ358" i="15"/>
  <c r="AJ347" i="15"/>
  <c r="AJ348" i="15" s="1"/>
  <c r="AJ218" i="15"/>
  <c r="H706" i="17"/>
  <c r="C710" i="17" s="1"/>
  <c r="AJ124" i="15"/>
  <c r="AJ99" i="15"/>
  <c r="AJ11" i="15"/>
  <c r="AJ26" i="15" s="1"/>
  <c r="AJ339" i="15"/>
  <c r="AJ340" i="15" s="1"/>
  <c r="AJ200" i="15"/>
  <c r="AJ165" i="15"/>
  <c r="AJ159" i="15"/>
  <c r="AJ158" i="15"/>
  <c r="AJ157" i="15"/>
  <c r="AJ118" i="15"/>
  <c r="AJ104" i="15"/>
  <c r="AJ91" i="15"/>
  <c r="AJ292" i="15" s="1"/>
  <c r="AJ313" i="15" s="1"/>
  <c r="AJ88" i="15"/>
  <c r="AJ60" i="15"/>
  <c r="AJ47" i="15"/>
  <c r="AJ167" i="15" s="1"/>
  <c r="AJ46" i="15"/>
  <c r="AJ166" i="15" s="1"/>
  <c r="AJ40" i="15"/>
  <c r="AJ36" i="15" s="1"/>
  <c r="AJ31" i="15"/>
  <c r="AJ27" i="15"/>
  <c r="AJ25" i="15"/>
  <c r="AJ9" i="15"/>
  <c r="AJ7" i="15"/>
  <c r="AJ160" i="15"/>
  <c r="D785" i="17"/>
  <c r="C763" i="17"/>
  <c r="D760" i="17"/>
  <c r="AI377" i="15"/>
  <c r="AE377" i="15"/>
  <c r="AE378" i="15" s="1"/>
  <c r="AI367" i="15"/>
  <c r="AI368" i="15"/>
  <c r="AE367" i="15"/>
  <c r="AE368" i="15" s="1"/>
  <c r="AE347" i="15"/>
  <c r="AI347" i="15"/>
  <c r="AI348" i="15"/>
  <c r="AI219" i="15"/>
  <c r="AI218" i="15"/>
  <c r="H747" i="17" s="1"/>
  <c r="C752" i="17" s="1"/>
  <c r="AI124" i="15"/>
  <c r="AI109" i="15"/>
  <c r="AI116" i="15"/>
  <c r="AI192" i="15" s="1"/>
  <c r="AI99" i="15"/>
  <c r="AI66" i="15"/>
  <c r="AI77" i="15"/>
  <c r="AI186" i="15"/>
  <c r="AI75" i="15"/>
  <c r="AJ75" i="15" s="1"/>
  <c r="AI72" i="15"/>
  <c r="AI71" i="15"/>
  <c r="AJ71" i="15"/>
  <c r="AI69" i="15"/>
  <c r="AJ69" i="15" s="1"/>
  <c r="AI68" i="15"/>
  <c r="AI63" i="15"/>
  <c r="AJ63" i="15"/>
  <c r="AJ172" i="15" s="1"/>
  <c r="AI62" i="15"/>
  <c r="AI56" i="15"/>
  <c r="AI11" i="15"/>
  <c r="AI339" i="15"/>
  <c r="AI223" i="15"/>
  <c r="AI222" i="15"/>
  <c r="AI200" i="15"/>
  <c r="AI165" i="15"/>
  <c r="AI159" i="15"/>
  <c r="AI158" i="15"/>
  <c r="AI157" i="15"/>
  <c r="AI118" i="15"/>
  <c r="AI104" i="15"/>
  <c r="AI91" i="15"/>
  <c r="AI292" i="15" s="1"/>
  <c r="AI88" i="15"/>
  <c r="C765" i="17" s="1"/>
  <c r="AI73" i="15"/>
  <c r="AI67" i="15"/>
  <c r="AI60" i="15"/>
  <c r="AI47" i="15"/>
  <c r="AI167" i="15"/>
  <c r="AI46" i="15"/>
  <c r="AI166" i="15" s="1"/>
  <c r="AI31" i="15"/>
  <c r="AI27" i="15"/>
  <c r="AI25" i="15"/>
  <c r="AI9" i="15"/>
  <c r="AI10" i="15" s="1"/>
  <c r="AI7" i="15"/>
  <c r="AI160" i="15"/>
  <c r="AI2" i="15"/>
  <c r="AJ2" i="15" s="1"/>
  <c r="AG46" i="15"/>
  <c r="AG166" i="15"/>
  <c r="C803" i="17"/>
  <c r="D799" i="17"/>
  <c r="D800" i="17" s="1"/>
  <c r="D823" i="17"/>
  <c r="AH377" i="15"/>
  <c r="AH378" i="15" s="1"/>
  <c r="AH380" i="15" s="1"/>
  <c r="AO377" i="15"/>
  <c r="AO378" i="15"/>
  <c r="AH367" i="15"/>
  <c r="AO367" i="15"/>
  <c r="AO368" i="15" s="1"/>
  <c r="AH357" i="15"/>
  <c r="AH358" i="15" s="1"/>
  <c r="AO357" i="15"/>
  <c r="AO358" i="15"/>
  <c r="AH347" i="15"/>
  <c r="AH348" i="15" s="1"/>
  <c r="AO347" i="15"/>
  <c r="AO348" i="15"/>
  <c r="AO328" i="15"/>
  <c r="AO339" i="15"/>
  <c r="AH218" i="15"/>
  <c r="AH124" i="15"/>
  <c r="AH109" i="15"/>
  <c r="AH116" i="15" s="1"/>
  <c r="AH121" i="15" s="1"/>
  <c r="AH128" i="15" s="1"/>
  <c r="AH99" i="15"/>
  <c r="AH74" i="15"/>
  <c r="AH65" i="15"/>
  <c r="AH61" i="15"/>
  <c r="AH11" i="15"/>
  <c r="AH26" i="15" s="1"/>
  <c r="AH9" i="15"/>
  <c r="AH382" i="15"/>
  <c r="AH372" i="15"/>
  <c r="AH342" i="15"/>
  <c r="AH352" i="15" s="1"/>
  <c r="AH362" i="15" s="1"/>
  <c r="AH339" i="15"/>
  <c r="AH329" i="15"/>
  <c r="AH307" i="15"/>
  <c r="AH286" i="15"/>
  <c r="AH221" i="15"/>
  <c r="AH242" i="15"/>
  <c r="AH200" i="15"/>
  <c r="AH186" i="15"/>
  <c r="AH184" i="15"/>
  <c r="AH182" i="15"/>
  <c r="AH181" i="15"/>
  <c r="AH180" i="15"/>
  <c r="AH178" i="15"/>
  <c r="AH177" i="15"/>
  <c r="AH176" i="15"/>
  <c r="AH175" i="15"/>
  <c r="AH172" i="15"/>
  <c r="AH171" i="15"/>
  <c r="AH165" i="15"/>
  <c r="AH159" i="15"/>
  <c r="AH158" i="15"/>
  <c r="AH157" i="15"/>
  <c r="AH156" i="15"/>
  <c r="AH139" i="15"/>
  <c r="AH118" i="15"/>
  <c r="AH104" i="15"/>
  <c r="AH97" i="15"/>
  <c r="AH91" i="15"/>
  <c r="AH292" i="15"/>
  <c r="AH88" i="15"/>
  <c r="AH84" i="15"/>
  <c r="AH60" i="15"/>
  <c r="AH47" i="15"/>
  <c r="AH167" i="15"/>
  <c r="AH46" i="15"/>
  <c r="AH166" i="15" s="1"/>
  <c r="AH40" i="15"/>
  <c r="AH36" i="15" s="1"/>
  <c r="AH38" i="15"/>
  <c r="AH59" i="15" s="1"/>
  <c r="AH31" i="15"/>
  <c r="AH27" i="15"/>
  <c r="AH25" i="15"/>
  <c r="AH7" i="15"/>
  <c r="AH160" i="15"/>
  <c r="AM377" i="15"/>
  <c r="AM378" i="15" s="1"/>
  <c r="AM367" i="15"/>
  <c r="AM368" i="15"/>
  <c r="AM369" i="15" s="1"/>
  <c r="AM357" i="15"/>
  <c r="AM358" i="15" s="1"/>
  <c r="AM347" i="15"/>
  <c r="AM348" i="15"/>
  <c r="AM342" i="15"/>
  <c r="AM352" i="15" s="1"/>
  <c r="AM362" i="15" s="1"/>
  <c r="AM372" i="15" s="1"/>
  <c r="AM382" i="15"/>
  <c r="AM339" i="15"/>
  <c r="AN60" i="15"/>
  <c r="AN46" i="15"/>
  <c r="AG218" i="15"/>
  <c r="H826" i="17" s="1"/>
  <c r="C859" i="17" s="1"/>
  <c r="J75" i="15"/>
  <c r="J184" i="15"/>
  <c r="K7" i="15"/>
  <c r="K160" i="15"/>
  <c r="J45" i="15"/>
  <c r="AN376" i="15"/>
  <c r="AN375" i="15"/>
  <c r="AN374" i="15"/>
  <c r="AN373" i="15"/>
  <c r="AN366" i="15"/>
  <c r="AN365" i="15"/>
  <c r="AN364" i="15"/>
  <c r="AN363" i="15"/>
  <c r="AN356" i="15"/>
  <c r="AN355" i="15"/>
  <c r="AN354" i="15"/>
  <c r="AN353" i="15"/>
  <c r="AN346" i="15"/>
  <c r="AN345" i="15"/>
  <c r="AN344" i="15"/>
  <c r="AN343" i="15"/>
  <c r="AN338" i="15"/>
  <c r="AN336" i="15"/>
  <c r="AN335" i="15"/>
  <c r="AN331" i="15"/>
  <c r="AN330" i="15"/>
  <c r="AN20" i="15"/>
  <c r="AN18" i="15"/>
  <c r="AN12" i="15"/>
  <c r="AN8" i="15"/>
  <c r="AN6" i="15"/>
  <c r="AN52" i="15"/>
  <c r="AG376" i="15"/>
  <c r="AG375" i="15"/>
  <c r="AG374" i="15"/>
  <c r="AG373" i="15"/>
  <c r="AG366" i="15"/>
  <c r="AG365" i="15"/>
  <c r="AG368" i="15" s="1"/>
  <c r="AG364" i="15"/>
  <c r="AG363" i="15"/>
  <c r="AG356" i="15"/>
  <c r="AG355" i="15"/>
  <c r="AG354" i="15"/>
  <c r="AG353" i="15"/>
  <c r="AG346" i="15"/>
  <c r="AG345" i="15"/>
  <c r="AG348" i="15" s="1"/>
  <c r="AG344" i="15"/>
  <c r="AG343" i="15"/>
  <c r="AG338" i="15"/>
  <c r="AG336" i="15"/>
  <c r="AG335" i="15"/>
  <c r="AG331" i="15"/>
  <c r="AG330" i="15"/>
  <c r="AG135" i="15"/>
  <c r="C840" i="17" s="1"/>
  <c r="AG134" i="15"/>
  <c r="AG103" i="15"/>
  <c r="AG102" i="15"/>
  <c r="AG101" i="15"/>
  <c r="AG100" i="15"/>
  <c r="AG99" i="15"/>
  <c r="AG20" i="15"/>
  <c r="AG18" i="15"/>
  <c r="AG12" i="15"/>
  <c r="AG8" i="15"/>
  <c r="AG9" i="15" s="1"/>
  <c r="AG6" i="15"/>
  <c r="AG165" i="15"/>
  <c r="AG158" i="15"/>
  <c r="AG157" i="15"/>
  <c r="AG118" i="15"/>
  <c r="AG91" i="15"/>
  <c r="AG292" i="15"/>
  <c r="AG88" i="15"/>
  <c r="AG60" i="15"/>
  <c r="D860" i="17"/>
  <c r="D836" i="17"/>
  <c r="D837" i="17" s="1"/>
  <c r="K218" i="15"/>
  <c r="J61" i="15"/>
  <c r="J170" i="15" s="1"/>
  <c r="J367" i="15"/>
  <c r="J368" i="15"/>
  <c r="J347" i="15"/>
  <c r="J7" i="15"/>
  <c r="J160" i="15" s="1"/>
  <c r="K124" i="15"/>
  <c r="AG124" i="15" s="1"/>
  <c r="K109" i="15"/>
  <c r="J74" i="15"/>
  <c r="J65" i="15"/>
  <c r="K45" i="15"/>
  <c r="I45" i="15"/>
  <c r="J382" i="15"/>
  <c r="J377" i="15"/>
  <c r="J372" i="15"/>
  <c r="J357" i="15"/>
  <c r="J342" i="15"/>
  <c r="J352" i="15" s="1"/>
  <c r="J362" i="15" s="1"/>
  <c r="J339" i="15"/>
  <c r="J329" i="15"/>
  <c r="J307" i="15"/>
  <c r="J292" i="15"/>
  <c r="J290" i="15"/>
  <c r="J286" i="15"/>
  <c r="J221" i="15"/>
  <c r="J218" i="15"/>
  <c r="J186" i="15"/>
  <c r="J182" i="15"/>
  <c r="J181" i="15"/>
  <c r="J180" i="15"/>
  <c r="J178" i="15"/>
  <c r="J177" i="15"/>
  <c r="J176" i="15"/>
  <c r="J175" i="15"/>
  <c r="J172" i="15"/>
  <c r="J171" i="15"/>
  <c r="J159" i="15"/>
  <c r="J157" i="15"/>
  <c r="J156" i="15"/>
  <c r="J139" i="15"/>
  <c r="J124" i="15"/>
  <c r="J118" i="15"/>
  <c r="J109" i="15"/>
  <c r="J116" i="15"/>
  <c r="J104" i="15"/>
  <c r="J105" i="15"/>
  <c r="J97" i="15"/>
  <c r="J92" i="15"/>
  <c r="J293" i="15" s="1"/>
  <c r="J85" i="15"/>
  <c r="J287" i="15"/>
  <c r="J84" i="15"/>
  <c r="J40" i="15"/>
  <c r="J36" i="15"/>
  <c r="J38" i="15"/>
  <c r="J59" i="15" s="1"/>
  <c r="J27" i="15"/>
  <c r="J25" i="15"/>
  <c r="J16" i="15"/>
  <c r="J15" i="15"/>
  <c r="J30" i="15" s="1"/>
  <c r="J14" i="15"/>
  <c r="AN14" i="15"/>
  <c r="J11" i="15"/>
  <c r="J9" i="15"/>
  <c r="J10" i="15" s="1"/>
  <c r="K16" i="15"/>
  <c r="K31" i="15"/>
  <c r="K15" i="15"/>
  <c r="AG15" i="15"/>
  <c r="K14" i="15"/>
  <c r="K11" i="15"/>
  <c r="I11" i="15"/>
  <c r="I26" i="15"/>
  <c r="K382" i="15"/>
  <c r="K378" i="15"/>
  <c r="K372" i="15"/>
  <c r="K342" i="15"/>
  <c r="K352" i="15" s="1"/>
  <c r="K362" i="15" s="1"/>
  <c r="K329" i="15"/>
  <c r="K307" i="15"/>
  <c r="K292" i="15"/>
  <c r="K290" i="15"/>
  <c r="K286" i="15"/>
  <c r="K221" i="15"/>
  <c r="K186" i="15"/>
  <c r="K182" i="15"/>
  <c r="K181" i="15"/>
  <c r="K180" i="15"/>
  <c r="K178" i="15"/>
  <c r="K177" i="15"/>
  <c r="K176" i="15"/>
  <c r="K175" i="15"/>
  <c r="K172" i="15"/>
  <c r="K171" i="15"/>
  <c r="K159" i="15"/>
  <c r="K157" i="15"/>
  <c r="K156" i="15"/>
  <c r="K139" i="15"/>
  <c r="K118" i="15"/>
  <c r="K104" i="15"/>
  <c r="K105" i="15" s="1"/>
  <c r="K97" i="15"/>
  <c r="K92" i="15"/>
  <c r="K293" i="15"/>
  <c r="K85" i="15"/>
  <c r="K287" i="15"/>
  <c r="K84" i="15"/>
  <c r="K40" i="15"/>
  <c r="K36" i="15" s="1"/>
  <c r="K38" i="15"/>
  <c r="K59" i="15" s="1"/>
  <c r="K27" i="15"/>
  <c r="K25" i="15"/>
  <c r="K9" i="15"/>
  <c r="AF377" i="15"/>
  <c r="AF378" i="15"/>
  <c r="AF367" i="15"/>
  <c r="AF368" i="15" s="1"/>
  <c r="AF357" i="15"/>
  <c r="AF347" i="15"/>
  <c r="AF348" i="15"/>
  <c r="AF350" i="15" s="1"/>
  <c r="AF339" i="15"/>
  <c r="D898" i="17"/>
  <c r="C877" i="17"/>
  <c r="D873" i="17"/>
  <c r="D874" i="17" s="1"/>
  <c r="AF218" i="15"/>
  <c r="AF124" i="15"/>
  <c r="AF109" i="15"/>
  <c r="AF116" i="15" s="1"/>
  <c r="AF192" i="15" s="1"/>
  <c r="AF104" i="15"/>
  <c r="AF99" i="15"/>
  <c r="AF11" i="15"/>
  <c r="AF7" i="15"/>
  <c r="AF160" i="15" s="1"/>
  <c r="AF230" i="15"/>
  <c r="AF232" i="15" s="1"/>
  <c r="AF224" i="15"/>
  <c r="AF165" i="15"/>
  <c r="AF159" i="15"/>
  <c r="AF158" i="15"/>
  <c r="AF157" i="15"/>
  <c r="AF118" i="15"/>
  <c r="AF91" i="15"/>
  <c r="AF292" i="15" s="1"/>
  <c r="AF88" i="15"/>
  <c r="AF60" i="15"/>
  <c r="AF169" i="15"/>
  <c r="AF47" i="15"/>
  <c r="AF167" i="15"/>
  <c r="AF46" i="15"/>
  <c r="AF166" i="15" s="1"/>
  <c r="AF31" i="15"/>
  <c r="AF27" i="15"/>
  <c r="AF25" i="15"/>
  <c r="AF9" i="15"/>
  <c r="AF10" i="15"/>
  <c r="AE218" i="15"/>
  <c r="AE257" i="15" s="1"/>
  <c r="H900" i="17"/>
  <c r="C903" i="17" s="1"/>
  <c r="D910" i="17"/>
  <c r="D911" i="17" s="1"/>
  <c r="C914" i="17"/>
  <c r="D935" i="17"/>
  <c r="AE357" i="15"/>
  <c r="AE358" i="15"/>
  <c r="AE223" i="15"/>
  <c r="AE222" i="15"/>
  <c r="AE109" i="15"/>
  <c r="AE116" i="15" s="1"/>
  <c r="AE192" i="15"/>
  <c r="AE99" i="15"/>
  <c r="AE124" i="15"/>
  <c r="AE77" i="15"/>
  <c r="AE73" i="15"/>
  <c r="AE182" i="15" s="1"/>
  <c r="AE71" i="15"/>
  <c r="AE72" i="15"/>
  <c r="AE75" i="15"/>
  <c r="AF75" i="15"/>
  <c r="AE69" i="15"/>
  <c r="AF69" i="15" s="1"/>
  <c r="AF243" i="15" s="1"/>
  <c r="AE68" i="15"/>
  <c r="AE67" i="15"/>
  <c r="AE66" i="15"/>
  <c r="AE62" i="15"/>
  <c r="AE63" i="15"/>
  <c r="AE56" i="15"/>
  <c r="AE11" i="15"/>
  <c r="AE339" i="15"/>
  <c r="AE165" i="15"/>
  <c r="AE159" i="15"/>
  <c r="AE158" i="15"/>
  <c r="AE157" i="15"/>
  <c r="AE118" i="15"/>
  <c r="AE104" i="15"/>
  <c r="AE91" i="15"/>
  <c r="AE292" i="15"/>
  <c r="AE200" i="15"/>
  <c r="AE88" i="15"/>
  <c r="AE60" i="15"/>
  <c r="AE169" i="15" s="1"/>
  <c r="AE47" i="15"/>
  <c r="AE167" i="15"/>
  <c r="AE46" i="15"/>
  <c r="AE166" i="15"/>
  <c r="AE31" i="15"/>
  <c r="AE27" i="15"/>
  <c r="AE25" i="15"/>
  <c r="AE9" i="15"/>
  <c r="AE7" i="15"/>
  <c r="AE160" i="15"/>
  <c r="N288" i="15"/>
  <c r="O288" i="15"/>
  <c r="P288" i="15"/>
  <c r="Q288" i="15"/>
  <c r="Q309" i="15" s="1"/>
  <c r="N202" i="15"/>
  <c r="O202" i="15"/>
  <c r="P202" i="15"/>
  <c r="Q200" i="15"/>
  <c r="Q265" i="15"/>
  <c r="P200" i="15"/>
  <c r="O200" i="15"/>
  <c r="N200" i="15"/>
  <c r="I124" i="15"/>
  <c r="AC124" i="15"/>
  <c r="AD124" i="15"/>
  <c r="AB124" i="15"/>
  <c r="AA124" i="15"/>
  <c r="Z124" i="15"/>
  <c r="AD109" i="15"/>
  <c r="AD116" i="15" s="1"/>
  <c r="AD192" i="15" s="1"/>
  <c r="D948" i="17"/>
  <c r="C952" i="17"/>
  <c r="D973" i="17"/>
  <c r="AD377" i="15"/>
  <c r="AD367" i="15"/>
  <c r="AD368" i="15" s="1"/>
  <c r="AD357" i="15"/>
  <c r="AD347" i="15"/>
  <c r="AD99" i="15"/>
  <c r="AD218" i="15"/>
  <c r="H938" i="17"/>
  <c r="C945" i="17" s="1"/>
  <c r="AD74" i="15"/>
  <c r="AE74" i="15" s="1"/>
  <c r="AD65" i="15"/>
  <c r="AD174" i="15"/>
  <c r="AD61" i="15"/>
  <c r="AD11" i="15"/>
  <c r="AD26" i="15"/>
  <c r="AD339" i="15"/>
  <c r="AD186" i="15"/>
  <c r="AD184" i="15"/>
  <c r="AD182" i="15"/>
  <c r="AD181" i="15"/>
  <c r="AD180" i="15"/>
  <c r="AD178" i="15"/>
  <c r="AD177" i="15"/>
  <c r="AD176" i="15"/>
  <c r="AD175" i="15"/>
  <c r="AD172" i="15"/>
  <c r="AD171" i="15"/>
  <c r="AD165" i="15"/>
  <c r="AD159" i="15"/>
  <c r="AD158" i="15"/>
  <c r="AD157" i="15"/>
  <c r="AD118" i="15"/>
  <c r="AD104" i="15"/>
  <c r="AD91" i="15"/>
  <c r="AD292" i="15"/>
  <c r="AD88" i="15"/>
  <c r="AD202" i="15" s="1"/>
  <c r="AD60" i="15"/>
  <c r="AD169" i="15"/>
  <c r="AD47" i="15"/>
  <c r="AD167" i="15" s="1"/>
  <c r="AD46" i="15"/>
  <c r="AD166" i="15" s="1"/>
  <c r="AD40" i="15"/>
  <c r="AD36" i="15"/>
  <c r="AD27" i="15"/>
  <c r="AD25" i="15"/>
  <c r="AD31" i="15"/>
  <c r="AD9" i="15"/>
  <c r="AD7" i="15"/>
  <c r="AD160" i="15" s="1"/>
  <c r="I157" i="15"/>
  <c r="H157" i="15"/>
  <c r="Y73" i="15"/>
  <c r="Y20" i="15"/>
  <c r="Y12" i="15"/>
  <c r="Y8" i="15"/>
  <c r="Y6" i="15"/>
  <c r="AC118" i="15"/>
  <c r="AC60" i="15"/>
  <c r="D986" i="17"/>
  <c r="D987" i="17" s="1"/>
  <c r="D1011" i="17"/>
  <c r="H384" i="15"/>
  <c r="H385" i="15"/>
  <c r="H386" i="15"/>
  <c r="H387" i="15"/>
  <c r="H383" i="15"/>
  <c r="I307" i="15"/>
  <c r="I292" i="15"/>
  <c r="I290" i="15"/>
  <c r="I286" i="15"/>
  <c r="H307" i="15"/>
  <c r="H286" i="15"/>
  <c r="H251" i="15"/>
  <c r="H247" i="15"/>
  <c r="H246" i="15"/>
  <c r="H245" i="15"/>
  <c r="H243" i="15"/>
  <c r="H242" i="15"/>
  <c r="H241" i="15"/>
  <c r="H240" i="15"/>
  <c r="H237" i="15"/>
  <c r="H236" i="15"/>
  <c r="H224" i="15"/>
  <c r="I218" i="15"/>
  <c r="AC218" i="15"/>
  <c r="H218" i="15"/>
  <c r="H134" i="15"/>
  <c r="H125" i="15"/>
  <c r="I75" i="15"/>
  <c r="H75" i="15"/>
  <c r="H56" i="15"/>
  <c r="H40" i="15" s="1"/>
  <c r="AC52" i="15"/>
  <c r="I16" i="15"/>
  <c r="I31" i="15"/>
  <c r="H7" i="15"/>
  <c r="H160" i="15" s="1"/>
  <c r="AC376" i="15"/>
  <c r="AC375" i="15"/>
  <c r="AC374" i="15"/>
  <c r="AC373" i="15"/>
  <c r="AC366" i="15"/>
  <c r="AC365" i="15"/>
  <c r="AC364" i="15"/>
  <c r="AC363" i="15"/>
  <c r="AC356" i="15"/>
  <c r="AC355" i="15"/>
  <c r="AC358" i="15" s="1"/>
  <c r="AC354" i="15"/>
  <c r="AC353" i="15"/>
  <c r="AC346" i="15"/>
  <c r="AC345" i="15"/>
  <c r="AC344" i="15"/>
  <c r="AC343" i="15"/>
  <c r="AC338" i="15"/>
  <c r="AC336" i="15"/>
  <c r="AC339" i="15" s="1"/>
  <c r="AC340" i="15" s="1"/>
  <c r="AC335" i="15"/>
  <c r="AC331" i="15"/>
  <c r="AC330" i="15"/>
  <c r="AC135" i="15"/>
  <c r="C990" i="17"/>
  <c r="AC134" i="15"/>
  <c r="AC103" i="15"/>
  <c r="AC102" i="15"/>
  <c r="AC101" i="15"/>
  <c r="AC100" i="15"/>
  <c r="AC99" i="15"/>
  <c r="AC20" i="15"/>
  <c r="AC18" i="15"/>
  <c r="AC12" i="15"/>
  <c r="AC27" i="15"/>
  <c r="AC8" i="15"/>
  <c r="AC6" i="15"/>
  <c r="AC165" i="15"/>
  <c r="AC158" i="15"/>
  <c r="AC157" i="15"/>
  <c r="AC88" i="15"/>
  <c r="AC202" i="15"/>
  <c r="AC46" i="15"/>
  <c r="AC166" i="15" s="1"/>
  <c r="H377" i="15"/>
  <c r="H378" i="15" s="1"/>
  <c r="I377" i="15"/>
  <c r="H367" i="15"/>
  <c r="H368" i="15" s="1"/>
  <c r="I367" i="15"/>
  <c r="I368" i="15" s="1"/>
  <c r="H357" i="15"/>
  <c r="H358" i="15"/>
  <c r="I357" i="15"/>
  <c r="AC357" i="15" s="1"/>
  <c r="I358" i="15"/>
  <c r="I359" i="15" s="1"/>
  <c r="H347" i="15"/>
  <c r="H348" i="15" s="1"/>
  <c r="I347" i="15"/>
  <c r="I118" i="15"/>
  <c r="H118" i="15"/>
  <c r="H109" i="15"/>
  <c r="H116" i="15"/>
  <c r="H30" i="15" s="1"/>
  <c r="I109" i="15"/>
  <c r="AC109" i="15" s="1"/>
  <c r="I104" i="15"/>
  <c r="I105" i="15" s="1"/>
  <c r="H104" i="15"/>
  <c r="H105" i="15" s="1"/>
  <c r="I92" i="15"/>
  <c r="I293" i="15"/>
  <c r="I85" i="15"/>
  <c r="I287" i="15"/>
  <c r="H92" i="15"/>
  <c r="H91" i="15"/>
  <c r="H85" i="15"/>
  <c r="H287" i="15" s="1"/>
  <c r="H308" i="15" s="1"/>
  <c r="H74" i="15"/>
  <c r="H248" i="15"/>
  <c r="H65" i="15"/>
  <c r="H61" i="15"/>
  <c r="H235" i="15"/>
  <c r="I74" i="15"/>
  <c r="I183" i="15" s="1"/>
  <c r="I65" i="15"/>
  <c r="I61" i="15"/>
  <c r="H45" i="15"/>
  <c r="I40" i="15"/>
  <c r="I36" i="15" s="1"/>
  <c r="I27" i="15"/>
  <c r="I25" i="15"/>
  <c r="H27" i="15"/>
  <c r="H25" i="15"/>
  <c r="H16" i="15"/>
  <c r="H15" i="15"/>
  <c r="H14" i="15"/>
  <c r="Y14" i="15" s="1"/>
  <c r="I15" i="15"/>
  <c r="I14" i="15"/>
  <c r="AC14" i="15" s="1"/>
  <c r="H11" i="15"/>
  <c r="I7" i="15"/>
  <c r="I160" i="15"/>
  <c r="H1015" i="17"/>
  <c r="D1023" i="17"/>
  <c r="D1024" i="17" s="1"/>
  <c r="C1027" i="17"/>
  <c r="D1048" i="17"/>
  <c r="AB377" i="15"/>
  <c r="AB378" i="15"/>
  <c r="AB367" i="15"/>
  <c r="AB368" i="15" s="1"/>
  <c r="AB357" i="15"/>
  <c r="AB358" i="15"/>
  <c r="AB347" i="15"/>
  <c r="AB348" i="15" s="1"/>
  <c r="AB350" i="15" s="1"/>
  <c r="AB218" i="15"/>
  <c r="H1014" i="17"/>
  <c r="C1044" i="17" s="1"/>
  <c r="C157" i="15"/>
  <c r="D157" i="15"/>
  <c r="E157" i="15"/>
  <c r="F157" i="15"/>
  <c r="C158" i="15"/>
  <c r="D158" i="15"/>
  <c r="E158" i="15"/>
  <c r="F158" i="15"/>
  <c r="G158" i="15"/>
  <c r="G157" i="15"/>
  <c r="R157" i="15"/>
  <c r="S157" i="15"/>
  <c r="T157" i="15"/>
  <c r="U157" i="15"/>
  <c r="V157" i="15"/>
  <c r="W157" i="15"/>
  <c r="X157" i="15"/>
  <c r="Y157" i="15"/>
  <c r="R158" i="15"/>
  <c r="S158" i="15"/>
  <c r="T158" i="15"/>
  <c r="U158" i="15"/>
  <c r="V158" i="15"/>
  <c r="W158" i="15"/>
  <c r="X158" i="15"/>
  <c r="Y158" i="15"/>
  <c r="Z158" i="15"/>
  <c r="AA158" i="15"/>
  <c r="Z157" i="15"/>
  <c r="AA157" i="15"/>
  <c r="AB157" i="15"/>
  <c r="AB158" i="15"/>
  <c r="AB99" i="15"/>
  <c r="Z99" i="15"/>
  <c r="AA99" i="15"/>
  <c r="AB109" i="15"/>
  <c r="AB116" i="15" s="1"/>
  <c r="AB118" i="15"/>
  <c r="W75" i="15"/>
  <c r="W71" i="15"/>
  <c r="N54" i="15"/>
  <c r="O54" i="15"/>
  <c r="P54" i="15"/>
  <c r="Q54" i="15"/>
  <c r="C52" i="15"/>
  <c r="D52" i="15"/>
  <c r="E52" i="15"/>
  <c r="F52" i="15"/>
  <c r="R52" i="15"/>
  <c r="S89" i="15"/>
  <c r="S52" i="15"/>
  <c r="T52" i="15"/>
  <c r="T54" i="15" s="1"/>
  <c r="U52" i="15"/>
  <c r="V52" i="15"/>
  <c r="W52" i="15"/>
  <c r="X52" i="15"/>
  <c r="Y52" i="15"/>
  <c r="Z52" i="15"/>
  <c r="AA52" i="15"/>
  <c r="AB52" i="15"/>
  <c r="AB11" i="15"/>
  <c r="AB339" i="15"/>
  <c r="AB230" i="15"/>
  <c r="AB224" i="15"/>
  <c r="AB165" i="15"/>
  <c r="AB159" i="15"/>
  <c r="AB104" i="15"/>
  <c r="AB88" i="15"/>
  <c r="AB60" i="15"/>
  <c r="AB47" i="15"/>
  <c r="AB167" i="15" s="1"/>
  <c r="AB46" i="15"/>
  <c r="AB166" i="15" s="1"/>
  <c r="AB31" i="15"/>
  <c r="AB27" i="15"/>
  <c r="AB25" i="15"/>
  <c r="AB9" i="15"/>
  <c r="AB7" i="15"/>
  <c r="AB160" i="15" s="1"/>
  <c r="C1064" i="17"/>
  <c r="D1060" i="17"/>
  <c r="H1052" i="17"/>
  <c r="C1091" i="17"/>
  <c r="C1085" i="17"/>
  <c r="AA367" i="15"/>
  <c r="AA368" i="15"/>
  <c r="AE369" i="15" s="1"/>
  <c r="AA377" i="15"/>
  <c r="AA378" i="15"/>
  <c r="AA357" i="15"/>
  <c r="AA358" i="15" s="1"/>
  <c r="AA347" i="15"/>
  <c r="AA218" i="15"/>
  <c r="H1051" i="17"/>
  <c r="C1059" i="17" s="1"/>
  <c r="AA118" i="15"/>
  <c r="AA109" i="15"/>
  <c r="AA116" i="15" s="1"/>
  <c r="AA63" i="15"/>
  <c r="AA77" i="15"/>
  <c r="AB77" i="15"/>
  <c r="AA75" i="15"/>
  <c r="AA73" i="15"/>
  <c r="AA72" i="15"/>
  <c r="AA71" i="15"/>
  <c r="AA245" i="15" s="1"/>
  <c r="AA69" i="15"/>
  <c r="AA68" i="15"/>
  <c r="AB68" i="15" s="1"/>
  <c r="AA67" i="15"/>
  <c r="AA66" i="15"/>
  <c r="AA175" i="15"/>
  <c r="AA62" i="15"/>
  <c r="AA56" i="15"/>
  <c r="AB56" i="15" s="1"/>
  <c r="AC56" i="15" s="1"/>
  <c r="AA11" i="15"/>
  <c r="AA339" i="15"/>
  <c r="AA340" i="15" s="1"/>
  <c r="AA230" i="15"/>
  <c r="AA231" i="15"/>
  <c r="AA224" i="15"/>
  <c r="AA165" i="15"/>
  <c r="AA159" i="15"/>
  <c r="AA104" i="15"/>
  <c r="AA88" i="15"/>
  <c r="AA60" i="15"/>
  <c r="AA234" i="15"/>
  <c r="AA47" i="15"/>
  <c r="AA167" i="15" s="1"/>
  <c r="AA46" i="15"/>
  <c r="AA166" i="15" s="1"/>
  <c r="AA27" i="15"/>
  <c r="AA25" i="15"/>
  <c r="AA31" i="15"/>
  <c r="AA9" i="15"/>
  <c r="AA10" i="15"/>
  <c r="AA7" i="15"/>
  <c r="AA160" i="15"/>
  <c r="U331" i="15"/>
  <c r="U338" i="15"/>
  <c r="U336" i="15"/>
  <c r="U335" i="15"/>
  <c r="Y336" i="15"/>
  <c r="Y335" i="15"/>
  <c r="Y331" i="15"/>
  <c r="Y330" i="15"/>
  <c r="Y339" i="15" s="1"/>
  <c r="U330" i="15"/>
  <c r="U377" i="15"/>
  <c r="U376" i="15"/>
  <c r="U375" i="15"/>
  <c r="U374" i="15"/>
  <c r="U373" i="15"/>
  <c r="U378" i="15" s="1"/>
  <c r="U379" i="15" s="1"/>
  <c r="U367" i="15"/>
  <c r="U366" i="15"/>
  <c r="U368" i="15" s="1"/>
  <c r="U365" i="15"/>
  <c r="U364" i="15"/>
  <c r="U363" i="15"/>
  <c r="U357" i="15"/>
  <c r="U356" i="15"/>
  <c r="U355" i="15"/>
  <c r="U354" i="15"/>
  <c r="U353" i="15"/>
  <c r="U358" i="15" s="1"/>
  <c r="U347" i="15"/>
  <c r="U346" i="15"/>
  <c r="U345" i="15"/>
  <c r="U344" i="15"/>
  <c r="U343" i="15"/>
  <c r="Y376" i="15"/>
  <c r="Y375" i="15"/>
  <c r="Y374" i="15"/>
  <c r="Y378" i="15" s="1"/>
  <c r="Y373" i="15"/>
  <c r="Y366" i="15"/>
  <c r="Y365" i="15"/>
  <c r="Y364" i="15"/>
  <c r="Y363" i="15"/>
  <c r="Y346" i="15"/>
  <c r="Y345" i="15"/>
  <c r="Y344" i="15"/>
  <c r="Y348" i="15" s="1"/>
  <c r="Y343" i="15"/>
  <c r="H1139" i="17"/>
  <c r="C1152" i="17" s="1"/>
  <c r="W377" i="15"/>
  <c r="X367" i="15"/>
  <c r="X368" i="15"/>
  <c r="W367" i="15"/>
  <c r="W368" i="15" s="1"/>
  <c r="W369" i="15" s="1"/>
  <c r="V377" i="15"/>
  <c r="V378" i="15"/>
  <c r="V367" i="15"/>
  <c r="V368" i="15"/>
  <c r="V357" i="15"/>
  <c r="V358" i="15" s="1"/>
  <c r="V347" i="15"/>
  <c r="V348" i="15"/>
  <c r="X339" i="15"/>
  <c r="Z118" i="15"/>
  <c r="S2" i="15"/>
  <c r="N201" i="15"/>
  <c r="O201" i="15"/>
  <c r="P201" i="15"/>
  <c r="D1108" i="17"/>
  <c r="C1104" i="17"/>
  <c r="C1105" i="17" s="1"/>
  <c r="H1097" i="17"/>
  <c r="C1129" i="17"/>
  <c r="G388" i="15"/>
  <c r="G390" i="15" s="1"/>
  <c r="G382" i="15"/>
  <c r="Z377" i="15"/>
  <c r="Z378" i="15"/>
  <c r="Z367" i="15"/>
  <c r="Z368" i="15" s="1"/>
  <c r="AD369" i="15"/>
  <c r="Z357" i="15"/>
  <c r="Z358" i="15" s="1"/>
  <c r="AO359" i="15" s="1"/>
  <c r="Z347" i="15"/>
  <c r="Z348" i="15"/>
  <c r="Z339" i="15"/>
  <c r="AO340" i="15"/>
  <c r="Z218" i="15"/>
  <c r="Z109" i="15"/>
  <c r="Z116" i="15" s="1"/>
  <c r="V48" i="15"/>
  <c r="Z65" i="15"/>
  <c r="Z35" i="15"/>
  <c r="Z74" i="15"/>
  <c r="Z61" i="15"/>
  <c r="Z11" i="15"/>
  <c r="Z26" i="15" s="1"/>
  <c r="Z31" i="15"/>
  <c r="Z15" i="15"/>
  <c r="Z251" i="15"/>
  <c r="Z249" i="15"/>
  <c r="Z247" i="15"/>
  <c r="Z246" i="15"/>
  <c r="Z245" i="15"/>
  <c r="Z243" i="15"/>
  <c r="Z242" i="15"/>
  <c r="Z241" i="15"/>
  <c r="Z240" i="15"/>
  <c r="Z237" i="15"/>
  <c r="Z236" i="15"/>
  <c r="Z230" i="15"/>
  <c r="Z224" i="15"/>
  <c r="Z186" i="15"/>
  <c r="Z184" i="15"/>
  <c r="Z182" i="15"/>
  <c r="Z181" i="15"/>
  <c r="Z180" i="15"/>
  <c r="Z178" i="15"/>
  <c r="Z177" i="15"/>
  <c r="Z176" i="15"/>
  <c r="Z175" i="15"/>
  <c r="Z172" i="15"/>
  <c r="Z171" i="15"/>
  <c r="Z165" i="15"/>
  <c r="Z159" i="15"/>
  <c r="Z104" i="15"/>
  <c r="Z88" i="15"/>
  <c r="Z289" i="15"/>
  <c r="Z310" i="15" s="1"/>
  <c r="Z60" i="15"/>
  <c r="Z47" i="15"/>
  <c r="Z167" i="15"/>
  <c r="Z46" i="15"/>
  <c r="Z166" i="15"/>
  <c r="Z40" i="15"/>
  <c r="Z36" i="15" s="1"/>
  <c r="Z27" i="15"/>
  <c r="Z25" i="15"/>
  <c r="Z9" i="15"/>
  <c r="Z10" i="15"/>
  <c r="Z7" i="15"/>
  <c r="Z160" i="15"/>
  <c r="D307" i="15"/>
  <c r="E307" i="15"/>
  <c r="F307" i="15"/>
  <c r="G307" i="15"/>
  <c r="N307" i="15"/>
  <c r="O307" i="15"/>
  <c r="P307" i="15"/>
  <c r="Q307" i="15"/>
  <c r="R307" i="15"/>
  <c r="C307" i="15"/>
  <c r="B192" i="15"/>
  <c r="B191" i="15"/>
  <c r="B190" i="15"/>
  <c r="G218" i="15"/>
  <c r="Y218" i="15"/>
  <c r="C1146" i="17"/>
  <c r="C1147" i="17" s="1"/>
  <c r="C1173" i="17"/>
  <c r="G377" i="15"/>
  <c r="G378" i="15"/>
  <c r="G380" i="15"/>
  <c r="G372" i="15"/>
  <c r="G362" i="15"/>
  <c r="G367" i="15"/>
  <c r="G368" i="15" s="1"/>
  <c r="G357" i="15"/>
  <c r="G352" i="15"/>
  <c r="G347" i="15"/>
  <c r="G342" i="15"/>
  <c r="G329" i="15"/>
  <c r="G339" i="15"/>
  <c r="G286" i="15"/>
  <c r="Y230" i="15"/>
  <c r="G251" i="15"/>
  <c r="G249" i="15"/>
  <c r="G247" i="15"/>
  <c r="G246" i="15"/>
  <c r="G245" i="15"/>
  <c r="G243" i="15"/>
  <c r="G242" i="15"/>
  <c r="G241" i="15"/>
  <c r="G240" i="15"/>
  <c r="G237" i="15"/>
  <c r="G236" i="15"/>
  <c r="G224" i="15"/>
  <c r="G221" i="15"/>
  <c r="Y165" i="15"/>
  <c r="G186" i="15"/>
  <c r="G184" i="15"/>
  <c r="G182" i="15"/>
  <c r="G181" i="15"/>
  <c r="G180" i="15"/>
  <c r="G178" i="15"/>
  <c r="G177" i="15"/>
  <c r="G176" i="15"/>
  <c r="G175" i="15"/>
  <c r="G172" i="15"/>
  <c r="G171" i="15"/>
  <c r="G159" i="15"/>
  <c r="G156" i="15"/>
  <c r="G139" i="15"/>
  <c r="Y135" i="15"/>
  <c r="Y134" i="15"/>
  <c r="Y118" i="15"/>
  <c r="Y125" i="15"/>
  <c r="G109" i="15"/>
  <c r="G104" i="15"/>
  <c r="G105" i="15"/>
  <c r="G118" i="15"/>
  <c r="G97" i="15"/>
  <c r="Y100" i="15"/>
  <c r="Y101" i="15"/>
  <c r="Y102" i="15"/>
  <c r="Y103" i="15"/>
  <c r="Y99" i="15"/>
  <c r="Y88" i="15"/>
  <c r="Y289" i="15" s="1"/>
  <c r="Y60" i="15"/>
  <c r="Y46" i="15"/>
  <c r="Y166" i="15" s="1"/>
  <c r="C9" i="15"/>
  <c r="D9" i="15"/>
  <c r="E9" i="15"/>
  <c r="E13" i="15"/>
  <c r="F9" i="15"/>
  <c r="G9" i="15"/>
  <c r="H9" i="15"/>
  <c r="I9" i="15"/>
  <c r="I13" i="15" s="1"/>
  <c r="N9" i="15"/>
  <c r="N10" i="15" s="1"/>
  <c r="O9" i="15"/>
  <c r="O360" i="15"/>
  <c r="P9" i="15"/>
  <c r="P10" i="15" s="1"/>
  <c r="Q9" i="15"/>
  <c r="R9" i="15"/>
  <c r="S9" i="15"/>
  <c r="S10" i="15" s="1"/>
  <c r="T9" i="15"/>
  <c r="T10" i="15"/>
  <c r="U9" i="15"/>
  <c r="U10" i="15"/>
  <c r="V9" i="15"/>
  <c r="W9" i="15"/>
  <c r="X9" i="15"/>
  <c r="X13" i="15" s="1"/>
  <c r="X370" i="15" s="1"/>
  <c r="G92" i="15"/>
  <c r="G85" i="15"/>
  <c r="G287" i="15"/>
  <c r="G308" i="15"/>
  <c r="G84" i="15"/>
  <c r="G74" i="15"/>
  <c r="G65" i="15"/>
  <c r="G61" i="15"/>
  <c r="G235" i="15" s="1"/>
  <c r="G45" i="15"/>
  <c r="G40" i="15"/>
  <c r="G36" i="15"/>
  <c r="G38" i="15"/>
  <c r="G59" i="15"/>
  <c r="G27" i="15"/>
  <c r="G25" i="15"/>
  <c r="G11" i="15"/>
  <c r="G7" i="15"/>
  <c r="G160" i="15"/>
  <c r="G16" i="15"/>
  <c r="G31" i="15" s="1"/>
  <c r="G15" i="15"/>
  <c r="G14" i="15"/>
  <c r="W7" i="15"/>
  <c r="W160" i="15" s="1"/>
  <c r="H1177" i="17"/>
  <c r="C1190" i="17" s="1"/>
  <c r="D1190" i="17" s="1"/>
  <c r="C1184" i="17"/>
  <c r="C1185" i="17" s="1"/>
  <c r="X356" i="15"/>
  <c r="X355" i="15"/>
  <c r="X354" i="15"/>
  <c r="X353" i="15"/>
  <c r="X358" i="15" s="1"/>
  <c r="X218" i="15"/>
  <c r="H1176" i="17" s="1"/>
  <c r="D1182" i="17" s="1"/>
  <c r="X109" i="15"/>
  <c r="X116" i="15"/>
  <c r="E1211" i="17"/>
  <c r="C1211" i="17"/>
  <c r="X104" i="15"/>
  <c r="X105" i="15" s="1"/>
  <c r="X31" i="15"/>
  <c r="X378" i="15"/>
  <c r="X380" i="15"/>
  <c r="T378" i="15"/>
  <c r="X348" i="15"/>
  <c r="T348" i="15"/>
  <c r="T350" i="15" s="1"/>
  <c r="T339" i="15"/>
  <c r="T230" i="15"/>
  <c r="T224" i="15"/>
  <c r="T218" i="15"/>
  <c r="T176" i="15"/>
  <c r="X165" i="15"/>
  <c r="T165" i="15"/>
  <c r="X159" i="15"/>
  <c r="T159" i="15"/>
  <c r="X118" i="15"/>
  <c r="T118" i="15"/>
  <c r="T104" i="15"/>
  <c r="T105" i="15" s="1"/>
  <c r="X88" i="15"/>
  <c r="X85" i="15"/>
  <c r="X287" i="15" s="1"/>
  <c r="X308" i="15" s="1"/>
  <c r="T88" i="15"/>
  <c r="T85" i="15"/>
  <c r="T287" i="15"/>
  <c r="T308" i="15" s="1"/>
  <c r="X47" i="15"/>
  <c r="X167" i="15"/>
  <c r="T47" i="15"/>
  <c r="T167" i="15" s="1"/>
  <c r="X46" i="15"/>
  <c r="X166" i="15"/>
  <c r="T46" i="15"/>
  <c r="T166" i="15"/>
  <c r="T40" i="15"/>
  <c r="T36" i="15" s="1"/>
  <c r="T60" i="15"/>
  <c r="T169" i="15" s="1"/>
  <c r="X60" i="15"/>
  <c r="T27" i="15"/>
  <c r="T25" i="15"/>
  <c r="T16" i="15"/>
  <c r="T31" i="15"/>
  <c r="T15" i="15"/>
  <c r="X18" i="15"/>
  <c r="Y18" i="15"/>
  <c r="X14" i="15"/>
  <c r="X11" i="15"/>
  <c r="X26" i="15"/>
  <c r="T14" i="15"/>
  <c r="T11" i="15"/>
  <c r="X7" i="15"/>
  <c r="X160" i="15" s="1"/>
  <c r="V7" i="15"/>
  <c r="V160" i="15" s="1"/>
  <c r="X247" i="15"/>
  <c r="X241" i="15"/>
  <c r="X230" i="15"/>
  <c r="X232" i="15" s="1"/>
  <c r="X224" i="15"/>
  <c r="X182" i="15"/>
  <c r="X176" i="15"/>
  <c r="X40" i="15"/>
  <c r="X36" i="15" s="1"/>
  <c r="X27" i="15"/>
  <c r="X25" i="15"/>
  <c r="W357" i="15"/>
  <c r="Y357" i="15" s="1"/>
  <c r="W68" i="15"/>
  <c r="H1259" i="17"/>
  <c r="H1217" i="17"/>
  <c r="C1229" i="17" s="1"/>
  <c r="C1223" i="17"/>
  <c r="C1224" i="17" s="1"/>
  <c r="E1250" i="17"/>
  <c r="C1250" i="17"/>
  <c r="W356" i="15"/>
  <c r="W355" i="15"/>
  <c r="W354" i="15"/>
  <c r="Y354" i="15"/>
  <c r="W353" i="15"/>
  <c r="Y353" i="15" s="1"/>
  <c r="W348" i="15"/>
  <c r="W350" i="15"/>
  <c r="W247" i="15"/>
  <c r="W230" i="15"/>
  <c r="W224" i="15"/>
  <c r="W218" i="15"/>
  <c r="H1216" i="17" s="1"/>
  <c r="C1227" i="17" s="1"/>
  <c r="W182" i="15"/>
  <c r="W165" i="15"/>
  <c r="W159" i="15"/>
  <c r="W118" i="15"/>
  <c r="W121" i="15" s="1"/>
  <c r="W109" i="15"/>
  <c r="W116" i="15"/>
  <c r="W192" i="15" s="1"/>
  <c r="W257" i="15" s="1"/>
  <c r="W104" i="15"/>
  <c r="W105" i="15" s="1"/>
  <c r="W88" i="15"/>
  <c r="W85" i="15"/>
  <c r="W287" i="15"/>
  <c r="W308" i="15" s="1"/>
  <c r="W77" i="15"/>
  <c r="W251" i="15"/>
  <c r="W72" i="15"/>
  <c r="W246" i="15" s="1"/>
  <c r="W69" i="15"/>
  <c r="W178" i="15"/>
  <c r="W67" i="15"/>
  <c r="W176" i="15"/>
  <c r="W66" i="15"/>
  <c r="W63" i="15"/>
  <c r="W172" i="15" s="1"/>
  <c r="W62" i="15"/>
  <c r="W60" i="15"/>
  <c r="W56" i="15"/>
  <c r="Y56" i="15" s="1"/>
  <c r="W47" i="15"/>
  <c r="W167" i="15"/>
  <c r="W46" i="15"/>
  <c r="W166" i="15" s="1"/>
  <c r="W31" i="15"/>
  <c r="W27" i="15"/>
  <c r="W25" i="15"/>
  <c r="W11" i="15"/>
  <c r="C1266" i="17"/>
  <c r="C1267" i="17" s="1"/>
  <c r="N210" i="15"/>
  <c r="O210" i="15"/>
  <c r="P210" i="15"/>
  <c r="N211" i="15"/>
  <c r="O211" i="15"/>
  <c r="P211" i="15"/>
  <c r="N213" i="15"/>
  <c r="O213" i="15"/>
  <c r="P213" i="15"/>
  <c r="N214" i="15"/>
  <c r="O214" i="15"/>
  <c r="P214" i="15"/>
  <c r="N216" i="15"/>
  <c r="O216" i="15"/>
  <c r="P216" i="15"/>
  <c r="B205" i="15"/>
  <c r="B207" i="15"/>
  <c r="B208" i="15"/>
  <c r="B210" i="15"/>
  <c r="B211" i="15"/>
  <c r="B213" i="15"/>
  <c r="B214" i="15"/>
  <c r="B216" i="15"/>
  <c r="B204" i="15"/>
  <c r="D156" i="15"/>
  <c r="E156" i="15"/>
  <c r="F156" i="15"/>
  <c r="H156" i="15"/>
  <c r="I156" i="15"/>
  <c r="N156" i="15"/>
  <c r="O156" i="15"/>
  <c r="P156" i="15"/>
  <c r="Q156" i="15"/>
  <c r="R156" i="15"/>
  <c r="C156" i="15"/>
  <c r="C159" i="15"/>
  <c r="D159" i="15"/>
  <c r="E159" i="15"/>
  <c r="F159" i="15"/>
  <c r="H159" i="15"/>
  <c r="I159" i="15"/>
  <c r="N159" i="15"/>
  <c r="O159" i="15"/>
  <c r="P159" i="15"/>
  <c r="Q159" i="15"/>
  <c r="R159" i="15"/>
  <c r="S159" i="15"/>
  <c r="U159" i="15"/>
  <c r="V159" i="15"/>
  <c r="N162" i="15"/>
  <c r="O162" i="15"/>
  <c r="P162" i="15"/>
  <c r="Q162" i="15"/>
  <c r="C165" i="15"/>
  <c r="D165" i="15"/>
  <c r="E165" i="15"/>
  <c r="F165" i="15"/>
  <c r="N165" i="15"/>
  <c r="O165" i="15"/>
  <c r="P165" i="15"/>
  <c r="Q165" i="15"/>
  <c r="R165" i="15"/>
  <c r="S165" i="15"/>
  <c r="U165" i="15"/>
  <c r="V165" i="15"/>
  <c r="N166" i="15"/>
  <c r="O166" i="15"/>
  <c r="P166" i="15"/>
  <c r="Q166" i="15"/>
  <c r="C171" i="15"/>
  <c r="D171" i="15"/>
  <c r="E171" i="15"/>
  <c r="F171" i="15"/>
  <c r="H171" i="15"/>
  <c r="I171" i="15"/>
  <c r="N171" i="15"/>
  <c r="R171" i="15"/>
  <c r="V171" i="15"/>
  <c r="C172" i="15"/>
  <c r="D172" i="15"/>
  <c r="E172" i="15"/>
  <c r="F172" i="15"/>
  <c r="H172" i="15"/>
  <c r="I172" i="15"/>
  <c r="N172" i="15"/>
  <c r="R172" i="15"/>
  <c r="V172" i="15"/>
  <c r="C175" i="15"/>
  <c r="D175" i="15"/>
  <c r="E175" i="15"/>
  <c r="F175" i="15"/>
  <c r="H175" i="15"/>
  <c r="I175" i="15"/>
  <c r="N175" i="15"/>
  <c r="R175" i="15"/>
  <c r="V175" i="15"/>
  <c r="D176" i="15"/>
  <c r="E176" i="15"/>
  <c r="F176" i="15"/>
  <c r="H176" i="15"/>
  <c r="I176" i="15"/>
  <c r="N176" i="15"/>
  <c r="O176" i="15"/>
  <c r="P176" i="15"/>
  <c r="R176" i="15"/>
  <c r="S176" i="15"/>
  <c r="V176" i="15"/>
  <c r="C177" i="15"/>
  <c r="D177" i="15"/>
  <c r="E177" i="15"/>
  <c r="F177" i="15"/>
  <c r="H177" i="15"/>
  <c r="I177" i="15"/>
  <c r="N177" i="15"/>
  <c r="R177" i="15"/>
  <c r="V177" i="15"/>
  <c r="D178" i="15"/>
  <c r="E178" i="15"/>
  <c r="F178" i="15"/>
  <c r="H178" i="15"/>
  <c r="I178" i="15"/>
  <c r="N178" i="15"/>
  <c r="R178" i="15"/>
  <c r="V178" i="15"/>
  <c r="C180" i="15"/>
  <c r="D180" i="15"/>
  <c r="E180" i="15"/>
  <c r="F180" i="15"/>
  <c r="H180" i="15"/>
  <c r="I180" i="15"/>
  <c r="N180" i="15"/>
  <c r="O180" i="15"/>
  <c r="P180" i="15"/>
  <c r="R180" i="15"/>
  <c r="S180" i="15"/>
  <c r="T180" i="15"/>
  <c r="V180" i="15"/>
  <c r="C181" i="15"/>
  <c r="D181" i="15"/>
  <c r="E181" i="15"/>
  <c r="F181" i="15"/>
  <c r="H181" i="15"/>
  <c r="I181" i="15"/>
  <c r="N181" i="15"/>
  <c r="R181" i="15"/>
  <c r="V181" i="15"/>
  <c r="C182" i="15"/>
  <c r="D182" i="15"/>
  <c r="E182" i="15"/>
  <c r="F182" i="15"/>
  <c r="H182" i="15"/>
  <c r="I182" i="15"/>
  <c r="N182" i="15"/>
  <c r="O182" i="15"/>
  <c r="P182" i="15"/>
  <c r="R182" i="15"/>
  <c r="S182" i="15"/>
  <c r="T182" i="15"/>
  <c r="V182" i="15"/>
  <c r="F184" i="15"/>
  <c r="N184" i="15"/>
  <c r="R184" i="15"/>
  <c r="V184" i="15"/>
  <c r="C186" i="15"/>
  <c r="D186" i="15"/>
  <c r="E186" i="15"/>
  <c r="F186" i="15"/>
  <c r="H186" i="15"/>
  <c r="I186" i="15"/>
  <c r="N186" i="15"/>
  <c r="R186" i="15"/>
  <c r="V186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70" i="15"/>
  <c r="B171" i="15"/>
  <c r="B172" i="15"/>
  <c r="B173" i="15"/>
  <c r="B169" i="15"/>
  <c r="B166" i="15"/>
  <c r="B167" i="15"/>
  <c r="B165" i="15"/>
  <c r="B162" i="15"/>
  <c r="B163" i="15"/>
  <c r="B161" i="15"/>
  <c r="B160" i="15"/>
  <c r="B159" i="15"/>
  <c r="V218" i="15"/>
  <c r="H1258" i="17" s="1"/>
  <c r="C1270" i="17" s="1"/>
  <c r="V109" i="15"/>
  <c r="V116" i="15"/>
  <c r="V192" i="15"/>
  <c r="V257" i="15" s="1"/>
  <c r="V74" i="15"/>
  <c r="V65" i="15"/>
  <c r="V35" i="15"/>
  <c r="V61" i="15"/>
  <c r="V14" i="15"/>
  <c r="V16" i="15"/>
  <c r="V31" i="15" s="1"/>
  <c r="V15" i="15"/>
  <c r="V11" i="15"/>
  <c r="D382" i="15"/>
  <c r="E382" i="15"/>
  <c r="F382" i="15"/>
  <c r="H382" i="15"/>
  <c r="I382" i="15"/>
  <c r="N382" i="15"/>
  <c r="O382" i="15"/>
  <c r="P382" i="15"/>
  <c r="Q382" i="15"/>
  <c r="R382" i="15"/>
  <c r="C382" i="15"/>
  <c r="D372" i="15"/>
  <c r="E372" i="15"/>
  <c r="F372" i="15"/>
  <c r="H372" i="15"/>
  <c r="I372" i="15"/>
  <c r="N372" i="15"/>
  <c r="O372" i="15"/>
  <c r="P372" i="15"/>
  <c r="Q372" i="15"/>
  <c r="R372" i="15"/>
  <c r="C372" i="15"/>
  <c r="D342" i="15"/>
  <c r="D352" i="15" s="1"/>
  <c r="D362" i="15" s="1"/>
  <c r="E342" i="15"/>
  <c r="E352" i="15"/>
  <c r="E362" i="15"/>
  <c r="F342" i="15"/>
  <c r="F352" i="15" s="1"/>
  <c r="F362" i="15"/>
  <c r="H342" i="15"/>
  <c r="H352" i="15" s="1"/>
  <c r="H362" i="15" s="1"/>
  <c r="I342" i="15"/>
  <c r="I352" i="15" s="1"/>
  <c r="I362" i="15" s="1"/>
  <c r="N342" i="15"/>
  <c r="N352" i="15"/>
  <c r="N362" i="15" s="1"/>
  <c r="O342" i="15"/>
  <c r="O352" i="15" s="1"/>
  <c r="O362" i="15"/>
  <c r="P342" i="15"/>
  <c r="P352" i="15"/>
  <c r="P362" i="15"/>
  <c r="Q342" i="15"/>
  <c r="Q352" i="15" s="1"/>
  <c r="Q362" i="15" s="1"/>
  <c r="R342" i="15"/>
  <c r="R352" i="15"/>
  <c r="R362" i="15" s="1"/>
  <c r="C342" i="15"/>
  <c r="C352" i="15"/>
  <c r="C362" i="15" s="1"/>
  <c r="D329" i="15"/>
  <c r="E329" i="15"/>
  <c r="F329" i="15"/>
  <c r="H329" i="15"/>
  <c r="I329" i="15"/>
  <c r="N329" i="15"/>
  <c r="O329" i="15"/>
  <c r="P329" i="15"/>
  <c r="Q329" i="15"/>
  <c r="R329" i="15"/>
  <c r="C329" i="15"/>
  <c r="D286" i="15"/>
  <c r="E286" i="15"/>
  <c r="F286" i="15"/>
  <c r="N286" i="15"/>
  <c r="O286" i="15"/>
  <c r="P286" i="15"/>
  <c r="Q286" i="15"/>
  <c r="R286" i="15"/>
  <c r="C286" i="15"/>
  <c r="D221" i="15"/>
  <c r="E221" i="15"/>
  <c r="F221" i="15"/>
  <c r="H221" i="15"/>
  <c r="I221" i="15"/>
  <c r="N221" i="15"/>
  <c r="O221" i="15"/>
  <c r="P221" i="15"/>
  <c r="Q221" i="15"/>
  <c r="R221" i="15"/>
  <c r="C221" i="15"/>
  <c r="D139" i="15"/>
  <c r="E139" i="15"/>
  <c r="F139" i="15"/>
  <c r="H139" i="15"/>
  <c r="I139" i="15"/>
  <c r="N139" i="15"/>
  <c r="O139" i="15"/>
  <c r="P139" i="15"/>
  <c r="Q139" i="15"/>
  <c r="R139" i="15"/>
  <c r="C139" i="15"/>
  <c r="D97" i="15"/>
  <c r="E97" i="15"/>
  <c r="F97" i="15"/>
  <c r="H97" i="15"/>
  <c r="I97" i="15"/>
  <c r="N97" i="15"/>
  <c r="O97" i="15"/>
  <c r="P97" i="15"/>
  <c r="Q97" i="15"/>
  <c r="R97" i="15"/>
  <c r="C97" i="15"/>
  <c r="D84" i="15"/>
  <c r="E84" i="15"/>
  <c r="F84" i="15"/>
  <c r="H84" i="15"/>
  <c r="I84" i="15"/>
  <c r="N84" i="15"/>
  <c r="O84" i="15"/>
  <c r="P84" i="15"/>
  <c r="Q84" i="15"/>
  <c r="R84" i="15"/>
  <c r="C84" i="15"/>
  <c r="D38" i="15"/>
  <c r="D59" i="15" s="1"/>
  <c r="E38" i="15"/>
  <c r="E59" i="15"/>
  <c r="F38" i="15"/>
  <c r="F59" i="15" s="1"/>
  <c r="H38" i="15"/>
  <c r="H59" i="15" s="1"/>
  <c r="I38" i="15"/>
  <c r="I59" i="15" s="1"/>
  <c r="N38" i="15"/>
  <c r="N59" i="15"/>
  <c r="O38" i="15"/>
  <c r="O59" i="15"/>
  <c r="P38" i="15"/>
  <c r="P59" i="15"/>
  <c r="Q38" i="15"/>
  <c r="Q59" i="15" s="1"/>
  <c r="R38" i="15"/>
  <c r="R59" i="15"/>
  <c r="C38" i="15"/>
  <c r="C59" i="15"/>
  <c r="V251" i="15"/>
  <c r="V249" i="15"/>
  <c r="V247" i="15"/>
  <c r="V246" i="15"/>
  <c r="V245" i="15"/>
  <c r="V243" i="15"/>
  <c r="V242" i="15"/>
  <c r="V241" i="15"/>
  <c r="V240" i="15"/>
  <c r="V237" i="15"/>
  <c r="V236" i="15"/>
  <c r="V230" i="15"/>
  <c r="V224" i="15"/>
  <c r="V118" i="15"/>
  <c r="V121" i="15" s="1"/>
  <c r="V104" i="15"/>
  <c r="V105" i="15"/>
  <c r="V88" i="15"/>
  <c r="V202" i="15" s="1"/>
  <c r="V267" i="15" s="1"/>
  <c r="V85" i="15"/>
  <c r="V287" i="15" s="1"/>
  <c r="V308" i="15"/>
  <c r="V60" i="15"/>
  <c r="V169" i="15" s="1"/>
  <c r="V234" i="15"/>
  <c r="V47" i="15"/>
  <c r="V167" i="15"/>
  <c r="V46" i="15"/>
  <c r="V166" i="15" s="1"/>
  <c r="V40" i="15"/>
  <c r="V36" i="15"/>
  <c r="V27" i="15"/>
  <c r="V25" i="15"/>
  <c r="F109" i="15"/>
  <c r="F230" i="15"/>
  <c r="F236" i="15"/>
  <c r="F237" i="15"/>
  <c r="F240" i="15"/>
  <c r="F241" i="15"/>
  <c r="F242" i="15"/>
  <c r="F243" i="15"/>
  <c r="F245" i="15"/>
  <c r="F246" i="15"/>
  <c r="F247" i="15"/>
  <c r="F249" i="15"/>
  <c r="F251" i="15"/>
  <c r="U218" i="15"/>
  <c r="U135" i="15"/>
  <c r="U134" i="15"/>
  <c r="U118" i="15"/>
  <c r="U125" i="15"/>
  <c r="V125" i="15" s="1"/>
  <c r="W125" i="15" s="1"/>
  <c r="X125" i="15" s="1"/>
  <c r="U100" i="15"/>
  <c r="U101" i="15"/>
  <c r="U102" i="15"/>
  <c r="U103" i="15"/>
  <c r="U99" i="15"/>
  <c r="U85" i="15"/>
  <c r="U287" i="15" s="1"/>
  <c r="U88" i="15"/>
  <c r="U289" i="15"/>
  <c r="U310" i="15"/>
  <c r="U73" i="15"/>
  <c r="U71" i="15"/>
  <c r="U245" i="15" s="1"/>
  <c r="U67" i="15"/>
  <c r="U60" i="15"/>
  <c r="U169" i="15"/>
  <c r="U46" i="15"/>
  <c r="U166" i="15"/>
  <c r="U47" i="15"/>
  <c r="U167" i="15" s="1"/>
  <c r="Q16" i="15"/>
  <c r="Q31" i="15" s="1"/>
  <c r="Q15" i="15"/>
  <c r="Q14" i="15"/>
  <c r="P16" i="15"/>
  <c r="P31" i="15" s="1"/>
  <c r="P15" i="15"/>
  <c r="P30" i="15" s="1"/>
  <c r="P14" i="15"/>
  <c r="S16" i="15"/>
  <c r="S15" i="15"/>
  <c r="S14" i="15"/>
  <c r="O16" i="15"/>
  <c r="O31" i="15"/>
  <c r="O15" i="15"/>
  <c r="O14" i="15"/>
  <c r="N16" i="15"/>
  <c r="N15" i="15"/>
  <c r="N14" i="15"/>
  <c r="R16" i="15"/>
  <c r="R15" i="15"/>
  <c r="U25" i="15"/>
  <c r="U27" i="15"/>
  <c r="U16" i="15"/>
  <c r="U31" i="15" s="1"/>
  <c r="U15" i="15"/>
  <c r="U14" i="15"/>
  <c r="U11" i="15"/>
  <c r="U7" i="15"/>
  <c r="U160" i="15" s="1"/>
  <c r="F218" i="15"/>
  <c r="F118" i="15"/>
  <c r="F104" i="15"/>
  <c r="F105" i="15" s="1"/>
  <c r="E61" i="15"/>
  <c r="F61" i="15"/>
  <c r="F85" i="15"/>
  <c r="F287" i="15"/>
  <c r="F308" i="15" s="1"/>
  <c r="F88" i="15"/>
  <c r="F92" i="15"/>
  <c r="F74" i="15"/>
  <c r="F183" i="15"/>
  <c r="F65" i="15"/>
  <c r="F35" i="15" s="1"/>
  <c r="F60" i="15"/>
  <c r="F50" i="15"/>
  <c r="F40" i="15"/>
  <c r="F36" i="15" s="1"/>
  <c r="F25" i="15"/>
  <c r="F27" i="15"/>
  <c r="F16" i="15"/>
  <c r="F31" i="15"/>
  <c r="F15" i="15"/>
  <c r="F14" i="15"/>
  <c r="F11" i="15"/>
  <c r="F7" i="15"/>
  <c r="F160" i="15" s="1"/>
  <c r="C218" i="15"/>
  <c r="D218" i="15"/>
  <c r="P218" i="15"/>
  <c r="E218" i="15"/>
  <c r="Q218" i="15"/>
  <c r="R218" i="15"/>
  <c r="S218" i="15"/>
  <c r="U230" i="15"/>
  <c r="Y231" i="15"/>
  <c r="B252" i="15"/>
  <c r="N249" i="15"/>
  <c r="R249" i="15"/>
  <c r="B249" i="15"/>
  <c r="U224" i="15"/>
  <c r="U232" i="15" s="1"/>
  <c r="B226" i="15"/>
  <c r="F224" i="15"/>
  <c r="G225" i="15"/>
  <c r="Q125" i="15"/>
  <c r="R125" i="15" s="1"/>
  <c r="S125" i="15"/>
  <c r="T125" i="15" s="1"/>
  <c r="Q100" i="15"/>
  <c r="Q101" i="15"/>
  <c r="Q102" i="15"/>
  <c r="Q103" i="15"/>
  <c r="Q99" i="15"/>
  <c r="D61" i="15"/>
  <c r="C61" i="15"/>
  <c r="C170" i="15" s="1"/>
  <c r="Q48" i="15"/>
  <c r="P48" i="15"/>
  <c r="P50" i="15"/>
  <c r="O48" i="15"/>
  <c r="N48" i="15"/>
  <c r="R61" i="15"/>
  <c r="O75" i="15"/>
  <c r="N61" i="15"/>
  <c r="N170" i="15"/>
  <c r="F339" i="15"/>
  <c r="H339" i="15"/>
  <c r="I339" i="15"/>
  <c r="C331" i="15"/>
  <c r="C339" i="15" s="1"/>
  <c r="D331" i="15"/>
  <c r="D339" i="15" s="1"/>
  <c r="E331" i="15"/>
  <c r="E339" i="15" s="1"/>
  <c r="F340" i="15" s="1"/>
  <c r="F388" i="15"/>
  <c r="E388" i="15"/>
  <c r="D388" i="15"/>
  <c r="D390" i="15" s="1"/>
  <c r="C388" i="15"/>
  <c r="C390" i="15" s="1"/>
  <c r="S378" i="15"/>
  <c r="R378" i="15"/>
  <c r="R380" i="15"/>
  <c r="Q378" i="15"/>
  <c r="Q380" i="15"/>
  <c r="P378" i="15"/>
  <c r="P380" i="15" s="1"/>
  <c r="O378" i="15"/>
  <c r="N378" i="15"/>
  <c r="F378" i="15"/>
  <c r="E378" i="15"/>
  <c r="D378" i="15"/>
  <c r="C378" i="15"/>
  <c r="T368" i="15"/>
  <c r="S368" i="15"/>
  <c r="R368" i="15"/>
  <c r="Q368" i="15"/>
  <c r="P368" i="15"/>
  <c r="O368" i="15"/>
  <c r="N368" i="15"/>
  <c r="F368" i="15"/>
  <c r="E368" i="15"/>
  <c r="D368" i="15"/>
  <c r="C368" i="15"/>
  <c r="T358" i="15"/>
  <c r="S358" i="15"/>
  <c r="S359" i="15" s="1"/>
  <c r="Q358" i="15"/>
  <c r="P358" i="15"/>
  <c r="O358" i="15"/>
  <c r="N358" i="15"/>
  <c r="R359" i="15" s="1"/>
  <c r="F358" i="15"/>
  <c r="D358" i="15"/>
  <c r="C358" i="15"/>
  <c r="S348" i="15"/>
  <c r="R348" i="15"/>
  <c r="Q348" i="15"/>
  <c r="Q350" i="15"/>
  <c r="P348" i="15"/>
  <c r="P350" i="15" s="1"/>
  <c r="O348" i="15"/>
  <c r="O350" i="15"/>
  <c r="N348" i="15"/>
  <c r="N350" i="15" s="1"/>
  <c r="F348" i="15"/>
  <c r="F350" i="15"/>
  <c r="E348" i="15"/>
  <c r="E350" i="15"/>
  <c r="D348" i="15"/>
  <c r="D350" i="15"/>
  <c r="C348" i="15"/>
  <c r="S339" i="15"/>
  <c r="W340" i="15" s="1"/>
  <c r="Q339" i="15"/>
  <c r="U340" i="15" s="1"/>
  <c r="P339" i="15"/>
  <c r="T340" i="15"/>
  <c r="O339" i="15"/>
  <c r="N339" i="15"/>
  <c r="R340" i="15" s="1"/>
  <c r="R251" i="15"/>
  <c r="N251" i="15"/>
  <c r="T247" i="15"/>
  <c r="S247" i="15"/>
  <c r="R247" i="15"/>
  <c r="P247" i="15"/>
  <c r="O247" i="15"/>
  <c r="N247" i="15"/>
  <c r="R246" i="15"/>
  <c r="N246" i="15"/>
  <c r="T245" i="15"/>
  <c r="S245" i="15"/>
  <c r="R245" i="15"/>
  <c r="P245" i="15"/>
  <c r="O245" i="15"/>
  <c r="N245" i="15"/>
  <c r="R243" i="15"/>
  <c r="N243" i="15"/>
  <c r="R242" i="15"/>
  <c r="N242" i="15"/>
  <c r="T241" i="15"/>
  <c r="S241" i="15"/>
  <c r="R241" i="15"/>
  <c r="P241" i="15"/>
  <c r="O241" i="15"/>
  <c r="N241" i="15"/>
  <c r="R240" i="15"/>
  <c r="N240" i="15"/>
  <c r="R237" i="15"/>
  <c r="N237" i="15"/>
  <c r="R236" i="15"/>
  <c r="N236" i="15"/>
  <c r="S230" i="15"/>
  <c r="R230" i="15"/>
  <c r="Q230" i="15"/>
  <c r="U231" i="15" s="1"/>
  <c r="P230" i="15"/>
  <c r="O230" i="15"/>
  <c r="O232" i="15"/>
  <c r="N230" i="15"/>
  <c r="N232" i="15" s="1"/>
  <c r="S224" i="15"/>
  <c r="R224" i="15"/>
  <c r="Q224" i="15"/>
  <c r="Q232" i="15"/>
  <c r="P224" i="15"/>
  <c r="O224" i="15"/>
  <c r="N224" i="15"/>
  <c r="N124" i="15"/>
  <c r="O124" i="15"/>
  <c r="P124" i="15"/>
  <c r="N109" i="15"/>
  <c r="N116" i="15"/>
  <c r="N142" i="15" s="1"/>
  <c r="N205" i="15" s="1"/>
  <c r="O109" i="15"/>
  <c r="O116" i="15" s="1"/>
  <c r="P109" i="15"/>
  <c r="P116" i="15" s="1"/>
  <c r="T109" i="15"/>
  <c r="T116" i="15"/>
  <c r="S109" i="15"/>
  <c r="S116" i="15"/>
  <c r="R109" i="15"/>
  <c r="R116" i="15"/>
  <c r="S118" i="15"/>
  <c r="R118" i="15"/>
  <c r="P118" i="15"/>
  <c r="O118" i="15"/>
  <c r="N118" i="15"/>
  <c r="S104" i="15"/>
  <c r="S105" i="15" s="1"/>
  <c r="R104" i="15"/>
  <c r="R105" i="15" s="1"/>
  <c r="P104" i="15"/>
  <c r="O104" i="15"/>
  <c r="N104" i="15"/>
  <c r="S88" i="15"/>
  <c r="S289" i="15" s="1"/>
  <c r="R88" i="15"/>
  <c r="R289" i="15" s="1"/>
  <c r="S85" i="15"/>
  <c r="S287" i="15" s="1"/>
  <c r="R85" i="15"/>
  <c r="R287" i="15" s="1"/>
  <c r="Q88" i="15"/>
  <c r="Q85" i="15"/>
  <c r="Q287" i="15" s="1"/>
  <c r="O77" i="15"/>
  <c r="S77" i="15"/>
  <c r="S186" i="15"/>
  <c r="S75" i="15"/>
  <c r="O72" i="15"/>
  <c r="P72" i="15"/>
  <c r="S72" i="15"/>
  <c r="T72" i="15" s="1"/>
  <c r="N74" i="15"/>
  <c r="N183" i="15" s="1"/>
  <c r="R74" i="15"/>
  <c r="Q73" i="15"/>
  <c r="Q71" i="15"/>
  <c r="Q245" i="15" s="1"/>
  <c r="Q67" i="15"/>
  <c r="Q241" i="15" s="1"/>
  <c r="O69" i="15"/>
  <c r="S69" i="15"/>
  <c r="O68" i="15"/>
  <c r="O177" i="15" s="1"/>
  <c r="S68" i="15"/>
  <c r="O66" i="15"/>
  <c r="S66" i="15"/>
  <c r="S175" i="15"/>
  <c r="N65" i="15"/>
  <c r="R65" i="15"/>
  <c r="O63" i="15"/>
  <c r="S63" i="15"/>
  <c r="O62" i="15"/>
  <c r="P62" i="15"/>
  <c r="Q62" i="15" s="1"/>
  <c r="Q236" i="15" s="1"/>
  <c r="S62" i="15"/>
  <c r="N7" i="15"/>
  <c r="N160" i="15"/>
  <c r="O7" i="15"/>
  <c r="O160" i="15" s="1"/>
  <c r="P7" i="15"/>
  <c r="P160" i="15" s="1"/>
  <c r="Q7" i="15"/>
  <c r="Q160" i="15"/>
  <c r="T7" i="15"/>
  <c r="T160" i="15" s="1"/>
  <c r="S7" i="15"/>
  <c r="S160" i="15" s="1"/>
  <c r="R7" i="15"/>
  <c r="R160" i="15" s="1"/>
  <c r="Q11" i="15"/>
  <c r="Q13" i="15" s="1"/>
  <c r="P11" i="15"/>
  <c r="O11" i="15"/>
  <c r="O26" i="15"/>
  <c r="S11" i="15"/>
  <c r="N11" i="15"/>
  <c r="R11" i="15"/>
  <c r="R26" i="15" s="1"/>
  <c r="C7" i="15"/>
  <c r="C160" i="15"/>
  <c r="E251" i="15"/>
  <c r="D251" i="15"/>
  <c r="E247" i="15"/>
  <c r="D247" i="15"/>
  <c r="E246" i="15"/>
  <c r="D246" i="15"/>
  <c r="E245" i="15"/>
  <c r="D245" i="15"/>
  <c r="C251" i="15"/>
  <c r="C247" i="15"/>
  <c r="C246" i="15"/>
  <c r="C245" i="15"/>
  <c r="E243" i="15"/>
  <c r="D243" i="15"/>
  <c r="E242" i="15"/>
  <c r="D242" i="15"/>
  <c r="E241" i="15"/>
  <c r="D241" i="15"/>
  <c r="E240" i="15"/>
  <c r="D240" i="15"/>
  <c r="C242" i="15"/>
  <c r="C240" i="15"/>
  <c r="E237" i="15"/>
  <c r="D237" i="15"/>
  <c r="E236" i="15"/>
  <c r="D236" i="15"/>
  <c r="C237" i="15"/>
  <c r="C236" i="15"/>
  <c r="E230" i="15"/>
  <c r="D230" i="15"/>
  <c r="C230" i="15"/>
  <c r="E224" i="15"/>
  <c r="D224" i="15"/>
  <c r="C224" i="15"/>
  <c r="D7" i="15"/>
  <c r="D160" i="15" s="1"/>
  <c r="E7" i="15"/>
  <c r="E160" i="15" s="1"/>
  <c r="C27" i="15"/>
  <c r="D27" i="15"/>
  <c r="C16" i="15"/>
  <c r="C31" i="15"/>
  <c r="D16" i="15"/>
  <c r="D31" i="15" s="1"/>
  <c r="E16" i="15"/>
  <c r="E31" i="15"/>
  <c r="B25" i="15"/>
  <c r="C25" i="15"/>
  <c r="D25" i="15"/>
  <c r="E25" i="15"/>
  <c r="N25" i="15"/>
  <c r="O25" i="15"/>
  <c r="P25" i="15"/>
  <c r="Q25" i="15"/>
  <c r="R25" i="15"/>
  <c r="S25" i="15"/>
  <c r="B26" i="15"/>
  <c r="C26" i="15"/>
  <c r="D26" i="15"/>
  <c r="E26" i="15"/>
  <c r="B27" i="15"/>
  <c r="E27" i="15"/>
  <c r="N27" i="15"/>
  <c r="O27" i="15"/>
  <c r="P27" i="15"/>
  <c r="Q27" i="15"/>
  <c r="R27" i="15"/>
  <c r="S27" i="15"/>
  <c r="B28" i="15"/>
  <c r="B29" i="15"/>
  <c r="B30" i="15"/>
  <c r="B31" i="15"/>
  <c r="B32" i="15"/>
  <c r="C40" i="15"/>
  <c r="C36" i="15" s="1"/>
  <c r="D40" i="15"/>
  <c r="D36" i="15"/>
  <c r="E40" i="15"/>
  <c r="E36" i="15" s="1"/>
  <c r="N40" i="15"/>
  <c r="N36" i="15"/>
  <c r="O40" i="15"/>
  <c r="O36" i="15"/>
  <c r="P40" i="15"/>
  <c r="P36" i="15"/>
  <c r="Q40" i="15"/>
  <c r="Q36" i="15" s="1"/>
  <c r="R40" i="15"/>
  <c r="R36" i="15" s="1"/>
  <c r="S40" i="15"/>
  <c r="S41" i="15" s="1"/>
  <c r="S36" i="15"/>
  <c r="U40" i="15"/>
  <c r="U36" i="15"/>
  <c r="D46" i="15"/>
  <c r="D166" i="15" s="1"/>
  <c r="E46" i="15"/>
  <c r="E166" i="15"/>
  <c r="R46" i="15"/>
  <c r="R166" i="15"/>
  <c r="S46" i="15"/>
  <c r="S166" i="15"/>
  <c r="C47" i="15"/>
  <c r="C167" i="15" s="1"/>
  <c r="D47" i="15"/>
  <c r="D167" i="15"/>
  <c r="E47" i="15"/>
  <c r="E167" i="15" s="1"/>
  <c r="N47" i="15"/>
  <c r="N167" i="15"/>
  <c r="O47" i="15"/>
  <c r="O167" i="15" s="1"/>
  <c r="P47" i="15"/>
  <c r="P167" i="15" s="1"/>
  <c r="Q47" i="15"/>
  <c r="Q167" i="15" s="1"/>
  <c r="R47" i="15"/>
  <c r="R167" i="15"/>
  <c r="S47" i="15"/>
  <c r="S167" i="15" s="1"/>
  <c r="C49" i="15"/>
  <c r="C90" i="15"/>
  <c r="D49" i="15"/>
  <c r="D90" i="15"/>
  <c r="E49" i="15"/>
  <c r="E90" i="15"/>
  <c r="C50" i="15"/>
  <c r="D50" i="15"/>
  <c r="E50" i="15"/>
  <c r="H50" i="15"/>
  <c r="C60" i="15"/>
  <c r="D60" i="15"/>
  <c r="E60" i="15"/>
  <c r="E169" i="15" s="1"/>
  <c r="N60" i="15"/>
  <c r="N234" i="15"/>
  <c r="O60" i="15"/>
  <c r="P60" i="15"/>
  <c r="Q60" i="15"/>
  <c r="Q234" i="15" s="1"/>
  <c r="R60" i="15"/>
  <c r="R64" i="15"/>
  <c r="R238" i="15" s="1"/>
  <c r="S60" i="15"/>
  <c r="S169" i="15"/>
  <c r="C65" i="15"/>
  <c r="D65" i="15"/>
  <c r="D35" i="15" s="1"/>
  <c r="E65" i="15"/>
  <c r="C67" i="15"/>
  <c r="C69" i="15"/>
  <c r="C74" i="15"/>
  <c r="C183" i="15"/>
  <c r="D74" i="15"/>
  <c r="D248" i="15" s="1"/>
  <c r="E74" i="15"/>
  <c r="Q74" i="15" s="1"/>
  <c r="C75" i="15"/>
  <c r="C249" i="15" s="1"/>
  <c r="D75" i="15"/>
  <c r="E75" i="15"/>
  <c r="B85" i="15"/>
  <c r="B287" i="15" s="1"/>
  <c r="C85" i="15"/>
  <c r="C287" i="15" s="1"/>
  <c r="C308" i="15" s="1"/>
  <c r="C312" i="15" s="1"/>
  <c r="D85" i="15"/>
  <c r="D287" i="15" s="1"/>
  <c r="D308" i="15"/>
  <c r="D312" i="15" s="1"/>
  <c r="E85" i="15"/>
  <c r="E287" i="15" s="1"/>
  <c r="C88" i="15"/>
  <c r="C289" i="15"/>
  <c r="C310" i="15" s="1"/>
  <c r="D88" i="15"/>
  <c r="E88" i="15"/>
  <c r="C91" i="15"/>
  <c r="C124" i="15" s="1"/>
  <c r="D91" i="15"/>
  <c r="D292" i="15"/>
  <c r="D313" i="15" s="1"/>
  <c r="E91" i="15"/>
  <c r="E292" i="15" s="1"/>
  <c r="E313" i="15" s="1"/>
  <c r="E124" i="15"/>
  <c r="C92" i="15"/>
  <c r="D92" i="15"/>
  <c r="E92" i="15"/>
  <c r="E293" i="15" s="1"/>
  <c r="E314" i="15" s="1"/>
  <c r="C104" i="15"/>
  <c r="C105" i="15"/>
  <c r="D104" i="15"/>
  <c r="D105" i="15"/>
  <c r="E104" i="15"/>
  <c r="E105" i="15" s="1"/>
  <c r="C109" i="15"/>
  <c r="C116" i="15"/>
  <c r="D109" i="15"/>
  <c r="D116" i="15"/>
  <c r="D192" i="15" s="1"/>
  <c r="E109" i="15"/>
  <c r="C118" i="15"/>
  <c r="D118" i="15"/>
  <c r="E110" i="15"/>
  <c r="E118" i="15" s="1"/>
  <c r="Q110" i="15"/>
  <c r="Q118" i="15" s="1"/>
  <c r="B224" i="15"/>
  <c r="B225" i="15"/>
  <c r="B230" i="15"/>
  <c r="B231" i="15"/>
  <c r="B232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50" i="15"/>
  <c r="B251" i="15"/>
  <c r="B253" i="15"/>
  <c r="B269" i="15"/>
  <c r="B270" i="15"/>
  <c r="B272" i="15"/>
  <c r="B273" i="15"/>
  <c r="B275" i="15"/>
  <c r="B276" i="15"/>
  <c r="B278" i="15"/>
  <c r="B279" i="15"/>
  <c r="B281" i="15"/>
  <c r="B282" i="15"/>
  <c r="B290" i="15"/>
  <c r="B292" i="15"/>
  <c r="B293" i="15"/>
  <c r="B294" i="15"/>
  <c r="B295" i="15"/>
  <c r="C1293" i="17"/>
  <c r="E1293" i="17"/>
  <c r="E358" i="15"/>
  <c r="E360" i="15" s="1"/>
  <c r="F47" i="15"/>
  <c r="F167" i="15" s="1"/>
  <c r="F46" i="15"/>
  <c r="F166" i="15"/>
  <c r="V340" i="15"/>
  <c r="R48" i="15"/>
  <c r="S48" i="15"/>
  <c r="F49" i="15"/>
  <c r="F90" i="15" s="1"/>
  <c r="F91" i="15"/>
  <c r="F124" i="15"/>
  <c r="G50" i="15"/>
  <c r="G91" i="15"/>
  <c r="G292" i="15"/>
  <c r="G313" i="15" s="1"/>
  <c r="C1135" i="17"/>
  <c r="W338" i="15"/>
  <c r="Y338" i="15" s="1"/>
  <c r="S181" i="15"/>
  <c r="G35" i="15"/>
  <c r="AC91" i="15"/>
  <c r="AC292" i="15"/>
  <c r="G358" i="15"/>
  <c r="AC290" i="15"/>
  <c r="H36" i="15"/>
  <c r="Q176" i="15"/>
  <c r="AD183" i="15"/>
  <c r="AD200" i="15"/>
  <c r="AF200" i="15"/>
  <c r="AG200" i="15"/>
  <c r="AF71" i="15"/>
  <c r="AE180" i="15"/>
  <c r="AA240" i="15"/>
  <c r="AB66" i="15"/>
  <c r="AN66" i="15" s="1"/>
  <c r="R89" i="15"/>
  <c r="Z54" i="15"/>
  <c r="I88" i="15"/>
  <c r="AA184" i="15"/>
  <c r="S171" i="15"/>
  <c r="G10" i="15"/>
  <c r="E10" i="15"/>
  <c r="G293" i="15"/>
  <c r="G314" i="15" s="1"/>
  <c r="K288" i="15"/>
  <c r="K200" i="15"/>
  <c r="AG230" i="15"/>
  <c r="AG232" i="15" s="1"/>
  <c r="AH230" i="15"/>
  <c r="AH247" i="15"/>
  <c r="AH243" i="15"/>
  <c r="AH224" i="15"/>
  <c r="AH232" i="15" s="1"/>
  <c r="AH245" i="15"/>
  <c r="AH246" i="15"/>
  <c r="AH249" i="15"/>
  <c r="AH251" i="15"/>
  <c r="AH236" i="15"/>
  <c r="AH237" i="15"/>
  <c r="U234" i="15"/>
  <c r="AH240" i="15"/>
  <c r="AH241" i="15"/>
  <c r="H60" i="15"/>
  <c r="H46" i="15"/>
  <c r="H166" i="15"/>
  <c r="H47" i="15"/>
  <c r="H167" i="15" s="1"/>
  <c r="H230" i="15"/>
  <c r="H232" i="15" s="1"/>
  <c r="H165" i="15"/>
  <c r="AF234" i="15"/>
  <c r="J348" i="15"/>
  <c r="C879" i="17"/>
  <c r="K26" i="15"/>
  <c r="E170" i="15"/>
  <c r="AC289" i="15"/>
  <c r="R235" i="15"/>
  <c r="Y67" i="15"/>
  <c r="Y241" i="15" s="1"/>
  <c r="AI289" i="15"/>
  <c r="AI84" i="15"/>
  <c r="AI139" i="15"/>
  <c r="AI307" i="15"/>
  <c r="AI221" i="15"/>
  <c r="AI286" i="15"/>
  <c r="AI372" i="15"/>
  <c r="AI38" i="15"/>
  <c r="AI59" i="15"/>
  <c r="AI97" i="15"/>
  <c r="AI156" i="15"/>
  <c r="AI342" i="15"/>
  <c r="AI352" i="15"/>
  <c r="AI362" i="15" s="1"/>
  <c r="AE348" i="15"/>
  <c r="O243" i="15"/>
  <c r="C202" i="15"/>
  <c r="C267" i="15" s="1"/>
  <c r="N174" i="15"/>
  <c r="C954" i="17"/>
  <c r="AD289" i="15"/>
  <c r="S246" i="15"/>
  <c r="AF74" i="15"/>
  <c r="AF183" i="15"/>
  <c r="AE183" i="15"/>
  <c r="AB75" i="15"/>
  <c r="AB184" i="15" s="1"/>
  <c r="AA54" i="15"/>
  <c r="AC367" i="15"/>
  <c r="AC368" i="15" s="1"/>
  <c r="AH85" i="15"/>
  <c r="AH287" i="15" s="1"/>
  <c r="W175" i="15"/>
  <c r="F248" i="15"/>
  <c r="AA26" i="15"/>
  <c r="AA169" i="15"/>
  <c r="K358" i="15"/>
  <c r="K360" i="15"/>
  <c r="T234" i="15"/>
  <c r="G174" i="15"/>
  <c r="G239" i="15"/>
  <c r="G94" i="15"/>
  <c r="G294" i="15" s="1"/>
  <c r="G315" i="15" s="1"/>
  <c r="AI329" i="15"/>
  <c r="AE178" i="15"/>
  <c r="J60" i="15"/>
  <c r="AI180" i="15"/>
  <c r="AF73" i="15"/>
  <c r="AG73" i="15" s="1"/>
  <c r="AH202" i="15"/>
  <c r="AH289" i="15"/>
  <c r="C805" i="17"/>
  <c r="G60" i="15"/>
  <c r="G234" i="15" s="1"/>
  <c r="G230" i="15"/>
  <c r="Y202" i="15"/>
  <c r="Y267" i="15"/>
  <c r="Y310" i="15"/>
  <c r="T62" i="15"/>
  <c r="T236" i="15"/>
  <c r="S236" i="15"/>
  <c r="R202" i="15"/>
  <c r="R267" i="15"/>
  <c r="E151" i="15"/>
  <c r="AA13" i="15"/>
  <c r="S225" i="15"/>
  <c r="S177" i="15"/>
  <c r="AE121" i="15"/>
  <c r="T192" i="15"/>
  <c r="T257" i="15"/>
  <c r="AE10" i="15"/>
  <c r="E225" i="15"/>
  <c r="AF63" i="15"/>
  <c r="AE172" i="15"/>
  <c r="C992" i="17"/>
  <c r="AI382" i="15"/>
  <c r="AJ360" i="15"/>
  <c r="AJ10" i="15"/>
  <c r="AJ169" i="15"/>
  <c r="AJ202" i="15"/>
  <c r="AJ342" i="15"/>
  <c r="AJ352" i="15"/>
  <c r="AJ362" i="15" s="1"/>
  <c r="AG63" i="15"/>
  <c r="AJ92" i="15"/>
  <c r="G26" i="15"/>
  <c r="G13" i="15"/>
  <c r="X72" i="15"/>
  <c r="AF85" i="15"/>
  <c r="AF287" i="15" s="1"/>
  <c r="S54" i="15"/>
  <c r="H293" i="15"/>
  <c r="H314" i="15" s="1"/>
  <c r="AD170" i="15"/>
  <c r="AD64" i="15"/>
  <c r="AE61" i="15"/>
  <c r="AE170" i="15"/>
  <c r="AD378" i="15"/>
  <c r="S234" i="15"/>
  <c r="W61" i="15"/>
  <c r="W170" i="15" s="1"/>
  <c r="C380" i="15"/>
  <c r="D379" i="15"/>
  <c r="AB69" i="15"/>
  <c r="AB243" i="15" s="1"/>
  <c r="AJ62" i="15"/>
  <c r="AI171" i="15"/>
  <c r="AJ66" i="15"/>
  <c r="AK66" i="15"/>
  <c r="AK175" i="15" s="1"/>
  <c r="AI175" i="15"/>
  <c r="P49" i="15"/>
  <c r="AK25" i="15"/>
  <c r="AK85" i="15"/>
  <c r="AK287" i="15"/>
  <c r="AK291" i="15" s="1"/>
  <c r="AK159" i="15"/>
  <c r="AK47" i="15"/>
  <c r="AK167" i="15" s="1"/>
  <c r="AK202" i="15"/>
  <c r="D293" i="15"/>
  <c r="D314" i="15" s="1"/>
  <c r="V289" i="15"/>
  <c r="G170" i="15"/>
  <c r="Y247" i="15"/>
  <c r="Y182" i="15"/>
  <c r="P142" i="15"/>
  <c r="P205" i="15"/>
  <c r="C10" i="15"/>
  <c r="AD358" i="15"/>
  <c r="E380" i="15"/>
  <c r="S31" i="15"/>
  <c r="AD219" i="15"/>
  <c r="D54" i="15"/>
  <c r="D89" i="15"/>
  <c r="N31" i="15"/>
  <c r="W171" i="15"/>
  <c r="W236" i="15"/>
  <c r="AG69" i="15"/>
  <c r="AG178" i="15" s="1"/>
  <c r="AF178" i="15"/>
  <c r="AC68" i="15"/>
  <c r="AA289" i="15"/>
  <c r="AA348" i="15"/>
  <c r="AA349" i="15"/>
  <c r="AN347" i="15"/>
  <c r="J46" i="15"/>
  <c r="J166" i="15" s="1"/>
  <c r="J165" i="15"/>
  <c r="J88" i="15"/>
  <c r="J202" i="15"/>
  <c r="AI182" i="15"/>
  <c r="AJ73" i="15"/>
  <c r="AK73" i="15"/>
  <c r="AK182" i="15" s="1"/>
  <c r="L170" i="15"/>
  <c r="AA17" i="15"/>
  <c r="K348" i="15"/>
  <c r="K350" i="15"/>
  <c r="H170" i="15"/>
  <c r="X62" i="15"/>
  <c r="C184" i="15"/>
  <c r="K294" i="15"/>
  <c r="K174" i="15"/>
  <c r="K35" i="15"/>
  <c r="AI172" i="15"/>
  <c r="E17" i="15"/>
  <c r="E32" i="15"/>
  <c r="D232" i="15"/>
  <c r="C235" i="15"/>
  <c r="AI65" i="15"/>
  <c r="AI174" i="15"/>
  <c r="L10" i="15"/>
  <c r="L184" i="15"/>
  <c r="L183" i="15"/>
  <c r="L60" i="15"/>
  <c r="L94" i="15"/>
  <c r="L294" i="15" s="1"/>
  <c r="D124" i="15"/>
  <c r="AB10" i="15"/>
  <c r="J52" i="15"/>
  <c r="J54" i="15" s="1"/>
  <c r="T53" i="15"/>
  <c r="AD35" i="15"/>
  <c r="AE65" i="15"/>
  <c r="AH350" i="15"/>
  <c r="G116" i="15"/>
  <c r="G30" i="15" s="1"/>
  <c r="G192" i="15"/>
  <c r="Y109" i="15"/>
  <c r="Y116" i="15"/>
  <c r="H292" i="15"/>
  <c r="H313" i="15" s="1"/>
  <c r="H124" i="15"/>
  <c r="F10" i="15"/>
  <c r="Y16" i="15"/>
  <c r="Y31" i="15" s="1"/>
  <c r="X169" i="15"/>
  <c r="X234" i="15"/>
  <c r="X10" i="15"/>
  <c r="Q360" i="15"/>
  <c r="Q10" i="15"/>
  <c r="AI249" i="15"/>
  <c r="W234" i="15"/>
  <c r="W169" i="15"/>
  <c r="G49" i="15"/>
  <c r="G90" i="15" s="1"/>
  <c r="AF340" i="15"/>
  <c r="AJ359" i="15"/>
  <c r="AG10" i="15"/>
  <c r="U62" i="15"/>
  <c r="U171" i="15" s="1"/>
  <c r="T171" i="15"/>
  <c r="D235" i="15"/>
  <c r="Z192" i="15"/>
  <c r="Z121" i="15"/>
  <c r="Q26" i="15"/>
  <c r="I369" i="15"/>
  <c r="AC16" i="15"/>
  <c r="AC31" i="15" s="1"/>
  <c r="D174" i="15"/>
  <c r="U202" i="15"/>
  <c r="U267" i="15" s="1"/>
  <c r="AA186" i="15"/>
  <c r="AA251" i="15"/>
  <c r="AD121" i="15"/>
  <c r="T77" i="15"/>
  <c r="AA65" i="15"/>
  <c r="AA174" i="15"/>
  <c r="AN367" i="15"/>
  <c r="AH183" i="15"/>
  <c r="AN56" i="15"/>
  <c r="AN40" i="15" s="1"/>
  <c r="AN36" i="15" s="1"/>
  <c r="AA40" i="15"/>
  <c r="AA36" i="15" s="1"/>
  <c r="AJ65" i="15"/>
  <c r="AF380" i="15"/>
  <c r="AE175" i="15"/>
  <c r="AI178" i="15"/>
  <c r="X181" i="15"/>
  <c r="AJ171" i="15"/>
  <c r="AI239" i="15"/>
  <c r="AO379" i="15"/>
  <c r="AD247" i="15"/>
  <c r="AD230" i="15"/>
  <c r="AD231" i="15" s="1"/>
  <c r="AD236" i="15"/>
  <c r="G121" i="15"/>
  <c r="J89" i="15"/>
  <c r="J142" i="15" s="1"/>
  <c r="J205" i="15" s="1"/>
  <c r="X17" i="15"/>
  <c r="AC40" i="15"/>
  <c r="AC36" i="15" s="1"/>
  <c r="AB65" i="15"/>
  <c r="AA35" i="15"/>
  <c r="J254" i="20"/>
  <c r="AN65" i="15"/>
  <c r="AN35" i="15" s="1"/>
  <c r="I202" i="15"/>
  <c r="D289" i="15"/>
  <c r="D310" i="15" s="1"/>
  <c r="D202" i="15"/>
  <c r="D267" i="15" s="1"/>
  <c r="D249" i="15"/>
  <c r="D184" i="15"/>
  <c r="N192" i="15"/>
  <c r="N257" i="15"/>
  <c r="N121" i="15"/>
  <c r="N136" i="15" s="1"/>
  <c r="V225" i="15"/>
  <c r="AJ182" i="15"/>
  <c r="S172" i="15"/>
  <c r="T63" i="15"/>
  <c r="O181" i="15"/>
  <c r="O246" i="15"/>
  <c r="J350" i="15"/>
  <c r="N360" i="15"/>
  <c r="G348" i="15"/>
  <c r="G350" i="15"/>
  <c r="G349" i="15"/>
  <c r="Y347" i="15"/>
  <c r="J174" i="15"/>
  <c r="J94" i="15"/>
  <c r="J294" i="15" s="1"/>
  <c r="J35" i="15"/>
  <c r="AF121" i="15"/>
  <c r="AF136" i="15" s="1"/>
  <c r="AF128" i="15"/>
  <c r="AF298" i="15" s="1"/>
  <c r="AF319" i="15" s="1"/>
  <c r="D349" i="15"/>
  <c r="C350" i="15"/>
  <c r="X192" i="15"/>
  <c r="X257" i="15" s="1"/>
  <c r="AE380" i="15"/>
  <c r="E174" i="15"/>
  <c r="E94" i="15"/>
  <c r="N64" i="15"/>
  <c r="N173" i="15" s="1"/>
  <c r="N70" i="15"/>
  <c r="N169" i="15"/>
  <c r="X350" i="15"/>
  <c r="U241" i="15"/>
  <c r="U176" i="15"/>
  <c r="X202" i="15"/>
  <c r="X267" i="15" s="1"/>
  <c r="X289" i="15"/>
  <c r="X310" i="15" s="1"/>
  <c r="X312" i="15" s="1"/>
  <c r="AA182" i="15"/>
  <c r="AB73" i="15"/>
  <c r="AB247" i="15"/>
  <c r="AA247" i="15"/>
  <c r="X69" i="15"/>
  <c r="W243" i="15"/>
  <c r="AA236" i="15"/>
  <c r="AA171" i="15"/>
  <c r="AB62" i="15"/>
  <c r="AB236" i="15"/>
  <c r="AE184" i="15"/>
  <c r="AA369" i="15"/>
  <c r="Y367" i="15"/>
  <c r="Y368" i="15" s="1"/>
  <c r="K368" i="15"/>
  <c r="AG367" i="15"/>
  <c r="AF105" i="15"/>
  <c r="AE85" i="15"/>
  <c r="AE287" i="15" s="1"/>
  <c r="AC47" i="15"/>
  <c r="AC167" i="15"/>
  <c r="AC85" i="15"/>
  <c r="AC287" i="15"/>
  <c r="AC54" i="15"/>
  <c r="AC7" i="15"/>
  <c r="AC160" i="15"/>
  <c r="AD105" i="15"/>
  <c r="AG7" i="15"/>
  <c r="AG160" i="15" s="1"/>
  <c r="AN54" i="15"/>
  <c r="AN27" i="15"/>
  <c r="U72" i="15"/>
  <c r="U181" i="15" s="1"/>
  <c r="U246" i="15"/>
  <c r="E39" i="15"/>
  <c r="E41" i="15" s="1"/>
  <c r="AG172" i="15"/>
  <c r="AN68" i="15"/>
  <c r="AK347" i="15"/>
  <c r="AK348" i="15"/>
  <c r="AK350" i="15" s="1"/>
  <c r="AG237" i="15"/>
  <c r="Y15" i="15"/>
  <c r="L13" i="15"/>
  <c r="L39" i="15" s="1"/>
  <c r="L41" i="15" s="1"/>
  <c r="L27" i="15"/>
  <c r="AK104" i="15"/>
  <c r="AK105" i="15" s="1"/>
  <c r="AE219" i="15"/>
  <c r="AC177" i="15"/>
  <c r="AF61" i="15"/>
  <c r="AF170" i="15" s="1"/>
  <c r="AE64" i="15"/>
  <c r="Z380" i="15"/>
  <c r="T172" i="15"/>
  <c r="AA310" i="15"/>
  <c r="X379" i="15"/>
  <c r="D1110" i="17"/>
  <c r="AG74" i="15"/>
  <c r="AG183" i="15"/>
  <c r="AF248" i="15"/>
  <c r="Z225" i="15"/>
  <c r="Z232" i="15"/>
  <c r="AA61" i="15"/>
  <c r="AB61" i="15"/>
  <c r="Z170" i="15"/>
  <c r="Z64" i="15"/>
  <c r="Z235" i="15"/>
  <c r="C89" i="15"/>
  <c r="C54" i="15"/>
  <c r="D53" i="15"/>
  <c r="H239" i="15"/>
  <c r="H174" i="15"/>
  <c r="H94" i="15"/>
  <c r="H294" i="15" s="1"/>
  <c r="H35" i="15"/>
  <c r="AE181" i="15"/>
  <c r="AF72" i="15"/>
  <c r="D183" i="15"/>
  <c r="AB202" i="15"/>
  <c r="AB267" i="15"/>
  <c r="AB289" i="15"/>
  <c r="AB310" i="15"/>
  <c r="C1029" i="17"/>
  <c r="U54" i="15"/>
  <c r="U53" i="15"/>
  <c r="AB379" i="15"/>
  <c r="AF62" i="15"/>
  <c r="AE171" i="15"/>
  <c r="H863" i="17"/>
  <c r="C872" i="17" s="1"/>
  <c r="J13" i="15"/>
  <c r="J28" i="15" s="1"/>
  <c r="J26" i="15"/>
  <c r="P77" i="15"/>
  <c r="P251" i="15"/>
  <c r="O251" i="15"/>
  <c r="Z239" i="15"/>
  <c r="Z174" i="15"/>
  <c r="AA242" i="15"/>
  <c r="AA177" i="15"/>
  <c r="AC66" i="15"/>
  <c r="R183" i="15"/>
  <c r="T225" i="15"/>
  <c r="AF257" i="15"/>
  <c r="Y40" i="15"/>
  <c r="Y36" i="15" s="1"/>
  <c r="W237" i="15"/>
  <c r="X63" i="15"/>
  <c r="Y63" i="15"/>
  <c r="H184" i="15"/>
  <c r="H249" i="15"/>
  <c r="AA370" i="15"/>
  <c r="W186" i="15"/>
  <c r="R49" i="15"/>
  <c r="S26" i="15"/>
  <c r="S13" i="15"/>
  <c r="S17" i="15"/>
  <c r="S32" i="15" s="1"/>
  <c r="F293" i="15"/>
  <c r="F314" i="15" s="1"/>
  <c r="F151" i="15"/>
  <c r="F282" i="15"/>
  <c r="T289" i="15"/>
  <c r="T202" i="15"/>
  <c r="T267" i="15" s="1"/>
  <c r="X71" i="15"/>
  <c r="AE340" i="15"/>
  <c r="AB380" i="15"/>
  <c r="X77" i="15"/>
  <c r="Z202" i="15"/>
  <c r="Z267" i="15"/>
  <c r="O186" i="15"/>
  <c r="Q49" i="15"/>
  <c r="Q50" i="15"/>
  <c r="V10" i="15"/>
  <c r="X54" i="15"/>
  <c r="AI241" i="15"/>
  <c r="AI243" i="15"/>
  <c r="AI230" i="15"/>
  <c r="AI232" i="15"/>
  <c r="AI310" i="15"/>
  <c r="AI265" i="15"/>
  <c r="AI245" i="15"/>
  <c r="AI246" i="15"/>
  <c r="H748" i="17"/>
  <c r="AI313" i="15"/>
  <c r="AI224" i="15"/>
  <c r="U89" i="15"/>
  <c r="U288" i="15"/>
  <c r="U309" i="15" s="1"/>
  <c r="X225" i="15"/>
  <c r="AD85" i="15"/>
  <c r="AD287" i="15"/>
  <c r="AC159" i="15"/>
  <c r="AK56" i="15"/>
  <c r="AK40" i="15" s="1"/>
  <c r="AK36" i="15" s="1"/>
  <c r="AI40" i="15"/>
  <c r="AI36" i="15" s="1"/>
  <c r="AI251" i="15"/>
  <c r="AJ77" i="15"/>
  <c r="AK77" i="15" s="1"/>
  <c r="AK186" i="15" s="1"/>
  <c r="L348" i="15"/>
  <c r="L350" i="15" s="1"/>
  <c r="AK7" i="15"/>
  <c r="AK160" i="15" s="1"/>
  <c r="AC104" i="15"/>
  <c r="AC105" i="15" s="1"/>
  <c r="U225" i="15"/>
  <c r="U339" i="15"/>
  <c r="C121" i="15"/>
  <c r="R310" i="15"/>
  <c r="V350" i="15"/>
  <c r="V349" i="15"/>
  <c r="AB26" i="15"/>
  <c r="AC11" i="15"/>
  <c r="AC26" i="15" s="1"/>
  <c r="AB13" i="15"/>
  <c r="AN11" i="15"/>
  <c r="AN26" i="15" s="1"/>
  <c r="I170" i="15"/>
  <c r="I360" i="15"/>
  <c r="AM379" i="15"/>
  <c r="AF379" i="15"/>
  <c r="AH359" i="15"/>
  <c r="AI121" i="15"/>
  <c r="AI195" i="15"/>
  <c r="AI260" i="15" s="1"/>
  <c r="AI257" i="15"/>
  <c r="AI359" i="15"/>
  <c r="X61" i="15"/>
  <c r="R349" i="15"/>
  <c r="R350" i="15"/>
  <c r="F231" i="15"/>
  <c r="F232" i="15"/>
  <c r="G231" i="15"/>
  <c r="T26" i="15"/>
  <c r="T13" i="15"/>
  <c r="T30" i="15"/>
  <c r="E308" i="15"/>
  <c r="E201" i="15"/>
  <c r="E266" i="15"/>
  <c r="E290" i="15"/>
  <c r="E311" i="15"/>
  <c r="R170" i="15"/>
  <c r="S61" i="15"/>
  <c r="T66" i="15"/>
  <c r="T175" i="15" s="1"/>
  <c r="S240" i="15"/>
  <c r="Q180" i="15"/>
  <c r="E389" i="15"/>
  <c r="E390" i="15"/>
  <c r="X369" i="15"/>
  <c r="T369" i="15"/>
  <c r="AK63" i="15"/>
  <c r="T349" i="15"/>
  <c r="X349" i="15"/>
  <c r="AK65" i="15"/>
  <c r="AK174" i="15" s="1"/>
  <c r="AJ175" i="15"/>
  <c r="Y176" i="15"/>
  <c r="U182" i="15"/>
  <c r="U247" i="15"/>
  <c r="H388" i="15"/>
  <c r="H389" i="15" s="1"/>
  <c r="H183" i="15"/>
  <c r="L174" i="15"/>
  <c r="AK289" i="15"/>
  <c r="L26" i="15"/>
  <c r="AK357" i="15"/>
  <c r="AK16" i="15"/>
  <c r="AK31" i="15" s="1"/>
  <c r="J256" i="20"/>
  <c r="J231" i="20"/>
  <c r="AB182" i="15"/>
  <c r="AF249" i="15"/>
  <c r="AF184" i="15"/>
  <c r="AF297" i="15"/>
  <c r="AF318" i="15" s="1"/>
  <c r="AF195" i="15"/>
  <c r="AF260" i="15" s="1"/>
  <c r="E294" i="15"/>
  <c r="E315" i="15" s="1"/>
  <c r="E150" i="15"/>
  <c r="D291" i="15"/>
  <c r="S39" i="15"/>
  <c r="S28" i="15"/>
  <c r="AF64" i="15"/>
  <c r="AF238" i="15" s="1"/>
  <c r="AF235" i="15"/>
  <c r="X251" i="15"/>
  <c r="U200" i="15"/>
  <c r="U265" i="15" s="1"/>
  <c r="AJ186" i="15"/>
  <c r="X237" i="15"/>
  <c r="Z173" i="15"/>
  <c r="F214" i="15"/>
  <c r="H315" i="15"/>
  <c r="AA235" i="15"/>
  <c r="AA170" i="15"/>
  <c r="AI130" i="15"/>
  <c r="AI128" i="15"/>
  <c r="S170" i="15"/>
  <c r="J382" i="20"/>
  <c r="J317" i="20"/>
  <c r="J330" i="20"/>
  <c r="J360" i="20" s="1"/>
  <c r="J371" i="20" s="1"/>
  <c r="J291" i="20"/>
  <c r="J228" i="20"/>
  <c r="J162" i="20"/>
  <c r="J145" i="20"/>
  <c r="J100" i="20"/>
  <c r="J87" i="20"/>
  <c r="J39" i="20"/>
  <c r="J62" i="20" s="1"/>
  <c r="U66" i="15"/>
  <c r="T240" i="15"/>
  <c r="AN62" i="15"/>
  <c r="AC62" i="15"/>
  <c r="AC171" i="15" s="1"/>
  <c r="AJ30" i="15"/>
  <c r="AH30" i="15"/>
  <c r="AH234" i="15"/>
  <c r="AH169" i="15"/>
  <c r="F279" i="15"/>
  <c r="AG62" i="15"/>
  <c r="H231" i="15"/>
  <c r="X39" i="15"/>
  <c r="X41" i="15" s="1"/>
  <c r="X44" i="15" s="1"/>
  <c r="X28" i="15"/>
  <c r="Q171" i="15"/>
  <c r="C292" i="15"/>
  <c r="C313" i="15"/>
  <c r="E249" i="15"/>
  <c r="E184" i="15"/>
  <c r="Q75" i="15"/>
  <c r="Q184" i="15"/>
  <c r="C176" i="15"/>
  <c r="C241" i="15"/>
  <c r="P234" i="15"/>
  <c r="P169" i="15"/>
  <c r="P66" i="15"/>
  <c r="Q182" i="15"/>
  <c r="Q247" i="15"/>
  <c r="R231" i="15"/>
  <c r="E370" i="15"/>
  <c r="E369" i="15"/>
  <c r="F369" i="15"/>
  <c r="O184" i="15"/>
  <c r="P75" i="15"/>
  <c r="O249" i="15"/>
  <c r="F64" i="15"/>
  <c r="E235" i="15"/>
  <c r="Z231" i="15"/>
  <c r="V232" i="15"/>
  <c r="V231" i="15"/>
  <c r="Y85" i="15"/>
  <c r="Y287" i="15" s="1"/>
  <c r="Y7" i="15"/>
  <c r="Y160" i="15"/>
  <c r="Z85" i="15"/>
  <c r="Z287" i="15" s="1"/>
  <c r="Z291" i="15" s="1"/>
  <c r="AB85" i="15"/>
  <c r="AB287" i="15"/>
  <c r="AB308" i="15"/>
  <c r="Y159" i="15"/>
  <c r="Y224" i="15"/>
  <c r="Y232" i="15"/>
  <c r="AA85" i="15"/>
  <c r="AA287" i="15" s="1"/>
  <c r="Y47" i="15"/>
  <c r="Y167" i="15" s="1"/>
  <c r="AD10" i="15"/>
  <c r="AD13" i="15"/>
  <c r="AE40" i="15"/>
  <c r="AE36" i="15" s="1"/>
  <c r="AF56" i="15"/>
  <c r="AD238" i="15"/>
  <c r="N238" i="15"/>
  <c r="L17" i="15"/>
  <c r="L28" i="15"/>
  <c r="G124" i="15"/>
  <c r="AI369" i="15"/>
  <c r="J151" i="15"/>
  <c r="AB39" i="15"/>
  <c r="AB41" i="15" s="1"/>
  <c r="D30" i="15"/>
  <c r="D257" i="15"/>
  <c r="C234" i="15"/>
  <c r="C64" i="15"/>
  <c r="C169" i="15"/>
  <c r="E231" i="15"/>
  <c r="E232" i="15"/>
  <c r="R35" i="15"/>
  <c r="R174" i="15"/>
  <c r="R239" i="15"/>
  <c r="S65" i="15"/>
  <c r="S174" i="15"/>
  <c r="S249" i="15"/>
  <c r="S184" i="15"/>
  <c r="T75" i="15"/>
  <c r="T249" i="15" s="1"/>
  <c r="S232" i="15"/>
  <c r="S231" i="15"/>
  <c r="U308" i="15"/>
  <c r="U312" i="15" s="1"/>
  <c r="U291" i="15"/>
  <c r="D10" i="15"/>
  <c r="D13" i="15"/>
  <c r="D17" i="15" s="1"/>
  <c r="Y72" i="15"/>
  <c r="X246" i="15"/>
  <c r="AC169" i="15"/>
  <c r="AD128" i="15"/>
  <c r="AD130" i="15"/>
  <c r="AD131" i="15" s="1"/>
  <c r="AK62" i="15"/>
  <c r="AK171" i="15" s="1"/>
  <c r="AN69" i="15"/>
  <c r="AF237" i="15"/>
  <c r="AI92" i="15"/>
  <c r="AF172" i="15"/>
  <c r="AG92" i="15"/>
  <c r="AG293" i="15" s="1"/>
  <c r="O171" i="15"/>
  <c r="O236" i="15"/>
  <c r="V26" i="15"/>
  <c r="V13" i="15"/>
  <c r="V370" i="15"/>
  <c r="T232" i="15"/>
  <c r="AF130" i="15"/>
  <c r="E64" i="15"/>
  <c r="E238" i="15" s="1"/>
  <c r="S237" i="15"/>
  <c r="T121" i="15"/>
  <c r="T130" i="15" s="1"/>
  <c r="W30" i="15"/>
  <c r="V30" i="15"/>
  <c r="AH231" i="15"/>
  <c r="AE195" i="15"/>
  <c r="AE260" i="15" s="1"/>
  <c r="AE136" i="15"/>
  <c r="E234" i="15"/>
  <c r="F292" i="15"/>
  <c r="F313" i="15"/>
  <c r="H26" i="15"/>
  <c r="AA178" i="15"/>
  <c r="AA243" i="15"/>
  <c r="X53" i="15"/>
  <c r="AG289" i="15"/>
  <c r="C842" i="17"/>
  <c r="AB340" i="15"/>
  <c r="W181" i="15"/>
  <c r="AB175" i="15"/>
  <c r="AB240" i="15"/>
  <c r="O178" i="15"/>
  <c r="P69" i="15"/>
  <c r="S360" i="15"/>
  <c r="Z105" i="15"/>
  <c r="K60" i="15"/>
  <c r="K169" i="15" s="1"/>
  <c r="K165" i="15"/>
  <c r="L165" i="15"/>
  <c r="L46" i="15"/>
  <c r="L166" i="15"/>
  <c r="L360" i="15"/>
  <c r="G232" i="15"/>
  <c r="H169" i="15"/>
  <c r="H234" i="15"/>
  <c r="H64" i="15"/>
  <c r="G88" i="15"/>
  <c r="G165" i="15"/>
  <c r="G46" i="15"/>
  <c r="G166" i="15" s="1"/>
  <c r="G47" i="15"/>
  <c r="G167" i="15"/>
  <c r="O10" i="15"/>
  <c r="O13" i="15"/>
  <c r="C1066" i="17"/>
  <c r="AA202" i="15"/>
  <c r="AA267" i="15"/>
  <c r="L88" i="15"/>
  <c r="L47" i="15"/>
  <c r="L167" i="15"/>
  <c r="F349" i="15"/>
  <c r="P26" i="15"/>
  <c r="P13" i="15"/>
  <c r="D170" i="15"/>
  <c r="H225" i="15"/>
  <c r="F225" i="15"/>
  <c r="F26" i="15"/>
  <c r="F13" i="15"/>
  <c r="F86" i="15"/>
  <c r="V64" i="15"/>
  <c r="Y356" i="15"/>
  <c r="AA105" i="15"/>
  <c r="AA249" i="15"/>
  <c r="AN75" i="15"/>
  <c r="AB54" i="15"/>
  <c r="AB53" i="15"/>
  <c r="AI184" i="15"/>
  <c r="AN339" i="15"/>
  <c r="AN348" i="15"/>
  <c r="AM359" i="15"/>
  <c r="AA28" i="15"/>
  <c r="AA39" i="15"/>
  <c r="AA41" i="15" s="1"/>
  <c r="AG202" i="15"/>
  <c r="E35" i="15"/>
  <c r="E239" i="15"/>
  <c r="H49" i="15"/>
  <c r="H90" i="15" s="1"/>
  <c r="H290" i="15" s="1"/>
  <c r="H311" i="15" s="1"/>
  <c r="H88" i="15"/>
  <c r="H151" i="15" s="1"/>
  <c r="H279" i="15" s="1"/>
  <c r="H214" i="15"/>
  <c r="AG14" i="15"/>
  <c r="AH379" i="15"/>
  <c r="AB105" i="15"/>
  <c r="Y27" i="15"/>
  <c r="W241" i="15"/>
  <c r="S340" i="15"/>
  <c r="AE105" i="15"/>
  <c r="AI202" i="15"/>
  <c r="AI267" i="15"/>
  <c r="V183" i="15"/>
  <c r="Y355" i="15"/>
  <c r="U348" i="15"/>
  <c r="U350" i="15" s="1"/>
  <c r="U349" i="15"/>
  <c r="AO369" i="15"/>
  <c r="R232" i="15"/>
  <c r="AG104" i="15"/>
  <c r="AG105" i="15"/>
  <c r="AB360" i="15"/>
  <c r="AF198" i="15"/>
  <c r="AF263" i="15" s="1"/>
  <c r="AF148" i="15"/>
  <c r="U63" i="15"/>
  <c r="T237" i="15"/>
  <c r="Q249" i="15"/>
  <c r="S370" i="15"/>
  <c r="AJ35" i="15"/>
  <c r="AH313" i="15"/>
  <c r="O39" i="15"/>
  <c r="O41" i="15" s="1"/>
  <c r="AD136" i="15"/>
  <c r="AB249" i="15"/>
  <c r="X68" i="15"/>
  <c r="W177" i="15"/>
  <c r="W242" i="15"/>
  <c r="W378" i="15"/>
  <c r="AA379" i="15"/>
  <c r="Y377" i="15"/>
  <c r="AA232" i="15"/>
  <c r="I116" i="15"/>
  <c r="I121" i="15" s="1"/>
  <c r="I136" i="15" s="1"/>
  <c r="AC116" i="15"/>
  <c r="AC121" i="15"/>
  <c r="G169" i="15"/>
  <c r="G64" i="15"/>
  <c r="G238" i="15" s="1"/>
  <c r="AJ289" i="15"/>
  <c r="C724" i="17"/>
  <c r="O28" i="15"/>
  <c r="AB40" i="15"/>
  <c r="AB36" i="15"/>
  <c r="Q308" i="15"/>
  <c r="F202" i="15"/>
  <c r="F267" i="15"/>
  <c r="V174" i="15"/>
  <c r="V239" i="15"/>
  <c r="W65" i="15"/>
  <c r="W174" i="15"/>
  <c r="V50" i="15"/>
  <c r="W48" i="15"/>
  <c r="V49" i="15"/>
  <c r="AG47" i="15"/>
  <c r="AG167" i="15" s="1"/>
  <c r="AJ105" i="15"/>
  <c r="AG224" i="15"/>
  <c r="AG25" i="15"/>
  <c r="AG159" i="15"/>
  <c r="AI85" i="15"/>
  <c r="AI287" i="15"/>
  <c r="AI105" i="15"/>
  <c r="AJ85" i="15"/>
  <c r="AJ287" i="15"/>
  <c r="AH105" i="15"/>
  <c r="AG85" i="15"/>
  <c r="AG287" i="15"/>
  <c r="AD195" i="15"/>
  <c r="AD260" i="15" s="1"/>
  <c r="O242" i="15"/>
  <c r="P68" i="15"/>
  <c r="P177" i="15"/>
  <c r="D389" i="15"/>
  <c r="H340" i="15"/>
  <c r="I340" i="15"/>
  <c r="V53" i="15"/>
  <c r="V54" i="15"/>
  <c r="AB121" i="15"/>
  <c r="AB192" i="15"/>
  <c r="AB257" i="15" s="1"/>
  <c r="H31" i="15"/>
  <c r="I174" i="15"/>
  <c r="I94" i="15"/>
  <c r="I35" i="15"/>
  <c r="AF26" i="15"/>
  <c r="AF13" i="15"/>
  <c r="AF28" i="15" s="1"/>
  <c r="AG169" i="15"/>
  <c r="AG234" i="15"/>
  <c r="AO349" i="15"/>
  <c r="AH349" i="15"/>
  <c r="AJ84" i="15"/>
  <c r="AJ329" i="15"/>
  <c r="AJ97" i="15"/>
  <c r="AJ221" i="15"/>
  <c r="AJ156" i="15"/>
  <c r="AJ286" i="15"/>
  <c r="AJ372" i="15"/>
  <c r="AJ307" i="15"/>
  <c r="AK2" i="15"/>
  <c r="AK38" i="15"/>
  <c r="AJ382" i="15"/>
  <c r="AJ38" i="15"/>
  <c r="AJ59" i="15"/>
  <c r="AJ139" i="15"/>
  <c r="AI181" i="15"/>
  <c r="AJ72" i="15"/>
  <c r="AI237" i="15"/>
  <c r="AI240" i="15"/>
  <c r="AI247" i="15"/>
  <c r="AI242" i="15"/>
  <c r="AI236" i="15"/>
  <c r="F359" i="15"/>
  <c r="E359" i="15"/>
  <c r="O380" i="15"/>
  <c r="I10" i="15"/>
  <c r="AB169" i="15"/>
  <c r="AB234" i="15"/>
  <c r="I60" i="15"/>
  <c r="I64" i="15"/>
  <c r="I70" i="15"/>
  <c r="I47" i="15"/>
  <c r="I167" i="15" s="1"/>
  <c r="I165" i="15"/>
  <c r="AI26" i="15"/>
  <c r="AI13" i="15"/>
  <c r="AA350" i="15"/>
  <c r="U180" i="15"/>
  <c r="AA380" i="15"/>
  <c r="AJ67" i="15"/>
  <c r="AI176" i="15"/>
  <c r="AD297" i="15"/>
  <c r="AD318" i="15"/>
  <c r="AJ369" i="15"/>
  <c r="E86" i="15"/>
  <c r="E28" i="15"/>
  <c r="C225" i="15"/>
  <c r="D225" i="15"/>
  <c r="I52" i="15"/>
  <c r="AC53" i="15"/>
  <c r="AF68" i="15"/>
  <c r="AF242" i="15"/>
  <c r="AE177" i="15"/>
  <c r="J121" i="15"/>
  <c r="J195" i="15" s="1"/>
  <c r="J260" i="15" s="1"/>
  <c r="J192" i="15"/>
  <c r="J257" i="15"/>
  <c r="J340" i="15"/>
  <c r="L340" i="15"/>
  <c r="AH192" i="15"/>
  <c r="AH257" i="15" s="1"/>
  <c r="AH195" i="15"/>
  <c r="AH260" i="15"/>
  <c r="F289" i="15"/>
  <c r="F310" i="15" s="1"/>
  <c r="O169" i="15"/>
  <c r="O234" i="15"/>
  <c r="AB67" i="15"/>
  <c r="AA241" i="15"/>
  <c r="AA176" i="15"/>
  <c r="AA237" i="15"/>
  <c r="H359" i="15"/>
  <c r="AE297" i="15"/>
  <c r="AE318" i="15" s="1"/>
  <c r="AE128" i="15"/>
  <c r="AE298" i="15"/>
  <c r="AE319" i="15"/>
  <c r="AE130" i="15"/>
  <c r="AE131" i="15" s="1"/>
  <c r="AH360" i="15"/>
  <c r="K10" i="15"/>
  <c r="AG27" i="15"/>
  <c r="Z369" i="15"/>
  <c r="S349" i="15"/>
  <c r="L32" i="15"/>
  <c r="AA92" i="15"/>
  <c r="AA293" i="15" s="1"/>
  <c r="AA314" i="15" s="1"/>
  <c r="E43" i="15"/>
  <c r="E163" i="15"/>
  <c r="E161" i="15"/>
  <c r="D121" i="15"/>
  <c r="Z360" i="15"/>
  <c r="S308" i="15"/>
  <c r="AF289" i="15"/>
  <c r="AF202" i="15"/>
  <c r="N248" i="15"/>
  <c r="O74" i="15"/>
  <c r="AC369" i="15"/>
  <c r="C232" i="15"/>
  <c r="O65" i="15"/>
  <c r="O35" i="15" s="1"/>
  <c r="S288" i="15"/>
  <c r="S309" i="15" s="1"/>
  <c r="S200" i="15"/>
  <c r="S265" i="15"/>
  <c r="J248" i="20"/>
  <c r="J243" i="20"/>
  <c r="J253" i="20"/>
  <c r="J249" i="20"/>
  <c r="J250" i="20"/>
  <c r="J237" i="20"/>
  <c r="J258" i="20"/>
  <c r="J244" i="20"/>
  <c r="J247" i="20"/>
  <c r="J252" i="20"/>
  <c r="T297" i="15"/>
  <c r="T318" i="15" s="1"/>
  <c r="S239" i="15"/>
  <c r="T65" i="15"/>
  <c r="S35" i="15"/>
  <c r="P28" i="15"/>
  <c r="Y181" i="15"/>
  <c r="Y246" i="15"/>
  <c r="C238" i="15"/>
  <c r="C173" i="15"/>
  <c r="AJ184" i="15"/>
  <c r="AK75" i="15"/>
  <c r="U240" i="15"/>
  <c r="U175" i="15"/>
  <c r="H289" i="15"/>
  <c r="H310" i="15" s="1"/>
  <c r="H312" i="15" s="1"/>
  <c r="H150" i="15"/>
  <c r="H213" i="15" s="1"/>
  <c r="H202" i="15"/>
  <c r="H267" i="15" s="1"/>
  <c r="G151" i="15"/>
  <c r="G214" i="15" s="1"/>
  <c r="G279" i="15"/>
  <c r="P184" i="15"/>
  <c r="P249" i="15"/>
  <c r="X226" i="15"/>
  <c r="X161" i="15"/>
  <c r="V238" i="15"/>
  <c r="AG151" i="15"/>
  <c r="Y225" i="15"/>
  <c r="AA43" i="15"/>
  <c r="AA163" i="15" s="1"/>
  <c r="L202" i="15"/>
  <c r="L267" i="15" s="1"/>
  <c r="L151" i="15"/>
  <c r="L279" i="15" s="1"/>
  <c r="S19" i="15"/>
  <c r="S33" i="15"/>
  <c r="U75" i="15"/>
  <c r="U249" i="15" s="1"/>
  <c r="T184" i="15"/>
  <c r="AG171" i="15"/>
  <c r="AG236" i="15"/>
  <c r="O17" i="15"/>
  <c r="O32" i="15" s="1"/>
  <c r="E70" i="15"/>
  <c r="E244" i="15"/>
  <c r="AI293" i="15"/>
  <c r="AI314" i="15"/>
  <c r="AI151" i="15"/>
  <c r="AB312" i="15"/>
  <c r="AB291" i="15"/>
  <c r="H70" i="15"/>
  <c r="H244" i="15" s="1"/>
  <c r="H238" i="15"/>
  <c r="H173" i="15"/>
  <c r="Z308" i="15"/>
  <c r="Z312" i="15" s="1"/>
  <c r="F70" i="15"/>
  <c r="F244" i="15" s="1"/>
  <c r="AB136" i="15"/>
  <c r="AB128" i="15"/>
  <c r="AB198" i="15" s="1"/>
  <c r="AB263" i="15" s="1"/>
  <c r="AB195" i="15"/>
  <c r="AB260" i="15" s="1"/>
  <c r="AK72" i="15"/>
  <c r="AK181" i="15"/>
  <c r="U92" i="15"/>
  <c r="U151" i="15" s="1"/>
  <c r="G173" i="15"/>
  <c r="Y68" i="15"/>
  <c r="I169" i="15"/>
  <c r="I192" i="15"/>
  <c r="I257" i="15" s="1"/>
  <c r="I30" i="15"/>
  <c r="X48" i="15"/>
  <c r="X50" i="15" s="1"/>
  <c r="W49" i="15"/>
  <c r="Y90" i="15" s="1"/>
  <c r="W50" i="15"/>
  <c r="J128" i="15"/>
  <c r="J298" i="15" s="1"/>
  <c r="J319" i="15" s="1"/>
  <c r="J297" i="15"/>
  <c r="J318" i="15" s="1"/>
  <c r="J136" i="15"/>
  <c r="AK382" i="15"/>
  <c r="AK342" i="15"/>
  <c r="AK84" i="15"/>
  <c r="AK352" i="15"/>
  <c r="AG291" i="15"/>
  <c r="I370" i="15"/>
  <c r="I28" i="15"/>
  <c r="I86" i="15"/>
  <c r="U237" i="15"/>
  <c r="AE198" i="15"/>
  <c r="AE263" i="15"/>
  <c r="F312" i="15"/>
  <c r="F291" i="15"/>
  <c r="AH136" i="15"/>
  <c r="AH297" i="15"/>
  <c r="AH318" i="15" s="1"/>
  <c r="AH130" i="15"/>
  <c r="AH131" i="15"/>
  <c r="AF177" i="15"/>
  <c r="AC67" i="15"/>
  <c r="AC176" i="15"/>
  <c r="AI39" i="15"/>
  <c r="AI41" i="15"/>
  <c r="AI28" i="15"/>
  <c r="W380" i="15"/>
  <c r="O183" i="15"/>
  <c r="O248" i="15"/>
  <c r="P74" i="15"/>
  <c r="U380" i="15"/>
  <c r="D136" i="15"/>
  <c r="D128" i="15"/>
  <c r="D298" i="15" s="1"/>
  <c r="O174" i="15"/>
  <c r="H95" i="15"/>
  <c r="H295" i="15" s="1"/>
  <c r="H316" i="15" s="1"/>
  <c r="H282" i="15"/>
  <c r="O19" i="15"/>
  <c r="O33" i="15"/>
  <c r="U184" i="15"/>
  <c r="H291" i="15"/>
  <c r="L214" i="15"/>
  <c r="L282" i="15"/>
  <c r="AB276" i="15"/>
  <c r="I297" i="15"/>
  <c r="I318" i="15" s="1"/>
  <c r="P183" i="15"/>
  <c r="P248" i="15"/>
  <c r="O21" i="15"/>
  <c r="I76" i="15"/>
  <c r="L246" i="15"/>
  <c r="AK219" i="15"/>
  <c r="L219" i="15"/>
  <c r="L224" i="15" s="1"/>
  <c r="N292" i="20"/>
  <c r="L249" i="15"/>
  <c r="L235" i="15"/>
  <c r="L314" i="15"/>
  <c r="L245" i="15"/>
  <c r="L241" i="15"/>
  <c r="L313" i="15"/>
  <c r="L236" i="15"/>
  <c r="L234" i="15"/>
  <c r="L230" i="15"/>
  <c r="L232" i="15" s="1"/>
  <c r="L247" i="15"/>
  <c r="L243" i="15"/>
  <c r="L237" i="15"/>
  <c r="N298" i="20" s="1"/>
  <c r="L251" i="15"/>
  <c r="L242" i="15"/>
  <c r="L265" i="15"/>
  <c r="L239" i="15"/>
  <c r="L266" i="15"/>
  <c r="H76" i="15"/>
  <c r="AA151" i="15"/>
  <c r="AA279" i="15" s="1"/>
  <c r="H201" i="15"/>
  <c r="H266" i="15"/>
  <c r="AI17" i="15"/>
  <c r="AI33" i="15" s="1"/>
  <c r="AI370" i="15"/>
  <c r="C145" i="15"/>
  <c r="C136" i="15"/>
  <c r="C130" i="15"/>
  <c r="C131" i="15" s="1"/>
  <c r="X178" i="15"/>
  <c r="X243" i="15"/>
  <c r="Y69" i="15"/>
  <c r="P240" i="15"/>
  <c r="P175" i="15"/>
  <c r="AH198" i="15"/>
  <c r="AH263" i="15" s="1"/>
  <c r="AH298" i="15"/>
  <c r="AH319" i="15"/>
  <c r="Q66" i="15"/>
  <c r="T35" i="15"/>
  <c r="U65" i="15"/>
  <c r="AK156" i="15"/>
  <c r="AK372" i="15"/>
  <c r="AK362" i="15"/>
  <c r="AK307" i="15"/>
  <c r="AK59" i="15"/>
  <c r="AK329" i="15"/>
  <c r="R173" i="15"/>
  <c r="R70" i="15"/>
  <c r="L161" i="15"/>
  <c r="L43" i="15"/>
  <c r="L163" i="15"/>
  <c r="L44" i="15"/>
  <c r="E76" i="15"/>
  <c r="G150" i="15"/>
  <c r="G289" i="15"/>
  <c r="G202" i="15"/>
  <c r="G267" i="15" s="1"/>
  <c r="L226" i="15"/>
  <c r="AH148" i="15"/>
  <c r="AH303" i="15" s="1"/>
  <c r="AI43" i="15"/>
  <c r="AI163" i="15" s="1"/>
  <c r="H278" i="15"/>
  <c r="AK97" i="15"/>
  <c r="AK139" i="15"/>
  <c r="Q68" i="15"/>
  <c r="Q242" i="15" s="1"/>
  <c r="Q177" i="15"/>
  <c r="S43" i="15"/>
  <c r="S163" i="15" s="1"/>
  <c r="S161" i="15"/>
  <c r="J198" i="15"/>
  <c r="J263" i="15" s="1"/>
  <c r="H281" i="15"/>
  <c r="AF17" i="15"/>
  <c r="AF19" i="15" s="1"/>
  <c r="AK286" i="15"/>
  <c r="P242" i="15"/>
  <c r="L87" i="15"/>
  <c r="H179" i="15"/>
  <c r="U293" i="15"/>
  <c r="U314" i="15" s="1"/>
  <c r="U214" i="15"/>
  <c r="J148" i="15"/>
  <c r="J211" i="15" s="1"/>
  <c r="AK221" i="15"/>
  <c r="I130" i="15"/>
  <c r="I131" i="15"/>
  <c r="I195" i="15"/>
  <c r="I260" i="15"/>
  <c r="I128" i="15"/>
  <c r="E173" i="15"/>
  <c r="AG248" i="15"/>
  <c r="AB370" i="15"/>
  <c r="AB28" i="15"/>
  <c r="C291" i="15"/>
  <c r="W235" i="15"/>
  <c r="W64" i="15"/>
  <c r="T61" i="15"/>
  <c r="S235" i="15"/>
  <c r="C288" i="15"/>
  <c r="C309" i="15" s="1"/>
  <c r="C142" i="15"/>
  <c r="C205" i="15" s="1"/>
  <c r="J200" i="15"/>
  <c r="J288" i="15"/>
  <c r="V291" i="15"/>
  <c r="AC69" i="15"/>
  <c r="AB178" i="15"/>
  <c r="S50" i="15"/>
  <c r="S49" i="15"/>
  <c r="T90" i="15" s="1"/>
  <c r="O240" i="15"/>
  <c r="O175" i="15"/>
  <c r="S380" i="15"/>
  <c r="S379" i="15"/>
  <c r="R30" i="15"/>
  <c r="AN53" i="15"/>
  <c r="Y53" i="15"/>
  <c r="Y54" i="15"/>
  <c r="AA89" i="15"/>
  <c r="F89" i="15"/>
  <c r="F54" i="15"/>
  <c r="W245" i="15"/>
  <c r="W180" i="15"/>
  <c r="J358" i="15"/>
  <c r="AN357" i="15"/>
  <c r="AN358" i="15"/>
  <c r="J183" i="15"/>
  <c r="AJ219" i="15"/>
  <c r="H788" i="17"/>
  <c r="C791" i="17" s="1"/>
  <c r="P39" i="15"/>
  <c r="P41" i="15" s="1"/>
  <c r="P186" i="15"/>
  <c r="T48" i="15"/>
  <c r="T370" i="15"/>
  <c r="L368" i="15"/>
  <c r="J130" i="15"/>
  <c r="J131" i="15" s="1"/>
  <c r="T131" i="15"/>
  <c r="D39" i="15"/>
  <c r="D41" i="15"/>
  <c r="D370" i="15"/>
  <c r="C200" i="15"/>
  <c r="C265" i="15" s="1"/>
  <c r="Z13" i="15"/>
  <c r="AC175" i="15"/>
  <c r="J39" i="15"/>
  <c r="J41" i="15"/>
  <c r="J161" i="15" s="1"/>
  <c r="J17" i="15"/>
  <c r="J32" i="15"/>
  <c r="Z70" i="15"/>
  <c r="Z238" i="15"/>
  <c r="AC65" i="15"/>
  <c r="AE94" i="15" s="1"/>
  <c r="AB35" i="15"/>
  <c r="AB174" i="15"/>
  <c r="AB239" i="15"/>
  <c r="N13" i="15"/>
  <c r="N26" i="15"/>
  <c r="P236" i="15"/>
  <c r="P171" i="15"/>
  <c r="F379" i="15"/>
  <c r="F380" i="15"/>
  <c r="G379" i="15"/>
  <c r="R31" i="15"/>
  <c r="AH235" i="15"/>
  <c r="AH64" i="15"/>
  <c r="AI350" i="15"/>
  <c r="AI349" i="15"/>
  <c r="L315" i="15"/>
  <c r="L240" i="15"/>
  <c r="AB176" i="15"/>
  <c r="W239" i="15"/>
  <c r="D28" i="15"/>
  <c r="Q17" i="15"/>
  <c r="AB17" i="15"/>
  <c r="AB33" i="15" s="1"/>
  <c r="S64" i="15"/>
  <c r="J370" i="15"/>
  <c r="X291" i="15"/>
  <c r="C248" i="15"/>
  <c r="AG308" i="15"/>
  <c r="E281" i="15"/>
  <c r="AB171" i="15"/>
  <c r="AA64" i="15"/>
  <c r="L86" i="15"/>
  <c r="AD234" i="15"/>
  <c r="AD235" i="15"/>
  <c r="AI35" i="15"/>
  <c r="S251" i="15"/>
  <c r="R288" i="15"/>
  <c r="R309" i="15"/>
  <c r="R200" i="15"/>
  <c r="R265" i="15"/>
  <c r="Q104" i="15"/>
  <c r="Q105" i="15"/>
  <c r="AB242" i="15"/>
  <c r="AB177" i="15"/>
  <c r="I348" i="15"/>
  <c r="AC347" i="15"/>
  <c r="AC348" i="15"/>
  <c r="AD239" i="15"/>
  <c r="Z297" i="15"/>
  <c r="Z195" i="15"/>
  <c r="Z136" i="15"/>
  <c r="W10" i="15"/>
  <c r="W13" i="15"/>
  <c r="W370" i="15" s="1"/>
  <c r="AB71" i="15"/>
  <c r="AA180" i="15"/>
  <c r="AE26" i="15"/>
  <c r="AE13" i="15"/>
  <c r="AH239" i="15"/>
  <c r="AH35" i="15"/>
  <c r="AH174" i="15"/>
  <c r="R50" i="15"/>
  <c r="U236" i="15"/>
  <c r="AD242" i="15"/>
  <c r="F94" i="15"/>
  <c r="E349" i="15"/>
  <c r="F360" i="15"/>
  <c r="F235" i="15"/>
  <c r="F170" i="15"/>
  <c r="J31" i="15"/>
  <c r="AN16" i="15"/>
  <c r="AN31" i="15" s="1"/>
  <c r="Z92" i="15"/>
  <c r="Z130" i="15"/>
  <c r="Z131" i="15" s="1"/>
  <c r="Z128" i="15"/>
  <c r="AD251" i="15"/>
  <c r="AA32" i="15"/>
  <c r="AA19" i="15"/>
  <c r="AA33" i="15"/>
  <c r="C151" i="15"/>
  <c r="C282" i="15" s="1"/>
  <c r="C293" i="15"/>
  <c r="C314" i="15" s="1"/>
  <c r="G183" i="15"/>
  <c r="G248" i="15"/>
  <c r="AD348" i="15"/>
  <c r="AG347" i="15"/>
  <c r="AI177" i="15"/>
  <c r="AJ68" i="15"/>
  <c r="E279" i="15"/>
  <c r="AA239" i="15"/>
  <c r="E183" i="15"/>
  <c r="E248" i="15"/>
  <c r="Z169" i="15"/>
  <c r="Z234" i="15"/>
  <c r="S372" i="15"/>
  <c r="S307" i="15"/>
  <c r="T89" i="15"/>
  <c r="V89" i="15"/>
  <c r="S53" i="15"/>
  <c r="K47" i="15"/>
  <c r="K167" i="15"/>
  <c r="K88" i="15"/>
  <c r="AD248" i="15"/>
  <c r="AD249" i="15"/>
  <c r="AD246" i="15"/>
  <c r="AD240" i="15"/>
  <c r="AD243" i="15"/>
  <c r="AD241" i="15"/>
  <c r="AD245" i="15"/>
  <c r="AD224" i="15"/>
  <c r="R234" i="15"/>
  <c r="R169" i="15"/>
  <c r="F239" i="15"/>
  <c r="F174" i="15"/>
  <c r="W202" i="15"/>
  <c r="W267" i="15" s="1"/>
  <c r="W289" i="15"/>
  <c r="Y9" i="15"/>
  <c r="Y10" i="15" s="1"/>
  <c r="Y25" i="15"/>
  <c r="N30" i="15"/>
  <c r="K340" i="15"/>
  <c r="G340" i="15"/>
  <c r="AH340" i="15"/>
  <c r="AH92" i="15"/>
  <c r="Q169" i="15"/>
  <c r="AI30" i="15"/>
  <c r="AI340" i="15"/>
  <c r="G195" i="15"/>
  <c r="AN368" i="15"/>
  <c r="Y30" i="15"/>
  <c r="AH291" i="15"/>
  <c r="R225" i="15"/>
  <c r="K380" i="15"/>
  <c r="P121" i="15"/>
  <c r="Y104" i="15"/>
  <c r="Y105" i="15"/>
  <c r="AB369" i="15"/>
  <c r="D340" i="15"/>
  <c r="P360" i="15"/>
  <c r="AC15" i="15"/>
  <c r="AJ13" i="15"/>
  <c r="AK247" i="15"/>
  <c r="AK240" i="15"/>
  <c r="AK224" i="15"/>
  <c r="AK225" i="15"/>
  <c r="AK251" i="15"/>
  <c r="AK246" i="15"/>
  <c r="AK230" i="15"/>
  <c r="AK231" i="15" s="1"/>
  <c r="AK236" i="15"/>
  <c r="AK234" i="15"/>
  <c r="AK237" i="15"/>
  <c r="AF21" i="15"/>
  <c r="C644" i="17"/>
  <c r="L309" i="15"/>
  <c r="AA214" i="15"/>
  <c r="AF33" i="15"/>
  <c r="AB148" i="15"/>
  <c r="AB298" i="15"/>
  <c r="AB319" i="15"/>
  <c r="AB324" i="15" s="1"/>
  <c r="X65" i="15"/>
  <c r="W35" i="15"/>
  <c r="W70" i="15"/>
  <c r="Y242" i="15"/>
  <c r="Y177" i="15"/>
  <c r="AI32" i="15"/>
  <c r="AI19" i="15"/>
  <c r="AI21" i="15"/>
  <c r="V17" i="15"/>
  <c r="V28" i="15"/>
  <c r="V39" i="15"/>
  <c r="V41" i="15"/>
  <c r="I173" i="15"/>
  <c r="D198" i="15"/>
  <c r="D263" i="15"/>
  <c r="D148" i="15"/>
  <c r="D319" i="15"/>
  <c r="AI161" i="15"/>
  <c r="AI44" i="15"/>
  <c r="AI226" i="15"/>
  <c r="X49" i="15"/>
  <c r="Y48" i="15"/>
  <c r="G70" i="15"/>
  <c r="D33" i="15"/>
  <c r="D32" i="15"/>
  <c r="P43" i="15"/>
  <c r="P163" i="15"/>
  <c r="P226" i="15"/>
  <c r="D19" i="15"/>
  <c r="S21" i="15"/>
  <c r="O239" i="15"/>
  <c r="P65" i="15"/>
  <c r="T145" i="15"/>
  <c r="T195" i="15"/>
  <c r="T260" i="15" s="1"/>
  <c r="T136" i="15"/>
  <c r="S42" i="15"/>
  <c r="S162" i="15"/>
  <c r="AJ181" i="15"/>
  <c r="AB43" i="15"/>
  <c r="AB163" i="15" s="1"/>
  <c r="AB226" i="15"/>
  <c r="G282" i="15"/>
  <c r="W379" i="15"/>
  <c r="AC30" i="15"/>
  <c r="P17" i="15"/>
  <c r="I17" i="15"/>
  <c r="I39" i="15"/>
  <c r="AF370" i="15"/>
  <c r="AF39" i="15"/>
  <c r="AJ291" i="15"/>
  <c r="AG68" i="15"/>
  <c r="AC192" i="15"/>
  <c r="AC257" i="15"/>
  <c r="E179" i="15"/>
  <c r="E95" i="15"/>
  <c r="E295" i="15"/>
  <c r="E316" i="15"/>
  <c r="D195" i="15"/>
  <c r="D260" i="15"/>
  <c r="D297" i="15"/>
  <c r="D318" i="15" s="1"/>
  <c r="D322" i="15" s="1"/>
  <c r="D130" i="15"/>
  <c r="D131" i="15" s="1"/>
  <c r="I89" i="15"/>
  <c r="I200" i="15" s="1"/>
  <c r="I54" i="15"/>
  <c r="AB297" i="15"/>
  <c r="AB318" i="15" s="1"/>
  <c r="AB130" i="15"/>
  <c r="AB131" i="15" s="1"/>
  <c r="AN61" i="15"/>
  <c r="AC61" i="15"/>
  <c r="AB170" i="15"/>
  <c r="D86" i="15"/>
  <c r="F17" i="15"/>
  <c r="F370" i="15"/>
  <c r="AC291" i="15"/>
  <c r="N244" i="15"/>
  <c r="N76" i="15"/>
  <c r="N179" i="15"/>
  <c r="T64" i="15"/>
  <c r="T170" i="15"/>
  <c r="X43" i="15"/>
  <c r="X163" i="15"/>
  <c r="Y192" i="15"/>
  <c r="Y257" i="15"/>
  <c r="Y121" i="15"/>
  <c r="Y195" i="15" s="1"/>
  <c r="Y260" i="15" s="1"/>
  <c r="L19" i="15"/>
  <c r="L33" i="15"/>
  <c r="J44" i="15"/>
  <c r="P297" i="15"/>
  <c r="P318" i="15"/>
  <c r="P130" i="15"/>
  <c r="P131" i="15"/>
  <c r="P136" i="15"/>
  <c r="P128" i="15"/>
  <c r="P195" i="15"/>
  <c r="P260" i="15" s="1"/>
  <c r="P145" i="15"/>
  <c r="P208" i="15"/>
  <c r="S226" i="15"/>
  <c r="S44" i="15"/>
  <c r="G201" i="15"/>
  <c r="G266" i="15"/>
  <c r="G290" i="15"/>
  <c r="G311" i="15"/>
  <c r="J33" i="15"/>
  <c r="AI131" i="15"/>
  <c r="X172" i="15"/>
  <c r="S91" i="15"/>
  <c r="J19" i="15"/>
  <c r="Y71" i="15"/>
  <c r="X360" i="15"/>
  <c r="AG243" i="15"/>
  <c r="P192" i="15"/>
  <c r="P257" i="15" s="1"/>
  <c r="D231" i="15"/>
  <c r="T181" i="15"/>
  <c r="T246" i="15"/>
  <c r="S202" i="15"/>
  <c r="S267" i="15" s="1"/>
  <c r="U104" i="15"/>
  <c r="U105" i="15"/>
  <c r="AD340" i="15"/>
  <c r="H192" i="15"/>
  <c r="H257" i="15" s="1"/>
  <c r="H121" i="15"/>
  <c r="W349" i="15"/>
  <c r="S350" i="15"/>
  <c r="E340" i="15"/>
  <c r="AF173" i="15"/>
  <c r="L349" i="15"/>
  <c r="Q77" i="15"/>
  <c r="AC94" i="15"/>
  <c r="X231" i="15"/>
  <c r="Z340" i="15"/>
  <c r="G130" i="15"/>
  <c r="G131" i="15" s="1"/>
  <c r="C243" i="15"/>
  <c r="C178" i="15"/>
  <c r="Q370" i="15"/>
  <c r="O61" i="15"/>
  <c r="N235" i="15"/>
  <c r="Y169" i="15"/>
  <c r="Y234" i="15"/>
  <c r="AB89" i="15"/>
  <c r="AI198" i="15"/>
  <c r="AI263" i="15" s="1"/>
  <c r="AI276" i="15" s="1"/>
  <c r="D369" i="15"/>
  <c r="D94" i="15"/>
  <c r="D239" i="15"/>
  <c r="AG377" i="15"/>
  <c r="AG378" i="15"/>
  <c r="AI61" i="15"/>
  <c r="AH170" i="15"/>
  <c r="AJ379" i="15"/>
  <c r="AN15" i="15"/>
  <c r="AK109" i="15"/>
  <c r="AK116" i="15" s="1"/>
  <c r="L116" i="15"/>
  <c r="AG16" i="15"/>
  <c r="AG31" i="15"/>
  <c r="I46" i="15"/>
  <c r="I166" i="15"/>
  <c r="AF349" i="15"/>
  <c r="AJ349" i="15"/>
  <c r="AJ350" i="15"/>
  <c r="AG339" i="15"/>
  <c r="AG340" i="15" s="1"/>
  <c r="AJ370" i="15"/>
  <c r="L308" i="15"/>
  <c r="O243" i="20"/>
  <c r="Z151" i="15"/>
  <c r="Z279" i="15" s="1"/>
  <c r="Z293" i="15"/>
  <c r="Z314" i="15"/>
  <c r="J349" i="15"/>
  <c r="AB32" i="15"/>
  <c r="AB19" i="15"/>
  <c r="W173" i="15"/>
  <c r="W238" i="15"/>
  <c r="AK68" i="15"/>
  <c r="AJ177" i="15"/>
  <c r="C279" i="15"/>
  <c r="C214" i="15"/>
  <c r="AA238" i="15"/>
  <c r="AA70" i="15"/>
  <c r="AA173" i="15"/>
  <c r="D161" i="15"/>
  <c r="E42" i="15"/>
  <c r="E162" i="15"/>
  <c r="D87" i="15"/>
  <c r="D44" i="15"/>
  <c r="D43" i="15"/>
  <c r="D163" i="15" s="1"/>
  <c r="D226" i="15"/>
  <c r="L370" i="15"/>
  <c r="L369" i="15"/>
  <c r="AC178" i="15"/>
  <c r="U61" i="15"/>
  <c r="T235" i="15"/>
  <c r="I148" i="15"/>
  <c r="I298" i="15"/>
  <c r="I319" i="15"/>
  <c r="I198" i="15"/>
  <c r="I263" i="15" s="1"/>
  <c r="R179" i="15"/>
  <c r="R244" i="15"/>
  <c r="R76" i="15"/>
  <c r="AJ230" i="15"/>
  <c r="AJ231" i="15"/>
  <c r="AJ251" i="15"/>
  <c r="AK310" i="15"/>
  <c r="AJ241" i="15"/>
  <c r="V288" i="15"/>
  <c r="V309" i="15" s="1"/>
  <c r="AE17" i="15"/>
  <c r="AE39" i="15"/>
  <c r="AE41" i="15"/>
  <c r="AE44" i="15" s="1"/>
  <c r="AE370" i="15"/>
  <c r="AE28" i="15"/>
  <c r="AN369" i="15"/>
  <c r="T288" i="15"/>
  <c r="T309" i="15"/>
  <c r="T200" i="15"/>
  <c r="T265" i="15"/>
  <c r="T142" i="15"/>
  <c r="T205" i="15" s="1"/>
  <c r="P161" i="15"/>
  <c r="P44" i="15"/>
  <c r="F288" i="15"/>
  <c r="F309" i="15" s="1"/>
  <c r="F200" i="15"/>
  <c r="F265" i="15"/>
  <c r="AA282" i="15"/>
  <c r="AH238" i="15"/>
  <c r="AH70" i="15"/>
  <c r="AH173" i="15"/>
  <c r="N17" i="15"/>
  <c r="N39" i="15"/>
  <c r="N41" i="15"/>
  <c r="N370" i="15"/>
  <c r="Z370" i="15"/>
  <c r="Z17" i="15"/>
  <c r="Z39" i="15"/>
  <c r="Z41" i="15" s="1"/>
  <c r="AN13" i="15"/>
  <c r="Z28" i="15"/>
  <c r="AC13" i="15"/>
  <c r="AA142" i="15"/>
  <c r="AA205" i="15"/>
  <c r="AA288" i="15"/>
  <c r="AA309" i="15"/>
  <c r="AA200" i="15"/>
  <c r="AA265" i="15"/>
  <c r="AJ249" i="15"/>
  <c r="AH211" i="15"/>
  <c r="C208" i="15"/>
  <c r="C301" i="15"/>
  <c r="H185" i="15"/>
  <c r="AJ17" i="15"/>
  <c r="AJ39" i="15"/>
  <c r="AJ41" i="15"/>
  <c r="AJ44" i="15" s="1"/>
  <c r="AJ28" i="15"/>
  <c r="AH225" i="15"/>
  <c r="AD350" i="15"/>
  <c r="AD349" i="15"/>
  <c r="F294" i="15"/>
  <c r="F315" i="15" s="1"/>
  <c r="F150" i="15"/>
  <c r="AN71" i="15"/>
  <c r="AB245" i="15"/>
  <c r="AC71" i="15"/>
  <c r="AB180" i="15"/>
  <c r="AD94" i="15"/>
  <c r="AD294" i="15"/>
  <c r="AC35" i="15"/>
  <c r="AC174" i="15"/>
  <c r="G310" i="15"/>
  <c r="G312" i="15" s="1"/>
  <c r="G291" i="15"/>
  <c r="U35" i="15"/>
  <c r="U239" i="15"/>
  <c r="Y178" i="15"/>
  <c r="Y243" i="15"/>
  <c r="AH293" i="15"/>
  <c r="AH314" i="15" s="1"/>
  <c r="AH151" i="15"/>
  <c r="AH214" i="15" s="1"/>
  <c r="AJ267" i="15"/>
  <c r="J43" i="15"/>
  <c r="J163" i="15" s="1"/>
  <c r="AF32" i="15"/>
  <c r="AK265" i="15"/>
  <c r="AD30" i="15"/>
  <c r="AE30" i="15"/>
  <c r="AF30" i="15"/>
  <c r="Z198" i="15"/>
  <c r="Z148" i="15"/>
  <c r="Z298" i="15"/>
  <c r="Z319" i="15" s="1"/>
  <c r="Z324" i="15" s="1"/>
  <c r="W39" i="15"/>
  <c r="W28" i="15"/>
  <c r="W17" i="15"/>
  <c r="Y13" i="15"/>
  <c r="J359" i="15"/>
  <c r="L359" i="15"/>
  <c r="J360" i="15"/>
  <c r="S90" i="15"/>
  <c r="S201" i="15" s="1"/>
  <c r="J303" i="15"/>
  <c r="G278" i="15"/>
  <c r="G281" i="15"/>
  <c r="G213" i="15"/>
  <c r="W310" i="15"/>
  <c r="W312" i="15" s="1"/>
  <c r="W291" i="15"/>
  <c r="K202" i="15"/>
  <c r="K151" i="15"/>
  <c r="K289" i="15"/>
  <c r="K150" i="15"/>
  <c r="S173" i="15"/>
  <c r="S70" i="15"/>
  <c r="S238" i="15"/>
  <c r="AK313" i="15"/>
  <c r="Z179" i="15"/>
  <c r="U48" i="15"/>
  <c r="T91" i="15"/>
  <c r="T292" i="15" s="1"/>
  <c r="T313" i="15" s="1"/>
  <c r="T50" i="15"/>
  <c r="T49" i="15"/>
  <c r="Q240" i="15"/>
  <c r="Q175" i="15"/>
  <c r="H195" i="15"/>
  <c r="H260" i="15" s="1"/>
  <c r="H136" i="15"/>
  <c r="H130" i="15"/>
  <c r="H131" i="15" s="1"/>
  <c r="AK192" i="15"/>
  <c r="AK257" i="15"/>
  <c r="AK121" i="15"/>
  <c r="AK128" i="15" s="1"/>
  <c r="AK30" i="15"/>
  <c r="O235" i="15"/>
  <c r="P61" i="15"/>
  <c r="O170" i="15"/>
  <c r="O64" i="15"/>
  <c r="S124" i="15"/>
  <c r="S292" i="15"/>
  <c r="S313" i="15"/>
  <c r="G76" i="15"/>
  <c r="G179" i="15"/>
  <c r="G244" i="15"/>
  <c r="G95" i="15"/>
  <c r="G295" i="15" s="1"/>
  <c r="G316" i="15" s="1"/>
  <c r="V19" i="15"/>
  <c r="V33" i="15"/>
  <c r="V32" i="15"/>
  <c r="P298" i="15"/>
  <c r="P319" i="15" s="1"/>
  <c r="P198" i="15"/>
  <c r="P263" i="15"/>
  <c r="AA91" i="15"/>
  <c r="AA292" i="15" s="1"/>
  <c r="AA313" i="15" s="1"/>
  <c r="Y91" i="15"/>
  <c r="Y124" i="15" s="1"/>
  <c r="Y49" i="15"/>
  <c r="Z91" i="15"/>
  <c r="Z292" i="15"/>
  <c r="Z313" i="15"/>
  <c r="AB91" i="15"/>
  <c r="AB292" i="15" s="1"/>
  <c r="AB313" i="15" s="1"/>
  <c r="Y50" i="15"/>
  <c r="F33" i="15"/>
  <c r="T173" i="15"/>
  <c r="T238" i="15"/>
  <c r="D150" i="15"/>
  <c r="D281" i="15" s="1"/>
  <c r="D294" i="15"/>
  <c r="D315" i="15" s="1"/>
  <c r="AB200" i="15"/>
  <c r="AB265" i="15" s="1"/>
  <c r="I145" i="15"/>
  <c r="I142" i="15"/>
  <c r="I205" i="15" s="1"/>
  <c r="I32" i="15"/>
  <c r="I19" i="15"/>
  <c r="I33" i="15"/>
  <c r="T208" i="15"/>
  <c r="T301" i="15"/>
  <c r="W179" i="15"/>
  <c r="P35" i="15"/>
  <c r="P239" i="15"/>
  <c r="P174" i="15"/>
  <c r="Q65" i="15"/>
  <c r="S94" i="15" s="1"/>
  <c r="AK232" i="15"/>
  <c r="AC170" i="15"/>
  <c r="N185" i="15"/>
  <c r="L93" i="15"/>
  <c r="L21" i="15"/>
  <c r="AI235" i="15"/>
  <c r="AI170" i="15"/>
  <c r="AJ61" i="15"/>
  <c r="AI64" i="15"/>
  <c r="Y136" i="15"/>
  <c r="Y130" i="15"/>
  <c r="Y131" i="15"/>
  <c r="Y297" i="15"/>
  <c r="Y318" i="15"/>
  <c r="Y322" i="15" s="1"/>
  <c r="D93" i="15"/>
  <c r="D21" i="15"/>
  <c r="AB211" i="15"/>
  <c r="AB303" i="15"/>
  <c r="P32" i="15"/>
  <c r="P19" i="15"/>
  <c r="P33" i="15"/>
  <c r="L121" i="15"/>
  <c r="L30" i="15"/>
  <c r="L142" i="15"/>
  <c r="L205" i="15" s="1"/>
  <c r="L192" i="15"/>
  <c r="L257" i="15"/>
  <c r="AG380" i="15"/>
  <c r="J93" i="15"/>
  <c r="J21" i="15"/>
  <c r="AB145" i="15"/>
  <c r="AB301" i="15" s="1"/>
  <c r="AC17" i="15"/>
  <c r="AC39" i="15"/>
  <c r="AC41" i="15" s="1"/>
  <c r="AC86" i="15"/>
  <c r="AC28" i="15"/>
  <c r="AC370" i="15"/>
  <c r="AH279" i="15"/>
  <c r="AH282" i="15"/>
  <c r="N43" i="15"/>
  <c r="N163" i="15"/>
  <c r="N161" i="15"/>
  <c r="S244" i="15"/>
  <c r="S179" i="15"/>
  <c r="AH179" i="15"/>
  <c r="AH76" i="15"/>
  <c r="AH244" i="15"/>
  <c r="F281" i="15"/>
  <c r="F278" i="15"/>
  <c r="F213" i="15"/>
  <c r="AN28" i="15"/>
  <c r="AN39" i="15"/>
  <c r="AN41" i="15"/>
  <c r="N33" i="15"/>
  <c r="N19" i="15"/>
  <c r="N21" i="15" s="1"/>
  <c r="N32" i="15"/>
  <c r="AI42" i="15"/>
  <c r="AI162" i="15" s="1"/>
  <c r="X91" i="15"/>
  <c r="X292" i="15" s="1"/>
  <c r="X313" i="15" s="1"/>
  <c r="U49" i="15"/>
  <c r="W91" i="15"/>
  <c r="K281" i="15"/>
  <c r="K213" i="15"/>
  <c r="K278" i="15"/>
  <c r="S290" i="15"/>
  <c r="S311" i="15" s="1"/>
  <c r="S266" i="15"/>
  <c r="AE32" i="15"/>
  <c r="AE33" i="15"/>
  <c r="AE19" i="15"/>
  <c r="AE21" i="15"/>
  <c r="R78" i="15"/>
  <c r="AB21" i="15"/>
  <c r="V91" i="15"/>
  <c r="V292" i="15" s="1"/>
  <c r="V313" i="15" s="1"/>
  <c r="K291" i="15"/>
  <c r="Y17" i="15"/>
  <c r="Y32" i="15" s="1"/>
  <c r="AA86" i="15"/>
  <c r="Y39" i="15"/>
  <c r="Y41" i="15" s="1"/>
  <c r="Z32" i="15"/>
  <c r="U170" i="15"/>
  <c r="U64" i="15"/>
  <c r="U235" i="15"/>
  <c r="AK177" i="15"/>
  <c r="AK242" i="15"/>
  <c r="T124" i="15"/>
  <c r="T128" i="15" s="1"/>
  <c r="Z214" i="15"/>
  <c r="Z282" i="15"/>
  <c r="W90" i="15"/>
  <c r="K214" i="15"/>
  <c r="W32" i="15"/>
  <c r="AJ33" i="15"/>
  <c r="Y290" i="15"/>
  <c r="Y311" i="15"/>
  <c r="Y201" i="15"/>
  <c r="Y266" i="15" s="1"/>
  <c r="Y276" i="15" s="1"/>
  <c r="L297" i="15"/>
  <c r="L318" i="15" s="1"/>
  <c r="L195" i="15"/>
  <c r="L260" i="15"/>
  <c r="L145" i="15"/>
  <c r="L208" i="15" s="1"/>
  <c r="G250" i="15"/>
  <c r="G78" i="15"/>
  <c r="G185" i="15"/>
  <c r="AK130" i="15"/>
  <c r="AK131" i="15"/>
  <c r="AK195" i="15"/>
  <c r="AK260" i="15"/>
  <c r="AK297" i="15"/>
  <c r="AK318" i="15" s="1"/>
  <c r="D213" i="15"/>
  <c r="D278" i="15"/>
  <c r="V21" i="15"/>
  <c r="O238" i="15"/>
  <c r="O70" i="15"/>
  <c r="O179" i="15" s="1"/>
  <c r="O173" i="15"/>
  <c r="AB208" i="15"/>
  <c r="AI173" i="15"/>
  <c r="AI238" i="15"/>
  <c r="AI70" i="15"/>
  <c r="Q61" i="15"/>
  <c r="P170" i="15"/>
  <c r="P235" i="15"/>
  <c r="AK61" i="15"/>
  <c r="AJ170" i="15"/>
  <c r="AJ64" i="15"/>
  <c r="AJ235" i="15"/>
  <c r="Y292" i="15"/>
  <c r="Y313" i="15"/>
  <c r="U173" i="15"/>
  <c r="U238" i="15"/>
  <c r="AN44" i="15"/>
  <c r="AN43" i="15"/>
  <c r="T298" i="15"/>
  <c r="T319" i="15"/>
  <c r="W290" i="15"/>
  <c r="W311" i="15" s="1"/>
  <c r="W201" i="15"/>
  <c r="W266" i="15" s="1"/>
  <c r="Y43" i="15"/>
  <c r="Y163" i="15" s="1"/>
  <c r="Y226" i="15"/>
  <c r="V124" i="15"/>
  <c r="V128" i="15" s="1"/>
  <c r="V298" i="15" s="1"/>
  <c r="X90" i="15"/>
  <c r="X290" i="15" s="1"/>
  <c r="V90" i="15"/>
  <c r="Y19" i="15"/>
  <c r="Y33" i="15"/>
  <c r="U90" i="15"/>
  <c r="Q170" i="15"/>
  <c r="Q235" i="15"/>
  <c r="G252" i="15"/>
  <c r="G81" i="15"/>
  <c r="G187" i="15"/>
  <c r="AJ173" i="15"/>
  <c r="O76" i="15"/>
  <c r="O244" i="15"/>
  <c r="Y128" i="15"/>
  <c r="AK170" i="15"/>
  <c r="AK64" i="15"/>
  <c r="AK238" i="15" s="1"/>
  <c r="AK235" i="15"/>
  <c r="AK298" i="15"/>
  <c r="AK319" i="15"/>
  <c r="AK324" i="15" s="1"/>
  <c r="AK198" i="15"/>
  <c r="AK263" i="15"/>
  <c r="AK148" i="15"/>
  <c r="G79" i="15"/>
  <c r="V198" i="15"/>
  <c r="V263" i="15" s="1"/>
  <c r="V319" i="15"/>
  <c r="X201" i="15"/>
  <c r="X266" i="15"/>
  <c r="X311" i="15"/>
  <c r="AK173" i="15"/>
  <c r="Y198" i="15"/>
  <c r="Y263" i="15" s="1"/>
  <c r="Y298" i="15"/>
  <c r="Y319" i="15"/>
  <c r="Y324" i="15"/>
  <c r="Y148" i="15"/>
  <c r="AK211" i="15"/>
  <c r="AK303" i="15"/>
  <c r="AC27" i="20" l="1"/>
  <c r="AC14" i="20"/>
  <c r="AD89" i="20" s="1"/>
  <c r="AC176" i="20"/>
  <c r="AC242" i="20"/>
  <c r="AC67" i="20"/>
  <c r="AC71" i="20" s="1"/>
  <c r="AC36" i="20"/>
  <c r="AC246" i="20"/>
  <c r="AC180" i="20"/>
  <c r="AC97" i="20"/>
  <c r="AC189" i="20"/>
  <c r="AC255" i="20"/>
  <c r="N274" i="20"/>
  <c r="M274" i="20"/>
  <c r="R238" i="20"/>
  <c r="P274" i="20"/>
  <c r="O274" i="20"/>
  <c r="S238" i="20"/>
  <c r="J175" i="20"/>
  <c r="Y27" i="20"/>
  <c r="Y14" i="20"/>
  <c r="AB89" i="20" s="1"/>
  <c r="Y242" i="20"/>
  <c r="Y176" i="20"/>
  <c r="Y67" i="20"/>
  <c r="Y71" i="20" s="1"/>
  <c r="Y180" i="20"/>
  <c r="Y36" i="20"/>
  <c r="Y246" i="20"/>
  <c r="Y97" i="20"/>
  <c r="Y189" i="20"/>
  <c r="Y255" i="20"/>
  <c r="C1018" i="17"/>
  <c r="O178" i="20"/>
  <c r="O184" i="20"/>
  <c r="R390" i="20"/>
  <c r="O27" i="20"/>
  <c r="R379" i="20"/>
  <c r="Q47" i="20"/>
  <c r="R91" i="20" s="1"/>
  <c r="E48" i="20"/>
  <c r="E172" i="20" s="1"/>
  <c r="P328" i="20"/>
  <c r="T328" i="20"/>
  <c r="D234" i="20"/>
  <c r="E234" i="20"/>
  <c r="P379" i="20"/>
  <c r="T379" i="20"/>
  <c r="R368" i="20"/>
  <c r="P368" i="20"/>
  <c r="T368" i="20"/>
  <c r="P232" i="20"/>
  <c r="T232" i="20"/>
  <c r="P238" i="20"/>
  <c r="T238" i="20"/>
  <c r="C737" i="17"/>
  <c r="C711" i="17"/>
  <c r="C729" i="17"/>
  <c r="P390" i="20"/>
  <c r="T390" i="20"/>
  <c r="P338" i="20"/>
  <c r="T338" i="20"/>
  <c r="R328" i="20"/>
  <c r="S328" i="20"/>
  <c r="D235" i="20"/>
  <c r="P27" i="20"/>
  <c r="D765" i="17"/>
  <c r="F760" i="17" s="1"/>
  <c r="S368" i="20"/>
  <c r="O339" i="20"/>
  <c r="R338" i="20"/>
  <c r="P391" i="20"/>
  <c r="J27" i="20"/>
  <c r="M12" i="20"/>
  <c r="O64" i="20"/>
  <c r="P78" i="20"/>
  <c r="Q78" i="20" s="1"/>
  <c r="K258" i="20"/>
  <c r="K192" i="20"/>
  <c r="K244" i="20"/>
  <c r="K178" i="20"/>
  <c r="J14" i="20"/>
  <c r="J380" i="20" s="1"/>
  <c r="J339" i="20"/>
  <c r="M338" i="20"/>
  <c r="N97" i="20"/>
  <c r="K77" i="20"/>
  <c r="K189" i="20" s="1"/>
  <c r="K145" i="20"/>
  <c r="P243" i="20"/>
  <c r="O183" i="20"/>
  <c r="K252" i="20"/>
  <c r="K186" i="20"/>
  <c r="K256" i="20"/>
  <c r="K190" i="20"/>
  <c r="P80" i="20"/>
  <c r="D22" i="20"/>
  <c r="D96" i="20"/>
  <c r="K68" i="20"/>
  <c r="K36" i="20" s="1"/>
  <c r="P69" i="20"/>
  <c r="P74" i="20"/>
  <c r="O148" i="20"/>
  <c r="O211" i="20" s="1"/>
  <c r="P148" i="20"/>
  <c r="P211" i="20" s="1"/>
  <c r="O338" i="20"/>
  <c r="O127" i="20"/>
  <c r="O142" i="20" s="1"/>
  <c r="O77" i="20"/>
  <c r="K243" i="20"/>
  <c r="K177" i="20"/>
  <c r="P73" i="20"/>
  <c r="P250" i="20" s="1"/>
  <c r="K249" i="20"/>
  <c r="K183" i="20"/>
  <c r="O198" i="20"/>
  <c r="O264" i="20" s="1"/>
  <c r="N27" i="20"/>
  <c r="Q12" i="20"/>
  <c r="K241" i="20"/>
  <c r="K175" i="20"/>
  <c r="K247" i="20"/>
  <c r="K181" i="20"/>
  <c r="K250" i="20"/>
  <c r="K184" i="20"/>
  <c r="K253" i="20"/>
  <c r="K187" i="20"/>
  <c r="O391" i="20"/>
  <c r="P66" i="20"/>
  <c r="O95" i="20"/>
  <c r="O298" i="20" s="1"/>
  <c r="N148" i="20"/>
  <c r="N211" i="20" s="1"/>
  <c r="L78" i="20"/>
  <c r="L256" i="20" s="1"/>
  <c r="C908" i="17"/>
  <c r="C1019" i="17"/>
  <c r="C1047" i="17"/>
  <c r="C715" i="17"/>
  <c r="C743" i="17"/>
  <c r="C739" i="17"/>
  <c r="C1042" i="17"/>
  <c r="C1043" i="17"/>
  <c r="C1045" i="17"/>
  <c r="C1057" i="17"/>
  <c r="C713" i="17"/>
  <c r="C740" i="17"/>
  <c r="C1046" i="17"/>
  <c r="C1041" i="17"/>
  <c r="C1022" i="17"/>
  <c r="C755" i="17"/>
  <c r="C738" i="17"/>
  <c r="C742" i="17"/>
  <c r="C717" i="17"/>
  <c r="C1021" i="17"/>
  <c r="C1017" i="17"/>
  <c r="D1083" i="17"/>
  <c r="C1020" i="17"/>
  <c r="C702" i="17"/>
  <c r="C709" i="17"/>
  <c r="C712" i="17"/>
  <c r="C736" i="17"/>
  <c r="C718" i="17"/>
  <c r="N339" i="20"/>
  <c r="O328" i="20"/>
  <c r="D722" i="17"/>
  <c r="D723" i="17" s="1"/>
  <c r="C910" i="17"/>
  <c r="C906" i="17"/>
  <c r="C933" i="17"/>
  <c r="C905" i="17"/>
  <c r="C1023" i="17"/>
  <c r="C929" i="17"/>
  <c r="C904" i="17"/>
  <c r="C932" i="17"/>
  <c r="C907" i="17"/>
  <c r="C934" i="17"/>
  <c r="C928" i="17"/>
  <c r="D914" i="17"/>
  <c r="D915" i="17" s="1"/>
  <c r="L72" i="20"/>
  <c r="M72" i="20" s="1"/>
  <c r="P72" i="20"/>
  <c r="N328" i="20"/>
  <c r="N379" i="20"/>
  <c r="C969" i="17"/>
  <c r="N208" i="20"/>
  <c r="O317" i="20"/>
  <c r="O87" i="20"/>
  <c r="O145" i="20"/>
  <c r="J255" i="20"/>
  <c r="L66" i="20"/>
  <c r="M66" i="20" s="1"/>
  <c r="L73" i="20"/>
  <c r="M73" i="20" s="1"/>
  <c r="O228" i="20"/>
  <c r="O100" i="20"/>
  <c r="N368" i="20"/>
  <c r="L80" i="20"/>
  <c r="M80" i="20" s="1"/>
  <c r="O291" i="20"/>
  <c r="K382" i="20"/>
  <c r="L74" i="20"/>
  <c r="M74" i="20" s="1"/>
  <c r="O39" i="20"/>
  <c r="O62" i="20" s="1"/>
  <c r="O330" i="20"/>
  <c r="O360" i="20" s="1"/>
  <c r="O371" i="20" s="1"/>
  <c r="K39" i="20"/>
  <c r="K62" i="20" s="1"/>
  <c r="K330" i="20"/>
  <c r="K360" i="20" s="1"/>
  <c r="K371" i="20" s="1"/>
  <c r="N242" i="20"/>
  <c r="L241" i="20"/>
  <c r="L175" i="20"/>
  <c r="L69" i="20"/>
  <c r="M69" i="20" s="1"/>
  <c r="L75" i="20"/>
  <c r="M75" i="20" s="1"/>
  <c r="O162" i="20"/>
  <c r="K291" i="20"/>
  <c r="M65" i="20"/>
  <c r="P75" i="20"/>
  <c r="K228" i="20"/>
  <c r="N180" i="20"/>
  <c r="O382" i="20"/>
  <c r="O244" i="20"/>
  <c r="C797" i="17"/>
  <c r="D1029" i="17"/>
  <c r="F1024" i="17" s="1"/>
  <c r="C781" i="17"/>
  <c r="C779" i="17"/>
  <c r="C756" i="17"/>
  <c r="C817" i="17"/>
  <c r="C1228" i="17"/>
  <c r="D952" i="17"/>
  <c r="C670" i="17"/>
  <c r="C1110" i="17"/>
  <c r="E1105" i="17" s="1"/>
  <c r="C697" i="17"/>
  <c r="E1224" i="17"/>
  <c r="C698" i="17"/>
  <c r="C830" i="17"/>
  <c r="D803" i="17"/>
  <c r="D804" i="17" s="1"/>
  <c r="C798" i="17"/>
  <c r="D1082" i="17"/>
  <c r="D1084" i="17"/>
  <c r="C871" i="17"/>
  <c r="D1078" i="17"/>
  <c r="D1079" i="17"/>
  <c r="C891" i="17"/>
  <c r="C1054" i="17"/>
  <c r="D1081" i="17"/>
  <c r="D1080" i="17"/>
  <c r="C1058" i="17"/>
  <c r="C1055" i="17"/>
  <c r="C1056" i="17"/>
  <c r="C792" i="17"/>
  <c r="C821" i="17"/>
  <c r="D1064" i="17"/>
  <c r="C854" i="17"/>
  <c r="C754" i="17"/>
  <c r="C751" i="17"/>
  <c r="C857" i="17"/>
  <c r="C836" i="17"/>
  <c r="C750" i="17"/>
  <c r="C753" i="17"/>
  <c r="C835" i="17"/>
  <c r="C856" i="17"/>
  <c r="D763" i="17"/>
  <c r="D764" i="17" s="1"/>
  <c r="C759" i="17"/>
  <c r="C855" i="17"/>
  <c r="C834" i="17"/>
  <c r="C833" i="17"/>
  <c r="C757" i="17"/>
  <c r="C770" i="17"/>
  <c r="C758" i="17"/>
  <c r="C832" i="17"/>
  <c r="C782" i="17"/>
  <c r="C784" i="17"/>
  <c r="C831" i="17"/>
  <c r="C829" i="17"/>
  <c r="C777" i="17"/>
  <c r="C778" i="17"/>
  <c r="C858" i="17"/>
  <c r="C780" i="17"/>
  <c r="C783" i="17"/>
  <c r="C1271" i="17"/>
  <c r="C892" i="17"/>
  <c r="C870" i="17"/>
  <c r="C896" i="17"/>
  <c r="C867" i="17"/>
  <c r="C897" i="17"/>
  <c r="C868" i="17"/>
  <c r="C894" i="17"/>
  <c r="C869" i="17"/>
  <c r="C895" i="17"/>
  <c r="D877" i="17"/>
  <c r="D878" i="17" s="1"/>
  <c r="C893" i="17"/>
  <c r="D1027" i="17"/>
  <c r="D1028" i="17" s="1"/>
  <c r="C1028" i="17" s="1"/>
  <c r="C866" i="17"/>
  <c r="C873" i="17"/>
  <c r="G1024" i="17"/>
  <c r="C689" i="17"/>
  <c r="C671" i="17"/>
  <c r="D639" i="17"/>
  <c r="C676" i="17"/>
  <c r="C672" i="17"/>
  <c r="C675" i="17"/>
  <c r="C674" i="17"/>
  <c r="C677" i="17"/>
  <c r="D1066" i="17"/>
  <c r="C696" i="17"/>
  <c r="C699" i="17"/>
  <c r="C678" i="17"/>
  <c r="C669" i="17"/>
  <c r="C701" i="17"/>
  <c r="C700" i="17"/>
  <c r="E1185" i="17"/>
  <c r="C796" i="17"/>
  <c r="C820" i="17"/>
  <c r="D1181" i="17"/>
  <c r="D1179" i="17"/>
  <c r="C794" i="17"/>
  <c r="C819" i="17"/>
  <c r="D1180" i="17"/>
  <c r="C643" i="17"/>
  <c r="C818" i="17"/>
  <c r="C793" i="17"/>
  <c r="C603" i="17"/>
  <c r="C795" i="17"/>
  <c r="C799" i="17"/>
  <c r="C1188" i="17"/>
  <c r="C822" i="17"/>
  <c r="D1183" i="17"/>
  <c r="D1184" i="17"/>
  <c r="K14" i="20"/>
  <c r="K18" i="20" s="1"/>
  <c r="K33" i="20" s="1"/>
  <c r="O239" i="20"/>
  <c r="K369" i="20"/>
  <c r="N127" i="20"/>
  <c r="N198" i="20"/>
  <c r="N264" i="20" s="1"/>
  <c r="O253" i="20"/>
  <c r="K100" i="20"/>
  <c r="K87" i="20"/>
  <c r="N189" i="20"/>
  <c r="N255" i="20"/>
  <c r="J369" i="20"/>
  <c r="L14" i="20"/>
  <c r="L380" i="20" s="1"/>
  <c r="K317" i="20"/>
  <c r="K162" i="20"/>
  <c r="O232" i="20"/>
  <c r="L11" i="20"/>
  <c r="N294" i="20"/>
  <c r="K239" i="20"/>
  <c r="O68" i="20"/>
  <c r="O379" i="20"/>
  <c r="N238" i="20"/>
  <c r="N246" i="20"/>
  <c r="N390" i="20"/>
  <c r="N36" i="20"/>
  <c r="J36" i="20"/>
  <c r="N338" i="20"/>
  <c r="N391" i="20"/>
  <c r="N157" i="20"/>
  <c r="J246" i="20"/>
  <c r="N176" i="20"/>
  <c r="J180" i="20"/>
  <c r="O192" i="20"/>
  <c r="O238" i="20"/>
  <c r="O258" i="20"/>
  <c r="N14" i="20"/>
  <c r="O369" i="20"/>
  <c r="O14" i="20"/>
  <c r="N369" i="20"/>
  <c r="J239" i="20"/>
  <c r="O187" i="20"/>
  <c r="O249" i="20"/>
  <c r="O368" i="20"/>
  <c r="G188" i="15"/>
  <c r="G253" i="15"/>
  <c r="O241" i="20"/>
  <c r="O175" i="20"/>
  <c r="AF291" i="15"/>
  <c r="AG350" i="15"/>
  <c r="AG349" i="15"/>
  <c r="AK349" i="15"/>
  <c r="AN30" i="15"/>
  <c r="AN17" i="15"/>
  <c r="N239" i="20"/>
  <c r="N232" i="20"/>
  <c r="V161" i="15"/>
  <c r="V43" i="15"/>
  <c r="V163" i="15" s="1"/>
  <c r="V226" i="15"/>
  <c r="V44" i="15"/>
  <c r="AC161" i="15"/>
  <c r="AC42" i="15"/>
  <c r="AC162" i="15" s="1"/>
  <c r="AC44" i="15"/>
  <c r="AD87" i="15"/>
  <c r="AE87" i="15"/>
  <c r="AC43" i="15"/>
  <c r="AC163" i="15" s="1"/>
  <c r="T270" i="15"/>
  <c r="T273" i="15"/>
  <c r="AE359" i="15"/>
  <c r="AE360" i="15"/>
  <c r="V200" i="15"/>
  <c r="V265" i="15" s="1"/>
  <c r="V270" i="15" s="1"/>
  <c r="V142" i="15"/>
  <c r="V205" i="15" s="1"/>
  <c r="AB232" i="15"/>
  <c r="AF231" i="15"/>
  <c r="AB231" i="15"/>
  <c r="D949" i="17"/>
  <c r="C948" i="17"/>
  <c r="D840" i="17"/>
  <c r="D841" i="17" s="1"/>
  <c r="AK378" i="15"/>
  <c r="N250" i="15"/>
  <c r="Q32" i="15"/>
  <c r="Q19" i="15"/>
  <c r="Q33" i="15"/>
  <c r="U77" i="15"/>
  <c r="T251" i="15"/>
  <c r="T186" i="15"/>
  <c r="D288" i="15"/>
  <c r="D309" i="15" s="1"/>
  <c r="D200" i="15"/>
  <c r="D265" i="15" s="1"/>
  <c r="D142" i="15"/>
  <c r="D205" i="15" s="1"/>
  <c r="D145" i="15"/>
  <c r="AG182" i="15"/>
  <c r="AG247" i="15"/>
  <c r="AB93" i="15"/>
  <c r="AG61" i="15"/>
  <c r="K170" i="15"/>
  <c r="K64" i="15"/>
  <c r="C682" i="17"/>
  <c r="AK136" i="15"/>
  <c r="Y21" i="15"/>
  <c r="V201" i="15"/>
  <c r="V266" i="15" s="1"/>
  <c r="V276" i="15" s="1"/>
  <c r="V148" i="15"/>
  <c r="AJ161" i="15"/>
  <c r="I21" i="15"/>
  <c r="I93" i="15"/>
  <c r="AG177" i="15"/>
  <c r="AG242" i="15"/>
  <c r="AA21" i="15"/>
  <c r="F76" i="15"/>
  <c r="F179" i="15"/>
  <c r="F95" i="15"/>
  <c r="F295" i="15" s="1"/>
  <c r="F316" i="15" s="1"/>
  <c r="V359" i="15"/>
  <c r="V360" i="15"/>
  <c r="Z359" i="15"/>
  <c r="I211" i="15"/>
  <c r="I303" i="15"/>
  <c r="T290" i="15"/>
  <c r="T311" i="15" s="1"/>
  <c r="T201" i="15"/>
  <c r="T266" i="15" s="1"/>
  <c r="AI291" i="15"/>
  <c r="AI308" i="15"/>
  <c r="AI312" i="15" s="1"/>
  <c r="E54" i="15"/>
  <c r="E89" i="15"/>
  <c r="E53" i="15"/>
  <c r="F53" i="15"/>
  <c r="R81" i="15"/>
  <c r="R187" i="15"/>
  <c r="R252" i="15"/>
  <c r="S294" i="15"/>
  <c r="S315" i="15" s="1"/>
  <c r="V290" i="15"/>
  <c r="V311" i="15" s="1"/>
  <c r="V324" i="15"/>
  <c r="T148" i="15"/>
  <c r="T198" i="15"/>
  <c r="T263" i="15" s="1"/>
  <c r="AA87" i="15"/>
  <c r="Y44" i="15"/>
  <c r="Y161" i="15"/>
  <c r="AB87" i="15"/>
  <c r="AH79" i="15"/>
  <c r="AH250" i="15"/>
  <c r="AH78" i="15"/>
  <c r="AH185" i="15"/>
  <c r="N78" i="15"/>
  <c r="N79" i="15" s="1"/>
  <c r="AA179" i="15"/>
  <c r="AA244" i="15"/>
  <c r="AA76" i="15"/>
  <c r="X239" i="15"/>
  <c r="Y65" i="15"/>
  <c r="Y94" i="15" s="1"/>
  <c r="X174" i="15"/>
  <c r="X35" i="15"/>
  <c r="Z94" i="15"/>
  <c r="W124" i="15"/>
  <c r="W292" i="15"/>
  <c r="W313" i="15" s="1"/>
  <c r="AD17" i="15"/>
  <c r="AD39" i="15"/>
  <c r="AD41" i="15" s="1"/>
  <c r="AD370" i="15"/>
  <c r="AD28" i="15"/>
  <c r="AD86" i="15"/>
  <c r="AE86" i="15"/>
  <c r="AF86" i="15"/>
  <c r="H1138" i="17"/>
  <c r="G257" i="15"/>
  <c r="Z257" i="15"/>
  <c r="H1096" i="17"/>
  <c r="Z318" i="15"/>
  <c r="Z260" i="15"/>
  <c r="Z263" i="15"/>
  <c r="Z276" i="15" s="1"/>
  <c r="T324" i="15"/>
  <c r="W184" i="15"/>
  <c r="X75" i="15"/>
  <c r="W249" i="15"/>
  <c r="W19" i="15"/>
  <c r="W33" i="15"/>
  <c r="AC294" i="15"/>
  <c r="AC315" i="15" s="1"/>
  <c r="E78" i="15"/>
  <c r="E250" i="15"/>
  <c r="E185" i="15"/>
  <c r="E79" i="15"/>
  <c r="I185" i="15"/>
  <c r="I79" i="15"/>
  <c r="I78" i="15"/>
  <c r="AK184" i="15"/>
  <c r="AK249" i="15"/>
  <c r="H52" i="15"/>
  <c r="Z89" i="15"/>
  <c r="AA53" i="15"/>
  <c r="W89" i="15"/>
  <c r="W54" i="15"/>
  <c r="Y89" i="15"/>
  <c r="G52" i="15"/>
  <c r="X89" i="15"/>
  <c r="W53" i="15"/>
  <c r="AG369" i="15"/>
  <c r="AK360" i="15"/>
  <c r="K64" i="20"/>
  <c r="J242" i="20"/>
  <c r="J67" i="20"/>
  <c r="J71" i="20" s="1"/>
  <c r="J176" i="20"/>
  <c r="Y303" i="15"/>
  <c r="Y211" i="15"/>
  <c r="AJ226" i="15"/>
  <c r="AJ43" i="15"/>
  <c r="AJ163" i="15" s="1"/>
  <c r="U201" i="15"/>
  <c r="U266" i="15" s="1"/>
  <c r="U290" i="15"/>
  <c r="U311" i="15" s="1"/>
  <c r="I301" i="15"/>
  <c r="I208" i="15"/>
  <c r="Z44" i="15"/>
  <c r="Z42" i="15"/>
  <c r="Z162" i="15" s="1"/>
  <c r="Z161" i="15"/>
  <c r="AC87" i="15"/>
  <c r="Z43" i="15"/>
  <c r="Z163" i="15" s="1"/>
  <c r="Z226" i="15"/>
  <c r="Q186" i="15"/>
  <c r="Q251" i="15"/>
  <c r="AC349" i="15"/>
  <c r="AC350" i="15"/>
  <c r="X124" i="15"/>
  <c r="AC19" i="15"/>
  <c r="AC32" i="15"/>
  <c r="AC33" i="15"/>
  <c r="Z211" i="15"/>
  <c r="Z303" i="15"/>
  <c r="AJ32" i="15"/>
  <c r="AJ19" i="15"/>
  <c r="AJ21" i="15" s="1"/>
  <c r="G260" i="15"/>
  <c r="AC297" i="15"/>
  <c r="AC318" i="15" s="1"/>
  <c r="AC128" i="15"/>
  <c r="AC145" i="15"/>
  <c r="AC195" i="15"/>
  <c r="AC260" i="15" s="1"/>
  <c r="AC136" i="15"/>
  <c r="AC130" i="15"/>
  <c r="AC131" i="15" s="1"/>
  <c r="L169" i="15"/>
  <c r="L64" i="15"/>
  <c r="AF180" i="15"/>
  <c r="AG71" i="15"/>
  <c r="AF245" i="15"/>
  <c r="G360" i="15"/>
  <c r="G359" i="15"/>
  <c r="AE42" i="15"/>
  <c r="AE162" i="15" s="1"/>
  <c r="AE226" i="15"/>
  <c r="AE43" i="15"/>
  <c r="AE163" i="15" s="1"/>
  <c r="AE161" i="15"/>
  <c r="R185" i="15"/>
  <c r="R79" i="15"/>
  <c r="R250" i="15"/>
  <c r="O208" i="20"/>
  <c r="C604" i="17"/>
  <c r="D599" i="17" s="1"/>
  <c r="O294" i="20"/>
  <c r="AD225" i="15"/>
  <c r="AD232" i="15"/>
  <c r="AH276" i="15"/>
  <c r="H78" i="15"/>
  <c r="H250" i="15"/>
  <c r="I294" i="15"/>
  <c r="I150" i="15"/>
  <c r="AC142" i="15"/>
  <c r="AC205" i="15" s="1"/>
  <c r="AD308" i="15"/>
  <c r="AD291" i="15"/>
  <c r="AE230" i="15"/>
  <c r="AE236" i="15"/>
  <c r="AE234" i="15"/>
  <c r="AH265" i="15"/>
  <c r="AH308" i="15"/>
  <c r="AE242" i="15"/>
  <c r="H789" i="17"/>
  <c r="D805" i="17" s="1"/>
  <c r="F800" i="17" s="1"/>
  <c r="AG310" i="15"/>
  <c r="AG312" i="15" s="1"/>
  <c r="AE245" i="15"/>
  <c r="AE248" i="15"/>
  <c r="H827" i="17"/>
  <c r="D842" i="17" s="1"/>
  <c r="F837" i="17" s="1"/>
  <c r="AH267" i="15"/>
  <c r="AG313" i="15"/>
  <c r="AE224" i="15"/>
  <c r="AE235" i="15"/>
  <c r="AH310" i="15"/>
  <c r="AE243" i="15"/>
  <c r="AE251" i="15"/>
  <c r="AG314" i="15"/>
  <c r="AE247" i="15"/>
  <c r="AE249" i="15"/>
  <c r="AE238" i="15"/>
  <c r="AE246" i="15"/>
  <c r="AE239" i="15"/>
  <c r="AE237" i="15"/>
  <c r="AE308" i="15"/>
  <c r="AI179" i="15"/>
  <c r="AI244" i="15"/>
  <c r="AI76" i="15"/>
  <c r="AB270" i="15"/>
  <c r="AB273" i="15"/>
  <c r="U91" i="15"/>
  <c r="U50" i="15"/>
  <c r="K279" i="15"/>
  <c r="K282" i="15"/>
  <c r="Z33" i="15"/>
  <c r="Z19" i="15"/>
  <c r="AB288" i="15"/>
  <c r="AB309" i="15" s="1"/>
  <c r="AB322" i="15" s="1"/>
  <c r="AB142" i="15"/>
  <c r="AB205" i="15" s="1"/>
  <c r="D211" i="15"/>
  <c r="D303" i="15"/>
  <c r="AJ308" i="15"/>
  <c r="AJ246" i="15"/>
  <c r="AJ242" i="15"/>
  <c r="AJ224" i="15"/>
  <c r="AJ225" i="15" s="1"/>
  <c r="AJ245" i="15"/>
  <c r="AJ237" i="15"/>
  <c r="AJ247" i="15"/>
  <c r="H667" i="17"/>
  <c r="D684" i="17" s="1"/>
  <c r="F679" i="17" s="1"/>
  <c r="AJ265" i="15"/>
  <c r="AJ234" i="15"/>
  <c r="AJ239" i="15"/>
  <c r="AJ236" i="15"/>
  <c r="H707" i="17"/>
  <c r="D724" i="17" s="1"/>
  <c r="F719" i="17" s="1"/>
  <c r="AJ310" i="15"/>
  <c r="AJ240" i="15"/>
  <c r="AK267" i="15"/>
  <c r="AK276" i="15" s="1"/>
  <c r="AK308" i="15"/>
  <c r="AK312" i="15" s="1"/>
  <c r="O250" i="15"/>
  <c r="O185" i="15"/>
  <c r="AJ238" i="15"/>
  <c r="AJ70" i="15"/>
  <c r="P21" i="15"/>
  <c r="R94" i="15"/>
  <c r="Q239" i="15"/>
  <c r="Q174" i="15"/>
  <c r="Q94" i="15"/>
  <c r="Q35" i="15"/>
  <c r="T94" i="15"/>
  <c r="Y370" i="15"/>
  <c r="Z86" i="15"/>
  <c r="Y28" i="15"/>
  <c r="Y86" i="15"/>
  <c r="AB86" i="15"/>
  <c r="Y245" i="15"/>
  <c r="Y180" i="15"/>
  <c r="AE294" i="15"/>
  <c r="AC77" i="15"/>
  <c r="AB251" i="15"/>
  <c r="AN77" i="15"/>
  <c r="AB186" i="15"/>
  <c r="AA360" i="15"/>
  <c r="AA359" i="15"/>
  <c r="D1061" i="17"/>
  <c r="C1060" i="17"/>
  <c r="H349" i="15"/>
  <c r="H350" i="15"/>
  <c r="H379" i="15"/>
  <c r="H380" i="15"/>
  <c r="AC25" i="15"/>
  <c r="AC9" i="15"/>
  <c r="AC10" i="15" s="1"/>
  <c r="AC360" i="15"/>
  <c r="I184" i="15"/>
  <c r="AC75" i="15"/>
  <c r="AH368" i="15"/>
  <c r="AK367" i="15"/>
  <c r="AK368" i="15" s="1"/>
  <c r="AK69" i="15"/>
  <c r="AJ178" i="15"/>
  <c r="AN42" i="15"/>
  <c r="AC180" i="15"/>
  <c r="AC245" i="15"/>
  <c r="K349" i="15"/>
  <c r="I350" i="15"/>
  <c r="I349" i="15"/>
  <c r="W94" i="15"/>
  <c r="U174" i="15"/>
  <c r="X94" i="15"/>
  <c r="AK67" i="15"/>
  <c r="AJ176" i="15"/>
  <c r="AE350" i="15"/>
  <c r="AE349" i="15"/>
  <c r="Q109" i="15"/>
  <c r="Q116" i="15" s="1"/>
  <c r="E116" i="15"/>
  <c r="V130" i="15"/>
  <c r="V131" i="15" s="1"/>
  <c r="V195" i="15"/>
  <c r="V260" i="15" s="1"/>
  <c r="V273" i="15" s="1"/>
  <c r="V297" i="15"/>
  <c r="V318" i="15" s="1"/>
  <c r="V322" i="15" s="1"/>
  <c r="V136" i="15"/>
  <c r="V145" i="15"/>
  <c r="W195" i="15"/>
  <c r="W260" i="15" s="1"/>
  <c r="W130" i="15"/>
  <c r="W136" i="15"/>
  <c r="W131" i="15"/>
  <c r="H10" i="15"/>
  <c r="H13" i="15"/>
  <c r="H360" i="15"/>
  <c r="AA74" i="15"/>
  <c r="Z183" i="15"/>
  <c r="Z248" i="15"/>
  <c r="Z350" i="15"/>
  <c r="Z349" i="15"/>
  <c r="S139" i="15"/>
  <c r="S382" i="15"/>
  <c r="S97" i="15"/>
  <c r="S156" i="15"/>
  <c r="S342" i="15"/>
  <c r="S352" i="15" s="1"/>
  <c r="S362" i="15" s="1"/>
  <c r="T2" i="15"/>
  <c r="S221" i="15"/>
  <c r="S329" i="15"/>
  <c r="S286" i="15"/>
  <c r="S84" i="15"/>
  <c r="S38" i="15"/>
  <c r="S59" i="15" s="1"/>
  <c r="V380" i="15"/>
  <c r="V379" i="15"/>
  <c r="Z379" i="15"/>
  <c r="Y349" i="15"/>
  <c r="AN349" i="15"/>
  <c r="Y350" i="15"/>
  <c r="Y380" i="15"/>
  <c r="Y379" i="15"/>
  <c r="U360" i="15"/>
  <c r="U359" i="15"/>
  <c r="U369" i="15"/>
  <c r="Y369" i="15"/>
  <c r="AN340" i="15"/>
  <c r="Y340" i="15"/>
  <c r="L130" i="15"/>
  <c r="L131" i="15" s="1"/>
  <c r="N226" i="15"/>
  <c r="AJ243" i="15"/>
  <c r="F19" i="15"/>
  <c r="F32" i="15"/>
  <c r="I41" i="15"/>
  <c r="W76" i="15"/>
  <c r="W244" i="15"/>
  <c r="Z244" i="15"/>
  <c r="Z76" i="15"/>
  <c r="U279" i="15"/>
  <c r="U282" i="15"/>
  <c r="I95" i="15"/>
  <c r="I295" i="15" s="1"/>
  <c r="I179" i="15"/>
  <c r="W92" i="15"/>
  <c r="X92" i="15"/>
  <c r="V92" i="15"/>
  <c r="U172" i="15"/>
  <c r="F173" i="15"/>
  <c r="F238" i="15"/>
  <c r="W297" i="15"/>
  <c r="W318" i="15" s="1"/>
  <c r="W322" i="15" s="1"/>
  <c r="L128" i="15"/>
  <c r="N44" i="15"/>
  <c r="I288" i="15"/>
  <c r="N28" i="15"/>
  <c r="Q86" i="15"/>
  <c r="AC243" i="15"/>
  <c r="O161" i="15"/>
  <c r="O44" i="15"/>
  <c r="O43" i="15"/>
  <c r="O163" i="15" s="1"/>
  <c r="O226" i="15"/>
  <c r="AA291" i="15"/>
  <c r="AA308" i="15"/>
  <c r="AA312" i="15" s="1"/>
  <c r="T310" i="15"/>
  <c r="T312" i="15" s="1"/>
  <c r="T291" i="15"/>
  <c r="L136" i="15"/>
  <c r="H128" i="15"/>
  <c r="H297" i="15"/>
  <c r="H318" i="15" s="1"/>
  <c r="H322" i="15" s="1"/>
  <c r="AD198" i="15"/>
  <c r="AD263" i="15" s="1"/>
  <c r="AD148" i="15"/>
  <c r="AD298" i="15"/>
  <c r="AD319" i="15" s="1"/>
  <c r="T28" i="15"/>
  <c r="T39" i="15"/>
  <c r="T41" i="15" s="1"/>
  <c r="T17" i="15"/>
  <c r="W86" i="15"/>
  <c r="AG282" i="15"/>
  <c r="AG279" i="15"/>
  <c r="AG214" i="15"/>
  <c r="AG267" i="15"/>
  <c r="X19" i="15"/>
  <c r="X33" i="15"/>
  <c r="J87" i="15"/>
  <c r="AC241" i="15"/>
  <c r="J214" i="15"/>
  <c r="J279" i="15"/>
  <c r="J282" i="15"/>
  <c r="X32" i="15"/>
  <c r="AB235" i="15"/>
  <c r="T322" i="15"/>
  <c r="AK172" i="15"/>
  <c r="AK92" i="15"/>
  <c r="X64" i="15"/>
  <c r="Y61" i="15"/>
  <c r="X235" i="15"/>
  <c r="X170" i="15"/>
  <c r="X171" i="15"/>
  <c r="X236" i="15"/>
  <c r="Y62" i="15"/>
  <c r="Q248" i="15"/>
  <c r="Q183" i="15"/>
  <c r="C239" i="15"/>
  <c r="C174" i="15"/>
  <c r="C35" i="15"/>
  <c r="C94" i="15"/>
  <c r="C13" i="15"/>
  <c r="C360" i="15"/>
  <c r="AF225" i="15"/>
  <c r="AB225" i="15"/>
  <c r="H369" i="15"/>
  <c r="C966" i="17"/>
  <c r="C942" i="17"/>
  <c r="C947" i="17"/>
  <c r="C967" i="17"/>
  <c r="C946" i="17"/>
  <c r="C972" i="17"/>
  <c r="C943" i="17"/>
  <c r="C968" i="17"/>
  <c r="C971" i="17"/>
  <c r="C970" i="17"/>
  <c r="C941" i="17"/>
  <c r="C944" i="17"/>
  <c r="AE202" i="15"/>
  <c r="AE267" i="15" s="1"/>
  <c r="AE276" i="15" s="1"/>
  <c r="AE289" i="15"/>
  <c r="C916" i="17"/>
  <c r="AE148" i="15"/>
  <c r="AF67" i="15"/>
  <c r="AE176" i="15"/>
  <c r="AE241" i="15"/>
  <c r="AF77" i="15"/>
  <c r="AE186" i="15"/>
  <c r="AI378" i="15"/>
  <c r="AK377" i="15"/>
  <c r="O250" i="20"/>
  <c r="O190" i="20"/>
  <c r="O256" i="20"/>
  <c r="AI279" i="15"/>
  <c r="AI282" i="15"/>
  <c r="AI214" i="15"/>
  <c r="AA161" i="15"/>
  <c r="AA44" i="15"/>
  <c r="AA226" i="15"/>
  <c r="AB44" i="15"/>
  <c r="AB42" i="15"/>
  <c r="AB162" i="15" s="1"/>
  <c r="AB161" i="15"/>
  <c r="V310" i="15"/>
  <c r="V312" i="15" s="1"/>
  <c r="C1272" i="17"/>
  <c r="E1267" i="17" s="1"/>
  <c r="P243" i="15"/>
  <c r="P178" i="15"/>
  <c r="Q69" i="15"/>
  <c r="C297" i="15"/>
  <c r="C318" i="15" s="1"/>
  <c r="C322" i="15" s="1"/>
  <c r="C195" i="15"/>
  <c r="C260" i="15" s="1"/>
  <c r="C273" i="15" s="1"/>
  <c r="C128" i="15"/>
  <c r="G128" i="15"/>
  <c r="G297" i="15"/>
  <c r="G318" i="15" s="1"/>
  <c r="G322" i="15" s="1"/>
  <c r="E19" i="15"/>
  <c r="E33" i="15"/>
  <c r="J289" i="15"/>
  <c r="J150" i="15"/>
  <c r="E282" i="15"/>
  <c r="E214" i="15"/>
  <c r="E1147" i="17"/>
  <c r="D1152" i="17"/>
  <c r="S74" i="15"/>
  <c r="R248" i="15"/>
  <c r="O142" i="15"/>
  <c r="O205" i="15" s="1"/>
  <c r="O192" i="15"/>
  <c r="O257" i="15" s="1"/>
  <c r="O121" i="15"/>
  <c r="O30" i="15"/>
  <c r="P232" i="15"/>
  <c r="T231" i="15"/>
  <c r="O49" i="15"/>
  <c r="R90" i="15" s="1"/>
  <c r="R91" i="15"/>
  <c r="O50" i="15"/>
  <c r="F169" i="15"/>
  <c r="F234" i="15"/>
  <c r="U109" i="15"/>
  <c r="U116" i="15" s="1"/>
  <c r="F116" i="15"/>
  <c r="AF303" i="15"/>
  <c r="AF211" i="15"/>
  <c r="Y308" i="15"/>
  <c r="Y312" i="15" s="1"/>
  <c r="Y291" i="15"/>
  <c r="AI148" i="15"/>
  <c r="AI298" i="15"/>
  <c r="AI319" i="15" s="1"/>
  <c r="AI324" i="15" s="1"/>
  <c r="G17" i="15"/>
  <c r="G39" i="15"/>
  <c r="G41" i="15" s="1"/>
  <c r="G28" i="15"/>
  <c r="G86" i="15"/>
  <c r="AF247" i="15"/>
  <c r="AF182" i="15"/>
  <c r="AD265" i="15"/>
  <c r="R142" i="15"/>
  <c r="R205" i="15" s="1"/>
  <c r="R121" i="15"/>
  <c r="R192" i="15"/>
  <c r="R257" i="15" s="1"/>
  <c r="R270" i="15" s="1"/>
  <c r="X359" i="15"/>
  <c r="T359" i="15"/>
  <c r="T360" i="15"/>
  <c r="R379" i="15"/>
  <c r="N380" i="15"/>
  <c r="W240" i="15"/>
  <c r="X66" i="15"/>
  <c r="Y358" i="15"/>
  <c r="U94" i="15"/>
  <c r="T239" i="15"/>
  <c r="V94" i="15"/>
  <c r="T174" i="15"/>
  <c r="C70" i="15"/>
  <c r="AD173" i="15"/>
  <c r="AD70" i="15"/>
  <c r="C201" i="15"/>
  <c r="C266" i="15" s="1"/>
  <c r="C290" i="15"/>
  <c r="C311" i="15" s="1"/>
  <c r="Q202" i="15"/>
  <c r="Q267" i="15" s="1"/>
  <c r="Q289" i="15"/>
  <c r="D360" i="15"/>
  <c r="D359" i="15"/>
  <c r="R369" i="15"/>
  <c r="V369" i="15"/>
  <c r="AN67" i="15"/>
  <c r="AB241" i="15"/>
  <c r="I53" i="15"/>
  <c r="V173" i="15"/>
  <c r="V70" i="15"/>
  <c r="K369" i="15"/>
  <c r="G136" i="15"/>
  <c r="AD359" i="15"/>
  <c r="AD360" i="15"/>
  <c r="O237" i="15"/>
  <c r="O172" i="15"/>
  <c r="P63" i="15"/>
  <c r="S178" i="15"/>
  <c r="T69" i="15"/>
  <c r="S243" i="15"/>
  <c r="P246" i="15"/>
  <c r="Q72" i="15"/>
  <c r="P181" i="15"/>
  <c r="S142" i="15"/>
  <c r="S205" i="15" s="1"/>
  <c r="S30" i="15"/>
  <c r="S121" i="15"/>
  <c r="S192" i="15"/>
  <c r="S257" i="15" s="1"/>
  <c r="S270" i="15" s="1"/>
  <c r="X242" i="15"/>
  <c r="X177" i="15"/>
  <c r="L289" i="15"/>
  <c r="L150" i="15"/>
  <c r="E213" i="15"/>
  <c r="E278" i="15"/>
  <c r="Y237" i="15"/>
  <c r="Y172" i="15"/>
  <c r="Y92" i="15"/>
  <c r="AG72" i="15"/>
  <c r="AF181" i="15"/>
  <c r="AF246" i="15"/>
  <c r="AJ293" i="15"/>
  <c r="AJ314" i="15" s="1"/>
  <c r="AJ151" i="15"/>
  <c r="J169" i="15"/>
  <c r="J64" i="15"/>
  <c r="G389" i="15"/>
  <c r="F390" i="15"/>
  <c r="F389" i="15"/>
  <c r="AB349" i="15"/>
  <c r="AM349" i="15"/>
  <c r="X121" i="15"/>
  <c r="X30" i="15"/>
  <c r="R10" i="15"/>
  <c r="R13" i="15"/>
  <c r="R360" i="15"/>
  <c r="AA172" i="15"/>
  <c r="AB63" i="15"/>
  <c r="AB64" i="15" s="1"/>
  <c r="AK71" i="15"/>
  <c r="AJ180" i="15"/>
  <c r="K391" i="20"/>
  <c r="O390" i="20"/>
  <c r="AE173" i="15"/>
  <c r="AE70" i="15"/>
  <c r="E226" i="15"/>
  <c r="E44" i="15"/>
  <c r="E87" i="15"/>
  <c r="N130" i="15"/>
  <c r="N131" i="15" s="1"/>
  <c r="N128" i="15"/>
  <c r="N297" i="15"/>
  <c r="N318" i="15" s="1"/>
  <c r="N145" i="15"/>
  <c r="N208" i="15" s="1"/>
  <c r="N195" i="15"/>
  <c r="N260" i="15" s="1"/>
  <c r="Q39" i="15"/>
  <c r="Q41" i="15" s="1"/>
  <c r="Q87" i="15" s="1"/>
  <c r="Q28" i="15"/>
  <c r="N239" i="15"/>
  <c r="N35" i="15"/>
  <c r="X340" i="15"/>
  <c r="AM340" i="15"/>
  <c r="C931" i="17"/>
  <c r="C909" i="17"/>
  <c r="C930" i="17"/>
  <c r="AG109" i="15"/>
  <c r="AG116" i="15" s="1"/>
  <c r="K116" i="15"/>
  <c r="AH248" i="15"/>
  <c r="AI74" i="15"/>
  <c r="AK11" i="15"/>
  <c r="J145" i="15"/>
  <c r="AF40" i="15"/>
  <c r="AG56" i="15"/>
  <c r="AG40" i="15" s="1"/>
  <c r="AG36" i="15" s="1"/>
  <c r="AK35" i="15"/>
  <c r="AK239" i="15"/>
  <c r="X180" i="15"/>
  <c r="X245" i="15"/>
  <c r="F290" i="15"/>
  <c r="F311" i="15" s="1"/>
  <c r="F201" i="15"/>
  <c r="F266" i="15" s="1"/>
  <c r="C30" i="15"/>
  <c r="C192" i="15"/>
  <c r="C257" i="15" s="1"/>
  <c r="C270" i="15" s="1"/>
  <c r="D234" i="15"/>
  <c r="D169" i="15"/>
  <c r="D64" i="15"/>
  <c r="D201" i="15"/>
  <c r="D266" i="15" s="1"/>
  <c r="D276" i="15" s="1"/>
  <c r="D290" i="15"/>
  <c r="D311" i="15" s="1"/>
  <c r="D324" i="15" s="1"/>
  <c r="S291" i="15"/>
  <c r="S310" i="15"/>
  <c r="S312" i="15" s="1"/>
  <c r="E379" i="15"/>
  <c r="D380" i="15"/>
  <c r="U26" i="15"/>
  <c r="U13" i="15"/>
  <c r="W40" i="15"/>
  <c r="AA225" i="15"/>
  <c r="W225" i="15"/>
  <c r="W358" i="15"/>
  <c r="AI169" i="15"/>
  <c r="AI234" i="15"/>
  <c r="J86" i="15"/>
  <c r="AI297" i="15"/>
  <c r="AI318" i="15" s="1"/>
  <c r="AI136" i="15"/>
  <c r="AK94" i="15"/>
  <c r="AJ174" i="15"/>
  <c r="AD379" i="15"/>
  <c r="AD380" i="15"/>
  <c r="S369" i="15"/>
  <c r="O370" i="15"/>
  <c r="N50" i="15"/>
  <c r="N49" i="15"/>
  <c r="Q90" i="15" s="1"/>
  <c r="Q91" i="15"/>
  <c r="W26" i="15"/>
  <c r="Y11" i="15"/>
  <c r="Y26" i="15" s="1"/>
  <c r="W232" i="15"/>
  <c r="W231" i="15"/>
  <c r="AB72" i="15"/>
  <c r="AA181" i="15"/>
  <c r="AA246" i="15"/>
  <c r="AN72" i="15"/>
  <c r="AC89" i="15"/>
  <c r="Z53" i="15"/>
  <c r="J378" i="15"/>
  <c r="AN377" i="15"/>
  <c r="AN378" i="15" s="1"/>
  <c r="AK339" i="15"/>
  <c r="AK340" i="15" s="1"/>
  <c r="N241" i="20"/>
  <c r="N67" i="20"/>
  <c r="N71" i="20" s="1"/>
  <c r="N175" i="20"/>
  <c r="Z30" i="15"/>
  <c r="AA30" i="15"/>
  <c r="AN73" i="15"/>
  <c r="AC73" i="15"/>
  <c r="AE174" i="15"/>
  <c r="AF65" i="15"/>
  <c r="R308" i="15"/>
  <c r="R312" i="15" s="1"/>
  <c r="R291" i="15"/>
  <c r="P370" i="15"/>
  <c r="R53" i="15"/>
  <c r="R54" i="15"/>
  <c r="AC219" i="15"/>
  <c r="AC310" i="15" s="1"/>
  <c r="H976" i="17"/>
  <c r="K46" i="15"/>
  <c r="K166" i="15" s="1"/>
  <c r="J47" i="15"/>
  <c r="J167" i="15" s="1"/>
  <c r="P3" i="20"/>
  <c r="AE35" i="15"/>
  <c r="AB30" i="15"/>
  <c r="Y77" i="15"/>
  <c r="X186" i="15"/>
  <c r="AD237" i="15"/>
  <c r="AG265" i="15"/>
  <c r="I289" i="15"/>
  <c r="I151" i="15"/>
  <c r="D151" i="15"/>
  <c r="V170" i="15"/>
  <c r="V235" i="15"/>
  <c r="T379" i="15"/>
  <c r="T380" i="15"/>
  <c r="I378" i="15"/>
  <c r="AC377" i="15"/>
  <c r="AC378" i="15" s="1"/>
  <c r="AC234" i="15"/>
  <c r="K219" i="15"/>
  <c r="K249" i="15" s="1"/>
  <c r="AF66" i="15"/>
  <c r="AE240" i="15"/>
  <c r="AF358" i="15"/>
  <c r="AG357" i="15"/>
  <c r="AG358" i="15" s="1"/>
  <c r="C716" i="17"/>
  <c r="C741" i="17"/>
  <c r="C714" i="17"/>
  <c r="AJ121" i="15"/>
  <c r="AJ192" i="15"/>
  <c r="AJ257" i="15" s="1"/>
  <c r="O292" i="20"/>
  <c r="P339" i="20"/>
  <c r="G369" i="15"/>
  <c r="G370" i="15"/>
  <c r="AA192" i="15"/>
  <c r="AA257" i="15" s="1"/>
  <c r="AA270" i="15" s="1"/>
  <c r="AA121" i="15"/>
  <c r="L248" i="15"/>
  <c r="F28" i="15"/>
  <c r="F39" i="15"/>
  <c r="F41" i="15" s="1"/>
  <c r="AF131" i="15"/>
  <c r="AI360" i="15"/>
  <c r="K359" i="15"/>
  <c r="AF236" i="15"/>
  <c r="AF171" i="15"/>
  <c r="V248" i="15"/>
  <c r="W74" i="15"/>
  <c r="AG11" i="15"/>
  <c r="AG26" i="15" s="1"/>
  <c r="J369" i="15"/>
  <c r="AN9" i="15"/>
  <c r="AN10" i="15" s="1"/>
  <c r="AN47" i="15"/>
  <c r="AN25" i="15"/>
  <c r="AN7" i="15"/>
  <c r="AH10" i="15"/>
  <c r="AH13" i="15"/>
  <c r="K184" i="15"/>
  <c r="AG75" i="15"/>
  <c r="O252" i="20"/>
  <c r="E202" i="15"/>
  <c r="E267" i="15" s="1"/>
  <c r="E289" i="15"/>
  <c r="T68" i="15"/>
  <c r="S242" i="15"/>
  <c r="C370" i="15"/>
  <c r="AF369" i="15"/>
  <c r="AB359" i="15"/>
  <c r="O177" i="20"/>
  <c r="P369" i="20"/>
  <c r="AD257" i="15"/>
  <c r="K13" i="15"/>
  <c r="O181" i="20"/>
  <c r="O247" i="20"/>
  <c r="AE379" i="15"/>
  <c r="P127" i="20"/>
  <c r="P151" i="20" s="1"/>
  <c r="P214" i="20" s="1"/>
  <c r="P198" i="20"/>
  <c r="P264" i="20" s="1"/>
  <c r="P11" i="20"/>
  <c r="P294" i="20"/>
  <c r="P175" i="20"/>
  <c r="P239" i="20"/>
  <c r="P14" i="20"/>
  <c r="P241" i="20"/>
  <c r="AC285" i="20" l="1"/>
  <c r="AD285" i="20"/>
  <c r="AC245" i="20"/>
  <c r="AC179" i="20"/>
  <c r="AC29" i="20"/>
  <c r="AC40" i="20"/>
  <c r="AC42" i="20" s="1"/>
  <c r="AD90" i="20" s="1"/>
  <c r="AC18" i="20"/>
  <c r="AC380" i="20"/>
  <c r="AC89" i="20"/>
  <c r="AC299" i="20"/>
  <c r="AC156" i="20"/>
  <c r="AC219" i="20" s="1"/>
  <c r="AB285" i="20"/>
  <c r="Y285" i="20"/>
  <c r="Z285" i="20"/>
  <c r="AA285" i="20"/>
  <c r="P277" i="20"/>
  <c r="N277" i="20"/>
  <c r="O277" i="20"/>
  <c r="Z89" i="20"/>
  <c r="AA89" i="20"/>
  <c r="M280" i="20"/>
  <c r="M277" i="20"/>
  <c r="M283" i="20"/>
  <c r="Y179" i="20"/>
  <c r="Y245" i="20"/>
  <c r="Y40" i="20"/>
  <c r="Y42" i="20" s="1"/>
  <c r="AB90" i="20" s="1"/>
  <c r="Y29" i="20"/>
  <c r="Y18" i="20"/>
  <c r="Y380" i="20"/>
  <c r="Y89" i="20"/>
  <c r="Y299" i="20"/>
  <c r="Y156" i="20"/>
  <c r="F1061" i="17"/>
  <c r="Q48" i="20"/>
  <c r="Q172" i="20" s="1"/>
  <c r="U48" i="20"/>
  <c r="U172" i="20" s="1"/>
  <c r="P64" i="20"/>
  <c r="P67" i="20" s="1"/>
  <c r="P71" i="20" s="1"/>
  <c r="P77" i="20"/>
  <c r="P189" i="20" s="1"/>
  <c r="S91" i="20"/>
  <c r="L183" i="20"/>
  <c r="K255" i="20"/>
  <c r="L249" i="20"/>
  <c r="T91" i="20"/>
  <c r="Q80" i="20"/>
  <c r="Q73" i="20"/>
  <c r="Q74" i="20"/>
  <c r="Q69" i="20"/>
  <c r="P249" i="20"/>
  <c r="P187" i="20"/>
  <c r="Q65" i="20"/>
  <c r="O67" i="20"/>
  <c r="K246" i="20"/>
  <c r="O134" i="20"/>
  <c r="O154" i="20" s="1"/>
  <c r="O217" i="20" s="1"/>
  <c r="O176" i="20"/>
  <c r="O242" i="20"/>
  <c r="J40" i="20"/>
  <c r="J42" i="20" s="1"/>
  <c r="J233" i="20" s="1"/>
  <c r="O201" i="20"/>
  <c r="O267" i="20" s="1"/>
  <c r="O280" i="20" s="1"/>
  <c r="O136" i="20"/>
  <c r="O137" i="20" s="1"/>
  <c r="C506" i="17"/>
  <c r="D501" i="17" s="1"/>
  <c r="R208" i="20"/>
  <c r="R294" i="20"/>
  <c r="R151" i="20"/>
  <c r="R214" i="20" s="1"/>
  <c r="R148" i="20"/>
  <c r="R211" i="20" s="1"/>
  <c r="R154" i="20"/>
  <c r="P192" i="20"/>
  <c r="P247" i="20"/>
  <c r="P258" i="20"/>
  <c r="J18" i="20"/>
  <c r="J33" i="20" s="1"/>
  <c r="J29" i="20"/>
  <c r="L77" i="20"/>
  <c r="L189" i="20" s="1"/>
  <c r="Q72" i="20"/>
  <c r="M177" i="20"/>
  <c r="M243" i="20"/>
  <c r="M181" i="20"/>
  <c r="M247" i="20"/>
  <c r="M186" i="20"/>
  <c r="M252" i="20"/>
  <c r="M183" i="20"/>
  <c r="M249" i="20"/>
  <c r="M253" i="20"/>
  <c r="M187" i="20"/>
  <c r="M184" i="20"/>
  <c r="M250" i="20"/>
  <c r="M192" i="20"/>
  <c r="M258" i="20"/>
  <c r="M95" i="20"/>
  <c r="M244" i="20"/>
  <c r="M178" i="20"/>
  <c r="L64" i="20"/>
  <c r="M64" i="20" s="1"/>
  <c r="K176" i="20"/>
  <c r="O180" i="20"/>
  <c r="P95" i="20"/>
  <c r="P298" i="20" s="1"/>
  <c r="Q75" i="20"/>
  <c r="O302" i="20"/>
  <c r="O151" i="20"/>
  <c r="O214" i="20" s="1"/>
  <c r="L68" i="20"/>
  <c r="M68" i="20" s="1"/>
  <c r="K180" i="20"/>
  <c r="P244" i="20"/>
  <c r="P291" i="20"/>
  <c r="Q3" i="20"/>
  <c r="O36" i="20"/>
  <c r="O255" i="20"/>
  <c r="O18" i="20"/>
  <c r="O20" i="20" s="1"/>
  <c r="N134" i="20"/>
  <c r="N303" i="20" s="1"/>
  <c r="N151" i="20"/>
  <c r="N214" i="20" s="1"/>
  <c r="L190" i="20"/>
  <c r="M78" i="20"/>
  <c r="O97" i="20"/>
  <c r="O299" i="20" s="1"/>
  <c r="Q256" i="20"/>
  <c r="Q190" i="20"/>
  <c r="M27" i="20"/>
  <c r="M14" i="20"/>
  <c r="P253" i="20"/>
  <c r="P252" i="20"/>
  <c r="O189" i="20"/>
  <c r="Q66" i="20"/>
  <c r="Q27" i="20"/>
  <c r="Q14" i="20"/>
  <c r="C1048" i="17"/>
  <c r="C744" i="17"/>
  <c r="C1024" i="17"/>
  <c r="E1024" i="17" s="1"/>
  <c r="C911" i="17"/>
  <c r="C915" i="17" s="1"/>
  <c r="N380" i="20"/>
  <c r="P89" i="20"/>
  <c r="O89" i="20"/>
  <c r="N89" i="20"/>
  <c r="O246" i="20"/>
  <c r="N302" i="20"/>
  <c r="K40" i="20"/>
  <c r="K42" i="20" s="1"/>
  <c r="P183" i="20"/>
  <c r="N136" i="20"/>
  <c r="N137" i="20" s="1"/>
  <c r="K380" i="20"/>
  <c r="K29" i="20"/>
  <c r="L187" i="20"/>
  <c r="L253" i="20"/>
  <c r="L247" i="20"/>
  <c r="L181" i="20"/>
  <c r="L186" i="20"/>
  <c r="L252" i="20"/>
  <c r="P68" i="20"/>
  <c r="P180" i="20" s="1"/>
  <c r="L184" i="20"/>
  <c r="L250" i="20"/>
  <c r="L178" i="20"/>
  <c r="L244" i="20"/>
  <c r="L192" i="20"/>
  <c r="L258" i="20"/>
  <c r="O29" i="20"/>
  <c r="L177" i="20"/>
  <c r="L243" i="20"/>
  <c r="D953" i="17"/>
  <c r="D1085" i="17"/>
  <c r="C1061" i="17"/>
  <c r="E1061" i="17" s="1"/>
  <c r="C837" i="17"/>
  <c r="E837" i="17" s="1"/>
  <c r="C760" i="17"/>
  <c r="C764" i="17" s="1"/>
  <c r="C860" i="17"/>
  <c r="C785" i="17"/>
  <c r="C898" i="17"/>
  <c r="C874" i="17"/>
  <c r="C878" i="17" s="1"/>
  <c r="C679" i="17"/>
  <c r="E679" i="17" s="1"/>
  <c r="C703" i="17"/>
  <c r="C800" i="17"/>
  <c r="E800" i="17" s="1"/>
  <c r="C823" i="17"/>
  <c r="C935" i="17"/>
  <c r="C719" i="17"/>
  <c r="C723" i="17" s="1"/>
  <c r="D1185" i="17"/>
  <c r="C1189" i="17"/>
  <c r="D1189" i="17" s="1"/>
  <c r="D1188" i="17"/>
  <c r="K34" i="20"/>
  <c r="K20" i="20"/>
  <c r="K22" i="20" s="1"/>
  <c r="N40" i="20"/>
  <c r="N42" i="20" s="1"/>
  <c r="R43" i="20" s="1"/>
  <c r="R168" i="20" s="1"/>
  <c r="L18" i="20"/>
  <c r="L29" i="20"/>
  <c r="L40" i="20"/>
  <c r="L42" i="20" s="1"/>
  <c r="N296" i="20"/>
  <c r="N201" i="20"/>
  <c r="N267" i="20" s="1"/>
  <c r="N280" i="20" s="1"/>
  <c r="N142" i="20"/>
  <c r="O40" i="20"/>
  <c r="O42" i="20" s="1"/>
  <c r="O157" i="20"/>
  <c r="N299" i="20"/>
  <c r="N156" i="20"/>
  <c r="P87" i="20"/>
  <c r="O380" i="20"/>
  <c r="N220" i="20"/>
  <c r="P178" i="20"/>
  <c r="P184" i="20"/>
  <c r="N18" i="20"/>
  <c r="N29" i="20"/>
  <c r="P100" i="20"/>
  <c r="AC380" i="15"/>
  <c r="AC379" i="15"/>
  <c r="Y150" i="15"/>
  <c r="Y294" i="15"/>
  <c r="Y315" i="15" s="1"/>
  <c r="AG360" i="15"/>
  <c r="AG359" i="15"/>
  <c r="AK359" i="15"/>
  <c r="N253" i="15"/>
  <c r="N188" i="15"/>
  <c r="AC312" i="15"/>
  <c r="AB238" i="15"/>
  <c r="AB173" i="15"/>
  <c r="AB70" i="15"/>
  <c r="AF175" i="15"/>
  <c r="AF240" i="15"/>
  <c r="AG66" i="15"/>
  <c r="AK180" i="15"/>
  <c r="AK245" i="15"/>
  <c r="D214" i="15"/>
  <c r="D279" i="15"/>
  <c r="D282" i="15"/>
  <c r="C76" i="15"/>
  <c r="C244" i="15"/>
  <c r="C95" i="15"/>
  <c r="C295" i="15" s="1"/>
  <c r="C316" i="15" s="1"/>
  <c r="C179" i="15"/>
  <c r="AF241" i="15"/>
  <c r="AG67" i="15"/>
  <c r="AF176" i="15"/>
  <c r="AC298" i="15"/>
  <c r="AC319" i="15" s="1"/>
  <c r="AC324" i="15" s="1"/>
  <c r="AC198" i="15"/>
  <c r="AC263" i="15" s="1"/>
  <c r="AC276" i="15" s="1"/>
  <c r="AC148" i="15"/>
  <c r="L310" i="15"/>
  <c r="L312" i="15" s="1"/>
  <c r="L291" i="15"/>
  <c r="AE303" i="15"/>
  <c r="AE211" i="15"/>
  <c r="Q292" i="15"/>
  <c r="Q313" i="15" s="1"/>
  <c r="Q124" i="15"/>
  <c r="J301" i="15"/>
  <c r="J208" i="15"/>
  <c r="AG181" i="15"/>
  <c r="AG246" i="15"/>
  <c r="AH369" i="15"/>
  <c r="AH370" i="15"/>
  <c r="AE315" i="15"/>
  <c r="J179" i="20"/>
  <c r="J245" i="20"/>
  <c r="X288" i="15"/>
  <c r="X309" i="15" s="1"/>
  <c r="X200" i="15"/>
  <c r="X265" i="15" s="1"/>
  <c r="X270" i="15" s="1"/>
  <c r="X142" i="15"/>
  <c r="X205" i="15" s="1"/>
  <c r="E253" i="15"/>
  <c r="E188" i="15"/>
  <c r="Z294" i="15"/>
  <c r="Z315" i="15" s="1"/>
  <c r="Z150" i="15"/>
  <c r="AA250" i="15"/>
  <c r="AA185" i="15"/>
  <c r="AA78" i="15"/>
  <c r="T276" i="15"/>
  <c r="V244" i="15"/>
  <c r="V179" i="15"/>
  <c r="V76" i="15"/>
  <c r="AN359" i="15"/>
  <c r="Y360" i="15"/>
  <c r="Y359" i="15"/>
  <c r="F121" i="15"/>
  <c r="F30" i="15"/>
  <c r="F142" i="15"/>
  <c r="F205" i="15" s="1"/>
  <c r="F192" i="15"/>
  <c r="F257" i="15" s="1"/>
  <c r="F270" i="15" s="1"/>
  <c r="C150" i="15"/>
  <c r="C294" i="15"/>
  <c r="C315" i="15" s="1"/>
  <c r="W250" i="15"/>
  <c r="W185" i="15"/>
  <c r="D1065" i="17"/>
  <c r="C1065" i="17" s="1"/>
  <c r="G1061" i="17"/>
  <c r="H81" i="15"/>
  <c r="H252" i="15"/>
  <c r="H187" i="15"/>
  <c r="AC301" i="15"/>
  <c r="AC208" i="15"/>
  <c r="AJ131" i="15"/>
  <c r="AJ136" i="15"/>
  <c r="AJ195" i="15"/>
  <c r="AJ260" i="15" s="1"/>
  <c r="AJ130" i="15"/>
  <c r="AJ128" i="15"/>
  <c r="AJ297" i="15"/>
  <c r="AJ318" i="15" s="1"/>
  <c r="AG192" i="15"/>
  <c r="AG257" i="15" s="1"/>
  <c r="AG121" i="15"/>
  <c r="AG30" i="15"/>
  <c r="L278" i="15"/>
  <c r="L213" i="15"/>
  <c r="L281" i="15"/>
  <c r="G19" i="15"/>
  <c r="G32" i="15"/>
  <c r="G33" i="15"/>
  <c r="G148" i="15"/>
  <c r="G198" i="15"/>
  <c r="G263" i="15" s="1"/>
  <c r="G276" i="15" s="1"/>
  <c r="G298" i="15"/>
  <c r="G319" i="15" s="1"/>
  <c r="G324" i="15" s="1"/>
  <c r="Z142" i="15"/>
  <c r="Z205" i="15" s="1"/>
  <c r="Z200" i="15"/>
  <c r="Z265" i="15" s="1"/>
  <c r="Z273" i="15" s="1"/>
  <c r="Z288" i="15"/>
  <c r="Z309" i="15" s="1"/>
  <c r="Z322" i="15" s="1"/>
  <c r="Z145" i="15"/>
  <c r="AN19" i="15"/>
  <c r="AN21" i="15" s="1"/>
  <c r="AN33" i="15"/>
  <c r="AN32" i="15"/>
  <c r="P317" i="20"/>
  <c r="W359" i="15"/>
  <c r="W360" i="15"/>
  <c r="Q291" i="15"/>
  <c r="Q310" i="15"/>
  <c r="Q312" i="15" s="1"/>
  <c r="V293" i="15"/>
  <c r="V314" i="15" s="1"/>
  <c r="V151" i="15"/>
  <c r="Z78" i="15"/>
  <c r="Z250" i="15"/>
  <c r="Z185" i="15"/>
  <c r="AK369" i="15"/>
  <c r="I213" i="15"/>
  <c r="I281" i="15"/>
  <c r="I278" i="15"/>
  <c r="H54" i="15"/>
  <c r="H53" i="15"/>
  <c r="H89" i="15"/>
  <c r="J53" i="15"/>
  <c r="W21" i="15"/>
  <c r="Z93" i="15"/>
  <c r="Y93" i="15"/>
  <c r="W128" i="15"/>
  <c r="U186" i="15"/>
  <c r="U251" i="15"/>
  <c r="P228" i="20"/>
  <c r="P181" i="20"/>
  <c r="AG184" i="15"/>
  <c r="AG249" i="15"/>
  <c r="I291" i="15"/>
  <c r="N179" i="20"/>
  <c r="N245" i="20"/>
  <c r="AE76" i="15"/>
  <c r="AE244" i="15"/>
  <c r="AE179" i="15"/>
  <c r="AI303" i="15"/>
  <c r="AI211" i="15"/>
  <c r="O145" i="15"/>
  <c r="O208" i="15" s="1"/>
  <c r="O131" i="15"/>
  <c r="O136" i="15"/>
  <c r="O130" i="15"/>
  <c r="O195" i="15"/>
  <c r="O260" i="15" s="1"/>
  <c r="O297" i="15"/>
  <c r="O318" i="15" s="1"/>
  <c r="O128" i="15"/>
  <c r="S87" i="15"/>
  <c r="H148" i="15"/>
  <c r="H298" i="15"/>
  <c r="H319" i="15" s="1"/>
  <c r="H324" i="15" s="1"/>
  <c r="H198" i="15"/>
  <c r="H263" i="15" s="1"/>
  <c r="H276" i="15" s="1"/>
  <c r="X293" i="15"/>
  <c r="X314" i="15" s="1"/>
  <c r="X151" i="15"/>
  <c r="F93" i="15"/>
  <c r="F21" i="15"/>
  <c r="AK176" i="15"/>
  <c r="AK70" i="15"/>
  <c r="AK241" i="15"/>
  <c r="T294" i="15"/>
  <c r="T315" i="15" s="1"/>
  <c r="AJ312" i="15"/>
  <c r="U292" i="15"/>
  <c r="U313" i="15" s="1"/>
  <c r="U124" i="15"/>
  <c r="L173" i="15"/>
  <c r="L70" i="15"/>
  <c r="L238" i="15"/>
  <c r="AH81" i="15"/>
  <c r="AH187" i="15"/>
  <c r="AH252" i="15"/>
  <c r="P39" i="20"/>
  <c r="P62" i="20" s="1"/>
  <c r="P177" i="20"/>
  <c r="P330" i="20"/>
  <c r="P360" i="20" s="1"/>
  <c r="P371" i="20" s="1"/>
  <c r="I379" i="15"/>
  <c r="K379" i="15"/>
  <c r="I380" i="15"/>
  <c r="AF174" i="15"/>
  <c r="AI94" i="15"/>
  <c r="AH94" i="15"/>
  <c r="AF239" i="15"/>
  <c r="AF35" i="15"/>
  <c r="AF94" i="15"/>
  <c r="AF70" i="15"/>
  <c r="AG65" i="15"/>
  <c r="AG94" i="15" s="1"/>
  <c r="Q201" i="15"/>
  <c r="Q266" i="15" s="1"/>
  <c r="Q290" i="15"/>
  <c r="Q311" i="15" s="1"/>
  <c r="AK294" i="15"/>
  <c r="AK315" i="15" s="1"/>
  <c r="AK150" i="15"/>
  <c r="R39" i="15"/>
  <c r="R41" i="15" s="1"/>
  <c r="R87" i="15" s="1"/>
  <c r="R28" i="15"/>
  <c r="R86" i="15"/>
  <c r="U86" i="15"/>
  <c r="S86" i="15"/>
  <c r="R17" i="15"/>
  <c r="T86" i="15"/>
  <c r="Y151" i="15"/>
  <c r="Y293" i="15"/>
  <c r="Y314" i="15" s="1"/>
  <c r="V294" i="15"/>
  <c r="V315" i="15" s="1"/>
  <c r="V150" i="15"/>
  <c r="J213" i="15"/>
  <c r="J281" i="15"/>
  <c r="J278" i="15"/>
  <c r="AI379" i="15"/>
  <c r="AI380" i="15"/>
  <c r="AE291" i="15"/>
  <c r="AE310" i="15"/>
  <c r="Y64" i="15"/>
  <c r="Y170" i="15"/>
  <c r="Y235" i="15"/>
  <c r="T33" i="15"/>
  <c r="T19" i="15"/>
  <c r="T32" i="15"/>
  <c r="W151" i="15"/>
  <c r="W293" i="15"/>
  <c r="W314" i="15" s="1"/>
  <c r="U2" i="15"/>
  <c r="T38" i="15"/>
  <c r="T59" i="15" s="1"/>
  <c r="T221" i="15"/>
  <c r="T342" i="15"/>
  <c r="T352" i="15" s="1"/>
  <c r="T362" i="15" s="1"/>
  <c r="T97" i="15"/>
  <c r="T139" i="15"/>
  <c r="T84" i="15"/>
  <c r="T307" i="15"/>
  <c r="T382" i="15"/>
  <c r="T372" i="15"/>
  <c r="T286" i="15"/>
  <c r="T156" i="15"/>
  <c r="T329" i="15"/>
  <c r="E30" i="15"/>
  <c r="E142" i="15"/>
  <c r="E205" i="15" s="1"/>
  <c r="E192" i="15"/>
  <c r="E257" i="15" s="1"/>
  <c r="E270" i="15" s="1"/>
  <c r="E121" i="15"/>
  <c r="AC249" i="15"/>
  <c r="AC184" i="15"/>
  <c r="AJ244" i="15"/>
  <c r="AJ179" i="15"/>
  <c r="AC313" i="15"/>
  <c r="AC21" i="15"/>
  <c r="G54" i="15"/>
  <c r="G53" i="15"/>
  <c r="G89" i="15"/>
  <c r="D1088" i="17"/>
  <c r="D1122" i="17"/>
  <c r="D1128" i="17"/>
  <c r="D1127" i="17"/>
  <c r="D1123" i="17"/>
  <c r="C1108" i="17"/>
  <c r="C1109" i="17" s="1"/>
  <c r="D1109" i="17" s="1"/>
  <c r="D1090" i="17"/>
  <c r="D1104" i="17"/>
  <c r="D1133" i="17"/>
  <c r="D1126" i="17"/>
  <c r="D1125" i="17"/>
  <c r="D1089" i="17"/>
  <c r="D1101" i="17"/>
  <c r="D1134" i="17"/>
  <c r="D1132" i="17"/>
  <c r="D1102" i="17"/>
  <c r="D1100" i="17"/>
  <c r="D1124" i="17"/>
  <c r="D1099" i="17"/>
  <c r="D1103" i="17"/>
  <c r="T211" i="15"/>
  <c r="T303" i="15"/>
  <c r="F78" i="15"/>
  <c r="F250" i="15"/>
  <c r="F185" i="15"/>
  <c r="F79" i="15"/>
  <c r="D682" i="17"/>
  <c r="D683" i="17" s="1"/>
  <c r="D301" i="15"/>
  <c r="D208" i="15"/>
  <c r="Q21" i="15"/>
  <c r="Q93" i="15"/>
  <c r="AC226" i="15"/>
  <c r="AD303" i="15"/>
  <c r="AD211" i="15"/>
  <c r="K248" i="15"/>
  <c r="K246" i="15"/>
  <c r="K243" i="15"/>
  <c r="K230" i="15"/>
  <c r="K308" i="15"/>
  <c r="K309" i="15"/>
  <c r="K314" i="15"/>
  <c r="K242" i="15"/>
  <c r="K265" i="15"/>
  <c r="K224" i="15"/>
  <c r="K236" i="15"/>
  <c r="K240" i="15"/>
  <c r="K247" i="15"/>
  <c r="K313" i="15"/>
  <c r="K241" i="15"/>
  <c r="K310" i="15"/>
  <c r="K312" i="15" s="1"/>
  <c r="K239" i="15"/>
  <c r="K267" i="15"/>
  <c r="K234" i="15"/>
  <c r="K237" i="15"/>
  <c r="K266" i="15"/>
  <c r="K251" i="15"/>
  <c r="K245" i="15"/>
  <c r="AN63" i="15"/>
  <c r="AN64" i="15" s="1"/>
  <c r="AN70" i="15" s="1"/>
  <c r="AB237" i="15"/>
  <c r="AB172" i="15"/>
  <c r="AE92" i="15"/>
  <c r="AB92" i="15"/>
  <c r="AC63" i="15"/>
  <c r="U30" i="15"/>
  <c r="U121" i="15"/>
  <c r="U142" i="15"/>
  <c r="U205" i="15" s="1"/>
  <c r="U192" i="15"/>
  <c r="U257" i="15" s="1"/>
  <c r="U270" i="15" s="1"/>
  <c r="C973" i="17"/>
  <c r="I42" i="15"/>
  <c r="I162" i="15" s="1"/>
  <c r="I44" i="15"/>
  <c r="I87" i="15"/>
  <c r="I226" i="15"/>
  <c r="I161" i="15"/>
  <c r="I43" i="15"/>
  <c r="I163" i="15" s="1"/>
  <c r="AK178" i="15"/>
  <c r="AK243" i="15"/>
  <c r="AK379" i="15"/>
  <c r="AK380" i="15"/>
  <c r="K315" i="15"/>
  <c r="AA136" i="15"/>
  <c r="AA130" i="15"/>
  <c r="AA195" i="15"/>
  <c r="AA260" i="15" s="1"/>
  <c r="AA273" i="15" s="1"/>
  <c r="AA131" i="15"/>
  <c r="AA297" i="15"/>
  <c r="AA318" i="15" s="1"/>
  <c r="AA322" i="15" s="1"/>
  <c r="AA128" i="15"/>
  <c r="AA145" i="15"/>
  <c r="H28" i="15"/>
  <c r="H86" i="15"/>
  <c r="H39" i="15"/>
  <c r="H41" i="15" s="1"/>
  <c r="H17" i="15"/>
  <c r="Y66" i="15"/>
  <c r="X175" i="15"/>
  <c r="X240" i="15"/>
  <c r="AD276" i="15"/>
  <c r="AE225" i="15"/>
  <c r="AI225" i="15"/>
  <c r="O296" i="20"/>
  <c r="N252" i="15"/>
  <c r="N81" i="15"/>
  <c r="N187" i="15"/>
  <c r="I279" i="15"/>
  <c r="I282" i="15"/>
  <c r="I214" i="15"/>
  <c r="AC288" i="15"/>
  <c r="AC309" i="15" s="1"/>
  <c r="AC322" i="15" s="1"/>
  <c r="AC200" i="15"/>
  <c r="AC265" i="15" s="1"/>
  <c r="AC270" i="15" s="1"/>
  <c r="AF36" i="15"/>
  <c r="AF41" i="15"/>
  <c r="Q181" i="15"/>
  <c r="Q246" i="15"/>
  <c r="C198" i="15"/>
  <c r="C263" i="15" s="1"/>
  <c r="C276" i="15" s="1"/>
  <c r="C148" i="15"/>
  <c r="C298" i="15"/>
  <c r="C319" i="15" s="1"/>
  <c r="C324" i="15" s="1"/>
  <c r="P382" i="20"/>
  <c r="C985" i="17"/>
  <c r="C1004" i="17"/>
  <c r="C1009" i="17"/>
  <c r="D990" i="17"/>
  <c r="D991" i="17" s="1"/>
  <c r="C1008" i="17"/>
  <c r="C979" i="17"/>
  <c r="C986" i="17"/>
  <c r="C980" i="17"/>
  <c r="C1005" i="17"/>
  <c r="C981" i="17"/>
  <c r="C983" i="17"/>
  <c r="C1010" i="17"/>
  <c r="C984" i="17"/>
  <c r="C1007" i="17"/>
  <c r="C982" i="17"/>
  <c r="C1006" i="17"/>
  <c r="U69" i="15"/>
  <c r="T243" i="15"/>
  <c r="T178" i="15"/>
  <c r="Q178" i="15"/>
  <c r="Q243" i="15"/>
  <c r="T43" i="15"/>
  <c r="T163" i="15" s="1"/>
  <c r="T44" i="15"/>
  <c r="T161" i="15"/>
  <c r="X42" i="15"/>
  <c r="X162" i="15" s="1"/>
  <c r="T42" i="15"/>
  <c r="T162" i="15" s="1"/>
  <c r="W87" i="15"/>
  <c r="T226" i="15"/>
  <c r="X150" i="15"/>
  <c r="X294" i="15"/>
  <c r="X315" i="15" s="1"/>
  <c r="Q294" i="15"/>
  <c r="Q315" i="15" s="1"/>
  <c r="AJ232" i="15"/>
  <c r="K67" i="20"/>
  <c r="K242" i="20"/>
  <c r="AD44" i="15"/>
  <c r="AD161" i="15"/>
  <c r="AD42" i="15"/>
  <c r="AD162" i="15" s="1"/>
  <c r="AD226" i="15"/>
  <c r="AD43" i="15"/>
  <c r="AD163" i="15" s="1"/>
  <c r="V211" i="15"/>
  <c r="V303" i="15"/>
  <c r="Y236" i="15"/>
  <c r="Y171" i="15"/>
  <c r="AA248" i="15"/>
  <c r="AA183" i="15"/>
  <c r="AB74" i="15"/>
  <c r="AN74" i="15"/>
  <c r="V208" i="15"/>
  <c r="V301" i="15"/>
  <c r="Z21" i="15"/>
  <c r="AC93" i="15"/>
  <c r="AE231" i="15"/>
  <c r="AE232" i="15"/>
  <c r="AI231" i="15"/>
  <c r="H79" i="15"/>
  <c r="R253" i="15"/>
  <c r="R188" i="15"/>
  <c r="E252" i="15"/>
  <c r="E187" i="15"/>
  <c r="E81" i="15"/>
  <c r="Y75" i="15"/>
  <c r="X249" i="15"/>
  <c r="X184" i="15"/>
  <c r="AD19" i="15"/>
  <c r="AF93" i="15" s="1"/>
  <c r="AD32" i="15"/>
  <c r="AD33" i="15"/>
  <c r="E200" i="15"/>
  <c r="E265" i="15" s="1"/>
  <c r="E288" i="15"/>
  <c r="E309" i="15" s="1"/>
  <c r="K70" i="15"/>
  <c r="K238" i="15"/>
  <c r="K173" i="15"/>
  <c r="D273" i="15"/>
  <c r="D270" i="15"/>
  <c r="O78" i="15"/>
  <c r="J380" i="15"/>
  <c r="J379" i="15"/>
  <c r="L379" i="15"/>
  <c r="K121" i="15"/>
  <c r="K30" i="15"/>
  <c r="K192" i="15"/>
  <c r="K257" i="15" s="1"/>
  <c r="K142" i="15"/>
  <c r="K205" i="15" s="1"/>
  <c r="G87" i="15"/>
  <c r="G44" i="15"/>
  <c r="G43" i="15"/>
  <c r="G163" i="15" s="1"/>
  <c r="G161" i="15"/>
  <c r="G42" i="15"/>
  <c r="G162" i="15" s="1"/>
  <c r="G226" i="15"/>
  <c r="R294" i="15"/>
  <c r="R315" i="15" s="1"/>
  <c r="AG64" i="15"/>
  <c r="AG235" i="15"/>
  <c r="AG170" i="15"/>
  <c r="R136" i="15"/>
  <c r="R130" i="15"/>
  <c r="R297" i="15"/>
  <c r="R318" i="15" s="1"/>
  <c r="R322" i="15" s="1"/>
  <c r="R145" i="15"/>
  <c r="R128" i="15"/>
  <c r="R131" i="15"/>
  <c r="R195" i="15"/>
  <c r="R260" i="15" s="1"/>
  <c r="R273" i="15" s="1"/>
  <c r="AI79" i="15"/>
  <c r="AI78" i="15"/>
  <c r="AI250" i="15"/>
  <c r="AI185" i="15"/>
  <c r="I188" i="15"/>
  <c r="K235" i="15"/>
  <c r="Q43" i="15"/>
  <c r="Q163" i="15" s="1"/>
  <c r="Q226" i="15"/>
  <c r="Q44" i="15"/>
  <c r="Q161" i="15"/>
  <c r="T87" i="15"/>
  <c r="H370" i="15"/>
  <c r="K86" i="15"/>
  <c r="K28" i="15"/>
  <c r="K17" i="15"/>
  <c r="K39" i="15"/>
  <c r="K41" i="15" s="1"/>
  <c r="AG13" i="15"/>
  <c r="F226" i="15"/>
  <c r="F87" i="15"/>
  <c r="F161" i="15"/>
  <c r="F43" i="15"/>
  <c r="F163" i="15" s="1"/>
  <c r="F42" i="15"/>
  <c r="F162" i="15" s="1"/>
  <c r="F44" i="15"/>
  <c r="W36" i="15"/>
  <c r="W41" i="15"/>
  <c r="AK13" i="15"/>
  <c r="AK26" i="15"/>
  <c r="J238" i="15"/>
  <c r="J173" i="15"/>
  <c r="J70" i="15"/>
  <c r="J291" i="15"/>
  <c r="X238" i="15"/>
  <c r="X173" i="15"/>
  <c r="X70" i="15"/>
  <c r="L148" i="15"/>
  <c r="L198" i="15"/>
  <c r="L263" i="15" s="1"/>
  <c r="L298" i="15"/>
  <c r="L319" i="15" s="1"/>
  <c r="Q142" i="15"/>
  <c r="Q205" i="15" s="1"/>
  <c r="Q30" i="15"/>
  <c r="Q192" i="15"/>
  <c r="Q257" i="15" s="1"/>
  <c r="Q270" i="15" s="1"/>
  <c r="Q121" i="15"/>
  <c r="Y142" i="15"/>
  <c r="Y205" i="15" s="1"/>
  <c r="Y288" i="15"/>
  <c r="Y309" i="15" s="1"/>
  <c r="Y200" i="15"/>
  <c r="Y265" i="15" s="1"/>
  <c r="Y145" i="15"/>
  <c r="Z270" i="15"/>
  <c r="AH188" i="15"/>
  <c r="AH253" i="15"/>
  <c r="T242" i="15"/>
  <c r="T177" i="15"/>
  <c r="U68" i="15"/>
  <c r="T70" i="15"/>
  <c r="AH17" i="15"/>
  <c r="AH39" i="15"/>
  <c r="AH41" i="15" s="1"/>
  <c r="AH28" i="15"/>
  <c r="W183" i="15"/>
  <c r="W248" i="15"/>
  <c r="X74" i="15"/>
  <c r="AF360" i="15"/>
  <c r="AF359" i="15"/>
  <c r="AC267" i="15"/>
  <c r="AC230" i="15"/>
  <c r="AF265" i="15"/>
  <c r="AF267" i="15"/>
  <c r="AF276" i="15" s="1"/>
  <c r="H939" i="17"/>
  <c r="D954" i="17" s="1"/>
  <c r="F949" i="17" s="1"/>
  <c r="AE313" i="15"/>
  <c r="AC266" i="15"/>
  <c r="J219" i="15"/>
  <c r="AF313" i="15"/>
  <c r="H901" i="17"/>
  <c r="D916" i="17" s="1"/>
  <c r="F911" i="17" s="1"/>
  <c r="AD267" i="15"/>
  <c r="AC224" i="15"/>
  <c r="AC240" i="15"/>
  <c r="AE265" i="15"/>
  <c r="AC236" i="15"/>
  <c r="AF308" i="15"/>
  <c r="H977" i="17"/>
  <c r="D992" i="17" s="1"/>
  <c r="AD313" i="15"/>
  <c r="AC308" i="15"/>
  <c r="AC242" i="15"/>
  <c r="AC235" i="15"/>
  <c r="I219" i="15"/>
  <c r="I253" i="15" s="1"/>
  <c r="AD315" i="15"/>
  <c r="H864" i="17"/>
  <c r="D879" i="17" s="1"/>
  <c r="F874" i="17" s="1"/>
  <c r="AC239" i="15"/>
  <c r="AC247" i="15"/>
  <c r="AC182" i="15"/>
  <c r="AB181" i="15"/>
  <c r="AC72" i="15"/>
  <c r="AB246" i="15"/>
  <c r="U28" i="15"/>
  <c r="U39" i="15"/>
  <c r="U41" i="15" s="1"/>
  <c r="V87" i="15" s="1"/>
  <c r="X86" i="15"/>
  <c r="U370" i="15"/>
  <c r="U17" i="15"/>
  <c r="V86" i="15"/>
  <c r="D238" i="15"/>
  <c r="D173" i="15"/>
  <c r="D70" i="15"/>
  <c r="AI183" i="15"/>
  <c r="AI248" i="15"/>
  <c r="AJ74" i="15"/>
  <c r="AJ76" i="15" s="1"/>
  <c r="N298" i="15"/>
  <c r="N319" i="15" s="1"/>
  <c r="N198" i="15"/>
  <c r="N263" i="15" s="1"/>
  <c r="S130" i="15"/>
  <c r="S136" i="15"/>
  <c r="S145" i="15"/>
  <c r="S297" i="15"/>
  <c r="S318" i="15" s="1"/>
  <c r="S322" i="15" s="1"/>
  <c r="S195" i="15"/>
  <c r="S260" i="15" s="1"/>
  <c r="S273" i="15" s="1"/>
  <c r="S131" i="15"/>
  <c r="S128" i="15"/>
  <c r="K370" i="15"/>
  <c r="AD310" i="15"/>
  <c r="AD312" i="15" s="1"/>
  <c r="U150" i="15"/>
  <c r="U294" i="15"/>
  <c r="U315" i="15" s="1"/>
  <c r="R124" i="15"/>
  <c r="R292" i="15"/>
  <c r="R313" i="15" s="1"/>
  <c r="P256" i="20"/>
  <c r="P190" i="20"/>
  <c r="AF251" i="15"/>
  <c r="AF186" i="15"/>
  <c r="AG77" i="15"/>
  <c r="AK293" i="15"/>
  <c r="AK314" i="15" s="1"/>
  <c r="AK151" i="15"/>
  <c r="X21" i="15"/>
  <c r="AA93" i="15"/>
  <c r="AC186" i="15"/>
  <c r="AC251" i="15"/>
  <c r="P186" i="20"/>
  <c r="P145" i="20"/>
  <c r="P162" i="20"/>
  <c r="E291" i="15"/>
  <c r="E310" i="15"/>
  <c r="E312" i="15" s="1"/>
  <c r="Y251" i="15"/>
  <c r="Y186" i="15"/>
  <c r="AN379" i="15"/>
  <c r="AG379" i="15"/>
  <c r="X195" i="15"/>
  <c r="X260" i="15" s="1"/>
  <c r="X273" i="15" s="1"/>
  <c r="X297" i="15"/>
  <c r="X318" i="15" s="1"/>
  <c r="X322" i="15" s="1"/>
  <c r="X136" i="15"/>
  <c r="X130" i="15"/>
  <c r="X131" i="15" s="1"/>
  <c r="X145" i="15"/>
  <c r="X128" i="15"/>
  <c r="AJ279" i="15"/>
  <c r="AJ214" i="15"/>
  <c r="AJ282" i="15"/>
  <c r="P172" i="15"/>
  <c r="S92" i="15"/>
  <c r="P237" i="15"/>
  <c r="Q63" i="15"/>
  <c r="P64" i="15"/>
  <c r="R370" i="15"/>
  <c r="AD179" i="15"/>
  <c r="AD244" i="15"/>
  <c r="AD76" i="15"/>
  <c r="R201" i="15"/>
  <c r="R266" i="15" s="1"/>
  <c r="R290" i="15"/>
  <c r="R311" i="15" s="1"/>
  <c r="S248" i="15"/>
  <c r="S183" i="15"/>
  <c r="S76" i="15"/>
  <c r="T74" i="15"/>
  <c r="E93" i="15"/>
  <c r="E21" i="15"/>
  <c r="C949" i="17"/>
  <c r="C39" i="15"/>
  <c r="C41" i="15" s="1"/>
  <c r="C28" i="15"/>
  <c r="C86" i="15"/>
  <c r="C17" i="15"/>
  <c r="AD324" i="15"/>
  <c r="I316" i="15"/>
  <c r="W294" i="15"/>
  <c r="W315" i="15" s="1"/>
  <c r="W150" i="15"/>
  <c r="AC359" i="15"/>
  <c r="AH324" i="15"/>
  <c r="AH312" i="15"/>
  <c r="AG245" i="15"/>
  <c r="AG180" i="15"/>
  <c r="W142" i="15"/>
  <c r="W205" i="15" s="1"/>
  <c r="W145" i="15"/>
  <c r="W288" i="15"/>
  <c r="W309" i="15" s="1"/>
  <c r="W200" i="15"/>
  <c r="W265" i="15" s="1"/>
  <c r="W270" i="15" s="1"/>
  <c r="I81" i="15"/>
  <c r="I187" i="15"/>
  <c r="D1169" i="17"/>
  <c r="D1171" i="17"/>
  <c r="D1167" i="17"/>
  <c r="D1146" i="17"/>
  <c r="D1143" i="17"/>
  <c r="C1150" i="17"/>
  <c r="D1170" i="17"/>
  <c r="D1166" i="17"/>
  <c r="D1168" i="17"/>
  <c r="D1172" i="17"/>
  <c r="D1145" i="17"/>
  <c r="D1141" i="17"/>
  <c r="D1142" i="17"/>
  <c r="D1144" i="17"/>
  <c r="AB94" i="15"/>
  <c r="Y35" i="15"/>
  <c r="Y239" i="15"/>
  <c r="AA94" i="15"/>
  <c r="Y174" i="15"/>
  <c r="AF310" i="15"/>
  <c r="P29" i="20"/>
  <c r="P18" i="20"/>
  <c r="P40" i="20"/>
  <c r="P42" i="20" s="1"/>
  <c r="T43" i="20" s="1"/>
  <c r="T168" i="20" s="1"/>
  <c r="P380" i="20"/>
  <c r="P296" i="20"/>
  <c r="P136" i="20"/>
  <c r="P137" i="20" s="1"/>
  <c r="P134" i="20"/>
  <c r="P201" i="20"/>
  <c r="P267" i="20" s="1"/>
  <c r="P280" i="20" s="1"/>
  <c r="P302" i="20"/>
  <c r="P142" i="20"/>
  <c r="O245" i="20" l="1"/>
  <c r="O71" i="20"/>
  <c r="K179" i="20"/>
  <c r="K71" i="20"/>
  <c r="M286" i="20"/>
  <c r="O308" i="20"/>
  <c r="AC33" i="20"/>
  <c r="AC20" i="20"/>
  <c r="AD96" i="20" s="1"/>
  <c r="AC34" i="20"/>
  <c r="AC233" i="20"/>
  <c r="AC43" i="20"/>
  <c r="AC168" i="20" s="1"/>
  <c r="AC44" i="20"/>
  <c r="AC169" i="20" s="1"/>
  <c r="AC167" i="20"/>
  <c r="AC46" i="20"/>
  <c r="AC90" i="20"/>
  <c r="P286" i="20"/>
  <c r="O286" i="20"/>
  <c r="N286" i="20"/>
  <c r="O303" i="20"/>
  <c r="Z90" i="20"/>
  <c r="AA90" i="20"/>
  <c r="Y33" i="20"/>
  <c r="Y20" i="20"/>
  <c r="AB96" i="20" s="1"/>
  <c r="Y34" i="20"/>
  <c r="Y43" i="20"/>
  <c r="Y168" i="20" s="1"/>
  <c r="Y167" i="20"/>
  <c r="Y233" i="20"/>
  <c r="Y44" i="20"/>
  <c r="Y169" i="20" s="1"/>
  <c r="Y46" i="20"/>
  <c r="Y90" i="20"/>
  <c r="Y219" i="20"/>
  <c r="G987" i="17"/>
  <c r="F987" i="17"/>
  <c r="P255" i="20"/>
  <c r="G1185" i="17"/>
  <c r="F1185" i="17"/>
  <c r="Q77" i="20"/>
  <c r="Q189" i="20" s="1"/>
  <c r="S154" i="20"/>
  <c r="S308" i="20" s="1"/>
  <c r="S294" i="20"/>
  <c r="P176" i="20"/>
  <c r="Q64" i="20"/>
  <c r="Q242" i="20" s="1"/>
  <c r="P242" i="20"/>
  <c r="S151" i="20"/>
  <c r="S214" i="20" s="1"/>
  <c r="S148" i="20"/>
  <c r="S211" i="20" s="1"/>
  <c r="S208" i="20"/>
  <c r="C466" i="17"/>
  <c r="D461" i="17" s="1"/>
  <c r="S43" i="20"/>
  <c r="S168" i="20" s="1"/>
  <c r="N204" i="20"/>
  <c r="N270" i="20" s="1"/>
  <c r="N283" i="20" s="1"/>
  <c r="O204" i="20"/>
  <c r="O270" i="20" s="1"/>
  <c r="O283" i="20" s="1"/>
  <c r="Q249" i="20"/>
  <c r="O179" i="20"/>
  <c r="Q258" i="20"/>
  <c r="Q192" i="20"/>
  <c r="Q184" i="20"/>
  <c r="Q252" i="20"/>
  <c r="Q250" i="20"/>
  <c r="M77" i="20"/>
  <c r="M255" i="20" s="1"/>
  <c r="Q243" i="20"/>
  <c r="O34" i="20"/>
  <c r="L255" i="20"/>
  <c r="O33" i="20"/>
  <c r="Q186" i="20"/>
  <c r="Q177" i="20"/>
  <c r="S95" i="20"/>
  <c r="S157" i="20" s="1"/>
  <c r="T95" i="20"/>
  <c r="T298" i="20" s="1"/>
  <c r="Q183" i="20"/>
  <c r="Q247" i="20"/>
  <c r="Q181" i="20"/>
  <c r="L242" i="20"/>
  <c r="Q89" i="20"/>
  <c r="T89" i="20"/>
  <c r="T208" i="20"/>
  <c r="C427" i="17"/>
  <c r="T294" i="20"/>
  <c r="T148" i="20"/>
  <c r="T211" i="20" s="1"/>
  <c r="T151" i="20"/>
  <c r="T214" i="20" s="1"/>
  <c r="T154" i="20"/>
  <c r="J44" i="20"/>
  <c r="J169" i="20" s="1"/>
  <c r="J167" i="20"/>
  <c r="J46" i="20"/>
  <c r="P43" i="20"/>
  <c r="P168" i="20" s="1"/>
  <c r="O156" i="20"/>
  <c r="O219" i="20" s="1"/>
  <c r="S89" i="20"/>
  <c r="R296" i="20"/>
  <c r="R217" i="20"/>
  <c r="R308" i="20"/>
  <c r="N154" i="20"/>
  <c r="N217" i="20" s="1"/>
  <c r="P97" i="20"/>
  <c r="P299" i="20" s="1"/>
  <c r="L67" i="20"/>
  <c r="L71" i="20" s="1"/>
  <c r="L176" i="20"/>
  <c r="J20" i="20"/>
  <c r="J22" i="20" s="1"/>
  <c r="J34" i="20"/>
  <c r="O22" i="20"/>
  <c r="Q68" i="20"/>
  <c r="M36" i="20"/>
  <c r="M246" i="20"/>
  <c r="M180" i="20"/>
  <c r="Q178" i="20"/>
  <c r="Q244" i="20"/>
  <c r="M190" i="20"/>
  <c r="M256" i="20"/>
  <c r="Q253" i="20"/>
  <c r="Q187" i="20"/>
  <c r="M89" i="20"/>
  <c r="M40" i="20"/>
  <c r="M42" i="20" s="1"/>
  <c r="M18" i="20"/>
  <c r="M380" i="20"/>
  <c r="M29" i="20"/>
  <c r="M242" i="20"/>
  <c r="M176" i="20"/>
  <c r="M67" i="20"/>
  <c r="M71" i="20" s="1"/>
  <c r="M298" i="20"/>
  <c r="M157" i="20"/>
  <c r="N43" i="20"/>
  <c r="N168" i="20" s="1"/>
  <c r="K46" i="20"/>
  <c r="K44" i="20"/>
  <c r="K169" i="20" s="1"/>
  <c r="K167" i="20"/>
  <c r="Q380" i="20"/>
  <c r="Q40" i="20"/>
  <c r="Q42" i="20" s="1"/>
  <c r="U43" i="20" s="1"/>
  <c r="U168" i="20" s="1"/>
  <c r="Q18" i="20"/>
  <c r="Q29" i="20"/>
  <c r="Q95" i="20"/>
  <c r="Q298" i="20" s="1"/>
  <c r="R89" i="20"/>
  <c r="Q39" i="20"/>
  <c r="Q62" i="20" s="1"/>
  <c r="Q291" i="20"/>
  <c r="Q145" i="20"/>
  <c r="Q87" i="20"/>
  <c r="Q100" i="20"/>
  <c r="C505" i="17" s="1"/>
  <c r="Q162" i="20"/>
  <c r="Q228" i="20"/>
  <c r="Q330" i="20"/>
  <c r="Q360" i="20" s="1"/>
  <c r="Q371" i="20" s="1"/>
  <c r="Q317" i="20"/>
  <c r="Q382" i="20"/>
  <c r="L180" i="20"/>
  <c r="L246" i="20"/>
  <c r="M97" i="20"/>
  <c r="L36" i="20"/>
  <c r="R95" i="20"/>
  <c r="E911" i="17"/>
  <c r="N44" i="20"/>
  <c r="N169" i="20" s="1"/>
  <c r="P90" i="20"/>
  <c r="O90" i="20"/>
  <c r="N90" i="20"/>
  <c r="N46" i="20"/>
  <c r="K233" i="20"/>
  <c r="P36" i="20"/>
  <c r="P246" i="20"/>
  <c r="N167" i="20"/>
  <c r="N233" i="20"/>
  <c r="L46" i="20"/>
  <c r="L233" i="20"/>
  <c r="L167" i="20"/>
  <c r="L44" i="20"/>
  <c r="L169" i="20" s="1"/>
  <c r="C804" i="17"/>
  <c r="E760" i="17"/>
  <c r="C841" i="17"/>
  <c r="C683" i="17"/>
  <c r="E874" i="17"/>
  <c r="E719" i="17"/>
  <c r="D1135" i="17"/>
  <c r="D1147" i="17"/>
  <c r="O46" i="20"/>
  <c r="O167" i="20"/>
  <c r="L20" i="20"/>
  <c r="L34" i="20"/>
  <c r="L33" i="20"/>
  <c r="O43" i="20"/>
  <c r="O168" i="20" s="1"/>
  <c r="O44" i="20"/>
  <c r="O169" i="20" s="1"/>
  <c r="O233" i="20"/>
  <c r="O220" i="20"/>
  <c r="N219" i="20"/>
  <c r="N34" i="20"/>
  <c r="N33" i="20"/>
  <c r="N20" i="20"/>
  <c r="P157" i="20"/>
  <c r="P220" i="20" s="1"/>
  <c r="AJ250" i="15"/>
  <c r="AJ78" i="15"/>
  <c r="AJ185" i="15"/>
  <c r="AG150" i="15"/>
  <c r="AG294" i="15"/>
  <c r="AG315" i="15" s="1"/>
  <c r="D179" i="15"/>
  <c r="D244" i="15"/>
  <c r="D95" i="15"/>
  <c r="D295" i="15" s="1"/>
  <c r="D316" i="15" s="1"/>
  <c r="D76" i="15"/>
  <c r="T76" i="15"/>
  <c r="T179" i="15"/>
  <c r="T244" i="15"/>
  <c r="U95" i="15"/>
  <c r="U295" i="15" s="1"/>
  <c r="U316" i="15" s="1"/>
  <c r="Q130" i="15"/>
  <c r="Q128" i="15"/>
  <c r="Q145" i="15"/>
  <c r="Q131" i="15"/>
  <c r="Q136" i="15"/>
  <c r="Q297" i="15"/>
  <c r="Q318" i="15" s="1"/>
  <c r="Q322" i="15" s="1"/>
  <c r="Q195" i="15"/>
  <c r="Q260" i="15" s="1"/>
  <c r="Q273" i="15" s="1"/>
  <c r="AK39" i="15"/>
  <c r="AK41" i="15" s="1"/>
  <c r="AK87" i="15" s="1"/>
  <c r="AK28" i="15"/>
  <c r="AK17" i="15"/>
  <c r="AG70" i="15"/>
  <c r="AG238" i="15"/>
  <c r="AG173" i="15"/>
  <c r="K76" i="15"/>
  <c r="K244" i="15"/>
  <c r="K179" i="15"/>
  <c r="K95" i="15"/>
  <c r="K295" i="15" s="1"/>
  <c r="K316" i="15" s="1"/>
  <c r="H253" i="15"/>
  <c r="H188" i="15"/>
  <c r="Y240" i="15"/>
  <c r="Y175" i="15"/>
  <c r="U136" i="15"/>
  <c r="U128" i="15"/>
  <c r="U195" i="15"/>
  <c r="U260" i="15" s="1"/>
  <c r="U273" i="15" s="1"/>
  <c r="U145" i="15"/>
  <c r="U297" i="15"/>
  <c r="U318" i="15" s="1"/>
  <c r="U322" i="15" s="1"/>
  <c r="G142" i="15"/>
  <c r="G205" i="15" s="1"/>
  <c r="G288" i="15"/>
  <c r="G309" i="15" s="1"/>
  <c r="G200" i="15"/>
  <c r="G265" i="15" s="1"/>
  <c r="G145" i="15"/>
  <c r="D1150" i="17"/>
  <c r="C1151" i="17"/>
  <c r="E949" i="17"/>
  <c r="C953" i="17"/>
  <c r="T92" i="15"/>
  <c r="Q64" i="15"/>
  <c r="Q172" i="15"/>
  <c r="Q237" i="15"/>
  <c r="R92" i="15"/>
  <c r="X301" i="15"/>
  <c r="X208" i="15"/>
  <c r="AC225" i="15"/>
  <c r="AG225" i="15"/>
  <c r="Y273" i="15"/>
  <c r="Y270" i="15"/>
  <c r="K19" i="15"/>
  <c r="K32" i="15"/>
  <c r="K33" i="15"/>
  <c r="AI188" i="15"/>
  <c r="AI253" i="15"/>
  <c r="O81" i="15"/>
  <c r="O79" i="15"/>
  <c r="O187" i="15"/>
  <c r="O252" i="15"/>
  <c r="K245" i="20"/>
  <c r="AC64" i="15"/>
  <c r="AC172" i="15"/>
  <c r="AC237" i="15"/>
  <c r="AF92" i="15"/>
  <c r="T21" i="15"/>
  <c r="AH150" i="15"/>
  <c r="AH294" i="15"/>
  <c r="AH315" i="15" s="1"/>
  <c r="AK179" i="15"/>
  <c r="AK244" i="15"/>
  <c r="Z187" i="15"/>
  <c r="Z81" i="15"/>
  <c r="Z252" i="15"/>
  <c r="AG128" i="15"/>
  <c r="AG136" i="15"/>
  <c r="AG297" i="15"/>
  <c r="AG318" i="15" s="1"/>
  <c r="AG195" i="15"/>
  <c r="AG260" i="15" s="1"/>
  <c r="AG130" i="15"/>
  <c r="AG131" i="15" s="1"/>
  <c r="V250" i="15"/>
  <c r="V78" i="15"/>
  <c r="V185" i="15"/>
  <c r="V79" i="15"/>
  <c r="AG175" i="15"/>
  <c r="AG240" i="15"/>
  <c r="I252" i="15"/>
  <c r="AD250" i="15"/>
  <c r="AD185" i="15"/>
  <c r="AD78" i="15"/>
  <c r="AD79" i="15" s="1"/>
  <c r="S198" i="15"/>
  <c r="S263" i="15" s="1"/>
  <c r="S276" i="15" s="1"/>
  <c r="S148" i="15"/>
  <c r="S298" i="15"/>
  <c r="S319" i="15" s="1"/>
  <c r="S324" i="15" s="1"/>
  <c r="U19" i="15"/>
  <c r="W93" i="15" s="1"/>
  <c r="U32" i="15"/>
  <c r="U33" i="15"/>
  <c r="AK86" i="15"/>
  <c r="L324" i="15"/>
  <c r="J76" i="15"/>
  <c r="J179" i="15"/>
  <c r="J244" i="15"/>
  <c r="J95" i="15"/>
  <c r="J295" i="15" s="1"/>
  <c r="J316" i="15" s="1"/>
  <c r="AB293" i="15"/>
  <c r="AB314" i="15" s="1"/>
  <c r="AB151" i="15"/>
  <c r="R33" i="15"/>
  <c r="R19" i="15"/>
  <c r="R32" i="15"/>
  <c r="I315" i="15"/>
  <c r="H211" i="15"/>
  <c r="H303" i="15"/>
  <c r="V279" i="15"/>
  <c r="V282" i="15"/>
  <c r="V214" i="15"/>
  <c r="Z301" i="15"/>
  <c r="Z208" i="15"/>
  <c r="Z213" i="15"/>
  <c r="Z281" i="15"/>
  <c r="Z278" i="15"/>
  <c r="AC303" i="15"/>
  <c r="AC211" i="15"/>
  <c r="S151" i="15"/>
  <c r="S293" i="15"/>
  <c r="S314" i="15" s="1"/>
  <c r="S150" i="15"/>
  <c r="AJ183" i="15"/>
  <c r="AK74" i="15"/>
  <c r="AJ248" i="15"/>
  <c r="AC231" i="15"/>
  <c r="AC232" i="15"/>
  <c r="AG231" i="15"/>
  <c r="AD21" i="15"/>
  <c r="AD93" i="15"/>
  <c r="AA208" i="15"/>
  <c r="AA301" i="15"/>
  <c r="AE151" i="15"/>
  <c r="AE293" i="15"/>
  <c r="AE314" i="15" s="1"/>
  <c r="AE150" i="15"/>
  <c r="K232" i="15"/>
  <c r="D1105" i="17"/>
  <c r="F1105" i="17" s="1"/>
  <c r="AE93" i="15"/>
  <c r="AI294" i="15"/>
  <c r="AI315" i="15" s="1"/>
  <c r="AI150" i="15"/>
  <c r="G93" i="15"/>
  <c r="G21" i="15"/>
  <c r="C185" i="15"/>
  <c r="C78" i="15"/>
  <c r="C79" i="15" s="1"/>
  <c r="C250" i="15"/>
  <c r="U74" i="15"/>
  <c r="T183" i="15"/>
  <c r="T248" i="15"/>
  <c r="AH44" i="15"/>
  <c r="AH161" i="15"/>
  <c r="AH43" i="15"/>
  <c r="AH163" i="15" s="1"/>
  <c r="AH42" i="15"/>
  <c r="AH162" i="15" s="1"/>
  <c r="AH226" i="15"/>
  <c r="L211" i="15"/>
  <c r="L303" i="15"/>
  <c r="R298" i="15"/>
  <c r="R319" i="15" s="1"/>
  <c r="R324" i="15" s="1"/>
  <c r="R198" i="15"/>
  <c r="R263" i="15" s="1"/>
  <c r="R276" i="15" s="1"/>
  <c r="R148" i="15"/>
  <c r="C1011" i="17"/>
  <c r="AF42" i="15"/>
  <c r="AF162" i="15" s="1"/>
  <c r="AF161" i="15"/>
  <c r="AF43" i="15"/>
  <c r="AF163" i="15" s="1"/>
  <c r="AF226" i="15"/>
  <c r="AF44" i="15"/>
  <c r="AJ42" i="15"/>
  <c r="AJ162" i="15" s="1"/>
  <c r="AF87" i="15"/>
  <c r="AA148" i="15"/>
  <c r="AA198" i="15"/>
  <c r="AA263" i="15" s="1"/>
  <c r="AA276" i="15" s="1"/>
  <c r="AA298" i="15"/>
  <c r="AA319" i="15" s="1"/>
  <c r="AA324" i="15" s="1"/>
  <c r="AC92" i="15"/>
  <c r="F188" i="15"/>
  <c r="F253" i="15"/>
  <c r="D1129" i="17"/>
  <c r="AJ94" i="15"/>
  <c r="AG239" i="15"/>
  <c r="AG35" i="15"/>
  <c r="AG174" i="15"/>
  <c r="O298" i="15"/>
  <c r="O319" i="15" s="1"/>
  <c r="O198" i="15"/>
  <c r="O263" i="15" s="1"/>
  <c r="I310" i="15"/>
  <c r="AK370" i="15"/>
  <c r="AJ298" i="15"/>
  <c r="AJ319" i="15" s="1"/>
  <c r="AJ324" i="15" s="1"/>
  <c r="AJ148" i="15"/>
  <c r="AJ198" i="15"/>
  <c r="AJ263" i="15" s="1"/>
  <c r="AJ276" i="15" s="1"/>
  <c r="F128" i="15"/>
  <c r="F145" i="15"/>
  <c r="F136" i="15"/>
  <c r="F195" i="15"/>
  <c r="F260" i="15" s="1"/>
  <c r="F273" i="15" s="1"/>
  <c r="F130" i="15"/>
  <c r="U130" i="15" s="1"/>
  <c r="F131" i="15"/>
  <c r="U131" i="15" s="1"/>
  <c r="F297" i="15"/>
  <c r="F318" i="15" s="1"/>
  <c r="F322" i="15" s="1"/>
  <c r="AB76" i="15"/>
  <c r="AB244" i="15"/>
  <c r="AB179" i="15"/>
  <c r="AA294" i="15"/>
  <c r="AA315" i="15" s="1"/>
  <c r="AA150" i="15"/>
  <c r="W301" i="15"/>
  <c r="W208" i="15"/>
  <c r="C32" i="15"/>
  <c r="C33" i="15"/>
  <c r="C19" i="15"/>
  <c r="S79" i="15"/>
  <c r="S250" i="15"/>
  <c r="S185" i="15"/>
  <c r="S78" i="15"/>
  <c r="P179" i="20"/>
  <c r="P245" i="20"/>
  <c r="AK214" i="15"/>
  <c r="AK279" i="15"/>
  <c r="AK282" i="15"/>
  <c r="U42" i="15"/>
  <c r="U162" i="15" s="1"/>
  <c r="U161" i="15"/>
  <c r="U43" i="15"/>
  <c r="U163" i="15" s="1"/>
  <c r="X87" i="15"/>
  <c r="U226" i="15"/>
  <c r="U44" i="15"/>
  <c r="Y42" i="15"/>
  <c r="Y162" i="15" s="1"/>
  <c r="J243" i="15"/>
  <c r="J245" i="15"/>
  <c r="J246" i="15"/>
  <c r="J230" i="15"/>
  <c r="J251" i="15"/>
  <c r="J308" i="15"/>
  <c r="J235" i="15"/>
  <c r="J247" i="15"/>
  <c r="J241" i="15"/>
  <c r="J313" i="15"/>
  <c r="J248" i="15"/>
  <c r="J234" i="15"/>
  <c r="J240" i="15"/>
  <c r="J224" i="15"/>
  <c r="J237" i="15"/>
  <c r="J249" i="15"/>
  <c r="J266" i="15"/>
  <c r="J315" i="15"/>
  <c r="J236" i="15"/>
  <c r="J242" i="15"/>
  <c r="J226" i="15"/>
  <c r="J239" i="15"/>
  <c r="J314" i="15"/>
  <c r="J265" i="15"/>
  <c r="J309" i="15"/>
  <c r="J322" i="15" s="1"/>
  <c r="J267" i="15"/>
  <c r="AH33" i="15"/>
  <c r="AH19" i="15"/>
  <c r="AH32" i="15"/>
  <c r="X179" i="15"/>
  <c r="X244" i="15"/>
  <c r="X76" i="15"/>
  <c r="AA95" i="15"/>
  <c r="AA295" i="15" s="1"/>
  <c r="AA316" i="15" s="1"/>
  <c r="Z95" i="15"/>
  <c r="Z295" i="15" s="1"/>
  <c r="Z316" i="15" s="1"/>
  <c r="R208" i="15"/>
  <c r="R301" i="15"/>
  <c r="K128" i="15"/>
  <c r="K130" i="15"/>
  <c r="K131" i="15" s="1"/>
  <c r="K297" i="15"/>
  <c r="K318" i="15" s="1"/>
  <c r="K195" i="15"/>
  <c r="K260" i="15" s="1"/>
  <c r="K145" i="15"/>
  <c r="K208" i="15" s="1"/>
  <c r="K136" i="15"/>
  <c r="U243" i="15"/>
  <c r="U178" i="15"/>
  <c r="D1091" i="17"/>
  <c r="E297" i="15"/>
  <c r="E318" i="15" s="1"/>
  <c r="E322" i="15" s="1"/>
  <c r="E195" i="15"/>
  <c r="E260" i="15" s="1"/>
  <c r="E273" i="15" s="1"/>
  <c r="E130" i="15"/>
  <c r="E131" i="15"/>
  <c r="E128" i="15"/>
  <c r="E145" i="15"/>
  <c r="E136" i="15"/>
  <c r="U372" i="15"/>
  <c r="U221" i="15"/>
  <c r="U382" i="15"/>
  <c r="V2" i="15"/>
  <c r="U342" i="15"/>
  <c r="U352" i="15" s="1"/>
  <c r="U362" i="15" s="1"/>
  <c r="U329" i="15"/>
  <c r="U286" i="15"/>
  <c r="U156" i="15"/>
  <c r="U84" i="15"/>
  <c r="U307" i="15"/>
  <c r="U97" i="15"/>
  <c r="U38" i="15"/>
  <c r="U59" i="15" s="1"/>
  <c r="U139" i="15"/>
  <c r="Y238" i="15"/>
  <c r="Y173" i="15"/>
  <c r="Y70" i="15"/>
  <c r="V213" i="15"/>
  <c r="V281" i="15"/>
  <c r="V278" i="15"/>
  <c r="AF76" i="15"/>
  <c r="AF179" i="15"/>
  <c r="AI95" i="15"/>
  <c r="AI295" i="15" s="1"/>
  <c r="AI316" i="15" s="1"/>
  <c r="AF244" i="15"/>
  <c r="X214" i="15"/>
  <c r="X282" i="15"/>
  <c r="X279" i="15"/>
  <c r="H200" i="15"/>
  <c r="H265" i="15" s="1"/>
  <c r="H142" i="15"/>
  <c r="H205" i="15" s="1"/>
  <c r="H145" i="15"/>
  <c r="H288" i="15"/>
  <c r="H309" i="15" s="1"/>
  <c r="S301" i="15"/>
  <c r="S208" i="15"/>
  <c r="AE312" i="15"/>
  <c r="AE324" i="15"/>
  <c r="AF294" i="15"/>
  <c r="AF315" i="15" s="1"/>
  <c r="AA81" i="15"/>
  <c r="AA252" i="15"/>
  <c r="AA187" i="15"/>
  <c r="AG241" i="15"/>
  <c r="AG176" i="15"/>
  <c r="Y213" i="15"/>
  <c r="Y278" i="15"/>
  <c r="Y281" i="15"/>
  <c r="D1173" i="17"/>
  <c r="AC273" i="15"/>
  <c r="W278" i="15"/>
  <c r="W213" i="15"/>
  <c r="W281" i="15"/>
  <c r="P70" i="15"/>
  <c r="P238" i="15"/>
  <c r="P173" i="15"/>
  <c r="AG186" i="15"/>
  <c r="AG251" i="15"/>
  <c r="U213" i="15"/>
  <c r="U281" i="15"/>
  <c r="U278" i="15"/>
  <c r="I239" i="15"/>
  <c r="I308" i="15"/>
  <c r="I241" i="15"/>
  <c r="I243" i="15"/>
  <c r="I246" i="15"/>
  <c r="I238" i="15"/>
  <c r="I236" i="15"/>
  <c r="I266" i="15"/>
  <c r="I230" i="15"/>
  <c r="I240" i="15"/>
  <c r="I242" i="15"/>
  <c r="I314" i="15"/>
  <c r="I251" i="15"/>
  <c r="I267" i="15"/>
  <c r="I245" i="15"/>
  <c r="I237" i="15"/>
  <c r="I249" i="15"/>
  <c r="I234" i="15"/>
  <c r="I247" i="15"/>
  <c r="I313" i="15"/>
  <c r="I235" i="15"/>
  <c r="I224" i="15"/>
  <c r="I225" i="15" s="1"/>
  <c r="I248" i="15"/>
  <c r="I244" i="15"/>
  <c r="I265" i="15"/>
  <c r="I250" i="15"/>
  <c r="X248" i="15"/>
  <c r="Y74" i="15"/>
  <c r="X183" i="15"/>
  <c r="U177" i="15"/>
  <c r="U242" i="15"/>
  <c r="U70" i="15"/>
  <c r="V95" i="15" s="1"/>
  <c r="V295" i="15" s="1"/>
  <c r="V316" i="15" s="1"/>
  <c r="W161" i="15"/>
  <c r="W42" i="15"/>
  <c r="W162" i="15" s="1"/>
  <c r="Z87" i="15"/>
  <c r="W44" i="15"/>
  <c r="W43" i="15"/>
  <c r="W163" i="15" s="1"/>
  <c r="AA42" i="15"/>
  <c r="AA162" i="15" s="1"/>
  <c r="W226" i="15"/>
  <c r="Y87" i="15"/>
  <c r="AH86" i="15"/>
  <c r="AI86" i="15"/>
  <c r="AJ86" i="15"/>
  <c r="AG39" i="15"/>
  <c r="AG41" i="15" s="1"/>
  <c r="AG17" i="15"/>
  <c r="AG28" i="15"/>
  <c r="AG86" i="15"/>
  <c r="AG370" i="15"/>
  <c r="Y249" i="15"/>
  <c r="Y184" i="15"/>
  <c r="AC74" i="15"/>
  <c r="AB183" i="15"/>
  <c r="AB248" i="15"/>
  <c r="X281" i="15"/>
  <c r="X278" i="15"/>
  <c r="X213" i="15"/>
  <c r="H32" i="15"/>
  <c r="H19" i="15"/>
  <c r="H33" i="15"/>
  <c r="AN76" i="15"/>
  <c r="F187" i="15"/>
  <c r="F252" i="15"/>
  <c r="F81" i="15"/>
  <c r="W279" i="15"/>
  <c r="W214" i="15"/>
  <c r="W282" i="15"/>
  <c r="R161" i="15"/>
  <c r="R44" i="15"/>
  <c r="R43" i="15"/>
  <c r="R163" i="15" s="1"/>
  <c r="U87" i="15"/>
  <c r="R226" i="15"/>
  <c r="R42" i="15"/>
  <c r="R162" i="15" s="1"/>
  <c r="V42" i="15"/>
  <c r="V162" i="15" s="1"/>
  <c r="I309" i="15"/>
  <c r="I322" i="15" s="1"/>
  <c r="W198" i="15"/>
  <c r="W263" i="15" s="1"/>
  <c r="W276" i="15" s="1"/>
  <c r="W148" i="15"/>
  <c r="W298" i="15"/>
  <c r="W319" i="15" s="1"/>
  <c r="W324" i="15" s="1"/>
  <c r="C281" i="15"/>
  <c r="C278" i="15"/>
  <c r="C213" i="15"/>
  <c r="AF312" i="15"/>
  <c r="AF324" i="15"/>
  <c r="AB150" i="15"/>
  <c r="AB294" i="15"/>
  <c r="AB315" i="15" s="1"/>
  <c r="C87" i="15"/>
  <c r="C44" i="15"/>
  <c r="C42" i="15"/>
  <c r="C162" i="15" s="1"/>
  <c r="C226" i="15"/>
  <c r="C161" i="15"/>
  <c r="C43" i="15"/>
  <c r="C163" i="15" s="1"/>
  <c r="D42" i="15"/>
  <c r="D162" i="15" s="1"/>
  <c r="Q92" i="15"/>
  <c r="X198" i="15"/>
  <c r="X263" i="15" s="1"/>
  <c r="X276" i="15" s="1"/>
  <c r="X298" i="15"/>
  <c r="X319" i="15" s="1"/>
  <c r="X324" i="15" s="1"/>
  <c r="X148" i="15"/>
  <c r="AC181" i="15"/>
  <c r="AC246" i="15"/>
  <c r="Y208" i="15"/>
  <c r="Y301" i="15"/>
  <c r="J310" i="15"/>
  <c r="K87" i="15"/>
  <c r="K43" i="15"/>
  <c r="K163" i="15" s="1"/>
  <c r="K226" i="15"/>
  <c r="K44" i="15"/>
  <c r="L42" i="15"/>
  <c r="L162" i="15" s="1"/>
  <c r="K161" i="15"/>
  <c r="K42" i="15"/>
  <c r="K162" i="15" s="1"/>
  <c r="AI81" i="15"/>
  <c r="AI252" i="15"/>
  <c r="AI187" i="15"/>
  <c r="W273" i="15"/>
  <c r="C987" i="17"/>
  <c r="C211" i="15"/>
  <c r="C303" i="15"/>
  <c r="H226" i="15"/>
  <c r="H42" i="15"/>
  <c r="H162" i="15" s="1"/>
  <c r="H43" i="15"/>
  <c r="H163" i="15" s="1"/>
  <c r="J42" i="15"/>
  <c r="J162" i="15" s="1"/>
  <c r="H44" i="15"/>
  <c r="H87" i="15"/>
  <c r="H161" i="15"/>
  <c r="AD92" i="15"/>
  <c r="AK95" i="15"/>
  <c r="AK295" i="15" s="1"/>
  <c r="AK316" i="15" s="1"/>
  <c r="Y279" i="15"/>
  <c r="Y214" i="15"/>
  <c r="Y282" i="15"/>
  <c r="AK213" i="15"/>
  <c r="AK281" i="15"/>
  <c r="AK278" i="15"/>
  <c r="L76" i="15"/>
  <c r="L95" i="15"/>
  <c r="L295" i="15" s="1"/>
  <c r="L316" i="15" s="1"/>
  <c r="L179" i="15"/>
  <c r="L244" i="15"/>
  <c r="AE250" i="15"/>
  <c r="AE185" i="15"/>
  <c r="AE78" i="15"/>
  <c r="AE79" i="15" s="1"/>
  <c r="Z79" i="15"/>
  <c r="G211" i="15"/>
  <c r="G303" i="15"/>
  <c r="Y95" i="15"/>
  <c r="Y295" i="15" s="1"/>
  <c r="Y316" i="15" s="1"/>
  <c r="AA79" i="15"/>
  <c r="P167" i="20"/>
  <c r="P46" i="20"/>
  <c r="P44" i="20"/>
  <c r="P169" i="20" s="1"/>
  <c r="P233" i="20"/>
  <c r="P204" i="20"/>
  <c r="P270" i="20" s="1"/>
  <c r="P283" i="20" s="1"/>
  <c r="P154" i="20"/>
  <c r="P303" i="20"/>
  <c r="P34" i="20"/>
  <c r="P20" i="20"/>
  <c r="P33" i="20"/>
  <c r="P285" i="20" l="1"/>
  <c r="AC22" i="20"/>
  <c r="AC96" i="20"/>
  <c r="N285" i="20"/>
  <c r="O285" i="20"/>
  <c r="M285" i="20"/>
  <c r="Q176" i="20"/>
  <c r="Z96" i="20"/>
  <c r="AA96" i="20"/>
  <c r="Q255" i="20"/>
  <c r="Y22" i="20"/>
  <c r="Y96" i="20"/>
  <c r="S296" i="20"/>
  <c r="G1147" i="17"/>
  <c r="F1147" i="17"/>
  <c r="S217" i="20"/>
  <c r="Q90" i="20"/>
  <c r="P156" i="20"/>
  <c r="M189" i="20"/>
  <c r="S298" i="20"/>
  <c r="T157" i="20"/>
  <c r="N308" i="20"/>
  <c r="R97" i="20"/>
  <c r="R299" i="20" s="1"/>
  <c r="T97" i="20"/>
  <c r="T296" i="20"/>
  <c r="D383" i="17"/>
  <c r="D422" i="17"/>
  <c r="R90" i="20"/>
  <c r="T90" i="20"/>
  <c r="T308" i="20"/>
  <c r="T217" i="20"/>
  <c r="L179" i="20"/>
  <c r="L245" i="20"/>
  <c r="S97" i="20"/>
  <c r="S220" i="20"/>
  <c r="S90" i="20"/>
  <c r="C544" i="17"/>
  <c r="R298" i="20"/>
  <c r="R157" i="20"/>
  <c r="M299" i="20"/>
  <c r="M156" i="20"/>
  <c r="M179" i="20"/>
  <c r="M245" i="20"/>
  <c r="M44" i="20"/>
  <c r="M169" i="20" s="1"/>
  <c r="M233" i="20"/>
  <c r="M167" i="20"/>
  <c r="M46" i="20"/>
  <c r="Q20" i="20"/>
  <c r="Q96" i="20" s="1"/>
  <c r="Q34" i="20"/>
  <c r="Q33" i="20"/>
  <c r="M220" i="20"/>
  <c r="L22" i="20"/>
  <c r="M20" i="20"/>
  <c r="M22" i="20" s="1"/>
  <c r="M33" i="20"/>
  <c r="M34" i="20"/>
  <c r="Q180" i="20"/>
  <c r="Q246" i="20"/>
  <c r="Q36" i="20"/>
  <c r="Q43" i="20"/>
  <c r="Q168" i="20" s="1"/>
  <c r="Q233" i="20"/>
  <c r="Q44" i="20"/>
  <c r="Q169" i="20" s="1"/>
  <c r="Q167" i="20"/>
  <c r="Q97" i="20"/>
  <c r="Q299" i="20" s="1"/>
  <c r="M90" i="20"/>
  <c r="P96" i="20"/>
  <c r="N96" i="20"/>
  <c r="O96" i="20"/>
  <c r="D1151" i="17"/>
  <c r="N22" i="20"/>
  <c r="AE253" i="15"/>
  <c r="AE188" i="15"/>
  <c r="C253" i="15"/>
  <c r="C80" i="15"/>
  <c r="C188" i="15"/>
  <c r="AD188" i="15"/>
  <c r="AD253" i="15"/>
  <c r="AD80" i="15"/>
  <c r="Q151" i="15"/>
  <c r="Q293" i="15"/>
  <c r="Q314" i="15" s="1"/>
  <c r="Q150" i="15"/>
  <c r="AG42" i="15"/>
  <c r="AG162" i="15" s="1"/>
  <c r="AJ87" i="15"/>
  <c r="AG43" i="15"/>
  <c r="AG163" i="15" s="1"/>
  <c r="AG161" i="15"/>
  <c r="AG226" i="15"/>
  <c r="AG44" i="15"/>
  <c r="U93" i="15"/>
  <c r="R21" i="15"/>
  <c r="S93" i="15"/>
  <c r="R93" i="15"/>
  <c r="T93" i="15"/>
  <c r="AF151" i="15"/>
  <c r="AF293" i="15"/>
  <c r="AF314" i="15" s="1"/>
  <c r="U198" i="15"/>
  <c r="U263" i="15" s="1"/>
  <c r="U276" i="15" s="1"/>
  <c r="U298" i="15"/>
  <c r="U319" i="15" s="1"/>
  <c r="U324" i="15" s="1"/>
  <c r="U148" i="15"/>
  <c r="AC248" i="15"/>
  <c r="AC183" i="15"/>
  <c r="AF150" i="15"/>
  <c r="H301" i="15"/>
  <c r="H208" i="15"/>
  <c r="K198" i="15"/>
  <c r="K263" i="15" s="1"/>
  <c r="K298" i="15"/>
  <c r="K319" i="15" s="1"/>
  <c r="K324" i="15" s="1"/>
  <c r="K148" i="15"/>
  <c r="I312" i="15"/>
  <c r="I324" i="15"/>
  <c r="AA211" i="15"/>
  <c r="AA303" i="15"/>
  <c r="U248" i="15"/>
  <c r="U183" i="15"/>
  <c r="AI281" i="15"/>
  <c r="AI213" i="15"/>
  <c r="AI278" i="15"/>
  <c r="AE279" i="15"/>
  <c r="AE282" i="15"/>
  <c r="AE214" i="15"/>
  <c r="V81" i="15"/>
  <c r="V187" i="15"/>
  <c r="V252" i="15"/>
  <c r="W78" i="15"/>
  <c r="X78" i="15" s="1"/>
  <c r="AH213" i="15"/>
  <c r="AH281" i="15"/>
  <c r="AH278" i="15"/>
  <c r="O253" i="15"/>
  <c r="O188" i="15"/>
  <c r="Q238" i="15"/>
  <c r="Q173" i="15"/>
  <c r="Q70" i="15"/>
  <c r="Q95" i="15" s="1"/>
  <c r="Q295" i="15" s="1"/>
  <c r="Q316" i="15" s="1"/>
  <c r="G208" i="15"/>
  <c r="G301" i="15"/>
  <c r="K250" i="15"/>
  <c r="K185" i="15"/>
  <c r="K78" i="15"/>
  <c r="AG19" i="15"/>
  <c r="AG32" i="15"/>
  <c r="AG33" i="15"/>
  <c r="AJ294" i="15"/>
  <c r="AJ315" i="15" s="1"/>
  <c r="AJ150" i="15"/>
  <c r="S279" i="15"/>
  <c r="S282" i="15"/>
  <c r="S214" i="15"/>
  <c r="J185" i="15"/>
  <c r="J78" i="15"/>
  <c r="J250" i="15"/>
  <c r="Y248" i="15"/>
  <c r="Y183" i="15"/>
  <c r="E148" i="15"/>
  <c r="E198" i="15"/>
  <c r="E263" i="15" s="1"/>
  <c r="E276" i="15" s="1"/>
  <c r="E298" i="15"/>
  <c r="E319" i="15" s="1"/>
  <c r="E324" i="15" s="1"/>
  <c r="AD81" i="15"/>
  <c r="AD187" i="15"/>
  <c r="AD252" i="15"/>
  <c r="AA188" i="15"/>
  <c r="AA253" i="15"/>
  <c r="E987" i="17"/>
  <c r="C991" i="17"/>
  <c r="H93" i="15"/>
  <c r="H21" i="15"/>
  <c r="AF79" i="15"/>
  <c r="AF185" i="15"/>
  <c r="AF78" i="15"/>
  <c r="AF250" i="15"/>
  <c r="V307" i="15"/>
  <c r="V156" i="15"/>
  <c r="V221" i="15"/>
  <c r="V342" i="15"/>
  <c r="V352" i="15" s="1"/>
  <c r="V362" i="15" s="1"/>
  <c r="V84" i="15"/>
  <c r="V286" i="15"/>
  <c r="V372" i="15"/>
  <c r="V329" i="15"/>
  <c r="V382" i="15"/>
  <c r="V139" i="15"/>
  <c r="W2" i="15"/>
  <c r="V38" i="15"/>
  <c r="V59" i="15" s="1"/>
  <c r="V97" i="15"/>
  <c r="AH21" i="15"/>
  <c r="L231" i="15"/>
  <c r="J231" i="15"/>
  <c r="J232" i="15"/>
  <c r="AB279" i="15"/>
  <c r="AB282" i="15"/>
  <c r="AB214" i="15"/>
  <c r="T293" i="15"/>
  <c r="T314" i="15" s="1"/>
  <c r="T151" i="15"/>
  <c r="T150" i="15"/>
  <c r="G270" i="15"/>
  <c r="G273" i="15"/>
  <c r="AG278" i="15"/>
  <c r="AG213" i="15"/>
  <c r="AG281" i="15"/>
  <c r="E301" i="15"/>
  <c r="E208" i="15"/>
  <c r="S188" i="15"/>
  <c r="S253" i="15"/>
  <c r="K21" i="15"/>
  <c r="K93" i="15"/>
  <c r="L225" i="15"/>
  <c r="J225" i="15"/>
  <c r="C21" i="15"/>
  <c r="C93" i="15"/>
  <c r="AG198" i="15"/>
  <c r="AG263" i="15" s="1"/>
  <c r="AG276" i="15" s="1"/>
  <c r="AG298" i="15"/>
  <c r="AG319" i="15" s="1"/>
  <c r="AG324" i="15" s="1"/>
  <c r="AG148" i="15"/>
  <c r="I273" i="15"/>
  <c r="I270" i="15"/>
  <c r="I232" i="15"/>
  <c r="I231" i="15"/>
  <c r="P76" i="15"/>
  <c r="P244" i="15"/>
  <c r="P179" i="15"/>
  <c r="H273" i="15"/>
  <c r="H270" i="15"/>
  <c r="F208" i="15"/>
  <c r="F301" i="15"/>
  <c r="AK183" i="15"/>
  <c r="AK248" i="15"/>
  <c r="AC238" i="15"/>
  <c r="AC173" i="15"/>
  <c r="AC70" i="15"/>
  <c r="T250" i="15"/>
  <c r="T78" i="15"/>
  <c r="T185" i="15"/>
  <c r="V253" i="15"/>
  <c r="V188" i="15"/>
  <c r="AB278" i="15"/>
  <c r="AB281" i="15"/>
  <c r="AB213" i="15"/>
  <c r="X211" i="15"/>
  <c r="X303" i="15"/>
  <c r="X95" i="15"/>
  <c r="X295" i="15" s="1"/>
  <c r="X316" i="15" s="1"/>
  <c r="U244" i="15"/>
  <c r="U76" i="15"/>
  <c r="U179" i="15"/>
  <c r="S187" i="15"/>
  <c r="S81" i="15"/>
  <c r="S252" i="15"/>
  <c r="AB185" i="15"/>
  <c r="AB250" i="15"/>
  <c r="AB78" i="15"/>
  <c r="AB79" i="15"/>
  <c r="AI87" i="15"/>
  <c r="R211" i="15"/>
  <c r="R303" i="15"/>
  <c r="C187" i="15"/>
  <c r="C81" i="15"/>
  <c r="C252" i="15"/>
  <c r="G1105" i="17"/>
  <c r="X93" i="15"/>
  <c r="U21" i="15"/>
  <c r="V93" i="15"/>
  <c r="AG76" i="15"/>
  <c r="AJ95" i="15"/>
  <c r="AJ295" i="15" s="1"/>
  <c r="AJ316" i="15" s="1"/>
  <c r="AG244" i="15"/>
  <c r="AG179" i="15"/>
  <c r="AH95" i="15"/>
  <c r="AH295" i="15" s="1"/>
  <c r="AH316" i="15" s="1"/>
  <c r="AG95" i="15"/>
  <c r="AG295" i="15" s="1"/>
  <c r="AG316" i="15" s="1"/>
  <c r="Q208" i="15"/>
  <c r="Q301" i="15"/>
  <c r="W95" i="15"/>
  <c r="W295" i="15" s="1"/>
  <c r="W316" i="15" s="1"/>
  <c r="AJ252" i="15"/>
  <c r="AJ187" i="15"/>
  <c r="AJ81" i="15"/>
  <c r="AK81" i="15" s="1"/>
  <c r="AE81" i="15"/>
  <c r="AE252" i="15"/>
  <c r="AE187" i="15"/>
  <c r="J312" i="15"/>
  <c r="J324" i="15"/>
  <c r="W211" i="15"/>
  <c r="W303" i="15"/>
  <c r="AE281" i="15"/>
  <c r="AE278" i="15"/>
  <c r="AE213" i="15"/>
  <c r="AK44" i="15"/>
  <c r="AK161" i="15"/>
  <c r="AK226" i="15"/>
  <c r="AK43" i="15"/>
  <c r="AK163" i="15" s="1"/>
  <c r="AK42" i="15"/>
  <c r="AK162" i="15" s="1"/>
  <c r="AG87" i="15"/>
  <c r="F148" i="15"/>
  <c r="F298" i="15"/>
  <c r="F319" i="15" s="1"/>
  <c r="F324" i="15" s="1"/>
  <c r="F198" i="15"/>
  <c r="F263" i="15" s="1"/>
  <c r="F276" i="15" s="1"/>
  <c r="AA281" i="15"/>
  <c r="AA278" i="15"/>
  <c r="AA213" i="15"/>
  <c r="K231" i="15"/>
  <c r="S281" i="15"/>
  <c r="S278" i="15"/>
  <c r="S213" i="15"/>
  <c r="AK76" i="15"/>
  <c r="AK32" i="15"/>
  <c r="AK19" i="15"/>
  <c r="AK21" i="15" s="1"/>
  <c r="AK33" i="15"/>
  <c r="Q298" i="15"/>
  <c r="Q319" i="15" s="1"/>
  <c r="Q324" i="15" s="1"/>
  <c r="Q148" i="15"/>
  <c r="Q198" i="15"/>
  <c r="Q263" i="15" s="1"/>
  <c r="Q276" i="15" s="1"/>
  <c r="D185" i="15"/>
  <c r="D250" i="15"/>
  <c r="D78" i="15"/>
  <c r="Z253" i="15"/>
  <c r="Z188" i="15"/>
  <c r="L250" i="15"/>
  <c r="L78" i="15"/>
  <c r="L185" i="15"/>
  <c r="AD150" i="15"/>
  <c r="AD293" i="15"/>
  <c r="AD314" i="15" s="1"/>
  <c r="AD151" i="15"/>
  <c r="Y179" i="15"/>
  <c r="Y244" i="15"/>
  <c r="AB95" i="15"/>
  <c r="AB295" i="15" s="1"/>
  <c r="AB316" i="15" s="1"/>
  <c r="Y76" i="15"/>
  <c r="K225" i="15"/>
  <c r="X250" i="15"/>
  <c r="X185" i="15"/>
  <c r="J273" i="15"/>
  <c r="J270" i="15"/>
  <c r="AJ303" i="15"/>
  <c r="AJ211" i="15"/>
  <c r="AC151" i="15"/>
  <c r="AC293" i="15"/>
  <c r="AC314" i="15" s="1"/>
  <c r="AC150" i="15"/>
  <c r="AH87" i="15"/>
  <c r="S211" i="15"/>
  <c r="S303" i="15"/>
  <c r="R293" i="15"/>
  <c r="R314" i="15" s="1"/>
  <c r="R151" i="15"/>
  <c r="R150" i="15"/>
  <c r="U208" i="15"/>
  <c r="U301" i="15"/>
  <c r="AJ79" i="15"/>
  <c r="P308" i="20"/>
  <c r="P217" i="20"/>
  <c r="P22" i="20"/>
  <c r="P219" i="20" l="1"/>
  <c r="T220" i="20"/>
  <c r="S96" i="20"/>
  <c r="R156" i="20"/>
  <c r="Q22" i="20"/>
  <c r="T96" i="20"/>
  <c r="T299" i="20"/>
  <c r="T156" i="20"/>
  <c r="S299" i="20"/>
  <c r="S156" i="20"/>
  <c r="R220" i="20"/>
  <c r="M219" i="20"/>
  <c r="M96" i="20"/>
  <c r="R96" i="20"/>
  <c r="X187" i="15"/>
  <c r="X252" i="15"/>
  <c r="Y78" i="15"/>
  <c r="Y79" i="15" s="1"/>
  <c r="X81" i="15"/>
  <c r="X79" i="15"/>
  <c r="AB188" i="15"/>
  <c r="AB253" i="15"/>
  <c r="U250" i="15"/>
  <c r="U185" i="15"/>
  <c r="K187" i="15"/>
  <c r="AG78" i="15"/>
  <c r="K252" i="15"/>
  <c r="K81" i="15"/>
  <c r="AF281" i="15"/>
  <c r="AF213" i="15"/>
  <c r="AF278" i="15"/>
  <c r="AF95" i="15"/>
  <c r="AF295" i="15" s="1"/>
  <c r="AF316" i="15" s="1"/>
  <c r="AC244" i="15"/>
  <c r="AC179" i="15"/>
  <c r="AC76" i="15"/>
  <c r="AE95" i="15"/>
  <c r="AE295" i="15" s="1"/>
  <c r="AE316" i="15" s="1"/>
  <c r="AC95" i="15"/>
  <c r="AC295" i="15" s="1"/>
  <c r="AC316" i="15" s="1"/>
  <c r="AD95" i="15"/>
  <c r="AD295" i="15" s="1"/>
  <c r="AD316" i="15" s="1"/>
  <c r="J81" i="15"/>
  <c r="J187" i="15"/>
  <c r="J252" i="15"/>
  <c r="AN78" i="15"/>
  <c r="AN79" i="15" s="1"/>
  <c r="AD113" i="15"/>
  <c r="AE80" i="15"/>
  <c r="AD82" i="15"/>
  <c r="AJ188" i="15"/>
  <c r="AJ253" i="15"/>
  <c r="AC281" i="15"/>
  <c r="AC278" i="15"/>
  <c r="AC213" i="15"/>
  <c r="AD282" i="15"/>
  <c r="AD214" i="15"/>
  <c r="AD279" i="15"/>
  <c r="AB252" i="15"/>
  <c r="AB187" i="15"/>
  <c r="AC78" i="15"/>
  <c r="AB81" i="15"/>
  <c r="AC81" i="15" s="1"/>
  <c r="AG303" i="15"/>
  <c r="AG211" i="15"/>
  <c r="AK93" i="15"/>
  <c r="AF187" i="15"/>
  <c r="AF252" i="15"/>
  <c r="E303" i="15"/>
  <c r="E211" i="15"/>
  <c r="F211" i="15"/>
  <c r="F303" i="15"/>
  <c r="T95" i="15"/>
  <c r="T295" i="15" s="1"/>
  <c r="T316" i="15" s="1"/>
  <c r="Q76" i="15"/>
  <c r="Q244" i="15"/>
  <c r="Q179" i="15"/>
  <c r="D187" i="15"/>
  <c r="D252" i="15"/>
  <c r="D81" i="15"/>
  <c r="AG250" i="15"/>
  <c r="AG79" i="15"/>
  <c r="AG185" i="15"/>
  <c r="R95" i="15"/>
  <c r="R295" i="15" s="1"/>
  <c r="R316" i="15" s="1"/>
  <c r="K79" i="15"/>
  <c r="C113" i="15"/>
  <c r="C82" i="15"/>
  <c r="AK78" i="15"/>
  <c r="L187" i="15"/>
  <c r="L252" i="15"/>
  <c r="L81" i="15"/>
  <c r="Q303" i="15"/>
  <c r="Q211" i="15"/>
  <c r="AF253" i="15"/>
  <c r="AF188" i="15"/>
  <c r="AJ213" i="15"/>
  <c r="AJ281" i="15"/>
  <c r="AJ278" i="15"/>
  <c r="K211" i="15"/>
  <c r="K303" i="15"/>
  <c r="U211" i="15"/>
  <c r="U303" i="15"/>
  <c r="Q281" i="15"/>
  <c r="Q278" i="15"/>
  <c r="Q213" i="15"/>
  <c r="W187" i="15"/>
  <c r="W252" i="15"/>
  <c r="W81" i="15"/>
  <c r="W79" i="15"/>
  <c r="AI93" i="15"/>
  <c r="AG21" i="15"/>
  <c r="AJ93" i="15"/>
  <c r="AH93" i="15"/>
  <c r="AG93" i="15"/>
  <c r="AD213" i="15"/>
  <c r="AD278" i="15"/>
  <c r="AD281" i="15"/>
  <c r="T252" i="15"/>
  <c r="T187" i="15"/>
  <c r="T81" i="15"/>
  <c r="U81" i="15" s="1"/>
  <c r="U78" i="15"/>
  <c r="U79" i="15" s="1"/>
  <c r="S95" i="15"/>
  <c r="S295" i="15" s="1"/>
  <c r="S316" i="15" s="1"/>
  <c r="R282" i="15"/>
  <c r="R214" i="15"/>
  <c r="R279" i="15"/>
  <c r="D79" i="15"/>
  <c r="AK250" i="15"/>
  <c r="AK79" i="15"/>
  <c r="AK185" i="15"/>
  <c r="P250" i="15"/>
  <c r="P78" i="15"/>
  <c r="P185" i="15"/>
  <c r="P79" i="15"/>
  <c r="T278" i="15"/>
  <c r="T281" i="15"/>
  <c r="T213" i="15"/>
  <c r="AF282" i="15"/>
  <c r="AF214" i="15"/>
  <c r="AF279" i="15"/>
  <c r="R278" i="15"/>
  <c r="R281" i="15"/>
  <c r="R213" i="15"/>
  <c r="AC282" i="15"/>
  <c r="AC214" i="15"/>
  <c r="AC279" i="15"/>
  <c r="Y185" i="15"/>
  <c r="Y250" i="15"/>
  <c r="L79" i="15"/>
  <c r="T79" i="15"/>
  <c r="T279" i="15"/>
  <c r="T282" i="15"/>
  <c r="T214" i="15"/>
  <c r="W286" i="15"/>
  <c r="W372" i="15"/>
  <c r="W382" i="15"/>
  <c r="W329" i="15"/>
  <c r="W38" i="15"/>
  <c r="W59" i="15" s="1"/>
  <c r="W342" i="15"/>
  <c r="W352" i="15" s="1"/>
  <c r="W362" i="15" s="1"/>
  <c r="W97" i="15"/>
  <c r="W156" i="15"/>
  <c r="X2" i="15"/>
  <c r="W221" i="15"/>
  <c r="W139" i="15"/>
  <c r="W307" i="15"/>
  <c r="W84" i="15"/>
  <c r="AF81" i="15"/>
  <c r="AG81" i="15" s="1"/>
  <c r="J79" i="15"/>
  <c r="Q214" i="15"/>
  <c r="Q279" i="15"/>
  <c r="Q282" i="15"/>
  <c r="R219" i="20" l="1"/>
  <c r="T219" i="20"/>
  <c r="S219" i="20"/>
  <c r="U188" i="15"/>
  <c r="U253" i="15"/>
  <c r="Y253" i="15"/>
  <c r="Y188" i="15"/>
  <c r="P188" i="15"/>
  <c r="P253" i="15"/>
  <c r="K188" i="15"/>
  <c r="K253" i="15"/>
  <c r="AC187" i="15"/>
  <c r="AC252" i="15"/>
  <c r="AD29" i="15"/>
  <c r="AD115" i="15"/>
  <c r="AD296" i="15"/>
  <c r="AD317" i="15" s="1"/>
  <c r="AD190" i="15"/>
  <c r="AD255" i="15" s="1"/>
  <c r="C950" i="17"/>
  <c r="AK252" i="15"/>
  <c r="AK187" i="15"/>
  <c r="L188" i="15"/>
  <c r="L253" i="15"/>
  <c r="AK188" i="15"/>
  <c r="AK253" i="15"/>
  <c r="J253" i="15"/>
  <c r="J188" i="15"/>
  <c r="D253" i="15"/>
  <c r="D188" i="15"/>
  <c r="Q250" i="15"/>
  <c r="Q79" i="15"/>
  <c r="Q185" i="15"/>
  <c r="AG188" i="15"/>
  <c r="AG253" i="15"/>
  <c r="AC250" i="15"/>
  <c r="AC79" i="15"/>
  <c r="AC185" i="15"/>
  <c r="X188" i="15"/>
  <c r="X253" i="15"/>
  <c r="X97" i="15"/>
  <c r="X307" i="15"/>
  <c r="X372" i="15"/>
  <c r="Y2" i="15"/>
  <c r="X329" i="15"/>
  <c r="X84" i="15"/>
  <c r="X156" i="15"/>
  <c r="X38" i="15"/>
  <c r="X59" i="15" s="1"/>
  <c r="X221" i="15"/>
  <c r="X286" i="15"/>
  <c r="X342" i="15"/>
  <c r="X352" i="15" s="1"/>
  <c r="X362" i="15" s="1"/>
  <c r="X139" i="15"/>
  <c r="X382" i="15"/>
  <c r="U187" i="15"/>
  <c r="U252" i="15"/>
  <c r="P252" i="15"/>
  <c r="P187" i="15"/>
  <c r="Q78" i="15"/>
  <c r="P81" i="15"/>
  <c r="Q81" i="15" s="1"/>
  <c r="W253" i="15"/>
  <c r="W188" i="15"/>
  <c r="AG187" i="15"/>
  <c r="AG252" i="15"/>
  <c r="Y81" i="15"/>
  <c r="Y187" i="15"/>
  <c r="Y252" i="15"/>
  <c r="D80" i="15"/>
  <c r="T253" i="15"/>
  <c r="T188" i="15"/>
  <c r="C190" i="15"/>
  <c r="C255" i="15" s="1"/>
  <c r="C29" i="15"/>
  <c r="C115" i="15"/>
  <c r="C296" i="15"/>
  <c r="C317" i="15" s="1"/>
  <c r="AF80" i="15"/>
  <c r="AE113" i="15"/>
  <c r="AE82" i="15"/>
  <c r="AN81" i="15"/>
  <c r="C299" i="15" l="1"/>
  <c r="C320" i="15" s="1"/>
  <c r="C323" i="15" s="1"/>
  <c r="C120" i="15"/>
  <c r="C191" i="15"/>
  <c r="C256" i="15" s="1"/>
  <c r="C269" i="15" s="1"/>
  <c r="C141" i="15"/>
  <c r="C204" i="15" s="1"/>
  <c r="AC253" i="15"/>
  <c r="AC188" i="15"/>
  <c r="Q253" i="15"/>
  <c r="Q188" i="15"/>
  <c r="C960" i="17"/>
  <c r="C961" i="17" s="1"/>
  <c r="D950" i="17"/>
  <c r="C951" i="17"/>
  <c r="E951" i="17" s="1"/>
  <c r="Y307" i="15"/>
  <c r="Y382" i="15"/>
  <c r="Y286" i="15"/>
  <c r="Y342" i="15"/>
  <c r="Y362" i="15"/>
  <c r="Y97" i="15"/>
  <c r="Y329" i="15"/>
  <c r="Y352" i="15"/>
  <c r="Y156" i="15"/>
  <c r="Y221" i="15"/>
  <c r="Y372" i="15"/>
  <c r="Y139" i="15"/>
  <c r="Y38" i="15"/>
  <c r="Y59" i="15"/>
  <c r="Z2" i="15"/>
  <c r="Y84" i="15"/>
  <c r="Q187" i="15"/>
  <c r="Q252" i="15"/>
  <c r="AD191" i="15"/>
  <c r="AD256" i="15" s="1"/>
  <c r="AD120" i="15"/>
  <c r="AD299" i="15"/>
  <c r="AD320" i="15" s="1"/>
  <c r="AE29" i="15"/>
  <c r="AE296" i="15"/>
  <c r="AE317" i="15" s="1"/>
  <c r="AE190" i="15"/>
  <c r="AE255" i="15" s="1"/>
  <c r="C912" i="17"/>
  <c r="AE115" i="15"/>
  <c r="E80" i="15"/>
  <c r="D113" i="15"/>
  <c r="D82" i="15"/>
  <c r="N80" i="15"/>
  <c r="AF82" i="15"/>
  <c r="AG80" i="15"/>
  <c r="AF113" i="15"/>
  <c r="H301" i="20" l="1"/>
  <c r="H30" i="20"/>
  <c r="H196" i="20"/>
  <c r="H262" i="20" s="1"/>
  <c r="H121" i="20"/>
  <c r="N82" i="15"/>
  <c r="N113" i="15"/>
  <c r="O80" i="15"/>
  <c r="D296" i="15"/>
  <c r="D317" i="15" s="1"/>
  <c r="D190" i="15"/>
  <c r="D255" i="15" s="1"/>
  <c r="D115" i="15"/>
  <c r="D29" i="15"/>
  <c r="D960" i="17"/>
  <c r="D961" i="17" s="1"/>
  <c r="D951" i="17"/>
  <c r="F951" i="17" s="1"/>
  <c r="F80" i="15"/>
  <c r="E82" i="15"/>
  <c r="E113" i="15"/>
  <c r="D912" i="17"/>
  <c r="C922" i="17"/>
  <c r="C923" i="17" s="1"/>
  <c r="C913" i="17"/>
  <c r="E913" i="17" s="1"/>
  <c r="AD127" i="15"/>
  <c r="AD137" i="15"/>
  <c r="AD194" i="15"/>
  <c r="AD259" i="15" s="1"/>
  <c r="AD153" i="15"/>
  <c r="AD216" i="15" s="1"/>
  <c r="AF29" i="15"/>
  <c r="AF115" i="15"/>
  <c r="AF190" i="15"/>
  <c r="AF255" i="15" s="1"/>
  <c r="AF296" i="15"/>
  <c r="AF317" i="15" s="1"/>
  <c r="C875" i="17"/>
  <c r="AG82" i="15"/>
  <c r="AH80" i="15"/>
  <c r="AG113" i="15"/>
  <c r="AE191" i="15"/>
  <c r="AE256" i="15" s="1"/>
  <c r="AE299" i="15"/>
  <c r="AE320" i="15" s="1"/>
  <c r="AE120" i="15"/>
  <c r="C137" i="15"/>
  <c r="C153" i="15"/>
  <c r="C216" i="15" s="1"/>
  <c r="C144" i="15"/>
  <c r="C127" i="15"/>
  <c r="C194" i="15"/>
  <c r="C259" i="15" s="1"/>
  <c r="C272" i="15" s="1"/>
  <c r="Z97" i="15"/>
  <c r="Z382" i="15"/>
  <c r="AA2" i="15"/>
  <c r="Z329" i="15"/>
  <c r="Z342" i="15"/>
  <c r="Z352" i="15" s="1"/>
  <c r="Z362" i="15" s="1"/>
  <c r="Z221" i="15"/>
  <c r="Z84" i="15"/>
  <c r="Z139" i="15"/>
  <c r="Z307" i="15"/>
  <c r="Z156" i="15"/>
  <c r="Z38" i="15"/>
  <c r="Z59" i="15" s="1"/>
  <c r="Z372" i="15"/>
  <c r="Z286" i="15"/>
  <c r="H304" i="20" l="1"/>
  <c r="H197" i="20"/>
  <c r="H263" i="20" s="1"/>
  <c r="H276" i="20" s="1"/>
  <c r="H126" i="20"/>
  <c r="H147" i="20"/>
  <c r="H210" i="20" s="1"/>
  <c r="Z301" i="20"/>
  <c r="Z196" i="20"/>
  <c r="Z262" i="20" s="1"/>
  <c r="Z121" i="20"/>
  <c r="C571" i="17"/>
  <c r="C572" i="17" s="1"/>
  <c r="C562" i="17"/>
  <c r="D562" i="17" s="1"/>
  <c r="AF120" i="15"/>
  <c r="AF191" i="15"/>
  <c r="AF256" i="15" s="1"/>
  <c r="AF299" i="15"/>
  <c r="AF320" i="15" s="1"/>
  <c r="F113" i="15"/>
  <c r="G80" i="15"/>
  <c r="H80" i="15"/>
  <c r="F82" i="15"/>
  <c r="C147" i="15"/>
  <c r="C197" i="15"/>
  <c r="C262" i="15" s="1"/>
  <c r="C275" i="15" s="1"/>
  <c r="C300" i="15"/>
  <c r="C321" i="15" s="1"/>
  <c r="C325" i="15" s="1"/>
  <c r="E29" i="15"/>
  <c r="E296" i="15"/>
  <c r="E317" i="15" s="1"/>
  <c r="E190" i="15"/>
  <c r="E255" i="15" s="1"/>
  <c r="E115" i="15"/>
  <c r="AD147" i="15"/>
  <c r="AD197" i="15"/>
  <c r="AD262" i="15" s="1"/>
  <c r="AD275" i="15" s="1"/>
  <c r="AD300" i="15"/>
  <c r="AD321" i="15" s="1"/>
  <c r="AD325" i="15" s="1"/>
  <c r="C207" i="15"/>
  <c r="C302" i="15"/>
  <c r="AG190" i="15"/>
  <c r="AG255" i="15" s="1"/>
  <c r="AG29" i="15"/>
  <c r="C838" i="17"/>
  <c r="AG296" i="15"/>
  <c r="AG317" i="15" s="1"/>
  <c r="AG115" i="15"/>
  <c r="AE137" i="15"/>
  <c r="AE194" i="15"/>
  <c r="AE259" i="15" s="1"/>
  <c r="AE127" i="15"/>
  <c r="AE153" i="15"/>
  <c r="AE216" i="15" s="1"/>
  <c r="D120" i="15"/>
  <c r="D191" i="15"/>
  <c r="D256" i="15" s="1"/>
  <c r="D269" i="15" s="1"/>
  <c r="D299" i="15"/>
  <c r="D320" i="15" s="1"/>
  <c r="D323" i="15" s="1"/>
  <c r="D141" i="15"/>
  <c r="D204" i="15" s="1"/>
  <c r="N296" i="15"/>
  <c r="N317" i="15" s="1"/>
  <c r="N29" i="15"/>
  <c r="N190" i="15"/>
  <c r="N255" i="15" s="1"/>
  <c r="N115" i="15"/>
  <c r="AI80" i="15"/>
  <c r="AH113" i="15"/>
  <c r="AH82" i="15"/>
  <c r="O113" i="15"/>
  <c r="P80" i="15"/>
  <c r="O82" i="15"/>
  <c r="AA221" i="15"/>
  <c r="AA329" i="15"/>
  <c r="AA372" i="15"/>
  <c r="AA342" i="15"/>
  <c r="AA352" i="15" s="1"/>
  <c r="AA362" i="15" s="1"/>
  <c r="AA156" i="15"/>
  <c r="AA84" i="15"/>
  <c r="AA307" i="15"/>
  <c r="AA97" i="15"/>
  <c r="AA382" i="15"/>
  <c r="AA286" i="15"/>
  <c r="AA38" i="15"/>
  <c r="AA59" i="15" s="1"/>
  <c r="AB2" i="15"/>
  <c r="AA139" i="15"/>
  <c r="C885" i="17"/>
  <c r="C886" i="17" s="1"/>
  <c r="D875" i="17"/>
  <c r="C876" i="17"/>
  <c r="E876" i="17" s="1"/>
  <c r="D922" i="17"/>
  <c r="D923" i="17" s="1"/>
  <c r="D913" i="17"/>
  <c r="F913" i="17" s="1"/>
  <c r="H159" i="20" l="1"/>
  <c r="H222" i="20" s="1"/>
  <c r="H200" i="20"/>
  <c r="H266" i="20" s="1"/>
  <c r="H279" i="20" s="1"/>
  <c r="H143" i="20"/>
  <c r="H150" i="20"/>
  <c r="H213" i="20" s="1"/>
  <c r="H133" i="20"/>
  <c r="Z304" i="20"/>
  <c r="Z197" i="20"/>
  <c r="Z263" i="20" s="1"/>
  <c r="Z276" i="20" s="1"/>
  <c r="Z147" i="20"/>
  <c r="Z210" i="20" s="1"/>
  <c r="Z126" i="20"/>
  <c r="G82" i="15"/>
  <c r="G113" i="15"/>
  <c r="C210" i="15"/>
  <c r="C304" i="15"/>
  <c r="AE197" i="15"/>
  <c r="AE262" i="15" s="1"/>
  <c r="AE275" i="15" s="1"/>
  <c r="AE300" i="15"/>
  <c r="AE321" i="15" s="1"/>
  <c r="AE325" i="15" s="1"/>
  <c r="AE147" i="15"/>
  <c r="H82" i="15"/>
  <c r="I80" i="15"/>
  <c r="J80" i="15"/>
  <c r="H113" i="15"/>
  <c r="D876" i="17"/>
  <c r="F876" i="17" s="1"/>
  <c r="D885" i="17"/>
  <c r="D886" i="17" s="1"/>
  <c r="P113" i="15"/>
  <c r="P82" i="15"/>
  <c r="Q80" i="15"/>
  <c r="AG120" i="15"/>
  <c r="AG191" i="15"/>
  <c r="AG256" i="15" s="1"/>
  <c r="AG299" i="15"/>
  <c r="AG320" i="15" s="1"/>
  <c r="O296" i="15"/>
  <c r="O317" i="15" s="1"/>
  <c r="O29" i="15"/>
  <c r="O190" i="15"/>
  <c r="O255" i="15" s="1"/>
  <c r="O115" i="15"/>
  <c r="AD304" i="15"/>
  <c r="AD210" i="15"/>
  <c r="F190" i="15"/>
  <c r="F255" i="15" s="1"/>
  <c r="F29" i="15"/>
  <c r="F296" i="15"/>
  <c r="F317" i="15" s="1"/>
  <c r="F115" i="15"/>
  <c r="D838" i="17"/>
  <c r="C848" i="17"/>
  <c r="C849" i="17" s="1"/>
  <c r="C839" i="17"/>
  <c r="E839" i="17" s="1"/>
  <c r="E141" i="15"/>
  <c r="E204" i="15" s="1"/>
  <c r="E299" i="15"/>
  <c r="E320" i="15" s="1"/>
  <c r="E323" i="15" s="1"/>
  <c r="E191" i="15"/>
  <c r="E256" i="15" s="1"/>
  <c r="E269" i="15" s="1"/>
  <c r="E120" i="15"/>
  <c r="AN2" i="15"/>
  <c r="AB382" i="15"/>
  <c r="AB97" i="15"/>
  <c r="AC2" i="15"/>
  <c r="AB221" i="15"/>
  <c r="AB372" i="15"/>
  <c r="AB84" i="15"/>
  <c r="AB342" i="15"/>
  <c r="AB352" i="15" s="1"/>
  <c r="AB362" i="15" s="1"/>
  <c r="AB286" i="15"/>
  <c r="AB156" i="15"/>
  <c r="AB139" i="15"/>
  <c r="AB329" i="15"/>
  <c r="AB307" i="15"/>
  <c r="AB38" i="15"/>
  <c r="AB59" i="15" s="1"/>
  <c r="C801" i="17"/>
  <c r="AH29" i="15"/>
  <c r="AH296" i="15"/>
  <c r="AH317" i="15" s="1"/>
  <c r="AH115" i="15"/>
  <c r="AH190" i="15"/>
  <c r="AH255" i="15" s="1"/>
  <c r="N120" i="15"/>
  <c r="N299" i="15"/>
  <c r="N320" i="15" s="1"/>
  <c r="N141" i="15"/>
  <c r="N204" i="15" s="1"/>
  <c r="N191" i="15"/>
  <c r="N256" i="15" s="1"/>
  <c r="AI82" i="15"/>
  <c r="AI113" i="15"/>
  <c r="AJ80" i="15"/>
  <c r="D153" i="15"/>
  <c r="D216" i="15" s="1"/>
  <c r="D137" i="15"/>
  <c r="D194" i="15"/>
  <c r="D259" i="15" s="1"/>
  <c r="D272" i="15" s="1"/>
  <c r="D144" i="15"/>
  <c r="D127" i="15"/>
  <c r="AF153" i="15"/>
  <c r="AF216" i="15" s="1"/>
  <c r="AF127" i="15"/>
  <c r="AF137" i="15"/>
  <c r="AF194" i="15"/>
  <c r="AF259" i="15" s="1"/>
  <c r="H203" i="20" l="1"/>
  <c r="H269" i="20" s="1"/>
  <c r="H282" i="20" s="1"/>
  <c r="H305" i="20"/>
  <c r="H153" i="20"/>
  <c r="AC196" i="20"/>
  <c r="AC262" i="20" s="1"/>
  <c r="AC301" i="20"/>
  <c r="AC30" i="20"/>
  <c r="AC121" i="20"/>
  <c r="C110" i="17"/>
  <c r="C111" i="17" s="1"/>
  <c r="D111" i="17" s="1"/>
  <c r="AB30" i="20"/>
  <c r="AB301" i="20"/>
  <c r="AB121" i="20"/>
  <c r="AB196" i="20"/>
  <c r="AB262" i="20" s="1"/>
  <c r="Z200" i="20"/>
  <c r="Z266" i="20" s="1"/>
  <c r="Z279" i="20" s="1"/>
  <c r="Z150" i="20"/>
  <c r="Z213" i="20" s="1"/>
  <c r="Z143" i="20"/>
  <c r="Z159" i="20"/>
  <c r="Z222" i="20" s="1"/>
  <c r="Z133" i="20"/>
  <c r="AJ113" i="15"/>
  <c r="AK80" i="15"/>
  <c r="AJ82" i="15"/>
  <c r="AH191" i="15"/>
  <c r="AH256" i="15" s="1"/>
  <c r="AH299" i="15"/>
  <c r="AH320" i="15" s="1"/>
  <c r="AH120" i="15"/>
  <c r="D839" i="17"/>
  <c r="F839" i="17" s="1"/>
  <c r="D848" i="17"/>
  <c r="D849" i="17" s="1"/>
  <c r="J113" i="15"/>
  <c r="J82" i="15"/>
  <c r="K80" i="15"/>
  <c r="G296" i="15"/>
  <c r="G317" i="15" s="1"/>
  <c r="G115" i="15"/>
  <c r="G190" i="15"/>
  <c r="G255" i="15" s="1"/>
  <c r="G29" i="15"/>
  <c r="N127" i="15"/>
  <c r="N194" i="15"/>
  <c r="N259" i="15" s="1"/>
  <c r="N137" i="15"/>
  <c r="N144" i="15"/>
  <c r="N207" i="15" s="1"/>
  <c r="AN38" i="15"/>
  <c r="AN382" i="15"/>
  <c r="AN59" i="15"/>
  <c r="AN362" i="15"/>
  <c r="AN329" i="15"/>
  <c r="AN342" i="15"/>
  <c r="AN352" i="15"/>
  <c r="AN372" i="15"/>
  <c r="AG194" i="15"/>
  <c r="AG259" i="15" s="1"/>
  <c r="AG127" i="15"/>
  <c r="AG153" i="15"/>
  <c r="AG216" i="15" s="1"/>
  <c r="AG137" i="15"/>
  <c r="I82" i="15"/>
  <c r="I113" i="15"/>
  <c r="AC38" i="15"/>
  <c r="AC352" i="15"/>
  <c r="AC156" i="15"/>
  <c r="AC307" i="15"/>
  <c r="AC84" i="15"/>
  <c r="AC362" i="15"/>
  <c r="AC59" i="15"/>
  <c r="AC342" i="15"/>
  <c r="AC221" i="15"/>
  <c r="AC139" i="15"/>
  <c r="AC97" i="15"/>
  <c r="AD2" i="15"/>
  <c r="AC372" i="15"/>
  <c r="AC286" i="15"/>
  <c r="AC382" i="15"/>
  <c r="AC329" i="15"/>
  <c r="Q113" i="15"/>
  <c r="Q82" i="15"/>
  <c r="R80" i="15"/>
  <c r="F120" i="15"/>
  <c r="F141" i="15"/>
  <c r="F204" i="15" s="1"/>
  <c r="F299" i="15"/>
  <c r="F320" i="15" s="1"/>
  <c r="F323" i="15" s="1"/>
  <c r="F191" i="15"/>
  <c r="F256" i="15" s="1"/>
  <c r="F269" i="15" s="1"/>
  <c r="AF197" i="15"/>
  <c r="AF262" i="15" s="1"/>
  <c r="AF275" i="15" s="1"/>
  <c r="AF300" i="15"/>
  <c r="AF321" i="15" s="1"/>
  <c r="AF325" i="15" s="1"/>
  <c r="AF147" i="15"/>
  <c r="H296" i="15"/>
  <c r="H317" i="15" s="1"/>
  <c r="H29" i="15"/>
  <c r="H115" i="15"/>
  <c r="H190" i="15"/>
  <c r="H255" i="15" s="1"/>
  <c r="AI29" i="15"/>
  <c r="AI296" i="15"/>
  <c r="AI317" i="15" s="1"/>
  <c r="AI190" i="15"/>
  <c r="AI255" i="15" s="1"/>
  <c r="C761" i="17"/>
  <c r="AI115" i="15"/>
  <c r="D147" i="15"/>
  <c r="D300" i="15"/>
  <c r="D321" i="15" s="1"/>
  <c r="D325" i="15" s="1"/>
  <c r="D197" i="15"/>
  <c r="D262" i="15" s="1"/>
  <c r="D275" i="15" s="1"/>
  <c r="C811" i="17"/>
  <c r="C812" i="17" s="1"/>
  <c r="D801" i="17"/>
  <c r="C802" i="17"/>
  <c r="E802" i="17" s="1"/>
  <c r="O299" i="15"/>
  <c r="O320" i="15" s="1"/>
  <c r="O191" i="15"/>
  <c r="O256" i="15" s="1"/>
  <c r="O120" i="15"/>
  <c r="O141" i="15"/>
  <c r="O204" i="15" s="1"/>
  <c r="AE210" i="15"/>
  <c r="AE304" i="15"/>
  <c r="E153" i="15"/>
  <c r="E216" i="15" s="1"/>
  <c r="E144" i="15"/>
  <c r="E194" i="15"/>
  <c r="E259" i="15" s="1"/>
  <c r="E272" i="15" s="1"/>
  <c r="E137" i="15"/>
  <c r="E127" i="15"/>
  <c r="D207" i="15"/>
  <c r="D302" i="15"/>
  <c r="P115" i="15"/>
  <c r="P29" i="15"/>
  <c r="P296" i="15"/>
  <c r="P317" i="15" s="1"/>
  <c r="P190" i="15"/>
  <c r="P255" i="15" s="1"/>
  <c r="H309" i="20" l="1"/>
  <c r="H216" i="20"/>
  <c r="AC304" i="20"/>
  <c r="AC126" i="20"/>
  <c r="AC197" i="20"/>
  <c r="AC263" i="20" s="1"/>
  <c r="AC276" i="20" s="1"/>
  <c r="AC147" i="20"/>
  <c r="AC210" i="20" s="1"/>
  <c r="C120" i="17"/>
  <c r="C121" i="17" s="1"/>
  <c r="AB304" i="20"/>
  <c r="AB197" i="20"/>
  <c r="AB263" i="20" s="1"/>
  <c r="AB276" i="20" s="1"/>
  <c r="AB147" i="20"/>
  <c r="AB210" i="20" s="1"/>
  <c r="AB126" i="20"/>
  <c r="Z203" i="20"/>
  <c r="Z269" i="20" s="1"/>
  <c r="Z282" i="20" s="1"/>
  <c r="Z153" i="20"/>
  <c r="Z305" i="20"/>
  <c r="AD156" i="15"/>
  <c r="AE2" i="15"/>
  <c r="AD139" i="15"/>
  <c r="AD329" i="15"/>
  <c r="AO329" i="15" s="1"/>
  <c r="AO342" i="15" s="1"/>
  <c r="AO352" i="15" s="1"/>
  <c r="AO362" i="15" s="1"/>
  <c r="AO372" i="15" s="1"/>
  <c r="AO382" i="15" s="1"/>
  <c r="AD382" i="15"/>
  <c r="AD84" i="15"/>
  <c r="AD97" i="15"/>
  <c r="AD372" i="15"/>
  <c r="AD286" i="15"/>
  <c r="AD307" i="15"/>
  <c r="AD221" i="15"/>
  <c r="AD342" i="15"/>
  <c r="AD352" i="15" s="1"/>
  <c r="AD362" i="15" s="1"/>
  <c r="AD38" i="15"/>
  <c r="AD59" i="15" s="1"/>
  <c r="AG197" i="15"/>
  <c r="AG262" i="15" s="1"/>
  <c r="AG275" i="15" s="1"/>
  <c r="AG300" i="15"/>
  <c r="AG321" i="15" s="1"/>
  <c r="AG325" i="15" s="1"/>
  <c r="AG147" i="15"/>
  <c r="S80" i="15"/>
  <c r="R113" i="15"/>
  <c r="R82" i="15"/>
  <c r="P191" i="15"/>
  <c r="P256" i="15" s="1"/>
  <c r="P299" i="15"/>
  <c r="P320" i="15" s="1"/>
  <c r="P141" i="15"/>
  <c r="P204" i="15" s="1"/>
  <c r="P120" i="15"/>
  <c r="C762" i="17"/>
  <c r="E762" i="17" s="1"/>
  <c r="C771" i="17"/>
  <c r="C772" i="17" s="1"/>
  <c r="D761" i="17"/>
  <c r="AF304" i="15"/>
  <c r="AF210" i="15"/>
  <c r="K113" i="15"/>
  <c r="L80" i="15"/>
  <c r="K82" i="15"/>
  <c r="AH194" i="15"/>
  <c r="AH259" i="15" s="1"/>
  <c r="AH137" i="15"/>
  <c r="AH153" i="15"/>
  <c r="AH216" i="15" s="1"/>
  <c r="AH127" i="15"/>
  <c r="E207" i="15"/>
  <c r="E302" i="15"/>
  <c r="F137" i="15"/>
  <c r="F144" i="15"/>
  <c r="F127" i="15"/>
  <c r="F194" i="15"/>
  <c r="F259" i="15" s="1"/>
  <c r="F272" i="15" s="1"/>
  <c r="F153" i="15"/>
  <c r="F216" i="15" s="1"/>
  <c r="G141" i="15"/>
  <c r="G204" i="15" s="1"/>
  <c r="G299" i="15"/>
  <c r="G320" i="15" s="1"/>
  <c r="G323" i="15" s="1"/>
  <c r="G191" i="15"/>
  <c r="G256" i="15" s="1"/>
  <c r="G269" i="15" s="1"/>
  <c r="G120" i="15"/>
  <c r="Q29" i="15"/>
  <c r="Q296" i="15"/>
  <c r="Q317" i="15" s="1"/>
  <c r="Q190" i="15"/>
  <c r="Q255" i="15" s="1"/>
  <c r="Q115" i="15"/>
  <c r="AK113" i="15"/>
  <c r="AK82" i="15"/>
  <c r="I29" i="15"/>
  <c r="I190" i="15"/>
  <c r="I255" i="15" s="1"/>
  <c r="I115" i="15"/>
  <c r="I296" i="15"/>
  <c r="I317" i="15" s="1"/>
  <c r="J115" i="15"/>
  <c r="J29" i="15"/>
  <c r="J190" i="15"/>
  <c r="J255" i="15" s="1"/>
  <c r="J296" i="15"/>
  <c r="J317" i="15" s="1"/>
  <c r="C720" i="17"/>
  <c r="AJ29" i="15"/>
  <c r="AJ190" i="15"/>
  <c r="AJ255" i="15" s="1"/>
  <c r="AJ115" i="15"/>
  <c r="AJ296" i="15"/>
  <c r="AJ317" i="15" s="1"/>
  <c r="H299" i="15"/>
  <c r="H320" i="15" s="1"/>
  <c r="H323" i="15" s="1"/>
  <c r="H141" i="15"/>
  <c r="H204" i="15" s="1"/>
  <c r="H120" i="15"/>
  <c r="H191" i="15"/>
  <c r="H256" i="15" s="1"/>
  <c r="H269" i="15" s="1"/>
  <c r="D811" i="17"/>
  <c r="D812" i="17" s="1"/>
  <c r="D802" i="17"/>
  <c r="F802" i="17" s="1"/>
  <c r="E197" i="15"/>
  <c r="E262" i="15" s="1"/>
  <c r="E275" i="15" s="1"/>
  <c r="E300" i="15"/>
  <c r="E321" i="15" s="1"/>
  <c r="E325" i="15" s="1"/>
  <c r="E147" i="15"/>
  <c r="D210" i="15"/>
  <c r="D304" i="15"/>
  <c r="N197" i="15"/>
  <c r="N262" i="15" s="1"/>
  <c r="N300" i="15"/>
  <c r="N321" i="15" s="1"/>
  <c r="AI299" i="15"/>
  <c r="AI320" i="15" s="1"/>
  <c r="AI120" i="15"/>
  <c r="AI191" i="15"/>
  <c r="AI256" i="15" s="1"/>
  <c r="O144" i="15"/>
  <c r="O207" i="15" s="1"/>
  <c r="O127" i="15"/>
  <c r="O137" i="15"/>
  <c r="O194" i="15"/>
  <c r="O259" i="15" s="1"/>
  <c r="AC200" i="20" l="1"/>
  <c r="AC266" i="20" s="1"/>
  <c r="AC279" i="20" s="1"/>
  <c r="AC150" i="20"/>
  <c r="AC213" i="20" s="1"/>
  <c r="AC143" i="20"/>
  <c r="AC159" i="20"/>
  <c r="AC222" i="20" s="1"/>
  <c r="AC133" i="20"/>
  <c r="AB143" i="20"/>
  <c r="AB200" i="20"/>
  <c r="AB266" i="20" s="1"/>
  <c r="AB279" i="20" s="1"/>
  <c r="AB133" i="20"/>
  <c r="AB150" i="20"/>
  <c r="AB213" i="20" s="1"/>
  <c r="AB159" i="20"/>
  <c r="AB222" i="20" s="1"/>
  <c r="Z216" i="20"/>
  <c r="Z309" i="20"/>
  <c r="F302" i="15"/>
  <c r="F207" i="15"/>
  <c r="O300" i="15"/>
  <c r="O321" i="15" s="1"/>
  <c r="O197" i="15"/>
  <c r="O262" i="15" s="1"/>
  <c r="G153" i="15"/>
  <c r="G216" i="15" s="1"/>
  <c r="G144" i="15"/>
  <c r="G127" i="15"/>
  <c r="G194" i="15"/>
  <c r="G259" i="15" s="1"/>
  <c r="G272" i="15" s="1"/>
  <c r="G137" i="15"/>
  <c r="Q191" i="15"/>
  <c r="Q256" i="15" s="1"/>
  <c r="Q269" i="15" s="1"/>
  <c r="Q141" i="15"/>
  <c r="Q204" i="15" s="1"/>
  <c r="Q299" i="15"/>
  <c r="Q320" i="15" s="1"/>
  <c r="Q323" i="15" s="1"/>
  <c r="Q120" i="15"/>
  <c r="K190" i="15"/>
  <c r="K255" i="15" s="1"/>
  <c r="K29" i="15"/>
  <c r="K296" i="15"/>
  <c r="K317" i="15" s="1"/>
  <c r="K115" i="15"/>
  <c r="F197" i="15"/>
  <c r="F262" i="15" s="1"/>
  <c r="F275" i="15" s="1"/>
  <c r="F147" i="15"/>
  <c r="F300" i="15"/>
  <c r="F321" i="15" s="1"/>
  <c r="F325" i="15" s="1"/>
  <c r="L113" i="15"/>
  <c r="L82" i="15"/>
  <c r="E210" i="15"/>
  <c r="E304" i="15"/>
  <c r="J141" i="15"/>
  <c r="J204" i="15" s="1"/>
  <c r="J299" i="15"/>
  <c r="J320" i="15" s="1"/>
  <c r="J323" i="15" s="1"/>
  <c r="J191" i="15"/>
  <c r="J256" i="15" s="1"/>
  <c r="J269" i="15" s="1"/>
  <c r="J120" i="15"/>
  <c r="AG210" i="15"/>
  <c r="AG304" i="15"/>
  <c r="H127" i="15"/>
  <c r="H144" i="15"/>
  <c r="H137" i="15"/>
  <c r="H194" i="15"/>
  <c r="H259" i="15" s="1"/>
  <c r="H272" i="15" s="1"/>
  <c r="H153" i="15"/>
  <c r="H216" i="15" s="1"/>
  <c r="P144" i="15"/>
  <c r="P207" i="15" s="1"/>
  <c r="P194" i="15"/>
  <c r="P259" i="15" s="1"/>
  <c r="P127" i="15"/>
  <c r="P137" i="15"/>
  <c r="C730" i="17"/>
  <c r="C731" i="17" s="1"/>
  <c r="D720" i="17"/>
  <c r="C721" i="17"/>
  <c r="E721" i="17" s="1"/>
  <c r="I299" i="15"/>
  <c r="I320" i="15" s="1"/>
  <c r="I323" i="15" s="1"/>
  <c r="I141" i="15"/>
  <c r="I204" i="15" s="1"/>
  <c r="I191" i="15"/>
  <c r="I256" i="15" s="1"/>
  <c r="I269" i="15" s="1"/>
  <c r="I120" i="15"/>
  <c r="D771" i="17"/>
  <c r="D772" i="17" s="1"/>
  <c r="D762" i="17"/>
  <c r="F762" i="17" s="1"/>
  <c r="R296" i="15"/>
  <c r="R317" i="15" s="1"/>
  <c r="R115" i="15"/>
  <c r="R29" i="15"/>
  <c r="R190" i="15"/>
  <c r="R255" i="15" s="1"/>
  <c r="AE139" i="15"/>
  <c r="AE97" i="15"/>
  <c r="AE307" i="15"/>
  <c r="AF2" i="15"/>
  <c r="AE38" i="15"/>
  <c r="AE59" i="15" s="1"/>
  <c r="AE221" i="15"/>
  <c r="AE286" i="15"/>
  <c r="AE156" i="15"/>
  <c r="AE382" i="15"/>
  <c r="AE84" i="15"/>
  <c r="AE342" i="15"/>
  <c r="AE352" i="15" s="1"/>
  <c r="AE362" i="15" s="1"/>
  <c r="AE372" i="15"/>
  <c r="AE329" i="15"/>
  <c r="C680" i="17"/>
  <c r="AK115" i="15"/>
  <c r="AK296" i="15"/>
  <c r="AK317" i="15" s="1"/>
  <c r="AK190" i="15"/>
  <c r="AK255" i="15" s="1"/>
  <c r="AK29" i="15"/>
  <c r="AI153" i="15"/>
  <c r="AI216" i="15" s="1"/>
  <c r="AI127" i="15"/>
  <c r="AI194" i="15"/>
  <c r="AI259" i="15" s="1"/>
  <c r="AI137" i="15"/>
  <c r="AJ191" i="15"/>
  <c r="AJ256" i="15" s="1"/>
  <c r="AJ120" i="15"/>
  <c r="AJ299" i="15"/>
  <c r="AJ320" i="15" s="1"/>
  <c r="AH147" i="15"/>
  <c r="AH300" i="15"/>
  <c r="AH321" i="15" s="1"/>
  <c r="AH325" i="15" s="1"/>
  <c r="AH197" i="15"/>
  <c r="AH262" i="15" s="1"/>
  <c r="AH275" i="15" s="1"/>
  <c r="S82" i="15"/>
  <c r="T80" i="15"/>
  <c r="S113" i="15"/>
  <c r="AC203" i="20" l="1"/>
  <c r="AC269" i="20" s="1"/>
  <c r="AC282" i="20" s="1"/>
  <c r="AC153" i="20"/>
  <c r="AC305" i="20"/>
  <c r="AB203" i="20"/>
  <c r="AB269" i="20" s="1"/>
  <c r="AB282" i="20" s="1"/>
  <c r="AB153" i="20"/>
  <c r="AB305" i="20"/>
  <c r="AF286" i="15"/>
  <c r="AF97" i="15"/>
  <c r="AF221" i="15"/>
  <c r="AF156" i="15"/>
  <c r="AF84" i="15"/>
  <c r="AF342" i="15"/>
  <c r="AF352" i="15" s="1"/>
  <c r="AF362" i="15" s="1"/>
  <c r="AF329" i="15"/>
  <c r="AF139" i="15"/>
  <c r="AF382" i="15"/>
  <c r="AF372" i="15"/>
  <c r="AF38" i="15"/>
  <c r="AF59" i="15" s="1"/>
  <c r="AF307" i="15"/>
  <c r="AG2" i="15"/>
  <c r="H300" i="15"/>
  <c r="H321" i="15" s="1"/>
  <c r="H325" i="15" s="1"/>
  <c r="H197" i="15"/>
  <c r="H262" i="15" s="1"/>
  <c r="H275" i="15" s="1"/>
  <c r="H147" i="15"/>
  <c r="P197" i="15"/>
  <c r="P262" i="15" s="1"/>
  <c r="P300" i="15"/>
  <c r="P321" i="15" s="1"/>
  <c r="L115" i="15"/>
  <c r="L29" i="15"/>
  <c r="L190" i="15"/>
  <c r="L255" i="15" s="1"/>
  <c r="L296" i="15"/>
  <c r="L317" i="15" s="1"/>
  <c r="Q137" i="15"/>
  <c r="Q144" i="15"/>
  <c r="Q194" i="15"/>
  <c r="Q259" i="15" s="1"/>
  <c r="Q272" i="15" s="1"/>
  <c r="Q153" i="15"/>
  <c r="Q216" i="15" s="1"/>
  <c r="Q127" i="15"/>
  <c r="AH210" i="15"/>
  <c r="AH304" i="15"/>
  <c r="I127" i="15"/>
  <c r="I194" i="15"/>
  <c r="I259" i="15" s="1"/>
  <c r="I272" i="15" s="1"/>
  <c r="I144" i="15"/>
  <c r="I137" i="15"/>
  <c r="I153" i="15"/>
  <c r="I216" i="15" s="1"/>
  <c r="G302" i="15"/>
  <c r="G207" i="15"/>
  <c r="S29" i="15"/>
  <c r="S296" i="15"/>
  <c r="S317" i="15" s="1"/>
  <c r="S115" i="15"/>
  <c r="S190" i="15"/>
  <c r="S255" i="15" s="1"/>
  <c r="T82" i="15"/>
  <c r="U80" i="15"/>
  <c r="T113" i="15"/>
  <c r="AJ194" i="15"/>
  <c r="AJ259" i="15" s="1"/>
  <c r="AJ153" i="15"/>
  <c r="AJ216" i="15" s="1"/>
  <c r="AJ127" i="15"/>
  <c r="AJ137" i="15"/>
  <c r="J127" i="15"/>
  <c r="J153" i="15"/>
  <c r="J216" i="15" s="1"/>
  <c r="J137" i="15"/>
  <c r="J144" i="15"/>
  <c r="J194" i="15"/>
  <c r="J259" i="15" s="1"/>
  <c r="J272" i="15" s="1"/>
  <c r="F210" i="15"/>
  <c r="F304" i="15"/>
  <c r="AI300" i="15"/>
  <c r="AI321" i="15" s="1"/>
  <c r="AI325" i="15" s="1"/>
  <c r="AI197" i="15"/>
  <c r="AI262" i="15" s="1"/>
  <c r="AI275" i="15" s="1"/>
  <c r="AI147" i="15"/>
  <c r="H207" i="15"/>
  <c r="H302" i="15"/>
  <c r="G300" i="15"/>
  <c r="G321" i="15" s="1"/>
  <c r="G325" i="15" s="1"/>
  <c r="G197" i="15"/>
  <c r="G262" i="15" s="1"/>
  <c r="G275" i="15" s="1"/>
  <c r="G147" i="15"/>
  <c r="AK191" i="15"/>
  <c r="AK256" i="15" s="1"/>
  <c r="AK120" i="15"/>
  <c r="AK299" i="15"/>
  <c r="AK320" i="15" s="1"/>
  <c r="D680" i="17"/>
  <c r="C690" i="17"/>
  <c r="C691" i="17" s="1"/>
  <c r="C681" i="17"/>
  <c r="E681" i="17" s="1"/>
  <c r="R299" i="15"/>
  <c r="R320" i="15" s="1"/>
  <c r="R323" i="15" s="1"/>
  <c r="R120" i="15"/>
  <c r="R141" i="15"/>
  <c r="R204" i="15" s="1"/>
  <c r="R191" i="15"/>
  <c r="R256" i="15" s="1"/>
  <c r="R269" i="15" s="1"/>
  <c r="D730" i="17"/>
  <c r="D731" i="17" s="1"/>
  <c r="D721" i="17"/>
  <c r="F721" i="17" s="1"/>
  <c r="K141" i="15"/>
  <c r="K204" i="15" s="1"/>
  <c r="K299" i="15"/>
  <c r="K320" i="15" s="1"/>
  <c r="K120" i="15"/>
  <c r="K191" i="15"/>
  <c r="K256" i="15" s="1"/>
  <c r="AC309" i="20" l="1"/>
  <c r="AC216" i="20"/>
  <c r="AB216" i="20"/>
  <c r="AB309" i="20"/>
  <c r="Q302" i="15"/>
  <c r="Q207" i="15"/>
  <c r="S120" i="15"/>
  <c r="S141" i="15"/>
  <c r="S204" i="15" s="1"/>
  <c r="S299" i="15"/>
  <c r="S320" i="15" s="1"/>
  <c r="S323" i="15" s="1"/>
  <c r="S191" i="15"/>
  <c r="S256" i="15" s="1"/>
  <c r="S269" i="15" s="1"/>
  <c r="AK153" i="15"/>
  <c r="AK216" i="15" s="1"/>
  <c r="AK137" i="15"/>
  <c r="AK127" i="15"/>
  <c r="AK194" i="15"/>
  <c r="AK259" i="15" s="1"/>
  <c r="I207" i="15"/>
  <c r="I302" i="15"/>
  <c r="R137" i="15"/>
  <c r="R144" i="15"/>
  <c r="R194" i="15"/>
  <c r="R259" i="15" s="1"/>
  <c r="R272" i="15" s="1"/>
  <c r="R153" i="15"/>
  <c r="R216" i="15" s="1"/>
  <c r="R127" i="15"/>
  <c r="AJ197" i="15"/>
  <c r="AJ262" i="15" s="1"/>
  <c r="AJ275" i="15" s="1"/>
  <c r="AJ147" i="15"/>
  <c r="AJ300" i="15"/>
  <c r="AJ321" i="15" s="1"/>
  <c r="AJ325" i="15" s="1"/>
  <c r="I197" i="15"/>
  <c r="I262" i="15" s="1"/>
  <c r="I300" i="15"/>
  <c r="I321" i="15" s="1"/>
  <c r="I325" i="15" s="1"/>
  <c r="I147" i="15"/>
  <c r="AG372" i="15"/>
  <c r="AG139" i="15"/>
  <c r="AG382" i="15"/>
  <c r="AG352" i="15"/>
  <c r="AG59" i="15"/>
  <c r="AG307" i="15"/>
  <c r="AG221" i="15"/>
  <c r="AG156" i="15"/>
  <c r="AG84" i="15"/>
  <c r="AG329" i="15"/>
  <c r="AG342" i="15"/>
  <c r="AG362" i="15"/>
  <c r="AG38" i="15"/>
  <c r="AG286" i="15"/>
  <c r="AG97" i="15"/>
  <c r="K144" i="15"/>
  <c r="K207" i="15" s="1"/>
  <c r="K137" i="15"/>
  <c r="K194" i="15"/>
  <c r="K259" i="15" s="1"/>
  <c r="K153" i="15"/>
  <c r="K216" i="15" s="1"/>
  <c r="K127" i="15"/>
  <c r="J300" i="15"/>
  <c r="J321" i="15" s="1"/>
  <c r="J325" i="15" s="1"/>
  <c r="J147" i="15"/>
  <c r="J197" i="15"/>
  <c r="J262" i="15" s="1"/>
  <c r="H210" i="15"/>
  <c r="H304" i="15"/>
  <c r="G210" i="15"/>
  <c r="G304" i="15"/>
  <c r="J207" i="15"/>
  <c r="J302" i="15"/>
  <c r="D690" i="17"/>
  <c r="D691" i="17" s="1"/>
  <c r="D681" i="17"/>
  <c r="F681" i="17" s="1"/>
  <c r="U82" i="15"/>
  <c r="U113" i="15"/>
  <c r="V80" i="15"/>
  <c r="T115" i="15"/>
  <c r="T29" i="15"/>
  <c r="T190" i="15"/>
  <c r="T255" i="15" s="1"/>
  <c r="T296" i="15"/>
  <c r="T317" i="15" s="1"/>
  <c r="Q147" i="15"/>
  <c r="Q300" i="15"/>
  <c r="Q321" i="15" s="1"/>
  <c r="Q325" i="15" s="1"/>
  <c r="Q197" i="15"/>
  <c r="Q262" i="15" s="1"/>
  <c r="Q275" i="15" s="1"/>
  <c r="L299" i="15"/>
  <c r="L320" i="15" s="1"/>
  <c r="L120" i="15"/>
  <c r="L191" i="15"/>
  <c r="L256" i="15" s="1"/>
  <c r="L141" i="15"/>
  <c r="L204" i="15" s="1"/>
  <c r="AI304" i="15"/>
  <c r="AI210" i="15"/>
  <c r="J210" i="15" l="1"/>
  <c r="J304" i="15"/>
  <c r="U29" i="15"/>
  <c r="U296" i="15"/>
  <c r="U317" i="15" s="1"/>
  <c r="U190" i="15"/>
  <c r="U255" i="15" s="1"/>
  <c r="U115" i="15"/>
  <c r="I304" i="15"/>
  <c r="I210" i="15"/>
  <c r="Q210" i="15"/>
  <c r="Q304" i="15"/>
  <c r="R207" i="15"/>
  <c r="R302" i="15"/>
  <c r="K197" i="15"/>
  <c r="K262" i="15" s="1"/>
  <c r="K300" i="15"/>
  <c r="K321" i="15" s="1"/>
  <c r="K325" i="15" s="1"/>
  <c r="K147" i="15"/>
  <c r="AJ210" i="15"/>
  <c r="AJ304" i="15"/>
  <c r="S194" i="15"/>
  <c r="S259" i="15" s="1"/>
  <c r="S272" i="15" s="1"/>
  <c r="S153" i="15"/>
  <c r="S216" i="15" s="1"/>
  <c r="S137" i="15"/>
  <c r="S144" i="15"/>
  <c r="S127" i="15"/>
  <c r="L137" i="15"/>
  <c r="L127" i="15"/>
  <c r="L194" i="15"/>
  <c r="L259" i="15" s="1"/>
  <c r="L153" i="15"/>
  <c r="L216" i="15" s="1"/>
  <c r="L144" i="15"/>
  <c r="L207" i="15" s="1"/>
  <c r="T141" i="15"/>
  <c r="T204" i="15" s="1"/>
  <c r="T120" i="15"/>
  <c r="T299" i="15"/>
  <c r="T320" i="15" s="1"/>
  <c r="T323" i="15" s="1"/>
  <c r="T191" i="15"/>
  <c r="T256" i="15" s="1"/>
  <c r="T269" i="15" s="1"/>
  <c r="C1280" i="17"/>
  <c r="C1281" i="17" s="1"/>
  <c r="W80" i="15"/>
  <c r="V113" i="15"/>
  <c r="C1268" i="17"/>
  <c r="V82" i="15"/>
  <c r="R147" i="15"/>
  <c r="R197" i="15"/>
  <c r="R262" i="15" s="1"/>
  <c r="R275" i="15" s="1"/>
  <c r="R300" i="15"/>
  <c r="R321" i="15" s="1"/>
  <c r="R325" i="15" s="1"/>
  <c r="AK197" i="15"/>
  <c r="AK262" i="15" s="1"/>
  <c r="AK275" i="15" s="1"/>
  <c r="AK300" i="15"/>
  <c r="AK321" i="15" s="1"/>
  <c r="AK325" i="15" s="1"/>
  <c r="AK147" i="15"/>
  <c r="T194" i="15" l="1"/>
  <c r="T259" i="15" s="1"/>
  <c r="T272" i="15" s="1"/>
  <c r="T144" i="15"/>
  <c r="T137" i="15"/>
  <c r="T153" i="15"/>
  <c r="T216" i="15" s="1"/>
  <c r="T127" i="15"/>
  <c r="U299" i="15"/>
  <c r="U320" i="15" s="1"/>
  <c r="U323" i="15" s="1"/>
  <c r="U141" i="15"/>
  <c r="U204" i="15" s="1"/>
  <c r="U191" i="15"/>
  <c r="U256" i="15" s="1"/>
  <c r="U269" i="15" s="1"/>
  <c r="U120" i="15"/>
  <c r="S207" i="15"/>
  <c r="S302" i="15"/>
  <c r="C1269" i="17"/>
  <c r="E1269" i="17" s="1"/>
  <c r="E1280" i="17"/>
  <c r="E1281" i="17" s="1"/>
  <c r="L300" i="15"/>
  <c r="L321" i="15" s="1"/>
  <c r="L325" i="15" s="1"/>
  <c r="L197" i="15"/>
  <c r="L262" i="15" s="1"/>
  <c r="L147" i="15"/>
  <c r="K304" i="15"/>
  <c r="K210" i="15"/>
  <c r="S197" i="15"/>
  <c r="S262" i="15" s="1"/>
  <c r="S275" i="15" s="1"/>
  <c r="S147" i="15"/>
  <c r="S300" i="15"/>
  <c r="S321" i="15" s="1"/>
  <c r="S325" i="15" s="1"/>
  <c r="R210" i="15"/>
  <c r="R304" i="15"/>
  <c r="AK210" i="15"/>
  <c r="AK304" i="15"/>
  <c r="V29" i="15"/>
  <c r="V115" i="15"/>
  <c r="V296" i="15"/>
  <c r="V317" i="15" s="1"/>
  <c r="V190" i="15"/>
  <c r="V255" i="15" s="1"/>
  <c r="C1237" i="17"/>
  <c r="C1238" i="17" s="1"/>
  <c r="X80" i="15"/>
  <c r="W113" i="15"/>
  <c r="C1225" i="17"/>
  <c r="W190" i="15" l="1"/>
  <c r="W255" i="15" s="1"/>
  <c r="W296" i="15"/>
  <c r="W317" i="15" s="1"/>
  <c r="W29" i="15"/>
  <c r="W115" i="15"/>
  <c r="L304" i="15"/>
  <c r="L210" i="15"/>
  <c r="C1198" i="17"/>
  <c r="C1199" i="17" s="1"/>
  <c r="X113" i="15"/>
  <c r="C1186" i="17"/>
  <c r="X82" i="15"/>
  <c r="Y80" i="15"/>
  <c r="V120" i="15"/>
  <c r="V299" i="15"/>
  <c r="V320" i="15" s="1"/>
  <c r="V323" i="15" s="1"/>
  <c r="V191" i="15"/>
  <c r="V256" i="15" s="1"/>
  <c r="V269" i="15" s="1"/>
  <c r="V141" i="15"/>
  <c r="V204" i="15" s="1"/>
  <c r="E1237" i="17"/>
  <c r="E1238" i="17" s="1"/>
  <c r="C1226" i="17"/>
  <c r="E1226" i="17" s="1"/>
  <c r="T302" i="15"/>
  <c r="T207" i="15"/>
  <c r="T197" i="15"/>
  <c r="T262" i="15" s="1"/>
  <c r="T275" i="15" s="1"/>
  <c r="T147" i="15"/>
  <c r="T300" i="15"/>
  <c r="T321" i="15" s="1"/>
  <c r="T325" i="15" s="1"/>
  <c r="S210" i="15"/>
  <c r="S304" i="15"/>
  <c r="W82" i="15"/>
  <c r="U153" i="15"/>
  <c r="U216" i="15" s="1"/>
  <c r="U137" i="15"/>
  <c r="U194" i="15"/>
  <c r="U259" i="15" s="1"/>
  <c r="U272" i="15" s="1"/>
  <c r="U144" i="15"/>
  <c r="U127" i="15"/>
  <c r="X29" i="15" l="1"/>
  <c r="X296" i="15"/>
  <c r="X317" i="15" s="1"/>
  <c r="X115" i="15"/>
  <c r="X190" i="15"/>
  <c r="X255" i="15" s="1"/>
  <c r="T304" i="15"/>
  <c r="T210" i="15"/>
  <c r="V127" i="15"/>
  <c r="V153" i="15"/>
  <c r="V216" i="15" s="1"/>
  <c r="V144" i="15"/>
  <c r="V137" i="15"/>
  <c r="V194" i="15"/>
  <c r="V259" i="15" s="1"/>
  <c r="V272" i="15" s="1"/>
  <c r="W191" i="15"/>
  <c r="W256" i="15" s="1"/>
  <c r="W269" i="15" s="1"/>
  <c r="W141" i="15"/>
  <c r="W204" i="15" s="1"/>
  <c r="W299" i="15"/>
  <c r="W320" i="15" s="1"/>
  <c r="W323" i="15" s="1"/>
  <c r="W120" i="15"/>
  <c r="U197" i="15"/>
  <c r="U262" i="15" s="1"/>
  <c r="U275" i="15" s="1"/>
  <c r="U300" i="15"/>
  <c r="U321" i="15" s="1"/>
  <c r="U325" i="15" s="1"/>
  <c r="U147" i="15"/>
  <c r="Y113" i="15"/>
  <c r="Z80" i="15"/>
  <c r="Y82" i="15"/>
  <c r="C1148" i="17"/>
  <c r="U302" i="15"/>
  <c r="U207" i="15"/>
  <c r="E1198" i="17"/>
  <c r="E1199" i="17" s="1"/>
  <c r="D1186" i="17"/>
  <c r="C1187" i="17"/>
  <c r="E1187" i="17" s="1"/>
  <c r="D1187" i="17" l="1"/>
  <c r="F1198" i="17"/>
  <c r="F1199" i="17" s="1"/>
  <c r="C1149" i="17"/>
  <c r="E1149" i="17" s="1"/>
  <c r="D1148" i="17"/>
  <c r="C1160" i="17"/>
  <c r="C1161" i="17" s="1"/>
  <c r="W194" i="15"/>
  <c r="W259" i="15" s="1"/>
  <c r="W272" i="15" s="1"/>
  <c r="W137" i="15"/>
  <c r="W144" i="15"/>
  <c r="W153" i="15"/>
  <c r="W216" i="15" s="1"/>
  <c r="W127" i="15"/>
  <c r="Y296" i="15"/>
  <c r="Y317" i="15" s="1"/>
  <c r="Y29" i="15"/>
  <c r="Y190" i="15"/>
  <c r="Y255" i="15" s="1"/>
  <c r="Y115" i="15"/>
  <c r="X141" i="15"/>
  <c r="X204" i="15" s="1"/>
  <c r="X299" i="15"/>
  <c r="X320" i="15" s="1"/>
  <c r="X323" i="15" s="1"/>
  <c r="X120" i="15"/>
  <c r="X191" i="15"/>
  <c r="X256" i="15" s="1"/>
  <c r="X269" i="15" s="1"/>
  <c r="V147" i="15"/>
  <c r="V197" i="15"/>
  <c r="V262" i="15" s="1"/>
  <c r="V275" i="15" s="1"/>
  <c r="V300" i="15"/>
  <c r="V321" i="15" s="1"/>
  <c r="V325" i="15" s="1"/>
  <c r="Z113" i="15"/>
  <c r="AA80" i="15"/>
  <c r="Z82" i="15"/>
  <c r="U210" i="15"/>
  <c r="U304" i="15"/>
  <c r="V207" i="15"/>
  <c r="V302" i="15"/>
  <c r="G1187" i="17" l="1"/>
  <c r="F1187" i="17"/>
  <c r="W197" i="15"/>
  <c r="W262" i="15" s="1"/>
  <c r="W275" i="15" s="1"/>
  <c r="W147" i="15"/>
  <c r="W300" i="15"/>
  <c r="W321" i="15" s="1"/>
  <c r="W325" i="15" s="1"/>
  <c r="Z296" i="15"/>
  <c r="Z317" i="15" s="1"/>
  <c r="Z29" i="15"/>
  <c r="Z115" i="15"/>
  <c r="Z190" i="15"/>
  <c r="Z255" i="15" s="1"/>
  <c r="D1106" i="17"/>
  <c r="D1160" i="17"/>
  <c r="D1161" i="17" s="1"/>
  <c r="D1149" i="17"/>
  <c r="X137" i="15"/>
  <c r="X194" i="15"/>
  <c r="X259" i="15" s="1"/>
  <c r="X272" i="15" s="1"/>
  <c r="X153" i="15"/>
  <c r="X216" i="15" s="1"/>
  <c r="X144" i="15"/>
  <c r="X127" i="15"/>
  <c r="W302" i="15"/>
  <c r="W207" i="15"/>
  <c r="AB80" i="15"/>
  <c r="AA82" i="15"/>
  <c r="AA113" i="15"/>
  <c r="Y141" i="15"/>
  <c r="Y204" i="15" s="1"/>
  <c r="Y299" i="15"/>
  <c r="Y320" i="15" s="1"/>
  <c r="Y323" i="15" s="1"/>
  <c r="Y120" i="15"/>
  <c r="Y191" i="15"/>
  <c r="Y256" i="15" s="1"/>
  <c r="Y269" i="15" s="1"/>
  <c r="V304" i="15"/>
  <c r="V210" i="15"/>
  <c r="G1149" i="17" l="1"/>
  <c r="F1149" i="17"/>
  <c r="AA29" i="15"/>
  <c r="C1062" i="17"/>
  <c r="AA115" i="15"/>
  <c r="AA296" i="15"/>
  <c r="AA317" i="15" s="1"/>
  <c r="AA190" i="15"/>
  <c r="AA255" i="15" s="1"/>
  <c r="C1106" i="17"/>
  <c r="D1116" i="17"/>
  <c r="D1117" i="17" s="1"/>
  <c r="D1107" i="17"/>
  <c r="Y137" i="15"/>
  <c r="Y194" i="15"/>
  <c r="Y259" i="15" s="1"/>
  <c r="Y272" i="15" s="1"/>
  <c r="Y127" i="15"/>
  <c r="Y153" i="15"/>
  <c r="Y216" i="15" s="1"/>
  <c r="Y144" i="15"/>
  <c r="X147" i="15"/>
  <c r="X197" i="15"/>
  <c r="X262" i="15" s="1"/>
  <c r="X275" i="15" s="1"/>
  <c r="X300" i="15"/>
  <c r="X321" i="15" s="1"/>
  <c r="X325" i="15" s="1"/>
  <c r="X302" i="15"/>
  <c r="X207" i="15"/>
  <c r="Z191" i="15"/>
  <c r="Z256" i="15" s="1"/>
  <c r="Z269" i="15" s="1"/>
  <c r="Z299" i="15"/>
  <c r="Z320" i="15" s="1"/>
  <c r="Z323" i="15" s="1"/>
  <c r="Z120" i="15"/>
  <c r="Z141" i="15"/>
  <c r="Z204" i="15" s="1"/>
  <c r="AB82" i="15"/>
  <c r="AC80" i="15"/>
  <c r="AB113" i="15"/>
  <c r="AN80" i="15"/>
  <c r="AN82" i="15" s="1"/>
  <c r="W210" i="15"/>
  <c r="W304" i="15"/>
  <c r="G1107" i="17" l="1"/>
  <c r="F1107" i="17"/>
  <c r="AC113" i="15"/>
  <c r="AC82" i="15"/>
  <c r="X210" i="15"/>
  <c r="X304" i="15"/>
  <c r="Y207" i="15"/>
  <c r="Y302" i="15"/>
  <c r="C1107" i="17"/>
  <c r="E1107" i="17" s="1"/>
  <c r="C1116" i="17"/>
  <c r="C1117" i="17" s="1"/>
  <c r="D1062" i="17"/>
  <c r="D1072" i="17"/>
  <c r="D1073" i="17" s="1"/>
  <c r="C1063" i="17"/>
  <c r="E1063" i="17" s="1"/>
  <c r="Z194" i="15"/>
  <c r="Z259" i="15" s="1"/>
  <c r="Z272" i="15" s="1"/>
  <c r="Z153" i="15"/>
  <c r="Z216" i="15" s="1"/>
  <c r="Z127" i="15"/>
  <c r="Z144" i="15"/>
  <c r="Z137" i="15"/>
  <c r="Y197" i="15"/>
  <c r="Y262" i="15" s="1"/>
  <c r="Y275" i="15" s="1"/>
  <c r="Y147" i="15"/>
  <c r="Y300" i="15"/>
  <c r="Y321" i="15" s="1"/>
  <c r="Y325" i="15" s="1"/>
  <c r="AA299" i="15"/>
  <c r="AA320" i="15" s="1"/>
  <c r="AA323" i="15" s="1"/>
  <c r="AA191" i="15"/>
  <c r="AA256" i="15" s="1"/>
  <c r="AA269" i="15" s="1"/>
  <c r="AA141" i="15"/>
  <c r="AA204" i="15" s="1"/>
  <c r="AA120" i="15"/>
  <c r="AB190" i="15"/>
  <c r="AB255" i="15" s="1"/>
  <c r="AB296" i="15"/>
  <c r="AB317" i="15" s="1"/>
  <c r="AB115" i="15"/>
  <c r="AB29" i="15"/>
  <c r="C1025" i="17"/>
  <c r="Z302" i="15" l="1"/>
  <c r="Z207" i="15"/>
  <c r="Z147" i="15"/>
  <c r="Z300" i="15"/>
  <c r="Z321" i="15" s="1"/>
  <c r="Z325" i="15" s="1"/>
  <c r="Z197" i="15"/>
  <c r="Z262" i="15" s="1"/>
  <c r="Z275" i="15" s="1"/>
  <c r="C1026" i="17"/>
  <c r="E1026" i="17" s="1"/>
  <c r="C1035" i="17"/>
  <c r="C1036" i="17" s="1"/>
  <c r="D1025" i="17"/>
  <c r="AA137" i="15"/>
  <c r="AA127" i="15"/>
  <c r="AA194" i="15"/>
  <c r="AA259" i="15" s="1"/>
  <c r="AA272" i="15" s="1"/>
  <c r="AA144" i="15"/>
  <c r="AA153" i="15"/>
  <c r="AA216" i="15" s="1"/>
  <c r="AB120" i="15"/>
  <c r="AB299" i="15"/>
  <c r="AB320" i="15" s="1"/>
  <c r="AB323" i="15" s="1"/>
  <c r="AB191" i="15"/>
  <c r="AB256" i="15" s="1"/>
  <c r="AB269" i="15" s="1"/>
  <c r="AB141" i="15"/>
  <c r="AB204" i="15" s="1"/>
  <c r="Y210" i="15"/>
  <c r="Y304" i="15"/>
  <c r="C1072" i="17"/>
  <c r="C1073" i="17" s="1"/>
  <c r="D1063" i="17"/>
  <c r="AC29" i="15"/>
  <c r="AC115" i="15"/>
  <c r="C988" i="17"/>
  <c r="AN29" i="15"/>
  <c r="AC190" i="15"/>
  <c r="AC255" i="15" s="1"/>
  <c r="AC296" i="15"/>
  <c r="AC317" i="15" s="1"/>
  <c r="G1063" i="17" l="1"/>
  <c r="F1063" i="17"/>
  <c r="AB194" i="15"/>
  <c r="AB259" i="15" s="1"/>
  <c r="AB272" i="15" s="1"/>
  <c r="AB153" i="15"/>
  <c r="AB216" i="15" s="1"/>
  <c r="AB144" i="15"/>
  <c r="AB137" i="15"/>
  <c r="AB127" i="15"/>
  <c r="D1035" i="17"/>
  <c r="D1036" i="17" s="1"/>
  <c r="D1026" i="17"/>
  <c r="AC191" i="15"/>
  <c r="AC256" i="15" s="1"/>
  <c r="AC269" i="15" s="1"/>
  <c r="AC120" i="15"/>
  <c r="AC141" i="15"/>
  <c r="AC204" i="15" s="1"/>
  <c r="AC299" i="15"/>
  <c r="AC320" i="15" s="1"/>
  <c r="AC323" i="15" s="1"/>
  <c r="AA207" i="15"/>
  <c r="AA302" i="15"/>
  <c r="D988" i="17"/>
  <c r="C998" i="17"/>
  <c r="C999" i="17" s="1"/>
  <c r="C989" i="17"/>
  <c r="E989" i="17" s="1"/>
  <c r="Z304" i="15"/>
  <c r="Z210" i="15"/>
  <c r="AA197" i="15"/>
  <c r="AA262" i="15" s="1"/>
  <c r="AA275" i="15" s="1"/>
  <c r="AA147" i="15"/>
  <c r="AA300" i="15"/>
  <c r="AA321" i="15" s="1"/>
  <c r="AA325" i="15" s="1"/>
  <c r="G1026" i="17" l="1"/>
  <c r="F1026" i="17"/>
  <c r="AA210" i="15"/>
  <c r="AA304" i="15"/>
  <c r="D989" i="17"/>
  <c r="D998" i="17"/>
  <c r="D999" i="17" s="1"/>
  <c r="AB300" i="15"/>
  <c r="AB321" i="15" s="1"/>
  <c r="AB325" i="15" s="1"/>
  <c r="AB197" i="15"/>
  <c r="AB262" i="15" s="1"/>
  <c r="AB275" i="15" s="1"/>
  <c r="AB147" i="15"/>
  <c r="AB302" i="15"/>
  <c r="AB207" i="15"/>
  <c r="AC144" i="15"/>
  <c r="AC194" i="15"/>
  <c r="AC259" i="15" s="1"/>
  <c r="AC272" i="15" s="1"/>
  <c r="AC127" i="15"/>
  <c r="AC137" i="15"/>
  <c r="AC153" i="15"/>
  <c r="AC216" i="15" s="1"/>
  <c r="G989" i="17" l="1"/>
  <c r="F989" i="17"/>
  <c r="AB210" i="15"/>
  <c r="AB304" i="15"/>
  <c r="AC147" i="15"/>
  <c r="AC197" i="15"/>
  <c r="AC262" i="15" s="1"/>
  <c r="AC275" i="15" s="1"/>
  <c r="AC300" i="15"/>
  <c r="AC321" i="15" s="1"/>
  <c r="AC325" i="15" s="1"/>
  <c r="AC207" i="15"/>
  <c r="AC302" i="15"/>
  <c r="AC304" i="15" l="1"/>
  <c r="AC210" i="15"/>
  <c r="Q237" i="20"/>
  <c r="Q63" i="20"/>
  <c r="Q175" i="20" s="1"/>
  <c r="Q91" i="20"/>
  <c r="Q46" i="20"/>
  <c r="Q49" i="20"/>
  <c r="Q173" i="20" s="1"/>
  <c r="Q391" i="20"/>
  <c r="Q171" i="20"/>
  <c r="D63" i="20"/>
  <c r="U238" i="20" l="1"/>
  <c r="T274" i="20"/>
  <c r="Q274" i="20"/>
  <c r="R274" i="20"/>
  <c r="S274" i="20"/>
  <c r="Q239" i="20"/>
  <c r="Q238" i="20"/>
  <c r="Q208" i="20"/>
  <c r="Q283" i="20" s="1"/>
  <c r="Q148" i="20"/>
  <c r="Q211" i="20" s="1"/>
  <c r="Q151" i="20"/>
  <c r="Q214" i="20" s="1"/>
  <c r="C545" i="17"/>
  <c r="D540" i="17" s="1"/>
  <c r="D46" i="20"/>
  <c r="D67" i="20"/>
  <c r="D71" i="20" s="1"/>
  <c r="D175" i="20"/>
  <c r="D241" i="20"/>
  <c r="D237" i="20"/>
  <c r="E238" i="20" s="1"/>
  <c r="Q241" i="20"/>
  <c r="Q67" i="20"/>
  <c r="Q71" i="20" s="1"/>
  <c r="D48" i="20"/>
  <c r="D172" i="20" s="1"/>
  <c r="Q294" i="20"/>
  <c r="Q154" i="20"/>
  <c r="D171" i="20"/>
  <c r="D391" i="20"/>
  <c r="Q157" i="20"/>
  <c r="D49" i="20"/>
  <c r="D173" i="20" s="1"/>
  <c r="D91" i="20"/>
  <c r="Q156" i="20"/>
  <c r="S286" i="20" l="1"/>
  <c r="S285" i="20"/>
  <c r="R285" i="20"/>
  <c r="R286" i="20"/>
  <c r="Q285" i="20"/>
  <c r="Q286" i="20"/>
  <c r="T285" i="20"/>
  <c r="T286" i="20"/>
  <c r="R277" i="20"/>
  <c r="R280" i="20"/>
  <c r="R283" i="20"/>
  <c r="Q277" i="20"/>
  <c r="Q280" i="20"/>
  <c r="S277" i="20"/>
  <c r="S280" i="20"/>
  <c r="S283" i="20"/>
  <c r="T277" i="20"/>
  <c r="T280" i="20"/>
  <c r="T283" i="20"/>
  <c r="Q245" i="20"/>
  <c r="Q179" i="20"/>
  <c r="D238" i="20"/>
  <c r="D239" i="20"/>
  <c r="Q219" i="20"/>
  <c r="D208" i="20"/>
  <c r="D274" i="20" s="1"/>
  <c r="D157" i="20"/>
  <c r="D151" i="20"/>
  <c r="D214" i="20" s="1"/>
  <c r="D294" i="20"/>
  <c r="D148" i="20"/>
  <c r="D211" i="20" s="1"/>
  <c r="D156" i="20"/>
  <c r="D154" i="20"/>
  <c r="Q220" i="20"/>
  <c r="Q308" i="20"/>
  <c r="Q217" i="20"/>
  <c r="Q296" i="20"/>
  <c r="D245" i="20"/>
  <c r="D179" i="20"/>
  <c r="D277" i="20" l="1"/>
  <c r="D280" i="20"/>
  <c r="D283" i="20"/>
  <c r="D286" i="20"/>
  <c r="D285" i="20"/>
  <c r="D217" i="20"/>
  <c r="D308" i="20"/>
  <c r="D220" i="20"/>
  <c r="D219" i="20"/>
  <c r="D296" i="20"/>
  <c r="G121" i="20" l="1"/>
  <c r="G301" i="20"/>
  <c r="G196" i="20"/>
  <c r="G262" i="20" s="1"/>
  <c r="G30" i="20"/>
  <c r="G197" i="20" l="1"/>
  <c r="G263" i="20" s="1"/>
  <c r="G276" i="20" s="1"/>
  <c r="G147" i="20"/>
  <c r="G210" i="20" s="1"/>
  <c r="G304" i="20"/>
  <c r="G126" i="20"/>
  <c r="G159" i="20" l="1"/>
  <c r="G222" i="20" s="1"/>
  <c r="G143" i="20"/>
  <c r="G200" i="20"/>
  <c r="G266" i="20" s="1"/>
  <c r="G279" i="20" s="1"/>
  <c r="G150" i="20"/>
  <c r="G213" i="20" s="1"/>
  <c r="G133" i="20"/>
  <c r="G203" i="20" l="1"/>
  <c r="G269" i="20" s="1"/>
  <c r="G282" i="20" s="1"/>
  <c r="G153" i="20"/>
  <c r="G305" i="20"/>
  <c r="G309" i="20" l="1"/>
  <c r="G216" i="20"/>
  <c r="C251" i="20" l="1"/>
  <c r="C79" i="20"/>
  <c r="C98" i="20"/>
  <c r="C300" i="20" s="1"/>
  <c r="C185" i="20"/>
  <c r="C191" i="20"/>
  <c r="C257" i="20" l="1"/>
  <c r="C81" i="20"/>
  <c r="C82" i="20" l="1"/>
  <c r="C84" i="20"/>
  <c r="C193" i="20"/>
  <c r="C259" i="20"/>
  <c r="C83" i="20" l="1"/>
  <c r="C194" i="20"/>
  <c r="C260" i="20"/>
  <c r="C119" i="20" l="1"/>
  <c r="C85" i="20"/>
  <c r="C301" i="20" l="1"/>
  <c r="C30" i="20"/>
  <c r="C121" i="20"/>
  <c r="C196" i="20"/>
  <c r="C262" i="20" s="1"/>
  <c r="C304" i="20" l="1"/>
  <c r="C126" i="20"/>
  <c r="C147" i="20"/>
  <c r="C210" i="20" s="1"/>
  <c r="C197" i="20"/>
  <c r="C263" i="20" s="1"/>
  <c r="C276" i="20" s="1"/>
  <c r="C143" i="20" l="1"/>
  <c r="C133" i="20"/>
  <c r="C159" i="20"/>
  <c r="C222" i="20" s="1"/>
  <c r="C150" i="20"/>
  <c r="C213" i="20" s="1"/>
  <c r="C200" i="20"/>
  <c r="C266" i="20" s="1"/>
  <c r="C279" i="20" s="1"/>
  <c r="C153" i="20" l="1"/>
  <c r="C203" i="20"/>
  <c r="C269" i="20" s="1"/>
  <c r="C282" i="20" s="1"/>
  <c r="C305" i="20"/>
  <c r="C309" i="20" l="1"/>
  <c r="C216" i="20"/>
  <c r="G98" i="20" l="1"/>
  <c r="G79" i="20"/>
  <c r="F79" i="20"/>
  <c r="G185" i="20"/>
  <c r="G251" i="20"/>
  <c r="G300" i="20"/>
  <c r="G257" i="20"/>
  <c r="F98" i="20"/>
  <c r="F300" i="20"/>
  <c r="F185" i="20"/>
  <c r="E98" i="20"/>
  <c r="E300" i="20"/>
  <c r="E185" i="20"/>
  <c r="E251" i="20"/>
  <c r="H79" i="20"/>
  <c r="E79" i="20"/>
  <c r="D251" i="20"/>
  <c r="D98" i="20"/>
  <c r="D300" i="20" s="1"/>
  <c r="D79" i="20"/>
  <c r="H251" i="20"/>
  <c r="H98" i="20"/>
  <c r="H300" i="20" s="1"/>
  <c r="H185" i="20"/>
  <c r="D185" i="20"/>
  <c r="F251" i="20"/>
  <c r="G81" i="20"/>
  <c r="F257" i="20"/>
  <c r="F81" i="20"/>
  <c r="F191" i="20"/>
  <c r="G191" i="20"/>
  <c r="G193" i="20"/>
  <c r="G259" i="20"/>
  <c r="G82" i="20"/>
  <c r="G84" i="20"/>
  <c r="E81" i="20" l="1"/>
  <c r="E191" i="20"/>
  <c r="E257" i="20"/>
  <c r="D81" i="20"/>
  <c r="D257" i="20"/>
  <c r="D191" i="20"/>
  <c r="F84" i="20"/>
  <c r="F259" i="20"/>
  <c r="F193" i="20"/>
  <c r="F82" i="20"/>
  <c r="G260" i="20"/>
  <c r="G194" i="20"/>
  <c r="H257" i="20"/>
  <c r="H191" i="20"/>
  <c r="E84" i="20" l="1"/>
  <c r="E82" i="20"/>
  <c r="E259" i="20"/>
  <c r="E193" i="20"/>
  <c r="D84" i="20"/>
  <c r="D193" i="20"/>
  <c r="D259" i="20"/>
  <c r="D82" i="20"/>
  <c r="F194" i="20"/>
  <c r="F260" i="20"/>
  <c r="E260" i="20" l="1"/>
  <c r="E194" i="20"/>
  <c r="D260" i="20"/>
  <c r="D194" i="20"/>
  <c r="D83" i="20"/>
  <c r="D119" i="20" l="1"/>
  <c r="E83" i="20"/>
  <c r="D85" i="20"/>
  <c r="D196" i="20" l="1"/>
  <c r="D262" i="20" s="1"/>
  <c r="D301" i="20"/>
  <c r="D121" i="20"/>
  <c r="D30" i="20"/>
  <c r="E119" i="20"/>
  <c r="E85" i="20"/>
  <c r="F83" i="20"/>
  <c r="D197" i="20" l="1"/>
  <c r="D263" i="20" s="1"/>
  <c r="D276" i="20" s="1"/>
  <c r="D147" i="20"/>
  <c r="D210" i="20" s="1"/>
  <c r="D304" i="20"/>
  <c r="D126" i="20"/>
  <c r="E30" i="20"/>
  <c r="E121" i="20"/>
  <c r="E196" i="20"/>
  <c r="E262" i="20" s="1"/>
  <c r="E301" i="20"/>
  <c r="G83" i="20"/>
  <c r="G85" i="20" s="1"/>
  <c r="F119" i="20"/>
  <c r="F85" i="20"/>
  <c r="D150" i="20" l="1"/>
  <c r="D213" i="20" s="1"/>
  <c r="D133" i="20"/>
  <c r="D200" i="20"/>
  <c r="D266" i="20" s="1"/>
  <c r="D279" i="20" s="1"/>
  <c r="D159" i="20"/>
  <c r="D222" i="20" s="1"/>
  <c r="D143" i="20"/>
  <c r="E304" i="20"/>
  <c r="E197" i="20"/>
  <c r="E263" i="20" s="1"/>
  <c r="E276" i="20" s="1"/>
  <c r="E147" i="20"/>
  <c r="E210" i="20" s="1"/>
  <c r="E126" i="20"/>
  <c r="F301" i="20"/>
  <c r="F196" i="20"/>
  <c r="F262" i="20" s="1"/>
  <c r="F30" i="20"/>
  <c r="F121" i="20"/>
  <c r="D305" i="20" l="1"/>
  <c r="D153" i="20"/>
  <c r="D203" i="20"/>
  <c r="D269" i="20" s="1"/>
  <c r="D282" i="20" s="1"/>
  <c r="E143" i="20"/>
  <c r="E133" i="20"/>
  <c r="E150" i="20"/>
  <c r="E213" i="20" s="1"/>
  <c r="E200" i="20"/>
  <c r="E266" i="20" s="1"/>
  <c r="E279" i="20" s="1"/>
  <c r="E159" i="20"/>
  <c r="E222" i="20" s="1"/>
  <c r="F197" i="20"/>
  <c r="F263" i="20" s="1"/>
  <c r="F276" i="20" s="1"/>
  <c r="F304" i="20"/>
  <c r="F147" i="20"/>
  <c r="F210" i="20" s="1"/>
  <c r="F126" i="20"/>
  <c r="D309" i="20" l="1"/>
  <c r="D216" i="20"/>
  <c r="E153" i="20"/>
  <c r="E203" i="20"/>
  <c r="E269" i="20" s="1"/>
  <c r="E282" i="20" s="1"/>
  <c r="E305" i="20"/>
  <c r="F143" i="20"/>
  <c r="F150" i="20"/>
  <c r="F213" i="20" s="1"/>
  <c r="F159" i="20"/>
  <c r="F222" i="20" s="1"/>
  <c r="F200" i="20"/>
  <c r="F266" i="20" s="1"/>
  <c r="F279" i="20" s="1"/>
  <c r="F133" i="20"/>
  <c r="N185" i="20"/>
  <c r="J79" i="20"/>
  <c r="T79" i="20"/>
  <c r="S79" i="20"/>
  <c r="S257" i="20"/>
  <c r="S191" i="20"/>
  <c r="R79" i="20"/>
  <c r="O79" i="20"/>
  <c r="N79" i="20"/>
  <c r="W79" i="20"/>
  <c r="R81" i="20"/>
  <c r="R82" i="20" s="1"/>
  <c r="R259" i="20"/>
  <c r="U79" i="20"/>
  <c r="U257" i="20" s="1"/>
  <c r="U185" i="20"/>
  <c r="X98" i="20"/>
  <c r="AB98" i="20"/>
  <c r="N98" i="20"/>
  <c r="N300" i="20" s="1"/>
  <c r="AC185" i="20"/>
  <c r="AC98" i="20"/>
  <c r="AC300" i="20"/>
  <c r="O251" i="20"/>
  <c r="O257" i="20"/>
  <c r="R84" i="20"/>
  <c r="X300" i="20"/>
  <c r="M98" i="20"/>
  <c r="M300" i="20" s="1"/>
  <c r="AC79" i="20"/>
  <c r="M79" i="20"/>
  <c r="M257" i="20" s="1"/>
  <c r="M191" i="20"/>
  <c r="P79" i="20"/>
  <c r="K79" i="20"/>
  <c r="K191" i="20" s="1"/>
  <c r="L79" i="20"/>
  <c r="L257" i="20" s="1"/>
  <c r="Z98" i="20"/>
  <c r="Z300" i="20"/>
  <c r="Y98" i="20"/>
  <c r="Y300" i="20" s="1"/>
  <c r="Y79" i="20"/>
  <c r="Y191" i="20" s="1"/>
  <c r="AB300" i="20"/>
  <c r="N251" i="20"/>
  <c r="P98" i="20"/>
  <c r="P300" i="20" s="1"/>
  <c r="N257" i="20"/>
  <c r="J81" i="20"/>
  <c r="J259" i="20" s="1"/>
  <c r="Y257" i="20"/>
  <c r="J193" i="20"/>
  <c r="V251" i="20"/>
  <c r="T251" i="20"/>
  <c r="W185" i="20"/>
  <c r="AA79" i="20"/>
  <c r="AB79" i="20"/>
  <c r="AD79" i="20"/>
  <c r="AD81" i="20" s="1"/>
  <c r="AD84" i="20" s="1"/>
  <c r="Z79" i="20"/>
  <c r="AA81" i="20" s="1"/>
  <c r="V79" i="20"/>
  <c r="V191" i="20"/>
  <c r="W98" i="20"/>
  <c r="W300" i="20"/>
  <c r="AA185" i="20"/>
  <c r="V257" i="20"/>
  <c r="R251" i="20"/>
  <c r="R191" i="20"/>
  <c r="J251" i="20"/>
  <c r="T185" i="20"/>
  <c r="AB257" i="20"/>
  <c r="Z257" i="20"/>
  <c r="V81" i="20"/>
  <c r="V84" i="20" s="1"/>
  <c r="U98" i="20"/>
  <c r="U300" i="20" s="1"/>
  <c r="U191" i="20"/>
  <c r="Q185" i="20"/>
  <c r="Q79" i="20"/>
  <c r="T98" i="20"/>
  <c r="T300" i="20"/>
  <c r="R98" i="20"/>
  <c r="R300" i="20"/>
  <c r="Q251" i="20"/>
  <c r="Q98" i="20"/>
  <c r="Q300" i="20"/>
  <c r="S98" i="20"/>
  <c r="S300" i="20"/>
  <c r="Q257" i="20"/>
  <c r="Q191" i="20"/>
  <c r="Z191" i="20"/>
  <c r="AB191" i="20"/>
  <c r="R185" i="20"/>
  <c r="S251" i="20"/>
  <c r="Y251" i="20"/>
  <c r="V185" i="20"/>
  <c r="X79" i="20"/>
  <c r="X191" i="20" s="1"/>
  <c r="Z185" i="20"/>
  <c r="AD185" i="20"/>
  <c r="Z81" i="20"/>
  <c r="AB251" i="20"/>
  <c r="W251" i="20"/>
  <c r="R193" i="20"/>
  <c r="AD98" i="20"/>
  <c r="AD300" i="20"/>
  <c r="Z251" i="20"/>
  <c r="X257" i="20"/>
  <c r="Y185" i="20"/>
  <c r="AD251" i="20"/>
  <c r="AA191" i="20"/>
  <c r="AA257" i="20"/>
  <c r="V98" i="20"/>
  <c r="U251" i="20"/>
  <c r="J185" i="20"/>
  <c r="S185" i="20"/>
  <c r="X251" i="20"/>
  <c r="AB185" i="20"/>
  <c r="X185" i="20"/>
  <c r="M251" i="20"/>
  <c r="M185" i="20"/>
  <c r="V300" i="20"/>
  <c r="O185" i="20"/>
  <c r="O98" i="20"/>
  <c r="AA98" i="20"/>
  <c r="AA300" i="20" s="1"/>
  <c r="AC251" i="20"/>
  <c r="L185" i="20"/>
  <c r="P185" i="20"/>
  <c r="K185" i="20"/>
  <c r="AA251" i="20"/>
  <c r="P251" i="20"/>
  <c r="K251" i="20"/>
  <c r="O300" i="20"/>
  <c r="L251" i="20"/>
  <c r="E309" i="20" l="1"/>
  <c r="E216" i="20"/>
  <c r="F305" i="20"/>
  <c r="F203" i="20"/>
  <c r="F269" i="20" s="1"/>
  <c r="F282" i="20" s="1"/>
  <c r="F153" i="20"/>
  <c r="AB81" i="20"/>
  <c r="AB82" i="20" s="1"/>
  <c r="J191" i="20"/>
  <c r="J257" i="20"/>
  <c r="T191" i="20"/>
  <c r="T257" i="20"/>
  <c r="S81" i="20"/>
  <c r="R257" i="20"/>
  <c r="O191" i="20"/>
  <c r="N81" i="20"/>
  <c r="N191" i="20"/>
  <c r="W191" i="20"/>
  <c r="W257" i="20"/>
  <c r="AC191" i="20"/>
  <c r="AC257" i="20"/>
  <c r="P257" i="20"/>
  <c r="P191" i="20"/>
  <c r="AA84" i="20"/>
  <c r="AA259" i="20"/>
  <c r="AA193" i="20"/>
  <c r="AA82" i="20"/>
  <c r="Z82" i="20"/>
  <c r="Z259" i="20"/>
  <c r="Z193" i="20"/>
  <c r="Z84" i="20"/>
  <c r="AD191" i="20"/>
  <c r="AD257" i="20"/>
  <c r="S82" i="20"/>
  <c r="S193" i="20"/>
  <c r="S259" i="20"/>
  <c r="S84" i="20"/>
  <c r="T81" i="20"/>
  <c r="U81" i="20" s="1"/>
  <c r="R260" i="20"/>
  <c r="R194" i="20"/>
  <c r="R83" i="20"/>
  <c r="K81" i="20"/>
  <c r="K257" i="20"/>
  <c r="L81" i="20"/>
  <c r="L191" i="20"/>
  <c r="J82" i="20"/>
  <c r="J84" i="20"/>
  <c r="AC81" i="20"/>
  <c r="H81" i="20" s="1"/>
  <c r="AB193" i="20"/>
  <c r="AB259" i="20"/>
  <c r="AB84" i="20"/>
  <c r="W81" i="20"/>
  <c r="V193" i="20"/>
  <c r="V259" i="20"/>
  <c r="V82" i="20"/>
  <c r="Z194" i="20"/>
  <c r="Z260" i="20"/>
  <c r="F309" i="20" l="1"/>
  <c r="F216" i="20"/>
  <c r="N193" i="20"/>
  <c r="N84" i="20"/>
  <c r="AC84" i="20" s="1"/>
  <c r="N259" i="20"/>
  <c r="AA194" i="20"/>
  <c r="AA260" i="20"/>
  <c r="O81" i="20"/>
  <c r="N82" i="20"/>
  <c r="AD259" i="20"/>
  <c r="AD193" i="20"/>
  <c r="AD82" i="20"/>
  <c r="U259" i="20"/>
  <c r="U82" i="20"/>
  <c r="U193" i="20"/>
  <c r="S260" i="20"/>
  <c r="S194" i="20"/>
  <c r="T193" i="20"/>
  <c r="T259" i="20"/>
  <c r="T84" i="20"/>
  <c r="U84" i="20" s="1"/>
  <c r="T82" i="20"/>
  <c r="R85" i="20"/>
  <c r="R119" i="20"/>
  <c r="S83" i="20"/>
  <c r="K82" i="20"/>
  <c r="K193" i="20"/>
  <c r="K84" i="20"/>
  <c r="M84" i="20" s="1"/>
  <c r="M81" i="20"/>
  <c r="K259" i="20"/>
  <c r="L82" i="20"/>
  <c r="L193" i="20"/>
  <c r="L259" i="20"/>
  <c r="L84" i="20"/>
  <c r="J194" i="20"/>
  <c r="J260" i="20"/>
  <c r="J83" i="20"/>
  <c r="AC259" i="20"/>
  <c r="AC82" i="20"/>
  <c r="AC193" i="20"/>
  <c r="AB260" i="20"/>
  <c r="AB194" i="20"/>
  <c r="W82" i="20"/>
  <c r="X81" i="20"/>
  <c r="Y81" i="20" s="1"/>
  <c r="W259" i="20"/>
  <c r="W193" i="20"/>
  <c r="W84" i="20"/>
  <c r="V194" i="20"/>
  <c r="V260" i="20"/>
  <c r="P81" i="20" l="1"/>
  <c r="O84" i="20"/>
  <c r="O193" i="20"/>
  <c r="O259" i="20"/>
  <c r="Q81" i="20"/>
  <c r="O82" i="20"/>
  <c r="N194" i="20"/>
  <c r="N260" i="20"/>
  <c r="N83" i="20"/>
  <c r="AD260" i="20"/>
  <c r="AD194" i="20"/>
  <c r="U194" i="20"/>
  <c r="U260" i="20"/>
  <c r="T194" i="20"/>
  <c r="T260" i="20"/>
  <c r="R196" i="20"/>
  <c r="R262" i="20" s="1"/>
  <c r="R30" i="20"/>
  <c r="R301" i="20"/>
  <c r="C502" i="17"/>
  <c r="R121" i="20"/>
  <c r="S85" i="20"/>
  <c r="S119" i="20"/>
  <c r="T83" i="20"/>
  <c r="K260" i="20"/>
  <c r="K194" i="20"/>
  <c r="M82" i="20"/>
  <c r="M259" i="20"/>
  <c r="M193" i="20"/>
  <c r="L260" i="20"/>
  <c r="L194" i="20"/>
  <c r="J85" i="20"/>
  <c r="K83" i="20"/>
  <c r="H82" i="20"/>
  <c r="H193" i="20"/>
  <c r="H259" i="20"/>
  <c r="AC194" i="20"/>
  <c r="AC260" i="20"/>
  <c r="W260" i="20"/>
  <c r="W194" i="20"/>
  <c r="Y193" i="20"/>
  <c r="Y82" i="20"/>
  <c r="Y259" i="20"/>
  <c r="X84" i="20"/>
  <c r="Y84" i="20" s="1"/>
  <c r="X193" i="20"/>
  <c r="X82" i="20"/>
  <c r="X259" i="20"/>
  <c r="P193" i="20" l="1"/>
  <c r="P84" i="20"/>
  <c r="Q84" i="20" s="1"/>
  <c r="P82" i="20"/>
  <c r="P259" i="20"/>
  <c r="Q259" i="20"/>
  <c r="Q82" i="20"/>
  <c r="Q193" i="20"/>
  <c r="O260" i="20"/>
  <c r="O194" i="20"/>
  <c r="N85" i="20"/>
  <c r="N119" i="20"/>
  <c r="O83" i="20"/>
  <c r="C512" i="17"/>
  <c r="C513" i="17" s="1"/>
  <c r="C503" i="17"/>
  <c r="D503" i="17" s="1"/>
  <c r="R147" i="20"/>
  <c r="R210" i="20" s="1"/>
  <c r="R197" i="20"/>
  <c r="R263" i="20" s="1"/>
  <c r="R276" i="20" s="1"/>
  <c r="R304" i="20"/>
  <c r="R126" i="20"/>
  <c r="S30" i="20"/>
  <c r="C462" i="17"/>
  <c r="S196" i="20"/>
  <c r="S262" i="20" s="1"/>
  <c r="S301" i="20"/>
  <c r="S121" i="20"/>
  <c r="T85" i="20"/>
  <c r="T119" i="20"/>
  <c r="U83" i="20"/>
  <c r="M260" i="20"/>
  <c r="M194" i="20"/>
  <c r="K85" i="20"/>
  <c r="L83" i="20"/>
  <c r="H194" i="20"/>
  <c r="H260" i="20"/>
  <c r="Y260" i="20"/>
  <c r="Y194" i="20"/>
  <c r="X260" i="20"/>
  <c r="X194" i="20"/>
  <c r="P260" i="20" l="1"/>
  <c r="P194" i="20"/>
  <c r="Q260" i="20"/>
  <c r="Q194" i="20"/>
  <c r="N196" i="20"/>
  <c r="N262" i="20" s="1"/>
  <c r="N301" i="20"/>
  <c r="N121" i="20"/>
  <c r="N30" i="20"/>
  <c r="C640" i="17"/>
  <c r="O119" i="20"/>
  <c r="O85" i="20"/>
  <c r="P83" i="20"/>
  <c r="R150" i="20"/>
  <c r="R213" i="20" s="1"/>
  <c r="R200" i="20"/>
  <c r="R266" i="20" s="1"/>
  <c r="R279" i="20" s="1"/>
  <c r="R159" i="20"/>
  <c r="R222" i="20" s="1"/>
  <c r="R143" i="20"/>
  <c r="R133" i="20"/>
  <c r="C463" i="17"/>
  <c r="D463" i="17" s="1"/>
  <c r="C472" i="17"/>
  <c r="C473" i="17" s="1"/>
  <c r="S304" i="20"/>
  <c r="S197" i="20"/>
  <c r="S263" i="20" s="1"/>
  <c r="S276" i="20" s="1"/>
  <c r="S147" i="20"/>
  <c r="S210" i="20" s="1"/>
  <c r="S126" i="20"/>
  <c r="T30" i="20"/>
  <c r="T301" i="20"/>
  <c r="C423" i="17"/>
  <c r="T196" i="20"/>
  <c r="T262" i="20" s="1"/>
  <c r="T121" i="20"/>
  <c r="U85" i="20"/>
  <c r="U119" i="20"/>
  <c r="V83" i="20"/>
  <c r="L85" i="20"/>
  <c r="M83" i="20"/>
  <c r="N304" i="20"/>
  <c r="N147" i="20"/>
  <c r="N210" i="20" s="1"/>
  <c r="N197" i="20"/>
  <c r="N263" i="20" s="1"/>
  <c r="N276" i="20" s="1"/>
  <c r="N126" i="20"/>
  <c r="O301" i="20"/>
  <c r="O30" i="20"/>
  <c r="C600" i="17"/>
  <c r="O196" i="20"/>
  <c r="O262" i="20" s="1"/>
  <c r="O121" i="20"/>
  <c r="P119" i="20"/>
  <c r="P85" i="20"/>
  <c r="Q83" i="20"/>
  <c r="C650" i="17" l="1"/>
  <c r="C651" i="17" s="1"/>
  <c r="C641" i="17"/>
  <c r="D641" i="17" s="1"/>
  <c r="R305" i="20"/>
  <c r="R153" i="20"/>
  <c r="R203" i="20"/>
  <c r="R269" i="20" s="1"/>
  <c r="R282" i="20" s="1"/>
  <c r="S143" i="20"/>
  <c r="S159" i="20"/>
  <c r="S222" i="20" s="1"/>
  <c r="S200" i="20"/>
  <c r="S266" i="20" s="1"/>
  <c r="S279" i="20" s="1"/>
  <c r="S133" i="20"/>
  <c r="S150" i="20"/>
  <c r="S213" i="20" s="1"/>
  <c r="C433" i="17"/>
  <c r="C434" i="17" s="1"/>
  <c r="C424" i="17"/>
  <c r="D424" i="17" s="1"/>
  <c r="T304" i="20"/>
  <c r="T147" i="20"/>
  <c r="T210" i="20" s="1"/>
  <c r="T126" i="20"/>
  <c r="T197" i="20"/>
  <c r="T263" i="20" s="1"/>
  <c r="T276" i="20" s="1"/>
  <c r="U30" i="20"/>
  <c r="U301" i="20"/>
  <c r="U196" i="20"/>
  <c r="U262" i="20" s="1"/>
  <c r="C384" i="17"/>
  <c r="U121" i="20"/>
  <c r="V85" i="20"/>
  <c r="V119" i="20"/>
  <c r="W83" i="20"/>
  <c r="M85" i="20"/>
  <c r="M119" i="20"/>
  <c r="N143" i="20"/>
  <c r="N150" i="20"/>
  <c r="N213" i="20" s="1"/>
  <c r="N200" i="20"/>
  <c r="N266" i="20" s="1"/>
  <c r="N279" i="20" s="1"/>
  <c r="N159" i="20"/>
  <c r="N222" i="20" s="1"/>
  <c r="N133" i="20"/>
  <c r="C610" i="17"/>
  <c r="C611" i="17" s="1"/>
  <c r="C601" i="17"/>
  <c r="D601" i="17" s="1"/>
  <c r="O197" i="20"/>
  <c r="O263" i="20" s="1"/>
  <c r="O276" i="20" s="1"/>
  <c r="O126" i="20"/>
  <c r="O304" i="20"/>
  <c r="O147" i="20"/>
  <c r="O210" i="20" s="1"/>
  <c r="P30" i="20"/>
  <c r="P301" i="20"/>
  <c r="P196" i="20"/>
  <c r="P262" i="20" s="1"/>
  <c r="P121" i="20"/>
  <c r="Q85" i="20"/>
  <c r="Q119" i="20"/>
  <c r="R309" i="20" l="1"/>
  <c r="R216" i="20"/>
  <c r="S305" i="20"/>
  <c r="S203" i="20"/>
  <c r="S269" i="20" s="1"/>
  <c r="S282" i="20" s="1"/>
  <c r="S153" i="20"/>
  <c r="T159" i="20"/>
  <c r="T222" i="20" s="1"/>
  <c r="T143" i="20"/>
  <c r="T200" i="20"/>
  <c r="T266" i="20" s="1"/>
  <c r="T279" i="20" s="1"/>
  <c r="T150" i="20"/>
  <c r="T213" i="20" s="1"/>
  <c r="T133" i="20"/>
  <c r="C385" i="17"/>
  <c r="D385" i="17" s="1"/>
  <c r="C394" i="17"/>
  <c r="C395" i="17" s="1"/>
  <c r="U304" i="20"/>
  <c r="U147" i="20"/>
  <c r="U210" i="20" s="1"/>
  <c r="U197" i="20"/>
  <c r="U263" i="20" s="1"/>
  <c r="U276" i="20" s="1"/>
  <c r="U126" i="20"/>
  <c r="V301" i="20"/>
  <c r="C345" i="17"/>
  <c r="V121" i="20"/>
  <c r="V196" i="20"/>
  <c r="V262" i="20" s="1"/>
  <c r="V30" i="20"/>
  <c r="W85" i="20"/>
  <c r="X83" i="20"/>
  <c r="W119" i="20"/>
  <c r="M301" i="20"/>
  <c r="M30" i="20"/>
  <c r="M196" i="20"/>
  <c r="M262" i="20" s="1"/>
  <c r="M121" i="20"/>
  <c r="N153" i="20"/>
  <c r="N203" i="20"/>
  <c r="N269" i="20" s="1"/>
  <c r="N282" i="20" s="1"/>
  <c r="N305" i="20"/>
  <c r="O143" i="20"/>
  <c r="O159" i="20"/>
  <c r="O222" i="20" s="1"/>
  <c r="O133" i="20"/>
  <c r="O200" i="20"/>
  <c r="O266" i="20" s="1"/>
  <c r="O279" i="20" s="1"/>
  <c r="O150" i="20"/>
  <c r="O213" i="20" s="1"/>
  <c r="P197" i="20"/>
  <c r="P263" i="20" s="1"/>
  <c r="P276" i="20" s="1"/>
  <c r="P304" i="20"/>
  <c r="P126" i="20"/>
  <c r="P147" i="20"/>
  <c r="P210" i="20" s="1"/>
  <c r="Q196" i="20"/>
  <c r="Q262" i="20" s="1"/>
  <c r="Q30" i="20"/>
  <c r="Q301" i="20"/>
  <c r="C541" i="17"/>
  <c r="Q121" i="20"/>
  <c r="S309" i="20" l="1"/>
  <c r="S216" i="20"/>
  <c r="T153" i="20"/>
  <c r="T305" i="20"/>
  <c r="T203" i="20"/>
  <c r="T269" i="20" s="1"/>
  <c r="T282" i="20" s="1"/>
  <c r="U143" i="20"/>
  <c r="U159" i="20"/>
  <c r="U222" i="20" s="1"/>
  <c r="U200" i="20"/>
  <c r="U266" i="20" s="1"/>
  <c r="U279" i="20" s="1"/>
  <c r="U150" i="20"/>
  <c r="U213" i="20" s="1"/>
  <c r="U133" i="20"/>
  <c r="C346" i="17"/>
  <c r="D346" i="17" s="1"/>
  <c r="C355" i="17"/>
  <c r="C356" i="17" s="1"/>
  <c r="V147" i="20"/>
  <c r="V210" i="20" s="1"/>
  <c r="V304" i="20"/>
  <c r="V197" i="20"/>
  <c r="V263" i="20" s="1"/>
  <c r="V276" i="20" s="1"/>
  <c r="V126" i="20"/>
  <c r="X85" i="20"/>
  <c r="Y83" i="20"/>
  <c r="X119" i="20"/>
  <c r="W196" i="20"/>
  <c r="W262" i="20" s="1"/>
  <c r="W301" i="20"/>
  <c r="W30" i="20"/>
  <c r="C306" i="17"/>
  <c r="W121" i="20"/>
  <c r="M197" i="20"/>
  <c r="M263" i="20" s="1"/>
  <c r="M276" i="20" s="1"/>
  <c r="M147" i="20"/>
  <c r="M210" i="20" s="1"/>
  <c r="M304" i="20"/>
  <c r="M126" i="20"/>
  <c r="N216" i="20"/>
  <c r="N309" i="20"/>
  <c r="O153" i="20"/>
  <c r="O203" i="20"/>
  <c r="O269" i="20" s="1"/>
  <c r="O282" i="20" s="1"/>
  <c r="O305" i="20"/>
  <c r="P143" i="20"/>
  <c r="P159" i="20"/>
  <c r="P222" i="20" s="1"/>
  <c r="P133" i="20"/>
  <c r="P200" i="20"/>
  <c r="P266" i="20" s="1"/>
  <c r="P279" i="20" s="1"/>
  <c r="P150" i="20"/>
  <c r="P213" i="20" s="1"/>
  <c r="C542" i="17"/>
  <c r="D542" i="17" s="1"/>
  <c r="C551" i="17"/>
  <c r="C552" i="17" s="1"/>
  <c r="Q304" i="20"/>
  <c r="Q147" i="20"/>
  <c r="Q210" i="20" s="1"/>
  <c r="Q197" i="20"/>
  <c r="Q263" i="20" s="1"/>
  <c r="Q276" i="20" s="1"/>
  <c r="Q126" i="20"/>
  <c r="T216" i="20" l="1"/>
  <c r="T309" i="20"/>
  <c r="U153" i="20"/>
  <c r="U305" i="20"/>
  <c r="U203" i="20"/>
  <c r="U269" i="20" s="1"/>
  <c r="U282" i="20" s="1"/>
  <c r="V200" i="20"/>
  <c r="V266" i="20" s="1"/>
  <c r="V279" i="20" s="1"/>
  <c r="V143" i="20"/>
  <c r="V159" i="20"/>
  <c r="V222" i="20" s="1"/>
  <c r="V150" i="20"/>
  <c r="V213" i="20" s="1"/>
  <c r="V133" i="20"/>
  <c r="Z83" i="20"/>
  <c r="H83" i="20" s="1"/>
  <c r="H85" i="20" s="1"/>
  <c r="Y119" i="20"/>
  <c r="Y85" i="20" s="1"/>
  <c r="X301" i="20"/>
  <c r="X196" i="20"/>
  <c r="X262" i="20" s="1"/>
  <c r="X30" i="20"/>
  <c r="C267" i="17"/>
  <c r="X121" i="20"/>
  <c r="C307" i="17"/>
  <c r="D307" i="17" s="1"/>
  <c r="C316" i="17"/>
  <c r="C317" i="17" s="1"/>
  <c r="W197" i="20"/>
  <c r="W263" i="20" s="1"/>
  <c r="W276" i="20" s="1"/>
  <c r="W304" i="20"/>
  <c r="W126" i="20"/>
  <c r="W147" i="20"/>
  <c r="W210" i="20" s="1"/>
  <c r="M200" i="20"/>
  <c r="M266" i="20" s="1"/>
  <c r="M279" i="20" s="1"/>
  <c r="M159" i="20"/>
  <c r="M222" i="20" s="1"/>
  <c r="M150" i="20"/>
  <c r="M213" i="20" s="1"/>
  <c r="M143" i="20"/>
  <c r="M133" i="20"/>
  <c r="O216" i="20"/>
  <c r="O309" i="20"/>
  <c r="P305" i="20"/>
  <c r="P153" i="20"/>
  <c r="P203" i="20"/>
  <c r="P269" i="20" s="1"/>
  <c r="P282" i="20" s="1"/>
  <c r="Q143" i="20"/>
  <c r="Q159" i="20"/>
  <c r="Q222" i="20" s="1"/>
  <c r="Q150" i="20"/>
  <c r="Q213" i="20" s="1"/>
  <c r="Q200" i="20"/>
  <c r="Q266" i="20" s="1"/>
  <c r="Q279" i="20" s="1"/>
  <c r="Q133" i="20"/>
  <c r="U309" i="20" l="1"/>
  <c r="U216" i="20"/>
  <c r="V305" i="20"/>
  <c r="V203" i="20"/>
  <c r="V269" i="20" s="1"/>
  <c r="V282" i="20" s="1"/>
  <c r="V153" i="20"/>
  <c r="Z85" i="20"/>
  <c r="AA83" i="20"/>
  <c r="Y196" i="20"/>
  <c r="Y262" i="20" s="1"/>
  <c r="Y30" i="20"/>
  <c r="Y121" i="20"/>
  <c r="C227" i="17"/>
  <c r="Y301" i="20"/>
  <c r="C277" i="17"/>
  <c r="C278" i="17" s="1"/>
  <c r="C268" i="17"/>
  <c r="D268" i="17" s="1"/>
  <c r="X304" i="20"/>
  <c r="X147" i="20"/>
  <c r="X210" i="20" s="1"/>
  <c r="X126" i="20"/>
  <c r="X197" i="20"/>
  <c r="X263" i="20" s="1"/>
  <c r="X276" i="20" s="1"/>
  <c r="W150" i="20"/>
  <c r="W213" i="20" s="1"/>
  <c r="W159" i="20"/>
  <c r="W222" i="20" s="1"/>
  <c r="W143" i="20"/>
  <c r="W133" i="20"/>
  <c r="W200" i="20"/>
  <c r="W266" i="20" s="1"/>
  <c r="W279" i="20" s="1"/>
  <c r="M153" i="20"/>
  <c r="M305" i="20"/>
  <c r="M203" i="20"/>
  <c r="M269" i="20" s="1"/>
  <c r="M282" i="20" s="1"/>
  <c r="P309" i="20"/>
  <c r="P216" i="20"/>
  <c r="Q203" i="20"/>
  <c r="Q269" i="20" s="1"/>
  <c r="Q282" i="20" s="1"/>
  <c r="Q153" i="20"/>
  <c r="Q305" i="20"/>
  <c r="V309" i="20" l="1"/>
  <c r="V216" i="20"/>
  <c r="AA85" i="20"/>
  <c r="AA119" i="20"/>
  <c r="AB83" i="20"/>
  <c r="Y126" i="20"/>
  <c r="Y304" i="20"/>
  <c r="Y147" i="20"/>
  <c r="Y210" i="20" s="1"/>
  <c r="Y197" i="20"/>
  <c r="Y263" i="20" s="1"/>
  <c r="Y276" i="20" s="1"/>
  <c r="C237" i="17"/>
  <c r="C238" i="17" s="1"/>
  <c r="C228" i="17"/>
  <c r="D228" i="17" s="1"/>
  <c r="X143" i="20"/>
  <c r="X133" i="20"/>
  <c r="X150" i="20"/>
  <c r="X213" i="20" s="1"/>
  <c r="X200" i="20"/>
  <c r="X266" i="20" s="1"/>
  <c r="X279" i="20" s="1"/>
  <c r="X159" i="20"/>
  <c r="X222" i="20" s="1"/>
  <c r="W305" i="20"/>
  <c r="W153" i="20"/>
  <c r="W203" i="20"/>
  <c r="W269" i="20" s="1"/>
  <c r="W282" i="20" s="1"/>
  <c r="M309" i="20"/>
  <c r="M216" i="20"/>
  <c r="Q216" i="20"/>
  <c r="Q309" i="20"/>
  <c r="AA196" i="20" l="1"/>
  <c r="AA262" i="20" s="1"/>
  <c r="AA30" i="20"/>
  <c r="AA121" i="20"/>
  <c r="AA301" i="20"/>
  <c r="C152" i="17"/>
  <c r="AB85" i="20"/>
  <c r="AC83" i="20"/>
  <c r="Y159" i="20"/>
  <c r="Y222" i="20" s="1"/>
  <c r="Y133" i="20"/>
  <c r="Y150" i="20"/>
  <c r="Y213" i="20" s="1"/>
  <c r="Y143" i="20"/>
  <c r="Y200" i="20"/>
  <c r="Y266" i="20" s="1"/>
  <c r="Y279" i="20" s="1"/>
  <c r="X153" i="20"/>
  <c r="X305" i="20"/>
  <c r="X203" i="20"/>
  <c r="X269" i="20" s="1"/>
  <c r="X282" i="20" s="1"/>
  <c r="W309" i="20"/>
  <c r="W216" i="20"/>
  <c r="AA126" i="20" l="1"/>
  <c r="AA147" i="20"/>
  <c r="AA210" i="20" s="1"/>
  <c r="AA304" i="20"/>
  <c r="AA197" i="20"/>
  <c r="AA263" i="20" s="1"/>
  <c r="AA276" i="20" s="1"/>
  <c r="C162" i="17"/>
  <c r="C163" i="17" s="1"/>
  <c r="C153" i="17"/>
  <c r="D153" i="17" s="1"/>
  <c r="AC85" i="20"/>
  <c r="AD83" i="20"/>
  <c r="AD85" i="20" s="1"/>
  <c r="Y203" i="20"/>
  <c r="Y269" i="20" s="1"/>
  <c r="Y282" i="20" s="1"/>
  <c r="Y153" i="20"/>
  <c r="Y305" i="20"/>
  <c r="X309" i="20"/>
  <c r="X216" i="20"/>
  <c r="AA150" i="20" l="1"/>
  <c r="AA213" i="20" s="1"/>
  <c r="AA159" i="20"/>
  <c r="AA222" i="20" s="1"/>
  <c r="AA200" i="20"/>
  <c r="AA266" i="20" s="1"/>
  <c r="AA279" i="20" s="1"/>
  <c r="AA133" i="20"/>
  <c r="AA143" i="20"/>
  <c r="Y309" i="20"/>
  <c r="Y216" i="20"/>
  <c r="AA153" i="20" l="1"/>
  <c r="AA203" i="20"/>
  <c r="AA269" i="20" s="1"/>
  <c r="AA282" i="20" s="1"/>
  <c r="AA305" i="20"/>
  <c r="AA309" i="20" l="1"/>
  <c r="AA216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GR&amp;RS</author>
    <author>CRISL GR&amp;RS</author>
    <author>CRISIL GR&amp;RS</author>
    <author>Vijay Nema</author>
    <author>Crisil GR&amp;A</author>
  </authors>
  <commentList>
    <comment ref="C4" authorId="0" shapeId="0" xr:uid="{C7BACBE0-5A9D-45CA-A171-88D210B080F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G5" authorId="0" shapeId="0" xr:uid="{9699F9CA-31D3-4771-BC26-66EEBA218E1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excluding leases</t>
        </r>
      </text>
    </comment>
    <comment ref="C39" authorId="0" shapeId="0" xr:uid="{AA576CBD-4E62-4B32-90E4-F23A7F409A0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54" authorId="0" shapeId="0" xr:uid="{193E7AED-47E4-49B0-AF2B-F152F58692E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G55" authorId="0" shapeId="0" xr:uid="{7FF19FC7-A854-42A6-AA36-2EDA8E919EE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excluding leases</t>
        </r>
      </text>
    </comment>
    <comment ref="C82" authorId="0" shapeId="0" xr:uid="{EA7FF9C1-D7FD-415A-83DE-28D1DB005DD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98" authorId="0" shapeId="0" xr:uid="{0D22E446-FEBC-49B9-B6FE-8AB638FF1B2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G99" authorId="0" shapeId="0" xr:uid="{A27A8B60-6236-47A3-8EEE-2F7B2BEC6E9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excluding leases</t>
        </r>
      </text>
    </comment>
    <comment ref="C125" authorId="0" shapeId="0" xr:uid="{421244ED-C422-4321-BBA9-8EE627D19E8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140" authorId="0" shapeId="0" xr:uid="{5C2DC4C9-5BFD-4497-9E69-A63AACA4715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G143" authorId="0" shapeId="0" xr:uid="{3A368C4B-8E6C-4E86-AACA-7125C7AE726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excluding leases</t>
        </r>
      </text>
    </comment>
    <comment ref="C167" authorId="0" shapeId="0" xr:uid="{45E80500-A9AD-42E7-820E-699BF857DB6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178" authorId="0" shapeId="0" xr:uid="{0F270638-3A7D-4C04-8066-42C9C129BE4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G181" authorId="0" shapeId="0" xr:uid="{5D034C26-A507-4C04-8A72-BCD775048E7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excluding leases</t>
        </r>
      </text>
    </comment>
    <comment ref="C205" authorId="0" shapeId="0" xr:uid="{977F2C67-5605-4C33-A0E5-F1680E6CD33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322" authorId="1" shapeId="0" xr:uid="{E46A566A-B6AC-45DC-BDD8-69B653DF9E5B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The US$365 million related to leases are not included on the above debt figures.</t>
        </r>
      </text>
    </comment>
    <comment ref="C361" authorId="1" shapeId="0" xr:uid="{F0852CDF-3A98-4A64-9CCD-FE94F896CCC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The US$365 million related to leases are not included on the above debt figures.</t>
        </r>
      </text>
    </comment>
    <comment ref="C400" authorId="1" shapeId="0" xr:uid="{BF134BD3-7E93-4151-92B7-47C5D5104D7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The US$365 million related to leases are not included on the above debt figures.</t>
        </r>
      </text>
    </comment>
    <comment ref="J453" authorId="2" shapeId="0" xr:uid="{EAE0A657-1909-4E06-B688-8136BB89A783}">
      <text>
        <r>
          <rPr>
            <b/>
            <sz val="9"/>
            <color indexed="81"/>
            <rFont val="Tahoma"/>
            <family val="2"/>
          </rPr>
          <t>CRISL GR&amp;RS:</t>
        </r>
        <r>
          <rPr>
            <sz val="9"/>
            <color indexed="81"/>
            <rFont val="Tahoma"/>
            <family val="2"/>
          </rPr>
          <t xml:space="preserve">
To be updated from PPT</t>
        </r>
      </text>
    </comment>
    <comment ref="C511" authorId="3" shapeId="0" xr:uid="{2E4E4B7F-DBF0-4254-8223-E35396B9FAAC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As of March 31, 2023, the company has revolving funds denominated “margin calls” for
$24,878 thousand dollars</t>
        </r>
      </text>
    </comment>
    <comment ref="C518" authorId="2" shapeId="0" xr:uid="{E795F7AC-A590-494F-B11A-F99E2545AD51}">
      <text>
        <r>
          <rPr>
            <b/>
            <sz val="9"/>
            <color indexed="81"/>
            <rFont val="Tahoma"/>
            <family val="2"/>
          </rPr>
          <t>CRISL GR&amp;RS:</t>
        </r>
        <r>
          <rPr>
            <sz val="9"/>
            <color indexed="81"/>
            <rFont val="Tahoma"/>
            <family val="2"/>
          </rPr>
          <t xml:space="preserve">
to be updated from PPT</t>
        </r>
      </text>
    </comment>
    <comment ref="C550" authorId="3" shapeId="0" xr:uid="{1C131D68-FB05-4BDA-9BB2-FAAB354CA6FD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As of December 31, 2022, the company has revolving funds denominated “margin calls” for
$34,190 thousand dollars</t>
        </r>
      </text>
    </comment>
    <comment ref="C570" authorId="3" shapeId="0" xr:uid="{0B85C92E-DF9D-4F49-BBC0-2EAF0CEE203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As of June 30, 2022, the company has revolving funds denominated “margin calls” for $31,909
thousand dollars.</t>
        </r>
      </text>
    </comment>
    <comment ref="C609" authorId="3" shapeId="0" xr:uid="{00000000-0006-0000-0000-00000100000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As of June 30, 2022, the company has revolving funds denominated “margin calls” for $26,508
thousand dollars.</t>
        </r>
      </text>
    </comment>
    <comment ref="K63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PPT not released yet</t>
        </r>
      </text>
    </comment>
    <comment ref="C649" authorId="3" shapeId="0" xr:uid="{00000000-0006-0000-0000-00000200000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As of March 31, 2022, the company has revolving funds denominated “margin calls” for $1,374
thousand dollars</t>
        </r>
      </text>
    </comment>
    <comment ref="K902" authorId="4" shapeId="0" xr:uid="{00000000-0006-0000-0000-000004000000}">
      <text>
        <r>
          <rPr>
            <sz val="9"/>
            <color indexed="81"/>
            <rFont val="Tahoma"/>
            <family val="2"/>
          </rPr>
          <t xml:space="preserve">Excluding Leases
</t>
        </r>
      </text>
    </comment>
    <comment ref="K940" authorId="4" shapeId="0" xr:uid="{00000000-0006-0000-0000-000006000000}">
      <text>
        <r>
          <rPr>
            <sz val="9"/>
            <color indexed="81"/>
            <rFont val="Tahoma"/>
            <family val="2"/>
          </rPr>
          <t xml:space="preserve">Excluding Leases
</t>
        </r>
      </text>
    </comment>
    <comment ref="J943" authorId="5" shapeId="0" xr:uid="{00000000-0006-0000-00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When considering the adoption of IFRS 16, debt increased by US$217 million to US$1.38 billion, and net debt/EBITDA ratio was 1.8x.</t>
        </r>
      </text>
    </comment>
    <comment ref="K977" authorId="4" shapeId="0" xr:uid="{00000000-0006-0000-0000-000008000000}">
      <text>
        <r>
          <rPr>
            <sz val="9"/>
            <color indexed="81"/>
            <rFont val="Tahoma"/>
            <family val="2"/>
          </rPr>
          <t xml:space="preserve">Excluding Leases
</t>
        </r>
      </text>
    </comment>
    <comment ref="J981" authorId="5" shapeId="0" xr:uid="{00000000-0006-0000-00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When considering the adoption of IFRS 16, debt increased by US$217 million to US$1.38 billion, and net debt/EBITDA ratio was 1.8x.</t>
        </r>
      </text>
    </comment>
    <comment ref="J1018" authorId="5" shapeId="0" xr:uid="{00000000-0006-0000-00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When considering the adoption of IFRS 16, debt increased by US$222 million to US$1.45 billion, and net debt/EBITDA ratio was 1.8x.</t>
        </r>
      </text>
    </comment>
    <comment ref="K1021" authorId="4" shapeId="0" xr:uid="{00000000-0006-0000-0000-00000A000000}">
      <text>
        <r>
          <rPr>
            <sz val="9"/>
            <color indexed="81"/>
            <rFont val="Tahoma"/>
            <family val="2"/>
          </rPr>
          <t xml:space="preserve">Excluding Leases
</t>
        </r>
      </text>
    </comment>
    <comment ref="J1063" authorId="5" shapeId="0" xr:uid="{00000000-0006-0000-0000-00000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When considering the adoption of IFRS 16, debt increased by US$226 million to US$1.4 billion, and net debt/EBITDA ratio was 1.9x.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Arora</author>
    <author>Onabule, Yejide</author>
    <author xml:space="preserve">Crisil </author>
    <author>CRISIL</author>
    <author>Crisil GR&amp;A</author>
    <author>Stuti Menon</author>
    <author>Vandana Shivani</author>
    <author>CRISIL GR&amp;RS</author>
    <author>Vishal K Mirwani</author>
    <author>Vijay Nema</author>
    <author>Vivek Panchal</author>
  </authors>
  <commentList>
    <comment ref="B1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
- Result from derivative instruments
- Result from foreign exchange differences</t>
        </r>
      </text>
    </comment>
    <comment ref="B31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as % of total debt</t>
        </r>
      </text>
    </comment>
    <comment ref="F47" authorId="2" shapeId="0" xr:uid="{4BE05B07-9E07-42AB-A14A-F4763339B96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ER: Def: EBITDA = operating income + depreciation, amortization and impairment of long lived assets</t>
        </r>
      </text>
    </comment>
    <comment ref="G47" authorId="2" shapeId="0" xr:uid="{9DE42ECA-E1FE-43EE-8902-EEFDDEF7274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ER: Def: EBITDA = operating income + depreciation, amortization and impairment of long lived assets</t>
        </r>
      </text>
    </comment>
    <comment ref="Z47" authorId="3" shapeId="0" xr:uid="{52AEC019-6B4F-4A35-9920-6D825F4436F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EBITDA = operating income + depreciation, amortization and impairment of long lived assets</t>
        </r>
      </text>
    </comment>
    <comment ref="AA47" authorId="3" shapeId="0" xr:uid="{AAE586A7-C424-45A6-B741-FEB6405DC6D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EBITDA = operating income + depreciation, amortization and impairment of long lived assets</t>
        </r>
      </text>
    </comment>
    <comment ref="AB47" authorId="2" shapeId="0" xr:uid="{F57BF02B-5508-4CF7-AD93-5AC5197951E7}">
      <text>
        <r>
          <rPr>
            <sz val="9"/>
            <color indexed="81"/>
            <rFont val="Tahoma"/>
            <family val="2"/>
          </rPr>
          <t>Def: EBITDA = operating income + depreciation, amortization and impairment of long lived assets</t>
        </r>
      </text>
    </comment>
    <comment ref="AD47" authorId="3" shapeId="0" xr:uid="{39256669-6CEB-4441-BE11-D4C2605C192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
Def: EBITDA = operating income + depreciation, amortization and impairment of long lived assets</t>
        </r>
      </text>
    </comment>
    <comment ref="B5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For FY16 quarters, annual rent assumed to be split equally between quarters. For FY17 quarters, assumed to be the same as 4Q16</t>
        </r>
      </text>
    </comment>
    <comment ref="B5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Break-down of Depreciation &amp; Amortization is not available for quarters as per company reports</t>
        </r>
      </text>
    </comment>
    <comment ref="J59" authorId="4" shapeId="0" xr:uid="{00000000-0006-0000-01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K59" authorId="4" shapeId="0" xr:uid="{C9C9726B-7682-45F9-B096-107B06D33B5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L59" authorId="4" shapeId="0" xr:uid="{BD7F28EC-B9EA-4EDE-8E03-68FE7FB65BE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M59" authorId="4" shapeId="0" xr:uid="{F65BAE79-9997-4BA0-9CDD-62A105B4741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N59" authorId="4" shapeId="0" xr:uid="{D75CE3A6-DEBF-49DC-9A6A-4B18F4784AE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O59" authorId="4" shapeId="0" xr:uid="{D49A2380-8651-4242-97AD-F6F3C45AA47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P59" authorId="4" shapeId="0" xr:uid="{5E615D0D-C7D0-4A1D-B1DC-190A31C3110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Q59" authorId="4" shapeId="0" xr:uid="{79EBC801-AFDE-4225-BB5A-CD1804B5FC8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R59" authorId="4" shapeId="0" xr:uid="{6CF1DA39-BDE3-4699-96A1-041B91B6676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S59" authorId="4" shapeId="0" xr:uid="{3E6288FF-4CBE-438C-ACCA-99BFDC9F6D2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T59" authorId="4" shapeId="0" xr:uid="{8F07F1B1-6B58-4092-B097-8893CD051DE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U59" authorId="4" shapeId="0" xr:uid="{7BF9C30E-E3AF-42FF-AC64-F6A06A53E5C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V59" authorId="4" shapeId="0" xr:uid="{E965A5D6-1585-4C22-9C7A-968857EF6DE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W59" authorId="4" shapeId="0" xr:uid="{B1CAA36B-E404-44AC-BA2C-472326603FB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X59" authorId="4" shapeId="0" xr:uid="{896DB6F3-3014-4C86-B068-C9FBAA74F47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Y59" authorId="4" shapeId="0" xr:uid="{922C4067-F9B0-45B9-83DD-DC295DD2469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Z59" authorId="4" shapeId="0" xr:uid="{03F6EF81-0D5B-4066-A6D9-192F8A7F018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AA59" authorId="4" shapeId="0" xr:uid="{5A68AFF1-909D-4CCF-A2DE-0161EB948DE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AB59" authorId="4" shapeId="0" xr:uid="{1E2CA1D7-AE11-47E8-8118-73A472CBDCB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AC59" authorId="4" shapeId="0" xr:uid="{F54236BF-5B55-4A0A-A759-ABB1F9D8732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AD59" authorId="4" shapeId="0" xr:uid="{BBD8789F-9BD8-4611-A929-03A35F43F05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 and ammortization both</t>
        </r>
      </text>
    </comment>
    <comment ref="B62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adjust this section, if necessary  </t>
        </r>
      </text>
    </comment>
    <comment ref="B64" authorId="5" shapeId="0" xr:uid="{00000000-0006-0000-0100-00000B000000}">
      <text>
        <r>
          <rPr>
            <b/>
            <sz val="9"/>
            <color indexed="81"/>
            <rFont val="Tahoma"/>
            <family val="2"/>
          </rPr>
          <t xml:space="preserve">CRISIL GR&amp;A: 
</t>
        </r>
        <r>
          <rPr>
            <sz val="9"/>
            <color indexed="81"/>
            <rFont val="Tahoma"/>
            <family val="2"/>
          </rPr>
          <t xml:space="preserve">Includes:
* inventories
* trade accounts receivable
* other operating receivables
* trade accounts payable 
* other operating payables
</t>
        </r>
      </text>
    </comment>
    <comment ref="D64" authorId="6" shapeId="0" xr:uid="{E881FD0C-3F16-481B-AA3C-0F88ED2ADBEE}">
      <text>
        <r>
          <rPr>
            <b/>
            <sz val="9"/>
            <color indexed="81"/>
            <rFont val="Tahoma"/>
            <family val="2"/>
          </rPr>
          <t xml:space="preserve">Crisil GR&amp;RS:
</t>
        </r>
        <r>
          <rPr>
            <sz val="9"/>
            <color indexed="81"/>
            <rFont val="Tahoma"/>
            <family val="2"/>
          </rPr>
          <t xml:space="preserve">Updated based on recent fillings
</t>
        </r>
      </text>
    </comment>
    <comment ref="D68" authorId="6" shapeId="0" xr:uid="{BD6F2377-379F-43C0-BCD3-53FB850A3C42}">
      <text>
        <r>
          <rPr>
            <b/>
            <sz val="9"/>
            <color indexed="81"/>
            <rFont val="Tahoma"/>
            <family val="2"/>
          </rPr>
          <t xml:space="preserve">Crisil GR&amp;RS:
</t>
        </r>
        <r>
          <rPr>
            <sz val="9"/>
            <color indexed="81"/>
            <rFont val="Tahoma"/>
            <family val="2"/>
          </rPr>
          <t xml:space="preserve">Updated based on recent fillings
</t>
        </r>
      </text>
    </comment>
    <comment ref="D73" authorId="6" shapeId="0" xr:uid="{67E60F35-16D0-4AA3-84B7-698835E3F065}">
      <text>
        <r>
          <rPr>
            <b/>
            <sz val="9"/>
            <color indexed="81"/>
            <rFont val="Tahoma"/>
            <family val="2"/>
          </rPr>
          <t xml:space="preserve">Crisil GR&amp;RS:
</t>
        </r>
        <r>
          <rPr>
            <sz val="9"/>
            <color indexed="81"/>
            <rFont val="Tahoma"/>
            <family val="2"/>
          </rPr>
          <t xml:space="preserve">Updated based on recent fillings
</t>
        </r>
      </text>
    </comment>
    <comment ref="G73" authorId="3" shapeId="0" xr:uid="{F09BB9D9-C5E9-406C-9B11-4CDD15F3862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 Other cash payments to acquire equity or debt instruments of other entities: 33.769
* Other inflows (outflows) of cash: (3.618)</t>
        </r>
      </text>
    </comment>
    <comment ref="AB73" authorId="3" shapeId="0" xr:uid="{648DA3FB-C219-476D-9C73-CF6BE9CFE70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Other cash payments to acquire equity or debt instruments of other entities: 33.769
*  Other inflows (outflows) of cash: (5.106)</t>
        </r>
      </text>
    </comment>
    <comment ref="D77" authorId="6" shapeId="0" xr:uid="{A34793C6-4647-4EED-8154-16AD3A76154A}">
      <text>
        <r>
          <rPr>
            <b/>
            <sz val="9"/>
            <color indexed="81"/>
            <rFont val="Tahoma"/>
            <family val="2"/>
          </rPr>
          <t xml:space="preserve">Crisil GR&amp;RS:
</t>
        </r>
        <r>
          <rPr>
            <sz val="9"/>
            <color indexed="81"/>
            <rFont val="Tahoma"/>
            <family val="2"/>
          </rPr>
          <t xml:space="preserve">Updated based on recent fillings
</t>
        </r>
      </text>
    </comment>
    <comment ref="B7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Includes:
- Payment of contingent liability
- Derivative financial instruments collected
- Acquisition of non-controlling interest</t>
        </r>
      </text>
    </comment>
    <comment ref="G78" authorId="3" shapeId="0" xr:uid="{FDD92FBF-8282-406C-B49C-078771A6299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Other inflows (outflows) of cash): (0.142)</t>
        </r>
      </text>
    </comment>
    <comment ref="M83" authorId="7" shapeId="0" xr:uid="{B645B717-C76F-4F1D-BE7B-BA350AB66122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Adjusted the difference in beginning cash</t>
        </r>
      </text>
    </comment>
    <comment ref="L85" authorId="4" shapeId="0" xr:uid="{E87E5ACC-D676-4EB8-8AAB-E34F731CCF9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changed reporting</t>
        </r>
      </text>
    </comment>
    <comment ref="B102" authorId="3" shapeId="0" xr:uid="{BF2F0F90-2508-4E7A-976E-CE4B5D6D7EF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PPE
* Right-of-use assets</t>
        </r>
      </text>
    </comment>
    <comment ref="L102" authorId="4" shapeId="0" xr:uid="{CF880814-CA49-4AE4-B599-1972254169F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M102" authorId="4" shapeId="0" xr:uid="{BBCDD3EF-419C-4E72-93DA-7D341762766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N102" authorId="4" shapeId="0" xr:uid="{00000000-0006-0000-0100-00002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O102" authorId="4" shapeId="0" xr:uid="{00000000-0006-0000-0100-00002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P102" authorId="4" shapeId="0" xr:uid="{00000000-0006-0000-0100-00002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Q102" authorId="4" shapeId="0" xr:uid="{5F767492-198A-4054-835E-E07D40E581B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R102" authorId="4" shapeId="0" xr:uid="{6B682006-6E1A-4F7B-B5FB-4BDAA549EEB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S102" authorId="4" shapeId="0" xr:uid="{3587A7B5-76E8-4CE4-933D-9CAA5530D6E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T102" authorId="4" shapeId="0" xr:uid="{FE635ADB-34BB-488C-9034-9C6B574A676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U102" authorId="4" shapeId="0" xr:uid="{CE16F802-E42D-40B6-9D32-09D974F25F2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B105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Breakdown of Trade + Other current receivables is not given in quarters</t>
        </r>
      </text>
    </comment>
    <comment ref="B115" authorId="5" shapeId="0" xr:uid="{00000000-0006-0000-0100-00002A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Bank loans include finance leases
</t>
        </r>
      </text>
    </comment>
    <comment ref="C115" authorId="8" shapeId="0" xr:uid="{0669CFE7-FBA4-436F-975D-C4B063DB5E0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BS balance used in absence of breakdown of credits</t>
        </r>
      </text>
    </comment>
    <comment ref="N130" authorId="9" shapeId="0" xr:uid="{00000000-0006-0000-0100-00002B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R130" authorId="9" shapeId="0" xr:uid="{BBA4C6B3-D349-4C90-8681-C0B3B60173C5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V130" authorId="9" shapeId="0" xr:uid="{365FD08C-BA58-4C33-8BE1-9DF22E850F5A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W130" authorId="9" shapeId="0" xr:uid="{40C0AE03-84A1-4E0C-AC9C-42F1DB33213E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X130" authorId="9" shapeId="0" xr:uid="{BDB68C4F-16F3-4D35-B2D0-D387DC6D4747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Z130" authorId="9" shapeId="0" xr:uid="{BB165396-6E59-487F-8BEB-88C568D3B0A4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B130" authorId="3" shapeId="0" xr:uid="{14F8E2AA-9E41-434E-ADA2-F7631B04C33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lease liabilities</t>
        </r>
      </text>
    </comment>
    <comment ref="AD130" authorId="9" shapeId="0" xr:uid="{426B91BB-903D-4621-857F-BF1F9EA8BB0D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B131" authorId="5" shapeId="0" xr:uid="{00000000-0006-0000-0100-00002C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Operating lease obligation related data is not available for quarters
</t>
        </r>
      </text>
    </comment>
    <comment ref="C140" authorId="8" shapeId="0" xr:uid="{259B1B91-3375-44F0-BCCB-FB5FFD7E8AF3}">
      <text>
        <r>
          <rPr>
            <b/>
            <sz val="9"/>
            <color indexed="81"/>
            <rFont val="Tahoma"/>
            <family val="2"/>
          </rPr>
          <t>Crisil GR&amp;RS:
Sourced from Bloomberg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40" authorId="8" shapeId="0" xr:uid="{CB92818A-D1CD-4433-8063-8D2761D6695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Sourced from Bloomberg</t>
        </r>
      </text>
    </comment>
    <comment ref="E140" authorId="8" shapeId="0" xr:uid="{B487ADBC-8414-40B8-BD90-A9549903468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Sourced from Bloomberg</t>
        </r>
      </text>
    </comment>
    <comment ref="F140" authorId="3" shapeId="0" xr:uid="{7B27D84A-2A7F-432C-9F3A-C938CEB3B9E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of 21 Feb 2025</t>
        </r>
      </text>
    </comment>
    <comment ref="G140" authorId="3" shapeId="0" xr:uid="{BD877040-1590-4783-B1E8-0B690B341C1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of 21 Feb 2025</t>
        </r>
      </text>
    </comment>
    <comment ref="S140" authorId="10" shapeId="0" xr:uid="{C7A5DC9C-F98D-47C8-9A0D-A558C8D59025}">
      <text>
        <r>
          <rPr>
            <b/>
            <sz val="9"/>
            <color indexed="81"/>
            <rFont val="Tahoma"/>
            <family val="2"/>
          </rPr>
          <t>July 20, 2023</t>
        </r>
      </text>
    </comment>
    <comment ref="W140" authorId="10" shapeId="0" xr:uid="{5B20BBF6-4CC0-48FA-9109-F70EE37B938B}">
      <text>
        <r>
          <rPr>
            <b/>
            <sz val="9"/>
            <color indexed="81"/>
            <rFont val="Tahoma"/>
            <family val="2"/>
          </rPr>
          <t>July 20, 2023</t>
        </r>
      </text>
    </comment>
    <comment ref="X140" authorId="10" shapeId="0" xr:uid="{E75E9957-4232-420D-9ADC-D7248E6FB163}">
      <text>
        <r>
          <rPr>
            <b/>
            <sz val="9"/>
            <color indexed="81"/>
            <rFont val="Tahoma"/>
            <family val="2"/>
          </rPr>
          <t xml:space="preserve">Oct 25, 2024
</t>
        </r>
      </text>
    </comment>
    <comment ref="G318" authorId="3" shapeId="0" xr:uid="{FE530DC8-29A6-4E2E-A136-493306B0129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Z318" authorId="3" shapeId="0" xr:uid="{A3500F00-9D4F-48A8-9147-715EAFA883A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AB318" authorId="3" shapeId="0" xr:uid="{737AD732-4458-4A3F-9246-B484A9F6B00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AD318" authorId="3" shapeId="0" xr:uid="{01A8C02F-1A0C-4311-8E2C-995D2BF6D41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C327" authorId="8" shapeId="0" xr:uid="{2D6C43EC-741F-49EB-8174-B2151DAFD30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Adjusted to match the reporting no.
</t>
        </r>
      </text>
    </comment>
    <comment ref="D327" authorId="8" shapeId="0" xr:uid="{9AF2E6ED-77D7-42C2-B7F4-447D681C6F6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Adjusted to match the reporting no.
</t>
        </r>
      </text>
    </comment>
    <comment ref="E327" authorId="8" shapeId="0" xr:uid="{7169295C-50D4-455F-91F6-A30EE7BC562D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Adjusted to match the reporting no.
</t>
        </r>
      </text>
    </comment>
    <comment ref="Q327" authorId="8" shapeId="0" xr:uid="{D0F67BF2-79C6-4E56-A884-95DBEBB01538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27" authorId="8" shapeId="0" xr:uid="{439D1CE8-2AF8-4409-87C4-ACDB2A795E71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27" authorId="8" shapeId="0" xr:uid="{793088D6-F768-4DDE-8255-0ADF3A23DE38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27" authorId="8" shapeId="0" xr:uid="{E8A2B732-652B-46C8-AE07-08AAC7FD060F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27" authorId="8" shapeId="0" xr:uid="{63BA9E88-91E9-40BB-8F95-64E5ECAA0B15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7" authorId="8" shapeId="0" xr:uid="{921E4F97-3D96-4930-8FB1-7C55648E011D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27" authorId="8" shapeId="0" xr:uid="{407BEBD3-CC77-4381-908E-9BFE66ECB2CF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7" authorId="8" shapeId="0" xr:uid="{00BA76C5-F79B-4E53-B5A5-19A0471893B5}">
      <text>
        <r>
          <rPr>
            <b/>
            <sz val="9"/>
            <color indexed="81"/>
            <rFont val="Tahoma"/>
            <family val="2"/>
          </rPr>
          <t>Crisil GR&amp;RS:
Adjusted to match the reporting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32" authorId="6" shapeId="0" xr:uid="{C090B70A-1E75-4DCC-9A5B-5C42ECF4114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32" authorId="10" shapeId="0" xr:uid="{53100645-3F5B-41FF-8CA2-4151875CBEB5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D336" authorId="6" shapeId="0" xr:uid="{7AEA6CF8-5546-44F2-87FE-DA2AA0E92096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36" authorId="10" shapeId="0" xr:uid="{55D433DA-B12D-4DA3-A642-145C0F3C3C3C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B360" authorId="5" shapeId="0" xr:uid="{00000000-0006-0000-0100-00002D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Annual numbers taken from 4Q reports don’t match with sum of four quarters. Gross profit split is unavailable in annual report
</t>
        </r>
      </text>
    </comment>
    <comment ref="D362" authorId="6" shapeId="0" xr:uid="{68E407E4-61CE-4EE9-9F9B-35304B32723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62" authorId="10" shapeId="0" xr:uid="{00DC7AF8-DB6C-4A82-9A60-114D8C724CAE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D366" authorId="6" shapeId="0" xr:uid="{CFC7676E-7484-4D5B-8D74-A58905EA07D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66" authorId="10" shapeId="0" xr:uid="{6EBEAEEB-4452-407D-A69D-AEB11D5D4044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D373" authorId="6" shapeId="0" xr:uid="{C16112F1-5255-49B8-9A87-03FF3A1349C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73" authorId="10" shapeId="0" xr:uid="{3F159405-875B-4ABA-9BBD-286EB4F9B60A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D377" authorId="6" shapeId="0" xr:uid="{88A86E51-752B-4899-AFC3-8869AFA68CA5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77" authorId="10" shapeId="0" xr:uid="{6403F4DF-6FB9-4CB4-945F-FB74E1798523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B382" authorId="5" shapeId="0" xr:uid="{00000000-0006-0000-0100-00002E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Annual numbers taken from 4Q reports don’t match with sum of four quarters. EBITDA split is unavailable in annual report
</t>
        </r>
      </text>
    </comment>
    <comment ref="D384" authorId="6" shapeId="0" xr:uid="{F8D038F7-263F-4227-A072-A2BD1FCE2B94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84" authorId="10" shapeId="0" xr:uid="{B5664197-6AF8-47E5-B5C8-D313CE2F6E4E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  <comment ref="D388" authorId="6" shapeId="0" xr:uid="{FC095CF2-7C64-44B1-88C3-53C96F32201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Updated based on recent fillings</t>
        </r>
      </text>
    </comment>
    <comment ref="O388" authorId="10" shapeId="0" xr:uid="{4AC77C75-8B6F-49AF-B444-9F0303AB805F}">
      <text>
        <r>
          <rPr>
            <b/>
            <sz val="9"/>
            <color indexed="81"/>
            <rFont val="Tahoma"/>
            <family val="2"/>
          </rPr>
          <t xml:space="preserve">Restated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Onabule, Yejide</author>
    <author>Nikhil Arora</author>
    <author>Crisil GR&amp;A</author>
    <author>Stuti Menon</author>
    <author>Rishabh Saraf</author>
    <author>Vijay Nema</author>
    <author>CRISIL</author>
  </authors>
  <commentList>
    <comment ref="B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report income statement the way it is reported</t>
        </r>
      </text>
    </comment>
    <comment ref="B1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
- Result from derivative instruments
- Result from foreign exchange differences</t>
        </r>
      </text>
    </comment>
    <comment ref="B3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as % of total debt</t>
        </r>
      </text>
    </comment>
    <comment ref="B4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For FY16 quarters, annual rent assumed to be split equally between quarters. For FY17 quarters, assumed to be the same as 4Q16</t>
        </r>
      </text>
    </comment>
    <comment ref="AB52" authorId="2" shapeId="0" xr:uid="{00000000-0006-0000-02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 3Q19, the benefit to EBITDA from the adoption of IFRS 16 was Ps.237 million on a consolidated basis</t>
        </r>
      </text>
    </comment>
    <comment ref="AC52" authorId="2" shapeId="0" xr:uid="{00000000-0006-0000-0200-00000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 4Q19, the benefit to EBITDA from the adoption of IFRS 16 was Ps.237 million on a consolidated basis</t>
        </r>
      </text>
    </comment>
    <comment ref="AN52" authorId="2" shapeId="0" xr:uid="{00000000-0006-0000-02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 4Q19, the benefit to EBITDA from the adoption of IFRS 16 was Ps.237 million on a consolidated basis</t>
        </r>
      </text>
    </comment>
    <comment ref="B56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Break-down of Depreciation &amp; Amortization is not available for quarters as per company reports</t>
        </r>
      </text>
    </comment>
    <comment ref="G56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Z56" authorId="2" shapeId="0" xr:uid="{00000000-0006-0000-0200-00000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A56" authorId="2" shapeId="0" xr:uid="{00000000-0006-0000-0200-00000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B56" authorId="2" shapeId="0" xr:uid="{00000000-0006-0000-0200-00000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D56" authorId="2" shapeId="0" xr:uid="{00000000-0006-0000-0200-00000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E56" authorId="2" shapeId="0" xr:uid="{00000000-0006-0000-0200-00000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F56" authorId="2" shapeId="0" xr:uid="{00000000-0006-0000-0200-00000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H56" authorId="2" shapeId="0" xr:uid="{00000000-0006-0000-0200-00001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I56" authorId="2" shapeId="0" xr:uid="{00000000-0006-0000-0200-00001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AJ56" authorId="2" shapeId="0" xr:uid="{00000000-0006-0000-0200-00001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depreciation and amortisation both</t>
        </r>
      </text>
    </comment>
    <comment ref="B59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adjust this section, if necessary  </t>
        </r>
      </text>
    </comment>
    <comment ref="B61" authorId="3" shapeId="0" xr:uid="{00000000-0006-0000-0200-000014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Includes:
Accounts receivable, Inventories, Prepaid expenses, Trade accounts payable, Accrued liabilities and other accounts payables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Includes:
- Payment of contingent liability
- Derivative financial instruments collected
- Acquisition of non-controlling interest</t>
        </r>
      </text>
    </comment>
    <comment ref="AD80" authorId="4" shapeId="0" xr:uid="{00000000-0006-0000-0200-000016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Hardcoded beginning cash as it seems to be restated</t>
        </r>
      </text>
    </comment>
    <comment ref="Z99" authorId="2" shapeId="0" xr:uid="{00000000-0006-0000-0200-00001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A99" authorId="2" shapeId="0" xr:uid="{00000000-0006-0000-0200-00001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B99" authorId="2" shapeId="0" xr:uid="{00000000-0006-0000-0200-00001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D99" authorId="2" shapeId="0" xr:uid="{00000000-0006-0000-0200-00001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E99" authorId="2" shapeId="0" xr:uid="{00000000-0006-0000-0200-00001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F99" authorId="2" shapeId="0" xr:uid="{00000000-0006-0000-0200-00001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H99" authorId="2" shapeId="0" xr:uid="{00000000-0006-0000-0200-00001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I99" authorId="2" shapeId="0" xr:uid="{00000000-0006-0000-0200-00001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AJ99" authorId="2" shapeId="0" xr:uid="{00000000-0006-0000-0200-00001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of use assets as well
</t>
        </r>
      </text>
    </comment>
    <comment ref="B102" authorId="1" shapeId="0" xr:uid="{00000000-0006-0000-0200-00002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Breakdown of Trade + Other current receivables is not given in quarters</t>
        </r>
      </text>
    </comment>
    <comment ref="B109" authorId="3" shapeId="0" xr:uid="{00000000-0006-0000-0200-000021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Bank loans for quarters include finance leases
</t>
        </r>
      </text>
    </comment>
    <comment ref="F109" authorId="3" shapeId="0" xr:uid="{00000000-0006-0000-0200-000022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Includes finance leases. Finance lease bifurcation is available only in annual reports which hasn’t been released for FY17 as yet
</t>
        </r>
      </text>
    </comment>
    <comment ref="G109" authorId="3" shapeId="0" xr:uid="{00000000-0006-0000-0200-000023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Includes finance leases. Finance lease bifurcation is available only in annual reports which hasn’t been released for FY18 as yet
</t>
        </r>
      </text>
    </comment>
    <comment ref="I124" authorId="5" shapeId="0" xr:uid="{00000000-0006-0000-0200-000024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J124" authorId="5" shapeId="0" xr:uid="{00000000-0006-0000-0200-000025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K124" authorId="5" shapeId="0" xr:uid="{00000000-0006-0000-0200-000026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L124" authorId="5" shapeId="0" xr:uid="{00000000-0006-0000-0200-000027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Z124" authorId="5" shapeId="0" xr:uid="{00000000-0006-0000-0200-000028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A124" authorId="5" shapeId="0" xr:uid="{00000000-0006-0000-0200-000029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B124" authorId="5" shapeId="0" xr:uid="{00000000-0006-0000-0200-00002A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D124" authorId="5" shapeId="0" xr:uid="{00000000-0006-0000-0200-00002B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E124" authorId="5" shapeId="0" xr:uid="{00000000-0006-0000-0200-00002C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F124" authorId="5" shapeId="0" xr:uid="{00000000-0006-0000-0200-00002D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H124" authorId="5" shapeId="0" xr:uid="{00000000-0006-0000-0200-00002E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I124" authorId="5" shapeId="0" xr:uid="{00000000-0006-0000-0200-00002F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AJ124" authorId="5" shapeId="0" xr:uid="{00000000-0006-0000-0200-000030000000}">
      <text>
        <r>
          <rPr>
            <sz val="9"/>
            <color indexed="81"/>
            <rFont val="Tahoma"/>
            <family val="2"/>
          </rPr>
          <t>Lease Liabilities</t>
        </r>
      </text>
    </comment>
    <comment ref="B125" authorId="3" shapeId="0" xr:uid="{00000000-0006-0000-0200-000031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Operating lease obligation related data is not available for quarters
</t>
        </r>
      </text>
    </comment>
    <comment ref="L134" authorId="6" shapeId="0" xr:uid="{00000000-0006-0000-0200-000032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not available on BBG, took current values</t>
        </r>
      </text>
    </comment>
    <comment ref="AE134" authorId="4" shapeId="0" xr:uid="{00000000-0006-0000-0200-000033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Market cap as of 24 July 2020</t>
        </r>
      </text>
    </comment>
    <comment ref="AI134" authorId="4" shapeId="0" xr:uid="{00000000-0006-0000-0200-000034000000}">
      <text>
        <r>
          <rPr>
            <sz val="9"/>
            <color indexed="81"/>
            <rFont val="Tahoma"/>
            <family val="2"/>
          </rPr>
          <t>Market cap as of 22 July 2021</t>
        </r>
      </text>
    </comment>
    <comment ref="AJ134" authorId="4" shapeId="0" xr:uid="{00000000-0006-0000-0200-000035000000}">
      <text>
        <r>
          <rPr>
            <sz val="9"/>
            <color indexed="81"/>
            <rFont val="Tahoma"/>
            <family val="2"/>
          </rPr>
          <t>Market cap as of 21 Oct 2021</t>
        </r>
      </text>
    </comment>
    <comment ref="B218" authorId="3" shapeId="0" xr:uid="{00000000-0006-0000-0200-000036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Sourced from quarterly reports
</t>
        </r>
      </text>
    </comment>
    <comment ref="B219" authorId="3" shapeId="0" xr:uid="{00000000-0006-0000-0200-000037000000}">
      <text>
        <r>
          <rPr>
            <b/>
            <sz val="9"/>
            <color indexed="81"/>
            <rFont val="Tahoma"/>
            <family val="2"/>
          </rPr>
          <t xml:space="preserve">CRISIL GR&amp;A: 
</t>
        </r>
        <r>
          <rPr>
            <sz val="9"/>
            <color indexed="81"/>
            <rFont val="Tahoma"/>
            <family val="2"/>
          </rPr>
          <t xml:space="preserve">Sourced from Bloomberg
</t>
        </r>
      </text>
    </comment>
    <comment ref="F332" authorId="3" shapeId="0" xr:uid="{00000000-0006-0000-0200-000038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Details are only available in the annual report which hasn’t been released for FY17</t>
        </r>
      </text>
    </comment>
    <comment ref="K347" authorId="6" shapeId="0" xr:uid="{00000000-0006-0000-0200-000039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L347" authorId="6" shapeId="0" xr:uid="{00000000-0006-0000-0200-00003A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B352" authorId="3" shapeId="0" xr:uid="{00000000-0006-0000-0200-00003B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Annual numbers taken from 4Q reports don’t match with sum of four quarters. Gross profit split is unavailable in annual report
</t>
        </r>
      </text>
    </comment>
    <comment ref="C353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GRUMA USA and Europe as reporting was different in FY 2014.</t>
        </r>
      </text>
    </comment>
    <comment ref="K357" authorId="6" shapeId="0" xr:uid="{00000000-0006-0000-0200-00003D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L357" authorId="6" shapeId="0" xr:uid="{00000000-0006-0000-0200-00003E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K367" authorId="6" shapeId="0" xr:uid="{00000000-0006-0000-0200-00003F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L367" authorId="6" shapeId="0" xr:uid="{00000000-0006-0000-0200-00004000000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including convenience transalation effect</t>
        </r>
      </text>
    </comment>
    <comment ref="B372" authorId="3" shapeId="0" xr:uid="{00000000-0006-0000-0200-000041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Annual numbers taken from 4Q reports don’t match with sum of four quarters. EBITDA split is unavailable in annual report
</t>
        </r>
      </text>
    </comment>
    <comment ref="C373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GRUMA USA and Europe as reporting was different in FY 2014.</t>
        </r>
      </text>
    </comment>
    <comment ref="N382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available for quarters</t>
        </r>
      </text>
    </comment>
  </commentList>
</comments>
</file>

<file path=xl/sharedStrings.xml><?xml version="1.0" encoding="utf-8"?>
<sst xmlns="http://schemas.openxmlformats.org/spreadsheetml/2006/main" count="1862" uniqueCount="366">
  <si>
    <t>1Q26</t>
  </si>
  <si>
    <t>As on 31 Mar 2026</t>
  </si>
  <si>
    <t>USD mn</t>
  </si>
  <si>
    <t>Leverage (USD)</t>
  </si>
  <si>
    <t>Company reported</t>
  </si>
  <si>
    <t>Total debt</t>
  </si>
  <si>
    <t>Senior Notes 2034  Fixed 5.39%</t>
  </si>
  <si>
    <t>Net debt/ EBITDA</t>
  </si>
  <si>
    <t>1.27x</t>
  </si>
  <si>
    <t>Senior Notes 2054 Fixed 5.76%</t>
  </si>
  <si>
    <t>Scotiabank RFC 2024 SOFR + 1.10%</t>
  </si>
  <si>
    <t>BBVA RCF 2022 SOFR + 0.75%</t>
  </si>
  <si>
    <t>Cebures Gruma21 (MXN $2,000) Fixed 7.00%</t>
  </si>
  <si>
    <t>Cebures Gruma22 (MXN $4,500) TIIE + 0.29%</t>
  </si>
  <si>
    <t>Other:</t>
  </si>
  <si>
    <t>MXN @ 7.32%</t>
  </si>
  <si>
    <t>EUR @ 0.94%</t>
  </si>
  <si>
    <t>Total Loans &amp; Borrows</t>
  </si>
  <si>
    <t>Cash &amp; Equivalents</t>
  </si>
  <si>
    <t xml:space="preserve">Net debt </t>
  </si>
  <si>
    <t>Equity</t>
  </si>
  <si>
    <t xml:space="preserve">Total Capitalisation </t>
  </si>
  <si>
    <t>LTM Adjusted EBITDA</t>
  </si>
  <si>
    <t>check</t>
  </si>
  <si>
    <t>Total leases</t>
  </si>
  <si>
    <t>Gross debt including leases</t>
  </si>
  <si>
    <t>Net debt including leases</t>
  </si>
  <si>
    <t>Gross leverage including leases</t>
  </si>
  <si>
    <t>Net leverage including leases</t>
  </si>
  <si>
    <t>Liquidity Table as of  1Q26</t>
  </si>
  <si>
    <t>Cash</t>
  </si>
  <si>
    <t>Total Liquidity</t>
  </si>
  <si>
    <t>Debt Maturity Profile as of 1Q26</t>
  </si>
  <si>
    <t>2032+</t>
  </si>
  <si>
    <t>Total debt (excluding leases)</t>
  </si>
  <si>
    <t>FY25</t>
  </si>
  <si>
    <t>As on 31 Dec 2025</t>
  </si>
  <si>
    <t>1.26x</t>
  </si>
  <si>
    <t>MXN @ 8.23%</t>
  </si>
  <si>
    <t>EUR @ 0.95%</t>
  </si>
  <si>
    <t>Liquidity Table as of  FY25</t>
  </si>
  <si>
    <t>Debt Maturity Profile as of FY25</t>
  </si>
  <si>
    <t>3Q25</t>
  </si>
  <si>
    <t>AS on 30 Sep 2025</t>
  </si>
  <si>
    <t>1.2x</t>
  </si>
  <si>
    <t>Liquidity Table as of  3Q25</t>
  </si>
  <si>
    <t>Debt Maturity Profile as of 3Q25</t>
  </si>
  <si>
    <t>2031+</t>
  </si>
  <si>
    <t>2Q25</t>
  </si>
  <si>
    <t>1.3x</t>
  </si>
  <si>
    <t>BBVA Club Loan 2023 SOFR + 1.30%</t>
  </si>
  <si>
    <t>MXN @ 9.88%</t>
  </si>
  <si>
    <t>Liquidity Table as of  2Q25</t>
  </si>
  <si>
    <t>(USD mn)</t>
  </si>
  <si>
    <t xml:space="preserve">RCF </t>
  </si>
  <si>
    <t>Debt Maturity Profile as of 2Q25</t>
  </si>
  <si>
    <t>1Q25</t>
  </si>
  <si>
    <t>Liquidity Table as of  1Q25</t>
  </si>
  <si>
    <t>Debt Maturity Profile as of 1Q25</t>
  </si>
  <si>
    <t>FY24</t>
  </si>
  <si>
    <t>Other: EUR 0.95%</t>
  </si>
  <si>
    <t>Liquidity Table as of  FY24</t>
  </si>
  <si>
    <t>Debt Maturity Profile as of FY24</t>
  </si>
  <si>
    <t>3Q24</t>
  </si>
  <si>
    <t>Leases</t>
  </si>
  <si>
    <t>4.875% Senior Notes 2024 (USD $400)</t>
  </si>
  <si>
    <t>L+ 1.00%, Rabobank Syndicated Term Loan (USD $150)</t>
  </si>
  <si>
    <t>SOFR + 1.11% , Scotiabank Club Loan 2021</t>
  </si>
  <si>
    <t>Fixed 2.79%, Scotiabank Term Loan 2019</t>
  </si>
  <si>
    <t xml:space="preserve">SOFR + 1.10%, Scotiabank RCF 2024 </t>
  </si>
  <si>
    <t xml:space="preserve">SOFR+1% BBVA commited RCF </t>
  </si>
  <si>
    <t>SOFR + 1.30%, BBVA Club Loan 2023</t>
  </si>
  <si>
    <t>7% CEBURES Gruma21 (MXN $2,000)</t>
  </si>
  <si>
    <t>TIIE+ 0.29%, CEBURES Gruma 22 (MXN $4,500)</t>
  </si>
  <si>
    <t>Others</t>
  </si>
  <si>
    <t>Liquidity Table as of  3Q24</t>
  </si>
  <si>
    <t>Debt Maturity Profile as of 3Q24</t>
  </si>
  <si>
    <t>SOFR+ 1.11%, Scotiabank Club Loan 2021</t>
  </si>
  <si>
    <t>2.79% Scotiabank Term Loan 2019 (USD $250)</t>
  </si>
  <si>
    <t xml:space="preserve">SOFR+1% Scotiabank Term Loan 2022 </t>
  </si>
  <si>
    <t xml:space="preserve">SOFR+1.3% BBVA commited RCF </t>
  </si>
  <si>
    <t>-</t>
  </si>
  <si>
    <t>Liquidity Table as of  2Q24</t>
  </si>
  <si>
    <t>Debt Maturity Profile as of 2Q24</t>
  </si>
  <si>
    <t>1.53x</t>
  </si>
  <si>
    <t>Liquidity Table as of  1Q24</t>
  </si>
  <si>
    <t>Debt Maturity Profile as of 1Q24</t>
  </si>
  <si>
    <t>Liquidity Table as of  4Q23</t>
  </si>
  <si>
    <t>Debt Maturity Profile as of 4Q23</t>
  </si>
  <si>
    <t>(USD millions)</t>
  </si>
  <si>
    <t>L+ 1.00%, Scotiabank Term Loan 2021</t>
  </si>
  <si>
    <t>2.79% Scotiabank Term Loan  (USD $250)</t>
  </si>
  <si>
    <t>Liquidity Table as of  3Q23</t>
  </si>
  <si>
    <t>Debt Maturity Profile as of 3Q23</t>
  </si>
  <si>
    <t>Liquidity Table as of  2Q23</t>
  </si>
  <si>
    <t>Debt Maturity Profile as of 2Q23</t>
  </si>
  <si>
    <t>Liquidity Table as of  1Q23</t>
  </si>
  <si>
    <t>Debt Maturity Profile as of 1Q23</t>
  </si>
  <si>
    <t>Liquidity Table as of  4Q22</t>
  </si>
  <si>
    <t>Debt Maturity Profile as of 4Q22</t>
  </si>
  <si>
    <t>Liquidity Table as of  3Q22</t>
  </si>
  <si>
    <t>Debt Maturity Profile as of 3Q22</t>
  </si>
  <si>
    <t>L + 0.75%, Scotiabank Revolving Facility (USD $120)</t>
  </si>
  <si>
    <t>8.52% CEBURES Gruma18 (MXN $3,000)</t>
  </si>
  <si>
    <t>TIIE+ 0.55%, Club Loan (MXN $2,000)</t>
  </si>
  <si>
    <t>Liquidity Table as of  2Q22</t>
  </si>
  <si>
    <t>Debt Maturity Profile as of 2Q22</t>
  </si>
  <si>
    <t>Liquidity Table as of  1Q22</t>
  </si>
  <si>
    <t>Debt Maturity Profile as of 1Q22</t>
  </si>
  <si>
    <t>Exchange rate as at 4Q21</t>
  </si>
  <si>
    <t>Exchange for 12M to 4Q21</t>
  </si>
  <si>
    <t>Pesos mn</t>
  </si>
  <si>
    <t>Leverage (Pesos)</t>
  </si>
  <si>
    <t>Liquidity Table as of  4Q21</t>
  </si>
  <si>
    <t>(Pesos mn)</t>
  </si>
  <si>
    <t>Debt Maturity Profile as of 4Q21</t>
  </si>
  <si>
    <t>Exchange rate as at 3Q21</t>
  </si>
  <si>
    <t>Exchange for 12M to 3Q21</t>
  </si>
  <si>
    <t>Liquidity Table as of  3Q21</t>
  </si>
  <si>
    <t>Debt Maturity Profile as of 3Q21</t>
  </si>
  <si>
    <t>Exchange rate as at 2Q21</t>
  </si>
  <si>
    <t>Exhange for 12M to 2Q21</t>
  </si>
  <si>
    <t>Liquidity Table as of  2Q21</t>
  </si>
  <si>
    <t>Debt Maturity Profile as of 2Q21</t>
  </si>
  <si>
    <t>Exchange rate as at 1Q21</t>
  </si>
  <si>
    <t>Exhange for 12M to 1Q21</t>
  </si>
  <si>
    <t>8.52% CEBURES 2023 (MXN $3,000)</t>
  </si>
  <si>
    <t>Liquidity Table as of  1Q21</t>
  </si>
  <si>
    <t>Debt Maturity Profile as of 1Q21</t>
  </si>
  <si>
    <t>Exchange rate as at 4Q20</t>
  </si>
  <si>
    <t>Exhange for 12M to 4Q20</t>
  </si>
  <si>
    <t>Liquidity Table as of 4Q20</t>
  </si>
  <si>
    <t>Debt Maturity Profile as of 4Q20</t>
  </si>
  <si>
    <t>Exchange rate as at 3Q20</t>
  </si>
  <si>
    <t>Exhange for 12M to 3Q20</t>
  </si>
  <si>
    <t>Liquidity Table as of 3Q20</t>
  </si>
  <si>
    <t>Debt Maturity Profile as of 3Q20</t>
  </si>
  <si>
    <t>Exchange rate as at 2Q20</t>
  </si>
  <si>
    <t>Exhange for 12M to 2Q20</t>
  </si>
  <si>
    <t>Liquidity Table as of 2Q20</t>
  </si>
  <si>
    <t>Debt Maturity Profile as of 2Q20</t>
  </si>
  <si>
    <t>Exchange rate as at 4Q19</t>
  </si>
  <si>
    <t>Exhange for 12M to 4Q19</t>
  </si>
  <si>
    <t>Liquidity Table as of 1Q20</t>
  </si>
  <si>
    <t>Debt Maturity Profile as of 1Q20</t>
  </si>
  <si>
    <t>Exchange rate as at 3Q19</t>
  </si>
  <si>
    <t>Exhange for 12M to 3Q19</t>
  </si>
  <si>
    <t>Leverage  (USD)</t>
  </si>
  <si>
    <t>Liquidity Table as of 4Q19</t>
  </si>
  <si>
    <t>Debt Maturity Profile as of 4Q19</t>
  </si>
  <si>
    <t>1.5x</t>
  </si>
  <si>
    <t>Liquidity Table as of 3Q19</t>
  </si>
  <si>
    <t>Debt Maturity Profile as of 3Q19</t>
  </si>
  <si>
    <t>Exchange rate as at 2Q19</t>
  </si>
  <si>
    <t>Exhange for 12M to 2Q19</t>
  </si>
  <si>
    <t>Senior Notes 2024 (USD $400)</t>
  </si>
  <si>
    <t>Rabobank Syndicated Term Loan (USD $150)</t>
  </si>
  <si>
    <t>Scotiabank Revolving Facility (USD $120)</t>
  </si>
  <si>
    <t>CEBURES 2023 (MXN $3,000)</t>
  </si>
  <si>
    <t>Club Loan (MXN $2,000)</t>
  </si>
  <si>
    <t>Liquidity Table as of 2Q19</t>
  </si>
  <si>
    <t>(Pesos millions)</t>
  </si>
  <si>
    <t>Debt Maturity Profile as of 2Q19</t>
  </si>
  <si>
    <t>Leases Maturity Profile as of 2Q19</t>
  </si>
  <si>
    <t>Less than one year</t>
  </si>
  <si>
    <t>Between one and five years</t>
  </si>
  <si>
    <t>More than five yeas</t>
  </si>
  <si>
    <t xml:space="preserve">Total leases </t>
  </si>
  <si>
    <t>Exchange rate as at 1Q19</t>
  </si>
  <si>
    <t>Exhange for 12M to 1Q19</t>
  </si>
  <si>
    <t>Scotiabank Syndicated Term Loan (MXN $2,000)</t>
  </si>
  <si>
    <t>Liquidity Table as of 1Q19</t>
  </si>
  <si>
    <t>Debt Maturity Profile USD (m) as of 1Q19</t>
  </si>
  <si>
    <t>Leases Maturity Profile USD (m) as of 1Q19</t>
  </si>
  <si>
    <t>Exchange rate as at 4Q18</t>
  </si>
  <si>
    <t>Exhange for 12M to 4Q18</t>
  </si>
  <si>
    <t>Rabobank Syndicated Revolving Facility (USD $250)</t>
  </si>
  <si>
    <t>Liquidity Table as of 4Q18</t>
  </si>
  <si>
    <t>Debt Maturity Profile USD (m) as of 4Q18</t>
  </si>
  <si>
    <t>Exchange rate as at 3Q18</t>
  </si>
  <si>
    <t>Exhange for 12M to 3Q18</t>
  </si>
  <si>
    <t>Liquidity Table as of 3Q18</t>
  </si>
  <si>
    <t>Debt Maturity Profile USD (m)</t>
  </si>
  <si>
    <t>Proforma</t>
  </si>
  <si>
    <t>Exchange rate as at 2Q18</t>
  </si>
  <si>
    <t>Exhange for 12M to 2Q18</t>
  </si>
  <si>
    <t>USD (m)</t>
  </si>
  <si>
    <t xml:space="preserve">Leverage </t>
  </si>
  <si>
    <t>4.875% Senior Notes 2024</t>
  </si>
  <si>
    <t>2017 Syndicated Credit Facility ($150mn) due 2019-2022</t>
  </si>
  <si>
    <t>2017 Syndicated Revolving Facility ($250 mn) due 2022</t>
  </si>
  <si>
    <t>Scotiabank Revolving Facility</t>
  </si>
  <si>
    <t>Liquidity Table as of 2Q18</t>
  </si>
  <si>
    <t>Exchange rate as at 1Q18</t>
  </si>
  <si>
    <t>Exhange for 12M to 1Q18</t>
  </si>
  <si>
    <t>Liquidity Table as of 1Q18</t>
  </si>
  <si>
    <t>Gruma SAB de CV</t>
  </si>
  <si>
    <t>Annual</t>
  </si>
  <si>
    <t>LTM</t>
  </si>
  <si>
    <t>Quarterly</t>
  </si>
  <si>
    <t>Act</t>
  </si>
  <si>
    <t>FY</t>
  </si>
  <si>
    <t>Q1</t>
  </si>
  <si>
    <t>Q2</t>
  </si>
  <si>
    <t>Q3</t>
  </si>
  <si>
    <t>Q4</t>
  </si>
  <si>
    <t>INCOME STATEMENT</t>
  </si>
  <si>
    <t>Revenues</t>
  </si>
  <si>
    <t xml:space="preserve">% y-o-y growth </t>
  </si>
  <si>
    <t>COGS</t>
  </si>
  <si>
    <t>Gross Profit</t>
  </si>
  <si>
    <t>Gross Profit margin</t>
  </si>
  <si>
    <t>Selling and administrative expenses</t>
  </si>
  <si>
    <t>Other income/ (expenses)</t>
  </si>
  <si>
    <t>Operating Profit</t>
  </si>
  <si>
    <t>Finance Income</t>
  </si>
  <si>
    <t>Finance costs</t>
  </si>
  <si>
    <t xml:space="preserve">Gain on net non-monetary position </t>
  </si>
  <si>
    <t>Profit before tax</t>
  </si>
  <si>
    <t>Income tax benefit/(expense)</t>
  </si>
  <si>
    <t>Profit/(loss) from continuing operations</t>
  </si>
  <si>
    <t>Loss  from discontinued  Operations</t>
  </si>
  <si>
    <t xml:space="preserve">Profit for the year </t>
  </si>
  <si>
    <t>As % of sales unless stated otherwise</t>
  </si>
  <si>
    <t>Finance Income as% of cash and cash equivalents</t>
  </si>
  <si>
    <t>Finance costs as % of debt</t>
  </si>
  <si>
    <t>Income tax benefit/(expense) as a % of Profit before tax</t>
  </si>
  <si>
    <t>capex/sales</t>
  </si>
  <si>
    <t>D/A/sales</t>
  </si>
  <si>
    <t xml:space="preserve">EBITDA </t>
  </si>
  <si>
    <t xml:space="preserve">Operating profit </t>
  </si>
  <si>
    <t>Depreciation &amp; amortisation</t>
  </si>
  <si>
    <t xml:space="preserve">% growth </t>
  </si>
  <si>
    <t>% margin</t>
  </si>
  <si>
    <t xml:space="preserve">Adjustment </t>
  </si>
  <si>
    <t xml:space="preserve">Adj. EBITDA </t>
  </si>
  <si>
    <t xml:space="preserve">Rent </t>
  </si>
  <si>
    <t>Adj. EBITDAR</t>
  </si>
  <si>
    <t>rent % of sales</t>
  </si>
  <si>
    <t>Adj. EBITDA (Pre IFRS16)</t>
  </si>
  <si>
    <t xml:space="preserve">Depreciation </t>
  </si>
  <si>
    <t>Amortisation</t>
  </si>
  <si>
    <t>CASH FLOW</t>
  </si>
  <si>
    <t xml:space="preserve">Adjusted EBITDA </t>
  </si>
  <si>
    <t>Working Capital</t>
  </si>
  <si>
    <t>Taxes/Other adjustments</t>
  </si>
  <si>
    <t>Cash interest paid</t>
  </si>
  <si>
    <t xml:space="preserve">Net cash from operations </t>
  </si>
  <si>
    <t>Net Capex</t>
  </si>
  <si>
    <t>Net Payment for acquisition  of intangible assets</t>
  </si>
  <si>
    <t>Disposals/ Acquisition, of subsidiaries</t>
  </si>
  <si>
    <t xml:space="preserve">Free cash flow </t>
  </si>
  <si>
    <t>Deposits interest received in investing activities</t>
  </si>
  <si>
    <t>Disposed Cash from discontinued operations and Others in investing activitiesq</t>
  </si>
  <si>
    <t>Equity Issuance/Buyback</t>
  </si>
  <si>
    <t xml:space="preserve">Dividends received  / Dividends Paid </t>
  </si>
  <si>
    <t>Acquisition of bonds</t>
  </si>
  <si>
    <t>Change in debt /Finance Costs</t>
  </si>
  <si>
    <t>Other Finance</t>
  </si>
  <si>
    <t>Cash flow after financing activities</t>
  </si>
  <si>
    <t xml:space="preserve">FX </t>
  </si>
  <si>
    <t>Balancing figure</t>
  </si>
  <si>
    <t xml:space="preserve">Net change in cash </t>
  </si>
  <si>
    <t>Cash and cash equivalents</t>
  </si>
  <si>
    <t>Check 1</t>
  </si>
  <si>
    <t>Check 2</t>
  </si>
  <si>
    <t xml:space="preserve">LTM </t>
  </si>
  <si>
    <t>EBITDA</t>
  </si>
  <si>
    <t>Adjusted EBITDA</t>
  </si>
  <si>
    <t>Adjusted EBITDA (pre IFRS16)</t>
  </si>
  <si>
    <t>Adjusted EBITDAR</t>
  </si>
  <si>
    <t>LTM Rent</t>
  </si>
  <si>
    <t>Net Income</t>
  </si>
  <si>
    <t>Capex</t>
  </si>
  <si>
    <t xml:space="preserve">BALANCE SHEET </t>
  </si>
  <si>
    <t>Tangible fixed assets</t>
  </si>
  <si>
    <t xml:space="preserve">Net pension liability </t>
  </si>
  <si>
    <t>Inventory</t>
  </si>
  <si>
    <t>Trade debtors/receivables</t>
  </si>
  <si>
    <t>Trade creditors /payables</t>
  </si>
  <si>
    <t>Net working capital</t>
  </si>
  <si>
    <t>% of revenues</t>
  </si>
  <si>
    <t>Inventory days</t>
  </si>
  <si>
    <t>Receivable days</t>
  </si>
  <si>
    <t>Payable days</t>
  </si>
  <si>
    <t xml:space="preserve">Debt  Breakdown </t>
  </si>
  <si>
    <t>Bank loans</t>
  </si>
  <si>
    <t>Finance Lease Obligations</t>
  </si>
  <si>
    <t>Purchase Obligations</t>
  </si>
  <si>
    <t>Cash and equivalents</t>
  </si>
  <si>
    <t xml:space="preserve">Gross total debt </t>
  </si>
  <si>
    <t>Finance Leases</t>
  </si>
  <si>
    <t xml:space="preserve">Net debt including Finance leases </t>
  </si>
  <si>
    <t xml:space="preserve">Gross debt including Finance leases </t>
  </si>
  <si>
    <t>Capitalized operating leases (rent*8)</t>
  </si>
  <si>
    <t>Operating Lease obligations</t>
  </si>
  <si>
    <t>Net debt- including capitalized Operating leases</t>
  </si>
  <si>
    <t>Gross debt- including capitalized Operating leases</t>
  </si>
  <si>
    <t xml:space="preserve">Hard Currency FX debt </t>
  </si>
  <si>
    <t xml:space="preserve">LC debt </t>
  </si>
  <si>
    <t>Market Cap</t>
  </si>
  <si>
    <t>Equity (as reported on balance sheet)</t>
  </si>
  <si>
    <t>Total debt + Equity</t>
  </si>
  <si>
    <t>Net debt + Market Cap</t>
  </si>
  <si>
    <t>CREDIT RATIOS</t>
  </si>
  <si>
    <t>Total Net Leverage</t>
  </si>
  <si>
    <t xml:space="preserve">Total Gross Leverage </t>
  </si>
  <si>
    <t>Total Net Leverage- including finance leases</t>
  </si>
  <si>
    <t>Total Gross Leverage - including finance leases</t>
  </si>
  <si>
    <t>Lease adjusted net leverage</t>
  </si>
  <si>
    <t>Lease adjusted gross leverage</t>
  </si>
  <si>
    <t>Adjusted EBITDA - Capex / Interest</t>
  </si>
  <si>
    <t>Adjusted EBITDA/Interest</t>
  </si>
  <si>
    <t xml:space="preserve">Gearing (Net debt / Equity) </t>
  </si>
  <si>
    <t>Summary Financials</t>
  </si>
  <si>
    <t>Adjusted EBITDA (pre -IFRS 16)</t>
  </si>
  <si>
    <t>Adjusted EBITDA (post- IFRS16)</t>
  </si>
  <si>
    <t>FX rate at the end of period - USD/USD</t>
  </si>
  <si>
    <t>FX rate average - USD/USD</t>
  </si>
  <si>
    <t>Key  Credit Metrics (USD mn where applicable)</t>
  </si>
  <si>
    <t>Adjusted EBITDA margin</t>
  </si>
  <si>
    <t>Total Debt</t>
  </si>
  <si>
    <t>Lease Adjusted Debt</t>
  </si>
  <si>
    <t>Net Debt</t>
  </si>
  <si>
    <t>Net Lease Adjusted Debt</t>
  </si>
  <si>
    <t>Gross Leverage</t>
  </si>
  <si>
    <t xml:space="preserve">Net Leverage </t>
  </si>
  <si>
    <t>Gross lease adjusted Leverage</t>
  </si>
  <si>
    <t xml:space="preserve">Net lease adjusted  Leverage </t>
  </si>
  <si>
    <t>KPIs</t>
  </si>
  <si>
    <t>Sales Volume by Subsidiary (000 metric ton)</t>
  </si>
  <si>
    <t>GRUMA USA</t>
  </si>
  <si>
    <t>GIMSA</t>
  </si>
  <si>
    <t>of which Bulk Corn Flour</t>
  </si>
  <si>
    <t>of which Retail Corn Flour</t>
  </si>
  <si>
    <t>of which Other</t>
  </si>
  <si>
    <t>GRUMA Europe</t>
  </si>
  <si>
    <t>GRUMA Centroamerica</t>
  </si>
  <si>
    <t>GRUMA ASIA &amp; OCEANIA</t>
  </si>
  <si>
    <t>Other subsidiaries &amp; eliminations</t>
  </si>
  <si>
    <t xml:space="preserve">Total </t>
  </si>
  <si>
    <t>Net sales by Subsidiary (USD millions)</t>
  </si>
  <si>
    <t>Check</t>
  </si>
  <si>
    <t>Net sales by Subsidiary (% Share)</t>
  </si>
  <si>
    <t>Net sales by Subsidiary (% YoY Growth)</t>
  </si>
  <si>
    <t>Gross Profit by Subsidiary (USD millions)</t>
  </si>
  <si>
    <t>Operating Income by Subsidiary (USD millions)</t>
  </si>
  <si>
    <t>EBITDA by Subsidiary (USD millions)</t>
  </si>
  <si>
    <t>Gruma</t>
  </si>
  <si>
    <t>Restated</t>
  </si>
  <si>
    <t>% of sales or stated otherwise</t>
  </si>
  <si>
    <t>Deposits interest received</t>
  </si>
  <si>
    <t>Disposed Cash from discontinued operations and Others</t>
  </si>
  <si>
    <t>FX rate at the end of period - MXN/USD</t>
  </si>
  <si>
    <t>FX rate average - MXN/USD</t>
  </si>
  <si>
    <t>Key  Credit Metrics (Pesos mn where applicable)</t>
  </si>
  <si>
    <t>Net sales by Subsidiary (Pesos millions)</t>
  </si>
  <si>
    <t>Gross Profit by Subsidiary (Pesos millions)</t>
  </si>
  <si>
    <t>Operating Income by Subsidiary (Pesos millions)</t>
  </si>
  <si>
    <t>EBITDA by Subsidiary (Pesos millions)</t>
  </si>
  <si>
    <t>Revenues by Geography (Pesos millions)</t>
  </si>
  <si>
    <t>United States</t>
  </si>
  <si>
    <t>Mexico</t>
  </si>
  <si>
    <t>Europe</t>
  </si>
  <si>
    <t>Central America</t>
  </si>
  <si>
    <t>Asia and Oceania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</si>
</sst>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_);\(#,##0.0\)"/>
    <numFmt numFmtId="166" formatCode="#0.0%_);\(#0.0%\)"/>
    <numFmt numFmtId="167" formatCode="#0.00\x"/>
    <numFmt numFmtId="168" formatCode="mmm\ yyyy"/>
    <numFmt numFmtId="169" formatCode="0.0%"/>
    <numFmt numFmtId="170" formatCode="_(* #,##0.0_);_(* \(#,##0.0\);_(* &quot;-&quot;??_);_(@_)"/>
    <numFmt numFmtId="171" formatCode="_(* #,##0.000_);_(* \(#,##0.000\);_(* &quot;-&quot;??_);_(@_)"/>
    <numFmt numFmtId="172" formatCode="_(* #,##0_);_(* \(#,##0\);_(* &quot;-&quot;??_);_(@_)"/>
    <numFmt numFmtId="173" formatCode="#,##0.0\ ;\(#,##0.0\)"/>
    <numFmt numFmtId="174" formatCode="&quot;$&quot;#,##0.00_)&quot;per share&quot;;\(&quot;$&quot;#,##0.00\)&quot; per share&quot;"/>
    <numFmt numFmtId="175" formatCode="0.0_)\%;\(0.0\)\%;0.0_)\%;@_)_%"/>
    <numFmt numFmtId="176" formatCode="#,##0.0_)_%;\(#,##0.0\)_%;0.0_)_%;@_)_%"/>
    <numFmt numFmtId="177" formatCode="#,##0.0_);\(#,##0.0\);#,##0.0_);@_)"/>
    <numFmt numFmtId="178" formatCode="&quot;$&quot;_(#,##0.00_);&quot;$&quot;\(#,##0.00\);&quot;$&quot;_(0.00_);@_)"/>
    <numFmt numFmtId="179" formatCode="&quot;$&quot;_(#,##0.00_);&quot;$&quot;\(#,##0.00\)"/>
    <numFmt numFmtId="180" formatCode="#,##0.00_);\(#,##0.00\);0.00_);@_)"/>
    <numFmt numFmtId="181" formatCode="\€_(#,##0.00_);\€\(#,##0.00\);\€_(0.00_);@_)"/>
    <numFmt numFmtId="182" formatCode="#,##0_)\x;\(#,##0\)\x;0_)\x;@_)_x"/>
    <numFmt numFmtId="183" formatCode="#,##0.0_)\x;\(#,##0.0\)\x"/>
    <numFmt numFmtId="184" formatCode="#,##0_)_x;\(#,##0\)_x;0_)_x;@_)_x"/>
    <numFmt numFmtId="185" formatCode="#,##0.0_)_x;\(#,##0.0\)_x"/>
    <numFmt numFmtId="186" formatCode="0.0_)\%;\(0.0\)\%"/>
    <numFmt numFmtId="187" formatCode="#,##0.0_)_%;\(#,##0.0\)_%"/>
    <numFmt numFmtId="188" formatCode="_(\£* #,##0_);_(\£* \(#,##0\);_(\£* &quot;-&quot;_);_(@_)"/>
    <numFmt numFmtId="189" formatCode="_(\£* #,##0.0_);_(\£* \(#,##0.0\);_(\£* &quot;-&quot;_);_(@_)"/>
    <numFmt numFmtId="190" formatCode="_(\£* #,##0.00_);_(\£* \(#,##0.00\);_(\£* &quot;-&quot;_);_(@_)"/>
    <numFmt numFmtId="191" formatCode="_(* #,##0\p_);_(* \(#,##0\p\);_(* &quot;-&quot;\ \p_);_(@_)"/>
    <numFmt numFmtId="192" formatCode="_(* #,##0.00\p_);_(* \(#,##0.00\p\);_(* &quot;-&quot;\ \p_);_(@_)"/>
    <numFmt numFmtId="193" formatCode="\£#,##0.00"/>
    <numFmt numFmtId="194" formatCode="&quot;$&quot;&quot; &quot;#,##0_);\(&quot;$&quot;&quot; &quot;#,##0\);\-_)"/>
    <numFmt numFmtId="195" formatCode="#,##0_);\(#,##0\);\-_)"/>
    <numFmt numFmtId="196" formatCode="&quot;$&quot;#,##0_);[Red]\(&quot;$&quot;#,##0\);&quot;-&quot;"/>
    <numFmt numFmtId="197" formatCode="[Blue]0.0%;[Blue]\-0.0%"/>
    <numFmt numFmtId="198" formatCode="\£#,##0_);\(\£#,##0\)"/>
    <numFmt numFmtId="199" formatCode="&quot;fl&quot;#,##0_);\(&quot;fl&quot;#,##0\)"/>
    <numFmt numFmtId="200" formatCode="&quot;$&quot;\ #,##0_);\(&quot;$&quot;\ #,##0\)"/>
    <numFmt numFmtId="201" formatCode="_(&quot;R$&quot;* #,##0.00_);_(&quot;R$&quot;* \(#,##0.00\);_(&quot;R$&quot;* &quot;-&quot;??_);_(@_)"/>
    <numFmt numFmtId="202" formatCode="0.0\x;[Red]\(0.0\x\)"/>
    <numFmt numFmtId="203" formatCode="#,##0.0_);\(#,##0.0\);&quot;—&quot;_)"/>
    <numFmt numFmtId="204" formatCode="&quot;$&quot;#,##0.0_);\(&quot;$&quot;#,##0.0\);&quot;—&quot;_)"/>
    <numFmt numFmtId="205" formatCode="0.000000000%"/>
    <numFmt numFmtId="206" formatCode="#,##0.0000"/>
    <numFmt numFmtId="207" formatCode="mm/dd/yy"/>
    <numFmt numFmtId="208" formatCode="&quot;$&quot;#,##0.00"/>
    <numFmt numFmtId="209" formatCode="_([$€-2]* #,##0.00_);_([$€-2]* \(#,##0.00\);_([$€-2]* &quot;-&quot;??_)"/>
    <numFmt numFmtId="210" formatCode="#&quot; mon&quot;"/>
    <numFmt numFmtId="211" formatCode="#,##0\ &quot;F&quot;;[Red]\-#,##0\ &quot;F&quot;"/>
    <numFmt numFmtId="212" formatCode="#,##0.00\ &quot;F&quot;;[Red]\-#,##0.00\ &quot;F&quot;"/>
    <numFmt numFmtId="213" formatCode="#,##0.0\x_)_);\(#,##0.0\x\)_);#,##0.0\x_)_);@_%_)"/>
    <numFmt numFmtId="214" formatCode="_(* #,##0.00\ ___);_(* \(#,##0.00\ __\);_(* &quot;-&quot;??_);_(@_)"/>
    <numFmt numFmtId="215" formatCode="0%\);[Red]\(0%"/>
    <numFmt numFmtId="216" formatCode="_(* #,##0\ ___);_(* \(#,##0\ __\);_(* &quot;-&quot;??_);_(@_)"/>
    <numFmt numFmtId="217" formatCode="_(* #,##0\ \x_);_(* \(#,##0\ \x\);_(* &quot;-&quot;??_);_(@_)"/>
    <numFmt numFmtId="218" formatCode="0%_);[Red]\(0%\)"/>
    <numFmt numFmtId="219" formatCode="_(* #,##0.0\ ___);_(* \(#,##0.0\ __\);_(* &quot;-&quot;??_);_(@_)"/>
    <numFmt numFmtId="220" formatCode="_(* #,##0.0\ \x_);_(* \(#,##0.0\ \x\);_(* &quot;-&quot;??_);_(@_)"/>
    <numFmt numFmtId="221" formatCode="#,##0&quot; F&quot;_);\(#,##0&quot; F&quot;\)"/>
    <numFmt numFmtId="222" formatCode="_(* #,##0.00_);_(* \(\ #,##0.00\ \);_(* &quot;&quot;??_);_(\ @_ \)"/>
    <numFmt numFmtId="223" formatCode="0.00_)"/>
    <numFmt numFmtId="224" formatCode="_(* #,##0.0_);_(* \(#,##0.0\);_(* &quot;-&quot;?_);_(@_)"/>
    <numFmt numFmtId="225" formatCode="0.00%\ &quot;Ramped&quot;\ "/>
    <numFmt numFmtId="226" formatCode="0.00%\ &quot;Ramped&quot;"/>
    <numFmt numFmtId="227" formatCode="0.0000"/>
    <numFmt numFmtId="228" formatCode="0.000"/>
    <numFmt numFmtId="229" formatCode="&quot;Diversity =&quot;\ #.0"/>
    <numFmt numFmtId="230" formatCode="&quot;Ratings Factor =&quot;\ #"/>
    <numFmt numFmtId="231" formatCode="&quot;Page &quot;0"/>
    <numFmt numFmtId="232" formatCode="&quot;\&quot;#,##0.00;[Red]\-&quot;\&quot;#,##0.00"/>
    <numFmt numFmtId="233" formatCode="0.0_%"/>
    <numFmt numFmtId="234" formatCode="_(0.0%;_(* \(0.0\)%"/>
    <numFmt numFmtId="235" formatCode="_(* #,##0.0000_);_(* \(#,##0.0000\);_(* &quot;-&quot;??_);_(@_)"/>
    <numFmt numFmtId="236" formatCode="0&quot; bps&quot;"/>
    <numFmt numFmtId="237" formatCode="&quot;WAS =&quot;\ #.00"/>
    <numFmt numFmtId="238" formatCode="&quot;Avg. Px.=&quot;#.00"/>
    <numFmt numFmtId="239" formatCode="&quot;WAL=&quot;#.00"/>
    <numFmt numFmtId="240" formatCode="#.00\ &quot;years&quot;"/>
    <numFmt numFmtId="241" formatCode="&quot;2nd Lien=&quot;#"/>
    <numFmt numFmtId="242" formatCode="&quot;WAPP=&quot;#.00"/>
    <numFmt numFmtId="243" formatCode="&quot;WAS=&quot;#.00"/>
    <numFmt numFmtId="244" formatCode="&quot;WAC=&quot;#.00"/>
    <numFmt numFmtId="245" formatCode="&quot;$&quot;#,##0.0_);\(&quot;$&quot;#,##0.0\)"/>
    <numFmt numFmtId="246" formatCode="#,###,;\(#,###,\)"/>
    <numFmt numFmtId="247" formatCode="000\-00\-0000"/>
    <numFmt numFmtId="248" formatCode="&quot;$&quot;#,##0.0000"/>
    <numFmt numFmtId="249" formatCode="&quot;$&quot;#,##0.000000"/>
    <numFmt numFmtId="250" formatCode="&quot;$&quot;#,##0.000"/>
    <numFmt numFmtId="251" formatCode="000000000"/>
    <numFmt numFmtId="252" formatCode="000"/>
    <numFmt numFmtId="253" formatCode="hh:mm\ AM/PM_)"/>
    <numFmt numFmtId="254" formatCode="#.0&quot;x&quot;"/>
    <numFmt numFmtId="255" formatCode="yyyy"/>
    <numFmt numFmtId="256" formatCode="\¥#,##0_);\(\¥#,##0\)"/>
    <numFmt numFmtId="257" formatCode="#0.0\x"/>
    <numFmt numFmtId="258" formatCode="0.0\x"/>
    <numFmt numFmtId="259" formatCode="0.0"/>
    <numFmt numFmtId="260" formatCode="#,##0.000"/>
    <numFmt numFmtId="261" formatCode="#,##0.00000_);\(#,##0.00000\)"/>
    <numFmt numFmtId="262" formatCode="#,##0.000_);\(#,##0.000\)"/>
    <numFmt numFmtId="263" formatCode="#,##0.0000_);\(#,##0.0000\)"/>
    <numFmt numFmtId="264" formatCode="0.0000\x"/>
    <numFmt numFmtId="265" formatCode="0.00000"/>
  </numFmts>
  <fonts count="13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0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sz val="12"/>
      <name val="Calibri"/>
      <family val="2"/>
      <scheme val="minor"/>
    </font>
    <font>
      <i/>
      <sz val="8"/>
      <name val="Calibri"/>
      <family val="2"/>
      <scheme val="minor"/>
    </font>
    <font>
      <i/>
      <sz val="10"/>
      <name val="Arial"/>
      <family val="2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2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96">
    <xf numFmtId="0" fontId="0" fillId="0" borderId="0"/>
    <xf numFmtId="173" fontId="26" fillId="0" borderId="0"/>
    <xf numFmtId="0" fontId="27" fillId="0" borderId="0">
      <alignment horizontal="right"/>
    </xf>
    <xf numFmtId="0" fontId="6" fillId="0" borderId="0"/>
    <xf numFmtId="174" fontId="22" fillId="0" borderId="0" applyFont="0" applyFill="0" applyBorder="0" applyAlignment="0"/>
    <xf numFmtId="175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177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39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2" borderId="0" applyNumberFormat="0" applyFont="0" applyAlignment="0" applyProtection="0"/>
    <xf numFmtId="0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3" fontId="6" fillId="0" borderId="0" applyFont="0" applyFill="0" applyBorder="0" applyAlignment="0" applyProtection="0"/>
    <xf numFmtId="184" fontId="6" fillId="0" borderId="0" applyFont="0" applyFill="0" applyBorder="0" applyProtection="0">
      <alignment horizontal="right"/>
    </xf>
    <xf numFmtId="185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186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9" fillId="0" borderId="0" applyNumberFormat="0" applyFill="0" applyBorder="0" applyProtection="0">
      <alignment vertical="top"/>
    </xf>
    <xf numFmtId="0" fontId="29" fillId="0" borderId="0" applyNumberFormat="0" applyFill="0" applyBorder="0" applyProtection="0">
      <alignment vertical="top"/>
    </xf>
    <xf numFmtId="0" fontId="30" fillId="0" borderId="1" applyNumberFormat="0" applyFill="0" applyAlignment="0" applyProtection="0"/>
    <xf numFmtId="0" fontId="31" fillId="0" borderId="2" applyNumberFormat="0" applyFill="0" applyProtection="0">
      <alignment horizontal="center"/>
    </xf>
    <xf numFmtId="0" fontId="31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188" fontId="33" fillId="0" borderId="0" applyFont="0" applyFill="0" applyBorder="0" applyAlignment="0" applyProtection="0"/>
    <xf numFmtId="189" fontId="33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192" fontId="33" fillId="0" borderId="0" applyFont="0" applyFill="0" applyBorder="0" applyAlignment="0" applyProtection="0"/>
    <xf numFmtId="193" fontId="34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35" fillId="0" borderId="0" applyNumberFormat="0" applyFont="0" applyFill="0" applyBorder="0" applyProtection="0">
      <alignment horizontal="centerContinuous"/>
    </xf>
    <xf numFmtId="0" fontId="3" fillId="0" borderId="0" applyNumberFormat="0" applyFill="0" applyBorder="0" applyAlignment="0">
      <protection locked="0"/>
    </xf>
    <xf numFmtId="0" fontId="36" fillId="0" borderId="0"/>
    <xf numFmtId="0" fontId="37" fillId="0" borderId="0"/>
    <xf numFmtId="0" fontId="27" fillId="0" borderId="0">
      <alignment horizontal="center" wrapText="1"/>
      <protection locked="0"/>
    </xf>
    <xf numFmtId="0" fontId="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2" fillId="3" borderId="0" applyNumberFormat="0" applyBorder="0" applyAlignment="0">
      <protection locked="0"/>
    </xf>
    <xf numFmtId="194" fontId="22" fillId="0" borderId="0" applyFont="0" applyFill="0" applyBorder="0" applyAlignment="0" applyProtection="0"/>
    <xf numFmtId="195" fontId="39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106" fillId="25" borderId="0"/>
    <xf numFmtId="0" fontId="40" fillId="0" borderId="0" applyNumberFormat="0" applyFill="0" applyBorder="0" applyAlignment="0" applyProtection="0"/>
    <xf numFmtId="197" fontId="41" fillId="0" borderId="0"/>
    <xf numFmtId="0" fontId="42" fillId="0" borderId="0" applyNumberFormat="0" applyFill="0" applyBorder="0" applyAlignment="0" applyProtection="0"/>
    <xf numFmtId="0" fontId="5" fillId="0" borderId="0"/>
    <xf numFmtId="0" fontId="43" fillId="0" borderId="0"/>
    <xf numFmtId="0" fontId="35" fillId="0" borderId="3" applyNumberFormat="0" applyFont="0" applyFill="0" applyAlignment="0" applyProtection="0"/>
    <xf numFmtId="0" fontId="44" fillId="0" borderId="4" applyFill="0" applyProtection="0">
      <alignment horizontal="right"/>
    </xf>
    <xf numFmtId="198" fontId="2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26" fillId="0" borderId="0" applyFill="0" applyBorder="0" applyAlignment="0"/>
    <xf numFmtId="0" fontId="26" fillId="0" borderId="0" applyFill="0" applyBorder="0" applyAlignment="0"/>
    <xf numFmtId="199" fontId="26" fillId="0" borderId="0" applyFill="0" applyBorder="0" applyAlignment="0"/>
    <xf numFmtId="200" fontId="26" fillId="0" borderId="0" applyFill="0" applyBorder="0" applyAlignment="0"/>
    <xf numFmtId="201" fontId="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39" fontId="27" fillId="4" borderId="0" applyNumberFormat="0" applyFont="0" applyBorder="0" applyAlignment="0"/>
    <xf numFmtId="0" fontId="46" fillId="0" borderId="0"/>
    <xf numFmtId="0" fontId="35" fillId="0" borderId="0" applyNumberFormat="0" applyFont="0" applyFill="0" applyBorder="0" applyProtection="0">
      <alignment horizontal="center"/>
    </xf>
    <xf numFmtId="49" fontId="20" fillId="0" borderId="0" applyFill="0" applyBorder="0" applyProtection="0">
      <alignment horizontal="center"/>
    </xf>
    <xf numFmtId="49" fontId="47" fillId="0" borderId="0" applyFill="0" applyBorder="0" applyProtection="0">
      <alignment horizontal="center"/>
    </xf>
    <xf numFmtId="8" fontId="6" fillId="0" borderId="5" applyFont="0" applyFill="0" applyBorder="0" applyProtection="0">
      <alignment horizontal="right"/>
    </xf>
    <xf numFmtId="0" fontId="4" fillId="0" borderId="0"/>
    <xf numFmtId="0" fontId="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9" fillId="0" borderId="3" applyNumberFormat="0" applyFill="0" applyBorder="0" applyAlignment="0" applyProtection="0">
      <alignment horizontal="center"/>
    </xf>
    <xf numFmtId="0" fontId="8" fillId="5" borderId="0"/>
    <xf numFmtId="43" fontId="1" fillId="0" borderId="0" applyFont="0" applyFill="0" applyBorder="0" applyAlignment="0" applyProtection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3" fontId="50" fillId="0" borderId="0"/>
    <xf numFmtId="0" fontId="26" fillId="0" borderId="0" applyFont="0" applyFill="0" applyBorder="0" applyAlignment="0" applyProtection="0"/>
    <xf numFmtId="170" fontId="51" fillId="0" borderId="0" applyFont="0" applyFill="0" applyBorder="0" applyAlignment="0" applyProtection="0"/>
    <xf numFmtId="40" fontId="6" fillId="0" borderId="0" applyFont="0" applyFill="0" applyBorder="0" applyProtection="0">
      <alignment horizontal="right"/>
    </xf>
    <xf numFmtId="3" fontId="6" fillId="0" borderId="0" applyFill="0" applyBorder="0" applyAlignment="0" applyProtection="0"/>
    <xf numFmtId="3" fontId="2" fillId="0" borderId="0" applyFont="0" applyFill="0" applyBorder="0" applyAlignment="0" applyProtection="0"/>
    <xf numFmtId="3" fontId="20" fillId="0" borderId="0" applyFill="0" applyBorder="0" applyAlignment="0" applyProtection="0"/>
    <xf numFmtId="38" fontId="52" fillId="0" borderId="0" applyNumberFormat="0" applyFill="0" applyBorder="0">
      <alignment vertical="center"/>
    </xf>
    <xf numFmtId="0" fontId="53" fillId="0" borderId="0" applyNumberFormat="0" applyAlignment="0">
      <alignment horizontal="left"/>
    </xf>
    <xf numFmtId="7" fontId="6" fillId="0" borderId="0" applyFont="0" applyFill="0" applyBorder="0" applyAlignment="0" applyProtection="0"/>
    <xf numFmtId="204" fontId="50" fillId="0" borderId="0"/>
    <xf numFmtId="0" fontId="26" fillId="0" borderId="0" applyFont="0" applyFill="0" applyBorder="0" applyAlignment="0" applyProtection="0"/>
    <xf numFmtId="205" fontId="22" fillId="0" borderId="0" applyFont="0" applyFill="0" applyBorder="0" applyAlignment="0" applyProtection="0"/>
    <xf numFmtId="8" fontId="35" fillId="0" borderId="0" applyBorder="0"/>
    <xf numFmtId="206" fontId="6" fillId="0" borderId="0" applyNumberFormat="0">
      <alignment horizontal="right"/>
    </xf>
    <xf numFmtId="15" fontId="6" fillId="0" borderId="0" applyFont="0" applyFill="0" applyBorder="0" applyProtection="0">
      <alignment horizontal="right"/>
    </xf>
    <xf numFmtId="14" fontId="4" fillId="0" borderId="0" applyFill="0" applyBorder="0" applyAlignment="0"/>
    <xf numFmtId="15" fontId="6" fillId="0" borderId="0" applyFont="0" applyFill="0" applyBorder="0" applyProtection="0">
      <alignment horizontal="right"/>
    </xf>
    <xf numFmtId="207" fontId="20" fillId="0" borderId="0" applyFill="0" applyBorder="0" applyProtection="0">
      <alignment horizontal="left"/>
    </xf>
    <xf numFmtId="0" fontId="6" fillId="0" borderId="0">
      <alignment horizontal="left"/>
    </xf>
    <xf numFmtId="38" fontId="54" fillId="0" borderId="6">
      <alignment vertical="center"/>
    </xf>
    <xf numFmtId="208" fontId="34" fillId="0" borderId="0" applyFont="0" applyFill="0" applyBorder="0" applyAlignment="0" applyProtection="0"/>
    <xf numFmtId="4" fontId="5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7" applyNumberFormat="0" applyFont="0" applyFill="0" applyAlignment="0" applyProtection="0"/>
    <xf numFmtId="42" fontId="56" fillId="0" borderId="0" applyFill="0" applyBorder="0" applyAlignment="0" applyProtection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57" fillId="0" borderId="0" applyNumberFormat="0" applyAlignment="0">
      <alignment horizontal="left"/>
    </xf>
    <xf numFmtId="209" fontId="6" fillId="0" borderId="0" applyFont="0" applyFill="0" applyBorder="0" applyAlignment="0" applyProtection="0"/>
    <xf numFmtId="169" fontId="35" fillId="0" borderId="0" applyNumberFormat="0" applyFont="0" applyAlignment="0">
      <alignment vertical="center"/>
    </xf>
    <xf numFmtId="0" fontId="58" fillId="0" borderId="0">
      <alignment horizontal="center"/>
    </xf>
    <xf numFmtId="0" fontId="59" fillId="0" borderId="0" applyNumberFormat="0" applyFill="0" applyBorder="0" applyAlignment="0" applyProtection="0"/>
    <xf numFmtId="38" fontId="2" fillId="6" borderId="0" applyNumberFormat="0" applyBorder="0" applyAlignment="0" applyProtection="0"/>
    <xf numFmtId="0" fontId="5" fillId="7" borderId="8" applyAlignment="0" applyProtection="0"/>
    <xf numFmtId="0" fontId="60" fillId="0" borderId="3" applyFill="0" applyProtection="0">
      <alignment horizontal="centerContinuous"/>
    </xf>
    <xf numFmtId="41" fontId="61" fillId="0" borderId="0">
      <alignment horizontal="center"/>
    </xf>
    <xf numFmtId="0" fontId="6" fillId="0" borderId="0">
      <alignment horizontal="center"/>
    </xf>
    <xf numFmtId="0" fontId="6" fillId="0" borderId="0">
      <alignment horizontal="left"/>
    </xf>
    <xf numFmtId="0" fontId="6" fillId="0" borderId="0">
      <alignment horizontal="right"/>
    </xf>
    <xf numFmtId="0" fontId="62" fillId="8" borderId="0"/>
    <xf numFmtId="0" fontId="63" fillId="0" borderId="0">
      <alignment horizontal="center" vertical="center"/>
    </xf>
    <xf numFmtId="0" fontId="64" fillId="0" borderId="9" applyNumberFormat="0" applyAlignment="0" applyProtection="0">
      <alignment horizontal="left" vertical="center"/>
    </xf>
    <xf numFmtId="0" fontId="64" fillId="0" borderId="8">
      <alignment horizontal="left" vertical="center"/>
    </xf>
    <xf numFmtId="0" fontId="65" fillId="0" borderId="0">
      <alignment horizontal="center"/>
    </xf>
    <xf numFmtId="0" fontId="66" fillId="0" borderId="0" applyFill="0" applyBorder="0" applyProtection="0">
      <alignment horizontal="right"/>
    </xf>
    <xf numFmtId="0" fontId="67" fillId="0" borderId="10">
      <alignment horizontal="center"/>
    </xf>
    <xf numFmtId="0" fontId="67" fillId="0" borderId="0">
      <alignment horizontal="center"/>
    </xf>
    <xf numFmtId="10" fontId="40" fillId="0" borderId="0" applyNumberFormat="0" applyFill="0" applyBorder="0" applyAlignment="0" applyProtection="0">
      <alignment horizontal="right"/>
    </xf>
    <xf numFmtId="10" fontId="2" fillId="9" borderId="11" applyNumberFormat="0" applyBorder="0" applyAlignment="0" applyProtection="0"/>
    <xf numFmtId="0" fontId="9" fillId="0" borderId="0"/>
    <xf numFmtId="0" fontId="68" fillId="0" borderId="0"/>
    <xf numFmtId="0" fontId="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9" fontId="2" fillId="0" borderId="0" applyFont="0" applyFill="0" applyBorder="0" applyProtection="0">
      <alignment horizontal="left"/>
    </xf>
    <xf numFmtId="49" fontId="20" fillId="0" borderId="0" applyFill="0" applyBorder="0" applyProtection="0">
      <alignment horizontal="left"/>
    </xf>
    <xf numFmtId="49" fontId="20" fillId="0" borderId="3" applyFill="0" applyProtection="0">
      <alignment horizontal="left"/>
    </xf>
    <xf numFmtId="49" fontId="20" fillId="0" borderId="12" applyFill="0" applyProtection="0">
      <alignment horizontal="left"/>
    </xf>
    <xf numFmtId="0" fontId="69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165" fontId="6" fillId="0" borderId="0" applyNumberFormat="0" applyFont="0" applyFill="0" applyBorder="0" applyAlignment="0"/>
    <xf numFmtId="17" fontId="22" fillId="0" borderId="0"/>
    <xf numFmtId="0" fontId="27" fillId="0" borderId="0" applyNumberFormat="0" applyFill="0" applyBorder="0" applyProtection="0"/>
    <xf numFmtId="0" fontId="22" fillId="0" borderId="0" applyNumberFormat="0" applyFill="0" applyBorder="0" applyProtection="0"/>
    <xf numFmtId="38" fontId="70" fillId="0" borderId="0" applyNumberFormat="0" applyFill="0" applyBorder="0">
      <alignment horizontal="left" vertical="center"/>
    </xf>
    <xf numFmtId="164" fontId="6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169" fontId="72" fillId="0" borderId="0" applyFill="0" applyBorder="0">
      <alignment vertical="center"/>
    </xf>
    <xf numFmtId="210" fontId="27" fillId="0" borderId="0">
      <alignment horizontal="center"/>
    </xf>
    <xf numFmtId="211" fontId="71" fillId="0" borderId="0" applyFont="0" applyFill="0" applyBorder="0" applyAlignment="0" applyProtection="0"/>
    <xf numFmtId="212" fontId="71" fillId="0" borderId="0" applyFont="0" applyFill="0" applyBorder="0" applyAlignment="0" applyProtection="0"/>
    <xf numFmtId="7" fontId="6" fillId="0" borderId="0"/>
    <xf numFmtId="213" fontId="73" fillId="0" borderId="0" applyFont="0" applyFill="0" applyBorder="0" applyProtection="0">
      <alignment horizontal="right"/>
    </xf>
    <xf numFmtId="214" fontId="55" fillId="0" borderId="0" applyFont="0" applyFill="0" applyBorder="0" applyAlignment="0" applyProtection="0"/>
    <xf numFmtId="215" fontId="22" fillId="0" borderId="0" applyFont="0" applyFill="0" applyBorder="0" applyAlignment="0" applyProtection="0"/>
    <xf numFmtId="216" fontId="55" fillId="0" borderId="0" applyFont="0" applyFill="0" applyBorder="0" applyAlignment="0" applyProtection="0"/>
    <xf numFmtId="217" fontId="27" fillId="0" borderId="0" applyFont="0" applyFill="0" applyBorder="0" applyAlignment="0" applyProtection="0"/>
    <xf numFmtId="218" fontId="22" fillId="0" borderId="0" applyFont="0" applyFill="0" applyBorder="0" applyAlignment="0" applyProtection="0"/>
    <xf numFmtId="219" fontId="55" fillId="0" borderId="0" applyFont="0" applyFill="0" applyBorder="0" applyAlignment="0" applyProtection="0"/>
    <xf numFmtId="220" fontId="55" fillId="0" borderId="0" applyFont="0" applyFill="0" applyBorder="0" applyAlignment="0" applyProtection="0"/>
    <xf numFmtId="221" fontId="22" fillId="0" borderId="0" applyFont="0" applyFill="0" applyBorder="0" applyAlignment="0" applyProtection="0"/>
    <xf numFmtId="222" fontId="6" fillId="0" borderId="0"/>
    <xf numFmtId="0" fontId="10" fillId="10" borderId="0"/>
    <xf numFmtId="0" fontId="11" fillId="11" borderId="0"/>
    <xf numFmtId="0" fontId="12" fillId="0" borderId="0"/>
    <xf numFmtId="223" fontId="74" fillId="0" borderId="0"/>
    <xf numFmtId="0" fontId="6" fillId="0" borderId="0"/>
    <xf numFmtId="0" fontId="6" fillId="0" borderId="0"/>
    <xf numFmtId="0" fontId="75" fillId="0" borderId="0">
      <alignment horizontal="center"/>
    </xf>
    <xf numFmtId="0" fontId="23" fillId="0" borderId="0">
      <alignment horizontal="center" vertical="center"/>
    </xf>
    <xf numFmtId="0" fontId="22" fillId="0" borderId="13"/>
    <xf numFmtId="0" fontId="22" fillId="0" borderId="14"/>
    <xf numFmtId="49" fontId="22" fillId="0" borderId="14">
      <alignment horizontal="left"/>
    </xf>
    <xf numFmtId="0" fontId="22" fillId="0" borderId="15"/>
    <xf numFmtId="0" fontId="22" fillId="0" borderId="3"/>
    <xf numFmtId="0" fontId="22" fillId="0" borderId="16"/>
    <xf numFmtId="0" fontId="22" fillId="6" borderId="17"/>
    <xf numFmtId="0" fontId="23" fillId="6" borderId="12">
      <alignment horizontal="left"/>
    </xf>
    <xf numFmtId="0" fontId="23" fillId="6" borderId="18">
      <alignment horizontal="left"/>
    </xf>
    <xf numFmtId="0" fontId="22" fillId="6" borderId="12"/>
    <xf numFmtId="0" fontId="22" fillId="0" borderId="0">
      <alignment horizontal="left"/>
    </xf>
    <xf numFmtId="0" fontId="23" fillId="6" borderId="12">
      <alignment horizontal="left"/>
    </xf>
    <xf numFmtId="0" fontId="39" fillId="6" borderId="12">
      <alignment horizontal="left"/>
    </xf>
    <xf numFmtId="0" fontId="22" fillId="6" borderId="18"/>
    <xf numFmtId="0" fontId="22" fillId="0" borderId="13">
      <alignment horizontal="left"/>
    </xf>
    <xf numFmtId="0" fontId="22" fillId="0" borderId="0">
      <alignment horizontal="left"/>
    </xf>
    <xf numFmtId="0" fontId="22" fillId="0" borderId="14">
      <alignment horizontal="center"/>
    </xf>
    <xf numFmtId="0" fontId="22" fillId="0" borderId="0">
      <alignment horizontal="left"/>
    </xf>
    <xf numFmtId="0" fontId="23" fillId="6" borderId="17">
      <alignment horizontal="left"/>
    </xf>
    <xf numFmtId="0" fontId="22" fillId="0" borderId="13">
      <alignment horizontal="left"/>
    </xf>
    <xf numFmtId="0" fontId="22" fillId="0" borderId="13">
      <alignment horizontal="right"/>
    </xf>
    <xf numFmtId="172" fontId="23" fillId="0" borderId="0"/>
    <xf numFmtId="0" fontId="22" fillId="0" borderId="13"/>
    <xf numFmtId="169" fontId="22" fillId="0" borderId="14"/>
    <xf numFmtId="0" fontId="22" fillId="0" borderId="13"/>
    <xf numFmtId="0" fontId="22" fillId="0" borderId="13">
      <alignment horizontal="left"/>
    </xf>
    <xf numFmtId="0" fontId="23" fillId="6" borderId="17"/>
    <xf numFmtId="0" fontId="76" fillId="6" borderId="13">
      <alignment horizontal="left"/>
    </xf>
    <xf numFmtId="0" fontId="22" fillId="6" borderId="14"/>
    <xf numFmtId="0" fontId="23" fillId="6" borderId="13">
      <alignment horizontal="left"/>
    </xf>
    <xf numFmtId="0" fontId="22" fillId="0" borderId="13">
      <alignment horizontal="left"/>
    </xf>
    <xf numFmtId="0" fontId="22" fillId="0" borderId="13">
      <alignment horizontal="left"/>
    </xf>
    <xf numFmtId="14" fontId="75" fillId="0" borderId="0">
      <alignment horizontal="center"/>
    </xf>
    <xf numFmtId="49" fontId="77" fillId="0" borderId="13">
      <alignment horizontal="left"/>
    </xf>
    <xf numFmtId="0" fontId="77" fillId="0" borderId="13"/>
    <xf numFmtId="0" fontId="23" fillId="6" borderId="13">
      <alignment horizontal="left"/>
    </xf>
    <xf numFmtId="0" fontId="23" fillId="6" borderId="13"/>
    <xf numFmtId="49" fontId="22" fillId="0" borderId="14">
      <alignment horizontal="left"/>
    </xf>
    <xf numFmtId="0" fontId="75" fillId="0" borderId="13"/>
    <xf numFmtId="0" fontId="75" fillId="0" borderId="0">
      <alignment horizontal="center"/>
    </xf>
    <xf numFmtId="14" fontId="75" fillId="0" borderId="0">
      <alignment horizontal="center"/>
    </xf>
    <xf numFmtId="0" fontId="75" fillId="0" borderId="15"/>
    <xf numFmtId="0" fontId="22" fillId="0" borderId="3">
      <alignment horizontal="center"/>
    </xf>
    <xf numFmtId="0" fontId="22" fillId="0" borderId="0"/>
    <xf numFmtId="0" fontId="75" fillId="0" borderId="3">
      <alignment horizontal="center"/>
    </xf>
    <xf numFmtId="14" fontId="75" fillId="0" borderId="3">
      <alignment horizontal="center"/>
    </xf>
    <xf numFmtId="0" fontId="23" fillId="0" borderId="0">
      <alignment horizontal="left" vertical="center" wrapText="1"/>
    </xf>
    <xf numFmtId="0" fontId="23" fillId="6" borderId="9">
      <alignment horizontal="left" wrapText="1"/>
    </xf>
    <xf numFmtId="0" fontId="23" fillId="0" borderId="0">
      <alignment horizontal="right" vertical="center"/>
    </xf>
    <xf numFmtId="172" fontId="23" fillId="0" borderId="0">
      <alignment horizontal="right"/>
    </xf>
    <xf numFmtId="14" fontId="78" fillId="0" borderId="0">
      <alignment horizontal="center"/>
    </xf>
    <xf numFmtId="0" fontId="23" fillId="6" borderId="19">
      <alignment horizontal="center" wrapText="1"/>
    </xf>
    <xf numFmtId="0" fontId="55" fillId="0" borderId="0">
      <alignment horizontal="center" vertical="center"/>
    </xf>
    <xf numFmtId="1" fontId="79" fillId="0" borderId="0">
      <alignment horizontal="center" wrapText="1"/>
    </xf>
    <xf numFmtId="0" fontId="23" fillId="6" borderId="9">
      <alignment horizontal="center" wrapText="1"/>
    </xf>
    <xf numFmtId="0" fontId="79" fillId="6" borderId="20">
      <alignment horizontal="center" wrapText="1"/>
    </xf>
    <xf numFmtId="0" fontId="79" fillId="6" borderId="19">
      <alignment horizontal="left" wrapText="1"/>
    </xf>
    <xf numFmtId="0" fontId="22" fillId="0" borderId="14">
      <alignment horizontal="left"/>
    </xf>
    <xf numFmtId="0" fontId="55" fillId="0" borderId="0">
      <alignment horizontal="center"/>
    </xf>
    <xf numFmtId="2" fontId="55" fillId="12" borderId="0">
      <alignment horizontal="center"/>
    </xf>
    <xf numFmtId="0" fontId="22" fillId="0" borderId="0">
      <alignment horizontal="left" vertical="top"/>
    </xf>
    <xf numFmtId="16" fontId="22" fillId="0" borderId="0"/>
    <xf numFmtId="0" fontId="22" fillId="12" borderId="0"/>
    <xf numFmtId="14" fontId="22" fillId="0" borderId="0">
      <alignment horizontal="center"/>
    </xf>
    <xf numFmtId="2" fontId="55" fillId="0" borderId="12">
      <alignment horizontal="center" vertical="center"/>
    </xf>
    <xf numFmtId="0" fontId="23" fillId="6" borderId="0">
      <alignment horizontal="center"/>
    </xf>
    <xf numFmtId="2" fontId="55" fillId="0" borderId="0">
      <alignment horizontal="center"/>
    </xf>
    <xf numFmtId="2" fontId="55" fillId="0" borderId="0">
      <alignment horizontal="center"/>
    </xf>
    <xf numFmtId="0" fontId="22" fillId="0" borderId="0">
      <alignment horizontal="left" vertical="top"/>
    </xf>
    <xf numFmtId="15" fontId="22" fillId="0" borderId="0">
      <alignment horizontal="left" vertical="top"/>
    </xf>
    <xf numFmtId="0" fontId="22" fillId="0" borderId="0">
      <alignment horizontal="left" vertical="top"/>
    </xf>
    <xf numFmtId="14" fontId="22" fillId="0" borderId="0">
      <alignment horizontal="center" vertical="top"/>
    </xf>
    <xf numFmtId="0" fontId="55" fillId="0" borderId="0"/>
    <xf numFmtId="0" fontId="79" fillId="0" borderId="3"/>
    <xf numFmtId="14" fontId="79" fillId="0" borderId="3"/>
    <xf numFmtId="2" fontId="55" fillId="0" borderId="3">
      <alignment horizontal="center"/>
    </xf>
    <xf numFmtId="0" fontId="22" fillId="0" borderId="0">
      <alignment horizontal="center"/>
    </xf>
    <xf numFmtId="2" fontId="55" fillId="0" borderId="3">
      <alignment horizontal="center"/>
    </xf>
    <xf numFmtId="0" fontId="55" fillId="0" borderId="3"/>
    <xf numFmtId="0" fontId="55" fillId="0" borderId="3">
      <alignment horizontal="center"/>
    </xf>
    <xf numFmtId="0" fontId="55" fillId="0" borderId="3">
      <alignment horizontal="center"/>
    </xf>
    <xf numFmtId="0" fontId="23" fillId="0" borderId="0">
      <alignment horizontal="left" vertical="top"/>
    </xf>
    <xf numFmtId="0" fontId="23" fillId="0" borderId="0">
      <alignment horizontal="left" vertical="top"/>
    </xf>
    <xf numFmtId="0" fontId="22" fillId="0" borderId="0">
      <alignment horizontal="center" vertical="top"/>
    </xf>
    <xf numFmtId="43" fontId="55" fillId="0" borderId="0">
      <alignment horizontal="left"/>
    </xf>
    <xf numFmtId="172" fontId="22" fillId="0" borderId="0"/>
    <xf numFmtId="0" fontId="22" fillId="0" borderId="0">
      <alignment horizontal="center"/>
    </xf>
    <xf numFmtId="0" fontId="75" fillId="0" borderId="0"/>
    <xf numFmtId="43" fontId="22" fillId="0" borderId="0"/>
    <xf numFmtId="1" fontId="22" fillId="0" borderId="0"/>
    <xf numFmtId="0" fontId="23" fillId="0" borderId="0"/>
    <xf numFmtId="43" fontId="22" fillId="0" borderId="0">
      <alignment horizontal="center"/>
    </xf>
    <xf numFmtId="43" fontId="22" fillId="0" borderId="21"/>
    <xf numFmtId="43" fontId="22" fillId="0" borderId="22"/>
    <xf numFmtId="0" fontId="22" fillId="0" borderId="10"/>
    <xf numFmtId="43" fontId="22" fillId="0" borderId="0"/>
    <xf numFmtId="1" fontId="79" fillId="0" borderId="16">
      <alignment horizontal="center" wrapText="1"/>
    </xf>
    <xf numFmtId="0" fontId="55" fillId="0" borderId="0">
      <alignment horizontal="center"/>
    </xf>
    <xf numFmtId="0" fontId="22" fillId="0" borderId="0">
      <alignment horizontal="left"/>
    </xf>
    <xf numFmtId="0" fontId="55" fillId="0" borderId="0"/>
    <xf numFmtId="43" fontId="22" fillId="0" borderId="0">
      <alignment horizontal="center"/>
    </xf>
    <xf numFmtId="0" fontId="23" fillId="0" borderId="3">
      <alignment horizontal="left" vertical="top"/>
    </xf>
    <xf numFmtId="0" fontId="22" fillId="0" borderId="3">
      <alignment horizontal="center" vertical="top"/>
    </xf>
    <xf numFmtId="14" fontId="22" fillId="0" borderId="3">
      <alignment horizontal="center" vertical="top"/>
    </xf>
    <xf numFmtId="15" fontId="22" fillId="0" borderId="3">
      <alignment horizontal="left" vertical="top"/>
    </xf>
    <xf numFmtId="0" fontId="25" fillId="0" borderId="0"/>
    <xf numFmtId="224" fontId="22" fillId="0" borderId="0">
      <alignment vertical="top"/>
    </xf>
    <xf numFmtId="0" fontId="22" fillId="0" borderId="3">
      <alignment horizontal="left" vertical="top"/>
    </xf>
    <xf numFmtId="0" fontId="22" fillId="0" borderId="0">
      <alignment horizontal="center" wrapText="1"/>
    </xf>
    <xf numFmtId="0" fontId="22" fillId="0" borderId="0">
      <alignment horizontal="center"/>
    </xf>
    <xf numFmtId="0" fontId="22" fillId="0" borderId="0">
      <alignment horizontal="center" vertical="top"/>
    </xf>
    <xf numFmtId="0" fontId="23" fillId="0" borderId="0"/>
    <xf numFmtId="14" fontId="22" fillId="0" borderId="0">
      <alignment horizontal="center"/>
    </xf>
    <xf numFmtId="14" fontId="22" fillId="0" borderId="0">
      <alignment horizontal="left" vertical="top"/>
    </xf>
    <xf numFmtId="41" fontId="22" fillId="0" borderId="0"/>
    <xf numFmtId="3" fontId="23" fillId="0" borderId="23">
      <alignment horizontal="right" vertical="center"/>
    </xf>
    <xf numFmtId="172" fontId="23" fillId="0" borderId="22">
      <alignment horizontal="right"/>
    </xf>
    <xf numFmtId="225" fontId="79" fillId="0" borderId="0">
      <alignment wrapText="1"/>
    </xf>
    <xf numFmtId="0" fontId="22" fillId="0" borderId="0">
      <alignment horizontal="center"/>
    </xf>
    <xf numFmtId="226" fontId="23" fillId="0" borderId="10"/>
    <xf numFmtId="226" fontId="23" fillId="0" borderId="0"/>
    <xf numFmtId="0" fontId="22" fillId="0" borderId="0">
      <alignment vertical="top"/>
    </xf>
    <xf numFmtId="3" fontId="23" fillId="0" borderId="21">
      <alignment horizontal="right" vertical="center"/>
    </xf>
    <xf numFmtId="0" fontId="79" fillId="0" borderId="15">
      <alignment horizontal="center" wrapText="1"/>
    </xf>
    <xf numFmtId="3" fontId="23" fillId="0" borderId="24">
      <alignment horizontal="right" vertical="center"/>
    </xf>
    <xf numFmtId="3" fontId="23" fillId="0" borderId="0">
      <alignment horizontal="right" vertical="center"/>
    </xf>
    <xf numFmtId="172" fontId="23" fillId="0" borderId="10">
      <alignment horizontal="right"/>
    </xf>
    <xf numFmtId="0" fontId="4" fillId="0" borderId="25">
      <alignment wrapText="1"/>
    </xf>
    <xf numFmtId="227" fontId="4" fillId="0" borderId="25">
      <alignment horizontal="right" wrapText="1"/>
    </xf>
    <xf numFmtId="4" fontId="22" fillId="0" borderId="0">
      <alignment horizontal="center"/>
    </xf>
    <xf numFmtId="0" fontId="23" fillId="6" borderId="9">
      <alignment horizontal="center"/>
    </xf>
    <xf numFmtId="0" fontId="23" fillId="6" borderId="20">
      <alignment horizontal="center"/>
    </xf>
    <xf numFmtId="14" fontId="22" fillId="0" borderId="0">
      <alignment horizontal="center" vertical="top"/>
    </xf>
    <xf numFmtId="0" fontId="22" fillId="13" borderId="0">
      <alignment vertical="top"/>
    </xf>
    <xf numFmtId="0" fontId="22" fillId="13" borderId="0"/>
    <xf numFmtId="0" fontId="4" fillId="0" borderId="25">
      <alignment wrapText="1"/>
    </xf>
    <xf numFmtId="228" fontId="26" fillId="0" borderId="0">
      <alignment horizontal="right" vertical="center" wrapText="1"/>
    </xf>
    <xf numFmtId="0" fontId="26" fillId="0" borderId="0">
      <alignment horizontal="right" vertical="center" wrapText="1"/>
    </xf>
    <xf numFmtId="0" fontId="4" fillId="0" borderId="0">
      <alignment wrapText="1"/>
    </xf>
    <xf numFmtId="172" fontId="22" fillId="0" borderId="0"/>
    <xf numFmtId="0" fontId="22" fillId="13" borderId="0">
      <alignment horizontal="center"/>
    </xf>
    <xf numFmtId="0" fontId="23" fillId="13" borderId="0"/>
    <xf numFmtId="0" fontId="22" fillId="13" borderId="0">
      <alignment horizontal="center" vertical="top"/>
    </xf>
    <xf numFmtId="0" fontId="22" fillId="0" borderId="0">
      <alignment vertical="top"/>
    </xf>
    <xf numFmtId="14" fontId="22" fillId="13" borderId="0">
      <alignment horizontal="center" vertical="top"/>
    </xf>
    <xf numFmtId="15" fontId="22" fillId="13" borderId="0">
      <alignment horizontal="left" vertical="top"/>
    </xf>
    <xf numFmtId="0" fontId="22" fillId="13" borderId="0">
      <alignment horizontal="left" vertical="top"/>
    </xf>
    <xf numFmtId="14" fontId="22" fillId="13" borderId="0">
      <alignment horizontal="left" vertical="top"/>
    </xf>
    <xf numFmtId="0" fontId="22" fillId="14" borderId="0">
      <alignment horizontal="center"/>
    </xf>
    <xf numFmtId="0" fontId="23" fillId="14" borderId="0"/>
    <xf numFmtId="0" fontId="22" fillId="14" borderId="0">
      <alignment horizontal="center" vertical="top"/>
    </xf>
    <xf numFmtId="14" fontId="22" fillId="14" borderId="0">
      <alignment horizontal="center" vertical="top"/>
    </xf>
    <xf numFmtId="0" fontId="22" fillId="14" borderId="0">
      <alignment vertical="top"/>
    </xf>
    <xf numFmtId="15" fontId="22" fillId="14" borderId="0">
      <alignment horizontal="left" vertical="top"/>
    </xf>
    <xf numFmtId="15" fontId="75" fillId="0" borderId="0">
      <alignment horizontal="left"/>
    </xf>
    <xf numFmtId="0" fontId="22" fillId="14" borderId="0">
      <alignment horizontal="left" vertical="top"/>
    </xf>
    <xf numFmtId="172" fontId="22" fillId="14" borderId="0">
      <alignment vertical="top"/>
    </xf>
    <xf numFmtId="14" fontId="22" fillId="14" borderId="0">
      <alignment horizontal="left" vertical="top"/>
    </xf>
    <xf numFmtId="0" fontId="22" fillId="14" borderId="0">
      <alignment horizontal="center"/>
    </xf>
    <xf numFmtId="0" fontId="22" fillId="14" borderId="0"/>
    <xf numFmtId="0" fontId="23" fillId="14" borderId="0">
      <alignment horizontal="left" vertical="top"/>
    </xf>
    <xf numFmtId="14" fontId="22" fillId="14" borderId="0">
      <alignment horizontal="center" vertical="top"/>
    </xf>
    <xf numFmtId="0" fontId="55" fillId="14" borderId="0">
      <alignment horizontal="center"/>
    </xf>
    <xf numFmtId="0" fontId="75" fillId="14" borderId="0">
      <alignment horizontal="center"/>
    </xf>
    <xf numFmtId="0" fontId="22" fillId="14" borderId="0"/>
    <xf numFmtId="0" fontId="55" fillId="0" borderId="0"/>
    <xf numFmtId="0" fontId="23" fillId="0" borderId="0">
      <alignment horizontal="center"/>
    </xf>
    <xf numFmtId="0" fontId="23" fillId="0" borderId="0">
      <alignment horizontal="center"/>
    </xf>
    <xf numFmtId="172" fontId="23" fillId="6" borderId="23">
      <alignment horizontal="center"/>
    </xf>
    <xf numFmtId="172" fontId="23" fillId="6" borderId="24">
      <alignment horizontal="center"/>
    </xf>
    <xf numFmtId="2" fontId="55" fillId="0" borderId="0"/>
    <xf numFmtId="0" fontId="55" fillId="0" borderId="0"/>
    <xf numFmtId="2" fontId="55" fillId="0" borderId="0">
      <alignment horizontal="center"/>
    </xf>
    <xf numFmtId="0" fontId="55" fillId="0" borderId="0">
      <alignment horizontal="center"/>
    </xf>
    <xf numFmtId="0" fontId="75" fillId="0" borderId="0">
      <alignment wrapText="1"/>
    </xf>
    <xf numFmtId="0" fontId="55" fillId="0" borderId="0">
      <alignment horizontal="center"/>
    </xf>
    <xf numFmtId="0" fontId="79" fillId="0" borderId="0">
      <alignment horizontal="left" vertical="center"/>
    </xf>
    <xf numFmtId="2" fontId="55" fillId="0" borderId="12">
      <alignment horizontal="center" vertical="center"/>
    </xf>
    <xf numFmtId="0" fontId="55" fillId="0" borderId="12">
      <alignment horizontal="center" vertical="center"/>
    </xf>
    <xf numFmtId="0" fontId="55" fillId="0" borderId="18">
      <alignment horizontal="center" vertical="center"/>
    </xf>
    <xf numFmtId="0" fontId="55" fillId="0" borderId="0">
      <alignment horizontal="center" vertical="center"/>
    </xf>
    <xf numFmtId="0" fontId="55" fillId="0" borderId="0">
      <alignment horizontal="left" vertical="center"/>
    </xf>
    <xf numFmtId="0" fontId="79" fillId="0" borderId="0">
      <alignment horizontal="left"/>
    </xf>
    <xf numFmtId="0" fontId="79" fillId="0" borderId="0">
      <alignment horizontal="left"/>
    </xf>
    <xf numFmtId="0" fontId="79" fillId="0" borderId="0">
      <alignment horizontal="center"/>
    </xf>
    <xf numFmtId="0" fontId="22" fillId="0" borderId="0">
      <alignment horizontal="center" vertical="center" wrapText="1"/>
    </xf>
    <xf numFmtId="0" fontId="79" fillId="0" borderId="0">
      <alignment horizontal="center" wrapText="1"/>
    </xf>
    <xf numFmtId="0" fontId="79" fillId="0" borderId="13">
      <alignment horizontal="center" wrapText="1"/>
    </xf>
    <xf numFmtId="1" fontId="79" fillId="0" borderId="14">
      <alignment horizontal="center" wrapText="1"/>
    </xf>
    <xf numFmtId="0" fontId="79" fillId="0" borderId="0">
      <alignment horizontal="center"/>
    </xf>
    <xf numFmtId="229" fontId="79" fillId="0" borderId="0">
      <alignment horizontal="center" wrapText="1"/>
    </xf>
    <xf numFmtId="43" fontId="79" fillId="0" borderId="0"/>
    <xf numFmtId="0" fontId="79" fillId="0" borderId="0"/>
    <xf numFmtId="0" fontId="55" fillId="0" borderId="0">
      <alignment wrapText="1"/>
    </xf>
    <xf numFmtId="0" fontId="79" fillId="0" borderId="0">
      <alignment horizontal="center" wrapText="1"/>
    </xf>
    <xf numFmtId="0" fontId="79" fillId="0" borderId="0">
      <alignment horizontal="center" wrapText="1"/>
    </xf>
    <xf numFmtId="43" fontId="22" fillId="0" borderId="0">
      <alignment horizontal="center" vertical="center" wrapText="1"/>
    </xf>
    <xf numFmtId="0" fontId="79" fillId="0" borderId="0">
      <alignment horizontal="center" wrapText="1"/>
    </xf>
    <xf numFmtId="230" fontId="79" fillId="0" borderId="0">
      <alignment horizontal="center" wrapText="1"/>
    </xf>
    <xf numFmtId="0" fontId="79" fillId="6" borderId="9">
      <alignment horizontal="center" wrapText="1"/>
    </xf>
    <xf numFmtId="2" fontId="79" fillId="6" borderId="9">
      <alignment horizontal="center" wrapText="1"/>
    </xf>
    <xf numFmtId="0" fontId="79" fillId="6" borderId="9">
      <alignment horizontal="center" wrapText="1"/>
    </xf>
    <xf numFmtId="0" fontId="79" fillId="0" borderId="0">
      <alignment horizontal="center" wrapText="1"/>
    </xf>
    <xf numFmtId="0" fontId="22" fillId="0" borderId="0"/>
    <xf numFmtId="0" fontId="22" fillId="0" borderId="0"/>
    <xf numFmtId="0" fontId="80" fillId="0" borderId="0">
      <alignment horizontal="left" vertical="center"/>
    </xf>
    <xf numFmtId="172" fontId="80" fillId="0" borderId="0">
      <alignment horizontal="left" vertical="center"/>
    </xf>
    <xf numFmtId="0" fontId="23" fillId="0" borderId="0">
      <alignment horizontal="center" vertical="center" wrapText="1"/>
    </xf>
    <xf numFmtId="0" fontId="80" fillId="0" borderId="0">
      <alignment horizontal="center" vertical="center"/>
    </xf>
    <xf numFmtId="0" fontId="23" fillId="0" borderId="23">
      <alignment horizontal="left"/>
    </xf>
    <xf numFmtId="41" fontId="23" fillId="0" borderId="26"/>
    <xf numFmtId="0" fontId="23" fillId="0" borderId="23"/>
    <xf numFmtId="41" fontId="23" fillId="0" borderId="0"/>
    <xf numFmtId="0" fontId="23" fillId="0" borderId="21"/>
    <xf numFmtId="172" fontId="23" fillId="0" borderId="27"/>
    <xf numFmtId="172" fontId="23" fillId="0" borderId="0"/>
    <xf numFmtId="43" fontId="23" fillId="0" borderId="27"/>
    <xf numFmtId="43" fontId="23" fillId="0" borderId="0"/>
    <xf numFmtId="0" fontId="22" fillId="0" borderId="0">
      <alignment wrapText="1"/>
    </xf>
    <xf numFmtId="0" fontId="23" fillId="0" borderId="22"/>
    <xf numFmtId="43" fontId="23" fillId="0" borderId="28"/>
    <xf numFmtId="0" fontId="23" fillId="0" borderId="0">
      <alignment horizontal="center"/>
    </xf>
    <xf numFmtId="0" fontId="23" fillId="6" borderId="23">
      <alignment horizontal="center"/>
    </xf>
    <xf numFmtId="172" fontId="23" fillId="6" borderId="24">
      <alignment horizontal="center"/>
    </xf>
    <xf numFmtId="0" fontId="23" fillId="6" borderId="24">
      <alignment horizontal="center"/>
    </xf>
    <xf numFmtId="0" fontId="23" fillId="6" borderId="26">
      <alignment horizontal="center"/>
    </xf>
    <xf numFmtId="0" fontId="23" fillId="6" borderId="22">
      <alignment horizontal="center"/>
    </xf>
    <xf numFmtId="172" fontId="23" fillId="6" borderId="10">
      <alignment horizontal="right"/>
    </xf>
    <xf numFmtId="0" fontId="23" fillId="6" borderId="10">
      <alignment horizontal="center"/>
    </xf>
    <xf numFmtId="0" fontId="22" fillId="0" borderId="0">
      <alignment horizontal="left" vertical="center" wrapText="1"/>
    </xf>
    <xf numFmtId="0" fontId="23" fillId="6" borderId="28">
      <alignment horizontal="center"/>
    </xf>
    <xf numFmtId="0" fontId="23" fillId="15" borderId="0">
      <alignment horizontal="center"/>
    </xf>
    <xf numFmtId="172" fontId="23" fillId="6" borderId="22">
      <alignment horizontal="center"/>
    </xf>
    <xf numFmtId="172" fontId="23" fillId="6" borderId="10">
      <alignment horizontal="center"/>
    </xf>
    <xf numFmtId="0" fontId="23" fillId="6" borderId="10">
      <alignment horizontal="center"/>
    </xf>
    <xf numFmtId="172" fontId="23" fillId="6" borderId="28">
      <alignment horizontal="center"/>
    </xf>
    <xf numFmtId="0" fontId="23" fillId="6" borderId="29">
      <alignment horizontal="center"/>
    </xf>
    <xf numFmtId="0" fontId="23" fillId="6" borderId="3">
      <alignment horizontal="center"/>
    </xf>
    <xf numFmtId="0" fontId="23" fillId="6" borderId="3">
      <alignment horizontal="center"/>
    </xf>
    <xf numFmtId="0" fontId="23" fillId="6" borderId="30">
      <alignment horizontal="center"/>
    </xf>
    <xf numFmtId="0" fontId="22" fillId="0" borderId="0"/>
    <xf numFmtId="0" fontId="23" fillId="6" borderId="21">
      <alignment horizontal="center"/>
    </xf>
    <xf numFmtId="0" fontId="23" fillId="6" borderId="0">
      <alignment horizontal="center"/>
    </xf>
    <xf numFmtId="0" fontId="23" fillId="6" borderId="27">
      <alignment horizontal="center"/>
    </xf>
    <xf numFmtId="0" fontId="39" fillId="0" borderId="0">
      <alignment horizontal="left"/>
    </xf>
    <xf numFmtId="49" fontId="22" fillId="0" borderId="0">
      <alignment horizontal="left"/>
    </xf>
    <xf numFmtId="0" fontId="39" fillId="0" borderId="0">
      <alignment horizontal="left"/>
    </xf>
    <xf numFmtId="15" fontId="75" fillId="15" borderId="0">
      <alignment horizontal="left"/>
    </xf>
    <xf numFmtId="0" fontId="22" fillId="0" borderId="0">
      <alignment horizontal="right"/>
    </xf>
    <xf numFmtId="49" fontId="22" fillId="0" borderId="0">
      <alignment horizontal="left"/>
    </xf>
    <xf numFmtId="49" fontId="22" fillId="0" borderId="0">
      <alignment horizontal="left"/>
    </xf>
    <xf numFmtId="10" fontId="75" fillId="0" borderId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1" fillId="0" borderId="0">
      <alignment horizontal="left" vertical="top"/>
      <protection locked="0"/>
    </xf>
    <xf numFmtId="0" fontId="35" fillId="0" borderId="11" applyNumberFormat="0" applyFont="0" applyFill="0" applyAlignment="0" applyProtection="0"/>
    <xf numFmtId="40" fontId="82" fillId="15" borderId="0">
      <alignment horizontal="right"/>
    </xf>
    <xf numFmtId="0" fontId="83" fillId="15" borderId="0">
      <alignment horizontal="right"/>
    </xf>
    <xf numFmtId="0" fontId="84" fillId="15" borderId="14"/>
    <xf numFmtId="0" fontId="84" fillId="0" borderId="0" applyBorder="0">
      <alignment horizontal="centerContinuous"/>
    </xf>
    <xf numFmtId="231" fontId="85" fillId="0" borderId="0" applyFill="0">
      <alignment horizontal="center" vertical="center"/>
    </xf>
    <xf numFmtId="0" fontId="23" fillId="0" borderId="31" applyNumberFormat="0" applyAlignment="0" applyProtection="0"/>
    <xf numFmtId="0" fontId="22" fillId="16" borderId="0" applyNumberFormat="0" applyFont="0" applyBorder="0" applyAlignment="0" applyProtection="0"/>
    <xf numFmtId="0" fontId="2" fillId="17" borderId="32" applyNumberFormat="0" applyFont="0" applyBorder="0" applyAlignment="0" applyProtection="0">
      <alignment horizontal="center"/>
    </xf>
    <xf numFmtId="0" fontId="2" fillId="18" borderId="32" applyNumberFormat="0" applyFont="0" applyBorder="0" applyAlignment="0" applyProtection="0">
      <alignment horizontal="center"/>
    </xf>
    <xf numFmtId="0" fontId="22" fillId="0" borderId="33" applyNumberFormat="0" applyAlignment="0" applyProtection="0"/>
    <xf numFmtId="0" fontId="22" fillId="0" borderId="34" applyNumberFormat="0" applyAlignment="0" applyProtection="0"/>
    <xf numFmtId="0" fontId="23" fillId="0" borderId="35" applyNumberFormat="0" applyAlignment="0" applyProtection="0"/>
    <xf numFmtId="14" fontId="27" fillId="0" borderId="0">
      <alignment horizontal="center" wrapText="1"/>
      <protection locked="0"/>
    </xf>
    <xf numFmtId="9" fontId="1" fillId="0" borderId="0" applyFont="0" applyFill="0" applyBorder="0" applyAlignment="0" applyProtection="0"/>
    <xf numFmtId="9" fontId="55" fillId="0" borderId="0" applyFont="0" applyFill="0" applyBorder="0" applyAlignment="0" applyProtection="0"/>
    <xf numFmtId="232" fontId="86" fillId="0" borderId="0" applyFont="0" applyFill="0" applyBorder="0" applyAlignment="0" applyProtection="0"/>
    <xf numFmtId="169" fontId="55" fillId="0" borderId="0" applyFont="0" applyFill="0" applyBorder="0" applyAlignment="0" applyProtection="0"/>
    <xf numFmtId="233" fontId="55" fillId="0" borderId="0" applyFont="0" applyFill="0" applyBorder="0" applyAlignment="0" applyProtection="0"/>
    <xf numFmtId="234" fontId="55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6" fillId="0" borderId="0" applyFont="0" applyFill="0" applyBorder="0" applyProtection="0">
      <alignment horizontal="right"/>
    </xf>
    <xf numFmtId="172" fontId="75" fillId="0" borderId="0">
      <alignment horizontal="right"/>
    </xf>
    <xf numFmtId="172" fontId="23" fillId="0" borderId="0">
      <alignment horizontal="left" vertical="center"/>
    </xf>
    <xf numFmtId="171" fontId="2" fillId="0" borderId="0"/>
    <xf numFmtId="172" fontId="75" fillId="0" borderId="0">
      <alignment horizontal="right"/>
    </xf>
    <xf numFmtId="172" fontId="75" fillId="0" borderId="0">
      <alignment horizontal="center"/>
    </xf>
    <xf numFmtId="170" fontId="75" fillId="0" borderId="0">
      <alignment horizontal="right"/>
    </xf>
    <xf numFmtId="172" fontId="75" fillId="0" borderId="3">
      <alignment horizontal="right"/>
    </xf>
    <xf numFmtId="172" fontId="75" fillId="0" borderId="3">
      <alignment horizontal="center"/>
    </xf>
    <xf numFmtId="170" fontId="75" fillId="0" borderId="3">
      <alignment horizontal="right"/>
    </xf>
    <xf numFmtId="43" fontId="75" fillId="0" borderId="3">
      <alignment horizontal="center"/>
    </xf>
    <xf numFmtId="235" fontId="75" fillId="0" borderId="12"/>
    <xf numFmtId="236" fontId="75" fillId="0" borderId="12">
      <alignment horizontal="center"/>
    </xf>
    <xf numFmtId="172" fontId="23" fillId="0" borderId="0">
      <alignment horizontal="right" vertical="center"/>
    </xf>
    <xf numFmtId="236" fontId="75" fillId="0" borderId="18">
      <alignment horizontal="center" wrapText="1"/>
    </xf>
    <xf numFmtId="236" fontId="75" fillId="0" borderId="0">
      <alignment horizontal="center"/>
    </xf>
    <xf numFmtId="236" fontId="75" fillId="0" borderId="14">
      <alignment horizontal="center" wrapText="1"/>
    </xf>
    <xf numFmtId="235" fontId="75" fillId="0" borderId="14">
      <alignment wrapText="1"/>
    </xf>
    <xf numFmtId="235" fontId="75" fillId="0" borderId="3"/>
    <xf numFmtId="235" fontId="75" fillId="0" borderId="16">
      <alignment wrapText="1"/>
    </xf>
    <xf numFmtId="237" fontId="23" fillId="0" borderId="0">
      <alignment horizontal="left"/>
    </xf>
    <xf numFmtId="238" fontId="23" fillId="0" borderId="0">
      <alignment horizontal="left"/>
    </xf>
    <xf numFmtId="239" fontId="23" fillId="0" borderId="0">
      <alignment horizontal="left"/>
    </xf>
    <xf numFmtId="172" fontId="22" fillId="0" borderId="0">
      <alignment vertical="top"/>
    </xf>
    <xf numFmtId="240" fontId="23" fillId="0" borderId="0">
      <alignment horizontal="center"/>
    </xf>
    <xf numFmtId="235" fontId="78" fillId="0" borderId="0"/>
    <xf numFmtId="172" fontId="55" fillId="0" borderId="0">
      <alignment horizontal="right"/>
    </xf>
    <xf numFmtId="172" fontId="55" fillId="0" borderId="0">
      <alignment horizontal="center"/>
    </xf>
    <xf numFmtId="236" fontId="22" fillId="0" borderId="0">
      <alignment horizontal="center" vertical="top"/>
    </xf>
    <xf numFmtId="172" fontId="20" fillId="0" borderId="3">
      <alignment horizontal="centerContinuous"/>
    </xf>
    <xf numFmtId="172" fontId="2" fillId="0" borderId="3">
      <alignment horizontal="center"/>
    </xf>
    <xf numFmtId="172" fontId="2" fillId="0" borderId="0"/>
    <xf numFmtId="172" fontId="2" fillId="0" borderId="3"/>
    <xf numFmtId="43" fontId="2" fillId="0" borderId="3"/>
    <xf numFmtId="43" fontId="20" fillId="0" borderId="0">
      <alignment horizontal="right"/>
    </xf>
    <xf numFmtId="170" fontId="23" fillId="0" borderId="0">
      <alignment horizontal="right" vertical="center"/>
    </xf>
    <xf numFmtId="165" fontId="79" fillId="0" borderId="0">
      <alignment horizontal="center" wrapText="1"/>
    </xf>
    <xf numFmtId="2" fontId="79" fillId="0" borderId="0">
      <alignment horizontal="center"/>
    </xf>
    <xf numFmtId="43" fontId="55" fillId="0" borderId="0"/>
    <xf numFmtId="0" fontId="2" fillId="0" borderId="0">
      <alignment horizontal="center"/>
    </xf>
    <xf numFmtId="43" fontId="22" fillId="0" borderId="0">
      <alignment horizontal="center" vertical="top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43" fontId="22" fillId="0" borderId="0">
      <alignment horizontal="left" vertical="top"/>
    </xf>
    <xf numFmtId="172" fontId="22" fillId="0" borderId="0">
      <alignment horizontal="right" vertical="top"/>
    </xf>
    <xf numFmtId="43" fontId="22" fillId="0" borderId="0">
      <alignment horizontal="center" vertical="top"/>
    </xf>
    <xf numFmtId="43" fontId="23" fillId="0" borderId="0">
      <alignment horizontal="center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172" fontId="22" fillId="0" borderId="0">
      <alignment horizontal="left" vertical="top"/>
    </xf>
    <xf numFmtId="43" fontId="22" fillId="0" borderId="0">
      <alignment horizontal="left" vertical="top"/>
    </xf>
    <xf numFmtId="172" fontId="2" fillId="0" borderId="0">
      <alignment horizontal="left"/>
    </xf>
    <xf numFmtId="172" fontId="20" fillId="0" borderId="0">
      <alignment horizontal="centerContinuous"/>
    </xf>
    <xf numFmtId="172" fontId="20" fillId="0" borderId="0">
      <alignment horizontal="left"/>
    </xf>
    <xf numFmtId="172" fontId="20" fillId="0" borderId="3">
      <alignment horizontal="left"/>
    </xf>
    <xf numFmtId="43" fontId="55" fillId="0" borderId="0"/>
    <xf numFmtId="43" fontId="55" fillId="0" borderId="3">
      <alignment horizontal="center"/>
    </xf>
    <xf numFmtId="235" fontId="23" fillId="0" borderId="0">
      <alignment horizontal="center"/>
    </xf>
    <xf numFmtId="43" fontId="55" fillId="0" borderId="3"/>
    <xf numFmtId="43" fontId="20" fillId="0" borderId="0"/>
    <xf numFmtId="172" fontId="2" fillId="14" borderId="0">
      <alignment horizontal="center"/>
    </xf>
    <xf numFmtId="172" fontId="2" fillId="14" borderId="0">
      <alignment horizontal="center"/>
    </xf>
    <xf numFmtId="172" fontId="20" fillId="14" borderId="0">
      <alignment horizontal="centerContinuous"/>
    </xf>
    <xf numFmtId="172" fontId="20" fillId="14" borderId="3">
      <alignment horizontal="center" wrapText="1"/>
    </xf>
    <xf numFmtId="172" fontId="2" fillId="19" borderId="0">
      <alignment horizontal="center"/>
    </xf>
    <xf numFmtId="172" fontId="2" fillId="19" borderId="0">
      <alignment horizontal="center"/>
    </xf>
    <xf numFmtId="172" fontId="20" fillId="19" borderId="0">
      <alignment horizontal="centerContinuous"/>
    </xf>
    <xf numFmtId="172" fontId="20" fillId="19" borderId="3">
      <alignment horizontal="centerContinuous"/>
    </xf>
    <xf numFmtId="235" fontId="23" fillId="0" borderId="0">
      <alignment horizontal="center" wrapText="1"/>
    </xf>
    <xf numFmtId="172" fontId="22" fillId="0" borderId="0"/>
    <xf numFmtId="43" fontId="22" fillId="0" borderId="0"/>
    <xf numFmtId="43" fontId="22" fillId="0" borderId="0">
      <alignment horizontal="center"/>
    </xf>
    <xf numFmtId="172" fontId="22" fillId="0" borderId="0"/>
    <xf numFmtId="171" fontId="22" fillId="0" borderId="0"/>
    <xf numFmtId="43" fontId="22" fillId="0" borderId="27"/>
    <xf numFmtId="172" fontId="22" fillId="0" borderId="3"/>
    <xf numFmtId="43" fontId="22" fillId="0" borderId="28"/>
    <xf numFmtId="171" fontId="22" fillId="0" borderId="10"/>
    <xf numFmtId="10" fontId="22" fillId="0" borderId="0"/>
    <xf numFmtId="237" fontId="23" fillId="0" borderId="0">
      <alignment horizontal="center"/>
    </xf>
    <xf numFmtId="43" fontId="22" fillId="0" borderId="0"/>
    <xf numFmtId="241" fontId="23" fillId="0" borderId="0">
      <alignment horizontal="center" vertical="top"/>
    </xf>
    <xf numFmtId="14" fontId="20" fillId="0" borderId="0">
      <alignment horizontal="center"/>
    </xf>
    <xf numFmtId="4" fontId="55" fillId="0" borderId="0">
      <alignment horizontal="right" vertical="top"/>
    </xf>
    <xf numFmtId="172" fontId="55" fillId="0" borderId="0">
      <alignment horizontal="center" vertical="top"/>
    </xf>
    <xf numFmtId="172" fontId="22" fillId="0" borderId="3">
      <alignment horizontal="right" vertical="top"/>
    </xf>
    <xf numFmtId="170" fontId="22" fillId="0" borderId="3">
      <alignment horizontal="center" vertical="top"/>
    </xf>
    <xf numFmtId="43" fontId="22" fillId="0" borderId="3">
      <alignment horizontal="center" vertical="top"/>
    </xf>
    <xf numFmtId="235" fontId="22" fillId="0" borderId="3">
      <alignment horizontal="center" vertical="top"/>
    </xf>
    <xf numFmtId="236" fontId="22" fillId="0" borderId="3">
      <alignment horizontal="center" vertical="top" wrapText="1"/>
    </xf>
    <xf numFmtId="237" fontId="23" fillId="0" borderId="0">
      <alignment horizontal="center" wrapText="1"/>
    </xf>
    <xf numFmtId="172" fontId="22" fillId="0" borderId="3">
      <alignment horizontal="center" vertical="top"/>
    </xf>
    <xf numFmtId="172" fontId="22" fillId="0" borderId="3">
      <alignment horizontal="left" vertical="top"/>
    </xf>
    <xf numFmtId="172" fontId="22" fillId="0" borderId="3">
      <alignment vertical="top"/>
    </xf>
    <xf numFmtId="43" fontId="22" fillId="0" borderId="3">
      <alignment horizontal="left" vertical="top"/>
    </xf>
    <xf numFmtId="236" fontId="22" fillId="0" borderId="3">
      <alignment horizontal="center" vertical="top"/>
    </xf>
    <xf numFmtId="43" fontId="2" fillId="0" borderId="0">
      <alignment horizontal="center"/>
    </xf>
    <xf numFmtId="172" fontId="23" fillId="0" borderId="24">
      <alignment horizontal="right" vertical="center"/>
    </xf>
    <xf numFmtId="239" fontId="23" fillId="0" borderId="24">
      <alignment horizontal="left"/>
    </xf>
    <xf numFmtId="242" fontId="23" fillId="0" borderId="24">
      <alignment horizontal="left"/>
    </xf>
    <xf numFmtId="170" fontId="23" fillId="0" borderId="24">
      <alignment horizontal="right" vertical="center"/>
    </xf>
    <xf numFmtId="172" fontId="23" fillId="0" borderId="0">
      <alignment horizontal="left"/>
    </xf>
    <xf numFmtId="172" fontId="23" fillId="0" borderId="10">
      <alignment horizontal="right" vertical="center"/>
    </xf>
    <xf numFmtId="239" fontId="23" fillId="0" borderId="10">
      <alignment horizontal="left"/>
    </xf>
    <xf numFmtId="242" fontId="23" fillId="0" borderId="10">
      <alignment horizontal="left"/>
    </xf>
    <xf numFmtId="170" fontId="23" fillId="0" borderId="10">
      <alignment horizontal="right"/>
    </xf>
    <xf numFmtId="243" fontId="23" fillId="0" borderId="28">
      <alignment horizontal="left"/>
    </xf>
    <xf numFmtId="172" fontId="23" fillId="0" borderId="10">
      <alignment horizontal="left" vertical="center"/>
    </xf>
    <xf numFmtId="171" fontId="2" fillId="0" borderId="0">
      <alignment horizontal="center"/>
    </xf>
    <xf numFmtId="43" fontId="2" fillId="14" borderId="0">
      <alignment horizontal="center"/>
    </xf>
    <xf numFmtId="43" fontId="2" fillId="19" borderId="0">
      <alignment horizontal="center"/>
    </xf>
    <xf numFmtId="242" fontId="23" fillId="0" borderId="0">
      <alignment horizontal="left"/>
    </xf>
    <xf numFmtId="169" fontId="20" fillId="0" borderId="0" applyFill="0" applyBorder="0" applyAlignment="0" applyProtection="0"/>
    <xf numFmtId="172" fontId="75" fillId="0" borderId="0">
      <alignment horizontal="center"/>
    </xf>
    <xf numFmtId="172" fontId="23" fillId="0" borderId="0">
      <alignment horizontal="right"/>
    </xf>
    <xf numFmtId="243" fontId="23" fillId="0" borderId="27">
      <alignment horizontal="left"/>
    </xf>
    <xf numFmtId="43" fontId="22" fillId="0" borderId="26">
      <alignment horizontal="center"/>
    </xf>
    <xf numFmtId="172" fontId="23" fillId="0" borderId="3">
      <alignment horizontal="right" vertical="center"/>
    </xf>
    <xf numFmtId="244" fontId="23" fillId="0" borderId="27">
      <alignment horizontal="left"/>
    </xf>
    <xf numFmtId="172" fontId="22" fillId="13" borderId="0"/>
    <xf numFmtId="172" fontId="22" fillId="13" borderId="0">
      <alignment horizontal="center" vertical="top"/>
    </xf>
    <xf numFmtId="172" fontId="22" fillId="0" borderId="10"/>
    <xf numFmtId="172" fontId="22" fillId="13" borderId="0">
      <alignment horizontal="center" vertical="top"/>
    </xf>
    <xf numFmtId="172" fontId="22" fillId="13" borderId="0">
      <alignment horizontal="right" vertical="top"/>
    </xf>
    <xf numFmtId="170" fontId="22" fillId="13" borderId="0">
      <alignment horizontal="center" vertical="top"/>
    </xf>
    <xf numFmtId="170" fontId="23" fillId="0" borderId="0">
      <alignment horizontal="right"/>
    </xf>
    <xf numFmtId="43" fontId="22" fillId="13" borderId="0">
      <alignment horizontal="center" vertical="top"/>
    </xf>
    <xf numFmtId="235" fontId="22" fillId="13" borderId="0">
      <alignment horizontal="center" vertical="top"/>
    </xf>
    <xf numFmtId="236" fontId="22" fillId="13" borderId="0">
      <alignment horizontal="center" vertical="top"/>
    </xf>
    <xf numFmtId="236" fontId="22" fillId="13" borderId="0">
      <alignment horizontal="center" vertical="top" wrapText="1"/>
    </xf>
    <xf numFmtId="172" fontId="22" fillId="13" borderId="0">
      <alignment horizontal="left" vertical="top"/>
    </xf>
    <xf numFmtId="43" fontId="22" fillId="13" borderId="0">
      <alignment horizontal="left" vertical="top"/>
    </xf>
    <xf numFmtId="43" fontId="22" fillId="13" borderId="0"/>
    <xf numFmtId="172" fontId="22" fillId="14" borderId="0">
      <alignment horizontal="center" vertical="top"/>
    </xf>
    <xf numFmtId="172" fontId="22" fillId="14" borderId="0">
      <alignment horizontal="right" vertical="top"/>
    </xf>
    <xf numFmtId="170" fontId="22" fillId="14" borderId="0">
      <alignment horizontal="center" vertical="top"/>
    </xf>
    <xf numFmtId="172" fontId="22" fillId="0" borderId="0">
      <alignment horizontal="right"/>
    </xf>
    <xf numFmtId="43" fontId="22" fillId="14" borderId="0">
      <alignment horizontal="center" vertical="top"/>
    </xf>
    <xf numFmtId="235" fontId="22" fillId="14" borderId="0">
      <alignment horizontal="center" vertical="top"/>
    </xf>
    <xf numFmtId="236" fontId="22" fillId="14" borderId="0">
      <alignment horizontal="center" vertical="top"/>
    </xf>
    <xf numFmtId="236" fontId="22" fillId="14" borderId="0">
      <alignment horizontal="center" vertical="top" wrapText="1"/>
    </xf>
    <xf numFmtId="172" fontId="22" fillId="14" borderId="0">
      <alignment horizontal="center" vertical="top"/>
    </xf>
    <xf numFmtId="172" fontId="22" fillId="14" borderId="0">
      <alignment horizontal="left" vertical="top"/>
    </xf>
    <xf numFmtId="172" fontId="22" fillId="14" borderId="0"/>
    <xf numFmtId="43" fontId="22" fillId="14" borderId="0">
      <alignment horizontal="left" vertical="top"/>
    </xf>
    <xf numFmtId="235" fontId="22" fillId="14" borderId="0">
      <alignment horizontal="center" vertical="top"/>
    </xf>
    <xf numFmtId="236" fontId="75" fillId="14" borderId="0">
      <alignment horizontal="center" wrapText="1"/>
    </xf>
    <xf numFmtId="172" fontId="22" fillId="0" borderId="0"/>
    <xf numFmtId="172" fontId="22" fillId="14" borderId="0">
      <alignment horizontal="left" vertical="top"/>
    </xf>
    <xf numFmtId="172" fontId="22" fillId="14" borderId="0">
      <alignment horizontal="right"/>
    </xf>
    <xf numFmtId="172" fontId="22" fillId="14" borderId="0">
      <alignment horizontal="right"/>
    </xf>
    <xf numFmtId="4" fontId="55" fillId="14" borderId="0">
      <alignment horizontal="right" vertical="top"/>
    </xf>
    <xf numFmtId="43" fontId="22" fillId="14" borderId="0">
      <alignment horizontal="center" vertical="top"/>
    </xf>
    <xf numFmtId="236" fontId="22" fillId="14" borderId="0">
      <alignment horizontal="center" vertical="top" wrapText="1"/>
    </xf>
    <xf numFmtId="43" fontId="22" fillId="14" borderId="0">
      <alignment horizontal="left" vertical="top"/>
    </xf>
    <xf numFmtId="172" fontId="23" fillId="6" borderId="9">
      <alignment horizontal="right" wrapText="1"/>
    </xf>
    <xf numFmtId="172" fontId="23" fillId="6" borderId="9">
      <alignment horizontal="center" wrapText="1"/>
    </xf>
    <xf numFmtId="170" fontId="23" fillId="6" borderId="9">
      <alignment horizontal="right" wrapText="1"/>
    </xf>
    <xf numFmtId="43" fontId="23" fillId="6" borderId="9">
      <alignment horizontal="center" wrapText="1"/>
    </xf>
    <xf numFmtId="235" fontId="23" fillId="6" borderId="9">
      <alignment horizontal="center" wrapText="1"/>
    </xf>
    <xf numFmtId="235" fontId="23" fillId="6" borderId="9">
      <alignment horizontal="center" wrapText="1"/>
    </xf>
    <xf numFmtId="207" fontId="24" fillId="0" borderId="0">
      <alignment horizontal="left" vertical="center" wrapText="1"/>
    </xf>
    <xf numFmtId="172" fontId="22" fillId="0" borderId="0">
      <alignment horizontal="right"/>
    </xf>
    <xf numFmtId="172" fontId="22" fillId="0" borderId="0"/>
    <xf numFmtId="170" fontId="22" fillId="0" borderId="0">
      <alignment horizontal="right"/>
    </xf>
    <xf numFmtId="43" fontId="22" fillId="0" borderId="0">
      <alignment horizontal="center"/>
    </xf>
    <xf numFmtId="235" fontId="22" fillId="0" borderId="0"/>
    <xf numFmtId="235" fontId="22" fillId="0" borderId="0">
      <alignment wrapText="1"/>
    </xf>
    <xf numFmtId="170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left" vertical="top"/>
    </xf>
    <xf numFmtId="172" fontId="22" fillId="0" borderId="0">
      <alignment horizontal="right" vertical="center" wrapText="1"/>
    </xf>
    <xf numFmtId="172" fontId="22" fillId="0" borderId="0">
      <alignment horizontal="right" vertical="top"/>
    </xf>
    <xf numFmtId="170" fontId="22" fillId="0" borderId="0">
      <alignment horizontal="center" vertical="top"/>
    </xf>
    <xf numFmtId="170" fontId="75" fillId="0" borderId="0">
      <alignment horizontal="right"/>
    </xf>
    <xf numFmtId="43" fontId="75" fillId="0" borderId="0">
      <alignment horizontal="center"/>
    </xf>
    <xf numFmtId="235" fontId="75" fillId="0" borderId="0"/>
    <xf numFmtId="236" fontId="75" fillId="0" borderId="0">
      <alignment horizontal="center"/>
    </xf>
    <xf numFmtId="236" fontId="75" fillId="0" borderId="0">
      <alignment horizontal="center" wrapText="1"/>
    </xf>
    <xf numFmtId="235" fontId="75" fillId="0" borderId="0">
      <alignment wrapText="1"/>
    </xf>
    <xf numFmtId="43" fontId="55" fillId="0" borderId="0">
      <alignment horizontal="center"/>
    </xf>
    <xf numFmtId="43" fontId="55" fillId="0" borderId="0"/>
    <xf numFmtId="172" fontId="22" fillId="0" borderId="0">
      <alignment horizontal="center" vertical="center" wrapText="1"/>
    </xf>
    <xf numFmtId="43" fontId="55" fillId="0" borderId="17">
      <alignment horizontal="center" vertical="center"/>
    </xf>
    <xf numFmtId="43" fontId="55" fillId="0" borderId="12">
      <alignment horizontal="center" vertical="center"/>
    </xf>
    <xf numFmtId="43" fontId="79" fillId="0" borderId="12">
      <alignment horizontal="center" vertical="center"/>
    </xf>
    <xf numFmtId="43" fontId="79" fillId="0" borderId="13">
      <alignment horizontal="center"/>
    </xf>
    <xf numFmtId="43" fontId="79" fillId="0" borderId="0">
      <alignment horizontal="center"/>
    </xf>
    <xf numFmtId="2" fontId="79" fillId="0" borderId="0">
      <alignment horizontal="center"/>
    </xf>
    <xf numFmtId="43" fontId="79" fillId="0" borderId="14">
      <alignment horizontal="center"/>
    </xf>
    <xf numFmtId="43" fontId="79" fillId="0" borderId="0">
      <alignment horizontal="center"/>
    </xf>
    <xf numFmtId="172" fontId="79" fillId="0" borderId="0">
      <alignment horizontal="center" wrapText="1"/>
    </xf>
    <xf numFmtId="172" fontId="79" fillId="0" borderId="3">
      <alignment horizontal="center" wrapText="1"/>
    </xf>
    <xf numFmtId="170" fontId="22" fillId="0" borderId="0">
      <alignment horizontal="right" vertical="center" wrapText="1"/>
    </xf>
    <xf numFmtId="165" fontId="79" fillId="0" borderId="3">
      <alignment horizontal="center" wrapText="1"/>
    </xf>
    <xf numFmtId="43" fontId="87" fillId="0" borderId="0">
      <alignment horizontal="left"/>
    </xf>
    <xf numFmtId="43" fontId="79" fillId="0" borderId="0">
      <alignment horizontal="center" wrapText="1"/>
    </xf>
    <xf numFmtId="43" fontId="79" fillId="0" borderId="0">
      <alignment wrapText="1"/>
    </xf>
    <xf numFmtId="43" fontId="79" fillId="6" borderId="9">
      <alignment horizontal="right" wrapText="1"/>
    </xf>
    <xf numFmtId="43" fontId="79" fillId="6" borderId="9">
      <alignment horizontal="center" wrapText="1"/>
    </xf>
    <xf numFmtId="172" fontId="2" fillId="0" borderId="0"/>
    <xf numFmtId="172" fontId="2" fillId="0" borderId="0">
      <alignment horizontal="center"/>
    </xf>
    <xf numFmtId="172" fontId="2" fillId="0" borderId="0">
      <alignment horizontal="left"/>
    </xf>
    <xf numFmtId="172" fontId="2" fillId="0" borderId="0">
      <alignment horizontal="center"/>
    </xf>
    <xf numFmtId="43" fontId="23" fillId="0" borderId="0">
      <alignment horizontal="center" vertical="center" wrapText="1"/>
    </xf>
    <xf numFmtId="172" fontId="20" fillId="0" borderId="0">
      <alignment horizontal="center"/>
    </xf>
    <xf numFmtId="172" fontId="2" fillId="0" borderId="0"/>
    <xf numFmtId="172" fontId="80" fillId="0" borderId="0">
      <alignment horizontal="left" vertical="center"/>
    </xf>
    <xf numFmtId="172" fontId="23" fillId="0" borderId="27"/>
    <xf numFmtId="172" fontId="23" fillId="0" borderId="0"/>
    <xf numFmtId="43" fontId="23" fillId="0" borderId="0"/>
    <xf numFmtId="43" fontId="23" fillId="0" borderId="0">
      <alignment horizontal="center"/>
    </xf>
    <xf numFmtId="172" fontId="23" fillId="0" borderId="0">
      <alignment horizontal="center"/>
    </xf>
    <xf numFmtId="172" fontId="23" fillId="6" borderId="24">
      <alignment horizontal="center"/>
    </xf>
    <xf numFmtId="49" fontId="22" fillId="0" borderId="0">
      <alignment horizontal="left"/>
    </xf>
    <xf numFmtId="235" fontId="23" fillId="0" borderId="0">
      <alignment horizontal="center" vertical="center" wrapText="1"/>
    </xf>
    <xf numFmtId="49" fontId="22" fillId="0" borderId="13">
      <alignment horizontal="left"/>
    </xf>
    <xf numFmtId="49" fontId="22" fillId="0" borderId="15">
      <alignment horizontal="left"/>
    </xf>
    <xf numFmtId="172" fontId="77" fillId="0" borderId="14"/>
    <xf numFmtId="49" fontId="22" fillId="0" borderId="14">
      <alignment horizontal="left"/>
    </xf>
    <xf numFmtId="172" fontId="2" fillId="0" borderId="0">
      <alignment horizontal="center"/>
    </xf>
    <xf numFmtId="172" fontId="2" fillId="0" borderId="0"/>
    <xf numFmtId="172" fontId="2" fillId="0" borderId="0"/>
    <xf numFmtId="172" fontId="20" fillId="0" borderId="0">
      <alignment horizontal="right"/>
    </xf>
    <xf numFmtId="172" fontId="20" fillId="0" borderId="0">
      <alignment horizontal="center"/>
    </xf>
    <xf numFmtId="172" fontId="20" fillId="0" borderId="3"/>
    <xf numFmtId="172" fontId="23" fillId="0" borderId="0">
      <alignment horizontal="left" vertical="center" wrapText="1"/>
    </xf>
    <xf numFmtId="172" fontId="20" fillId="0" borderId="3">
      <alignment horizontal="center"/>
    </xf>
    <xf numFmtId="172" fontId="20" fillId="0" borderId="3">
      <alignment horizontal="center" wrapText="1"/>
    </xf>
    <xf numFmtId="172" fontId="20" fillId="0" borderId="0"/>
    <xf numFmtId="172" fontId="20" fillId="0" borderId="3">
      <alignment horizontal="center" wrapText="1"/>
    </xf>
    <xf numFmtId="172" fontId="20" fillId="0" borderId="0">
      <alignment horizontal="center"/>
    </xf>
    <xf numFmtId="172" fontId="20" fillId="0" borderId="3">
      <alignment horizontal="center"/>
    </xf>
    <xf numFmtId="172" fontId="20" fillId="0" borderId="0"/>
    <xf numFmtId="172" fontId="20" fillId="0" borderId="3">
      <alignment horizontal="left" wrapText="1"/>
    </xf>
    <xf numFmtId="236" fontId="2" fillId="0" borderId="0">
      <alignment horizontal="center"/>
    </xf>
    <xf numFmtId="236" fontId="2" fillId="0" borderId="0">
      <alignment horizontal="left"/>
    </xf>
    <xf numFmtId="0" fontId="88" fillId="0" borderId="0"/>
    <xf numFmtId="10" fontId="6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227" fontId="6" fillId="0" borderId="0"/>
    <xf numFmtId="0" fontId="89" fillId="6" borderId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0" fontId="90" fillId="0" borderId="10">
      <alignment horizontal="center"/>
    </xf>
    <xf numFmtId="3" fontId="54" fillId="0" borderId="0" applyFont="0" applyFill="0" applyBorder="0" applyAlignment="0" applyProtection="0"/>
    <xf numFmtId="0" fontId="54" fillId="20" borderId="0" applyNumberFormat="0" applyFont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245" fontId="91" fillId="0" borderId="0"/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92" fillId="21" borderId="0" applyNumberFormat="0" applyFont="0" applyBorder="0" applyAlignment="0">
      <alignment horizontal="center"/>
    </xf>
    <xf numFmtId="14" fontId="41" fillId="0" borderId="0" applyNumberFormat="0" applyFill="0" applyBorder="0" applyAlignment="0" applyProtection="0">
      <alignment horizontal="left"/>
    </xf>
    <xf numFmtId="49" fontId="2" fillId="0" borderId="0" applyFont="0" applyFill="0" applyBorder="0" applyProtection="0">
      <alignment horizontal="right"/>
    </xf>
    <xf numFmtId="49" fontId="20" fillId="0" borderId="0" applyFill="0" applyBorder="0" applyProtection="0">
      <alignment horizontal="right"/>
    </xf>
    <xf numFmtId="49" fontId="20" fillId="0" borderId="3" applyFill="0" applyProtection="0">
      <alignment horizontal="right"/>
    </xf>
    <xf numFmtId="49" fontId="20" fillId="0" borderId="12" applyFill="0" applyProtection="0">
      <alignment horizontal="right"/>
    </xf>
    <xf numFmtId="0" fontId="64" fillId="0" borderId="0" applyFill="0" applyBorder="0" applyProtection="0">
      <alignment horizontal="left"/>
    </xf>
    <xf numFmtId="0" fontId="13" fillId="22" borderId="0"/>
    <xf numFmtId="0" fontId="92" fillId="1" borderId="8" applyNumberFormat="0" applyFont="0" applyAlignment="0">
      <alignment horizontal="center"/>
    </xf>
    <xf numFmtId="246" fontId="93" fillId="0" borderId="0" applyFont="0" applyFill="0" applyBorder="0" applyAlignment="0" applyProtection="0"/>
    <xf numFmtId="1" fontId="6" fillId="0" borderId="0"/>
    <xf numFmtId="0" fontId="2" fillId="0" borderId="0" applyFont="0" applyFill="0" applyBorder="0" applyAlignment="0" applyProtection="0"/>
    <xf numFmtId="0" fontId="20" fillId="0" borderId="0" applyFill="0" applyBorder="0" applyAlignment="0" applyProtection="0"/>
    <xf numFmtId="42" fontId="21" fillId="0" borderId="0" applyFill="0" applyBorder="0" applyAlignment="0" applyProtection="0"/>
    <xf numFmtId="0" fontId="94" fillId="0" borderId="0" applyNumberFormat="0" applyFill="0" applyBorder="0" applyAlignment="0">
      <alignment horizontal="center"/>
    </xf>
    <xf numFmtId="12" fontId="6" fillId="0" borderId="0" applyFont="0" applyFill="0" applyBorder="0" applyProtection="0">
      <alignment horizontal="right"/>
    </xf>
    <xf numFmtId="0" fontId="6" fillId="23" borderId="0" applyFont="0" applyFill="0" applyBorder="0" applyProtection="0">
      <alignment horizontal="right"/>
    </xf>
    <xf numFmtId="0" fontId="4" fillId="0" borderId="0">
      <alignment vertical="top"/>
    </xf>
    <xf numFmtId="0" fontId="79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3" fillId="0" borderId="0" applyNumberFormat="0" applyFill="0" applyBorder="0" applyProtection="0">
      <alignment horizontal="left"/>
    </xf>
    <xf numFmtId="0" fontId="23" fillId="0" borderId="0" applyFill="0" applyBorder="0" applyProtection="0">
      <alignment horizontal="left" wrapText="1"/>
    </xf>
    <xf numFmtId="0" fontId="23" fillId="0" borderId="0" applyNumberFormat="0" applyFill="0" applyBorder="0" applyProtection="0">
      <alignment horizontal="right" wrapText="1"/>
    </xf>
    <xf numFmtId="1" fontId="22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1" fontId="22" fillId="0" borderId="0" applyFill="0" applyBorder="0" applyProtection="0">
      <alignment horizontal="center"/>
    </xf>
    <xf numFmtId="37" fontId="22" fillId="0" borderId="0" applyFill="0" applyBorder="0" applyProtection="0">
      <alignment horizontal="right"/>
    </xf>
    <xf numFmtId="7" fontId="22" fillId="0" borderId="0" applyFill="0" applyBorder="0" applyProtection="0">
      <alignment horizontal="right"/>
    </xf>
    <xf numFmtId="247" fontId="22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7" fontId="23" fillId="0" borderId="0" applyFill="0" applyBorder="0" applyProtection="0">
      <alignment horizontal="right"/>
    </xf>
    <xf numFmtId="248" fontId="22" fillId="0" borderId="0" applyFill="0" applyBorder="0" applyProtection="0">
      <alignment horizontal="right"/>
    </xf>
    <xf numFmtId="249" fontId="22" fillId="0" borderId="0" applyFill="0" applyBorder="0" applyProtection="0">
      <alignment horizontal="right"/>
    </xf>
    <xf numFmtId="250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251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248" fontId="23" fillId="0" borderId="0" applyFill="0" applyBorder="0" applyProtection="0">
      <alignment horizontal="right"/>
    </xf>
    <xf numFmtId="1" fontId="23" fillId="0" borderId="0" applyFill="0" applyBorder="0" applyProtection="0">
      <alignment horizontal="left"/>
    </xf>
    <xf numFmtId="247" fontId="23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1" fontId="95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0" fontId="4" fillId="0" borderId="0" applyNumberFormat="0" applyBorder="0" applyAlignment="0"/>
    <xf numFmtId="0" fontId="14" fillId="0" borderId="0"/>
    <xf numFmtId="40" fontId="96" fillId="0" borderId="0" applyBorder="0">
      <alignment horizontal="right"/>
    </xf>
    <xf numFmtId="6" fontId="70" fillId="0" borderId="36" applyFill="0">
      <alignment vertical="center"/>
    </xf>
    <xf numFmtId="0" fontId="15" fillId="0" borderId="0"/>
    <xf numFmtId="0" fontId="97" fillId="0" borderId="0"/>
    <xf numFmtId="0" fontId="2" fillId="0" borderId="0"/>
    <xf numFmtId="49" fontId="4" fillId="0" borderId="0" applyFill="0" applyBorder="0" applyAlignment="0"/>
    <xf numFmtId="0" fontId="26" fillId="0" borderId="0" applyFill="0" applyBorder="0" applyAlignment="0"/>
    <xf numFmtId="201" fontId="6" fillId="0" borderId="0" applyFill="0" applyBorder="0" applyAlignment="0"/>
    <xf numFmtId="0" fontId="16" fillId="0" borderId="0"/>
    <xf numFmtId="0" fontId="17" fillId="0" borderId="0"/>
    <xf numFmtId="0" fontId="18" fillId="0" borderId="0">
      <alignment vertical="top"/>
    </xf>
    <xf numFmtId="253" fontId="70" fillId="0" borderId="0" applyFill="0" applyBorder="0">
      <alignment vertical="center"/>
    </xf>
    <xf numFmtId="0" fontId="22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38" fontId="98" fillId="0" borderId="0" applyNumberFormat="0" applyFill="0" applyBorder="0">
      <alignment horizontal="left" vertical="center"/>
    </xf>
    <xf numFmtId="38" fontId="99" fillId="0" borderId="0" applyNumberFormat="0" applyFill="0" applyBorder="0">
      <alignment horizontal="centerContinuous" vertical="center"/>
    </xf>
    <xf numFmtId="0" fontId="19" fillId="0" borderId="0">
      <alignment vertical="top"/>
    </xf>
    <xf numFmtId="0" fontId="10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5" fillId="0" borderId="0" applyFill="0" applyBorder="0" applyAlignment="0" applyProtection="0"/>
    <xf numFmtId="0" fontId="16" fillId="0" borderId="0">
      <alignment wrapText="1"/>
    </xf>
    <xf numFmtId="0" fontId="101" fillId="0" borderId="0">
      <alignment horizontal="left"/>
      <protection locked="0"/>
    </xf>
    <xf numFmtId="5" fontId="86" fillId="0" borderId="0">
      <alignment vertical="center"/>
    </xf>
    <xf numFmtId="223" fontId="26" fillId="0" borderId="0"/>
    <xf numFmtId="254" fontId="27" fillId="0" borderId="0" applyFill="0" applyBorder="0" applyAlignment="0" applyProtection="0"/>
    <xf numFmtId="14" fontId="22" fillId="0" borderId="0" applyFont="0" applyFill="0" applyBorder="0" applyProtection="0"/>
    <xf numFmtId="255" fontId="102" fillId="0" borderId="0" applyFill="0" applyBorder="0">
      <alignment vertical="center"/>
    </xf>
    <xf numFmtId="0" fontId="70" fillId="24" borderId="37" applyNumberFormat="0" applyFont="0" applyBorder="0" applyAlignment="0" applyProtection="0">
      <alignment horizontal="right"/>
    </xf>
    <xf numFmtId="256" fontId="21" fillId="0" borderId="0" applyFont="0" applyFill="0" applyBorder="0" applyAlignment="0" applyProtection="0"/>
    <xf numFmtId="255" fontId="103" fillId="0" borderId="0">
      <alignment horizontal="center"/>
    </xf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</cellStyleXfs>
  <cellXfs count="394">
    <xf numFmtId="0" fontId="0" fillId="0" borderId="0" xfId="0"/>
    <xf numFmtId="0" fontId="107" fillId="0" borderId="0" xfId="0" applyFont="1"/>
    <xf numFmtId="0" fontId="108" fillId="0" borderId="0" xfId="0" applyFont="1"/>
    <xf numFmtId="0" fontId="109" fillId="0" borderId="0" xfId="0" applyFont="1"/>
    <xf numFmtId="165" fontId="110" fillId="0" borderId="0" xfId="0" applyNumberFormat="1" applyFont="1"/>
    <xf numFmtId="0" fontId="111" fillId="0" borderId="0" xfId="0" applyFont="1"/>
    <xf numFmtId="165" fontId="107" fillId="0" borderId="0" xfId="0" applyNumberFormat="1" applyFont="1"/>
    <xf numFmtId="0" fontId="107" fillId="0" borderId="0" xfId="0" applyFont="1" applyAlignment="1">
      <alignment horizontal="left"/>
    </xf>
    <xf numFmtId="165" fontId="111" fillId="0" borderId="0" xfId="0" applyNumberFormat="1" applyFont="1"/>
    <xf numFmtId="167" fontId="107" fillId="0" borderId="0" xfId="0" applyNumberFormat="1" applyFont="1"/>
    <xf numFmtId="0" fontId="112" fillId="26" borderId="0" xfId="0" applyFont="1" applyFill="1" applyAlignment="1">
      <alignment horizontal="left"/>
    </xf>
    <xf numFmtId="0" fontId="111" fillId="26" borderId="0" xfId="0" applyFont="1" applyFill="1"/>
    <xf numFmtId="0" fontId="111" fillId="26" borderId="38" xfId="0" applyFont="1" applyFill="1" applyBorder="1" applyAlignment="1">
      <alignment horizontal="centerContinuous"/>
    </xf>
    <xf numFmtId="168" fontId="111" fillId="26" borderId="0" xfId="0" applyNumberFormat="1" applyFont="1" applyFill="1" applyAlignment="1">
      <alignment horizontal="centerContinuous"/>
    </xf>
    <xf numFmtId="168" fontId="111" fillId="26" borderId="0" xfId="0" applyNumberFormat="1" applyFont="1" applyFill="1" applyAlignment="1">
      <alignment horizontal="center"/>
    </xf>
    <xf numFmtId="0" fontId="111" fillId="0" borderId="0" xfId="0" applyFont="1" applyAlignment="1">
      <alignment horizontal="left"/>
    </xf>
    <xf numFmtId="0" fontId="111" fillId="26" borderId="3" xfId="0" applyFont="1" applyFill="1" applyBorder="1"/>
    <xf numFmtId="0" fontId="107" fillId="26" borderId="3" xfId="0" applyFont="1" applyFill="1" applyBorder="1"/>
    <xf numFmtId="0" fontId="111" fillId="0" borderId="3" xfId="0" applyFont="1" applyBorder="1"/>
    <xf numFmtId="0" fontId="113" fillId="27" borderId="0" xfId="0" applyFont="1" applyFill="1" applyAlignment="1">
      <alignment horizontal="left" indent="1"/>
    </xf>
    <xf numFmtId="169" fontId="114" fillId="27" borderId="0" xfId="543" applyNumberFormat="1" applyFont="1" applyFill="1"/>
    <xf numFmtId="0" fontId="113" fillId="27" borderId="0" xfId="0" applyFont="1" applyFill="1"/>
    <xf numFmtId="0" fontId="113" fillId="27" borderId="0" xfId="0" applyFont="1" applyFill="1" applyAlignment="1">
      <alignment horizontal="left"/>
    </xf>
    <xf numFmtId="43" fontId="109" fillId="0" borderId="0" xfId="162" applyFont="1" applyFill="1" applyBorder="1" applyAlignment="1">
      <alignment horizontal="center"/>
    </xf>
    <xf numFmtId="37" fontId="107" fillId="0" borderId="0" xfId="0" applyNumberFormat="1" applyFont="1"/>
    <xf numFmtId="0" fontId="111" fillId="0" borderId="39" xfId="0" applyFont="1" applyBorder="1"/>
    <xf numFmtId="37" fontId="110" fillId="0" borderId="0" xfId="0" applyNumberFormat="1" applyFont="1" applyAlignment="1">
      <alignment horizontal="right"/>
    </xf>
    <xf numFmtId="0" fontId="107" fillId="0" borderId="3" xfId="0" applyFont="1" applyBorder="1"/>
    <xf numFmtId="165" fontId="109" fillId="0" borderId="0" xfId="0" applyNumberFormat="1" applyFont="1"/>
    <xf numFmtId="169" fontId="113" fillId="27" borderId="0" xfId="543" applyNumberFormat="1" applyFont="1" applyFill="1"/>
    <xf numFmtId="257" fontId="111" fillId="0" borderId="0" xfId="0" applyNumberFormat="1" applyFont="1"/>
    <xf numFmtId="257" fontId="107" fillId="0" borderId="0" xfId="0" applyNumberFormat="1" applyFont="1"/>
    <xf numFmtId="0" fontId="111" fillId="27" borderId="8" xfId="266" applyFont="1" applyFill="1" applyBorder="1" applyAlignment="1">
      <alignment horizontal="left" wrapText="1"/>
    </xf>
    <xf numFmtId="0" fontId="107" fillId="0" borderId="0" xfId="266" applyFont="1" applyAlignment="1">
      <alignment horizontal="center" wrapText="1"/>
    </xf>
    <xf numFmtId="0" fontId="107" fillId="0" borderId="0" xfId="266" applyFont="1"/>
    <xf numFmtId="0" fontId="111" fillId="27" borderId="8" xfId="266" applyFont="1" applyFill="1" applyBorder="1" applyAlignment="1">
      <alignment horizontal="right" wrapText="1"/>
    </xf>
    <xf numFmtId="169" fontId="113" fillId="27" borderId="0" xfId="543" applyNumberFormat="1" applyFont="1" applyFill="1" applyBorder="1"/>
    <xf numFmtId="166" fontId="111" fillId="0" borderId="0" xfId="0" applyNumberFormat="1" applyFont="1"/>
    <xf numFmtId="172" fontId="107" fillId="0" borderId="0" xfId="162" applyNumberFormat="1" applyFont="1"/>
    <xf numFmtId="165" fontId="115" fillId="0" borderId="0" xfId="0" applyNumberFormat="1" applyFont="1"/>
    <xf numFmtId="165" fontId="116" fillId="0" borderId="0" xfId="0" applyNumberFormat="1" applyFont="1"/>
    <xf numFmtId="169" fontId="113" fillId="27" borderId="0" xfId="0" applyNumberFormat="1" applyFont="1" applyFill="1"/>
    <xf numFmtId="165" fontId="110" fillId="0" borderId="0" xfId="0" applyNumberFormat="1" applyFont="1" applyAlignment="1">
      <alignment horizontal="right"/>
    </xf>
    <xf numFmtId="0" fontId="107" fillId="28" borderId="0" xfId="267" applyFont="1" applyFill="1"/>
    <xf numFmtId="0" fontId="111" fillId="28" borderId="8" xfId="267" applyFont="1" applyFill="1" applyBorder="1"/>
    <xf numFmtId="258" fontId="111" fillId="28" borderId="8" xfId="267" applyNumberFormat="1" applyFont="1" applyFill="1" applyBorder="1"/>
    <xf numFmtId="258" fontId="107" fillId="28" borderId="0" xfId="267" applyNumberFormat="1" applyFont="1" applyFill="1"/>
    <xf numFmtId="168" fontId="111" fillId="26" borderId="3" xfId="0" applyNumberFormat="1" applyFont="1" applyFill="1" applyBorder="1" applyAlignment="1">
      <alignment horizontal="centerContinuous"/>
    </xf>
    <xf numFmtId="165" fontId="110" fillId="29" borderId="0" xfId="0" applyNumberFormat="1" applyFont="1" applyFill="1"/>
    <xf numFmtId="0" fontId="111" fillId="29" borderId="0" xfId="0" applyFont="1" applyFill="1"/>
    <xf numFmtId="0" fontId="113" fillId="0" borderId="0" xfId="0" applyFont="1"/>
    <xf numFmtId="0" fontId="107" fillId="0" borderId="0" xfId="0" applyFont="1" applyAlignment="1">
      <alignment horizontal="right"/>
    </xf>
    <xf numFmtId="258" fontId="111" fillId="0" borderId="0" xfId="0" applyNumberFormat="1" applyFont="1" applyAlignment="1">
      <alignment horizontal="right"/>
    </xf>
    <xf numFmtId="258" fontId="107" fillId="0" borderId="0" xfId="0" applyNumberFormat="1" applyFont="1" applyAlignment="1">
      <alignment horizontal="right"/>
    </xf>
    <xf numFmtId="9" fontId="113" fillId="27" borderId="0" xfId="543" applyFont="1" applyFill="1" applyAlignment="1">
      <alignment horizontal="right"/>
    </xf>
    <xf numFmtId="37" fontId="107" fillId="0" borderId="0" xfId="0" applyNumberFormat="1" applyFont="1" applyAlignment="1">
      <alignment horizontal="right"/>
    </xf>
    <xf numFmtId="169" fontId="113" fillId="0" borderId="0" xfId="543" applyNumberFormat="1" applyFont="1" applyFill="1" applyBorder="1"/>
    <xf numFmtId="165" fontId="111" fillId="0" borderId="0" xfId="0" applyNumberFormat="1" applyFont="1" applyAlignment="1">
      <alignment horizontal="right"/>
    </xf>
    <xf numFmtId="9" fontId="107" fillId="0" borderId="0" xfId="543" applyFont="1"/>
    <xf numFmtId="0" fontId="107" fillId="29" borderId="0" xfId="0" applyFont="1" applyFill="1" applyAlignment="1">
      <alignment horizontal="left"/>
    </xf>
    <xf numFmtId="37" fontId="107" fillId="29" borderId="0" xfId="0" applyNumberFormat="1" applyFont="1" applyFill="1"/>
    <xf numFmtId="260" fontId="107" fillId="0" borderId="0" xfId="0" applyNumberFormat="1" applyFont="1"/>
    <xf numFmtId="9" fontId="107" fillId="0" borderId="0" xfId="543" applyFont="1" applyFill="1"/>
    <xf numFmtId="0" fontId="107" fillId="0" borderId="7" xfId="0" applyFont="1" applyBorder="1"/>
    <xf numFmtId="169" fontId="114" fillId="27" borderId="0" xfId="543" applyNumberFormat="1" applyFont="1" applyFill="1" applyBorder="1"/>
    <xf numFmtId="169" fontId="117" fillId="27" borderId="0" xfId="543" applyNumberFormat="1" applyFont="1" applyFill="1"/>
    <xf numFmtId="169" fontId="113" fillId="0" borderId="0" xfId="543" applyNumberFormat="1" applyFont="1" applyFill="1"/>
    <xf numFmtId="165" fontId="118" fillId="0" borderId="0" xfId="0" applyNumberFormat="1" applyFont="1"/>
    <xf numFmtId="165" fontId="111" fillId="0" borderId="39" xfId="0" applyNumberFormat="1" applyFont="1" applyBorder="1"/>
    <xf numFmtId="259" fontId="107" fillId="0" borderId="0" xfId="0" applyNumberFormat="1" applyFont="1"/>
    <xf numFmtId="259" fontId="111" fillId="0" borderId="39" xfId="0" applyNumberFormat="1" applyFont="1" applyBorder="1" applyAlignment="1">
      <alignment horizontal="right"/>
    </xf>
    <xf numFmtId="166" fontId="111" fillId="0" borderId="0" xfId="0" applyNumberFormat="1" applyFont="1" applyAlignment="1">
      <alignment horizontal="right"/>
    </xf>
    <xf numFmtId="259" fontId="111" fillId="0" borderId="39" xfId="0" applyNumberFormat="1" applyFont="1" applyBorder="1"/>
    <xf numFmtId="0" fontId="113" fillId="0" borderId="0" xfId="0" applyFont="1" applyAlignment="1">
      <alignment horizontal="left" indent="1"/>
    </xf>
    <xf numFmtId="169" fontId="114" fillId="0" borderId="0" xfId="543" applyNumberFormat="1" applyFont="1" applyFill="1"/>
    <xf numFmtId="1" fontId="107" fillId="0" borderId="0" xfId="0" applyNumberFormat="1" applyFont="1" applyAlignment="1">
      <alignment horizontal="right"/>
    </xf>
    <xf numFmtId="259" fontId="107" fillId="0" borderId="0" xfId="0" applyNumberFormat="1" applyFont="1" applyAlignment="1">
      <alignment horizontal="right"/>
    </xf>
    <xf numFmtId="0" fontId="111" fillId="0" borderId="7" xfId="0" applyFont="1" applyBorder="1"/>
    <xf numFmtId="169" fontId="113" fillId="27" borderId="0" xfId="543" applyNumberFormat="1" applyFont="1" applyFill="1" applyBorder="1" applyAlignment="1">
      <alignment horizontal="left" indent="1"/>
    </xf>
    <xf numFmtId="259" fontId="111" fillId="0" borderId="0" xfId="0" applyNumberFormat="1" applyFont="1"/>
    <xf numFmtId="0" fontId="115" fillId="0" borderId="0" xfId="0" applyFont="1"/>
    <xf numFmtId="9" fontId="111" fillId="0" borderId="0" xfId="543" applyFont="1" applyFill="1"/>
    <xf numFmtId="9" fontId="111" fillId="0" borderId="0" xfId="543" applyFont="1" applyFill="1" applyBorder="1"/>
    <xf numFmtId="9" fontId="107" fillId="0" borderId="0" xfId="543" applyFont="1" applyFill="1" applyBorder="1"/>
    <xf numFmtId="169" fontId="111" fillId="0" borderId="0" xfId="543" applyNumberFormat="1" applyFont="1" applyFill="1"/>
    <xf numFmtId="169" fontId="113" fillId="27" borderId="0" xfId="543" applyNumberFormat="1" applyFont="1" applyFill="1" applyAlignment="1">
      <alignment horizontal="right"/>
    </xf>
    <xf numFmtId="0" fontId="111" fillId="0" borderId="0" xfId="266" applyFont="1"/>
    <xf numFmtId="9" fontId="115" fillId="0" borderId="0" xfId="543" applyFont="1" applyFill="1"/>
    <xf numFmtId="168" fontId="111" fillId="26" borderId="8" xfId="0" applyNumberFormat="1" applyFont="1" applyFill="1" applyBorder="1" applyAlignment="1">
      <alignment horizontal="centerContinuous"/>
    </xf>
    <xf numFmtId="0" fontId="111" fillId="28" borderId="0" xfId="267" applyFont="1" applyFill="1"/>
    <xf numFmtId="258" fontId="111" fillId="28" borderId="0" xfId="267" applyNumberFormat="1" applyFont="1" applyFill="1"/>
    <xf numFmtId="0" fontId="111" fillId="0" borderId="23" xfId="266" applyFont="1" applyBorder="1"/>
    <xf numFmtId="0" fontId="107" fillId="0" borderId="21" xfId="266" applyFont="1" applyBorder="1" applyAlignment="1">
      <alignment horizontal="left"/>
    </xf>
    <xf numFmtId="0" fontId="107" fillId="0" borderId="22" xfId="266" applyFont="1" applyBorder="1" applyAlignment="1">
      <alignment horizontal="left"/>
    </xf>
    <xf numFmtId="0" fontId="111" fillId="0" borderId="26" xfId="266" applyFont="1" applyBorder="1"/>
    <xf numFmtId="0" fontId="107" fillId="0" borderId="27" xfId="266" applyFont="1" applyBorder="1"/>
    <xf numFmtId="2" fontId="107" fillId="0" borderId="0" xfId="0" applyNumberFormat="1" applyFont="1"/>
    <xf numFmtId="259" fontId="107" fillId="0" borderId="7" xfId="0" applyNumberFormat="1" applyFont="1" applyBorder="1"/>
    <xf numFmtId="259" fontId="111" fillId="0" borderId="7" xfId="0" applyNumberFormat="1" applyFont="1" applyBorder="1"/>
    <xf numFmtId="0" fontId="107" fillId="29" borderId="0" xfId="0" applyFont="1" applyFill="1"/>
    <xf numFmtId="169" fontId="117" fillId="0" borderId="0" xfId="543" applyNumberFormat="1" applyFont="1" applyFill="1"/>
    <xf numFmtId="257" fontId="115" fillId="0" borderId="0" xfId="0" applyNumberFormat="1" applyFont="1"/>
    <xf numFmtId="0" fontId="108" fillId="0" borderId="8" xfId="0" applyFont="1" applyBorder="1"/>
    <xf numFmtId="0" fontId="111" fillId="26" borderId="8" xfId="0" applyFont="1" applyFill="1" applyBorder="1"/>
    <xf numFmtId="0" fontId="111" fillId="0" borderId="6" xfId="0" applyFont="1" applyBorder="1"/>
    <xf numFmtId="259" fontId="111" fillId="0" borderId="6" xfId="0" applyNumberFormat="1" applyFont="1" applyBorder="1"/>
    <xf numFmtId="0" fontId="111" fillId="0" borderId="40" xfId="266" applyFont="1" applyBorder="1" applyAlignment="1">
      <alignment horizontal="left" wrapText="1"/>
    </xf>
    <xf numFmtId="0" fontId="107" fillId="0" borderId="21" xfId="266" applyFont="1" applyBorder="1" applyAlignment="1">
      <alignment horizontal="left" wrapText="1"/>
    </xf>
    <xf numFmtId="0" fontId="107" fillId="0" borderId="41" xfId="266" applyFont="1" applyBorder="1"/>
    <xf numFmtId="169" fontId="107" fillId="0" borderId="0" xfId="543" applyNumberFormat="1" applyFont="1"/>
    <xf numFmtId="169" fontId="119" fillId="27" borderId="0" xfId="543" applyNumberFormat="1" applyFont="1" applyFill="1"/>
    <xf numFmtId="261" fontId="111" fillId="0" borderId="0" xfId="0" applyNumberFormat="1" applyFont="1" applyAlignment="1">
      <alignment horizontal="right"/>
    </xf>
    <xf numFmtId="0" fontId="107" fillId="27" borderId="0" xfId="266" applyFont="1" applyFill="1" applyAlignment="1">
      <alignment horizontal="left" wrapText="1"/>
    </xf>
    <xf numFmtId="0" fontId="107" fillId="27" borderId="0" xfId="266" applyFont="1" applyFill="1" applyAlignment="1">
      <alignment horizontal="right" wrapText="1"/>
    </xf>
    <xf numFmtId="0" fontId="107" fillId="0" borderId="42" xfId="266" applyFont="1" applyBorder="1" applyAlignment="1">
      <alignment horizontal="left"/>
    </xf>
    <xf numFmtId="0" fontId="117" fillId="0" borderId="0" xfId="0" applyFont="1"/>
    <xf numFmtId="0" fontId="107" fillId="0" borderId="0" xfId="0" applyFont="1" applyAlignment="1">
      <alignment horizontal="left" indent="1"/>
    </xf>
    <xf numFmtId="169" fontId="117" fillId="0" borderId="0" xfId="543" applyNumberFormat="1" applyFont="1" applyFill="1" applyBorder="1"/>
    <xf numFmtId="169" fontId="117" fillId="0" borderId="0" xfId="543" applyNumberFormat="1" applyFont="1" applyFill="1" applyBorder="1" applyAlignment="1">
      <alignment horizontal="left" indent="1"/>
    </xf>
    <xf numFmtId="172" fontId="117" fillId="0" borderId="0" xfId="162" applyNumberFormat="1" applyFont="1" applyFill="1" applyBorder="1"/>
    <xf numFmtId="0" fontId="120" fillId="0" borderId="0" xfId="0" applyFont="1" applyAlignment="1">
      <alignment horizontal="left"/>
    </xf>
    <xf numFmtId="165" fontId="117" fillId="0" borderId="0" xfId="0" applyNumberFormat="1" applyFont="1"/>
    <xf numFmtId="37" fontId="111" fillId="0" borderId="0" xfId="0" applyNumberFormat="1" applyFont="1"/>
    <xf numFmtId="0" fontId="115" fillId="0" borderId="0" xfId="0" applyFont="1" applyAlignment="1">
      <alignment horizontal="left"/>
    </xf>
    <xf numFmtId="262" fontId="107" fillId="0" borderId="0" xfId="0" applyNumberFormat="1" applyFont="1"/>
    <xf numFmtId="169" fontId="110" fillId="0" borderId="0" xfId="543" applyNumberFormat="1" applyFont="1" applyFill="1"/>
    <xf numFmtId="3" fontId="117" fillId="0" borderId="0" xfId="0" applyNumberFormat="1" applyFont="1"/>
    <xf numFmtId="172" fontId="121" fillId="27" borderId="0" xfId="162" applyNumberFormat="1" applyFont="1" applyFill="1" applyBorder="1" applyAlignment="1">
      <alignment horizontal="center" wrapText="1"/>
    </xf>
    <xf numFmtId="17" fontId="111" fillId="27" borderId="8" xfId="266" applyNumberFormat="1" applyFont="1" applyFill="1" applyBorder="1" applyAlignment="1">
      <alignment horizontal="center" wrapText="1"/>
    </xf>
    <xf numFmtId="172" fontId="111" fillId="28" borderId="8" xfId="162" applyNumberFormat="1" applyFont="1" applyFill="1" applyBorder="1" applyAlignment="1">
      <alignment horizontal="center"/>
    </xf>
    <xf numFmtId="172" fontId="107" fillId="28" borderId="0" xfId="162" applyNumberFormat="1" applyFont="1" applyFill="1" applyAlignment="1">
      <alignment horizontal="center"/>
    </xf>
    <xf numFmtId="172" fontId="111" fillId="28" borderId="0" xfId="162" applyNumberFormat="1" applyFont="1" applyFill="1" applyBorder="1" applyAlignment="1">
      <alignment horizontal="center"/>
    </xf>
    <xf numFmtId="261" fontId="111" fillId="29" borderId="0" xfId="0" applyNumberFormat="1" applyFont="1" applyFill="1" applyAlignment="1">
      <alignment horizontal="right"/>
    </xf>
    <xf numFmtId="170" fontId="114" fillId="0" borderId="0" xfId="162" applyNumberFormat="1" applyFont="1" applyFill="1"/>
    <xf numFmtId="172" fontId="114" fillId="0" borderId="0" xfId="162" applyNumberFormat="1" applyFont="1" applyFill="1"/>
    <xf numFmtId="170" fontId="113" fillId="0" borderId="0" xfId="162" applyNumberFormat="1" applyFont="1" applyFill="1" applyBorder="1"/>
    <xf numFmtId="15" fontId="111" fillId="0" borderId="24" xfId="266" applyNumberFormat="1" applyFont="1" applyBorder="1"/>
    <xf numFmtId="169" fontId="122" fillId="27" borderId="0" xfId="543" applyNumberFormat="1" applyFont="1" applyFill="1" applyBorder="1"/>
    <xf numFmtId="169" fontId="113" fillId="27" borderId="0" xfId="543" applyNumberFormat="1" applyFont="1" applyFill="1" applyBorder="1" applyAlignment="1">
      <alignment horizontal="right"/>
    </xf>
    <xf numFmtId="9" fontId="113" fillId="27" borderId="0" xfId="543" applyFont="1" applyFill="1" applyBorder="1" applyAlignment="1">
      <alignment horizontal="right"/>
    </xf>
    <xf numFmtId="9" fontId="107" fillId="0" borderId="0" xfId="543" applyFont="1" applyBorder="1"/>
    <xf numFmtId="165" fontId="107" fillId="0" borderId="12" xfId="0" applyNumberFormat="1" applyFont="1" applyBorder="1"/>
    <xf numFmtId="165" fontId="110" fillId="0" borderId="12" xfId="0" applyNumberFormat="1" applyFont="1" applyBorder="1"/>
    <xf numFmtId="165" fontId="107" fillId="0" borderId="0" xfId="0" applyNumberFormat="1" applyFont="1" applyAlignment="1">
      <alignment horizontal="right"/>
    </xf>
    <xf numFmtId="170" fontId="111" fillId="0" borderId="0" xfId="162" applyNumberFormat="1" applyFont="1" applyFill="1"/>
    <xf numFmtId="170" fontId="111" fillId="0" borderId="0" xfId="162" applyNumberFormat="1" applyFont="1" applyFill="1" applyBorder="1"/>
    <xf numFmtId="170" fontId="107" fillId="0" borderId="0" xfId="162" applyNumberFormat="1" applyFont="1"/>
    <xf numFmtId="170" fontId="107" fillId="0" borderId="0" xfId="162" applyNumberFormat="1" applyFont="1" applyAlignment="1">
      <alignment horizontal="right"/>
    </xf>
    <xf numFmtId="170" fontId="107" fillId="0" borderId="0" xfId="162" applyNumberFormat="1" applyFont="1" applyBorder="1"/>
    <xf numFmtId="170" fontId="111" fillId="0" borderId="39" xfId="162" applyNumberFormat="1" applyFont="1" applyFill="1" applyBorder="1" applyAlignment="1">
      <alignment horizontal="right"/>
    </xf>
    <xf numFmtId="170" fontId="107" fillId="0" borderId="7" xfId="162" applyNumberFormat="1" applyFont="1" applyBorder="1"/>
    <xf numFmtId="170" fontId="111" fillId="0" borderId="7" xfId="162" applyNumberFormat="1" applyFont="1" applyBorder="1"/>
    <xf numFmtId="170" fontId="111" fillId="0" borderId="6" xfId="162" applyNumberFormat="1" applyFont="1" applyBorder="1"/>
    <xf numFmtId="169" fontId="111" fillId="0" borderId="0" xfId="543" applyNumberFormat="1" applyFont="1" applyFill="1" applyAlignment="1">
      <alignment horizontal="right"/>
    </xf>
    <xf numFmtId="169" fontId="111" fillId="0" borderId="0" xfId="543" applyNumberFormat="1" applyFont="1" applyFill="1" applyBorder="1" applyAlignment="1">
      <alignment horizontal="right"/>
    </xf>
    <xf numFmtId="165" fontId="123" fillId="0" borderId="0" xfId="0" applyNumberFormat="1" applyFont="1"/>
    <xf numFmtId="0" fontId="111" fillId="0" borderId="43" xfId="266" applyFont="1" applyBorder="1" applyAlignment="1">
      <alignment horizontal="center" wrapText="1"/>
    </xf>
    <xf numFmtId="172" fontId="107" fillId="0" borderId="27" xfId="162" applyNumberFormat="1" applyFont="1" applyFill="1" applyBorder="1" applyAlignment="1">
      <alignment horizontal="center" wrapText="1"/>
    </xf>
    <xf numFmtId="172" fontId="107" fillId="0" borderId="44" xfId="162" applyNumberFormat="1" applyFont="1" applyFill="1" applyBorder="1" applyAlignment="1">
      <alignment horizontal="center" wrapText="1"/>
    </xf>
    <xf numFmtId="172" fontId="107" fillId="0" borderId="0" xfId="162" applyNumberFormat="1" applyFont="1" applyBorder="1"/>
    <xf numFmtId="172" fontId="107" fillId="0" borderId="10" xfId="162" applyNumberFormat="1" applyFont="1" applyBorder="1" applyAlignment="1"/>
    <xf numFmtId="43" fontId="107" fillId="0" borderId="0" xfId="266" applyNumberFormat="1" applyFont="1"/>
    <xf numFmtId="169" fontId="113" fillId="0" borderId="0" xfId="0" applyNumberFormat="1" applyFont="1"/>
    <xf numFmtId="170" fontId="107" fillId="0" borderId="0" xfId="162" applyNumberFormat="1" applyFont="1" applyFill="1"/>
    <xf numFmtId="170" fontId="107" fillId="0" borderId="0" xfId="162" applyNumberFormat="1" applyFont="1" applyFill="1" applyBorder="1"/>
    <xf numFmtId="170" fontId="107" fillId="0" borderId="7" xfId="162" applyNumberFormat="1" applyFont="1" applyFill="1" applyBorder="1"/>
    <xf numFmtId="170" fontId="111" fillId="0" borderId="7" xfId="162" applyNumberFormat="1" applyFont="1" applyFill="1" applyBorder="1"/>
    <xf numFmtId="170" fontId="111" fillId="0" borderId="6" xfId="162" applyNumberFormat="1" applyFont="1" applyFill="1" applyBorder="1"/>
    <xf numFmtId="169" fontId="114" fillId="0" borderId="0" xfId="543" applyNumberFormat="1" applyFont="1" applyFill="1" applyBorder="1"/>
    <xf numFmtId="0" fontId="107" fillId="0" borderId="28" xfId="266" applyFont="1" applyBorder="1" applyAlignment="1">
      <alignment horizontal="left"/>
    </xf>
    <xf numFmtId="170" fontId="107" fillId="0" borderId="0" xfId="266" applyNumberFormat="1" applyFont="1"/>
    <xf numFmtId="170" fontId="114" fillId="0" borderId="0" xfId="162" applyNumberFormat="1" applyFont="1" applyFill="1" applyBorder="1"/>
    <xf numFmtId="169" fontId="111" fillId="0" borderId="0" xfId="543" applyNumberFormat="1" applyFont="1" applyFill="1" applyBorder="1"/>
    <xf numFmtId="165" fontId="124" fillId="0" borderId="0" xfId="0" applyNumberFormat="1" applyFont="1"/>
    <xf numFmtId="165" fontId="125" fillId="0" borderId="0" xfId="0" applyNumberFormat="1" applyFont="1"/>
    <xf numFmtId="263" fontId="111" fillId="29" borderId="0" xfId="0" applyNumberFormat="1" applyFont="1" applyFill="1" applyAlignment="1">
      <alignment horizontal="right"/>
    </xf>
    <xf numFmtId="0" fontId="111" fillId="0" borderId="19" xfId="266" applyFont="1" applyBorder="1"/>
    <xf numFmtId="0" fontId="111" fillId="0" borderId="20" xfId="266" applyFont="1" applyBorder="1" applyAlignment="1">
      <alignment horizontal="center" wrapText="1"/>
    </xf>
    <xf numFmtId="0" fontId="111" fillId="0" borderId="45" xfId="266" applyFont="1" applyBorder="1" applyAlignment="1">
      <alignment horizontal="center" wrapText="1"/>
    </xf>
    <xf numFmtId="172" fontId="107" fillId="0" borderId="46" xfId="162" applyNumberFormat="1" applyFont="1" applyBorder="1"/>
    <xf numFmtId="172" fontId="107" fillId="0" borderId="47" xfId="162" applyNumberFormat="1" applyFont="1" applyBorder="1" applyAlignment="1"/>
    <xf numFmtId="172" fontId="107" fillId="0" borderId="45" xfId="162" applyNumberFormat="1" applyFont="1" applyBorder="1"/>
    <xf numFmtId="0" fontId="111" fillId="0" borderId="48" xfId="266" applyFont="1" applyBorder="1" applyAlignment="1">
      <alignment horizontal="center" wrapText="1"/>
    </xf>
    <xf numFmtId="172" fontId="107" fillId="0" borderId="46" xfId="162" applyNumberFormat="1" applyFont="1" applyFill="1" applyBorder="1" applyAlignment="1">
      <alignment horizontal="center" wrapText="1"/>
    </xf>
    <xf numFmtId="172" fontId="107" fillId="0" borderId="49" xfId="162" applyNumberFormat="1" applyFont="1" applyFill="1" applyBorder="1" applyAlignment="1">
      <alignment horizontal="center" wrapText="1"/>
    </xf>
    <xf numFmtId="1" fontId="107" fillId="0" borderId="20" xfId="266" applyNumberFormat="1" applyFont="1" applyBorder="1"/>
    <xf numFmtId="172" fontId="107" fillId="0" borderId="27" xfId="266" applyNumberFormat="1" applyFont="1" applyBorder="1"/>
    <xf numFmtId="172" fontId="107" fillId="0" borderId="28" xfId="266" applyNumberFormat="1" applyFont="1" applyBorder="1"/>
    <xf numFmtId="0" fontId="107" fillId="0" borderId="50" xfId="266" applyFont="1" applyBorder="1" applyAlignment="1">
      <alignment horizontal="left" wrapText="1"/>
    </xf>
    <xf numFmtId="17" fontId="111" fillId="27" borderId="50" xfId="266" applyNumberFormat="1" applyFont="1" applyFill="1" applyBorder="1" applyAlignment="1">
      <alignment horizontal="center" wrapText="1"/>
    </xf>
    <xf numFmtId="17" fontId="111" fillId="27" borderId="51" xfId="266" applyNumberFormat="1" applyFont="1" applyFill="1" applyBorder="1" applyAlignment="1">
      <alignment horizontal="center" wrapText="1"/>
    </xf>
    <xf numFmtId="170" fontId="121" fillId="0" borderId="51" xfId="162" applyNumberFormat="1" applyFont="1" applyFill="1" applyBorder="1" applyAlignment="1">
      <alignment horizontal="center" wrapText="1"/>
    </xf>
    <xf numFmtId="258" fontId="111" fillId="28" borderId="51" xfId="267" applyNumberFormat="1" applyFont="1" applyFill="1" applyBorder="1" applyAlignment="1">
      <alignment horizontal="right"/>
    </xf>
    <xf numFmtId="0" fontId="107" fillId="27" borderId="51" xfId="266" applyFont="1" applyFill="1" applyBorder="1"/>
    <xf numFmtId="0" fontId="111" fillId="27" borderId="50" xfId="266" applyFont="1" applyFill="1" applyBorder="1"/>
    <xf numFmtId="0" fontId="123" fillId="0" borderId="0" xfId="0" applyFont="1"/>
    <xf numFmtId="1" fontId="107" fillId="0" borderId="0" xfId="266" applyNumberFormat="1" applyFont="1"/>
    <xf numFmtId="172" fontId="107" fillId="28" borderId="0" xfId="162" applyNumberFormat="1" applyFont="1" applyFill="1" applyBorder="1" applyAlignment="1">
      <alignment horizontal="center"/>
    </xf>
    <xf numFmtId="172" fontId="121" fillId="0" borderId="46" xfId="162" applyNumberFormat="1" applyFont="1" applyBorder="1"/>
    <xf numFmtId="0" fontId="111" fillId="27" borderId="0" xfId="266" applyFont="1" applyFill="1" applyAlignment="1">
      <alignment horizontal="right" wrapText="1"/>
    </xf>
    <xf numFmtId="172" fontId="125" fillId="27" borderId="0" xfId="162" applyNumberFormat="1" applyFont="1" applyFill="1" applyBorder="1" applyAlignment="1">
      <alignment horizontal="center" wrapText="1"/>
    </xf>
    <xf numFmtId="258" fontId="123" fillId="28" borderId="51" xfId="267" applyNumberFormat="1" applyFont="1" applyFill="1" applyBorder="1" applyAlignment="1">
      <alignment horizontal="right"/>
    </xf>
    <xf numFmtId="165" fontId="121" fillId="0" borderId="0" xfId="0" applyNumberFormat="1" applyFont="1"/>
    <xf numFmtId="170" fontId="107" fillId="28" borderId="0" xfId="162" applyNumberFormat="1" applyFont="1" applyFill="1" applyAlignment="1">
      <alignment horizontal="center"/>
    </xf>
    <xf numFmtId="172" fontId="121" fillId="0" borderId="47" xfId="162" applyNumberFormat="1" applyFont="1" applyBorder="1"/>
    <xf numFmtId="0" fontId="107" fillId="0" borderId="0" xfId="266" applyFont="1" applyAlignment="1">
      <alignment horizontal="left"/>
    </xf>
    <xf numFmtId="172" fontId="121" fillId="0" borderId="0" xfId="162" applyNumberFormat="1" applyFont="1" applyBorder="1"/>
    <xf numFmtId="172" fontId="107" fillId="0" borderId="0" xfId="266" applyNumberFormat="1" applyFont="1"/>
    <xf numFmtId="172" fontId="111" fillId="0" borderId="45" xfId="162" applyNumberFormat="1" applyFont="1" applyBorder="1"/>
    <xf numFmtId="172" fontId="125" fillId="0" borderId="46" xfId="162" applyNumberFormat="1" applyFont="1" applyBorder="1"/>
    <xf numFmtId="172" fontId="125" fillId="0" borderId="47" xfId="162" applyNumberFormat="1" applyFont="1" applyBorder="1"/>
    <xf numFmtId="165" fontId="125" fillId="0" borderId="12" xfId="0" applyNumberFormat="1" applyFont="1" applyBorder="1"/>
    <xf numFmtId="172" fontId="111" fillId="0" borderId="0" xfId="162" applyNumberFormat="1" applyFont="1" applyBorder="1"/>
    <xf numFmtId="170" fontId="111" fillId="0" borderId="45" xfId="162" applyNumberFormat="1" applyFont="1" applyBorder="1"/>
    <xf numFmtId="165" fontId="107" fillId="30" borderId="0" xfId="0" applyNumberFormat="1" applyFont="1" applyFill="1"/>
    <xf numFmtId="165" fontId="111" fillId="30" borderId="0" xfId="0" applyNumberFormat="1" applyFont="1" applyFill="1"/>
    <xf numFmtId="0" fontId="107" fillId="31" borderId="0" xfId="0" applyFont="1" applyFill="1"/>
    <xf numFmtId="165" fontId="107" fillId="31" borderId="0" xfId="0" applyNumberFormat="1" applyFont="1" applyFill="1"/>
    <xf numFmtId="165" fontId="115" fillId="31" borderId="0" xfId="0" applyNumberFormat="1" applyFont="1" applyFill="1"/>
    <xf numFmtId="0" fontId="111" fillId="31" borderId="0" xfId="0" applyFont="1" applyFill="1"/>
    <xf numFmtId="165" fontId="111" fillId="31" borderId="0" xfId="0" applyNumberFormat="1" applyFont="1" applyFill="1"/>
    <xf numFmtId="165" fontId="123" fillId="31" borderId="0" xfId="0" applyNumberFormat="1" applyFont="1" applyFill="1"/>
    <xf numFmtId="257" fontId="107" fillId="30" borderId="0" xfId="0" applyNumberFormat="1" applyFont="1" applyFill="1"/>
    <xf numFmtId="165" fontId="107" fillId="30" borderId="0" xfId="0" applyNumberFormat="1" applyFont="1" applyFill="1" applyAlignment="1">
      <alignment horizontal="right"/>
    </xf>
    <xf numFmtId="258" fontId="111" fillId="30" borderId="0" xfId="0" applyNumberFormat="1" applyFont="1" applyFill="1" applyAlignment="1">
      <alignment horizontal="right"/>
    </xf>
    <xf numFmtId="258" fontId="107" fillId="30" borderId="0" xfId="0" applyNumberFormat="1" applyFont="1" applyFill="1" applyAlignment="1">
      <alignment horizontal="right"/>
    </xf>
    <xf numFmtId="259" fontId="107" fillId="30" borderId="0" xfId="0" applyNumberFormat="1" applyFont="1" applyFill="1"/>
    <xf numFmtId="37" fontId="107" fillId="30" borderId="0" xfId="0" applyNumberFormat="1" applyFont="1" applyFill="1"/>
    <xf numFmtId="264" fontId="107" fillId="28" borderId="0" xfId="267" applyNumberFormat="1" applyFont="1" applyFill="1"/>
    <xf numFmtId="172" fontId="107" fillId="0" borderId="0" xfId="0" applyNumberFormat="1" applyFont="1"/>
    <xf numFmtId="17" fontId="111" fillId="27" borderId="50" xfId="266" applyNumberFormat="1" applyFont="1" applyFill="1" applyBorder="1" applyAlignment="1">
      <alignment horizontal="left" wrapText="1"/>
    </xf>
    <xf numFmtId="0" fontId="124" fillId="0" borderId="45" xfId="266" applyFont="1" applyBorder="1" applyAlignment="1">
      <alignment horizontal="center" wrapText="1"/>
    </xf>
    <xf numFmtId="172" fontId="124" fillId="0" borderId="45" xfId="162" applyNumberFormat="1" applyFont="1" applyBorder="1"/>
    <xf numFmtId="165" fontId="110" fillId="27" borderId="0" xfId="0" applyNumberFormat="1" applyFont="1" applyFill="1"/>
    <xf numFmtId="165" fontId="111" fillId="27" borderId="0" xfId="0" applyNumberFormat="1" applyFont="1" applyFill="1"/>
    <xf numFmtId="37" fontId="110" fillId="0" borderId="0" xfId="543" applyNumberFormat="1" applyFont="1" applyFill="1"/>
    <xf numFmtId="0" fontId="107" fillId="0" borderId="0" xfId="266" applyFont="1" applyAlignment="1">
      <alignment horizontal="left" wrapText="1"/>
    </xf>
    <xf numFmtId="258" fontId="123" fillId="28" borderId="0" xfId="267" applyNumberFormat="1" applyFont="1" applyFill="1" applyAlignment="1">
      <alignment horizontal="right"/>
    </xf>
    <xf numFmtId="257" fontId="111" fillId="30" borderId="0" xfId="0" applyNumberFormat="1" applyFont="1" applyFill="1"/>
    <xf numFmtId="165" fontId="123" fillId="30" borderId="0" xfId="0" applyNumberFormat="1" applyFont="1" applyFill="1"/>
    <xf numFmtId="258" fontId="123" fillId="0" borderId="51" xfId="267" applyNumberFormat="1" applyFont="1" applyBorder="1" applyAlignment="1">
      <alignment horizontal="right"/>
    </xf>
    <xf numFmtId="0" fontId="107" fillId="29" borderId="0" xfId="0" applyFont="1" applyFill="1" applyAlignment="1">
      <alignment horizontal="center"/>
    </xf>
    <xf numFmtId="0" fontId="111" fillId="26" borderId="0" xfId="0" applyFont="1" applyFill="1" applyAlignment="1">
      <alignment horizontal="centerContinuous"/>
    </xf>
    <xf numFmtId="0" fontId="107" fillId="26" borderId="0" xfId="0" applyFont="1" applyFill="1"/>
    <xf numFmtId="169" fontId="117" fillId="27" borderId="0" xfId="543" applyNumberFormat="1" applyFont="1" applyFill="1" applyBorder="1"/>
    <xf numFmtId="9" fontId="115" fillId="0" borderId="0" xfId="543" applyFont="1" applyFill="1" applyBorder="1"/>
    <xf numFmtId="169" fontId="110" fillId="0" borderId="0" xfId="543" applyNumberFormat="1" applyFont="1" applyFill="1" applyBorder="1"/>
    <xf numFmtId="37" fontId="110" fillId="0" borderId="0" xfId="543" applyNumberFormat="1" applyFont="1" applyFill="1" applyBorder="1"/>
    <xf numFmtId="170" fontId="107" fillId="0" borderId="0" xfId="162" applyNumberFormat="1" applyFont="1" applyBorder="1" applyAlignment="1">
      <alignment horizontal="right"/>
    </xf>
    <xf numFmtId="165" fontId="110" fillId="30" borderId="0" xfId="0" applyNumberFormat="1" applyFont="1" applyFill="1"/>
    <xf numFmtId="169" fontId="114" fillId="30" borderId="0" xfId="543" applyNumberFormat="1" applyFont="1" applyFill="1" applyBorder="1"/>
    <xf numFmtId="170" fontId="111" fillId="0" borderId="39" xfId="162" applyNumberFormat="1" applyFont="1" applyBorder="1"/>
    <xf numFmtId="259" fontId="111" fillId="0" borderId="8" xfId="0" applyNumberFormat="1" applyFont="1" applyBorder="1"/>
    <xf numFmtId="168" fontId="111" fillId="26" borderId="3" xfId="0" applyNumberFormat="1" applyFont="1" applyFill="1" applyBorder="1" applyAlignment="1">
      <alignment horizontal="center"/>
    </xf>
    <xf numFmtId="265" fontId="111" fillId="0" borderId="0" xfId="0" applyNumberFormat="1" applyFont="1"/>
    <xf numFmtId="0" fontId="107" fillId="26" borderId="3" xfId="0" applyFont="1" applyFill="1" applyBorder="1" applyAlignment="1">
      <alignment horizontal="center"/>
    </xf>
    <xf numFmtId="172" fontId="125" fillId="32" borderId="0" xfId="162" applyNumberFormat="1" applyFont="1" applyFill="1" applyBorder="1" applyAlignment="1">
      <alignment horizontal="center" wrapText="1"/>
    </xf>
    <xf numFmtId="172" fontId="121" fillId="32" borderId="0" xfId="162" applyNumberFormat="1" applyFont="1" applyFill="1" applyBorder="1" applyAlignment="1">
      <alignment horizontal="center" wrapText="1"/>
    </xf>
    <xf numFmtId="258" fontId="123" fillId="0" borderId="0" xfId="267" applyNumberFormat="1" applyFont="1" applyAlignment="1">
      <alignment horizontal="right"/>
    </xf>
    <xf numFmtId="0" fontId="107" fillId="0" borderId="46" xfId="266" applyFont="1" applyBorder="1" applyAlignment="1">
      <alignment horizontal="left"/>
    </xf>
    <xf numFmtId="172" fontId="124" fillId="0" borderId="45" xfId="162" applyNumberFormat="1" applyFont="1" applyFill="1" applyBorder="1"/>
    <xf numFmtId="172" fontId="121" fillId="0" borderId="46" xfId="162" applyNumberFormat="1" applyFont="1" applyFill="1" applyBorder="1" applyAlignment="1">
      <alignment horizontal="center" wrapText="1"/>
    </xf>
    <xf numFmtId="2" fontId="114" fillId="27" borderId="0" xfId="543" applyNumberFormat="1" applyFont="1" applyFill="1" applyBorder="1"/>
    <xf numFmtId="170" fontId="111" fillId="28" borderId="8" xfId="267" applyNumberFormat="1" applyFont="1" applyFill="1" applyBorder="1"/>
    <xf numFmtId="170" fontId="107" fillId="28" borderId="0" xfId="267" applyNumberFormat="1" applyFont="1" applyFill="1"/>
    <xf numFmtId="165" fontId="109" fillId="30" borderId="0" xfId="0" applyNumberFormat="1" applyFont="1" applyFill="1"/>
    <xf numFmtId="165" fontId="118" fillId="30" borderId="0" xfId="0" applyNumberFormat="1" applyFont="1" applyFill="1"/>
    <xf numFmtId="165" fontId="110" fillId="30" borderId="0" xfId="0" applyNumberFormat="1" applyFont="1" applyFill="1" applyAlignment="1">
      <alignment horizontal="right"/>
    </xf>
    <xf numFmtId="0" fontId="107" fillId="30" borderId="0" xfId="0" applyFont="1" applyFill="1"/>
    <xf numFmtId="165" fontId="121" fillId="30" borderId="0" xfId="0" applyNumberFormat="1" applyFont="1" applyFill="1"/>
    <xf numFmtId="165" fontId="115" fillId="30" borderId="0" xfId="0" applyNumberFormat="1" applyFont="1" applyFill="1"/>
    <xf numFmtId="0" fontId="115" fillId="30" borderId="0" xfId="0" applyFont="1" applyFill="1"/>
    <xf numFmtId="37" fontId="110" fillId="30" borderId="0" xfId="543" applyNumberFormat="1" applyFont="1" applyFill="1" applyBorder="1"/>
    <xf numFmtId="166" fontId="111" fillId="30" borderId="0" xfId="0" applyNumberFormat="1" applyFont="1" applyFill="1" applyAlignment="1">
      <alignment horizontal="right"/>
    </xf>
    <xf numFmtId="1" fontId="107" fillId="30" borderId="0" xfId="0" applyNumberFormat="1" applyFont="1" applyFill="1" applyAlignment="1">
      <alignment horizontal="right"/>
    </xf>
    <xf numFmtId="0" fontId="107" fillId="30" borderId="0" xfId="0" applyFont="1" applyFill="1" applyAlignment="1">
      <alignment horizontal="right"/>
    </xf>
    <xf numFmtId="2" fontId="107" fillId="30" borderId="0" xfId="0" applyNumberFormat="1" applyFont="1" applyFill="1"/>
    <xf numFmtId="169" fontId="111" fillId="30" borderId="0" xfId="543" applyNumberFormat="1" applyFont="1" applyFill="1" applyBorder="1" applyAlignment="1">
      <alignment horizontal="right"/>
    </xf>
    <xf numFmtId="259" fontId="111" fillId="30" borderId="0" xfId="0" applyNumberFormat="1" applyFont="1" applyFill="1"/>
    <xf numFmtId="9" fontId="107" fillId="30" borderId="0" xfId="543" applyFont="1" applyFill="1" applyBorder="1"/>
    <xf numFmtId="0" fontId="109" fillId="0" borderId="0" xfId="0" applyFont="1" applyAlignment="1">
      <alignment horizontal="center"/>
    </xf>
    <xf numFmtId="262" fontId="111" fillId="0" borderId="0" xfId="0" applyNumberFormat="1" applyFont="1"/>
    <xf numFmtId="0" fontId="111" fillId="26" borderId="0" xfId="0" applyFont="1" applyFill="1" applyAlignment="1">
      <alignment horizontal="center"/>
    </xf>
    <xf numFmtId="0" fontId="111" fillId="26" borderId="38" xfId="0" applyFont="1" applyFill="1" applyBorder="1" applyAlignment="1">
      <alignment horizontal="center"/>
    </xf>
    <xf numFmtId="168" fontId="111" fillId="26" borderId="8" xfId="0" applyNumberFormat="1" applyFont="1" applyFill="1" applyBorder="1" applyAlignment="1">
      <alignment horizontal="center"/>
    </xf>
    <xf numFmtId="172" fontId="107" fillId="27" borderId="0" xfId="266" applyNumberFormat="1" applyFont="1" applyFill="1" applyAlignment="1">
      <alignment horizontal="left" wrapText="1"/>
    </xf>
    <xf numFmtId="17" fontId="111" fillId="27" borderId="8" xfId="266" applyNumberFormat="1" applyFont="1" applyFill="1" applyBorder="1" applyAlignment="1">
      <alignment horizontal="left" wrapText="1"/>
    </xf>
    <xf numFmtId="43" fontId="111" fillId="0" borderId="0" xfId="162" applyFont="1" applyFill="1" applyBorder="1" applyAlignment="1">
      <alignment horizontal="center"/>
    </xf>
    <xf numFmtId="0" fontId="111" fillId="0" borderId="0" xfId="0" applyFont="1" applyAlignment="1">
      <alignment horizontal="center"/>
    </xf>
    <xf numFmtId="169" fontId="107" fillId="0" borderId="0" xfId="543" applyNumberFormat="1" applyFont="1" applyFill="1" applyBorder="1"/>
    <xf numFmtId="259" fontId="123" fillId="0" borderId="0" xfId="0" applyNumberFormat="1" applyFont="1"/>
    <xf numFmtId="172" fontId="121" fillId="0" borderId="46" xfId="162" applyNumberFormat="1" applyFont="1" applyFill="1" applyBorder="1"/>
    <xf numFmtId="170" fontId="121" fillId="27" borderId="0" xfId="162" applyNumberFormat="1" applyFont="1" applyFill="1" applyBorder="1" applyAlignment="1">
      <alignment horizontal="center" wrapText="1"/>
    </xf>
    <xf numFmtId="170" fontId="121" fillId="32" borderId="0" xfId="162" applyNumberFormat="1" applyFont="1" applyFill="1" applyBorder="1" applyAlignment="1">
      <alignment horizontal="center" wrapText="1"/>
    </xf>
    <xf numFmtId="170" fontId="111" fillId="28" borderId="8" xfId="162" applyNumberFormat="1" applyFont="1" applyFill="1" applyBorder="1" applyAlignment="1">
      <alignment horizontal="center"/>
    </xf>
    <xf numFmtId="170" fontId="111" fillId="28" borderId="0" xfId="162" applyNumberFormat="1" applyFont="1" applyFill="1" applyBorder="1" applyAlignment="1">
      <alignment horizontal="center"/>
    </xf>
    <xf numFmtId="170" fontId="121" fillId="0" borderId="46" xfId="162" applyNumberFormat="1" applyFont="1" applyFill="1" applyBorder="1" applyAlignment="1">
      <alignment horizontal="center" wrapText="1"/>
    </xf>
    <xf numFmtId="170" fontId="107" fillId="0" borderId="46" xfId="162" applyNumberFormat="1" applyFont="1" applyFill="1" applyBorder="1" applyAlignment="1">
      <alignment horizontal="center" wrapText="1"/>
    </xf>
    <xf numFmtId="170" fontId="107" fillId="0" borderId="49" xfId="162" applyNumberFormat="1" applyFont="1" applyFill="1" applyBorder="1" applyAlignment="1">
      <alignment horizontal="center" wrapText="1"/>
    </xf>
    <xf numFmtId="170" fontId="121" fillId="0" borderId="46" xfId="162" applyNumberFormat="1" applyFont="1" applyFill="1" applyBorder="1"/>
    <xf numFmtId="17" fontId="111" fillId="27" borderId="50" xfId="266" applyNumberFormat="1" applyFont="1" applyFill="1" applyBorder="1" applyAlignment="1">
      <alignment horizontal="left" vertical="center" wrapText="1"/>
    </xf>
    <xf numFmtId="43" fontId="109" fillId="0" borderId="0" xfId="0" applyNumberFormat="1" applyFont="1" applyAlignment="1">
      <alignment horizontal="center"/>
    </xf>
    <xf numFmtId="0" fontId="115" fillId="0" borderId="0" xfId="266" applyFont="1"/>
    <xf numFmtId="170" fontId="123" fillId="0" borderId="51" xfId="162" applyNumberFormat="1" applyFont="1" applyFill="1" applyBorder="1" applyAlignment="1">
      <alignment horizontal="right" wrapText="1"/>
    </xf>
    <xf numFmtId="0" fontId="107" fillId="29" borderId="0" xfId="266" applyFont="1" applyFill="1"/>
    <xf numFmtId="0" fontId="107" fillId="0" borderId="0" xfId="266" applyFont="1" applyAlignment="1">
      <alignment horizontal="right" wrapText="1"/>
    </xf>
    <xf numFmtId="165" fontId="107" fillId="27" borderId="0" xfId="266" applyNumberFormat="1" applyFont="1" applyFill="1" applyAlignment="1">
      <alignment horizontal="right" wrapText="1"/>
    </xf>
    <xf numFmtId="165" fontId="107" fillId="0" borderId="0" xfId="266" applyNumberFormat="1" applyFont="1"/>
    <xf numFmtId="14" fontId="107" fillId="0" borderId="0" xfId="266" applyNumberFormat="1" applyFont="1"/>
    <xf numFmtId="258" fontId="107" fillId="0" borderId="0" xfId="266" applyNumberFormat="1" applyFont="1"/>
    <xf numFmtId="165" fontId="111" fillId="27" borderId="8" xfId="266" applyNumberFormat="1" applyFont="1" applyFill="1" applyBorder="1" applyAlignment="1">
      <alignment horizontal="right" wrapText="1"/>
    </xf>
    <xf numFmtId="165" fontId="121" fillId="27" borderId="0" xfId="162" applyNumberFormat="1" applyFont="1" applyFill="1" applyBorder="1" applyAlignment="1">
      <alignment horizontal="center" wrapText="1"/>
    </xf>
    <xf numFmtId="165" fontId="111" fillId="27" borderId="0" xfId="266" applyNumberFormat="1" applyFont="1" applyFill="1" applyAlignment="1">
      <alignment horizontal="right" wrapText="1"/>
    </xf>
    <xf numFmtId="3" fontId="107" fillId="0" borderId="0" xfId="0" applyNumberFormat="1" applyFont="1"/>
    <xf numFmtId="3" fontId="107" fillId="0" borderId="0" xfId="266" applyNumberFormat="1" applyFont="1"/>
    <xf numFmtId="37" fontId="111" fillId="28" borderId="8" xfId="267" applyNumberFormat="1" applyFont="1" applyFill="1" applyBorder="1"/>
    <xf numFmtId="14" fontId="111" fillId="0" borderId="8" xfId="266" applyNumberFormat="1" applyFont="1" applyBorder="1" applyAlignment="1">
      <alignment horizontal="right" wrapText="1"/>
    </xf>
    <xf numFmtId="0" fontId="111" fillId="0" borderId="0" xfId="266" applyFont="1" applyAlignment="1">
      <alignment horizontal="right" wrapText="1"/>
    </xf>
    <xf numFmtId="258" fontId="111" fillId="0" borderId="0" xfId="267" applyNumberFormat="1" applyFont="1"/>
    <xf numFmtId="258" fontId="107" fillId="0" borderId="0" xfId="267" applyNumberFormat="1" applyFont="1"/>
    <xf numFmtId="257" fontId="111" fillId="0" borderId="8" xfId="0" applyNumberFormat="1" applyFont="1" applyBorder="1"/>
    <xf numFmtId="0" fontId="107" fillId="27" borderId="0" xfId="266" applyFont="1" applyFill="1" applyAlignment="1">
      <alignment horizontal="left" wrapText="1" indent="1"/>
    </xf>
    <xf numFmtId="37" fontId="107" fillId="33" borderId="0" xfId="0" applyNumberFormat="1" applyFont="1" applyFill="1"/>
    <xf numFmtId="165" fontId="110" fillId="33" borderId="0" xfId="0" applyNumberFormat="1" applyFont="1" applyFill="1"/>
    <xf numFmtId="165" fontId="107" fillId="33" borderId="0" xfId="0" applyNumberFormat="1" applyFont="1" applyFill="1"/>
    <xf numFmtId="0" fontId="5" fillId="0" borderId="0" xfId="0" applyFont="1"/>
    <xf numFmtId="0" fontId="115" fillId="33" borderId="0" xfId="0" applyFont="1" applyFill="1" applyAlignment="1">
      <alignment horizontal="left"/>
    </xf>
    <xf numFmtId="165" fontId="107" fillId="27" borderId="0" xfId="0" applyNumberFormat="1" applyFont="1" applyFill="1"/>
    <xf numFmtId="165" fontId="118" fillId="27" borderId="0" xfId="0" applyNumberFormat="1" applyFont="1" applyFill="1"/>
    <xf numFmtId="165" fontId="111" fillId="0" borderId="12" xfId="0" applyNumberFormat="1" applyFont="1" applyBorder="1"/>
    <xf numFmtId="257" fontId="111" fillId="0" borderId="0" xfId="0" applyNumberFormat="1" applyFont="1" applyAlignment="1">
      <alignment horizontal="left" indent="2"/>
    </xf>
    <xf numFmtId="0" fontId="111" fillId="0" borderId="0" xfId="0" applyFont="1" applyAlignment="1">
      <alignment horizontal="left" indent="2"/>
    </xf>
    <xf numFmtId="257" fontId="111" fillId="30" borderId="0" xfId="0" applyNumberFormat="1" applyFont="1" applyFill="1" applyAlignment="1">
      <alignment horizontal="left" indent="2"/>
    </xf>
    <xf numFmtId="0" fontId="107" fillId="33" borderId="0" xfId="0" applyFont="1" applyFill="1"/>
    <xf numFmtId="165" fontId="107" fillId="33" borderId="0" xfId="0" applyNumberFormat="1" applyFont="1" applyFill="1" applyAlignment="1">
      <alignment horizontal="right"/>
    </xf>
    <xf numFmtId="261" fontId="107" fillId="33" borderId="0" xfId="0" applyNumberFormat="1" applyFont="1" applyFill="1" applyAlignment="1">
      <alignment horizontal="right"/>
    </xf>
    <xf numFmtId="0" fontId="111" fillId="34" borderId="0" xfId="0" applyFont="1" applyFill="1"/>
    <xf numFmtId="172" fontId="121" fillId="0" borderId="0" xfId="162" applyNumberFormat="1" applyFont="1" applyFill="1" applyBorder="1" applyAlignment="1">
      <alignment horizontal="center" wrapText="1"/>
    </xf>
    <xf numFmtId="170" fontId="121" fillId="0" borderId="0" xfId="162" applyNumberFormat="1" applyFont="1" applyFill="1" applyBorder="1" applyAlignment="1">
      <alignment horizontal="center" wrapText="1"/>
    </xf>
    <xf numFmtId="0" fontId="107" fillId="0" borderId="0" xfId="266" applyFont="1" applyAlignment="1">
      <alignment horizontal="left" wrapText="1" indent="1"/>
    </xf>
    <xf numFmtId="17" fontId="111" fillId="26" borderId="8" xfId="266" applyNumberFormat="1" applyFont="1" applyFill="1" applyBorder="1" applyAlignment="1">
      <alignment horizontal="left" wrapText="1"/>
    </xf>
    <xf numFmtId="17" fontId="111" fillId="26" borderId="8" xfId="266" applyNumberFormat="1" applyFont="1" applyFill="1" applyBorder="1" applyAlignment="1">
      <alignment horizontal="center" wrapText="1"/>
    </xf>
    <xf numFmtId="0" fontId="111" fillId="26" borderId="8" xfId="266" applyFont="1" applyFill="1" applyBorder="1" applyAlignment="1">
      <alignment horizontal="right" wrapText="1"/>
    </xf>
    <xf numFmtId="0" fontId="111" fillId="0" borderId="41" xfId="266" applyFont="1" applyBorder="1"/>
    <xf numFmtId="170" fontId="111" fillId="0" borderId="49" xfId="162" applyNumberFormat="1" applyFont="1" applyFill="1" applyBorder="1" applyAlignment="1">
      <alignment horizontal="center" wrapText="1"/>
    </xf>
    <xf numFmtId="0" fontId="111" fillId="26" borderId="40" xfId="266" applyFont="1" applyFill="1" applyBorder="1" applyAlignment="1">
      <alignment horizontal="left" wrapText="1"/>
    </xf>
    <xf numFmtId="0" fontId="111" fillId="26" borderId="48" xfId="266" applyFont="1" applyFill="1" applyBorder="1" applyAlignment="1">
      <alignment horizontal="center" wrapText="1"/>
    </xf>
    <xf numFmtId="170" fontId="111" fillId="0" borderId="0" xfId="162" applyNumberFormat="1" applyFont="1" applyBorder="1"/>
    <xf numFmtId="0" fontId="126" fillId="0" borderId="0" xfId="266" applyFont="1"/>
    <xf numFmtId="170" fontId="126" fillId="0" borderId="0" xfId="162" applyNumberFormat="1" applyFont="1" applyBorder="1"/>
    <xf numFmtId="0" fontId="111" fillId="26" borderId="19" xfId="266" applyFont="1" applyFill="1" applyBorder="1"/>
    <xf numFmtId="0" fontId="111" fillId="26" borderId="45" xfId="266" applyFont="1" applyFill="1" applyBorder="1" applyAlignment="1">
      <alignment horizontal="center" wrapText="1"/>
    </xf>
    <xf numFmtId="170" fontId="121" fillId="0" borderId="27" xfId="162" applyNumberFormat="1" applyFont="1" applyFill="1" applyBorder="1" applyAlignment="1">
      <alignment horizontal="center" wrapText="1"/>
    </xf>
    <xf numFmtId="0" fontId="107" fillId="0" borderId="22" xfId="266" applyFont="1" applyBorder="1" applyAlignment="1">
      <alignment horizontal="left" wrapText="1"/>
    </xf>
    <xf numFmtId="170" fontId="121" fillId="0" borderId="28" xfId="162" applyNumberFormat="1" applyFont="1" applyFill="1" applyBorder="1" applyAlignment="1">
      <alignment horizontal="right" wrapText="1"/>
    </xf>
    <xf numFmtId="0" fontId="118" fillId="26" borderId="40" xfId="266" applyFont="1" applyFill="1" applyBorder="1"/>
    <xf numFmtId="0" fontId="111" fillId="26" borderId="43" xfId="266" applyFont="1" applyFill="1" applyBorder="1" applyAlignment="1">
      <alignment horizontal="center"/>
    </xf>
    <xf numFmtId="165" fontId="126" fillId="0" borderId="0" xfId="0" applyNumberFormat="1" applyFont="1"/>
    <xf numFmtId="0" fontId="126" fillId="0" borderId="0" xfId="0" applyFont="1"/>
    <xf numFmtId="171" fontId="126" fillId="0" borderId="0" xfId="162" applyNumberFormat="1" applyFont="1" applyFill="1" applyBorder="1"/>
    <xf numFmtId="0" fontId="126" fillId="0" borderId="0" xfId="0" applyFont="1" applyAlignment="1">
      <alignment horizontal="left"/>
    </xf>
    <xf numFmtId="37" fontId="126" fillId="0" borderId="0" xfId="0" applyNumberFormat="1" applyFont="1"/>
    <xf numFmtId="37" fontId="128" fillId="0" borderId="0" xfId="0" applyNumberFormat="1" applyFont="1"/>
    <xf numFmtId="37" fontId="126" fillId="0" borderId="0" xfId="162" applyNumberFormat="1" applyFont="1" applyFill="1" applyBorder="1"/>
    <xf numFmtId="37" fontId="128" fillId="0" borderId="0" xfId="162" applyNumberFormat="1" applyFont="1" applyFill="1" applyBorder="1"/>
    <xf numFmtId="37" fontId="113" fillId="0" borderId="0" xfId="0" applyNumberFormat="1" applyFont="1"/>
    <xf numFmtId="37" fontId="129" fillId="0" borderId="0" xfId="0" applyNumberFormat="1" applyFont="1"/>
    <xf numFmtId="37" fontId="113" fillId="30" borderId="0" xfId="0" applyNumberFormat="1" applyFont="1" applyFill="1"/>
    <xf numFmtId="165" fontId="107" fillId="27" borderId="0" xfId="0" applyNumberFormat="1" applyFont="1" applyFill="1" applyAlignment="1">
      <alignment horizontal="right"/>
    </xf>
    <xf numFmtId="37" fontId="107" fillId="27" borderId="0" xfId="0" applyNumberFormat="1" applyFont="1" applyFill="1"/>
    <xf numFmtId="258" fontId="107" fillId="27" borderId="0" xfId="0" applyNumberFormat="1" applyFont="1" applyFill="1" applyAlignment="1">
      <alignment horizontal="right"/>
    </xf>
    <xf numFmtId="258" fontId="111" fillId="27" borderId="0" xfId="0" applyNumberFormat="1" applyFont="1" applyFill="1" applyAlignment="1">
      <alignment horizontal="right"/>
    </xf>
    <xf numFmtId="172" fontId="126" fillId="0" borderId="0" xfId="162" applyNumberFormat="1" applyFont="1" applyBorder="1"/>
    <xf numFmtId="0" fontId="111" fillId="0" borderId="0" xfId="266" applyFont="1" applyAlignment="1">
      <alignment horizontal="center" vertical="center" wrapText="1"/>
    </xf>
    <xf numFmtId="0" fontId="111" fillId="26" borderId="43" xfId="266" applyFont="1" applyFill="1" applyBorder="1" applyAlignment="1">
      <alignment horizontal="center" vertical="center"/>
    </xf>
    <xf numFmtId="0" fontId="118" fillId="26" borderId="40" xfId="266" applyFont="1" applyFill="1" applyBorder="1" applyAlignment="1">
      <alignment horizontal="left" vertical="center"/>
    </xf>
    <xf numFmtId="17" fontId="111" fillId="26" borderId="8" xfId="266" applyNumberFormat="1" applyFont="1" applyFill="1" applyBorder="1" applyAlignment="1">
      <alignment horizontal="left" vertical="center" wrapText="1"/>
    </xf>
    <xf numFmtId="17" fontId="111" fillId="26" borderId="8" xfId="266" applyNumberFormat="1" applyFont="1" applyFill="1" applyBorder="1" applyAlignment="1">
      <alignment horizontal="center" vertical="center"/>
    </xf>
    <xf numFmtId="0" fontId="111" fillId="26" borderId="8" xfId="266" applyFont="1" applyFill="1" applyBorder="1" applyAlignment="1">
      <alignment horizontal="center" vertical="center"/>
    </xf>
    <xf numFmtId="0" fontId="111" fillId="33" borderId="0" xfId="0" applyFont="1" applyFill="1" applyAlignment="1">
      <alignment horizontal="left"/>
    </xf>
    <xf numFmtId="0" fontId="107" fillId="27" borderId="0" xfId="0" applyFont="1" applyFill="1"/>
    <xf numFmtId="0" fontId="107" fillId="27" borderId="0" xfId="0" applyFont="1" applyFill="1" applyAlignment="1">
      <alignment horizontal="left"/>
    </xf>
    <xf numFmtId="0" fontId="127" fillId="33" borderId="0" xfId="0" applyFont="1" applyFill="1"/>
    <xf numFmtId="0" fontId="111" fillId="33" borderId="0" xfId="0" applyFont="1" applyFill="1"/>
    <xf numFmtId="169" fontId="126" fillId="0" borderId="0" xfId="543" applyNumberFormat="1" applyFont="1" applyFill="1" applyBorder="1" applyAlignment="1">
      <alignment horizontal="left" indent="1"/>
    </xf>
    <xf numFmtId="172" fontId="126" fillId="0" borderId="0" xfId="162" applyNumberFormat="1" applyFont="1" applyFill="1" applyBorder="1"/>
    <xf numFmtId="169" fontId="126" fillId="0" borderId="0" xfId="543" applyNumberFormat="1" applyFont="1" applyFill="1" applyBorder="1"/>
    <xf numFmtId="0" fontId="111" fillId="27" borderId="0" xfId="0" applyFont="1" applyFill="1"/>
    <xf numFmtId="172" fontId="126" fillId="27" borderId="0" xfId="162" applyNumberFormat="1" applyFont="1" applyFill="1" applyBorder="1"/>
    <xf numFmtId="170" fontId="111" fillId="28" borderId="0" xfId="162" applyNumberFormat="1" applyFont="1" applyFill="1" applyAlignment="1">
      <alignment horizontal="center"/>
    </xf>
    <xf numFmtId="0" fontId="130" fillId="0" borderId="0" xfId="266" applyFont="1"/>
    <xf numFmtId="14" fontId="130" fillId="0" borderId="0" xfId="266" applyNumberFormat="1" applyFont="1"/>
    <xf numFmtId="0" fontId="107" fillId="0" borderId="8" xfId="266" applyFont="1" applyBorder="1"/>
    <xf numFmtId="170" fontId="107" fillId="0" borderId="0" xfId="162" applyNumberFormat="1" applyFont="1" applyFill="1" applyBorder="1" applyAlignment="1">
      <alignment horizontal="center" wrapText="1"/>
    </xf>
  </cellXfs>
  <cellStyles count="896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;;;" xfId="4" xr:uid="{00000000-0005-0000-0000-000003000000}"/>
    <cellStyle name="_%(SignOnly)" xfId="5" xr:uid="{00000000-0005-0000-0000-000004000000}"/>
    <cellStyle name="_%(SignSpaceOnly)" xfId="6" xr:uid="{00000000-0005-0000-0000-000005000000}"/>
    <cellStyle name="_0% CADR" xfId="7" xr:uid="{00000000-0005-0000-0000-000006000000}"/>
    <cellStyle name="_0% IRR" xfId="8" xr:uid="{00000000-0005-0000-0000-000007000000}"/>
    <cellStyle name="_1% CADR" xfId="9" xr:uid="{00000000-0005-0000-0000-000008000000}"/>
    <cellStyle name="_10% CADR" xfId="10" xr:uid="{00000000-0005-0000-0000-000009000000}"/>
    <cellStyle name="_10% CDR" xfId="11" xr:uid="{00000000-0005-0000-0000-00000A000000}"/>
    <cellStyle name="_11% CADR" xfId="12" xr:uid="{00000000-0005-0000-0000-00000B000000}"/>
    <cellStyle name="_12% CADR" xfId="13" xr:uid="{00000000-0005-0000-0000-00000C000000}"/>
    <cellStyle name="_12% CDR" xfId="14" xr:uid="{00000000-0005-0000-0000-00000D000000}"/>
    <cellStyle name="_13% CADR" xfId="15" xr:uid="{00000000-0005-0000-0000-00000E000000}"/>
    <cellStyle name="_14% CADR" xfId="16" xr:uid="{00000000-0005-0000-0000-00000F000000}"/>
    <cellStyle name="_14% CDR" xfId="17" xr:uid="{00000000-0005-0000-0000-000010000000}"/>
    <cellStyle name="_16% CDR" xfId="18" xr:uid="{00000000-0005-0000-0000-000011000000}"/>
    <cellStyle name="_18% CDR" xfId="19" xr:uid="{00000000-0005-0000-0000-000012000000}"/>
    <cellStyle name="_19.6% CDR BBB Break In Yield" xfId="20" xr:uid="{00000000-0005-0000-0000-000013000000}"/>
    <cellStyle name="_2% CADR" xfId="21" xr:uid="{00000000-0005-0000-0000-000014000000}"/>
    <cellStyle name="_20% CDR" xfId="22" xr:uid="{00000000-0005-0000-0000-000015000000}"/>
    <cellStyle name="_21.5% CDR BBB Break In Yield" xfId="23" xr:uid="{00000000-0005-0000-0000-000016000000}"/>
    <cellStyle name="_3% CADR" xfId="24" xr:uid="{00000000-0005-0000-0000-000017000000}"/>
    <cellStyle name="_3% CDR" xfId="25" xr:uid="{00000000-0005-0000-0000-000018000000}"/>
    <cellStyle name="_4% CADR" xfId="26" xr:uid="{00000000-0005-0000-0000-000019000000}"/>
    <cellStyle name="_5% CADR" xfId="27" xr:uid="{00000000-0005-0000-0000-00001A000000}"/>
    <cellStyle name="_5% CDR" xfId="28" xr:uid="{00000000-0005-0000-0000-00001B000000}"/>
    <cellStyle name="_6% CADR" xfId="29" xr:uid="{00000000-0005-0000-0000-00001C000000}"/>
    <cellStyle name="_7% CADR" xfId="30" xr:uid="{00000000-0005-0000-0000-00001D000000}"/>
    <cellStyle name="_7% CDR" xfId="31" xr:uid="{00000000-0005-0000-0000-00001E000000}"/>
    <cellStyle name="_8% CADR" xfId="32" xr:uid="{00000000-0005-0000-0000-00001F000000}"/>
    <cellStyle name="_8.0% CDR BB Break In Yield" xfId="33" xr:uid="{00000000-0005-0000-0000-000020000000}"/>
    <cellStyle name="_8.1% CDR BB Break In Yield" xfId="34" xr:uid="{00000000-0005-0000-0000-000021000000}"/>
    <cellStyle name="_9% CADR" xfId="35" xr:uid="{00000000-0005-0000-0000-000022000000}"/>
    <cellStyle name="_Assets" xfId="36" xr:uid="{00000000-0005-0000-0000-000023000000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_1" xfId="53" xr:uid="{00000000-0005-0000-0000-000034000000}"/>
    <cellStyle name="_Assumptions_1_COMPS - B2B Publishers" xfId="54" xr:uid="{00000000-0005-0000-0000-000035000000}"/>
    <cellStyle name="_Assumptions_1_COMPS - Directories" xfId="55" xr:uid="{00000000-0005-0000-0000-000036000000}"/>
    <cellStyle name="_Assumptions_1_F&amp;W Servicing Model" xfId="56" xr:uid="{00000000-0005-0000-0000-000037000000}"/>
    <cellStyle name="_Assumptions_1_F&amp;W Servicing Model v2" xfId="57" xr:uid="{00000000-0005-0000-0000-000038000000}"/>
    <cellStyle name="_Assumptions_1_Univision Annual Model" xfId="58" xr:uid="{00000000-0005-0000-0000-000039000000}"/>
    <cellStyle name="_Assumptions_1_Yell Servicing Model" xfId="59" xr:uid="{00000000-0005-0000-0000-00003A000000}"/>
    <cellStyle name="_Blue Mountain TRS (7-5-05)" xfId="60" xr:uid="{00000000-0005-0000-0000-00003B000000}"/>
    <cellStyle name="_Book2" xfId="61" xr:uid="{00000000-0005-0000-0000-00003C000000}"/>
    <cellStyle name="_CDO of CDO" xfId="62" xr:uid="{00000000-0005-0000-0000-00003D000000}"/>
    <cellStyle name="_CLO Portfolio 10_07_2005" xfId="63" xr:uid="{00000000-0005-0000-0000-00003E000000}"/>
    <cellStyle name="_Comma" xfId="64" xr:uid="{00000000-0005-0000-0000-00003F000000}"/>
    <cellStyle name="_Comma_dcf" xfId="65" xr:uid="{00000000-0005-0000-0000-000040000000}"/>
    <cellStyle name="_Currency" xfId="66" xr:uid="{00000000-0005-0000-0000-000041000000}"/>
    <cellStyle name="_Currency_dcf" xfId="67" xr:uid="{00000000-0005-0000-0000-000042000000}"/>
    <cellStyle name="_CurrencySpace" xfId="68" xr:uid="{00000000-0005-0000-0000-000043000000}"/>
    <cellStyle name="_CurrencySpace_dcf" xfId="69" xr:uid="{00000000-0005-0000-0000-000044000000}"/>
    <cellStyle name="_Euro" xfId="70" xr:uid="{00000000-0005-0000-0000-000045000000}"/>
    <cellStyle name="_EV8 Assumption List" xfId="71" xr:uid="{00000000-0005-0000-0000-000046000000}"/>
    <cellStyle name="_Exhibit I Babson Warehouse 2006-II CLO 8 18 06" xfId="72" xr:uid="{00000000-0005-0000-0000-000047000000}"/>
    <cellStyle name="_First PIK" xfId="73" xr:uid="{00000000-0005-0000-0000-000048000000}"/>
    <cellStyle name="_Galaxy VI CLO - WestLB Request" xfId="74" xr:uid="{00000000-0005-0000-0000-000049000000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Model FINAL (2)" xfId="78" xr:uid="{00000000-0005-0000-0000-00004D000000}"/>
    <cellStyle name="_Multiple" xfId="79" xr:uid="{00000000-0005-0000-0000-00004E000000}"/>
    <cellStyle name="_Multiple_dcf" xfId="80" xr:uid="{00000000-0005-0000-0000-00004F000000}"/>
    <cellStyle name="_MultipleSpace" xfId="81" xr:uid="{00000000-0005-0000-0000-000050000000}"/>
    <cellStyle name="_MultipleSpace_dcf" xfId="82" xr:uid="{00000000-0005-0000-0000-000051000000}"/>
    <cellStyle name="_Other Defafult Scenario 1" xfId="83" xr:uid="{00000000-0005-0000-0000-000052000000}"/>
    <cellStyle name="_Other Default Scenario 2" xfId="84" xr:uid="{00000000-0005-0000-0000-000053000000}"/>
    <cellStyle name="_Percent" xfId="85" xr:uid="{00000000-0005-0000-0000-000054000000}"/>
    <cellStyle name="_PercentSpace" xfId="86" xr:uid="{00000000-0005-0000-0000-000055000000}"/>
    <cellStyle name="_Port" xfId="87" xr:uid="{00000000-0005-0000-0000-000056000000}"/>
    <cellStyle name="_Port For S&amp;P" xfId="88" xr:uid="{00000000-0005-0000-0000-000057000000}"/>
    <cellStyle name="_Port_COMPS - B2B Publishers" xfId="89" xr:uid="{00000000-0005-0000-0000-000058000000}"/>
    <cellStyle name="_Port_COMPS - Directories" xfId="90" xr:uid="{00000000-0005-0000-0000-000059000000}"/>
    <cellStyle name="_Port_F&amp;W Servicing Model" xfId="91" xr:uid="{00000000-0005-0000-0000-00005A000000}"/>
    <cellStyle name="_Port_F&amp;W Servicing Model v2" xfId="92" xr:uid="{00000000-0005-0000-0000-00005B000000}"/>
    <cellStyle name="_Port_Univision Annual Model" xfId="93" xr:uid="{00000000-0005-0000-0000-00005C000000}"/>
    <cellStyle name="_Port_Yell Servicing Model" xfId="94" xr:uid="{00000000-0005-0000-0000-00005D000000}"/>
    <cellStyle name="_Pro Forma TTM 9.30.07 (CW NEIRB Acquisition)" xfId="95" xr:uid="{00000000-0005-0000-0000-00005E000000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Port 80Div_2099WARF" xfId="104" xr:uid="{00000000-0005-0000-0000-000067000000}"/>
    <cellStyle name="_S&amp;P Stress Scenarios" xfId="105" xr:uid="{00000000-0005-0000-0000-000068000000}"/>
    <cellStyle name="_Sources and Uses" xfId="106" xr:uid="{00000000-0005-0000-0000-000069000000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162" builtinId="3"/>
    <cellStyle name="Comma  - Style1" xfId="163" xr:uid="{00000000-0005-0000-0000-0000A2000000}"/>
    <cellStyle name="Comma  - Style2" xfId="164" xr:uid="{00000000-0005-0000-0000-0000A3000000}"/>
    <cellStyle name="Comma  - Style3" xfId="165" xr:uid="{00000000-0005-0000-0000-0000A4000000}"/>
    <cellStyle name="Comma  - Style4" xfId="166" xr:uid="{00000000-0005-0000-0000-0000A5000000}"/>
    <cellStyle name="Comma  - Style5" xfId="167" xr:uid="{00000000-0005-0000-0000-0000A6000000}"/>
    <cellStyle name="Comma  - Style6" xfId="168" xr:uid="{00000000-0005-0000-0000-0000A7000000}"/>
    <cellStyle name="Comma  - Style7" xfId="169" xr:uid="{00000000-0005-0000-0000-0000A8000000}"/>
    <cellStyle name="Comma  - Style8" xfId="170" xr:uid="{00000000-0005-0000-0000-0000A9000000}"/>
    <cellStyle name="Comma [0]; --" xfId="171" xr:uid="{00000000-0005-0000-0000-0000AA000000}"/>
    <cellStyle name="Comma [00]" xfId="172" xr:uid="{00000000-0005-0000-0000-0000AB000000}"/>
    <cellStyle name="Comma [1]" xfId="173" xr:uid="{00000000-0005-0000-0000-0000AC000000}"/>
    <cellStyle name="Comma Cents" xfId="174" xr:uid="{00000000-0005-0000-0000-0000AD000000}"/>
    <cellStyle name="Comma0" xfId="175" xr:uid="{00000000-0005-0000-0000-0000AE000000}"/>
    <cellStyle name="Commas" xfId="176" xr:uid="{00000000-0005-0000-0000-0000AF000000}"/>
    <cellStyle name="CommasBold" xfId="177" xr:uid="{00000000-0005-0000-0000-0000B0000000}"/>
    <cellStyle name="CompanyTitle" xfId="178" xr:uid="{00000000-0005-0000-0000-0000B1000000}"/>
    <cellStyle name="Copied" xfId="179" xr:uid="{00000000-0005-0000-0000-0000B2000000}"/>
    <cellStyle name="Currency $" xfId="180" xr:uid="{00000000-0005-0000-0000-0000B3000000}"/>
    <cellStyle name="Currency [0]; --" xfId="181" xr:uid="{00000000-0005-0000-0000-0000B4000000}"/>
    <cellStyle name="Currency [00]" xfId="182" xr:uid="{00000000-0005-0000-0000-0000B5000000}"/>
    <cellStyle name="Currency [1]" xfId="183" xr:uid="{00000000-0005-0000-0000-0000B6000000}"/>
    <cellStyle name="Currency [2]" xfId="184" xr:uid="{00000000-0005-0000-0000-0000B7000000}"/>
    <cellStyle name="data" xfId="185" xr:uid="{00000000-0005-0000-0000-0000B8000000}"/>
    <cellStyle name="Date" xfId="186" xr:uid="{00000000-0005-0000-0000-0000B9000000}"/>
    <cellStyle name="Date Short" xfId="187" xr:uid="{00000000-0005-0000-0000-0000BA000000}"/>
    <cellStyle name="Date_COMPS - Directories" xfId="188" xr:uid="{00000000-0005-0000-0000-0000BB000000}"/>
    <cellStyle name="DateLeftBold" xfId="189" xr:uid="{00000000-0005-0000-0000-0000BC000000}"/>
    <cellStyle name="Default" xfId="190" xr:uid="{00000000-0005-0000-0000-0000BD000000}"/>
    <cellStyle name="DELTA" xfId="191" xr:uid="{00000000-0005-0000-0000-0000BE000000}"/>
    <cellStyle name="Dollars" xfId="192" xr:uid="{00000000-0005-0000-0000-0000BF000000}"/>
    <cellStyle name="Dollars []" xfId="193" xr:uid="{00000000-0005-0000-0000-0000C0000000}"/>
    <cellStyle name="Dollars_Pro Forma TTM 9.30.07 (CW NEIRB Acquisition)" xfId="194" xr:uid="{00000000-0005-0000-0000-0000C1000000}"/>
    <cellStyle name="Double" xfId="195" xr:uid="{00000000-0005-0000-0000-0000C2000000}"/>
    <cellStyle name="Double Accounting" xfId="196" xr:uid="{00000000-0005-0000-0000-0000C3000000}"/>
    <cellStyle name="Enter Currency (0)" xfId="197" xr:uid="{00000000-0005-0000-0000-0000C4000000}"/>
    <cellStyle name="Enter Currency (2)" xfId="198" xr:uid="{00000000-0005-0000-0000-0000C5000000}"/>
    <cellStyle name="Enter Units (0)" xfId="199" xr:uid="{00000000-0005-0000-0000-0000C6000000}"/>
    <cellStyle name="Enter Units (1)" xfId="200" xr:uid="{00000000-0005-0000-0000-0000C7000000}"/>
    <cellStyle name="Enter Units (2)" xfId="201" xr:uid="{00000000-0005-0000-0000-0000C8000000}"/>
    <cellStyle name="Entered" xfId="202" xr:uid="{00000000-0005-0000-0000-0000C9000000}"/>
    <cellStyle name="Euro" xfId="203" xr:uid="{00000000-0005-0000-0000-0000CA000000}"/>
    <cellStyle name="Fit" xfId="204" xr:uid="{00000000-0005-0000-0000-0000CB000000}"/>
    <cellStyle name="Footer" xfId="205" xr:uid="{00000000-0005-0000-0000-0000CC000000}"/>
    <cellStyle name="Footnotes" xfId="206" xr:uid="{00000000-0005-0000-0000-0000CD000000}"/>
    <cellStyle name="Grey" xfId="207" xr:uid="{00000000-0005-0000-0000-0000CE000000}"/>
    <cellStyle name="GreybarHeader" xfId="208" xr:uid="{00000000-0005-0000-0000-0000CF000000}"/>
    <cellStyle name="Grouped Head" xfId="209" xr:uid="{00000000-0005-0000-0000-0000D0000000}"/>
    <cellStyle name="h" xfId="210" xr:uid="{00000000-0005-0000-0000-0000D1000000}"/>
    <cellStyle name="HAlignCenter" xfId="211" xr:uid="{00000000-0005-0000-0000-0000D2000000}"/>
    <cellStyle name="HAlignLeft" xfId="212" xr:uid="{00000000-0005-0000-0000-0000D3000000}"/>
    <cellStyle name="HAlignRight" xfId="213" xr:uid="{00000000-0005-0000-0000-0000D4000000}"/>
    <cellStyle name="Head 1" xfId="214" xr:uid="{00000000-0005-0000-0000-0000D5000000}"/>
    <cellStyle name="Header" xfId="215" xr:uid="{00000000-0005-0000-0000-0000D6000000}"/>
    <cellStyle name="Header1" xfId="216" xr:uid="{00000000-0005-0000-0000-0000D7000000}"/>
    <cellStyle name="Header2" xfId="217" xr:uid="{00000000-0005-0000-0000-0000D8000000}"/>
    <cellStyle name="headers" xfId="218" xr:uid="{00000000-0005-0000-0000-0000D9000000}"/>
    <cellStyle name="Heading" xfId="219" xr:uid="{00000000-0005-0000-0000-0000DA000000}"/>
    <cellStyle name="HEADINGS" xfId="220" xr:uid="{00000000-0005-0000-0000-0000DB000000}"/>
    <cellStyle name="HEADINGSTOP" xfId="221" xr:uid="{00000000-0005-0000-0000-0000DC000000}"/>
    <cellStyle name="imput" xfId="222" xr:uid="{00000000-0005-0000-0000-0000DD000000}"/>
    <cellStyle name="Input [yellow]" xfId="223" xr:uid="{00000000-0005-0000-0000-0000DE000000}"/>
    <cellStyle name="Invisible" xfId="224" xr:uid="{00000000-0005-0000-0000-0000DF000000}"/>
    <cellStyle name="ItalicHeader" xfId="225" xr:uid="{00000000-0005-0000-0000-0000E0000000}"/>
    <cellStyle name="Item Descriptions" xfId="226" xr:uid="{00000000-0005-0000-0000-0000E1000000}"/>
    <cellStyle name="Item Descriptions - Bold" xfId="227" xr:uid="{00000000-0005-0000-0000-0000E2000000}"/>
    <cellStyle name="Item Descriptions_6079BX" xfId="228" xr:uid="{00000000-0005-0000-0000-0000E3000000}"/>
    <cellStyle name="Left" xfId="229" xr:uid="{00000000-0005-0000-0000-0000E4000000}"/>
    <cellStyle name="LeftBold" xfId="230" xr:uid="{00000000-0005-0000-0000-0000E5000000}"/>
    <cellStyle name="LeftBoldBottomRule" xfId="231" xr:uid="{00000000-0005-0000-0000-0000E6000000}"/>
    <cellStyle name="LeftBoldCenterRule" xfId="232" xr:uid="{00000000-0005-0000-0000-0000E7000000}"/>
    <cellStyle name="Line" xfId="233" xr:uid="{00000000-0005-0000-0000-0000E8000000}"/>
    <cellStyle name="Link Currency (0)" xfId="234" xr:uid="{00000000-0005-0000-0000-0000E9000000}"/>
    <cellStyle name="Link Currency (2)" xfId="235" xr:uid="{00000000-0005-0000-0000-0000EA000000}"/>
    <cellStyle name="Link Units (0)" xfId="236" xr:uid="{00000000-0005-0000-0000-0000EB000000}"/>
    <cellStyle name="Link Units (1)" xfId="237" xr:uid="{00000000-0005-0000-0000-0000EC000000}"/>
    <cellStyle name="Link Units (2)" xfId="238" xr:uid="{00000000-0005-0000-0000-0000ED000000}"/>
    <cellStyle name="locked" xfId="239" xr:uid="{00000000-0005-0000-0000-0000EE000000}"/>
    <cellStyle name="m&amp;a" xfId="240" xr:uid="{00000000-0005-0000-0000-0000EF000000}"/>
    <cellStyle name="Map Labels" xfId="241" xr:uid="{00000000-0005-0000-0000-0000F0000000}"/>
    <cellStyle name="Map Legend" xfId="242" xr:uid="{00000000-0005-0000-0000-0000F1000000}"/>
    <cellStyle name="Merrill" xfId="243" xr:uid="{00000000-0005-0000-0000-0000F2000000}"/>
    <cellStyle name="Millares_Inv Detail A7" xfId="244" xr:uid="{00000000-0005-0000-0000-0000F3000000}"/>
    <cellStyle name="Milliers [0]_r00SC" xfId="245" xr:uid="{00000000-0005-0000-0000-0000F4000000}"/>
    <cellStyle name="Milliers_r00SC" xfId="246" xr:uid="{00000000-0005-0000-0000-0000F5000000}"/>
    <cellStyle name="Mix" xfId="247" xr:uid="{00000000-0005-0000-0000-0000F6000000}"/>
    <cellStyle name="mon" xfId="248" xr:uid="{00000000-0005-0000-0000-0000F7000000}"/>
    <cellStyle name="Monétaire [0]_r00SC" xfId="249" xr:uid="{00000000-0005-0000-0000-0000F8000000}"/>
    <cellStyle name="Monétaire_r00SC" xfId="250" xr:uid="{00000000-0005-0000-0000-0000F9000000}"/>
    <cellStyle name="Money" xfId="251" xr:uid="{00000000-0005-0000-0000-0000FA000000}"/>
    <cellStyle name="Multiple" xfId="252" xr:uid="{00000000-0005-0000-0000-0000FB000000}"/>
    <cellStyle name="Multiple []" xfId="253" xr:uid="{00000000-0005-0000-0000-0000FC000000}"/>
    <cellStyle name="Multiple [0]" xfId="254" xr:uid="{00000000-0005-0000-0000-0000FD000000}"/>
    <cellStyle name="Multiple [0] []" xfId="255" xr:uid="{00000000-0005-0000-0000-0000FE000000}"/>
    <cellStyle name="Multiple [0]_New MA Public Comps and WACC Model" xfId="256" xr:uid="{00000000-0005-0000-0000-0000FF000000}"/>
    <cellStyle name="Multiple [1]" xfId="257" xr:uid="{00000000-0005-0000-0000-000000010000}"/>
    <cellStyle name="Multiple [1] []" xfId="258" xr:uid="{00000000-0005-0000-0000-000001010000}"/>
    <cellStyle name="Multiple [1]_New MA Public Comps and WACC Model" xfId="259" xr:uid="{00000000-0005-0000-0000-000002010000}"/>
    <cellStyle name="Multiple_CapitalSum" xfId="260" xr:uid="{00000000-0005-0000-0000-000003010000}"/>
    <cellStyle name="N2Style" xfId="261" xr:uid="{00000000-0005-0000-0000-000004010000}"/>
    <cellStyle name="NewColumnHeaderNormal" xfId="262" xr:uid="{00000000-0005-0000-0000-000005010000}"/>
    <cellStyle name="NewSectionHeaderNormal" xfId="263" xr:uid="{00000000-0005-0000-0000-000006010000}"/>
    <cellStyle name="NewTitleNormal" xfId="264" xr:uid="{00000000-0005-0000-0000-000007010000}"/>
    <cellStyle name="Normal" xfId="0" builtinId="0"/>
    <cellStyle name="Normal - Style1" xfId="265" xr:uid="{00000000-0005-0000-0000-000009010000}"/>
    <cellStyle name="Normal 2" xfId="266" xr:uid="{00000000-0005-0000-0000-00000A010000}"/>
    <cellStyle name="Normal 2 2" xfId="267" xr:uid="{00000000-0005-0000-0000-00000B010000}"/>
    <cellStyle name="Normal1" xfId="268" xr:uid="{00000000-0005-0000-0000-00000C010000}"/>
    <cellStyle name="Normal10" xfId="269" xr:uid="{00000000-0005-0000-0000-00000D010000}"/>
    <cellStyle name="Normal100" xfId="270" xr:uid="{00000000-0005-0000-0000-00000E010000}"/>
    <cellStyle name="Normal101" xfId="271" xr:uid="{00000000-0005-0000-0000-00000F010000}"/>
    <cellStyle name="Normal102" xfId="272" xr:uid="{00000000-0005-0000-0000-000010010000}"/>
    <cellStyle name="Normal103" xfId="273" xr:uid="{00000000-0005-0000-0000-000011010000}"/>
    <cellStyle name="Normal104" xfId="274" xr:uid="{00000000-0005-0000-0000-000012010000}"/>
    <cellStyle name="Normal105" xfId="275" xr:uid="{00000000-0005-0000-0000-000013010000}"/>
    <cellStyle name="Normal106" xfId="276" xr:uid="{00000000-0005-0000-0000-000014010000}"/>
    <cellStyle name="Normal107" xfId="277" xr:uid="{00000000-0005-0000-0000-000015010000}"/>
    <cellStyle name="Normal108" xfId="278" xr:uid="{00000000-0005-0000-0000-000016010000}"/>
    <cellStyle name="Normal109" xfId="279" xr:uid="{00000000-0005-0000-0000-000017010000}"/>
    <cellStyle name="Normal11" xfId="280" xr:uid="{00000000-0005-0000-0000-000018010000}"/>
    <cellStyle name="Normal110" xfId="281" xr:uid="{00000000-0005-0000-0000-000019010000}"/>
    <cellStyle name="Normal111" xfId="282" xr:uid="{00000000-0005-0000-0000-00001A010000}"/>
    <cellStyle name="Normal112" xfId="283" xr:uid="{00000000-0005-0000-0000-00001B010000}"/>
    <cellStyle name="Normal113" xfId="284" xr:uid="{00000000-0005-0000-0000-00001C010000}"/>
    <cellStyle name="Normal114" xfId="285" xr:uid="{00000000-0005-0000-0000-00001D010000}"/>
    <cellStyle name="Normal115" xfId="286" xr:uid="{00000000-0005-0000-0000-00001E010000}"/>
    <cellStyle name="Normal116" xfId="287" xr:uid="{00000000-0005-0000-0000-00001F010000}"/>
    <cellStyle name="Normal117" xfId="288" xr:uid="{00000000-0005-0000-0000-000020010000}"/>
    <cellStyle name="Normal118" xfId="289" xr:uid="{00000000-0005-0000-0000-000021010000}"/>
    <cellStyle name="Normal119" xfId="290" xr:uid="{00000000-0005-0000-0000-000022010000}"/>
    <cellStyle name="Normal12" xfId="291" xr:uid="{00000000-0005-0000-0000-000023010000}"/>
    <cellStyle name="Normal120" xfId="292" xr:uid="{00000000-0005-0000-0000-000024010000}"/>
    <cellStyle name="Normal121" xfId="293" xr:uid="{00000000-0005-0000-0000-000025010000}"/>
    <cellStyle name="Normal122" xfId="294" xr:uid="{00000000-0005-0000-0000-000026010000}"/>
    <cellStyle name="Normal123" xfId="295" xr:uid="{00000000-0005-0000-0000-000027010000}"/>
    <cellStyle name="Normal124" xfId="296" xr:uid="{00000000-0005-0000-0000-000028010000}"/>
    <cellStyle name="Normal125" xfId="297" xr:uid="{00000000-0005-0000-0000-000029010000}"/>
    <cellStyle name="Normal126" xfId="298" xr:uid="{00000000-0005-0000-0000-00002A010000}"/>
    <cellStyle name="Normal127" xfId="299" xr:uid="{00000000-0005-0000-0000-00002B010000}"/>
    <cellStyle name="Normal128" xfId="300" xr:uid="{00000000-0005-0000-0000-00002C010000}"/>
    <cellStyle name="Normal129" xfId="301" xr:uid="{00000000-0005-0000-0000-00002D010000}"/>
    <cellStyle name="Normal13" xfId="302" xr:uid="{00000000-0005-0000-0000-00002E010000}"/>
    <cellStyle name="Normal130" xfId="303" xr:uid="{00000000-0005-0000-0000-00002F010000}"/>
    <cellStyle name="Normal131" xfId="304" xr:uid="{00000000-0005-0000-0000-000030010000}"/>
    <cellStyle name="Normal132" xfId="305" xr:uid="{00000000-0005-0000-0000-000031010000}"/>
    <cellStyle name="Normal133" xfId="306" xr:uid="{00000000-0005-0000-0000-000032010000}"/>
    <cellStyle name="Normal134" xfId="307" xr:uid="{00000000-0005-0000-0000-000033010000}"/>
    <cellStyle name="Normal135" xfId="308" xr:uid="{00000000-0005-0000-0000-000034010000}"/>
    <cellStyle name="Normal136" xfId="309" xr:uid="{00000000-0005-0000-0000-000035010000}"/>
    <cellStyle name="Normal137" xfId="310" xr:uid="{00000000-0005-0000-0000-000036010000}"/>
    <cellStyle name="Normal138" xfId="311" xr:uid="{00000000-0005-0000-0000-000037010000}"/>
    <cellStyle name="Normal139" xfId="312" xr:uid="{00000000-0005-0000-0000-000038010000}"/>
    <cellStyle name="Normal14" xfId="313" xr:uid="{00000000-0005-0000-0000-000039010000}"/>
    <cellStyle name="Normal140" xfId="314" xr:uid="{00000000-0005-0000-0000-00003A010000}"/>
    <cellStyle name="Normal141" xfId="315" xr:uid="{00000000-0005-0000-0000-00003B010000}"/>
    <cellStyle name="Normal142" xfId="316" xr:uid="{00000000-0005-0000-0000-00003C010000}"/>
    <cellStyle name="Normal143" xfId="317" xr:uid="{00000000-0005-0000-0000-00003D010000}"/>
    <cellStyle name="Normal144" xfId="318" xr:uid="{00000000-0005-0000-0000-00003E010000}"/>
    <cellStyle name="Normal145" xfId="319" xr:uid="{00000000-0005-0000-0000-00003F010000}"/>
    <cellStyle name="Normal146" xfId="320" xr:uid="{00000000-0005-0000-0000-000040010000}"/>
    <cellStyle name="Normal147" xfId="321" xr:uid="{00000000-0005-0000-0000-000041010000}"/>
    <cellStyle name="Normal148" xfId="322" xr:uid="{00000000-0005-0000-0000-000042010000}"/>
    <cellStyle name="Normal149" xfId="323" xr:uid="{00000000-0005-0000-0000-000043010000}"/>
    <cellStyle name="Normal15" xfId="324" xr:uid="{00000000-0005-0000-0000-000044010000}"/>
    <cellStyle name="Normal150" xfId="325" xr:uid="{00000000-0005-0000-0000-000045010000}"/>
    <cellStyle name="Normal151" xfId="326" xr:uid="{00000000-0005-0000-0000-000046010000}"/>
    <cellStyle name="Normal152" xfId="327" xr:uid="{00000000-0005-0000-0000-000047010000}"/>
    <cellStyle name="Normal153" xfId="328" xr:uid="{00000000-0005-0000-0000-000048010000}"/>
    <cellStyle name="Normal154" xfId="329" xr:uid="{00000000-0005-0000-0000-000049010000}"/>
    <cellStyle name="Normal155" xfId="330" xr:uid="{00000000-0005-0000-0000-00004A010000}"/>
    <cellStyle name="Normal156" xfId="331" xr:uid="{00000000-0005-0000-0000-00004B010000}"/>
    <cellStyle name="Normal157" xfId="332" xr:uid="{00000000-0005-0000-0000-00004C010000}"/>
    <cellStyle name="Normal158" xfId="333" xr:uid="{00000000-0005-0000-0000-00004D010000}"/>
    <cellStyle name="Normal159" xfId="334" xr:uid="{00000000-0005-0000-0000-00004E010000}"/>
    <cellStyle name="Normal16" xfId="335" xr:uid="{00000000-0005-0000-0000-00004F010000}"/>
    <cellStyle name="Normal160" xfId="336" xr:uid="{00000000-0005-0000-0000-000050010000}"/>
    <cellStyle name="Normal161" xfId="337" xr:uid="{00000000-0005-0000-0000-000051010000}"/>
    <cellStyle name="Normal162" xfId="338" xr:uid="{00000000-0005-0000-0000-000052010000}"/>
    <cellStyle name="Normal163" xfId="339" xr:uid="{00000000-0005-0000-0000-000053010000}"/>
    <cellStyle name="Normal164" xfId="340" xr:uid="{00000000-0005-0000-0000-000054010000}"/>
    <cellStyle name="Normal165" xfId="341" xr:uid="{00000000-0005-0000-0000-000055010000}"/>
    <cellStyle name="Normal166" xfId="342" xr:uid="{00000000-0005-0000-0000-000056010000}"/>
    <cellStyle name="Normal167" xfId="343" xr:uid="{00000000-0005-0000-0000-000057010000}"/>
    <cellStyle name="Normal168" xfId="344" xr:uid="{00000000-0005-0000-0000-000058010000}"/>
    <cellStyle name="Normal169" xfId="345" xr:uid="{00000000-0005-0000-0000-000059010000}"/>
    <cellStyle name="Normal17" xfId="346" xr:uid="{00000000-0005-0000-0000-00005A010000}"/>
    <cellStyle name="Normal170" xfId="347" xr:uid="{00000000-0005-0000-0000-00005B010000}"/>
    <cellStyle name="Normal171" xfId="348" xr:uid="{00000000-0005-0000-0000-00005C010000}"/>
    <cellStyle name="Normal172" xfId="349" xr:uid="{00000000-0005-0000-0000-00005D010000}"/>
    <cellStyle name="Normal173" xfId="350" xr:uid="{00000000-0005-0000-0000-00005E010000}"/>
    <cellStyle name="Normal174" xfId="351" xr:uid="{00000000-0005-0000-0000-00005F010000}"/>
    <cellStyle name="Normal175" xfId="352" xr:uid="{00000000-0005-0000-0000-000060010000}"/>
    <cellStyle name="Normal176" xfId="353" xr:uid="{00000000-0005-0000-0000-000061010000}"/>
    <cellStyle name="Normal177" xfId="354" xr:uid="{00000000-0005-0000-0000-000062010000}"/>
    <cellStyle name="Normal178" xfId="355" xr:uid="{00000000-0005-0000-0000-000063010000}"/>
    <cellStyle name="Normal179" xfId="356" xr:uid="{00000000-0005-0000-0000-000064010000}"/>
    <cellStyle name="Normal18" xfId="357" xr:uid="{00000000-0005-0000-0000-000065010000}"/>
    <cellStyle name="Normal180" xfId="358" xr:uid="{00000000-0005-0000-0000-000066010000}"/>
    <cellStyle name="Normal181" xfId="359" xr:uid="{00000000-0005-0000-0000-000067010000}"/>
    <cellStyle name="Normal182" xfId="360" xr:uid="{00000000-0005-0000-0000-000068010000}"/>
    <cellStyle name="Normal183" xfId="361" xr:uid="{00000000-0005-0000-0000-000069010000}"/>
    <cellStyle name="Normal184" xfId="362" xr:uid="{00000000-0005-0000-0000-00006A010000}"/>
    <cellStyle name="Normal185" xfId="363" xr:uid="{00000000-0005-0000-0000-00006B010000}"/>
    <cellStyle name="Normal186" xfId="364" xr:uid="{00000000-0005-0000-0000-00006C010000}"/>
    <cellStyle name="Normal187" xfId="365" xr:uid="{00000000-0005-0000-0000-00006D010000}"/>
    <cellStyle name="Normal188" xfId="366" xr:uid="{00000000-0005-0000-0000-00006E010000}"/>
    <cellStyle name="Normal189" xfId="367" xr:uid="{00000000-0005-0000-0000-00006F010000}"/>
    <cellStyle name="Normal19" xfId="368" xr:uid="{00000000-0005-0000-0000-000070010000}"/>
    <cellStyle name="Normal190" xfId="369" xr:uid="{00000000-0005-0000-0000-000071010000}"/>
    <cellStyle name="Normal191" xfId="370" xr:uid="{00000000-0005-0000-0000-000072010000}"/>
    <cellStyle name="Normal192" xfId="371" xr:uid="{00000000-0005-0000-0000-000073010000}"/>
    <cellStyle name="Normal193" xfId="372" xr:uid="{00000000-0005-0000-0000-000074010000}"/>
    <cellStyle name="Normal194" xfId="373" xr:uid="{00000000-0005-0000-0000-000075010000}"/>
    <cellStyle name="Normal195" xfId="374" xr:uid="{00000000-0005-0000-0000-000076010000}"/>
    <cellStyle name="Normal196" xfId="375" xr:uid="{00000000-0005-0000-0000-000077010000}"/>
    <cellStyle name="Normal197" xfId="376" xr:uid="{00000000-0005-0000-0000-000078010000}"/>
    <cellStyle name="Normal198" xfId="377" xr:uid="{00000000-0005-0000-0000-000079010000}"/>
    <cellStyle name="Normal199" xfId="378" xr:uid="{00000000-0005-0000-0000-00007A010000}"/>
    <cellStyle name="Normal2" xfId="379" xr:uid="{00000000-0005-0000-0000-00007B010000}"/>
    <cellStyle name="Normal20" xfId="380" xr:uid="{00000000-0005-0000-0000-00007C010000}"/>
    <cellStyle name="Normal200" xfId="381" xr:uid="{00000000-0005-0000-0000-00007D010000}"/>
    <cellStyle name="Normal201" xfId="382" xr:uid="{00000000-0005-0000-0000-00007E010000}"/>
    <cellStyle name="Normal202" xfId="383" xr:uid="{00000000-0005-0000-0000-00007F010000}"/>
    <cellStyle name="Normal203" xfId="384" xr:uid="{00000000-0005-0000-0000-000080010000}"/>
    <cellStyle name="Normal204" xfId="385" xr:uid="{00000000-0005-0000-0000-000081010000}"/>
    <cellStyle name="Normal205" xfId="386" xr:uid="{00000000-0005-0000-0000-000082010000}"/>
    <cellStyle name="Normal206" xfId="387" xr:uid="{00000000-0005-0000-0000-000083010000}"/>
    <cellStyle name="Normal207" xfId="388" xr:uid="{00000000-0005-0000-0000-000084010000}"/>
    <cellStyle name="Normal208" xfId="389" xr:uid="{00000000-0005-0000-0000-000085010000}"/>
    <cellStyle name="Normal209" xfId="390" xr:uid="{00000000-0005-0000-0000-000086010000}"/>
    <cellStyle name="Normal21" xfId="391" xr:uid="{00000000-0005-0000-0000-000087010000}"/>
    <cellStyle name="Normal210" xfId="392" xr:uid="{00000000-0005-0000-0000-000088010000}"/>
    <cellStyle name="Normal211" xfId="393" xr:uid="{00000000-0005-0000-0000-000089010000}"/>
    <cellStyle name="Normal212" xfId="394" xr:uid="{00000000-0005-0000-0000-00008A010000}"/>
    <cellStyle name="Normal213" xfId="395" xr:uid="{00000000-0005-0000-0000-00008B010000}"/>
    <cellStyle name="Normal214" xfId="396" xr:uid="{00000000-0005-0000-0000-00008C010000}"/>
    <cellStyle name="Normal215" xfId="397" xr:uid="{00000000-0005-0000-0000-00008D010000}"/>
    <cellStyle name="Normal216" xfId="398" xr:uid="{00000000-0005-0000-0000-00008E010000}"/>
    <cellStyle name="Normal217" xfId="399" xr:uid="{00000000-0005-0000-0000-00008F010000}"/>
    <cellStyle name="Normal218" xfId="400" xr:uid="{00000000-0005-0000-0000-000090010000}"/>
    <cellStyle name="Normal219" xfId="401" xr:uid="{00000000-0005-0000-0000-000091010000}"/>
    <cellStyle name="Normal22" xfId="402" xr:uid="{00000000-0005-0000-0000-000092010000}"/>
    <cellStyle name="Normal220" xfId="403" xr:uid="{00000000-0005-0000-0000-000093010000}"/>
    <cellStyle name="Normal221" xfId="404" xr:uid="{00000000-0005-0000-0000-000094010000}"/>
    <cellStyle name="Normal222" xfId="405" xr:uid="{00000000-0005-0000-0000-000095010000}"/>
    <cellStyle name="Normal223" xfId="406" xr:uid="{00000000-0005-0000-0000-000096010000}"/>
    <cellStyle name="Normal224" xfId="407" xr:uid="{00000000-0005-0000-0000-000097010000}"/>
    <cellStyle name="Normal225" xfId="408" xr:uid="{00000000-0005-0000-0000-000098010000}"/>
    <cellStyle name="Normal226" xfId="409" xr:uid="{00000000-0005-0000-0000-000099010000}"/>
    <cellStyle name="Normal227" xfId="410" xr:uid="{00000000-0005-0000-0000-00009A010000}"/>
    <cellStyle name="Normal228" xfId="411" xr:uid="{00000000-0005-0000-0000-00009B010000}"/>
    <cellStyle name="Normal229" xfId="412" xr:uid="{00000000-0005-0000-0000-00009C010000}"/>
    <cellStyle name="Normal23" xfId="413" xr:uid="{00000000-0005-0000-0000-00009D010000}"/>
    <cellStyle name="Normal230" xfId="414" xr:uid="{00000000-0005-0000-0000-00009E010000}"/>
    <cellStyle name="Normal231" xfId="415" xr:uid="{00000000-0005-0000-0000-00009F010000}"/>
    <cellStyle name="Normal232" xfId="416" xr:uid="{00000000-0005-0000-0000-0000A0010000}"/>
    <cellStyle name="Normal233" xfId="417" xr:uid="{00000000-0005-0000-0000-0000A1010000}"/>
    <cellStyle name="Normal234" xfId="418" xr:uid="{00000000-0005-0000-0000-0000A2010000}"/>
    <cellStyle name="Normal235" xfId="419" xr:uid="{00000000-0005-0000-0000-0000A3010000}"/>
    <cellStyle name="Normal236" xfId="420" xr:uid="{00000000-0005-0000-0000-0000A4010000}"/>
    <cellStyle name="Normal237" xfId="421" xr:uid="{00000000-0005-0000-0000-0000A5010000}"/>
    <cellStyle name="Normal238" xfId="422" xr:uid="{00000000-0005-0000-0000-0000A6010000}"/>
    <cellStyle name="Normal239" xfId="423" xr:uid="{00000000-0005-0000-0000-0000A7010000}"/>
    <cellStyle name="Normal24" xfId="424" xr:uid="{00000000-0005-0000-0000-0000A8010000}"/>
    <cellStyle name="Normal240" xfId="425" xr:uid="{00000000-0005-0000-0000-0000A9010000}"/>
    <cellStyle name="Normal241" xfId="426" xr:uid="{00000000-0005-0000-0000-0000AA010000}"/>
    <cellStyle name="Normal242" xfId="427" xr:uid="{00000000-0005-0000-0000-0000AB010000}"/>
    <cellStyle name="Normal243" xfId="428" xr:uid="{00000000-0005-0000-0000-0000AC010000}"/>
    <cellStyle name="Normal244" xfId="429" xr:uid="{00000000-0005-0000-0000-0000AD010000}"/>
    <cellStyle name="Normal245" xfId="430" xr:uid="{00000000-0005-0000-0000-0000AE010000}"/>
    <cellStyle name="Normal246" xfId="431" xr:uid="{00000000-0005-0000-0000-0000AF010000}"/>
    <cellStyle name="Normal247" xfId="432" xr:uid="{00000000-0005-0000-0000-0000B0010000}"/>
    <cellStyle name="Normal248" xfId="433" xr:uid="{00000000-0005-0000-0000-0000B1010000}"/>
    <cellStyle name="Normal249" xfId="434" xr:uid="{00000000-0005-0000-0000-0000B2010000}"/>
    <cellStyle name="Normal25" xfId="435" xr:uid="{00000000-0005-0000-0000-0000B3010000}"/>
    <cellStyle name="Normal250" xfId="436" xr:uid="{00000000-0005-0000-0000-0000B4010000}"/>
    <cellStyle name="Normal251" xfId="437" xr:uid="{00000000-0005-0000-0000-0000B5010000}"/>
    <cellStyle name="Normal252" xfId="438" xr:uid="{00000000-0005-0000-0000-0000B6010000}"/>
    <cellStyle name="Normal253" xfId="439" xr:uid="{00000000-0005-0000-0000-0000B7010000}"/>
    <cellStyle name="Normal26" xfId="440" xr:uid="{00000000-0005-0000-0000-0000B8010000}"/>
    <cellStyle name="Normal27" xfId="441" xr:uid="{00000000-0005-0000-0000-0000B9010000}"/>
    <cellStyle name="Normal28" xfId="442" xr:uid="{00000000-0005-0000-0000-0000BA010000}"/>
    <cellStyle name="Normal29" xfId="443" xr:uid="{00000000-0005-0000-0000-0000BB010000}"/>
    <cellStyle name="Normal3" xfId="444" xr:uid="{00000000-0005-0000-0000-0000BC010000}"/>
    <cellStyle name="Normal30" xfId="445" xr:uid="{00000000-0005-0000-0000-0000BD010000}"/>
    <cellStyle name="Normal31" xfId="446" xr:uid="{00000000-0005-0000-0000-0000BE010000}"/>
    <cellStyle name="Normal32" xfId="447" xr:uid="{00000000-0005-0000-0000-0000BF010000}"/>
    <cellStyle name="Normal33" xfId="448" xr:uid="{00000000-0005-0000-0000-0000C0010000}"/>
    <cellStyle name="Normal34" xfId="449" xr:uid="{00000000-0005-0000-0000-0000C1010000}"/>
    <cellStyle name="Normal35" xfId="450" xr:uid="{00000000-0005-0000-0000-0000C2010000}"/>
    <cellStyle name="Normal36" xfId="451" xr:uid="{00000000-0005-0000-0000-0000C3010000}"/>
    <cellStyle name="Normal37" xfId="452" xr:uid="{00000000-0005-0000-0000-0000C4010000}"/>
    <cellStyle name="Normal38" xfId="453" xr:uid="{00000000-0005-0000-0000-0000C5010000}"/>
    <cellStyle name="Normal39" xfId="454" xr:uid="{00000000-0005-0000-0000-0000C6010000}"/>
    <cellStyle name="Normal4" xfId="455" xr:uid="{00000000-0005-0000-0000-0000C7010000}"/>
    <cellStyle name="Normal40" xfId="456" xr:uid="{00000000-0005-0000-0000-0000C8010000}"/>
    <cellStyle name="Normal41" xfId="457" xr:uid="{00000000-0005-0000-0000-0000C9010000}"/>
    <cellStyle name="Normal42" xfId="458" xr:uid="{00000000-0005-0000-0000-0000CA010000}"/>
    <cellStyle name="Normal43" xfId="459" xr:uid="{00000000-0005-0000-0000-0000CB010000}"/>
    <cellStyle name="Normal44" xfId="460" xr:uid="{00000000-0005-0000-0000-0000CC010000}"/>
    <cellStyle name="Normal45" xfId="461" xr:uid="{00000000-0005-0000-0000-0000CD010000}"/>
    <cellStyle name="Normal46" xfId="462" xr:uid="{00000000-0005-0000-0000-0000CE010000}"/>
    <cellStyle name="Normal47" xfId="463" xr:uid="{00000000-0005-0000-0000-0000CF010000}"/>
    <cellStyle name="Normal48" xfId="464" xr:uid="{00000000-0005-0000-0000-0000D0010000}"/>
    <cellStyle name="Normal49" xfId="465" xr:uid="{00000000-0005-0000-0000-0000D1010000}"/>
    <cellStyle name="Normal5" xfId="466" xr:uid="{00000000-0005-0000-0000-0000D2010000}"/>
    <cellStyle name="Normal50" xfId="467" xr:uid="{00000000-0005-0000-0000-0000D3010000}"/>
    <cellStyle name="Normal51" xfId="468" xr:uid="{00000000-0005-0000-0000-0000D4010000}"/>
    <cellStyle name="Normal52" xfId="469" xr:uid="{00000000-0005-0000-0000-0000D5010000}"/>
    <cellStyle name="Normal53" xfId="470" xr:uid="{00000000-0005-0000-0000-0000D6010000}"/>
    <cellStyle name="Normal54" xfId="471" xr:uid="{00000000-0005-0000-0000-0000D7010000}"/>
    <cellStyle name="Normal55" xfId="472" xr:uid="{00000000-0005-0000-0000-0000D8010000}"/>
    <cellStyle name="Normal56" xfId="473" xr:uid="{00000000-0005-0000-0000-0000D9010000}"/>
    <cellStyle name="Normal57" xfId="474" xr:uid="{00000000-0005-0000-0000-0000DA010000}"/>
    <cellStyle name="Normal58" xfId="475" xr:uid="{00000000-0005-0000-0000-0000DB010000}"/>
    <cellStyle name="Normal59" xfId="476" xr:uid="{00000000-0005-0000-0000-0000DC010000}"/>
    <cellStyle name="Normal6" xfId="477" xr:uid="{00000000-0005-0000-0000-0000DD010000}"/>
    <cellStyle name="Normal60" xfId="478" xr:uid="{00000000-0005-0000-0000-0000DE010000}"/>
    <cellStyle name="Normal61" xfId="479" xr:uid="{00000000-0005-0000-0000-0000DF010000}"/>
    <cellStyle name="Normal62" xfId="480" xr:uid="{00000000-0005-0000-0000-0000E0010000}"/>
    <cellStyle name="Normal63" xfId="481" xr:uid="{00000000-0005-0000-0000-0000E1010000}"/>
    <cellStyle name="Normal64" xfId="482" xr:uid="{00000000-0005-0000-0000-0000E2010000}"/>
    <cellStyle name="Normal65" xfId="483" xr:uid="{00000000-0005-0000-0000-0000E3010000}"/>
    <cellStyle name="Normal66" xfId="484" xr:uid="{00000000-0005-0000-0000-0000E4010000}"/>
    <cellStyle name="Normal67" xfId="485" xr:uid="{00000000-0005-0000-0000-0000E5010000}"/>
    <cellStyle name="Normal68" xfId="486" xr:uid="{00000000-0005-0000-0000-0000E6010000}"/>
    <cellStyle name="Normal69" xfId="487" xr:uid="{00000000-0005-0000-0000-0000E7010000}"/>
    <cellStyle name="Normal7" xfId="488" xr:uid="{00000000-0005-0000-0000-0000E8010000}"/>
    <cellStyle name="Normal70" xfId="489" xr:uid="{00000000-0005-0000-0000-0000E9010000}"/>
    <cellStyle name="Normal71" xfId="490" xr:uid="{00000000-0005-0000-0000-0000EA010000}"/>
    <cellStyle name="Normal72" xfId="491" xr:uid="{00000000-0005-0000-0000-0000EB010000}"/>
    <cellStyle name="Normal73" xfId="492" xr:uid="{00000000-0005-0000-0000-0000EC010000}"/>
    <cellStyle name="Normal74" xfId="493" xr:uid="{00000000-0005-0000-0000-0000ED010000}"/>
    <cellStyle name="Normal75" xfId="494" xr:uid="{00000000-0005-0000-0000-0000EE010000}"/>
    <cellStyle name="Normal76" xfId="495" xr:uid="{00000000-0005-0000-0000-0000EF010000}"/>
    <cellStyle name="Normal77" xfId="496" xr:uid="{00000000-0005-0000-0000-0000F0010000}"/>
    <cellStyle name="Normal78" xfId="497" xr:uid="{00000000-0005-0000-0000-0000F1010000}"/>
    <cellStyle name="Normal79" xfId="498" xr:uid="{00000000-0005-0000-0000-0000F2010000}"/>
    <cellStyle name="Normal8" xfId="499" xr:uid="{00000000-0005-0000-0000-0000F3010000}"/>
    <cellStyle name="Normal80" xfId="500" xr:uid="{00000000-0005-0000-0000-0000F4010000}"/>
    <cellStyle name="Normal81" xfId="501" xr:uid="{00000000-0005-0000-0000-0000F5010000}"/>
    <cellStyle name="Normal82" xfId="502" xr:uid="{00000000-0005-0000-0000-0000F6010000}"/>
    <cellStyle name="Normal83" xfId="503" xr:uid="{00000000-0005-0000-0000-0000F7010000}"/>
    <cellStyle name="Normal84" xfId="504" xr:uid="{00000000-0005-0000-0000-0000F8010000}"/>
    <cellStyle name="Normal85" xfId="505" xr:uid="{00000000-0005-0000-0000-0000F9010000}"/>
    <cellStyle name="Normal86" xfId="506" xr:uid="{00000000-0005-0000-0000-0000FA010000}"/>
    <cellStyle name="Normal87" xfId="507" xr:uid="{00000000-0005-0000-0000-0000FB010000}"/>
    <cellStyle name="Normal88" xfId="508" xr:uid="{00000000-0005-0000-0000-0000FC010000}"/>
    <cellStyle name="Normal89" xfId="509" xr:uid="{00000000-0005-0000-0000-0000FD010000}"/>
    <cellStyle name="Normal9" xfId="510" xr:uid="{00000000-0005-0000-0000-0000FE010000}"/>
    <cellStyle name="Normal90" xfId="511" xr:uid="{00000000-0005-0000-0000-0000FF010000}"/>
    <cellStyle name="Normal91" xfId="512" xr:uid="{00000000-0005-0000-0000-000000020000}"/>
    <cellStyle name="Normal92" xfId="513" xr:uid="{00000000-0005-0000-0000-000001020000}"/>
    <cellStyle name="Normal93" xfId="514" xr:uid="{00000000-0005-0000-0000-000002020000}"/>
    <cellStyle name="Normal94" xfId="515" xr:uid="{00000000-0005-0000-0000-000003020000}"/>
    <cellStyle name="Normal95" xfId="516" xr:uid="{00000000-0005-0000-0000-000004020000}"/>
    <cellStyle name="Normal96" xfId="517" xr:uid="{00000000-0005-0000-0000-000005020000}"/>
    <cellStyle name="Normal97" xfId="518" xr:uid="{00000000-0005-0000-0000-000006020000}"/>
    <cellStyle name="Normal98" xfId="519" xr:uid="{00000000-0005-0000-0000-000007020000}"/>
    <cellStyle name="Normal99" xfId="520" xr:uid="{00000000-0005-0000-0000-000008020000}"/>
    <cellStyle name="NotDeclared_1" xfId="521" xr:uid="{00000000-0005-0000-0000-000009020000}"/>
    <cellStyle name="Numbers" xfId="522" xr:uid="{00000000-0005-0000-0000-00000A020000}"/>
    <cellStyle name="Numbers - Bold" xfId="523" xr:uid="{00000000-0005-0000-0000-00000B020000}"/>
    <cellStyle name="Numbers - Bold - Italic" xfId="524" xr:uid="{00000000-0005-0000-0000-00000C020000}"/>
    <cellStyle name="Numbers - Bold_6079BX" xfId="525" xr:uid="{00000000-0005-0000-0000-00000D020000}"/>
    <cellStyle name="Numbers - Large" xfId="526" xr:uid="{00000000-0005-0000-0000-00000E020000}"/>
    <cellStyle name="Numbers_6079BX" xfId="527" xr:uid="{00000000-0005-0000-0000-00000F020000}"/>
    <cellStyle name="OSW_RowLabels" xfId="528" xr:uid="{00000000-0005-0000-0000-000010020000}"/>
    <cellStyle name="Outline" xfId="529" xr:uid="{00000000-0005-0000-0000-000011020000}"/>
    <cellStyle name="Output Amounts" xfId="530" xr:uid="{00000000-0005-0000-0000-000012020000}"/>
    <cellStyle name="Output Column Headings" xfId="531" xr:uid="{00000000-0005-0000-0000-000013020000}"/>
    <cellStyle name="Output Line Items" xfId="532" xr:uid="{00000000-0005-0000-0000-000014020000}"/>
    <cellStyle name="Output Report Heading" xfId="533" xr:uid="{00000000-0005-0000-0000-000015020000}"/>
    <cellStyle name="Page" xfId="534" xr:uid="{00000000-0005-0000-0000-000016020000}"/>
    <cellStyle name="PB Table Heading" xfId="535" xr:uid="{00000000-0005-0000-0000-000017020000}"/>
    <cellStyle name="PB Table Highlight1" xfId="536" xr:uid="{00000000-0005-0000-0000-000018020000}"/>
    <cellStyle name="PB Table Highlight2" xfId="537" xr:uid="{00000000-0005-0000-0000-000019020000}"/>
    <cellStyle name="PB Table Highlight3" xfId="538" xr:uid="{00000000-0005-0000-0000-00001A020000}"/>
    <cellStyle name="PB Table Standard Row" xfId="539" xr:uid="{00000000-0005-0000-0000-00001B020000}"/>
    <cellStyle name="PB Table Subtotal Row" xfId="540" xr:uid="{00000000-0005-0000-0000-00001C020000}"/>
    <cellStyle name="PB Table Total Row" xfId="541" xr:uid="{00000000-0005-0000-0000-00001D020000}"/>
    <cellStyle name="Per cent" xfId="543" builtinId="5"/>
    <cellStyle name="per.style" xfId="542" xr:uid="{00000000-0005-0000-0000-00001E020000}"/>
    <cellStyle name="Percent [0]" xfId="544" xr:uid="{00000000-0005-0000-0000-000020020000}"/>
    <cellStyle name="Percent [00]" xfId="545" xr:uid="{00000000-0005-0000-0000-000021020000}"/>
    <cellStyle name="Percent [1]" xfId="546" xr:uid="{00000000-0005-0000-0000-000022020000}"/>
    <cellStyle name="Percent [1][]" xfId="547" xr:uid="{00000000-0005-0000-0000-000023020000}"/>
    <cellStyle name="Percent [1]_New MA Public Comps and WACC Model" xfId="548" xr:uid="{00000000-0005-0000-0000-000024020000}"/>
    <cellStyle name="Percent [2]" xfId="549" xr:uid="{00000000-0005-0000-0000-000025020000}"/>
    <cellStyle name="Percent Comma" xfId="550" xr:uid="{00000000-0005-0000-0000-000026020000}"/>
    <cellStyle name="Percent1" xfId="551" xr:uid="{00000000-0005-0000-0000-000027020000}"/>
    <cellStyle name="Percent10" xfId="552" xr:uid="{00000000-0005-0000-0000-000028020000}"/>
    <cellStyle name="Percent100" xfId="553" xr:uid="{00000000-0005-0000-0000-000029020000}"/>
    <cellStyle name="Percent101" xfId="554" xr:uid="{00000000-0005-0000-0000-00002A020000}"/>
    <cellStyle name="Percent102" xfId="555" xr:uid="{00000000-0005-0000-0000-00002B020000}"/>
    <cellStyle name="Percent103" xfId="556" xr:uid="{00000000-0005-0000-0000-00002C020000}"/>
    <cellStyle name="Percent104" xfId="557" xr:uid="{00000000-0005-0000-0000-00002D020000}"/>
    <cellStyle name="Percent105" xfId="558" xr:uid="{00000000-0005-0000-0000-00002E020000}"/>
    <cellStyle name="Percent106" xfId="559" xr:uid="{00000000-0005-0000-0000-00002F020000}"/>
    <cellStyle name="Percent107" xfId="560" xr:uid="{00000000-0005-0000-0000-000030020000}"/>
    <cellStyle name="Percent108" xfId="561" xr:uid="{00000000-0005-0000-0000-000031020000}"/>
    <cellStyle name="Percent109" xfId="562" xr:uid="{00000000-0005-0000-0000-000032020000}"/>
    <cellStyle name="Percent11" xfId="563" xr:uid="{00000000-0005-0000-0000-000033020000}"/>
    <cellStyle name="Percent110" xfId="564" xr:uid="{00000000-0005-0000-0000-000034020000}"/>
    <cellStyle name="Percent111" xfId="565" xr:uid="{00000000-0005-0000-0000-000035020000}"/>
    <cellStyle name="Percent112" xfId="566" xr:uid="{00000000-0005-0000-0000-000036020000}"/>
    <cellStyle name="Percent113" xfId="567" xr:uid="{00000000-0005-0000-0000-000037020000}"/>
    <cellStyle name="Percent114" xfId="568" xr:uid="{00000000-0005-0000-0000-000038020000}"/>
    <cellStyle name="Percent115" xfId="569" xr:uid="{00000000-0005-0000-0000-000039020000}"/>
    <cellStyle name="Percent116" xfId="570" xr:uid="{00000000-0005-0000-0000-00003A020000}"/>
    <cellStyle name="Percent117" xfId="571" xr:uid="{00000000-0005-0000-0000-00003B020000}"/>
    <cellStyle name="Percent118" xfId="572" xr:uid="{00000000-0005-0000-0000-00003C020000}"/>
    <cellStyle name="Percent119" xfId="573" xr:uid="{00000000-0005-0000-0000-00003D020000}"/>
    <cellStyle name="Percent12" xfId="574" xr:uid="{00000000-0005-0000-0000-00003E020000}"/>
    <cellStyle name="Percent120" xfId="575" xr:uid="{00000000-0005-0000-0000-00003F020000}"/>
    <cellStyle name="Percent121" xfId="576" xr:uid="{00000000-0005-0000-0000-000040020000}"/>
    <cellStyle name="Percent122" xfId="577" xr:uid="{00000000-0005-0000-0000-000041020000}"/>
    <cellStyle name="Percent123" xfId="578" xr:uid="{00000000-0005-0000-0000-000042020000}"/>
    <cellStyle name="Percent124" xfId="579" xr:uid="{00000000-0005-0000-0000-000043020000}"/>
    <cellStyle name="Percent125" xfId="580" xr:uid="{00000000-0005-0000-0000-000044020000}"/>
    <cellStyle name="Percent126" xfId="581" xr:uid="{00000000-0005-0000-0000-000045020000}"/>
    <cellStyle name="Percent127" xfId="582" xr:uid="{00000000-0005-0000-0000-000046020000}"/>
    <cellStyle name="Percent128" xfId="583" xr:uid="{00000000-0005-0000-0000-000047020000}"/>
    <cellStyle name="Percent129" xfId="584" xr:uid="{00000000-0005-0000-0000-000048020000}"/>
    <cellStyle name="Percent13" xfId="585" xr:uid="{00000000-0005-0000-0000-000049020000}"/>
    <cellStyle name="Percent130" xfId="586" xr:uid="{00000000-0005-0000-0000-00004A020000}"/>
    <cellStyle name="Percent131" xfId="587" xr:uid="{00000000-0005-0000-0000-00004B020000}"/>
    <cellStyle name="Percent132" xfId="588" xr:uid="{00000000-0005-0000-0000-00004C020000}"/>
    <cellStyle name="Percent133" xfId="589" xr:uid="{00000000-0005-0000-0000-00004D020000}"/>
    <cellStyle name="Percent134" xfId="590" xr:uid="{00000000-0005-0000-0000-00004E020000}"/>
    <cellStyle name="Percent135" xfId="591" xr:uid="{00000000-0005-0000-0000-00004F020000}"/>
    <cellStyle name="Percent136" xfId="592" xr:uid="{00000000-0005-0000-0000-000050020000}"/>
    <cellStyle name="Percent137" xfId="593" xr:uid="{00000000-0005-0000-0000-000051020000}"/>
    <cellStyle name="Percent138" xfId="594" xr:uid="{00000000-0005-0000-0000-000052020000}"/>
    <cellStyle name="Percent139" xfId="595" xr:uid="{00000000-0005-0000-0000-000053020000}"/>
    <cellStyle name="Percent14" xfId="596" xr:uid="{00000000-0005-0000-0000-000054020000}"/>
    <cellStyle name="Percent140" xfId="597" xr:uid="{00000000-0005-0000-0000-000055020000}"/>
    <cellStyle name="Percent141" xfId="598" xr:uid="{00000000-0005-0000-0000-000056020000}"/>
    <cellStyle name="Percent142" xfId="599" xr:uid="{00000000-0005-0000-0000-000057020000}"/>
    <cellStyle name="Percent143" xfId="600" xr:uid="{00000000-0005-0000-0000-000058020000}"/>
    <cellStyle name="Percent144" xfId="601" xr:uid="{00000000-0005-0000-0000-000059020000}"/>
    <cellStyle name="Percent145" xfId="602" xr:uid="{00000000-0005-0000-0000-00005A020000}"/>
    <cellStyle name="Percent146" xfId="603" xr:uid="{00000000-0005-0000-0000-00005B020000}"/>
    <cellStyle name="Percent147" xfId="604" xr:uid="{00000000-0005-0000-0000-00005C020000}"/>
    <cellStyle name="Percent148" xfId="605" xr:uid="{00000000-0005-0000-0000-00005D020000}"/>
    <cellStyle name="Percent149" xfId="606" xr:uid="{00000000-0005-0000-0000-00005E020000}"/>
    <cellStyle name="Percent15" xfId="607" xr:uid="{00000000-0005-0000-0000-00005F020000}"/>
    <cellStyle name="Percent150" xfId="608" xr:uid="{00000000-0005-0000-0000-000060020000}"/>
    <cellStyle name="Percent151" xfId="609" xr:uid="{00000000-0005-0000-0000-000061020000}"/>
    <cellStyle name="Percent152" xfId="610" xr:uid="{00000000-0005-0000-0000-000062020000}"/>
    <cellStyle name="Percent153" xfId="611" xr:uid="{00000000-0005-0000-0000-000063020000}"/>
    <cellStyle name="Percent154" xfId="612" xr:uid="{00000000-0005-0000-0000-000064020000}"/>
    <cellStyle name="Percent155" xfId="613" xr:uid="{00000000-0005-0000-0000-000065020000}"/>
    <cellStyle name="Percent156" xfId="614" xr:uid="{00000000-0005-0000-0000-000066020000}"/>
    <cellStyle name="Percent157" xfId="615" xr:uid="{00000000-0005-0000-0000-000067020000}"/>
    <cellStyle name="Percent158" xfId="616" xr:uid="{00000000-0005-0000-0000-000068020000}"/>
    <cellStyle name="Percent159" xfId="617" xr:uid="{00000000-0005-0000-0000-000069020000}"/>
    <cellStyle name="Percent16" xfId="618" xr:uid="{00000000-0005-0000-0000-00006A020000}"/>
    <cellStyle name="Percent160" xfId="619" xr:uid="{00000000-0005-0000-0000-00006B020000}"/>
    <cellStyle name="Percent161" xfId="620" xr:uid="{00000000-0005-0000-0000-00006C020000}"/>
    <cellStyle name="Percent162" xfId="621" xr:uid="{00000000-0005-0000-0000-00006D020000}"/>
    <cellStyle name="Percent163" xfId="622" xr:uid="{00000000-0005-0000-0000-00006E020000}"/>
    <cellStyle name="Percent164" xfId="623" xr:uid="{00000000-0005-0000-0000-00006F020000}"/>
    <cellStyle name="Percent165" xfId="624" xr:uid="{00000000-0005-0000-0000-000070020000}"/>
    <cellStyle name="Percent166" xfId="625" xr:uid="{00000000-0005-0000-0000-000071020000}"/>
    <cellStyle name="Percent167" xfId="626" xr:uid="{00000000-0005-0000-0000-000072020000}"/>
    <cellStyle name="Percent168" xfId="627" xr:uid="{00000000-0005-0000-0000-000073020000}"/>
    <cellStyle name="Percent169" xfId="628" xr:uid="{00000000-0005-0000-0000-000074020000}"/>
    <cellStyle name="Percent17" xfId="629" xr:uid="{00000000-0005-0000-0000-000075020000}"/>
    <cellStyle name="Percent170" xfId="630" xr:uid="{00000000-0005-0000-0000-000076020000}"/>
    <cellStyle name="Percent171" xfId="631" xr:uid="{00000000-0005-0000-0000-000077020000}"/>
    <cellStyle name="Percent172" xfId="632" xr:uid="{00000000-0005-0000-0000-000078020000}"/>
    <cellStyle name="Percent173" xfId="633" xr:uid="{00000000-0005-0000-0000-000079020000}"/>
    <cellStyle name="Percent174" xfId="634" xr:uid="{00000000-0005-0000-0000-00007A020000}"/>
    <cellStyle name="Percent175" xfId="635" xr:uid="{00000000-0005-0000-0000-00007B020000}"/>
    <cellStyle name="Percent176" xfId="636" xr:uid="{00000000-0005-0000-0000-00007C020000}"/>
    <cellStyle name="Percent177" xfId="637" xr:uid="{00000000-0005-0000-0000-00007D020000}"/>
    <cellStyle name="Percent178" xfId="638" xr:uid="{00000000-0005-0000-0000-00007E020000}"/>
    <cellStyle name="Percent179" xfId="639" xr:uid="{00000000-0005-0000-0000-00007F020000}"/>
    <cellStyle name="Percent18" xfId="640" xr:uid="{00000000-0005-0000-0000-000080020000}"/>
    <cellStyle name="Percent180" xfId="641" xr:uid="{00000000-0005-0000-0000-000081020000}"/>
    <cellStyle name="Percent181" xfId="642" xr:uid="{00000000-0005-0000-0000-000082020000}"/>
    <cellStyle name="Percent182" xfId="643" xr:uid="{00000000-0005-0000-0000-000083020000}"/>
    <cellStyle name="Percent183" xfId="644" xr:uid="{00000000-0005-0000-0000-000084020000}"/>
    <cellStyle name="Percent184" xfId="645" xr:uid="{00000000-0005-0000-0000-000085020000}"/>
    <cellStyle name="Percent185" xfId="646" xr:uid="{00000000-0005-0000-0000-000086020000}"/>
    <cellStyle name="Percent186" xfId="647" xr:uid="{00000000-0005-0000-0000-000087020000}"/>
    <cellStyle name="Percent187" xfId="648" xr:uid="{00000000-0005-0000-0000-000088020000}"/>
    <cellStyle name="Percent188" xfId="649" xr:uid="{00000000-0005-0000-0000-000089020000}"/>
    <cellStyle name="Percent189" xfId="650" xr:uid="{00000000-0005-0000-0000-00008A020000}"/>
    <cellStyle name="Percent19" xfId="651" xr:uid="{00000000-0005-0000-0000-00008B020000}"/>
    <cellStyle name="Percent190" xfId="652" xr:uid="{00000000-0005-0000-0000-00008C020000}"/>
    <cellStyle name="Percent191" xfId="653" xr:uid="{00000000-0005-0000-0000-00008D020000}"/>
    <cellStyle name="Percent192" xfId="654" xr:uid="{00000000-0005-0000-0000-00008E020000}"/>
    <cellStyle name="Percent193" xfId="655" xr:uid="{00000000-0005-0000-0000-00008F020000}"/>
    <cellStyle name="Percent194" xfId="656" xr:uid="{00000000-0005-0000-0000-000090020000}"/>
    <cellStyle name="Percent195" xfId="657" xr:uid="{00000000-0005-0000-0000-000091020000}"/>
    <cellStyle name="Percent196" xfId="658" xr:uid="{00000000-0005-0000-0000-000092020000}"/>
    <cellStyle name="Percent197" xfId="659" xr:uid="{00000000-0005-0000-0000-000093020000}"/>
    <cellStyle name="Percent198" xfId="660" xr:uid="{00000000-0005-0000-0000-000094020000}"/>
    <cellStyle name="Percent199" xfId="661" xr:uid="{00000000-0005-0000-0000-000095020000}"/>
    <cellStyle name="Percent1Bold" xfId="662" xr:uid="{00000000-0005-0000-0000-000096020000}"/>
    <cellStyle name="Percent2" xfId="663" xr:uid="{00000000-0005-0000-0000-000097020000}"/>
    <cellStyle name="Percent20" xfId="664" xr:uid="{00000000-0005-0000-0000-000098020000}"/>
    <cellStyle name="Percent200" xfId="665" xr:uid="{00000000-0005-0000-0000-000099020000}"/>
    <cellStyle name="Percent201" xfId="666" xr:uid="{00000000-0005-0000-0000-00009A020000}"/>
    <cellStyle name="Percent202" xfId="667" xr:uid="{00000000-0005-0000-0000-00009B020000}"/>
    <cellStyle name="Percent203" xfId="668" xr:uid="{00000000-0005-0000-0000-00009C020000}"/>
    <cellStyle name="Percent204" xfId="669" xr:uid="{00000000-0005-0000-0000-00009D020000}"/>
    <cellStyle name="Percent205" xfId="670" xr:uid="{00000000-0005-0000-0000-00009E020000}"/>
    <cellStyle name="Percent206" xfId="671" xr:uid="{00000000-0005-0000-0000-00009F020000}"/>
    <cellStyle name="Percent207" xfId="672" xr:uid="{00000000-0005-0000-0000-0000A0020000}"/>
    <cellStyle name="Percent208" xfId="673" xr:uid="{00000000-0005-0000-0000-0000A1020000}"/>
    <cellStyle name="Percent209" xfId="674" xr:uid="{00000000-0005-0000-0000-0000A2020000}"/>
    <cellStyle name="Percent21" xfId="675" xr:uid="{00000000-0005-0000-0000-0000A3020000}"/>
    <cellStyle name="Percent210" xfId="676" xr:uid="{00000000-0005-0000-0000-0000A4020000}"/>
    <cellStyle name="Percent211" xfId="677" xr:uid="{00000000-0005-0000-0000-0000A5020000}"/>
    <cellStyle name="Percent212" xfId="678" xr:uid="{00000000-0005-0000-0000-0000A6020000}"/>
    <cellStyle name="Percent213" xfId="679" xr:uid="{00000000-0005-0000-0000-0000A7020000}"/>
    <cellStyle name="Percent214" xfId="680" xr:uid="{00000000-0005-0000-0000-0000A8020000}"/>
    <cellStyle name="Percent215" xfId="681" xr:uid="{00000000-0005-0000-0000-0000A9020000}"/>
    <cellStyle name="Percent216" xfId="682" xr:uid="{00000000-0005-0000-0000-0000AA020000}"/>
    <cellStyle name="Percent217" xfId="683" xr:uid="{00000000-0005-0000-0000-0000AB020000}"/>
    <cellStyle name="Percent218" xfId="684" xr:uid="{00000000-0005-0000-0000-0000AC020000}"/>
    <cellStyle name="Percent219" xfId="685" xr:uid="{00000000-0005-0000-0000-0000AD020000}"/>
    <cellStyle name="Percent22" xfId="686" xr:uid="{00000000-0005-0000-0000-0000AE020000}"/>
    <cellStyle name="Percent220" xfId="687" xr:uid="{00000000-0005-0000-0000-0000AF020000}"/>
    <cellStyle name="Percent221" xfId="688" xr:uid="{00000000-0005-0000-0000-0000B0020000}"/>
    <cellStyle name="Percent222" xfId="689" xr:uid="{00000000-0005-0000-0000-0000B1020000}"/>
    <cellStyle name="Percent223" xfId="690" xr:uid="{00000000-0005-0000-0000-0000B2020000}"/>
    <cellStyle name="Percent224" xfId="691" xr:uid="{00000000-0005-0000-0000-0000B3020000}"/>
    <cellStyle name="Percent225" xfId="692" xr:uid="{00000000-0005-0000-0000-0000B4020000}"/>
    <cellStyle name="Percent226" xfId="693" xr:uid="{00000000-0005-0000-0000-0000B5020000}"/>
    <cellStyle name="Percent227" xfId="694" xr:uid="{00000000-0005-0000-0000-0000B6020000}"/>
    <cellStyle name="Percent228" xfId="695" xr:uid="{00000000-0005-0000-0000-0000B7020000}"/>
    <cellStyle name="Percent229" xfId="696" xr:uid="{00000000-0005-0000-0000-0000B8020000}"/>
    <cellStyle name="Percent23" xfId="697" xr:uid="{00000000-0005-0000-0000-0000B9020000}"/>
    <cellStyle name="Percent230" xfId="698" xr:uid="{00000000-0005-0000-0000-0000BA020000}"/>
    <cellStyle name="Percent231" xfId="699" xr:uid="{00000000-0005-0000-0000-0000BB020000}"/>
    <cellStyle name="Percent232" xfId="700" xr:uid="{00000000-0005-0000-0000-0000BC020000}"/>
    <cellStyle name="Percent233" xfId="701" xr:uid="{00000000-0005-0000-0000-0000BD020000}"/>
    <cellStyle name="Percent234" xfId="702" xr:uid="{00000000-0005-0000-0000-0000BE020000}"/>
    <cellStyle name="Percent235" xfId="703" xr:uid="{00000000-0005-0000-0000-0000BF020000}"/>
    <cellStyle name="Percent236" xfId="704" xr:uid="{00000000-0005-0000-0000-0000C0020000}"/>
    <cellStyle name="Percent24" xfId="705" xr:uid="{00000000-0005-0000-0000-0000C1020000}"/>
    <cellStyle name="Percent25" xfId="706" xr:uid="{00000000-0005-0000-0000-0000C2020000}"/>
    <cellStyle name="Percent26" xfId="707" xr:uid="{00000000-0005-0000-0000-0000C3020000}"/>
    <cellStyle name="Percent27" xfId="708" xr:uid="{00000000-0005-0000-0000-0000C4020000}"/>
    <cellStyle name="Percent28" xfId="709" xr:uid="{00000000-0005-0000-0000-0000C5020000}"/>
    <cellStyle name="Percent29" xfId="710" xr:uid="{00000000-0005-0000-0000-0000C6020000}"/>
    <cellStyle name="Percent3" xfId="711" xr:uid="{00000000-0005-0000-0000-0000C7020000}"/>
    <cellStyle name="Percent30" xfId="712" xr:uid="{00000000-0005-0000-0000-0000C8020000}"/>
    <cellStyle name="Percent31" xfId="713" xr:uid="{00000000-0005-0000-0000-0000C9020000}"/>
    <cellStyle name="Percent32" xfId="714" xr:uid="{00000000-0005-0000-0000-0000CA020000}"/>
    <cellStyle name="Percent33" xfId="715" xr:uid="{00000000-0005-0000-0000-0000CB020000}"/>
    <cellStyle name="Percent34" xfId="716" xr:uid="{00000000-0005-0000-0000-0000CC020000}"/>
    <cellStyle name="Percent35" xfId="717" xr:uid="{00000000-0005-0000-0000-0000CD020000}"/>
    <cellStyle name="Percent36" xfId="718" xr:uid="{00000000-0005-0000-0000-0000CE020000}"/>
    <cellStyle name="Percent37" xfId="719" xr:uid="{00000000-0005-0000-0000-0000CF020000}"/>
    <cellStyle name="Percent38" xfId="720" xr:uid="{00000000-0005-0000-0000-0000D0020000}"/>
    <cellStyle name="Percent39" xfId="721" xr:uid="{00000000-0005-0000-0000-0000D1020000}"/>
    <cellStyle name="Percent4" xfId="722" xr:uid="{00000000-0005-0000-0000-0000D2020000}"/>
    <cellStyle name="Percent40" xfId="723" xr:uid="{00000000-0005-0000-0000-0000D3020000}"/>
    <cellStyle name="Percent41" xfId="724" xr:uid="{00000000-0005-0000-0000-0000D4020000}"/>
    <cellStyle name="Percent42" xfId="725" xr:uid="{00000000-0005-0000-0000-0000D5020000}"/>
    <cellStyle name="Percent43" xfId="726" xr:uid="{00000000-0005-0000-0000-0000D6020000}"/>
    <cellStyle name="Percent44" xfId="727" xr:uid="{00000000-0005-0000-0000-0000D7020000}"/>
    <cellStyle name="Percent45" xfId="728" xr:uid="{00000000-0005-0000-0000-0000D8020000}"/>
    <cellStyle name="Percent46" xfId="729" xr:uid="{00000000-0005-0000-0000-0000D9020000}"/>
    <cellStyle name="Percent47" xfId="730" xr:uid="{00000000-0005-0000-0000-0000DA020000}"/>
    <cellStyle name="Percent48" xfId="731" xr:uid="{00000000-0005-0000-0000-0000DB020000}"/>
    <cellStyle name="Percent49" xfId="732" xr:uid="{00000000-0005-0000-0000-0000DC020000}"/>
    <cellStyle name="Percent5" xfId="733" xr:uid="{00000000-0005-0000-0000-0000DD020000}"/>
    <cellStyle name="Percent50" xfId="734" xr:uid="{00000000-0005-0000-0000-0000DE020000}"/>
    <cellStyle name="Percent51" xfId="735" xr:uid="{00000000-0005-0000-0000-0000DF020000}"/>
    <cellStyle name="Percent52" xfId="736" xr:uid="{00000000-0005-0000-0000-0000E0020000}"/>
    <cellStyle name="Percent53" xfId="737" xr:uid="{00000000-0005-0000-0000-0000E1020000}"/>
    <cellStyle name="Percent54" xfId="738" xr:uid="{00000000-0005-0000-0000-0000E2020000}"/>
    <cellStyle name="Percent55" xfId="739" xr:uid="{00000000-0005-0000-0000-0000E3020000}"/>
    <cellStyle name="Percent56" xfId="740" xr:uid="{00000000-0005-0000-0000-0000E4020000}"/>
    <cellStyle name="Percent57" xfId="741" xr:uid="{00000000-0005-0000-0000-0000E5020000}"/>
    <cellStyle name="Percent58" xfId="742" xr:uid="{00000000-0005-0000-0000-0000E6020000}"/>
    <cellStyle name="Percent59" xfId="743" xr:uid="{00000000-0005-0000-0000-0000E7020000}"/>
    <cellStyle name="Percent6" xfId="744" xr:uid="{00000000-0005-0000-0000-0000E8020000}"/>
    <cellStyle name="Percent60" xfId="745" xr:uid="{00000000-0005-0000-0000-0000E9020000}"/>
    <cellStyle name="Percent61" xfId="746" xr:uid="{00000000-0005-0000-0000-0000EA020000}"/>
    <cellStyle name="Percent62" xfId="747" xr:uid="{00000000-0005-0000-0000-0000EB020000}"/>
    <cellStyle name="Percent63" xfId="748" xr:uid="{00000000-0005-0000-0000-0000EC020000}"/>
    <cellStyle name="Percent64" xfId="749" xr:uid="{00000000-0005-0000-0000-0000ED020000}"/>
    <cellStyle name="Percent65" xfId="750" xr:uid="{00000000-0005-0000-0000-0000EE020000}"/>
    <cellStyle name="Percent66" xfId="751" xr:uid="{00000000-0005-0000-0000-0000EF020000}"/>
    <cellStyle name="Percent67" xfId="752" xr:uid="{00000000-0005-0000-0000-0000F0020000}"/>
    <cellStyle name="Percent68" xfId="753" xr:uid="{00000000-0005-0000-0000-0000F1020000}"/>
    <cellStyle name="Percent69" xfId="754" xr:uid="{00000000-0005-0000-0000-0000F2020000}"/>
    <cellStyle name="Percent7" xfId="755" xr:uid="{00000000-0005-0000-0000-0000F3020000}"/>
    <cellStyle name="Percent70" xfId="756" xr:uid="{00000000-0005-0000-0000-0000F4020000}"/>
    <cellStyle name="Percent71" xfId="757" xr:uid="{00000000-0005-0000-0000-0000F5020000}"/>
    <cellStyle name="Percent72" xfId="758" xr:uid="{00000000-0005-0000-0000-0000F6020000}"/>
    <cellStyle name="Percent73" xfId="759" xr:uid="{00000000-0005-0000-0000-0000F7020000}"/>
    <cellStyle name="Percent74" xfId="760" xr:uid="{00000000-0005-0000-0000-0000F8020000}"/>
    <cellStyle name="Percent75" xfId="761" xr:uid="{00000000-0005-0000-0000-0000F9020000}"/>
    <cellStyle name="Percent76" xfId="762" xr:uid="{00000000-0005-0000-0000-0000FA020000}"/>
    <cellStyle name="Percent77" xfId="763" xr:uid="{00000000-0005-0000-0000-0000FB020000}"/>
    <cellStyle name="Percent78" xfId="764" xr:uid="{00000000-0005-0000-0000-0000FC020000}"/>
    <cellStyle name="Percent79" xfId="765" xr:uid="{00000000-0005-0000-0000-0000FD020000}"/>
    <cellStyle name="Percent8" xfId="766" xr:uid="{00000000-0005-0000-0000-0000FE020000}"/>
    <cellStyle name="Percent80" xfId="767" xr:uid="{00000000-0005-0000-0000-0000FF020000}"/>
    <cellStyle name="Percent81" xfId="768" xr:uid="{00000000-0005-0000-0000-000000030000}"/>
    <cellStyle name="Percent82" xfId="769" xr:uid="{00000000-0005-0000-0000-000001030000}"/>
    <cellStyle name="Percent83" xfId="770" xr:uid="{00000000-0005-0000-0000-000002030000}"/>
    <cellStyle name="Percent84" xfId="771" xr:uid="{00000000-0005-0000-0000-000003030000}"/>
    <cellStyle name="Percent85" xfId="772" xr:uid="{00000000-0005-0000-0000-000004030000}"/>
    <cellStyle name="Percent86" xfId="773" xr:uid="{00000000-0005-0000-0000-000005030000}"/>
    <cellStyle name="Percent87" xfId="774" xr:uid="{00000000-0005-0000-0000-000006030000}"/>
    <cellStyle name="Percent88" xfId="775" xr:uid="{00000000-0005-0000-0000-000007030000}"/>
    <cellStyle name="Percent89" xfId="776" xr:uid="{00000000-0005-0000-0000-000008030000}"/>
    <cellStyle name="Percent9" xfId="777" xr:uid="{00000000-0005-0000-0000-000009030000}"/>
    <cellStyle name="Percent90" xfId="778" xr:uid="{00000000-0005-0000-0000-00000A030000}"/>
    <cellStyle name="Percent91" xfId="779" xr:uid="{00000000-0005-0000-0000-00000B030000}"/>
    <cellStyle name="Percent92" xfId="780" xr:uid="{00000000-0005-0000-0000-00000C030000}"/>
    <cellStyle name="Percent93" xfId="781" xr:uid="{00000000-0005-0000-0000-00000D030000}"/>
    <cellStyle name="Percent94" xfId="782" xr:uid="{00000000-0005-0000-0000-00000E030000}"/>
    <cellStyle name="Percent95" xfId="783" xr:uid="{00000000-0005-0000-0000-00000F030000}"/>
    <cellStyle name="Percent96" xfId="784" xr:uid="{00000000-0005-0000-0000-000010030000}"/>
    <cellStyle name="Percent97" xfId="785" xr:uid="{00000000-0005-0000-0000-000011030000}"/>
    <cellStyle name="Percent98" xfId="786" xr:uid="{00000000-0005-0000-0000-000012030000}"/>
    <cellStyle name="Percent99" xfId="787" xr:uid="{00000000-0005-0000-0000-000013030000}"/>
    <cellStyle name="Percentage" xfId="788" xr:uid="{00000000-0005-0000-0000-000014030000}"/>
    <cellStyle name="PercentStyle" xfId="789" xr:uid="{00000000-0005-0000-0000-000015030000}"/>
    <cellStyle name="PrePop Currency (0)" xfId="790" xr:uid="{00000000-0005-0000-0000-000016030000}"/>
    <cellStyle name="PrePop Currency (2)" xfId="791" xr:uid="{00000000-0005-0000-0000-000017030000}"/>
    <cellStyle name="PrePop Units (0)" xfId="792" xr:uid="{00000000-0005-0000-0000-000018030000}"/>
    <cellStyle name="PrePop Units (1)" xfId="793" xr:uid="{00000000-0005-0000-0000-000019030000}"/>
    <cellStyle name="PrePop Units (2)" xfId="794" xr:uid="{00000000-0005-0000-0000-00001A030000}"/>
    <cellStyle name="Price" xfId="795" xr:uid="{00000000-0005-0000-0000-00001B030000}"/>
    <cellStyle name="Product Header" xfId="796" xr:uid="{00000000-0005-0000-0000-00001C030000}"/>
    <cellStyle name="PSChar" xfId="797" xr:uid="{00000000-0005-0000-0000-00001D030000}"/>
    <cellStyle name="PSDate" xfId="798" xr:uid="{00000000-0005-0000-0000-00001E030000}"/>
    <cellStyle name="PSDec" xfId="799" xr:uid="{00000000-0005-0000-0000-00001F030000}"/>
    <cellStyle name="PSHeading" xfId="800" xr:uid="{00000000-0005-0000-0000-000020030000}"/>
    <cellStyle name="PSInt" xfId="801" xr:uid="{00000000-0005-0000-0000-000021030000}"/>
    <cellStyle name="PSSpacer" xfId="802" xr:uid="{00000000-0005-0000-0000-000022030000}"/>
    <cellStyle name="r" xfId="803" xr:uid="{00000000-0005-0000-0000-000023030000}"/>
    <cellStyle name="r_F&amp;W Servicing Model" xfId="804" xr:uid="{00000000-0005-0000-0000-000024030000}"/>
    <cellStyle name="r_F&amp;W Servicing Model v2" xfId="805" xr:uid="{00000000-0005-0000-0000-000025030000}"/>
    <cellStyle name="r_Yell Servicing Model" xfId="806" xr:uid="{00000000-0005-0000-0000-000026030000}"/>
    <cellStyle name="rate" xfId="807" xr:uid="{00000000-0005-0000-0000-000027030000}"/>
    <cellStyle name="Ratio" xfId="808" xr:uid="{00000000-0005-0000-0000-000028030000}"/>
    <cellStyle name="Ratio Comma" xfId="809" xr:uid="{00000000-0005-0000-0000-000029030000}"/>
    <cellStyle name="Ratio_Private" xfId="810" xr:uid="{00000000-0005-0000-0000-00002A030000}"/>
    <cellStyle name="regstoresfromspecstores" xfId="811" xr:uid="{00000000-0005-0000-0000-00002B030000}"/>
    <cellStyle name="RevList" xfId="812" xr:uid="{00000000-0005-0000-0000-00002C030000}"/>
    <cellStyle name="Right" xfId="813" xr:uid="{00000000-0005-0000-0000-00002D030000}"/>
    <cellStyle name="RightBold" xfId="814" xr:uid="{00000000-0005-0000-0000-00002E030000}"/>
    <cellStyle name="RightBoldBottomRule" xfId="815" xr:uid="{00000000-0005-0000-0000-00002F030000}"/>
    <cellStyle name="RightBoldCenterRule" xfId="816" xr:uid="{00000000-0005-0000-0000-000030030000}"/>
    <cellStyle name="Section" xfId="817" xr:uid="{00000000-0005-0000-0000-000031030000}"/>
    <cellStyle name="SectionHeaderNormal" xfId="818" xr:uid="{00000000-0005-0000-0000-000032030000}"/>
    <cellStyle name="SHADEDSTORES" xfId="819" xr:uid="{00000000-0005-0000-0000-000033030000}"/>
    <cellStyle name="Short $" xfId="820" xr:uid="{00000000-0005-0000-0000-000034030000}"/>
    <cellStyle name="ShOut" xfId="821" xr:uid="{00000000-0005-0000-0000-000035030000}"/>
    <cellStyle name="Simple" xfId="822" xr:uid="{00000000-0005-0000-0000-000036030000}"/>
    <cellStyle name="SimpleBold" xfId="823" xr:uid="{00000000-0005-0000-0000-000037030000}"/>
    <cellStyle name="Single Accounting" xfId="824" xr:uid="{00000000-0005-0000-0000-000038030000}"/>
    <cellStyle name="specstores" xfId="825" xr:uid="{00000000-0005-0000-0000-000039030000}"/>
    <cellStyle name="Stock Comma" xfId="826" xr:uid="{00000000-0005-0000-0000-00003A030000}"/>
    <cellStyle name="Stock Price" xfId="827" xr:uid="{00000000-0005-0000-0000-00003B030000}"/>
    <cellStyle name="Style 1" xfId="828" xr:uid="{00000000-0005-0000-0000-00003C030000}"/>
    <cellStyle name="Style 21" xfId="829" xr:uid="{00000000-0005-0000-0000-00003D030000}"/>
    <cellStyle name="Style 22" xfId="830" xr:uid="{00000000-0005-0000-0000-00003E030000}"/>
    <cellStyle name="Style 23" xfId="831" xr:uid="{00000000-0005-0000-0000-00003F030000}"/>
    <cellStyle name="Style 24" xfId="832" xr:uid="{00000000-0005-0000-0000-000040030000}"/>
    <cellStyle name="Style 25" xfId="833" xr:uid="{00000000-0005-0000-0000-000041030000}"/>
    <cellStyle name="Style 26" xfId="834" xr:uid="{00000000-0005-0000-0000-000042030000}"/>
    <cellStyle name="Style 27" xfId="835" xr:uid="{00000000-0005-0000-0000-000043030000}"/>
    <cellStyle name="Style 28" xfId="836" xr:uid="{00000000-0005-0000-0000-000044030000}"/>
    <cellStyle name="Style 29" xfId="837" xr:uid="{00000000-0005-0000-0000-000045030000}"/>
    <cellStyle name="Style 30" xfId="838" xr:uid="{00000000-0005-0000-0000-000046030000}"/>
    <cellStyle name="Style 31" xfId="839" xr:uid="{00000000-0005-0000-0000-000047030000}"/>
    <cellStyle name="Style 32" xfId="840" xr:uid="{00000000-0005-0000-0000-000048030000}"/>
    <cellStyle name="Style 33" xfId="841" xr:uid="{00000000-0005-0000-0000-000049030000}"/>
    <cellStyle name="Style 34" xfId="842" xr:uid="{00000000-0005-0000-0000-00004A030000}"/>
    <cellStyle name="Style 35" xfId="843" xr:uid="{00000000-0005-0000-0000-00004B030000}"/>
    <cellStyle name="Style 36" xfId="844" xr:uid="{00000000-0005-0000-0000-00004C030000}"/>
    <cellStyle name="Style 37" xfId="845" xr:uid="{00000000-0005-0000-0000-00004D030000}"/>
    <cellStyle name="Style 38" xfId="846" xr:uid="{00000000-0005-0000-0000-00004E030000}"/>
    <cellStyle name="Style 39" xfId="847" xr:uid="{00000000-0005-0000-0000-00004F030000}"/>
    <cellStyle name="Style 40" xfId="848" xr:uid="{00000000-0005-0000-0000-000050030000}"/>
    <cellStyle name="Style 41" xfId="849" xr:uid="{00000000-0005-0000-0000-000051030000}"/>
    <cellStyle name="Style 42" xfId="850" xr:uid="{00000000-0005-0000-0000-000052030000}"/>
    <cellStyle name="Style 43" xfId="851" xr:uid="{00000000-0005-0000-0000-000053030000}"/>
    <cellStyle name="Style 44" xfId="852" xr:uid="{00000000-0005-0000-0000-000054030000}"/>
    <cellStyle name="Style 45" xfId="853" xr:uid="{00000000-0005-0000-0000-000055030000}"/>
    <cellStyle name="Style 46" xfId="854" xr:uid="{00000000-0005-0000-0000-000056030000}"/>
    <cellStyle name="Style 47" xfId="855" xr:uid="{00000000-0005-0000-0000-000057030000}"/>
    <cellStyle name="Style 48" xfId="856" xr:uid="{00000000-0005-0000-0000-000058030000}"/>
    <cellStyle name="STYLE1" xfId="857" xr:uid="{00000000-0005-0000-0000-000059030000}"/>
    <cellStyle name="SubScript" xfId="858" xr:uid="{00000000-0005-0000-0000-00005A030000}"/>
    <cellStyle name="Subtotal" xfId="859" xr:uid="{00000000-0005-0000-0000-00005B030000}"/>
    <cellStyle name="Sum" xfId="860" xr:uid="{00000000-0005-0000-0000-00005C030000}"/>
    <cellStyle name="SuperScript" xfId="861" xr:uid="{00000000-0005-0000-0000-00005D030000}"/>
    <cellStyle name="Table_Title" xfId="862" xr:uid="{00000000-0005-0000-0000-00005E030000}"/>
    <cellStyle name="Test" xfId="863" xr:uid="{00000000-0005-0000-0000-00005F030000}"/>
    <cellStyle name="Text Indent A" xfId="864" xr:uid="{00000000-0005-0000-0000-000060030000}"/>
    <cellStyle name="Text Indent B" xfId="865" xr:uid="{00000000-0005-0000-0000-000061030000}"/>
    <cellStyle name="Text Indent C" xfId="866" xr:uid="{00000000-0005-0000-0000-000062030000}"/>
    <cellStyle name="TextBold" xfId="867" xr:uid="{00000000-0005-0000-0000-000063030000}"/>
    <cellStyle name="TextItalic" xfId="868" xr:uid="{00000000-0005-0000-0000-000064030000}"/>
    <cellStyle name="TextNormal" xfId="869" xr:uid="{00000000-0005-0000-0000-000065030000}"/>
    <cellStyle name="Time" xfId="870" xr:uid="{00000000-0005-0000-0000-000066030000}"/>
    <cellStyle name="Times 10" xfId="871" xr:uid="{00000000-0005-0000-0000-000067030000}"/>
    <cellStyle name="Times 12" xfId="872" xr:uid="{00000000-0005-0000-0000-000068030000}"/>
    <cellStyle name="Title - PROJECT" xfId="873" xr:uid="{00000000-0005-0000-0000-000069030000}"/>
    <cellStyle name="Title - Underline" xfId="874" xr:uid="{00000000-0005-0000-0000-00006A030000}"/>
    <cellStyle name="Title1" xfId="875" xr:uid="{00000000-0005-0000-0000-00006B030000}"/>
    <cellStyle name="Title2" xfId="876" xr:uid="{00000000-0005-0000-0000-00006C030000}"/>
    <cellStyle name="TitleNormal" xfId="877" xr:uid="{00000000-0005-0000-0000-00006D030000}"/>
    <cellStyle name="Titles - Col. Headings" xfId="878" xr:uid="{00000000-0005-0000-0000-00006E030000}"/>
    <cellStyle name="Titles - Other" xfId="879" xr:uid="{00000000-0005-0000-0000-00006F030000}"/>
    <cellStyle name="Top Edge" xfId="880" xr:uid="{00000000-0005-0000-0000-000070030000}"/>
    <cellStyle name="Total" xfId="881" builtinId="25" customBuiltin="1"/>
    <cellStyle name="ubordinated Debt" xfId="882" xr:uid="{00000000-0005-0000-0000-000072030000}"/>
    <cellStyle name="wheat merger's and acquisitions" xfId="883" xr:uid="{00000000-0005-0000-0000-000073030000}"/>
    <cellStyle name="x" xfId="884" xr:uid="{00000000-0005-0000-0000-000074030000}"/>
    <cellStyle name="x_TSA Model - 1 8 06 - v2" xfId="885" xr:uid="{00000000-0005-0000-0000-000075030000}"/>
    <cellStyle name="Y2K Compliant Date Fmt" xfId="886" xr:uid="{00000000-0005-0000-0000-000076030000}"/>
    <cellStyle name="Years" xfId="887" xr:uid="{00000000-0005-0000-0000-000077030000}"/>
    <cellStyle name="yellow" xfId="888" xr:uid="{00000000-0005-0000-0000-000078030000}"/>
    <cellStyle name="Yen" xfId="889" xr:uid="{00000000-0005-0000-0000-000079030000}"/>
    <cellStyle name="YYYY" xfId="890" xr:uid="{00000000-0005-0000-0000-00007A030000}"/>
    <cellStyle name="桁区切り [0.00]_Appendix" xfId="891" xr:uid="{00000000-0005-0000-0000-00007B030000}"/>
    <cellStyle name="桁区切り_Appendix" xfId="892" xr:uid="{00000000-0005-0000-0000-00007C030000}"/>
    <cellStyle name="標準_Appendix" xfId="893" xr:uid="{00000000-0005-0000-0000-00007D030000}"/>
    <cellStyle name="通貨 [0.00]_Appendix" xfId="894" xr:uid="{00000000-0005-0000-0000-00007E030000}"/>
    <cellStyle name="通貨_Appendix" xfId="895" xr:uid="{00000000-0005-0000-0000-00007F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openxmlformats.org/officeDocument/2006/relationships/externalLink" Target="externalLinks/externalLink26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jects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unzipped\7xbb01_\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X1293"/>
  <sheetViews>
    <sheetView showGridLines="0" tabSelected="1" zoomScaleNormal="100" workbookViewId="0">
      <selection activeCell="O2" sqref="O2"/>
    </sheetView>
  </sheetViews>
  <sheetFormatPr defaultColWidth="11.42578125" defaultRowHeight="12.75"/>
  <cols>
    <col min="1" max="1" width="10" style="34" customWidth="1"/>
    <col min="2" max="2" width="50.7109375" style="34" customWidth="1"/>
    <col min="3" max="5" width="12.7109375" style="34" customWidth="1"/>
    <col min="6" max="6" width="50.7109375" style="34" customWidth="1"/>
    <col min="7" max="7" width="12.7109375" style="34" customWidth="1"/>
    <col min="8" max="8" width="10.5703125" style="34" bestFit="1" customWidth="1"/>
    <col min="9" max="9" width="17" style="34" bestFit="1" customWidth="1"/>
    <col min="10" max="10" width="17.85546875" style="34" customWidth="1"/>
    <col min="11" max="16384" width="11.42578125" style="34"/>
  </cols>
  <sheetData>
    <row r="3" spans="1:24" ht="13.5" thickBot="1">
      <c r="A3" s="86" t="s">
        <v>0</v>
      </c>
      <c r="G3" s="86"/>
      <c r="H3" s="111"/>
      <c r="X3" s="304"/>
    </row>
    <row r="4" spans="1:24">
      <c r="B4" s="376" t="s">
        <v>1</v>
      </c>
      <c r="C4" s="377" t="s">
        <v>2</v>
      </c>
      <c r="D4" s="378" t="s">
        <v>3</v>
      </c>
      <c r="E4" s="373"/>
      <c r="F4" s="375" t="s">
        <v>4</v>
      </c>
      <c r="G4" s="374" t="s">
        <v>2</v>
      </c>
      <c r="X4" s="304"/>
    </row>
    <row r="5" spans="1:24">
      <c r="B5" s="236"/>
      <c r="C5" s="337"/>
      <c r="D5" s="317"/>
      <c r="E5" s="317"/>
      <c r="F5" s="107" t="s">
        <v>5</v>
      </c>
      <c r="G5" s="352">
        <v>1445.9</v>
      </c>
      <c r="X5" s="304"/>
    </row>
    <row r="6" spans="1:24" ht="13.5" thickBot="1">
      <c r="B6" s="236" t="s">
        <v>6</v>
      </c>
      <c r="C6" s="338">
        <v>500</v>
      </c>
      <c r="D6" s="305"/>
      <c r="E6" s="305"/>
      <c r="F6" s="353" t="s">
        <v>7</v>
      </c>
      <c r="G6" s="354" t="s">
        <v>8</v>
      </c>
    </row>
    <row r="7" spans="1:24">
      <c r="B7" s="236" t="s">
        <v>9</v>
      </c>
      <c r="C7" s="338">
        <v>300</v>
      </c>
      <c r="D7" s="305"/>
      <c r="E7" s="305"/>
    </row>
    <row r="8" spans="1:24">
      <c r="B8" s="236" t="s">
        <v>10</v>
      </c>
      <c r="C8" s="338">
        <v>25</v>
      </c>
      <c r="D8" s="305"/>
      <c r="E8" s="305"/>
      <c r="I8" s="236"/>
      <c r="J8" s="236"/>
    </row>
    <row r="9" spans="1:24">
      <c r="B9" s="236" t="s">
        <v>11</v>
      </c>
      <c r="C9" s="338">
        <v>140</v>
      </c>
      <c r="D9" s="305"/>
      <c r="E9" s="305"/>
      <c r="F9" s="305"/>
      <c r="G9" s="161"/>
      <c r="I9" s="236"/>
      <c r="J9" s="236"/>
    </row>
    <row r="10" spans="1:24">
      <c r="B10" s="236" t="s">
        <v>12</v>
      </c>
      <c r="C10" s="338">
        <v>110.7</v>
      </c>
      <c r="D10" s="305"/>
      <c r="E10" s="305"/>
      <c r="F10" s="305"/>
      <c r="I10" s="236"/>
      <c r="J10" s="236"/>
    </row>
    <row r="11" spans="1:24">
      <c r="B11" s="236" t="s">
        <v>13</v>
      </c>
      <c r="C11" s="338">
        <v>249.1</v>
      </c>
      <c r="D11" s="305"/>
      <c r="E11" s="305"/>
      <c r="F11" s="305"/>
    </row>
    <row r="12" spans="1:24">
      <c r="B12" s="236" t="s">
        <v>14</v>
      </c>
      <c r="C12" s="338"/>
      <c r="D12" s="305"/>
      <c r="E12" s="305"/>
      <c r="F12" s="305"/>
    </row>
    <row r="13" spans="1:24">
      <c r="B13" s="339" t="s">
        <v>15</v>
      </c>
      <c r="C13" s="338">
        <v>110.7</v>
      </c>
      <c r="D13" s="305"/>
      <c r="E13" s="305"/>
      <c r="F13" s="305"/>
      <c r="G13" s="161"/>
    </row>
    <row r="14" spans="1:24">
      <c r="B14" s="339" t="s">
        <v>16</v>
      </c>
      <c r="C14" s="338">
        <v>10.4</v>
      </c>
      <c r="D14" s="305"/>
      <c r="E14" s="305"/>
      <c r="F14" s="305"/>
      <c r="G14" s="161"/>
    </row>
    <row r="15" spans="1:24">
      <c r="B15" s="339" t="s">
        <v>14</v>
      </c>
      <c r="C15" s="338">
        <f>Model_USD!$AD$122-SUM(Capitalisation!C6:C14)</f>
        <v>16.436999999999898</v>
      </c>
      <c r="D15" s="305"/>
      <c r="E15" s="305"/>
      <c r="F15" s="305"/>
      <c r="G15" s="161"/>
    </row>
    <row r="16" spans="1:24">
      <c r="B16" s="44" t="s">
        <v>17</v>
      </c>
      <c r="C16" s="294">
        <f>SUM(C5:C15)</f>
        <v>1462.337</v>
      </c>
      <c r="D16" s="320">
        <f>+C16/C21</f>
        <v>1.3034468312683842</v>
      </c>
      <c r="E16" s="318"/>
      <c r="F16" s="318"/>
      <c r="G16" s="207"/>
      <c r="H16" s="161"/>
      <c r="I16" s="207"/>
    </row>
    <row r="17" spans="2:8">
      <c r="B17" s="43" t="s">
        <v>18</v>
      </c>
      <c r="C17" s="203">
        <f>Model_USD!$AD$119</f>
        <v>419.11799999999999</v>
      </c>
      <c r="D17" s="264"/>
      <c r="E17" s="319"/>
      <c r="F17" s="319"/>
      <c r="G17" s="161"/>
    </row>
    <row r="18" spans="2:8">
      <c r="B18" s="44" t="s">
        <v>19</v>
      </c>
      <c r="C18" s="294">
        <f>+C16-C17</f>
        <v>1043.2190000000001</v>
      </c>
      <c r="D18" s="320">
        <f>+C18/C21</f>
        <v>0.92986808093412976</v>
      </c>
      <c r="E18" s="318"/>
      <c r="F18" s="318"/>
      <c r="G18" s="170"/>
    </row>
    <row r="19" spans="2:8">
      <c r="B19" s="43" t="s">
        <v>20</v>
      </c>
      <c r="C19" s="203">
        <f>Model_USD!$AD$141</f>
        <v>2316.5390000000002</v>
      </c>
      <c r="E19" s="319"/>
      <c r="F19" s="319"/>
    </row>
    <row r="20" spans="2:8">
      <c r="B20" s="89" t="s">
        <v>21</v>
      </c>
      <c r="C20" s="295">
        <f>C19+C16</f>
        <v>3778.8760000000002</v>
      </c>
      <c r="G20" s="170"/>
      <c r="H20" s="170"/>
    </row>
    <row r="21" spans="2:8" s="86" customFormat="1">
      <c r="B21" s="89" t="s">
        <v>22</v>
      </c>
      <c r="C21" s="389">
        <f>Model_USD!$AD$91</f>
        <v>1121.8999999999999</v>
      </c>
    </row>
    <row r="22" spans="2:8">
      <c r="B22" s="348" t="s">
        <v>23</v>
      </c>
      <c r="C22" s="372">
        <f>C16-Model_USD!$AD$122</f>
        <v>0</v>
      </c>
      <c r="F22" s="307"/>
    </row>
    <row r="23" spans="2:8">
      <c r="C23" s="207"/>
      <c r="F23" s="307"/>
    </row>
    <row r="24" spans="2:8">
      <c r="B24" s="34" t="s">
        <v>24</v>
      </c>
      <c r="C24" s="393">
        <f>Model_USD!$AD$130</f>
        <v>397.52299999999997</v>
      </c>
      <c r="F24" s="307"/>
    </row>
    <row r="25" spans="2:8">
      <c r="B25" s="34" t="s">
        <v>25</v>
      </c>
      <c r="C25" s="393">
        <f>C16+C24</f>
        <v>1859.86</v>
      </c>
      <c r="F25" s="307"/>
    </row>
    <row r="26" spans="2:8">
      <c r="B26" s="34" t="s">
        <v>26</v>
      </c>
      <c r="C26" s="393">
        <f>C24+C18</f>
        <v>1440.742</v>
      </c>
      <c r="F26" s="307"/>
    </row>
    <row r="27" spans="2:8">
      <c r="C27" s="393"/>
      <c r="F27" s="307"/>
    </row>
    <row r="28" spans="2:8">
      <c r="B28" s="392" t="s">
        <v>27</v>
      </c>
      <c r="C28" s="320">
        <f>C25/C21</f>
        <v>1.657776985471076</v>
      </c>
      <c r="F28" s="307"/>
    </row>
    <row r="29" spans="2:8">
      <c r="B29" s="392" t="s">
        <v>28</v>
      </c>
      <c r="C29" s="320">
        <f>C26/C21</f>
        <v>1.2841982351368215</v>
      </c>
      <c r="G29" s="170"/>
    </row>
    <row r="30" spans="2:8">
      <c r="C30" s="30"/>
      <c r="G30" s="170"/>
    </row>
    <row r="31" spans="2:8">
      <c r="C31" s="30"/>
      <c r="G31" s="170"/>
    </row>
    <row r="32" spans="2:8" ht="13.5" thickBot="1"/>
    <row r="33" spans="2:6">
      <c r="B33" s="345" t="s">
        <v>29</v>
      </c>
      <c r="C33" s="346" t="s">
        <v>2</v>
      </c>
    </row>
    <row r="34" spans="2:6">
      <c r="B34" s="107" t="s">
        <v>30</v>
      </c>
      <c r="C34" s="297">
        <f>+C17</f>
        <v>419.11799999999999</v>
      </c>
      <c r="E34" s="161"/>
      <c r="F34" s="161"/>
    </row>
    <row r="35" spans="2:6" s="86" customFormat="1" ht="13.5" thickBot="1">
      <c r="B35" s="343" t="s">
        <v>31</v>
      </c>
      <c r="C35" s="344">
        <f>SUM(C34:C34)</f>
        <v>419.11799999999999</v>
      </c>
    </row>
    <row r="36" spans="2:6">
      <c r="B36" s="302"/>
    </row>
    <row r="37" spans="2:6">
      <c r="B37" s="302"/>
    </row>
    <row r="38" spans="2:6" ht="13.5" thickBot="1">
      <c r="B38" s="302"/>
    </row>
    <row r="39" spans="2:6" ht="13.5" thickBot="1">
      <c r="B39" s="350" t="s">
        <v>32</v>
      </c>
      <c r="C39" s="351" t="s">
        <v>2</v>
      </c>
    </row>
    <row r="40" spans="2:6">
      <c r="B40" s="259">
        <v>2026</v>
      </c>
      <c r="C40" s="299">
        <v>121</v>
      </c>
    </row>
    <row r="41" spans="2:6">
      <c r="B41" s="259">
        <v>2027</v>
      </c>
      <c r="C41" s="299">
        <v>414.1</v>
      </c>
    </row>
    <row r="42" spans="2:6">
      <c r="B42" s="259">
        <v>2028</v>
      </c>
      <c r="C42" s="299">
        <v>110.7</v>
      </c>
    </row>
    <row r="43" spans="2:6">
      <c r="B43" s="259">
        <v>2029</v>
      </c>
      <c r="C43" s="299">
        <v>0</v>
      </c>
    </row>
    <row r="44" spans="2:6">
      <c r="B44" s="259">
        <v>2030</v>
      </c>
      <c r="C44" s="299">
        <v>0</v>
      </c>
    </row>
    <row r="45" spans="2:6">
      <c r="B45" s="259">
        <v>2031</v>
      </c>
      <c r="C45" s="299">
        <v>0</v>
      </c>
    </row>
    <row r="46" spans="2:6" ht="13.5" thickBot="1">
      <c r="B46" s="259" t="s">
        <v>33</v>
      </c>
      <c r="C46" s="299">
        <v>800</v>
      </c>
    </row>
    <row r="47" spans="2:6" ht="13.5" thickBot="1">
      <c r="B47" s="176" t="s">
        <v>34</v>
      </c>
      <c r="C47" s="213">
        <f>SUM(C40:C46)</f>
        <v>1445.8000000000002</v>
      </c>
      <c r="F47" s="308"/>
    </row>
    <row r="48" spans="2:6" s="390" customFormat="1" ht="11.25">
      <c r="B48" s="348" t="s">
        <v>23</v>
      </c>
      <c r="C48" s="372">
        <f>C47-SUM(C6:C14)</f>
        <v>-9.9999999999909051E-2</v>
      </c>
      <c r="F48" s="391"/>
    </row>
    <row r="49" spans="1:24">
      <c r="B49" s="86"/>
      <c r="C49" s="347"/>
      <c r="F49" s="308"/>
    </row>
    <row r="50" spans="1:24">
      <c r="B50" s="86"/>
      <c r="C50" s="347"/>
      <c r="F50" s="308"/>
    </row>
    <row r="53" spans="1:24" ht="13.5" thickBot="1">
      <c r="A53" s="86" t="s">
        <v>35</v>
      </c>
      <c r="G53" s="86"/>
      <c r="H53" s="111"/>
      <c r="X53" s="304"/>
    </row>
    <row r="54" spans="1:24">
      <c r="B54" s="376" t="s">
        <v>36</v>
      </c>
      <c r="C54" s="377" t="s">
        <v>2</v>
      </c>
      <c r="D54" s="378" t="s">
        <v>3</v>
      </c>
      <c r="E54" s="373"/>
      <c r="F54" s="375" t="s">
        <v>4</v>
      </c>
      <c r="G54" s="374" t="s">
        <v>2</v>
      </c>
      <c r="X54" s="304"/>
    </row>
    <row r="55" spans="1:24">
      <c r="B55" s="236"/>
      <c r="C55" s="337"/>
      <c r="D55" s="317"/>
      <c r="E55" s="317"/>
      <c r="F55" s="107" t="s">
        <v>5</v>
      </c>
      <c r="G55" s="352">
        <v>1453.8</v>
      </c>
      <c r="X55" s="304"/>
    </row>
    <row r="56" spans="1:24" ht="12.75" customHeight="1" thickBot="1">
      <c r="B56" s="236" t="s">
        <v>6</v>
      </c>
      <c r="C56" s="338">
        <v>500</v>
      </c>
      <c r="D56" s="305"/>
      <c r="E56" s="305"/>
      <c r="F56" s="353" t="s">
        <v>7</v>
      </c>
      <c r="G56" s="354" t="s">
        <v>37</v>
      </c>
    </row>
    <row r="57" spans="1:24" ht="13.5" customHeight="1">
      <c r="B57" s="236" t="s">
        <v>9</v>
      </c>
      <c r="C57" s="338">
        <v>300</v>
      </c>
      <c r="D57" s="305"/>
      <c r="E57" s="305"/>
    </row>
    <row r="58" spans="1:24" ht="16.5" customHeight="1">
      <c r="B58" s="236" t="s">
        <v>10</v>
      </c>
      <c r="C58" s="338">
        <v>25</v>
      </c>
      <c r="D58" s="305"/>
      <c r="E58" s="305"/>
      <c r="I58" s="236"/>
      <c r="J58" s="236"/>
    </row>
    <row r="59" spans="1:24">
      <c r="B59" s="236" t="s">
        <v>11</v>
      </c>
      <c r="C59" s="338">
        <v>140</v>
      </c>
      <c r="D59" s="305"/>
      <c r="E59" s="305"/>
      <c r="F59" s="305"/>
      <c r="G59" s="161"/>
      <c r="I59" s="236"/>
      <c r="J59" s="236"/>
    </row>
    <row r="60" spans="1:24">
      <c r="B60" s="236" t="s">
        <v>12</v>
      </c>
      <c r="C60" s="338">
        <v>111.3</v>
      </c>
      <c r="D60" s="305"/>
      <c r="E60" s="305"/>
      <c r="F60" s="305"/>
      <c r="I60" s="236"/>
      <c r="J60" s="236"/>
    </row>
    <row r="61" spans="1:24">
      <c r="B61" s="236" t="s">
        <v>13</v>
      </c>
      <c r="C61" s="338">
        <v>250.5</v>
      </c>
      <c r="D61" s="305"/>
      <c r="E61" s="305"/>
      <c r="F61" s="305"/>
    </row>
    <row r="62" spans="1:24">
      <c r="B62" s="236" t="s">
        <v>14</v>
      </c>
      <c r="C62" s="338"/>
      <c r="D62" s="305"/>
      <c r="E62" s="305"/>
      <c r="F62" s="305"/>
    </row>
    <row r="63" spans="1:24">
      <c r="B63" s="339" t="s">
        <v>38</v>
      </c>
      <c r="C63" s="338">
        <v>111.3</v>
      </c>
      <c r="D63" s="305"/>
      <c r="E63" s="305"/>
      <c r="F63" s="305"/>
      <c r="G63" s="161"/>
    </row>
    <row r="64" spans="1:24">
      <c r="B64" s="339" t="s">
        <v>39</v>
      </c>
      <c r="C64" s="338">
        <v>15.7</v>
      </c>
      <c r="D64" s="305"/>
      <c r="E64" s="305"/>
      <c r="F64" s="305"/>
      <c r="G64" s="161"/>
    </row>
    <row r="65" spans="2:9">
      <c r="B65" s="339" t="s">
        <v>14</v>
      </c>
      <c r="C65" s="338">
        <f>Model_USD!$AC$122-SUM(Capitalisation!C56:C64)</f>
        <v>5.2519999999999527</v>
      </c>
      <c r="D65" s="305"/>
      <c r="E65" s="305"/>
      <c r="F65" s="305"/>
      <c r="G65" s="161"/>
    </row>
    <row r="66" spans="2:9">
      <c r="B66" s="44" t="s">
        <v>17</v>
      </c>
      <c r="C66" s="294">
        <f>SUM(C55:C65)</f>
        <v>1459.0519999999999</v>
      </c>
      <c r="D66" s="320">
        <f>+C66/C71</f>
        <v>1.2843767605633802</v>
      </c>
      <c r="E66" s="318"/>
      <c r="F66" s="318"/>
      <c r="G66" s="207"/>
      <c r="H66" s="161"/>
      <c r="I66" s="207"/>
    </row>
    <row r="67" spans="2:9">
      <c r="B67" s="43" t="s">
        <v>18</v>
      </c>
      <c r="C67" s="203">
        <f>Model_USD!$AC$119</f>
        <v>411.22500000000002</v>
      </c>
      <c r="D67" s="264"/>
      <c r="E67" s="319"/>
      <c r="F67" s="319"/>
      <c r="G67" s="161"/>
    </row>
    <row r="68" spans="2:9">
      <c r="B68" s="44" t="s">
        <v>19</v>
      </c>
      <c r="C68" s="294">
        <f>+C66-C67</f>
        <v>1047.8269999999998</v>
      </c>
      <c r="D68" s="320">
        <f>+C68/C71</f>
        <v>0.92238292253521104</v>
      </c>
      <c r="E68" s="318"/>
      <c r="F68" s="318"/>
      <c r="G68" s="170"/>
    </row>
    <row r="69" spans="2:9">
      <c r="B69" s="89" t="s">
        <v>20</v>
      </c>
      <c r="C69" s="203">
        <f>Model_USD!$AC$141</f>
        <v>2237.2260000000001</v>
      </c>
      <c r="E69" s="318"/>
      <c r="F69" s="318"/>
    </row>
    <row r="70" spans="2:9">
      <c r="B70" s="89" t="s">
        <v>21</v>
      </c>
      <c r="C70" s="295">
        <f>C69+C66</f>
        <v>3696.2780000000002</v>
      </c>
      <c r="G70" s="170"/>
      <c r="H70" s="170"/>
    </row>
    <row r="71" spans="2:9">
      <c r="B71" s="43" t="s">
        <v>22</v>
      </c>
      <c r="C71" s="203">
        <f>Model_USD!$AC$91</f>
        <v>1136</v>
      </c>
    </row>
    <row r="72" spans="2:9">
      <c r="B72" s="348" t="s">
        <v>23</v>
      </c>
      <c r="C72" s="372">
        <f>C66-Model_USD!$AC$122</f>
        <v>0</v>
      </c>
      <c r="F72" s="307"/>
    </row>
    <row r="73" spans="2:9">
      <c r="C73" s="207"/>
      <c r="F73" s="307"/>
    </row>
    <row r="74" spans="2:9">
      <c r="G74" s="170"/>
    </row>
    <row r="75" spans="2:9" ht="13.5" thickBot="1"/>
    <row r="76" spans="2:9">
      <c r="B76" s="345" t="s">
        <v>40</v>
      </c>
      <c r="C76" s="346" t="s">
        <v>2</v>
      </c>
    </row>
    <row r="77" spans="2:9">
      <c r="B77" s="107" t="s">
        <v>30</v>
      </c>
      <c r="C77" s="297">
        <f>+C67</f>
        <v>411.22500000000002</v>
      </c>
      <c r="E77" s="161"/>
      <c r="F77" s="161"/>
    </row>
    <row r="78" spans="2:9" s="86" customFormat="1" ht="13.5" thickBot="1">
      <c r="B78" s="343" t="s">
        <v>31</v>
      </c>
      <c r="C78" s="344">
        <f>SUM(C77:C77)</f>
        <v>411.22500000000002</v>
      </c>
    </row>
    <row r="79" spans="2:9">
      <c r="B79" s="302"/>
    </row>
    <row r="80" spans="2:9">
      <c r="B80" s="302"/>
    </row>
    <row r="81" spans="2:6" ht="13.5" thickBot="1">
      <c r="B81" s="302"/>
    </row>
    <row r="82" spans="2:6" ht="13.5" thickBot="1">
      <c r="B82" s="350" t="s">
        <v>41</v>
      </c>
      <c r="C82" s="351" t="s">
        <v>2</v>
      </c>
    </row>
    <row r="83" spans="2:6">
      <c r="B83" s="259">
        <v>2026</v>
      </c>
      <c r="C83" s="299">
        <v>126.9</v>
      </c>
    </row>
    <row r="84" spans="2:6">
      <c r="B84" s="259">
        <v>2027</v>
      </c>
      <c r="C84" s="299">
        <v>415.5</v>
      </c>
    </row>
    <row r="85" spans="2:6">
      <c r="B85" s="259">
        <v>2028</v>
      </c>
      <c r="C85" s="299">
        <v>111.3</v>
      </c>
    </row>
    <row r="86" spans="2:6">
      <c r="B86" s="259">
        <v>2029</v>
      </c>
      <c r="C86" s="299">
        <v>0</v>
      </c>
    </row>
    <row r="87" spans="2:6">
      <c r="B87" s="259">
        <v>2030</v>
      </c>
      <c r="C87" s="299">
        <v>0</v>
      </c>
    </row>
    <row r="88" spans="2:6">
      <c r="B88" s="259">
        <v>2031</v>
      </c>
      <c r="C88" s="299">
        <v>0</v>
      </c>
    </row>
    <row r="89" spans="2:6" ht="13.5" thickBot="1">
      <c r="B89" s="259" t="s">
        <v>33</v>
      </c>
      <c r="C89" s="299">
        <v>800</v>
      </c>
    </row>
    <row r="90" spans="2:6" ht="13.5" thickBot="1">
      <c r="B90" s="176" t="s">
        <v>34</v>
      </c>
      <c r="C90" s="213">
        <f>SUM(C83:C89)</f>
        <v>1453.6999999999998</v>
      </c>
      <c r="F90" s="308"/>
    </row>
    <row r="91" spans="2:6">
      <c r="B91" s="348" t="s">
        <v>23</v>
      </c>
      <c r="C91" s="372">
        <f>C90-SUM(C56:C64)</f>
        <v>-0.10000000000013642</v>
      </c>
      <c r="F91" s="308"/>
    </row>
    <row r="92" spans="2:6">
      <c r="B92" s="86"/>
      <c r="C92" s="347"/>
      <c r="F92" s="308"/>
    </row>
    <row r="93" spans="2:6">
      <c r="B93" s="86"/>
      <c r="C93" s="347"/>
      <c r="F93" s="308"/>
    </row>
    <row r="94" spans="2:6">
      <c r="B94" s="86"/>
      <c r="C94" s="347"/>
      <c r="F94" s="308"/>
    </row>
    <row r="97" spans="1:24" ht="13.5" thickBot="1">
      <c r="A97" s="86" t="s">
        <v>42</v>
      </c>
      <c r="G97" s="86"/>
      <c r="H97" s="111"/>
      <c r="X97" s="304"/>
    </row>
    <row r="98" spans="1:24" ht="25.5">
      <c r="B98" s="340" t="s">
        <v>43</v>
      </c>
      <c r="C98" s="341" t="s">
        <v>2</v>
      </c>
      <c r="D98" s="342" t="s">
        <v>3</v>
      </c>
      <c r="E98" s="317"/>
      <c r="F98" s="355" t="s">
        <v>4</v>
      </c>
      <c r="G98" s="356" t="s">
        <v>2</v>
      </c>
      <c r="X98" s="304"/>
    </row>
    <row r="99" spans="1:24">
      <c r="B99" s="236"/>
      <c r="C99" s="337"/>
      <c r="D99" s="317"/>
      <c r="E99" s="317"/>
      <c r="F99" s="107" t="s">
        <v>5</v>
      </c>
      <c r="G99" s="352">
        <v>1417.6</v>
      </c>
      <c r="X99" s="304"/>
    </row>
    <row r="100" spans="1:24" ht="12.75" customHeight="1" thickBot="1">
      <c r="B100" s="236" t="s">
        <v>6</v>
      </c>
      <c r="C100" s="338">
        <v>500</v>
      </c>
      <c r="D100" s="305"/>
      <c r="E100" s="305"/>
      <c r="F100" s="353" t="s">
        <v>7</v>
      </c>
      <c r="G100" s="354" t="s">
        <v>44</v>
      </c>
    </row>
    <row r="101" spans="1:24" ht="13.5" customHeight="1">
      <c r="B101" s="236" t="s">
        <v>9</v>
      </c>
      <c r="C101" s="338">
        <v>300</v>
      </c>
      <c r="D101" s="305"/>
      <c r="E101" s="305"/>
    </row>
    <row r="102" spans="1:24" ht="16.5" customHeight="1">
      <c r="B102" s="236" t="s">
        <v>10</v>
      </c>
      <c r="C102" s="338">
        <v>25</v>
      </c>
      <c r="D102" s="305"/>
      <c r="E102" s="305"/>
      <c r="I102" s="236"/>
      <c r="J102" s="236"/>
    </row>
    <row r="103" spans="1:24">
      <c r="B103" s="236" t="s">
        <v>11</v>
      </c>
      <c r="C103" s="338">
        <v>140</v>
      </c>
      <c r="D103" s="305"/>
      <c r="E103" s="305"/>
      <c r="F103" s="305"/>
      <c r="I103" s="236"/>
      <c r="J103" s="236"/>
    </row>
    <row r="104" spans="1:24">
      <c r="B104" s="236" t="s">
        <v>12</v>
      </c>
      <c r="C104" s="338">
        <v>108.8</v>
      </c>
      <c r="D104" s="305"/>
      <c r="E104" s="305"/>
      <c r="F104" s="305"/>
      <c r="I104" s="236"/>
      <c r="J104" s="236"/>
    </row>
    <row r="105" spans="1:24">
      <c r="B105" s="236" t="s">
        <v>13</v>
      </c>
      <c r="C105" s="338">
        <v>244.8</v>
      </c>
      <c r="D105" s="305"/>
      <c r="E105" s="305"/>
      <c r="F105" s="305"/>
    </row>
    <row r="106" spans="1:24">
      <c r="B106" s="236" t="s">
        <v>14</v>
      </c>
      <c r="C106" s="338"/>
      <c r="D106" s="305"/>
      <c r="E106" s="305"/>
      <c r="F106" s="305"/>
    </row>
    <row r="107" spans="1:24">
      <c r="B107" s="339" t="s">
        <v>38</v>
      </c>
      <c r="C107" s="338">
        <v>77.8</v>
      </c>
      <c r="D107" s="305"/>
      <c r="E107" s="305"/>
      <c r="F107" s="305"/>
      <c r="G107" s="161"/>
    </row>
    <row r="108" spans="1:24">
      <c r="B108" s="339" t="s">
        <v>39</v>
      </c>
      <c r="C108" s="338">
        <v>21.2</v>
      </c>
      <c r="D108" s="305"/>
      <c r="E108" s="305"/>
      <c r="F108" s="305"/>
      <c r="G108" s="161"/>
    </row>
    <row r="109" spans="1:24">
      <c r="B109" s="44" t="s">
        <v>17</v>
      </c>
      <c r="C109" s="294">
        <f>SUM(C99:C108)</f>
        <v>1417.6</v>
      </c>
      <c r="D109" s="320">
        <f>+C109/C114</f>
        <v>1.2318387208898158</v>
      </c>
      <c r="E109" s="318"/>
      <c r="F109" s="318"/>
      <c r="G109" s="207"/>
      <c r="H109" s="161"/>
      <c r="I109" s="207"/>
    </row>
    <row r="110" spans="1:24">
      <c r="B110" s="43" t="s">
        <v>18</v>
      </c>
      <c r="C110" s="203">
        <f>Model_USD!$AB$119</f>
        <v>455.642</v>
      </c>
      <c r="D110" s="264"/>
      <c r="E110" s="319"/>
      <c r="F110" s="319"/>
      <c r="G110" s="161"/>
    </row>
    <row r="111" spans="1:24">
      <c r="B111" s="44" t="s">
        <v>19</v>
      </c>
      <c r="C111" s="294">
        <f>+C109-C110</f>
        <v>961.95799999999986</v>
      </c>
      <c r="D111" s="320">
        <f>+C111/C114</f>
        <v>0.83590371915189421</v>
      </c>
      <c r="E111" s="318"/>
      <c r="F111" s="318"/>
      <c r="G111" s="170"/>
    </row>
    <row r="112" spans="1:24">
      <c r="B112" s="89" t="s">
        <v>20</v>
      </c>
      <c r="C112" s="203">
        <f>Model_USD!$AB$141</f>
        <v>2171.5149999999999</v>
      </c>
      <c r="E112" s="318"/>
      <c r="F112" s="318"/>
    </row>
    <row r="113" spans="2:8">
      <c r="B113" s="89" t="s">
        <v>21</v>
      </c>
      <c r="C113" s="295">
        <f>C112+C109</f>
        <v>3589.1149999999998</v>
      </c>
      <c r="G113" s="170"/>
      <c r="H113" s="170"/>
    </row>
    <row r="114" spans="2:8">
      <c r="B114" s="43" t="s">
        <v>22</v>
      </c>
      <c r="C114" s="203">
        <f>Model_USD!$AB$91</f>
        <v>1150.8</v>
      </c>
    </row>
    <row r="115" spans="2:8">
      <c r="B115" s="348"/>
      <c r="C115" s="349"/>
      <c r="F115" s="307"/>
    </row>
    <row r="116" spans="2:8">
      <c r="C116" s="207"/>
      <c r="F116" s="307"/>
    </row>
    <row r="117" spans="2:8">
      <c r="G117" s="170"/>
    </row>
    <row r="118" spans="2:8" ht="13.5" thickBot="1"/>
    <row r="119" spans="2:8">
      <c r="B119" s="345" t="s">
        <v>45</v>
      </c>
      <c r="C119" s="346" t="s">
        <v>2</v>
      </c>
    </row>
    <row r="120" spans="2:8">
      <c r="B120" s="107" t="s">
        <v>30</v>
      </c>
      <c r="C120" s="297">
        <f>+C110</f>
        <v>455.642</v>
      </c>
      <c r="E120" s="161"/>
      <c r="F120" s="161"/>
    </row>
    <row r="121" spans="2:8" s="86" customFormat="1" ht="13.5" thickBot="1">
      <c r="B121" s="343" t="s">
        <v>31</v>
      </c>
      <c r="C121" s="344">
        <f>SUM(C120:C120)</f>
        <v>455.642</v>
      </c>
    </row>
    <row r="122" spans="2:8">
      <c r="B122" s="302"/>
    </row>
    <row r="123" spans="2:8">
      <c r="B123" s="302"/>
    </row>
    <row r="124" spans="2:8" ht="13.5" thickBot="1">
      <c r="B124" s="302"/>
    </row>
    <row r="125" spans="2:8" ht="13.5" thickBot="1">
      <c r="B125" s="350" t="s">
        <v>46</v>
      </c>
      <c r="C125" s="351" t="s">
        <v>2</v>
      </c>
    </row>
    <row r="126" spans="2:8">
      <c r="B126" s="92">
        <v>2025</v>
      </c>
      <c r="C126" s="299">
        <v>87.4</v>
      </c>
    </row>
    <row r="127" spans="2:8">
      <c r="B127" s="259">
        <v>2026</v>
      </c>
      <c r="C127" s="299">
        <v>10.8</v>
      </c>
    </row>
    <row r="128" spans="2:8">
      <c r="B128" s="259">
        <v>2027</v>
      </c>
      <c r="C128" s="299">
        <v>410.1</v>
      </c>
    </row>
    <row r="129" spans="1:24">
      <c r="B129" s="259">
        <v>2028</v>
      </c>
      <c r="C129" s="299">
        <v>109</v>
      </c>
    </row>
    <row r="130" spans="1:24">
      <c r="B130" s="259">
        <v>2029</v>
      </c>
      <c r="C130" s="299">
        <v>0.2</v>
      </c>
    </row>
    <row r="131" spans="1:24">
      <c r="B131" s="259">
        <v>2030</v>
      </c>
      <c r="C131" s="299">
        <v>0.1</v>
      </c>
    </row>
    <row r="132" spans="1:24" ht="13.5" thickBot="1">
      <c r="B132" s="259" t="s">
        <v>47</v>
      </c>
      <c r="C132" s="299">
        <v>800</v>
      </c>
    </row>
    <row r="133" spans="1:24" ht="13.5" thickBot="1">
      <c r="B133" s="176" t="s">
        <v>34</v>
      </c>
      <c r="C133" s="213">
        <f>SUM(C126:C132)</f>
        <v>1417.6</v>
      </c>
      <c r="F133" s="308"/>
    </row>
    <row r="134" spans="1:24">
      <c r="B134" s="348" t="s">
        <v>23</v>
      </c>
      <c r="C134" s="349">
        <f>C133-C109</f>
        <v>0</v>
      </c>
      <c r="F134" s="308"/>
    </row>
    <row r="135" spans="1:24">
      <c r="B135" s="86"/>
      <c r="C135" s="347"/>
      <c r="F135" s="308"/>
    </row>
    <row r="136" spans="1:24">
      <c r="B136" s="86"/>
      <c r="C136" s="347"/>
      <c r="F136" s="308"/>
    </row>
    <row r="137" spans="1:24">
      <c r="B137" s="86"/>
      <c r="C137" s="347"/>
      <c r="F137" s="308"/>
    </row>
    <row r="139" spans="1:24">
      <c r="A139" s="86" t="s">
        <v>48</v>
      </c>
      <c r="G139" s="86"/>
      <c r="H139" s="111"/>
      <c r="X139" s="304"/>
    </row>
    <row r="140" spans="1:24" ht="25.5">
      <c r="B140" s="128">
        <v>45838</v>
      </c>
      <c r="C140" s="128" t="s">
        <v>2</v>
      </c>
      <c r="D140" s="35" t="s">
        <v>3</v>
      </c>
      <c r="E140" s="317"/>
      <c r="F140" s="194" t="s">
        <v>4</v>
      </c>
      <c r="G140" s="193"/>
      <c r="X140" s="304"/>
    </row>
    <row r="141" spans="1:24">
      <c r="B141" s="112"/>
      <c r="C141" s="127"/>
      <c r="D141" s="199"/>
      <c r="E141" s="317"/>
      <c r="F141" s="230">
        <v>45838</v>
      </c>
      <c r="G141" s="190" t="s">
        <v>2</v>
      </c>
      <c r="X141" s="304"/>
    </row>
    <row r="142" spans="1:24">
      <c r="B142" s="112" t="s">
        <v>6</v>
      </c>
      <c r="C142" s="292">
        <v>500</v>
      </c>
      <c r="D142" s="113"/>
      <c r="E142" s="305"/>
      <c r="F142" s="189"/>
      <c r="G142" s="190"/>
    </row>
    <row r="143" spans="1:24" ht="13.5" customHeight="1">
      <c r="B143" s="112" t="s">
        <v>9</v>
      </c>
      <c r="C143" s="292">
        <v>300</v>
      </c>
      <c r="D143" s="113"/>
      <c r="E143" s="305"/>
      <c r="F143" s="188" t="s">
        <v>5</v>
      </c>
      <c r="G143" s="191">
        <v>1441.4</v>
      </c>
    </row>
    <row r="144" spans="1:24" ht="16.5" customHeight="1">
      <c r="B144" s="112" t="s">
        <v>10</v>
      </c>
      <c r="C144" s="292">
        <v>25</v>
      </c>
      <c r="D144" s="113"/>
      <c r="E144" s="305"/>
      <c r="F144" s="188" t="s">
        <v>7</v>
      </c>
      <c r="G144" s="303" t="s">
        <v>49</v>
      </c>
      <c r="I144" s="236"/>
      <c r="J144" s="236"/>
    </row>
    <row r="145" spans="2:10">
      <c r="B145" s="112" t="s">
        <v>50</v>
      </c>
      <c r="C145" s="292">
        <v>140</v>
      </c>
      <c r="D145" s="113"/>
      <c r="E145" s="305"/>
      <c r="F145" s="305"/>
      <c r="I145" s="236"/>
      <c r="J145" s="236"/>
    </row>
    <row r="146" spans="2:10">
      <c r="B146" s="112" t="s">
        <v>12</v>
      </c>
      <c r="C146" s="292">
        <v>105.9</v>
      </c>
      <c r="D146" s="113"/>
      <c r="E146" s="305"/>
      <c r="F146" s="305"/>
      <c r="I146" s="236"/>
      <c r="J146" s="236"/>
    </row>
    <row r="147" spans="2:10">
      <c r="B147" s="112" t="s">
        <v>13</v>
      </c>
      <c r="C147" s="292">
        <v>238.2</v>
      </c>
      <c r="D147" s="113"/>
      <c r="E147" s="305"/>
      <c r="F147" s="305"/>
    </row>
    <row r="148" spans="2:10">
      <c r="B148" s="112" t="s">
        <v>14</v>
      </c>
      <c r="C148" s="292"/>
      <c r="D148" s="113"/>
      <c r="E148" s="305"/>
      <c r="F148" s="305"/>
    </row>
    <row r="149" spans="2:10">
      <c r="B149" s="321" t="s">
        <v>51</v>
      </c>
      <c r="C149" s="292">
        <v>111.2</v>
      </c>
      <c r="D149" s="113"/>
      <c r="E149" s="305"/>
      <c r="F149" s="305"/>
      <c r="G149" s="161"/>
    </row>
    <row r="150" spans="2:10">
      <c r="B150" s="321" t="s">
        <v>39</v>
      </c>
      <c r="C150" s="257">
        <v>21.2</v>
      </c>
      <c r="D150" s="113"/>
      <c r="E150" s="305"/>
      <c r="F150" s="305"/>
      <c r="G150" s="161"/>
    </row>
    <row r="151" spans="2:10">
      <c r="B151" s="44" t="s">
        <v>17</v>
      </c>
      <c r="C151" s="294">
        <f>SUM(C141:C150)</f>
        <v>1441.5000000000002</v>
      </c>
      <c r="D151" s="320">
        <f>+C151/C156</f>
        <v>1.2577436523863541</v>
      </c>
      <c r="E151" s="318"/>
      <c r="F151" s="318"/>
      <c r="G151" s="207"/>
      <c r="H151" s="161"/>
      <c r="I151" s="207"/>
    </row>
    <row r="152" spans="2:10">
      <c r="B152" s="43" t="s">
        <v>18</v>
      </c>
      <c r="C152" s="203">
        <f>Model_USD!$AA$119</f>
        <v>352.52799999999974</v>
      </c>
      <c r="D152" s="264"/>
      <c r="E152" s="319"/>
      <c r="F152" s="319"/>
      <c r="G152" s="161"/>
    </row>
    <row r="153" spans="2:10">
      <c r="B153" s="44" t="s">
        <v>19</v>
      </c>
      <c r="C153" s="294">
        <f>+C151-C152</f>
        <v>1088.9720000000004</v>
      </c>
      <c r="D153" s="320">
        <f>+C153/C156</f>
        <v>0.95015443678562128</v>
      </c>
      <c r="E153" s="318"/>
      <c r="F153" s="318"/>
      <c r="G153" s="170"/>
    </row>
    <row r="154" spans="2:10">
      <c r="B154" s="89" t="s">
        <v>20</v>
      </c>
      <c r="C154" s="203">
        <f>Model_USD!$AA$141</f>
        <v>2077.7399999999998</v>
      </c>
      <c r="E154" s="318"/>
      <c r="F154" s="318"/>
    </row>
    <row r="155" spans="2:10">
      <c r="B155" s="89" t="s">
        <v>21</v>
      </c>
      <c r="C155" s="295">
        <f>C154+C151</f>
        <v>3519.24</v>
      </c>
      <c r="G155" s="170"/>
      <c r="H155" s="170"/>
    </row>
    <row r="156" spans="2:10">
      <c r="B156" s="43" t="s">
        <v>22</v>
      </c>
      <c r="C156" s="203">
        <f>Model_USD!$AA$91</f>
        <v>1146.0999999999999</v>
      </c>
    </row>
    <row r="157" spans="2:10">
      <c r="C157" s="207"/>
      <c r="F157" s="307"/>
    </row>
    <row r="158" spans="2:10">
      <c r="G158" s="170"/>
    </row>
    <row r="159" spans="2:10" ht="13.5" thickBot="1"/>
    <row r="160" spans="2:10">
      <c r="B160" s="106" t="s">
        <v>52</v>
      </c>
      <c r="C160" s="182" t="s">
        <v>53</v>
      </c>
    </row>
    <row r="161" spans="2:6">
      <c r="B161" s="107" t="s">
        <v>54</v>
      </c>
      <c r="C161" s="296">
        <v>1.244</v>
      </c>
    </row>
    <row r="162" spans="2:6">
      <c r="B162" s="107" t="s">
        <v>30</v>
      </c>
      <c r="C162" s="297">
        <f>+C152</f>
        <v>352.52799999999974</v>
      </c>
      <c r="E162" s="161"/>
      <c r="F162" s="161"/>
    </row>
    <row r="163" spans="2:6" ht="13.5" thickBot="1">
      <c r="B163" s="108" t="s">
        <v>31</v>
      </c>
      <c r="C163" s="298">
        <f>SUM(C161:C162)</f>
        <v>353.77199999999976</v>
      </c>
    </row>
    <row r="164" spans="2:6">
      <c r="B164" s="302"/>
    </row>
    <row r="165" spans="2:6">
      <c r="B165" s="302"/>
    </row>
    <row r="166" spans="2:6" ht="13.5" thickBot="1">
      <c r="B166" s="302"/>
    </row>
    <row r="167" spans="2:6" ht="13.5" thickBot="1">
      <c r="B167" s="176" t="s">
        <v>55</v>
      </c>
      <c r="C167" s="178" t="s">
        <v>53</v>
      </c>
    </row>
    <row r="168" spans="2:6">
      <c r="B168" s="92">
        <v>2025</v>
      </c>
      <c r="C168" s="299">
        <v>121.7</v>
      </c>
    </row>
    <row r="169" spans="2:6">
      <c r="B169" s="259">
        <v>2026</v>
      </c>
      <c r="C169" s="299">
        <v>10.6</v>
      </c>
    </row>
    <row r="170" spans="2:6">
      <c r="B170" s="259">
        <v>2027</v>
      </c>
      <c r="C170" s="299">
        <v>263.2</v>
      </c>
    </row>
    <row r="171" spans="2:6">
      <c r="B171" s="259">
        <v>2028</v>
      </c>
      <c r="C171" s="299">
        <v>245.9</v>
      </c>
    </row>
    <row r="172" spans="2:6">
      <c r="B172" s="259">
        <v>2029</v>
      </c>
      <c r="C172" s="299">
        <v>0</v>
      </c>
    </row>
    <row r="173" spans="2:6">
      <c r="B173" s="259">
        <v>2030</v>
      </c>
      <c r="C173" s="299">
        <v>0</v>
      </c>
    </row>
    <row r="174" spans="2:6" ht="13.5" thickBot="1">
      <c r="B174" s="259" t="s">
        <v>47</v>
      </c>
      <c r="C174" s="299">
        <v>800</v>
      </c>
    </row>
    <row r="175" spans="2:6" ht="13.5" thickBot="1">
      <c r="B175" s="176" t="s">
        <v>34</v>
      </c>
      <c r="C175" s="213">
        <f>SUM(C168:C174)</f>
        <v>1441.4</v>
      </c>
      <c r="F175" s="308"/>
    </row>
    <row r="177" spans="1:24">
      <c r="A177" s="86" t="s">
        <v>56</v>
      </c>
      <c r="G177" s="86"/>
      <c r="H177" s="111"/>
      <c r="X177" s="304"/>
    </row>
    <row r="178" spans="1:24" ht="25.5">
      <c r="B178" s="128">
        <v>45747</v>
      </c>
      <c r="C178" s="128" t="s">
        <v>2</v>
      </c>
      <c r="D178" s="35" t="s">
        <v>3</v>
      </c>
      <c r="E178" s="317"/>
      <c r="F178" s="194" t="s">
        <v>4</v>
      </c>
      <c r="G178" s="193"/>
      <c r="X178" s="304"/>
    </row>
    <row r="179" spans="1:24">
      <c r="B179" s="112"/>
      <c r="C179" s="127"/>
      <c r="D179" s="199"/>
      <c r="E179" s="317"/>
      <c r="F179" s="230">
        <v>45747</v>
      </c>
      <c r="G179" s="190" t="s">
        <v>2</v>
      </c>
      <c r="X179" s="304"/>
    </row>
    <row r="180" spans="1:24">
      <c r="B180" s="112" t="s">
        <v>6</v>
      </c>
      <c r="C180" s="292">
        <v>500</v>
      </c>
      <c r="D180" s="113"/>
      <c r="E180" s="305"/>
      <c r="F180" s="189"/>
      <c r="G180" s="190"/>
    </row>
    <row r="181" spans="1:24" ht="13.5" customHeight="1">
      <c r="B181" s="112" t="s">
        <v>9</v>
      </c>
      <c r="C181" s="292">
        <v>300</v>
      </c>
      <c r="D181" s="113"/>
      <c r="E181" s="305"/>
      <c r="F181" s="188" t="s">
        <v>5</v>
      </c>
      <c r="G181" s="191">
        <v>1402.9</v>
      </c>
    </row>
    <row r="182" spans="1:24">
      <c r="B182" s="112" t="s">
        <v>10</v>
      </c>
      <c r="C182" s="292">
        <v>25</v>
      </c>
      <c r="D182" s="113"/>
      <c r="E182" s="305"/>
      <c r="F182" s="188" t="s">
        <v>7</v>
      </c>
      <c r="G182" s="303" t="s">
        <v>44</v>
      </c>
      <c r="I182" s="236"/>
      <c r="J182" s="258"/>
    </row>
    <row r="183" spans="1:24">
      <c r="B183" s="112" t="s">
        <v>50</v>
      </c>
      <c r="C183" s="292">
        <v>140</v>
      </c>
      <c r="D183" s="113"/>
      <c r="E183" s="305"/>
      <c r="F183" s="305"/>
      <c r="I183" s="236"/>
      <c r="J183" s="237"/>
    </row>
    <row r="184" spans="1:24">
      <c r="B184" s="112" t="s">
        <v>12</v>
      </c>
      <c r="C184" s="292">
        <v>98.4</v>
      </c>
      <c r="D184" s="113"/>
      <c r="E184" s="305"/>
      <c r="F184" s="305"/>
      <c r="I184" s="236"/>
      <c r="J184" s="237"/>
    </row>
    <row r="185" spans="1:24">
      <c r="B185" s="112" t="s">
        <v>13</v>
      </c>
      <c r="C185" s="292">
        <v>221.5</v>
      </c>
      <c r="D185" s="113"/>
      <c r="E185" s="305"/>
      <c r="F185" s="305"/>
    </row>
    <row r="186" spans="1:24">
      <c r="B186" s="112" t="s">
        <v>14</v>
      </c>
      <c r="C186" s="292"/>
      <c r="D186" s="113"/>
      <c r="E186" s="305"/>
      <c r="F186" s="305"/>
    </row>
    <row r="187" spans="1:24">
      <c r="B187" s="321" t="s">
        <v>51</v>
      </c>
      <c r="C187" s="292">
        <v>98.4</v>
      </c>
      <c r="D187" s="113"/>
      <c r="E187" s="305"/>
      <c r="F187" s="305"/>
      <c r="G187" s="161"/>
    </row>
    <row r="188" spans="1:24">
      <c r="B188" s="321" t="s">
        <v>39</v>
      </c>
      <c r="C188" s="257">
        <v>19.600000000000001</v>
      </c>
      <c r="D188" s="113"/>
      <c r="E188" s="305"/>
      <c r="F188" s="305"/>
      <c r="G188" s="161"/>
      <c r="I188" s="207"/>
    </row>
    <row r="189" spans="1:24">
      <c r="B189" s="44" t="s">
        <v>17</v>
      </c>
      <c r="C189" s="294">
        <f>SUM(C179:C188)</f>
        <v>1402.9</v>
      </c>
      <c r="D189" s="320">
        <f>+C189/C194</f>
        <v>1.2277063096175727</v>
      </c>
      <c r="E189" s="318"/>
      <c r="F189" s="318"/>
      <c r="G189" s="207"/>
      <c r="H189" s="161"/>
    </row>
    <row r="190" spans="1:24">
      <c r="B190" s="43" t="s">
        <v>18</v>
      </c>
      <c r="C190" s="203">
        <f>Model_USD!$Z$119</f>
        <v>386.36700000000002</v>
      </c>
      <c r="D190" s="264"/>
      <c r="E190" s="319"/>
      <c r="F190" s="319"/>
      <c r="G190" s="161"/>
    </row>
    <row r="191" spans="1:24">
      <c r="B191" s="44" t="s">
        <v>19</v>
      </c>
      <c r="C191" s="294">
        <f>+C189-C190</f>
        <v>1016.5330000000001</v>
      </c>
      <c r="D191" s="320">
        <f>+C191/C194</f>
        <v>0.88958869344534897</v>
      </c>
      <c r="E191" s="318"/>
      <c r="F191" s="318"/>
      <c r="G191" s="170"/>
    </row>
    <row r="192" spans="1:24">
      <c r="B192" s="89" t="s">
        <v>20</v>
      </c>
      <c r="C192" s="203">
        <f>Model_USD!$Z$141</f>
        <v>2047.3679999999999</v>
      </c>
      <c r="E192" s="318"/>
      <c r="F192" s="318"/>
    </row>
    <row r="193" spans="2:8">
      <c r="B193" s="89" t="s">
        <v>21</v>
      </c>
      <c r="C193" s="295">
        <f>C192+C189</f>
        <v>3450.268</v>
      </c>
      <c r="G193" s="170"/>
      <c r="H193" s="170"/>
    </row>
    <row r="194" spans="2:8">
      <c r="B194" s="43" t="s">
        <v>22</v>
      </c>
      <c r="C194" s="203">
        <f>Model_USD!$Z$91</f>
        <v>1142.6999999999998</v>
      </c>
    </row>
    <row r="195" spans="2:8">
      <c r="C195" s="207"/>
      <c r="F195" s="307"/>
    </row>
    <row r="196" spans="2:8">
      <c r="G196" s="170"/>
    </row>
    <row r="197" spans="2:8" ht="13.5" thickBot="1"/>
    <row r="198" spans="2:8">
      <c r="B198" s="106" t="s">
        <v>57</v>
      </c>
      <c r="C198" s="182" t="s">
        <v>53</v>
      </c>
    </row>
    <row r="199" spans="2:8">
      <c r="B199" s="107" t="s">
        <v>54</v>
      </c>
      <c r="C199" s="296">
        <v>1.244</v>
      </c>
    </row>
    <row r="200" spans="2:8">
      <c r="B200" s="107" t="s">
        <v>30</v>
      </c>
      <c r="C200" s="297">
        <f>+C190</f>
        <v>386.36700000000002</v>
      </c>
      <c r="E200" s="161"/>
      <c r="F200" s="161"/>
    </row>
    <row r="201" spans="2:8" ht="13.5" thickBot="1">
      <c r="B201" s="108" t="s">
        <v>31</v>
      </c>
      <c r="C201" s="298">
        <f>SUM(C199:C200)</f>
        <v>387.61100000000005</v>
      </c>
    </row>
    <row r="202" spans="2:8">
      <c r="B202" s="302"/>
    </row>
    <row r="203" spans="2:8">
      <c r="B203" s="302"/>
    </row>
    <row r="204" spans="2:8" ht="13.5" thickBot="1">
      <c r="B204" s="302"/>
    </row>
    <row r="205" spans="2:8" ht="13.5" thickBot="1">
      <c r="B205" s="176" t="s">
        <v>58</v>
      </c>
      <c r="C205" s="178" t="s">
        <v>53</v>
      </c>
    </row>
    <row r="206" spans="2:8">
      <c r="B206" s="92">
        <v>2025</v>
      </c>
      <c r="C206" s="299">
        <v>108.2</v>
      </c>
    </row>
    <row r="207" spans="2:8">
      <c r="B207" s="259">
        <v>2026</v>
      </c>
      <c r="C207" s="299">
        <v>9.8000000000000007</v>
      </c>
    </row>
    <row r="208" spans="2:8">
      <c r="B208" s="259">
        <v>2027</v>
      </c>
      <c r="C208" s="299">
        <v>246.5</v>
      </c>
    </row>
    <row r="209" spans="1:24">
      <c r="B209" s="259">
        <v>2028</v>
      </c>
      <c r="C209" s="299">
        <v>238.5</v>
      </c>
    </row>
    <row r="210" spans="1:24">
      <c r="B210" s="259">
        <v>2029</v>
      </c>
      <c r="C210" s="299">
        <v>0</v>
      </c>
    </row>
    <row r="211" spans="1:24">
      <c r="B211" s="259">
        <v>2030</v>
      </c>
      <c r="C211" s="299">
        <v>0</v>
      </c>
    </row>
    <row r="212" spans="1:24" ht="13.5" thickBot="1">
      <c r="B212" s="259" t="s">
        <v>47</v>
      </c>
      <c r="C212" s="299">
        <v>800</v>
      </c>
    </row>
    <row r="213" spans="1:24" ht="13.5" thickBot="1">
      <c r="B213" s="176" t="s">
        <v>34</v>
      </c>
      <c r="C213" s="213">
        <f>SUM(C206:C212)</f>
        <v>1403</v>
      </c>
      <c r="F213" s="308"/>
    </row>
    <row r="214" spans="1:24">
      <c r="I214" s="194" t="s">
        <v>4</v>
      </c>
      <c r="J214" s="193"/>
      <c r="X214" s="304"/>
    </row>
    <row r="215" spans="1:24">
      <c r="A215" s="86" t="s">
        <v>59</v>
      </c>
      <c r="G215" s="86"/>
      <c r="H215" s="111"/>
      <c r="I215" s="230">
        <v>45565</v>
      </c>
      <c r="J215" s="190" t="s">
        <v>2</v>
      </c>
      <c r="X215" s="304"/>
    </row>
    <row r="216" spans="1:24" ht="25.5">
      <c r="B216" s="128">
        <v>45657</v>
      </c>
      <c r="C216" s="128" t="s">
        <v>2</v>
      </c>
      <c r="D216" s="35" t="s">
        <v>3</v>
      </c>
      <c r="E216" s="317"/>
      <c r="F216" s="194" t="s">
        <v>4</v>
      </c>
      <c r="G216" s="193"/>
      <c r="I216" s="189"/>
      <c r="J216" s="190"/>
      <c r="X216" s="304"/>
    </row>
    <row r="217" spans="1:24">
      <c r="B217" s="112"/>
      <c r="C217" s="127"/>
      <c r="D217" s="199"/>
      <c r="E217" s="317"/>
      <c r="F217" s="230">
        <v>45657</v>
      </c>
      <c r="G217" s="190" t="s">
        <v>2</v>
      </c>
      <c r="I217" s="188" t="s">
        <v>5</v>
      </c>
      <c r="J217" s="191">
        <v>1476.4</v>
      </c>
    </row>
    <row r="218" spans="1:24" ht="13.5" customHeight="1">
      <c r="B218" s="112" t="s">
        <v>6</v>
      </c>
      <c r="C218" s="292">
        <v>500</v>
      </c>
      <c r="D218" s="113"/>
      <c r="E218" s="305"/>
      <c r="F218" s="189"/>
      <c r="G218" s="190"/>
      <c r="I218" s="188" t="s">
        <v>7</v>
      </c>
      <c r="J218" s="303" t="s">
        <v>44</v>
      </c>
    </row>
    <row r="219" spans="1:24">
      <c r="B219" s="112" t="s">
        <v>9</v>
      </c>
      <c r="C219" s="292">
        <v>300</v>
      </c>
      <c r="D219" s="113"/>
      <c r="E219" s="305"/>
      <c r="F219" s="188" t="s">
        <v>5</v>
      </c>
      <c r="G219" s="191">
        <v>1304.5</v>
      </c>
      <c r="I219" s="236"/>
      <c r="J219" s="258"/>
    </row>
    <row r="220" spans="1:24">
      <c r="B220" s="112" t="s">
        <v>10</v>
      </c>
      <c r="C220" s="292">
        <v>25</v>
      </c>
      <c r="D220" s="113"/>
      <c r="E220" s="305"/>
      <c r="F220" s="188" t="s">
        <v>7</v>
      </c>
      <c r="G220" s="303" t="s">
        <v>44</v>
      </c>
      <c r="I220" s="236"/>
      <c r="J220" s="237"/>
    </row>
    <row r="221" spans="1:24">
      <c r="B221" s="112" t="s">
        <v>50</v>
      </c>
      <c r="C221" s="292">
        <v>140</v>
      </c>
      <c r="D221" s="113"/>
      <c r="E221" s="305"/>
      <c r="F221" s="305"/>
      <c r="I221" s="236"/>
      <c r="J221" s="237"/>
    </row>
    <row r="222" spans="1:24">
      <c r="B222" s="112" t="s">
        <v>12</v>
      </c>
      <c r="C222" s="292">
        <v>98.7</v>
      </c>
      <c r="D222" s="113"/>
      <c r="E222" s="305"/>
      <c r="F222" s="305"/>
    </row>
    <row r="223" spans="1:24">
      <c r="B223" s="112" t="s">
        <v>13</v>
      </c>
      <c r="C223" s="292">
        <v>222</v>
      </c>
      <c r="D223" s="113"/>
      <c r="E223" s="305"/>
      <c r="F223" s="305"/>
    </row>
    <row r="224" spans="1:24">
      <c r="B224" s="112" t="s">
        <v>60</v>
      </c>
      <c r="C224" s="292">
        <v>18.8</v>
      </c>
      <c r="D224" s="113"/>
      <c r="E224" s="305"/>
      <c r="F224" s="305"/>
    </row>
    <row r="225" spans="2:9">
      <c r="B225" s="112"/>
      <c r="C225" s="257"/>
      <c r="D225" s="113"/>
      <c r="E225" s="305"/>
      <c r="F225" s="305"/>
    </row>
    <row r="226" spans="2:9">
      <c r="B226" s="44" t="s">
        <v>17</v>
      </c>
      <c r="C226" s="294">
        <f>SUM(C217:C225)</f>
        <v>1304.5</v>
      </c>
      <c r="D226" s="263">
        <f>+C226/C231</f>
        <v>1.1533020953054549</v>
      </c>
      <c r="E226" s="318"/>
      <c r="F226" s="318"/>
      <c r="G226" s="207"/>
      <c r="H226" s="161"/>
    </row>
    <row r="227" spans="2:9">
      <c r="B227" s="43" t="s">
        <v>18</v>
      </c>
      <c r="C227" s="203">
        <f>Model_USD!$Y$119</f>
        <v>340.33399999999972</v>
      </c>
      <c r="D227" s="264"/>
      <c r="E227" s="319"/>
      <c r="F227" s="319"/>
    </row>
    <row r="228" spans="2:9">
      <c r="B228" s="44" t="s">
        <v>19</v>
      </c>
      <c r="C228" s="294">
        <f>+C226-C227</f>
        <v>964.16600000000028</v>
      </c>
      <c r="D228" s="263">
        <f>+C228/C231</f>
        <v>0.85241446379630481</v>
      </c>
      <c r="E228" s="318"/>
      <c r="F228" s="318"/>
      <c r="G228" s="170"/>
      <c r="I228" s="207"/>
    </row>
    <row r="229" spans="2:9">
      <c r="B229" s="89" t="s">
        <v>20</v>
      </c>
      <c r="C229" s="203">
        <f>Model_USD!$Y$141</f>
        <v>1954.499</v>
      </c>
      <c r="E229" s="318"/>
      <c r="F229" s="318"/>
    </row>
    <row r="230" spans="2:9">
      <c r="B230" s="89" t="s">
        <v>21</v>
      </c>
      <c r="C230" s="295">
        <f>C229+C226</f>
        <v>3258.9989999999998</v>
      </c>
      <c r="G230" s="170"/>
      <c r="H230" s="170"/>
    </row>
    <row r="231" spans="2:9">
      <c r="B231" s="43" t="s">
        <v>22</v>
      </c>
      <c r="C231" s="203">
        <f>Model_USD!$Y$91</f>
        <v>1131.0999999999999</v>
      </c>
    </row>
    <row r="232" spans="2:9">
      <c r="C232" s="207"/>
      <c r="F232" s="307"/>
    </row>
    <row r="233" spans="2:9">
      <c r="G233" s="170"/>
    </row>
    <row r="234" spans="2:9" ht="13.5" thickBot="1"/>
    <row r="235" spans="2:9">
      <c r="B235" s="106" t="s">
        <v>61</v>
      </c>
      <c r="C235" s="182" t="s">
        <v>53</v>
      </c>
    </row>
    <row r="236" spans="2:9">
      <c r="B236" s="107" t="s">
        <v>54</v>
      </c>
      <c r="C236" s="296">
        <v>3.6030000000000002</v>
      </c>
    </row>
    <row r="237" spans="2:9">
      <c r="B237" s="107" t="s">
        <v>30</v>
      </c>
      <c r="C237" s="297">
        <f>+C227</f>
        <v>340.33399999999972</v>
      </c>
      <c r="E237" s="161"/>
      <c r="F237" s="161"/>
    </row>
    <row r="238" spans="2:9" ht="13.5" thickBot="1">
      <c r="B238" s="108" t="s">
        <v>31</v>
      </c>
      <c r="C238" s="298">
        <f>SUM(C236:C237)</f>
        <v>343.93699999999973</v>
      </c>
    </row>
    <row r="239" spans="2:9">
      <c r="B239" s="302"/>
    </row>
    <row r="240" spans="2:9">
      <c r="B240" s="302"/>
    </row>
    <row r="241" spans="1:10" ht="13.5" thickBot="1">
      <c r="B241" s="302"/>
    </row>
    <row r="242" spans="1:10" ht="13.5" thickBot="1">
      <c r="B242" s="176" t="s">
        <v>62</v>
      </c>
      <c r="C242" s="178" t="s">
        <v>53</v>
      </c>
    </row>
    <row r="243" spans="1:10">
      <c r="B243" s="92">
        <v>2025</v>
      </c>
      <c r="C243" s="299">
        <v>9.4</v>
      </c>
    </row>
    <row r="244" spans="1:10">
      <c r="B244" s="259">
        <v>2026</v>
      </c>
      <c r="C244" s="299">
        <v>9.4</v>
      </c>
    </row>
    <row r="245" spans="1:10">
      <c r="B245" s="259">
        <v>2027</v>
      </c>
      <c r="C245" s="299">
        <v>247</v>
      </c>
    </row>
    <row r="246" spans="1:10">
      <c r="B246" s="259">
        <v>2028</v>
      </c>
      <c r="C246" s="299">
        <v>238.7</v>
      </c>
    </row>
    <row r="247" spans="1:10">
      <c r="B247" s="259">
        <v>2029</v>
      </c>
      <c r="C247" s="299">
        <v>0</v>
      </c>
    </row>
    <row r="248" spans="1:10">
      <c r="B248" s="259">
        <v>2030</v>
      </c>
      <c r="C248" s="299">
        <v>0</v>
      </c>
    </row>
    <row r="249" spans="1:10" ht="13.5" thickBot="1">
      <c r="B249" s="259" t="s">
        <v>47</v>
      </c>
      <c r="C249" s="299">
        <v>800</v>
      </c>
    </row>
    <row r="250" spans="1:10" ht="13.5" thickBot="1">
      <c r="B250" s="176" t="s">
        <v>34</v>
      </c>
      <c r="C250" s="213">
        <f>SUM(C243:C249)</f>
        <v>1304.5</v>
      </c>
      <c r="F250" s="308"/>
    </row>
    <row r="252" spans="1:10">
      <c r="G252" s="86"/>
      <c r="H252" s="111"/>
    </row>
    <row r="253" spans="1:10" ht="25.5">
      <c r="A253" s="86" t="s">
        <v>63</v>
      </c>
      <c r="B253" s="128">
        <v>45565</v>
      </c>
      <c r="C253" s="128" t="s">
        <v>2</v>
      </c>
      <c r="D253" s="35" t="s">
        <v>3</v>
      </c>
      <c r="E253" s="35"/>
      <c r="F253" s="316">
        <v>45627</v>
      </c>
      <c r="I253" s="194" t="s">
        <v>4</v>
      </c>
      <c r="J253" s="193"/>
    </row>
    <row r="254" spans="1:10">
      <c r="B254" s="112" t="s">
        <v>64</v>
      </c>
      <c r="C254" s="127"/>
      <c r="D254" s="199"/>
      <c r="E254" s="199"/>
      <c r="F254" s="317"/>
      <c r="I254" s="300">
        <v>45473</v>
      </c>
      <c r="J254" s="190" t="s">
        <v>2</v>
      </c>
    </row>
    <row r="255" spans="1:10">
      <c r="B255" s="112" t="s">
        <v>65</v>
      </c>
      <c r="C255" s="127">
        <v>400</v>
      </c>
      <c r="D255" s="113"/>
      <c r="E255" s="113"/>
      <c r="F255" s="305"/>
      <c r="I255" s="189"/>
      <c r="J255" s="190"/>
    </row>
    <row r="256" spans="1:10">
      <c r="B256" s="112" t="s">
        <v>66</v>
      </c>
      <c r="C256" s="127">
        <v>0</v>
      </c>
      <c r="D256" s="113"/>
      <c r="E256" s="113"/>
      <c r="F256" s="113"/>
      <c r="I256" s="188" t="s">
        <v>5</v>
      </c>
      <c r="J256" s="191">
        <v>1870</v>
      </c>
    </row>
    <row r="257" spans="2:10">
      <c r="B257" s="112" t="s">
        <v>67</v>
      </c>
      <c r="C257" s="127">
        <v>200</v>
      </c>
      <c r="D257" s="113"/>
      <c r="E257" s="113"/>
      <c r="F257" s="113">
        <v>6486.942</v>
      </c>
      <c r="I257" s="188" t="s">
        <v>7</v>
      </c>
      <c r="J257" s="240">
        <v>1.34</v>
      </c>
    </row>
    <row r="258" spans="2:10">
      <c r="B258" s="112" t="s">
        <v>68</v>
      </c>
      <c r="C258" s="127">
        <v>250</v>
      </c>
      <c r="D258" s="113"/>
      <c r="E258" s="113"/>
      <c r="F258" s="113"/>
      <c r="I258" s="236"/>
    </row>
    <row r="259" spans="2:10">
      <c r="B259" s="112" t="s">
        <v>69</v>
      </c>
      <c r="C259" s="127">
        <v>125</v>
      </c>
      <c r="D259" s="113"/>
      <c r="E259" s="113"/>
      <c r="F259" s="113">
        <v>3988.3249999999998</v>
      </c>
      <c r="I259" s="236"/>
    </row>
    <row r="260" spans="2:10">
      <c r="B260" s="112" t="s">
        <v>70</v>
      </c>
      <c r="C260" s="127">
        <v>0</v>
      </c>
      <c r="D260" s="113"/>
      <c r="E260" s="113"/>
      <c r="F260" s="113"/>
      <c r="I260" s="236"/>
    </row>
    <row r="261" spans="2:10">
      <c r="B261" s="112" t="s">
        <v>71</v>
      </c>
      <c r="C261" s="127">
        <v>140</v>
      </c>
      <c r="D261" s="113"/>
      <c r="E261" s="113"/>
      <c r="F261" s="113"/>
    </row>
    <row r="262" spans="2:10">
      <c r="B262" s="285" t="s">
        <v>72</v>
      </c>
      <c r="C262" s="127">
        <v>101.9</v>
      </c>
      <c r="D262" s="113"/>
      <c r="E262" s="113"/>
      <c r="F262" s="305">
        <f>(-1292659-318473)/1000</f>
        <v>-1611.1320000000001</v>
      </c>
    </row>
    <row r="263" spans="2:10">
      <c r="B263" s="112" t="s">
        <v>73</v>
      </c>
      <c r="C263" s="127">
        <v>229.3</v>
      </c>
      <c r="D263" s="113"/>
      <c r="E263" s="113"/>
      <c r="F263" s="113">
        <v>2.7370000000000001</v>
      </c>
    </row>
    <row r="264" spans="2:10">
      <c r="B264" s="112" t="s">
        <v>72</v>
      </c>
      <c r="C264" s="127"/>
      <c r="D264" s="113"/>
      <c r="E264" s="113"/>
      <c r="F264" s="306"/>
    </row>
    <row r="265" spans="2:10">
      <c r="B265" s="112" t="s">
        <v>74</v>
      </c>
      <c r="C265" s="257">
        <v>30.2</v>
      </c>
      <c r="D265" s="113"/>
      <c r="E265" s="113"/>
      <c r="F265" s="113">
        <v>54.869</v>
      </c>
    </row>
    <row r="266" spans="2:10">
      <c r="B266" s="44" t="s">
        <v>17</v>
      </c>
      <c r="C266" s="129">
        <f>SUM(C254:C265)</f>
        <v>1476.4</v>
      </c>
      <c r="D266" s="263">
        <f>+C266/C271</f>
        <v>1.3278279975285352</v>
      </c>
      <c r="E266" s="45"/>
      <c r="F266" s="45">
        <v>-133.15199999999999</v>
      </c>
      <c r="G266" s="207"/>
      <c r="H266" s="161"/>
    </row>
    <row r="267" spans="2:10">
      <c r="B267" s="43" t="s">
        <v>18</v>
      </c>
      <c r="C267" s="130">
        <f>Model_USD!$X$119</f>
        <v>498.09099999999989</v>
      </c>
      <c r="D267" s="264"/>
      <c r="E267" s="46"/>
      <c r="F267" s="46"/>
      <c r="I267" s="207"/>
    </row>
    <row r="268" spans="2:10">
      <c r="B268" s="44" t="s">
        <v>19</v>
      </c>
      <c r="C268" s="129">
        <f>+C266-C267</f>
        <v>978.3090000000002</v>
      </c>
      <c r="D268" s="263">
        <f>+C268/C271</f>
        <v>0.87986052589687347</v>
      </c>
      <c r="E268" s="45"/>
      <c r="F268" s="45"/>
      <c r="G268" s="170"/>
    </row>
    <row r="269" spans="2:10">
      <c r="B269" s="89" t="s">
        <v>20</v>
      </c>
      <c r="C269" s="130">
        <f>Model_USD!$X$141</f>
        <v>1946.076</v>
      </c>
      <c r="E269" s="90"/>
      <c r="F269" s="90">
        <v>-279.89</v>
      </c>
    </row>
    <row r="270" spans="2:10">
      <c r="B270" s="89" t="s">
        <v>21</v>
      </c>
      <c r="C270" s="131">
        <f>C269+C266</f>
        <v>3422.4760000000001</v>
      </c>
      <c r="G270" s="170"/>
      <c r="H270" s="170"/>
    </row>
    <row r="271" spans="2:10">
      <c r="B271" s="43" t="s">
        <v>22</v>
      </c>
      <c r="C271" s="130">
        <f>Model_USD!$X$91</f>
        <v>1111.8909999999996</v>
      </c>
      <c r="F271" s="34">
        <v>0</v>
      </c>
    </row>
    <row r="272" spans="2:10">
      <c r="C272" s="207"/>
      <c r="F272" s="307"/>
    </row>
    <row r="273" spans="2:7">
      <c r="G273" s="170"/>
    </row>
    <row r="274" spans="2:7" ht="13.5" thickBot="1"/>
    <row r="275" spans="2:7">
      <c r="B275" s="106" t="s">
        <v>75</v>
      </c>
      <c r="C275" s="182" t="s">
        <v>53</v>
      </c>
    </row>
    <row r="276" spans="2:7">
      <c r="B276" s="107" t="s">
        <v>54</v>
      </c>
      <c r="C276" s="261">
        <v>4.0119999999999996</v>
      </c>
    </row>
    <row r="277" spans="2:7">
      <c r="B277" s="107" t="s">
        <v>30</v>
      </c>
      <c r="C277" s="183">
        <f>+C267</f>
        <v>498.09099999999989</v>
      </c>
      <c r="E277" s="161"/>
      <c r="F277" s="161"/>
    </row>
    <row r="278" spans="2:7" ht="13.5" thickBot="1">
      <c r="B278" s="108" t="s">
        <v>31</v>
      </c>
      <c r="C278" s="184">
        <f>SUM(C276:C277)</f>
        <v>502.10299999999989</v>
      </c>
    </row>
    <row r="279" spans="2:7">
      <c r="B279" s="302"/>
    </row>
    <row r="280" spans="2:7">
      <c r="B280" s="302"/>
    </row>
    <row r="281" spans="2:7" ht="13.5" thickBot="1">
      <c r="B281" s="302"/>
    </row>
    <row r="282" spans="2:7" ht="13.5" thickBot="1">
      <c r="B282" s="176" t="s">
        <v>76</v>
      </c>
      <c r="C282" s="178" t="s">
        <v>53</v>
      </c>
    </row>
    <row r="283" spans="2:7">
      <c r="B283" s="92">
        <v>2024</v>
      </c>
      <c r="C283" s="291">
        <v>410</v>
      </c>
    </row>
    <row r="284" spans="2:7">
      <c r="B284" s="92">
        <v>2025</v>
      </c>
      <c r="C284" s="291">
        <v>260.10000000000002</v>
      </c>
    </row>
    <row r="285" spans="2:7">
      <c r="B285" s="259">
        <v>2026</v>
      </c>
      <c r="C285" s="291">
        <v>210.1</v>
      </c>
    </row>
    <row r="286" spans="2:7">
      <c r="B286" s="259">
        <v>2027</v>
      </c>
      <c r="C286" s="291">
        <v>354.3</v>
      </c>
    </row>
    <row r="287" spans="2:7">
      <c r="B287" s="259">
        <v>2028</v>
      </c>
      <c r="C287" s="291">
        <v>241.9</v>
      </c>
    </row>
    <row r="288" spans="2:7" ht="13.5" thickBot="1">
      <c r="B288" s="259">
        <v>2029</v>
      </c>
      <c r="C288" s="291">
        <v>0</v>
      </c>
    </row>
    <row r="289" spans="2:10" ht="13.5" thickBot="1">
      <c r="B289" s="176" t="s">
        <v>34</v>
      </c>
      <c r="C289" s="208">
        <f>SUM(C283:C288)</f>
        <v>1476.4</v>
      </c>
      <c r="F289" s="308">
        <f>F253</f>
        <v>45627</v>
      </c>
    </row>
    <row r="291" spans="2:10">
      <c r="F291" s="309">
        <f>SUM(F307,F308)</f>
        <v>240.86</v>
      </c>
      <c r="G291" s="86"/>
      <c r="H291" s="111"/>
    </row>
    <row r="292" spans="2:10" ht="25.5">
      <c r="B292" s="128">
        <v>45473</v>
      </c>
      <c r="C292" s="128" t="s">
        <v>2</v>
      </c>
      <c r="D292" s="35" t="s">
        <v>3</v>
      </c>
      <c r="E292" s="35"/>
      <c r="F292" s="35"/>
      <c r="I292" s="194" t="s">
        <v>4</v>
      </c>
      <c r="J292" s="193"/>
    </row>
    <row r="293" spans="2:10">
      <c r="B293" s="112" t="s">
        <v>64</v>
      </c>
      <c r="C293" s="127">
        <v>371</v>
      </c>
      <c r="D293" s="199"/>
      <c r="E293" s="199"/>
      <c r="F293" s="199"/>
      <c r="I293" s="230">
        <v>45381</v>
      </c>
      <c r="J293" s="190" t="s">
        <v>2</v>
      </c>
    </row>
    <row r="294" spans="2:10">
      <c r="B294" s="112" t="s">
        <v>65</v>
      </c>
      <c r="C294" s="292">
        <v>400</v>
      </c>
      <c r="D294" s="113"/>
      <c r="E294" s="113"/>
      <c r="F294" s="113"/>
      <c r="I294" s="189"/>
      <c r="J294" s="190"/>
    </row>
    <row r="295" spans="2:10">
      <c r="B295" s="112" t="s">
        <v>66</v>
      </c>
      <c r="C295" s="292">
        <v>0</v>
      </c>
      <c r="D295" s="113"/>
      <c r="E295" s="113"/>
      <c r="F295" s="113"/>
      <c r="I295" s="188" t="s">
        <v>5</v>
      </c>
      <c r="J295" s="191">
        <v>1902</v>
      </c>
    </row>
    <row r="296" spans="2:10">
      <c r="B296" s="112" t="s">
        <v>77</v>
      </c>
      <c r="C296" s="292">
        <v>200</v>
      </c>
      <c r="D296" s="113"/>
      <c r="E296" s="113"/>
      <c r="F296" s="113"/>
      <c r="I296" s="188" t="s">
        <v>7</v>
      </c>
      <c r="J296" s="240">
        <v>1.34</v>
      </c>
    </row>
    <row r="297" spans="2:10">
      <c r="B297" s="112" t="s">
        <v>78</v>
      </c>
      <c r="C297" s="292">
        <v>250</v>
      </c>
      <c r="D297" s="113"/>
      <c r="E297" s="113"/>
      <c r="F297" s="113"/>
      <c r="I297" s="236"/>
    </row>
    <row r="298" spans="2:10">
      <c r="B298" s="112" t="s">
        <v>79</v>
      </c>
      <c r="C298" s="292">
        <v>125</v>
      </c>
      <c r="D298" s="113"/>
      <c r="E298" s="113"/>
      <c r="F298" s="113"/>
      <c r="I298" s="236"/>
    </row>
    <row r="299" spans="2:10">
      <c r="B299" s="112" t="s">
        <v>80</v>
      </c>
      <c r="C299" s="292" t="s">
        <v>81</v>
      </c>
      <c r="D299" s="113"/>
      <c r="E299" s="113"/>
      <c r="F299" s="113"/>
      <c r="I299" s="236"/>
    </row>
    <row r="300" spans="2:10">
      <c r="B300" s="112" t="s">
        <v>71</v>
      </c>
      <c r="C300" s="292">
        <v>140</v>
      </c>
      <c r="D300" s="113"/>
      <c r="E300" s="113"/>
      <c r="F300" s="113"/>
    </row>
    <row r="301" spans="2:10">
      <c r="B301" s="285" t="s">
        <v>72</v>
      </c>
      <c r="C301" s="292">
        <v>108.8</v>
      </c>
      <c r="D301" s="113"/>
      <c r="E301" s="113"/>
      <c r="F301" s="113"/>
    </row>
    <row r="302" spans="2:10">
      <c r="B302" s="112" t="s">
        <v>73</v>
      </c>
      <c r="C302" s="292">
        <v>244.9</v>
      </c>
      <c r="D302" s="113"/>
      <c r="E302" s="113"/>
      <c r="F302" s="113"/>
    </row>
    <row r="303" spans="2:10">
      <c r="B303" s="112" t="s">
        <v>72</v>
      </c>
      <c r="C303" s="292"/>
      <c r="D303" s="113"/>
      <c r="E303" s="113"/>
      <c r="F303" s="113"/>
    </row>
    <row r="304" spans="2:10">
      <c r="B304" s="112" t="s">
        <v>74</v>
      </c>
      <c r="C304" s="293">
        <v>30.8</v>
      </c>
      <c r="D304" s="113"/>
      <c r="E304" s="113"/>
      <c r="F304" s="113"/>
    </row>
    <row r="305" spans="2:9">
      <c r="B305" s="44" t="s">
        <v>17</v>
      </c>
      <c r="C305" s="294">
        <f>SUM(C293:C304)</f>
        <v>1870.5</v>
      </c>
      <c r="D305" s="45">
        <f>+C305/C310</f>
        <v>1.6967663923235954</v>
      </c>
      <c r="E305" s="45"/>
      <c r="F305" s="45"/>
      <c r="G305" s="207"/>
      <c r="H305" s="161"/>
    </row>
    <row r="306" spans="2:9">
      <c r="B306" s="43" t="s">
        <v>18</v>
      </c>
      <c r="C306" s="203">
        <f>Model_USD!$W$119</f>
        <v>440.18499999999989</v>
      </c>
      <c r="D306" s="264"/>
      <c r="E306" s="46"/>
      <c r="F306" s="46"/>
      <c r="I306" s="207"/>
    </row>
    <row r="307" spans="2:9">
      <c r="B307" s="44" t="s">
        <v>19</v>
      </c>
      <c r="C307" s="294">
        <f>+C305-C306</f>
        <v>1430.3150000000001</v>
      </c>
      <c r="D307" s="45">
        <f>+C307/C310</f>
        <v>1.2974661440450808</v>
      </c>
      <c r="E307" s="45"/>
      <c r="F307" s="45">
        <v>240.86</v>
      </c>
      <c r="G307" s="170"/>
    </row>
    <row r="308" spans="2:9">
      <c r="B308" s="89" t="s">
        <v>20</v>
      </c>
      <c r="C308" s="203">
        <f>Model_USD!$W$141</f>
        <v>1848.0840000000001</v>
      </c>
      <c r="E308" s="90"/>
      <c r="F308" s="90"/>
    </row>
    <row r="309" spans="2:9">
      <c r="B309" s="89" t="s">
        <v>21</v>
      </c>
      <c r="C309" s="295">
        <f>C308+C305</f>
        <v>3718.5839999999998</v>
      </c>
      <c r="G309" s="170"/>
      <c r="H309" s="170"/>
    </row>
    <row r="310" spans="2:9">
      <c r="B310" s="43" t="s">
        <v>22</v>
      </c>
      <c r="C310" s="203">
        <f>Model_USD!$W$91</f>
        <v>1102.3909999999996</v>
      </c>
    </row>
    <row r="311" spans="2:9">
      <c r="C311" s="207"/>
    </row>
    <row r="312" spans="2:9">
      <c r="F312" s="34">
        <f>-96.148+19.107+7.186-25.919+88.588</f>
        <v>-7.1859999999999928</v>
      </c>
      <c r="G312" s="170"/>
    </row>
    <row r="313" spans="2:9" ht="13.5" thickBot="1">
      <c r="F313" s="34">
        <v>241.554</v>
      </c>
    </row>
    <row r="314" spans="2:9">
      <c r="B314" s="106" t="s">
        <v>82</v>
      </c>
      <c r="C314" s="182" t="s">
        <v>53</v>
      </c>
      <c r="F314" s="34">
        <v>-102.9</v>
      </c>
    </row>
    <row r="315" spans="2:9">
      <c r="B315" s="107" t="s">
        <v>54</v>
      </c>
      <c r="C315" s="296">
        <v>7.5890000000000004</v>
      </c>
    </row>
    <row r="316" spans="2:9">
      <c r="B316" s="107" t="s">
        <v>30</v>
      </c>
      <c r="C316" s="297">
        <f>+C306</f>
        <v>440.18499999999989</v>
      </c>
      <c r="E316" s="161"/>
      <c r="F316" s="307">
        <f>-233.495+15.238</f>
        <v>-218.25700000000001</v>
      </c>
    </row>
    <row r="317" spans="2:9" ht="13.5" thickBot="1">
      <c r="B317" s="108" t="s">
        <v>31</v>
      </c>
      <c r="C317" s="298">
        <f>SUM(C315:C316)</f>
        <v>447.77399999999989</v>
      </c>
      <c r="F317" s="307">
        <v>-0.16900000000000001</v>
      </c>
    </row>
    <row r="318" spans="2:9">
      <c r="F318" s="307">
        <v>0</v>
      </c>
    </row>
    <row r="319" spans="2:9">
      <c r="F319" s="307">
        <v>16.972000000000001</v>
      </c>
    </row>
    <row r="320" spans="2:9" ht="13.5" thickBot="1">
      <c r="F320" s="307">
        <v>3.29</v>
      </c>
    </row>
    <row r="321" spans="2:10" ht="13.5" thickBot="1">
      <c r="B321" s="176" t="s">
        <v>83</v>
      </c>
      <c r="C321" s="178" t="s">
        <v>53</v>
      </c>
    </row>
    <row r="322" spans="2:10">
      <c r="B322" s="92">
        <v>2024</v>
      </c>
      <c r="C322" s="299">
        <v>411.5</v>
      </c>
      <c r="F322" s="34">
        <f>-152.201</f>
        <v>-152.20099999999999</v>
      </c>
    </row>
    <row r="323" spans="2:10">
      <c r="B323" s="92">
        <v>2025</v>
      </c>
      <c r="C323" s="299">
        <v>259.7</v>
      </c>
      <c r="F323" s="34">
        <f>-105.046</f>
        <v>-105.04600000000001</v>
      </c>
    </row>
    <row r="324" spans="2:10">
      <c r="B324" s="259">
        <v>2026</v>
      </c>
      <c r="C324" s="299">
        <v>209.7</v>
      </c>
      <c r="F324" s="34">
        <v>0</v>
      </c>
    </row>
    <row r="325" spans="2:10">
      <c r="B325" s="259">
        <v>2027</v>
      </c>
      <c r="C325" s="299">
        <v>369.9</v>
      </c>
      <c r="F325" s="34">
        <f>1728.626-1884.431-85.92</f>
        <v>-241.72500000000008</v>
      </c>
    </row>
    <row r="326" spans="2:10">
      <c r="B326" s="259">
        <v>2028</v>
      </c>
      <c r="C326" s="299">
        <v>248.8</v>
      </c>
    </row>
    <row r="327" spans="2:10" ht="13.5" thickBot="1">
      <c r="B327" s="93">
        <v>2029</v>
      </c>
      <c r="C327" s="299">
        <v>0</v>
      </c>
    </row>
    <row r="328" spans="2:10" ht="13.5" thickBot="1">
      <c r="B328" s="176" t="s">
        <v>34</v>
      </c>
      <c r="C328" s="213">
        <f>SUM(C322:C327)</f>
        <v>1499.6000000000001</v>
      </c>
      <c r="F328" s="34">
        <v>-84.787999999999997</v>
      </c>
    </row>
    <row r="329" spans="2:10">
      <c r="F329" s="34">
        <f>75.076-F327</f>
        <v>75.075999999999993</v>
      </c>
    </row>
    <row r="330" spans="2:10">
      <c r="E330" s="307"/>
      <c r="G330" s="86"/>
      <c r="H330" s="111"/>
    </row>
    <row r="331" spans="2:10" ht="25.5">
      <c r="B331" s="128">
        <v>45382</v>
      </c>
      <c r="C331" s="128" t="s">
        <v>2</v>
      </c>
      <c r="D331" s="35" t="s">
        <v>3</v>
      </c>
      <c r="E331" s="35"/>
      <c r="F331" s="310"/>
      <c r="I331" s="194" t="s">
        <v>4</v>
      </c>
      <c r="J331" s="193"/>
    </row>
    <row r="332" spans="2:10">
      <c r="B332" s="112" t="s">
        <v>64</v>
      </c>
      <c r="C332" s="311">
        <v>366</v>
      </c>
      <c r="D332" s="312"/>
      <c r="E332" s="312"/>
      <c r="F332" s="312">
        <f>875.112-F311-F312-F313-F329</f>
        <v>565.66800000000001</v>
      </c>
      <c r="I332" s="230">
        <v>45290</v>
      </c>
      <c r="J332" s="190" t="s">
        <v>2</v>
      </c>
    </row>
    <row r="333" spans="2:10">
      <c r="B333" s="112" t="s">
        <v>65</v>
      </c>
      <c r="C333" s="292">
        <v>400</v>
      </c>
      <c r="D333" s="113"/>
      <c r="E333" s="113"/>
      <c r="F333" s="113"/>
      <c r="I333" s="189"/>
      <c r="J333" s="190"/>
    </row>
    <row r="334" spans="2:10">
      <c r="B334" s="112" t="s">
        <v>66</v>
      </c>
      <c r="C334" s="292">
        <v>0</v>
      </c>
      <c r="D334" s="113"/>
      <c r="E334" s="113"/>
      <c r="F334" s="113"/>
      <c r="I334" s="188" t="s">
        <v>5</v>
      </c>
      <c r="J334" s="191">
        <v>1897</v>
      </c>
    </row>
    <row r="335" spans="2:10">
      <c r="B335" s="112" t="s">
        <v>77</v>
      </c>
      <c r="C335" s="292">
        <v>200</v>
      </c>
      <c r="D335" s="113"/>
      <c r="E335" s="113"/>
      <c r="F335" s="113"/>
      <c r="I335" s="188" t="s">
        <v>7</v>
      </c>
      <c r="J335" s="240" t="s">
        <v>84</v>
      </c>
    </row>
    <row r="336" spans="2:10">
      <c r="B336" s="112" t="s">
        <v>78</v>
      </c>
      <c r="C336" s="292">
        <v>250</v>
      </c>
      <c r="D336" s="113"/>
      <c r="E336" s="113"/>
      <c r="F336" s="113">
        <f>+F257</f>
        <v>6486.942</v>
      </c>
      <c r="I336" s="236"/>
    </row>
    <row r="337" spans="2:9">
      <c r="B337" s="112" t="s">
        <v>79</v>
      </c>
      <c r="C337" s="292">
        <v>125</v>
      </c>
      <c r="D337" s="113"/>
      <c r="E337" s="113"/>
      <c r="F337" s="113"/>
      <c r="I337" s="236"/>
    </row>
    <row r="338" spans="2:9">
      <c r="B338" s="112" t="s">
        <v>80</v>
      </c>
      <c r="C338" s="292" t="s">
        <v>81</v>
      </c>
      <c r="D338" s="113"/>
      <c r="E338" s="113"/>
      <c r="F338" s="113"/>
      <c r="I338" s="236"/>
    </row>
    <row r="339" spans="2:9">
      <c r="B339" s="112" t="s">
        <v>71</v>
      </c>
      <c r="C339" s="292">
        <v>140</v>
      </c>
      <c r="D339" s="113"/>
      <c r="E339" s="113"/>
      <c r="F339" s="113"/>
    </row>
    <row r="340" spans="2:9">
      <c r="B340" s="285" t="s">
        <v>72</v>
      </c>
      <c r="C340" s="292">
        <v>119.9</v>
      </c>
      <c r="D340" s="113"/>
      <c r="E340" s="113"/>
      <c r="F340" s="113"/>
    </row>
    <row r="341" spans="2:9">
      <c r="B341" s="112" t="s">
        <v>73</v>
      </c>
      <c r="C341" s="292">
        <v>269.8</v>
      </c>
      <c r="D341" s="113"/>
      <c r="E341" s="113"/>
      <c r="F341" s="113"/>
    </row>
    <row r="342" spans="2:9">
      <c r="B342" s="112" t="s">
        <v>72</v>
      </c>
      <c r="C342" s="292"/>
      <c r="D342" s="113"/>
      <c r="E342" s="113"/>
      <c r="F342" s="113"/>
    </row>
    <row r="343" spans="2:9">
      <c r="B343" s="112" t="s">
        <v>74</v>
      </c>
      <c r="C343" s="293">
        <v>31.1</v>
      </c>
      <c r="D343" s="113"/>
      <c r="E343" s="113"/>
      <c r="F343" s="113"/>
    </row>
    <row r="344" spans="2:9">
      <c r="B344" s="44" t="s">
        <v>17</v>
      </c>
      <c r="C344" s="294">
        <f>SUM(C332:C343)</f>
        <v>1901.8</v>
      </c>
      <c r="D344" s="45">
        <f>+C344/C349</f>
        <v>1.7939969304521979</v>
      </c>
      <c r="E344" s="45"/>
      <c r="F344" s="45"/>
      <c r="G344" s="207"/>
      <c r="H344" s="161"/>
    </row>
    <row r="345" spans="2:9">
      <c r="B345" s="43" t="s">
        <v>18</v>
      </c>
      <c r="C345" s="203">
        <f>Model_USD!$V$119</f>
        <v>482.46499999999992</v>
      </c>
      <c r="D345" s="264"/>
      <c r="E345" s="46"/>
      <c r="F345" s="46"/>
      <c r="I345" s="207"/>
    </row>
    <row r="346" spans="2:9">
      <c r="B346" s="44" t="s">
        <v>19</v>
      </c>
      <c r="C346" s="294">
        <f>+C344-C345</f>
        <v>1419.335</v>
      </c>
      <c r="D346" s="45">
        <f>+C346/C349</f>
        <v>1.3388803414046537</v>
      </c>
      <c r="E346" s="45"/>
      <c r="F346" s="45"/>
      <c r="G346" s="170"/>
    </row>
    <row r="347" spans="2:9">
      <c r="B347" s="89" t="s">
        <v>20</v>
      </c>
      <c r="C347" s="203">
        <f>Model_USD!$V$141</f>
        <v>1872.9770000000001</v>
      </c>
      <c r="E347" s="90"/>
      <c r="F347" s="90"/>
    </row>
    <row r="348" spans="2:9">
      <c r="B348" s="89" t="s">
        <v>21</v>
      </c>
      <c r="C348" s="295">
        <f>C347+C344</f>
        <v>3774.777</v>
      </c>
      <c r="F348" s="308">
        <f>F253</f>
        <v>45627</v>
      </c>
      <c r="G348" s="170"/>
      <c r="H348" s="170"/>
    </row>
    <row r="349" spans="2:9">
      <c r="B349" s="43" t="s">
        <v>22</v>
      </c>
      <c r="C349" s="203">
        <f>Model_USD!$V$91</f>
        <v>1060.0909999999994</v>
      </c>
    </row>
    <row r="350" spans="2:9">
      <c r="C350" s="207"/>
      <c r="F350" s="34">
        <f>1867.099+316.736</f>
        <v>2183.835</v>
      </c>
    </row>
    <row r="351" spans="2:9">
      <c r="F351" s="34">
        <v>92.769000000000005</v>
      </c>
      <c r="G351" s="170"/>
    </row>
    <row r="352" spans="2:9" ht="13.5" thickBot="1">
      <c r="F352" s="34">
        <v>988.83199999999999</v>
      </c>
    </row>
    <row r="353" spans="2:6">
      <c r="B353" s="106" t="s">
        <v>85</v>
      </c>
      <c r="C353" s="182" t="s">
        <v>53</v>
      </c>
      <c r="F353" s="34">
        <v>669.77700000000004</v>
      </c>
    </row>
    <row r="354" spans="2:6">
      <c r="B354" s="107" t="s">
        <v>54</v>
      </c>
      <c r="C354" s="296">
        <v>12.222</v>
      </c>
      <c r="F354" s="34">
        <v>611.64599999999996</v>
      </c>
    </row>
    <row r="355" spans="2:6">
      <c r="B355" s="107" t="s">
        <v>30</v>
      </c>
      <c r="C355" s="297">
        <f>+C345</f>
        <v>482.46499999999992</v>
      </c>
      <c r="E355" s="161"/>
      <c r="F355" s="161"/>
    </row>
    <row r="356" spans="2:6" ht="13.5" thickBot="1">
      <c r="B356" s="108" t="s">
        <v>31</v>
      </c>
      <c r="C356" s="298">
        <f>SUM(C354:C355)</f>
        <v>494.6869999999999</v>
      </c>
    </row>
    <row r="359" spans="2:6" ht="13.5" thickBot="1"/>
    <row r="360" spans="2:6" ht="13.5" thickBot="1">
      <c r="B360" s="176" t="s">
        <v>86</v>
      </c>
      <c r="C360" s="178" t="s">
        <v>53</v>
      </c>
    </row>
    <row r="361" spans="2:6">
      <c r="B361" s="92">
        <v>2024</v>
      </c>
      <c r="C361" s="299">
        <v>411.6</v>
      </c>
    </row>
    <row r="362" spans="2:6">
      <c r="B362" s="92">
        <v>2025</v>
      </c>
      <c r="C362" s="299">
        <v>259.7</v>
      </c>
    </row>
    <row r="363" spans="2:6">
      <c r="B363" s="259">
        <v>2026</v>
      </c>
      <c r="C363" s="299">
        <v>209.7</v>
      </c>
    </row>
    <row r="364" spans="2:6">
      <c r="B364" s="259">
        <v>2027</v>
      </c>
      <c r="C364" s="299">
        <v>394.8</v>
      </c>
      <c r="F364" s="34">
        <f>173.917+1116.754+9.382+7.229+1.418</f>
        <v>1308.6999999999998</v>
      </c>
    </row>
    <row r="365" spans="2:6">
      <c r="B365" s="259">
        <v>2028</v>
      </c>
      <c r="C365" s="299">
        <v>259.89999999999998</v>
      </c>
      <c r="F365" s="314"/>
    </row>
    <row r="366" spans="2:6" ht="13.5" thickBot="1">
      <c r="B366" s="93">
        <v>2029</v>
      </c>
      <c r="C366" s="299">
        <v>0</v>
      </c>
      <c r="F366" s="314"/>
    </row>
    <row r="367" spans="2:6" ht="13.5" thickBot="1">
      <c r="B367" s="176" t="s">
        <v>34</v>
      </c>
      <c r="C367" s="213">
        <f>SUM(C361:C366)</f>
        <v>1535.6999999999998</v>
      </c>
    </row>
    <row r="369" spans="2:10">
      <c r="G369" s="86"/>
      <c r="H369" s="111"/>
    </row>
    <row r="370" spans="2:10" ht="25.5">
      <c r="B370" s="128">
        <v>45290</v>
      </c>
      <c r="C370" s="128" t="s">
        <v>2</v>
      </c>
      <c r="D370" s="35" t="s">
        <v>3</v>
      </c>
      <c r="E370" s="35"/>
      <c r="F370" s="35"/>
      <c r="I370" s="194" t="s">
        <v>4</v>
      </c>
      <c r="J370" s="193"/>
    </row>
    <row r="371" spans="2:10">
      <c r="B371" s="112" t="s">
        <v>64</v>
      </c>
      <c r="C371" s="127">
        <v>365</v>
      </c>
      <c r="D371" s="199"/>
      <c r="E371" s="199"/>
      <c r="F371" s="199"/>
      <c r="I371" s="230">
        <v>45199</v>
      </c>
      <c r="J371" s="190" t="s">
        <v>2</v>
      </c>
    </row>
    <row r="372" spans="2:10">
      <c r="B372" s="112" t="s">
        <v>65</v>
      </c>
      <c r="C372" s="292">
        <v>400</v>
      </c>
      <c r="D372" s="113"/>
      <c r="E372" s="113"/>
      <c r="F372" s="113"/>
      <c r="I372" s="189"/>
      <c r="J372" s="190"/>
    </row>
    <row r="373" spans="2:10">
      <c r="B373" s="112" t="s">
        <v>66</v>
      </c>
      <c r="C373" s="292">
        <v>0</v>
      </c>
      <c r="D373" s="113"/>
      <c r="E373" s="113"/>
      <c r="F373" s="113"/>
      <c r="I373" s="188" t="s">
        <v>5</v>
      </c>
      <c r="J373" s="191">
        <v>1620.6</v>
      </c>
    </row>
    <row r="374" spans="2:10" ht="13.5" customHeight="1">
      <c r="B374" s="112" t="s">
        <v>77</v>
      </c>
      <c r="C374" s="292">
        <v>200</v>
      </c>
      <c r="D374" s="113"/>
      <c r="E374" s="113"/>
      <c r="F374" s="113"/>
      <c r="I374" s="188" t="s">
        <v>7</v>
      </c>
      <c r="J374" s="240">
        <v>1.68</v>
      </c>
    </row>
    <row r="375" spans="2:10">
      <c r="B375" s="112" t="s">
        <v>78</v>
      </c>
      <c r="C375" s="292">
        <v>250</v>
      </c>
      <c r="D375" s="113"/>
      <c r="E375" s="113"/>
      <c r="F375" s="113"/>
      <c r="I375" s="236"/>
      <c r="J375" s="258"/>
    </row>
    <row r="376" spans="2:10">
      <c r="B376" s="112" t="s">
        <v>79</v>
      </c>
      <c r="C376" s="292">
        <v>125</v>
      </c>
      <c r="D376" s="113"/>
      <c r="E376" s="113"/>
      <c r="F376" s="113"/>
      <c r="I376" s="236"/>
      <c r="J376" s="237"/>
    </row>
    <row r="377" spans="2:10">
      <c r="B377" s="112" t="s">
        <v>80</v>
      </c>
      <c r="C377" s="292" t="s">
        <v>81</v>
      </c>
      <c r="D377" s="113"/>
      <c r="E377" s="113"/>
      <c r="F377" s="113"/>
      <c r="I377" s="236"/>
      <c r="J377" s="237"/>
    </row>
    <row r="378" spans="2:10">
      <c r="B378" s="112" t="s">
        <v>71</v>
      </c>
      <c r="C378" s="292">
        <v>140</v>
      </c>
      <c r="D378" s="113"/>
      <c r="E378" s="113"/>
      <c r="F378" s="113"/>
    </row>
    <row r="379" spans="2:10">
      <c r="B379" s="285" t="s">
        <v>72</v>
      </c>
      <c r="C379" s="292">
        <v>118.4</v>
      </c>
      <c r="D379" s="113"/>
      <c r="E379" s="113"/>
      <c r="F379" s="113">
        <f>63.602+298.688</f>
        <v>362.28999999999996</v>
      </c>
    </row>
    <row r="380" spans="2:10">
      <c r="B380" s="112" t="s">
        <v>73</v>
      </c>
      <c r="C380" s="292">
        <v>266.39999999999998</v>
      </c>
      <c r="D380" s="113"/>
      <c r="E380" s="113"/>
      <c r="F380" s="113"/>
    </row>
    <row r="381" spans="2:10">
      <c r="B381" s="112" t="s">
        <v>72</v>
      </c>
      <c r="C381" s="292"/>
      <c r="D381" s="113"/>
      <c r="E381" s="113"/>
      <c r="F381" s="113"/>
    </row>
    <row r="382" spans="2:10">
      <c r="B382" s="112" t="s">
        <v>74</v>
      </c>
      <c r="C382" s="293">
        <v>31.8</v>
      </c>
      <c r="D382" s="113"/>
      <c r="E382" s="113"/>
      <c r="F382" s="113"/>
    </row>
    <row r="383" spans="2:10">
      <c r="B383" s="44" t="s">
        <v>17</v>
      </c>
      <c r="C383" s="294">
        <f>SUM(C371:C382)</f>
        <v>1896.6000000000001</v>
      </c>
      <c r="D383" s="45">
        <f>+C383/C388</f>
        <v>1.8847430812756956</v>
      </c>
      <c r="E383" s="45"/>
      <c r="F383" s="45"/>
      <c r="G383" s="207"/>
      <c r="H383" s="161"/>
    </row>
    <row r="384" spans="2:10">
      <c r="B384" s="43" t="s">
        <v>18</v>
      </c>
      <c r="C384" s="203">
        <f>Model_USD!$U$119</f>
        <v>350.04599999999994</v>
      </c>
      <c r="D384" s="264"/>
      <c r="E384" s="46"/>
      <c r="F384" s="46"/>
      <c r="I384" s="207"/>
    </row>
    <row r="385" spans="2:8">
      <c r="B385" s="44" t="s">
        <v>19</v>
      </c>
      <c r="C385" s="294">
        <f>+C383-C384</f>
        <v>1546.5540000000001</v>
      </c>
      <c r="D385" s="45">
        <f>+C385/C388</f>
        <v>1.5368854536113319</v>
      </c>
      <c r="E385" s="45"/>
      <c r="F385" s="45"/>
      <c r="G385" s="170"/>
    </row>
    <row r="386" spans="2:8">
      <c r="B386" s="89" t="s">
        <v>20</v>
      </c>
      <c r="C386" s="203">
        <f>Model_USD!$U$141</f>
        <v>1843.278</v>
      </c>
      <c r="E386" s="90"/>
      <c r="F386" s="90"/>
    </row>
    <row r="387" spans="2:8">
      <c r="B387" s="89" t="s">
        <v>21</v>
      </c>
      <c r="C387" s="295">
        <f>C386+C383</f>
        <v>3739.8780000000002</v>
      </c>
      <c r="G387" s="170"/>
      <c r="H387" s="170"/>
    </row>
    <row r="388" spans="2:8">
      <c r="B388" s="43" t="s">
        <v>22</v>
      </c>
      <c r="C388" s="203">
        <f>Model_USD!$U$91</f>
        <v>1006.2909999999996</v>
      </c>
    </row>
    <row r="389" spans="2:8">
      <c r="C389" s="207"/>
      <c r="F389" s="34">
        <f>6.25*1000</f>
        <v>6250</v>
      </c>
    </row>
    <row r="390" spans="2:8">
      <c r="F390" s="34">
        <v>1954.499</v>
      </c>
      <c r="G390" s="170"/>
    </row>
    <row r="391" spans="2:8" ht="13.5" thickBot="1"/>
    <row r="392" spans="2:8">
      <c r="B392" s="106" t="s">
        <v>87</v>
      </c>
      <c r="C392" s="182" t="s">
        <v>53</v>
      </c>
    </row>
    <row r="393" spans="2:8">
      <c r="B393" s="107" t="s">
        <v>54</v>
      </c>
      <c r="C393" s="296">
        <v>12.868</v>
      </c>
    </row>
    <row r="394" spans="2:8">
      <c r="B394" s="107" t="s">
        <v>30</v>
      </c>
      <c r="C394" s="297">
        <f>+C384</f>
        <v>350.04599999999994</v>
      </c>
      <c r="E394" s="161"/>
      <c r="F394" s="161"/>
    </row>
    <row r="395" spans="2:8" ht="13.5" thickBot="1">
      <c r="B395" s="108" t="s">
        <v>31</v>
      </c>
      <c r="C395" s="298">
        <f>SUM(C393:C394)</f>
        <v>362.91399999999993</v>
      </c>
    </row>
    <row r="398" spans="2:8" ht="13.5" thickBot="1"/>
    <row r="399" spans="2:8" ht="13.5" thickBot="1">
      <c r="B399" s="176" t="s">
        <v>88</v>
      </c>
      <c r="C399" s="178" t="s">
        <v>53</v>
      </c>
    </row>
    <row r="400" spans="2:8">
      <c r="B400" s="92">
        <v>2024</v>
      </c>
      <c r="C400" s="299">
        <v>411.8</v>
      </c>
    </row>
    <row r="401" spans="2:10">
      <c r="B401" s="92">
        <v>2025</v>
      </c>
      <c r="C401" s="299">
        <v>260</v>
      </c>
    </row>
    <row r="402" spans="2:10">
      <c r="B402" s="259">
        <v>2026</v>
      </c>
      <c r="C402" s="299">
        <v>210</v>
      </c>
    </row>
    <row r="403" spans="2:10">
      <c r="B403" s="259">
        <v>2027</v>
      </c>
      <c r="C403" s="299">
        <v>391.4</v>
      </c>
    </row>
    <row r="404" spans="2:10">
      <c r="B404" s="259">
        <v>2028</v>
      </c>
      <c r="C404" s="299">
        <v>258.39999999999998</v>
      </c>
    </row>
    <row r="405" spans="2:10" ht="13.5" thickBot="1">
      <c r="B405" s="93">
        <v>2029</v>
      </c>
      <c r="C405" s="299">
        <v>0</v>
      </c>
    </row>
    <row r="406" spans="2:10" ht="13.5" thickBot="1">
      <c r="B406" s="176" t="s">
        <v>34</v>
      </c>
      <c r="C406" s="213">
        <f>SUM(C400:C405)</f>
        <v>1531.6</v>
      </c>
    </row>
    <row r="408" spans="2:10">
      <c r="G408" s="86"/>
      <c r="H408" s="111"/>
    </row>
    <row r="409" spans="2:10" ht="25.5">
      <c r="B409" s="128">
        <v>45199</v>
      </c>
      <c r="C409" s="128" t="s">
        <v>2</v>
      </c>
      <c r="D409" s="35" t="s">
        <v>3</v>
      </c>
      <c r="E409" s="35"/>
      <c r="F409" s="35"/>
    </row>
    <row r="410" spans="2:10">
      <c r="B410" s="112" t="s">
        <v>64</v>
      </c>
      <c r="C410" s="127"/>
      <c r="D410" s="199"/>
      <c r="E410" s="199"/>
      <c r="F410" s="199"/>
      <c r="I410" s="194" t="s">
        <v>4</v>
      </c>
      <c r="J410" s="193"/>
    </row>
    <row r="411" spans="2:10">
      <c r="B411" s="112" t="s">
        <v>89</v>
      </c>
      <c r="C411" s="127">
        <v>400</v>
      </c>
      <c r="D411" s="113"/>
      <c r="E411" s="113"/>
      <c r="F411" s="113"/>
      <c r="I411" s="286">
        <v>45107</v>
      </c>
      <c r="J411" s="190" t="s">
        <v>2</v>
      </c>
    </row>
    <row r="412" spans="2:10">
      <c r="B412" s="112" t="s">
        <v>66</v>
      </c>
      <c r="C412" s="127">
        <v>0</v>
      </c>
      <c r="D412" s="113"/>
      <c r="E412" s="113"/>
      <c r="F412" s="113"/>
      <c r="I412" s="189"/>
      <c r="J412" s="190"/>
    </row>
    <row r="413" spans="2:10">
      <c r="B413" s="112" t="s">
        <v>90</v>
      </c>
      <c r="C413" s="127">
        <v>200</v>
      </c>
      <c r="D413" s="113"/>
      <c r="E413" s="113"/>
      <c r="F413" s="113"/>
      <c r="I413" s="188" t="s">
        <v>5</v>
      </c>
      <c r="J413" s="191">
        <v>1762</v>
      </c>
    </row>
    <row r="414" spans="2:10">
      <c r="B414" s="112" t="s">
        <v>91</v>
      </c>
      <c r="C414" s="127">
        <v>250</v>
      </c>
      <c r="D414" s="113"/>
      <c r="E414" s="113"/>
      <c r="F414" s="113"/>
      <c r="I414" s="188" t="s">
        <v>7</v>
      </c>
      <c r="J414" s="240">
        <v>2</v>
      </c>
    </row>
    <row r="415" spans="2:10">
      <c r="B415" s="112" t="s">
        <v>79</v>
      </c>
      <c r="C415" s="127">
        <v>125</v>
      </c>
      <c r="D415" s="113"/>
      <c r="E415" s="113"/>
      <c r="F415" s="113"/>
      <c r="I415" s="236"/>
      <c r="J415" s="258"/>
    </row>
    <row r="416" spans="2:10">
      <c r="B416" s="112" t="s">
        <v>70</v>
      </c>
      <c r="C416" s="127">
        <v>40</v>
      </c>
      <c r="D416" s="113"/>
      <c r="E416" s="113"/>
      <c r="F416" s="113"/>
      <c r="I416" s="236"/>
      <c r="J416" s="237"/>
    </row>
    <row r="417" spans="2:10">
      <c r="B417" s="112" t="s">
        <v>71</v>
      </c>
      <c r="C417" s="127">
        <v>140</v>
      </c>
      <c r="D417" s="113"/>
      <c r="E417" s="113"/>
      <c r="F417" s="113"/>
      <c r="I417" s="236"/>
      <c r="J417" s="237"/>
    </row>
    <row r="418" spans="2:10">
      <c r="B418" s="285" t="s">
        <v>72</v>
      </c>
      <c r="C418" s="127">
        <v>113.5</v>
      </c>
      <c r="D418" s="113"/>
      <c r="E418" s="113"/>
      <c r="F418" s="113"/>
    </row>
    <row r="419" spans="2:10">
      <c r="B419" s="112" t="s">
        <v>73</v>
      </c>
      <c r="C419" s="127">
        <v>255.4</v>
      </c>
      <c r="D419" s="113"/>
      <c r="E419" s="113"/>
      <c r="F419" s="113"/>
    </row>
    <row r="420" spans="2:10">
      <c r="B420" s="112" t="s">
        <v>72</v>
      </c>
      <c r="C420" s="127"/>
      <c r="D420" s="113"/>
      <c r="E420" s="113"/>
      <c r="F420" s="113"/>
    </row>
    <row r="421" spans="2:10">
      <c r="B421" s="112" t="s">
        <v>74</v>
      </c>
      <c r="C421" s="257">
        <f>56.8+39.9</f>
        <v>96.699999999999989</v>
      </c>
      <c r="D421" s="113"/>
      <c r="E421" s="113"/>
      <c r="F421" s="113"/>
    </row>
    <row r="422" spans="2:10">
      <c r="B422" s="44" t="s">
        <v>17</v>
      </c>
      <c r="C422" s="129">
        <f>SUM(C410:C421)</f>
        <v>1620.6000000000001</v>
      </c>
      <c r="D422" s="263">
        <f>+C422/C427</f>
        <v>1.6495563114919294</v>
      </c>
      <c r="E422" s="45"/>
      <c r="F422" s="45"/>
      <c r="G422" s="207"/>
      <c r="H422" s="161"/>
    </row>
    <row r="423" spans="2:10">
      <c r="B423" s="43" t="s">
        <v>18</v>
      </c>
      <c r="C423" s="130">
        <f>Model_USD!$T$119</f>
        <v>338.02499999999998</v>
      </c>
      <c r="D423" s="264"/>
      <c r="E423" s="46"/>
      <c r="F423" s="46"/>
      <c r="I423" s="207"/>
    </row>
    <row r="424" spans="2:10">
      <c r="B424" s="44" t="s">
        <v>19</v>
      </c>
      <c r="C424" s="129">
        <f>+C422-C423</f>
        <v>1282.5750000000003</v>
      </c>
      <c r="D424" s="263">
        <f>+C424/C427</f>
        <v>1.3054915995382954</v>
      </c>
      <c r="E424" s="45"/>
      <c r="F424" s="45"/>
      <c r="G424" s="170"/>
    </row>
    <row r="425" spans="2:10">
      <c r="B425" s="89" t="s">
        <v>20</v>
      </c>
      <c r="C425" s="130">
        <f>Model_USD!$T$141</f>
        <v>1663.6959999999999</v>
      </c>
      <c r="E425" s="90"/>
      <c r="F425" s="90"/>
    </row>
    <row r="426" spans="2:10">
      <c r="B426" s="89" t="s">
        <v>21</v>
      </c>
      <c r="C426" s="131">
        <f>C425+C422</f>
        <v>3284.2960000000003</v>
      </c>
      <c r="G426" s="170"/>
      <c r="H426" s="170"/>
    </row>
    <row r="427" spans="2:10">
      <c r="B427" s="43" t="s">
        <v>22</v>
      </c>
      <c r="C427" s="130">
        <f>Model_USD!$T$91</f>
        <v>982.44600000000003</v>
      </c>
    </row>
    <row r="428" spans="2:10">
      <c r="C428" s="207"/>
    </row>
    <row r="429" spans="2:10">
      <c r="G429" s="170"/>
    </row>
    <row r="430" spans="2:10" ht="13.5" thickBot="1"/>
    <row r="431" spans="2:10">
      <c r="B431" s="106" t="s">
        <v>92</v>
      </c>
      <c r="C431" s="182" t="s">
        <v>53</v>
      </c>
    </row>
    <row r="432" spans="2:10">
      <c r="B432" s="107" t="s">
        <v>54</v>
      </c>
      <c r="C432" s="261">
        <v>13.378</v>
      </c>
    </row>
    <row r="433" spans="2:8">
      <c r="B433" s="107" t="s">
        <v>30</v>
      </c>
      <c r="C433" s="183">
        <f>+C423</f>
        <v>338.02499999999998</v>
      </c>
      <c r="E433" s="161"/>
      <c r="F433" s="161"/>
    </row>
    <row r="434" spans="2:8" ht="13.5" thickBot="1">
      <c r="B434" s="108" t="s">
        <v>31</v>
      </c>
      <c r="C434" s="184">
        <f>SUM(C432:C433)</f>
        <v>351.40299999999996</v>
      </c>
    </row>
    <row r="437" spans="2:8" ht="13.5" thickBot="1"/>
    <row r="438" spans="2:8" ht="13.5" thickBot="1">
      <c r="B438" s="176" t="s">
        <v>93</v>
      </c>
      <c r="C438" s="178" t="s">
        <v>53</v>
      </c>
    </row>
    <row r="439" spans="2:8">
      <c r="B439" s="92">
        <v>2023</v>
      </c>
      <c r="C439" s="291">
        <v>66.3</v>
      </c>
    </row>
    <row r="440" spans="2:8">
      <c r="B440" s="92">
        <v>2024</v>
      </c>
      <c r="C440" s="291">
        <v>411.3</v>
      </c>
    </row>
    <row r="441" spans="2:8">
      <c r="B441" s="92">
        <v>2025</v>
      </c>
      <c r="C441" s="291">
        <v>259.5</v>
      </c>
    </row>
    <row r="442" spans="2:8">
      <c r="B442" s="259">
        <v>2026</v>
      </c>
      <c r="C442" s="291">
        <v>209.5</v>
      </c>
    </row>
    <row r="443" spans="2:8">
      <c r="B443" s="259">
        <v>2027</v>
      </c>
      <c r="C443" s="291">
        <v>420.4</v>
      </c>
    </row>
    <row r="444" spans="2:8" ht="13.5" thickBot="1">
      <c r="B444" s="93">
        <v>2028</v>
      </c>
      <c r="C444" s="291">
        <v>253.5</v>
      </c>
    </row>
    <row r="445" spans="2:8" ht="13.5" thickBot="1">
      <c r="B445" s="176" t="s">
        <v>34</v>
      </c>
      <c r="C445" s="208">
        <f>SUM(C439:C444)</f>
        <v>1620.5</v>
      </c>
    </row>
    <row r="448" spans="2:8">
      <c r="G448" s="86"/>
      <c r="H448" s="111"/>
    </row>
    <row r="449" spans="2:10" ht="25.5">
      <c r="B449" s="128">
        <v>45107</v>
      </c>
      <c r="C449" s="128" t="s">
        <v>2</v>
      </c>
      <c r="D449" s="35" t="s">
        <v>3</v>
      </c>
      <c r="E449" s="35"/>
      <c r="F449" s="35"/>
    </row>
    <row r="450" spans="2:10">
      <c r="B450" s="112" t="s">
        <v>64</v>
      </c>
      <c r="C450" s="127">
        <v>363</v>
      </c>
      <c r="D450" s="199"/>
      <c r="E450" s="199"/>
      <c r="F450" s="199"/>
      <c r="I450" s="194" t="s">
        <v>4</v>
      </c>
      <c r="J450" s="193"/>
    </row>
    <row r="451" spans="2:10">
      <c r="B451" s="112" t="s">
        <v>65</v>
      </c>
      <c r="C451" s="127">
        <v>400</v>
      </c>
      <c r="D451" s="113"/>
      <c r="E451" s="113"/>
      <c r="F451" s="113"/>
      <c r="I451" s="286">
        <v>45016</v>
      </c>
      <c r="J451" s="190" t="s">
        <v>2</v>
      </c>
    </row>
    <row r="452" spans="2:10">
      <c r="B452" s="112" t="s">
        <v>66</v>
      </c>
      <c r="C452" s="127">
        <v>0</v>
      </c>
      <c r="D452" s="113"/>
      <c r="E452" s="113"/>
      <c r="F452" s="113"/>
      <c r="I452" s="189"/>
      <c r="J452" s="190"/>
    </row>
    <row r="453" spans="2:10">
      <c r="B453" s="112" t="s">
        <v>90</v>
      </c>
      <c r="C453" s="127">
        <v>200</v>
      </c>
      <c r="D453" s="113"/>
      <c r="E453" s="113"/>
      <c r="F453" s="113"/>
      <c r="I453" s="188" t="s">
        <v>5</v>
      </c>
      <c r="J453" s="191">
        <v>1653.9</v>
      </c>
    </row>
    <row r="454" spans="2:10">
      <c r="B454" s="112" t="s">
        <v>91</v>
      </c>
      <c r="C454" s="127">
        <v>250</v>
      </c>
      <c r="D454" s="113"/>
      <c r="E454" s="113"/>
      <c r="F454" s="113"/>
      <c r="I454" s="188" t="s">
        <v>7</v>
      </c>
      <c r="J454" s="240">
        <v>2</v>
      </c>
    </row>
    <row r="455" spans="2:10">
      <c r="B455" s="112" t="s">
        <v>79</v>
      </c>
      <c r="C455" s="127">
        <v>125</v>
      </c>
      <c r="D455" s="113"/>
      <c r="E455" s="113"/>
      <c r="F455" s="113"/>
      <c r="I455" s="236"/>
      <c r="J455" s="258"/>
    </row>
    <row r="456" spans="2:10">
      <c r="B456" s="112" t="s">
        <v>70</v>
      </c>
      <c r="C456" s="127">
        <v>150</v>
      </c>
      <c r="D456" s="113"/>
      <c r="E456" s="113"/>
      <c r="F456" s="113"/>
      <c r="I456" s="236"/>
      <c r="J456" s="237"/>
    </row>
    <row r="457" spans="2:10">
      <c r="B457" s="285" t="s">
        <v>72</v>
      </c>
      <c r="C457" s="127">
        <v>117.2</v>
      </c>
      <c r="D457" s="113"/>
      <c r="E457" s="113"/>
      <c r="F457" s="113"/>
      <c r="I457" s="236"/>
      <c r="J457" s="237"/>
    </row>
    <row r="458" spans="2:10">
      <c r="B458" s="112" t="s">
        <v>73</v>
      </c>
      <c r="C458" s="127">
        <v>263.60000000000002</v>
      </c>
      <c r="D458" s="113"/>
      <c r="E458" s="113"/>
      <c r="F458" s="113"/>
    </row>
    <row r="459" spans="2:10">
      <c r="B459" s="112" t="s">
        <v>72</v>
      </c>
      <c r="C459" s="127"/>
      <c r="D459" s="113"/>
      <c r="E459" s="113"/>
      <c r="F459" s="113"/>
    </row>
    <row r="460" spans="2:10">
      <c r="B460" s="112" t="s">
        <v>74</v>
      </c>
      <c r="C460" s="257">
        <f>213.2+42.9</f>
        <v>256.09999999999997</v>
      </c>
      <c r="D460" s="113"/>
      <c r="E460" s="113"/>
      <c r="F460" s="113"/>
    </row>
    <row r="461" spans="2:10">
      <c r="B461" s="44" t="s">
        <v>17</v>
      </c>
      <c r="C461" s="129">
        <f>SUM(C450:C460)</f>
        <v>2124.9</v>
      </c>
      <c r="D461" s="263">
        <f>+C461/C466</f>
        <v>2.3300721753261708</v>
      </c>
      <c r="E461" s="45"/>
      <c r="F461" s="45"/>
      <c r="G461" s="207"/>
      <c r="H461" s="161"/>
    </row>
    <row r="462" spans="2:10">
      <c r="B462" s="43" t="s">
        <v>18</v>
      </c>
      <c r="C462" s="130">
        <f>Model_USD!S119</f>
        <v>260.42199999999997</v>
      </c>
      <c r="D462" s="264"/>
      <c r="E462" s="46"/>
      <c r="F462" s="46"/>
    </row>
    <row r="463" spans="2:10">
      <c r="B463" s="44" t="s">
        <v>19</v>
      </c>
      <c r="C463" s="129">
        <f>+C461-C462</f>
        <v>1864.4780000000001</v>
      </c>
      <c r="D463" s="263">
        <f>+C463/C466</f>
        <v>2.0445048281367537</v>
      </c>
      <c r="E463" s="45"/>
      <c r="F463" s="45"/>
      <c r="G463" s="170"/>
      <c r="I463" s="207"/>
    </row>
    <row r="464" spans="2:10">
      <c r="B464" s="89" t="s">
        <v>20</v>
      </c>
      <c r="C464" s="130">
        <f>Model_USD!S141</f>
        <v>1558.23</v>
      </c>
      <c r="E464" s="90"/>
      <c r="F464" s="90"/>
    </row>
    <row r="465" spans="2:8">
      <c r="B465" s="89" t="s">
        <v>21</v>
      </c>
      <c r="C465" s="131">
        <f>C464+C461</f>
        <v>3683.13</v>
      </c>
      <c r="G465" s="170"/>
      <c r="H465" s="170"/>
    </row>
    <row r="466" spans="2:8">
      <c r="B466" s="43" t="s">
        <v>22</v>
      </c>
      <c r="C466" s="130">
        <f>Model_USD!S91</f>
        <v>911.94600000000003</v>
      </c>
    </row>
    <row r="467" spans="2:8">
      <c r="C467" s="207"/>
    </row>
    <row r="468" spans="2:8">
      <c r="G468" s="170"/>
    </row>
    <row r="469" spans="2:8" ht="13.5" thickBot="1"/>
    <row r="470" spans="2:8">
      <c r="B470" s="106" t="s">
        <v>94</v>
      </c>
      <c r="C470" s="182" t="s">
        <v>53</v>
      </c>
    </row>
    <row r="471" spans="2:8">
      <c r="B471" s="107" t="s">
        <v>54</v>
      </c>
      <c r="C471" s="261">
        <v>8.407</v>
      </c>
    </row>
    <row r="472" spans="2:8">
      <c r="B472" s="107" t="s">
        <v>30</v>
      </c>
      <c r="C472" s="183">
        <f>+C462</f>
        <v>260.42199999999997</v>
      </c>
      <c r="E472" s="161"/>
      <c r="F472" s="161"/>
    </row>
    <row r="473" spans="2:8" ht="13.5" thickBot="1">
      <c r="B473" s="108" t="s">
        <v>31</v>
      </c>
      <c r="C473" s="184">
        <f>SUM(C471:C472)</f>
        <v>268.82899999999995</v>
      </c>
    </row>
    <row r="476" spans="2:8" ht="13.5" thickBot="1"/>
    <row r="477" spans="2:8" ht="13.5" thickBot="1">
      <c r="B477" s="176" t="s">
        <v>95</v>
      </c>
      <c r="C477" s="178" t="s">
        <v>53</v>
      </c>
    </row>
    <row r="478" spans="2:8">
      <c r="B478" s="92">
        <v>2023</v>
      </c>
      <c r="C478" s="291">
        <v>224.8</v>
      </c>
    </row>
    <row r="479" spans="2:8">
      <c r="B479" s="92">
        <v>2024</v>
      </c>
      <c r="C479" s="291">
        <v>411.6</v>
      </c>
    </row>
    <row r="480" spans="2:8">
      <c r="B480" s="92">
        <v>2025</v>
      </c>
      <c r="C480" s="291">
        <v>259.8</v>
      </c>
    </row>
    <row r="481" spans="2:10">
      <c r="B481" s="259">
        <v>2026</v>
      </c>
      <c r="C481" s="291">
        <v>209.8</v>
      </c>
    </row>
    <row r="482" spans="2:10">
      <c r="B482" s="259">
        <v>2027</v>
      </c>
      <c r="C482" s="291">
        <v>538.6</v>
      </c>
    </row>
    <row r="483" spans="2:10" ht="13.5" thickBot="1">
      <c r="B483" s="93">
        <v>2028</v>
      </c>
      <c r="C483" s="291">
        <v>117.2</v>
      </c>
    </row>
    <row r="484" spans="2:10" ht="13.5" thickBot="1">
      <c r="B484" s="176" t="s">
        <v>34</v>
      </c>
      <c r="C484" s="208">
        <f>SUM(C478:C483)</f>
        <v>1761.8</v>
      </c>
    </row>
    <row r="488" spans="2:10">
      <c r="G488" s="86"/>
      <c r="H488" s="111"/>
    </row>
    <row r="489" spans="2:10" ht="25.5">
      <c r="B489" s="128">
        <v>45016</v>
      </c>
      <c r="C489" s="128" t="s">
        <v>2</v>
      </c>
      <c r="D489" s="35" t="s">
        <v>3</v>
      </c>
      <c r="E489" s="35"/>
      <c r="F489" s="35"/>
      <c r="I489" s="194" t="s">
        <v>4</v>
      </c>
      <c r="J489" s="193"/>
    </row>
    <row r="490" spans="2:10">
      <c r="B490" s="112" t="s">
        <v>64</v>
      </c>
      <c r="C490" s="127">
        <v>362</v>
      </c>
      <c r="D490" s="199"/>
      <c r="E490" s="199"/>
      <c r="F490" s="199"/>
      <c r="I490" s="286">
        <v>44926</v>
      </c>
      <c r="J490" s="190" t="s">
        <v>2</v>
      </c>
    </row>
    <row r="491" spans="2:10">
      <c r="B491" s="112" t="s">
        <v>65</v>
      </c>
      <c r="C491" s="127">
        <v>400</v>
      </c>
      <c r="D491" s="113"/>
      <c r="E491" s="113"/>
      <c r="F491" s="113"/>
      <c r="I491" s="189"/>
      <c r="J491" s="190"/>
    </row>
    <row r="492" spans="2:10">
      <c r="B492" s="112" t="s">
        <v>66</v>
      </c>
      <c r="C492" s="127">
        <v>0</v>
      </c>
      <c r="D492" s="113"/>
      <c r="E492" s="113"/>
      <c r="F492" s="113"/>
      <c r="I492" s="188" t="s">
        <v>5</v>
      </c>
      <c r="J492" s="191">
        <v>1886</v>
      </c>
    </row>
    <row r="493" spans="2:10">
      <c r="B493" s="112" t="s">
        <v>90</v>
      </c>
      <c r="C493" s="127"/>
      <c r="D493" s="113"/>
      <c r="E493" s="113"/>
      <c r="F493" s="113"/>
      <c r="I493" s="188" t="s">
        <v>7</v>
      </c>
      <c r="J493" s="240">
        <v>2.4900000000000002</v>
      </c>
    </row>
    <row r="494" spans="2:10">
      <c r="B494" s="112" t="s">
        <v>91</v>
      </c>
      <c r="C494" s="127">
        <v>249</v>
      </c>
      <c r="D494" s="113"/>
      <c r="E494" s="113"/>
      <c r="F494" s="113"/>
      <c r="I494" s="236"/>
      <c r="J494" s="258"/>
    </row>
    <row r="495" spans="2:10">
      <c r="B495" s="112" t="s">
        <v>79</v>
      </c>
      <c r="C495" s="127">
        <v>0</v>
      </c>
      <c r="D495" s="113"/>
      <c r="E495" s="113"/>
      <c r="F495" s="113"/>
      <c r="I495" s="236"/>
      <c r="J495" s="237"/>
    </row>
    <row r="496" spans="2:10">
      <c r="B496" s="112" t="s">
        <v>70</v>
      </c>
      <c r="C496" s="127">
        <v>124</v>
      </c>
      <c r="D496" s="113"/>
      <c r="E496" s="113"/>
      <c r="F496" s="113"/>
      <c r="I496" s="236"/>
      <c r="J496" s="237"/>
    </row>
    <row r="497" spans="2:9">
      <c r="B497" s="285" t="s">
        <v>72</v>
      </c>
      <c r="C497" s="127">
        <v>110</v>
      </c>
      <c r="D497" s="113"/>
      <c r="E497" s="113"/>
      <c r="F497" s="113"/>
    </row>
    <row r="498" spans="2:9">
      <c r="B498" s="112" t="s">
        <v>73</v>
      </c>
      <c r="C498" s="127">
        <v>247.95</v>
      </c>
      <c r="D498" s="113"/>
      <c r="E498" s="113"/>
      <c r="F498" s="113"/>
    </row>
    <row r="499" spans="2:9">
      <c r="B499" s="112" t="s">
        <v>72</v>
      </c>
      <c r="C499" s="127"/>
      <c r="D499" s="113"/>
      <c r="E499" s="113"/>
      <c r="F499" s="113"/>
    </row>
    <row r="500" spans="2:9">
      <c r="B500" s="112" t="s">
        <v>74</v>
      </c>
      <c r="C500" s="257">
        <f>1.854+1.837+9.823+9.832+9.832+9.891+151.89</f>
        <v>194.95899999999997</v>
      </c>
      <c r="D500" s="113"/>
      <c r="E500" s="113"/>
      <c r="F500" s="113"/>
    </row>
    <row r="501" spans="2:9">
      <c r="B501" s="44" t="s">
        <v>17</v>
      </c>
      <c r="C501" s="129">
        <f>SUM(C490:C500)</f>
        <v>1687.9090000000001</v>
      </c>
      <c r="D501" s="263">
        <f>+C501/C506</f>
        <v>1.9752113988012348</v>
      </c>
      <c r="E501" s="45"/>
      <c r="F501" s="45"/>
      <c r="H501" s="161"/>
    </row>
    <row r="502" spans="2:9">
      <c r="B502" s="43" t="s">
        <v>18</v>
      </c>
      <c r="C502" s="130">
        <f>Model_USD!R119</f>
        <v>288.34799999999996</v>
      </c>
      <c r="D502" s="264"/>
      <c r="E502" s="46"/>
      <c r="F502" s="46"/>
      <c r="I502" s="207"/>
    </row>
    <row r="503" spans="2:9">
      <c r="B503" s="44" t="s">
        <v>19</v>
      </c>
      <c r="C503" s="129">
        <f>+C501-C502</f>
        <v>1399.5610000000001</v>
      </c>
      <c r="D503" s="263">
        <f>+C503/C506</f>
        <v>1.6377831035427</v>
      </c>
      <c r="E503" s="45"/>
      <c r="F503" s="45"/>
      <c r="G503" s="170"/>
    </row>
    <row r="504" spans="2:9">
      <c r="B504" s="89" t="s">
        <v>20</v>
      </c>
      <c r="C504" s="130">
        <f>Model_USD!R141</f>
        <v>1543.5309999999999</v>
      </c>
      <c r="E504" s="90"/>
      <c r="F504" s="90"/>
    </row>
    <row r="505" spans="2:9">
      <c r="B505" s="89" t="s">
        <v>21</v>
      </c>
      <c r="C505" s="131">
        <f>C504+C501</f>
        <v>3231.44</v>
      </c>
      <c r="G505" s="170"/>
      <c r="H505" s="170"/>
    </row>
    <row r="506" spans="2:9">
      <c r="B506" s="43" t="s">
        <v>22</v>
      </c>
      <c r="C506" s="130">
        <f>Model_USD!R91</f>
        <v>854.54600000000005</v>
      </c>
    </row>
    <row r="507" spans="2:9">
      <c r="C507" s="207"/>
    </row>
    <row r="508" spans="2:9">
      <c r="G508" s="170"/>
    </row>
    <row r="509" spans="2:9" ht="13.5" thickBot="1"/>
    <row r="510" spans="2:9">
      <c r="B510" s="106" t="s">
        <v>96</v>
      </c>
      <c r="C510" s="182" t="s">
        <v>53</v>
      </c>
    </row>
    <row r="511" spans="2:9">
      <c r="B511" s="107" t="s">
        <v>54</v>
      </c>
      <c r="C511" s="261">
        <v>24.878</v>
      </c>
    </row>
    <row r="512" spans="2:9">
      <c r="B512" s="107" t="s">
        <v>30</v>
      </c>
      <c r="C512" s="183">
        <f>+C502</f>
        <v>288.34799999999996</v>
      </c>
      <c r="E512" s="161"/>
      <c r="F512" s="161"/>
    </row>
    <row r="513" spans="2:8" ht="13.5" thickBot="1">
      <c r="B513" s="108" t="s">
        <v>31</v>
      </c>
      <c r="C513" s="184">
        <f>SUM(C511:C512)</f>
        <v>313.22599999999994</v>
      </c>
    </row>
    <row r="516" spans="2:8" ht="13.5" thickBot="1"/>
    <row r="517" spans="2:8" ht="13.5" thickBot="1">
      <c r="B517" s="176" t="s">
        <v>97</v>
      </c>
      <c r="C517" s="178" t="s">
        <v>53</v>
      </c>
    </row>
    <row r="518" spans="2:8">
      <c r="B518" s="92">
        <v>2023</v>
      </c>
      <c r="C518" s="198">
        <v>163.6</v>
      </c>
    </row>
    <row r="519" spans="2:8">
      <c r="B519" s="92">
        <v>2024</v>
      </c>
      <c r="C519" s="198">
        <v>411.7</v>
      </c>
    </row>
    <row r="520" spans="2:8">
      <c r="B520" s="92">
        <v>2025</v>
      </c>
      <c r="C520" s="198">
        <v>259.8</v>
      </c>
    </row>
    <row r="521" spans="2:8">
      <c r="B521" s="259">
        <v>2026</v>
      </c>
      <c r="C521" s="198">
        <v>209.8</v>
      </c>
    </row>
    <row r="522" spans="2:8">
      <c r="B522" s="259">
        <v>2027</v>
      </c>
      <c r="C522" s="198">
        <v>498.5</v>
      </c>
    </row>
    <row r="523" spans="2:8" ht="13.5" thickBot="1">
      <c r="B523" s="93">
        <v>2028</v>
      </c>
      <c r="C523" s="198">
        <v>110.5</v>
      </c>
    </row>
    <row r="524" spans="2:8" ht="13.5" thickBot="1">
      <c r="B524" s="176" t="s">
        <v>34</v>
      </c>
      <c r="C524" s="208">
        <f>SUM(C518:C523)</f>
        <v>1653.8999999999999</v>
      </c>
    </row>
    <row r="527" spans="2:8">
      <c r="G527" s="86"/>
      <c r="H527" s="111"/>
    </row>
    <row r="528" spans="2:8" ht="25.5">
      <c r="B528" s="128">
        <v>44926</v>
      </c>
      <c r="C528" s="128" t="s">
        <v>2</v>
      </c>
      <c r="D528" s="35" t="s">
        <v>3</v>
      </c>
      <c r="E528" s="35"/>
      <c r="F528" s="35"/>
    </row>
    <row r="529" spans="2:8">
      <c r="B529" s="112" t="s">
        <v>64</v>
      </c>
      <c r="C529" s="127">
        <v>367</v>
      </c>
      <c r="D529" s="199"/>
      <c r="E529" s="199"/>
      <c r="F529" s="199"/>
    </row>
    <row r="530" spans="2:8">
      <c r="B530" s="112" t="s">
        <v>65</v>
      </c>
      <c r="C530" s="127">
        <v>400</v>
      </c>
      <c r="D530" s="113"/>
      <c r="E530" s="113"/>
      <c r="F530" s="113"/>
    </row>
    <row r="531" spans="2:8">
      <c r="B531" s="112" t="s">
        <v>66</v>
      </c>
      <c r="C531" s="127">
        <v>0</v>
      </c>
      <c r="D531" s="113"/>
      <c r="E531" s="113"/>
      <c r="F531" s="113"/>
    </row>
    <row r="532" spans="2:8">
      <c r="B532" s="112" t="s">
        <v>90</v>
      </c>
      <c r="C532" s="127">
        <v>200</v>
      </c>
      <c r="D532" s="113"/>
      <c r="E532" s="113"/>
      <c r="F532" s="113"/>
    </row>
    <row r="533" spans="2:8">
      <c r="B533" s="112" t="s">
        <v>91</v>
      </c>
      <c r="C533" s="127">
        <v>250</v>
      </c>
      <c r="D533" s="113"/>
      <c r="E533" s="113"/>
      <c r="F533" s="113"/>
    </row>
    <row r="534" spans="2:8">
      <c r="B534" s="112" t="s">
        <v>79</v>
      </c>
      <c r="C534" s="127">
        <v>125</v>
      </c>
      <c r="D534" s="113"/>
      <c r="E534" s="113"/>
      <c r="F534" s="113"/>
    </row>
    <row r="535" spans="2:8">
      <c r="B535" s="112" t="s">
        <v>70</v>
      </c>
      <c r="C535" s="127">
        <v>125</v>
      </c>
      <c r="D535" s="113"/>
      <c r="E535" s="113"/>
      <c r="F535" s="113"/>
    </row>
    <row r="536" spans="2:8">
      <c r="B536" s="285" t="s">
        <v>72</v>
      </c>
      <c r="C536" s="127">
        <v>103.3</v>
      </c>
      <c r="D536" s="113"/>
      <c r="E536" s="113"/>
      <c r="F536" s="113"/>
    </row>
    <row r="537" spans="2:8">
      <c r="B537" s="112" t="s">
        <v>73</v>
      </c>
      <c r="C537" s="127">
        <v>232.4</v>
      </c>
      <c r="D537" s="113"/>
      <c r="E537" s="113"/>
      <c r="F537" s="113"/>
    </row>
    <row r="538" spans="2:8">
      <c r="B538" s="112" t="s">
        <v>72</v>
      </c>
      <c r="C538" s="127"/>
      <c r="D538" s="113"/>
      <c r="E538" s="113"/>
      <c r="F538" s="113"/>
    </row>
    <row r="539" spans="2:8">
      <c r="B539" s="112" t="s">
        <v>74</v>
      </c>
      <c r="C539" s="257">
        <f>131.7+42.4+3.8</f>
        <v>177.9</v>
      </c>
      <c r="D539" s="113"/>
      <c r="E539" s="113"/>
      <c r="F539" s="113"/>
    </row>
    <row r="540" spans="2:8">
      <c r="B540" s="44" t="s">
        <v>17</v>
      </c>
      <c r="C540" s="129">
        <f>SUM(C529:C539)</f>
        <v>1980.6000000000001</v>
      </c>
      <c r="D540" s="263">
        <f>+C540/C545</f>
        <v>2.44867378957181</v>
      </c>
      <c r="E540" s="45"/>
      <c r="F540" s="45"/>
      <c r="H540" s="161"/>
    </row>
    <row r="541" spans="2:8">
      <c r="B541" s="43" t="s">
        <v>18</v>
      </c>
      <c r="C541" s="130">
        <f>Model_USD!Q119</f>
        <v>283.86399999999998</v>
      </c>
      <c r="D541" s="264"/>
      <c r="E541" s="46"/>
      <c r="F541" s="46"/>
    </row>
    <row r="542" spans="2:8">
      <c r="B542" s="44" t="s">
        <v>19</v>
      </c>
      <c r="C542" s="129">
        <f>+C540-C541</f>
        <v>1696.7360000000001</v>
      </c>
      <c r="D542" s="263">
        <f>+C542/C545</f>
        <v>2.0977244123108725</v>
      </c>
      <c r="E542" s="45"/>
      <c r="F542" s="315">
        <f>F336</f>
        <v>6486.942</v>
      </c>
      <c r="G542" s="170"/>
    </row>
    <row r="543" spans="2:8">
      <c r="B543" s="89" t="s">
        <v>20</v>
      </c>
      <c r="C543" s="130">
        <f>Model_USD!Q141</f>
        <v>1433.588</v>
      </c>
      <c r="E543" s="90"/>
      <c r="F543" s="90"/>
    </row>
    <row r="544" spans="2:8">
      <c r="B544" s="89" t="s">
        <v>21</v>
      </c>
      <c r="C544" s="131">
        <f>C543+C540</f>
        <v>3414.1880000000001</v>
      </c>
      <c r="G544" s="170"/>
      <c r="H544" s="170"/>
    </row>
    <row r="545" spans="2:10">
      <c r="B545" s="43" t="s">
        <v>22</v>
      </c>
      <c r="C545" s="130">
        <f>Model_USD!Q91</f>
        <v>808.846</v>
      </c>
    </row>
    <row r="547" spans="2:10">
      <c r="G547" s="170"/>
    </row>
    <row r="548" spans="2:10" ht="13.5" thickBot="1"/>
    <row r="549" spans="2:10">
      <c r="B549" s="106" t="s">
        <v>98</v>
      </c>
      <c r="C549" s="182" t="s">
        <v>53</v>
      </c>
      <c r="I549" s="194" t="s">
        <v>4</v>
      </c>
      <c r="J549" s="193"/>
    </row>
    <row r="550" spans="2:10">
      <c r="B550" s="107" t="s">
        <v>54</v>
      </c>
      <c r="C550" s="261">
        <v>34.19</v>
      </c>
      <c r="I550" s="230">
        <v>44742</v>
      </c>
      <c r="J550" s="190" t="s">
        <v>2</v>
      </c>
    </row>
    <row r="551" spans="2:10">
      <c r="B551" s="107" t="s">
        <v>30</v>
      </c>
      <c r="C551" s="183">
        <f>+C541</f>
        <v>283.86399999999998</v>
      </c>
      <c r="E551" s="161"/>
      <c r="F551" s="161"/>
      <c r="I551" s="189"/>
      <c r="J551" s="190"/>
    </row>
    <row r="552" spans="2:10" ht="13.5" thickBot="1">
      <c r="B552" s="108" t="s">
        <v>31</v>
      </c>
      <c r="C552" s="184">
        <f>SUM(C550:C551)</f>
        <v>318.05399999999997</v>
      </c>
      <c r="I552" s="188" t="s">
        <v>5</v>
      </c>
      <c r="J552" s="191">
        <v>1713</v>
      </c>
    </row>
    <row r="553" spans="2:10" ht="13.5" customHeight="1">
      <c r="I553" s="188" t="s">
        <v>7</v>
      </c>
      <c r="J553" s="240">
        <v>2.35</v>
      </c>
    </row>
    <row r="554" spans="2:10" ht="13.5" customHeight="1">
      <c r="I554" s="236"/>
      <c r="J554" s="258"/>
    </row>
    <row r="555" spans="2:10" ht="13.5" customHeight="1" thickBot="1">
      <c r="I555" s="236"/>
      <c r="J555" s="237"/>
    </row>
    <row r="556" spans="2:10" ht="13.5" thickBot="1">
      <c r="B556" s="176" t="s">
        <v>99</v>
      </c>
      <c r="C556" s="178" t="s">
        <v>53</v>
      </c>
    </row>
    <row r="557" spans="2:10">
      <c r="B557" s="92">
        <v>2023</v>
      </c>
      <c r="C557" s="198">
        <v>147</v>
      </c>
    </row>
    <row r="558" spans="2:10">
      <c r="B558" s="92">
        <v>2024</v>
      </c>
      <c r="C558" s="198">
        <v>411.5</v>
      </c>
    </row>
    <row r="559" spans="2:10">
      <c r="B559" s="92">
        <v>2025</v>
      </c>
      <c r="C559" s="198">
        <v>259.7</v>
      </c>
    </row>
    <row r="560" spans="2:10">
      <c r="B560" s="259">
        <v>2026</v>
      </c>
      <c r="C560" s="198">
        <v>209.7</v>
      </c>
    </row>
    <row r="561" spans="2:9">
      <c r="B561" s="259">
        <v>2027</v>
      </c>
      <c r="C561" s="198">
        <v>482.4</v>
      </c>
      <c r="I561" s="207"/>
    </row>
    <row r="562" spans="2:9">
      <c r="B562" s="44" t="s">
        <v>19</v>
      </c>
      <c r="C562" s="129" t="e">
        <f>+#REF!-#REF!</f>
        <v>#REF!</v>
      </c>
      <c r="D562" s="263" t="e">
        <f>+C562/C565</f>
        <v>#REF!</v>
      </c>
      <c r="E562" s="45"/>
      <c r="F562" s="45"/>
      <c r="G562" s="170"/>
    </row>
    <row r="563" spans="2:9">
      <c r="B563" s="89" t="s">
        <v>20</v>
      </c>
      <c r="C563" s="130">
        <f>Model_USD!P141</f>
        <v>1358.614</v>
      </c>
      <c r="E563" s="90"/>
      <c r="F563" s="90"/>
    </row>
    <row r="564" spans="2:9">
      <c r="B564" s="89" t="s">
        <v>21</v>
      </c>
      <c r="C564" s="131" t="e">
        <f>C563+#REF!</f>
        <v>#REF!</v>
      </c>
      <c r="G564" s="170"/>
      <c r="H564" s="170"/>
    </row>
    <row r="565" spans="2:9">
      <c r="B565" s="43" t="s">
        <v>22</v>
      </c>
      <c r="C565" s="130">
        <f>Model_USD!P91</f>
        <v>756.6455400771888</v>
      </c>
    </row>
    <row r="567" spans="2:9">
      <c r="G567" s="170"/>
    </row>
    <row r="568" spans="2:9" ht="13.5" thickBot="1"/>
    <row r="569" spans="2:9">
      <c r="B569" s="106" t="s">
        <v>100</v>
      </c>
      <c r="C569" s="182" t="s">
        <v>53</v>
      </c>
    </row>
    <row r="570" spans="2:9">
      <c r="B570" s="107" t="s">
        <v>54</v>
      </c>
      <c r="C570" s="261">
        <v>31.908999999999999</v>
      </c>
    </row>
    <row r="571" spans="2:9">
      <c r="B571" s="107" t="s">
        <v>30</v>
      </c>
      <c r="C571" s="183" t="e">
        <f>+#REF!</f>
        <v>#REF!</v>
      </c>
      <c r="E571" s="161"/>
      <c r="F571" s="161"/>
    </row>
    <row r="572" spans="2:9" ht="13.5" thickBot="1">
      <c r="B572" s="108" t="s">
        <v>31</v>
      </c>
      <c r="C572" s="184" t="e">
        <f>SUM(C570:C571)</f>
        <v>#REF!</v>
      </c>
    </row>
    <row r="575" spans="2:9" ht="13.5" thickBot="1"/>
    <row r="576" spans="2:9" ht="13.5" thickBot="1">
      <c r="B576" s="176" t="s">
        <v>101</v>
      </c>
      <c r="C576" s="178" t="s">
        <v>53</v>
      </c>
    </row>
    <row r="577" spans="2:11">
      <c r="B577" s="92">
        <v>2022</v>
      </c>
      <c r="C577" s="198">
        <v>40.299999999999997</v>
      </c>
    </row>
    <row r="578" spans="2:11">
      <c r="B578" s="92">
        <v>2023</v>
      </c>
      <c r="C578" s="198">
        <v>10.5</v>
      </c>
    </row>
    <row r="579" spans="2:11">
      <c r="B579" s="92">
        <v>2024</v>
      </c>
      <c r="C579" s="198">
        <v>410.5</v>
      </c>
    </row>
    <row r="580" spans="2:11">
      <c r="B580" s="92">
        <v>2025</v>
      </c>
      <c r="C580" s="198">
        <v>258.89999999999998</v>
      </c>
    </row>
    <row r="581" spans="2:11">
      <c r="B581" s="259">
        <v>2026</v>
      </c>
      <c r="C581" s="198">
        <v>208.9</v>
      </c>
    </row>
    <row r="582" spans="2:11">
      <c r="B582" s="259">
        <v>2027</v>
      </c>
      <c r="C582" s="198">
        <v>496.6</v>
      </c>
    </row>
    <row r="583" spans="2:11" ht="13.5" thickBot="1">
      <c r="B583" s="93">
        <v>2028</v>
      </c>
      <c r="C583" s="198">
        <v>98.5</v>
      </c>
    </row>
    <row r="584" spans="2:11" ht="13.5" thickBot="1">
      <c r="B584" s="176" t="s">
        <v>34</v>
      </c>
      <c r="C584" s="213">
        <f>SUM(C577:C583)</f>
        <v>1524.2</v>
      </c>
    </row>
    <row r="585" spans="2:11">
      <c r="B585" s="86"/>
      <c r="C585" s="212"/>
    </row>
    <row r="586" spans="2:11">
      <c r="B586" s="86"/>
      <c r="C586" s="212"/>
    </row>
    <row r="587" spans="2:11">
      <c r="G587" s="86"/>
      <c r="H587" s="111"/>
    </row>
    <row r="588" spans="2:11" ht="25.5">
      <c r="B588" s="128">
        <v>44742</v>
      </c>
      <c r="C588" s="128" t="s">
        <v>2</v>
      </c>
      <c r="D588" s="35" t="s">
        <v>3</v>
      </c>
      <c r="E588" s="35"/>
      <c r="F588" s="35"/>
    </row>
    <row r="589" spans="2:11">
      <c r="B589" s="112" t="s">
        <v>64</v>
      </c>
      <c r="C589" s="127">
        <v>365</v>
      </c>
      <c r="D589" s="199"/>
      <c r="E589" s="199"/>
      <c r="F589" s="199"/>
      <c r="I589" s="194" t="s">
        <v>4</v>
      </c>
      <c r="J589" s="193"/>
      <c r="K589" s="193"/>
    </row>
    <row r="590" spans="2:11">
      <c r="B590" s="112" t="s">
        <v>65</v>
      </c>
      <c r="C590" s="127">
        <v>400</v>
      </c>
      <c r="D590" s="113"/>
      <c r="E590" s="113"/>
      <c r="F590" s="113"/>
      <c r="I590" s="230">
        <v>44651</v>
      </c>
      <c r="J590" s="190" t="s">
        <v>2</v>
      </c>
      <c r="K590" s="190" t="s">
        <v>2</v>
      </c>
    </row>
    <row r="591" spans="2:11">
      <c r="B591" s="112" t="s">
        <v>66</v>
      </c>
      <c r="C591" s="127">
        <v>0</v>
      </c>
      <c r="D591" s="113"/>
      <c r="E591" s="113"/>
      <c r="F591" s="113"/>
      <c r="I591" s="189"/>
      <c r="J591" s="190"/>
      <c r="K591" s="190"/>
    </row>
    <row r="592" spans="2:11">
      <c r="B592" s="112" t="s">
        <v>90</v>
      </c>
      <c r="C592" s="127">
        <v>200</v>
      </c>
      <c r="D592" s="113"/>
      <c r="E592" s="113"/>
      <c r="F592" s="113"/>
      <c r="I592" s="188" t="s">
        <v>5</v>
      </c>
      <c r="J592" s="191">
        <f>201+1440</f>
        <v>1641</v>
      </c>
      <c r="K592" s="191">
        <v>1511</v>
      </c>
    </row>
    <row r="593" spans="2:11" ht="13.5" customHeight="1">
      <c r="B593" s="112" t="s">
        <v>91</v>
      </c>
      <c r="C593" s="127">
        <v>250</v>
      </c>
      <c r="D593" s="113"/>
      <c r="E593" s="113"/>
      <c r="F593" s="113"/>
      <c r="I593" s="188" t="s">
        <v>7</v>
      </c>
      <c r="J593" s="240">
        <v>2.2400000000000002</v>
      </c>
      <c r="K593" s="240">
        <v>2.0699999999999998</v>
      </c>
    </row>
    <row r="594" spans="2:11" ht="13.5" customHeight="1">
      <c r="B594" s="112" t="s">
        <v>102</v>
      </c>
      <c r="C594" s="127">
        <v>0</v>
      </c>
      <c r="D594" s="113"/>
      <c r="E594" s="113"/>
      <c r="F594" s="113"/>
      <c r="I594" s="236"/>
      <c r="J594" s="258"/>
      <c r="K594" s="258"/>
    </row>
    <row r="595" spans="2:11" ht="13.5" customHeight="1">
      <c r="B595" s="112" t="s">
        <v>103</v>
      </c>
      <c r="C595" s="127">
        <v>150.1</v>
      </c>
      <c r="D595" s="113"/>
      <c r="E595" s="113"/>
      <c r="F595" s="113"/>
      <c r="I595" s="236"/>
      <c r="J595" s="237"/>
      <c r="K595" s="237"/>
    </row>
    <row r="596" spans="2:11">
      <c r="B596" s="112" t="s">
        <v>104</v>
      </c>
      <c r="C596" s="127">
        <v>0</v>
      </c>
      <c r="D596" s="113"/>
      <c r="E596" s="113"/>
      <c r="F596" s="113"/>
    </row>
    <row r="597" spans="2:11">
      <c r="B597" s="112" t="s">
        <v>72</v>
      </c>
      <c r="C597" s="127">
        <v>100.1</v>
      </c>
      <c r="D597" s="113"/>
      <c r="E597" s="113"/>
      <c r="F597" s="113"/>
    </row>
    <row r="598" spans="2:11">
      <c r="B598" s="112" t="s">
        <v>74</v>
      </c>
      <c r="C598" s="257">
        <f>182.6+9+56.5</f>
        <v>248.1</v>
      </c>
      <c r="D598" s="113"/>
      <c r="E598" s="113"/>
      <c r="F598" s="113"/>
    </row>
    <row r="599" spans="2:11">
      <c r="B599" s="44" t="s">
        <v>17</v>
      </c>
      <c r="C599" s="129">
        <f>SUM(C589:C598)</f>
        <v>1713.2999999999997</v>
      </c>
      <c r="D599" s="263">
        <f>+C599/C604</f>
        <v>2.3410677611279769</v>
      </c>
      <c r="E599" s="45"/>
      <c r="F599" s="45"/>
      <c r="H599" s="161"/>
    </row>
    <row r="600" spans="2:11">
      <c r="B600" s="43" t="s">
        <v>18</v>
      </c>
      <c r="C600" s="130">
        <f>Model_USD!O119</f>
        <v>235.59700000000001</v>
      </c>
      <c r="D600" s="264"/>
      <c r="E600" s="46"/>
      <c r="F600" s="46"/>
    </row>
    <row r="601" spans="2:11">
      <c r="B601" s="44" t="s">
        <v>19</v>
      </c>
      <c r="C601" s="129">
        <f>+C599-C600</f>
        <v>1477.7029999999997</v>
      </c>
      <c r="D601" s="263">
        <f>+C601/C604</f>
        <v>2.0191460070169231</v>
      </c>
      <c r="E601" s="45"/>
      <c r="F601" s="45"/>
      <c r="G601" s="170"/>
      <c r="I601" s="207"/>
    </row>
    <row r="602" spans="2:11">
      <c r="B602" s="89" t="s">
        <v>20</v>
      </c>
      <c r="C602" s="130">
        <f>Model_USD!O141</f>
        <v>1341.4069999999999</v>
      </c>
      <c r="E602" s="90"/>
      <c r="F602" s="90"/>
    </row>
    <row r="603" spans="2:11">
      <c r="B603" s="89" t="s">
        <v>21</v>
      </c>
      <c r="C603" s="131">
        <f>C602+C599</f>
        <v>3054.7069999999994</v>
      </c>
      <c r="H603" s="170"/>
    </row>
    <row r="604" spans="2:11">
      <c r="B604" s="43" t="s">
        <v>22</v>
      </c>
      <c r="C604" s="130">
        <f>Model_USD!O91</f>
        <v>731.84554007718896</v>
      </c>
    </row>
    <row r="606" spans="2:11">
      <c r="G606" s="170"/>
    </row>
    <row r="607" spans="2:11" ht="13.5" thickBot="1"/>
    <row r="608" spans="2:11">
      <c r="B608" s="106" t="s">
        <v>105</v>
      </c>
      <c r="C608" s="182" t="s">
        <v>53</v>
      </c>
    </row>
    <row r="609" spans="2:6">
      <c r="B609" s="107" t="s">
        <v>54</v>
      </c>
      <c r="C609" s="261">
        <v>26.507999999999999</v>
      </c>
    </row>
    <row r="610" spans="2:6">
      <c r="B610" s="107" t="s">
        <v>30</v>
      </c>
      <c r="C610" s="183">
        <f>+C600</f>
        <v>235.59700000000001</v>
      </c>
      <c r="E610" s="161"/>
      <c r="F610" s="161"/>
    </row>
    <row r="611" spans="2:6" ht="13.5" thickBot="1">
      <c r="B611" s="108" t="s">
        <v>31</v>
      </c>
      <c r="C611" s="184">
        <f>SUM(C609:C610)</f>
        <v>262.10500000000002</v>
      </c>
    </row>
    <row r="614" spans="2:6" ht="13.5" thickBot="1"/>
    <row r="615" spans="2:6" ht="13.5" thickBot="1">
      <c r="B615" s="176" t="s">
        <v>106</v>
      </c>
      <c r="C615" s="178" t="s">
        <v>53</v>
      </c>
    </row>
    <row r="616" spans="2:6">
      <c r="B616" s="92">
        <v>2022</v>
      </c>
      <c r="C616" s="198">
        <v>206.9</v>
      </c>
    </row>
    <row r="617" spans="2:6">
      <c r="B617" s="92">
        <v>2023</v>
      </c>
      <c r="C617" s="198">
        <v>161.30000000000001</v>
      </c>
    </row>
    <row r="618" spans="2:6">
      <c r="B618" s="92">
        <v>2024</v>
      </c>
      <c r="C618" s="198">
        <v>411.2</v>
      </c>
    </row>
    <row r="619" spans="2:6">
      <c r="B619" s="92">
        <v>2025</v>
      </c>
      <c r="C619" s="198">
        <v>259.39999999999998</v>
      </c>
    </row>
    <row r="620" spans="2:6">
      <c r="B620" s="259">
        <v>2026</v>
      </c>
      <c r="C620" s="198">
        <v>209.4</v>
      </c>
    </row>
    <row r="621" spans="2:6">
      <c r="B621" s="259">
        <v>2027</v>
      </c>
      <c r="C621" s="198">
        <v>0</v>
      </c>
    </row>
    <row r="622" spans="2:6" ht="13.5" thickBot="1">
      <c r="B622" s="93">
        <v>2028</v>
      </c>
      <c r="C622" s="198">
        <v>100.1</v>
      </c>
    </row>
    <row r="623" spans="2:6" ht="13.5" thickBot="1">
      <c r="B623" s="176" t="s">
        <v>34</v>
      </c>
      <c r="C623" s="208">
        <f>SUM(C616:C622)</f>
        <v>1348.3000000000002</v>
      </c>
    </row>
    <row r="626" spans="2:11">
      <c r="G626" s="86"/>
      <c r="H626" s="111"/>
    </row>
    <row r="627" spans="2:11">
      <c r="G627" s="86"/>
      <c r="H627" s="111"/>
    </row>
    <row r="628" spans="2:11" ht="25.5">
      <c r="B628" s="128">
        <v>44651</v>
      </c>
      <c r="C628" s="128" t="s">
        <v>2</v>
      </c>
      <c r="D628" s="35" t="s">
        <v>3</v>
      </c>
      <c r="E628" s="35"/>
      <c r="F628" s="35"/>
    </row>
    <row r="629" spans="2:11">
      <c r="B629" s="112" t="s">
        <v>64</v>
      </c>
      <c r="C629" s="127">
        <v>340</v>
      </c>
      <c r="D629" s="199"/>
      <c r="E629" s="199"/>
      <c r="F629" s="199"/>
      <c r="J629" s="194" t="s">
        <v>4</v>
      </c>
      <c r="K629" s="193"/>
    </row>
    <row r="630" spans="2:11">
      <c r="B630" s="112" t="s">
        <v>65</v>
      </c>
      <c r="C630" s="127">
        <v>400</v>
      </c>
      <c r="D630" s="113"/>
      <c r="E630" s="113"/>
      <c r="F630" s="113"/>
      <c r="J630" s="230">
        <v>44561</v>
      </c>
      <c r="K630" s="190" t="s">
        <v>2</v>
      </c>
    </row>
    <row r="631" spans="2:11">
      <c r="B631" s="112" t="s">
        <v>66</v>
      </c>
      <c r="C631" s="127">
        <v>0</v>
      </c>
      <c r="D631" s="113"/>
      <c r="E631" s="113"/>
      <c r="F631" s="113"/>
      <c r="J631" s="189"/>
      <c r="K631" s="190"/>
    </row>
    <row r="632" spans="2:11">
      <c r="B632" s="112" t="s">
        <v>90</v>
      </c>
      <c r="C632" s="127">
        <v>200</v>
      </c>
      <c r="D632" s="113"/>
      <c r="E632" s="113"/>
      <c r="F632" s="113"/>
      <c r="J632" s="188" t="s">
        <v>5</v>
      </c>
      <c r="K632" s="191">
        <v>1478</v>
      </c>
    </row>
    <row r="633" spans="2:11" ht="13.5" customHeight="1">
      <c r="B633" s="112" t="s">
        <v>91</v>
      </c>
      <c r="C633" s="127">
        <v>250</v>
      </c>
      <c r="D633" s="113"/>
      <c r="E633" s="113"/>
      <c r="F633" s="113"/>
      <c r="J633" s="188" t="s">
        <v>7</v>
      </c>
      <c r="K633" s="240"/>
    </row>
    <row r="634" spans="2:11" ht="13.5" customHeight="1">
      <c r="B634" s="112" t="s">
        <v>102</v>
      </c>
      <c r="C634" s="127">
        <v>0</v>
      </c>
      <c r="D634" s="113"/>
      <c r="E634" s="113"/>
      <c r="F634" s="113"/>
      <c r="J634" s="236"/>
      <c r="K634" s="258"/>
    </row>
    <row r="635" spans="2:11" ht="13.5" customHeight="1">
      <c r="B635" s="112" t="s">
        <v>103</v>
      </c>
      <c r="C635" s="127">
        <v>150</v>
      </c>
      <c r="D635" s="113"/>
      <c r="E635" s="113"/>
      <c r="F635" s="113"/>
      <c r="J635" s="236"/>
      <c r="K635" s="237"/>
    </row>
    <row r="636" spans="2:11">
      <c r="B636" s="112" t="s">
        <v>104</v>
      </c>
      <c r="C636" s="127">
        <v>0</v>
      </c>
      <c r="D636" s="113"/>
      <c r="E636" s="113"/>
      <c r="F636" s="113"/>
    </row>
    <row r="637" spans="2:11">
      <c r="B637" s="112" t="s">
        <v>72</v>
      </c>
      <c r="C637" s="127">
        <v>100</v>
      </c>
      <c r="D637" s="113"/>
      <c r="E637" s="113"/>
      <c r="F637" s="113"/>
    </row>
    <row r="638" spans="2:11">
      <c r="B638" s="112" t="s">
        <v>74</v>
      </c>
      <c r="C638" s="257">
        <f>132.5+9+62.5</f>
        <v>204</v>
      </c>
      <c r="D638" s="113"/>
      <c r="E638" s="113"/>
      <c r="F638" s="113"/>
    </row>
    <row r="639" spans="2:11">
      <c r="B639" s="44" t="s">
        <v>17</v>
      </c>
      <c r="C639" s="129">
        <f>SUM(C629:C638)</f>
        <v>1644</v>
      </c>
      <c r="D639" s="263">
        <f>+C639/C644</f>
        <v>2.2460687441672622</v>
      </c>
      <c r="E639" s="45"/>
      <c r="F639" s="45"/>
      <c r="H639" s="161"/>
    </row>
    <row r="640" spans="2:11">
      <c r="B640" s="43" t="s">
        <v>18</v>
      </c>
      <c r="C640" s="130">
        <f>Model_USD!N119</f>
        <v>291.25200000000001</v>
      </c>
      <c r="D640" s="264"/>
      <c r="E640" s="46"/>
      <c r="F640" s="46"/>
    </row>
    <row r="641" spans="2:10">
      <c r="B641" s="44" t="s">
        <v>19</v>
      </c>
      <c r="C641" s="129">
        <f>+C639-C640</f>
        <v>1352.748</v>
      </c>
      <c r="D641" s="263">
        <f>+C641/C644</f>
        <v>1.8481538938776008</v>
      </c>
      <c r="E641" s="45"/>
      <c r="F641" s="45"/>
      <c r="G641" s="170"/>
      <c r="J641" s="207"/>
    </row>
    <row r="642" spans="2:10">
      <c r="B642" s="89" t="s">
        <v>20</v>
      </c>
      <c r="C642" s="130">
        <f>Model_USD!N141</f>
        <v>1465.098</v>
      </c>
      <c r="E642" s="90"/>
      <c r="F642" s="90"/>
    </row>
    <row r="643" spans="2:10">
      <c r="B643" s="89" t="s">
        <v>21</v>
      </c>
      <c r="C643" s="131">
        <f>C642+C639</f>
        <v>3109.098</v>
      </c>
      <c r="H643" s="170"/>
    </row>
    <row r="644" spans="2:10">
      <c r="B644" s="43" t="s">
        <v>22</v>
      </c>
      <c r="C644" s="130">
        <f>Model_USD!N91</f>
        <v>731.94554007718887</v>
      </c>
    </row>
    <row r="645" spans="2:10">
      <c r="I645" s="170"/>
    </row>
    <row r="646" spans="2:10">
      <c r="G646" s="170"/>
    </row>
    <row r="647" spans="2:10" ht="13.5" thickBot="1"/>
    <row r="648" spans="2:10">
      <c r="B648" s="106" t="s">
        <v>107</v>
      </c>
      <c r="C648" s="182" t="s">
        <v>53</v>
      </c>
    </row>
    <row r="649" spans="2:10">
      <c r="B649" s="107" t="s">
        <v>54</v>
      </c>
      <c r="C649" s="261">
        <v>1.3740000000000001</v>
      </c>
    </row>
    <row r="650" spans="2:10">
      <c r="B650" s="107" t="s">
        <v>30</v>
      </c>
      <c r="C650" s="183">
        <f>+C640</f>
        <v>291.25200000000001</v>
      </c>
      <c r="E650" s="161"/>
      <c r="F650" s="161"/>
    </row>
    <row r="651" spans="2:10" ht="13.5" thickBot="1">
      <c r="B651" s="108" t="s">
        <v>31</v>
      </c>
      <c r="C651" s="184">
        <f>SUM(C649:C650)</f>
        <v>292.62600000000003</v>
      </c>
    </row>
    <row r="654" spans="2:10" ht="13.5" thickBot="1"/>
    <row r="655" spans="2:10" ht="13.5" thickBot="1">
      <c r="B655" s="176" t="s">
        <v>108</v>
      </c>
      <c r="C655" s="178" t="s">
        <v>53</v>
      </c>
    </row>
    <row r="656" spans="2:10">
      <c r="B656" s="92">
        <v>2022</v>
      </c>
      <c r="C656" s="198">
        <v>159.9</v>
      </c>
    </row>
    <row r="657" spans="2:11">
      <c r="B657" s="92">
        <v>2023</v>
      </c>
      <c r="C657" s="198">
        <v>162</v>
      </c>
    </row>
    <row r="658" spans="2:11">
      <c r="B658" s="92">
        <v>2024</v>
      </c>
      <c r="C658" s="198">
        <v>412</v>
      </c>
    </row>
    <row r="659" spans="2:11">
      <c r="B659" s="92">
        <v>2025</v>
      </c>
      <c r="C659" s="198">
        <v>260.10000000000002</v>
      </c>
    </row>
    <row r="660" spans="2:11">
      <c r="B660" s="259">
        <v>2026</v>
      </c>
      <c r="C660" s="198">
        <v>210.1</v>
      </c>
    </row>
    <row r="661" spans="2:11">
      <c r="B661" s="259">
        <v>2027</v>
      </c>
      <c r="C661" s="198">
        <v>0</v>
      </c>
    </row>
    <row r="662" spans="2:11" ht="13.5" thickBot="1">
      <c r="B662" s="93">
        <v>2028</v>
      </c>
      <c r="C662" s="198">
        <v>100</v>
      </c>
    </row>
    <row r="663" spans="2:11" ht="13.5" thickBot="1">
      <c r="B663" s="176" t="s">
        <v>34</v>
      </c>
      <c r="C663" s="208">
        <f>SUM(C656:C662)</f>
        <v>1304.0999999999999</v>
      </c>
    </row>
    <row r="664" spans="2:11">
      <c r="B664" s="86"/>
      <c r="C664" s="212"/>
      <c r="D664" s="212"/>
    </row>
    <row r="666" spans="2:11">
      <c r="G666" s="86" t="s">
        <v>109</v>
      </c>
      <c r="H666" s="111">
        <f>Model!AK218</f>
        <v>4.8582602570019673E-2</v>
      </c>
    </row>
    <row r="667" spans="2:11">
      <c r="G667" s="86" t="s">
        <v>110</v>
      </c>
      <c r="H667" s="111">
        <f>AVERAGE(Model!AH219:AK219)</f>
        <v>4.9265812236279058E-2</v>
      </c>
    </row>
    <row r="668" spans="2:11" ht="25.5">
      <c r="B668" s="128">
        <v>44561</v>
      </c>
      <c r="C668" s="128" t="s">
        <v>111</v>
      </c>
      <c r="D668" s="128" t="s">
        <v>2</v>
      </c>
      <c r="E668" s="35" t="s">
        <v>112</v>
      </c>
      <c r="F668" s="35" t="s">
        <v>112</v>
      </c>
      <c r="G668" s="35"/>
    </row>
    <row r="669" spans="2:11">
      <c r="B669" s="112" t="s">
        <v>64</v>
      </c>
      <c r="C669" s="200">
        <f t="shared" ref="C669:C678" si="0">D669/$H$666</f>
        <v>6566.1365000000005</v>
      </c>
      <c r="D669" s="127">
        <v>319</v>
      </c>
      <c r="E669" s="199"/>
      <c r="F669" s="199"/>
      <c r="G669" s="199"/>
      <c r="J669" s="194" t="s">
        <v>4</v>
      </c>
    </row>
    <row r="670" spans="2:11">
      <c r="B670" s="112" t="s">
        <v>65</v>
      </c>
      <c r="C670" s="200">
        <f t="shared" si="0"/>
        <v>8233.4</v>
      </c>
      <c r="D670" s="127">
        <v>400</v>
      </c>
      <c r="E670" s="113"/>
      <c r="F670" s="113"/>
      <c r="G670" s="113"/>
      <c r="J670" s="230">
        <v>44469</v>
      </c>
      <c r="K670" s="193"/>
    </row>
    <row r="671" spans="2:11">
      <c r="B671" s="112" t="s">
        <v>66</v>
      </c>
      <c r="C671" s="200">
        <f t="shared" si="0"/>
        <v>0</v>
      </c>
      <c r="D671" s="127">
        <v>0</v>
      </c>
      <c r="E671" s="113"/>
      <c r="F671" s="113"/>
      <c r="G671" s="113"/>
      <c r="J671" s="189"/>
      <c r="K671" s="190" t="s">
        <v>2</v>
      </c>
    </row>
    <row r="672" spans="2:11">
      <c r="B672" s="112" t="s">
        <v>90</v>
      </c>
      <c r="C672" s="200">
        <f t="shared" si="0"/>
        <v>4116.7</v>
      </c>
      <c r="D672" s="127">
        <v>200</v>
      </c>
      <c r="E672" s="113"/>
      <c r="F672" s="113"/>
      <c r="G672" s="113"/>
      <c r="J672" s="188" t="s">
        <v>5</v>
      </c>
      <c r="K672" s="190"/>
    </row>
    <row r="673" spans="2:11">
      <c r="B673" s="112" t="s">
        <v>91</v>
      </c>
      <c r="C673" s="200">
        <f t="shared" si="0"/>
        <v>5145.875</v>
      </c>
      <c r="D673" s="127">
        <v>250</v>
      </c>
      <c r="E673" s="113"/>
      <c r="F673" s="113"/>
      <c r="G673" s="113"/>
      <c r="J673" s="188" t="s">
        <v>7</v>
      </c>
      <c r="K673" s="191">
        <v>1502</v>
      </c>
    </row>
    <row r="674" spans="2:11" ht="13.5" customHeight="1">
      <c r="B674" s="112" t="s">
        <v>102</v>
      </c>
      <c r="C674" s="200">
        <f t="shared" si="0"/>
        <v>0</v>
      </c>
      <c r="D674" s="127">
        <v>0</v>
      </c>
      <c r="E674" s="113"/>
      <c r="F674" s="113"/>
      <c r="G674" s="113"/>
      <c r="J674" s="236"/>
      <c r="K674" s="240">
        <v>1.5</v>
      </c>
    </row>
    <row r="675" spans="2:11" ht="13.5" customHeight="1">
      <c r="B675" s="112" t="s">
        <v>103</v>
      </c>
      <c r="C675" s="200">
        <f t="shared" si="0"/>
        <v>2999.01595</v>
      </c>
      <c r="D675" s="127">
        <v>145.69999999999999</v>
      </c>
      <c r="E675" s="113"/>
      <c r="F675" s="113"/>
      <c r="G675" s="113"/>
      <c r="J675" s="236"/>
      <c r="K675" s="258"/>
    </row>
    <row r="676" spans="2:11" ht="13.5" customHeight="1">
      <c r="B676" s="112" t="s">
        <v>104</v>
      </c>
      <c r="C676" s="200">
        <f t="shared" si="0"/>
        <v>0</v>
      </c>
      <c r="D676" s="127">
        <v>0</v>
      </c>
      <c r="E676" s="113"/>
      <c r="F676" s="113"/>
      <c r="G676" s="113"/>
      <c r="K676" s="237"/>
    </row>
    <row r="677" spans="2:11">
      <c r="B677" s="112" t="s">
        <v>72</v>
      </c>
      <c r="C677" s="200">
        <f t="shared" si="0"/>
        <v>2000.7162000000003</v>
      </c>
      <c r="D677" s="127">
        <v>97.2</v>
      </c>
      <c r="E677" s="113"/>
      <c r="F677" s="113"/>
      <c r="G677" s="113"/>
    </row>
    <row r="678" spans="2:11">
      <c r="B678" s="112" t="s">
        <v>74</v>
      </c>
      <c r="C678" s="256">
        <f t="shared" si="0"/>
        <v>2045.9999000000003</v>
      </c>
      <c r="D678" s="257">
        <f>36.4+63</f>
        <v>99.4</v>
      </c>
      <c r="E678" s="113"/>
      <c r="F678" s="113"/>
      <c r="G678" s="113"/>
    </row>
    <row r="679" spans="2:11">
      <c r="B679" s="44" t="s">
        <v>17</v>
      </c>
      <c r="C679" s="129">
        <f>SUM(C669:C678)</f>
        <v>31107.843549999998</v>
      </c>
      <c r="D679" s="129">
        <f>SUM(D669:D678)</f>
        <v>1511.3000000000002</v>
      </c>
      <c r="E679" s="45">
        <f>+C679/C684</f>
        <v>2.075655137786081</v>
      </c>
      <c r="F679" s="45">
        <f>+D679/D684</f>
        <v>2.0468703154197079</v>
      </c>
      <c r="G679" s="45"/>
    </row>
    <row r="680" spans="2:11">
      <c r="B680" s="43" t="s">
        <v>18</v>
      </c>
      <c r="C680" s="130">
        <f>Model!AK113</f>
        <v>5248.1290000000045</v>
      </c>
      <c r="D680" s="130">
        <f>C680*$H$666</f>
        <v>254.96776544319499</v>
      </c>
      <c r="E680" s="46"/>
      <c r="F680" s="46"/>
      <c r="G680" s="46"/>
    </row>
    <row r="681" spans="2:11">
      <c r="B681" s="44" t="s">
        <v>19</v>
      </c>
      <c r="C681" s="129">
        <f>+C679-C680</f>
        <v>25859.714549999993</v>
      </c>
      <c r="D681" s="129">
        <f>+D679-D680</f>
        <v>1256.3322345568051</v>
      </c>
      <c r="E681" s="45">
        <f>+C681/C684</f>
        <v>1.7254763828651494</v>
      </c>
      <c r="F681" s="45">
        <f>+D681/D684</f>
        <v>1.7015477782169217</v>
      </c>
      <c r="G681" s="45"/>
      <c r="H681" s="170"/>
      <c r="J681" s="207"/>
    </row>
    <row r="682" spans="2:11">
      <c r="B682" s="89" t="s">
        <v>20</v>
      </c>
      <c r="C682" s="130">
        <f>Model!AK135</f>
        <v>29562.359</v>
      </c>
      <c r="D682" s="130">
        <f>C682*$H$666</f>
        <v>1436.2163383292443</v>
      </c>
      <c r="G682" s="90"/>
    </row>
    <row r="683" spans="2:11">
      <c r="B683" s="89" t="s">
        <v>21</v>
      </c>
      <c r="C683" s="131">
        <f>C682+C679</f>
        <v>60670.202550000002</v>
      </c>
      <c r="D683" s="131">
        <f>D682+D679</f>
        <v>2947.5163383292447</v>
      </c>
    </row>
    <row r="684" spans="2:11">
      <c r="B684" s="43" t="s">
        <v>22</v>
      </c>
      <c r="C684" s="229">
        <f>Model!AK88</f>
        <v>14987</v>
      </c>
      <c r="D684" s="130">
        <f>C684*H667</f>
        <v>738.34672798511428</v>
      </c>
    </row>
    <row r="685" spans="2:11">
      <c r="I685" s="170"/>
    </row>
    <row r="686" spans="2:11">
      <c r="H686" s="170"/>
    </row>
    <row r="687" spans="2:11" ht="13.5" thickBot="1"/>
    <row r="688" spans="2:11">
      <c r="B688" s="106" t="s">
        <v>113</v>
      </c>
      <c r="C688" s="182" t="s">
        <v>114</v>
      </c>
      <c r="D688" s="182" t="s">
        <v>53</v>
      </c>
    </row>
    <row r="689" spans="2:7">
      <c r="B689" s="107" t="s">
        <v>54</v>
      </c>
      <c r="C689" s="183">
        <f>D689/$H$666</f>
        <v>0</v>
      </c>
      <c r="D689" s="261">
        <v>0</v>
      </c>
    </row>
    <row r="690" spans="2:7">
      <c r="B690" s="107" t="s">
        <v>30</v>
      </c>
      <c r="C690" s="183">
        <f>C680</f>
        <v>5248.1290000000045</v>
      </c>
      <c r="D690" s="183">
        <f>+D680</f>
        <v>254.96776544319499</v>
      </c>
      <c r="G690" s="161"/>
    </row>
    <row r="691" spans="2:7" ht="13.5" thickBot="1">
      <c r="B691" s="108" t="s">
        <v>31</v>
      </c>
      <c r="C691" s="184">
        <f>SUM(C689:C690)</f>
        <v>5248.1290000000045</v>
      </c>
      <c r="D691" s="184">
        <f>SUM(D689:D690)</f>
        <v>254.96776544319499</v>
      </c>
    </row>
    <row r="693" spans="2:7">
      <c r="C693" s="38"/>
    </row>
    <row r="694" spans="2:7" ht="13.5" thickBot="1"/>
    <row r="695" spans="2:7" ht="13.5" thickBot="1">
      <c r="B695" s="176" t="s">
        <v>115</v>
      </c>
      <c r="C695" s="231" t="s">
        <v>114</v>
      </c>
      <c r="D695" s="178" t="s">
        <v>53</v>
      </c>
    </row>
    <row r="696" spans="2:7">
      <c r="B696" s="92">
        <v>2022</v>
      </c>
      <c r="C696" s="209">
        <f t="shared" ref="C696:C701" si="1">D696/$H$666</f>
        <v>1125.9174500000001</v>
      </c>
      <c r="D696" s="198">
        <v>54.7</v>
      </c>
    </row>
    <row r="697" spans="2:7">
      <c r="B697" s="92">
        <v>2023</v>
      </c>
      <c r="C697" s="209">
        <f t="shared" si="1"/>
        <v>3250.1346500000004</v>
      </c>
      <c r="D697" s="198">
        <v>157.9</v>
      </c>
    </row>
    <row r="698" spans="2:7">
      <c r="B698" s="92">
        <v>2024</v>
      </c>
      <c r="C698" s="209">
        <f t="shared" si="1"/>
        <v>8482.4603500000012</v>
      </c>
      <c r="D698" s="198">
        <v>412.1</v>
      </c>
    </row>
    <row r="699" spans="2:7">
      <c r="B699" s="92">
        <v>2025</v>
      </c>
      <c r="C699" s="209">
        <f t="shared" si="1"/>
        <v>5355.8267000000005</v>
      </c>
      <c r="D699" s="198">
        <v>260.2</v>
      </c>
    </row>
    <row r="700" spans="2:7">
      <c r="B700" s="259">
        <v>2026</v>
      </c>
      <c r="C700" s="209">
        <f t="shared" si="1"/>
        <v>4326.6517000000003</v>
      </c>
      <c r="D700" s="198">
        <v>210.2</v>
      </c>
    </row>
    <row r="701" spans="2:7">
      <c r="B701" s="259">
        <v>2027</v>
      </c>
      <c r="C701" s="209">
        <f t="shared" si="1"/>
        <v>0</v>
      </c>
      <c r="D701" s="198">
        <v>0</v>
      </c>
    </row>
    <row r="702" spans="2:7" ht="13.5" thickBot="1">
      <c r="B702" s="93">
        <v>2028</v>
      </c>
      <c r="C702" s="209">
        <f>D702/$H$706</f>
        <v>1994.3009999999997</v>
      </c>
      <c r="D702" s="198">
        <v>97.2</v>
      </c>
    </row>
    <row r="703" spans="2:7" ht="13.5" thickBot="1">
      <c r="B703" s="176" t="s">
        <v>34</v>
      </c>
      <c r="C703" s="260">
        <f>SUM(C696:C702)</f>
        <v>24535.291850000001</v>
      </c>
      <c r="D703" s="208">
        <f>SUM(D696:D702)</f>
        <v>1192.3000000000002</v>
      </c>
    </row>
    <row r="704" spans="2:7">
      <c r="B704" s="86"/>
      <c r="C704" s="212"/>
      <c r="D704" s="212"/>
    </row>
    <row r="706" spans="2:11">
      <c r="G706" s="86" t="s">
        <v>116</v>
      </c>
      <c r="H706" s="111">
        <f>Model!AJ218</f>
        <v>4.8738881442670898E-2</v>
      </c>
    </row>
    <row r="707" spans="2:11">
      <c r="G707" s="86" t="s">
        <v>117</v>
      </c>
      <c r="H707" s="111">
        <f>AVERAGE(Model!AG219:AJ219)</f>
        <v>4.8626913689585452E-2</v>
      </c>
    </row>
    <row r="708" spans="2:11" ht="25.5">
      <c r="B708" s="128">
        <v>44469</v>
      </c>
      <c r="C708" s="128" t="s">
        <v>111</v>
      </c>
      <c r="D708" s="128" t="s">
        <v>2</v>
      </c>
      <c r="E708" s="35" t="s">
        <v>112</v>
      </c>
      <c r="F708" s="35" t="s">
        <v>112</v>
      </c>
      <c r="G708" s="35"/>
    </row>
    <row r="709" spans="2:11">
      <c r="B709" s="112" t="s">
        <v>64</v>
      </c>
      <c r="C709" s="200">
        <f>D709/$H$706</f>
        <v>6606.6349999999993</v>
      </c>
      <c r="D709" s="127">
        <v>322</v>
      </c>
      <c r="E709" s="199"/>
      <c r="F709" s="199"/>
      <c r="G709" s="199"/>
    </row>
    <row r="710" spans="2:11">
      <c r="B710" s="112" t="s">
        <v>65</v>
      </c>
      <c r="C710" s="200">
        <f t="shared" ref="C710:C718" si="2">D710/$H$706</f>
        <v>8206.9999999999982</v>
      </c>
      <c r="D710" s="127">
        <v>400</v>
      </c>
      <c r="E710" s="113"/>
      <c r="F710" s="113"/>
      <c r="G710" s="113"/>
      <c r="J710" s="194" t="s">
        <v>4</v>
      </c>
    </row>
    <row r="711" spans="2:11">
      <c r="B711" s="112" t="s">
        <v>66</v>
      </c>
      <c r="C711" s="200">
        <f t="shared" si="2"/>
        <v>0</v>
      </c>
      <c r="D711" s="127">
        <v>0</v>
      </c>
      <c r="E711" s="113"/>
      <c r="F711" s="113"/>
      <c r="G711" s="113"/>
      <c r="J711" s="230">
        <v>44377</v>
      </c>
      <c r="K711" s="193"/>
    </row>
    <row r="712" spans="2:11">
      <c r="B712" s="112" t="s">
        <v>90</v>
      </c>
      <c r="C712" s="200">
        <f t="shared" si="2"/>
        <v>4103.4999999999991</v>
      </c>
      <c r="D712" s="127">
        <v>200</v>
      </c>
      <c r="E712" s="113"/>
      <c r="F712" s="113"/>
      <c r="G712" s="113"/>
      <c r="J712" s="189"/>
      <c r="K712" s="190" t="s">
        <v>2</v>
      </c>
    </row>
    <row r="713" spans="2:11">
      <c r="B713" s="112" t="s">
        <v>91</v>
      </c>
      <c r="C713" s="200">
        <f t="shared" si="2"/>
        <v>5129.3749999999991</v>
      </c>
      <c r="D713" s="127">
        <v>250</v>
      </c>
      <c r="E713" s="113"/>
      <c r="F713" s="113"/>
      <c r="G713" s="113"/>
      <c r="J713" s="188" t="s">
        <v>5</v>
      </c>
      <c r="K713" s="190"/>
    </row>
    <row r="714" spans="2:11">
      <c r="B714" s="112" t="s">
        <v>102</v>
      </c>
      <c r="C714" s="200">
        <f t="shared" si="2"/>
        <v>0</v>
      </c>
      <c r="D714" s="127">
        <v>0</v>
      </c>
      <c r="E714" s="113"/>
      <c r="F714" s="113"/>
      <c r="G714" s="113"/>
      <c r="J714" s="188" t="s">
        <v>7</v>
      </c>
      <c r="K714" s="191">
        <v>1540</v>
      </c>
    </row>
    <row r="715" spans="2:11" ht="13.5" customHeight="1">
      <c r="B715" s="112" t="s">
        <v>103</v>
      </c>
      <c r="C715" s="200">
        <f t="shared" si="2"/>
        <v>3030.4347499999994</v>
      </c>
      <c r="D715" s="127">
        <v>147.69999999999999</v>
      </c>
      <c r="E715" s="113"/>
      <c r="F715" s="113"/>
      <c r="G715" s="113"/>
      <c r="J715" s="236"/>
      <c r="K715" s="240">
        <v>1.5</v>
      </c>
    </row>
    <row r="716" spans="2:11" ht="13.5" customHeight="1">
      <c r="B716" s="112" t="s">
        <v>104</v>
      </c>
      <c r="C716" s="200">
        <f t="shared" si="2"/>
        <v>0</v>
      </c>
      <c r="D716" s="127">
        <v>0</v>
      </c>
      <c r="E716" s="113"/>
      <c r="F716" s="113"/>
      <c r="G716" s="113"/>
      <c r="J716" s="236"/>
      <c r="K716" s="258"/>
    </row>
    <row r="717" spans="2:11" ht="13.5" customHeight="1">
      <c r="B717" s="112" t="s">
        <v>72</v>
      </c>
      <c r="C717" s="200">
        <f t="shared" si="2"/>
        <v>2020.9737499999997</v>
      </c>
      <c r="D717" s="127">
        <v>98.5</v>
      </c>
      <c r="E717" s="113"/>
      <c r="F717" s="113"/>
      <c r="G717" s="113"/>
      <c r="K717" s="237"/>
    </row>
    <row r="718" spans="2:11">
      <c r="B718" s="112" t="s">
        <v>74</v>
      </c>
      <c r="C718" s="256">
        <f t="shared" si="2"/>
        <v>1239.2569999999998</v>
      </c>
      <c r="D718" s="257">
        <f>2+58.4</f>
        <v>60.4</v>
      </c>
      <c r="E718" s="113"/>
      <c r="F718" s="113"/>
      <c r="G718" s="113"/>
    </row>
    <row r="719" spans="2:11">
      <c r="B719" s="44" t="s">
        <v>17</v>
      </c>
      <c r="C719" s="129">
        <f>SUM(C709:C718)</f>
        <v>30337.175500000001</v>
      </c>
      <c r="D719" s="129">
        <f>SUM(D709:D718)</f>
        <v>1478.6000000000001</v>
      </c>
      <c r="E719" s="45">
        <f>+C719/C724</f>
        <v>2.0506404961470865</v>
      </c>
      <c r="F719" s="45">
        <f>+D719/D724</f>
        <v>2.0553622765628727</v>
      </c>
      <c r="G719" s="45"/>
    </row>
    <row r="720" spans="2:11">
      <c r="B720" s="43" t="s">
        <v>18</v>
      </c>
      <c r="C720" s="130">
        <f>Model!AJ113</f>
        <v>6862.8460000000014</v>
      </c>
      <c r="D720" s="130">
        <f>C720*$H$706</f>
        <v>334.48743755330827</v>
      </c>
      <c r="E720" s="46"/>
      <c r="F720" s="46"/>
      <c r="G720" s="46"/>
    </row>
    <row r="721" spans="2:10">
      <c r="B721" s="44" t="s">
        <v>19</v>
      </c>
      <c r="C721" s="129">
        <f>+C719-C720</f>
        <v>23474.3295</v>
      </c>
      <c r="D721" s="129">
        <f>+D719-D720</f>
        <v>1144.1125624466918</v>
      </c>
      <c r="E721" s="45">
        <f>+C721/C724</f>
        <v>1.5867466202514533</v>
      </c>
      <c r="F721" s="45">
        <f>+D721/D724</f>
        <v>1.5904002441462288</v>
      </c>
      <c r="G721" s="45"/>
      <c r="H721" s="170"/>
    </row>
    <row r="722" spans="2:10">
      <c r="B722" s="89" t="s">
        <v>20</v>
      </c>
      <c r="C722" s="130">
        <f>Model!AJ135</f>
        <v>28856.170999999998</v>
      </c>
      <c r="D722" s="130">
        <f>C722*$H$706</f>
        <v>1406.4174972584381</v>
      </c>
      <c r="G722" s="90"/>
      <c r="J722" s="207"/>
    </row>
    <row r="723" spans="2:10">
      <c r="B723" s="89" t="s">
        <v>21</v>
      </c>
      <c r="C723" s="131">
        <f>C722+C719</f>
        <v>59193.3465</v>
      </c>
      <c r="D723" s="131">
        <f>D722+D719</f>
        <v>2885.0174972584382</v>
      </c>
    </row>
    <row r="724" spans="2:10">
      <c r="B724" s="43" t="s">
        <v>22</v>
      </c>
      <c r="C724" s="229">
        <f>Model!AJ88</f>
        <v>14794</v>
      </c>
      <c r="D724" s="130">
        <f>C724*H707</f>
        <v>719.38656112372723</v>
      </c>
    </row>
    <row r="726" spans="2:10">
      <c r="H726" s="170"/>
      <c r="I726" s="170"/>
    </row>
    <row r="727" spans="2:10" ht="13.5" thickBot="1"/>
    <row r="728" spans="2:10">
      <c r="B728" s="106" t="s">
        <v>118</v>
      </c>
      <c r="C728" s="182" t="s">
        <v>114</v>
      </c>
      <c r="D728" s="182" t="s">
        <v>53</v>
      </c>
    </row>
    <row r="729" spans="2:10">
      <c r="B729" s="107" t="s">
        <v>54</v>
      </c>
      <c r="C729" s="183">
        <f>D729/$H$706</f>
        <v>0</v>
      </c>
      <c r="D729" s="261">
        <v>0</v>
      </c>
    </row>
    <row r="730" spans="2:10">
      <c r="B730" s="107" t="s">
        <v>30</v>
      </c>
      <c r="C730" s="183">
        <f>C720</f>
        <v>6862.8460000000014</v>
      </c>
      <c r="D730" s="183">
        <f>+D720</f>
        <v>334.48743755330827</v>
      </c>
      <c r="G730" s="161"/>
    </row>
    <row r="731" spans="2:10" ht="13.5" thickBot="1">
      <c r="B731" s="108" t="s">
        <v>31</v>
      </c>
      <c r="C731" s="184">
        <f>SUM(C729:C730)</f>
        <v>6862.8460000000014</v>
      </c>
      <c r="D731" s="184">
        <f>SUM(D729:D730)</f>
        <v>334.48743755330827</v>
      </c>
    </row>
    <row r="733" spans="2:10">
      <c r="C733" s="38"/>
    </row>
    <row r="734" spans="2:10" ht="13.5" thickBot="1"/>
    <row r="735" spans="2:10" ht="13.5" thickBot="1">
      <c r="B735" s="176" t="s">
        <v>119</v>
      </c>
      <c r="C735" s="231" t="s">
        <v>114</v>
      </c>
      <c r="D735" s="178" t="s">
        <v>53</v>
      </c>
    </row>
    <row r="736" spans="2:10">
      <c r="B736" s="92">
        <v>2021</v>
      </c>
      <c r="C736" s="209">
        <f>D736/$H$706</f>
        <v>43.086749999999995</v>
      </c>
      <c r="D736" s="198">
        <v>2.1</v>
      </c>
    </row>
    <row r="737" spans="2:11">
      <c r="B737" s="92">
        <v>2022</v>
      </c>
      <c r="C737" s="209">
        <f t="shared" ref="C737:C743" si="3">D737/$H$706</f>
        <v>258.52049999999997</v>
      </c>
      <c r="D737" s="198">
        <v>12.6</v>
      </c>
    </row>
    <row r="738" spans="2:11">
      <c r="B738" s="92">
        <v>2023</v>
      </c>
      <c r="C738" s="209">
        <f t="shared" si="3"/>
        <v>3286.9034999999994</v>
      </c>
      <c r="D738" s="198">
        <v>160.19999999999999</v>
      </c>
    </row>
    <row r="739" spans="2:11">
      <c r="B739" s="92">
        <v>2024</v>
      </c>
      <c r="C739" s="209">
        <f t="shared" si="3"/>
        <v>8461.4169999999976</v>
      </c>
      <c r="D739" s="198">
        <v>412.4</v>
      </c>
    </row>
    <row r="740" spans="2:11">
      <c r="B740" s="92">
        <v>2025</v>
      </c>
      <c r="C740" s="209">
        <f t="shared" si="3"/>
        <v>5342.7569999999987</v>
      </c>
      <c r="D740" s="198">
        <v>260.39999999999998</v>
      </c>
    </row>
    <row r="741" spans="2:11">
      <c r="B741" s="259">
        <v>2026</v>
      </c>
      <c r="C741" s="209">
        <f t="shared" si="3"/>
        <v>4316.8819999999996</v>
      </c>
      <c r="D741" s="198">
        <v>210.4</v>
      </c>
    </row>
    <row r="742" spans="2:11">
      <c r="B742" s="259">
        <v>2027</v>
      </c>
      <c r="C742" s="209">
        <f t="shared" si="3"/>
        <v>2020.9737499999997</v>
      </c>
      <c r="D742" s="198">
        <v>98.5</v>
      </c>
    </row>
    <row r="743" spans="2:11" ht="13.5" thickBot="1">
      <c r="B743" s="93">
        <v>2028</v>
      </c>
      <c r="C743" s="209">
        <f t="shared" si="3"/>
        <v>0</v>
      </c>
      <c r="D743" s="198">
        <v>0</v>
      </c>
    </row>
    <row r="744" spans="2:11" ht="13.5" thickBot="1">
      <c r="B744" s="176" t="s">
        <v>34</v>
      </c>
      <c r="C744" s="260">
        <f>SUM(C736:C743)</f>
        <v>23730.540499999999</v>
      </c>
      <c r="D744" s="208">
        <f>SUM(D736:D743)</f>
        <v>1156.5999999999999</v>
      </c>
    </row>
    <row r="745" spans="2:11">
      <c r="B745" s="86"/>
      <c r="C745" s="212"/>
      <c r="D745" s="212"/>
    </row>
    <row r="747" spans="2:11">
      <c r="G747" s="86" t="s">
        <v>120</v>
      </c>
      <c r="H747" s="111">
        <f>Model!AI218</f>
        <v>5.0159255636646354E-2</v>
      </c>
    </row>
    <row r="748" spans="2:11">
      <c r="G748" s="86" t="s">
        <v>121</v>
      </c>
      <c r="H748" s="111">
        <f>AVERAGE(Model!AF219:AI219)</f>
        <v>4.7569479552763576E-2</v>
      </c>
    </row>
    <row r="749" spans="2:11" ht="25.5">
      <c r="B749" s="128">
        <v>44377</v>
      </c>
      <c r="C749" s="128" t="s">
        <v>111</v>
      </c>
      <c r="D749" s="128" t="s">
        <v>2</v>
      </c>
      <c r="E749" s="35" t="s">
        <v>112</v>
      </c>
      <c r="F749" s="35" t="s">
        <v>112</v>
      </c>
      <c r="G749" s="35"/>
      <c r="K749" s="193"/>
    </row>
    <row r="750" spans="2:11">
      <c r="B750" s="112" t="s">
        <v>64</v>
      </c>
      <c r="C750" s="200">
        <f t="shared" ref="C750:C759" si="4">D750/$H$747</f>
        <v>6718.6004999999996</v>
      </c>
      <c r="D750" s="127">
        <v>337</v>
      </c>
      <c r="E750" s="199"/>
      <c r="F750" s="199"/>
      <c r="G750" s="199"/>
      <c r="K750" s="190" t="s">
        <v>2</v>
      </c>
    </row>
    <row r="751" spans="2:11">
      <c r="B751" s="112" t="s">
        <v>65</v>
      </c>
      <c r="C751" s="200">
        <f t="shared" si="4"/>
        <v>7974.5999999999995</v>
      </c>
      <c r="D751" s="127">
        <v>400</v>
      </c>
      <c r="E751" s="113"/>
      <c r="F751" s="113"/>
      <c r="G751" s="113"/>
      <c r="J751" s="194" t="s">
        <v>4</v>
      </c>
      <c r="K751" s="190"/>
    </row>
    <row r="752" spans="2:11">
      <c r="B752" s="112" t="s">
        <v>66</v>
      </c>
      <c r="C752" s="200">
        <f t="shared" si="4"/>
        <v>0</v>
      </c>
      <c r="D752" s="127">
        <v>0</v>
      </c>
      <c r="E752" s="113"/>
      <c r="F752" s="113"/>
      <c r="G752" s="113"/>
      <c r="J752" s="230">
        <v>44285</v>
      </c>
      <c r="K752" s="191">
        <v>1486</v>
      </c>
    </row>
    <row r="753" spans="2:11" ht="13.5" customHeight="1">
      <c r="B753" s="112" t="s">
        <v>90</v>
      </c>
      <c r="C753" s="200">
        <f t="shared" si="4"/>
        <v>3987.2999999999997</v>
      </c>
      <c r="D753" s="127">
        <v>200</v>
      </c>
      <c r="E753" s="113"/>
      <c r="F753" s="113"/>
      <c r="G753" s="113"/>
      <c r="J753" s="189"/>
      <c r="K753" s="240">
        <v>1.5</v>
      </c>
    </row>
    <row r="754" spans="2:11" ht="13.5" customHeight="1">
      <c r="B754" s="112" t="s">
        <v>91</v>
      </c>
      <c r="C754" s="200">
        <f t="shared" si="4"/>
        <v>4984.125</v>
      </c>
      <c r="D754" s="127">
        <v>250</v>
      </c>
      <c r="E754" s="113"/>
      <c r="F754" s="113"/>
      <c r="G754" s="113"/>
      <c r="J754" s="188" t="s">
        <v>5</v>
      </c>
      <c r="K754" s="237"/>
    </row>
    <row r="755" spans="2:11">
      <c r="B755" s="112" t="s">
        <v>102</v>
      </c>
      <c r="C755" s="200">
        <f t="shared" si="4"/>
        <v>0</v>
      </c>
      <c r="D755" s="127">
        <v>0</v>
      </c>
      <c r="E755" s="113"/>
      <c r="F755" s="113"/>
      <c r="G755" s="113"/>
      <c r="J755" s="188" t="s">
        <v>7</v>
      </c>
    </row>
    <row r="756" spans="2:11">
      <c r="B756" s="112" t="s">
        <v>103</v>
      </c>
      <c r="C756" s="200">
        <f t="shared" si="4"/>
        <v>3020.3797500000001</v>
      </c>
      <c r="D756" s="127">
        <v>151.5</v>
      </c>
      <c r="E756" s="113"/>
      <c r="F756" s="113"/>
      <c r="G756" s="113"/>
      <c r="J756" s="236"/>
    </row>
    <row r="757" spans="2:11">
      <c r="B757" s="112" t="s">
        <v>104</v>
      </c>
      <c r="C757" s="200">
        <f t="shared" si="4"/>
        <v>0</v>
      </c>
      <c r="D757" s="127">
        <v>0</v>
      </c>
      <c r="E757" s="113"/>
      <c r="F757" s="113"/>
      <c r="G757" s="113"/>
      <c r="J757" s="236"/>
    </row>
    <row r="758" spans="2:11">
      <c r="B758" s="112" t="s">
        <v>72</v>
      </c>
      <c r="C758" s="200">
        <f t="shared" si="4"/>
        <v>2013.5864999999999</v>
      </c>
      <c r="D758" s="127">
        <v>101</v>
      </c>
      <c r="E758" s="113"/>
      <c r="F758" s="113"/>
      <c r="G758" s="113"/>
    </row>
    <row r="759" spans="2:11">
      <c r="B759" s="112" t="s">
        <v>74</v>
      </c>
      <c r="C759" s="256">
        <f t="shared" si="4"/>
        <v>1242.04395</v>
      </c>
      <c r="D759" s="257">
        <v>62.3</v>
      </c>
      <c r="E759" s="113"/>
      <c r="F759" s="113"/>
      <c r="G759" s="113"/>
    </row>
    <row r="760" spans="2:11">
      <c r="B760" s="44" t="s">
        <v>17</v>
      </c>
      <c r="C760" s="129">
        <f>SUM(C750:C759)</f>
        <v>29940.635699999999</v>
      </c>
      <c r="D760" s="129">
        <f>SUM(D750:D759)</f>
        <v>1501.8</v>
      </c>
      <c r="E760" s="45">
        <f>+C760/C765</f>
        <v>1.9888824033479473</v>
      </c>
      <c r="F760" s="45">
        <f>+D760/D765</f>
        <v>2.0971610755190953</v>
      </c>
      <c r="G760" s="45"/>
    </row>
    <row r="761" spans="2:11">
      <c r="B761" s="43" t="s">
        <v>18</v>
      </c>
      <c r="C761" s="130">
        <f>Model!AI113</f>
        <v>8299.5870000000014</v>
      </c>
      <c r="D761" s="130">
        <f>C761*$H$747</f>
        <v>416.30110601158685</v>
      </c>
      <c r="E761" s="46"/>
      <c r="F761" s="46"/>
      <c r="G761" s="46"/>
    </row>
    <row r="762" spans="2:11">
      <c r="B762" s="44" t="s">
        <v>19</v>
      </c>
      <c r="C762" s="129">
        <f>+C760-C761</f>
        <v>21641.048699999999</v>
      </c>
      <c r="D762" s="129">
        <f>+D760-D761</f>
        <v>1085.4988939884131</v>
      </c>
      <c r="E762" s="45">
        <f>+C762/C765</f>
        <v>1.4375613591072141</v>
      </c>
      <c r="F762" s="45">
        <f>+D762/D765</f>
        <v>1.5158250286266672</v>
      </c>
      <c r="G762" s="45"/>
      <c r="H762" s="170"/>
      <c r="J762" s="207"/>
    </row>
    <row r="763" spans="2:11">
      <c r="B763" s="89" t="s">
        <v>20</v>
      </c>
      <c r="C763" s="130">
        <f>Model!AI135</f>
        <v>28042.668000000001</v>
      </c>
      <c r="D763" s="130">
        <f>C763*$H$747</f>
        <v>1406.5993529456025</v>
      </c>
      <c r="G763" s="90"/>
    </row>
    <row r="764" spans="2:11">
      <c r="B764" s="89" t="s">
        <v>21</v>
      </c>
      <c r="C764" s="131">
        <f>C763+C760</f>
        <v>57983.303700000004</v>
      </c>
      <c r="D764" s="131">
        <f>D763+D760</f>
        <v>2908.3993529456025</v>
      </c>
    </row>
    <row r="765" spans="2:11">
      <c r="B765" s="43" t="s">
        <v>22</v>
      </c>
      <c r="C765" s="229">
        <f>Model!AI88</f>
        <v>15054</v>
      </c>
      <c r="D765" s="130">
        <f>C765*H748</f>
        <v>716.11094518730283</v>
      </c>
    </row>
    <row r="766" spans="2:11">
      <c r="I766" s="170"/>
    </row>
    <row r="767" spans="2:11">
      <c r="H767" s="170"/>
    </row>
    <row r="768" spans="2:11" ht="13.5" thickBot="1"/>
    <row r="769" spans="2:7">
      <c r="B769" s="106" t="s">
        <v>122</v>
      </c>
      <c r="C769" s="182" t="s">
        <v>114</v>
      </c>
      <c r="D769" s="182" t="s">
        <v>53</v>
      </c>
    </row>
    <row r="770" spans="2:7">
      <c r="B770" s="107" t="s">
        <v>54</v>
      </c>
      <c r="C770" s="183">
        <f>D770/$H$747</f>
        <v>3987.2999999999997</v>
      </c>
      <c r="D770" s="261">
        <v>200</v>
      </c>
    </row>
    <row r="771" spans="2:7">
      <c r="B771" s="107" t="s">
        <v>30</v>
      </c>
      <c r="C771" s="183">
        <f>C761</f>
        <v>8299.5870000000014</v>
      </c>
      <c r="D771" s="183">
        <f>+D761</f>
        <v>416.30110601158685</v>
      </c>
      <c r="G771" s="161"/>
    </row>
    <row r="772" spans="2:7" ht="13.5" thickBot="1">
      <c r="B772" s="108" t="s">
        <v>31</v>
      </c>
      <c r="C772" s="184">
        <f>SUM(C770:C771)</f>
        <v>12286.887000000001</v>
      </c>
      <c r="D772" s="184">
        <f>SUM(D770:D771)</f>
        <v>616.30110601158685</v>
      </c>
    </row>
    <row r="774" spans="2:7">
      <c r="C774" s="38"/>
    </row>
    <row r="775" spans="2:7" ht="13.5" thickBot="1"/>
    <row r="776" spans="2:7" ht="13.5" thickBot="1">
      <c r="B776" s="176" t="s">
        <v>123</v>
      </c>
      <c r="C776" s="231" t="s">
        <v>114</v>
      </c>
      <c r="D776" s="178" t="s">
        <v>53</v>
      </c>
    </row>
    <row r="777" spans="2:7">
      <c r="B777" s="92">
        <v>2021</v>
      </c>
      <c r="C777" s="209">
        <f>D777/$H$747</f>
        <v>45.853949999999998</v>
      </c>
      <c r="D777" s="198">
        <v>2.2999999999999998</v>
      </c>
    </row>
    <row r="778" spans="2:7">
      <c r="B778" s="92">
        <v>2022</v>
      </c>
      <c r="C778" s="209">
        <f t="shared" ref="C778:C784" si="5">D778/$H$747</f>
        <v>257.18085000000002</v>
      </c>
      <c r="D778" s="198">
        <v>12.9</v>
      </c>
    </row>
    <row r="779" spans="2:7">
      <c r="B779" s="92">
        <v>2023</v>
      </c>
      <c r="C779" s="209">
        <f t="shared" si="5"/>
        <v>3275.5669500000004</v>
      </c>
      <c r="D779" s="198">
        <v>164.3</v>
      </c>
    </row>
    <row r="780" spans="2:7">
      <c r="B780" s="92">
        <v>2024</v>
      </c>
      <c r="C780" s="209">
        <f t="shared" si="5"/>
        <v>8229.7872000000007</v>
      </c>
      <c r="D780" s="198">
        <v>412.8</v>
      </c>
    </row>
    <row r="781" spans="2:7">
      <c r="B781" s="92">
        <v>2025</v>
      </c>
      <c r="C781" s="209">
        <f t="shared" si="5"/>
        <v>5197.4455499999995</v>
      </c>
      <c r="D781" s="198">
        <v>260.7</v>
      </c>
    </row>
    <row r="782" spans="2:7">
      <c r="B782" s="259">
        <v>2026</v>
      </c>
      <c r="C782" s="209">
        <f t="shared" si="5"/>
        <v>4200.6205499999996</v>
      </c>
      <c r="D782" s="198">
        <v>210.7</v>
      </c>
    </row>
    <row r="783" spans="2:7">
      <c r="B783" s="259">
        <v>2027</v>
      </c>
      <c r="C783" s="209">
        <f t="shared" si="5"/>
        <v>0</v>
      </c>
      <c r="D783" s="198">
        <v>0</v>
      </c>
    </row>
    <row r="784" spans="2:7" ht="13.5" thickBot="1">
      <c r="B784" s="93">
        <v>2028</v>
      </c>
      <c r="C784" s="209">
        <f t="shared" si="5"/>
        <v>2013.5864999999999</v>
      </c>
      <c r="D784" s="198">
        <v>101</v>
      </c>
    </row>
    <row r="785" spans="2:11" ht="13.5" thickBot="1">
      <c r="B785" s="176" t="s">
        <v>34</v>
      </c>
      <c r="C785" s="260">
        <f>SUM(C777:C784)</f>
        <v>23220.041550000002</v>
      </c>
      <c r="D785" s="208">
        <f>SUM(D777:D784)</f>
        <v>1164.7</v>
      </c>
    </row>
    <row r="786" spans="2:11">
      <c r="B786" s="86"/>
      <c r="C786" s="212"/>
      <c r="D786" s="212"/>
      <c r="K786" s="193"/>
    </row>
    <row r="787" spans="2:11">
      <c r="K787" s="190" t="s">
        <v>2</v>
      </c>
    </row>
    <row r="788" spans="2:11">
      <c r="G788" s="86" t="s">
        <v>124</v>
      </c>
      <c r="H788" s="111">
        <f>Model!AH218</f>
        <v>4.8941637097760921E-2</v>
      </c>
      <c r="K788" s="190"/>
    </row>
    <row r="789" spans="2:11">
      <c r="G789" s="86" t="s">
        <v>125</v>
      </c>
      <c r="H789" s="111">
        <f>AVERAGE(Model!AE219:AH219)</f>
        <v>4.5840193240298213E-2</v>
      </c>
      <c r="J789" s="194" t="s">
        <v>4</v>
      </c>
      <c r="K789" s="191">
        <v>1460</v>
      </c>
    </row>
    <row r="790" spans="2:11" ht="13.5" customHeight="1">
      <c r="B790" s="128">
        <v>44286</v>
      </c>
      <c r="C790" s="128" t="s">
        <v>111</v>
      </c>
      <c r="D790" s="128" t="s">
        <v>2</v>
      </c>
      <c r="E790" s="35" t="s">
        <v>112</v>
      </c>
      <c r="F790" s="35" t="s">
        <v>112</v>
      </c>
      <c r="G790" s="35"/>
      <c r="J790" s="230">
        <v>44195</v>
      </c>
      <c r="K790" s="240">
        <v>1.7</v>
      </c>
    </row>
    <row r="791" spans="2:11" ht="13.5" customHeight="1">
      <c r="B791" s="112" t="s">
        <v>64</v>
      </c>
      <c r="C791" s="200">
        <f>D791/$H$788</f>
        <v>6763.1575000000003</v>
      </c>
      <c r="D791" s="127">
        <v>331</v>
      </c>
      <c r="E791" s="199"/>
      <c r="F791" s="199"/>
      <c r="G791" s="199"/>
      <c r="J791" s="189"/>
      <c r="K791" s="237"/>
    </row>
    <row r="792" spans="2:11">
      <c r="B792" s="112" t="s">
        <v>65</v>
      </c>
      <c r="C792" s="200">
        <f t="shared" ref="C792:C799" si="6">D792/$H$788</f>
        <v>8173</v>
      </c>
      <c r="D792" s="127">
        <v>400</v>
      </c>
      <c r="E792" s="113"/>
      <c r="F792" s="113"/>
      <c r="G792" s="113"/>
      <c r="J792" s="188" t="s">
        <v>5</v>
      </c>
    </row>
    <row r="793" spans="2:11">
      <c r="B793" s="112" t="s">
        <v>66</v>
      </c>
      <c r="C793" s="200">
        <f t="shared" si="6"/>
        <v>0</v>
      </c>
      <c r="D793" s="127">
        <v>0</v>
      </c>
      <c r="E793" s="113"/>
      <c r="F793" s="113"/>
      <c r="G793" s="113"/>
      <c r="J793" s="188" t="s">
        <v>7</v>
      </c>
    </row>
    <row r="794" spans="2:11">
      <c r="B794" s="112" t="s">
        <v>90</v>
      </c>
      <c r="C794" s="200">
        <f t="shared" si="6"/>
        <v>4086.5</v>
      </c>
      <c r="D794" s="127">
        <v>200</v>
      </c>
      <c r="E794" s="113"/>
      <c r="F794" s="113"/>
      <c r="G794" s="113"/>
      <c r="J794" s="236"/>
    </row>
    <row r="795" spans="2:11">
      <c r="B795" s="112" t="s">
        <v>91</v>
      </c>
      <c r="C795" s="200">
        <f t="shared" si="6"/>
        <v>5108.125</v>
      </c>
      <c r="D795" s="127">
        <v>250</v>
      </c>
      <c r="E795" s="113"/>
      <c r="F795" s="113"/>
      <c r="G795" s="113"/>
    </row>
    <row r="796" spans="2:11">
      <c r="B796" s="112" t="s">
        <v>102</v>
      </c>
      <c r="C796" s="200">
        <f t="shared" si="6"/>
        <v>0</v>
      </c>
      <c r="D796" s="127">
        <v>0</v>
      </c>
      <c r="E796" s="113"/>
      <c r="F796" s="113"/>
      <c r="G796" s="113"/>
    </row>
    <row r="797" spans="2:11">
      <c r="B797" s="112" t="s">
        <v>126</v>
      </c>
      <c r="C797" s="200">
        <f t="shared" si="6"/>
        <v>2974.9719999999998</v>
      </c>
      <c r="D797" s="127">
        <v>145.6</v>
      </c>
      <c r="E797" s="113"/>
      <c r="F797" s="113"/>
      <c r="G797" s="113"/>
    </row>
    <row r="798" spans="2:11">
      <c r="B798" s="112" t="s">
        <v>104</v>
      </c>
      <c r="C798" s="200">
        <f t="shared" si="6"/>
        <v>1983.9957499999998</v>
      </c>
      <c r="D798" s="127">
        <v>97.1</v>
      </c>
      <c r="E798" s="113"/>
      <c r="F798" s="113"/>
      <c r="G798" s="113"/>
    </row>
    <row r="799" spans="2:11">
      <c r="B799" s="112" t="s">
        <v>74</v>
      </c>
      <c r="C799" s="256">
        <f t="shared" si="6"/>
        <v>2366.0834999999997</v>
      </c>
      <c r="D799" s="257">
        <f>54.4+61.4</f>
        <v>115.8</v>
      </c>
      <c r="E799" s="113"/>
      <c r="F799" s="113"/>
      <c r="G799" s="113"/>
      <c r="J799" s="207"/>
    </row>
    <row r="800" spans="2:11">
      <c r="B800" s="44" t="s">
        <v>17</v>
      </c>
      <c r="C800" s="129">
        <f>SUM(C791:C799)</f>
        <v>31455.833750000002</v>
      </c>
      <c r="D800" s="129">
        <f>SUM(D791:D799)</f>
        <v>1539.4999999999998</v>
      </c>
      <c r="E800" s="45">
        <f>+C800/C805</f>
        <v>2.047772524575223</v>
      </c>
      <c r="F800" s="45">
        <f>+D800/D805</f>
        <v>2.1863201848028302</v>
      </c>
      <c r="G800" s="45"/>
    </row>
    <row r="801" spans="2:8">
      <c r="B801" s="43" t="s">
        <v>18</v>
      </c>
      <c r="C801" s="130">
        <f>Model!AH113</f>
        <v>8423.7680000000018</v>
      </c>
      <c r="D801" s="130">
        <f>C801*$H$788</f>
        <v>412.27299645173139</v>
      </c>
      <c r="E801" s="46"/>
      <c r="F801" s="46"/>
      <c r="G801" s="46"/>
    </row>
    <row r="802" spans="2:8">
      <c r="B802" s="44" t="s">
        <v>19</v>
      </c>
      <c r="C802" s="129">
        <f>+C800-C801</f>
        <v>23032.065750000002</v>
      </c>
      <c r="D802" s="129">
        <f>+D800-D801</f>
        <v>1127.2270035482684</v>
      </c>
      <c r="E802" s="45">
        <f>+C802/C805</f>
        <v>1.4993858310005861</v>
      </c>
      <c r="F802" s="45">
        <f>+D802/D805</f>
        <v>1.6008308871142523</v>
      </c>
      <c r="G802" s="45"/>
      <c r="H802" s="170"/>
    </row>
    <row r="803" spans="2:8">
      <c r="B803" s="89" t="s">
        <v>20</v>
      </c>
      <c r="C803" s="130">
        <f>Model!AH135</f>
        <v>28918.827000000001</v>
      </c>
      <c r="D803" s="130">
        <f>C803*$H$788</f>
        <v>1415.3347363269302</v>
      </c>
      <c r="G803" s="90"/>
    </row>
    <row r="804" spans="2:8">
      <c r="B804" s="89" t="s">
        <v>21</v>
      </c>
      <c r="C804" s="131">
        <f>C803+C800</f>
        <v>60374.660750000003</v>
      </c>
      <c r="D804" s="131">
        <f>D803+D800</f>
        <v>2954.8347363269299</v>
      </c>
    </row>
    <row r="805" spans="2:8">
      <c r="B805" s="43" t="s">
        <v>22</v>
      </c>
      <c r="C805" s="229">
        <f>Model!AH88</f>
        <v>15361</v>
      </c>
      <c r="D805" s="130">
        <f>C805*H789</f>
        <v>704.15120836422091</v>
      </c>
    </row>
    <row r="807" spans="2:8">
      <c r="H807" s="170"/>
    </row>
    <row r="808" spans="2:8" ht="13.5" thickBot="1"/>
    <row r="809" spans="2:8">
      <c r="B809" s="106" t="s">
        <v>127</v>
      </c>
      <c r="C809" s="182" t="s">
        <v>114</v>
      </c>
      <c r="D809" s="182" t="s">
        <v>53</v>
      </c>
    </row>
    <row r="810" spans="2:8">
      <c r="B810" s="107" t="s">
        <v>54</v>
      </c>
      <c r="C810" s="183">
        <v>0</v>
      </c>
      <c r="D810" s="183">
        <v>0</v>
      </c>
    </row>
    <row r="811" spans="2:8">
      <c r="B811" s="107" t="s">
        <v>30</v>
      </c>
      <c r="C811" s="183">
        <f>C801</f>
        <v>8423.7680000000018</v>
      </c>
      <c r="D811" s="183">
        <f>+D801</f>
        <v>412.27299645173139</v>
      </c>
    </row>
    <row r="812" spans="2:8" ht="13.5" thickBot="1">
      <c r="B812" s="108" t="s">
        <v>31</v>
      </c>
      <c r="C812" s="184">
        <f>SUM(C810:C811)</f>
        <v>8423.7680000000018</v>
      </c>
      <c r="D812" s="184">
        <f>SUM(D810:D811)</f>
        <v>412.27299645173139</v>
      </c>
    </row>
    <row r="814" spans="2:8">
      <c r="C814" s="38"/>
    </row>
    <row r="815" spans="2:8" ht="13.5" thickBot="1"/>
    <row r="816" spans="2:8" ht="13.5" thickBot="1">
      <c r="B816" s="176" t="s">
        <v>128</v>
      </c>
      <c r="C816" s="231" t="s">
        <v>114</v>
      </c>
      <c r="D816" s="178" t="s">
        <v>53</v>
      </c>
    </row>
    <row r="817" spans="2:11">
      <c r="B817" s="92">
        <v>2021</v>
      </c>
      <c r="C817" s="209">
        <f t="shared" ref="C817:C822" si="7">D817/$H$788</f>
        <v>3144.5617500000003</v>
      </c>
      <c r="D817" s="198">
        <v>153.9</v>
      </c>
    </row>
    <row r="818" spans="2:11">
      <c r="B818" s="92">
        <v>2022</v>
      </c>
      <c r="C818" s="209">
        <f t="shared" si="7"/>
        <v>259.49275</v>
      </c>
      <c r="D818" s="198">
        <v>12.7</v>
      </c>
    </row>
    <row r="819" spans="2:11">
      <c r="B819" s="92">
        <v>2023</v>
      </c>
      <c r="C819" s="209">
        <f t="shared" si="7"/>
        <v>3230.3782499999998</v>
      </c>
      <c r="D819" s="198">
        <v>158.1</v>
      </c>
    </row>
    <row r="820" spans="2:11">
      <c r="B820" s="92">
        <v>2024</v>
      </c>
      <c r="C820" s="209">
        <f t="shared" si="7"/>
        <v>8428.40625</v>
      </c>
      <c r="D820" s="198">
        <v>412.5</v>
      </c>
    </row>
    <row r="821" spans="2:11">
      <c r="B821" s="92">
        <v>2025</v>
      </c>
      <c r="C821" s="209">
        <f t="shared" si="7"/>
        <v>5324.7095000000008</v>
      </c>
      <c r="D821" s="198">
        <v>260.60000000000002</v>
      </c>
    </row>
    <row r="822" spans="2:11" ht="13.5" thickBot="1">
      <c r="B822" s="93">
        <v>2026</v>
      </c>
      <c r="C822" s="209">
        <f t="shared" si="7"/>
        <v>4303.0844999999999</v>
      </c>
      <c r="D822" s="198">
        <v>210.6</v>
      </c>
    </row>
    <row r="823" spans="2:11" ht="13.5" thickBot="1">
      <c r="B823" s="176" t="s">
        <v>34</v>
      </c>
      <c r="C823" s="232">
        <f>SUM(C817:C822)</f>
        <v>24690.633000000002</v>
      </c>
      <c r="D823" s="208">
        <f>SUM(D817:D822)</f>
        <v>1208.4000000000001</v>
      </c>
      <c r="K823" s="193"/>
    </row>
    <row r="824" spans="2:11">
      <c r="B824" s="86"/>
      <c r="C824" s="212"/>
      <c r="D824" s="212"/>
      <c r="K824" s="190" t="s">
        <v>2</v>
      </c>
    </row>
    <row r="825" spans="2:11">
      <c r="K825" s="190"/>
    </row>
    <row r="826" spans="2:11">
      <c r="G826" s="86" t="s">
        <v>129</v>
      </c>
      <c r="H826" s="111">
        <f>Model!AG218</f>
        <v>5.0215172012071728E-2</v>
      </c>
      <c r="J826" s="194" t="s">
        <v>4</v>
      </c>
      <c r="K826" s="191">
        <v>1464</v>
      </c>
    </row>
    <row r="827" spans="2:11">
      <c r="G827" s="86" t="s">
        <v>130</v>
      </c>
      <c r="H827" s="111">
        <f>AVERAGE(Model!AD219:AG219)</f>
        <v>4.5665792017084914E-2</v>
      </c>
      <c r="J827" s="230">
        <v>44104</v>
      </c>
      <c r="K827" s="201">
        <v>1.9</v>
      </c>
    </row>
    <row r="828" spans="2:11" ht="13.5" customHeight="1">
      <c r="B828" s="128">
        <v>44196</v>
      </c>
      <c r="C828" s="128" t="s">
        <v>111</v>
      </c>
      <c r="D828" s="128" t="s">
        <v>2</v>
      </c>
      <c r="E828" s="35" t="s">
        <v>112</v>
      </c>
      <c r="F828" s="35" t="s">
        <v>112</v>
      </c>
      <c r="G828" s="35"/>
      <c r="J828" s="189"/>
      <c r="K828" s="237"/>
    </row>
    <row r="829" spans="2:11" ht="13.5" customHeight="1">
      <c r="B829" s="112" t="s">
        <v>64</v>
      </c>
      <c r="C829" s="200">
        <f>D829/$H$826</f>
        <v>6671.2905000000001</v>
      </c>
      <c r="D829" s="127">
        <v>335</v>
      </c>
      <c r="E829" s="199"/>
      <c r="F829" s="199"/>
      <c r="G829" s="199"/>
      <c r="J829" s="188" t="s">
        <v>5</v>
      </c>
    </row>
    <row r="830" spans="2:11">
      <c r="B830" s="112" t="s">
        <v>65</v>
      </c>
      <c r="C830" s="200">
        <f>D830/$H$826</f>
        <v>7965.72</v>
      </c>
      <c r="D830" s="127">
        <v>400</v>
      </c>
      <c r="E830" s="113"/>
      <c r="F830" s="113"/>
      <c r="G830" s="113"/>
      <c r="J830" s="188" t="s">
        <v>7</v>
      </c>
    </row>
    <row r="831" spans="2:11">
      <c r="B831" s="112" t="s">
        <v>66</v>
      </c>
      <c r="C831" s="200">
        <f t="shared" ref="C831:C836" si="8">D831/$H$826</f>
        <v>2166.6758399999999</v>
      </c>
      <c r="D831" s="127">
        <v>108.8</v>
      </c>
      <c r="E831" s="113"/>
      <c r="F831" s="113"/>
      <c r="G831" s="113"/>
      <c r="J831" s="236"/>
    </row>
    <row r="832" spans="2:11">
      <c r="B832" s="112" t="s">
        <v>91</v>
      </c>
      <c r="C832" s="200">
        <f t="shared" si="8"/>
        <v>4978.5749999999998</v>
      </c>
      <c r="D832" s="127">
        <v>250</v>
      </c>
      <c r="E832" s="113"/>
      <c r="F832" s="113"/>
      <c r="G832" s="113"/>
    </row>
    <row r="833" spans="2:10">
      <c r="B833" s="112" t="s">
        <v>102</v>
      </c>
      <c r="C833" s="200">
        <f t="shared" si="8"/>
        <v>1394.001</v>
      </c>
      <c r="D833" s="127">
        <v>70</v>
      </c>
      <c r="E833" s="113"/>
      <c r="F833" s="113"/>
      <c r="G833" s="113"/>
    </row>
    <row r="834" spans="2:10">
      <c r="B834" s="112" t="s">
        <v>126</v>
      </c>
      <c r="C834" s="200">
        <f t="shared" si="8"/>
        <v>2995.1107200000001</v>
      </c>
      <c r="D834" s="127">
        <v>150.4</v>
      </c>
      <c r="E834" s="113"/>
      <c r="F834" s="113"/>
      <c r="G834" s="113"/>
    </row>
    <row r="835" spans="2:10">
      <c r="B835" s="112" t="s">
        <v>104</v>
      </c>
      <c r="C835" s="200">
        <f t="shared" si="8"/>
        <v>1997.4042899999999</v>
      </c>
      <c r="D835" s="127">
        <v>100.3</v>
      </c>
      <c r="E835" s="113"/>
      <c r="F835" s="113"/>
      <c r="G835" s="113"/>
    </row>
    <row r="836" spans="2:10">
      <c r="B836" s="112" t="s">
        <v>74</v>
      </c>
      <c r="C836" s="200">
        <f t="shared" si="8"/>
        <v>1425.8638799999999</v>
      </c>
      <c r="D836" s="127">
        <f>67.1+4.5</f>
        <v>71.599999999999994</v>
      </c>
      <c r="E836" s="113"/>
      <c r="F836" s="113"/>
      <c r="G836" s="113"/>
      <c r="J836" s="207"/>
    </row>
    <row r="837" spans="2:10">
      <c r="B837" s="44" t="s">
        <v>17</v>
      </c>
      <c r="C837" s="129">
        <f>SUM(C829:C836)</f>
        <v>29594.641230000001</v>
      </c>
      <c r="D837" s="129">
        <f>SUM(D829:D836)</f>
        <v>1486.1</v>
      </c>
      <c r="E837" s="45">
        <f>+C837/C842</f>
        <v>1.9224789677796545</v>
      </c>
      <c r="F837" s="45">
        <f>+D837/D842</f>
        <v>2.1140027971162287</v>
      </c>
      <c r="G837" s="45"/>
    </row>
    <row r="838" spans="2:10">
      <c r="B838" s="43" t="s">
        <v>18</v>
      </c>
      <c r="C838" s="130">
        <f>Model!AG113</f>
        <v>6172.7540000000017</v>
      </c>
      <c r="D838" s="130">
        <f>C838*$H$826</f>
        <v>309.96590389820392</v>
      </c>
      <c r="E838" s="46"/>
      <c r="F838" s="46"/>
      <c r="G838" s="46"/>
    </row>
    <row r="839" spans="2:10">
      <c r="B839" s="44" t="s">
        <v>19</v>
      </c>
      <c r="C839" s="129">
        <f>+C837-C838</f>
        <v>23421.88723</v>
      </c>
      <c r="D839" s="129">
        <f>+D837-D838</f>
        <v>1176.1340961017959</v>
      </c>
      <c r="E839" s="45">
        <f>+C839/C842</f>
        <v>1.5214945582694557</v>
      </c>
      <c r="F839" s="45">
        <f>+D839/D842</f>
        <v>1.673070970286632</v>
      </c>
      <c r="G839" s="45"/>
      <c r="H839" s="170"/>
    </row>
    <row r="840" spans="2:10">
      <c r="B840" s="89" t="s">
        <v>20</v>
      </c>
      <c r="C840" s="130">
        <f>Model!AG135</f>
        <v>27671.701000000001</v>
      </c>
      <c r="D840" s="130">
        <f>C840*$H$826</f>
        <v>1389.5392255816173</v>
      </c>
      <c r="G840" s="90"/>
    </row>
    <row r="841" spans="2:10">
      <c r="B841" s="89" t="s">
        <v>21</v>
      </c>
      <c r="C841" s="131">
        <f>C840+C837</f>
        <v>57266.342230000002</v>
      </c>
      <c r="D841" s="131">
        <f>D840+D837</f>
        <v>2875.6392255816172</v>
      </c>
    </row>
    <row r="842" spans="2:10">
      <c r="B842" s="43" t="s">
        <v>22</v>
      </c>
      <c r="C842" s="229">
        <f>Model!AG88</f>
        <v>15394</v>
      </c>
      <c r="D842" s="130">
        <f>C842*H827</f>
        <v>702.97920231100511</v>
      </c>
    </row>
    <row r="845" spans="2:10" ht="13.5" thickBot="1"/>
    <row r="846" spans="2:10">
      <c r="B846" s="106" t="s">
        <v>131</v>
      </c>
      <c r="C846" s="182" t="s">
        <v>114</v>
      </c>
      <c r="D846" s="182" t="s">
        <v>53</v>
      </c>
    </row>
    <row r="847" spans="2:10">
      <c r="B847" s="107" t="s">
        <v>54</v>
      </c>
      <c r="C847" s="183">
        <v>0</v>
      </c>
      <c r="D847" s="183">
        <v>0</v>
      </c>
    </row>
    <row r="848" spans="2:10">
      <c r="B848" s="107" t="s">
        <v>30</v>
      </c>
      <c r="C848" s="183">
        <f>C838</f>
        <v>6172.7540000000017</v>
      </c>
      <c r="D848" s="183">
        <f>+D838</f>
        <v>309.96590389820392</v>
      </c>
    </row>
    <row r="849" spans="2:11" ht="13.5" thickBot="1">
      <c r="B849" s="108" t="s">
        <v>31</v>
      </c>
      <c r="C849" s="184">
        <f>SUM(C847:C848)</f>
        <v>6172.7540000000017</v>
      </c>
      <c r="D849" s="184">
        <f>SUM(D847:D848)</f>
        <v>309.96590389820392</v>
      </c>
    </row>
    <row r="851" spans="2:11">
      <c r="C851" s="38"/>
    </row>
    <row r="852" spans="2:11" ht="13.5" thickBot="1"/>
    <row r="853" spans="2:11" ht="13.5" thickBot="1">
      <c r="B853" s="176" t="s">
        <v>132</v>
      </c>
      <c r="C853" s="231" t="s">
        <v>114</v>
      </c>
      <c r="D853" s="178" t="s">
        <v>53</v>
      </c>
    </row>
    <row r="854" spans="2:11">
      <c r="B854" s="92">
        <v>2021</v>
      </c>
      <c r="C854" s="209">
        <f t="shared" ref="C854:C859" si="9">D854/$H$826</f>
        <v>2716.31052</v>
      </c>
      <c r="D854" s="198">
        <v>136.4</v>
      </c>
    </row>
    <row r="855" spans="2:11">
      <c r="B855" s="92">
        <v>2022</v>
      </c>
      <c r="C855" s="209">
        <f t="shared" si="9"/>
        <v>3301.7909400000003</v>
      </c>
      <c r="D855" s="198">
        <v>165.8</v>
      </c>
    </row>
    <row r="856" spans="2:11">
      <c r="B856" s="92">
        <v>2023</v>
      </c>
      <c r="C856" s="209">
        <f t="shared" si="9"/>
        <v>3255.9880499999999</v>
      </c>
      <c r="D856" s="198">
        <v>163.5</v>
      </c>
    </row>
    <row r="857" spans="2:11">
      <c r="B857" s="92">
        <v>2024</v>
      </c>
      <c r="C857" s="209">
        <f t="shared" si="9"/>
        <v>8226.5973300000005</v>
      </c>
      <c r="D857" s="198">
        <v>413.1</v>
      </c>
    </row>
    <row r="858" spans="2:11">
      <c r="B858" s="92">
        <v>2025</v>
      </c>
      <c r="C858" s="209">
        <f t="shared" si="9"/>
        <v>5199.6237300000003</v>
      </c>
      <c r="D858" s="198">
        <v>261.10000000000002</v>
      </c>
    </row>
    <row r="859" spans="2:11" ht="13.5" thickBot="1">
      <c r="B859" s="93">
        <v>2026</v>
      </c>
      <c r="C859" s="209">
        <f t="shared" si="9"/>
        <v>221.04872999999998</v>
      </c>
      <c r="D859" s="198">
        <v>11.1</v>
      </c>
    </row>
    <row r="860" spans="2:11" ht="13.5" thickBot="1">
      <c r="B860" s="176" t="s">
        <v>34</v>
      </c>
      <c r="C860" s="232">
        <f>SUM(C854:C859)</f>
        <v>22921.3593</v>
      </c>
      <c r="D860" s="208">
        <f>SUM(D854:D859)</f>
        <v>1151</v>
      </c>
    </row>
    <row r="861" spans="2:11">
      <c r="B861" s="86"/>
      <c r="C861" s="212"/>
      <c r="D861" s="212"/>
      <c r="K861" s="193"/>
    </row>
    <row r="862" spans="2:11">
      <c r="K862" s="190" t="s">
        <v>2</v>
      </c>
    </row>
    <row r="863" spans="2:11">
      <c r="G863" s="86" t="s">
        <v>133</v>
      </c>
      <c r="H863" s="111">
        <f>Model!AF218</f>
        <v>4.452895049716573E-2</v>
      </c>
      <c r="J863" s="194" t="s">
        <v>4</v>
      </c>
      <c r="K863" s="190"/>
    </row>
    <row r="864" spans="2:11">
      <c r="G864" s="86" t="s">
        <v>134</v>
      </c>
      <c r="H864" s="111">
        <f>AVERAGE(Model!AC219:AF219)</f>
        <v>4.7294269560438126E-2</v>
      </c>
      <c r="J864" s="230">
        <v>43921</v>
      </c>
      <c r="K864" s="191">
        <v>1374</v>
      </c>
    </row>
    <row r="865" spans="2:11" ht="25.5">
      <c r="B865" s="128">
        <v>44104</v>
      </c>
      <c r="C865" s="128" t="s">
        <v>111</v>
      </c>
      <c r="D865" s="128" t="s">
        <v>2</v>
      </c>
      <c r="E865" s="35" t="s">
        <v>112</v>
      </c>
      <c r="F865" s="35" t="s">
        <v>112</v>
      </c>
      <c r="G865" s="35"/>
      <c r="J865" s="189"/>
      <c r="K865" s="201">
        <v>2</v>
      </c>
    </row>
    <row r="866" spans="2:11" ht="13.5" customHeight="1">
      <c r="B866" s="112" t="s">
        <v>64</v>
      </c>
      <c r="C866" s="200">
        <f>D866/$H$863</f>
        <v>7343.5371000000005</v>
      </c>
      <c r="D866" s="127">
        <v>327</v>
      </c>
      <c r="E866" s="199"/>
      <c r="F866" s="199"/>
      <c r="G866" s="199"/>
      <c r="J866" s="188" t="s">
        <v>5</v>
      </c>
      <c r="K866" s="237"/>
    </row>
    <row r="867" spans="2:11" ht="13.5" customHeight="1">
      <c r="B867" s="112" t="s">
        <v>65</v>
      </c>
      <c r="C867" s="200">
        <f t="shared" ref="C867:C873" si="10">D867/$H$863</f>
        <v>8982.92</v>
      </c>
      <c r="D867" s="127">
        <v>400</v>
      </c>
      <c r="E867" s="113"/>
      <c r="F867" s="113"/>
      <c r="G867" s="113"/>
      <c r="J867" s="188" t="s">
        <v>7</v>
      </c>
    </row>
    <row r="868" spans="2:11">
      <c r="B868" s="112" t="s">
        <v>66</v>
      </c>
      <c r="C868" s="200">
        <f t="shared" si="10"/>
        <v>2694.8760000000002</v>
      </c>
      <c r="D868" s="127">
        <v>120</v>
      </c>
      <c r="E868" s="113"/>
      <c r="F868" s="113"/>
      <c r="G868" s="113"/>
      <c r="J868" s="236"/>
    </row>
    <row r="869" spans="2:11">
      <c r="B869" s="112" t="s">
        <v>91</v>
      </c>
      <c r="C869" s="200">
        <f t="shared" si="10"/>
        <v>5614.3250000000007</v>
      </c>
      <c r="D869" s="127">
        <v>250</v>
      </c>
      <c r="E869" s="113"/>
      <c r="F869" s="113"/>
      <c r="G869" s="113"/>
    </row>
    <row r="870" spans="2:11">
      <c r="B870" s="112" t="s">
        <v>102</v>
      </c>
      <c r="C870" s="200">
        <f t="shared" si="10"/>
        <v>1796.5840000000001</v>
      </c>
      <c r="D870" s="127">
        <v>80</v>
      </c>
      <c r="E870" s="113"/>
      <c r="F870" s="113"/>
      <c r="G870" s="113"/>
    </row>
    <row r="871" spans="2:11">
      <c r="B871" s="112" t="s">
        <v>126</v>
      </c>
      <c r="C871" s="200">
        <f t="shared" si="10"/>
        <v>3000.2952799999998</v>
      </c>
      <c r="D871" s="127">
        <v>133.6</v>
      </c>
      <c r="E871" s="113"/>
      <c r="F871" s="113"/>
      <c r="G871" s="113"/>
    </row>
    <row r="872" spans="2:11">
      <c r="B872" s="112" t="s">
        <v>104</v>
      </c>
      <c r="C872" s="200">
        <f t="shared" si="10"/>
        <v>2000.94543</v>
      </c>
      <c r="D872" s="127">
        <v>89.1</v>
      </c>
      <c r="E872" s="113"/>
      <c r="F872" s="113"/>
      <c r="G872" s="113"/>
    </row>
    <row r="873" spans="2:11">
      <c r="B873" s="112" t="s">
        <v>74</v>
      </c>
      <c r="C873" s="200">
        <f t="shared" si="10"/>
        <v>1372.14103</v>
      </c>
      <c r="D873" s="127">
        <f>61.1</f>
        <v>61.1</v>
      </c>
      <c r="E873" s="113"/>
      <c r="F873" s="113"/>
      <c r="G873" s="113"/>
      <c r="J873" s="207"/>
    </row>
    <row r="874" spans="2:11">
      <c r="B874" s="44" t="s">
        <v>17</v>
      </c>
      <c r="C874" s="129">
        <f>SUM(C866:C873)</f>
        <v>32805.62384</v>
      </c>
      <c r="D874" s="129">
        <f>SUM(D866:D873)</f>
        <v>1460.7999999999997</v>
      </c>
      <c r="E874" s="45">
        <f>+C874/C879</f>
        <v>2.2374589987723366</v>
      </c>
      <c r="F874" s="45">
        <f>+D874/D879</f>
        <v>2.1066336772248988</v>
      </c>
      <c r="G874" s="45"/>
    </row>
    <row r="875" spans="2:11">
      <c r="B875" s="43" t="s">
        <v>18</v>
      </c>
      <c r="C875" s="130">
        <f>Model!AF113</f>
        <v>7851.9920000000002</v>
      </c>
      <c r="D875" s="130">
        <f>C875*$H$863</f>
        <v>349.64096307214135</v>
      </c>
      <c r="E875" s="46"/>
      <c r="F875" s="46"/>
      <c r="G875" s="46"/>
    </row>
    <row r="876" spans="2:11">
      <c r="B876" s="44" t="s">
        <v>19</v>
      </c>
      <c r="C876" s="129">
        <f>+C874-C875</f>
        <v>24953.631840000002</v>
      </c>
      <c r="D876" s="129">
        <f>+D874-D875</f>
        <v>1111.1590369278583</v>
      </c>
      <c r="E876" s="45">
        <f>+C876/C879</f>
        <v>1.7019255108443596</v>
      </c>
      <c r="F876" s="45">
        <f>+D876/D879</f>
        <v>1.6024130941573191</v>
      </c>
      <c r="G876" s="45"/>
      <c r="H876" s="170"/>
    </row>
    <row r="877" spans="2:11">
      <c r="B877" s="89" t="s">
        <v>20</v>
      </c>
      <c r="C877" s="130">
        <f>Model!AF135</f>
        <v>29586.205999999998</v>
      </c>
      <c r="D877" s="130">
        <f>C877*$H$863</f>
        <v>1317.4427023729477</v>
      </c>
      <c r="G877" s="90"/>
    </row>
    <row r="878" spans="2:11">
      <c r="B878" s="89" t="s">
        <v>21</v>
      </c>
      <c r="C878" s="131">
        <f>C877+C874</f>
        <v>62391.829839999999</v>
      </c>
      <c r="D878" s="131">
        <f>D877+D874</f>
        <v>2778.2427023729474</v>
      </c>
    </row>
    <row r="879" spans="2:11">
      <c r="B879" s="43" t="s">
        <v>22</v>
      </c>
      <c r="C879" s="229">
        <f>Model!AF88</f>
        <v>14662</v>
      </c>
      <c r="D879" s="130">
        <f>C879*H864</f>
        <v>693.42858029514377</v>
      </c>
    </row>
    <row r="882" spans="2:4" ht="13.5" thickBot="1"/>
    <row r="883" spans="2:4">
      <c r="B883" s="106" t="s">
        <v>135</v>
      </c>
      <c r="C883" s="182" t="s">
        <v>114</v>
      </c>
      <c r="D883" s="182" t="s">
        <v>53</v>
      </c>
    </row>
    <row r="884" spans="2:4">
      <c r="B884" s="107" t="s">
        <v>54</v>
      </c>
      <c r="C884" s="183">
        <v>0</v>
      </c>
      <c r="D884" s="183">
        <v>0</v>
      </c>
    </row>
    <row r="885" spans="2:4">
      <c r="B885" s="107" t="s">
        <v>30</v>
      </c>
      <c r="C885" s="183">
        <f>C875</f>
        <v>7851.9920000000002</v>
      </c>
      <c r="D885" s="183">
        <f>+D875</f>
        <v>349.64096307214135</v>
      </c>
    </row>
    <row r="886" spans="2:4" ht="13.5" thickBot="1">
      <c r="B886" s="108" t="s">
        <v>31</v>
      </c>
      <c r="C886" s="184">
        <f>SUM(C884:C885)</f>
        <v>7851.9920000000002</v>
      </c>
      <c r="D886" s="184">
        <f>SUM(D884:D885)</f>
        <v>349.64096307214135</v>
      </c>
    </row>
    <row r="888" spans="2:4">
      <c r="C888" s="38"/>
    </row>
    <row r="889" spans="2:4" ht="13.5" thickBot="1"/>
    <row r="890" spans="2:4" ht="13.5" thickBot="1">
      <c r="B890" s="176" t="s">
        <v>136</v>
      </c>
      <c r="C890" s="231" t="s">
        <v>114</v>
      </c>
      <c r="D890" s="178" t="s">
        <v>53</v>
      </c>
    </row>
    <row r="891" spans="2:4">
      <c r="B891" s="92">
        <v>2020</v>
      </c>
      <c r="C891" s="209">
        <f>D891/$H$863</f>
        <v>253.76749000000004</v>
      </c>
      <c r="D891" s="198">
        <v>11.3</v>
      </c>
    </row>
    <row r="892" spans="2:4">
      <c r="B892" s="92">
        <v>2021</v>
      </c>
      <c r="C892" s="209">
        <f t="shared" ref="C892:C897" si="11">D892/$H$863</f>
        <v>2643.2242100000003</v>
      </c>
      <c r="D892" s="198">
        <v>117.7</v>
      </c>
    </row>
    <row r="893" spans="2:4">
      <c r="B893" s="92">
        <v>2022</v>
      </c>
      <c r="C893" s="209">
        <f t="shared" si="11"/>
        <v>3932.2732300000002</v>
      </c>
      <c r="D893" s="198">
        <v>175.1</v>
      </c>
    </row>
    <row r="894" spans="2:4">
      <c r="B894" s="92">
        <v>2023</v>
      </c>
      <c r="C894" s="209">
        <f t="shared" si="11"/>
        <v>3281.0115300000002</v>
      </c>
      <c r="D894" s="198">
        <v>146.1</v>
      </c>
    </row>
    <row r="895" spans="2:4">
      <c r="B895" s="92">
        <v>2024</v>
      </c>
      <c r="C895" s="209">
        <f t="shared" si="11"/>
        <v>9263.6362500000014</v>
      </c>
      <c r="D895" s="198">
        <v>412.5</v>
      </c>
    </row>
    <row r="896" spans="2:4">
      <c r="B896" s="92">
        <v>2025</v>
      </c>
      <c r="C896" s="209">
        <f t="shared" si="11"/>
        <v>5850.1266500000002</v>
      </c>
      <c r="D896" s="198">
        <v>260.5</v>
      </c>
    </row>
    <row r="897" spans="2:11" ht="13.5" thickBot="1">
      <c r="B897" s="93">
        <v>2026</v>
      </c>
      <c r="C897" s="209">
        <f t="shared" si="11"/>
        <v>235.80165000000002</v>
      </c>
      <c r="D897" s="198">
        <v>10.5</v>
      </c>
    </row>
    <row r="898" spans="2:11" ht="13.5" thickBot="1">
      <c r="B898" s="176" t="s">
        <v>34</v>
      </c>
      <c r="C898" s="232">
        <f>SUM(C891:C897)</f>
        <v>25459.841010000004</v>
      </c>
      <c r="D898" s="208">
        <f>SUM(D891:D897)</f>
        <v>1133.7</v>
      </c>
    </row>
    <row r="899" spans="2:11">
      <c r="B899" s="86"/>
      <c r="C899" s="212"/>
      <c r="D899" s="212"/>
      <c r="K899" s="193"/>
    </row>
    <row r="900" spans="2:11">
      <c r="G900" s="86" t="s">
        <v>137</v>
      </c>
      <c r="H900" s="111">
        <f>Model!AE218</f>
        <v>4.3532202947130144E-2</v>
      </c>
      <c r="K900" s="190" t="s">
        <v>2</v>
      </c>
    </row>
    <row r="901" spans="2:11">
      <c r="G901" s="86" t="s">
        <v>138</v>
      </c>
      <c r="H901" s="111">
        <f>AVERAGE(Model!AB219:AE219)</f>
        <v>4.883826956043813E-2</v>
      </c>
      <c r="J901" s="194" t="s">
        <v>4</v>
      </c>
      <c r="K901" s="190"/>
    </row>
    <row r="902" spans="2:11" ht="25.5">
      <c r="B902" s="128">
        <v>44012</v>
      </c>
      <c r="C902" s="128" t="s">
        <v>111</v>
      </c>
      <c r="D902" s="128" t="s">
        <v>2</v>
      </c>
      <c r="E902" s="35" t="s">
        <v>112</v>
      </c>
      <c r="F902" s="35" t="s">
        <v>112</v>
      </c>
      <c r="G902" s="35"/>
      <c r="J902" s="230">
        <v>43921</v>
      </c>
      <c r="K902" s="191">
        <v>1153.5999999999999</v>
      </c>
    </row>
    <row r="903" spans="2:11">
      <c r="B903" s="112" t="s">
        <v>64</v>
      </c>
      <c r="C903" s="200">
        <f t="shared" ref="C903:C910" si="12">D903/$H$900</f>
        <v>7511.6804999999995</v>
      </c>
      <c r="D903" s="127">
        <v>327</v>
      </c>
      <c r="E903" s="199"/>
      <c r="F903" s="199"/>
      <c r="G903" s="199"/>
      <c r="J903" s="189"/>
      <c r="K903" s="201">
        <v>1.8</v>
      </c>
    </row>
    <row r="904" spans="2:11" ht="13.5" customHeight="1">
      <c r="B904" s="112" t="s">
        <v>65</v>
      </c>
      <c r="C904" s="200">
        <f t="shared" si="12"/>
        <v>9188.5999999999985</v>
      </c>
      <c r="D904" s="127">
        <v>400</v>
      </c>
      <c r="E904" s="113"/>
      <c r="F904" s="113"/>
      <c r="G904" s="113"/>
      <c r="J904" s="188" t="s">
        <v>5</v>
      </c>
      <c r="K904" s="237"/>
    </row>
    <row r="905" spans="2:11">
      <c r="B905" s="112" t="s">
        <v>66</v>
      </c>
      <c r="C905" s="200">
        <f t="shared" si="12"/>
        <v>2756.58</v>
      </c>
      <c r="D905" s="127">
        <v>120</v>
      </c>
      <c r="E905" s="113"/>
      <c r="F905" s="113"/>
      <c r="G905" s="113"/>
      <c r="J905" s="188" t="s">
        <v>7</v>
      </c>
    </row>
    <row r="906" spans="2:11">
      <c r="B906" s="112" t="s">
        <v>91</v>
      </c>
      <c r="C906" s="200">
        <f t="shared" si="12"/>
        <v>5742.8749999999991</v>
      </c>
      <c r="D906" s="127">
        <v>250</v>
      </c>
      <c r="E906" s="113"/>
      <c r="F906" s="113"/>
      <c r="G906" s="113"/>
      <c r="J906" s="236"/>
    </row>
    <row r="907" spans="2:11">
      <c r="B907" s="112" t="s">
        <v>102</v>
      </c>
      <c r="C907" s="200">
        <f t="shared" si="12"/>
        <v>1837.7199999999998</v>
      </c>
      <c r="D907" s="127">
        <v>80</v>
      </c>
      <c r="E907" s="113"/>
      <c r="F907" s="113"/>
      <c r="G907" s="113"/>
    </row>
    <row r="908" spans="2:11">
      <c r="B908" s="112" t="s">
        <v>126</v>
      </c>
      <c r="C908" s="200">
        <f t="shared" si="12"/>
        <v>3000.0778999999998</v>
      </c>
      <c r="D908" s="127">
        <v>130.6</v>
      </c>
      <c r="E908" s="113"/>
      <c r="F908" s="113"/>
      <c r="G908" s="113"/>
    </row>
    <row r="909" spans="2:11">
      <c r="B909" s="112" t="s">
        <v>104</v>
      </c>
      <c r="C909" s="200">
        <f t="shared" si="12"/>
        <v>2000.8176499999997</v>
      </c>
      <c r="D909" s="127">
        <v>87.1</v>
      </c>
      <c r="E909" s="113"/>
      <c r="F909" s="113"/>
      <c r="G909" s="113"/>
    </row>
    <row r="910" spans="2:11">
      <c r="B910" s="112" t="s">
        <v>74</v>
      </c>
      <c r="C910" s="200">
        <f t="shared" si="12"/>
        <v>1587.3306499999997</v>
      </c>
      <c r="D910" s="127">
        <f>8+61.1</f>
        <v>69.099999999999994</v>
      </c>
      <c r="E910" s="113"/>
      <c r="F910" s="113"/>
      <c r="G910" s="113"/>
    </row>
    <row r="911" spans="2:11">
      <c r="B911" s="44" t="s">
        <v>17</v>
      </c>
      <c r="C911" s="129">
        <f>SUM(C903:C910)</f>
        <v>33625.681699999994</v>
      </c>
      <c r="D911" s="129">
        <f>SUM(D903:D910)</f>
        <v>1463.7999999999997</v>
      </c>
      <c r="E911" s="45">
        <f>+C911/C916</f>
        <v>2.4006340900978076</v>
      </c>
      <c r="F911" s="45">
        <f>+D911/D916</f>
        <v>2.1398155862711397</v>
      </c>
      <c r="G911" s="45"/>
      <c r="J911" s="207"/>
    </row>
    <row r="912" spans="2:11">
      <c r="B912" s="43" t="s">
        <v>18</v>
      </c>
      <c r="C912" s="130">
        <f>Model!AE113</f>
        <v>7071.0430000000006</v>
      </c>
      <c r="D912" s="130">
        <f>C912*$H$900</f>
        <v>307.818078923884</v>
      </c>
      <c r="E912" s="46"/>
      <c r="F912" s="46"/>
      <c r="G912" s="46"/>
    </row>
    <row r="913" spans="2:8">
      <c r="B913" s="44" t="s">
        <v>19</v>
      </c>
      <c r="C913" s="129">
        <f>+C911-C912</f>
        <v>26554.638699999992</v>
      </c>
      <c r="D913" s="129">
        <f>+D911-D912</f>
        <v>1155.9819210761157</v>
      </c>
      <c r="E913" s="45">
        <f>+C913/C916</f>
        <v>1.8958120011422854</v>
      </c>
      <c r="F913" s="45">
        <f>+D913/D916</f>
        <v>1.6898402323857953</v>
      </c>
      <c r="G913" s="45"/>
      <c r="H913" s="170"/>
    </row>
    <row r="914" spans="2:8">
      <c r="B914" s="89" t="s">
        <v>20</v>
      </c>
      <c r="C914" s="130">
        <f>Model!AE135</f>
        <v>27844.741999999998</v>
      </c>
      <c r="D914" s="130">
        <f>C914*$H$900</f>
        <v>1212.1429597544784</v>
      </c>
      <c r="G914" s="90"/>
    </row>
    <row r="915" spans="2:8">
      <c r="B915" s="89" t="s">
        <v>21</v>
      </c>
      <c r="C915" s="131">
        <f>C914+C911</f>
        <v>61470.423699999992</v>
      </c>
      <c r="D915" s="131">
        <f>D914+D911</f>
        <v>2675.9429597544781</v>
      </c>
    </row>
    <row r="916" spans="2:8">
      <c r="B916" s="43" t="s">
        <v>22</v>
      </c>
      <c r="C916" s="229">
        <f>Model!AE88</f>
        <v>14007</v>
      </c>
      <c r="D916" s="130">
        <f>C916*H901</f>
        <v>684.07764173305691</v>
      </c>
    </row>
    <row r="919" spans="2:8" ht="13.5" thickBot="1"/>
    <row r="920" spans="2:8">
      <c r="B920" s="106" t="s">
        <v>139</v>
      </c>
      <c r="C920" s="182" t="s">
        <v>114</v>
      </c>
      <c r="D920" s="182" t="s">
        <v>53</v>
      </c>
    </row>
    <row r="921" spans="2:8">
      <c r="B921" s="107" t="s">
        <v>54</v>
      </c>
      <c r="C921" s="183">
        <v>0</v>
      </c>
      <c r="D921" s="183">
        <v>0</v>
      </c>
    </row>
    <row r="922" spans="2:8">
      <c r="B922" s="107" t="s">
        <v>30</v>
      </c>
      <c r="C922" s="183">
        <f>C912</f>
        <v>7071.0430000000006</v>
      </c>
      <c r="D922" s="183">
        <f>+D912</f>
        <v>307.818078923884</v>
      </c>
    </row>
    <row r="923" spans="2:8" ht="13.5" thickBot="1">
      <c r="B923" s="108" t="s">
        <v>31</v>
      </c>
      <c r="C923" s="184">
        <f>SUM(C921:C922)</f>
        <v>7071.0430000000006</v>
      </c>
      <c r="D923" s="184">
        <f>SUM(D921:D922)</f>
        <v>307.818078923884</v>
      </c>
    </row>
    <row r="925" spans="2:8">
      <c r="C925" s="38"/>
    </row>
    <row r="926" spans="2:8" ht="13.5" thickBot="1"/>
    <row r="927" spans="2:8" ht="13.5" thickBot="1">
      <c r="B927" s="176" t="s">
        <v>140</v>
      </c>
      <c r="C927" s="231" t="s">
        <v>114</v>
      </c>
      <c r="D927" s="178" t="s">
        <v>53</v>
      </c>
    </row>
    <row r="928" spans="2:8">
      <c r="B928" s="92">
        <v>2020</v>
      </c>
      <c r="C928" s="209">
        <f t="shared" ref="C928:C934" si="13">D928/$H$900</f>
        <v>496.18439999999998</v>
      </c>
      <c r="D928" s="198">
        <v>21.6</v>
      </c>
    </row>
    <row r="929" spans="2:11">
      <c r="B929" s="92">
        <v>2021</v>
      </c>
      <c r="C929" s="209">
        <f t="shared" si="13"/>
        <v>2655.5053999999996</v>
      </c>
      <c r="D929" s="198">
        <v>115.6</v>
      </c>
    </row>
    <row r="930" spans="2:11">
      <c r="B930" s="92">
        <v>2022</v>
      </c>
      <c r="C930" s="209">
        <f t="shared" si="13"/>
        <v>4013.1210499999993</v>
      </c>
      <c r="D930" s="198">
        <v>174.7</v>
      </c>
    </row>
    <row r="931" spans="2:11">
      <c r="B931" s="92">
        <v>2023</v>
      </c>
      <c r="C931" s="209">
        <f t="shared" si="13"/>
        <v>3275.7358999999997</v>
      </c>
      <c r="D931" s="198">
        <v>142.6</v>
      </c>
    </row>
    <row r="932" spans="2:11">
      <c r="B932" s="92">
        <v>2024</v>
      </c>
      <c r="C932" s="209">
        <f t="shared" si="13"/>
        <v>9464.2579999999998</v>
      </c>
      <c r="D932" s="198">
        <v>412</v>
      </c>
    </row>
    <row r="933" spans="2:11">
      <c r="B933" s="92">
        <v>2025</v>
      </c>
      <c r="C933" s="209">
        <f t="shared" si="13"/>
        <v>5974.8871499999996</v>
      </c>
      <c r="D933" s="198">
        <v>260.10000000000002</v>
      </c>
    </row>
    <row r="934" spans="2:11" ht="13.5" thickBot="1">
      <c r="B934" s="93">
        <v>2026</v>
      </c>
      <c r="C934" s="209">
        <f t="shared" si="13"/>
        <v>232.01214999999996</v>
      </c>
      <c r="D934" s="198">
        <v>10.1</v>
      </c>
    </row>
    <row r="935" spans="2:11" ht="13.5" thickBot="1">
      <c r="B935" s="176" t="s">
        <v>34</v>
      </c>
      <c r="C935" s="232">
        <f>SUM(C928:C934)</f>
        <v>26111.704049999993</v>
      </c>
      <c r="D935" s="208">
        <f>SUM(D928:D934)</f>
        <v>1136.6999999999998</v>
      </c>
    </row>
    <row r="936" spans="2:11">
      <c r="B936" s="86"/>
      <c r="C936" s="212"/>
      <c r="D936" s="212"/>
    </row>
    <row r="937" spans="2:11">
      <c r="B937" s="86"/>
      <c r="C937" s="159"/>
      <c r="D937" s="196"/>
      <c r="K937" s="193"/>
    </row>
    <row r="938" spans="2:11">
      <c r="G938" s="86" t="s">
        <v>141</v>
      </c>
      <c r="H938" s="111">
        <f>Model!AD218</f>
        <v>4.2531111508068153E-2</v>
      </c>
      <c r="K938" s="190" t="s">
        <v>2</v>
      </c>
    </row>
    <row r="939" spans="2:11">
      <c r="G939" s="86" t="s">
        <v>142</v>
      </c>
      <c r="H939" s="111">
        <f>AVERAGE(Model!AA219:AD219)</f>
        <v>5.1165355253538339E-2</v>
      </c>
      <c r="J939" s="194" t="s">
        <v>4</v>
      </c>
      <c r="K939" s="190"/>
    </row>
    <row r="940" spans="2:11" ht="25.5">
      <c r="B940" s="128">
        <v>43921</v>
      </c>
      <c r="C940" s="128" t="s">
        <v>111</v>
      </c>
      <c r="D940" s="128" t="s">
        <v>2</v>
      </c>
      <c r="E940" s="35" t="s">
        <v>112</v>
      </c>
      <c r="F940" s="35" t="s">
        <v>112</v>
      </c>
      <c r="G940" s="35"/>
      <c r="J940" s="230">
        <v>43830</v>
      </c>
      <c r="K940" s="191">
        <v>1163</v>
      </c>
    </row>
    <row r="941" spans="2:11">
      <c r="B941" s="112" t="s">
        <v>64</v>
      </c>
      <c r="C941" s="200">
        <f t="shared" ref="C941:C948" si="14">D941/$H$938</f>
        <v>6277.7573999999995</v>
      </c>
      <c r="D941" s="127">
        <v>267</v>
      </c>
      <c r="E941" s="199"/>
      <c r="F941" s="199"/>
      <c r="G941" s="199"/>
      <c r="J941" s="189"/>
      <c r="K941" s="201">
        <v>1.8</v>
      </c>
    </row>
    <row r="942" spans="2:11">
      <c r="B942" s="112" t="s">
        <v>65</v>
      </c>
      <c r="C942" s="200">
        <f t="shared" si="14"/>
        <v>9404.8799999999992</v>
      </c>
      <c r="D942" s="127">
        <v>400</v>
      </c>
      <c r="E942" s="113"/>
      <c r="F942" s="113"/>
      <c r="G942" s="113"/>
      <c r="J942" s="188" t="s">
        <v>5</v>
      </c>
    </row>
    <row r="943" spans="2:11">
      <c r="B943" s="112" t="s">
        <v>66</v>
      </c>
      <c r="C943" s="200">
        <f t="shared" si="14"/>
        <v>3087.1518599999999</v>
      </c>
      <c r="D943" s="127">
        <v>131.30000000000001</v>
      </c>
      <c r="E943" s="113"/>
      <c r="F943" s="113"/>
      <c r="G943" s="113"/>
      <c r="J943" s="188" t="s">
        <v>7</v>
      </c>
    </row>
    <row r="944" spans="2:11">
      <c r="B944" s="112" t="s">
        <v>91</v>
      </c>
      <c r="C944" s="200">
        <f t="shared" si="14"/>
        <v>5878.05</v>
      </c>
      <c r="D944" s="127">
        <v>250</v>
      </c>
      <c r="E944" s="113"/>
      <c r="F944" s="113"/>
      <c r="G944" s="113"/>
      <c r="J944" s="236"/>
    </row>
    <row r="945" spans="2:10">
      <c r="B945" s="112" t="s">
        <v>102</v>
      </c>
      <c r="C945" s="200">
        <f t="shared" si="14"/>
        <v>940.48799999999994</v>
      </c>
      <c r="D945" s="127">
        <v>40</v>
      </c>
      <c r="E945" s="113"/>
      <c r="F945" s="113"/>
      <c r="G945" s="113"/>
    </row>
    <row r="946" spans="2:10">
      <c r="B946" s="112" t="s">
        <v>126</v>
      </c>
      <c r="C946" s="200">
        <f t="shared" si="14"/>
        <v>3000.15672</v>
      </c>
      <c r="D946" s="127">
        <v>127.6</v>
      </c>
      <c r="E946" s="113"/>
      <c r="F946" s="113"/>
      <c r="G946" s="113"/>
    </row>
    <row r="947" spans="2:10">
      <c r="B947" s="112" t="s">
        <v>104</v>
      </c>
      <c r="C947" s="200">
        <f t="shared" si="14"/>
        <v>2000.8882199999998</v>
      </c>
      <c r="D947" s="127">
        <v>85.1</v>
      </c>
      <c r="E947" s="113"/>
      <c r="F947" s="113"/>
      <c r="G947" s="113"/>
    </row>
    <row r="948" spans="2:10">
      <c r="B948" s="112" t="s">
        <v>74</v>
      </c>
      <c r="C948" s="200">
        <f t="shared" si="14"/>
        <v>1718.7418199999997</v>
      </c>
      <c r="D948" s="127">
        <f>12+61.1</f>
        <v>73.099999999999994</v>
      </c>
      <c r="E948" s="113"/>
      <c r="F948" s="113"/>
      <c r="G948" s="113"/>
    </row>
    <row r="949" spans="2:10">
      <c r="B949" s="44" t="s">
        <v>17</v>
      </c>
      <c r="C949" s="129">
        <f>SUM(C941:C948)</f>
        <v>32308.114019999997</v>
      </c>
      <c r="D949" s="129">
        <f>SUM(D941:D948)</f>
        <v>1374.0999999999997</v>
      </c>
      <c r="E949" s="45">
        <f>+C949/C954</f>
        <v>2.4546508144658863</v>
      </c>
      <c r="F949" s="45">
        <f>+D949/D954</f>
        <v>2.0404241695595222</v>
      </c>
      <c r="G949" s="45"/>
      <c r="J949" s="207"/>
    </row>
    <row r="950" spans="2:10">
      <c r="B950" s="43" t="s">
        <v>18</v>
      </c>
      <c r="C950" s="130">
        <f>Model!AD113</f>
        <v>5822.5630000000001</v>
      </c>
      <c r="D950" s="130">
        <f>C950*$H$938</f>
        <v>247.64007621575183</v>
      </c>
      <c r="E950" s="46"/>
      <c r="F950" s="46"/>
      <c r="G950" s="46"/>
    </row>
    <row r="951" spans="2:10">
      <c r="B951" s="44" t="s">
        <v>19</v>
      </c>
      <c r="C951" s="129">
        <f>+C949-C950</f>
        <v>26485.551019999999</v>
      </c>
      <c r="D951" s="129">
        <f>+D949-D950</f>
        <v>1126.4599237842478</v>
      </c>
      <c r="E951" s="45">
        <f>+C951/C954</f>
        <v>2.0122740480170185</v>
      </c>
      <c r="F951" s="45">
        <f>+D951/D954</f>
        <v>1.6726992609923275</v>
      </c>
      <c r="G951" s="45"/>
      <c r="H951" s="170"/>
    </row>
    <row r="952" spans="2:10">
      <c r="B952" s="89" t="s">
        <v>20</v>
      </c>
      <c r="C952" s="130">
        <f>Model!AD135</f>
        <v>29439.578000000001</v>
      </c>
      <c r="D952" s="130">
        <f>C952*$H$938</f>
        <v>1252.09797466847</v>
      </c>
      <c r="G952" s="90"/>
    </row>
    <row r="953" spans="2:10">
      <c r="B953" s="89" t="s">
        <v>21</v>
      </c>
      <c r="C953" s="131">
        <f>C952+C949</f>
        <v>61747.692020000002</v>
      </c>
      <c r="D953" s="131">
        <f>D952+D949</f>
        <v>2626.1979746684697</v>
      </c>
    </row>
    <row r="954" spans="2:10">
      <c r="B954" s="43" t="s">
        <v>22</v>
      </c>
      <c r="C954" s="229">
        <f>Model!AD88</f>
        <v>13162</v>
      </c>
      <c r="D954" s="130">
        <f>C954*H939</f>
        <v>673.43840584707164</v>
      </c>
    </row>
    <row r="957" spans="2:10" ht="13.5" thickBot="1"/>
    <row r="958" spans="2:10">
      <c r="B958" s="106" t="s">
        <v>143</v>
      </c>
      <c r="C958" s="182" t="s">
        <v>114</v>
      </c>
      <c r="D958" s="182" t="s">
        <v>53</v>
      </c>
    </row>
    <row r="959" spans="2:10">
      <c r="B959" s="107" t="s">
        <v>54</v>
      </c>
      <c r="C959" s="183">
        <v>0</v>
      </c>
      <c r="D959" s="183">
        <v>0</v>
      </c>
    </row>
    <row r="960" spans="2:10">
      <c r="B960" s="107" t="s">
        <v>30</v>
      </c>
      <c r="C960" s="183">
        <f>C950</f>
        <v>5822.5630000000001</v>
      </c>
      <c r="D960" s="183">
        <f>+D950</f>
        <v>247.64007621575183</v>
      </c>
    </row>
    <row r="961" spans="2:11" ht="13.5" thickBot="1">
      <c r="B961" s="108" t="s">
        <v>31</v>
      </c>
      <c r="C961" s="184">
        <f>SUM(C959:C960)</f>
        <v>5822.5630000000001</v>
      </c>
      <c r="D961" s="184">
        <f>SUM(D959:D960)</f>
        <v>247.64007621575183</v>
      </c>
    </row>
    <row r="963" spans="2:11">
      <c r="C963" s="38"/>
    </row>
    <row r="964" spans="2:11" ht="13.5" thickBot="1"/>
    <row r="965" spans="2:11" ht="13.5" thickBot="1">
      <c r="B965" s="176" t="s">
        <v>144</v>
      </c>
      <c r="C965" s="231" t="s">
        <v>114</v>
      </c>
      <c r="D965" s="178" t="s">
        <v>53</v>
      </c>
    </row>
    <row r="966" spans="2:11">
      <c r="B966" s="92">
        <v>2020</v>
      </c>
      <c r="C966" s="209">
        <f t="shared" ref="C966:C972" si="15">D966/$H$938</f>
        <v>891.11237999999992</v>
      </c>
      <c r="D966" s="198">
        <v>37.9</v>
      </c>
    </row>
    <row r="967" spans="2:11">
      <c r="B967" s="92">
        <v>2021</v>
      </c>
      <c r="C967" s="209">
        <f t="shared" si="15"/>
        <v>2670.9859199999996</v>
      </c>
      <c r="D967" s="198">
        <v>113.6</v>
      </c>
    </row>
    <row r="968" spans="2:11">
      <c r="B968" s="92">
        <v>2022</v>
      </c>
      <c r="C968" s="209">
        <f t="shared" si="15"/>
        <v>3162.3908999999999</v>
      </c>
      <c r="D968" s="198">
        <v>134.5</v>
      </c>
    </row>
    <row r="969" spans="2:11">
      <c r="B969" s="92">
        <v>2023</v>
      </c>
      <c r="C969" s="209">
        <f t="shared" si="15"/>
        <v>3277.60068</v>
      </c>
      <c r="D969" s="198">
        <v>139.4</v>
      </c>
    </row>
    <row r="970" spans="2:11">
      <c r="B970" s="92">
        <v>2024</v>
      </c>
      <c r="C970" s="209">
        <f t="shared" si="15"/>
        <v>9682.3239599999997</v>
      </c>
      <c r="D970" s="198">
        <v>411.8</v>
      </c>
    </row>
    <row r="971" spans="2:11">
      <c r="B971" s="92">
        <v>2025</v>
      </c>
      <c r="C971" s="209">
        <f t="shared" si="15"/>
        <v>6110.8207799999991</v>
      </c>
      <c r="D971" s="198">
        <v>259.89999999999998</v>
      </c>
    </row>
    <row r="972" spans="2:11" ht="13.5" thickBot="1">
      <c r="B972" s="93">
        <v>2026</v>
      </c>
      <c r="C972" s="209">
        <f t="shared" si="15"/>
        <v>232.77078</v>
      </c>
      <c r="D972" s="198">
        <v>9.9</v>
      </c>
    </row>
    <row r="973" spans="2:11" ht="13.5" thickBot="1">
      <c r="B973" s="176" t="s">
        <v>34</v>
      </c>
      <c r="C973" s="232">
        <f>SUM(C966:C972)</f>
        <v>26028.005399999998</v>
      </c>
      <c r="D973" s="208">
        <f>SUM(D966:D972)</f>
        <v>1107</v>
      </c>
    </row>
    <row r="974" spans="2:11">
      <c r="B974" s="86"/>
      <c r="C974" s="212"/>
      <c r="D974" s="212"/>
      <c r="K974" s="193"/>
    </row>
    <row r="975" spans="2:11">
      <c r="B975" s="86"/>
      <c r="C975" s="159"/>
      <c r="D975" s="196"/>
      <c r="K975" s="190" t="s">
        <v>2</v>
      </c>
    </row>
    <row r="976" spans="2:11">
      <c r="G976" s="86" t="s">
        <v>145</v>
      </c>
      <c r="H976" s="111">
        <f>Model!AC218</f>
        <v>5.3063910173412866E-2</v>
      </c>
      <c r="K976" s="190"/>
    </row>
    <row r="977" spans="2:11">
      <c r="G977" s="86" t="s">
        <v>146</v>
      </c>
      <c r="H977" s="111">
        <f>AVERAGE(Model!Z219:AC219)</f>
        <v>5.2243477543353213E-2</v>
      </c>
      <c r="J977" s="194" t="s">
        <v>4</v>
      </c>
      <c r="K977" s="191">
        <v>1230</v>
      </c>
    </row>
    <row r="978" spans="2:11" ht="25.5">
      <c r="B978" s="128">
        <v>43830</v>
      </c>
      <c r="C978" s="128" t="s">
        <v>111</v>
      </c>
      <c r="D978" s="128" t="s">
        <v>2</v>
      </c>
      <c r="E978" s="35" t="s">
        <v>112</v>
      </c>
      <c r="F978" s="35" t="s">
        <v>112</v>
      </c>
      <c r="G978" s="35" t="s">
        <v>147</v>
      </c>
      <c r="J978" s="230">
        <v>43738</v>
      </c>
      <c r="K978" s="201">
        <v>1.8</v>
      </c>
    </row>
    <row r="979" spans="2:11">
      <c r="B979" s="112" t="s">
        <v>64</v>
      </c>
      <c r="C979" s="200">
        <f>D979/$H$976</f>
        <v>5012.8231999999989</v>
      </c>
      <c r="D979" s="127">
        <v>266</v>
      </c>
      <c r="E979" s="199"/>
      <c r="F979" s="199"/>
      <c r="G979" s="199"/>
      <c r="J979" s="189"/>
    </row>
    <row r="980" spans="2:11">
      <c r="B980" s="112" t="s">
        <v>65</v>
      </c>
      <c r="C980" s="200">
        <f t="shared" ref="C980:C986" si="16">D980/$H$976</f>
        <v>7538.079999999999</v>
      </c>
      <c r="D980" s="127">
        <v>400</v>
      </c>
      <c r="E980" s="113"/>
      <c r="F980" s="113"/>
      <c r="G980" s="113"/>
      <c r="J980" s="188" t="s">
        <v>5</v>
      </c>
    </row>
    <row r="981" spans="2:11">
      <c r="B981" s="112" t="s">
        <v>66</v>
      </c>
      <c r="C981" s="200">
        <f t="shared" si="16"/>
        <v>2474.3747599999997</v>
      </c>
      <c r="D981" s="127">
        <v>131.30000000000001</v>
      </c>
      <c r="E981" s="113"/>
      <c r="F981" s="113"/>
      <c r="G981" s="113"/>
      <c r="J981" s="188" t="s">
        <v>7</v>
      </c>
    </row>
    <row r="982" spans="2:11">
      <c r="B982" s="112" t="s">
        <v>91</v>
      </c>
      <c r="C982" s="200">
        <f t="shared" si="16"/>
        <v>4711.2999999999993</v>
      </c>
      <c r="D982" s="127">
        <v>250</v>
      </c>
      <c r="E982" s="113"/>
      <c r="F982" s="113"/>
      <c r="G982" s="113"/>
    </row>
    <row r="983" spans="2:11">
      <c r="B983" s="112" t="s">
        <v>102</v>
      </c>
      <c r="C983" s="200">
        <f t="shared" si="16"/>
        <v>753.80799999999988</v>
      </c>
      <c r="D983" s="127">
        <v>40</v>
      </c>
      <c r="E983" s="113"/>
      <c r="F983" s="113"/>
      <c r="G983" s="113"/>
    </row>
    <row r="984" spans="2:11">
      <c r="B984" s="112" t="s">
        <v>126</v>
      </c>
      <c r="C984" s="200">
        <f t="shared" si="16"/>
        <v>3000.1558399999994</v>
      </c>
      <c r="D984" s="127">
        <v>159.19999999999999</v>
      </c>
      <c r="E984" s="113"/>
      <c r="F984" s="113"/>
      <c r="G984" s="113"/>
    </row>
    <row r="985" spans="2:11">
      <c r="B985" s="112" t="s">
        <v>104</v>
      </c>
      <c r="C985" s="200">
        <f t="shared" si="16"/>
        <v>1999.4757199999997</v>
      </c>
      <c r="D985" s="127">
        <v>106.1</v>
      </c>
      <c r="E985" s="113"/>
      <c r="F985" s="113"/>
      <c r="G985" s="113"/>
    </row>
    <row r="986" spans="2:11">
      <c r="B986" s="112" t="s">
        <v>74</v>
      </c>
      <c r="C986" s="200">
        <f t="shared" si="16"/>
        <v>1264.5129199999997</v>
      </c>
      <c r="D986" s="127">
        <f>5+62.1</f>
        <v>67.099999999999994</v>
      </c>
      <c r="E986" s="113"/>
      <c r="F986" s="113"/>
      <c r="G986" s="113"/>
      <c r="J986" s="207"/>
    </row>
    <row r="987" spans="2:11">
      <c r="B987" s="44" t="s">
        <v>17</v>
      </c>
      <c r="C987" s="129">
        <f>SUM(C979:C986)</f>
        <v>26754.530439999995</v>
      </c>
      <c r="D987" s="129">
        <f>SUM(D979:D986)</f>
        <v>1419.6999999999998</v>
      </c>
      <c r="E987" s="45">
        <f>+C987/C992</f>
        <v>2.1355787388250316</v>
      </c>
      <c r="F987" s="45">
        <f>+D987/D992</f>
        <v>2.1691159106172377</v>
      </c>
      <c r="G987" s="45">
        <f>+D987/D992</f>
        <v>2.1691159106172377</v>
      </c>
    </row>
    <row r="988" spans="2:11">
      <c r="B988" s="43" t="s">
        <v>18</v>
      </c>
      <c r="C988" s="130">
        <f>Model!AC113</f>
        <v>3818.1809999999969</v>
      </c>
      <c r="D988" s="130">
        <f>C988*$H$976</f>
        <v>202.60761360983153</v>
      </c>
      <c r="E988" s="46"/>
      <c r="F988" s="46"/>
      <c r="G988" s="46"/>
    </row>
    <row r="989" spans="2:11">
      <c r="B989" s="44" t="s">
        <v>19</v>
      </c>
      <c r="C989" s="129">
        <f>+C987-C988</f>
        <v>22936.349439999998</v>
      </c>
      <c r="D989" s="129">
        <f>+D987-D988</f>
        <v>1217.0923863901683</v>
      </c>
      <c r="E989" s="45">
        <f>+C989/C992</f>
        <v>1.8308069476372923</v>
      </c>
      <c r="F989" s="45">
        <f>+D989/D992</f>
        <v>1.8595579770444579</v>
      </c>
      <c r="G989" s="45">
        <f>+D989/D992</f>
        <v>1.8595579770444579</v>
      </c>
      <c r="H989" s="170"/>
    </row>
    <row r="990" spans="2:11">
      <c r="B990" s="89" t="s">
        <v>20</v>
      </c>
      <c r="C990" s="130">
        <f>Model!AC135</f>
        <v>25941.478999999999</v>
      </c>
      <c r="D990" s="130">
        <f>C990*$H$976</f>
        <v>1376.5563114214763</v>
      </c>
      <c r="G990" s="90"/>
    </row>
    <row r="991" spans="2:11">
      <c r="B991" s="89" t="s">
        <v>21</v>
      </c>
      <c r="C991" s="131">
        <f>C990+C987</f>
        <v>52696.009439999994</v>
      </c>
      <c r="D991" s="131">
        <f>D990+D987</f>
        <v>2796.2563114214763</v>
      </c>
    </row>
    <row r="992" spans="2:11">
      <c r="B992" s="43" t="s">
        <v>22</v>
      </c>
      <c r="C992" s="229">
        <f>Model!AC88</f>
        <v>12528</v>
      </c>
      <c r="D992" s="130">
        <f>C992*H977</f>
        <v>654.506286663129</v>
      </c>
    </row>
    <row r="995" spans="2:4" ht="13.5" thickBot="1"/>
    <row r="996" spans="2:4">
      <c r="B996" s="106" t="s">
        <v>148</v>
      </c>
      <c r="C996" s="182" t="s">
        <v>114</v>
      </c>
      <c r="D996" s="182" t="s">
        <v>53</v>
      </c>
    </row>
    <row r="997" spans="2:4">
      <c r="B997" s="107" t="s">
        <v>54</v>
      </c>
      <c r="C997" s="183">
        <v>0</v>
      </c>
      <c r="D997" s="183">
        <v>0</v>
      </c>
    </row>
    <row r="998" spans="2:4">
      <c r="B998" s="107" t="s">
        <v>30</v>
      </c>
      <c r="C998" s="183">
        <f>C988</f>
        <v>3818.1809999999969</v>
      </c>
      <c r="D998" s="183">
        <f>+D988</f>
        <v>202.60761360983153</v>
      </c>
    </row>
    <row r="999" spans="2:4" ht="13.5" thickBot="1">
      <c r="B999" s="108" t="s">
        <v>31</v>
      </c>
      <c r="C999" s="184">
        <f>SUM(C997:C998)</f>
        <v>3818.1809999999969</v>
      </c>
      <c r="D999" s="184">
        <f>SUM(D997:D998)</f>
        <v>202.60761360983153</v>
      </c>
    </row>
    <row r="1001" spans="2:4">
      <c r="C1001" s="38"/>
    </row>
    <row r="1002" spans="2:4" ht="13.5" thickBot="1"/>
    <row r="1003" spans="2:4" ht="13.5" thickBot="1">
      <c r="B1003" s="176" t="s">
        <v>149</v>
      </c>
      <c r="C1003" s="231" t="s">
        <v>114</v>
      </c>
      <c r="D1003" s="178" t="s">
        <v>53</v>
      </c>
    </row>
    <row r="1004" spans="2:4">
      <c r="B1004" s="92">
        <v>2020</v>
      </c>
      <c r="C1004" s="209">
        <f>D1004/$H$976</f>
        <v>587.97023999999988</v>
      </c>
      <c r="D1004" s="198">
        <v>31.2</v>
      </c>
    </row>
    <row r="1005" spans="2:4">
      <c r="B1005" s="92">
        <v>2021</v>
      </c>
      <c r="C1005" s="209">
        <f t="shared" ref="C1005:C1010" si="17">D1005/$H$976</f>
        <v>2538.4484399999992</v>
      </c>
      <c r="D1005" s="198">
        <v>134.69999999999999</v>
      </c>
    </row>
    <row r="1006" spans="2:4">
      <c r="B1006" s="92">
        <v>2022</v>
      </c>
      <c r="C1006" s="209">
        <f t="shared" si="17"/>
        <v>2536.5639199999996</v>
      </c>
      <c r="D1006" s="198">
        <v>134.6</v>
      </c>
    </row>
    <row r="1007" spans="2:4">
      <c r="B1007" s="92">
        <v>2023</v>
      </c>
      <c r="C1007" s="209">
        <f t="shared" si="17"/>
        <v>3226.2982399999992</v>
      </c>
      <c r="D1007" s="198">
        <v>171.2</v>
      </c>
    </row>
    <row r="1008" spans="2:4">
      <c r="B1008" s="92">
        <v>2024</v>
      </c>
      <c r="C1008" s="209">
        <f t="shared" si="17"/>
        <v>7762.3378799999982</v>
      </c>
      <c r="D1008" s="198">
        <v>411.9</v>
      </c>
    </row>
    <row r="1009" spans="2:11">
      <c r="B1009" s="92">
        <v>2025</v>
      </c>
      <c r="C1009" s="209">
        <f t="shared" si="17"/>
        <v>4901.63652</v>
      </c>
      <c r="D1009" s="198">
        <v>260.10000000000002</v>
      </c>
    </row>
    <row r="1010" spans="2:11" ht="13.5" thickBot="1">
      <c r="B1010" s="93">
        <v>2026</v>
      </c>
      <c r="C1010" s="209">
        <f t="shared" si="17"/>
        <v>190.33651999999998</v>
      </c>
      <c r="D1010" s="198">
        <v>10.1</v>
      </c>
    </row>
    <row r="1011" spans="2:11" ht="13.5" thickBot="1">
      <c r="B1011" s="176" t="s">
        <v>34</v>
      </c>
      <c r="C1011" s="232">
        <f>SUM(C1004:C1010)</f>
        <v>21743.591759999996</v>
      </c>
      <c r="D1011" s="208">
        <f>SUM(D1004:D1010)</f>
        <v>1153.7999999999997</v>
      </c>
    </row>
    <row r="1012" spans="2:11">
      <c r="B1012" s="86"/>
      <c r="C1012" s="212"/>
      <c r="D1012" s="212"/>
    </row>
    <row r="1013" spans="2:11">
      <c r="B1013" s="86"/>
      <c r="C1013" s="159"/>
      <c r="D1013" s="196"/>
    </row>
    <row r="1014" spans="2:11">
      <c r="G1014" s="86" t="s">
        <v>145</v>
      </c>
      <c r="H1014" s="111">
        <f>Model!AB218</f>
        <v>5.0926090964183685E-2</v>
      </c>
      <c r="J1014" s="194" t="s">
        <v>4</v>
      </c>
    </row>
    <row r="1015" spans="2:11">
      <c r="G1015" s="86" t="s">
        <v>146</v>
      </c>
      <c r="H1015" s="111">
        <f>AVERAGE(Model!Y219:AB219)</f>
        <v>5.1589999999999997E-2</v>
      </c>
      <c r="J1015" s="189">
        <v>43646</v>
      </c>
    </row>
    <row r="1016" spans="2:11" ht="25.5">
      <c r="B1016" s="128">
        <v>43738</v>
      </c>
      <c r="C1016" s="128" t="s">
        <v>111</v>
      </c>
      <c r="D1016" s="128" t="s">
        <v>2</v>
      </c>
      <c r="E1016" s="35" t="s">
        <v>112</v>
      </c>
      <c r="F1016" s="35" t="s">
        <v>112</v>
      </c>
      <c r="G1016" s="35" t="s">
        <v>147</v>
      </c>
      <c r="J1016" s="189"/>
    </row>
    <row r="1017" spans="2:11">
      <c r="B1017" s="112" t="s">
        <v>64</v>
      </c>
      <c r="C1017" s="200">
        <f>D1017/$H$1014</f>
        <v>4261.0770999999995</v>
      </c>
      <c r="D1017" s="127">
        <v>217</v>
      </c>
      <c r="E1017" s="199"/>
      <c r="F1017" s="199"/>
      <c r="G1017" s="199"/>
      <c r="J1017" s="188" t="s">
        <v>5</v>
      </c>
    </row>
    <row r="1018" spans="2:11">
      <c r="B1018" s="112" t="s">
        <v>65</v>
      </c>
      <c r="C1018" s="200">
        <f t="shared" ref="C1018:C1023" si="18">D1018/$H$1014</f>
        <v>7854.5199999999995</v>
      </c>
      <c r="D1018" s="127">
        <v>400</v>
      </c>
      <c r="E1018" s="113"/>
      <c r="F1018" s="113"/>
      <c r="G1018" s="113"/>
      <c r="J1018" s="188" t="s">
        <v>7</v>
      </c>
      <c r="K1018" s="193"/>
    </row>
    <row r="1019" spans="2:11">
      <c r="B1019" s="112" t="s">
        <v>66</v>
      </c>
      <c r="C1019" s="200">
        <f t="shared" si="18"/>
        <v>2798.1727499999997</v>
      </c>
      <c r="D1019" s="127">
        <v>142.5</v>
      </c>
      <c r="E1019" s="113"/>
      <c r="F1019" s="113"/>
      <c r="G1019" s="113"/>
      <c r="K1019" s="190" t="s">
        <v>2</v>
      </c>
    </row>
    <row r="1020" spans="2:11">
      <c r="B1020" s="112" t="s">
        <v>102</v>
      </c>
      <c r="C1020" s="200">
        <f t="shared" si="18"/>
        <v>2356.3559999999998</v>
      </c>
      <c r="D1020" s="127">
        <v>120</v>
      </c>
      <c r="E1020" s="113"/>
      <c r="F1020" s="113"/>
      <c r="G1020" s="113"/>
      <c r="K1020" s="190"/>
    </row>
    <row r="1021" spans="2:11">
      <c r="B1021" s="112" t="s">
        <v>126</v>
      </c>
      <c r="C1021" s="200">
        <f t="shared" si="18"/>
        <v>3000.4266400000001</v>
      </c>
      <c r="D1021" s="127">
        <v>152.80000000000001</v>
      </c>
      <c r="E1021" s="113"/>
      <c r="F1021" s="113"/>
      <c r="G1021" s="113"/>
      <c r="K1021" s="191">
        <v>1139</v>
      </c>
    </row>
    <row r="1022" spans="2:11">
      <c r="B1022" s="112" t="s">
        <v>104</v>
      </c>
      <c r="C1022" s="200">
        <f t="shared" si="18"/>
        <v>2000.9389699999999</v>
      </c>
      <c r="D1022" s="127">
        <v>101.9</v>
      </c>
      <c r="E1022" s="113"/>
      <c r="F1022" s="113"/>
      <c r="G1022" s="113"/>
      <c r="K1022" s="201" t="s">
        <v>150</v>
      </c>
    </row>
    <row r="1023" spans="2:11">
      <c r="B1023" s="112" t="s">
        <v>74</v>
      </c>
      <c r="C1023" s="200">
        <f t="shared" si="18"/>
        <v>4818.74802</v>
      </c>
      <c r="D1023" s="127">
        <f>227.6+5+12.8</f>
        <v>245.4</v>
      </c>
      <c r="E1023" s="113"/>
      <c r="F1023" s="113"/>
      <c r="G1023" s="113"/>
      <c r="J1023" s="207"/>
      <c r="K1023" s="201">
        <v>1.9</v>
      </c>
    </row>
    <row r="1024" spans="2:11">
      <c r="B1024" s="44" t="s">
        <v>17</v>
      </c>
      <c r="C1024" s="129">
        <f>SUM(C1017:C1023)</f>
        <v>27090.239479999997</v>
      </c>
      <c r="D1024" s="129">
        <f>SUM(D1017:D1023)</f>
        <v>1379.6000000000001</v>
      </c>
      <c r="E1024" s="45">
        <f>+C1024/C1029</f>
        <v>2.2065846281664898</v>
      </c>
      <c r="F1024" s="45">
        <f>+D1024/D1029</f>
        <v>2.178188204965616</v>
      </c>
      <c r="G1024" s="45">
        <f>+D1024/D1029</f>
        <v>2.178188204965616</v>
      </c>
    </row>
    <row r="1025" spans="2:8">
      <c r="B1025" s="43" t="s">
        <v>18</v>
      </c>
      <c r="C1025" s="130">
        <f>Model!AB113</f>
        <v>4594.0969999999979</v>
      </c>
      <c r="D1025" s="130">
        <f>C1025*$H$1014</f>
        <v>233.95940172028327</v>
      </c>
      <c r="E1025" s="46"/>
      <c r="F1025" s="46"/>
      <c r="G1025" s="46"/>
    </row>
    <row r="1026" spans="2:8">
      <c r="B1026" s="44" t="s">
        <v>19</v>
      </c>
      <c r="C1026" s="129">
        <f>+C1024-C1025</f>
        <v>22496.142479999999</v>
      </c>
      <c r="D1026" s="129">
        <f>+D1024-D1025</f>
        <v>1145.6405982797169</v>
      </c>
      <c r="E1026" s="45">
        <f>+C1026/C1029</f>
        <v>1.8323810768102955</v>
      </c>
      <c r="F1026" s="45">
        <f>+D1026/D1029</f>
        <v>1.8088002597148669</v>
      </c>
      <c r="G1026" s="45">
        <f>+D1026/D1029</f>
        <v>1.8088002597148669</v>
      </c>
      <c r="H1026" s="170"/>
    </row>
    <row r="1027" spans="2:8">
      <c r="B1027" s="89" t="s">
        <v>20</v>
      </c>
      <c r="C1027" s="130">
        <f>Model!AB135</f>
        <v>25875.958999999999</v>
      </c>
      <c r="D1027" s="130">
        <f>C1027*$H$1014</f>
        <v>1317.7614418194873</v>
      </c>
      <c r="G1027" s="90"/>
    </row>
    <row r="1028" spans="2:8">
      <c r="B1028" s="89" t="s">
        <v>21</v>
      </c>
      <c r="C1028" s="130">
        <f>D1028/$H$1014</f>
        <v>52966.198479999999</v>
      </c>
      <c r="D1028" s="131">
        <f>D1027+D1024</f>
        <v>2697.3614418194875</v>
      </c>
      <c r="G1028" s="90"/>
    </row>
    <row r="1029" spans="2:8">
      <c r="B1029" s="43" t="s">
        <v>22</v>
      </c>
      <c r="C1029" s="229">
        <f>Model!AB88</f>
        <v>12277</v>
      </c>
      <c r="D1029" s="130">
        <f>C1029*H1015</f>
        <v>633.37042999999994</v>
      </c>
      <c r="G1029" s="228"/>
    </row>
    <row r="1032" spans="2:8" ht="13.5" thickBot="1"/>
    <row r="1033" spans="2:8">
      <c r="B1033" s="106" t="s">
        <v>151</v>
      </c>
      <c r="C1033" s="182" t="s">
        <v>114</v>
      </c>
      <c r="D1033" s="182" t="s">
        <v>53</v>
      </c>
    </row>
    <row r="1034" spans="2:8">
      <c r="B1034" s="107" t="s">
        <v>54</v>
      </c>
      <c r="C1034" s="183">
        <v>0</v>
      </c>
      <c r="D1034" s="183">
        <v>0</v>
      </c>
    </row>
    <row r="1035" spans="2:8">
      <c r="B1035" s="107" t="s">
        <v>30</v>
      </c>
      <c r="C1035" s="183">
        <f>C1025</f>
        <v>4594.0969999999979</v>
      </c>
      <c r="D1035" s="183">
        <f>+D1025</f>
        <v>233.95940172028327</v>
      </c>
    </row>
    <row r="1036" spans="2:8" ht="13.5" thickBot="1">
      <c r="B1036" s="108" t="s">
        <v>31</v>
      </c>
      <c r="C1036" s="184">
        <f>SUM(C1034:C1035)</f>
        <v>4594.0969999999979</v>
      </c>
      <c r="D1036" s="184">
        <f>SUM(D1034:D1035)</f>
        <v>233.95940172028327</v>
      </c>
    </row>
    <row r="1038" spans="2:8">
      <c r="C1038" s="38"/>
    </row>
    <row r="1039" spans="2:8" ht="13.5" thickBot="1"/>
    <row r="1040" spans="2:8" ht="13.5" thickBot="1">
      <c r="B1040" s="176" t="s">
        <v>152</v>
      </c>
      <c r="C1040" s="231" t="s">
        <v>114</v>
      </c>
      <c r="D1040" s="178" t="s">
        <v>53</v>
      </c>
    </row>
    <row r="1041" spans="2:8">
      <c r="B1041" s="92">
        <v>2019</v>
      </c>
      <c r="C1041" s="209">
        <f t="shared" ref="C1041:C1047" si="19">D1041/$H$1014</f>
        <v>4814.8207599999996</v>
      </c>
      <c r="D1041" s="198">
        <v>245.2</v>
      </c>
    </row>
    <row r="1042" spans="2:8">
      <c r="B1042" s="92">
        <v>2020</v>
      </c>
      <c r="C1042" s="209">
        <f t="shared" si="19"/>
        <v>512.50743</v>
      </c>
      <c r="D1042" s="198">
        <v>26.1</v>
      </c>
    </row>
    <row r="1043" spans="2:8">
      <c r="B1043" s="92">
        <v>2021</v>
      </c>
      <c r="C1043" s="209">
        <f t="shared" si="19"/>
        <v>2560.5735199999999</v>
      </c>
      <c r="D1043" s="198">
        <v>130.4</v>
      </c>
    </row>
    <row r="1044" spans="2:8">
      <c r="B1044" s="92">
        <v>2022</v>
      </c>
      <c r="C1044" s="209">
        <f t="shared" si="19"/>
        <v>4015.6233499999998</v>
      </c>
      <c r="D1044" s="198">
        <v>204.5</v>
      </c>
    </row>
    <row r="1045" spans="2:8">
      <c r="B1045" s="92">
        <v>2023</v>
      </c>
      <c r="C1045" s="209">
        <f t="shared" si="19"/>
        <v>3035.7719799999995</v>
      </c>
      <c r="D1045" s="198">
        <v>154.6</v>
      </c>
    </row>
    <row r="1046" spans="2:8">
      <c r="B1046" s="92">
        <v>2024</v>
      </c>
      <c r="C1046" s="209">
        <f t="shared" si="19"/>
        <v>7891.8289699999987</v>
      </c>
      <c r="D1046" s="198">
        <v>401.9</v>
      </c>
    </row>
    <row r="1047" spans="2:8" ht="13.5" thickBot="1">
      <c r="B1047" s="93">
        <v>2025</v>
      </c>
      <c r="C1047" s="209">
        <f t="shared" si="19"/>
        <v>0</v>
      </c>
      <c r="D1047" s="198">
        <v>0</v>
      </c>
    </row>
    <row r="1048" spans="2:8" ht="13.5" thickBot="1">
      <c r="B1048" s="176" t="s">
        <v>34</v>
      </c>
      <c r="C1048" s="232">
        <f>SUM(C1041:C1047)</f>
        <v>22831.12601</v>
      </c>
      <c r="D1048" s="208">
        <f>SUM(D1041:D1047)</f>
        <v>1162.7</v>
      </c>
    </row>
    <row r="1049" spans="2:8">
      <c r="B1049" s="86"/>
      <c r="C1049" s="212"/>
      <c r="D1049" s="212"/>
    </row>
    <row r="1050" spans="2:8">
      <c r="B1050" s="86"/>
      <c r="C1050" s="159"/>
      <c r="D1050" s="196"/>
    </row>
    <row r="1051" spans="2:8">
      <c r="G1051" s="86" t="s">
        <v>153</v>
      </c>
      <c r="H1051" s="111">
        <f>Model!AA218</f>
        <v>5.2168922972585227E-2</v>
      </c>
    </row>
    <row r="1052" spans="2:8">
      <c r="G1052" s="86" t="s">
        <v>154</v>
      </c>
      <c r="H1052" s="111">
        <f>AVERAGE(Model!X219:AA219)</f>
        <v>5.1682499999999999E-2</v>
      </c>
    </row>
    <row r="1053" spans="2:8" ht="25.5">
      <c r="B1053" s="128">
        <v>43646</v>
      </c>
      <c r="C1053" s="128" t="s">
        <v>111</v>
      </c>
      <c r="D1053" s="128" t="s">
        <v>2</v>
      </c>
      <c r="E1053" s="35" t="s">
        <v>112</v>
      </c>
      <c r="F1053" s="35" t="s">
        <v>112</v>
      </c>
      <c r="G1053" s="35" t="s">
        <v>147</v>
      </c>
    </row>
    <row r="1054" spans="2:8">
      <c r="B1054" s="112" t="s">
        <v>64</v>
      </c>
      <c r="C1054" s="200">
        <f t="shared" ref="C1054:C1060" si="20">D1054/$H$1051</f>
        <v>4255.4070000000002</v>
      </c>
      <c r="D1054" s="127">
        <v>222</v>
      </c>
      <c r="E1054" s="199"/>
      <c r="F1054" s="199"/>
      <c r="G1054" s="199"/>
    </row>
    <row r="1055" spans="2:8">
      <c r="B1055" s="112" t="s">
        <v>155</v>
      </c>
      <c r="C1055" s="200">
        <f t="shared" si="20"/>
        <v>7667.4000000000005</v>
      </c>
      <c r="D1055" s="127">
        <v>400</v>
      </c>
      <c r="E1055" s="113"/>
      <c r="F1055" s="113"/>
      <c r="G1055" s="113"/>
    </row>
    <row r="1056" spans="2:8">
      <c r="B1056" s="112" t="s">
        <v>156</v>
      </c>
      <c r="C1056" s="200">
        <f t="shared" si="20"/>
        <v>2731.51125</v>
      </c>
      <c r="D1056" s="127">
        <v>142.5</v>
      </c>
      <c r="E1056" s="113"/>
      <c r="F1056" s="113"/>
      <c r="G1056" s="113"/>
    </row>
    <row r="1057" spans="2:11">
      <c r="B1057" s="112" t="s">
        <v>157</v>
      </c>
      <c r="C1057" s="200">
        <f t="shared" si="20"/>
        <v>2300.2200000000003</v>
      </c>
      <c r="D1057" s="127">
        <v>120</v>
      </c>
      <c r="E1057" s="113"/>
      <c r="F1057" s="113"/>
      <c r="G1057" s="113"/>
    </row>
    <row r="1058" spans="2:11">
      <c r="B1058" s="112" t="s">
        <v>158</v>
      </c>
      <c r="C1058" s="200">
        <f t="shared" si="20"/>
        <v>2999.8702500000004</v>
      </c>
      <c r="D1058" s="127">
        <v>156.5</v>
      </c>
      <c r="E1058" s="113"/>
      <c r="F1058" s="113"/>
      <c r="G1058" s="113"/>
      <c r="J1058" s="194" t="s">
        <v>4</v>
      </c>
    </row>
    <row r="1059" spans="2:11">
      <c r="B1059" s="112" t="s">
        <v>159</v>
      </c>
      <c r="C1059" s="200">
        <f t="shared" si="20"/>
        <v>1999.2745500000001</v>
      </c>
      <c r="D1059" s="127">
        <v>104.3</v>
      </c>
      <c r="E1059" s="113"/>
      <c r="F1059" s="113"/>
      <c r="G1059" s="113"/>
      <c r="J1059" s="189">
        <v>43555</v>
      </c>
    </row>
    <row r="1060" spans="2:11">
      <c r="B1060" s="112" t="s">
        <v>74</v>
      </c>
      <c r="C1060" s="200">
        <f t="shared" si="20"/>
        <v>5871.3115500000004</v>
      </c>
      <c r="D1060" s="127">
        <f>282.8+8+15.5</f>
        <v>306.3</v>
      </c>
      <c r="E1060" s="113"/>
      <c r="F1060" s="113"/>
      <c r="G1060" s="113"/>
      <c r="J1060" s="189"/>
      <c r="K1060" s="193"/>
    </row>
    <row r="1061" spans="2:11">
      <c r="B1061" s="44" t="s">
        <v>17</v>
      </c>
      <c r="C1061" s="129">
        <f>SUM(C1054:C1060)</f>
        <v>27824.994599999998</v>
      </c>
      <c r="D1061" s="129">
        <f>SUM(D1054:D1060)</f>
        <v>1451.6</v>
      </c>
      <c r="E1061" s="45">
        <f>+C1061/C1066</f>
        <v>2.3185563369719189</v>
      </c>
      <c r="F1061" s="45">
        <f>+D1061/D1066</f>
        <v>2.3403780186927374</v>
      </c>
      <c r="G1061" s="45">
        <f>+D1061/D1066</f>
        <v>2.3403780186927374</v>
      </c>
      <c r="J1061" s="188" t="s">
        <v>5</v>
      </c>
      <c r="K1061" s="190" t="s">
        <v>2</v>
      </c>
    </row>
    <row r="1062" spans="2:11">
      <c r="B1062" s="43" t="s">
        <v>18</v>
      </c>
      <c r="C1062" s="130">
        <f>Model!AA113</f>
        <v>4828.5009999999984</v>
      </c>
      <c r="D1062" s="130">
        <f>C1062*$H$1051</f>
        <v>251.89769674205067</v>
      </c>
      <c r="E1062" s="46"/>
      <c r="F1062" s="46"/>
      <c r="G1062" s="46"/>
      <c r="J1062" s="188" t="s">
        <v>7</v>
      </c>
      <c r="K1062" s="191">
        <v>1097</v>
      </c>
    </row>
    <row r="1063" spans="2:11">
      <c r="B1063" s="44" t="s">
        <v>19</v>
      </c>
      <c r="C1063" s="129">
        <f>+C1061-C1062</f>
        <v>22996.493600000002</v>
      </c>
      <c r="D1063" s="129">
        <f>+D1061-D1062</f>
        <v>1199.7023032579493</v>
      </c>
      <c r="E1063" s="45">
        <f>+C1063/C1066</f>
        <v>1.9162147821014917</v>
      </c>
      <c r="F1063" s="45">
        <f>+D1063/D1066</f>
        <v>1.934249724111293</v>
      </c>
      <c r="G1063" s="45">
        <f>+D1063/D1066</f>
        <v>1.934249724111293</v>
      </c>
      <c r="H1063" s="170"/>
      <c r="J1063" s="188" t="s">
        <v>7</v>
      </c>
      <c r="K1063" s="192" t="s">
        <v>150</v>
      </c>
    </row>
    <row r="1064" spans="2:11">
      <c r="B1064" s="89" t="s">
        <v>20</v>
      </c>
      <c r="C1064" s="130">
        <f>Model!AA135</f>
        <v>25060.471000000001</v>
      </c>
      <c r="D1064" s="130">
        <f>C1064*$H$1051</f>
        <v>1307.3777812557059</v>
      </c>
      <c r="G1064" s="90"/>
    </row>
    <row r="1065" spans="2:11">
      <c r="B1065" s="89" t="s">
        <v>21</v>
      </c>
      <c r="C1065" s="130">
        <f>D1065/$H$1051</f>
        <v>52885.465600000003</v>
      </c>
      <c r="D1065" s="131">
        <f>D1064+D1061</f>
        <v>2758.9777812557058</v>
      </c>
      <c r="G1065" s="90"/>
    </row>
    <row r="1066" spans="2:11">
      <c r="B1066" s="43" t="s">
        <v>22</v>
      </c>
      <c r="C1066" s="24">
        <f>Model!AA88</f>
        <v>12001</v>
      </c>
      <c r="D1066" s="203">
        <f>C1066*H1052</f>
        <v>620.24168250000002</v>
      </c>
      <c r="G1066" s="43"/>
    </row>
    <row r="1069" spans="2:11" ht="13.5" thickBot="1"/>
    <row r="1070" spans="2:11" ht="25.5">
      <c r="B1070" s="106" t="s">
        <v>160</v>
      </c>
      <c r="C1070" s="182" t="s">
        <v>89</v>
      </c>
      <c r="D1070" s="156" t="s">
        <v>161</v>
      </c>
    </row>
    <row r="1071" spans="2:11">
      <c r="B1071" s="107" t="s">
        <v>54</v>
      </c>
      <c r="C1071" s="183">
        <v>0</v>
      </c>
      <c r="D1071" s="157">
        <v>0</v>
      </c>
    </row>
    <row r="1072" spans="2:11">
      <c r="B1072" s="107" t="s">
        <v>30</v>
      </c>
      <c r="C1072" s="183">
        <f>+D1062</f>
        <v>251.89769674205067</v>
      </c>
      <c r="D1072" s="157">
        <f>C1062</f>
        <v>4828.5009999999984</v>
      </c>
    </row>
    <row r="1073" spans="2:4" ht="13.5" thickBot="1">
      <c r="B1073" s="108" t="s">
        <v>31</v>
      </c>
      <c r="C1073" s="184">
        <f>SUM(C1071:C1072)</f>
        <v>251.89769674205067</v>
      </c>
      <c r="D1073" s="158">
        <f>SUM(D1071:D1072)</f>
        <v>4828.5009999999984</v>
      </c>
    </row>
    <row r="1075" spans="2:4">
      <c r="C1075" s="38"/>
    </row>
    <row r="1076" spans="2:4" ht="13.5" thickBot="1"/>
    <row r="1077" spans="2:4" ht="26.25" thickBot="1">
      <c r="B1077" s="176" t="s">
        <v>162</v>
      </c>
      <c r="C1077" s="178" t="s">
        <v>89</v>
      </c>
      <c r="D1077" s="177" t="s">
        <v>161</v>
      </c>
    </row>
    <row r="1078" spans="2:4">
      <c r="B1078" s="92">
        <v>2019</v>
      </c>
      <c r="C1078" s="198">
        <v>305.5</v>
      </c>
      <c r="D1078" s="186">
        <f>C1078/$H$1051</f>
        <v>5855.9767500000007</v>
      </c>
    </row>
    <row r="1079" spans="2:4">
      <c r="B1079" s="92">
        <v>2020</v>
      </c>
      <c r="C1079" s="198">
        <v>146.19999999999999</v>
      </c>
      <c r="D1079" s="186">
        <f t="shared" ref="D1079:D1084" si="21">C1079/$H$1051</f>
        <v>2802.4346999999998</v>
      </c>
    </row>
    <row r="1080" spans="2:4">
      <c r="B1080" s="92">
        <v>2021</v>
      </c>
      <c r="C1080" s="198">
        <v>132.9</v>
      </c>
      <c r="D1080" s="186">
        <f t="shared" si="21"/>
        <v>2547.4936500000003</v>
      </c>
    </row>
    <row r="1081" spans="2:4">
      <c r="B1081" s="92">
        <v>2022</v>
      </c>
      <c r="C1081" s="198">
        <v>84.6</v>
      </c>
      <c r="D1081" s="186">
        <f t="shared" si="21"/>
        <v>1621.6550999999999</v>
      </c>
    </row>
    <row r="1082" spans="2:4">
      <c r="B1082" s="92">
        <v>2023</v>
      </c>
      <c r="C1082" s="198">
        <v>158.4</v>
      </c>
      <c r="D1082" s="186">
        <f t="shared" si="21"/>
        <v>3036.2904000000003</v>
      </c>
    </row>
    <row r="1083" spans="2:4">
      <c r="B1083" s="92">
        <v>2024</v>
      </c>
      <c r="C1083" s="198">
        <v>401.9</v>
      </c>
      <c r="D1083" s="186">
        <f t="shared" si="21"/>
        <v>7703.8201500000005</v>
      </c>
    </row>
    <row r="1084" spans="2:4" ht="13.5" thickBot="1">
      <c r="B1084" s="93">
        <v>2025</v>
      </c>
      <c r="C1084" s="198">
        <v>0</v>
      </c>
      <c r="D1084" s="186">
        <f t="shared" si="21"/>
        <v>0</v>
      </c>
    </row>
    <row r="1085" spans="2:4" ht="13.5" thickBot="1">
      <c r="B1085" s="176" t="s">
        <v>34</v>
      </c>
      <c r="C1085" s="208">
        <f>SUM(C1078:C1084)</f>
        <v>1229.5</v>
      </c>
      <c r="D1085" s="208">
        <f>SUM(D1078:D1084)</f>
        <v>23567.670750000001</v>
      </c>
    </row>
    <row r="1086" spans="2:4" ht="13.5" thickBot="1">
      <c r="B1086" s="86"/>
      <c r="C1086" s="159"/>
      <c r="D1086" s="196"/>
    </row>
    <row r="1087" spans="2:4" ht="26.25" thickBot="1">
      <c r="B1087" s="176" t="s">
        <v>163</v>
      </c>
      <c r="C1087" s="178" t="s">
        <v>161</v>
      </c>
      <c r="D1087" s="178" t="s">
        <v>89</v>
      </c>
    </row>
    <row r="1088" spans="2:4">
      <c r="B1088" s="92" t="s">
        <v>164</v>
      </c>
      <c r="C1088" s="198">
        <v>625.71799999999996</v>
      </c>
      <c r="D1088" s="209">
        <f>C1088*$H$1096</f>
        <v>32.38689240738919</v>
      </c>
    </row>
    <row r="1089" spans="2:10">
      <c r="B1089" s="92" t="s">
        <v>165</v>
      </c>
      <c r="C1089" s="198">
        <v>1687.6559999999999</v>
      </c>
      <c r="D1089" s="209">
        <f>C1089*$H$1096</f>
        <v>87.352342896775895</v>
      </c>
    </row>
    <row r="1090" spans="2:10" ht="13.5" thickBot="1">
      <c r="B1090" s="93" t="s">
        <v>166</v>
      </c>
      <c r="C1090" s="204">
        <v>1944.6</v>
      </c>
      <c r="D1090" s="210">
        <f>C1090*$H$1096</f>
        <v>100.65165294175495</v>
      </c>
    </row>
    <row r="1091" spans="2:10" ht="13.5" thickBot="1">
      <c r="B1091" s="176" t="s">
        <v>167</v>
      </c>
      <c r="C1091" s="213">
        <f>SUM(C1088:C1090)</f>
        <v>4257.9740000000002</v>
      </c>
      <c r="D1091" s="208">
        <f>SUM(D1088:D1090)</f>
        <v>220.39088824592002</v>
      </c>
      <c r="G1091" s="86"/>
      <c r="H1091" s="111"/>
    </row>
    <row r="1092" spans="2:10">
      <c r="B1092" s="86"/>
      <c r="C1092" s="212"/>
      <c r="D1092" s="212"/>
      <c r="G1092" s="86"/>
      <c r="H1092" s="111"/>
    </row>
    <row r="1093" spans="2:10">
      <c r="B1093" s="86"/>
      <c r="C1093" s="212"/>
      <c r="D1093" s="212"/>
      <c r="G1093" s="86"/>
      <c r="H1093" s="111"/>
    </row>
    <row r="1094" spans="2:10">
      <c r="B1094" s="86"/>
      <c r="C1094" s="212"/>
      <c r="D1094" s="212"/>
      <c r="G1094" s="86"/>
      <c r="H1094" s="111"/>
    </row>
    <row r="1095" spans="2:10">
      <c r="B1095" s="205"/>
      <c r="C1095" s="206"/>
      <c r="D1095" s="207"/>
      <c r="G1095" s="86"/>
      <c r="H1095" s="111"/>
    </row>
    <row r="1096" spans="2:10">
      <c r="G1096" s="86" t="s">
        <v>168</v>
      </c>
      <c r="H1096" s="111">
        <f>Model!Z218</f>
        <v>5.1759566461871312E-2</v>
      </c>
    </row>
    <row r="1097" spans="2:10">
      <c r="G1097" s="86" t="s">
        <v>169</v>
      </c>
      <c r="H1097" s="111">
        <f>AVERAGE(Model!W219:Z219)</f>
        <v>5.1497499999999995E-2</v>
      </c>
    </row>
    <row r="1098" spans="2:10" ht="25.5">
      <c r="B1098" s="128">
        <v>43555</v>
      </c>
      <c r="C1098" s="128" t="s">
        <v>2</v>
      </c>
      <c r="D1098" s="128" t="s">
        <v>111</v>
      </c>
      <c r="E1098" s="35" t="s">
        <v>147</v>
      </c>
      <c r="F1098" s="35" t="s">
        <v>147</v>
      </c>
      <c r="G1098" s="35" t="s">
        <v>112</v>
      </c>
    </row>
    <row r="1099" spans="2:10">
      <c r="B1099" s="112" t="s">
        <v>64</v>
      </c>
      <c r="C1099" s="127">
        <v>226</v>
      </c>
      <c r="D1099" s="200">
        <f t="shared" ref="D1099:D1104" si="22">C1099/$H$1096</f>
        <v>4366.3425999999999</v>
      </c>
      <c r="E1099" s="199"/>
      <c r="F1099" s="199"/>
      <c r="G1099" s="199"/>
    </row>
    <row r="1100" spans="2:10">
      <c r="B1100" s="112" t="s">
        <v>155</v>
      </c>
      <c r="C1100" s="127">
        <v>400</v>
      </c>
      <c r="D1100" s="200">
        <f t="shared" si="22"/>
        <v>7728.0400000000009</v>
      </c>
      <c r="E1100" s="113"/>
      <c r="F1100" s="113"/>
      <c r="G1100" s="113"/>
      <c r="J1100" s="194" t="s">
        <v>4</v>
      </c>
    </row>
    <row r="1101" spans="2:10">
      <c r="B1101" s="112" t="s">
        <v>156</v>
      </c>
      <c r="C1101" s="127">
        <v>150</v>
      </c>
      <c r="D1101" s="200">
        <f t="shared" si="22"/>
        <v>2898.0150000000003</v>
      </c>
      <c r="E1101" s="113"/>
      <c r="F1101" s="113"/>
      <c r="G1101" s="113"/>
      <c r="J1101" s="189">
        <v>43452</v>
      </c>
    </row>
    <row r="1102" spans="2:10">
      <c r="B1102" s="112" t="s">
        <v>158</v>
      </c>
      <c r="C1102" s="127">
        <v>155.30000000000001</v>
      </c>
      <c r="D1102" s="200">
        <f t="shared" si="22"/>
        <v>3000.4115300000003</v>
      </c>
      <c r="E1102" s="113"/>
      <c r="F1102" s="113"/>
      <c r="G1102" s="113"/>
      <c r="J1102" s="188" t="s">
        <v>5</v>
      </c>
    </row>
    <row r="1103" spans="2:10">
      <c r="B1103" s="112" t="s">
        <v>170</v>
      </c>
      <c r="C1103" s="127">
        <v>103.5</v>
      </c>
      <c r="D1103" s="200">
        <f t="shared" si="22"/>
        <v>1999.6303500000001</v>
      </c>
      <c r="E1103" s="113"/>
      <c r="F1103" s="113"/>
      <c r="G1103" s="113"/>
      <c r="J1103" s="188" t="s">
        <v>7</v>
      </c>
    </row>
    <row r="1104" spans="2:10">
      <c r="B1104" s="112" t="s">
        <v>74</v>
      </c>
      <c r="C1104" s="127">
        <f>301.2+13+16.5</f>
        <v>330.7</v>
      </c>
      <c r="D1104" s="200">
        <f t="shared" si="22"/>
        <v>6389.1570700000002</v>
      </c>
      <c r="E1104" s="113"/>
      <c r="F1104" s="113"/>
      <c r="G1104" s="113"/>
    </row>
    <row r="1105" spans="2:8">
      <c r="B1105" s="44" t="s">
        <v>17</v>
      </c>
      <c r="C1105" s="129">
        <f>SUM(C1099:C1104)</f>
        <v>1365.5</v>
      </c>
      <c r="D1105" s="129">
        <f>SUM(D1099:D1104)</f>
        <v>26381.596550000002</v>
      </c>
      <c r="E1105" s="45">
        <f>+C1105/C1110</f>
        <v>2.2244840842277154</v>
      </c>
      <c r="F1105" s="45">
        <f>+D1105/D1110</f>
        <v>2.2132211870805372</v>
      </c>
      <c r="G1105" s="45">
        <f>+D1105/D1110</f>
        <v>2.2132211870805372</v>
      </c>
    </row>
    <row r="1106" spans="2:8">
      <c r="B1106" s="43" t="s">
        <v>18</v>
      </c>
      <c r="C1106" s="130">
        <f>D1106*$H$1096</f>
        <v>201.07887640333115</v>
      </c>
      <c r="D1106" s="130">
        <f>Model!Z113</f>
        <v>3884.8639999999982</v>
      </c>
      <c r="E1106" s="46"/>
      <c r="F1106" s="46"/>
      <c r="G1106" s="46"/>
    </row>
    <row r="1107" spans="2:8">
      <c r="B1107" s="44" t="s">
        <v>19</v>
      </c>
      <c r="C1107" s="129">
        <f>+C1105-C1106</f>
        <v>1164.4211235966688</v>
      </c>
      <c r="D1107" s="129">
        <f>+D1105-D1106</f>
        <v>22496.732550000004</v>
      </c>
      <c r="E1107" s="45">
        <f>+C1107/C1110</f>
        <v>1.8969141389815771</v>
      </c>
      <c r="F1107" s="45">
        <f>+D1107/D1110</f>
        <v>1.8873097776845642</v>
      </c>
      <c r="G1107" s="45">
        <f>+D1107/D1110</f>
        <v>1.8873097776845642</v>
      </c>
      <c r="H1107" s="170"/>
    </row>
    <row r="1108" spans="2:8">
      <c r="B1108" s="89" t="s">
        <v>20</v>
      </c>
      <c r="C1108" s="130">
        <f>D1108*$H$1096</f>
        <v>1366.2495535737391</v>
      </c>
      <c r="D1108" s="130">
        <f>Model!Z135</f>
        <v>26396.078000000001</v>
      </c>
      <c r="E1108" s="90"/>
      <c r="F1108" s="90"/>
    </row>
    <row r="1109" spans="2:8">
      <c r="B1109" s="89" t="s">
        <v>21</v>
      </c>
      <c r="C1109" s="131">
        <f>C1108+C1105</f>
        <v>2731.7495535737389</v>
      </c>
      <c r="D1109" s="130">
        <f>C1109/$H$1096</f>
        <v>52777.674549999996</v>
      </c>
      <c r="E1109" s="90"/>
      <c r="F1109" s="90"/>
    </row>
    <row r="1110" spans="2:8">
      <c r="B1110" s="43" t="s">
        <v>22</v>
      </c>
      <c r="C1110" s="203">
        <f>D1110*H1097</f>
        <v>613.85019999999997</v>
      </c>
      <c r="D1110" s="24">
        <f>Model!Z88</f>
        <v>11920</v>
      </c>
      <c r="E1110" s="43"/>
      <c r="F1110" s="43"/>
    </row>
    <row r="1113" spans="2:8" ht="13.5" thickBot="1"/>
    <row r="1114" spans="2:8" ht="25.5">
      <c r="B1114" s="106" t="s">
        <v>171</v>
      </c>
      <c r="C1114" s="182" t="s">
        <v>89</v>
      </c>
      <c r="D1114" s="156" t="s">
        <v>161</v>
      </c>
    </row>
    <row r="1115" spans="2:8">
      <c r="B1115" s="107" t="s">
        <v>54</v>
      </c>
      <c r="C1115" s="183">
        <v>0</v>
      </c>
      <c r="D1115" s="157">
        <v>0</v>
      </c>
    </row>
    <row r="1116" spans="2:8">
      <c r="B1116" s="107" t="s">
        <v>30</v>
      </c>
      <c r="C1116" s="183">
        <f>+C1106</f>
        <v>201.07887640333115</v>
      </c>
      <c r="D1116" s="157">
        <f>D1106</f>
        <v>3884.8639999999982</v>
      </c>
    </row>
    <row r="1117" spans="2:8" ht="13.5" thickBot="1">
      <c r="B1117" s="108" t="s">
        <v>31</v>
      </c>
      <c r="C1117" s="184">
        <f>SUM(C1115:C1116)</f>
        <v>201.07887640333115</v>
      </c>
      <c r="D1117" s="158">
        <f>SUM(D1115:D1116)</f>
        <v>3884.8639999999982</v>
      </c>
    </row>
    <row r="1119" spans="2:8">
      <c r="C1119" s="38"/>
    </row>
    <row r="1120" spans="2:8" ht="13.5" thickBot="1"/>
    <row r="1121" spans="1:11" ht="26.25" thickBot="1">
      <c r="B1121" s="176" t="s">
        <v>172</v>
      </c>
      <c r="C1121" s="178" t="s">
        <v>89</v>
      </c>
      <c r="D1121" s="177" t="s">
        <v>161</v>
      </c>
    </row>
    <row r="1122" spans="1:11">
      <c r="B1122" s="92">
        <v>2019</v>
      </c>
      <c r="C1122" s="198">
        <v>337.6</v>
      </c>
      <c r="D1122" s="186">
        <f>C1122/$H$1096</f>
        <v>6522.465760000001</v>
      </c>
    </row>
    <row r="1123" spans="1:11">
      <c r="B1123" s="92">
        <v>2020</v>
      </c>
      <c r="C1123" s="198">
        <v>26.2</v>
      </c>
      <c r="D1123" s="186">
        <f t="shared" ref="D1123:D1128" si="23">C1123/$H$1096</f>
        <v>506.18662</v>
      </c>
    </row>
    <row r="1124" spans="1:11">
      <c r="B1124" s="92">
        <v>2021</v>
      </c>
      <c r="C1124" s="198">
        <v>132.1</v>
      </c>
      <c r="D1124" s="186">
        <f t="shared" si="23"/>
        <v>2552.1852100000001</v>
      </c>
    </row>
    <row r="1125" spans="1:11">
      <c r="B1125" s="92">
        <v>2022</v>
      </c>
      <c r="C1125" s="198">
        <v>84.5</v>
      </c>
      <c r="D1125" s="186">
        <f t="shared" si="23"/>
        <v>1632.54845</v>
      </c>
    </row>
    <row r="1126" spans="1:11">
      <c r="B1126" s="92">
        <v>2023</v>
      </c>
      <c r="C1126" s="198">
        <v>157.19999999999999</v>
      </c>
      <c r="D1126" s="186">
        <f t="shared" si="23"/>
        <v>3037.1197200000001</v>
      </c>
    </row>
    <row r="1127" spans="1:11">
      <c r="B1127" s="92">
        <v>2024</v>
      </c>
      <c r="C1127" s="198">
        <v>401.9</v>
      </c>
      <c r="D1127" s="186">
        <f t="shared" si="23"/>
        <v>7764.7481900000002</v>
      </c>
    </row>
    <row r="1128" spans="1:11" ht="13.5" thickBot="1">
      <c r="B1128" s="93">
        <v>2025</v>
      </c>
      <c r="C1128" s="198">
        <v>0</v>
      </c>
      <c r="D1128" s="186">
        <f t="shared" si="23"/>
        <v>0</v>
      </c>
    </row>
    <row r="1129" spans="1:11" ht="13.5" thickBot="1">
      <c r="B1129" s="176" t="s">
        <v>34</v>
      </c>
      <c r="C1129" s="208">
        <f>SUM(C1122:C1128)</f>
        <v>1139.5</v>
      </c>
      <c r="D1129" s="208">
        <f>SUM(D1122:D1128)</f>
        <v>22015.253950000002</v>
      </c>
    </row>
    <row r="1130" spans="1:11" ht="13.5" thickBot="1">
      <c r="B1130" s="86"/>
      <c r="C1130" s="159"/>
      <c r="D1130" s="196"/>
    </row>
    <row r="1131" spans="1:11" ht="26.25" thickBot="1">
      <c r="B1131" s="176" t="s">
        <v>173</v>
      </c>
      <c r="C1131" s="178" t="s">
        <v>161</v>
      </c>
      <c r="D1131" s="178" t="s">
        <v>89</v>
      </c>
    </row>
    <row r="1132" spans="1:11">
      <c r="B1132" s="92" t="s">
        <v>164</v>
      </c>
      <c r="C1132" s="198">
        <v>592.928</v>
      </c>
      <c r="D1132" s="209">
        <f>C1132*$H$1096</f>
        <v>30.689696223104434</v>
      </c>
    </row>
    <row r="1133" spans="1:11">
      <c r="B1133" s="92" t="s">
        <v>165</v>
      </c>
      <c r="C1133" s="198">
        <v>1630.9190000000001</v>
      </c>
      <c r="D1133" s="209">
        <f>C1133*$H$1096</f>
        <v>84.415660374428697</v>
      </c>
    </row>
    <row r="1134" spans="1:11" ht="13.5" thickBot="1">
      <c r="B1134" s="93" t="s">
        <v>166</v>
      </c>
      <c r="C1134" s="204">
        <v>2134.7829999999999</v>
      </c>
      <c r="D1134" s="210">
        <f>C1134*$H$1096</f>
        <v>110.49544257017303</v>
      </c>
    </row>
    <row r="1135" spans="1:11" s="33" customFormat="1" ht="13.5" thickBot="1">
      <c r="A1135" s="34"/>
      <c r="B1135" s="176" t="s">
        <v>167</v>
      </c>
      <c r="C1135" s="208">
        <f>SUM(C1132:C1134)</f>
        <v>4358.63</v>
      </c>
      <c r="D1135" s="208">
        <f>SUM(D1132:D1134)</f>
        <v>225.60079916770616</v>
      </c>
      <c r="E1135" s="34"/>
      <c r="F1135" s="34"/>
      <c r="G1135" s="86"/>
      <c r="H1135" s="111"/>
      <c r="I1135" s="34"/>
      <c r="J1135" s="34"/>
      <c r="K1135" s="34"/>
    </row>
    <row r="1136" spans="1:11" s="33" customFormat="1">
      <c r="A1136" s="34"/>
      <c r="B1136" s="205"/>
      <c r="C1136" s="206"/>
      <c r="D1136" s="207"/>
      <c r="E1136" s="34"/>
      <c r="F1136" s="34"/>
      <c r="G1136" s="86"/>
      <c r="H1136" s="111"/>
      <c r="I1136" s="34"/>
      <c r="J1136" s="34"/>
      <c r="K1136" s="34"/>
    </row>
    <row r="1137" spans="1:11" s="33" customFormat="1">
      <c r="A1137" s="34"/>
      <c r="B1137" s="205"/>
      <c r="C1137" s="206"/>
      <c r="D1137" s="207"/>
      <c r="E1137" s="34"/>
      <c r="F1137" s="34"/>
      <c r="G1137" s="86"/>
      <c r="H1137" s="111"/>
      <c r="I1137" s="34"/>
      <c r="J1137" s="34"/>
      <c r="K1137" s="34"/>
    </row>
    <row r="1138" spans="1:11" s="33" customFormat="1">
      <c r="A1138" s="34"/>
      <c r="B1138" s="205"/>
      <c r="C1138" s="206"/>
      <c r="D1138" s="207"/>
      <c r="E1138" s="34"/>
      <c r="F1138" s="34"/>
      <c r="G1138" s="86" t="s">
        <v>174</v>
      </c>
      <c r="H1138" s="111">
        <f>Model!G218</f>
        <v>5.0805521544081411E-2</v>
      </c>
      <c r="I1138" s="34"/>
      <c r="J1138" s="34"/>
      <c r="K1138" s="34"/>
    </row>
    <row r="1139" spans="1:11" s="33" customFormat="1">
      <c r="A1139" s="34"/>
      <c r="B1139" s="34"/>
      <c r="C1139" s="34"/>
      <c r="D1139" s="34"/>
      <c r="E1139" s="34"/>
      <c r="F1139" s="34"/>
      <c r="G1139" s="86" t="s">
        <v>175</v>
      </c>
      <c r="H1139" s="111">
        <f>Model!G219</f>
        <v>5.2060000000000002E-2</v>
      </c>
      <c r="I1139" s="34"/>
      <c r="J1139" s="34"/>
      <c r="K1139" s="34"/>
    </row>
    <row r="1140" spans="1:11" s="33" customFormat="1" ht="25.5">
      <c r="A1140" s="34"/>
      <c r="B1140" s="128">
        <v>43452</v>
      </c>
      <c r="C1140" s="128" t="s">
        <v>2</v>
      </c>
      <c r="D1140" s="128" t="s">
        <v>111</v>
      </c>
      <c r="E1140" s="35" t="s">
        <v>147</v>
      </c>
      <c r="F1140" s="35" t="s">
        <v>147</v>
      </c>
      <c r="G1140" s="35" t="s">
        <v>112</v>
      </c>
      <c r="H1140" s="34"/>
      <c r="I1140" s="34"/>
      <c r="J1140" s="34"/>
      <c r="K1140" s="34"/>
    </row>
    <row r="1141" spans="1:11" s="33" customFormat="1">
      <c r="A1141" s="34"/>
      <c r="B1141" s="112" t="s">
        <v>155</v>
      </c>
      <c r="C1141" s="127">
        <v>400</v>
      </c>
      <c r="D1141" s="127">
        <f t="shared" ref="D1141:D1146" si="24">C1141/$H$1138</f>
        <v>7873.16</v>
      </c>
      <c r="E1141" s="113"/>
      <c r="F1141" s="113"/>
      <c r="G1141" s="113"/>
      <c r="H1141" s="34"/>
      <c r="I1141" s="34"/>
      <c r="J1141" s="34"/>
      <c r="K1141" s="34"/>
    </row>
    <row r="1142" spans="1:11" s="33" customFormat="1">
      <c r="A1142" s="34"/>
      <c r="B1142" s="112" t="s">
        <v>156</v>
      </c>
      <c r="C1142" s="127">
        <v>150</v>
      </c>
      <c r="D1142" s="127">
        <f t="shared" si="24"/>
        <v>2952.4349999999999</v>
      </c>
      <c r="E1142" s="113"/>
      <c r="F1142" s="113"/>
      <c r="G1142" s="113"/>
      <c r="H1142" s="34"/>
      <c r="I1142" s="34"/>
      <c r="J1142" s="34"/>
      <c r="K1142" s="34"/>
    </row>
    <row r="1143" spans="1:11" s="33" customFormat="1">
      <c r="A1143" s="34"/>
      <c r="B1143" s="112" t="s">
        <v>176</v>
      </c>
      <c r="C1143" s="127">
        <v>80</v>
      </c>
      <c r="D1143" s="127">
        <f t="shared" si="24"/>
        <v>1574.6320000000001</v>
      </c>
      <c r="E1143" s="113"/>
      <c r="F1143" s="113"/>
      <c r="G1143" s="113"/>
      <c r="H1143" s="34"/>
      <c r="I1143" s="34"/>
      <c r="J1143" s="34"/>
      <c r="K1143" s="34"/>
    </row>
    <row r="1144" spans="1:11" s="33" customFormat="1">
      <c r="A1144" s="34"/>
      <c r="B1144" s="112" t="s">
        <v>158</v>
      </c>
      <c r="C1144" s="127">
        <v>152.4</v>
      </c>
      <c r="D1144" s="127">
        <f t="shared" si="24"/>
        <v>2999.6739600000001</v>
      </c>
      <c r="E1144" s="113"/>
      <c r="F1144" s="113"/>
      <c r="G1144" s="113"/>
      <c r="H1144" s="34"/>
      <c r="I1144" s="34"/>
      <c r="J1144" s="34"/>
      <c r="K1144" s="34"/>
    </row>
    <row r="1145" spans="1:11" s="33" customFormat="1">
      <c r="A1145" s="34"/>
      <c r="B1145" s="112" t="s">
        <v>170</v>
      </c>
      <c r="C1145" s="127">
        <v>101.6</v>
      </c>
      <c r="D1145" s="127">
        <f t="shared" si="24"/>
        <v>1999.7826399999999</v>
      </c>
      <c r="E1145" s="113"/>
      <c r="F1145" s="113"/>
      <c r="G1145" s="113"/>
      <c r="H1145" s="34"/>
      <c r="I1145" s="34"/>
      <c r="J1145" s="34"/>
      <c r="K1145" s="34"/>
    </row>
    <row r="1146" spans="1:11" s="33" customFormat="1">
      <c r="A1146" s="34"/>
      <c r="B1146" s="112" t="s">
        <v>74</v>
      </c>
      <c r="C1146" s="127">
        <f>180.4+16+17</f>
        <v>213.4</v>
      </c>
      <c r="D1146" s="127">
        <f t="shared" si="24"/>
        <v>4200.33086</v>
      </c>
      <c r="E1146" s="113"/>
      <c r="F1146" s="113"/>
      <c r="G1146" s="113"/>
      <c r="H1146" s="34"/>
      <c r="I1146" s="34"/>
      <c r="J1146" s="34"/>
      <c r="K1146" s="34"/>
    </row>
    <row r="1147" spans="1:11">
      <c r="B1147" s="44" t="s">
        <v>17</v>
      </c>
      <c r="C1147" s="129">
        <f>SUM(C1141:C1146)</f>
        <v>1097.4000000000001</v>
      </c>
      <c r="D1147" s="129">
        <f>SUM(D1141:D1146)</f>
        <v>21600.014459999999</v>
      </c>
      <c r="E1147" s="45">
        <f>+C1147/C1152</f>
        <v>1.7953771933042082</v>
      </c>
      <c r="F1147" s="45">
        <f>+D1147/D1152</f>
        <v>1.8397082412060297</v>
      </c>
      <c r="G1147" s="45">
        <f>+D1147/D1152</f>
        <v>1.8397082412060297</v>
      </c>
    </row>
    <row r="1148" spans="1:11">
      <c r="B1148" s="43" t="s">
        <v>18</v>
      </c>
      <c r="C1148" s="130">
        <f>Model!Y80*Capitalisation!H1138</f>
        <v>174.55364809047438</v>
      </c>
      <c r="D1148" s="130">
        <f>C1148/$H$1138</f>
        <v>3435.7219999999984</v>
      </c>
      <c r="E1148" s="46"/>
      <c r="F1148" s="46"/>
      <c r="G1148" s="46"/>
    </row>
    <row r="1149" spans="1:11">
      <c r="B1149" s="44" t="s">
        <v>19</v>
      </c>
      <c r="C1149" s="129">
        <f>+C1147-C1148</f>
        <v>922.84635190952577</v>
      </c>
      <c r="D1149" s="129">
        <f>+D1147-D1148</f>
        <v>18164.292460000001</v>
      </c>
      <c r="E1149" s="45">
        <f>+C1149/C1152</f>
        <v>1.5098025270114379</v>
      </c>
      <c r="F1149" s="45">
        <f>+D1149/D1152</f>
        <v>1.5470822297930327</v>
      </c>
      <c r="G1149" s="45">
        <f>+D1149/D1152</f>
        <v>1.5470822297930327</v>
      </c>
      <c r="H1149" s="170"/>
    </row>
    <row r="1150" spans="1:11">
      <c r="B1150" s="89" t="s">
        <v>20</v>
      </c>
      <c r="C1150" s="131">
        <f>Model!Y135*H1138</f>
        <v>1321.7745352564916</v>
      </c>
      <c r="D1150" s="130">
        <f>C1150/$H$1138</f>
        <v>26016.356</v>
      </c>
      <c r="E1150" s="90"/>
      <c r="F1150" s="90"/>
    </row>
    <row r="1151" spans="1:11">
      <c r="B1151" s="89" t="s">
        <v>21</v>
      </c>
      <c r="C1151" s="131">
        <f>C1150+C1147</f>
        <v>2419.1745352564917</v>
      </c>
      <c r="D1151" s="197">
        <f>D1150+D1147</f>
        <v>47616.370459999998</v>
      </c>
      <c r="E1151" s="90"/>
      <c r="F1151" s="90"/>
    </row>
    <row r="1152" spans="1:11">
      <c r="B1152" s="43" t="s">
        <v>22</v>
      </c>
      <c r="C1152" s="24">
        <f>Model!Y289*Capitalisation!H1139</f>
        <v>611.23646000000008</v>
      </c>
      <c r="D1152" s="24">
        <f>C1152/H1139</f>
        <v>11741.000000000002</v>
      </c>
      <c r="E1152" s="43"/>
      <c r="F1152" s="43"/>
    </row>
    <row r="1157" spans="2:4" ht="13.5" thickBot="1"/>
    <row r="1158" spans="2:4" ht="25.5">
      <c r="B1158" s="106" t="s">
        <v>177</v>
      </c>
      <c r="C1158" s="182" t="s">
        <v>89</v>
      </c>
      <c r="D1158" s="156" t="s">
        <v>161</v>
      </c>
    </row>
    <row r="1159" spans="2:4">
      <c r="B1159" s="107" t="s">
        <v>54</v>
      </c>
      <c r="C1159" s="183">
        <v>0</v>
      </c>
      <c r="D1159" s="157">
        <v>0</v>
      </c>
    </row>
    <row r="1160" spans="2:4">
      <c r="B1160" s="107" t="s">
        <v>30</v>
      </c>
      <c r="C1160" s="183">
        <f>+C1148</f>
        <v>174.55364809047438</v>
      </c>
      <c r="D1160" s="157">
        <f>D1148</f>
        <v>3435.7219999999984</v>
      </c>
    </row>
    <row r="1161" spans="2:4" ht="13.5" thickBot="1">
      <c r="B1161" s="108" t="s">
        <v>31</v>
      </c>
      <c r="C1161" s="184">
        <f>SUM(C1159:C1160)</f>
        <v>174.55364809047438</v>
      </c>
      <c r="D1161" s="158">
        <f>SUM(D1159:D1160)</f>
        <v>3435.7219999999984</v>
      </c>
    </row>
    <row r="1163" spans="2:4">
      <c r="C1163" s="38"/>
    </row>
    <row r="1164" spans="2:4" ht="13.5" thickBot="1"/>
    <row r="1165" spans="2:4" ht="12" customHeight="1" thickBot="1">
      <c r="B1165" s="176" t="s">
        <v>178</v>
      </c>
      <c r="C1165" s="178" t="s">
        <v>89</v>
      </c>
      <c r="D1165" s="177" t="s">
        <v>161</v>
      </c>
    </row>
    <row r="1166" spans="2:4">
      <c r="B1166" s="92">
        <v>2019</v>
      </c>
      <c r="C1166" s="179">
        <v>220</v>
      </c>
      <c r="D1166" s="186">
        <f t="shared" ref="D1166:D1172" si="25">C1166/$H$1138</f>
        <v>4330.2380000000003</v>
      </c>
    </row>
    <row r="1167" spans="2:4">
      <c r="B1167" s="92">
        <v>2020</v>
      </c>
      <c r="C1167" s="179">
        <v>26.2</v>
      </c>
      <c r="D1167" s="186">
        <f t="shared" si="25"/>
        <v>515.69197999999994</v>
      </c>
    </row>
    <row r="1168" spans="2:4">
      <c r="B1168" s="92">
        <v>2021</v>
      </c>
      <c r="C1168" s="179">
        <v>130.19999999999999</v>
      </c>
      <c r="D1168" s="186">
        <f t="shared" si="25"/>
        <v>2562.7135799999996</v>
      </c>
    </row>
    <row r="1169" spans="2:11">
      <c r="B1169" s="92">
        <v>2022</v>
      </c>
      <c r="C1169" s="179">
        <v>164.6</v>
      </c>
      <c r="D1169" s="186">
        <f t="shared" si="25"/>
        <v>3239.8053399999999</v>
      </c>
    </row>
    <row r="1170" spans="2:11">
      <c r="B1170" s="92">
        <v>2023</v>
      </c>
      <c r="C1170" s="179">
        <v>154.4</v>
      </c>
      <c r="D1170" s="186">
        <f t="shared" si="25"/>
        <v>3039.0397600000001</v>
      </c>
    </row>
    <row r="1171" spans="2:11">
      <c r="B1171" s="92">
        <v>2024</v>
      </c>
      <c r="C1171" s="179">
        <v>401.9</v>
      </c>
      <c r="D1171" s="186">
        <f t="shared" si="25"/>
        <v>7910.5575099999996</v>
      </c>
      <c r="K1171" s="33"/>
    </row>
    <row r="1172" spans="2:11" ht="13.5" thickBot="1">
      <c r="B1172" s="93">
        <v>2025</v>
      </c>
      <c r="C1172" s="180">
        <v>0</v>
      </c>
      <c r="D1172" s="187">
        <f t="shared" si="25"/>
        <v>0</v>
      </c>
      <c r="K1172" s="33"/>
    </row>
    <row r="1173" spans="2:11" ht="13.5" thickBot="1">
      <c r="B1173" s="176" t="s">
        <v>5</v>
      </c>
      <c r="C1173" s="181">
        <f>SUM(C1166:C1172)</f>
        <v>1097.3</v>
      </c>
      <c r="D1173" s="185">
        <f>SUM(D1166:D1172)</f>
        <v>21598.046169999998</v>
      </c>
      <c r="K1173" s="33"/>
    </row>
    <row r="1174" spans="2:11">
      <c r="K1174" s="33"/>
    </row>
    <row r="1175" spans="2:11">
      <c r="K1175" s="33"/>
    </row>
    <row r="1176" spans="2:11">
      <c r="G1176" s="86" t="s">
        <v>179</v>
      </c>
      <c r="H1176" s="111">
        <f>+Model!X218</f>
        <v>5.3157559004890491E-2</v>
      </c>
      <c r="K1176" s="33"/>
    </row>
    <row r="1177" spans="2:11">
      <c r="G1177" s="86" t="s">
        <v>180</v>
      </c>
      <c r="H1177" s="111">
        <f>+AVERAGE(Model!U219:X219)</f>
        <v>5.2385000000000001E-2</v>
      </c>
      <c r="K1177" s="33"/>
    </row>
    <row r="1178" spans="2:11" ht="25.5">
      <c r="B1178" s="128">
        <v>43361</v>
      </c>
      <c r="C1178" s="128" t="s">
        <v>2</v>
      </c>
      <c r="D1178" s="128" t="s">
        <v>111</v>
      </c>
      <c r="E1178" s="35" t="s">
        <v>147</v>
      </c>
      <c r="F1178" s="35" t="s">
        <v>147</v>
      </c>
      <c r="G1178" s="35" t="s">
        <v>112</v>
      </c>
      <c r="K1178" s="33"/>
    </row>
    <row r="1179" spans="2:11">
      <c r="B1179" s="112" t="s">
        <v>155</v>
      </c>
      <c r="C1179" s="127">
        <v>400</v>
      </c>
      <c r="D1179" s="127">
        <f t="shared" ref="D1179:D1184" si="26">C1179/$H$1176</f>
        <v>7524.8000000000011</v>
      </c>
      <c r="E1179" s="113"/>
      <c r="F1179" s="113"/>
      <c r="G1179" s="113"/>
      <c r="K1179" s="33"/>
    </row>
    <row r="1180" spans="2:11">
      <c r="B1180" s="112" t="s">
        <v>156</v>
      </c>
      <c r="C1180" s="127">
        <v>150</v>
      </c>
      <c r="D1180" s="127">
        <f t="shared" si="26"/>
        <v>2821.8</v>
      </c>
      <c r="E1180" s="113"/>
      <c r="F1180" s="113"/>
      <c r="G1180" s="113"/>
      <c r="K1180" s="33"/>
    </row>
    <row r="1181" spans="2:11">
      <c r="B1181" s="112" t="s">
        <v>176</v>
      </c>
      <c r="C1181" s="127">
        <v>160</v>
      </c>
      <c r="D1181" s="127">
        <f t="shared" si="26"/>
        <v>3009.92</v>
      </c>
      <c r="E1181" s="113"/>
      <c r="F1181" s="113"/>
      <c r="G1181" s="113"/>
      <c r="K1181" s="33"/>
    </row>
    <row r="1182" spans="2:11">
      <c r="B1182" s="112" t="s">
        <v>158</v>
      </c>
      <c r="C1182" s="127">
        <v>159.5</v>
      </c>
      <c r="D1182" s="127">
        <f t="shared" si="26"/>
        <v>3000.5140000000001</v>
      </c>
      <c r="E1182" s="113"/>
      <c r="F1182" s="113"/>
      <c r="G1182" s="113"/>
      <c r="K1182" s="33"/>
    </row>
    <row r="1183" spans="2:11">
      <c r="B1183" s="112" t="s">
        <v>170</v>
      </c>
      <c r="C1183" s="127">
        <v>106.3</v>
      </c>
      <c r="D1183" s="127">
        <f t="shared" si="26"/>
        <v>1999.7156000000002</v>
      </c>
      <c r="E1183" s="113"/>
      <c r="F1183" s="113"/>
      <c r="G1183" s="113"/>
    </row>
    <row r="1184" spans="2:11">
      <c r="B1184" s="112" t="s">
        <v>74</v>
      </c>
      <c r="C1184" s="127">
        <f>111.6+4.5+18.4</f>
        <v>134.5</v>
      </c>
      <c r="D1184" s="127">
        <f t="shared" si="26"/>
        <v>2530.2140000000004</v>
      </c>
      <c r="E1184" s="113"/>
      <c r="F1184" s="113"/>
      <c r="G1184" s="113"/>
    </row>
    <row r="1185" spans="2:8">
      <c r="B1185" s="44" t="s">
        <v>17</v>
      </c>
      <c r="C1185" s="129">
        <f>SUM(C1179:C1184)</f>
        <v>1110.3</v>
      </c>
      <c r="D1185" s="129">
        <f>SUM(D1179:D1184)</f>
        <v>20886.963600000003</v>
      </c>
      <c r="E1185" s="45">
        <f>+C1185/C1190</f>
        <v>1.792843729342958</v>
      </c>
      <c r="F1185" s="45">
        <f>+D1185/D1190</f>
        <v>1.7667876501438</v>
      </c>
      <c r="G1185" s="45">
        <f>+D1185/D1190</f>
        <v>1.7667876501438</v>
      </c>
    </row>
    <row r="1186" spans="2:8">
      <c r="B1186" s="43" t="s">
        <v>18</v>
      </c>
      <c r="C1186" s="130">
        <f>Model!X80*Capitalisation!H1176</f>
        <v>199.16234318520085</v>
      </c>
      <c r="D1186" s="130">
        <f>C1186/$H$1176</f>
        <v>3746.6419999999989</v>
      </c>
      <c r="E1186" s="46"/>
      <c r="F1186" s="46"/>
      <c r="G1186" s="46"/>
    </row>
    <row r="1187" spans="2:8">
      <c r="B1187" s="44" t="s">
        <v>19</v>
      </c>
      <c r="C1187" s="129">
        <f>+C1185-C1186</f>
        <v>911.13765681479913</v>
      </c>
      <c r="D1187" s="129">
        <f>+D1185-D1186</f>
        <v>17140.321600000003</v>
      </c>
      <c r="E1187" s="45">
        <f>+C1187/C1190</f>
        <v>1.4712487026827421</v>
      </c>
      <c r="F1187" s="45">
        <f>+D1187/D1190</f>
        <v>1.4498664862121471</v>
      </c>
      <c r="G1187" s="45">
        <f>+D1187/D1190</f>
        <v>1.4498664862121471</v>
      </c>
      <c r="H1187" s="170"/>
    </row>
    <row r="1188" spans="2:8">
      <c r="B1188" s="89" t="s">
        <v>20</v>
      </c>
      <c r="C1188" s="131">
        <f>Model!X135*H1176</f>
        <v>1359.8126727620665</v>
      </c>
      <c r="D1188" s="130">
        <f>C1188/$H$1176</f>
        <v>25580.795999999998</v>
      </c>
      <c r="E1188" s="90"/>
      <c r="F1188" s="90"/>
    </row>
    <row r="1189" spans="2:8">
      <c r="B1189" s="89" t="s">
        <v>21</v>
      </c>
      <c r="C1189" s="131">
        <f>C1188+C1185</f>
        <v>2470.1126727620667</v>
      </c>
      <c r="D1189" s="130">
        <f>C1189/$H$1176</f>
        <v>46467.759600000005</v>
      </c>
      <c r="E1189" s="90"/>
      <c r="F1189" s="90"/>
    </row>
    <row r="1190" spans="2:8">
      <c r="B1190" s="43" t="s">
        <v>22</v>
      </c>
      <c r="C1190" s="24">
        <f>Model!X289*Capitalisation!H1177</f>
        <v>619.29547000000002</v>
      </c>
      <c r="D1190" s="24">
        <f>C1190/H1177</f>
        <v>11822</v>
      </c>
      <c r="E1190" s="43"/>
      <c r="F1190" s="43"/>
    </row>
    <row r="1195" spans="2:8" ht="13.5" thickBot="1"/>
    <row r="1196" spans="2:8" ht="25.5">
      <c r="B1196" s="106" t="s">
        <v>181</v>
      </c>
      <c r="C1196" s="156" t="s">
        <v>161</v>
      </c>
      <c r="D1196" s="156"/>
      <c r="E1196" s="156" t="s">
        <v>89</v>
      </c>
      <c r="F1196" s="156" t="s">
        <v>89</v>
      </c>
    </row>
    <row r="1197" spans="2:8">
      <c r="B1197" s="107" t="s">
        <v>54</v>
      </c>
      <c r="C1197" s="157">
        <v>0</v>
      </c>
      <c r="D1197" s="157"/>
      <c r="E1197" s="157">
        <v>0</v>
      </c>
      <c r="F1197" s="157">
        <v>0</v>
      </c>
    </row>
    <row r="1198" spans="2:8">
      <c r="B1198" s="107" t="s">
        <v>30</v>
      </c>
      <c r="C1198" s="157">
        <f>Model!X80</f>
        <v>3746.6419999999989</v>
      </c>
      <c r="D1198" s="157"/>
      <c r="E1198" s="157">
        <f>+C1186</f>
        <v>199.16234318520085</v>
      </c>
      <c r="F1198" s="157">
        <f>+D1186</f>
        <v>3746.6419999999989</v>
      </c>
    </row>
    <row r="1199" spans="2:8" ht="13.5" thickBot="1">
      <c r="B1199" s="108" t="s">
        <v>31</v>
      </c>
      <c r="C1199" s="158">
        <f>SUM(C1197:C1198)</f>
        <v>3746.6419999999989</v>
      </c>
      <c r="D1199" s="158"/>
      <c r="E1199" s="158">
        <f>SUM(E1197:E1198)</f>
        <v>199.16234318520085</v>
      </c>
      <c r="F1199" s="158">
        <f>SUM(F1197:F1198)</f>
        <v>3746.6419999999989</v>
      </c>
    </row>
    <row r="1201" spans="2:10">
      <c r="C1201" s="38"/>
      <c r="D1201" s="38"/>
    </row>
    <row r="1202" spans="2:10" ht="13.5" thickBot="1"/>
    <row r="1203" spans="2:10">
      <c r="B1203" s="91" t="s">
        <v>182</v>
      </c>
      <c r="C1203" s="136">
        <v>43373</v>
      </c>
      <c r="D1203" s="136"/>
      <c r="E1203" s="94" t="s">
        <v>183</v>
      </c>
      <c r="F1203" s="94" t="s">
        <v>183</v>
      </c>
    </row>
    <row r="1204" spans="2:10">
      <c r="B1204" s="92">
        <v>2018</v>
      </c>
      <c r="C1204" s="159">
        <v>117.4</v>
      </c>
      <c r="D1204" s="159"/>
      <c r="E1204" s="95"/>
      <c r="F1204" s="95"/>
    </row>
    <row r="1205" spans="2:10">
      <c r="B1205" s="92">
        <v>2019</v>
      </c>
      <c r="C1205" s="159">
        <v>23.7</v>
      </c>
      <c r="D1205" s="159"/>
      <c r="E1205" s="95"/>
      <c r="F1205" s="95"/>
    </row>
    <row r="1206" spans="2:10">
      <c r="B1206" s="92">
        <v>2020</v>
      </c>
      <c r="C1206" s="159">
        <v>26.3</v>
      </c>
      <c r="D1206" s="159"/>
      <c r="E1206" s="95"/>
      <c r="F1206" s="95"/>
    </row>
    <row r="1207" spans="2:10">
      <c r="B1207" s="92">
        <v>2021</v>
      </c>
      <c r="C1207" s="159">
        <v>135</v>
      </c>
      <c r="D1207" s="159"/>
      <c r="E1207" s="95"/>
      <c r="F1207" s="95"/>
    </row>
    <row r="1208" spans="2:10">
      <c r="B1208" s="92">
        <v>2022</v>
      </c>
      <c r="C1208" s="159">
        <v>244.6</v>
      </c>
      <c r="D1208" s="159"/>
      <c r="E1208" s="95"/>
      <c r="F1208" s="95"/>
    </row>
    <row r="1209" spans="2:10">
      <c r="B1209" s="92">
        <v>2023</v>
      </c>
      <c r="C1209" s="159">
        <v>161.4</v>
      </c>
      <c r="D1209" s="159"/>
      <c r="E1209" s="95"/>
      <c r="F1209" s="95"/>
    </row>
    <row r="1210" spans="2:10" ht="13.5" thickBot="1">
      <c r="B1210" s="93">
        <v>2024</v>
      </c>
      <c r="C1210" s="160">
        <v>402</v>
      </c>
      <c r="D1210" s="160"/>
      <c r="E1210" s="169"/>
      <c r="F1210" s="169"/>
    </row>
    <row r="1211" spans="2:10">
      <c r="B1211" s="86" t="s">
        <v>5</v>
      </c>
      <c r="C1211" s="159">
        <f>SUM(C1204:C1210)</f>
        <v>1110.4000000000001</v>
      </c>
      <c r="D1211" s="159"/>
      <c r="E1211" s="34">
        <f>SUM(E1204:E1210)</f>
        <v>0</v>
      </c>
      <c r="F1211" s="34">
        <f>SUM(F1204:F1210)</f>
        <v>0</v>
      </c>
      <c r="J1211" s="33"/>
    </row>
    <row r="1212" spans="2:10">
      <c r="I1212" s="33"/>
      <c r="J1212" s="33"/>
    </row>
    <row r="1213" spans="2:10">
      <c r="I1213" s="33"/>
      <c r="J1213" s="33"/>
    </row>
    <row r="1214" spans="2:10">
      <c r="I1214" s="33"/>
      <c r="J1214" s="33"/>
    </row>
    <row r="1215" spans="2:10">
      <c r="I1215" s="33"/>
      <c r="J1215" s="33"/>
    </row>
    <row r="1216" spans="2:10">
      <c r="G1216" s="86" t="s">
        <v>184</v>
      </c>
      <c r="H1216" s="111">
        <f>+Model!W218</f>
        <v>5.0344101936737606E-2</v>
      </c>
      <c r="I1216" s="33"/>
      <c r="J1216" s="33"/>
    </row>
    <row r="1217" spans="2:10">
      <c r="G1217" s="86" t="s">
        <v>185</v>
      </c>
      <c r="H1217" s="111">
        <f>+AVERAGE(Model!T219:W219)</f>
        <v>5.3460000000000001E-2</v>
      </c>
      <c r="I1217" s="33"/>
      <c r="J1217" s="33"/>
    </row>
    <row r="1218" spans="2:10">
      <c r="B1218" s="32" t="s">
        <v>186</v>
      </c>
      <c r="C1218" s="128">
        <v>43269</v>
      </c>
      <c r="D1218" s="128"/>
      <c r="E1218" s="35" t="s">
        <v>187</v>
      </c>
      <c r="F1218" s="35" t="s">
        <v>187</v>
      </c>
      <c r="G1218" s="33"/>
      <c r="H1218" s="33"/>
      <c r="I1218" s="33"/>
      <c r="J1218" s="33"/>
    </row>
    <row r="1219" spans="2:10">
      <c r="B1219" s="112" t="s">
        <v>188</v>
      </c>
      <c r="C1219" s="127">
        <v>400</v>
      </c>
      <c r="D1219" s="127"/>
      <c r="E1219" s="113"/>
      <c r="F1219" s="113"/>
      <c r="I1219" s="33"/>
      <c r="J1219" s="33"/>
    </row>
    <row r="1220" spans="2:10">
      <c r="B1220" s="112" t="s">
        <v>189</v>
      </c>
      <c r="C1220" s="127">
        <v>150</v>
      </c>
      <c r="D1220" s="127"/>
      <c r="E1220" s="113"/>
      <c r="F1220" s="113"/>
      <c r="I1220" s="33"/>
      <c r="J1220" s="33"/>
    </row>
    <row r="1221" spans="2:10">
      <c r="B1221" s="112" t="s">
        <v>190</v>
      </c>
      <c r="C1221" s="127">
        <v>250</v>
      </c>
      <c r="D1221" s="127"/>
      <c r="E1221" s="113"/>
      <c r="F1221" s="113"/>
      <c r="I1221" s="33"/>
      <c r="J1221" s="33"/>
    </row>
    <row r="1222" spans="2:10">
      <c r="B1222" s="112" t="s">
        <v>191</v>
      </c>
      <c r="C1222" s="127">
        <v>65</v>
      </c>
      <c r="D1222" s="127"/>
      <c r="E1222" s="113"/>
      <c r="F1222" s="113"/>
      <c r="I1222" s="33"/>
      <c r="J1222" s="33"/>
    </row>
    <row r="1223" spans="2:10">
      <c r="B1223" s="112" t="s">
        <v>74</v>
      </c>
      <c r="C1223" s="127">
        <f>308.1+7.5+20.9</f>
        <v>336.5</v>
      </c>
      <c r="D1223" s="127"/>
      <c r="E1223" s="113"/>
      <c r="F1223" s="113"/>
      <c r="I1223" s="33"/>
    </row>
    <row r="1224" spans="2:10">
      <c r="B1224" s="44" t="s">
        <v>17</v>
      </c>
      <c r="C1224" s="129">
        <f>SUM(C1219:C1223)</f>
        <v>1201.5</v>
      </c>
      <c r="D1224" s="129"/>
      <c r="E1224" s="45">
        <f>+C1224/C1229</f>
        <v>1.937311220993662</v>
      </c>
      <c r="F1224" s="45" t="e">
        <f>+D1224/D1229</f>
        <v>#DIV/0!</v>
      </c>
    </row>
    <row r="1225" spans="2:10">
      <c r="B1225" s="43" t="s">
        <v>18</v>
      </c>
      <c r="C1225" s="130">
        <f>Model!W80*Capitalisation!H1216</f>
        <v>270.29647641630538</v>
      </c>
      <c r="D1225" s="130"/>
      <c r="E1225" s="46"/>
      <c r="F1225" s="46"/>
      <c r="H1225" s="161"/>
    </row>
    <row r="1226" spans="2:10">
      <c r="B1226" s="44" t="s">
        <v>19</v>
      </c>
      <c r="C1226" s="129">
        <f>+C1224-C1225</f>
        <v>931.20352358369462</v>
      </c>
      <c r="D1226" s="129"/>
      <c r="E1226" s="45">
        <f>+C1226/C1229</f>
        <v>1.5014823431273638</v>
      </c>
      <c r="F1226" s="45" t="e">
        <f>+D1226/D1229</f>
        <v>#DIV/0!</v>
      </c>
    </row>
    <row r="1227" spans="2:10">
      <c r="B1227" s="89" t="s">
        <v>20</v>
      </c>
      <c r="C1227" s="131">
        <f>Model!W135*H1216</f>
        <v>1295.2305004707175</v>
      </c>
      <c r="D1227" s="131"/>
      <c r="E1227" s="90"/>
      <c r="F1227" s="90"/>
    </row>
    <row r="1228" spans="2:10">
      <c r="B1228" s="89" t="s">
        <v>21</v>
      </c>
      <c r="C1228" s="131">
        <f>C1227+C1224</f>
        <v>2496.7305004707177</v>
      </c>
      <c r="D1228" s="131"/>
      <c r="E1228" s="90"/>
      <c r="F1228" s="90"/>
    </row>
    <row r="1229" spans="2:10">
      <c r="B1229" s="43" t="s">
        <v>22</v>
      </c>
      <c r="C1229" s="24">
        <f>Model!W289*Capitalisation!H1217</f>
        <v>620.18946000000005</v>
      </c>
      <c r="D1229" s="24"/>
      <c r="E1229" s="43"/>
      <c r="F1229" s="43"/>
    </row>
    <row r="1234" spans="2:6" ht="13.5" thickBot="1"/>
    <row r="1235" spans="2:6" ht="25.5">
      <c r="B1235" s="106" t="s">
        <v>192</v>
      </c>
      <c r="C1235" s="156" t="s">
        <v>161</v>
      </c>
      <c r="D1235" s="156"/>
      <c r="E1235" s="156" t="s">
        <v>89</v>
      </c>
      <c r="F1235" s="156" t="s">
        <v>89</v>
      </c>
    </row>
    <row r="1236" spans="2:6">
      <c r="B1236" s="107" t="s">
        <v>54</v>
      </c>
      <c r="C1236" s="157">
        <v>0</v>
      </c>
      <c r="D1236" s="157"/>
      <c r="E1236" s="157">
        <v>0</v>
      </c>
      <c r="F1236" s="157">
        <v>0</v>
      </c>
    </row>
    <row r="1237" spans="2:6">
      <c r="B1237" s="107" t="s">
        <v>30</v>
      </c>
      <c r="C1237" s="157">
        <f>Model!W80</f>
        <v>5368.9799999999987</v>
      </c>
      <c r="D1237" s="157"/>
      <c r="E1237" s="157">
        <f>+C1225</f>
        <v>270.29647641630538</v>
      </c>
      <c r="F1237" s="157">
        <f>+D1225</f>
        <v>0</v>
      </c>
    </row>
    <row r="1238" spans="2:6" ht="13.5" thickBot="1">
      <c r="B1238" s="108" t="s">
        <v>31</v>
      </c>
      <c r="C1238" s="158">
        <f>SUM(C1236:C1237)</f>
        <v>5368.9799999999987</v>
      </c>
      <c r="D1238" s="158"/>
      <c r="E1238" s="158">
        <f>SUM(E1236:E1237)</f>
        <v>270.29647641630538</v>
      </c>
      <c r="F1238" s="158">
        <f>SUM(F1236:F1237)</f>
        <v>0</v>
      </c>
    </row>
    <row r="1240" spans="2:6">
      <c r="C1240" s="38"/>
      <c r="D1240" s="38"/>
    </row>
    <row r="1241" spans="2:6" ht="13.5" thickBot="1"/>
    <row r="1242" spans="2:6">
      <c r="B1242" s="91" t="s">
        <v>182</v>
      </c>
      <c r="C1242" s="136">
        <v>43281</v>
      </c>
      <c r="D1242" s="136"/>
      <c r="E1242" s="94" t="s">
        <v>183</v>
      </c>
      <c r="F1242" s="94" t="s">
        <v>183</v>
      </c>
    </row>
    <row r="1243" spans="2:6">
      <c r="B1243" s="92">
        <v>2018</v>
      </c>
      <c r="C1243" s="159">
        <v>319.2</v>
      </c>
      <c r="D1243" s="159"/>
      <c r="E1243" s="95"/>
      <c r="F1243" s="95"/>
    </row>
    <row r="1244" spans="2:6">
      <c r="B1244" s="92">
        <v>2019</v>
      </c>
      <c r="C1244" s="159">
        <v>23.7</v>
      </c>
      <c r="D1244" s="159"/>
      <c r="E1244" s="95"/>
      <c r="F1244" s="95"/>
    </row>
    <row r="1245" spans="2:6">
      <c r="B1245" s="92">
        <v>2020</v>
      </c>
      <c r="C1245" s="159">
        <v>91.3</v>
      </c>
      <c r="D1245" s="159"/>
      <c r="E1245" s="95"/>
      <c r="F1245" s="95"/>
    </row>
    <row r="1246" spans="2:6">
      <c r="B1246" s="92">
        <v>2021</v>
      </c>
      <c r="C1246" s="159">
        <v>28.7</v>
      </c>
      <c r="D1246" s="159"/>
      <c r="E1246" s="95"/>
      <c r="F1246" s="95"/>
    </row>
    <row r="1247" spans="2:6">
      <c r="B1247" s="92">
        <v>2022</v>
      </c>
      <c r="C1247" s="159">
        <v>334.6</v>
      </c>
      <c r="D1247" s="159"/>
      <c r="E1247" s="95"/>
      <c r="F1247" s="95"/>
    </row>
    <row r="1248" spans="2:6">
      <c r="B1248" s="92">
        <v>2023</v>
      </c>
      <c r="C1248" s="159">
        <v>2</v>
      </c>
      <c r="D1248" s="159"/>
      <c r="E1248" s="95"/>
      <c r="F1248" s="95"/>
    </row>
    <row r="1249" spans="1:8" ht="13.5" thickBot="1">
      <c r="B1249" s="93">
        <v>2024</v>
      </c>
      <c r="C1249" s="160">
        <v>402</v>
      </c>
      <c r="D1249" s="160"/>
      <c r="E1249" s="114"/>
      <c r="F1249" s="114"/>
    </row>
    <row r="1250" spans="1:8">
      <c r="A1250" s="33"/>
      <c r="B1250" s="86" t="s">
        <v>5</v>
      </c>
      <c r="C1250" s="159">
        <f>SUM(C1243:C1249)</f>
        <v>1201.5</v>
      </c>
      <c r="D1250" s="159"/>
      <c r="E1250" s="34">
        <f>SUM(E1243:E1249)</f>
        <v>0</v>
      </c>
      <c r="F1250" s="34">
        <f>SUM(F1243:F1249)</f>
        <v>0</v>
      </c>
    </row>
    <row r="1251" spans="1:8">
      <c r="A1251" s="33"/>
      <c r="B1251" s="86"/>
      <c r="C1251" s="159"/>
      <c r="D1251" s="159"/>
    </row>
    <row r="1252" spans="1:8">
      <c r="A1252" s="33"/>
      <c r="B1252" s="86"/>
      <c r="C1252" s="159"/>
      <c r="D1252" s="159"/>
    </row>
    <row r="1253" spans="1:8">
      <c r="A1253" s="33"/>
      <c r="B1253" s="86"/>
      <c r="C1253" s="159"/>
      <c r="D1253" s="159"/>
    </row>
    <row r="1254" spans="1:8">
      <c r="A1254" s="33"/>
      <c r="B1254" s="86"/>
      <c r="C1254" s="159"/>
      <c r="D1254" s="159"/>
    </row>
    <row r="1255" spans="1:8">
      <c r="A1255" s="33"/>
      <c r="B1255" s="86"/>
      <c r="C1255" s="159"/>
      <c r="D1255" s="159"/>
    </row>
    <row r="1256" spans="1:8">
      <c r="A1256" s="33"/>
      <c r="B1256" s="86"/>
      <c r="C1256" s="159"/>
      <c r="D1256" s="159"/>
    </row>
    <row r="1257" spans="1:8">
      <c r="A1257" s="33"/>
      <c r="B1257" s="86"/>
      <c r="C1257" s="159"/>
      <c r="D1257" s="159"/>
    </row>
    <row r="1258" spans="1:8">
      <c r="A1258" s="33"/>
      <c r="B1258" s="86"/>
      <c r="C1258" s="159"/>
      <c r="D1258" s="159"/>
      <c r="G1258" s="86" t="s">
        <v>193</v>
      </c>
      <c r="H1258" s="111">
        <f>Model!V218</f>
        <v>5.4512251628553519E-2</v>
      </c>
    </row>
    <row r="1259" spans="1:8">
      <c r="A1259" s="33"/>
      <c r="B1259" s="86"/>
      <c r="C1259" s="159"/>
      <c r="D1259" s="159"/>
      <c r="G1259" s="86" t="s">
        <v>194</v>
      </c>
      <c r="H1259" s="111">
        <f>+AVERAGE(Model!S219:V219)</f>
        <v>5.4042499999999993E-2</v>
      </c>
    </row>
    <row r="1260" spans="1:8">
      <c r="A1260" s="33"/>
      <c r="B1260" s="86"/>
      <c r="C1260" s="159"/>
      <c r="D1260" s="159"/>
    </row>
    <row r="1261" spans="1:8">
      <c r="A1261" s="33"/>
      <c r="B1261" s="32" t="s">
        <v>186</v>
      </c>
      <c r="C1261" s="128">
        <v>43160</v>
      </c>
      <c r="D1261" s="128"/>
      <c r="E1261" s="35" t="s">
        <v>187</v>
      </c>
      <c r="F1261" s="35" t="s">
        <v>187</v>
      </c>
    </row>
    <row r="1262" spans="1:8">
      <c r="B1262" s="112" t="s">
        <v>188</v>
      </c>
      <c r="C1262" s="127">
        <v>400</v>
      </c>
      <c r="D1262" s="127"/>
      <c r="E1262" s="113"/>
      <c r="F1262" s="113"/>
    </row>
    <row r="1263" spans="1:8">
      <c r="B1263" s="112" t="s">
        <v>189</v>
      </c>
      <c r="C1263" s="127">
        <v>150</v>
      </c>
      <c r="D1263" s="127"/>
      <c r="E1263" s="113"/>
      <c r="F1263" s="113"/>
    </row>
    <row r="1264" spans="1:8">
      <c r="B1264" s="112" t="s">
        <v>190</v>
      </c>
      <c r="C1264" s="127">
        <v>250</v>
      </c>
      <c r="D1264" s="127"/>
      <c r="E1264" s="113"/>
      <c r="F1264" s="113"/>
    </row>
    <row r="1265" spans="2:6">
      <c r="B1265" s="112" t="s">
        <v>191</v>
      </c>
      <c r="C1265" s="127">
        <v>65</v>
      </c>
      <c r="D1265" s="127"/>
      <c r="E1265" s="113"/>
      <c r="F1265" s="113"/>
    </row>
    <row r="1266" spans="2:6">
      <c r="B1266" s="112" t="s">
        <v>74</v>
      </c>
      <c r="C1266" s="127">
        <f>229+18+23.4</f>
        <v>270.39999999999998</v>
      </c>
      <c r="D1266" s="127"/>
      <c r="E1266" s="113"/>
      <c r="F1266" s="113"/>
    </row>
    <row r="1267" spans="2:6">
      <c r="B1267" s="44" t="s">
        <v>17</v>
      </c>
      <c r="C1267" s="129">
        <f>SUM(C1262:C1266)</f>
        <v>1135.4000000000001</v>
      </c>
      <c r="D1267" s="129"/>
      <c r="E1267" s="45">
        <f>+C1267/C1272</f>
        <v>1.8528433510251672</v>
      </c>
      <c r="F1267" s="45" t="e">
        <f>+D1267/D1272</f>
        <v>#DIV/0!</v>
      </c>
    </row>
    <row r="1268" spans="2:6">
      <c r="B1268" s="43" t="s">
        <v>18</v>
      </c>
      <c r="C1268" s="130">
        <f>Model!V80*Capitalisation!H1258</f>
        <v>223.71479189947934</v>
      </c>
      <c r="D1268" s="130"/>
      <c r="E1268" s="46"/>
      <c r="F1268" s="46"/>
    </row>
    <row r="1269" spans="2:6">
      <c r="B1269" s="44" t="s">
        <v>19</v>
      </c>
      <c r="C1269" s="129">
        <f>+C1267-C1268</f>
        <v>911.68520810052075</v>
      </c>
      <c r="D1269" s="129"/>
      <c r="E1269" s="45">
        <f>+C1269/C1272</f>
        <v>1.4877663167668185</v>
      </c>
      <c r="F1269" s="45" t="e">
        <f>+D1269/D1272</f>
        <v>#DIV/0!</v>
      </c>
    </row>
    <row r="1270" spans="2:6">
      <c r="B1270" s="89" t="s">
        <v>20</v>
      </c>
      <c r="C1270" s="131">
        <f>Model!V135*H1258</f>
        <v>1416.1870315353376</v>
      </c>
      <c r="D1270" s="131"/>
      <c r="E1270" s="90"/>
      <c r="F1270" s="90"/>
    </row>
    <row r="1271" spans="2:6">
      <c r="B1271" s="89" t="s">
        <v>21</v>
      </c>
      <c r="C1271" s="131">
        <f>C1270+C1267</f>
        <v>2551.5870315353377</v>
      </c>
      <c r="D1271" s="131"/>
      <c r="E1271" s="90"/>
      <c r="F1271" s="90"/>
    </row>
    <row r="1272" spans="2:6">
      <c r="B1272" s="43" t="s">
        <v>22</v>
      </c>
      <c r="C1272" s="24">
        <f>Model!V289*Capitalisation!H1259</f>
        <v>612.78790749999996</v>
      </c>
      <c r="D1272" s="24"/>
      <c r="E1272" s="43"/>
      <c r="F1272" s="43"/>
    </row>
    <row r="1277" spans="2:6" ht="13.5" thickBot="1"/>
    <row r="1278" spans="2:6" ht="25.5">
      <c r="B1278" s="106" t="s">
        <v>195</v>
      </c>
      <c r="C1278" s="156" t="s">
        <v>161</v>
      </c>
      <c r="D1278" s="156"/>
      <c r="E1278" s="156" t="s">
        <v>89</v>
      </c>
      <c r="F1278" s="156" t="s">
        <v>89</v>
      </c>
    </row>
    <row r="1279" spans="2:6">
      <c r="B1279" s="107" t="s">
        <v>54</v>
      </c>
      <c r="C1279" s="157">
        <v>0</v>
      </c>
      <c r="D1279" s="157"/>
      <c r="E1279" s="157">
        <v>0</v>
      </c>
      <c r="F1279" s="157">
        <v>0</v>
      </c>
    </row>
    <row r="1280" spans="2:6">
      <c r="B1280" s="107" t="s">
        <v>30</v>
      </c>
      <c r="C1280" s="157">
        <f>Model!V80</f>
        <v>4103.9359999999988</v>
      </c>
      <c r="D1280" s="157"/>
      <c r="E1280" s="157">
        <f>+C1268</f>
        <v>223.71479189947934</v>
      </c>
      <c r="F1280" s="157">
        <f>+D1268</f>
        <v>0</v>
      </c>
    </row>
    <row r="1281" spans="2:6" ht="13.5" thickBot="1">
      <c r="B1281" s="108" t="s">
        <v>31</v>
      </c>
      <c r="C1281" s="158">
        <f>SUM(C1279:C1280)</f>
        <v>4103.9359999999988</v>
      </c>
      <c r="D1281" s="158"/>
      <c r="E1281" s="158">
        <f>SUM(E1279:E1280)</f>
        <v>223.71479189947934</v>
      </c>
      <c r="F1281" s="158">
        <f>SUM(F1279:F1280)</f>
        <v>0</v>
      </c>
    </row>
    <row r="1283" spans="2:6">
      <c r="C1283" s="38"/>
      <c r="D1283" s="38"/>
    </row>
    <row r="1284" spans="2:6" ht="13.5" thickBot="1"/>
    <row r="1285" spans="2:6">
      <c r="B1285" s="91" t="s">
        <v>182</v>
      </c>
      <c r="C1285" s="136">
        <v>43190</v>
      </c>
      <c r="D1285" s="136"/>
      <c r="E1285" s="94" t="s">
        <v>183</v>
      </c>
      <c r="F1285" s="94" t="s">
        <v>183</v>
      </c>
    </row>
    <row r="1286" spans="2:6">
      <c r="B1286" s="92">
        <v>2018</v>
      </c>
      <c r="C1286" s="159">
        <v>252.1</v>
      </c>
      <c r="D1286" s="159"/>
      <c r="E1286" s="95"/>
      <c r="F1286" s="95"/>
    </row>
    <row r="1287" spans="2:6">
      <c r="B1287" s="92">
        <v>2019</v>
      </c>
      <c r="C1287" s="159">
        <v>24</v>
      </c>
      <c r="D1287" s="159"/>
      <c r="E1287" s="95"/>
      <c r="F1287" s="95"/>
    </row>
    <row r="1288" spans="2:6">
      <c r="B1288" s="92">
        <v>2020</v>
      </c>
      <c r="C1288" s="159">
        <v>91.5</v>
      </c>
      <c r="D1288" s="159"/>
      <c r="E1288" s="95"/>
      <c r="F1288" s="95"/>
    </row>
    <row r="1289" spans="2:6">
      <c r="B1289" s="92">
        <v>2021</v>
      </c>
      <c r="C1289" s="159">
        <v>28.8</v>
      </c>
      <c r="D1289" s="159"/>
      <c r="E1289" s="95"/>
      <c r="F1289" s="95"/>
    </row>
    <row r="1290" spans="2:6">
      <c r="B1290" s="92">
        <v>2022</v>
      </c>
      <c r="C1290" s="159">
        <v>334.7</v>
      </c>
      <c r="D1290" s="159"/>
      <c r="E1290" s="95"/>
      <c r="F1290" s="95"/>
    </row>
    <row r="1291" spans="2:6">
      <c r="B1291" s="92">
        <v>2023</v>
      </c>
      <c r="C1291" s="159">
        <v>2.1</v>
      </c>
      <c r="D1291" s="159"/>
      <c r="E1291" s="95"/>
      <c r="F1291" s="95"/>
    </row>
    <row r="1292" spans="2:6" ht="13.5" thickBot="1">
      <c r="B1292" s="93">
        <v>2024</v>
      </c>
      <c r="C1292" s="160">
        <v>402.1</v>
      </c>
      <c r="D1292" s="160"/>
      <c r="E1292" s="114"/>
      <c r="F1292" s="114"/>
    </row>
    <row r="1293" spans="2:6">
      <c r="B1293" s="86" t="s">
        <v>5</v>
      </c>
      <c r="C1293" s="159">
        <f>SUM(C1286:C1292)</f>
        <v>1135.3000000000002</v>
      </c>
      <c r="D1293" s="159"/>
      <c r="E1293" s="34">
        <f>SUM(E1286:E1292)</f>
        <v>0</v>
      </c>
      <c r="F1293" s="34">
        <f>SUM(F1286:F1292)</f>
        <v>0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FX398"/>
  <sheetViews>
    <sheetView showGridLines="0" zoomScaleNormal="100" zoomScaleSheetLayoutView="100" workbookViewId="0">
      <pane xSplit="2" ySplit="6" topLeftCell="C7" activePane="bottomRight" state="frozen"/>
      <selection pane="bottomRight" activeCell="AF3" sqref="AF3"/>
      <selection pane="bottomLeft" activeCell="F26" sqref="F26"/>
      <selection pane="topRight" activeCell="F26" sqref="F26"/>
    </sheetView>
  </sheetViews>
  <sheetFormatPr defaultColWidth="11.42578125" defaultRowHeight="13.5" customHeight="1" outlineLevelRow="1" outlineLevelCol="1"/>
  <cols>
    <col min="1" max="1" width="2.7109375" style="1" customWidth="1"/>
    <col min="2" max="2" width="50.7109375" style="1" customWidth="1"/>
    <col min="3" max="4" width="12.7109375" style="1" hidden="1" customWidth="1" outlineLevel="1"/>
    <col min="5" max="5" width="12.7109375" style="1" customWidth="1" collapsed="1"/>
    <col min="6" max="8" width="12.7109375" style="1" customWidth="1"/>
    <col min="9" max="9" width="12.7109375" customWidth="1"/>
    <col min="10" max="13" width="12.7109375" style="1" hidden="1" customWidth="1" outlineLevel="1"/>
    <col min="14" max="15" width="12.7109375" style="1" hidden="1" customWidth="1" outlineLevel="1" collapsed="1"/>
    <col min="16" max="21" width="12.7109375" style="1" hidden="1" customWidth="1" outlineLevel="1"/>
    <col min="22" max="22" width="12.7109375" style="1" customWidth="1" collapsed="1"/>
    <col min="23" max="33" width="12.7109375" style="1" customWidth="1"/>
    <col min="34" max="16384" width="11.42578125" style="1"/>
  </cols>
  <sheetData>
    <row r="2" spans="2:31" s="2" customFormat="1" ht="24.75" customHeight="1">
      <c r="B2" s="10" t="s">
        <v>196</v>
      </c>
      <c r="C2" s="282" t="s">
        <v>197</v>
      </c>
      <c r="D2" s="282" t="s">
        <v>197</v>
      </c>
      <c r="E2" s="282" t="s">
        <v>197</v>
      </c>
      <c r="F2" s="282" t="s">
        <v>197</v>
      </c>
      <c r="G2" s="282" t="s">
        <v>197</v>
      </c>
      <c r="H2" s="282" t="s">
        <v>198</v>
      </c>
      <c r="J2" s="12" t="s">
        <v>199</v>
      </c>
      <c r="K2" s="283" t="s">
        <v>199</v>
      </c>
      <c r="L2" s="12" t="s">
        <v>199</v>
      </c>
      <c r="M2" s="12" t="s">
        <v>199</v>
      </c>
      <c r="N2" s="12" t="s">
        <v>199</v>
      </c>
      <c r="O2" s="12" t="s">
        <v>199</v>
      </c>
      <c r="P2" s="12" t="s">
        <v>199</v>
      </c>
      <c r="Q2" s="12" t="s">
        <v>199</v>
      </c>
      <c r="R2" s="12" t="s">
        <v>199</v>
      </c>
      <c r="S2" s="12" t="s">
        <v>199</v>
      </c>
      <c r="T2" s="283" t="s">
        <v>199</v>
      </c>
      <c r="U2" s="12" t="s">
        <v>199</v>
      </c>
      <c r="V2" s="12" t="s">
        <v>199</v>
      </c>
      <c r="W2" s="12" t="s">
        <v>199</v>
      </c>
      <c r="X2" s="12" t="s">
        <v>199</v>
      </c>
      <c r="Y2" s="282" t="s">
        <v>199</v>
      </c>
      <c r="Z2" s="12" t="s">
        <v>199</v>
      </c>
      <c r="AA2" s="12" t="s">
        <v>199</v>
      </c>
      <c r="AB2" s="12" t="s">
        <v>199</v>
      </c>
      <c r="AC2" s="282" t="s">
        <v>199</v>
      </c>
      <c r="AD2" s="12" t="s">
        <v>199</v>
      </c>
    </row>
    <row r="3" spans="2:31" s="2" customFormat="1" ht="13.5" customHeight="1">
      <c r="B3" s="11" t="s">
        <v>89</v>
      </c>
      <c r="C3" s="14">
        <v>44531</v>
      </c>
      <c r="D3" s="14">
        <v>44896</v>
      </c>
      <c r="E3" s="14">
        <v>45261</v>
      </c>
      <c r="F3" s="14">
        <v>45627</v>
      </c>
      <c r="G3" s="14">
        <v>45992</v>
      </c>
      <c r="H3" s="14">
        <f>AD3</f>
        <v>46111</v>
      </c>
      <c r="J3" s="13">
        <v>44285</v>
      </c>
      <c r="K3" s="14">
        <f>EOMONTH(J3,3)</f>
        <v>44377</v>
      </c>
      <c r="L3" s="13">
        <v>44469</v>
      </c>
      <c r="M3" s="13">
        <f>EOMONTH(L3,3)</f>
        <v>44561</v>
      </c>
      <c r="N3" s="13">
        <v>44650</v>
      </c>
      <c r="O3" s="13">
        <f>EOMONTH(N3,3)</f>
        <v>44742</v>
      </c>
      <c r="P3" s="13">
        <f>EOMONTH(O3,3)</f>
        <v>44834</v>
      </c>
      <c r="Q3" s="13">
        <f>EOMONTH(P3,3)</f>
        <v>44926</v>
      </c>
      <c r="R3" s="13">
        <v>45015</v>
      </c>
      <c r="S3" s="13">
        <f>EOMONTH(R3,3)</f>
        <v>45107</v>
      </c>
      <c r="T3" s="14">
        <f>EOMONTH(S3,3)</f>
        <v>45199</v>
      </c>
      <c r="U3" s="13">
        <f>EOMONTH(T3,3)</f>
        <v>45291</v>
      </c>
      <c r="V3" s="13">
        <v>45381</v>
      </c>
      <c r="W3" s="13">
        <f>EOMONTH(V3,3)</f>
        <v>45473</v>
      </c>
      <c r="X3" s="13">
        <f>EOMONTH(W3,3)</f>
        <v>45565</v>
      </c>
      <c r="Y3" s="14">
        <f>EOMONTH(X3,3)</f>
        <v>45657</v>
      </c>
      <c r="Z3" s="13">
        <v>45746</v>
      </c>
      <c r="AA3" s="13">
        <f>EOMONTH(Z3,3)</f>
        <v>45838</v>
      </c>
      <c r="AB3" s="13">
        <f>EOMONTH(AA3,3)</f>
        <v>45930</v>
      </c>
      <c r="AC3" s="14">
        <f>EOMONTH(AB3,3)</f>
        <v>46022</v>
      </c>
      <c r="AD3" s="13">
        <v>46111</v>
      </c>
    </row>
    <row r="4" spans="2:31" s="5" customFormat="1" ht="13.5" customHeight="1">
      <c r="B4" s="11"/>
      <c r="C4" s="14" t="s">
        <v>200</v>
      </c>
      <c r="D4" s="14" t="s">
        <v>200</v>
      </c>
      <c r="E4" s="14" t="s">
        <v>200</v>
      </c>
      <c r="F4" s="14" t="s">
        <v>200</v>
      </c>
      <c r="G4" s="14" t="s">
        <v>200</v>
      </c>
      <c r="H4" s="14" t="s">
        <v>200</v>
      </c>
      <c r="J4" s="14" t="s">
        <v>200</v>
      </c>
      <c r="K4" s="14" t="s">
        <v>200</v>
      </c>
      <c r="L4" s="14" t="s">
        <v>200</v>
      </c>
      <c r="M4" s="14" t="s">
        <v>200</v>
      </c>
      <c r="N4" s="14" t="s">
        <v>200</v>
      </c>
      <c r="O4" s="14" t="s">
        <v>200</v>
      </c>
      <c r="P4" s="14" t="s">
        <v>200</v>
      </c>
      <c r="Q4" s="14" t="s">
        <v>200</v>
      </c>
      <c r="R4" s="14" t="s">
        <v>200</v>
      </c>
      <c r="S4" s="14" t="s">
        <v>200</v>
      </c>
      <c r="T4" s="14" t="s">
        <v>200</v>
      </c>
      <c r="U4" s="14" t="s">
        <v>200</v>
      </c>
      <c r="V4" s="14" t="s">
        <v>200</v>
      </c>
      <c r="W4" s="14" t="s">
        <v>200</v>
      </c>
      <c r="X4" s="14" t="s">
        <v>200</v>
      </c>
      <c r="Y4" s="14" t="s">
        <v>200</v>
      </c>
      <c r="Z4" s="14" t="s">
        <v>200</v>
      </c>
      <c r="AA4" s="14" t="s">
        <v>200</v>
      </c>
      <c r="AB4" s="14" t="s">
        <v>200</v>
      </c>
      <c r="AC4" s="14" t="s">
        <v>200</v>
      </c>
      <c r="AD4" s="14" t="s">
        <v>200</v>
      </c>
    </row>
    <row r="5" spans="2:31" s="3" customFormat="1" ht="13.5" customHeight="1">
      <c r="C5" s="23" t="s">
        <v>201</v>
      </c>
      <c r="D5" s="23" t="s">
        <v>201</v>
      </c>
      <c r="E5" s="23" t="s">
        <v>201</v>
      </c>
      <c r="F5" s="23" t="s">
        <v>201</v>
      </c>
      <c r="G5" s="23" t="s">
        <v>201</v>
      </c>
      <c r="H5" s="287" t="s">
        <v>198</v>
      </c>
      <c r="J5" s="23" t="s">
        <v>202</v>
      </c>
      <c r="K5" s="23" t="s">
        <v>203</v>
      </c>
      <c r="L5" s="23" t="s">
        <v>204</v>
      </c>
      <c r="M5" s="287" t="s">
        <v>205</v>
      </c>
      <c r="N5" s="23" t="s">
        <v>202</v>
      </c>
      <c r="O5" s="23" t="s">
        <v>203</v>
      </c>
      <c r="P5" s="23" t="s">
        <v>204</v>
      </c>
      <c r="Q5" s="287" t="s">
        <v>205</v>
      </c>
      <c r="R5" s="23" t="s">
        <v>202</v>
      </c>
      <c r="S5" s="23" t="s">
        <v>203</v>
      </c>
      <c r="T5" s="23" t="s">
        <v>204</v>
      </c>
      <c r="U5" s="287" t="s">
        <v>205</v>
      </c>
      <c r="V5" s="23" t="s">
        <v>202</v>
      </c>
      <c r="W5" s="23" t="s">
        <v>203</v>
      </c>
      <c r="X5" s="23" t="s">
        <v>204</v>
      </c>
      <c r="Y5" s="287" t="s">
        <v>205</v>
      </c>
      <c r="Z5" s="23" t="s">
        <v>202</v>
      </c>
      <c r="AA5" s="23" t="s">
        <v>203</v>
      </c>
      <c r="AB5" s="23" t="s">
        <v>204</v>
      </c>
      <c r="AC5" s="287" t="s">
        <v>205</v>
      </c>
      <c r="AD5" s="23" t="s">
        <v>202</v>
      </c>
    </row>
    <row r="6" spans="2:31" ht="13.5" customHeight="1">
      <c r="B6" s="16" t="s">
        <v>206</v>
      </c>
      <c r="C6" s="243"/>
      <c r="D6" s="243"/>
      <c r="E6" s="243"/>
      <c r="F6" s="243"/>
      <c r="G6" s="243"/>
      <c r="H6" s="243"/>
      <c r="J6" s="17"/>
      <c r="K6" s="17"/>
      <c r="L6" s="243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</row>
    <row r="7" spans="2:31" s="5" customFormat="1" ht="12.75">
      <c r="B7" s="5" t="s">
        <v>207</v>
      </c>
      <c r="C7" s="28">
        <v>4623.5709999999999</v>
      </c>
      <c r="D7" s="28">
        <v>5596.6210000000001</v>
      </c>
      <c r="E7" s="28">
        <v>6576.23</v>
      </c>
      <c r="F7" s="28">
        <v>6486.942</v>
      </c>
      <c r="G7" s="28">
        <v>6374.6229999999996</v>
      </c>
      <c r="H7" s="8">
        <f>SUM(AA7:AD7)</f>
        <v>6450.8419999999996</v>
      </c>
      <c r="J7" s="28">
        <v>1077.7460000000001</v>
      </c>
      <c r="K7" s="28">
        <v>1128.0419999999999</v>
      </c>
      <c r="L7" s="28">
        <v>1186.933</v>
      </c>
      <c r="M7" s="8">
        <f>C7-SUM(J7:L7)</f>
        <v>1230.8499999999999</v>
      </c>
      <c r="N7" s="28">
        <v>1263.607</v>
      </c>
      <c r="O7" s="28">
        <v>1337.394</v>
      </c>
      <c r="P7" s="28">
        <v>1438.748</v>
      </c>
      <c r="Q7" s="8">
        <f>D7-SUM(N7:P7)</f>
        <v>1556.8719999999998</v>
      </c>
      <c r="R7" s="28">
        <v>1585.575</v>
      </c>
      <c r="S7" s="28">
        <v>1656.7449999999999</v>
      </c>
      <c r="T7" s="28">
        <v>1693.807</v>
      </c>
      <c r="U7" s="8">
        <f>E7-SUM(R7:T7)</f>
        <v>1640.1030000000001</v>
      </c>
      <c r="V7" s="4">
        <v>1647.2940000000001</v>
      </c>
      <c r="W7" s="28">
        <v>1660.904</v>
      </c>
      <c r="X7" s="28">
        <v>1623.4380000000001</v>
      </c>
      <c r="Y7" s="8">
        <f>F7-SUM(V7:X7)</f>
        <v>1555.3059999999996</v>
      </c>
      <c r="Z7" s="28">
        <v>1548.509</v>
      </c>
      <c r="AA7" s="28">
        <v>1600.7270000000001</v>
      </c>
      <c r="AB7" s="28">
        <v>1635.6210000000001</v>
      </c>
      <c r="AC7" s="8">
        <f>G7-SUM(Z7:AB7)</f>
        <v>1589.7659999999996</v>
      </c>
      <c r="AD7" s="28">
        <v>1624.7280000000001</v>
      </c>
    </row>
    <row r="8" spans="2:31" s="50" customFormat="1" ht="12.75">
      <c r="B8" s="19" t="s">
        <v>208</v>
      </c>
      <c r="C8" s="64"/>
      <c r="D8" s="137">
        <f>D7/C7-1</f>
        <v>0.21045421385331808</v>
      </c>
      <c r="E8" s="137">
        <f>E7/D7-1</f>
        <v>0.17503579391922375</v>
      </c>
      <c r="F8" s="137">
        <f>F7/E7-1</f>
        <v>-1.3577384002688375E-2</v>
      </c>
      <c r="G8" s="137">
        <f>G7/F7-1</f>
        <v>-1.7314629913447677E-2</v>
      </c>
      <c r="H8" s="36"/>
      <c r="J8" s="137"/>
      <c r="K8" s="137"/>
      <c r="L8" s="137"/>
      <c r="M8" s="36"/>
      <c r="N8" s="137">
        <f t="shared" ref="N8:U8" si="0">N7/J7-1</f>
        <v>0.17245343522499712</v>
      </c>
      <c r="O8" s="137">
        <f t="shared" si="0"/>
        <v>0.18558883445829144</v>
      </c>
      <c r="P8" s="137">
        <f t="shared" si="0"/>
        <v>0.21215603576613007</v>
      </c>
      <c r="Q8" s="137">
        <f t="shared" si="0"/>
        <v>0.26487549254580167</v>
      </c>
      <c r="R8" s="137">
        <f>R7/N7-1</f>
        <v>0.25480074105319139</v>
      </c>
      <c r="S8" s="137">
        <f>S7/O7-1</f>
        <v>0.23878602715430142</v>
      </c>
      <c r="T8" s="137">
        <f>T7/P7-1</f>
        <v>0.17727843930973308</v>
      </c>
      <c r="U8" s="137">
        <f t="shared" si="0"/>
        <v>5.3460400084271775E-2</v>
      </c>
      <c r="V8" s="137">
        <f>V7/R7-1</f>
        <v>3.8925311007047991E-2</v>
      </c>
      <c r="W8" s="137">
        <f>W7/S7-1</f>
        <v>2.5103440782980879E-3</v>
      </c>
      <c r="X8" s="137">
        <f>X7/T7-1</f>
        <v>-4.1544874947381794E-2</v>
      </c>
      <c r="Y8" s="137">
        <f t="shared" ref="Y8" si="1">Y7/U7-1</f>
        <v>-5.1702240651959386E-2</v>
      </c>
      <c r="Z8" s="137">
        <f>Z7/V7-1</f>
        <v>-5.9968044562779932E-2</v>
      </c>
      <c r="AA8" s="137">
        <f>AA7/W7-1</f>
        <v>-3.6231473944309811E-2</v>
      </c>
      <c r="AB8" s="137">
        <f>AB7/X7-1</f>
        <v>7.5044442719709448E-3</v>
      </c>
      <c r="AC8" s="137">
        <f t="shared" ref="AC8" si="2">AC7/Y7-1</f>
        <v>2.2156411664328468E-2</v>
      </c>
      <c r="AD8" s="137">
        <f>AD7/Z7-1</f>
        <v>4.9220895713231183E-2</v>
      </c>
      <c r="AE8" s="1"/>
    </row>
    <row r="9" spans="2:31" s="50" customFormat="1" ht="12.75">
      <c r="B9" s="5" t="s">
        <v>209</v>
      </c>
      <c r="C9" s="4">
        <v>2960.4679999999998</v>
      </c>
      <c r="D9" s="4">
        <v>3617.1190000000001</v>
      </c>
      <c r="E9" s="4">
        <v>4242.62</v>
      </c>
      <c r="F9" s="4">
        <v>3988.3249999999998</v>
      </c>
      <c r="G9" s="4">
        <v>3881.97</v>
      </c>
      <c r="H9" s="6">
        <f>SUM(AA9:AD9)</f>
        <v>3945.357</v>
      </c>
      <c r="J9" s="4">
        <v>687.69299999999998</v>
      </c>
      <c r="K9" s="4">
        <v>722.03499999999997</v>
      </c>
      <c r="L9" s="4">
        <v>759.54300000000001</v>
      </c>
      <c r="M9" s="6">
        <f>C9-SUM(J9:L9)</f>
        <v>791.19699999999966</v>
      </c>
      <c r="N9" s="4">
        <v>825.12900000000002</v>
      </c>
      <c r="O9" s="4">
        <v>872.13400000000001</v>
      </c>
      <c r="P9" s="4">
        <v>927.49599999999998</v>
      </c>
      <c r="Q9" s="6">
        <f>D9-SUM(N9:P9)</f>
        <v>992.36000000000013</v>
      </c>
      <c r="R9" s="4">
        <v>1044.7819999999999</v>
      </c>
      <c r="S9" s="4">
        <v>1076.9639999999999</v>
      </c>
      <c r="T9" s="4">
        <v>1074.998</v>
      </c>
      <c r="U9" s="6">
        <f>E9-SUM(R9:T9)</f>
        <v>1045.8759999999997</v>
      </c>
      <c r="V9" s="4">
        <v>1033.06</v>
      </c>
      <c r="W9" s="4">
        <v>1027.5550000000001</v>
      </c>
      <c r="X9" s="4">
        <v>983.23</v>
      </c>
      <c r="Y9" s="6">
        <f>F9-SUM(V9:X9)</f>
        <v>944.48</v>
      </c>
      <c r="Z9" s="4">
        <v>932.57899999999995</v>
      </c>
      <c r="AA9" s="4">
        <v>970.06799999999998</v>
      </c>
      <c r="AB9" s="4">
        <v>992.25400000000002</v>
      </c>
      <c r="AC9" s="6">
        <f>G9-SUM(Z9:AB9)</f>
        <v>987.06899999999996</v>
      </c>
      <c r="AD9" s="4">
        <v>995.96600000000001</v>
      </c>
    </row>
    <row r="10" spans="2:31" s="5" customFormat="1" ht="12.75">
      <c r="B10" s="5" t="s">
        <v>210</v>
      </c>
      <c r="C10" s="173">
        <f t="shared" ref="C10:H10" si="3">C7-C9</f>
        <v>1663.1030000000001</v>
      </c>
      <c r="D10" s="173">
        <f t="shared" si="3"/>
        <v>1979.502</v>
      </c>
      <c r="E10" s="173">
        <f t="shared" si="3"/>
        <v>2333.6099999999997</v>
      </c>
      <c r="F10" s="173">
        <f t="shared" si="3"/>
        <v>2498.6170000000002</v>
      </c>
      <c r="G10" s="173">
        <f t="shared" si="3"/>
        <v>2492.6529999999998</v>
      </c>
      <c r="H10" s="8">
        <f t="shared" si="3"/>
        <v>2505.4849999999997</v>
      </c>
      <c r="J10" s="173">
        <f t="shared" ref="J10:P10" si="4">J7-J9</f>
        <v>390.05300000000011</v>
      </c>
      <c r="K10" s="173">
        <f t="shared" si="4"/>
        <v>406.00699999999995</v>
      </c>
      <c r="L10" s="173">
        <f t="shared" si="4"/>
        <v>427.39</v>
      </c>
      <c r="M10" s="8">
        <f t="shared" si="4"/>
        <v>439.65300000000025</v>
      </c>
      <c r="N10" s="173">
        <f t="shared" si="4"/>
        <v>438.47799999999995</v>
      </c>
      <c r="O10" s="173">
        <f t="shared" si="4"/>
        <v>465.26</v>
      </c>
      <c r="P10" s="173">
        <f t="shared" si="4"/>
        <v>511.25200000000007</v>
      </c>
      <c r="Q10" s="8">
        <f t="shared" ref="Q10:R10" si="5">Q7-Q9</f>
        <v>564.51199999999972</v>
      </c>
      <c r="R10" s="8">
        <f t="shared" si="5"/>
        <v>540.79300000000012</v>
      </c>
      <c r="S10" s="173">
        <f>S7-S9</f>
        <v>579.78099999999995</v>
      </c>
      <c r="T10" s="173">
        <f t="shared" ref="T10:V10" si="6">T7-T9</f>
        <v>618.80899999999997</v>
      </c>
      <c r="U10" s="8">
        <f t="shared" si="6"/>
        <v>594.22700000000032</v>
      </c>
      <c r="V10" s="8">
        <f t="shared" si="6"/>
        <v>614.23400000000015</v>
      </c>
      <c r="W10" s="173">
        <f>W7-W9</f>
        <v>633.34899999999993</v>
      </c>
      <c r="X10" s="173">
        <f>X7-X9</f>
        <v>640.20800000000008</v>
      </c>
      <c r="Y10" s="8">
        <f t="shared" ref="Y10:Z10" si="7">Y7-Y9</f>
        <v>610.82599999999957</v>
      </c>
      <c r="Z10" s="173">
        <f t="shared" si="7"/>
        <v>615.93000000000006</v>
      </c>
      <c r="AA10" s="173">
        <f>AA7-AA9</f>
        <v>630.65900000000011</v>
      </c>
      <c r="AB10" s="173">
        <f>AB7-AB9</f>
        <v>643.36700000000008</v>
      </c>
      <c r="AC10" s="8">
        <f t="shared" ref="AC10:AD10" si="8">AC7-AC9</f>
        <v>602.69699999999966</v>
      </c>
      <c r="AD10" s="173">
        <f t="shared" si="8"/>
        <v>628.76200000000006</v>
      </c>
    </row>
    <row r="11" spans="2:31" s="50" customFormat="1" ht="12.75">
      <c r="B11" s="19" t="s">
        <v>211</v>
      </c>
      <c r="C11" s="64">
        <f t="shared" ref="C11:H11" si="9">C10/C7</f>
        <v>0.35970097571768661</v>
      </c>
      <c r="D11" s="64">
        <f t="shared" si="9"/>
        <v>0.35369591759027452</v>
      </c>
      <c r="E11" s="64">
        <f t="shared" si="9"/>
        <v>0.35485528942874561</v>
      </c>
      <c r="F11" s="64">
        <f t="shared" si="9"/>
        <v>0.38517640515361479</v>
      </c>
      <c r="G11" s="64">
        <f t="shared" si="9"/>
        <v>0.39102751645077677</v>
      </c>
      <c r="H11" s="36">
        <f t="shared" si="9"/>
        <v>0.38839658450788284</v>
      </c>
      <c r="J11" s="64">
        <f t="shared" ref="J11:P11" si="10">J10/J7</f>
        <v>0.36191551627192314</v>
      </c>
      <c r="K11" s="64">
        <f t="shared" si="10"/>
        <v>0.35992188234126032</v>
      </c>
      <c r="L11" s="64">
        <f t="shared" si="10"/>
        <v>0.36007929680950818</v>
      </c>
      <c r="M11" s="36">
        <f t="shared" si="10"/>
        <v>0.35719462160295751</v>
      </c>
      <c r="N11" s="64">
        <f t="shared" si="10"/>
        <v>0.34700504191572218</v>
      </c>
      <c r="O11" s="64">
        <f t="shared" si="10"/>
        <v>0.34788551466508749</v>
      </c>
      <c r="P11" s="64">
        <f t="shared" si="10"/>
        <v>0.3553450639027822</v>
      </c>
      <c r="Q11" s="36">
        <f t="shared" ref="Q11:R11" si="11">Q10/Q7</f>
        <v>0.36259371354870523</v>
      </c>
      <c r="R11" s="36">
        <f t="shared" si="11"/>
        <v>0.3410705895337654</v>
      </c>
      <c r="S11" s="64">
        <f>S10/S7</f>
        <v>0.34995186344307661</v>
      </c>
      <c r="T11" s="64">
        <f t="shared" ref="T11:V11" si="12">T10/T7</f>
        <v>0.36533619237610893</v>
      </c>
      <c r="U11" s="36">
        <f t="shared" si="12"/>
        <v>0.36231078170090553</v>
      </c>
      <c r="V11" s="36">
        <f t="shared" si="12"/>
        <v>0.37287454455610236</v>
      </c>
      <c r="W11" s="64">
        <f>W10/W7</f>
        <v>0.38132787927538253</v>
      </c>
      <c r="X11" s="64">
        <f>X10/X7</f>
        <v>0.39435321829352277</v>
      </c>
      <c r="Y11" s="36">
        <f t="shared" ref="Y11:Z11" si="13">Y10/Y7</f>
        <v>0.39273686335679264</v>
      </c>
      <c r="Z11" s="64">
        <f t="shared" si="13"/>
        <v>0.39775680993781765</v>
      </c>
      <c r="AA11" s="64">
        <f>AA10/AA7</f>
        <v>0.39398285903842445</v>
      </c>
      <c r="AB11" s="64">
        <f>AB10/AB7</f>
        <v>0.39334723630963409</v>
      </c>
      <c r="AC11" s="36">
        <f t="shared" ref="AC11:AD11" si="14">AC10/AC7</f>
        <v>0.37911051060344719</v>
      </c>
      <c r="AD11" s="64">
        <f t="shared" si="14"/>
        <v>0.38699523858762824</v>
      </c>
    </row>
    <row r="12" spans="2:31" ht="12.75">
      <c r="B12" s="1" t="s">
        <v>212</v>
      </c>
      <c r="C12" s="4">
        <f>-943.808-200.424</f>
        <v>-1144.232</v>
      </c>
      <c r="D12" s="4">
        <f>-1096.183-255.116</f>
        <v>-1351.299</v>
      </c>
      <c r="E12" s="4">
        <f>-1229.237-285.107</f>
        <v>-1514.3440000000001</v>
      </c>
      <c r="F12" s="4">
        <f>(-1292659-318473)/1000</f>
        <v>-1611.1320000000001</v>
      </c>
      <c r="G12" s="4">
        <f>-1311.969-308.064</f>
        <v>-1620.0330000000001</v>
      </c>
      <c r="H12" s="6">
        <f t="shared" ref="H12:H13" si="15">SUM(AA12:AD12)</f>
        <v>-1648.981</v>
      </c>
      <c r="J12" s="4">
        <f>-227.449-50.959</f>
        <v>-278.40800000000002</v>
      </c>
      <c r="K12" s="4">
        <f>-234.173-54.749</f>
        <v>-288.92200000000003</v>
      </c>
      <c r="L12" s="4">
        <f>-240.782-49.635</f>
        <v>-290.41700000000003</v>
      </c>
      <c r="M12" s="6">
        <f>C12-SUM(J12:L12)</f>
        <v>-286.4849999999999</v>
      </c>
      <c r="N12" s="4">
        <f>-260.679-57.993</f>
        <v>-318.67199999999997</v>
      </c>
      <c r="O12" s="4">
        <f>-321.574</f>
        <v>-321.57400000000001</v>
      </c>
      <c r="P12" s="4">
        <f>-286.598-64.231</f>
        <v>-350.82900000000001</v>
      </c>
      <c r="Q12" s="6">
        <f>D12-SUM(N12:P12)</f>
        <v>-360.22399999999993</v>
      </c>
      <c r="R12" s="4">
        <f>-297.577-74.639</f>
        <v>-372.21600000000001</v>
      </c>
      <c r="S12" s="4">
        <f>-309.444-73.498</f>
        <v>-382.94200000000001</v>
      </c>
      <c r="T12" s="4">
        <f>-318.408-73.903</f>
        <v>-392.31100000000004</v>
      </c>
      <c r="U12" s="6">
        <f>E12-SUM(R12:T12)</f>
        <v>-366.875</v>
      </c>
      <c r="V12" s="4">
        <f>-326.055-81.339</f>
        <v>-407.39400000000001</v>
      </c>
      <c r="W12" s="4">
        <f>-331.109-78.75</f>
        <v>-409.85899999999998</v>
      </c>
      <c r="X12" s="4">
        <f>-331.155-87.226</f>
        <v>-418.38099999999997</v>
      </c>
      <c r="Y12" s="6">
        <f t="shared" ref="Y12:Y13" si="16">F12-SUM(V12:X12)</f>
        <v>-375.49800000000005</v>
      </c>
      <c r="Z12" s="4">
        <f>(-325028000-80342000)/1000000</f>
        <v>-405.37</v>
      </c>
      <c r="AA12" s="4">
        <f>-330.129-76.444</f>
        <v>-406.57300000000004</v>
      </c>
      <c r="AB12" s="4">
        <f>-339.584-77.106</f>
        <v>-416.69</v>
      </c>
      <c r="AC12" s="6">
        <f t="shared" ref="AC12:AC13" si="17">G12-SUM(Z12:AB12)</f>
        <v>-391.40000000000009</v>
      </c>
      <c r="AD12" s="4">
        <f>-346.696-87.622</f>
        <v>-434.31800000000004</v>
      </c>
    </row>
    <row r="13" spans="2:31" ht="12.75">
      <c r="B13" s="1" t="s">
        <v>213</v>
      </c>
      <c r="C13" s="4">
        <f>34.855</f>
        <v>34.854999999999997</v>
      </c>
      <c r="D13" s="4">
        <f>-18.06</f>
        <v>-18.059999999999999</v>
      </c>
      <c r="E13" s="4">
        <v>-41.670999999999999</v>
      </c>
      <c r="F13" s="4">
        <v>2.7370000000000001</v>
      </c>
      <c r="G13" s="4">
        <v>17.539000000000001</v>
      </c>
      <c r="H13" s="6">
        <f t="shared" si="15"/>
        <v>5.7030000000000021</v>
      </c>
      <c r="J13" s="4">
        <v>13.698</v>
      </c>
      <c r="K13" s="4">
        <v>23.872</v>
      </c>
      <c r="L13" s="4">
        <v>0.82499999999999996</v>
      </c>
      <c r="M13" s="6">
        <f>C13-SUM(J13:L13)</f>
        <v>-3.5400000000000063</v>
      </c>
      <c r="N13" s="4">
        <v>-3.718</v>
      </c>
      <c r="O13" s="4">
        <v>-4.9820000000000002</v>
      </c>
      <c r="P13" s="4">
        <v>-1.1419999999999999</v>
      </c>
      <c r="Q13" s="6">
        <f>D13-SUM(N13:P13)</f>
        <v>-8.218</v>
      </c>
      <c r="R13" s="4">
        <v>-10.782</v>
      </c>
      <c r="S13" s="4">
        <v>-12.223000000000001</v>
      </c>
      <c r="T13" s="4">
        <v>-6.33</v>
      </c>
      <c r="U13" s="6">
        <f>E13-SUM(R13:T13)</f>
        <v>-12.335999999999999</v>
      </c>
      <c r="V13" s="4">
        <v>-0.86199999999999999</v>
      </c>
      <c r="W13" s="4">
        <v>3.4159999999999999</v>
      </c>
      <c r="X13" s="4">
        <v>6.0590000000000002</v>
      </c>
      <c r="Y13" s="6">
        <f t="shared" si="16"/>
        <v>-5.8759999999999994</v>
      </c>
      <c r="Z13" s="4">
        <v>6.556</v>
      </c>
      <c r="AA13" s="4">
        <v>5.6820000000000004</v>
      </c>
      <c r="AB13" s="4">
        <v>3.9129999999999998</v>
      </c>
      <c r="AC13" s="6">
        <f t="shared" si="17"/>
        <v>1.3880000000000017</v>
      </c>
      <c r="AD13" s="4">
        <v>-5.28</v>
      </c>
    </row>
    <row r="14" spans="2:31" s="5" customFormat="1" ht="12.75">
      <c r="B14" s="15" t="s">
        <v>214</v>
      </c>
      <c r="C14" s="8">
        <f t="shared" ref="C14:H14" si="18">SUM(C10,C12,C13)</f>
        <v>553.72600000000011</v>
      </c>
      <c r="D14" s="8">
        <f t="shared" si="18"/>
        <v>610.14300000000003</v>
      </c>
      <c r="E14" s="8">
        <f t="shared" si="18"/>
        <v>777.59499999999957</v>
      </c>
      <c r="F14" s="8">
        <f t="shared" si="18"/>
        <v>890.22200000000009</v>
      </c>
      <c r="G14" s="8">
        <f t="shared" si="18"/>
        <v>890.15899999999965</v>
      </c>
      <c r="H14" s="8">
        <f t="shared" si="18"/>
        <v>862.20699999999965</v>
      </c>
      <c r="J14" s="8">
        <f t="shared" ref="J14:P14" si="19">SUM(J10,J12,J13)</f>
        <v>125.3430000000001</v>
      </c>
      <c r="K14" s="8">
        <f t="shared" si="19"/>
        <v>140.95699999999994</v>
      </c>
      <c r="L14" s="8">
        <f t="shared" si="19"/>
        <v>137.79799999999994</v>
      </c>
      <c r="M14" s="8">
        <f t="shared" si="19"/>
        <v>149.62800000000033</v>
      </c>
      <c r="N14" s="8">
        <f t="shared" si="19"/>
        <v>116.08799999999998</v>
      </c>
      <c r="O14" s="8">
        <f t="shared" si="19"/>
        <v>138.70399999999998</v>
      </c>
      <c r="P14" s="8">
        <f t="shared" si="19"/>
        <v>159.28100000000006</v>
      </c>
      <c r="Q14" s="8">
        <f t="shared" ref="Q14:T14" si="20">SUM(Q10,Q12,Q13)</f>
        <v>196.06999999999979</v>
      </c>
      <c r="R14" s="8">
        <f t="shared" si="20"/>
        <v>157.7950000000001</v>
      </c>
      <c r="S14" s="8">
        <f t="shared" si="20"/>
        <v>184.61599999999993</v>
      </c>
      <c r="T14" s="8">
        <f t="shared" si="20"/>
        <v>220.16799999999992</v>
      </c>
      <c r="U14" s="8">
        <f t="shared" ref="U14:W14" si="21">SUM(U10,U12,U13)</f>
        <v>215.0160000000003</v>
      </c>
      <c r="V14" s="8">
        <f t="shared" si="21"/>
        <v>205.97800000000015</v>
      </c>
      <c r="W14" s="8">
        <f t="shared" si="21"/>
        <v>226.90599999999995</v>
      </c>
      <c r="X14" s="8">
        <f t="shared" ref="X14:AA14" si="22">SUM(X10,X12,X13)</f>
        <v>227.88600000000011</v>
      </c>
      <c r="Y14" s="8">
        <f t="shared" si="22"/>
        <v>229.45199999999952</v>
      </c>
      <c r="Z14" s="8">
        <f t="shared" si="22"/>
        <v>217.11600000000007</v>
      </c>
      <c r="AA14" s="8">
        <f t="shared" si="22"/>
        <v>229.76800000000006</v>
      </c>
      <c r="AB14" s="8">
        <f t="shared" ref="AB14:AD14" si="23">SUM(AB10,AB12,AB13)</f>
        <v>230.59000000000009</v>
      </c>
      <c r="AC14" s="8">
        <f t="shared" si="23"/>
        <v>212.68499999999958</v>
      </c>
      <c r="AD14" s="8">
        <f t="shared" si="23"/>
        <v>189.16400000000002</v>
      </c>
    </row>
    <row r="15" spans="2:31" ht="12.75">
      <c r="B15" s="7" t="s">
        <v>215</v>
      </c>
      <c r="C15" s="4">
        <v>2.1070000000000002</v>
      </c>
      <c r="D15" s="4">
        <v>9.7129999999999992</v>
      </c>
      <c r="E15" s="4">
        <v>11.602</v>
      </c>
      <c r="F15" s="4">
        <v>54.869</v>
      </c>
      <c r="G15" s="4">
        <v>14.340999999999999</v>
      </c>
      <c r="H15" s="6">
        <f t="shared" ref="H15:H17" si="24">SUM(AA15:AD15)</f>
        <v>14.042</v>
      </c>
      <c r="J15" s="4">
        <v>1.1879999999999999</v>
      </c>
      <c r="K15" s="4">
        <v>4.1399999999999997</v>
      </c>
      <c r="L15" s="4">
        <v>1.23</v>
      </c>
      <c r="M15" s="6">
        <f>C15-SUM(J15:L15)</f>
        <v>-4.4509999999999996</v>
      </c>
      <c r="N15" s="4">
        <v>4.8559999999999999</v>
      </c>
      <c r="O15" s="4">
        <v>1.331</v>
      </c>
      <c r="P15" s="4">
        <v>1.3120000000000001</v>
      </c>
      <c r="Q15" s="6">
        <f>D15-SUM(N15:P15)</f>
        <v>2.2139999999999995</v>
      </c>
      <c r="R15" s="4">
        <v>2.923</v>
      </c>
      <c r="S15" s="4">
        <v>2.0670000000000002</v>
      </c>
      <c r="T15" s="4">
        <v>5.2539999999999996</v>
      </c>
      <c r="U15" s="6">
        <f>E15-SUM(R15:T15)</f>
        <v>1.3580000000000005</v>
      </c>
      <c r="V15" s="4">
        <v>4.556</v>
      </c>
      <c r="W15" s="4">
        <v>14.685</v>
      </c>
      <c r="X15" s="4">
        <v>6.0810000000000004</v>
      </c>
      <c r="Y15" s="6">
        <f t="shared" ref="Y15:Y17" si="25">F15-SUM(V15:X15)</f>
        <v>29.547000000000001</v>
      </c>
      <c r="Z15" s="4">
        <v>4.0010000000000003</v>
      </c>
      <c r="AA15" s="4">
        <v>4.9669999999999996</v>
      </c>
      <c r="AB15" s="4">
        <v>2.9790000000000001</v>
      </c>
      <c r="AC15" s="6">
        <f t="shared" ref="AC15:AC17" si="26">G15-SUM(Z15:AB15)</f>
        <v>2.3940000000000001</v>
      </c>
      <c r="AD15" s="4">
        <v>3.702</v>
      </c>
    </row>
    <row r="16" spans="2:31" ht="12.75">
      <c r="B16" s="7" t="s">
        <v>216</v>
      </c>
      <c r="C16" s="4">
        <f>-83.707</f>
        <v>-83.706999999999994</v>
      </c>
      <c r="D16" s="4">
        <f>-109.8</f>
        <v>-109.8</v>
      </c>
      <c r="E16" s="4">
        <v>-159.249</v>
      </c>
      <c r="F16" s="4">
        <v>-133.15199999999999</v>
      </c>
      <c r="G16" s="4">
        <f>-140.917</f>
        <v>-140.917</v>
      </c>
      <c r="H16" s="6">
        <f t="shared" si="24"/>
        <v>-145.14300000000003</v>
      </c>
      <c r="J16" s="4">
        <v>-23.276</v>
      </c>
      <c r="K16" s="4">
        <v>-21.687000000000001</v>
      </c>
      <c r="L16" s="4">
        <v>-20.061</v>
      </c>
      <c r="M16" s="6">
        <f>C16-SUM(J16:L16)</f>
        <v>-18.682999999999993</v>
      </c>
      <c r="N16" s="4">
        <v>-20.170000000000002</v>
      </c>
      <c r="O16" s="4">
        <v>-28.753</v>
      </c>
      <c r="P16" s="4">
        <v>-33.741</v>
      </c>
      <c r="Q16" s="6">
        <f>D16-SUM(N16:P16)</f>
        <v>-27.135999999999996</v>
      </c>
      <c r="R16" s="4">
        <v>-38.174999999999997</v>
      </c>
      <c r="S16" s="4">
        <v>-42.308</v>
      </c>
      <c r="T16" s="4">
        <v>-40.972000000000001</v>
      </c>
      <c r="U16" s="6">
        <f>E16-SUM(R16:T16)</f>
        <v>-37.793999999999983</v>
      </c>
      <c r="V16" s="4">
        <v>-36.435000000000002</v>
      </c>
      <c r="W16" s="4">
        <v>-33.44</v>
      </c>
      <c r="X16" s="4">
        <v>-32.786999999999999</v>
      </c>
      <c r="Y16" s="6">
        <f t="shared" si="25"/>
        <v>-30.489999999999981</v>
      </c>
      <c r="Z16" s="4">
        <v>-34.258000000000003</v>
      </c>
      <c r="AA16" s="4">
        <v>-33.777000000000001</v>
      </c>
      <c r="AB16" s="4">
        <v>-34.902999999999999</v>
      </c>
      <c r="AC16" s="6">
        <f t="shared" si="26"/>
        <v>-37.979000000000013</v>
      </c>
      <c r="AD16" s="4">
        <v>-38.484000000000002</v>
      </c>
    </row>
    <row r="17" spans="2:30" ht="12.75">
      <c r="B17" s="1" t="s">
        <v>217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6">
        <f t="shared" si="24"/>
        <v>0</v>
      </c>
      <c r="J17" s="4">
        <v>0</v>
      </c>
      <c r="K17" s="4">
        <v>0</v>
      </c>
      <c r="L17" s="4">
        <v>0</v>
      </c>
      <c r="M17" s="6">
        <f>C17-SUM(J17:L17)</f>
        <v>0</v>
      </c>
      <c r="N17" s="4">
        <v>0</v>
      </c>
      <c r="O17" s="4">
        <v>0</v>
      </c>
      <c r="P17" s="4">
        <v>0</v>
      </c>
      <c r="Q17" s="6">
        <f>D17-SUM(N17:P17)</f>
        <v>0</v>
      </c>
      <c r="R17" s="4">
        <v>0</v>
      </c>
      <c r="S17" s="4">
        <v>0</v>
      </c>
      <c r="T17" s="4">
        <v>0</v>
      </c>
      <c r="U17" s="6">
        <f>E17-SUM(R17:T17)</f>
        <v>0</v>
      </c>
      <c r="V17" s="4">
        <v>0</v>
      </c>
      <c r="W17" s="4">
        <v>0</v>
      </c>
      <c r="X17" s="4">
        <v>0</v>
      </c>
      <c r="Y17" s="6">
        <f t="shared" si="25"/>
        <v>0</v>
      </c>
      <c r="Z17" s="4">
        <v>0</v>
      </c>
      <c r="AA17" s="4">
        <v>0</v>
      </c>
      <c r="AB17" s="4">
        <v>0</v>
      </c>
      <c r="AC17" s="6">
        <f t="shared" si="26"/>
        <v>0</v>
      </c>
      <c r="AD17" s="4">
        <v>0</v>
      </c>
    </row>
    <row r="18" spans="2:30" s="5" customFormat="1" ht="12.75">
      <c r="B18" s="5" t="s">
        <v>218</v>
      </c>
      <c r="C18" s="8">
        <f t="shared" ref="C18:H18" si="27">SUM(C14,C15,C16,C17)</f>
        <v>472.12600000000009</v>
      </c>
      <c r="D18" s="8">
        <f t="shared" si="27"/>
        <v>510.05599999999998</v>
      </c>
      <c r="E18" s="8">
        <f t="shared" si="27"/>
        <v>629.94799999999952</v>
      </c>
      <c r="F18" s="8">
        <f t="shared" si="27"/>
        <v>811.93900000000008</v>
      </c>
      <c r="G18" s="8">
        <f t="shared" si="27"/>
        <v>763.58299999999963</v>
      </c>
      <c r="H18" s="8">
        <f t="shared" si="27"/>
        <v>731.10599999999965</v>
      </c>
      <c r="J18" s="8">
        <f t="shared" ref="J18:P18" si="28">SUM(J14,J15,J16,J17)</f>
        <v>103.25500000000011</v>
      </c>
      <c r="K18" s="8">
        <f t="shared" si="28"/>
        <v>123.40999999999993</v>
      </c>
      <c r="L18" s="8">
        <f t="shared" si="28"/>
        <v>118.96699999999993</v>
      </c>
      <c r="M18" s="8">
        <f t="shared" si="28"/>
        <v>126.49400000000034</v>
      </c>
      <c r="N18" s="8">
        <f t="shared" si="28"/>
        <v>100.77399999999997</v>
      </c>
      <c r="O18" s="8">
        <f t="shared" si="28"/>
        <v>111.28199999999997</v>
      </c>
      <c r="P18" s="8">
        <f t="shared" si="28"/>
        <v>126.85200000000007</v>
      </c>
      <c r="Q18" s="8">
        <f t="shared" ref="Q18:T18" si="29">SUM(Q14,Q15,Q16,Q17)</f>
        <v>171.1479999999998</v>
      </c>
      <c r="R18" s="8">
        <f t="shared" si="29"/>
        <v>122.54300000000011</v>
      </c>
      <c r="S18" s="8">
        <f t="shared" si="29"/>
        <v>144.37499999999994</v>
      </c>
      <c r="T18" s="8">
        <f t="shared" si="29"/>
        <v>184.4499999999999</v>
      </c>
      <c r="U18" s="8">
        <f t="shared" ref="U18:W18" si="30">SUM(U14,U15,U16,U17)</f>
        <v>178.58000000000033</v>
      </c>
      <c r="V18" s="8">
        <f t="shared" si="30"/>
        <v>174.09900000000016</v>
      </c>
      <c r="W18" s="8">
        <f t="shared" si="30"/>
        <v>208.15099999999995</v>
      </c>
      <c r="X18" s="8">
        <f t="shared" ref="X18:AA18" si="31">SUM(X14,X15,X16,X17)</f>
        <v>201.18000000000009</v>
      </c>
      <c r="Y18" s="8">
        <f t="shared" si="31"/>
        <v>228.50899999999953</v>
      </c>
      <c r="Z18" s="8">
        <f t="shared" si="31"/>
        <v>186.85900000000007</v>
      </c>
      <c r="AA18" s="8">
        <f t="shared" si="31"/>
        <v>200.95800000000008</v>
      </c>
      <c r="AB18" s="122">
        <f t="shared" ref="AB18:AD18" si="32">SUM(AB14,AB15,AB16,AB17)</f>
        <v>198.66600000000011</v>
      </c>
      <c r="AC18" s="8">
        <f t="shared" si="32"/>
        <v>177.09999999999957</v>
      </c>
      <c r="AD18" s="8">
        <f t="shared" si="32"/>
        <v>154.38200000000001</v>
      </c>
    </row>
    <row r="19" spans="2:30" s="5" customFormat="1" ht="12.75">
      <c r="B19" s="7" t="s">
        <v>219</v>
      </c>
      <c r="C19" s="4">
        <v>-169.91399999999999</v>
      </c>
      <c r="D19" s="4">
        <v>-190.86500000000001</v>
      </c>
      <c r="E19" s="4">
        <v>-222.126</v>
      </c>
      <c r="F19" s="4">
        <v>-279.89</v>
      </c>
      <c r="G19" s="4">
        <v>-244.679</v>
      </c>
      <c r="H19" s="6">
        <f>SUM(AA19:AD19)</f>
        <v>-237.30200000000002</v>
      </c>
      <c r="J19" s="4">
        <v>-38.902999999999999</v>
      </c>
      <c r="K19" s="4">
        <v>-46.411000000000001</v>
      </c>
      <c r="L19" s="4">
        <v>-45.749000000000002</v>
      </c>
      <c r="M19" s="6">
        <f>C19-SUM(J19:L19)</f>
        <v>-38.850999999999999</v>
      </c>
      <c r="N19" s="4">
        <v>-39.579000000000001</v>
      </c>
      <c r="O19" s="4">
        <v>-42.942999999999998</v>
      </c>
      <c r="P19" s="4">
        <v>-49.673999999999999</v>
      </c>
      <c r="Q19" s="6">
        <f>D19-SUM(N19:P19)</f>
        <v>-58.669000000000011</v>
      </c>
      <c r="R19" s="4">
        <v>-46.743000000000002</v>
      </c>
      <c r="S19" s="4">
        <v>-48.030999999999999</v>
      </c>
      <c r="T19" s="4">
        <v>-69.468000000000004</v>
      </c>
      <c r="U19" s="6">
        <f>E19-SUM(R19:T19)</f>
        <v>-57.883999999999986</v>
      </c>
      <c r="V19" s="4">
        <v>-63.061999999999998</v>
      </c>
      <c r="W19" s="4">
        <v>-71.253</v>
      </c>
      <c r="X19" s="4">
        <v>-72.626999999999995</v>
      </c>
      <c r="Y19" s="6">
        <f>F19-SUM(V19:X19)</f>
        <v>-72.947999999999979</v>
      </c>
      <c r="Z19" s="4">
        <v>-61.051000000000002</v>
      </c>
      <c r="AA19" s="4">
        <v>-67.105999999999995</v>
      </c>
      <c r="AB19" s="4">
        <v>-66.042000000000002</v>
      </c>
      <c r="AC19" s="6">
        <f>G19-SUM(Z19:AB19)</f>
        <v>-50.480000000000018</v>
      </c>
      <c r="AD19" s="4">
        <v>-53.673999999999999</v>
      </c>
    </row>
    <row r="20" spans="2:30" s="5" customFormat="1" ht="12.75">
      <c r="B20" s="5" t="s">
        <v>220</v>
      </c>
      <c r="C20" s="8">
        <f t="shared" ref="C20:H20" si="33">SUM(C18,C19)</f>
        <v>302.2120000000001</v>
      </c>
      <c r="D20" s="8">
        <f t="shared" si="33"/>
        <v>319.19099999999997</v>
      </c>
      <c r="E20" s="8">
        <f t="shared" si="33"/>
        <v>407.82199999999955</v>
      </c>
      <c r="F20" s="8">
        <f t="shared" si="33"/>
        <v>532.04900000000009</v>
      </c>
      <c r="G20" s="8">
        <f t="shared" si="33"/>
        <v>518.90399999999966</v>
      </c>
      <c r="H20" s="8">
        <f t="shared" si="33"/>
        <v>493.80399999999963</v>
      </c>
      <c r="J20" s="8">
        <f t="shared" ref="J20:P20" si="34">SUM(J18,J19)</f>
        <v>64.352000000000118</v>
      </c>
      <c r="K20" s="8">
        <f t="shared" si="34"/>
        <v>76.998999999999924</v>
      </c>
      <c r="L20" s="8">
        <f t="shared" si="34"/>
        <v>73.217999999999932</v>
      </c>
      <c r="M20" s="8">
        <f t="shared" si="34"/>
        <v>87.643000000000342</v>
      </c>
      <c r="N20" s="8">
        <f t="shared" si="34"/>
        <v>61.194999999999972</v>
      </c>
      <c r="O20" s="8">
        <f t="shared" si="34"/>
        <v>68.33899999999997</v>
      </c>
      <c r="P20" s="8">
        <f t="shared" si="34"/>
        <v>77.178000000000083</v>
      </c>
      <c r="Q20" s="8">
        <f t="shared" ref="Q20:T20" si="35">SUM(Q18,Q19)</f>
        <v>112.47899999999979</v>
      </c>
      <c r="R20" s="8">
        <f t="shared" si="35"/>
        <v>75.800000000000097</v>
      </c>
      <c r="S20" s="8">
        <f t="shared" si="35"/>
        <v>96.343999999999937</v>
      </c>
      <c r="T20" s="8">
        <f t="shared" si="35"/>
        <v>114.9819999999999</v>
      </c>
      <c r="U20" s="8">
        <f t="shared" ref="U20:W20" si="36">SUM(U18,U19)</f>
        <v>120.69600000000034</v>
      </c>
      <c r="V20" s="8">
        <f t="shared" si="36"/>
        <v>111.03700000000016</v>
      </c>
      <c r="W20" s="8">
        <f t="shared" si="36"/>
        <v>136.89799999999997</v>
      </c>
      <c r="X20" s="8">
        <f t="shared" ref="X20:AA20" si="37">SUM(X18,X19)</f>
        <v>128.55300000000011</v>
      </c>
      <c r="Y20" s="8">
        <f t="shared" si="37"/>
        <v>155.56099999999955</v>
      </c>
      <c r="Z20" s="8">
        <f t="shared" si="37"/>
        <v>125.80800000000006</v>
      </c>
      <c r="AA20" s="8">
        <f t="shared" si="37"/>
        <v>133.85200000000009</v>
      </c>
      <c r="AB20" s="8">
        <f t="shared" ref="AB20:AD20" si="38">SUM(AB18,AB19)</f>
        <v>132.62400000000011</v>
      </c>
      <c r="AC20" s="8">
        <f t="shared" si="38"/>
        <v>126.61999999999955</v>
      </c>
      <c r="AD20" s="8">
        <f t="shared" si="38"/>
        <v>100.708</v>
      </c>
    </row>
    <row r="21" spans="2:30" ht="12.75">
      <c r="B21" s="7" t="s">
        <v>221</v>
      </c>
      <c r="C21" s="4">
        <v>-3.1E-2</v>
      </c>
      <c r="D21" s="4">
        <v>0</v>
      </c>
      <c r="E21" s="4">
        <v>24.827000000000002</v>
      </c>
      <c r="F21" s="4">
        <v>0</v>
      </c>
      <c r="G21" s="4">
        <v>0</v>
      </c>
      <c r="H21" s="6">
        <f>SUM(AA21:AD21)</f>
        <v>0</v>
      </c>
      <c r="J21" s="4">
        <v>-2.4E-2</v>
      </c>
      <c r="K21" s="4">
        <v>-3.0000000000000001E-3</v>
      </c>
      <c r="L21" s="4">
        <v>-2E-3</v>
      </c>
      <c r="M21" s="6">
        <f>C21-SUM(J21:L21)</f>
        <v>-2.0000000000000018E-3</v>
      </c>
      <c r="N21" s="4">
        <v>-8.9999999999999993E-3</v>
      </c>
      <c r="O21" s="4">
        <v>-3.0000000000000001E-3</v>
      </c>
      <c r="P21" s="4">
        <v>-9.7000000000000003E-2</v>
      </c>
      <c r="Q21" s="6">
        <f>D21-SUM(N21:P21)</f>
        <v>0.109</v>
      </c>
      <c r="R21" s="4">
        <v>0</v>
      </c>
      <c r="S21" s="4">
        <v>0</v>
      </c>
      <c r="T21" s="4">
        <v>24.827000000000002</v>
      </c>
      <c r="U21" s="6">
        <f>E21-SUM(R21:T21)</f>
        <v>0</v>
      </c>
      <c r="V21" s="4">
        <v>0</v>
      </c>
      <c r="W21" s="4">
        <v>0</v>
      </c>
      <c r="X21" s="4">
        <v>0</v>
      </c>
      <c r="Y21" s="6">
        <f>F21-SUM(V21:X21)</f>
        <v>0</v>
      </c>
      <c r="Z21" s="4">
        <v>0</v>
      </c>
      <c r="AA21" s="4">
        <v>0</v>
      </c>
      <c r="AB21" s="4">
        <v>0</v>
      </c>
      <c r="AC21" s="6">
        <f>G21-SUM(Z21:AB21)</f>
        <v>0</v>
      </c>
      <c r="AD21" s="4">
        <v>0</v>
      </c>
    </row>
    <row r="22" spans="2:30" s="5" customFormat="1" ht="12.75">
      <c r="B22" s="5" t="s">
        <v>222</v>
      </c>
      <c r="C22" s="8">
        <f t="shared" ref="C22:H22" si="39">SUM(C20,C21)</f>
        <v>302.1810000000001</v>
      </c>
      <c r="D22" s="281">
        <f t="shared" si="39"/>
        <v>319.19099999999997</v>
      </c>
      <c r="E22" s="8">
        <f t="shared" si="39"/>
        <v>432.64899999999955</v>
      </c>
      <c r="F22" s="8">
        <f t="shared" si="39"/>
        <v>532.04900000000009</v>
      </c>
      <c r="G22" s="8">
        <f t="shared" si="39"/>
        <v>518.90399999999966</v>
      </c>
      <c r="H22" s="8">
        <f t="shared" si="39"/>
        <v>493.80399999999963</v>
      </c>
      <c r="J22" s="8">
        <f t="shared" ref="J22:P22" si="40">SUM(J20,J21)</f>
        <v>64.328000000000117</v>
      </c>
      <c r="K22" s="8">
        <f t="shared" si="40"/>
        <v>76.995999999999924</v>
      </c>
      <c r="L22" s="8">
        <f t="shared" si="40"/>
        <v>73.215999999999937</v>
      </c>
      <c r="M22" s="8">
        <f t="shared" si="40"/>
        <v>87.641000000000346</v>
      </c>
      <c r="N22" s="8">
        <f t="shared" si="40"/>
        <v>61.185999999999972</v>
      </c>
      <c r="O22" s="8">
        <f t="shared" si="40"/>
        <v>68.33599999999997</v>
      </c>
      <c r="P22" s="8">
        <f t="shared" si="40"/>
        <v>77.081000000000088</v>
      </c>
      <c r="Q22" s="8">
        <f t="shared" ref="Q22:T22" si="41">SUM(Q20,Q21)</f>
        <v>112.58799999999978</v>
      </c>
      <c r="R22" s="8">
        <f t="shared" si="41"/>
        <v>75.800000000000097</v>
      </c>
      <c r="S22" s="8">
        <f t="shared" si="41"/>
        <v>96.343999999999937</v>
      </c>
      <c r="T22" s="8">
        <f t="shared" si="41"/>
        <v>139.80899999999991</v>
      </c>
      <c r="U22" s="8">
        <f t="shared" ref="U22:W22" si="42">SUM(U20,U21)</f>
        <v>120.69600000000034</v>
      </c>
      <c r="V22" s="8">
        <f t="shared" si="42"/>
        <v>111.03700000000016</v>
      </c>
      <c r="W22" s="8">
        <f t="shared" si="42"/>
        <v>136.89799999999997</v>
      </c>
      <c r="X22" s="8">
        <f t="shared" ref="X22:AA22" si="43">SUM(X20,X21)</f>
        <v>128.55300000000011</v>
      </c>
      <c r="Y22" s="8">
        <f t="shared" si="43"/>
        <v>155.56099999999955</v>
      </c>
      <c r="Z22" s="8">
        <f t="shared" si="43"/>
        <v>125.80800000000006</v>
      </c>
      <c r="AA22" s="8">
        <f t="shared" si="43"/>
        <v>133.85200000000009</v>
      </c>
      <c r="AB22" s="8">
        <f t="shared" ref="AB22:AD22" si="44">SUM(AB20,AB21)</f>
        <v>132.62400000000011</v>
      </c>
      <c r="AC22" s="8">
        <f t="shared" si="44"/>
        <v>126.61999999999955</v>
      </c>
      <c r="AD22" s="8">
        <f t="shared" si="44"/>
        <v>100.708</v>
      </c>
    </row>
    <row r="23" spans="2:30" s="50" customFormat="1" ht="13.5" customHeight="1">
      <c r="B23" s="73"/>
      <c r="C23" s="117"/>
      <c r="D23" s="117"/>
      <c r="E23" s="117"/>
      <c r="F23" s="117"/>
      <c r="G23" s="117"/>
      <c r="H23" s="56"/>
      <c r="I23" s="5"/>
      <c r="J23" s="135"/>
      <c r="K23" s="135"/>
      <c r="L23" s="4"/>
      <c r="N23" s="135"/>
      <c r="R23" s="135"/>
      <c r="V23" s="135"/>
      <c r="Z23" s="135"/>
      <c r="AD23" s="135"/>
    </row>
    <row r="24" spans="2:30" s="5" customFormat="1" ht="13.5" customHeight="1">
      <c r="B24" s="7"/>
      <c r="C24" s="24"/>
      <c r="D24" s="24"/>
      <c r="E24" s="24"/>
      <c r="F24" s="24"/>
      <c r="G24" s="24"/>
      <c r="H24" s="24"/>
      <c r="L24" s="4"/>
    </row>
    <row r="25" spans="2:30" s="5" customFormat="1" ht="13.5" customHeight="1">
      <c r="B25" s="379" t="s">
        <v>223</v>
      </c>
      <c r="C25" s="322"/>
      <c r="D25" s="322"/>
      <c r="E25" s="322"/>
      <c r="F25" s="322"/>
      <c r="G25" s="322"/>
      <c r="H25" s="322"/>
      <c r="J25" s="323"/>
      <c r="K25" s="323"/>
      <c r="L25" s="322"/>
      <c r="M25" s="324"/>
      <c r="N25" s="323"/>
      <c r="O25" s="323"/>
      <c r="P25" s="323"/>
      <c r="Q25" s="324"/>
      <c r="R25" s="323"/>
      <c r="S25" s="323"/>
      <c r="T25" s="323"/>
      <c r="U25" s="324"/>
      <c r="V25" s="323"/>
      <c r="W25" s="323"/>
      <c r="X25" s="323"/>
      <c r="Y25" s="324"/>
      <c r="Z25" s="323"/>
      <c r="AA25" s="323"/>
      <c r="AB25" s="323"/>
      <c r="AC25" s="324"/>
      <c r="AD25" s="323"/>
    </row>
    <row r="26" spans="2:30" s="50" customFormat="1" ht="13.5" customHeight="1">
      <c r="B26" s="380" t="str">
        <f>B9</f>
        <v>COGS</v>
      </c>
      <c r="C26" s="36">
        <f t="shared" ref="C26:D26" si="45">C9/C7</f>
        <v>0.64029902428231333</v>
      </c>
      <c r="D26" s="36">
        <f t="shared" si="45"/>
        <v>0.64630408240972548</v>
      </c>
      <c r="E26" s="36">
        <f t="shared" ref="E26:F26" si="46">E9/E7</f>
        <v>0.64514471057125433</v>
      </c>
      <c r="F26" s="36">
        <f t="shared" si="46"/>
        <v>0.61482359484638527</v>
      </c>
      <c r="G26" s="36">
        <f t="shared" ref="G26" si="47">G9/G7</f>
        <v>0.60897248354922329</v>
      </c>
      <c r="H26" s="36">
        <f>H9/H7</f>
        <v>0.61160341549211716</v>
      </c>
      <c r="I26" s="5"/>
      <c r="J26" s="36">
        <f t="shared" ref="J26:P26" si="48">J9/J7</f>
        <v>0.63808448372807691</v>
      </c>
      <c r="K26" s="36">
        <f t="shared" si="48"/>
        <v>0.64007811765873968</v>
      </c>
      <c r="L26" s="36">
        <f t="shared" si="48"/>
        <v>0.63992070319049177</v>
      </c>
      <c r="M26" s="36">
        <f t="shared" si="48"/>
        <v>0.64280537839704244</v>
      </c>
      <c r="N26" s="36">
        <f t="shared" si="48"/>
        <v>0.65299495808427777</v>
      </c>
      <c r="O26" s="36">
        <f t="shared" si="48"/>
        <v>0.65211448533491256</v>
      </c>
      <c r="P26" s="36">
        <f t="shared" si="48"/>
        <v>0.6446549360972178</v>
      </c>
      <c r="Q26" s="36">
        <f t="shared" ref="Q26:T26" si="49">Q9/Q7</f>
        <v>0.63740628645129482</v>
      </c>
      <c r="R26" s="36">
        <f t="shared" si="49"/>
        <v>0.65892941046623454</v>
      </c>
      <c r="S26" s="36">
        <f t="shared" si="49"/>
        <v>0.65004813655692339</v>
      </c>
      <c r="T26" s="36">
        <f t="shared" si="49"/>
        <v>0.63466380762389107</v>
      </c>
      <c r="U26" s="36">
        <f t="shared" ref="U26:W26" si="50">U9/U7</f>
        <v>0.63768921829909442</v>
      </c>
      <c r="V26" s="36">
        <f t="shared" si="50"/>
        <v>0.62712545544389764</v>
      </c>
      <c r="W26" s="36">
        <f t="shared" si="50"/>
        <v>0.61867212072461752</v>
      </c>
      <c r="X26" s="36">
        <f t="shared" ref="X26:AA26" si="51">X9/X7</f>
        <v>0.60564678170647723</v>
      </c>
      <c r="Y26" s="36">
        <f t="shared" si="51"/>
        <v>0.60726313664320741</v>
      </c>
      <c r="Z26" s="36">
        <f t="shared" si="51"/>
        <v>0.60224319006218241</v>
      </c>
      <c r="AA26" s="36">
        <f t="shared" si="51"/>
        <v>0.60601714096157555</v>
      </c>
      <c r="AB26" s="36">
        <f>AB9/AB7</f>
        <v>0.60665276369036591</v>
      </c>
      <c r="AC26" s="36">
        <f t="shared" ref="AC26:AD26" si="52">AC9/AC7</f>
        <v>0.62088948939655286</v>
      </c>
      <c r="AD26" s="36">
        <f t="shared" si="52"/>
        <v>0.61300476141237181</v>
      </c>
    </row>
    <row r="27" spans="2:30" s="50" customFormat="1" ht="13.5" customHeight="1">
      <c r="B27" s="380" t="str">
        <f t="shared" ref="B27:B33" si="53">B12</f>
        <v>Selling and administrative expenses</v>
      </c>
      <c r="C27" s="36">
        <f t="shared" ref="C27:D27" si="54">-C12/C7</f>
        <v>0.24747797751997319</v>
      </c>
      <c r="D27" s="36">
        <f t="shared" si="54"/>
        <v>0.24144908150828864</v>
      </c>
      <c r="E27" s="36">
        <f t="shared" ref="E27:F27" si="55">-E12/E7</f>
        <v>0.23027540095160909</v>
      </c>
      <c r="F27" s="36">
        <f t="shared" si="55"/>
        <v>0.24836540853918534</v>
      </c>
      <c r="G27" s="36">
        <f t="shared" ref="G27" si="56">-G12/G7</f>
        <v>0.25413785254437793</v>
      </c>
      <c r="H27" s="36">
        <f t="shared" ref="H27" si="57">-H12/H7</f>
        <v>0.25562259934439568</v>
      </c>
      <c r="I27" s="5"/>
      <c r="J27" s="36">
        <f t="shared" ref="J27:P27" si="58">-J12/J7</f>
        <v>0.2583243176035912</v>
      </c>
      <c r="K27" s="36">
        <f t="shared" si="58"/>
        <v>0.25612698817951818</v>
      </c>
      <c r="L27" s="36">
        <f t="shared" si="58"/>
        <v>0.24467851176098401</v>
      </c>
      <c r="M27" s="36">
        <f t="shared" si="58"/>
        <v>0.23275378803266028</v>
      </c>
      <c r="N27" s="36">
        <f t="shared" si="58"/>
        <v>0.25219233511685196</v>
      </c>
      <c r="O27" s="36">
        <f t="shared" si="58"/>
        <v>0.24044821496133525</v>
      </c>
      <c r="P27" s="36">
        <f t="shared" si="58"/>
        <v>0.24384325816612776</v>
      </c>
      <c r="Q27" s="36">
        <f t="shared" ref="Q27:T27" si="59">-Q12/Q7</f>
        <v>0.23137676058147361</v>
      </c>
      <c r="R27" s="36">
        <f t="shared" si="59"/>
        <v>0.23475143086892766</v>
      </c>
      <c r="S27" s="36">
        <f t="shared" si="59"/>
        <v>0.23114118346516815</v>
      </c>
      <c r="T27" s="36">
        <f t="shared" si="59"/>
        <v>0.23161493605824043</v>
      </c>
      <c r="U27" s="36">
        <f t="shared" ref="U27:W27" si="60">-U12/U7</f>
        <v>0.22369021945572928</v>
      </c>
      <c r="V27" s="36">
        <f t="shared" si="60"/>
        <v>0.2473110446586948</v>
      </c>
      <c r="W27" s="36">
        <f t="shared" si="60"/>
        <v>0.24676862720542547</v>
      </c>
      <c r="X27" s="36">
        <f t="shared" ref="X27:AA27" si="61">-X12/X7</f>
        <v>0.25771295238869607</v>
      </c>
      <c r="Y27" s="36">
        <f t="shared" si="61"/>
        <v>0.24143030374730126</v>
      </c>
      <c r="Z27" s="36">
        <f t="shared" si="61"/>
        <v>0.26178084854527806</v>
      </c>
      <c r="AA27" s="36">
        <f t="shared" si="61"/>
        <v>0.25399271705918625</v>
      </c>
      <c r="AB27" s="36">
        <f t="shared" ref="AB27:AD27" si="62">-AB12/AB7</f>
        <v>0.25475950724526036</v>
      </c>
      <c r="AC27" s="36">
        <f t="shared" si="62"/>
        <v>0.2461997551840964</v>
      </c>
      <c r="AD27" s="36">
        <f t="shared" si="62"/>
        <v>0.26731736019813779</v>
      </c>
    </row>
    <row r="28" spans="2:30" s="50" customFormat="1" ht="13.5" customHeight="1">
      <c r="B28" s="380" t="str">
        <f t="shared" si="53"/>
        <v>Other income/ (expenses)</v>
      </c>
      <c r="C28" s="36">
        <f t="shared" ref="C28:D28" si="63">-C13/C7</f>
        <v>-7.5385454230074544E-3</v>
      </c>
      <c r="D28" s="36">
        <f t="shared" si="63"/>
        <v>3.226947116840679E-3</v>
      </c>
      <c r="E28" s="36">
        <f t="shared" ref="E28:F28" si="64">-E13/E7</f>
        <v>6.3366092730941593E-3</v>
      </c>
      <c r="F28" s="36">
        <f t="shared" si="64"/>
        <v>-4.2192453701605473E-4</v>
      </c>
      <c r="G28" s="36">
        <f t="shared" ref="G28" si="65">-G13/G7</f>
        <v>-2.7513783952400014E-3</v>
      </c>
      <c r="H28" s="36">
        <f t="shared" ref="H28" si="66">-H13/H7</f>
        <v>-8.840706376004872E-4</v>
      </c>
      <c r="J28" s="36">
        <f t="shared" ref="J28:P28" si="67">-J13/J7</f>
        <v>-1.270985928038703E-2</v>
      </c>
      <c r="K28" s="36">
        <f t="shared" si="67"/>
        <v>-2.1162332608183031E-2</v>
      </c>
      <c r="L28" s="36">
        <f t="shared" si="67"/>
        <v>-6.9506871912736439E-4</v>
      </c>
      <c r="M28" s="36">
        <f t="shared" si="67"/>
        <v>2.8760612584799177E-3</v>
      </c>
      <c r="N28" s="36">
        <f t="shared" si="67"/>
        <v>2.9423705313440019E-3</v>
      </c>
      <c r="O28" s="36">
        <f t="shared" si="67"/>
        <v>3.7251550403246915E-3</v>
      </c>
      <c r="P28" s="36">
        <f t="shared" si="67"/>
        <v>7.9374567332152668E-4</v>
      </c>
      <c r="Q28" s="36">
        <f t="shared" ref="Q28:T28" si="68">-Q13/Q7</f>
        <v>5.2785328530540734E-3</v>
      </c>
      <c r="R28" s="36">
        <f t="shared" si="68"/>
        <v>6.8000567617425853E-3</v>
      </c>
      <c r="S28" s="36">
        <f t="shared" si="68"/>
        <v>7.3777195645678738E-3</v>
      </c>
      <c r="T28" s="36">
        <f t="shared" si="68"/>
        <v>3.7371436060897141E-3</v>
      </c>
      <c r="U28" s="36">
        <f t="shared" ref="U28:W28" si="69">-U13/U7</f>
        <v>7.5214788339512811E-3</v>
      </c>
      <c r="V28" s="36">
        <f t="shared" si="69"/>
        <v>5.2328242560223002E-4</v>
      </c>
      <c r="W28" s="36">
        <f t="shared" si="69"/>
        <v>-2.0567112849388045E-3</v>
      </c>
      <c r="X28" s="36">
        <f t="shared" ref="X28:AA28" si="70">-X13/X7</f>
        <v>-3.732202892873026E-3</v>
      </c>
      <c r="Y28" s="36">
        <f t="shared" si="70"/>
        <v>3.7780346761344718E-3</v>
      </c>
      <c r="Z28" s="36">
        <f t="shared" si="70"/>
        <v>-4.2337500137228775E-3</v>
      </c>
      <c r="AA28" s="36">
        <f t="shared" si="70"/>
        <v>-3.5496371336274082E-3</v>
      </c>
      <c r="AB28" s="36">
        <f t="shared" ref="AB28:AD28" si="71">-AB13/AB7</f>
        <v>-2.3923635120850122E-3</v>
      </c>
      <c r="AC28" s="36">
        <f t="shared" si="71"/>
        <v>-8.7308446651897318E-4</v>
      </c>
      <c r="AD28" s="36">
        <f t="shared" si="71"/>
        <v>3.2497747315242921E-3</v>
      </c>
    </row>
    <row r="29" spans="2:30" s="50" customFormat="1" ht="13.5" customHeight="1">
      <c r="B29" s="380" t="str">
        <f t="shared" si="53"/>
        <v>Operating Profit</v>
      </c>
      <c r="C29" s="36">
        <f t="shared" ref="C29:D29" si="72">C14/C7</f>
        <v>0.11976154362072089</v>
      </c>
      <c r="D29" s="36">
        <f t="shared" si="72"/>
        <v>0.10901988896514522</v>
      </c>
      <c r="E29" s="36">
        <f t="shared" ref="E29:F29" si="73">E14/E7</f>
        <v>0.11824327920404239</v>
      </c>
      <c r="F29" s="36">
        <f t="shared" si="73"/>
        <v>0.13723292115144547</v>
      </c>
      <c r="G29" s="36">
        <f t="shared" ref="G29" si="74">G14/G7</f>
        <v>0.13964104230163882</v>
      </c>
      <c r="H29" s="36">
        <f t="shared" ref="H29" si="75">H14/H7</f>
        <v>0.13365805580108764</v>
      </c>
      <c r="J29" s="36">
        <f t="shared" ref="J29:P29" si="76">J14/J7</f>
        <v>0.11630105794871899</v>
      </c>
      <c r="K29" s="36">
        <f t="shared" si="76"/>
        <v>0.12495722676992518</v>
      </c>
      <c r="L29" s="36">
        <f t="shared" si="76"/>
        <v>0.11609585376765154</v>
      </c>
      <c r="M29" s="36">
        <f t="shared" si="76"/>
        <v>0.12156477231181731</v>
      </c>
      <c r="N29" s="36">
        <f t="shared" si="76"/>
        <v>9.1870336267526206E-2</v>
      </c>
      <c r="O29" s="36">
        <f t="shared" si="76"/>
        <v>0.10371214466342751</v>
      </c>
      <c r="P29" s="36">
        <f t="shared" si="76"/>
        <v>0.11070806006333288</v>
      </c>
      <c r="Q29" s="36">
        <f t="shared" ref="Q29:T29" si="77">Q14/Q7</f>
        <v>0.12593842011417755</v>
      </c>
      <c r="R29" s="36">
        <f t="shared" si="77"/>
        <v>9.9519101903095153E-2</v>
      </c>
      <c r="S29" s="36">
        <f t="shared" si="77"/>
        <v>0.11143296041334058</v>
      </c>
      <c r="T29" s="36">
        <f t="shared" si="77"/>
        <v>0.12998411271177882</v>
      </c>
      <c r="U29" s="36">
        <f t="shared" ref="U29:W29" si="78">U14/U7</f>
        <v>0.13109908341122498</v>
      </c>
      <c r="V29" s="36">
        <f t="shared" si="78"/>
        <v>0.12504021747180535</v>
      </c>
      <c r="W29" s="36">
        <f t="shared" si="78"/>
        <v>0.13661596335489587</v>
      </c>
      <c r="X29" s="36">
        <f t="shared" ref="X29:AA29" si="79">X14/X7</f>
        <v>0.14037246879769977</v>
      </c>
      <c r="Y29" s="36">
        <f t="shared" si="79"/>
        <v>0.14752852493335689</v>
      </c>
      <c r="Z29" s="36">
        <f t="shared" si="79"/>
        <v>0.14020971140626245</v>
      </c>
      <c r="AA29" s="36">
        <f t="shared" si="79"/>
        <v>0.14353977911286561</v>
      </c>
      <c r="AB29" s="36">
        <f t="shared" ref="AB29:AD29" si="80">AB14/AB7</f>
        <v>0.14098009257645877</v>
      </c>
      <c r="AC29" s="36">
        <f t="shared" si="80"/>
        <v>0.13378383988586975</v>
      </c>
      <c r="AD29" s="36">
        <f t="shared" si="80"/>
        <v>0.11642810365796614</v>
      </c>
    </row>
    <row r="30" spans="2:30" s="50" customFormat="1" ht="13.5" customHeight="1">
      <c r="B30" s="380" t="s">
        <v>224</v>
      </c>
      <c r="C30" s="36">
        <f>C15/C119</f>
        <v>8.2637821216780157E-3</v>
      </c>
      <c r="D30" s="36">
        <f>D15/D119</f>
        <v>3.4217089874024179E-2</v>
      </c>
      <c r="E30" s="36">
        <f>E15/E119</f>
        <v>3.3144215331699263E-2</v>
      </c>
      <c r="F30" s="36">
        <f>F15/F119</f>
        <v>0.16122103580600233</v>
      </c>
      <c r="G30" s="36">
        <f>G15/G119</f>
        <v>3.4873852513830628E-2</v>
      </c>
      <c r="H30" s="36">
        <f>H15/H119</f>
        <v>3.3503691084611015E-2</v>
      </c>
      <c r="J30" s="36"/>
      <c r="K30" s="36"/>
      <c r="L30" s="36"/>
      <c r="M30" s="36">
        <f>SUM(J15:M15)/M119</f>
        <v>8.2637821216780104E-3</v>
      </c>
      <c r="N30" s="36">
        <f>SUM(K15:N15)/N119</f>
        <v>1.9828190021012729E-2</v>
      </c>
      <c r="O30" s="36">
        <f>SUM(L15:O15)/O119</f>
        <v>1.2589294430744025E-2</v>
      </c>
      <c r="P30" s="36">
        <f>SUM(M15:P15)/P119</f>
        <v>1.3142916278588429E-2</v>
      </c>
      <c r="Q30" s="36">
        <f>SUM(N15:Q15)/Q119</f>
        <v>3.4217089874024179E-2</v>
      </c>
      <c r="R30" s="36">
        <f>SUM(O15:R15)/R119</f>
        <v>2.6981286501033475E-2</v>
      </c>
      <c r="S30" s="36">
        <f>SUM(P15:S15)/S119</f>
        <v>3.2700770288224504E-2</v>
      </c>
      <c r="T30" s="36">
        <f>SUM(Q15:T15)/T119</f>
        <v>3.6855262184749646E-2</v>
      </c>
      <c r="U30" s="36">
        <f>SUM(R15:U15)/U119</f>
        <v>3.314421533169927E-2</v>
      </c>
      <c r="V30" s="36">
        <f>SUM(S15:V15)/V119</f>
        <v>2.7432041702506921E-2</v>
      </c>
      <c r="W30" s="36">
        <f>SUM(T15:W15)/W119</f>
        <v>5.8732123993321006E-2</v>
      </c>
      <c r="X30" s="36">
        <f>SUM(U15:X15)/X119</f>
        <v>5.3564509296494027E-2</v>
      </c>
      <c r="Y30" s="36">
        <f>SUM(V15:Y15)/Y119</f>
        <v>0.16122103580600247</v>
      </c>
      <c r="Z30" s="36">
        <f>SUM(W15:Z15)/Z119</f>
        <v>0.14057618792495219</v>
      </c>
      <c r="AA30" s="36">
        <f>SUM(X15:AA15)/AA119</f>
        <v>0.12650342667816467</v>
      </c>
      <c r="AB30" s="36">
        <f>SUM(Y15:AB15)/AB119</f>
        <v>9.1067109704548746E-2</v>
      </c>
      <c r="AC30" s="36">
        <f>SUM(Z15:AC15)/AC119</f>
        <v>3.4873852513830628E-2</v>
      </c>
      <c r="AD30" s="36">
        <f>SUM(AA15:AD15)/AD119</f>
        <v>3.3503691084611015E-2</v>
      </c>
    </row>
    <row r="31" spans="2:30" s="50" customFormat="1" ht="13.5" customHeight="1">
      <c r="B31" s="380" t="s">
        <v>225</v>
      </c>
      <c r="C31" s="36">
        <f>-C16/C122</f>
        <v>6.9935509312675809E-2</v>
      </c>
      <c r="D31" s="36">
        <f>-D16/D122</f>
        <v>6.2466398709710456E-2</v>
      </c>
      <c r="E31" s="36">
        <f>-E16/E122</f>
        <v>0.10429884212822059</v>
      </c>
      <c r="F31" s="36">
        <f>-F16/F122</f>
        <v>0.10174371513715902</v>
      </c>
      <c r="G31" s="36">
        <f>-G16/G122</f>
        <v>9.6581204782283298E-2</v>
      </c>
      <c r="H31" s="36">
        <f>-H16/H122</f>
        <v>9.9254139093793034E-2</v>
      </c>
      <c r="J31" s="36"/>
      <c r="K31" s="36"/>
      <c r="L31" s="36"/>
      <c r="M31" s="36">
        <f>-SUM(J16:M16)/M122</f>
        <v>6.9935509312675809E-2</v>
      </c>
      <c r="N31" s="36">
        <f>-SUM(K16:N16)/N122</f>
        <v>6.1986893703024938E-2</v>
      </c>
      <c r="O31" s="36">
        <f>-SUM(L16:O16)/O122</f>
        <v>6.5187922681964702E-2</v>
      </c>
      <c r="P31" s="36">
        <f>-SUM(M16:P16)/P122</f>
        <v>6.2677183469307979E-2</v>
      </c>
      <c r="Q31" s="36">
        <f>-SUM(N16:Q16)/Q122</f>
        <v>6.2466398709710456E-2</v>
      </c>
      <c r="R31" s="36">
        <f>-SUM(O16:R16)/R122</f>
        <v>7.6956379843756945E-2</v>
      </c>
      <c r="S31" s="36">
        <f>-SUM(P16:S16)/S122</f>
        <v>8.0452299458301499E-2</v>
      </c>
      <c r="T31" s="36">
        <f>-SUM(Q16:T16)/T122</f>
        <v>9.1970535460626363E-2</v>
      </c>
      <c r="U31" s="36">
        <f>-SUM(R16:U16)/U122</f>
        <v>0.10429884212822059</v>
      </c>
      <c r="V31" s="36">
        <f>-SUM(S16:V16)/V122</f>
        <v>0.10280702624660265</v>
      </c>
      <c r="W31" s="36">
        <f>-SUM(T16:W16)/W122</f>
        <v>9.9298223346014958E-2</v>
      </c>
      <c r="X31" s="36">
        <f>-SUM(U16:X16)/X122</f>
        <v>9.5272915226667948E-2</v>
      </c>
      <c r="Y31" s="36">
        <f>-SUM(V16:Y16)/Y122</f>
        <v>0.10174371513715902</v>
      </c>
      <c r="Z31" s="36">
        <f>-SUM(W16:Z16)/Z122</f>
        <v>9.2262944637302183E-2</v>
      </c>
      <c r="AA31" s="36">
        <f>-SUM(X16:AA16)/AA122</f>
        <v>9.092791314927362E-2</v>
      </c>
      <c r="AB31" s="36">
        <f>-SUM(Y16:AB16)/AB122</f>
        <v>9.3137863974658411E-2</v>
      </c>
      <c r="AC31" s="36">
        <f>-SUM(Z16:AC16)/AC122</f>
        <v>9.6581204782283298E-2</v>
      </c>
      <c r="AD31" s="36">
        <f>-SUM(AA16:AD16)/AD122</f>
        <v>9.9254139093793034E-2</v>
      </c>
    </row>
    <row r="32" spans="2:30" s="50" customFormat="1" ht="13.5" customHeight="1">
      <c r="B32" s="380" t="str">
        <f t="shared" si="53"/>
        <v xml:space="preserve">Gain on net non-monetary position </v>
      </c>
      <c r="C32" s="36">
        <f t="shared" ref="C32:D32" si="81">C17/C7</f>
        <v>0</v>
      </c>
      <c r="D32" s="36">
        <f t="shared" si="81"/>
        <v>0</v>
      </c>
      <c r="E32" s="36">
        <f t="shared" ref="E32:F32" si="82">E17/E7</f>
        <v>0</v>
      </c>
      <c r="F32" s="36">
        <f t="shared" si="82"/>
        <v>0</v>
      </c>
      <c r="G32" s="36">
        <f t="shared" ref="G32" si="83">G17/G7</f>
        <v>0</v>
      </c>
      <c r="H32" s="36">
        <f t="shared" ref="H32" si="84">H17/H7</f>
        <v>0</v>
      </c>
      <c r="J32" s="36">
        <f t="shared" ref="J32:P32" si="85">J17/J7</f>
        <v>0</v>
      </c>
      <c r="K32" s="36">
        <f t="shared" si="85"/>
        <v>0</v>
      </c>
      <c r="L32" s="36">
        <f t="shared" si="85"/>
        <v>0</v>
      </c>
      <c r="M32" s="36">
        <f t="shared" si="85"/>
        <v>0</v>
      </c>
      <c r="N32" s="36">
        <f t="shared" si="85"/>
        <v>0</v>
      </c>
      <c r="O32" s="36">
        <f t="shared" si="85"/>
        <v>0</v>
      </c>
      <c r="P32" s="36">
        <f t="shared" si="85"/>
        <v>0</v>
      </c>
      <c r="Q32" s="36">
        <f t="shared" ref="Q32:T32" si="86">Q17/Q7</f>
        <v>0</v>
      </c>
      <c r="R32" s="36">
        <f t="shared" si="86"/>
        <v>0</v>
      </c>
      <c r="S32" s="36">
        <f t="shared" si="86"/>
        <v>0</v>
      </c>
      <c r="T32" s="36">
        <f t="shared" si="86"/>
        <v>0</v>
      </c>
      <c r="U32" s="36">
        <f t="shared" ref="U32:W32" si="87">U17/U7</f>
        <v>0</v>
      </c>
      <c r="V32" s="36">
        <f t="shared" si="87"/>
        <v>0</v>
      </c>
      <c r="W32" s="36">
        <f t="shared" si="87"/>
        <v>0</v>
      </c>
      <c r="X32" s="36">
        <f t="shared" ref="X32:AA32" si="88">X17/X7</f>
        <v>0</v>
      </c>
      <c r="Y32" s="36">
        <f t="shared" si="88"/>
        <v>0</v>
      </c>
      <c r="Z32" s="36">
        <f t="shared" si="88"/>
        <v>0</v>
      </c>
      <c r="AA32" s="36">
        <f t="shared" si="88"/>
        <v>0</v>
      </c>
      <c r="AB32" s="36">
        <f t="shared" ref="AB32:AD32" si="89">AB17/AB7</f>
        <v>0</v>
      </c>
      <c r="AC32" s="36">
        <f t="shared" si="89"/>
        <v>0</v>
      </c>
      <c r="AD32" s="36">
        <f t="shared" si="89"/>
        <v>0</v>
      </c>
    </row>
    <row r="33" spans="2:30" s="50" customFormat="1" ht="13.5" customHeight="1">
      <c r="B33" s="380" t="str">
        <f t="shared" si="53"/>
        <v>Profit before tax</v>
      </c>
      <c r="C33" s="36">
        <f t="shared" ref="C33:D33" si="90">C18/C7</f>
        <v>0.1021128474073395</v>
      </c>
      <c r="D33" s="36">
        <f t="shared" si="90"/>
        <v>9.1136419636062546E-2</v>
      </c>
      <c r="E33" s="36">
        <f t="shared" ref="E33:F33" si="91">E18/E7</f>
        <v>9.5791661787984844E-2</v>
      </c>
      <c r="F33" s="36">
        <f t="shared" si="91"/>
        <v>0.12516513944474916</v>
      </c>
      <c r="G33" s="36">
        <f t="shared" ref="G33" si="92">G18/G7</f>
        <v>0.11978480923499314</v>
      </c>
      <c r="H33" s="36">
        <f t="shared" ref="H33" si="93">H18/H7</f>
        <v>0.11333497239585154</v>
      </c>
      <c r="J33" s="36">
        <f t="shared" ref="J33:P33" si="94">J18/J7</f>
        <v>9.580643305565513E-2</v>
      </c>
      <c r="K33" s="36">
        <f t="shared" si="94"/>
        <v>0.10940195489175043</v>
      </c>
      <c r="L33" s="36">
        <f t="shared" si="94"/>
        <v>0.10023059431324256</v>
      </c>
      <c r="M33" s="36">
        <f t="shared" si="94"/>
        <v>0.10276963074298277</v>
      </c>
      <c r="N33" s="36">
        <f t="shared" si="94"/>
        <v>7.9751061841221188E-2</v>
      </c>
      <c r="O33" s="36">
        <f t="shared" si="94"/>
        <v>8.320808976262789E-2</v>
      </c>
      <c r="P33" s="36">
        <f t="shared" si="94"/>
        <v>8.8168324126254263E-2</v>
      </c>
      <c r="Q33" s="36">
        <f t="shared" ref="Q33:T33" si="95">Q18/Q7</f>
        <v>0.10993068152038178</v>
      </c>
      <c r="R33" s="36">
        <f t="shared" si="95"/>
        <v>7.7286158018384565E-2</v>
      </c>
      <c r="S33" s="36">
        <f t="shared" si="95"/>
        <v>8.7143766844022433E-2</v>
      </c>
      <c r="T33" s="36">
        <f t="shared" si="95"/>
        <v>0.10889670428803276</v>
      </c>
      <c r="U33" s="36">
        <f t="shared" ref="U33:W33" si="96">U18/U7</f>
        <v>0.10888340549343567</v>
      </c>
      <c r="V33" s="36">
        <f t="shared" si="96"/>
        <v>0.10568787356719575</v>
      </c>
      <c r="W33" s="36">
        <f t="shared" si="96"/>
        <v>0.12532391998574269</v>
      </c>
      <c r="X33" s="36">
        <f t="shared" ref="X33:AA33" si="97">X18/X7</f>
        <v>0.12392219474966096</v>
      </c>
      <c r="Y33" s="36">
        <f t="shared" si="97"/>
        <v>0.14692221337794595</v>
      </c>
      <c r="Z33" s="36">
        <f t="shared" si="97"/>
        <v>0.12067027056349047</v>
      </c>
      <c r="AA33" s="36">
        <f t="shared" si="97"/>
        <v>0.12554170698688788</v>
      </c>
      <c r="AB33" s="36">
        <f t="shared" ref="AB33:AD33" si="98">AB18/AB7</f>
        <v>0.12146212356040922</v>
      </c>
      <c r="AC33" s="36">
        <f t="shared" si="98"/>
        <v>0.11140004252198098</v>
      </c>
      <c r="AD33" s="36">
        <f t="shared" si="98"/>
        <v>9.5020212614049859E-2</v>
      </c>
    </row>
    <row r="34" spans="2:30" s="50" customFormat="1" ht="13.5" customHeight="1">
      <c r="B34" s="381" t="s">
        <v>226</v>
      </c>
      <c r="C34" s="36">
        <f t="shared" ref="C34:D34" si="99">C19/C18</f>
        <v>-0.35989121548061315</v>
      </c>
      <c r="D34" s="36">
        <f t="shared" si="99"/>
        <v>-0.37420400897156392</v>
      </c>
      <c r="E34" s="36">
        <f t="shared" ref="E34:F34" si="100">E19/E18</f>
        <v>-0.3526100567030932</v>
      </c>
      <c r="F34" s="36">
        <f t="shared" si="100"/>
        <v>-0.34471801453064821</v>
      </c>
      <c r="G34" s="36">
        <f t="shared" ref="G34" si="101">G19/G18</f>
        <v>-0.32043536851920501</v>
      </c>
      <c r="H34" s="36">
        <f t="shared" ref="H34" si="102">H19/H18</f>
        <v>-0.32457947274403454</v>
      </c>
      <c r="J34" s="36">
        <f t="shared" ref="J34:P34" si="103">J19/J18</f>
        <v>-0.37676625829257621</v>
      </c>
      <c r="K34" s="36">
        <f t="shared" si="103"/>
        <v>-0.37607163114820541</v>
      </c>
      <c r="L34" s="36">
        <f t="shared" si="103"/>
        <v>-0.38455201862701449</v>
      </c>
      <c r="M34" s="36">
        <f t="shared" si="103"/>
        <v>-0.30713709741173412</v>
      </c>
      <c r="N34" s="36">
        <f t="shared" si="103"/>
        <v>-0.39275011411673655</v>
      </c>
      <c r="O34" s="36">
        <f t="shared" si="103"/>
        <v>-0.38589349580345439</v>
      </c>
      <c r="P34" s="36">
        <f t="shared" si="103"/>
        <v>-0.39159019960268637</v>
      </c>
      <c r="Q34" s="36">
        <f t="shared" ref="Q34:T34" si="104">Q19/Q18</f>
        <v>-0.34279687755626759</v>
      </c>
      <c r="R34" s="36">
        <f t="shared" si="104"/>
        <v>-0.38144161641219787</v>
      </c>
      <c r="S34" s="36">
        <f t="shared" si="104"/>
        <v>-0.33268225108225119</v>
      </c>
      <c r="T34" s="36">
        <f t="shared" si="104"/>
        <v>-0.3766223908918408</v>
      </c>
      <c r="U34" s="36">
        <f t="shared" ref="U34:W34" si="105">U19/U18</f>
        <v>-0.32413484152760602</v>
      </c>
      <c r="V34" s="36">
        <f t="shared" si="105"/>
        <v>-0.36221919712347539</v>
      </c>
      <c r="W34" s="36">
        <f t="shared" si="105"/>
        <v>-0.34231399320685474</v>
      </c>
      <c r="X34" s="36">
        <f t="shared" ref="X34:AA34" si="106">X19/X18</f>
        <v>-0.36100507008648952</v>
      </c>
      <c r="Y34" s="36">
        <f t="shared" si="106"/>
        <v>-0.31923469097497309</v>
      </c>
      <c r="Z34" s="36">
        <f t="shared" si="106"/>
        <v>-0.32672228792833086</v>
      </c>
      <c r="AA34" s="36">
        <f t="shared" si="106"/>
        <v>-0.33393047303416618</v>
      </c>
      <c r="AB34" s="36">
        <f t="shared" ref="AB34:AD34" si="107">AB19/AB18</f>
        <v>-0.33242729002446297</v>
      </c>
      <c r="AC34" s="36">
        <f t="shared" si="107"/>
        <v>-0.28503670242800755</v>
      </c>
      <c r="AD34" s="36">
        <f t="shared" si="107"/>
        <v>-0.34767006516303711</v>
      </c>
    </row>
    <row r="35" spans="2:30" s="50" customFormat="1" ht="13.5" customHeight="1">
      <c r="B35" s="1"/>
      <c r="C35" s="56"/>
      <c r="D35" s="56"/>
      <c r="E35" s="56"/>
      <c r="F35" s="56"/>
      <c r="G35" s="56"/>
      <c r="H35" s="56"/>
      <c r="J35" s="56"/>
      <c r="K35" s="56"/>
      <c r="N35" s="56"/>
    </row>
    <row r="36" spans="2:30" s="50" customFormat="1" ht="13.5" customHeight="1">
      <c r="B36" s="21" t="s">
        <v>227</v>
      </c>
      <c r="C36" s="36">
        <f t="shared" ref="C36:D36" si="108">C68/C7</f>
        <v>-5.4288124914703376E-2</v>
      </c>
      <c r="D36" s="36">
        <f t="shared" si="108"/>
        <v>-5.3132595542917771E-2</v>
      </c>
      <c r="E36" s="36">
        <f t="shared" ref="E36:F36" si="109">E68/E7</f>
        <v>-3.1164664252923028E-2</v>
      </c>
      <c r="F36" s="36">
        <f t="shared" si="109"/>
        <v>-3.364559140501025E-2</v>
      </c>
      <c r="G36" s="36">
        <f t="shared" ref="G36" si="110">G68/G7</f>
        <v>-3.3240553990408532E-2</v>
      </c>
      <c r="H36" s="36">
        <f t="shared" ref="H36" si="111">H68/H7</f>
        <v>-3.1596185428196824E-2</v>
      </c>
      <c r="J36" s="36">
        <f t="shared" ref="J36:P36" si="112">J68/J7</f>
        <v>-3.8726193370237513E-2</v>
      </c>
      <c r="K36" s="36">
        <f t="shared" si="112"/>
        <v>-3.2912781616287343E-2</v>
      </c>
      <c r="L36" s="36">
        <f t="shared" si="112"/>
        <v>-9.1532546487459704E-2</v>
      </c>
      <c r="M36" s="36">
        <f t="shared" si="112"/>
        <v>-5.1588739488971032E-2</v>
      </c>
      <c r="N36" s="36">
        <f t="shared" si="112"/>
        <v>-4.9318340275101354E-2</v>
      </c>
      <c r="O36" s="36">
        <f t="shared" si="112"/>
        <v>-4.93848484440636E-2</v>
      </c>
      <c r="P36" s="36">
        <f t="shared" si="112"/>
        <v>-6.139643634604533E-2</v>
      </c>
      <c r="Q36" s="36">
        <f t="shared" ref="Q36:T36" si="113">Q68/Q7</f>
        <v>-5.1810938856887395E-2</v>
      </c>
      <c r="R36" s="36">
        <f t="shared" si="113"/>
        <v>-2.7873799725651575E-2</v>
      </c>
      <c r="S36" s="36">
        <f t="shared" si="113"/>
        <v>-3.7182547706496781E-2</v>
      </c>
      <c r="T36" s="36">
        <f t="shared" si="113"/>
        <v>-2.9568894212858965E-2</v>
      </c>
      <c r="U36" s="36">
        <f t="shared" ref="U36:W36" si="114">U68/U7</f>
        <v>-2.9915194350598705E-2</v>
      </c>
      <c r="V36" s="36">
        <f t="shared" si="114"/>
        <v>-3.0780176459089877E-2</v>
      </c>
      <c r="W36" s="36">
        <f t="shared" si="114"/>
        <v>-2.9902390505411509E-2</v>
      </c>
      <c r="X36" s="36">
        <f t="shared" ref="X36:AA36" si="115">X68/X7</f>
        <v>-3.1712944996975564E-2</v>
      </c>
      <c r="Y36" s="36">
        <f t="shared" si="115"/>
        <v>-4.2695135233838236E-2</v>
      </c>
      <c r="Z36" s="36">
        <f t="shared" si="115"/>
        <v>-3.1615573432249994E-2</v>
      </c>
      <c r="AA36" s="36">
        <f t="shared" si="115"/>
        <v>-3.4832922790706961E-2</v>
      </c>
      <c r="AB36" s="36">
        <f t="shared" ref="AB36:AD36" si="116">AB68/AB7</f>
        <v>-2.6045764880739498E-2</v>
      </c>
      <c r="AC36" s="36">
        <f t="shared" si="116"/>
        <v>-4.0622330581985042E-2</v>
      </c>
      <c r="AD36" s="36">
        <f t="shared" si="116"/>
        <v>-2.5162981126687051E-2</v>
      </c>
    </row>
    <row r="37" spans="2:30" s="50" customFormat="1" ht="13.5" customHeight="1">
      <c r="B37" s="21" t="s">
        <v>228</v>
      </c>
      <c r="C37" s="36">
        <f t="shared" ref="C37:D37" si="117">C41/C7</f>
        <v>3.9323284967398578E-2</v>
      </c>
      <c r="D37" s="36">
        <f t="shared" si="117"/>
        <v>3.550410149266852E-2</v>
      </c>
      <c r="E37" s="36">
        <f t="shared" ref="E37:F37" si="118">E41/E7</f>
        <v>3.4776155943450883E-2</v>
      </c>
      <c r="F37" s="36">
        <f t="shared" si="118"/>
        <v>3.7129975880777107E-2</v>
      </c>
      <c r="G37" s="36">
        <f t="shared" ref="G37" si="119">G41/G7</f>
        <v>3.8541102744428971E-2</v>
      </c>
      <c r="H37" s="36">
        <f t="shared" ref="H37" si="120">H41/H7</f>
        <v>3.8487068819853289E-2</v>
      </c>
      <c r="J37" s="36">
        <f t="shared" ref="J37:P37" si="121">J41/J7</f>
        <v>4.0399129293915259E-2</v>
      </c>
      <c r="K37" s="36">
        <f t="shared" si="121"/>
        <v>4.0585368275294714E-2</v>
      </c>
      <c r="L37" s="36">
        <f t="shared" si="121"/>
        <v>3.8282700034458557E-2</v>
      </c>
      <c r="M37" s="36">
        <f t="shared" si="121"/>
        <v>3.8228053783970428E-2</v>
      </c>
      <c r="N37" s="36">
        <f t="shared" si="121"/>
        <v>3.7086689136733179E-2</v>
      </c>
      <c r="O37" s="36">
        <f t="shared" si="121"/>
        <v>3.5806949933976075E-2</v>
      </c>
      <c r="P37" s="36">
        <f t="shared" si="121"/>
        <v>3.383983852627423E-2</v>
      </c>
      <c r="Q37" s="36">
        <f t="shared" ref="Q37:T37" si="122">Q41/Q7</f>
        <v>3.5497459007548485E-2</v>
      </c>
      <c r="R37" s="36">
        <f t="shared" si="122"/>
        <v>3.3319142897686956E-2</v>
      </c>
      <c r="S37" s="36">
        <f t="shared" si="122"/>
        <v>3.3076906826337182E-2</v>
      </c>
      <c r="T37" s="36">
        <f t="shared" si="122"/>
        <v>3.4415963566096962E-2</v>
      </c>
      <c r="U37" s="36">
        <f t="shared" ref="U37:W37" si="123">U41/U7</f>
        <v>3.8273206012061446E-2</v>
      </c>
      <c r="V37" s="36">
        <f t="shared" si="123"/>
        <v>3.5444796132323673E-2</v>
      </c>
      <c r="W37" s="36">
        <f t="shared" si="123"/>
        <v>3.576365641843237E-2</v>
      </c>
      <c r="X37" s="36">
        <f t="shared" ref="X37:AA37" si="124">X41/X7</f>
        <v>3.7023280223821294E-2</v>
      </c>
      <c r="Y37" s="36">
        <f t="shared" si="124"/>
        <v>4.0485280710033926E-2</v>
      </c>
      <c r="Z37" s="36">
        <f t="shared" si="124"/>
        <v>3.7993967099965192E-2</v>
      </c>
      <c r="AA37" s="36">
        <f t="shared" si="124"/>
        <v>3.7420497061647608E-2</v>
      </c>
      <c r="AB37" s="36">
        <f t="shared" ref="AB37:AD37" si="125">AB41/AB7</f>
        <v>3.7948889137520238E-2</v>
      </c>
      <c r="AC37" s="36">
        <f t="shared" si="125"/>
        <v>4.0811666622635037E-2</v>
      </c>
      <c r="AD37" s="36">
        <f t="shared" si="125"/>
        <v>3.7805097222427385E-2</v>
      </c>
    </row>
    <row r="38" spans="2:30" s="50" customFormat="1" ht="13.5" customHeight="1">
      <c r="C38" s="56"/>
      <c r="D38" s="56"/>
      <c r="E38" s="56"/>
      <c r="F38" s="56"/>
      <c r="G38" s="56"/>
    </row>
    <row r="39" spans="2:30" ht="13.5" customHeight="1">
      <c r="B39" s="16" t="s">
        <v>229</v>
      </c>
      <c r="C39" s="253">
        <v>44531</v>
      </c>
      <c r="D39" s="253">
        <v>44896</v>
      </c>
      <c r="E39" s="253">
        <v>45261</v>
      </c>
      <c r="F39" s="253">
        <f>F3</f>
        <v>45627</v>
      </c>
      <c r="G39" s="253">
        <f>G3</f>
        <v>45992</v>
      </c>
      <c r="H39" s="253" t="s">
        <v>198</v>
      </c>
      <c r="I39" s="50"/>
      <c r="J39" s="47">
        <f>+J3</f>
        <v>44285</v>
      </c>
      <c r="K39" s="47">
        <f>+K3</f>
        <v>44377</v>
      </c>
      <c r="L39" s="47">
        <v>44440</v>
      </c>
      <c r="M39" s="47">
        <f t="shared" ref="M39:R39" si="126">+M3</f>
        <v>44561</v>
      </c>
      <c r="N39" s="47">
        <f t="shared" si="126"/>
        <v>44650</v>
      </c>
      <c r="O39" s="47">
        <f t="shared" si="126"/>
        <v>44742</v>
      </c>
      <c r="P39" s="47">
        <f t="shared" si="126"/>
        <v>44834</v>
      </c>
      <c r="Q39" s="47">
        <f t="shared" si="126"/>
        <v>44926</v>
      </c>
      <c r="R39" s="47">
        <f t="shared" si="126"/>
        <v>45015</v>
      </c>
      <c r="S39" s="47">
        <f t="shared" ref="S39:V39" si="127">+S3</f>
        <v>45107</v>
      </c>
      <c r="T39" s="47">
        <f t="shared" si="127"/>
        <v>45199</v>
      </c>
      <c r="U39" s="47">
        <f t="shared" si="127"/>
        <v>45291</v>
      </c>
      <c r="V39" s="47">
        <f t="shared" si="127"/>
        <v>45381</v>
      </c>
      <c r="W39" s="47">
        <f t="shared" ref="W39:Z39" si="128">+W3</f>
        <v>45473</v>
      </c>
      <c r="X39" s="47">
        <f t="shared" si="128"/>
        <v>45565</v>
      </c>
      <c r="Y39" s="47">
        <f t="shared" si="128"/>
        <v>45657</v>
      </c>
      <c r="Z39" s="47">
        <f t="shared" si="128"/>
        <v>45746</v>
      </c>
      <c r="AA39" s="47">
        <f t="shared" ref="AA39:AD39" si="129">+AA3</f>
        <v>45838</v>
      </c>
      <c r="AB39" s="47">
        <f t="shared" si="129"/>
        <v>45930</v>
      </c>
      <c r="AC39" s="47">
        <f t="shared" si="129"/>
        <v>46022</v>
      </c>
      <c r="AD39" s="47">
        <f t="shared" si="129"/>
        <v>46111</v>
      </c>
    </row>
    <row r="40" spans="2:30" s="5" customFormat="1" ht="13.5" customHeight="1">
      <c r="B40" s="15" t="s">
        <v>230</v>
      </c>
      <c r="C40" s="8">
        <f t="shared" ref="C40:D40" si="130">C14</f>
        <v>553.72600000000011</v>
      </c>
      <c r="D40" s="8">
        <f t="shared" si="130"/>
        <v>610.14300000000003</v>
      </c>
      <c r="E40" s="8">
        <f t="shared" ref="E40:F40" si="131">E14</f>
        <v>777.59499999999957</v>
      </c>
      <c r="F40" s="8">
        <f t="shared" si="131"/>
        <v>890.22200000000009</v>
      </c>
      <c r="G40" s="8">
        <f t="shared" ref="G40" si="132">G14</f>
        <v>890.15899999999965</v>
      </c>
      <c r="H40" s="8">
        <f>H14</f>
        <v>862.20699999999965</v>
      </c>
      <c r="I40" s="325"/>
      <c r="J40" s="8">
        <f t="shared" ref="J40:P40" si="133">J14</f>
        <v>125.3430000000001</v>
      </c>
      <c r="K40" s="8">
        <f t="shared" si="133"/>
        <v>140.95699999999994</v>
      </c>
      <c r="L40" s="8">
        <f t="shared" si="133"/>
        <v>137.79799999999994</v>
      </c>
      <c r="M40" s="8">
        <f>M14</f>
        <v>149.62800000000033</v>
      </c>
      <c r="N40" s="8">
        <f t="shared" si="133"/>
        <v>116.08799999999998</v>
      </c>
      <c r="O40" s="8">
        <f t="shared" si="133"/>
        <v>138.70399999999998</v>
      </c>
      <c r="P40" s="8">
        <f t="shared" si="133"/>
        <v>159.28100000000006</v>
      </c>
      <c r="Q40" s="8">
        <f t="shared" ref="Q40:T40" si="134">Q14</f>
        <v>196.06999999999979</v>
      </c>
      <c r="R40" s="8">
        <f t="shared" si="134"/>
        <v>157.7950000000001</v>
      </c>
      <c r="S40" s="8">
        <f t="shared" si="134"/>
        <v>184.61599999999993</v>
      </c>
      <c r="T40" s="8">
        <f t="shared" si="134"/>
        <v>220.16799999999992</v>
      </c>
      <c r="U40" s="8">
        <f t="shared" ref="U40:W40" si="135">U14</f>
        <v>215.0160000000003</v>
      </c>
      <c r="V40" s="8">
        <f t="shared" si="135"/>
        <v>205.97800000000015</v>
      </c>
      <c r="W40" s="8">
        <f t="shared" si="135"/>
        <v>226.90599999999995</v>
      </c>
      <c r="X40" s="8">
        <f t="shared" ref="X40:AA40" si="136">X14</f>
        <v>227.88600000000011</v>
      </c>
      <c r="Y40" s="8">
        <f t="shared" si="136"/>
        <v>229.45199999999952</v>
      </c>
      <c r="Z40" s="8">
        <f t="shared" si="136"/>
        <v>217.11600000000007</v>
      </c>
      <c r="AA40" s="8">
        <f t="shared" si="136"/>
        <v>229.76800000000006</v>
      </c>
      <c r="AB40" s="8">
        <f t="shared" ref="AB40:AD40" si="137">AB14</f>
        <v>230.59000000000009</v>
      </c>
      <c r="AC40" s="8">
        <f t="shared" si="137"/>
        <v>212.68499999999958</v>
      </c>
      <c r="AD40" s="8">
        <f t="shared" si="137"/>
        <v>189.16400000000002</v>
      </c>
    </row>
    <row r="41" spans="2:30" ht="13.5" customHeight="1">
      <c r="B41" s="7" t="s">
        <v>231</v>
      </c>
      <c r="C41" s="6">
        <f t="shared" ref="C41:D41" si="138">SUM(C59,C60)</f>
        <v>181.81399999999999</v>
      </c>
      <c r="D41" s="6">
        <f t="shared" si="138"/>
        <v>198.703</v>
      </c>
      <c r="E41" s="6">
        <f t="shared" ref="E41" si="139">SUM(E59,E60)</f>
        <v>228.696</v>
      </c>
      <c r="F41" s="6">
        <f>SUM(F59,F60)</f>
        <v>240.86</v>
      </c>
      <c r="G41" s="6">
        <f>SUM(G59,G60)</f>
        <v>245.685</v>
      </c>
      <c r="H41" s="6">
        <f t="shared" ref="H41" si="140">SUM(H59,H60)</f>
        <v>248.274</v>
      </c>
      <c r="J41" s="6">
        <f t="shared" ref="J41:P41" si="141">SUM(J59,J60)</f>
        <v>43.54</v>
      </c>
      <c r="K41" s="6">
        <f t="shared" si="141"/>
        <v>45.781999999999996</v>
      </c>
      <c r="L41" s="6">
        <f t="shared" si="141"/>
        <v>45.439</v>
      </c>
      <c r="M41" s="6">
        <f t="shared" si="141"/>
        <v>47.052999999999997</v>
      </c>
      <c r="N41" s="6">
        <f t="shared" si="141"/>
        <v>46.863</v>
      </c>
      <c r="O41" s="6">
        <f t="shared" si="141"/>
        <v>47.887999999999998</v>
      </c>
      <c r="P41" s="6">
        <f t="shared" si="141"/>
        <v>48.686999999999998</v>
      </c>
      <c r="Q41" s="6">
        <f t="shared" ref="Q41:T41" si="142">SUM(Q59,Q60)</f>
        <v>55.265000000000015</v>
      </c>
      <c r="R41" s="6">
        <f t="shared" si="142"/>
        <v>52.83</v>
      </c>
      <c r="S41" s="6">
        <f t="shared" si="142"/>
        <v>54.8</v>
      </c>
      <c r="T41" s="6">
        <f t="shared" si="142"/>
        <v>58.293999999999997</v>
      </c>
      <c r="U41" s="6">
        <f t="shared" ref="U41:W41" si="143">SUM(U59,U60)</f>
        <v>62.77200000000002</v>
      </c>
      <c r="V41" s="6">
        <f t="shared" si="143"/>
        <v>58.387999999999998</v>
      </c>
      <c r="W41" s="6">
        <f t="shared" si="143"/>
        <v>59.4</v>
      </c>
      <c r="X41" s="6">
        <f t="shared" ref="X41:AA41" si="144">SUM(X59,X60)</f>
        <v>60.104999999999997</v>
      </c>
      <c r="Y41" s="6">
        <f t="shared" si="144"/>
        <v>62.967000000000013</v>
      </c>
      <c r="Z41" s="6">
        <f t="shared" si="144"/>
        <v>58.834000000000003</v>
      </c>
      <c r="AA41" s="6">
        <f t="shared" si="144"/>
        <v>59.9</v>
      </c>
      <c r="AB41" s="6">
        <f t="shared" ref="AB41:AD41" si="145">SUM(AB59,AB60)</f>
        <v>62.069999999999993</v>
      </c>
      <c r="AC41" s="6">
        <f t="shared" si="145"/>
        <v>64.881</v>
      </c>
      <c r="AD41" s="6">
        <f t="shared" si="145"/>
        <v>61.423000000000002</v>
      </c>
    </row>
    <row r="42" spans="2:30" s="5" customFormat="1" ht="13.5" customHeight="1">
      <c r="B42" s="5" t="s">
        <v>229</v>
      </c>
      <c r="C42" s="8">
        <f t="shared" ref="C42:D42" si="146">SUM(C40+C41)</f>
        <v>735.54000000000008</v>
      </c>
      <c r="D42" s="8">
        <f t="shared" si="146"/>
        <v>808.846</v>
      </c>
      <c r="E42" s="8">
        <f t="shared" ref="E42:F42" si="147">SUM(E40+E41)</f>
        <v>1006.2909999999996</v>
      </c>
      <c r="F42" s="8">
        <f t="shared" si="147"/>
        <v>1131.0820000000001</v>
      </c>
      <c r="G42" s="8">
        <f t="shared" ref="G42" si="148">SUM(G40+G41)</f>
        <v>1135.8439999999996</v>
      </c>
      <c r="H42" s="8">
        <f t="shared" ref="H42" si="149">SUM(H40+H41)</f>
        <v>1110.4809999999998</v>
      </c>
      <c r="J42" s="8">
        <f t="shared" ref="J42:P42" si="150">SUM(J40+J41)</f>
        <v>168.8830000000001</v>
      </c>
      <c r="K42" s="8">
        <f t="shared" si="150"/>
        <v>186.73899999999992</v>
      </c>
      <c r="L42" s="8">
        <f t="shared" si="150"/>
        <v>183.23699999999994</v>
      </c>
      <c r="M42" s="8">
        <f t="shared" si="150"/>
        <v>196.68100000000032</v>
      </c>
      <c r="N42" s="8">
        <f t="shared" si="150"/>
        <v>162.95099999999996</v>
      </c>
      <c r="O42" s="8">
        <f t="shared" si="150"/>
        <v>186.59199999999998</v>
      </c>
      <c r="P42" s="8">
        <f t="shared" si="150"/>
        <v>207.96800000000007</v>
      </c>
      <c r="Q42" s="8">
        <f t="shared" ref="Q42:R42" si="151">SUM(Q40+Q41)</f>
        <v>251.33499999999981</v>
      </c>
      <c r="R42" s="8">
        <f t="shared" si="151"/>
        <v>210.62500000000011</v>
      </c>
      <c r="S42" s="8">
        <f>SUM(S40+S41)</f>
        <v>239.41599999999994</v>
      </c>
      <c r="T42" s="8">
        <f t="shared" ref="T42:V42" si="152">SUM(T40+T41)</f>
        <v>278.46199999999993</v>
      </c>
      <c r="U42" s="8">
        <f t="shared" si="152"/>
        <v>277.78800000000035</v>
      </c>
      <c r="V42" s="8">
        <f t="shared" si="152"/>
        <v>264.36600000000016</v>
      </c>
      <c r="W42" s="8">
        <f>SUM(W40+W41)</f>
        <v>286.30599999999993</v>
      </c>
      <c r="X42" s="8">
        <f>SUM(X40+X41)</f>
        <v>287.9910000000001</v>
      </c>
      <c r="Y42" s="8">
        <f t="shared" ref="Y42:Z42" si="153">SUM(Y40+Y41)</f>
        <v>292.41899999999953</v>
      </c>
      <c r="Z42" s="8">
        <f t="shared" si="153"/>
        <v>275.95000000000005</v>
      </c>
      <c r="AA42" s="8">
        <f>SUM(AA40+AA41)</f>
        <v>289.66800000000006</v>
      </c>
      <c r="AB42" s="8">
        <f>SUM(AB40+AB41)</f>
        <v>292.66000000000008</v>
      </c>
      <c r="AC42" s="8">
        <f t="shared" ref="AC42:AD42" si="154">SUM(AC40+AC41)</f>
        <v>277.56599999999958</v>
      </c>
      <c r="AD42" s="8">
        <f t="shared" si="154"/>
        <v>250.58700000000002</v>
      </c>
    </row>
    <row r="43" spans="2:30" s="50" customFormat="1" ht="13.5" customHeight="1">
      <c r="B43" s="19" t="s">
        <v>232</v>
      </c>
      <c r="C43" s="64"/>
      <c r="D43" s="64">
        <f>+D42/C42-1</f>
        <v>9.966283274872878E-2</v>
      </c>
      <c r="E43" s="64">
        <f>+E42/D42-1</f>
        <v>0.24410703644451437</v>
      </c>
      <c r="F43" s="64">
        <f>+F42/E42-1</f>
        <v>0.12401084775676274</v>
      </c>
      <c r="G43" s="64">
        <f>+G42/F42-1</f>
        <v>4.2101280013291387E-3</v>
      </c>
      <c r="H43" s="64"/>
      <c r="J43" s="64"/>
      <c r="K43" s="64"/>
      <c r="L43" s="64"/>
      <c r="M43" s="36"/>
      <c r="N43" s="64">
        <f>+N42/J42-1</f>
        <v>-3.5124908960642132E-2</v>
      </c>
      <c r="O43" s="64">
        <f>+O42/K42-1</f>
        <v>-7.8719496195189809E-4</v>
      </c>
      <c r="P43" s="64">
        <f t="shared" ref="P43:Q43" si="155">+P42/L42-1</f>
        <v>0.13496728280860393</v>
      </c>
      <c r="Q43" s="64">
        <f t="shared" si="155"/>
        <v>0.27788144253893043</v>
      </c>
      <c r="R43" s="64">
        <f>+R42/N42-1</f>
        <v>0.29256647703911098</v>
      </c>
      <c r="S43" s="64">
        <f>+S42/O42-1</f>
        <v>0.28309895386726103</v>
      </c>
      <c r="T43" s="64">
        <f>+T42/P42-1</f>
        <v>0.33896561009385984</v>
      </c>
      <c r="U43" s="64">
        <f t="shared" ref="U43" si="156">+U42/Q42-1</f>
        <v>0.10524996518590957</v>
      </c>
      <c r="V43" s="64">
        <f>+V42/R42-1</f>
        <v>0.25515014836795258</v>
      </c>
      <c r="W43" s="64">
        <f>+W42/S42-1</f>
        <v>0.19585157215892002</v>
      </c>
      <c r="X43" s="64">
        <f>+X42/T42-1</f>
        <v>3.4220109027444101E-2</v>
      </c>
      <c r="Y43" s="64">
        <f t="shared" ref="Y43" si="157">+Y42/U42-1</f>
        <v>5.2669661756444386E-2</v>
      </c>
      <c r="Z43" s="64">
        <f>+Z42/V42-1</f>
        <v>4.3818040141318848E-2</v>
      </c>
      <c r="AA43" s="64">
        <f>+AA42/W42-1</f>
        <v>1.1742680907840253E-2</v>
      </c>
      <c r="AB43" s="64">
        <f>+AB42/X42-1</f>
        <v>1.6212312190311495E-2</v>
      </c>
      <c r="AC43" s="64">
        <f t="shared" ref="AC43" si="158">+AC42/Y42-1</f>
        <v>-5.0793553086495691E-2</v>
      </c>
      <c r="AD43" s="64">
        <f>+AD42/Z42-1</f>
        <v>-9.1911578184453835E-2</v>
      </c>
    </row>
    <row r="44" spans="2:30" s="50" customFormat="1" ht="13.5" customHeight="1">
      <c r="B44" s="19" t="s">
        <v>233</v>
      </c>
      <c r="C44" s="64">
        <f t="shared" ref="C44:H44" si="159">C42/C7</f>
        <v>0.15908482858811945</v>
      </c>
      <c r="D44" s="64">
        <f t="shared" si="159"/>
        <v>0.14452399045781375</v>
      </c>
      <c r="E44" s="64">
        <f t="shared" si="159"/>
        <v>0.15301943514749328</v>
      </c>
      <c r="F44" s="64">
        <f t="shared" si="159"/>
        <v>0.1743628970322226</v>
      </c>
      <c r="G44" s="64">
        <f t="shared" si="159"/>
        <v>0.17818214504606777</v>
      </c>
      <c r="H44" s="64">
        <f t="shared" si="159"/>
        <v>0.17214512462094092</v>
      </c>
      <c r="J44" s="64">
        <f t="shared" ref="J44:Q44" si="160">J42/J7</f>
        <v>0.15670018724263424</v>
      </c>
      <c r="K44" s="64">
        <f t="shared" si="160"/>
        <v>0.1655425950452199</v>
      </c>
      <c r="L44" s="64">
        <f t="shared" si="160"/>
        <v>0.1543785538021101</v>
      </c>
      <c r="M44" s="36">
        <f t="shared" si="160"/>
        <v>0.15979282609578774</v>
      </c>
      <c r="N44" s="64">
        <f t="shared" si="160"/>
        <v>0.12895702540425938</v>
      </c>
      <c r="O44" s="64">
        <f t="shared" si="160"/>
        <v>0.13951909459740361</v>
      </c>
      <c r="P44" s="64">
        <f t="shared" si="160"/>
        <v>0.14454789858960712</v>
      </c>
      <c r="Q44" s="36">
        <f t="shared" si="160"/>
        <v>0.16143587912172602</v>
      </c>
      <c r="R44" s="36">
        <f>R42/R7</f>
        <v>0.13283824480078213</v>
      </c>
      <c r="S44" s="64">
        <f t="shared" ref="S44:U44" si="161">S42/S7</f>
        <v>0.14450986723967776</v>
      </c>
      <c r="T44" s="64">
        <f t="shared" si="161"/>
        <v>0.16440007627787578</v>
      </c>
      <c r="U44" s="36">
        <f t="shared" si="161"/>
        <v>0.16937228942328642</v>
      </c>
      <c r="V44" s="36">
        <f>V42/V7</f>
        <v>0.16048501360412903</v>
      </c>
      <c r="W44" s="64">
        <f t="shared" ref="W44:Y44" si="162">W42/W7</f>
        <v>0.17237961977332822</v>
      </c>
      <c r="X44" s="64">
        <f t="shared" si="162"/>
        <v>0.17739574902152105</v>
      </c>
      <c r="Y44" s="36">
        <f t="shared" si="162"/>
        <v>0.18801380564339082</v>
      </c>
      <c r="Z44" s="36">
        <f>Z42/Z7</f>
        <v>0.17820367850622762</v>
      </c>
      <c r="AA44" s="64">
        <f t="shared" ref="AA44:AC44" si="163">AA42/AA7</f>
        <v>0.18096027617451324</v>
      </c>
      <c r="AB44" s="64">
        <f t="shared" si="163"/>
        <v>0.178928981713979</v>
      </c>
      <c r="AC44" s="36">
        <f t="shared" si="163"/>
        <v>0.17459550650850481</v>
      </c>
      <c r="AD44" s="36">
        <f>AD42/AD7</f>
        <v>0.15423320088039352</v>
      </c>
    </row>
    <row r="45" spans="2:30" s="50" customFormat="1" ht="13.5" customHeight="1">
      <c r="B45" s="73"/>
      <c r="C45" s="168"/>
      <c r="D45" s="168"/>
      <c r="E45" s="168"/>
      <c r="F45" s="168"/>
      <c r="G45" s="168"/>
      <c r="H45" s="168"/>
      <c r="J45" s="168"/>
      <c r="K45" s="168"/>
      <c r="L45" s="168"/>
      <c r="M45" s="56"/>
      <c r="N45" s="168"/>
      <c r="O45" s="168"/>
      <c r="P45" s="168"/>
      <c r="Q45" s="56"/>
      <c r="R45" s="56"/>
      <c r="S45" s="168"/>
      <c r="T45" s="168"/>
      <c r="U45" s="56"/>
      <c r="V45" s="56"/>
      <c r="W45" s="168"/>
      <c r="X45" s="168"/>
      <c r="Y45" s="56"/>
      <c r="Z45" s="56"/>
      <c r="AA45" s="168"/>
      <c r="AB45" s="168"/>
      <c r="AC45" s="56"/>
      <c r="AD45" s="56"/>
    </row>
    <row r="46" spans="2:30" ht="13.5" customHeight="1">
      <c r="B46" s="326" t="s">
        <v>234</v>
      </c>
      <c r="C46" s="324">
        <f t="shared" ref="C46:D46" si="164">C47-C42</f>
        <v>0</v>
      </c>
      <c r="D46" s="324">
        <f t="shared" si="164"/>
        <v>0</v>
      </c>
      <c r="E46" s="324">
        <f t="shared" ref="E46:F46" si="165">E47-E42</f>
        <v>0</v>
      </c>
      <c r="F46" s="324">
        <f t="shared" si="165"/>
        <v>1.799999999980173E-2</v>
      </c>
      <c r="G46" s="324">
        <f t="shared" ref="G46" si="166">G47-G42</f>
        <v>0.15600000000040382</v>
      </c>
      <c r="H46" s="324">
        <f t="shared" ref="H46" si="167">H47-H42</f>
        <v>11.419000000000096</v>
      </c>
      <c r="I46" s="50"/>
      <c r="J46" s="324">
        <f t="shared" ref="J46:P46" si="168">J47-J42</f>
        <v>1.6999999999910642E-2</v>
      </c>
      <c r="K46" s="324">
        <f t="shared" si="168"/>
        <v>-3.8999999999930424E-2</v>
      </c>
      <c r="L46" s="324">
        <f t="shared" si="168"/>
        <v>-3.6999999999949296E-2</v>
      </c>
      <c r="M46" s="324">
        <f t="shared" si="168"/>
        <v>5.8999999999798547E-2</v>
      </c>
      <c r="N46" s="324">
        <f t="shared" si="168"/>
        <v>1.9490000000000407</v>
      </c>
      <c r="O46" s="324">
        <f t="shared" si="168"/>
        <v>8.0000000000097771E-3</v>
      </c>
      <c r="P46" s="324">
        <f t="shared" si="168"/>
        <v>3.1999999999925421E-2</v>
      </c>
      <c r="Q46" s="324">
        <f t="shared" ref="Q46:R46" si="169">Q47-Q42</f>
        <v>-1.9889999999998054</v>
      </c>
      <c r="R46" s="324">
        <f t="shared" si="169"/>
        <v>-2.5000000000119371E-2</v>
      </c>
      <c r="S46" s="324">
        <f>S47-S42</f>
        <v>4.58400000000006</v>
      </c>
      <c r="T46" s="324">
        <f t="shared" ref="T46:V46" si="170">T47-T42</f>
        <v>3.8000000000067757E-2</v>
      </c>
      <c r="U46" s="324">
        <f t="shared" si="170"/>
        <v>-4.5970000000007758</v>
      </c>
      <c r="V46" s="324">
        <f t="shared" si="170"/>
        <v>3.3999999999821284E-2</v>
      </c>
      <c r="W46" s="324">
        <f>W47-W42</f>
        <v>-5.9999999999149622E-3</v>
      </c>
      <c r="X46" s="324">
        <f>X47-X42</f>
        <v>8.9999999999008651E-3</v>
      </c>
      <c r="Y46" s="324">
        <f t="shared" ref="Y46:Z46" si="171">Y47-Y42</f>
        <v>-1.8999999999664396E-2</v>
      </c>
      <c r="Z46" s="324">
        <f t="shared" si="171"/>
        <v>4.9999999999954525E-2</v>
      </c>
      <c r="AA46" s="324">
        <f>AA47-AA42</f>
        <v>3.1999999999925421E-2</v>
      </c>
      <c r="AB46" s="324">
        <f>AB47-AB42</f>
        <v>3.9999999999906777E-2</v>
      </c>
      <c r="AC46" s="324">
        <f t="shared" ref="AC46:AD46" si="172">AC47-AC42</f>
        <v>3.4000000000332875E-2</v>
      </c>
      <c r="AD46" s="324">
        <f t="shared" si="172"/>
        <v>11.31299999999996</v>
      </c>
    </row>
    <row r="47" spans="2:30" s="195" customFormat="1" ht="13.5" customHeight="1">
      <c r="B47" s="5" t="s">
        <v>235</v>
      </c>
      <c r="C47" s="8">
        <f>C42</f>
        <v>735.54000000000008</v>
      </c>
      <c r="D47" s="8">
        <f>D42</f>
        <v>808.846</v>
      </c>
      <c r="E47" s="8">
        <f>E42</f>
        <v>1006.2909999999996</v>
      </c>
      <c r="F47" s="290">
        <v>1131.0999999999999</v>
      </c>
      <c r="G47" s="290">
        <v>1136</v>
      </c>
      <c r="H47" s="8">
        <f>SUM(AA47:AD47)</f>
        <v>1121.8999999999999</v>
      </c>
      <c r="I47" s="50"/>
      <c r="J47" s="155">
        <v>168.9</v>
      </c>
      <c r="K47" s="155">
        <v>186.7</v>
      </c>
      <c r="L47" s="155">
        <v>183.2</v>
      </c>
      <c r="M47" s="8">
        <f>C47-SUM(J47:L47)</f>
        <v>196.74000000000012</v>
      </c>
      <c r="N47" s="155">
        <v>164.9</v>
      </c>
      <c r="O47" s="195">
        <v>186.6</v>
      </c>
      <c r="P47" s="290">
        <v>208</v>
      </c>
      <c r="Q47" s="8">
        <f>D47-SUM(N47:P47)</f>
        <v>249.346</v>
      </c>
      <c r="R47" s="155">
        <v>210.6</v>
      </c>
      <c r="S47" s="290">
        <v>244</v>
      </c>
      <c r="T47" s="195">
        <v>278.5</v>
      </c>
      <c r="U47" s="8">
        <f>E47-SUM(R47:T47)</f>
        <v>273.19099999999958</v>
      </c>
      <c r="V47" s="155">
        <v>264.39999999999998</v>
      </c>
      <c r="W47" s="290">
        <v>286.3</v>
      </c>
      <c r="X47" s="290">
        <v>288</v>
      </c>
      <c r="Y47" s="8">
        <f>F47-SUM(V47:X47)</f>
        <v>292.39999999999986</v>
      </c>
      <c r="Z47" s="155">
        <v>276</v>
      </c>
      <c r="AA47" s="290">
        <v>289.7</v>
      </c>
      <c r="AB47" s="290">
        <v>292.7</v>
      </c>
      <c r="AC47" s="8">
        <f>G47-SUM(Z47:AB47)</f>
        <v>277.59999999999991</v>
      </c>
      <c r="AD47" s="155">
        <v>261.89999999999998</v>
      </c>
    </row>
    <row r="48" spans="2:30" s="50" customFormat="1" ht="13.5" customHeight="1">
      <c r="B48" s="19" t="s">
        <v>232</v>
      </c>
      <c r="C48" s="36"/>
      <c r="D48" s="36">
        <f>+D47/C47-1</f>
        <v>9.966283274872878E-2</v>
      </c>
      <c r="E48" s="36">
        <f>+E47/D47-1</f>
        <v>0.24410703644451437</v>
      </c>
      <c r="F48" s="36">
        <f>+F47/E47-1</f>
        <v>0.12402873522668934</v>
      </c>
      <c r="G48" s="36">
        <f>+G47/F47-1</f>
        <v>4.3320661303156704E-3</v>
      </c>
      <c r="H48" s="36"/>
      <c r="J48" s="36"/>
      <c r="K48" s="36"/>
      <c r="L48" s="36"/>
      <c r="M48" s="36"/>
      <c r="N48" s="36">
        <f t="shared" ref="N48:U48" si="173">+N47/J47-1</f>
        <v>-2.3682652457075237E-2</v>
      </c>
      <c r="O48" s="36">
        <f t="shared" si="173"/>
        <v>-5.3561863952866773E-4</v>
      </c>
      <c r="P48" s="36">
        <f t="shared" si="173"/>
        <v>0.13537117903930129</v>
      </c>
      <c r="Q48" s="36">
        <f t="shared" si="173"/>
        <v>0.26738843143234647</v>
      </c>
      <c r="R48" s="36">
        <f>+R47/N47-1</f>
        <v>0.2771376591873862</v>
      </c>
      <c r="S48" s="36">
        <f>+S47/O47-1</f>
        <v>0.307609860664523</v>
      </c>
      <c r="T48" s="36">
        <f>+T47/P47-1</f>
        <v>0.33894230769230771</v>
      </c>
      <c r="U48" s="36">
        <f t="shared" si="173"/>
        <v>9.5630168520848935E-2</v>
      </c>
      <c r="V48" s="36">
        <f>+V47/R47-1</f>
        <v>0.25546058879392208</v>
      </c>
      <c r="W48" s="36">
        <f>+W47/S47-1</f>
        <v>0.17336065573770498</v>
      </c>
      <c r="X48" s="36">
        <f>+X47/T47-1</f>
        <v>3.4111310592459532E-2</v>
      </c>
      <c r="Y48" s="36">
        <f t="shared" ref="Y48" si="174">+Y47/U47-1</f>
        <v>7.0313443707883172E-2</v>
      </c>
      <c r="Z48" s="36">
        <f>+Z47/V47-1</f>
        <v>4.3872919818456868E-2</v>
      </c>
      <c r="AA48" s="36">
        <f>+AA47/W47-1</f>
        <v>1.1875654907439692E-2</v>
      </c>
      <c r="AB48" s="36">
        <f>+AB47/X47-1</f>
        <v>1.6319444444444331E-2</v>
      </c>
      <c r="AC48" s="36">
        <f t="shared" ref="AC48" si="175">+AC47/Y47-1</f>
        <v>-5.0615595075239272E-2</v>
      </c>
      <c r="AD48" s="36">
        <f>+AD47/Z47-1</f>
        <v>-5.1086956521739224E-2</v>
      </c>
    </row>
    <row r="49" spans="2:30" s="50" customFormat="1" ht="13.5" customHeight="1">
      <c r="B49" s="19" t="s">
        <v>233</v>
      </c>
      <c r="C49" s="64">
        <f t="shared" ref="C49:H49" si="176">C47/C7</f>
        <v>0.15908482858811945</v>
      </c>
      <c r="D49" s="64">
        <f t="shared" si="176"/>
        <v>0.14452399045781375</v>
      </c>
      <c r="E49" s="64">
        <f t="shared" si="176"/>
        <v>0.15301943514749328</v>
      </c>
      <c r="F49" s="64">
        <f t="shared" si="176"/>
        <v>0.17436567183736187</v>
      </c>
      <c r="G49" s="64">
        <f t="shared" si="176"/>
        <v>0.17820661708151211</v>
      </c>
      <c r="H49" s="64">
        <f t="shared" si="176"/>
        <v>0.17391528113694305</v>
      </c>
      <c r="J49" s="64">
        <f t="shared" ref="J49:Q49" si="177">J47/J7</f>
        <v>0.15671596090358952</v>
      </c>
      <c r="K49" s="64">
        <f t="shared" si="177"/>
        <v>0.16550802186443414</v>
      </c>
      <c r="L49" s="64">
        <f t="shared" si="177"/>
        <v>0.1543473810231917</v>
      </c>
      <c r="M49" s="36">
        <f t="shared" si="177"/>
        <v>0.15984076045009557</v>
      </c>
      <c r="N49" s="64">
        <f t="shared" si="177"/>
        <v>0.13049943534659114</v>
      </c>
      <c r="O49" s="64">
        <f t="shared" si="177"/>
        <v>0.13952507637988507</v>
      </c>
      <c r="P49" s="64">
        <f t="shared" si="177"/>
        <v>0.1445701401496301</v>
      </c>
      <c r="Q49" s="36">
        <f t="shared" si="177"/>
        <v>0.16015831744677791</v>
      </c>
      <c r="R49" s="36">
        <f>R47/R7</f>
        <v>0.13282247765006386</v>
      </c>
      <c r="S49" s="64">
        <f t="shared" ref="S49:U49" si="178">S47/S7</f>
        <v>0.14727673842383712</v>
      </c>
      <c r="T49" s="64">
        <f t="shared" si="178"/>
        <v>0.16442251094723306</v>
      </c>
      <c r="U49" s="36">
        <f t="shared" si="178"/>
        <v>0.16656941667687916</v>
      </c>
      <c r="V49" s="36">
        <f>V47/V7</f>
        <v>0.1605056535141875</v>
      </c>
      <c r="W49" s="64">
        <f t="shared" ref="W49:Y49" si="179">W47/W7</f>
        <v>0.17237600728278096</v>
      </c>
      <c r="X49" s="64">
        <f t="shared" si="179"/>
        <v>0.17740129281192135</v>
      </c>
      <c r="Y49" s="36">
        <f t="shared" si="179"/>
        <v>0.18800158939784192</v>
      </c>
      <c r="Z49" s="36">
        <f>Z47/Z7</f>
        <v>0.17823596763079841</v>
      </c>
      <c r="AA49" s="64">
        <f t="shared" ref="AA49:AC49" si="180">AA47/AA7</f>
        <v>0.18098026709114046</v>
      </c>
      <c r="AB49" s="64">
        <f t="shared" si="180"/>
        <v>0.17895343725716409</v>
      </c>
      <c r="AC49" s="36">
        <f t="shared" si="180"/>
        <v>0.17461689330379437</v>
      </c>
      <c r="AD49" s="36">
        <f>AD47/AD7</f>
        <v>0.16119621253526742</v>
      </c>
    </row>
    <row r="50" spans="2:30" s="50" customFormat="1" ht="13.5" customHeight="1">
      <c r="B50" s="73"/>
      <c r="C50" s="168"/>
      <c r="D50" s="168"/>
      <c r="E50" s="168"/>
      <c r="F50" s="168"/>
      <c r="G50" s="168"/>
      <c r="H50" s="168"/>
      <c r="J50" s="168"/>
      <c r="K50" s="168"/>
      <c r="L50" s="168"/>
      <c r="M50" s="56"/>
      <c r="N50" s="168"/>
      <c r="O50" s="168"/>
      <c r="P50" s="168"/>
      <c r="Q50" s="56"/>
      <c r="R50" s="56"/>
      <c r="S50" s="168"/>
      <c r="T50" s="168"/>
      <c r="U50" s="56"/>
      <c r="V50" s="56"/>
      <c r="W50" s="168"/>
      <c r="X50" s="168"/>
      <c r="Y50" s="56"/>
      <c r="Z50" s="56"/>
      <c r="AA50" s="168"/>
      <c r="AB50" s="168"/>
      <c r="AC50" s="56"/>
      <c r="AD50" s="56"/>
    </row>
    <row r="51" spans="2:30" s="5" customFormat="1" ht="13.5" hidden="1" customHeight="1" outlineLevel="1">
      <c r="B51" s="5" t="s">
        <v>236</v>
      </c>
      <c r="C51" s="327"/>
      <c r="D51" s="327"/>
      <c r="E51" s="327"/>
      <c r="F51" s="327"/>
      <c r="G51" s="327"/>
      <c r="H51" s="327"/>
      <c r="I51" s="50"/>
      <c r="J51" s="327"/>
      <c r="K51" s="327"/>
      <c r="L51" s="327"/>
      <c r="M51" s="327"/>
      <c r="N51" s="327"/>
      <c r="O51" s="327"/>
      <c r="P51" s="327"/>
      <c r="Q51" s="327"/>
      <c r="R51" s="327"/>
      <c r="S51" s="327"/>
      <c r="T51" s="327"/>
      <c r="U51" s="327"/>
      <c r="V51" s="327"/>
      <c r="W51" s="327"/>
      <c r="X51" s="327"/>
      <c r="Y51" s="327"/>
      <c r="Z51" s="327"/>
      <c r="AA51" s="327"/>
      <c r="AB51" s="327"/>
      <c r="AC51" s="327"/>
      <c r="AD51" s="327"/>
    </row>
    <row r="52" spans="2:30" s="50" customFormat="1" ht="13.5" hidden="1" customHeight="1" outlineLevel="1">
      <c r="B52" s="5" t="s">
        <v>237</v>
      </c>
      <c r="C52" s="234"/>
      <c r="D52" s="234"/>
      <c r="E52" s="234"/>
      <c r="F52" s="234"/>
      <c r="G52" s="234"/>
      <c r="H52" s="234"/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  <c r="U52" s="234"/>
      <c r="V52" s="234"/>
      <c r="W52" s="234"/>
      <c r="X52" s="234"/>
      <c r="Y52" s="234"/>
      <c r="Z52" s="234"/>
      <c r="AA52" s="234"/>
      <c r="AB52" s="234"/>
      <c r="AC52" s="234"/>
      <c r="AD52" s="234"/>
    </row>
    <row r="53" spans="2:30" s="50" customFormat="1" ht="13.5" hidden="1" customHeight="1" outlineLevel="1">
      <c r="B53" s="19" t="s">
        <v>238</v>
      </c>
      <c r="C53" s="64"/>
      <c r="D53" s="64"/>
      <c r="E53" s="64"/>
      <c r="F53" s="64"/>
      <c r="G53" s="64"/>
      <c r="H53" s="36"/>
      <c r="J53" s="64"/>
      <c r="K53" s="64"/>
      <c r="L53" s="64"/>
      <c r="M53" s="36"/>
      <c r="N53" s="64"/>
      <c r="O53" s="64"/>
      <c r="P53" s="64"/>
      <c r="Q53" s="36"/>
      <c r="R53" s="64"/>
      <c r="S53" s="64"/>
      <c r="T53" s="64"/>
      <c r="U53" s="36"/>
      <c r="V53" s="64"/>
      <c r="W53" s="64"/>
      <c r="X53" s="64"/>
      <c r="Y53" s="36"/>
      <c r="Z53" s="64"/>
      <c r="AA53" s="64"/>
      <c r="AB53" s="64"/>
      <c r="AC53" s="36"/>
      <c r="AD53" s="64"/>
    </row>
    <row r="54" spans="2:30" s="50" customFormat="1" ht="13.5" hidden="1" customHeight="1" outlineLevel="1">
      <c r="B54" s="19"/>
      <c r="C54" s="244"/>
      <c r="D54" s="244"/>
      <c r="E54" s="244"/>
      <c r="F54" s="244"/>
      <c r="G54" s="244"/>
      <c r="H54" s="36"/>
      <c r="J54" s="64"/>
      <c r="K54" s="64"/>
      <c r="L54" s="64"/>
      <c r="M54" s="36"/>
      <c r="N54" s="64"/>
      <c r="O54" s="64"/>
      <c r="P54" s="64"/>
      <c r="Q54" s="36"/>
      <c r="R54" s="64"/>
      <c r="S54" s="64"/>
      <c r="T54" s="64"/>
      <c r="U54" s="36"/>
      <c r="V54" s="64"/>
      <c r="W54" s="64"/>
      <c r="X54" s="64"/>
      <c r="Y54" s="36"/>
      <c r="Z54" s="64"/>
      <c r="AA54" s="64"/>
      <c r="AB54" s="64"/>
      <c r="AC54" s="36"/>
      <c r="AD54" s="64"/>
    </row>
    <row r="55" spans="2:30" s="195" customFormat="1" ht="13.5" hidden="1" customHeight="1" outlineLevel="1">
      <c r="B55" s="219" t="s">
        <v>239</v>
      </c>
      <c r="C55" s="215"/>
      <c r="D55" s="215"/>
      <c r="E55" s="215"/>
      <c r="F55" s="215"/>
      <c r="G55" s="215"/>
      <c r="H55" s="215"/>
      <c r="I55" s="50"/>
      <c r="J55" s="239"/>
      <c r="K55" s="239"/>
      <c r="L55" s="239"/>
      <c r="M55" s="215"/>
      <c r="N55" s="239"/>
      <c r="O55" s="239"/>
      <c r="P55" s="239"/>
      <c r="Q55" s="215"/>
      <c r="R55" s="239"/>
      <c r="S55" s="239"/>
      <c r="T55" s="239"/>
      <c r="U55" s="215"/>
      <c r="V55" s="239"/>
      <c r="W55" s="239"/>
      <c r="X55" s="239"/>
      <c r="Y55" s="215"/>
      <c r="Z55" s="239"/>
      <c r="AA55" s="239"/>
      <c r="AB55" s="239"/>
      <c r="AC55" s="215"/>
      <c r="AD55" s="239"/>
    </row>
    <row r="56" spans="2:30" s="50" customFormat="1" ht="13.5" hidden="1" customHeight="1" outlineLevel="1">
      <c r="B56" s="19" t="s">
        <v>232</v>
      </c>
      <c r="C56" s="64"/>
      <c r="D56" s="64"/>
      <c r="E56" s="64"/>
      <c r="F56" s="64"/>
      <c r="G56" s="64"/>
      <c r="H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2:30" s="50" customFormat="1" ht="13.5" hidden="1" customHeight="1" outlineLevel="1">
      <c r="B57" s="19" t="s">
        <v>233</v>
      </c>
      <c r="C57" s="64"/>
      <c r="D57" s="64"/>
      <c r="E57" s="64"/>
      <c r="F57" s="64"/>
      <c r="G57" s="64"/>
      <c r="H57" s="36"/>
      <c r="J57" s="64"/>
      <c r="K57" s="64"/>
      <c r="L57" s="64"/>
      <c r="M57" s="36"/>
      <c r="N57" s="64"/>
      <c r="O57" s="64"/>
      <c r="P57" s="64"/>
      <c r="Q57" s="36"/>
      <c r="R57" s="64"/>
      <c r="S57" s="64"/>
      <c r="T57" s="64"/>
      <c r="U57" s="36"/>
      <c r="V57" s="64"/>
      <c r="W57" s="64"/>
      <c r="X57" s="64"/>
      <c r="Y57" s="36"/>
      <c r="Z57" s="64"/>
      <c r="AA57" s="64"/>
      <c r="AB57" s="64"/>
      <c r="AC57" s="36"/>
      <c r="AD57" s="64"/>
    </row>
    <row r="58" spans="2:30" s="50" customFormat="1" ht="13.5" customHeight="1" collapsed="1">
      <c r="B58" s="73"/>
      <c r="C58" s="168"/>
      <c r="D58" s="168"/>
      <c r="E58" s="168"/>
      <c r="F58" s="168"/>
      <c r="G58" s="168"/>
      <c r="H58" s="56"/>
      <c r="J58" s="168"/>
      <c r="K58" s="168"/>
      <c r="L58" s="168"/>
      <c r="N58" s="168"/>
      <c r="R58" s="168"/>
      <c r="V58" s="168"/>
      <c r="Z58" s="168"/>
      <c r="AD58" s="168"/>
    </row>
    <row r="59" spans="2:30" s="5" customFormat="1" ht="13.5" customHeight="1">
      <c r="B59" s="1" t="s">
        <v>240</v>
      </c>
      <c r="C59" s="4">
        <v>181.81399999999999</v>
      </c>
      <c r="D59" s="4">
        <v>198.703</v>
      </c>
      <c r="E59" s="4">
        <v>228.696</v>
      </c>
      <c r="F59" s="4">
        <v>240.86</v>
      </c>
      <c r="G59" s="4">
        <v>245.685</v>
      </c>
      <c r="H59" s="6">
        <f>SUM(AA59:AD59)</f>
        <v>248.274</v>
      </c>
      <c r="I59" s="50"/>
      <c r="J59" s="4">
        <v>43.54</v>
      </c>
      <c r="K59" s="4">
        <v>45.781999999999996</v>
      </c>
      <c r="L59" s="4">
        <v>45.439</v>
      </c>
      <c r="M59" s="6">
        <f>C59-SUM(J59:L59)</f>
        <v>47.052999999999997</v>
      </c>
      <c r="N59" s="4">
        <v>46.863</v>
      </c>
      <c r="O59" s="4">
        <v>47.887999999999998</v>
      </c>
      <c r="P59" s="4">
        <v>48.686999999999998</v>
      </c>
      <c r="Q59" s="6">
        <f>D59-SUM(N59:P59)</f>
        <v>55.265000000000015</v>
      </c>
      <c r="R59" s="4">
        <v>52.83</v>
      </c>
      <c r="S59" s="4">
        <v>54.8</v>
      </c>
      <c r="T59" s="4">
        <v>58.293999999999997</v>
      </c>
      <c r="U59" s="6">
        <f>E59-SUM(R59:T59)</f>
        <v>62.77200000000002</v>
      </c>
      <c r="V59" s="4">
        <v>58.387999999999998</v>
      </c>
      <c r="W59" s="4">
        <v>59.4</v>
      </c>
      <c r="X59" s="4">
        <v>60.104999999999997</v>
      </c>
      <c r="Y59" s="6">
        <f>F59-SUM(V59:X59)</f>
        <v>62.967000000000013</v>
      </c>
      <c r="Z59" s="4">
        <v>58.834000000000003</v>
      </c>
      <c r="AA59" s="4">
        <v>59.9</v>
      </c>
      <c r="AB59" s="4">
        <f>180.804-AA59-Z59</f>
        <v>62.069999999999993</v>
      </c>
      <c r="AC59" s="6">
        <f>G59-SUM(Z59:AB59)</f>
        <v>64.881</v>
      </c>
      <c r="AD59" s="4">
        <v>61.423000000000002</v>
      </c>
    </row>
    <row r="60" spans="2:30" s="5" customFormat="1" ht="13.5" customHeight="1">
      <c r="B60" s="1" t="s">
        <v>241</v>
      </c>
      <c r="C60" s="328"/>
      <c r="D60" s="328"/>
      <c r="E60" s="328"/>
      <c r="F60" s="328"/>
      <c r="G60" s="328"/>
      <c r="H60" s="234"/>
      <c r="I60" s="50"/>
      <c r="J60" s="233"/>
      <c r="K60" s="233"/>
      <c r="L60" s="233"/>
      <c r="M60" s="327"/>
      <c r="N60" s="233"/>
      <c r="O60" s="233"/>
      <c r="P60" s="233"/>
      <c r="Q60" s="327"/>
      <c r="R60" s="233"/>
      <c r="S60" s="233"/>
      <c r="T60" s="233"/>
      <c r="U60" s="327"/>
      <c r="V60" s="233"/>
      <c r="W60" s="233"/>
      <c r="X60" s="233"/>
      <c r="Y60" s="327"/>
      <c r="Z60" s="233"/>
      <c r="AA60" s="233"/>
      <c r="AB60" s="233"/>
      <c r="AC60" s="327"/>
      <c r="AD60" s="233"/>
    </row>
    <row r="61" spans="2:30" ht="13.5" customHeight="1">
      <c r="C61" s="245"/>
      <c r="D61" s="245"/>
      <c r="E61" s="245"/>
      <c r="F61" s="245"/>
    </row>
    <row r="62" spans="2:30" ht="13.5" customHeight="1">
      <c r="B62" s="16" t="s">
        <v>242</v>
      </c>
      <c r="C62" s="253">
        <f t="shared" ref="C62:H62" si="181">+C39</f>
        <v>44531</v>
      </c>
      <c r="D62" s="47">
        <f t="shared" si="181"/>
        <v>44896</v>
      </c>
      <c r="E62" s="47">
        <f t="shared" si="181"/>
        <v>45261</v>
      </c>
      <c r="F62" s="47">
        <f t="shared" si="181"/>
        <v>45627</v>
      </c>
      <c r="G62" s="47">
        <f t="shared" si="181"/>
        <v>45992</v>
      </c>
      <c r="H62" s="47" t="str">
        <f t="shared" si="181"/>
        <v>LTM</v>
      </c>
      <c r="J62" s="47">
        <f>+J39</f>
        <v>44285</v>
      </c>
      <c r="K62" s="47">
        <f>+K39</f>
        <v>44377</v>
      </c>
      <c r="L62" s="13">
        <v>44440</v>
      </c>
      <c r="M62" s="47">
        <f t="shared" ref="M62:R62" si="182">+M39</f>
        <v>44561</v>
      </c>
      <c r="N62" s="47">
        <f t="shared" si="182"/>
        <v>44650</v>
      </c>
      <c r="O62" s="47">
        <f t="shared" si="182"/>
        <v>44742</v>
      </c>
      <c r="P62" s="47">
        <f t="shared" si="182"/>
        <v>44834</v>
      </c>
      <c r="Q62" s="47">
        <f t="shared" si="182"/>
        <v>44926</v>
      </c>
      <c r="R62" s="47">
        <f t="shared" si="182"/>
        <v>45015</v>
      </c>
      <c r="S62" s="47">
        <f t="shared" ref="S62:V62" si="183">+S39</f>
        <v>45107</v>
      </c>
      <c r="T62" s="47">
        <f t="shared" si="183"/>
        <v>45199</v>
      </c>
      <c r="U62" s="47">
        <f t="shared" si="183"/>
        <v>45291</v>
      </c>
      <c r="V62" s="47">
        <f t="shared" si="183"/>
        <v>45381</v>
      </c>
      <c r="W62" s="47">
        <f t="shared" ref="W62:Z62" si="184">+W39</f>
        <v>45473</v>
      </c>
      <c r="X62" s="47">
        <f t="shared" si="184"/>
        <v>45565</v>
      </c>
      <c r="Y62" s="47">
        <f t="shared" si="184"/>
        <v>45657</v>
      </c>
      <c r="Z62" s="47">
        <f t="shared" si="184"/>
        <v>45746</v>
      </c>
      <c r="AA62" s="47">
        <f t="shared" ref="AA62:AD62" si="185">+AA39</f>
        <v>45838</v>
      </c>
      <c r="AB62" s="47">
        <f t="shared" si="185"/>
        <v>45930</v>
      </c>
      <c r="AC62" s="47">
        <f t="shared" si="185"/>
        <v>46022</v>
      </c>
      <c r="AD62" s="47">
        <f t="shared" si="185"/>
        <v>46111</v>
      </c>
    </row>
    <row r="63" spans="2:30" s="5" customFormat="1" ht="13.5" customHeight="1">
      <c r="B63" s="5" t="s">
        <v>243</v>
      </c>
      <c r="C63" s="329">
        <f t="shared" ref="C63:D63" si="186">C47</f>
        <v>735.54000000000008</v>
      </c>
      <c r="D63" s="329">
        <f t="shared" si="186"/>
        <v>808.846</v>
      </c>
      <c r="E63" s="329">
        <f t="shared" ref="E63:F63" si="187">E47</f>
        <v>1006.2909999999996</v>
      </c>
      <c r="F63" s="329">
        <f t="shared" si="187"/>
        <v>1131.0999999999999</v>
      </c>
      <c r="G63" s="329">
        <f t="shared" ref="G63" si="188">G47</f>
        <v>1136</v>
      </c>
      <c r="H63" s="8">
        <f t="shared" ref="H63" si="189">H47</f>
        <v>1121.8999999999999</v>
      </c>
      <c r="I63" s="325"/>
      <c r="J63" s="329">
        <f t="shared" ref="J63:P63" si="190">J47</f>
        <v>168.9</v>
      </c>
      <c r="K63" s="329">
        <f t="shared" si="190"/>
        <v>186.7</v>
      </c>
      <c r="L63" s="329">
        <f t="shared" si="190"/>
        <v>183.2</v>
      </c>
      <c r="M63" s="329">
        <f>M47</f>
        <v>196.74000000000012</v>
      </c>
      <c r="N63" s="329">
        <f t="shared" si="190"/>
        <v>164.9</v>
      </c>
      <c r="O63" s="329">
        <f t="shared" si="190"/>
        <v>186.6</v>
      </c>
      <c r="P63" s="329">
        <f t="shared" si="190"/>
        <v>208</v>
      </c>
      <c r="Q63" s="329">
        <f t="shared" ref="Q63:T63" si="191">Q47</f>
        <v>249.346</v>
      </c>
      <c r="R63" s="329">
        <f t="shared" si="191"/>
        <v>210.6</v>
      </c>
      <c r="S63" s="329">
        <f t="shared" si="191"/>
        <v>244</v>
      </c>
      <c r="T63" s="329">
        <f t="shared" si="191"/>
        <v>278.5</v>
      </c>
      <c r="U63" s="329">
        <f t="shared" ref="U63:W63" si="192">U47</f>
        <v>273.19099999999958</v>
      </c>
      <c r="V63" s="329">
        <f t="shared" si="192"/>
        <v>264.39999999999998</v>
      </c>
      <c r="W63" s="329">
        <f t="shared" si="192"/>
        <v>286.3</v>
      </c>
      <c r="X63" s="329">
        <f t="shared" ref="X63:AA63" si="193">X47</f>
        <v>288</v>
      </c>
      <c r="Y63" s="329">
        <f t="shared" si="193"/>
        <v>292.39999999999986</v>
      </c>
      <c r="Z63" s="329">
        <f t="shared" si="193"/>
        <v>276</v>
      </c>
      <c r="AA63" s="329">
        <f t="shared" si="193"/>
        <v>289.7</v>
      </c>
      <c r="AB63" s="329">
        <f t="shared" ref="AB63:AD63" si="194">AB47</f>
        <v>292.7</v>
      </c>
      <c r="AC63" s="329">
        <f t="shared" si="194"/>
        <v>277.59999999999991</v>
      </c>
      <c r="AD63" s="329">
        <f t="shared" si="194"/>
        <v>261.89999999999998</v>
      </c>
    </row>
    <row r="64" spans="2:30" ht="13.5" customHeight="1">
      <c r="B64" s="7" t="s">
        <v>244</v>
      </c>
      <c r="C64" s="4">
        <f>-148.974+26.083+43.051+124.702-29.687</f>
        <v>15.175000000000008</v>
      </c>
      <c r="D64" s="4">
        <f>-220.557-96.902-130.688+15.132+84.884</f>
        <v>-348.13099999999997</v>
      </c>
      <c r="E64" s="4">
        <f>53.276+0.985-2.253-143.9+33.969</f>
        <v>-57.922999999999995</v>
      </c>
      <c r="F64" s="4">
        <f>-96.148+19.107+7.186-25.919+88.588</f>
        <v>-7.1859999999999928</v>
      </c>
      <c r="G64" s="4">
        <f>-34.008-9.663-6.755-12.608-3.846</f>
        <v>-66.88000000000001</v>
      </c>
      <c r="H64" s="6">
        <f>SUM(AA64:AD64)</f>
        <v>5.0180000000000007</v>
      </c>
      <c r="I64" s="4"/>
      <c r="J64" s="4">
        <f>29.66+18.464+9.082+4.142-43.031</f>
        <v>18.317</v>
      </c>
      <c r="K64" s="4">
        <f>-61.251+26.083+51.461+112.522-22.564-J64</f>
        <v>87.933999999999997</v>
      </c>
      <c r="L64" s="4">
        <f>-42.29+26.083+27.017+88.801-22.247-K64-J64</f>
        <v>-28.886999999999993</v>
      </c>
      <c r="M64" s="6">
        <f>C64-SUM(J64:L64)</f>
        <v>-62.188999999999993</v>
      </c>
      <c r="N64" s="4">
        <f>-63.763-17.505-43.007+40.42+61.972</f>
        <v>-21.883000000000003</v>
      </c>
      <c r="O64" s="4">
        <f>-262.048-49.45+7.444+144.644+77.541-N64</f>
        <v>-59.985999999999969</v>
      </c>
      <c r="P64" s="4">
        <f>-224.826-96.902-26.871-15.336+86.832-O64-N64</f>
        <v>-195.23400000000004</v>
      </c>
      <c r="Q64" s="6">
        <f>D64-SUM(N64:P64)</f>
        <v>-71.027999999999963</v>
      </c>
      <c r="R64" s="4">
        <f>-213.668-29.085-21.688+137.251+47.889</f>
        <v>-79.301000000000016</v>
      </c>
      <c r="S64" s="4">
        <f>-167.704-25.998+35.221-41.666+24.912-R64</f>
        <v>-95.933999999999969</v>
      </c>
      <c r="T64" s="4">
        <f>-28.938-26.58+33.389-108.636+22.868-S64-R64</f>
        <v>67.337999999999994</v>
      </c>
      <c r="U64" s="6">
        <f>E64-SUM(R64:T64)</f>
        <v>49.973999999999997</v>
      </c>
      <c r="V64" s="4">
        <f>21.904-20.455-38.111+79.266+22.526</f>
        <v>65.13000000000001</v>
      </c>
      <c r="W64" s="4">
        <f>-182.477-25.658-10.088+173.209+59.477-V64</f>
        <v>-50.666999999999994</v>
      </c>
      <c r="X64" s="4">
        <f>-79.241-1.612-16.176-13.787+118.612-W64-V64</f>
        <v>-6.6670000000000229</v>
      </c>
      <c r="Y64" s="6">
        <f>F64-SUM(V64:X64)</f>
        <v>-14.981999999999985</v>
      </c>
      <c r="Z64" s="4">
        <f>(-118920000-5494000+13384000-10160000-8728000)/1000000</f>
        <v>-129.91800000000001</v>
      </c>
      <c r="AA64" s="4">
        <f>-113.724-28.288+7.02+1.869+14.132-Z64</f>
        <v>10.927000000000021</v>
      </c>
      <c r="AB64" s="4">
        <f>-11.944-26.138+8.846-10.779+16.417-AA64-Z64</f>
        <v>95.392999999999986</v>
      </c>
      <c r="AC64" s="6">
        <f>G64-SUM(Z64:AB64)</f>
        <v>-43.282000000000011</v>
      </c>
      <c r="AD64" s="4">
        <f>-36.741-9.27+10.546-3.746-18.809</f>
        <v>-58.019999999999996</v>
      </c>
    </row>
    <row r="65" spans="2:32" ht="13.5" customHeight="1">
      <c r="B65" s="7" t="s">
        <v>245</v>
      </c>
      <c r="C65" s="4">
        <v>-146.87700000000001</v>
      </c>
      <c r="D65" s="4">
        <v>-163.63499999999999</v>
      </c>
      <c r="E65" s="4">
        <v>-212.40899999999999</v>
      </c>
      <c r="F65" s="4">
        <v>-241.554</v>
      </c>
      <c r="G65" s="4">
        <v>-274.08300000000003</v>
      </c>
      <c r="H65" s="6">
        <f t="shared" ref="H65:H66" si="195">SUM(AA65:AD65)</f>
        <v>-298.08000000000004</v>
      </c>
      <c r="I65" s="4"/>
      <c r="J65" s="4">
        <v>-18.821999999999999</v>
      </c>
      <c r="K65" s="4">
        <f>-84.53-J65</f>
        <v>-65.707999999999998</v>
      </c>
      <c r="L65" s="4">
        <f>-108.594-K65-J65</f>
        <v>-24.063999999999997</v>
      </c>
      <c r="M65" s="6">
        <f>C65-SUM(J65:L65)</f>
        <v>-38.283000000000015</v>
      </c>
      <c r="N65" s="4">
        <v>-25.576000000000001</v>
      </c>
      <c r="O65" s="4">
        <f>-90.255-N65</f>
        <v>-64.679000000000002</v>
      </c>
      <c r="P65" s="4">
        <f>-121.246-O65-N65</f>
        <v>-30.990999999999993</v>
      </c>
      <c r="Q65" s="6">
        <f>D65-SUM(N65:P65)</f>
        <v>-42.38900000000001</v>
      </c>
      <c r="R65" s="4">
        <v>-23.548999999999999</v>
      </c>
      <c r="S65" s="4">
        <f>-107.04-R65</f>
        <v>-83.491000000000014</v>
      </c>
      <c r="T65" s="4">
        <f>-158.927-S65-R65</f>
        <v>-51.886999999999979</v>
      </c>
      <c r="U65" s="6">
        <f>E65-SUM(R65:T65)</f>
        <v>-53.481999999999999</v>
      </c>
      <c r="V65" s="4">
        <v>-14.015000000000001</v>
      </c>
      <c r="W65" s="4">
        <f>-126.808-V65</f>
        <v>-112.79300000000001</v>
      </c>
      <c r="X65" s="4">
        <f>-196.15-W65-V65</f>
        <v>-69.341999999999999</v>
      </c>
      <c r="Y65" s="6">
        <f t="shared" ref="Y65:Y80" si="196">F65-SUM(V65:X65)</f>
        <v>-45.403999999999996</v>
      </c>
      <c r="Z65" s="4">
        <v>-30.571000000000002</v>
      </c>
      <c r="AA65" s="4">
        <f>-157.235-Z65</f>
        <v>-126.66400000000002</v>
      </c>
      <c r="AB65" s="4">
        <f>-210.965-AA65-Z65</f>
        <v>-53.72999999999999</v>
      </c>
      <c r="AC65" s="6">
        <f t="shared" ref="AC65:AC66" si="197">G65-SUM(Z65:AB65)</f>
        <v>-63.118000000000023</v>
      </c>
      <c r="AD65" s="4">
        <v>-54.567999999999998</v>
      </c>
    </row>
    <row r="66" spans="2:32" ht="13.5" customHeight="1">
      <c r="B66" s="7" t="s">
        <v>246</v>
      </c>
      <c r="C66" s="4">
        <v>-49.198999999999998</v>
      </c>
      <c r="D66" s="4">
        <v>-75.034000000000006</v>
      </c>
      <c r="E66" s="4">
        <v>-124.764</v>
      </c>
      <c r="F66" s="4">
        <v>-102.9</v>
      </c>
      <c r="G66" s="4">
        <v>-117.20399999999999</v>
      </c>
      <c r="H66" s="6">
        <f t="shared" si="195"/>
        <v>-116.44399999999999</v>
      </c>
      <c r="I66" s="4"/>
      <c r="J66" s="4">
        <v>-7.5659999999999998</v>
      </c>
      <c r="K66" s="4">
        <f>-24.306-J66</f>
        <v>-16.740000000000002</v>
      </c>
      <c r="L66" s="4">
        <f>-29.459-K66-J66</f>
        <v>-5.1529999999999978</v>
      </c>
      <c r="M66" s="6">
        <f>C66-SUM(J66:L66)</f>
        <v>-19.739999999999998</v>
      </c>
      <c r="N66" s="4">
        <v>-6.5739999999999998</v>
      </c>
      <c r="O66" s="4">
        <f>-32.213-N66</f>
        <v>-25.639000000000003</v>
      </c>
      <c r="P66" s="4">
        <f>-43.201-O66-N66</f>
        <v>-10.987999999999998</v>
      </c>
      <c r="Q66" s="6">
        <f>D66-SUM(N66:P66)</f>
        <v>-31.833000000000006</v>
      </c>
      <c r="R66" s="4">
        <v>-25.242000000000001</v>
      </c>
      <c r="S66" s="4">
        <f>-67.182-R66</f>
        <v>-41.94</v>
      </c>
      <c r="T66" s="4">
        <f>-90.935-S66-R66</f>
        <v>-23.753000000000004</v>
      </c>
      <c r="U66" s="6">
        <f>E66-SUM(R66:T66)</f>
        <v>-33.828999999999994</v>
      </c>
      <c r="V66" s="4">
        <v>-18.97</v>
      </c>
      <c r="W66" s="4">
        <f>-54.311-V66</f>
        <v>-35.341000000000001</v>
      </c>
      <c r="X66" s="4">
        <f>-72.117-W66-V66</f>
        <v>-17.806000000000004</v>
      </c>
      <c r="Y66" s="6">
        <f t="shared" si="196"/>
        <v>-30.783000000000001</v>
      </c>
      <c r="Z66" s="4">
        <v>-13.036</v>
      </c>
      <c r="AA66" s="4">
        <f>-51.758-Z66</f>
        <v>-38.722000000000001</v>
      </c>
      <c r="AB66" s="4">
        <f>-79.005-AA66-Z66</f>
        <v>-27.246999999999993</v>
      </c>
      <c r="AC66" s="6">
        <f t="shared" si="197"/>
        <v>-38.198999999999998</v>
      </c>
      <c r="AD66" s="4">
        <v>-12.276</v>
      </c>
    </row>
    <row r="67" spans="2:32" s="5" customFormat="1" ht="13.5" customHeight="1">
      <c r="B67" s="5" t="s">
        <v>247</v>
      </c>
      <c r="C67" s="40">
        <f t="shared" ref="C67:D67" si="198">SUM(C63:C66)</f>
        <v>554.63900000000001</v>
      </c>
      <c r="D67" s="40">
        <f t="shared" si="198"/>
        <v>222.04600000000005</v>
      </c>
      <c r="E67" s="40">
        <f t="shared" ref="E67:F67" si="199">SUM(E63:E66)</f>
        <v>611.1949999999996</v>
      </c>
      <c r="F67" s="40">
        <f t="shared" si="199"/>
        <v>779.46</v>
      </c>
      <c r="G67" s="40">
        <f t="shared" ref="G67" si="200">SUM(G63:G66)</f>
        <v>677.83299999999986</v>
      </c>
      <c r="H67" s="8">
        <f>SUM(H63:H66)</f>
        <v>712.39399999999989</v>
      </c>
      <c r="I67" s="4"/>
      <c r="J67" s="40">
        <f t="shared" ref="J67:P67" si="201">SUM(J63:J66)</f>
        <v>160.82900000000001</v>
      </c>
      <c r="K67" s="40">
        <f t="shared" si="201"/>
        <v>192.18600000000001</v>
      </c>
      <c r="L67" s="40">
        <f t="shared" si="201"/>
        <v>125.096</v>
      </c>
      <c r="M67" s="8">
        <f t="shared" si="201"/>
        <v>76.528000000000119</v>
      </c>
      <c r="N67" s="40">
        <f t="shared" si="201"/>
        <v>110.867</v>
      </c>
      <c r="O67" s="40">
        <f t="shared" si="201"/>
        <v>36.296000000000028</v>
      </c>
      <c r="P67" s="40">
        <f t="shared" si="201"/>
        <v>-29.213000000000029</v>
      </c>
      <c r="Q67" s="8">
        <f t="shared" ref="Q67:R67" si="202">SUM(Q63:Q66)</f>
        <v>104.09600000000003</v>
      </c>
      <c r="R67" s="8">
        <f t="shared" si="202"/>
        <v>82.507999999999967</v>
      </c>
      <c r="S67" s="40">
        <f>SUM(S63:S66)</f>
        <v>22.635000000000019</v>
      </c>
      <c r="T67" s="40">
        <f t="shared" ref="T67:V67" si="203">SUM(T63:T66)</f>
        <v>270.19799999999998</v>
      </c>
      <c r="U67" s="8">
        <f t="shared" si="203"/>
        <v>235.85399999999953</v>
      </c>
      <c r="V67" s="8">
        <f t="shared" si="203"/>
        <v>296.54499999999996</v>
      </c>
      <c r="W67" s="40">
        <f>SUM(W63:W66)</f>
        <v>87.498999999999995</v>
      </c>
      <c r="X67" s="40">
        <f t="shared" ref="X67:Z67" si="204">SUM(X63:X66)</f>
        <v>194.18499999999997</v>
      </c>
      <c r="Y67" s="8">
        <f t="shared" si="204"/>
        <v>201.23099999999988</v>
      </c>
      <c r="Z67" s="8">
        <f t="shared" si="204"/>
        <v>102.47499999999999</v>
      </c>
      <c r="AA67" s="40">
        <f>SUM(AA63:AA66)</f>
        <v>135.24099999999999</v>
      </c>
      <c r="AB67" s="40">
        <f>SUM(AB63:AB66)</f>
        <v>307.11599999999993</v>
      </c>
      <c r="AC67" s="8">
        <f t="shared" ref="AC67:AD67" si="205">SUM(AC63:AC66)</f>
        <v>133.00099999999986</v>
      </c>
      <c r="AD67" s="8">
        <f t="shared" si="205"/>
        <v>137.036</v>
      </c>
      <c r="AF67" s="1"/>
    </row>
    <row r="68" spans="2:32" ht="13.5" customHeight="1">
      <c r="B68" s="7" t="s">
        <v>248</v>
      </c>
      <c r="C68" s="4">
        <f>-286.481+35.476</f>
        <v>-251.005</v>
      </c>
      <c r="D68" s="4">
        <f>-297.515+0.152</f>
        <v>-297.363</v>
      </c>
      <c r="E68" s="4">
        <f>6.06-211.006</f>
        <v>-204.946</v>
      </c>
      <c r="F68" s="4">
        <f>-233.495+15.238</f>
        <v>-218.25700000000001</v>
      </c>
      <c r="G68" s="4">
        <f>13.069-224.965</f>
        <v>-211.89600000000002</v>
      </c>
      <c r="H68" s="6">
        <f t="shared" ref="H68:H70" si="206">SUM(AA68:AD68)</f>
        <v>-203.82200000000003</v>
      </c>
      <c r="I68" s="4"/>
      <c r="J68" s="4">
        <f>-43.469+1.732</f>
        <v>-41.737000000000002</v>
      </c>
      <c r="K68" s="4">
        <f>-106.163+27.299-J68</f>
        <v>-37.127000000000002</v>
      </c>
      <c r="L68" s="4">
        <f>28.933-216.44-K68-J68</f>
        <v>-108.643</v>
      </c>
      <c r="M68" s="6">
        <f>C68-SUM(J68:L68)</f>
        <v>-63.49799999999999</v>
      </c>
      <c r="N68" s="4">
        <f>-63.269+0.95</f>
        <v>-62.318999999999996</v>
      </c>
      <c r="O68" s="4">
        <f>-130.284+1.918-N68</f>
        <v>-66.046999999999997</v>
      </c>
      <c r="P68" s="4">
        <f>8.158-224.858-O68-N68</f>
        <v>-88.334000000000032</v>
      </c>
      <c r="Q68" s="6">
        <f>D68-SUM(N68:P68)</f>
        <v>-80.662999999999982</v>
      </c>
      <c r="R68" s="4">
        <f>-49.025+4.829</f>
        <v>-44.195999999999998</v>
      </c>
      <c r="S68" s="4">
        <f>-107.862+2.064-R68</f>
        <v>-61.602000000000004</v>
      </c>
      <c r="T68" s="4">
        <f>-1.279-154.603-S68-R68</f>
        <v>-50.084000000000003</v>
      </c>
      <c r="U68" s="6">
        <f>E68-SUM(R68:T68)</f>
        <v>-49.063999999999993</v>
      </c>
      <c r="V68" s="4">
        <f>-52.934+2.23</f>
        <v>-50.704000000000001</v>
      </c>
      <c r="W68" s="4">
        <f>-106.615+6.246-V68</f>
        <v>-49.664999999999999</v>
      </c>
      <c r="X68" s="4">
        <f>12.724-164.577-W68-V68</f>
        <v>-51.484000000000016</v>
      </c>
      <c r="Y68" s="6">
        <f t="shared" si="196"/>
        <v>-66.403999999999996</v>
      </c>
      <c r="Z68" s="4">
        <f>(-49647000+690000)/1000000</f>
        <v>-48.957000000000001</v>
      </c>
      <c r="AA68" s="4">
        <f>-105.993+1.278-Z68</f>
        <v>-55.757999999999988</v>
      </c>
      <c r="AB68" s="4">
        <f>3.157-150.473-AA68-Z68</f>
        <v>-42.60100000000002</v>
      </c>
      <c r="AC68" s="6">
        <f t="shared" ref="AC68:AC70" si="207">G68-SUM(Z68:AB68)</f>
        <v>-64.580000000000013</v>
      </c>
      <c r="AD68" s="4">
        <f>-41.34+0.457</f>
        <v>-40.883000000000003</v>
      </c>
    </row>
    <row r="69" spans="2:32" ht="13.5" customHeight="1">
      <c r="B69" s="7" t="s">
        <v>249</v>
      </c>
      <c r="C69" s="4">
        <v>-6.069</v>
      </c>
      <c r="D69" s="4">
        <v>-0.65400000000000003</v>
      </c>
      <c r="E69" s="4">
        <v>-8.7999999999999995E-2</v>
      </c>
      <c r="F69" s="4">
        <v>-0.16900000000000001</v>
      </c>
      <c r="G69" s="4">
        <v>-0.105</v>
      </c>
      <c r="H69" s="6">
        <f t="shared" si="206"/>
        <v>-0.105</v>
      </c>
      <c r="I69" s="4"/>
      <c r="J69" s="4">
        <v>-8.9999999999999993E-3</v>
      </c>
      <c r="K69" s="4">
        <f>-1.4-J69</f>
        <v>-1.391</v>
      </c>
      <c r="L69" s="4">
        <f>-1.604-K69-J69</f>
        <v>-0.20400000000000007</v>
      </c>
      <c r="M69" s="6">
        <f>C69-SUM(J69:L69)</f>
        <v>-4.4649999999999999</v>
      </c>
      <c r="N69" s="4">
        <v>-2.5000000000000001E-2</v>
      </c>
      <c r="O69" s="4">
        <f>-0.046-N69</f>
        <v>-2.0999999999999998E-2</v>
      </c>
      <c r="P69" s="4">
        <f>-1.577-O69-N69</f>
        <v>-1.5310000000000001</v>
      </c>
      <c r="Q69" s="6">
        <f>D69-SUM(N69:P69)</f>
        <v>0.92300000000000015</v>
      </c>
      <c r="R69" s="4">
        <v>-2E-3</v>
      </c>
      <c r="S69" s="4">
        <f>0-R69</f>
        <v>2E-3</v>
      </c>
      <c r="T69" s="4">
        <f>0-S69-R69</f>
        <v>0</v>
      </c>
      <c r="U69" s="6">
        <f>E69-SUM(R69:T69)</f>
        <v>-8.7999999999999995E-2</v>
      </c>
      <c r="V69" s="4">
        <v>0</v>
      </c>
      <c r="W69" s="4">
        <f>0-V69</f>
        <v>0</v>
      </c>
      <c r="X69" s="4">
        <f>0-W69-V69</f>
        <v>0</v>
      </c>
      <c r="Y69" s="6">
        <f t="shared" si="196"/>
        <v>-0.16900000000000001</v>
      </c>
      <c r="Z69" s="4">
        <v>0</v>
      </c>
      <c r="AA69" s="4">
        <f>0-Z69</f>
        <v>0</v>
      </c>
      <c r="AB69" s="4">
        <f>0-AA69</f>
        <v>0</v>
      </c>
      <c r="AC69" s="6">
        <f t="shared" si="207"/>
        <v>-0.105</v>
      </c>
      <c r="AD69" s="4">
        <v>0</v>
      </c>
    </row>
    <row r="70" spans="2:32" ht="13.5" customHeight="1">
      <c r="B70" s="7" t="s">
        <v>250</v>
      </c>
      <c r="C70" s="4">
        <v>0</v>
      </c>
      <c r="D70" s="4">
        <v>0</v>
      </c>
      <c r="E70" s="4">
        <f>24.827</f>
        <v>24.827000000000002</v>
      </c>
      <c r="F70" s="4">
        <v>0</v>
      </c>
      <c r="G70" s="4">
        <v>0</v>
      </c>
      <c r="H70" s="6">
        <f t="shared" si="206"/>
        <v>0</v>
      </c>
      <c r="I70" s="4"/>
      <c r="J70" s="4">
        <v>0</v>
      </c>
      <c r="K70" s="4">
        <v>0</v>
      </c>
      <c r="L70" s="4">
        <v>0</v>
      </c>
      <c r="M70" s="6">
        <f>C70-SUM(J70:L70)</f>
        <v>0</v>
      </c>
      <c r="N70" s="4">
        <v>0</v>
      </c>
      <c r="O70" s="4">
        <v>0</v>
      </c>
      <c r="P70" s="4">
        <v>0</v>
      </c>
      <c r="Q70" s="6">
        <f>D70-SUM(N70:P70)</f>
        <v>0</v>
      </c>
      <c r="R70" s="4">
        <v>0</v>
      </c>
      <c r="S70" s="4">
        <f>0-R70</f>
        <v>0</v>
      </c>
      <c r="T70" s="4">
        <f>0-S70-R70</f>
        <v>0</v>
      </c>
      <c r="U70" s="6">
        <f>E70-SUM(R70:T70)</f>
        <v>24.827000000000002</v>
      </c>
      <c r="V70" s="4">
        <v>0</v>
      </c>
      <c r="W70" s="4">
        <f>0-V70</f>
        <v>0</v>
      </c>
      <c r="X70" s="4">
        <f>0-W70-V70</f>
        <v>0</v>
      </c>
      <c r="Y70" s="6">
        <f t="shared" si="196"/>
        <v>0</v>
      </c>
      <c r="Z70" s="4">
        <v>0</v>
      </c>
      <c r="AA70" s="4">
        <f>0-Z70</f>
        <v>0</v>
      </c>
      <c r="AB70" s="4">
        <f>0-AA70</f>
        <v>0</v>
      </c>
      <c r="AC70" s="6">
        <f t="shared" si="207"/>
        <v>0</v>
      </c>
      <c r="AD70" s="4">
        <v>0</v>
      </c>
    </row>
    <row r="71" spans="2:32" s="5" customFormat="1" ht="13.5" customHeight="1">
      <c r="B71" s="15" t="s">
        <v>251</v>
      </c>
      <c r="C71" s="8">
        <f>SUM(C67:C70)</f>
        <v>297.565</v>
      </c>
      <c r="D71" s="8">
        <f t="shared" ref="D71:H71" si="208">SUM(D67:D70)</f>
        <v>-75.970999999999947</v>
      </c>
      <c r="E71" s="8">
        <f t="shared" si="208"/>
        <v>430.98799999999954</v>
      </c>
      <c r="F71" s="8">
        <f t="shared" si="208"/>
        <v>561.03399999999999</v>
      </c>
      <c r="G71" s="8">
        <f t="shared" si="208"/>
        <v>465.83199999999982</v>
      </c>
      <c r="H71" s="8">
        <f t="shared" si="208"/>
        <v>508.46699999999987</v>
      </c>
      <c r="I71" s="4"/>
      <c r="J71" s="8">
        <f t="shared" ref="J71" si="209">SUM(J67:J70)</f>
        <v>119.08300000000001</v>
      </c>
      <c r="K71" s="8">
        <f t="shared" ref="K71" si="210">SUM(K67:K70)</f>
        <v>153.66800000000001</v>
      </c>
      <c r="L71" s="8">
        <f t="shared" ref="L71" si="211">SUM(L67:L70)</f>
        <v>16.249000000000002</v>
      </c>
      <c r="M71" s="8">
        <f t="shared" ref="M71" si="212">SUM(M67:M70)</f>
        <v>8.5650000000001292</v>
      </c>
      <c r="N71" s="8">
        <f t="shared" ref="N71" si="213">SUM(N67:N70)</f>
        <v>48.52300000000001</v>
      </c>
      <c r="O71" s="8">
        <f t="shared" ref="O71" si="214">SUM(O67:O70)</f>
        <v>-29.77199999999997</v>
      </c>
      <c r="P71" s="8">
        <f t="shared" ref="P71" si="215">SUM(P67:P70)</f>
        <v>-119.07800000000006</v>
      </c>
      <c r="Q71" s="8">
        <f t="shared" ref="Q71" si="216">SUM(Q67:Q70)</f>
        <v>24.356000000000051</v>
      </c>
      <c r="R71" s="8">
        <f t="shared" ref="R71" si="217">SUM(R67:R70)</f>
        <v>38.309999999999967</v>
      </c>
      <c r="S71" s="8">
        <f t="shared" ref="S71" si="218">SUM(S67:S70)</f>
        <v>-38.964999999999982</v>
      </c>
      <c r="T71" s="8">
        <f t="shared" ref="T71" si="219">SUM(T67:T70)</f>
        <v>220.11399999999998</v>
      </c>
      <c r="U71" s="8">
        <f t="shared" ref="U71" si="220">SUM(U67:U70)</f>
        <v>211.52899999999954</v>
      </c>
      <c r="V71" s="8">
        <f t="shared" ref="V71" si="221">SUM(V67:V70)</f>
        <v>245.84099999999995</v>
      </c>
      <c r="W71" s="8">
        <f t="shared" ref="W71" si="222">SUM(W67:W70)</f>
        <v>37.833999999999996</v>
      </c>
      <c r="X71" s="8">
        <f t="shared" ref="X71" si="223">SUM(X67:X70)</f>
        <v>142.70099999999996</v>
      </c>
      <c r="Y71" s="8">
        <f t="shared" ref="Y71" si="224">SUM(Y67:Y70)</f>
        <v>134.65799999999987</v>
      </c>
      <c r="Z71" s="8">
        <f t="shared" ref="Z71" si="225">SUM(Z67:Z70)</f>
        <v>53.517999999999994</v>
      </c>
      <c r="AA71" s="8">
        <f t="shared" ref="AA71" si="226">SUM(AA67:AA70)</f>
        <v>79.483000000000004</v>
      </c>
      <c r="AB71" s="8">
        <f t="shared" ref="AB71" si="227">SUM(AB67:AB70)</f>
        <v>264.51499999999993</v>
      </c>
      <c r="AC71" s="8">
        <f t="shared" ref="AC71" si="228">SUM(AC67:AC70)</f>
        <v>68.315999999999846</v>
      </c>
      <c r="AD71" s="8">
        <f t="shared" ref="AD71" si="229">SUM(AD67:AD70)</f>
        <v>96.152999999999992</v>
      </c>
    </row>
    <row r="72" spans="2:32" ht="13.5" customHeight="1">
      <c r="B72" s="7" t="s">
        <v>252</v>
      </c>
      <c r="C72" s="4">
        <v>1.6779999999999999</v>
      </c>
      <c r="D72" s="4">
        <v>4.0410000000000004</v>
      </c>
      <c r="E72" s="4">
        <v>9.1920000000000002</v>
      </c>
      <c r="F72" s="4">
        <v>16.972000000000001</v>
      </c>
      <c r="G72" s="4">
        <v>11.385</v>
      </c>
      <c r="H72" s="6">
        <f t="shared" ref="H72:H78" si="230">SUM(AA72:AD72)</f>
        <v>11.263</v>
      </c>
      <c r="I72" s="4"/>
      <c r="J72" s="4">
        <v>0.48299999999999998</v>
      </c>
      <c r="K72" s="4">
        <f>1.012-J72</f>
        <v>0.52900000000000003</v>
      </c>
      <c r="L72" s="4">
        <f>2.249-K72-J72</f>
        <v>1.2370000000000001</v>
      </c>
      <c r="M72" s="6">
        <f>C72-SUM(J72:L72)</f>
        <v>-0.57100000000000017</v>
      </c>
      <c r="N72" s="4">
        <v>0.47699999999999998</v>
      </c>
      <c r="O72" s="4">
        <f>1.114-N72</f>
        <v>0.63700000000000012</v>
      </c>
      <c r="P72" s="4">
        <f>1.884-O72-N72</f>
        <v>0.76999999999999991</v>
      </c>
      <c r="Q72" s="6">
        <f>D72-SUM(N72:P72)</f>
        <v>2.1570000000000005</v>
      </c>
      <c r="R72" s="4">
        <v>2.0649999999999999</v>
      </c>
      <c r="S72" s="4">
        <f>3.949-R72</f>
        <v>1.8839999999999999</v>
      </c>
      <c r="T72" s="4">
        <f>6.24-S72-R72</f>
        <v>2.2909999999999999</v>
      </c>
      <c r="U72" s="6">
        <f>E72-SUM(R72:T72)</f>
        <v>2.952</v>
      </c>
      <c r="V72" s="4">
        <v>3.93</v>
      </c>
      <c r="W72" s="4">
        <f>8.842-V72</f>
        <v>4.9120000000000008</v>
      </c>
      <c r="X72" s="4">
        <f>12.845-W72-V72</f>
        <v>4.0030000000000001</v>
      </c>
      <c r="Y72" s="6">
        <f>F72-SUM(V72:X72)</f>
        <v>4.1270000000000007</v>
      </c>
      <c r="Z72" s="4">
        <v>2.9609999999999999</v>
      </c>
      <c r="AA72" s="4">
        <f>5.764-Z72</f>
        <v>2.8030000000000004</v>
      </c>
      <c r="AB72" s="4">
        <f>8.272-AA72-Z72</f>
        <v>2.5079999999999996</v>
      </c>
      <c r="AC72" s="6">
        <f>G72-SUM(Z72:AB72)</f>
        <v>3.1129999999999995</v>
      </c>
      <c r="AD72" s="4">
        <v>2.839</v>
      </c>
    </row>
    <row r="73" spans="2:32" ht="13.5" customHeight="1">
      <c r="B73" s="7" t="s">
        <v>253</v>
      </c>
      <c r="C73" s="4">
        <v>-2.7669999999999999</v>
      </c>
      <c r="D73" s="4">
        <v>-4.3840000000000003</v>
      </c>
      <c r="E73" s="4">
        <f>-12.523</f>
        <v>-12.523</v>
      </c>
      <c r="F73" s="4">
        <v>3.29</v>
      </c>
      <c r="G73" s="4">
        <f>-33.769-3.618</f>
        <v>-37.387</v>
      </c>
      <c r="H73" s="6">
        <f t="shared" si="230"/>
        <v>-37.625</v>
      </c>
      <c r="I73" s="4"/>
      <c r="J73" s="4">
        <v>-0.95299999999999996</v>
      </c>
      <c r="K73" s="4">
        <f>-1.512-J73</f>
        <v>-0.55900000000000005</v>
      </c>
      <c r="L73" s="4">
        <f>-1.327-K73-J73</f>
        <v>0.18500000000000005</v>
      </c>
      <c r="M73" s="6">
        <f>C73-SUM(J73:L73)</f>
        <v>-1.44</v>
      </c>
      <c r="N73" s="4">
        <v>-7.6999999999999999E-2</v>
      </c>
      <c r="O73" s="4">
        <f>-0.708-N73</f>
        <v>-0.63100000000000001</v>
      </c>
      <c r="P73" s="4">
        <f>-3.476-O73-N73</f>
        <v>-2.7679999999999998</v>
      </c>
      <c r="Q73" s="6">
        <f>D73-SUM(N73:P73)</f>
        <v>-0.90800000000000036</v>
      </c>
      <c r="R73" s="4">
        <v>-2.17</v>
      </c>
      <c r="S73" s="4">
        <f>-9.4-R73</f>
        <v>-7.23</v>
      </c>
      <c r="T73" s="4">
        <f>-9.068+24.827-S73-R73</f>
        <v>25.159000000000006</v>
      </c>
      <c r="U73" s="6">
        <f>E73-SUM(R73:T73)</f>
        <v>-28.282000000000004</v>
      </c>
      <c r="V73" s="4">
        <v>-0.66400000000000003</v>
      </c>
      <c r="W73" s="4">
        <f>-1.244-V73</f>
        <v>-0.57999999999999996</v>
      </c>
      <c r="X73" s="4">
        <f>-2.535-W73-V73</f>
        <v>-1.2909999999999999</v>
      </c>
      <c r="Y73" s="6">
        <f>F73-SUM(V73:X73)</f>
        <v>5.8250000000000002</v>
      </c>
      <c r="Z73" s="4">
        <v>0.42699999999999999</v>
      </c>
      <c r="AA73" s="4">
        <f>-0.787-Z73</f>
        <v>-1.214</v>
      </c>
      <c r="AB73" s="4">
        <f>-5.106-33.769-AA73-Z73</f>
        <v>-38.088000000000001</v>
      </c>
      <c r="AC73" s="6">
        <f>G73-SUM(Z73:AB73)</f>
        <v>1.4879999999999995</v>
      </c>
      <c r="AD73" s="4">
        <v>0.189</v>
      </c>
    </row>
    <row r="74" spans="2:32" ht="13.5" customHeight="1">
      <c r="B74" s="7" t="s">
        <v>254</v>
      </c>
      <c r="C74" s="4">
        <v>-184.49199999999999</v>
      </c>
      <c r="D74" s="4">
        <v>-131.33000000000001</v>
      </c>
      <c r="E74" s="4">
        <f>-19.38</f>
        <v>-19.38</v>
      </c>
      <c r="F74" s="4">
        <f>-152.201</f>
        <v>-152.20099999999999</v>
      </c>
      <c r="G74" s="4">
        <v>-279.50099999999998</v>
      </c>
      <c r="H74" s="6">
        <f t="shared" si="230"/>
        <v>-242.61399999999998</v>
      </c>
      <c r="I74" s="4"/>
      <c r="J74" s="4">
        <v>-36.008000000000003</v>
      </c>
      <c r="K74" s="4">
        <f>-50.571-J74</f>
        <v>-14.562999999999995</v>
      </c>
      <c r="L74" s="4">
        <f>-98.91-K74-J74</f>
        <v>-48.339000000000006</v>
      </c>
      <c r="M74" s="6">
        <f>C74-SUM(J74:L74)</f>
        <v>-85.581999999999994</v>
      </c>
      <c r="N74" s="4">
        <v>-74.287999999999997</v>
      </c>
      <c r="O74" s="4">
        <f>-111.23-N74</f>
        <v>-36.942000000000007</v>
      </c>
      <c r="P74" s="4">
        <f>-121.568-O74-N74</f>
        <v>-10.337999999999994</v>
      </c>
      <c r="Q74" s="6">
        <f>D74-SUM(N74:P74)</f>
        <v>-9.7620000000000147</v>
      </c>
      <c r="R74" s="4">
        <v>-2.202</v>
      </c>
      <c r="S74" s="4">
        <f>-5.324-R74</f>
        <v>-3.1219999999999999</v>
      </c>
      <c r="T74" s="4">
        <f>-5.977-S74-R74</f>
        <v>-0.65300000000000047</v>
      </c>
      <c r="U74" s="6">
        <f>E74-SUM(R74:T74)</f>
        <v>-13.402999999999999</v>
      </c>
      <c r="V74" s="4">
        <v>-66.399000000000001</v>
      </c>
      <c r="W74" s="4">
        <f>-90.954-V74</f>
        <v>-24.554999999999993</v>
      </c>
      <c r="X74" s="4">
        <f>-102.114-W74-V74</f>
        <v>-11.160000000000011</v>
      </c>
      <c r="Y74" s="6">
        <f t="shared" si="196"/>
        <v>-50.086999999999989</v>
      </c>
      <c r="Z74" s="4">
        <v>-70.271000000000001</v>
      </c>
      <c r="AA74" s="4">
        <f>-155.114-Z74</f>
        <v>-84.843000000000004</v>
      </c>
      <c r="AB74" s="4">
        <f>-204.022-AA74-Z74</f>
        <v>-48.907999999999987</v>
      </c>
      <c r="AC74" s="6">
        <f t="shared" ref="AC74:AC78" si="231">G74-SUM(Z74:AB74)</f>
        <v>-75.478999999999985</v>
      </c>
      <c r="AD74" s="4">
        <v>-33.384</v>
      </c>
    </row>
    <row r="75" spans="2:32" ht="13.5" customHeight="1">
      <c r="B75" s="7" t="s">
        <v>255</v>
      </c>
      <c r="C75" s="4">
        <f>-106.096</f>
        <v>-106.096</v>
      </c>
      <c r="D75" s="4">
        <f>-97.5</f>
        <v>-97.5</v>
      </c>
      <c r="E75" s="4">
        <v>-111.73</v>
      </c>
      <c r="F75" s="4">
        <f>-105.046</f>
        <v>-105.04600000000001</v>
      </c>
      <c r="G75" s="4">
        <f>-99.152</f>
        <v>-99.152000000000001</v>
      </c>
      <c r="H75" s="6">
        <f t="shared" si="230"/>
        <v>-105.854</v>
      </c>
      <c r="I75" s="4"/>
      <c r="J75" s="4">
        <v>-27.648</v>
      </c>
      <c r="K75" s="4">
        <f>-55.492-J75</f>
        <v>-27.843999999999998</v>
      </c>
      <c r="L75" s="4">
        <f>-81.253-K75-J75</f>
        <v>-25.761000000000006</v>
      </c>
      <c r="M75" s="6">
        <f>C75-SUM(J75:L75)</f>
        <v>-24.843000000000004</v>
      </c>
      <c r="N75" s="4">
        <v>-24.68</v>
      </c>
      <c r="O75" s="4">
        <f>-47.58-N75</f>
        <v>-22.9</v>
      </c>
      <c r="P75" s="4">
        <f>-72.239-O75-N75</f>
        <v>-24.659000000000006</v>
      </c>
      <c r="Q75" s="6">
        <f>D75-SUM(N75:P75)</f>
        <v>-25.260999999999996</v>
      </c>
      <c r="R75" s="4">
        <v>-26.608000000000001</v>
      </c>
      <c r="S75" s="4">
        <f>-54.258-R75</f>
        <v>-27.650000000000002</v>
      </c>
      <c r="T75" s="4">
        <f>-84.1-S75-R75</f>
        <v>-29.841999999999988</v>
      </c>
      <c r="U75" s="6">
        <f>E75-SUM(R75:T75)</f>
        <v>-27.63000000000001</v>
      </c>
      <c r="V75" s="4">
        <v>-28.901</v>
      </c>
      <c r="W75" s="4">
        <f>-57.639-V75</f>
        <v>-28.738000000000003</v>
      </c>
      <c r="X75" s="4">
        <f>-82.191-W75-V75</f>
        <v>-24.552000000000003</v>
      </c>
      <c r="Y75" s="6">
        <f t="shared" si="196"/>
        <v>-22.855000000000004</v>
      </c>
      <c r="Z75" s="4">
        <v>-22.033999999999999</v>
      </c>
      <c r="AA75" s="4">
        <f>-44.96-Z75</f>
        <v>-22.926000000000002</v>
      </c>
      <c r="AB75" s="4">
        <f>-71.899-AA75-Z75</f>
        <v>-26.939</v>
      </c>
      <c r="AC75" s="6">
        <f t="shared" si="231"/>
        <v>-27.253</v>
      </c>
      <c r="AD75" s="4">
        <v>-28.736000000000001</v>
      </c>
    </row>
    <row r="76" spans="2:32" ht="15.75" customHeight="1">
      <c r="B76" s="7" t="s">
        <v>256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6">
        <f t="shared" si="230"/>
        <v>0</v>
      </c>
      <c r="I76" s="4"/>
      <c r="J76" s="4">
        <v>0</v>
      </c>
      <c r="K76" s="4">
        <v>0</v>
      </c>
      <c r="L76" s="4">
        <v>0</v>
      </c>
      <c r="M76" s="6">
        <f>C76-SUM(J76:L76)</f>
        <v>0</v>
      </c>
      <c r="N76" s="4">
        <v>0</v>
      </c>
      <c r="O76" s="4">
        <v>0</v>
      </c>
      <c r="P76" s="4">
        <v>0</v>
      </c>
      <c r="Q76" s="6">
        <f>D76-SUM(N76:P76)</f>
        <v>0</v>
      </c>
      <c r="R76" s="4">
        <v>0</v>
      </c>
      <c r="S76" s="4">
        <v>0</v>
      </c>
      <c r="T76" s="4">
        <v>0</v>
      </c>
      <c r="U76" s="6">
        <f>E76-SUM(R76:T76)</f>
        <v>0</v>
      </c>
      <c r="V76" s="4">
        <v>0</v>
      </c>
      <c r="W76" s="4">
        <f>0-V76</f>
        <v>0</v>
      </c>
      <c r="X76" s="4">
        <v>0</v>
      </c>
      <c r="Y76" s="6">
        <f t="shared" si="196"/>
        <v>0</v>
      </c>
      <c r="Z76" s="4">
        <v>0</v>
      </c>
      <c r="AA76" s="4">
        <f>0-Z76</f>
        <v>0</v>
      </c>
      <c r="AB76" s="4">
        <v>0</v>
      </c>
      <c r="AC76" s="6">
        <f t="shared" si="231"/>
        <v>0</v>
      </c>
      <c r="AD76" s="4">
        <v>0</v>
      </c>
    </row>
    <row r="77" spans="2:32" ht="13.5" customHeight="1">
      <c r="B77" s="7" t="s">
        <v>257</v>
      </c>
      <c r="C77" s="4">
        <f>1010.597-957.423-60.22</f>
        <v>-7.0460000000000207</v>
      </c>
      <c r="D77" s="4">
        <f>2110.723-1708.842-62.269</f>
        <v>339.61199999999985</v>
      </c>
      <c r="E77" s="4">
        <f>988.889-1156.188-75.936</f>
        <v>-243.2350000000001</v>
      </c>
      <c r="F77" s="4">
        <f>1728.626-1884.431-85.92</f>
        <v>-241.72500000000008</v>
      </c>
      <c r="G77" s="4">
        <f>1372.505-1289.061-90.475</f>
        <v>-7.030999999999807</v>
      </c>
      <c r="H77" s="6">
        <f t="shared" si="230"/>
        <v>-103.20399999999981</v>
      </c>
      <c r="I77" s="4"/>
      <c r="J77" s="4">
        <f>396.507-324.241-15.766</f>
        <v>56.500000000000021</v>
      </c>
      <c r="K77" s="4">
        <f>551.174-538.72-30.646-J77</f>
        <v>-74.692000000000064</v>
      </c>
      <c r="L77" s="4">
        <f>576.767-563.344-45.494-K77-J77</f>
        <v>-13.878999999999955</v>
      </c>
      <c r="M77" s="6">
        <f>C77-SUM(J77:L77)</f>
        <v>25.024999999999977</v>
      </c>
      <c r="N77" s="4">
        <f>364.132-261.465-14.505</f>
        <v>88.162000000000035</v>
      </c>
      <c r="O77" s="4">
        <f>861.745-710.798-30.03-N77</f>
        <v>32.754999999999967</v>
      </c>
      <c r="P77" s="4">
        <f>1540.773-1207.387-45.439-O77-N77</f>
        <v>167.02999999999994</v>
      </c>
      <c r="Q77" s="6">
        <f>D77-SUM(N77:P77)</f>
        <v>51.664999999999907</v>
      </c>
      <c r="R77" s="4">
        <f>170.852-169.242-21.675</f>
        <v>-20.064999999999987</v>
      </c>
      <c r="S77" s="4">
        <f>615.668-547.195-41.026-R77</f>
        <v>47.511999999999944</v>
      </c>
      <c r="T77" s="4">
        <f>875.786-928.817-56.202-S77-R77</f>
        <v>-136.68</v>
      </c>
      <c r="U77" s="6">
        <f>E77-SUM(R77:T77)</f>
        <v>-134.00200000000007</v>
      </c>
      <c r="V77" s="4">
        <f>70.489-70.488-20.33</f>
        <v>-20.328999999999994</v>
      </c>
      <c r="W77" s="4">
        <f>231.603-226.952-42.26-V77</f>
        <v>-17.279999999999994</v>
      </c>
      <c r="X77" s="4">
        <f>429.444-415.697-63.739-W77-V77</f>
        <v>-12.382999999999996</v>
      </c>
      <c r="Y77" s="6">
        <f t="shared" si="196"/>
        <v>-191.73300000000009</v>
      </c>
      <c r="Z77" s="4">
        <f>(250683000-154649000-20789000)/1000000</f>
        <v>75.245000000000005</v>
      </c>
      <c r="AA77" s="4">
        <f>563.94-465.524-43.984-Z77</f>
        <v>-20.812999999999953</v>
      </c>
      <c r="AB77" s="4">
        <f>850.803-778.521-67.013-AA77-Z77</f>
        <v>-49.163000000000018</v>
      </c>
      <c r="AC77" s="6">
        <f t="shared" si="231"/>
        <v>-12.299999999999841</v>
      </c>
      <c r="AD77" s="4">
        <f>229.655-227.947-22.636</f>
        <v>-20.928000000000001</v>
      </c>
    </row>
    <row r="78" spans="2:32" ht="13.5" customHeight="1">
      <c r="B78" s="7" t="s">
        <v>258</v>
      </c>
      <c r="C78" s="4">
        <f>-0.804</f>
        <v>-0.80400000000000005</v>
      </c>
      <c r="D78" s="4">
        <f>-1.126</f>
        <v>-1.1259999999999999</v>
      </c>
      <c r="E78" s="4">
        <v>0</v>
      </c>
      <c r="F78" s="4">
        <v>0</v>
      </c>
      <c r="G78" s="4">
        <f>0.142</f>
        <v>0.14199999999999999</v>
      </c>
      <c r="H78" s="6">
        <f t="shared" si="230"/>
        <v>0.14199999999999999</v>
      </c>
      <c r="I78" s="4"/>
      <c r="J78" s="4">
        <v>0.49099999999999999</v>
      </c>
      <c r="K78" s="4">
        <f>-1.272-J78</f>
        <v>-1.7629999999999999</v>
      </c>
      <c r="L78" s="4">
        <f>-1.28-K78-J78</f>
        <v>-8.0000000000001181E-3</v>
      </c>
      <c r="M78" s="6">
        <f>C78-SUM(J78:L78)</f>
        <v>0.47599999999999976</v>
      </c>
      <c r="N78" s="4">
        <v>0</v>
      </c>
      <c r="O78" s="4">
        <f>0.578-N78</f>
        <v>0.57799999999999996</v>
      </c>
      <c r="P78" s="4">
        <f>-1.126-O78-N78</f>
        <v>-1.7039999999999997</v>
      </c>
      <c r="Q78" s="6">
        <f>D78-SUM(N78:P78)</f>
        <v>0</v>
      </c>
      <c r="R78" s="4">
        <v>0</v>
      </c>
      <c r="S78" s="4">
        <f>0-R78</f>
        <v>0</v>
      </c>
      <c r="T78" s="4">
        <f>0-S78-R78</f>
        <v>0</v>
      </c>
      <c r="U78" s="6">
        <f>E78-SUM(R78:T78)</f>
        <v>0</v>
      </c>
      <c r="V78" s="4">
        <v>0</v>
      </c>
      <c r="W78" s="4">
        <f>0-V78</f>
        <v>0</v>
      </c>
      <c r="X78" s="4">
        <f>0-W78-V78</f>
        <v>0</v>
      </c>
      <c r="Y78" s="6">
        <f t="shared" si="196"/>
        <v>0</v>
      </c>
      <c r="Z78" s="4">
        <v>0</v>
      </c>
      <c r="AA78" s="4">
        <f>0.018-Z78</f>
        <v>1.7999999999999999E-2</v>
      </c>
      <c r="AB78" s="4">
        <v>0</v>
      </c>
      <c r="AC78" s="6">
        <f t="shared" si="231"/>
        <v>0.12399999999999999</v>
      </c>
      <c r="AD78" s="4">
        <v>0</v>
      </c>
    </row>
    <row r="79" spans="2:32" s="5" customFormat="1" ht="13.5" customHeight="1">
      <c r="B79" s="15" t="s">
        <v>259</v>
      </c>
      <c r="C79" s="8">
        <f t="shared" ref="C79:D79" si="232">SUM(C71:C78)</f>
        <v>-1.9620000000000155</v>
      </c>
      <c r="D79" s="8">
        <f t="shared" si="232"/>
        <v>33.341999999999906</v>
      </c>
      <c r="E79" s="8">
        <f t="shared" ref="E79:F79" si="233">SUM(E71:E78)</f>
        <v>53.311999999999415</v>
      </c>
      <c r="F79" s="8">
        <f t="shared" si="233"/>
        <v>82.323999999999842</v>
      </c>
      <c r="G79" s="8">
        <f t="shared" ref="G79" si="234">SUM(G71:G78)</f>
        <v>54.288000000000032</v>
      </c>
      <c r="H79" s="8">
        <f>SUM(H71:H78)</f>
        <v>30.575000000000134</v>
      </c>
      <c r="I79" s="281"/>
      <c r="J79" s="8">
        <f t="shared" ref="J79:P79" si="235">SUM(J71:J78)</f>
        <v>111.94800000000005</v>
      </c>
      <c r="K79" s="8">
        <f t="shared" si="235"/>
        <v>34.775999999999961</v>
      </c>
      <c r="L79" s="8">
        <f t="shared" si="235"/>
        <v>-70.31599999999996</v>
      </c>
      <c r="M79" s="8">
        <f t="shared" si="235"/>
        <v>-78.369999999999891</v>
      </c>
      <c r="N79" s="8">
        <f t="shared" si="235"/>
        <v>38.117000000000047</v>
      </c>
      <c r="O79" s="8">
        <f t="shared" si="235"/>
        <v>-56.275000000000006</v>
      </c>
      <c r="P79" s="8">
        <f t="shared" si="235"/>
        <v>9.2529999999999077</v>
      </c>
      <c r="Q79" s="8">
        <f t="shared" ref="Q79:T79" si="236">SUM(Q71:Q78)</f>
        <v>42.246999999999943</v>
      </c>
      <c r="R79" s="8">
        <f t="shared" si="236"/>
        <v>-10.670000000000023</v>
      </c>
      <c r="S79" s="8">
        <f t="shared" si="236"/>
        <v>-27.571000000000041</v>
      </c>
      <c r="T79" s="8">
        <f t="shared" si="236"/>
        <v>80.388999999999982</v>
      </c>
      <c r="U79" s="8">
        <f t="shared" ref="U79:X79" si="237">SUM(U71:U78)</f>
        <v>11.163999999999476</v>
      </c>
      <c r="V79" s="8">
        <f t="shared" si="237"/>
        <v>133.47799999999995</v>
      </c>
      <c r="W79" s="8">
        <f t="shared" si="237"/>
        <v>-28.406999999999993</v>
      </c>
      <c r="X79" s="8">
        <f t="shared" si="237"/>
        <v>97.317999999999927</v>
      </c>
      <c r="Y79" s="8">
        <f t="shared" ref="Y79:AA79" si="238">SUM(Y71:Y78)</f>
        <v>-120.06500000000021</v>
      </c>
      <c r="Z79" s="8">
        <f t="shared" si="238"/>
        <v>39.845999999999997</v>
      </c>
      <c r="AA79" s="8">
        <f t="shared" si="238"/>
        <v>-47.491999999999955</v>
      </c>
      <c r="AB79" s="8">
        <f>SUM(AB71:AB78)</f>
        <v>103.92499999999993</v>
      </c>
      <c r="AC79" s="8">
        <f t="shared" ref="AC79:AD79" si="239">SUM(AC71:AC78)</f>
        <v>-41.990999999999978</v>
      </c>
      <c r="AD79" s="8">
        <f t="shared" si="239"/>
        <v>16.132999999999978</v>
      </c>
    </row>
    <row r="80" spans="2:32" ht="13.5" customHeight="1">
      <c r="B80" s="7" t="s">
        <v>260</v>
      </c>
      <c r="C80" s="4">
        <v>-9.61</v>
      </c>
      <c r="D80" s="4">
        <v>-7.6319999999999997</v>
      </c>
      <c r="E80" s="4">
        <v>7.851</v>
      </c>
      <c r="F80" s="4">
        <v>-84.787999999999997</v>
      </c>
      <c r="G80" s="4">
        <v>32.389000000000003</v>
      </c>
      <c r="H80" s="6">
        <f>SUM(AA80:AD80)</f>
        <v>18.436000000000003</v>
      </c>
      <c r="I80" s="4"/>
      <c r="J80" s="4">
        <v>-0.29499999999999998</v>
      </c>
      <c r="K80" s="4">
        <f>2.534-J80</f>
        <v>2.8289999999999997</v>
      </c>
      <c r="L80" s="4">
        <f>-3.613-K80-J80</f>
        <v>-6.1470000000000002</v>
      </c>
      <c r="M80" s="6">
        <f>C80-SUM(J80:L80)</f>
        <v>-5.996999999999999</v>
      </c>
      <c r="N80" s="4">
        <v>0.22600000000000001</v>
      </c>
      <c r="O80" s="4">
        <f>-0.177-N80</f>
        <v>-0.40300000000000002</v>
      </c>
      <c r="P80" s="4">
        <f>-11.809-O80-N80</f>
        <v>-11.632</v>
      </c>
      <c r="Q80" s="6">
        <f>D80-SUM(N80:P80)</f>
        <v>4.1769999999999996</v>
      </c>
      <c r="R80" s="4">
        <v>6.7389999999999999</v>
      </c>
      <c r="S80" s="4">
        <f>3.417-R80</f>
        <v>-3.3220000000000001</v>
      </c>
      <c r="T80" s="4">
        <f>-4.65-S80-R80</f>
        <v>-8.0670000000000002</v>
      </c>
      <c r="U80" s="6">
        <f>E80-SUM(R80:T80)</f>
        <v>12.501000000000001</v>
      </c>
      <c r="V80" s="4">
        <v>1.75</v>
      </c>
      <c r="W80" s="4">
        <f>-32.355-V80</f>
        <v>-34.104999999999997</v>
      </c>
      <c r="X80" s="4">
        <f>-41.783-W80-V80</f>
        <v>-9.4280000000000044</v>
      </c>
      <c r="Y80" s="6">
        <f t="shared" si="196"/>
        <v>-43.004999999999995</v>
      </c>
      <c r="Z80" s="4">
        <v>8.327</v>
      </c>
      <c r="AA80" s="4">
        <f>25.356-Z80</f>
        <v>17.029000000000003</v>
      </c>
      <c r="AB80" s="4">
        <f>28.355-AA80-Z80</f>
        <v>2.998999999999997</v>
      </c>
      <c r="AC80" s="6">
        <f>G80-SUM(Z80:AB80)</f>
        <v>4.034000000000006</v>
      </c>
      <c r="AD80" s="4">
        <v>-5.6260000000000003</v>
      </c>
    </row>
    <row r="81" spans="2:30" ht="13.5" customHeight="1">
      <c r="B81" s="7" t="s">
        <v>261</v>
      </c>
      <c r="C81" s="4">
        <f>-44.853-C79</f>
        <v>-42.890999999999984</v>
      </c>
      <c r="D81" s="4">
        <f>36.528-D79</f>
        <v>3.1860000000000923</v>
      </c>
      <c r="E81" s="4">
        <f>58.331-E79</f>
        <v>5.0190000000005881</v>
      </c>
      <c r="F81" s="4">
        <f>75.076-F79</f>
        <v>-7.2479999999998483</v>
      </c>
      <c r="G81" s="4">
        <f>38.501-G79</f>
        <v>-15.787000000000035</v>
      </c>
      <c r="H81" s="6">
        <f>SUM(AA81:AD81)</f>
        <v>-16.261000000000017</v>
      </c>
      <c r="I81" s="4"/>
      <c r="J81" s="4">
        <f>104.591-J79</f>
        <v>-7.3570000000000562</v>
      </c>
      <c r="K81" s="6">
        <f>112.049-K79-J79-J81</f>
        <v>-27.317999999999941</v>
      </c>
      <c r="L81" s="4">
        <f>37.053-L79-K79-K81-J79-J81</f>
        <v>-4.6800000000000637</v>
      </c>
      <c r="M81" s="6">
        <f>C81-SUM(J81:L81)</f>
        <v>-3.5359999999999232</v>
      </c>
      <c r="N81" s="4">
        <f>36.058-N79</f>
        <v>-2.0590000000000472</v>
      </c>
      <c r="O81" s="6">
        <f>-19.194-O79-N79-N81</f>
        <v>1.0230000000000032</v>
      </c>
      <c r="P81" s="4">
        <f>-11.247-P79-O79-O81-N79-N81</f>
        <v>-1.305999999999905</v>
      </c>
      <c r="Q81" s="6">
        <f>D81-SUM(N81:P81)</f>
        <v>5.5280000000000413</v>
      </c>
      <c r="R81" s="4">
        <f>-2.255-R79</f>
        <v>8.415000000000024</v>
      </c>
      <c r="S81" s="6">
        <f>-26.859-S79-R79-R81</f>
        <v>2.9670000000000378</v>
      </c>
      <c r="T81" s="4">
        <f>58.811-T79-S79-S81-R79-R81</f>
        <v>5.2810000000000201</v>
      </c>
      <c r="U81" s="6">
        <f>E81-SUM(R81:T81)</f>
        <v>-11.643999999999494</v>
      </c>
      <c r="V81" s="4">
        <f>132.419-1.75-V79</f>
        <v>-2.8089999999999407</v>
      </c>
      <c r="W81" s="6">
        <f>122.494-W79-V79-V81</f>
        <v>20.231999999999971</v>
      </c>
      <c r="X81" s="4">
        <f>189.828-X79-W79-W81-V79-V81</f>
        <v>-29.983999999999909</v>
      </c>
      <c r="Y81" s="6">
        <f>F81-SUM(V81:X81)</f>
        <v>5.3130000000000308</v>
      </c>
      <c r="Z81" s="4">
        <f>46.033-8.327-Z79</f>
        <v>-2.1399999999999935</v>
      </c>
      <c r="AA81" s="6">
        <f>-13.162-AA79-Z79-Z81</f>
        <v>-3.3760000000000474</v>
      </c>
      <c r="AB81" s="4">
        <f>86.953-AB79-AA79-AA81-Z79-Z81</f>
        <v>-3.8099999999999241</v>
      </c>
      <c r="AC81" s="6">
        <f>G81-SUM(Z81:AB81)</f>
        <v>-6.4610000000000696</v>
      </c>
      <c r="AD81" s="4">
        <f>7.893-AD79-AD80</f>
        <v>-2.6139999999999768</v>
      </c>
    </row>
    <row r="82" spans="2:30" ht="13.5" customHeight="1">
      <c r="B82" s="15" t="s">
        <v>262</v>
      </c>
      <c r="C82" s="8">
        <f t="shared" ref="C82:D82" si="240">SUM(C79:C81)</f>
        <v>-54.463000000000001</v>
      </c>
      <c r="D82" s="8">
        <f t="shared" si="240"/>
        <v>28.896000000000001</v>
      </c>
      <c r="E82" s="8">
        <f t="shared" ref="E82:F82" si="241">SUM(E79:E81)</f>
        <v>66.182000000000002</v>
      </c>
      <c r="F82" s="8">
        <f t="shared" si="241"/>
        <v>-9.7120000000000033</v>
      </c>
      <c r="G82" s="8">
        <f t="shared" ref="G82" si="242">SUM(G79:G81)</f>
        <v>70.89</v>
      </c>
      <c r="H82" s="8">
        <f>SUM(H79:H81)</f>
        <v>32.750000000000121</v>
      </c>
      <c r="I82" s="8"/>
      <c r="J82" s="8">
        <f t="shared" ref="J82:P82" si="243">SUM(J79:J81)</f>
        <v>104.29599999999999</v>
      </c>
      <c r="K82" s="8">
        <f t="shared" si="243"/>
        <v>10.28700000000002</v>
      </c>
      <c r="L82" s="8">
        <f t="shared" si="243"/>
        <v>-81.143000000000029</v>
      </c>
      <c r="M82" s="8">
        <f t="shared" si="243"/>
        <v>-87.902999999999821</v>
      </c>
      <c r="N82" s="8">
        <f t="shared" si="243"/>
        <v>36.283999999999999</v>
      </c>
      <c r="O82" s="8">
        <f t="shared" si="243"/>
        <v>-55.655000000000001</v>
      </c>
      <c r="P82" s="8">
        <f t="shared" si="243"/>
        <v>-3.6849999999999969</v>
      </c>
      <c r="Q82" s="8">
        <f t="shared" ref="Q82" si="244">SUM(Q79:Q81)</f>
        <v>51.951999999999984</v>
      </c>
      <c r="R82" s="8">
        <f>SUM(R79:R81)</f>
        <v>4.4840000000000009</v>
      </c>
      <c r="S82" s="8">
        <f>SUM(S79:S81)</f>
        <v>-27.926000000000002</v>
      </c>
      <c r="T82" s="8">
        <f t="shared" ref="T82:U82" si="245">SUM(T79:T81)</f>
        <v>77.602999999999994</v>
      </c>
      <c r="U82" s="8">
        <f t="shared" si="245"/>
        <v>12.020999999999983</v>
      </c>
      <c r="V82" s="8">
        <f>SUM(V79:V81)</f>
        <v>132.41900000000001</v>
      </c>
      <c r="W82" s="8">
        <f>SUM(W79:W81)</f>
        <v>-42.280000000000015</v>
      </c>
      <c r="X82" s="8">
        <f t="shared" ref="X82:Y82" si="246">SUM(X79:X81)</f>
        <v>57.90600000000002</v>
      </c>
      <c r="Y82" s="8">
        <f t="shared" si="246"/>
        <v>-157.75700000000018</v>
      </c>
      <c r="Z82" s="8">
        <f>SUM(Z79:Z81)</f>
        <v>46.033000000000001</v>
      </c>
      <c r="AA82" s="8">
        <f>SUM(AA79:AA81)</f>
        <v>-33.838999999999999</v>
      </c>
      <c r="AB82" s="8">
        <f>SUM(AB79:AB81)</f>
        <v>103.114</v>
      </c>
      <c r="AC82" s="8">
        <f t="shared" ref="AC82" si="247">SUM(AC79:AC81)</f>
        <v>-44.418000000000042</v>
      </c>
      <c r="AD82" s="8">
        <f>SUM(AD79:AD81)</f>
        <v>7.8929999999999998</v>
      </c>
    </row>
    <row r="83" spans="2:30" s="5" customFormat="1" ht="13.5" customHeight="1">
      <c r="B83" s="15" t="s">
        <v>263</v>
      </c>
      <c r="C83" s="8">
        <f>309.431+C82</f>
        <v>254.96799999999999</v>
      </c>
      <c r="D83" s="8">
        <f>C83+D82</f>
        <v>283.86399999999998</v>
      </c>
      <c r="E83" s="8">
        <f>D83+E82</f>
        <v>350.04599999999999</v>
      </c>
      <c r="F83" s="8">
        <f>E83+F82</f>
        <v>340.334</v>
      </c>
      <c r="G83" s="8">
        <f>F83+G82</f>
        <v>411.22399999999999</v>
      </c>
      <c r="H83" s="8">
        <f>Z83+H82</f>
        <v>419.11699999999985</v>
      </c>
      <c r="I83" s="8"/>
      <c r="J83" s="8">
        <f>304.531+J82</f>
        <v>408.827</v>
      </c>
      <c r="K83" s="8">
        <f>J83+K82</f>
        <v>419.11400000000003</v>
      </c>
      <c r="L83" s="8">
        <f>K83+L82</f>
        <v>337.971</v>
      </c>
      <c r="M83" s="8">
        <f>L83+M82+(309.431-304.531)</f>
        <v>254.96800000000016</v>
      </c>
      <c r="N83" s="8">
        <f>254.968+N82</f>
        <v>291.25200000000001</v>
      </c>
      <c r="O83" s="8">
        <f>N83+O82</f>
        <v>235.59700000000001</v>
      </c>
      <c r="P83" s="8">
        <f>O83+P82</f>
        <v>231.91200000000001</v>
      </c>
      <c r="Q83" s="8">
        <f>P83+Q82</f>
        <v>283.86399999999998</v>
      </c>
      <c r="R83" s="8">
        <f>283.864+R82</f>
        <v>288.34799999999996</v>
      </c>
      <c r="S83" s="8">
        <f t="shared" ref="S83:AD83" si="248">R83+S82</f>
        <v>260.42199999999997</v>
      </c>
      <c r="T83" s="8">
        <f t="shared" si="248"/>
        <v>338.02499999999998</v>
      </c>
      <c r="U83" s="8">
        <f t="shared" si="248"/>
        <v>350.04599999999994</v>
      </c>
      <c r="V83" s="8">
        <f t="shared" si="248"/>
        <v>482.46499999999992</v>
      </c>
      <c r="W83" s="8">
        <f t="shared" si="248"/>
        <v>440.18499999999989</v>
      </c>
      <c r="X83" s="8">
        <f>W83+X82</f>
        <v>498.09099999999989</v>
      </c>
      <c r="Y83" s="8">
        <f t="shared" si="248"/>
        <v>340.33399999999972</v>
      </c>
      <c r="Z83" s="8">
        <f t="shared" si="248"/>
        <v>386.36699999999973</v>
      </c>
      <c r="AA83" s="8">
        <f t="shared" si="248"/>
        <v>352.52799999999974</v>
      </c>
      <c r="AB83" s="8">
        <f>AA83+AB82</f>
        <v>455.64199999999971</v>
      </c>
      <c r="AC83" s="8">
        <f t="shared" si="248"/>
        <v>411.22399999999965</v>
      </c>
      <c r="AD83" s="8">
        <f t="shared" si="248"/>
        <v>419.11699999999962</v>
      </c>
    </row>
    <row r="84" spans="2:30" s="358" customFormat="1" ht="13.5" customHeight="1">
      <c r="B84" s="360" t="s">
        <v>264</v>
      </c>
      <c r="C84" s="357">
        <f>560.947-C63-C64-C65-C81</f>
        <v>-9.2370555648813024E-14</v>
      </c>
      <c r="D84" s="357">
        <f>300.266-D63-D64-D65-D81</f>
        <v>-1.1368683772161603E-13</v>
      </c>
      <c r="E84" s="361">
        <f>740.978-E63-E64-E65-E81</f>
        <v>-2.4158453015843406E-13</v>
      </c>
      <c r="F84" s="361">
        <f>875.112-F63-F64-F65-F81</f>
        <v>-1.1368683772161603E-13</v>
      </c>
      <c r="G84" s="361">
        <f>779.25-G63-G64-G65-G81</f>
        <v>5.6843418860808015E-14</v>
      </c>
      <c r="H84" s="362"/>
      <c r="I84" s="361"/>
      <c r="J84" s="363">
        <f>161.038-J63-J64-J65-J81</f>
        <v>6.0396132539608516E-14</v>
      </c>
      <c r="K84" s="363">
        <f>342.646-K63-K64-K65-K81-J63-J64-J65-J81</f>
        <v>0</v>
      </c>
      <c r="L84" s="363">
        <f>468.215-L63-L64-L65-L81-K63-K64-K65-K81-J63-J64-J65-J81</f>
        <v>6.0396132539608516E-14</v>
      </c>
      <c r="M84" s="362">
        <f>C84-SUM(J84:L84)</f>
        <v>-2.1316282072803006E-13</v>
      </c>
      <c r="N84" s="363">
        <f>115.382-N63-N64-N65-N81</f>
        <v>4.9737991503207013E-14</v>
      </c>
      <c r="O84" s="363">
        <f>178.34-O63-O64-O65-O81-N63-N64-N65-N81</f>
        <v>2.1316282072803006E-14</v>
      </c>
      <c r="P84" s="363">
        <f>158.809-P63-P64-P65-P81-O63-O64-O65-O81-N63-N64-N65-N81</f>
        <v>-6.3948846218409017E-14</v>
      </c>
      <c r="Q84" s="362">
        <f>D84-P84-O84-N84</f>
        <v>-1.2079226507921703E-13</v>
      </c>
      <c r="R84" s="363">
        <f>116.165-R63-R64-R65-R81</f>
        <v>0</v>
      </c>
      <c r="S84" s="363">
        <f>183.707-S63-S64-S65-S81-R63-R64-R65-R81</f>
        <v>-6.7501559897209518E-14</v>
      </c>
      <c r="T84" s="363">
        <f>482.939-T63-T64-T65-T81-S63-S64-S65-S81-R63-R64-R65-R81</f>
        <v>-6.7501559897209518E-14</v>
      </c>
      <c r="U84" s="361">
        <f>E84-T84-S84-R84</f>
        <v>-1.0658141036401503E-13</v>
      </c>
      <c r="V84" s="363">
        <f>312.706-V63-V64-V65-V81</f>
        <v>-2.8421709430404007E-14</v>
      </c>
      <c r="W84" s="363">
        <f>455.778-W63-W64-W65-W81-V63-V64-V65-V81</f>
        <v>-2.8421709430404007E-14</v>
      </c>
      <c r="X84" s="363">
        <f>637.785-X63-X64-X65-X81-W63-W64-W65-W81-V63-V64-V65-V81</f>
        <v>-1.4210854715202004E-13</v>
      </c>
      <c r="Y84" s="361">
        <f>J84-X84-W84-V84</f>
        <v>2.5934809855243657E-13</v>
      </c>
      <c r="Z84" s="363">
        <f>113.371-Z63-Z64-Z65-Z81</f>
        <v>-1.7763568394002505E-14</v>
      </c>
      <c r="AA84" s="363">
        <f>283.958-AA63-AA64-AA65-AA81-Z63-Z64-Z65-Z81</f>
        <v>9.5923269327613525E-14</v>
      </c>
      <c r="AB84" s="363">
        <f>614.511-AB63-AB64-AB65-AB81-AA63-AA64-AA65-AA81-Z63-Z64-Z65-Z81</f>
        <v>3.907985046680551E-14</v>
      </c>
      <c r="AC84" s="361">
        <f>N84-AB84-AA84-Z84</f>
        <v>-6.7501559897209518E-14</v>
      </c>
      <c r="AD84" s="363">
        <f>146.698-AD63-AD64-AD65-AD81</f>
        <v>0</v>
      </c>
    </row>
    <row r="85" spans="2:30" s="358" customFormat="1" ht="13.5" customHeight="1">
      <c r="B85" s="360" t="s">
        <v>265</v>
      </c>
      <c r="C85" s="359">
        <f>254.968-C83</f>
        <v>0</v>
      </c>
      <c r="D85" s="359">
        <f>283.864-D83</f>
        <v>0</v>
      </c>
      <c r="E85" s="363">
        <f>350.046-E83</f>
        <v>0</v>
      </c>
      <c r="F85" s="363">
        <f>F83-F119</f>
        <v>0</v>
      </c>
      <c r="G85" s="363">
        <f>G83-G119</f>
        <v>-1.0000000000331966E-3</v>
      </c>
      <c r="H85" s="363">
        <f>H83-H119</f>
        <v>-1.0000000001468834E-3</v>
      </c>
      <c r="I85" s="361"/>
      <c r="J85" s="363">
        <f>408.827-J83</f>
        <v>0</v>
      </c>
      <c r="K85" s="363">
        <f>419.114-K83</f>
        <v>0</v>
      </c>
      <c r="L85" s="363">
        <f>254.968-L83</f>
        <v>-83.003000000000014</v>
      </c>
      <c r="M85" s="364">
        <f>254.968-M83</f>
        <v>0</v>
      </c>
      <c r="N85" s="363">
        <f>291.252-N83</f>
        <v>0</v>
      </c>
      <c r="O85" s="363">
        <f>235.597-O83</f>
        <v>0</v>
      </c>
      <c r="P85" s="363">
        <f>231.912-P83</f>
        <v>0</v>
      </c>
      <c r="Q85" s="364">
        <f>283.864-Q83</f>
        <v>0</v>
      </c>
      <c r="R85" s="363">
        <f>288.348-R83</f>
        <v>0</v>
      </c>
      <c r="S85" s="363">
        <f>260.422-S83</f>
        <v>0</v>
      </c>
      <c r="T85" s="363">
        <f>338.025-T83</f>
        <v>0</v>
      </c>
      <c r="U85" s="364">
        <f>350.046-U83</f>
        <v>0</v>
      </c>
      <c r="V85" s="363">
        <f>482.465-V83</f>
        <v>0</v>
      </c>
      <c r="W85" s="363">
        <f>440.185-W83</f>
        <v>0</v>
      </c>
      <c r="X85" s="363">
        <f>498.091-X83</f>
        <v>0</v>
      </c>
      <c r="Y85" s="363">
        <f>Y83-Y119</f>
        <v>0</v>
      </c>
      <c r="Z85" s="363">
        <f>Z83-Z119</f>
        <v>0</v>
      </c>
      <c r="AA85" s="363">
        <f>352.528-AA83</f>
        <v>0</v>
      </c>
      <c r="AB85" s="363">
        <f>455.642-AB83</f>
        <v>0</v>
      </c>
      <c r="AC85" s="363">
        <f>AC83-AC119</f>
        <v>-1.0000000003742571E-3</v>
      </c>
      <c r="AD85" s="363">
        <f>AD83-AD119</f>
        <v>-1.0000000003742571E-3</v>
      </c>
    </row>
    <row r="86" spans="2:30" ht="11.25" customHeight="1">
      <c r="C86" s="245"/>
      <c r="D86" s="245"/>
      <c r="E86" s="245"/>
      <c r="F86" s="245"/>
    </row>
    <row r="87" spans="2:30" ht="13.5" customHeight="1">
      <c r="B87" s="16" t="s">
        <v>266</v>
      </c>
      <c r="C87" s="47">
        <f>+C3</f>
        <v>44531</v>
      </c>
      <c r="D87" s="47">
        <f>+D3</f>
        <v>44896</v>
      </c>
      <c r="E87" s="47">
        <f>+E3</f>
        <v>45261</v>
      </c>
      <c r="F87" s="47">
        <f>+F3</f>
        <v>45627</v>
      </c>
      <c r="G87" s="47">
        <f>+G3</f>
        <v>45992</v>
      </c>
      <c r="H87" s="47">
        <f>+H3</f>
        <v>46111</v>
      </c>
      <c r="J87" s="47">
        <f>+J3</f>
        <v>44285</v>
      </c>
      <c r="K87" s="253">
        <f>+K3</f>
        <v>44377</v>
      </c>
      <c r="L87" s="13">
        <v>44440</v>
      </c>
      <c r="M87" s="47">
        <f>+M3</f>
        <v>44561</v>
      </c>
      <c r="N87" s="47">
        <f>+N3</f>
        <v>44650</v>
      </c>
      <c r="O87" s="47">
        <f>+O3</f>
        <v>44742</v>
      </c>
      <c r="P87" s="47">
        <f>+P3</f>
        <v>44834</v>
      </c>
      <c r="Q87" s="47">
        <f>+Q3</f>
        <v>44926</v>
      </c>
      <c r="R87" s="47">
        <f>+R3</f>
        <v>45015</v>
      </c>
      <c r="S87" s="47">
        <f>+S3</f>
        <v>45107</v>
      </c>
      <c r="T87" s="47">
        <f>+T3</f>
        <v>45199</v>
      </c>
      <c r="U87" s="47">
        <f>+U3</f>
        <v>45291</v>
      </c>
      <c r="V87" s="47">
        <f>+V3</f>
        <v>45381</v>
      </c>
      <c r="W87" s="47">
        <f>+W3</f>
        <v>45473</v>
      </c>
      <c r="X87" s="47">
        <f>+X3</f>
        <v>45565</v>
      </c>
      <c r="Y87" s="47">
        <f>+Y3</f>
        <v>45657</v>
      </c>
      <c r="Z87" s="47">
        <f>+Z3</f>
        <v>45746</v>
      </c>
      <c r="AA87" s="47">
        <f>+AA3</f>
        <v>45838</v>
      </c>
      <c r="AB87" s="47">
        <f>+AB3</f>
        <v>45930</v>
      </c>
      <c r="AC87" s="47">
        <f>+AC3</f>
        <v>46022</v>
      </c>
      <c r="AD87" s="47">
        <f>+AD3</f>
        <v>46111</v>
      </c>
    </row>
    <row r="88" spans="2:30" ht="13.5" customHeight="1">
      <c r="B88" s="1" t="str">
        <f>+B7</f>
        <v>Revenues</v>
      </c>
      <c r="C88" s="6">
        <f>+C7</f>
        <v>4623.5709999999999</v>
      </c>
      <c r="D88" s="6">
        <f>+D7</f>
        <v>5596.6210000000001</v>
      </c>
      <c r="E88" s="6">
        <f>+E7</f>
        <v>6576.23</v>
      </c>
      <c r="F88" s="6">
        <f>+F7</f>
        <v>6486.942</v>
      </c>
      <c r="G88" s="6">
        <f>+G7</f>
        <v>6374.6229999999996</v>
      </c>
      <c r="H88" s="6">
        <f>+H7</f>
        <v>6450.8419999999996</v>
      </c>
      <c r="J88" s="214"/>
      <c r="K88" s="214"/>
      <c r="L88" s="214"/>
      <c r="M88" s="6">
        <f>J7+K7+L7+M7</f>
        <v>4623.5709999999999</v>
      </c>
      <c r="N88" s="6">
        <f>N7+(Model!L85*Model!L219)-Model_USD!J7</f>
        <v>4814.0819613348776</v>
      </c>
      <c r="O88" s="6">
        <f>N7+O7+(Model!L85*Model!L219)-Model_USD!J7-Model_USD!K7</f>
        <v>5023.4339613348784</v>
      </c>
      <c r="P88" s="6">
        <f>N7+O7+P7+(Model!L85*Model!L219)-Model_USD!J7-Model_USD!K7-Model_USD!L7</f>
        <v>5275.248961334878</v>
      </c>
      <c r="Q88" s="6">
        <f>N7+O7+P7+Q7</f>
        <v>5596.6210000000001</v>
      </c>
      <c r="R88" s="6">
        <f>O7+P7+Q7+R7</f>
        <v>5918.588999999999</v>
      </c>
      <c r="S88" s="6">
        <f>P7+Q7+R7+S7</f>
        <v>6237.94</v>
      </c>
      <c r="T88" s="6">
        <f>Q7+R7+S7+T7</f>
        <v>6492.9989999999998</v>
      </c>
      <c r="U88" s="6">
        <f>R7+S7+T7+U7</f>
        <v>6576.23</v>
      </c>
      <c r="V88" s="6">
        <f>S7+T7+U7+V7</f>
        <v>6637.9489999999996</v>
      </c>
      <c r="W88" s="6">
        <f>T7+U7+V7+W7</f>
        <v>6642.1080000000002</v>
      </c>
      <c r="X88" s="6">
        <f>U7+V7+W7+X7</f>
        <v>6571.7389999999996</v>
      </c>
      <c r="Y88" s="6">
        <f>V7+W7+X7+Y7</f>
        <v>6486.942</v>
      </c>
      <c r="Z88" s="6">
        <f>W7+X7+Y7+Z7</f>
        <v>6388.1569999999992</v>
      </c>
      <c r="AA88" s="6">
        <f>X7+Y7+Z7+AA7</f>
        <v>6327.98</v>
      </c>
      <c r="AB88" s="6">
        <f>Y7+Z7+AA7+AB7</f>
        <v>6340.1629999999996</v>
      </c>
      <c r="AC88" s="6">
        <f>Z7+AA7+AB7+AC7</f>
        <v>6374.6229999999996</v>
      </c>
      <c r="AD88" s="6">
        <f>AA7+AB7+AC7+AD7</f>
        <v>6450.8419999999996</v>
      </c>
    </row>
    <row r="89" spans="2:30" ht="13.5" customHeight="1">
      <c r="B89" s="1" t="s">
        <v>230</v>
      </c>
      <c r="C89" s="6">
        <f>C14</f>
        <v>553.72600000000011</v>
      </c>
      <c r="D89" s="6">
        <f>D14</f>
        <v>610.14300000000003</v>
      </c>
      <c r="E89" s="6">
        <f>E14</f>
        <v>777.59499999999957</v>
      </c>
      <c r="F89" s="6">
        <f>F14</f>
        <v>890.22200000000009</v>
      </c>
      <c r="G89" s="6">
        <f>G14</f>
        <v>890.15899999999965</v>
      </c>
      <c r="H89" s="6">
        <f>H14</f>
        <v>862.20699999999965</v>
      </c>
      <c r="J89" s="214"/>
      <c r="K89" s="214"/>
      <c r="L89" s="214"/>
      <c r="M89" s="6">
        <f>J14+K14+L14+M14</f>
        <v>553.72600000000034</v>
      </c>
      <c r="N89" s="6">
        <f>N14+(Model!L13*Model!L219)-Model_USD!J14</f>
        <v>544.8100484645912</v>
      </c>
      <c r="O89" s="6">
        <f>N14+O14+(Model!L13*Model!L219)-Model_USD!J14-Model_USD!K14</f>
        <v>542.55704846459139</v>
      </c>
      <c r="P89" s="6">
        <f>N14+O14+P14+(Model!L13*Model!L219)-Model_USD!J14-Model_USD!K14-Model_USD!L14</f>
        <v>564.04004846459134</v>
      </c>
      <c r="Q89" s="6">
        <f>N14+O14+P14+Q14</f>
        <v>610.1429999999998</v>
      </c>
      <c r="R89" s="6">
        <f>O14+P14+Q14+R14</f>
        <v>651.84999999999991</v>
      </c>
      <c r="S89" s="6">
        <f>P14+Q14+R14+S14</f>
        <v>697.76199999999994</v>
      </c>
      <c r="T89" s="6">
        <f>Q14+R14+S14+T14</f>
        <v>758.64899999999966</v>
      </c>
      <c r="U89" s="6">
        <f>R14+S14+T14+U14</f>
        <v>777.59500000000025</v>
      </c>
      <c r="V89" s="6">
        <f>S14+T14+U14+V14</f>
        <v>825.77800000000036</v>
      </c>
      <c r="W89" s="6">
        <f>T14+U14+V14+W14</f>
        <v>868.06800000000032</v>
      </c>
      <c r="X89" s="6">
        <f>U14+V14+W14+X14</f>
        <v>875.78600000000051</v>
      </c>
      <c r="Y89" s="6">
        <f>V14+W14+X14+Y14</f>
        <v>890.22199999999975</v>
      </c>
      <c r="Z89" s="6">
        <f>W14+X14+Y14+Z14</f>
        <v>901.35999999999967</v>
      </c>
      <c r="AA89" s="6">
        <f>X14+Y14+Z14+AA14</f>
        <v>904.22199999999975</v>
      </c>
      <c r="AB89" s="6">
        <f>Y14+Z14+AA14+AB14</f>
        <v>906.9259999999997</v>
      </c>
      <c r="AC89" s="6">
        <f>Z14+AA14+AB14+AC14</f>
        <v>890.15899999999976</v>
      </c>
      <c r="AD89" s="6">
        <f>AA14+AB14+AC14+AD14</f>
        <v>862.20699999999977</v>
      </c>
    </row>
    <row r="90" spans="2:30" ht="13.5" customHeight="1">
      <c r="B90" s="1" t="s">
        <v>267</v>
      </c>
      <c r="C90" s="6">
        <f>C42</f>
        <v>735.54000000000008</v>
      </c>
      <c r="D90" s="6">
        <f>D42</f>
        <v>808.846</v>
      </c>
      <c r="E90" s="6">
        <f>E42</f>
        <v>1006.2909999999996</v>
      </c>
      <c r="F90" s="6">
        <f>F42</f>
        <v>1131.0820000000001</v>
      </c>
      <c r="G90" s="6">
        <f>G42</f>
        <v>1135.8439999999996</v>
      </c>
      <c r="H90" s="6">
        <f>H42</f>
        <v>1110.4809999999998</v>
      </c>
      <c r="J90" s="214"/>
      <c r="K90" s="214"/>
      <c r="L90" s="214"/>
      <c r="M90" s="6">
        <f>J42+K42+L42+M42</f>
        <v>735.54000000000019</v>
      </c>
      <c r="N90" s="6">
        <f>N42+(Model!L41*Model!L219)-Model_USD!J42</f>
        <v>727.52928806727959</v>
      </c>
      <c r="O90" s="6">
        <f>N42+O42+(Model!L41*Model!L219)-Model_USD!K42-Model_USD!J42</f>
        <v>727.38228806727966</v>
      </c>
      <c r="P90" s="6">
        <f>N42+O42+P42+(Model!L41*Model!L219)-Model_USD!J42-Model_USD!K42-Model_USD!L42</f>
        <v>752.11328806727988</v>
      </c>
      <c r="Q90" s="6">
        <f>N42+O42+P42+Q42</f>
        <v>808.84599999999978</v>
      </c>
      <c r="R90" s="6">
        <f>O42+P42+Q42+R42</f>
        <v>856.52</v>
      </c>
      <c r="S90" s="6">
        <f>P42+Q42+R42+S42</f>
        <v>909.34399999999994</v>
      </c>
      <c r="T90" s="6">
        <f>Q42+R42+S42+T42</f>
        <v>979.83799999999974</v>
      </c>
      <c r="U90" s="6">
        <f>R42+S42+T42+U42</f>
        <v>1006.2910000000003</v>
      </c>
      <c r="V90" s="6">
        <f>S42+T42+U42+V42</f>
        <v>1060.0320000000004</v>
      </c>
      <c r="W90" s="6">
        <f>T42+U42+V42+W42</f>
        <v>1106.9220000000005</v>
      </c>
      <c r="X90" s="6">
        <f>U42+V42+W42+X42</f>
        <v>1116.4510000000005</v>
      </c>
      <c r="Y90" s="6">
        <f>V42+W42+X42+Y42</f>
        <v>1131.0819999999997</v>
      </c>
      <c r="Z90" s="6">
        <f>W42+X42+Y42+Z42</f>
        <v>1142.6659999999997</v>
      </c>
      <c r="AA90" s="6">
        <f>X42+Y42+Z42+AA42</f>
        <v>1146.0279999999998</v>
      </c>
      <c r="AB90" s="6">
        <f>Y42+Z42+AA42+AB42</f>
        <v>1150.6969999999997</v>
      </c>
      <c r="AC90" s="6">
        <f>Z42+AA42+AB42+AC42</f>
        <v>1135.8439999999998</v>
      </c>
      <c r="AD90" s="6">
        <f>AA42+AB42+AC42+AD42</f>
        <v>1110.4809999999998</v>
      </c>
    </row>
    <row r="91" spans="2:30" s="5" customFormat="1" ht="13.5" customHeight="1">
      <c r="B91" s="1" t="s">
        <v>268</v>
      </c>
      <c r="C91" s="6">
        <f>+C47</f>
        <v>735.54000000000008</v>
      </c>
      <c r="D91" s="6">
        <f>+D47</f>
        <v>808.846</v>
      </c>
      <c r="E91" s="6">
        <f>+E47</f>
        <v>1006.2909999999996</v>
      </c>
      <c r="F91" s="6">
        <f>+F47</f>
        <v>1131.0999999999999</v>
      </c>
      <c r="G91" s="6">
        <f>+G47</f>
        <v>1136</v>
      </c>
      <c r="H91" s="6">
        <f>+H47</f>
        <v>1121.8999999999999</v>
      </c>
      <c r="J91" s="214"/>
      <c r="K91" s="214"/>
      <c r="L91" s="214"/>
      <c r="M91" s="6">
        <f>J47+K47+L47+M47</f>
        <v>735.54000000000008</v>
      </c>
      <c r="N91" s="6">
        <f>N47+Model!L230-Model_USD!J47</f>
        <v>731.94554007718887</v>
      </c>
      <c r="O91" s="6">
        <f>N47+O47+Model!L230-Model_USD!K47-Model_USD!J47</f>
        <v>731.84554007718896</v>
      </c>
      <c r="P91" s="6">
        <f>N47+O47+P47+Model!L230-Model_USD!J47-Model_USD!K47-Model_USD!L47</f>
        <v>756.6455400771888</v>
      </c>
      <c r="Q91" s="6">
        <f>N47+O47+P47+Q47</f>
        <v>808.846</v>
      </c>
      <c r="R91" s="6">
        <f>O47+P47+Q47+R47</f>
        <v>854.54600000000005</v>
      </c>
      <c r="S91" s="6">
        <f>P47+Q47+R47+S47</f>
        <v>911.94600000000003</v>
      </c>
      <c r="T91" s="6">
        <f>Q47+R47+S47+T47</f>
        <v>982.44600000000003</v>
      </c>
      <c r="U91" s="6">
        <f>R47+S47+T47+U47</f>
        <v>1006.2909999999996</v>
      </c>
      <c r="V91" s="6">
        <f>S47+T47+U47+V47</f>
        <v>1060.0909999999994</v>
      </c>
      <c r="W91" s="6">
        <f>T47+U47+V47+W47</f>
        <v>1102.3909999999996</v>
      </c>
      <c r="X91" s="6">
        <f>U47+V47+W47+X47</f>
        <v>1111.8909999999996</v>
      </c>
      <c r="Y91" s="6">
        <f>V47+W47+X47+Y47</f>
        <v>1131.0999999999999</v>
      </c>
      <c r="Z91" s="6">
        <f>W47+X47+Y47+Z47</f>
        <v>1142.6999999999998</v>
      </c>
      <c r="AA91" s="6">
        <f>X47+Y47+Z47+AA47</f>
        <v>1146.0999999999999</v>
      </c>
      <c r="AB91" s="6">
        <f>Y47+Z47+AA47+AB47</f>
        <v>1150.8</v>
      </c>
      <c r="AC91" s="6">
        <f>Z47+AA47+AB47+AC47</f>
        <v>1136</v>
      </c>
      <c r="AD91" s="6">
        <f>AA47+AB47+AC47+AD47</f>
        <v>1121.8999999999999</v>
      </c>
    </row>
    <row r="92" spans="2:30" s="5" customFormat="1" ht="13.5" hidden="1" customHeight="1" outlineLevel="1">
      <c r="B92" s="216" t="s">
        <v>269</v>
      </c>
      <c r="C92" s="214"/>
      <c r="D92" s="214"/>
      <c r="E92" s="214"/>
      <c r="F92" s="214"/>
      <c r="G92" s="214"/>
      <c r="H92" s="214"/>
      <c r="J92" s="217"/>
      <c r="K92" s="217"/>
      <c r="L92" s="217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</row>
    <row r="93" spans="2:30" s="5" customFormat="1" ht="13.5" hidden="1" customHeight="1" outlineLevel="1">
      <c r="B93" s="1" t="s">
        <v>270</v>
      </c>
      <c r="C93" s="214"/>
      <c r="D93" s="214"/>
      <c r="E93" s="214"/>
      <c r="F93" s="214"/>
      <c r="G93" s="214"/>
      <c r="H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</row>
    <row r="94" spans="2:30" s="5" customFormat="1" ht="13.5" customHeight="1" collapsed="1">
      <c r="B94" s="1" t="s">
        <v>271</v>
      </c>
      <c r="C94" s="6">
        <f>SUM(C51:C51)</f>
        <v>0</v>
      </c>
      <c r="D94" s="6">
        <f>SUM(D51:D51)</f>
        <v>0</v>
      </c>
      <c r="E94" s="6">
        <f>SUM(E51:E51)</f>
        <v>0</v>
      </c>
      <c r="F94" s="6">
        <f>SUM(F51:F51)</f>
        <v>0</v>
      </c>
      <c r="G94" s="6">
        <f>SUM(G51:G51)</f>
        <v>0</v>
      </c>
      <c r="H94" s="6">
        <f>SUM(H51:H51)</f>
        <v>0</v>
      </c>
      <c r="J94" s="214"/>
      <c r="K94" s="214"/>
      <c r="L94" s="214"/>
      <c r="M94" s="6">
        <f>SUM(M51:M51)</f>
        <v>0</v>
      </c>
      <c r="N94" s="6">
        <f>SUM(N51:N51)</f>
        <v>0</v>
      </c>
      <c r="O94" s="6">
        <f>SUM(O51:O51)</f>
        <v>0</v>
      </c>
      <c r="P94" s="6">
        <f>SUM(P51:P51)</f>
        <v>0</v>
      </c>
      <c r="Q94" s="6">
        <f>SUM(Q51:Q51)</f>
        <v>0</v>
      </c>
      <c r="R94" s="6">
        <f>SUM(R51:R51)</f>
        <v>0</v>
      </c>
      <c r="S94" s="6">
        <f>SUM(S51:S51)</f>
        <v>0</v>
      </c>
      <c r="T94" s="6">
        <f>SUM(T51:T51)</f>
        <v>0</v>
      </c>
      <c r="U94" s="6">
        <f>SUM(U51:U51)</f>
        <v>0</v>
      </c>
      <c r="V94" s="6">
        <f>SUM(V51:V51)</f>
        <v>0</v>
      </c>
      <c r="W94" s="6">
        <f>SUM(W51:W51)</f>
        <v>0</v>
      </c>
      <c r="X94" s="6">
        <f>SUM(X51:X51)</f>
        <v>0</v>
      </c>
      <c r="Y94" s="6">
        <f>SUM(Y51:Y51)</f>
        <v>0</v>
      </c>
      <c r="Z94" s="6">
        <f>SUM(Z51:Z51)</f>
        <v>0</v>
      </c>
      <c r="AA94" s="6">
        <f>SUM(AA51:AA51)</f>
        <v>0</v>
      </c>
      <c r="AB94" s="6">
        <f>SUM(AB51:AB51)</f>
        <v>0</v>
      </c>
      <c r="AC94" s="6">
        <f>SUM(AC51:AC51)</f>
        <v>0</v>
      </c>
      <c r="AD94" s="6">
        <f>SUM(AD51:AD51)</f>
        <v>0</v>
      </c>
    </row>
    <row r="95" spans="2:30" ht="13.5" customHeight="1">
      <c r="B95" s="1" t="s">
        <v>246</v>
      </c>
      <c r="C95" s="6">
        <f>-C66</f>
        <v>49.198999999999998</v>
      </c>
      <c r="D95" s="6">
        <f>-D66</f>
        <v>75.034000000000006</v>
      </c>
      <c r="E95" s="6">
        <f>-E66</f>
        <v>124.764</v>
      </c>
      <c r="F95" s="6">
        <f>-F66</f>
        <v>102.9</v>
      </c>
      <c r="G95" s="6">
        <f>-G66</f>
        <v>117.20399999999999</v>
      </c>
      <c r="H95" s="6">
        <f>-H66</f>
        <v>116.44399999999999</v>
      </c>
      <c r="J95" s="214"/>
      <c r="K95" s="214"/>
      <c r="L95" s="214"/>
      <c r="M95" s="6">
        <f>-(J66+K66+L66+M66)</f>
        <v>49.198999999999998</v>
      </c>
      <c r="N95" s="6">
        <f>-(N66+Model!L237-Model_USD!J66)</f>
        <v>48.965576245914995</v>
      </c>
      <c r="O95" s="6">
        <f>-(N66+O66+Model!L237-Model_USD!K66-Model_USD!J66)</f>
        <v>57.864576245915003</v>
      </c>
      <c r="P95" s="6">
        <f>-(N66+O66+P66+Model!L237-Model_USD!J66-Model_USD!K66-Model_USD!L66)</f>
        <v>63.699576245915004</v>
      </c>
      <c r="Q95" s="6">
        <f>-(N66+O66+P66+Q66)</f>
        <v>75.034000000000006</v>
      </c>
      <c r="R95" s="6">
        <f>-(O66+P66+Q66+R66)</f>
        <v>93.702000000000012</v>
      </c>
      <c r="S95" s="6">
        <f>-(P66+Q66+R66+S66)</f>
        <v>110.003</v>
      </c>
      <c r="T95" s="6">
        <f>-(Q66+R66+S66+T66)</f>
        <v>122.768</v>
      </c>
      <c r="U95" s="6">
        <f>-(R66+S66+T66+U66)</f>
        <v>124.764</v>
      </c>
      <c r="V95" s="6">
        <f>-(S66+T66+U66+V66)</f>
        <v>118.49199999999999</v>
      </c>
      <c r="W95" s="6">
        <f>-(T66+U66+V66+W66)</f>
        <v>111.893</v>
      </c>
      <c r="X95" s="6">
        <f>-(U66+V66+W66+X66)</f>
        <v>105.946</v>
      </c>
      <c r="Y95" s="6">
        <f>-(V66+W66+X66+Y66)</f>
        <v>102.9</v>
      </c>
      <c r="Z95" s="6">
        <f>-(W66+X66+Y66+Z66)</f>
        <v>96.966000000000008</v>
      </c>
      <c r="AA95" s="6">
        <f>-(X66+Y66+Z66+AA66)</f>
        <v>100.34700000000001</v>
      </c>
      <c r="AB95" s="6">
        <f>-(Y66+Z66+AA66+AB66)</f>
        <v>109.78799999999998</v>
      </c>
      <c r="AC95" s="6">
        <f>-(Z66+AA66+AB66+AC66)</f>
        <v>117.20399999999999</v>
      </c>
      <c r="AD95" s="6">
        <f>-(AA66+AB66+AC66+AD66)</f>
        <v>116.44399999999999</v>
      </c>
    </row>
    <row r="96" spans="2:30" ht="13.5" customHeight="1">
      <c r="B96" s="1" t="s">
        <v>272</v>
      </c>
      <c r="C96" s="6">
        <f>+C20</f>
        <v>302.2120000000001</v>
      </c>
      <c r="D96" s="6">
        <f>+D20</f>
        <v>319.19099999999997</v>
      </c>
      <c r="E96" s="6">
        <f>+E20</f>
        <v>407.82199999999955</v>
      </c>
      <c r="F96" s="6">
        <f>+F20</f>
        <v>532.04900000000009</v>
      </c>
      <c r="G96" s="6">
        <f>+G20</f>
        <v>518.90399999999966</v>
      </c>
      <c r="H96" s="6">
        <f>+H20</f>
        <v>493.80399999999963</v>
      </c>
      <c r="J96" s="214"/>
      <c r="K96" s="214"/>
      <c r="L96" s="214"/>
      <c r="M96" s="6">
        <f>J20+K20+L20+M20</f>
        <v>302.21200000000033</v>
      </c>
      <c r="N96" s="6">
        <f>N20+(Model!L19*Model!L219)-Model_USD!J20</f>
        <v>298.61558550911388</v>
      </c>
      <c r="O96" s="6">
        <f>N20+O20+(Model!L19*Model!L219)-Model_USD!K20-Model_USD!J20</f>
        <v>289.95558550911392</v>
      </c>
      <c r="P96" s="6">
        <f>N20+O20+P20+(Model!L19*Model!L219)-Model_USD!J20-Model_USD!K20-Model_USD!L20</f>
        <v>293.91558550911407</v>
      </c>
      <c r="Q96" s="6">
        <f>N20+O20+P20+Q20</f>
        <v>319.1909999999998</v>
      </c>
      <c r="R96" s="6">
        <f>O20+P20+Q20+R20</f>
        <v>333.79599999999994</v>
      </c>
      <c r="S96" s="6">
        <f>P20+Q20+R20+S20</f>
        <v>361.80099999999993</v>
      </c>
      <c r="T96" s="6">
        <f>Q20+R20+S20+T20</f>
        <v>399.60499999999973</v>
      </c>
      <c r="U96" s="6">
        <f>R20+S20+T20+U20</f>
        <v>407.82200000000023</v>
      </c>
      <c r="V96" s="6">
        <f>S20+T20+U20+V20</f>
        <v>443.05900000000031</v>
      </c>
      <c r="W96" s="6">
        <f>T20+U20+V20+W20</f>
        <v>483.61300000000034</v>
      </c>
      <c r="X96" s="6">
        <f>U20+V20+W20+X20</f>
        <v>497.18400000000059</v>
      </c>
      <c r="Y96" s="6">
        <f>V20+W20+X20+Y20</f>
        <v>532.04899999999975</v>
      </c>
      <c r="Z96" s="6">
        <f>W20+X20+Y20+Z20</f>
        <v>546.81999999999971</v>
      </c>
      <c r="AA96" s="6">
        <f>X20+Y20+Z20+AA20</f>
        <v>543.77399999999989</v>
      </c>
      <c r="AB96" s="6">
        <f>Y20+Z20+AA20+AB20</f>
        <v>547.8449999999998</v>
      </c>
      <c r="AC96" s="6">
        <f>Z20+AA20+AB20+AC20</f>
        <v>518.90399999999977</v>
      </c>
      <c r="AD96" s="6">
        <f>AA20+AB20+AC20+AD20</f>
        <v>493.80399999999975</v>
      </c>
    </row>
    <row r="97" spans="2:180" ht="13.5" customHeight="1">
      <c r="B97" s="1" t="s">
        <v>273</v>
      </c>
      <c r="C97" s="6">
        <f>-C68</f>
        <v>251.005</v>
      </c>
      <c r="D97" s="6">
        <f>-D68</f>
        <v>297.363</v>
      </c>
      <c r="E97" s="6">
        <f>-E68</f>
        <v>204.946</v>
      </c>
      <c r="F97" s="6">
        <f>-F68</f>
        <v>218.25700000000001</v>
      </c>
      <c r="G97" s="6">
        <f>-G68</f>
        <v>211.89600000000002</v>
      </c>
      <c r="H97" s="6">
        <f>-H68</f>
        <v>203.82200000000003</v>
      </c>
      <c r="J97" s="214"/>
      <c r="K97" s="214"/>
      <c r="L97" s="214"/>
      <c r="M97" s="6">
        <f>-(J68+K68+L68+M68)</f>
        <v>251.005</v>
      </c>
      <c r="N97" s="6">
        <f>-(N68+(Model!L65*Model!L219)-Model_USD!J68)</f>
        <v>271.72126718159501</v>
      </c>
      <c r="O97" s="6">
        <f>-(N68+O68+(Model!L65*Model!L219)-Model_USD!K68-Model_USD!J68)</f>
        <v>300.64126718159503</v>
      </c>
      <c r="P97" s="6">
        <f>-(N68+O68+P68+(Model!L65*Model!L219)-Model_USD!J68-Model_USD!K68-Model_USD!L68)</f>
        <v>280.33226718159506</v>
      </c>
      <c r="Q97" s="6">
        <f>-(N68+O68+P68+Q68)</f>
        <v>297.363</v>
      </c>
      <c r="R97" s="6">
        <f>-(O68+P68+Q68+R68)</f>
        <v>279.24</v>
      </c>
      <c r="S97" s="6">
        <f>-(P68+Q68+R68+S68)</f>
        <v>274.79500000000002</v>
      </c>
      <c r="T97" s="6">
        <f>-(Q68+R68+S68+T68)</f>
        <v>236.54499999999999</v>
      </c>
      <c r="U97" s="6">
        <f>-(R68+S68+T68+U68)</f>
        <v>204.946</v>
      </c>
      <c r="V97" s="6">
        <f>-(S68+T68+U68+V68)</f>
        <v>211.45400000000001</v>
      </c>
      <c r="W97" s="6">
        <f>-(T68+U68+V68+W68)</f>
        <v>199.517</v>
      </c>
      <c r="X97" s="6">
        <f>-(U68+V68+W68+X68)</f>
        <v>200.917</v>
      </c>
      <c r="Y97" s="6">
        <f>-(V68+W68+X68+Y68)</f>
        <v>218.25700000000001</v>
      </c>
      <c r="Z97" s="6">
        <f>-(W68+X68+Y68+Z68)</f>
        <v>216.51</v>
      </c>
      <c r="AA97" s="6">
        <f>-(X68+Y68+Z68+AA68)</f>
        <v>222.60299999999998</v>
      </c>
      <c r="AB97" s="6">
        <f>-(Y68+Z68+AA68+AB68)</f>
        <v>213.72</v>
      </c>
      <c r="AC97" s="6">
        <f>-(Z68+AA68+AB68+AC68)</f>
        <v>211.89600000000002</v>
      </c>
      <c r="AD97" s="6">
        <f>-(AA68+AB68+AC68+AD68)</f>
        <v>203.82200000000003</v>
      </c>
    </row>
    <row r="98" spans="2:180" ht="13.5" customHeight="1">
      <c r="B98" s="1" t="s">
        <v>251</v>
      </c>
      <c r="C98" s="6">
        <f t="shared" ref="C98:H98" si="249">+C71</f>
        <v>297.565</v>
      </c>
      <c r="D98" s="6">
        <f t="shared" si="249"/>
        <v>-75.970999999999947</v>
      </c>
      <c r="E98" s="6">
        <f t="shared" si="249"/>
        <v>430.98799999999954</v>
      </c>
      <c r="F98" s="6">
        <f t="shared" si="249"/>
        <v>561.03399999999999</v>
      </c>
      <c r="G98" s="6">
        <f t="shared" si="249"/>
        <v>465.83199999999982</v>
      </c>
      <c r="H98" s="6">
        <f t="shared" si="249"/>
        <v>508.46699999999987</v>
      </c>
      <c r="J98" s="214"/>
      <c r="K98" s="214"/>
      <c r="L98" s="214"/>
      <c r="M98" s="6">
        <f>J71+K71+L71+M71</f>
        <v>297.56500000000017</v>
      </c>
      <c r="N98" s="6">
        <f>N71+(Model!L70*Model!L219)-Model_USD!J71</f>
        <v>223.34532915885677</v>
      </c>
      <c r="O98" s="6">
        <f>N71+O71+(Model!L70*Model!L219)-Model_USD!K71-Model_USD!J71</f>
        <v>39.905329158856787</v>
      </c>
      <c r="P98" s="6">
        <f>N71+O71+P71+(Model!L70*Model!L219)-Model_USD!J71-Model_USD!K71-Model_USD!L71</f>
        <v>-95.421670841143282</v>
      </c>
      <c r="Q98" s="6">
        <f t="shared" ref="Q98:AD98" si="250">N71+O71+P71+Q71</f>
        <v>-75.970999999999975</v>
      </c>
      <c r="R98" s="6">
        <f t="shared" si="250"/>
        <v>-86.183999999999997</v>
      </c>
      <c r="S98" s="6">
        <f t="shared" si="250"/>
        <v>-95.377000000000024</v>
      </c>
      <c r="T98" s="6">
        <f t="shared" si="250"/>
        <v>243.815</v>
      </c>
      <c r="U98" s="6">
        <f t="shared" si="250"/>
        <v>430.98799999999949</v>
      </c>
      <c r="V98" s="6">
        <f t="shared" si="250"/>
        <v>638.51899999999955</v>
      </c>
      <c r="W98" s="6">
        <f t="shared" si="250"/>
        <v>715.31799999999942</v>
      </c>
      <c r="X98" s="6">
        <f t="shared" si="250"/>
        <v>637.90499999999952</v>
      </c>
      <c r="Y98" s="6">
        <f t="shared" si="250"/>
        <v>561.03399999999976</v>
      </c>
      <c r="Z98" s="6">
        <f t="shared" si="250"/>
        <v>368.71099999999984</v>
      </c>
      <c r="AA98" s="6">
        <f t="shared" si="250"/>
        <v>410.35999999999979</v>
      </c>
      <c r="AB98" s="6">
        <f t="shared" si="250"/>
        <v>532.17399999999975</v>
      </c>
      <c r="AC98" s="6">
        <f t="shared" si="250"/>
        <v>465.83199999999982</v>
      </c>
      <c r="AD98" s="6">
        <f t="shared" si="250"/>
        <v>508.46699999999976</v>
      </c>
    </row>
    <row r="99" spans="2:180" ht="13.5" customHeight="1">
      <c r="C99" s="6"/>
      <c r="D99" s="6"/>
      <c r="E99" s="6"/>
      <c r="F99" s="6"/>
    </row>
    <row r="100" spans="2:180" ht="13.5" customHeight="1">
      <c r="B100" s="16" t="s">
        <v>274</v>
      </c>
      <c r="C100" s="47">
        <f>+C3</f>
        <v>44531</v>
      </c>
      <c r="D100" s="47">
        <v>44896</v>
      </c>
      <c r="E100" s="47">
        <v>45261</v>
      </c>
      <c r="F100" s="47">
        <f>F3</f>
        <v>45627</v>
      </c>
      <c r="G100" s="47">
        <f>G3</f>
        <v>45992</v>
      </c>
      <c r="H100" s="47" t="str">
        <f>H2</f>
        <v>LTM</v>
      </c>
      <c r="J100" s="47">
        <f>+J3</f>
        <v>44285</v>
      </c>
      <c r="K100" s="47">
        <f>+K3</f>
        <v>44377</v>
      </c>
      <c r="L100" s="47">
        <f>+L3</f>
        <v>44469</v>
      </c>
      <c r="M100" s="47">
        <f>+M3</f>
        <v>44561</v>
      </c>
      <c r="N100" s="47">
        <f>+N3</f>
        <v>44650</v>
      </c>
      <c r="O100" s="47">
        <f>+O3</f>
        <v>44742</v>
      </c>
      <c r="P100" s="47">
        <f>+P3</f>
        <v>44834</v>
      </c>
      <c r="Q100" s="47">
        <f>+Q3</f>
        <v>44926</v>
      </c>
      <c r="R100" s="47">
        <f>+R3</f>
        <v>45015</v>
      </c>
      <c r="S100" s="47">
        <f>+S3</f>
        <v>45107</v>
      </c>
      <c r="T100" s="47">
        <f>+T3</f>
        <v>45199</v>
      </c>
      <c r="U100" s="47">
        <f>+U3</f>
        <v>45291</v>
      </c>
      <c r="V100" s="47">
        <f>+V3</f>
        <v>45381</v>
      </c>
      <c r="W100" s="47">
        <f>+W3</f>
        <v>45473</v>
      </c>
      <c r="X100" s="47">
        <f>+X3</f>
        <v>45565</v>
      </c>
      <c r="Y100" s="47">
        <f>+Y3</f>
        <v>45657</v>
      </c>
      <c r="Z100" s="47">
        <f>+Z3</f>
        <v>45746</v>
      </c>
      <c r="AA100" s="47">
        <f>+AA3</f>
        <v>45838</v>
      </c>
      <c r="AB100" s="47">
        <f>+AB3</f>
        <v>45930</v>
      </c>
      <c r="AC100" s="47">
        <f>+AC3</f>
        <v>46022</v>
      </c>
      <c r="AD100" s="47">
        <f>+AD3</f>
        <v>46111</v>
      </c>
    </row>
    <row r="101" spans="2:180" ht="13.5" customHeight="1">
      <c r="C101" s="246"/>
      <c r="D101" s="246"/>
      <c r="E101" s="246"/>
      <c r="F101" s="246"/>
      <c r="G101" s="246"/>
    </row>
    <row r="102" spans="2:180" s="5" customFormat="1" ht="13.5" customHeight="1">
      <c r="B102" s="1" t="s">
        <v>275</v>
      </c>
      <c r="C102" s="4">
        <f>1647.683+289.292</f>
        <v>1936.9749999999999</v>
      </c>
      <c r="D102" s="4">
        <f>1821.817+333.189</f>
        <v>2155.0059999999999</v>
      </c>
      <c r="E102" s="4">
        <f>1955.512+327.385</f>
        <v>2282.8969999999999</v>
      </c>
      <c r="F102" s="4">
        <f>1867.099+316.736</f>
        <v>2183.835</v>
      </c>
      <c r="G102" s="4">
        <f>2048.773+342.494</f>
        <v>2391.2670000000003</v>
      </c>
      <c r="H102" s="6">
        <f>AD102</f>
        <v>2375.2080000000001</v>
      </c>
      <c r="J102" s="267"/>
      <c r="K102" s="267"/>
      <c r="L102" s="267"/>
      <c r="M102" s="143">
        <f>C102</f>
        <v>1936.9749999999999</v>
      </c>
      <c r="N102" s="42">
        <f>1684.815+308.913</f>
        <v>1993.7280000000001</v>
      </c>
      <c r="O102" s="42">
        <f>1714.52+331.849</f>
        <v>2046.3689999999999</v>
      </c>
      <c r="P102" s="42">
        <f>1741.808+329.328</f>
        <v>2071.136</v>
      </c>
      <c r="Q102" s="143">
        <f>D102</f>
        <v>2155.0059999999999</v>
      </c>
      <c r="R102" s="42">
        <f>1872.724+331.61</f>
        <v>2204.3339999999998</v>
      </c>
      <c r="S102" s="42">
        <f>1924.991+332.062</f>
        <v>2257.0529999999999</v>
      </c>
      <c r="T102" s="42">
        <f>1901.052+331.566</f>
        <v>2232.6179999999999</v>
      </c>
      <c r="U102" s="143">
        <f>E102</f>
        <v>2282.8969999999999</v>
      </c>
      <c r="V102" s="42">
        <f>1968.824+326.903</f>
        <v>2295.7269999999999</v>
      </c>
      <c r="W102" s="42">
        <f>1911.601+327.207</f>
        <v>2238.808</v>
      </c>
      <c r="X102" s="42">
        <f>1892.421+322.046</f>
        <v>2214.4670000000001</v>
      </c>
      <c r="Y102" s="143">
        <f>F102</f>
        <v>2183.835</v>
      </c>
      <c r="Z102" s="42">
        <f>1890.632+339.328</f>
        <v>2229.96</v>
      </c>
      <c r="AA102" s="4">
        <f>1970.562+346.982</f>
        <v>2317.5439999999999</v>
      </c>
      <c r="AB102" s="4">
        <f>2001.525+342.883</f>
        <v>2344.4079999999999</v>
      </c>
      <c r="AC102" s="143">
        <f>G102</f>
        <v>2391.2670000000003</v>
      </c>
      <c r="AD102" s="42">
        <f>2026.384+348.824</f>
        <v>2375.2080000000001</v>
      </c>
    </row>
    <row r="103" spans="2:180" s="5" customFormat="1" ht="13.5" customHeight="1">
      <c r="B103" s="1" t="s">
        <v>276</v>
      </c>
      <c r="C103" s="42">
        <v>54.262999999999998</v>
      </c>
      <c r="D103" s="42">
        <v>58.58</v>
      </c>
      <c r="E103" s="42">
        <v>76.97</v>
      </c>
      <c r="F103" s="42">
        <v>92.769000000000005</v>
      </c>
      <c r="G103" s="42">
        <v>127.002</v>
      </c>
      <c r="H103" s="6">
        <f t="shared" ref="H103:H106" si="251">AD103</f>
        <v>128.46</v>
      </c>
      <c r="J103" s="249"/>
      <c r="K103" s="249"/>
      <c r="L103" s="249"/>
      <c r="M103" s="6">
        <f>C103</f>
        <v>54.262999999999998</v>
      </c>
      <c r="N103" s="4">
        <v>55.225999999999999</v>
      </c>
      <c r="O103" s="4">
        <v>56.904000000000003</v>
      </c>
      <c r="P103" s="4">
        <v>57.508000000000003</v>
      </c>
      <c r="Q103" s="6">
        <f>D103</f>
        <v>58.58</v>
      </c>
      <c r="R103" s="4">
        <v>67.674999999999997</v>
      </c>
      <c r="S103" s="4">
        <v>73.966999999999999</v>
      </c>
      <c r="T103" s="4">
        <v>72.048000000000002</v>
      </c>
      <c r="U103" s="6">
        <f>E103</f>
        <v>76.97</v>
      </c>
      <c r="V103" s="4">
        <v>80.001000000000005</v>
      </c>
      <c r="W103" s="42">
        <v>79.052999999999997</v>
      </c>
      <c r="X103" s="4">
        <v>81.313000000000002</v>
      </c>
      <c r="Y103" s="6">
        <f>F103</f>
        <v>92.769000000000005</v>
      </c>
      <c r="Z103" s="4">
        <v>94.855000000000004</v>
      </c>
      <c r="AA103" s="42">
        <v>103.79900000000001</v>
      </c>
      <c r="AB103" s="42">
        <v>108.785</v>
      </c>
      <c r="AC103" s="143">
        <f t="shared" ref="AC103:AC106" si="252">G103</f>
        <v>127.002</v>
      </c>
      <c r="AD103" s="4">
        <v>128.46</v>
      </c>
      <c r="FX103" s="26"/>
    </row>
    <row r="104" spans="2:180" s="5" customFormat="1" ht="13.5" customHeight="1">
      <c r="B104" s="7" t="s">
        <v>277</v>
      </c>
      <c r="C104" s="4">
        <v>723.87199999999996</v>
      </c>
      <c r="D104" s="4">
        <v>969.81600000000003</v>
      </c>
      <c r="E104" s="4">
        <v>1010.372</v>
      </c>
      <c r="F104" s="4">
        <v>988.83199999999999</v>
      </c>
      <c r="G104" s="4">
        <v>1119.616</v>
      </c>
      <c r="H104" s="6">
        <f t="shared" si="251"/>
        <v>1147.77</v>
      </c>
      <c r="J104" s="267"/>
      <c r="K104" s="267"/>
      <c r="L104" s="267"/>
      <c r="M104" s="143">
        <f>C104</f>
        <v>723.87199999999996</v>
      </c>
      <c r="N104" s="42">
        <v>797.63300000000004</v>
      </c>
      <c r="O104" s="42">
        <v>993.80100000000004</v>
      </c>
      <c r="P104" s="42">
        <v>940.173</v>
      </c>
      <c r="Q104" s="143">
        <f>D104</f>
        <v>969.81600000000003</v>
      </c>
      <c r="R104" s="42">
        <v>1230.9059999999999</v>
      </c>
      <c r="S104" s="42">
        <v>1222.9929999999999</v>
      </c>
      <c r="T104" s="42">
        <v>1058.1020000000001</v>
      </c>
      <c r="U104" s="143">
        <f>E104</f>
        <v>1010.372</v>
      </c>
      <c r="V104" s="42">
        <v>996.92</v>
      </c>
      <c r="W104" s="4">
        <v>1143.53</v>
      </c>
      <c r="X104" s="42">
        <v>995.67200000000003</v>
      </c>
      <c r="Y104" s="6">
        <f t="shared" ref="Y104:Y107" si="253">F104</f>
        <v>988.83199999999999</v>
      </c>
      <c r="Z104" s="42">
        <v>1110.2760000000001</v>
      </c>
      <c r="AA104" s="4">
        <v>1162.9469999999999</v>
      </c>
      <c r="AB104" s="4">
        <v>1081.4549999999999</v>
      </c>
      <c r="AC104" s="143">
        <f t="shared" si="252"/>
        <v>1119.616</v>
      </c>
      <c r="AD104" s="42">
        <v>1147.77</v>
      </c>
    </row>
    <row r="105" spans="2:180" s="5" customFormat="1" ht="13.5" customHeight="1">
      <c r="B105" s="7" t="s">
        <v>278</v>
      </c>
      <c r="C105" s="4">
        <v>439.46899999999999</v>
      </c>
      <c r="D105" s="4">
        <v>668.03800000000001</v>
      </c>
      <c r="E105" s="4">
        <v>699.83799999999997</v>
      </c>
      <c r="F105" s="4">
        <v>669.77700000000004</v>
      </c>
      <c r="G105" s="4">
        <v>722.99400000000003</v>
      </c>
      <c r="H105" s="6">
        <f t="shared" si="251"/>
        <v>728.27599999999995</v>
      </c>
      <c r="J105" s="249"/>
      <c r="K105" s="249"/>
      <c r="L105" s="249"/>
      <c r="M105" s="143">
        <f>C105</f>
        <v>439.46899999999999</v>
      </c>
      <c r="N105" s="4">
        <v>456.274</v>
      </c>
      <c r="O105" s="4">
        <v>485.01600000000002</v>
      </c>
      <c r="P105" s="42">
        <v>526.54499999999996</v>
      </c>
      <c r="Q105" s="143">
        <f>D105</f>
        <v>668.03800000000001</v>
      </c>
      <c r="R105" s="4">
        <v>716.35199999999998</v>
      </c>
      <c r="S105" s="4">
        <v>706.00099999999998</v>
      </c>
      <c r="T105" s="42">
        <v>694.77200000000005</v>
      </c>
      <c r="U105" s="143">
        <f>E105</f>
        <v>699.83799999999997</v>
      </c>
      <c r="V105" s="4">
        <v>732.55399999999997</v>
      </c>
      <c r="W105" s="4">
        <v>686.70600000000002</v>
      </c>
      <c r="X105" s="42">
        <v>684.41700000000003</v>
      </c>
      <c r="Y105" s="6">
        <f t="shared" si="253"/>
        <v>669.77700000000004</v>
      </c>
      <c r="Z105" s="4">
        <v>680.13699999999994</v>
      </c>
      <c r="AA105" s="4">
        <v>730.90899999999999</v>
      </c>
      <c r="AB105" s="4">
        <v>721.54300000000001</v>
      </c>
      <c r="AC105" s="143">
        <f t="shared" si="252"/>
        <v>722.99400000000003</v>
      </c>
      <c r="AD105" s="4">
        <v>728.27599999999995</v>
      </c>
    </row>
    <row r="106" spans="2:180" s="5" customFormat="1" ht="13.5" customHeight="1">
      <c r="B106" s="7" t="s">
        <v>279</v>
      </c>
      <c r="C106" s="4">
        <v>425.33699999999999</v>
      </c>
      <c r="D106" s="4">
        <v>749.64499999999998</v>
      </c>
      <c r="E106" s="4">
        <v>672.96</v>
      </c>
      <c r="F106" s="4">
        <v>611.64599999999996</v>
      </c>
      <c r="G106" s="4">
        <v>628.83000000000004</v>
      </c>
      <c r="H106" s="6">
        <f t="shared" si="251"/>
        <v>574.41399999999999</v>
      </c>
      <c r="J106" s="267"/>
      <c r="K106" s="267"/>
      <c r="L106" s="267"/>
      <c r="M106" s="143">
        <f>C106</f>
        <v>425.33699999999999</v>
      </c>
      <c r="N106" s="42">
        <v>473.58600000000001</v>
      </c>
      <c r="O106" s="42">
        <v>572.92899999999997</v>
      </c>
      <c r="P106" s="42">
        <v>405.67899999999997</v>
      </c>
      <c r="Q106" s="143">
        <f>D106</f>
        <v>749.64499999999998</v>
      </c>
      <c r="R106" s="42">
        <v>929.20500000000004</v>
      </c>
      <c r="S106" s="42">
        <v>842.19799999999998</v>
      </c>
      <c r="T106" s="42">
        <v>746.59400000000005</v>
      </c>
      <c r="U106" s="143">
        <f>E106</f>
        <v>672.96</v>
      </c>
      <c r="V106" s="42">
        <v>722.798</v>
      </c>
      <c r="W106" s="4">
        <v>879.97199999999998</v>
      </c>
      <c r="X106" s="42">
        <v>687.53599999999994</v>
      </c>
      <c r="Y106" s="6">
        <f t="shared" si="253"/>
        <v>611.64599999999996</v>
      </c>
      <c r="Z106" s="42">
        <v>570.774</v>
      </c>
      <c r="AA106" s="4">
        <v>707.42600000000004</v>
      </c>
      <c r="AB106" s="4">
        <v>678.04499999999996</v>
      </c>
      <c r="AC106" s="143">
        <f t="shared" si="252"/>
        <v>628.83000000000004</v>
      </c>
      <c r="AD106" s="42">
        <v>574.41399999999999</v>
      </c>
    </row>
    <row r="107" spans="2:180" s="5" customFormat="1" ht="13.5" customHeight="1">
      <c r="B107" s="5" t="s">
        <v>280</v>
      </c>
      <c r="C107" s="8">
        <f t="shared" ref="C107:H107" si="254">C104+C105-C106</f>
        <v>738.00399999999991</v>
      </c>
      <c r="D107" s="8">
        <f t="shared" si="254"/>
        <v>888.20900000000006</v>
      </c>
      <c r="E107" s="8">
        <f t="shared" si="254"/>
        <v>1037.25</v>
      </c>
      <c r="F107" s="8">
        <f t="shared" si="254"/>
        <v>1046.963</v>
      </c>
      <c r="G107" s="8">
        <f t="shared" si="254"/>
        <v>1213.7800000000002</v>
      </c>
      <c r="H107" s="8">
        <f t="shared" si="254"/>
        <v>1301.6319999999998</v>
      </c>
      <c r="J107" s="215"/>
      <c r="K107" s="215"/>
      <c r="L107" s="215"/>
      <c r="M107" s="8">
        <f t="shared" ref="M107:R107" si="255">M104+M105-M106</f>
        <v>738.00399999999991</v>
      </c>
      <c r="N107" s="8">
        <f t="shared" si="255"/>
        <v>780.32100000000014</v>
      </c>
      <c r="O107" s="8">
        <f t="shared" si="255"/>
        <v>905.88800000000003</v>
      </c>
      <c r="P107" s="8">
        <f t="shared" si="255"/>
        <v>1061.0389999999998</v>
      </c>
      <c r="Q107" s="8">
        <f t="shared" si="255"/>
        <v>888.20900000000006</v>
      </c>
      <c r="R107" s="8">
        <f t="shared" si="255"/>
        <v>1018.0529999999998</v>
      </c>
      <c r="S107" s="8">
        <f t="shared" ref="S107:V107" si="256">S104+S105-S106</f>
        <v>1086.7959999999998</v>
      </c>
      <c r="T107" s="8">
        <f t="shared" si="256"/>
        <v>1006.2800000000002</v>
      </c>
      <c r="U107" s="8">
        <f t="shared" si="256"/>
        <v>1037.25</v>
      </c>
      <c r="V107" s="8">
        <f t="shared" si="256"/>
        <v>1006.6759999999999</v>
      </c>
      <c r="W107" s="8">
        <f t="shared" ref="W107:X107" si="257">W104+W105-W106</f>
        <v>950.2639999999999</v>
      </c>
      <c r="X107" s="8">
        <f t="shared" si="257"/>
        <v>992.553</v>
      </c>
      <c r="Y107" s="8">
        <f t="shared" si="253"/>
        <v>1046.963</v>
      </c>
      <c r="Z107" s="8">
        <f t="shared" ref="Z107:AA107" si="258">Z104+Z105-Z106</f>
        <v>1219.6390000000001</v>
      </c>
      <c r="AA107" s="8">
        <f t="shared" si="258"/>
        <v>1186.4299999999998</v>
      </c>
      <c r="AB107" s="8">
        <f t="shared" ref="AB107:AD107" si="259">AB104+AB105-AB106</f>
        <v>1124.953</v>
      </c>
      <c r="AC107" s="8">
        <f t="shared" si="259"/>
        <v>1213.7800000000002</v>
      </c>
      <c r="AD107" s="8">
        <f t="shared" si="259"/>
        <v>1301.6319999999998</v>
      </c>
    </row>
    <row r="108" spans="2:180" s="50" customFormat="1" ht="13.5" customHeight="1">
      <c r="B108" s="22" t="s">
        <v>281</v>
      </c>
      <c r="C108" s="41">
        <f>+C107/(SUM(C7:C7))</f>
        <v>0.15961775000319015</v>
      </c>
      <c r="D108" s="41">
        <f>+D107/(SUM(D7:D7))</f>
        <v>0.1587045111684354</v>
      </c>
      <c r="E108" s="41">
        <f>+E107/(SUM(E7:E7))</f>
        <v>0.15772714762105342</v>
      </c>
      <c r="F108" s="41">
        <f>+F107/(SUM(F7:F7))</f>
        <v>0.16139546183702583</v>
      </c>
      <c r="G108" s="41">
        <f>+G107/(SUM(G7:G7))</f>
        <v>0.19040812295880091</v>
      </c>
      <c r="H108" s="41">
        <f>+H107/(SUM(H7:H7))</f>
        <v>0.20177707034213516</v>
      </c>
      <c r="J108" s="41"/>
      <c r="K108" s="41"/>
      <c r="L108" s="41"/>
      <c r="M108" s="41">
        <f>+M107/+M88</f>
        <v>0.15961775000319015</v>
      </c>
      <c r="N108" s="41">
        <f t="shared" ref="N108:T108" si="260">+N107/+N88</f>
        <v>0.16209134083451043</v>
      </c>
      <c r="O108" s="41">
        <f t="shared" si="260"/>
        <v>0.1803324194112185</v>
      </c>
      <c r="P108" s="41">
        <f t="shared" si="260"/>
        <v>0.20113534124681551</v>
      </c>
      <c r="Q108" s="41">
        <f t="shared" si="260"/>
        <v>0.1587045111684354</v>
      </c>
      <c r="R108" s="41">
        <f t="shared" si="260"/>
        <v>0.17200940967517764</v>
      </c>
      <c r="S108" s="41">
        <f t="shared" si="260"/>
        <v>0.17422354174615337</v>
      </c>
      <c r="T108" s="41">
        <f t="shared" si="260"/>
        <v>0.15497923224691706</v>
      </c>
      <c r="U108" s="41">
        <f t="shared" ref="U108:W108" si="261">+U107/+U88</f>
        <v>0.15772714762105342</v>
      </c>
      <c r="V108" s="41">
        <f t="shared" si="261"/>
        <v>0.15165467526189189</v>
      </c>
      <c r="W108" s="41">
        <f t="shared" si="261"/>
        <v>0.14306662884734783</v>
      </c>
      <c r="X108" s="41">
        <f t="shared" ref="X108:AA108" si="262">+X107/+X88</f>
        <v>0.15103353921998425</v>
      </c>
      <c r="Y108" s="41">
        <f t="shared" si="262"/>
        <v>0.16139546183702583</v>
      </c>
      <c r="Z108" s="41">
        <f t="shared" si="262"/>
        <v>0.19092188873880217</v>
      </c>
      <c r="AA108" s="41">
        <f t="shared" si="262"/>
        <v>0.18748953062430665</v>
      </c>
      <c r="AB108" s="41">
        <f t="shared" ref="AB108:AD108" si="263">+AB107/+AB88</f>
        <v>0.17743281994485</v>
      </c>
      <c r="AC108" s="41">
        <f t="shared" si="263"/>
        <v>0.19040812295880091</v>
      </c>
      <c r="AD108" s="41">
        <f t="shared" si="263"/>
        <v>0.20177707034213516</v>
      </c>
    </row>
    <row r="109" spans="2:180" ht="13.5" customHeight="1">
      <c r="C109" s="4"/>
      <c r="D109" s="4"/>
      <c r="E109" s="4"/>
      <c r="F109" s="4"/>
      <c r="G109" s="4"/>
      <c r="H109" s="6"/>
      <c r="L109" s="4"/>
    </row>
    <row r="110" spans="2:180" ht="13.5" customHeight="1">
      <c r="B110" s="365" t="s">
        <v>282</v>
      </c>
      <c r="C110" s="365">
        <f>365/(C9/C104)</f>
        <v>89.247132547962011</v>
      </c>
      <c r="D110" s="365">
        <f>365/(D9/D104)</f>
        <v>97.863199966603261</v>
      </c>
      <c r="E110" s="365">
        <f>365/(E9/E104)</f>
        <v>86.924065789535717</v>
      </c>
      <c r="F110" s="365">
        <f>365/(F9/F104)</f>
        <v>90.495052434292603</v>
      </c>
      <c r="G110" s="365">
        <f>365/(G9/G104)</f>
        <v>105.27125145222658</v>
      </c>
      <c r="H110" s="365">
        <f>365/(H9/H104)</f>
        <v>106.18457341122743</v>
      </c>
      <c r="I110" s="366"/>
      <c r="J110" s="367"/>
      <c r="K110" s="367"/>
      <c r="L110" s="367"/>
      <c r="M110" s="365">
        <f>92/(M9/M104)</f>
        <v>84.171481944446228</v>
      </c>
      <c r="N110" s="365">
        <f>90/(N9/N104)</f>
        <v>87.000905312987427</v>
      </c>
      <c r="O110" s="365">
        <f>91/(O9/O104)</f>
        <v>103.69494939997753</v>
      </c>
      <c r="P110" s="365">
        <f>91/(P9/P104)</f>
        <v>92.243786496114268</v>
      </c>
      <c r="Q110" s="365">
        <f>92/(Q9/Q104)</f>
        <v>89.909984279898424</v>
      </c>
      <c r="R110" s="365">
        <f>90/(R9/R104)</f>
        <v>106.03316289905455</v>
      </c>
      <c r="S110" s="365">
        <f>91/(S9/S104)</f>
        <v>103.33898161869848</v>
      </c>
      <c r="T110" s="365">
        <f>91/(T9/T104)</f>
        <v>89.569731292523343</v>
      </c>
      <c r="U110" s="365">
        <f>92/(U9/U104)</f>
        <v>88.876907013833403</v>
      </c>
      <c r="V110" s="365">
        <f>90/(V9/V104)</f>
        <v>86.851489748901315</v>
      </c>
      <c r="W110" s="365">
        <f>91/(W9/W104)</f>
        <v>101.27071543615669</v>
      </c>
      <c r="X110" s="365">
        <f>91/(X9/X104)</f>
        <v>92.151533211964647</v>
      </c>
      <c r="Y110" s="365">
        <f>92/(Y9/Y104)</f>
        <v>96.320243943757404</v>
      </c>
      <c r="Z110" s="365">
        <f>90/(Z9/Z104)</f>
        <v>107.14892786562855</v>
      </c>
      <c r="AA110" s="365">
        <f>91/(AA9/AA104)</f>
        <v>109.09356560571011</v>
      </c>
      <c r="AB110" s="365">
        <f>91/(AB9/AB104)</f>
        <v>99.180658379809998</v>
      </c>
      <c r="AC110" s="365">
        <f>92/(AC9/AC104)</f>
        <v>104.35407453784893</v>
      </c>
      <c r="AD110" s="365">
        <f>90/(AD9/AD104)</f>
        <v>103.71769719046634</v>
      </c>
    </row>
    <row r="111" spans="2:180" ht="13.5" customHeight="1">
      <c r="B111" s="365" t="s">
        <v>283</v>
      </c>
      <c r="C111" s="365">
        <f>365/(C7/C105)</f>
        <v>34.693137620250667</v>
      </c>
      <c r="D111" s="365">
        <f>365/(D7/D105)</f>
        <v>43.568051150864065</v>
      </c>
      <c r="E111" s="365">
        <f>365/(E7/E105)</f>
        <v>38.843055975840265</v>
      </c>
      <c r="F111" s="365">
        <f>365/(F7/F105)</f>
        <v>37.686263419651354</v>
      </c>
      <c r="G111" s="365">
        <f>365/(G7/G105)</f>
        <v>41.39739871675549</v>
      </c>
      <c r="H111" s="365">
        <f>365/(H7/H105)</f>
        <v>41.207138540984261</v>
      </c>
      <c r="I111" s="366"/>
      <c r="J111" s="367"/>
      <c r="K111" s="367"/>
      <c r="L111" s="367"/>
      <c r="M111" s="365">
        <f>92/(M7/M105)</f>
        <v>32.848152090019099</v>
      </c>
      <c r="N111" s="365">
        <f>90/(N7/N105)</f>
        <v>32.497968118251954</v>
      </c>
      <c r="O111" s="365">
        <f>91/(O7/O105)</f>
        <v>33.001834911776186</v>
      </c>
      <c r="P111" s="365">
        <f>91/(P7/P105)</f>
        <v>33.303674444725544</v>
      </c>
      <c r="Q111" s="365">
        <f>92/(Q7/Q105)</f>
        <v>39.476267798508808</v>
      </c>
      <c r="R111" s="365">
        <f>90/(R7/R105)</f>
        <v>40.661387824606209</v>
      </c>
      <c r="S111" s="365">
        <f>91/(S7/S105)</f>
        <v>38.778503028528839</v>
      </c>
      <c r="T111" s="365">
        <f>91/(T7/T105)</f>
        <v>37.326715499463631</v>
      </c>
      <c r="U111" s="365">
        <f>92/(U7/U105)</f>
        <v>39.25673936332047</v>
      </c>
      <c r="V111" s="365">
        <f>90/(V7/V105)</f>
        <v>40.023128840389141</v>
      </c>
      <c r="W111" s="365">
        <f>91/(W7/W105)</f>
        <v>37.624237162412754</v>
      </c>
      <c r="X111" s="365">
        <f>91/(X7/X105)</f>
        <v>38.364228877234609</v>
      </c>
      <c r="Y111" s="365">
        <f>92/(Y7/Y105)</f>
        <v>39.618881429120719</v>
      </c>
      <c r="Z111" s="365">
        <f>90/(Z7/Z105)</f>
        <v>39.529850972774454</v>
      </c>
      <c r="AA111" s="365">
        <f>91/(AA7/AA105)</f>
        <v>41.551569380662663</v>
      </c>
      <c r="AB111" s="365">
        <f>91/(AB7/AB105)</f>
        <v>40.144026641868741</v>
      </c>
      <c r="AC111" s="365">
        <f>92/(AC7/AC105)</f>
        <v>41.839772645785615</v>
      </c>
      <c r="AD111" s="365">
        <f>90/(AD7/AD105)</f>
        <v>40.342038790492921</v>
      </c>
    </row>
    <row r="112" spans="2:180" ht="13.5" customHeight="1">
      <c r="B112" s="365" t="s">
        <v>284</v>
      </c>
      <c r="C112" s="365">
        <f>365/(C9/C106)</f>
        <v>52.440359091873312</v>
      </c>
      <c r="D112" s="365">
        <f>365/(D9/D106)</f>
        <v>75.645956077198448</v>
      </c>
      <c r="E112" s="365">
        <f>365/(E9/E106)</f>
        <v>57.895922802419264</v>
      </c>
      <c r="F112" s="365">
        <f>365/(F9/F106)</f>
        <v>55.976077676718923</v>
      </c>
      <c r="G112" s="365">
        <f>365/(G9/G106)</f>
        <v>59.125379639719014</v>
      </c>
      <c r="H112" s="365">
        <f>365/(H9/H106)</f>
        <v>53.141226510047126</v>
      </c>
      <c r="I112" s="366"/>
      <c r="J112" s="367"/>
      <c r="K112" s="367"/>
      <c r="L112" s="367"/>
      <c r="M112" s="365">
        <f>92/(M9/M106)</f>
        <v>49.457978227925558</v>
      </c>
      <c r="N112" s="365">
        <f>90/(N9/N106)</f>
        <v>51.655850176154274</v>
      </c>
      <c r="O112" s="365">
        <f>91/(O9/O106)</f>
        <v>59.780422503881276</v>
      </c>
      <c r="P112" s="365">
        <f>91/(P9/P106)</f>
        <v>39.802639580116789</v>
      </c>
      <c r="Q112" s="365">
        <f>92/(Q9/Q106)</f>
        <v>69.498307065984108</v>
      </c>
      <c r="R112" s="365">
        <f>90/(R9/R106)</f>
        <v>80.043923038490334</v>
      </c>
      <c r="S112" s="365">
        <f>91/(S9/S106)</f>
        <v>71.163026804981413</v>
      </c>
      <c r="T112" s="365">
        <f>91/(T9/T106)</f>
        <v>63.200167814265697</v>
      </c>
      <c r="U112" s="365">
        <f>92/(U9/U106)</f>
        <v>59.196616042437164</v>
      </c>
      <c r="V112" s="365">
        <f>90/(V9/V106)</f>
        <v>62.970030782335975</v>
      </c>
      <c r="W112" s="365">
        <f>91/(W9/W106)</f>
        <v>77.930088413758867</v>
      </c>
      <c r="X112" s="365">
        <f>91/(X9/X106)</f>
        <v>63.632899728446034</v>
      </c>
      <c r="Y112" s="365">
        <f>92/(Y9/Y106)</f>
        <v>59.579273250889379</v>
      </c>
      <c r="Z112" s="365">
        <f>90/(Z9/Z106)</f>
        <v>55.083440652212843</v>
      </c>
      <c r="AA112" s="365">
        <f>91/(AA9/AA106)</f>
        <v>66.362116882527829</v>
      </c>
      <c r="AB112" s="365">
        <f>91/(AB9/AB106)</f>
        <v>62.183770486185992</v>
      </c>
      <c r="AC112" s="365">
        <f>92/(AC9/AC106)</f>
        <v>58.610249131519687</v>
      </c>
      <c r="AD112" s="365">
        <f>90/(AD9/AD106)</f>
        <v>51.906651431876185</v>
      </c>
    </row>
    <row r="113" spans="2:31" ht="13.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</row>
    <row r="114" spans="2:31" ht="13.5" customHeight="1">
      <c r="B114" s="5" t="s">
        <v>285</v>
      </c>
      <c r="C114" s="4"/>
      <c r="D114" s="4"/>
      <c r="E114" s="4"/>
      <c r="F114" s="4"/>
      <c r="G114" s="4"/>
      <c r="H114" s="6"/>
      <c r="J114" s="268"/>
      <c r="K114" s="268"/>
      <c r="L114" s="249"/>
    </row>
    <row r="115" spans="2:31" ht="13.5" customHeight="1">
      <c r="B115" s="1" t="s">
        <v>286</v>
      </c>
      <c r="C115" s="42">
        <f>1134.053+62.864</f>
        <v>1196.9170000000001</v>
      </c>
      <c r="D115" s="42">
        <f>334.74+296.14+410.633+258.716+208.873+248.643</f>
        <v>1757.7449999999999</v>
      </c>
      <c r="E115" s="42">
        <f>265.822+117.728+11.66+399.512+259.058+209.357+124.42+139.296</f>
        <v>1526.8530000000001</v>
      </c>
      <c r="F115" s="42">
        <f>173.917+1116.754+9.382+7.229+1.418</f>
        <v>1308.6999999999998</v>
      </c>
      <c r="G115" s="42">
        <f>163.968+1157.733+126.908+5.918+4.525</f>
        <v>1459.0519999999999</v>
      </c>
      <c r="H115" s="6">
        <f t="shared" ref="H115" si="264">AD115</f>
        <v>1462.337</v>
      </c>
      <c r="J115" s="267"/>
      <c r="K115" s="267"/>
      <c r="L115" s="249"/>
      <c r="M115" s="143">
        <f>C115</f>
        <v>1196.9170000000001</v>
      </c>
      <c r="N115" s="42">
        <f>132.538+149.862+99.626+27.372+11.953+410.868+258.944+209.128</f>
        <v>1300.2909999999999</v>
      </c>
      <c r="O115" s="42">
        <f>182.639+149.961+99.686+24.278+11.183+410.189+258.366+208.533</f>
        <v>1344.835</v>
      </c>
      <c r="P115" s="42">
        <f>103.418+98.122+10.923+246.491+10.402+407.98+457.044+282.588</f>
        <v>1616.9680000000001</v>
      </c>
      <c r="Q115" s="143">
        <f>D115</f>
        <v>1757.7449999999999</v>
      </c>
      <c r="R115" s="42">
        <f>151.89+11.677+11.669+410.887+258.911+209.064+248.62+358.028</f>
        <v>1660.7460000000003</v>
      </c>
      <c r="S115" s="42">
        <f>213.215+379.739+11.634+410.918+458.098+9.848+273.614</f>
        <v>1757.066</v>
      </c>
      <c r="T115" s="42">
        <f>56.755+11.314+9.53+458.039+173.303+139.294+367.983+399.419</f>
        <v>1615.6370000000002</v>
      </c>
      <c r="U115" s="143">
        <f>E115</f>
        <v>1526.8530000000001</v>
      </c>
      <c r="V115" s="42">
        <f>269.288+119.574+11.559+399.628+458.483+9.78+124.449+139.323</f>
        <v>1532.0840000000001</v>
      </c>
      <c r="W115" s="42">
        <f>352.939+399.773+11.47+458.672+9.707+124.939+139.415</f>
        <v>1496.9150000000002</v>
      </c>
      <c r="X115" s="42">
        <f>10.063+459.282+135.052+139.482+330.476+399.894</f>
        <v>1474.249</v>
      </c>
      <c r="Y115" s="143">
        <f>F115</f>
        <v>1308.6999999999998</v>
      </c>
      <c r="Z115" s="42">
        <f>108.196+19.456+1.544+174.325+1116.063</f>
        <v>1419.5840000000001</v>
      </c>
      <c r="AA115" s="42">
        <f>175.131+1140.003+121.717+6.564+0.718</f>
        <v>1444.1330000000003</v>
      </c>
      <c r="AB115" s="42">
        <f>175.173+1149.542+87.611+19.112+1.148</f>
        <v>1432.586</v>
      </c>
      <c r="AC115" s="143">
        <f t="shared" ref="AC115" si="265">G115</f>
        <v>1459.0519999999999</v>
      </c>
      <c r="AD115" s="42">
        <f>164.127+1155.859+121.037+18.027+3.287</f>
        <v>1462.337</v>
      </c>
    </row>
    <row r="116" spans="2:31" ht="13.5" customHeight="1">
      <c r="B116" s="1" t="s">
        <v>287</v>
      </c>
      <c r="F116" s="313"/>
      <c r="G116" s="313"/>
      <c r="J116" s="269"/>
      <c r="K116" s="269"/>
      <c r="L116" s="267"/>
      <c r="N116" s="202"/>
      <c r="R116" s="202"/>
      <c r="V116" s="202"/>
      <c r="Z116" s="202"/>
      <c r="AA116" s="313"/>
      <c r="AB116" s="313"/>
      <c r="AD116" s="202"/>
    </row>
    <row r="117" spans="2:31" ht="13.5" customHeight="1">
      <c r="B117" s="1" t="s">
        <v>288</v>
      </c>
      <c r="F117" s="313"/>
      <c r="G117" s="313"/>
      <c r="J117" s="214"/>
      <c r="K117" s="214"/>
      <c r="L117" s="249"/>
      <c r="N117" s="6"/>
      <c r="R117" s="6"/>
      <c r="V117" s="6"/>
      <c r="Z117" s="6"/>
      <c r="AA117" s="313"/>
      <c r="AB117" s="313"/>
      <c r="AD117" s="6"/>
    </row>
    <row r="118" spans="2:31" ht="13.5" customHeight="1">
      <c r="J118" s="270"/>
      <c r="K118" s="270"/>
      <c r="L118" s="249"/>
      <c r="N118" s="39"/>
      <c r="R118" s="39"/>
      <c r="V118" s="39"/>
      <c r="Z118" s="39"/>
      <c r="AD118" s="39"/>
    </row>
    <row r="119" spans="2:31" ht="13.5" customHeight="1">
      <c r="B119" s="7" t="s">
        <v>289</v>
      </c>
      <c r="C119" s="6">
        <f>C83</f>
        <v>254.96799999999999</v>
      </c>
      <c r="D119" s="6">
        <f>D83</f>
        <v>283.86399999999998</v>
      </c>
      <c r="E119" s="6">
        <f>E83</f>
        <v>350.04599999999999</v>
      </c>
      <c r="F119" s="6">
        <f>F83</f>
        <v>340.334</v>
      </c>
      <c r="G119" s="42">
        <v>411.22500000000002</v>
      </c>
      <c r="H119" s="6">
        <f t="shared" ref="H119" si="266">AD119</f>
        <v>419.11799999999999</v>
      </c>
      <c r="J119" s="214"/>
      <c r="K119" s="214"/>
      <c r="L119" s="214"/>
      <c r="M119" s="6">
        <f t="shared" ref="M119:Y119" si="267">M83</f>
        <v>254.96800000000016</v>
      </c>
      <c r="N119" s="6">
        <f t="shared" si="267"/>
        <v>291.25200000000001</v>
      </c>
      <c r="O119" s="6">
        <f t="shared" si="267"/>
        <v>235.59700000000001</v>
      </c>
      <c r="P119" s="6">
        <f t="shared" si="267"/>
        <v>231.91200000000001</v>
      </c>
      <c r="Q119" s="6">
        <f t="shared" si="267"/>
        <v>283.86399999999998</v>
      </c>
      <c r="R119" s="6">
        <f t="shared" si="267"/>
        <v>288.34799999999996</v>
      </c>
      <c r="S119" s="6">
        <f t="shared" si="267"/>
        <v>260.42199999999997</v>
      </c>
      <c r="T119" s="6">
        <f t="shared" si="267"/>
        <v>338.02499999999998</v>
      </c>
      <c r="U119" s="6">
        <f t="shared" si="267"/>
        <v>350.04599999999994</v>
      </c>
      <c r="V119" s="6">
        <f t="shared" si="267"/>
        <v>482.46499999999992</v>
      </c>
      <c r="W119" s="6">
        <f t="shared" si="267"/>
        <v>440.18499999999989</v>
      </c>
      <c r="X119" s="6">
        <f t="shared" si="267"/>
        <v>498.09099999999989</v>
      </c>
      <c r="Y119" s="6">
        <f t="shared" si="267"/>
        <v>340.33399999999972</v>
      </c>
      <c r="Z119" s="42">
        <v>386.36700000000002</v>
      </c>
      <c r="AA119" s="6">
        <f>AA83</f>
        <v>352.52799999999974</v>
      </c>
      <c r="AB119" s="202">
        <v>455.642</v>
      </c>
      <c r="AC119" s="143">
        <f t="shared" ref="AC119" si="268">G119</f>
        <v>411.22500000000002</v>
      </c>
      <c r="AD119" s="42">
        <v>419.11799999999999</v>
      </c>
    </row>
    <row r="120" spans="2:31" ht="13.5" customHeight="1">
      <c r="B120" s="7"/>
      <c r="J120" s="249"/>
      <c r="K120" s="249"/>
      <c r="L120" s="270"/>
      <c r="N120" s="4"/>
      <c r="R120" s="4"/>
      <c r="V120" s="4"/>
      <c r="Z120" s="4"/>
      <c r="AD120" s="4"/>
    </row>
    <row r="121" spans="2:31" ht="13.5" customHeight="1">
      <c r="B121" s="5" t="s">
        <v>19</v>
      </c>
      <c r="C121" s="8">
        <f t="shared" ref="C121:H121" si="269">+C122-C119</f>
        <v>941.94900000000018</v>
      </c>
      <c r="D121" s="8">
        <f t="shared" si="269"/>
        <v>1473.8809999999999</v>
      </c>
      <c r="E121" s="8">
        <f t="shared" si="269"/>
        <v>1176.807</v>
      </c>
      <c r="F121" s="8">
        <f t="shared" si="269"/>
        <v>968.36599999999976</v>
      </c>
      <c r="G121" s="8">
        <f t="shared" si="269"/>
        <v>1047.8269999999998</v>
      </c>
      <c r="H121" s="8">
        <f t="shared" si="269"/>
        <v>1043.2190000000001</v>
      </c>
      <c r="J121" s="215"/>
      <c r="K121" s="215"/>
      <c r="L121" s="215"/>
      <c r="M121" s="8">
        <f t="shared" ref="M121:R121" si="270">+M122-M119</f>
        <v>941.94899999999996</v>
      </c>
      <c r="N121" s="8">
        <f t="shared" si="270"/>
        <v>1009.039</v>
      </c>
      <c r="O121" s="8">
        <f t="shared" si="270"/>
        <v>1109.2380000000001</v>
      </c>
      <c r="P121" s="8">
        <f t="shared" si="270"/>
        <v>1385.056</v>
      </c>
      <c r="Q121" s="8">
        <f t="shared" si="270"/>
        <v>1473.8809999999999</v>
      </c>
      <c r="R121" s="8">
        <f t="shared" si="270"/>
        <v>1372.3980000000004</v>
      </c>
      <c r="S121" s="8">
        <f>+S122-S119</f>
        <v>1496.644</v>
      </c>
      <c r="T121" s="8">
        <f t="shared" ref="T121:V121" si="271">+T122-T119</f>
        <v>1277.6120000000001</v>
      </c>
      <c r="U121" s="8">
        <f t="shared" si="271"/>
        <v>1176.8070000000002</v>
      </c>
      <c r="V121" s="8">
        <f t="shared" si="271"/>
        <v>1049.6190000000001</v>
      </c>
      <c r="W121" s="8">
        <f>+W122-W119</f>
        <v>1056.7300000000002</v>
      </c>
      <c r="X121" s="8">
        <f>+X122-X119</f>
        <v>976.15800000000013</v>
      </c>
      <c r="Y121" s="8">
        <f t="shared" ref="Y121:Z121" si="272">+Y122-Y119</f>
        <v>968.3660000000001</v>
      </c>
      <c r="Z121" s="8">
        <f t="shared" si="272"/>
        <v>1033.2170000000001</v>
      </c>
      <c r="AA121" s="8">
        <f>+AA122-AA119</f>
        <v>1091.6050000000005</v>
      </c>
      <c r="AB121" s="8">
        <f>+AB122-AB119</f>
        <v>976.94399999999996</v>
      </c>
      <c r="AC121" s="8">
        <f t="shared" ref="AC121:AD121" si="273">+AC122-AC119</f>
        <v>1047.8269999999998</v>
      </c>
      <c r="AD121" s="8">
        <f t="shared" si="273"/>
        <v>1043.2190000000001</v>
      </c>
    </row>
    <row r="122" spans="2:31" s="5" customFormat="1" ht="13.5" customHeight="1">
      <c r="B122" s="5" t="s">
        <v>290</v>
      </c>
      <c r="C122" s="8">
        <f t="shared" ref="C122:H122" si="274">+C115</f>
        <v>1196.9170000000001</v>
      </c>
      <c r="D122" s="8">
        <f t="shared" si="274"/>
        <v>1757.7449999999999</v>
      </c>
      <c r="E122" s="8">
        <f t="shared" si="274"/>
        <v>1526.8530000000001</v>
      </c>
      <c r="F122" s="8">
        <f t="shared" si="274"/>
        <v>1308.6999999999998</v>
      </c>
      <c r="G122" s="8">
        <f t="shared" si="274"/>
        <v>1459.0519999999999</v>
      </c>
      <c r="H122" s="8">
        <f t="shared" si="274"/>
        <v>1462.337</v>
      </c>
      <c r="J122" s="215"/>
      <c r="K122" s="215"/>
      <c r="L122" s="215"/>
      <c r="M122" s="8">
        <f t="shared" ref="M122:R122" si="275">+M115</f>
        <v>1196.9170000000001</v>
      </c>
      <c r="N122" s="8">
        <f t="shared" si="275"/>
        <v>1300.2909999999999</v>
      </c>
      <c r="O122" s="8">
        <f t="shared" si="275"/>
        <v>1344.835</v>
      </c>
      <c r="P122" s="8">
        <f t="shared" si="275"/>
        <v>1616.9680000000001</v>
      </c>
      <c r="Q122" s="8">
        <f t="shared" si="275"/>
        <v>1757.7449999999999</v>
      </c>
      <c r="R122" s="8">
        <f t="shared" si="275"/>
        <v>1660.7460000000003</v>
      </c>
      <c r="S122" s="8">
        <f>+S115</f>
        <v>1757.066</v>
      </c>
      <c r="T122" s="8">
        <f t="shared" ref="T122:V122" si="276">+T115</f>
        <v>1615.6370000000002</v>
      </c>
      <c r="U122" s="8">
        <f t="shared" si="276"/>
        <v>1526.8530000000001</v>
      </c>
      <c r="V122" s="8">
        <f t="shared" si="276"/>
        <v>1532.0840000000001</v>
      </c>
      <c r="W122" s="8">
        <f>+W115</f>
        <v>1496.9150000000002</v>
      </c>
      <c r="X122" s="8">
        <f>+X115</f>
        <v>1474.249</v>
      </c>
      <c r="Y122" s="8">
        <f t="shared" ref="Y122:Z122" si="277">+Y115</f>
        <v>1308.6999999999998</v>
      </c>
      <c r="Z122" s="8">
        <f t="shared" si="277"/>
        <v>1419.5840000000001</v>
      </c>
      <c r="AA122" s="8">
        <f>+AA115</f>
        <v>1444.1330000000003</v>
      </c>
      <c r="AB122" s="8">
        <f>+AB115</f>
        <v>1432.586</v>
      </c>
      <c r="AC122" s="8">
        <f t="shared" ref="AC122:AD122" si="278">+AC115</f>
        <v>1459.0519999999999</v>
      </c>
      <c r="AD122" s="8">
        <f t="shared" si="278"/>
        <v>1462.337</v>
      </c>
    </row>
    <row r="123" spans="2:31" s="5" customFormat="1" ht="13.5" customHeight="1">
      <c r="J123" s="265"/>
      <c r="K123" s="265"/>
      <c r="L123" s="266"/>
      <c r="N123" s="28"/>
    </row>
    <row r="124" spans="2:31" ht="13.5" customHeight="1">
      <c r="B124" s="1" t="s">
        <v>291</v>
      </c>
      <c r="C124" s="6">
        <f t="shared" ref="C124:H124" si="279">C116</f>
        <v>0</v>
      </c>
      <c r="D124" s="6">
        <f t="shared" si="279"/>
        <v>0</v>
      </c>
      <c r="E124" s="6">
        <f t="shared" si="279"/>
        <v>0</v>
      </c>
      <c r="F124" s="6">
        <f t="shared" si="279"/>
        <v>0</v>
      </c>
      <c r="G124" s="6">
        <f t="shared" si="279"/>
        <v>0</v>
      </c>
      <c r="H124" s="6">
        <f t="shared" si="279"/>
        <v>0</v>
      </c>
      <c r="J124" s="214"/>
      <c r="K124" s="214"/>
      <c r="L124" s="214"/>
      <c r="M124" s="6">
        <f t="shared" ref="M124:R124" si="280">M116</f>
        <v>0</v>
      </c>
      <c r="N124" s="6">
        <f t="shared" si="280"/>
        <v>0</v>
      </c>
      <c r="O124" s="6">
        <f t="shared" si="280"/>
        <v>0</v>
      </c>
      <c r="P124" s="6">
        <f t="shared" si="280"/>
        <v>0</v>
      </c>
      <c r="Q124" s="6">
        <f t="shared" si="280"/>
        <v>0</v>
      </c>
      <c r="R124" s="6">
        <f t="shared" si="280"/>
        <v>0</v>
      </c>
      <c r="S124" s="6">
        <f>S116</f>
        <v>0</v>
      </c>
      <c r="T124" s="6">
        <f t="shared" ref="T124:V124" si="281">T116</f>
        <v>0</v>
      </c>
      <c r="U124" s="6">
        <f t="shared" si="281"/>
        <v>0</v>
      </c>
      <c r="V124" s="6">
        <f t="shared" si="281"/>
        <v>0</v>
      </c>
      <c r="W124" s="6">
        <f>W116</f>
        <v>0</v>
      </c>
      <c r="X124" s="6">
        <f>X116</f>
        <v>0</v>
      </c>
      <c r="Y124" s="6">
        <f t="shared" ref="Y124:Z124" si="282">Y116</f>
        <v>0</v>
      </c>
      <c r="Z124" s="6">
        <f t="shared" si="282"/>
        <v>0</v>
      </c>
      <c r="AA124" s="6">
        <f>AA116</f>
        <v>0</v>
      </c>
      <c r="AB124" s="6">
        <f>AB116</f>
        <v>0</v>
      </c>
      <c r="AC124" s="6">
        <f t="shared" ref="AC124:AD124" si="283">AC116</f>
        <v>0</v>
      </c>
      <c r="AD124" s="6">
        <f t="shared" si="283"/>
        <v>0</v>
      </c>
    </row>
    <row r="125" spans="2:31" ht="13.5" customHeight="1">
      <c r="B125" s="5"/>
      <c r="J125" s="265"/>
      <c r="K125" s="265"/>
      <c r="L125" s="266"/>
      <c r="N125" s="28"/>
    </row>
    <row r="126" spans="2:31" ht="13.5" customHeight="1">
      <c r="B126" s="5" t="s">
        <v>292</v>
      </c>
      <c r="C126" s="8">
        <f t="shared" ref="C126:H126" si="284">C121+C124</f>
        <v>941.94900000000018</v>
      </c>
      <c r="D126" s="8">
        <f t="shared" si="284"/>
        <v>1473.8809999999999</v>
      </c>
      <c r="E126" s="8">
        <f t="shared" si="284"/>
        <v>1176.807</v>
      </c>
      <c r="F126" s="8">
        <f t="shared" si="284"/>
        <v>968.36599999999976</v>
      </c>
      <c r="G126" s="8">
        <f t="shared" si="284"/>
        <v>1047.8269999999998</v>
      </c>
      <c r="H126" s="8">
        <f t="shared" si="284"/>
        <v>1043.2190000000001</v>
      </c>
      <c r="J126" s="215"/>
      <c r="K126" s="215"/>
      <c r="L126" s="215"/>
      <c r="M126" s="8">
        <f t="shared" ref="M126:R126" si="285">M121+M124</f>
        <v>941.94899999999996</v>
      </c>
      <c r="N126" s="8">
        <f t="shared" si="285"/>
        <v>1009.039</v>
      </c>
      <c r="O126" s="8">
        <f t="shared" si="285"/>
        <v>1109.2380000000001</v>
      </c>
      <c r="P126" s="8">
        <f t="shared" si="285"/>
        <v>1385.056</v>
      </c>
      <c r="Q126" s="8">
        <f t="shared" si="285"/>
        <v>1473.8809999999999</v>
      </c>
      <c r="R126" s="8">
        <f t="shared" si="285"/>
        <v>1372.3980000000004</v>
      </c>
      <c r="S126" s="8">
        <f>S121+S124</f>
        <v>1496.644</v>
      </c>
      <c r="T126" s="8">
        <f t="shared" ref="T126:V126" si="286">T121+T124</f>
        <v>1277.6120000000001</v>
      </c>
      <c r="U126" s="8">
        <f t="shared" si="286"/>
        <v>1176.8070000000002</v>
      </c>
      <c r="V126" s="8">
        <f t="shared" si="286"/>
        <v>1049.6190000000001</v>
      </c>
      <c r="W126" s="8">
        <f>W121+W124</f>
        <v>1056.7300000000002</v>
      </c>
      <c r="X126" s="8">
        <f>X121+X124</f>
        <v>976.15800000000013</v>
      </c>
      <c r="Y126" s="8">
        <f t="shared" ref="Y126:Z126" si="287">Y121+Y124</f>
        <v>968.3660000000001</v>
      </c>
      <c r="Z126" s="8">
        <f t="shared" si="287"/>
        <v>1033.2170000000001</v>
      </c>
      <c r="AA126" s="8">
        <f>AA121+AA124</f>
        <v>1091.6050000000005</v>
      </c>
      <c r="AB126" s="8">
        <f>AB121+AB124</f>
        <v>976.94399999999996</v>
      </c>
      <c r="AC126" s="8">
        <f t="shared" ref="AC126:AD126" si="288">AC121+AC124</f>
        <v>1047.8269999999998</v>
      </c>
      <c r="AD126" s="8">
        <f t="shared" si="288"/>
        <v>1043.2190000000001</v>
      </c>
    </row>
    <row r="127" spans="2:31" ht="13.5" customHeight="1">
      <c r="B127" s="5" t="s">
        <v>293</v>
      </c>
      <c r="C127" s="8">
        <f t="shared" ref="C127:H127" si="289">C122+C124</f>
        <v>1196.9170000000001</v>
      </c>
      <c r="D127" s="8">
        <f t="shared" si="289"/>
        <v>1757.7449999999999</v>
      </c>
      <c r="E127" s="8">
        <f t="shared" si="289"/>
        <v>1526.8530000000001</v>
      </c>
      <c r="F127" s="8">
        <f t="shared" si="289"/>
        <v>1308.6999999999998</v>
      </c>
      <c r="G127" s="8">
        <f t="shared" si="289"/>
        <v>1459.0519999999999</v>
      </c>
      <c r="H127" s="8">
        <f t="shared" si="289"/>
        <v>1462.337</v>
      </c>
      <c r="J127" s="215"/>
      <c r="K127" s="215"/>
      <c r="L127" s="215"/>
      <c r="M127" s="8">
        <f t="shared" ref="M127:R127" si="290">M122+M124</f>
        <v>1196.9170000000001</v>
      </c>
      <c r="N127" s="8">
        <f t="shared" si="290"/>
        <v>1300.2909999999999</v>
      </c>
      <c r="O127" s="8">
        <f t="shared" si="290"/>
        <v>1344.835</v>
      </c>
      <c r="P127" s="8">
        <f t="shared" si="290"/>
        <v>1616.9680000000001</v>
      </c>
      <c r="Q127" s="8">
        <f t="shared" si="290"/>
        <v>1757.7449999999999</v>
      </c>
      <c r="R127" s="8">
        <f t="shared" si="290"/>
        <v>1660.7460000000003</v>
      </c>
      <c r="S127" s="8">
        <f>S122+S124</f>
        <v>1757.066</v>
      </c>
      <c r="T127" s="8">
        <f t="shared" ref="T127:V127" si="291">T122+T124</f>
        <v>1615.6370000000002</v>
      </c>
      <c r="U127" s="8">
        <f t="shared" si="291"/>
        <v>1526.8530000000001</v>
      </c>
      <c r="V127" s="8">
        <f t="shared" si="291"/>
        <v>1532.0840000000001</v>
      </c>
      <c r="W127" s="8">
        <f>W122+W124</f>
        <v>1496.9150000000002</v>
      </c>
      <c r="X127" s="8">
        <f>X122+X124</f>
        <v>1474.249</v>
      </c>
      <c r="Y127" s="8">
        <f t="shared" ref="Y127:Z127" si="292">Y122+Y124</f>
        <v>1308.6999999999998</v>
      </c>
      <c r="Z127" s="8">
        <f t="shared" si="292"/>
        <v>1419.5840000000001</v>
      </c>
      <c r="AA127" s="8">
        <f>AA122+AA124</f>
        <v>1444.1330000000003</v>
      </c>
      <c r="AB127" s="8">
        <f>AB122+AB124</f>
        <v>1432.586</v>
      </c>
      <c r="AC127" s="8">
        <f t="shared" ref="AC127:AD127" si="293">AC122+AC124</f>
        <v>1459.0519999999999</v>
      </c>
      <c r="AD127" s="8">
        <f t="shared" si="293"/>
        <v>1462.337</v>
      </c>
    </row>
    <row r="128" spans="2:31" ht="14.25" customHeight="1">
      <c r="J128" s="268"/>
      <c r="K128" s="268"/>
      <c r="L128" s="271"/>
    </row>
    <row r="129" spans="2:30" ht="14.25" customHeight="1">
      <c r="J129" s="268"/>
      <c r="K129" s="268"/>
      <c r="L129" s="271"/>
    </row>
    <row r="130" spans="2:30" ht="13.5" customHeight="1">
      <c r="B130" s="5" t="s">
        <v>294</v>
      </c>
      <c r="C130" s="202">
        <f>37.538+281.542</f>
        <v>319.08</v>
      </c>
      <c r="D130" s="202">
        <f>49.107+318.305</f>
        <v>367.41200000000003</v>
      </c>
      <c r="E130" s="202">
        <f>58.103+306.754</f>
        <v>364.85700000000003</v>
      </c>
      <c r="F130" s="202">
        <f>63.602+298.688</f>
        <v>362.28999999999996</v>
      </c>
      <c r="G130" s="202">
        <f>59.061+330.376</f>
        <v>389.43699999999995</v>
      </c>
      <c r="H130" s="6">
        <f>AD130</f>
        <v>397.52299999999997</v>
      </c>
      <c r="J130" s="269"/>
      <c r="K130" s="269"/>
      <c r="L130" s="267"/>
      <c r="M130" s="6">
        <f>C130</f>
        <v>319.08</v>
      </c>
      <c r="N130" s="202">
        <f>40.689+299.335</f>
        <v>340.024</v>
      </c>
      <c r="O130" s="202">
        <f>42.915+321.605</f>
        <v>364.52000000000004</v>
      </c>
      <c r="P130" s="202">
        <f>47.513+313.742</f>
        <v>361.255</v>
      </c>
      <c r="Q130" s="6">
        <f>D130</f>
        <v>367.41200000000003</v>
      </c>
      <c r="R130" s="202">
        <f>49.895+312.32</f>
        <v>362.21499999999997</v>
      </c>
      <c r="S130" s="202">
        <f>52.88+310.025</f>
        <v>362.90499999999997</v>
      </c>
      <c r="T130" s="202">
        <f>311.825+56.661</f>
        <v>368.48599999999999</v>
      </c>
      <c r="U130" s="6">
        <f>E130</f>
        <v>364.85700000000003</v>
      </c>
      <c r="V130" s="202">
        <f>59.719+306.012</f>
        <v>365.73099999999999</v>
      </c>
      <c r="W130" s="202">
        <f>61.283+309.493</f>
        <v>370.77600000000001</v>
      </c>
      <c r="X130" s="202">
        <f>304.027+63.297</f>
        <v>367.32399999999996</v>
      </c>
      <c r="Y130" s="6">
        <f>F130</f>
        <v>362.28999999999996</v>
      </c>
      <c r="Z130" s="202">
        <f>61.656+324.648</f>
        <v>386.30400000000003</v>
      </c>
      <c r="AA130" s="202">
        <f>61.333+331.718</f>
        <v>393.05100000000004</v>
      </c>
      <c r="AB130" s="202">
        <f>59.03+330.364</f>
        <v>389.39400000000001</v>
      </c>
      <c r="AC130" s="143">
        <f t="shared" ref="AC130" si="294">G130</f>
        <v>389.43699999999995</v>
      </c>
      <c r="AD130" s="202">
        <f>61.361+336.162</f>
        <v>397.52299999999997</v>
      </c>
    </row>
    <row r="131" spans="2:30" ht="13.5" customHeight="1">
      <c r="B131" s="1" t="s">
        <v>295</v>
      </c>
      <c r="C131" s="214"/>
      <c r="D131" s="214"/>
      <c r="E131" s="327"/>
      <c r="F131" s="327"/>
      <c r="G131" s="327"/>
      <c r="H131" s="327"/>
      <c r="J131" s="327"/>
      <c r="K131" s="327"/>
      <c r="L131" s="327"/>
      <c r="M131" s="327"/>
      <c r="N131" s="327"/>
      <c r="O131" s="327"/>
      <c r="P131" s="327"/>
      <c r="Q131" s="327"/>
      <c r="R131" s="327"/>
      <c r="S131" s="327"/>
      <c r="T131" s="327"/>
      <c r="U131" s="327"/>
      <c r="V131" s="327"/>
      <c r="W131" s="327"/>
      <c r="X131" s="327"/>
      <c r="Y131" s="327"/>
      <c r="Z131" s="327"/>
      <c r="AA131" s="327"/>
      <c r="AB131" s="327"/>
      <c r="AC131" s="327"/>
      <c r="AD131" s="327"/>
    </row>
    <row r="132" spans="2:30" ht="13.5" customHeight="1">
      <c r="B132" s="5"/>
      <c r="J132" s="265"/>
      <c r="K132" s="265"/>
      <c r="L132" s="266"/>
      <c r="N132" s="28"/>
      <c r="R132" s="28"/>
      <c r="V132" s="28"/>
      <c r="Z132" s="28"/>
      <c r="AD132" s="28"/>
    </row>
    <row r="133" spans="2:30" ht="13.5" customHeight="1">
      <c r="B133" s="5" t="s">
        <v>296</v>
      </c>
      <c r="C133" s="8">
        <f t="shared" ref="C133:H133" si="295">C130+C126</f>
        <v>1261.0290000000002</v>
      </c>
      <c r="D133" s="8">
        <f t="shared" si="295"/>
        <v>1841.2929999999999</v>
      </c>
      <c r="E133" s="8">
        <f t="shared" si="295"/>
        <v>1541.664</v>
      </c>
      <c r="F133" s="8">
        <f t="shared" si="295"/>
        <v>1330.6559999999997</v>
      </c>
      <c r="G133" s="8">
        <f t="shared" si="295"/>
        <v>1437.2639999999997</v>
      </c>
      <c r="H133" s="8">
        <f t="shared" si="295"/>
        <v>1440.742</v>
      </c>
      <c r="J133" s="215"/>
      <c r="K133" s="215"/>
      <c r="L133" s="215"/>
      <c r="M133" s="8">
        <f t="shared" ref="M133:R133" si="296">M130+M126</f>
        <v>1261.029</v>
      </c>
      <c r="N133" s="8">
        <f t="shared" si="296"/>
        <v>1349.0630000000001</v>
      </c>
      <c r="O133" s="8">
        <f t="shared" si="296"/>
        <v>1473.758</v>
      </c>
      <c r="P133" s="8">
        <f t="shared" si="296"/>
        <v>1746.3110000000001</v>
      </c>
      <c r="Q133" s="8">
        <f t="shared" si="296"/>
        <v>1841.2929999999999</v>
      </c>
      <c r="R133" s="8">
        <f t="shared" si="296"/>
        <v>1734.6130000000003</v>
      </c>
      <c r="S133" s="8">
        <f>S130+S126</f>
        <v>1859.549</v>
      </c>
      <c r="T133" s="8">
        <f t="shared" ref="T133:V133" si="297">T130+T126</f>
        <v>1646.098</v>
      </c>
      <c r="U133" s="8">
        <f t="shared" si="297"/>
        <v>1541.6640000000002</v>
      </c>
      <c r="V133" s="8">
        <f t="shared" si="297"/>
        <v>1415.3500000000001</v>
      </c>
      <c r="W133" s="8">
        <f>W130+W126</f>
        <v>1427.5060000000003</v>
      </c>
      <c r="X133" s="8">
        <f>X130+X126</f>
        <v>1343.482</v>
      </c>
      <c r="Y133" s="8">
        <f t="shared" ref="Y133:Z133" si="298">Y130+Y126</f>
        <v>1330.6559999999999</v>
      </c>
      <c r="Z133" s="8">
        <f t="shared" si="298"/>
        <v>1419.5210000000002</v>
      </c>
      <c r="AA133" s="8">
        <f>AA130+AA126</f>
        <v>1484.6560000000004</v>
      </c>
      <c r="AB133" s="8">
        <f>AB130+AB126</f>
        <v>1366.338</v>
      </c>
      <c r="AC133" s="8">
        <f t="shared" ref="AC133:AD133" si="299">AC130+AC126</f>
        <v>1437.2639999999997</v>
      </c>
      <c r="AD133" s="8">
        <f t="shared" si="299"/>
        <v>1440.742</v>
      </c>
    </row>
    <row r="134" spans="2:30" ht="13.5" customHeight="1">
      <c r="B134" s="5" t="s">
        <v>297</v>
      </c>
      <c r="C134" s="8">
        <f t="shared" ref="C134:H134" si="300">C127+C130</f>
        <v>1515.9970000000001</v>
      </c>
      <c r="D134" s="8">
        <f t="shared" si="300"/>
        <v>2125.1570000000002</v>
      </c>
      <c r="E134" s="8">
        <f t="shared" si="300"/>
        <v>1891.71</v>
      </c>
      <c r="F134" s="8">
        <f t="shared" si="300"/>
        <v>1670.9899999999998</v>
      </c>
      <c r="G134" s="8">
        <f t="shared" si="300"/>
        <v>1848.4889999999998</v>
      </c>
      <c r="H134" s="8">
        <f t="shared" si="300"/>
        <v>1859.86</v>
      </c>
      <c r="J134" s="215"/>
      <c r="K134" s="215"/>
      <c r="L134" s="215"/>
      <c r="M134" s="8">
        <f t="shared" ref="M134:R134" si="301">M127+M130</f>
        <v>1515.9970000000001</v>
      </c>
      <c r="N134" s="8">
        <f t="shared" si="301"/>
        <v>1640.3150000000001</v>
      </c>
      <c r="O134" s="8">
        <f t="shared" si="301"/>
        <v>1709.355</v>
      </c>
      <c r="P134" s="8">
        <f t="shared" si="301"/>
        <v>1978.223</v>
      </c>
      <c r="Q134" s="8">
        <f t="shared" si="301"/>
        <v>2125.1570000000002</v>
      </c>
      <c r="R134" s="8">
        <f t="shared" si="301"/>
        <v>2022.9610000000002</v>
      </c>
      <c r="S134" s="8">
        <f>S127+S130</f>
        <v>2119.971</v>
      </c>
      <c r="T134" s="8">
        <f t="shared" ref="T134:V134" si="302">T127+T130</f>
        <v>1984.123</v>
      </c>
      <c r="U134" s="8">
        <f t="shared" si="302"/>
        <v>1891.71</v>
      </c>
      <c r="V134" s="8">
        <f t="shared" si="302"/>
        <v>1897.8150000000001</v>
      </c>
      <c r="W134" s="8">
        <f>W127+W130</f>
        <v>1867.6910000000003</v>
      </c>
      <c r="X134" s="8">
        <f>X127+X130</f>
        <v>1841.5729999999999</v>
      </c>
      <c r="Y134" s="8">
        <f t="shared" ref="Y134:Z134" si="303">Y127+Y130</f>
        <v>1670.9899999999998</v>
      </c>
      <c r="Z134" s="8">
        <f t="shared" si="303"/>
        <v>1805.8880000000001</v>
      </c>
      <c r="AA134" s="8">
        <f>AA127+AA130</f>
        <v>1837.1840000000002</v>
      </c>
      <c r="AB134" s="8">
        <f>AB127+AB130</f>
        <v>1821.98</v>
      </c>
      <c r="AC134" s="8">
        <f t="shared" ref="AC134:AD134" si="304">AC127+AC130</f>
        <v>1848.4889999999998</v>
      </c>
      <c r="AD134" s="8">
        <f t="shared" si="304"/>
        <v>1859.86</v>
      </c>
    </row>
    <row r="135" spans="2:30" ht="13.5" customHeight="1">
      <c r="J135" s="265"/>
      <c r="K135" s="265"/>
      <c r="L135" s="265"/>
      <c r="N135" s="28"/>
    </row>
    <row r="136" spans="2:30" ht="13.5" customHeight="1">
      <c r="B136" s="1" t="s">
        <v>298</v>
      </c>
      <c r="C136" s="8">
        <f t="shared" ref="C136:H136" si="305">0.7*C127</f>
        <v>837.84190000000001</v>
      </c>
      <c r="D136" s="8">
        <f t="shared" si="305"/>
        <v>1230.4214999999999</v>
      </c>
      <c r="E136" s="8">
        <f t="shared" si="305"/>
        <v>1068.7971</v>
      </c>
      <c r="F136" s="8">
        <f t="shared" si="305"/>
        <v>916.0899999999998</v>
      </c>
      <c r="G136" s="8">
        <f t="shared" si="305"/>
        <v>1021.3363999999999</v>
      </c>
      <c r="H136" s="8">
        <f t="shared" si="305"/>
        <v>1023.6358999999999</v>
      </c>
      <c r="J136" s="265"/>
      <c r="K136" s="265"/>
      <c r="L136" s="265"/>
      <c r="M136" s="8">
        <f t="shared" ref="M136:R136" si="306">0.7*M127</f>
        <v>837.84190000000001</v>
      </c>
      <c r="N136" s="8">
        <f t="shared" si="306"/>
        <v>910.20369999999991</v>
      </c>
      <c r="O136" s="8">
        <f t="shared" si="306"/>
        <v>941.3845</v>
      </c>
      <c r="P136" s="8">
        <f t="shared" si="306"/>
        <v>1131.8776</v>
      </c>
      <c r="Q136" s="8">
        <f t="shared" si="306"/>
        <v>1230.4214999999999</v>
      </c>
      <c r="R136" s="8">
        <f t="shared" si="306"/>
        <v>1162.5222000000001</v>
      </c>
      <c r="S136" s="8">
        <f t="shared" ref="S136:V136" si="307">0.7*S127</f>
        <v>1229.9461999999999</v>
      </c>
      <c r="T136" s="8">
        <f t="shared" si="307"/>
        <v>1130.9458999999999</v>
      </c>
      <c r="U136" s="8">
        <f t="shared" si="307"/>
        <v>1068.7971</v>
      </c>
      <c r="V136" s="8">
        <f t="shared" si="307"/>
        <v>1072.4587999999999</v>
      </c>
      <c r="W136" s="8">
        <f t="shared" ref="W136:Z136" si="308">0.7*W127</f>
        <v>1047.8405</v>
      </c>
      <c r="X136" s="8">
        <f t="shared" si="308"/>
        <v>1031.9742999999999</v>
      </c>
      <c r="Y136" s="8">
        <f t="shared" si="308"/>
        <v>916.0899999999998</v>
      </c>
      <c r="Z136" s="8">
        <f t="shared" si="308"/>
        <v>993.7088</v>
      </c>
      <c r="AA136" s="8">
        <f>0.7*AA127</f>
        <v>1010.8931000000001</v>
      </c>
      <c r="AB136" s="8">
        <f>0.7*AB127</f>
        <v>1002.8101999999999</v>
      </c>
      <c r="AC136" s="8">
        <f t="shared" ref="AC136:AD136" si="309">0.7*AC127</f>
        <v>1021.3363999999999</v>
      </c>
      <c r="AD136" s="8">
        <f t="shared" si="309"/>
        <v>1023.6358999999999</v>
      </c>
    </row>
    <row r="137" spans="2:30" ht="13.5" customHeight="1">
      <c r="B137" s="1" t="s">
        <v>299</v>
      </c>
      <c r="C137" s="8">
        <f t="shared" ref="C137:H137" si="310">C127-C136</f>
        <v>359.07510000000013</v>
      </c>
      <c r="D137" s="8">
        <f t="shared" si="310"/>
        <v>527.32349999999997</v>
      </c>
      <c r="E137" s="8">
        <f t="shared" si="310"/>
        <v>458.05590000000007</v>
      </c>
      <c r="F137" s="8">
        <f t="shared" si="310"/>
        <v>392.61</v>
      </c>
      <c r="G137" s="8">
        <f t="shared" si="310"/>
        <v>437.71559999999999</v>
      </c>
      <c r="H137" s="8">
        <f t="shared" si="310"/>
        <v>438.70110000000011</v>
      </c>
      <c r="J137" s="215"/>
      <c r="K137" s="215"/>
      <c r="L137" s="215"/>
      <c r="M137" s="8">
        <f t="shared" ref="M137:R137" si="311">M127-M136</f>
        <v>359.07510000000013</v>
      </c>
      <c r="N137" s="8">
        <f t="shared" si="311"/>
        <v>390.08730000000003</v>
      </c>
      <c r="O137" s="8">
        <f t="shared" si="311"/>
        <v>403.45050000000003</v>
      </c>
      <c r="P137" s="8">
        <f t="shared" si="311"/>
        <v>485.09040000000005</v>
      </c>
      <c r="Q137" s="8">
        <f t="shared" si="311"/>
        <v>527.32349999999997</v>
      </c>
      <c r="R137" s="8">
        <f t="shared" si="311"/>
        <v>498.22380000000021</v>
      </c>
      <c r="S137" s="8">
        <f t="shared" ref="S137:V137" si="312">S127-S136</f>
        <v>527.11980000000017</v>
      </c>
      <c r="T137" s="8">
        <f t="shared" si="312"/>
        <v>484.69110000000023</v>
      </c>
      <c r="U137" s="8">
        <f t="shared" si="312"/>
        <v>458.05590000000007</v>
      </c>
      <c r="V137" s="8">
        <f t="shared" si="312"/>
        <v>459.62520000000018</v>
      </c>
      <c r="W137" s="8">
        <f t="shared" ref="W137" si="313">W127-W136</f>
        <v>449.07450000000017</v>
      </c>
      <c r="X137" s="8">
        <f>X127-X136</f>
        <v>442.27470000000017</v>
      </c>
      <c r="Y137" s="8">
        <f t="shared" ref="Y137:Z137" si="314">Y127-Y136</f>
        <v>392.61</v>
      </c>
      <c r="Z137" s="8">
        <f t="shared" si="314"/>
        <v>425.87520000000006</v>
      </c>
      <c r="AA137" s="8">
        <f>AA127-AA136</f>
        <v>433.23990000000015</v>
      </c>
      <c r="AB137" s="8">
        <f>AB127-AB136</f>
        <v>429.77580000000012</v>
      </c>
      <c r="AC137" s="8">
        <f t="shared" ref="AC137:AD137" si="315">AC127-AC136</f>
        <v>437.71559999999999</v>
      </c>
      <c r="AD137" s="8">
        <f t="shared" si="315"/>
        <v>438.70110000000011</v>
      </c>
    </row>
    <row r="138" spans="2:30" ht="13.5" customHeight="1">
      <c r="J138" s="28"/>
      <c r="K138" s="28"/>
      <c r="L138" s="28"/>
      <c r="N138" s="28"/>
      <c r="R138" s="28"/>
      <c r="V138" s="28"/>
      <c r="Z138" s="28"/>
      <c r="AD138" s="28"/>
    </row>
    <row r="139" spans="2:30" ht="13.5" customHeight="1">
      <c r="J139" s="28"/>
      <c r="K139" s="28"/>
      <c r="L139" s="28"/>
      <c r="N139" s="28"/>
      <c r="R139" s="28"/>
      <c r="V139" s="28"/>
      <c r="Z139" s="28"/>
      <c r="AD139" s="28"/>
    </row>
    <row r="140" spans="2:30" ht="13.5" customHeight="1">
      <c r="B140" s="5" t="s">
        <v>300</v>
      </c>
      <c r="C140" s="4">
        <v>4888.1000000000004</v>
      </c>
      <c r="D140" s="4">
        <v>4952.3999999999996</v>
      </c>
      <c r="E140" s="4">
        <v>6781.7</v>
      </c>
      <c r="F140" s="4">
        <f>6.25*1000</f>
        <v>6250</v>
      </c>
      <c r="G140" s="4">
        <v>6286.3</v>
      </c>
      <c r="H140" s="6">
        <f>AD140</f>
        <v>5797.78</v>
      </c>
      <c r="J140" s="249"/>
      <c r="K140" s="249"/>
      <c r="L140" s="272"/>
      <c r="M140" s="6">
        <f>C140</f>
        <v>4888.1000000000004</v>
      </c>
      <c r="N140" s="4">
        <v>4484.7</v>
      </c>
      <c r="O140" s="4">
        <v>4125.3999999999996</v>
      </c>
      <c r="P140" s="4">
        <v>3348</v>
      </c>
      <c r="Q140" s="6">
        <f>D140</f>
        <v>4952.3999999999996</v>
      </c>
      <c r="R140" s="4">
        <v>5458.2</v>
      </c>
      <c r="S140" s="4">
        <f>6326</f>
        <v>6326</v>
      </c>
      <c r="T140" s="4">
        <v>5747</v>
      </c>
      <c r="U140" s="6">
        <f>E140</f>
        <v>6781.7</v>
      </c>
      <c r="V140" s="4">
        <v>7198</v>
      </c>
      <c r="W140" s="4">
        <v>6290</v>
      </c>
      <c r="X140" s="4">
        <v>6410</v>
      </c>
      <c r="Y140" s="6">
        <f>F140</f>
        <v>6250</v>
      </c>
      <c r="Z140" s="4">
        <v>7146.2</v>
      </c>
      <c r="AA140" s="4">
        <v>6040.2</v>
      </c>
      <c r="AB140" s="4">
        <v>5995.52</v>
      </c>
      <c r="AC140" s="143">
        <f t="shared" ref="AC140:AC141" si="316">G140</f>
        <v>6286.3</v>
      </c>
      <c r="AD140" s="4">
        <v>5797.78</v>
      </c>
    </row>
    <row r="141" spans="2:30" ht="13.5" customHeight="1">
      <c r="B141" s="1" t="s">
        <v>301</v>
      </c>
      <c r="C141" s="4">
        <v>1436.22</v>
      </c>
      <c r="D141" s="4">
        <v>1433.588</v>
      </c>
      <c r="E141" s="4">
        <v>1843.278</v>
      </c>
      <c r="F141" s="4">
        <v>1954.499</v>
      </c>
      <c r="G141" s="4">
        <v>2237.2260000000001</v>
      </c>
      <c r="H141" s="6">
        <f>AD141</f>
        <v>2316.5390000000002</v>
      </c>
      <c r="J141" s="249"/>
      <c r="K141" s="249"/>
      <c r="L141" s="249"/>
      <c r="M141" s="6">
        <f>C141</f>
        <v>1436.22</v>
      </c>
      <c r="N141" s="4">
        <v>1465.098</v>
      </c>
      <c r="O141" s="4">
        <v>1341.4069999999999</v>
      </c>
      <c r="P141" s="4">
        <v>1358.614</v>
      </c>
      <c r="Q141" s="6">
        <f>D141</f>
        <v>1433.588</v>
      </c>
      <c r="R141" s="4">
        <v>1543.5309999999999</v>
      </c>
      <c r="S141" s="4">
        <v>1558.23</v>
      </c>
      <c r="T141" s="4">
        <v>1663.6959999999999</v>
      </c>
      <c r="U141" s="6">
        <f>E141</f>
        <v>1843.278</v>
      </c>
      <c r="V141" s="4">
        <v>1872.9770000000001</v>
      </c>
      <c r="W141" s="4">
        <v>1848.0840000000001</v>
      </c>
      <c r="X141" s="4">
        <v>1946.076</v>
      </c>
      <c r="Y141" s="6">
        <f t="shared" ref="Y141" si="317">F141</f>
        <v>1954.499</v>
      </c>
      <c r="Z141" s="4">
        <v>2047.3679999999999</v>
      </c>
      <c r="AA141" s="4">
        <v>2077.7399999999998</v>
      </c>
      <c r="AB141" s="4">
        <v>2171.5149999999999</v>
      </c>
      <c r="AC141" s="143">
        <f t="shared" si="316"/>
        <v>2237.2260000000001</v>
      </c>
      <c r="AD141" s="4">
        <v>2316.5390000000002</v>
      </c>
    </row>
    <row r="142" spans="2:30" s="5" customFormat="1" ht="13.5" customHeight="1">
      <c r="B142" s="5" t="s">
        <v>302</v>
      </c>
      <c r="C142" s="8">
        <f t="shared" ref="C142:H142" si="318">C127+C141</f>
        <v>2633.1370000000002</v>
      </c>
      <c r="D142" s="8">
        <f t="shared" si="318"/>
        <v>3191.3329999999996</v>
      </c>
      <c r="E142" s="8">
        <f t="shared" si="318"/>
        <v>3370.1310000000003</v>
      </c>
      <c r="F142" s="8">
        <f t="shared" si="318"/>
        <v>3263.1989999999996</v>
      </c>
      <c r="G142" s="8">
        <f t="shared" si="318"/>
        <v>3696.2780000000002</v>
      </c>
      <c r="H142" s="8">
        <f t="shared" si="318"/>
        <v>3778.8760000000002</v>
      </c>
      <c r="J142" s="215"/>
      <c r="K142" s="215"/>
      <c r="L142" s="215"/>
      <c r="M142" s="8">
        <f t="shared" ref="M142:R142" si="319">M127+M141</f>
        <v>2633.1370000000002</v>
      </c>
      <c r="N142" s="8">
        <f t="shared" si="319"/>
        <v>2765.3890000000001</v>
      </c>
      <c r="O142" s="8">
        <f t="shared" si="319"/>
        <v>2686.2420000000002</v>
      </c>
      <c r="P142" s="8">
        <f t="shared" si="319"/>
        <v>2975.5820000000003</v>
      </c>
      <c r="Q142" s="8">
        <f t="shared" si="319"/>
        <v>3191.3329999999996</v>
      </c>
      <c r="R142" s="8">
        <f t="shared" si="319"/>
        <v>3204.277</v>
      </c>
      <c r="S142" s="8">
        <f>S127+S141</f>
        <v>3315.2960000000003</v>
      </c>
      <c r="T142" s="8">
        <f t="shared" ref="T142:V142" si="320">T127+T141</f>
        <v>3279.3330000000001</v>
      </c>
      <c r="U142" s="8">
        <f t="shared" si="320"/>
        <v>3370.1310000000003</v>
      </c>
      <c r="V142" s="8">
        <f t="shared" si="320"/>
        <v>3405.0610000000001</v>
      </c>
      <c r="W142" s="8">
        <f>W127+W141</f>
        <v>3344.9990000000003</v>
      </c>
      <c r="X142" s="8">
        <f>X127+X141</f>
        <v>3420.3249999999998</v>
      </c>
      <c r="Y142" s="8">
        <f t="shared" ref="Y142:Z142" si="321">Y127+Y141</f>
        <v>3263.1989999999996</v>
      </c>
      <c r="Z142" s="8">
        <f t="shared" si="321"/>
        <v>3466.9520000000002</v>
      </c>
      <c r="AA142" s="8">
        <f>AA127+AA141</f>
        <v>3521.873</v>
      </c>
      <c r="AB142" s="8">
        <f>AB127+AB141</f>
        <v>3604.1009999999997</v>
      </c>
      <c r="AC142" s="8">
        <f t="shared" ref="AC142:AD142" si="322">AC127+AC141</f>
        <v>3696.2780000000002</v>
      </c>
      <c r="AD142" s="8">
        <f t="shared" si="322"/>
        <v>3778.8760000000002</v>
      </c>
    </row>
    <row r="143" spans="2:30" s="5" customFormat="1" ht="13.5" customHeight="1">
      <c r="B143" s="5" t="s">
        <v>303</v>
      </c>
      <c r="C143" s="8">
        <f t="shared" ref="C143:H143" si="323">C126+C140</f>
        <v>5830.0490000000009</v>
      </c>
      <c r="D143" s="8">
        <f t="shared" si="323"/>
        <v>6426.280999999999</v>
      </c>
      <c r="E143" s="8">
        <f t="shared" si="323"/>
        <v>7958.5069999999996</v>
      </c>
      <c r="F143" s="8">
        <f t="shared" si="323"/>
        <v>7218.366</v>
      </c>
      <c r="G143" s="8">
        <f t="shared" si="323"/>
        <v>7334.1270000000004</v>
      </c>
      <c r="H143" s="8">
        <f t="shared" si="323"/>
        <v>6840.9989999999998</v>
      </c>
      <c r="J143" s="215"/>
      <c r="K143" s="215"/>
      <c r="L143" s="215"/>
      <c r="M143" s="8">
        <f t="shared" ref="M143:R143" si="324">M126+M140</f>
        <v>5830.049</v>
      </c>
      <c r="N143" s="8">
        <f t="shared" si="324"/>
        <v>5493.7389999999996</v>
      </c>
      <c r="O143" s="8">
        <f t="shared" si="324"/>
        <v>5234.6379999999999</v>
      </c>
      <c r="P143" s="8">
        <f t="shared" si="324"/>
        <v>4733.0560000000005</v>
      </c>
      <c r="Q143" s="8">
        <f t="shared" si="324"/>
        <v>6426.280999999999</v>
      </c>
      <c r="R143" s="8">
        <f t="shared" si="324"/>
        <v>6830.598</v>
      </c>
      <c r="S143" s="8">
        <f>S126+S140</f>
        <v>7822.6440000000002</v>
      </c>
      <c r="T143" s="8">
        <f t="shared" ref="T143:V143" si="325">T126+T140</f>
        <v>7024.6120000000001</v>
      </c>
      <c r="U143" s="8">
        <f t="shared" si="325"/>
        <v>7958.5069999999996</v>
      </c>
      <c r="V143" s="8">
        <f t="shared" si="325"/>
        <v>8247.6190000000006</v>
      </c>
      <c r="W143" s="8">
        <f>W126+W140</f>
        <v>7346.7300000000005</v>
      </c>
      <c r="X143" s="8">
        <f>X126+X140</f>
        <v>7386.1580000000004</v>
      </c>
      <c r="Y143" s="8">
        <f t="shared" ref="Y143:Z143" si="326">Y126+Y140</f>
        <v>7218.366</v>
      </c>
      <c r="Z143" s="8">
        <f t="shared" si="326"/>
        <v>8179.4169999999995</v>
      </c>
      <c r="AA143" s="8">
        <f>AA126+AA140</f>
        <v>7131.8050000000003</v>
      </c>
      <c r="AB143" s="8">
        <f>AB126+AB140</f>
        <v>6972.4639999999999</v>
      </c>
      <c r="AC143" s="8">
        <f t="shared" ref="AC143:AD143" si="327">AC126+AC140</f>
        <v>7334.1270000000004</v>
      </c>
      <c r="AD143" s="8">
        <f t="shared" si="327"/>
        <v>6840.9989999999998</v>
      </c>
    </row>
    <row r="144" spans="2:30" ht="13.5" customHeight="1">
      <c r="C144" s="61"/>
      <c r="D144" s="61"/>
      <c r="E144" s="61"/>
      <c r="F144" s="61"/>
      <c r="G144" s="61"/>
      <c r="H144" s="61"/>
      <c r="L144" s="61"/>
    </row>
    <row r="145" spans="2:30" ht="13.5" customHeight="1">
      <c r="B145" s="16" t="s">
        <v>304</v>
      </c>
      <c r="C145" s="47">
        <f>+C3</f>
        <v>44531</v>
      </c>
      <c r="D145" s="47">
        <f>+D3</f>
        <v>44896</v>
      </c>
      <c r="E145" s="47">
        <f>+E3</f>
        <v>45261</v>
      </c>
      <c r="F145" s="47">
        <f>+F3</f>
        <v>45627</v>
      </c>
      <c r="G145" s="47">
        <f>+G3</f>
        <v>45992</v>
      </c>
      <c r="H145" s="47">
        <f>+H3</f>
        <v>46111</v>
      </c>
      <c r="J145" s="47">
        <f>+J3</f>
        <v>44285</v>
      </c>
      <c r="K145" s="253">
        <f>+K3</f>
        <v>44377</v>
      </c>
      <c r="L145" s="253">
        <f>+L3</f>
        <v>44469</v>
      </c>
      <c r="M145" s="47">
        <f>+M3</f>
        <v>44561</v>
      </c>
      <c r="N145" s="47">
        <f>+N3</f>
        <v>44650</v>
      </c>
      <c r="O145" s="47">
        <f>+O3</f>
        <v>44742</v>
      </c>
      <c r="P145" s="47">
        <f>+P3</f>
        <v>44834</v>
      </c>
      <c r="Q145" s="47">
        <f>+Q3</f>
        <v>44926</v>
      </c>
      <c r="R145" s="47">
        <f>+R3</f>
        <v>45015</v>
      </c>
      <c r="S145" s="47">
        <f>+S3</f>
        <v>45107</v>
      </c>
      <c r="T145" s="47">
        <f>+T3</f>
        <v>45199</v>
      </c>
      <c r="U145" s="47">
        <f>+U3</f>
        <v>45291</v>
      </c>
      <c r="V145" s="47">
        <f>+V3</f>
        <v>45381</v>
      </c>
      <c r="W145" s="47">
        <f>+W3</f>
        <v>45473</v>
      </c>
      <c r="X145" s="47">
        <f>+X3</f>
        <v>45565</v>
      </c>
      <c r="Y145" s="47">
        <f>+Y3</f>
        <v>45657</v>
      </c>
      <c r="Z145" s="47">
        <f>+Z3</f>
        <v>45746</v>
      </c>
      <c r="AA145" s="47">
        <f>+AA3</f>
        <v>45838</v>
      </c>
      <c r="AB145" s="47">
        <f>+AB3</f>
        <v>45930</v>
      </c>
      <c r="AC145" s="47">
        <f>+AC3</f>
        <v>46022</v>
      </c>
      <c r="AD145" s="47">
        <f>+AD3</f>
        <v>46111</v>
      </c>
    </row>
    <row r="146" spans="2:30" ht="13.5" customHeight="1">
      <c r="B146" s="5"/>
    </row>
    <row r="147" spans="2:30" s="5" customFormat="1" ht="13.5" customHeight="1">
      <c r="B147" s="5" t="s">
        <v>305</v>
      </c>
      <c r="C147" s="330">
        <f t="shared" ref="C147:H147" si="328">+C121/C91</f>
        <v>1.2806223998694837</v>
      </c>
      <c r="D147" s="330">
        <f t="shared" si="328"/>
        <v>1.8222022486357103</v>
      </c>
      <c r="E147" s="330">
        <f t="shared" si="328"/>
        <v>1.1694499901122046</v>
      </c>
      <c r="F147" s="330">
        <f t="shared" si="328"/>
        <v>0.85612766333657486</v>
      </c>
      <c r="G147" s="330">
        <f t="shared" si="328"/>
        <v>0.92238292253521104</v>
      </c>
      <c r="H147" s="330">
        <f t="shared" si="328"/>
        <v>0.92986808093412976</v>
      </c>
      <c r="I147" s="331"/>
      <c r="J147" s="332"/>
      <c r="K147" s="332"/>
      <c r="L147" s="332"/>
      <c r="M147" s="330">
        <f t="shared" ref="M147:AC147" si="329">+M121/M91</f>
        <v>1.2806223998694835</v>
      </c>
      <c r="N147" s="330">
        <f t="shared" si="329"/>
        <v>1.3785711432760279</v>
      </c>
      <c r="O147" s="330">
        <f t="shared" si="329"/>
        <v>1.5156722822728508</v>
      </c>
      <c r="P147" s="330">
        <f t="shared" si="329"/>
        <v>1.8305215938478991</v>
      </c>
      <c r="Q147" s="330">
        <f t="shared" si="329"/>
        <v>1.8222022486357103</v>
      </c>
      <c r="R147" s="330">
        <f t="shared" si="329"/>
        <v>1.6059966344702337</v>
      </c>
      <c r="S147" s="330">
        <f t="shared" si="329"/>
        <v>1.6411541911472829</v>
      </c>
      <c r="T147" s="330">
        <f t="shared" si="329"/>
        <v>1.3004399223977705</v>
      </c>
      <c r="U147" s="330">
        <f t="shared" si="329"/>
        <v>1.1694499901122049</v>
      </c>
      <c r="V147" s="330">
        <f t="shared" si="329"/>
        <v>0.99012160276806493</v>
      </c>
      <c r="W147" s="330">
        <f t="shared" si="329"/>
        <v>0.95858003194873742</v>
      </c>
      <c r="X147" s="330">
        <f t="shared" si="329"/>
        <v>0.87792598375200492</v>
      </c>
      <c r="Y147" s="330">
        <f t="shared" si="329"/>
        <v>0.8561276633365752</v>
      </c>
      <c r="Z147" s="330">
        <f t="shared" si="329"/>
        <v>0.90418920101513978</v>
      </c>
      <c r="AA147" s="330">
        <f t="shared" si="329"/>
        <v>0.95245179303725724</v>
      </c>
      <c r="AB147" s="330">
        <f t="shared" si="329"/>
        <v>0.84892596454640246</v>
      </c>
      <c r="AC147" s="330">
        <f t="shared" si="329"/>
        <v>0.92238292253521104</v>
      </c>
      <c r="AD147" s="330">
        <f>+AD121/AD91</f>
        <v>0.92986808093412976</v>
      </c>
    </row>
    <row r="148" spans="2:30" ht="13.5" customHeight="1">
      <c r="B148" s="1" t="s">
        <v>306</v>
      </c>
      <c r="C148" s="31">
        <f t="shared" ref="C148:H148" si="330">+C122/C91</f>
        <v>1.6272629632650841</v>
      </c>
      <c r="D148" s="31">
        <f t="shared" si="330"/>
        <v>2.1731516258966477</v>
      </c>
      <c r="E148" s="31">
        <f t="shared" si="330"/>
        <v>1.5173076177765683</v>
      </c>
      <c r="F148" s="31">
        <f t="shared" si="330"/>
        <v>1.1570152948457253</v>
      </c>
      <c r="G148" s="31">
        <f t="shared" si="330"/>
        <v>1.2843767605633802</v>
      </c>
      <c r="H148" s="31">
        <f t="shared" si="330"/>
        <v>1.3034468312683842</v>
      </c>
      <c r="J148" s="222"/>
      <c r="K148" s="222"/>
      <c r="L148" s="222"/>
      <c r="M148" s="31">
        <f t="shared" ref="M148:AC148" si="331">+M122/M91</f>
        <v>1.6272629632650841</v>
      </c>
      <c r="N148" s="31">
        <f t="shared" si="331"/>
        <v>1.7764859935656894</v>
      </c>
      <c r="O148" s="31">
        <f t="shared" si="331"/>
        <v>1.8375940363839043</v>
      </c>
      <c r="P148" s="31">
        <f t="shared" si="331"/>
        <v>2.1370217814738535</v>
      </c>
      <c r="Q148" s="31">
        <f t="shared" si="331"/>
        <v>2.1731516258966477</v>
      </c>
      <c r="R148" s="31">
        <f t="shared" si="331"/>
        <v>1.9434249297287685</v>
      </c>
      <c r="S148" s="31">
        <f t="shared" si="331"/>
        <v>1.9267215383366998</v>
      </c>
      <c r="T148" s="31">
        <f t="shared" si="331"/>
        <v>1.6445046343514047</v>
      </c>
      <c r="U148" s="31">
        <f t="shared" si="331"/>
        <v>1.5173076177765683</v>
      </c>
      <c r="V148" s="31">
        <f t="shared" si="331"/>
        <v>1.4452381918156092</v>
      </c>
      <c r="W148" s="31">
        <f t="shared" si="331"/>
        <v>1.357880280227252</v>
      </c>
      <c r="X148" s="31">
        <f t="shared" si="331"/>
        <v>1.3258934553836668</v>
      </c>
      <c r="Y148" s="31">
        <f t="shared" si="331"/>
        <v>1.1570152948457253</v>
      </c>
      <c r="Z148" s="31">
        <f t="shared" si="331"/>
        <v>1.2423068171873635</v>
      </c>
      <c r="AA148" s="31">
        <f t="shared" si="331"/>
        <v>1.2600410086379901</v>
      </c>
      <c r="AB148" s="31">
        <f t="shared" si="331"/>
        <v>1.244860966284324</v>
      </c>
      <c r="AC148" s="31">
        <f t="shared" si="331"/>
        <v>1.2843767605633802</v>
      </c>
      <c r="AD148" s="31">
        <f t="shared" ref="AD148" si="332">+AD122/AD91</f>
        <v>1.3034468312683842</v>
      </c>
    </row>
    <row r="149" spans="2:30" ht="13.5" customHeight="1">
      <c r="C149" s="101"/>
      <c r="D149" s="101"/>
      <c r="E149" s="101"/>
      <c r="F149" s="101"/>
      <c r="G149" s="101"/>
      <c r="H149" s="101"/>
      <c r="J149"/>
      <c r="K149"/>
      <c r="L149"/>
      <c r="M149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</row>
    <row r="150" spans="2:30" ht="13.5" customHeight="1">
      <c r="B150" s="5" t="s">
        <v>307</v>
      </c>
      <c r="C150" s="330">
        <f t="shared" ref="C150:H150" si="333">C126/C91</f>
        <v>1.2806223998694837</v>
      </c>
      <c r="D150" s="330">
        <f t="shared" si="333"/>
        <v>1.8222022486357103</v>
      </c>
      <c r="E150" s="330">
        <f t="shared" si="333"/>
        <v>1.1694499901122046</v>
      </c>
      <c r="F150" s="330">
        <f t="shared" si="333"/>
        <v>0.85612766333657486</v>
      </c>
      <c r="G150" s="330">
        <f t="shared" si="333"/>
        <v>0.92238292253521104</v>
      </c>
      <c r="H150" s="330">
        <f t="shared" si="333"/>
        <v>0.92986808093412976</v>
      </c>
      <c r="I150" s="331"/>
      <c r="J150" s="332"/>
      <c r="K150" s="332"/>
      <c r="L150" s="332"/>
      <c r="M150" s="330">
        <f t="shared" ref="M150:AC150" si="334">M126/M91</f>
        <v>1.2806223998694835</v>
      </c>
      <c r="N150" s="330">
        <f t="shared" si="334"/>
        <v>1.3785711432760279</v>
      </c>
      <c r="O150" s="330">
        <f t="shared" si="334"/>
        <v>1.5156722822728508</v>
      </c>
      <c r="P150" s="330">
        <f t="shared" si="334"/>
        <v>1.8305215938478991</v>
      </c>
      <c r="Q150" s="330">
        <f t="shared" si="334"/>
        <v>1.8222022486357103</v>
      </c>
      <c r="R150" s="330">
        <f t="shared" si="334"/>
        <v>1.6059966344702337</v>
      </c>
      <c r="S150" s="330">
        <f t="shared" si="334"/>
        <v>1.6411541911472829</v>
      </c>
      <c r="T150" s="330">
        <f t="shared" si="334"/>
        <v>1.3004399223977705</v>
      </c>
      <c r="U150" s="330">
        <f t="shared" si="334"/>
        <v>1.1694499901122049</v>
      </c>
      <c r="V150" s="330">
        <f t="shared" si="334"/>
        <v>0.99012160276806493</v>
      </c>
      <c r="W150" s="330">
        <f t="shared" si="334"/>
        <v>0.95858003194873742</v>
      </c>
      <c r="X150" s="330">
        <f t="shared" si="334"/>
        <v>0.87792598375200492</v>
      </c>
      <c r="Y150" s="330">
        <f t="shared" si="334"/>
        <v>0.8561276633365752</v>
      </c>
      <c r="Z150" s="330">
        <f t="shared" si="334"/>
        <v>0.90418920101513978</v>
      </c>
      <c r="AA150" s="330">
        <f t="shared" si="334"/>
        <v>0.95245179303725724</v>
      </c>
      <c r="AB150" s="330">
        <f t="shared" si="334"/>
        <v>0.84892596454640246</v>
      </c>
      <c r="AC150" s="330">
        <f t="shared" si="334"/>
        <v>0.92238292253521104</v>
      </c>
      <c r="AD150" s="330">
        <f>AD126/AD91</f>
        <v>0.92986808093412976</v>
      </c>
    </row>
    <row r="151" spans="2:30" ht="13.5" customHeight="1">
      <c r="B151" s="1" t="s">
        <v>308</v>
      </c>
      <c r="C151" s="31">
        <f t="shared" ref="C151:H151" si="335">C127/C91</f>
        <v>1.6272629632650841</v>
      </c>
      <c r="D151" s="31">
        <f t="shared" si="335"/>
        <v>2.1731516258966477</v>
      </c>
      <c r="E151" s="31">
        <f t="shared" si="335"/>
        <v>1.5173076177765683</v>
      </c>
      <c r="F151" s="31">
        <f t="shared" si="335"/>
        <v>1.1570152948457253</v>
      </c>
      <c r="G151" s="31">
        <f t="shared" si="335"/>
        <v>1.2843767605633802</v>
      </c>
      <c r="H151" s="31">
        <f t="shared" si="335"/>
        <v>1.3034468312683842</v>
      </c>
      <c r="J151" s="222"/>
      <c r="K151" s="222"/>
      <c r="L151" s="222"/>
      <c r="M151" s="31">
        <f t="shared" ref="M151:AC151" si="336">M127/M91</f>
        <v>1.6272629632650841</v>
      </c>
      <c r="N151" s="31">
        <f t="shared" si="336"/>
        <v>1.7764859935656894</v>
      </c>
      <c r="O151" s="31">
        <f t="shared" si="336"/>
        <v>1.8375940363839043</v>
      </c>
      <c r="P151" s="31">
        <f t="shared" si="336"/>
        <v>2.1370217814738535</v>
      </c>
      <c r="Q151" s="31">
        <f t="shared" si="336"/>
        <v>2.1731516258966477</v>
      </c>
      <c r="R151" s="31">
        <f t="shared" si="336"/>
        <v>1.9434249297287685</v>
      </c>
      <c r="S151" s="31">
        <f t="shared" si="336"/>
        <v>1.9267215383366998</v>
      </c>
      <c r="T151" s="31">
        <f t="shared" si="336"/>
        <v>1.6445046343514047</v>
      </c>
      <c r="U151" s="31">
        <f t="shared" si="336"/>
        <v>1.5173076177765683</v>
      </c>
      <c r="V151" s="31">
        <f t="shared" si="336"/>
        <v>1.4452381918156092</v>
      </c>
      <c r="W151" s="31">
        <f t="shared" si="336"/>
        <v>1.357880280227252</v>
      </c>
      <c r="X151" s="31">
        <f t="shared" si="336"/>
        <v>1.3258934553836668</v>
      </c>
      <c r="Y151" s="31">
        <f t="shared" si="336"/>
        <v>1.1570152948457253</v>
      </c>
      <c r="Z151" s="31">
        <f t="shared" si="336"/>
        <v>1.2423068171873635</v>
      </c>
      <c r="AA151" s="31">
        <f t="shared" si="336"/>
        <v>1.2600410086379901</v>
      </c>
      <c r="AB151" s="31">
        <f t="shared" si="336"/>
        <v>1.244860966284324</v>
      </c>
      <c r="AC151" s="31">
        <f t="shared" si="336"/>
        <v>1.2843767605633802</v>
      </c>
      <c r="AD151" s="31">
        <f t="shared" ref="AD151" si="337">AD127/AD91</f>
        <v>1.3034468312683842</v>
      </c>
    </row>
    <row r="152" spans="2:30" ht="13.5" customHeight="1">
      <c r="C152" s="101"/>
      <c r="D152" s="101"/>
      <c r="E152" s="101"/>
      <c r="F152" s="101"/>
      <c r="G152" s="101"/>
      <c r="H152" s="101"/>
      <c r="J152"/>
      <c r="K152"/>
      <c r="L152"/>
      <c r="N152" s="31"/>
    </row>
    <row r="153" spans="2:30" ht="13.5" customHeight="1">
      <c r="B153" s="1" t="s">
        <v>309</v>
      </c>
      <c r="C153" s="330">
        <f t="shared" ref="C153:H153" si="338">C133/C91</f>
        <v>1.7144261359001551</v>
      </c>
      <c r="D153" s="330">
        <f t="shared" si="338"/>
        <v>2.2764444653246723</v>
      </c>
      <c r="E153" s="330">
        <f t="shared" si="338"/>
        <v>1.5320260242812473</v>
      </c>
      <c r="F153" s="330">
        <f t="shared" si="338"/>
        <v>1.1764264874900539</v>
      </c>
      <c r="G153" s="330">
        <f t="shared" si="338"/>
        <v>1.2651971830985913</v>
      </c>
      <c r="H153" s="330">
        <f t="shared" si="338"/>
        <v>1.2841982351368215</v>
      </c>
      <c r="I153" s="331"/>
      <c r="J153" s="332"/>
      <c r="K153" s="332"/>
      <c r="L153" s="332"/>
      <c r="M153" s="330">
        <f t="shared" ref="M153:AC153" si="339">M133/M91</f>
        <v>1.7144261359001549</v>
      </c>
      <c r="N153" s="330">
        <f t="shared" si="339"/>
        <v>1.8431193663093184</v>
      </c>
      <c r="O153" s="330">
        <f t="shared" si="339"/>
        <v>2.0137555253046435</v>
      </c>
      <c r="P153" s="330">
        <f t="shared" si="339"/>
        <v>2.3079644397584782</v>
      </c>
      <c r="Q153" s="330">
        <f t="shared" si="339"/>
        <v>2.2764444653246723</v>
      </c>
      <c r="R153" s="330">
        <f t="shared" si="339"/>
        <v>2.0298649809372464</v>
      </c>
      <c r="S153" s="330">
        <f t="shared" si="339"/>
        <v>2.0390999028451247</v>
      </c>
      <c r="T153" s="330">
        <f t="shared" si="339"/>
        <v>1.6755099007986189</v>
      </c>
      <c r="U153" s="330">
        <f t="shared" si="339"/>
        <v>1.5320260242812476</v>
      </c>
      <c r="V153" s="330">
        <f t="shared" si="339"/>
        <v>1.3351212301585438</v>
      </c>
      <c r="W153" s="330">
        <f t="shared" si="339"/>
        <v>1.2949180463193193</v>
      </c>
      <c r="X153" s="330">
        <f t="shared" si="339"/>
        <v>1.2082857042641773</v>
      </c>
      <c r="Y153" s="330">
        <f t="shared" si="339"/>
        <v>1.1764264874900541</v>
      </c>
      <c r="Z153" s="330">
        <f t="shared" si="339"/>
        <v>1.2422516846066338</v>
      </c>
      <c r="AA153" s="330">
        <f t="shared" si="339"/>
        <v>1.2953983073030282</v>
      </c>
      <c r="AB153" s="330">
        <f t="shared" si="339"/>
        <v>1.1872940563086549</v>
      </c>
      <c r="AC153" s="330">
        <f t="shared" si="339"/>
        <v>1.2651971830985913</v>
      </c>
      <c r="AD153" s="330">
        <f>AD133/AD91</f>
        <v>1.2841982351368215</v>
      </c>
    </row>
    <row r="154" spans="2:30" ht="13.5" customHeight="1">
      <c r="B154" s="1" t="s">
        <v>310</v>
      </c>
      <c r="C154" s="31">
        <f t="shared" ref="C154:H154" si="340">C134/C91</f>
        <v>2.0610666992957554</v>
      </c>
      <c r="D154" s="31">
        <f t="shared" si="340"/>
        <v>2.6273938425856098</v>
      </c>
      <c r="E154" s="31">
        <f t="shared" si="340"/>
        <v>1.879883651945611</v>
      </c>
      <c r="F154" s="31">
        <f t="shared" si="340"/>
        <v>1.4773141189992043</v>
      </c>
      <c r="G154" s="31">
        <f t="shared" si="340"/>
        <v>1.6271910211267604</v>
      </c>
      <c r="H154" s="31">
        <f t="shared" si="340"/>
        <v>1.657776985471076</v>
      </c>
      <c r="J154" s="222"/>
      <c r="K154" s="222"/>
      <c r="L154" s="222"/>
      <c r="M154" s="31">
        <f t="shared" ref="M154:AC154" si="341">M134/M91</f>
        <v>2.0610666992957554</v>
      </c>
      <c r="N154" s="31">
        <f t="shared" si="341"/>
        <v>2.2410342165989796</v>
      </c>
      <c r="O154" s="31">
        <f t="shared" si="341"/>
        <v>2.3356772794156968</v>
      </c>
      <c r="P154" s="31">
        <f t="shared" si="341"/>
        <v>2.6144646273844323</v>
      </c>
      <c r="Q154" s="31">
        <f t="shared" si="341"/>
        <v>2.6273938425856098</v>
      </c>
      <c r="R154" s="31">
        <f t="shared" si="341"/>
        <v>2.3672932761957814</v>
      </c>
      <c r="S154" s="31">
        <f t="shared" si="341"/>
        <v>2.3246672500345413</v>
      </c>
      <c r="T154" s="31">
        <f t="shared" si="341"/>
        <v>2.0195746127522529</v>
      </c>
      <c r="U154" s="31">
        <f t="shared" si="341"/>
        <v>1.879883651945611</v>
      </c>
      <c r="V154" s="31">
        <f t="shared" si="341"/>
        <v>1.7902378192060879</v>
      </c>
      <c r="W154" s="31">
        <f t="shared" si="341"/>
        <v>1.6942182945978341</v>
      </c>
      <c r="X154" s="31">
        <f t="shared" si="341"/>
        <v>1.6562531758958392</v>
      </c>
      <c r="Y154" s="31">
        <f t="shared" si="341"/>
        <v>1.4773141189992043</v>
      </c>
      <c r="Z154" s="31">
        <f t="shared" si="341"/>
        <v>1.5803693007788575</v>
      </c>
      <c r="AA154" s="31">
        <f t="shared" si="341"/>
        <v>1.6029875229037609</v>
      </c>
      <c r="AB154" s="31">
        <f t="shared" si="341"/>
        <v>1.5832290580465764</v>
      </c>
      <c r="AC154" s="31">
        <f t="shared" si="341"/>
        <v>1.6271910211267604</v>
      </c>
      <c r="AD154" s="31">
        <f t="shared" ref="AD154" si="342">AD134/AD91</f>
        <v>1.657776985471076</v>
      </c>
    </row>
    <row r="155" spans="2:30" ht="13.5" customHeight="1">
      <c r="C155" s="101"/>
      <c r="D155" s="101"/>
      <c r="E155" s="101"/>
      <c r="F155" s="101"/>
      <c r="G155" s="101"/>
      <c r="H155" s="101"/>
      <c r="J155"/>
      <c r="K155"/>
      <c r="L155"/>
      <c r="N155" s="31"/>
    </row>
    <row r="156" spans="2:30" s="5" customFormat="1" ht="13.5" customHeight="1">
      <c r="B156" s="5" t="s">
        <v>311</v>
      </c>
      <c r="C156" s="330">
        <f t="shared" ref="C156:H156" si="343">+(C91-C97)/C95</f>
        <v>9.848472529929472</v>
      </c>
      <c r="D156" s="330">
        <f t="shared" si="343"/>
        <v>6.816683103659674</v>
      </c>
      <c r="E156" s="330">
        <f t="shared" si="343"/>
        <v>6.4228864095412108</v>
      </c>
      <c r="F156" s="330">
        <f t="shared" si="343"/>
        <v>8.8711661807580153</v>
      </c>
      <c r="G156" s="330">
        <f t="shared" si="343"/>
        <v>7.8845773181802681</v>
      </c>
      <c r="H156" s="330">
        <f t="shared" si="343"/>
        <v>7.8842877262890312</v>
      </c>
      <c r="I156" s="331"/>
      <c r="J156" s="332"/>
      <c r="K156" s="332"/>
      <c r="L156" s="332"/>
      <c r="M156" s="330">
        <f t="shared" ref="M156:AC156" si="344">+(M91-M97)/M95</f>
        <v>9.848472529929472</v>
      </c>
      <c r="N156" s="330">
        <f t="shared" si="344"/>
        <v>9.3989350923647823</v>
      </c>
      <c r="O156" s="330">
        <f t="shared" si="344"/>
        <v>7.4519559438756824</v>
      </c>
      <c r="P156" s="330">
        <f t="shared" si="344"/>
        <v>7.4774951572168309</v>
      </c>
      <c r="Q156" s="330">
        <f t="shared" si="344"/>
        <v>6.816683103659674</v>
      </c>
      <c r="R156" s="330">
        <f t="shared" si="344"/>
        <v>6.1397408806642328</v>
      </c>
      <c r="S156" s="330">
        <f t="shared" si="344"/>
        <v>5.7921238511676965</v>
      </c>
      <c r="T156" s="330">
        <f t="shared" si="344"/>
        <v>6.0756956210087321</v>
      </c>
      <c r="U156" s="330">
        <f t="shared" si="344"/>
        <v>6.4228864095412108</v>
      </c>
      <c r="V156" s="330">
        <f t="shared" si="344"/>
        <v>7.1619771798939977</v>
      </c>
      <c r="W156" s="330">
        <f t="shared" si="344"/>
        <v>8.0690838568989971</v>
      </c>
      <c r="X156" s="330">
        <f t="shared" si="344"/>
        <v>8.5984746946557635</v>
      </c>
      <c r="Y156" s="330">
        <f t="shared" si="344"/>
        <v>8.8711661807580153</v>
      </c>
      <c r="Z156" s="330">
        <f t="shared" si="344"/>
        <v>9.5516985335065865</v>
      </c>
      <c r="AA156" s="330">
        <f t="shared" si="344"/>
        <v>9.2030354669297534</v>
      </c>
      <c r="AB156" s="330">
        <f t="shared" si="344"/>
        <v>8.5353590556344958</v>
      </c>
      <c r="AC156" s="330">
        <f t="shared" si="344"/>
        <v>7.8845773181802681</v>
      </c>
      <c r="AD156" s="330">
        <f t="shared" ref="AD156" si="345">+(AD91-AD97)/AD95</f>
        <v>7.8842877262890312</v>
      </c>
    </row>
    <row r="157" spans="2:30" ht="13.5" customHeight="1">
      <c r="B157" s="1" t="s">
        <v>312</v>
      </c>
      <c r="C157" s="31">
        <f t="shared" ref="C157:H157" si="346">+C91/C95</f>
        <v>14.950303867964799</v>
      </c>
      <c r="D157" s="31">
        <f t="shared" si="346"/>
        <v>10.779726523975796</v>
      </c>
      <c r="E157" s="31">
        <f t="shared" si="346"/>
        <v>8.0655557692924216</v>
      </c>
      <c r="F157" s="31">
        <f t="shared" si="346"/>
        <v>10.992225461613215</v>
      </c>
      <c r="G157" s="31">
        <f t="shared" si="346"/>
        <v>9.692501962390363</v>
      </c>
      <c r="H157" s="31">
        <f t="shared" si="346"/>
        <v>9.6346741781457172</v>
      </c>
      <c r="J157" s="222"/>
      <c r="K157" s="222"/>
      <c r="L157" s="222"/>
      <c r="M157" s="31">
        <f t="shared" ref="M157:AC157" si="347">+M91/M95</f>
        <v>14.950303867964799</v>
      </c>
      <c r="N157" s="31">
        <f t="shared" si="347"/>
        <v>14.94816555208522</v>
      </c>
      <c r="O157" s="31">
        <f t="shared" si="347"/>
        <v>12.647557237211327</v>
      </c>
      <c r="P157" s="31">
        <f t="shared" si="347"/>
        <v>11.878344954071995</v>
      </c>
      <c r="Q157" s="31">
        <f t="shared" si="347"/>
        <v>10.779726523975796</v>
      </c>
      <c r="R157" s="31">
        <f t="shared" si="347"/>
        <v>9.1198266845958464</v>
      </c>
      <c r="S157" s="31">
        <f t="shared" si="347"/>
        <v>8.290192085670391</v>
      </c>
      <c r="T157" s="31">
        <f t="shared" si="347"/>
        <v>8.0024599244102692</v>
      </c>
      <c r="U157" s="31">
        <f t="shared" si="347"/>
        <v>8.0655557692924216</v>
      </c>
      <c r="V157" s="31">
        <f t="shared" si="347"/>
        <v>8.9465195962596589</v>
      </c>
      <c r="W157" s="31">
        <f t="shared" si="347"/>
        <v>9.8521891449867258</v>
      </c>
      <c r="X157" s="31">
        <f t="shared" si="347"/>
        <v>10.494884186283574</v>
      </c>
      <c r="Y157" s="31">
        <f t="shared" si="347"/>
        <v>10.992225461613215</v>
      </c>
      <c r="Z157" s="31">
        <f t="shared" si="347"/>
        <v>11.784543035703233</v>
      </c>
      <c r="AA157" s="31">
        <f t="shared" si="347"/>
        <v>11.421367853548185</v>
      </c>
      <c r="AB157" s="31">
        <f t="shared" si="347"/>
        <v>10.48201989288447</v>
      </c>
      <c r="AC157" s="31">
        <f t="shared" si="347"/>
        <v>9.692501962390363</v>
      </c>
      <c r="AD157" s="31">
        <f t="shared" ref="AD157" si="348">+AD91/AD95</f>
        <v>9.6346741781457172</v>
      </c>
    </row>
    <row r="158" spans="2:30" ht="13.5" customHeight="1">
      <c r="C158" s="9"/>
      <c r="D158" s="9"/>
      <c r="E158" s="9"/>
      <c r="F158" s="9"/>
      <c r="G158" s="9"/>
      <c r="H158" s="9"/>
      <c r="J158"/>
      <c r="K158"/>
      <c r="L158"/>
      <c r="N158" s="9"/>
    </row>
    <row r="159" spans="2:30" s="5" customFormat="1" ht="13.5" customHeight="1">
      <c r="B159" s="5" t="s">
        <v>313</v>
      </c>
      <c r="C159" s="71">
        <f t="shared" ref="C159:H159" si="349">C126/C141</f>
        <v>0.65585286376738949</v>
      </c>
      <c r="D159" s="71">
        <f t="shared" si="349"/>
        <v>1.0281064015602808</v>
      </c>
      <c r="E159" s="71">
        <f t="shared" si="349"/>
        <v>0.63843164189015444</v>
      </c>
      <c r="F159" s="71">
        <f t="shared" si="349"/>
        <v>0.49545484546167573</v>
      </c>
      <c r="G159" s="71">
        <f t="shared" si="349"/>
        <v>0.46835992429910955</v>
      </c>
      <c r="H159" s="71">
        <f t="shared" si="349"/>
        <v>0.45033517674427237</v>
      </c>
      <c r="J159" s="273"/>
      <c r="K159" s="273"/>
      <c r="L159" s="273"/>
      <c r="M159" s="71">
        <f t="shared" ref="M159:R159" si="350">M126/M141</f>
        <v>0.65585286376738938</v>
      </c>
      <c r="N159" s="71">
        <f t="shared" si="350"/>
        <v>0.68871775130400836</v>
      </c>
      <c r="O159" s="71">
        <f t="shared" si="350"/>
        <v>0.82692128488967187</v>
      </c>
      <c r="P159" s="71">
        <f t="shared" si="350"/>
        <v>1.0194624816172952</v>
      </c>
      <c r="Q159" s="71">
        <f t="shared" si="350"/>
        <v>1.0281064015602808</v>
      </c>
      <c r="R159" s="71">
        <f t="shared" si="350"/>
        <v>0.88912888694817305</v>
      </c>
      <c r="S159" s="71">
        <f t="shared" ref="S159:V159" si="351">S126/S141</f>
        <v>0.96047695141282097</v>
      </c>
      <c r="T159" s="71">
        <f t="shared" si="351"/>
        <v>0.76793596907127271</v>
      </c>
      <c r="U159" s="71">
        <f t="shared" si="351"/>
        <v>0.63843164189015456</v>
      </c>
      <c r="V159" s="71">
        <f t="shared" si="351"/>
        <v>0.56040143578912083</v>
      </c>
      <c r="W159" s="71">
        <f t="shared" ref="W159:Z159" si="352">W126/W141</f>
        <v>0.57179760227348986</v>
      </c>
      <c r="X159" s="71">
        <f t="shared" si="352"/>
        <v>0.50160322618438336</v>
      </c>
      <c r="Y159" s="71">
        <f t="shared" si="352"/>
        <v>0.4954548454616759</v>
      </c>
      <c r="Z159" s="71">
        <f t="shared" si="352"/>
        <v>0.50465622203726934</v>
      </c>
      <c r="AA159" s="71">
        <f t="shared" ref="AA159:AD159" si="353">AA126/AA141</f>
        <v>0.52538094275510916</v>
      </c>
      <c r="AB159" s="71">
        <f t="shared" si="353"/>
        <v>0.44989051422624299</v>
      </c>
      <c r="AC159" s="71">
        <f t="shared" si="353"/>
        <v>0.46835992429910955</v>
      </c>
      <c r="AD159" s="71">
        <f t="shared" si="353"/>
        <v>0.45033517674427237</v>
      </c>
    </row>
    <row r="160" spans="2:30" s="5" customFormat="1" ht="13.5" customHeight="1">
      <c r="C160" s="37"/>
      <c r="D160" s="37"/>
      <c r="E160" s="37"/>
      <c r="F160" s="37"/>
      <c r="G160" s="37"/>
      <c r="H160" s="37"/>
      <c r="L160" s="37"/>
    </row>
    <row r="161" spans="2:30" ht="13.5" customHeight="1">
      <c r="B161" s="16" t="s">
        <v>314</v>
      </c>
      <c r="C161" s="13"/>
      <c r="D161" s="13"/>
      <c r="E161" s="13"/>
      <c r="F161" s="13"/>
      <c r="G161" s="13"/>
      <c r="H161" s="13"/>
      <c r="J161" s="47"/>
      <c r="K161" s="47"/>
      <c r="L161" s="13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</row>
    <row r="162" spans="2:30" s="2" customFormat="1" ht="13.5" customHeight="1">
      <c r="B162" s="103" t="s">
        <v>89</v>
      </c>
      <c r="C162" s="88">
        <f>+C3</f>
        <v>44531</v>
      </c>
      <c r="D162" s="88">
        <f>+D3</f>
        <v>44896</v>
      </c>
      <c r="E162" s="88">
        <f>+E3</f>
        <v>45261</v>
      </c>
      <c r="F162" s="88">
        <f>+F3</f>
        <v>45627</v>
      </c>
      <c r="G162" s="88">
        <f>+G3</f>
        <v>45992</v>
      </c>
      <c r="H162" s="88">
        <f>+H3</f>
        <v>46111</v>
      </c>
      <c r="J162" s="47">
        <f>+J3</f>
        <v>44285</v>
      </c>
      <c r="K162" s="253">
        <f>+K3</f>
        <v>44377</v>
      </c>
      <c r="L162" s="284">
        <f>+L3</f>
        <v>44469</v>
      </c>
      <c r="M162" s="47">
        <f>+M3</f>
        <v>44561</v>
      </c>
      <c r="N162" s="47">
        <f>+N3</f>
        <v>44650</v>
      </c>
      <c r="O162" s="47">
        <f>+O3</f>
        <v>44742</v>
      </c>
      <c r="P162" s="47">
        <f>+P3</f>
        <v>44834</v>
      </c>
      <c r="Q162" s="47">
        <f>+Q3</f>
        <v>44926</v>
      </c>
      <c r="R162" s="47">
        <f>+R3</f>
        <v>45015</v>
      </c>
      <c r="S162" s="47">
        <f>+S3</f>
        <v>45107</v>
      </c>
      <c r="T162" s="47">
        <f>+T3</f>
        <v>45199</v>
      </c>
      <c r="U162" s="47">
        <f>+U3</f>
        <v>45291</v>
      </c>
      <c r="V162" s="47">
        <f>+V3</f>
        <v>45381</v>
      </c>
      <c r="W162" s="47">
        <f>+W3</f>
        <v>45473</v>
      </c>
      <c r="X162" s="47">
        <f>+X3</f>
        <v>45565</v>
      </c>
      <c r="Y162" s="47">
        <f>+Y3</f>
        <v>45657</v>
      </c>
      <c r="Z162" s="47">
        <f>+Z3</f>
        <v>45746</v>
      </c>
      <c r="AA162" s="47">
        <f>+AA3</f>
        <v>45838</v>
      </c>
      <c r="AB162" s="47">
        <f>+AB3</f>
        <v>45930</v>
      </c>
      <c r="AC162" s="47">
        <f>+AC3</f>
        <v>46022</v>
      </c>
      <c r="AD162" s="47">
        <f>+AD3</f>
        <v>46111</v>
      </c>
    </row>
    <row r="163" spans="2:30" s="5" customFormat="1" ht="13.5" customHeight="1">
      <c r="B163" s="11"/>
      <c r="C163" s="14" t="str">
        <f>C4</f>
        <v>Act</v>
      </c>
      <c r="D163" s="14" t="str">
        <f>D4</f>
        <v>Act</v>
      </c>
      <c r="E163" s="14" t="str">
        <f>E4</f>
        <v>Act</v>
      </c>
      <c r="F163" s="14" t="str">
        <f>F4</f>
        <v>Act</v>
      </c>
      <c r="G163" s="14" t="str">
        <f>G4</f>
        <v>Act</v>
      </c>
      <c r="H163" s="14" t="str">
        <f>H4</f>
        <v>Act</v>
      </c>
      <c r="J163" s="14" t="str">
        <f>J4</f>
        <v>Act</v>
      </c>
      <c r="K163" s="14" t="str">
        <f>K4</f>
        <v>Act</v>
      </c>
      <c r="L163" s="14"/>
      <c r="M163" s="14" t="str">
        <f>M4</f>
        <v>Act</v>
      </c>
      <c r="N163" s="14" t="str">
        <f>N4</f>
        <v>Act</v>
      </c>
      <c r="O163" s="14" t="str">
        <f>O4</f>
        <v>Act</v>
      </c>
      <c r="P163" s="14" t="str">
        <f>P4</f>
        <v>Act</v>
      </c>
      <c r="Q163" s="14" t="str">
        <f>Q4</f>
        <v>Act</v>
      </c>
      <c r="R163" s="14" t="str">
        <f>R4</f>
        <v>Act</v>
      </c>
      <c r="S163" s="14" t="str">
        <f>S4</f>
        <v>Act</v>
      </c>
      <c r="T163" s="14" t="str">
        <f>T4</f>
        <v>Act</v>
      </c>
      <c r="U163" s="14" t="str">
        <f>U4</f>
        <v>Act</v>
      </c>
      <c r="V163" s="14" t="str">
        <f>V4</f>
        <v>Act</v>
      </c>
      <c r="W163" s="14" t="str">
        <f>W4</f>
        <v>Act</v>
      </c>
      <c r="X163" s="14" t="str">
        <f>X4</f>
        <v>Act</v>
      </c>
      <c r="Y163" s="14" t="str">
        <f>Y4</f>
        <v>Act</v>
      </c>
      <c r="Z163" s="14" t="str">
        <f>Z4</f>
        <v>Act</v>
      </c>
      <c r="AA163" s="14" t="str">
        <f>AA4</f>
        <v>Act</v>
      </c>
      <c r="AB163" s="14" t="str">
        <f>AB4</f>
        <v>Act</v>
      </c>
      <c r="AC163" s="14" t="str">
        <f>AC4</f>
        <v>Act</v>
      </c>
      <c r="AD163" s="14" t="str">
        <f>AD4</f>
        <v>Act</v>
      </c>
    </row>
    <row r="164" spans="2:30" s="3" customFormat="1" ht="13.5" customHeight="1">
      <c r="C164" s="23" t="s">
        <v>201</v>
      </c>
      <c r="D164" s="23" t="s">
        <v>201</v>
      </c>
      <c r="E164" s="23" t="s">
        <v>201</v>
      </c>
      <c r="F164" s="23" t="s">
        <v>201</v>
      </c>
      <c r="G164" s="23" t="s">
        <v>201</v>
      </c>
      <c r="H164" s="23" t="s">
        <v>201</v>
      </c>
      <c r="J164" s="23" t="str">
        <f>J5</f>
        <v>Q1</v>
      </c>
      <c r="K164" s="23" t="s">
        <v>203</v>
      </c>
      <c r="L164" s="23" t="s">
        <v>204</v>
      </c>
      <c r="M164" s="287" t="str">
        <f>M5</f>
        <v>Q4</v>
      </c>
      <c r="N164" s="23" t="str">
        <f>N5</f>
        <v>Q1</v>
      </c>
      <c r="O164" s="23" t="str">
        <f>O5</f>
        <v>Q2</v>
      </c>
      <c r="P164" s="23" t="str">
        <f>P5</f>
        <v>Q3</v>
      </c>
      <c r="Q164" s="287" t="str">
        <f>Q5</f>
        <v>Q4</v>
      </c>
      <c r="R164" s="23" t="str">
        <f>R5</f>
        <v>Q1</v>
      </c>
      <c r="S164" s="23" t="str">
        <f>S5</f>
        <v>Q2</v>
      </c>
      <c r="T164" s="23" t="str">
        <f>T5</f>
        <v>Q3</v>
      </c>
      <c r="U164" s="287" t="str">
        <f>U5</f>
        <v>Q4</v>
      </c>
      <c r="V164" s="23" t="str">
        <f>V5</f>
        <v>Q1</v>
      </c>
      <c r="W164" s="23" t="str">
        <f>W5</f>
        <v>Q2</v>
      </c>
      <c r="X164" s="23" t="str">
        <f>X5</f>
        <v>Q3</v>
      </c>
      <c r="Y164" s="287" t="str">
        <f>Y5</f>
        <v>Q4</v>
      </c>
      <c r="Z164" s="23" t="str">
        <f>Z5</f>
        <v>Q1</v>
      </c>
      <c r="AA164" s="23" t="str">
        <f>AA5</f>
        <v>Q2</v>
      </c>
      <c r="AB164" s="23" t="str">
        <f>AB5</f>
        <v>Q3</v>
      </c>
      <c r="AC164" s="287" t="str">
        <f>AC5</f>
        <v>Q4</v>
      </c>
      <c r="AD164" s="23" t="str">
        <f>AD5</f>
        <v>Q1</v>
      </c>
    </row>
    <row r="165" spans="2:30" s="5" customFormat="1" ht="13.5" customHeight="1">
      <c r="B165" s="5" t="str">
        <f>+B7</f>
        <v>Revenues</v>
      </c>
      <c r="C165" s="57">
        <f>+C7</f>
        <v>4623.5709999999999</v>
      </c>
      <c r="D165" s="57">
        <f>+D7</f>
        <v>5596.6210000000001</v>
      </c>
      <c r="E165" s="57">
        <f>+E7</f>
        <v>6576.23</v>
      </c>
      <c r="F165" s="57">
        <f>+F7</f>
        <v>6486.942</v>
      </c>
      <c r="G165" s="57">
        <f>+G7</f>
        <v>6374.6229999999996</v>
      </c>
      <c r="H165" s="57">
        <f>+H7</f>
        <v>6450.8419999999996</v>
      </c>
      <c r="J165" s="57">
        <f>+J7</f>
        <v>1077.7460000000001</v>
      </c>
      <c r="K165" s="57">
        <f>+K7</f>
        <v>1128.0419999999999</v>
      </c>
      <c r="L165" s="57">
        <f>+L7</f>
        <v>1186.933</v>
      </c>
      <c r="M165" s="57">
        <f>+M7</f>
        <v>1230.8499999999999</v>
      </c>
      <c r="N165" s="57">
        <f>+N7</f>
        <v>1263.607</v>
      </c>
      <c r="O165" s="57">
        <f>+O7</f>
        <v>1337.394</v>
      </c>
      <c r="P165" s="57">
        <f>+P7</f>
        <v>1438.748</v>
      </c>
      <c r="Q165" s="57">
        <f>+Q7</f>
        <v>1556.8719999999998</v>
      </c>
      <c r="R165" s="57">
        <f>+R7</f>
        <v>1585.575</v>
      </c>
      <c r="S165" s="57">
        <f>+S7</f>
        <v>1656.7449999999999</v>
      </c>
      <c r="T165" s="57">
        <f>+T7</f>
        <v>1693.807</v>
      </c>
      <c r="U165" s="57">
        <f>+U7</f>
        <v>1640.1030000000001</v>
      </c>
      <c r="V165" s="57">
        <f>+V7</f>
        <v>1647.2940000000001</v>
      </c>
      <c r="W165" s="57">
        <f>+W7</f>
        <v>1660.904</v>
      </c>
      <c r="X165" s="57">
        <f>+X7</f>
        <v>1623.4380000000001</v>
      </c>
      <c r="Y165" s="57">
        <f>+Y7</f>
        <v>1555.3059999999996</v>
      </c>
      <c r="Z165" s="57">
        <f>+Z7</f>
        <v>1548.509</v>
      </c>
      <c r="AA165" s="57">
        <f>+AA7</f>
        <v>1600.7270000000001</v>
      </c>
      <c r="AB165" s="57">
        <f>+AB7</f>
        <v>1635.6210000000001</v>
      </c>
      <c r="AC165" s="57">
        <f>+AC7</f>
        <v>1589.7659999999996</v>
      </c>
      <c r="AD165" s="57">
        <f>+AD7</f>
        <v>1624.7280000000001</v>
      </c>
    </row>
    <row r="166" spans="2:30" s="50" customFormat="1" ht="13.5" customHeight="1">
      <c r="B166" s="21" t="str">
        <f>+B8</f>
        <v xml:space="preserve">% y-o-y growth </v>
      </c>
      <c r="C166" s="138"/>
      <c r="D166" s="138">
        <f>+D8</f>
        <v>0.21045421385331808</v>
      </c>
      <c r="E166" s="138">
        <f>+E8</f>
        <v>0.17503579391922375</v>
      </c>
      <c r="F166" s="138">
        <f>+F8</f>
        <v>-1.3577384002688375E-2</v>
      </c>
      <c r="G166" s="138">
        <f>+G8</f>
        <v>-1.7314629913447677E-2</v>
      </c>
      <c r="H166" s="138"/>
      <c r="J166" s="138"/>
      <c r="K166" s="138"/>
      <c r="L166" s="138"/>
      <c r="M166" s="138"/>
      <c r="N166" s="138">
        <f>+N8</f>
        <v>0.17245343522499712</v>
      </c>
      <c r="O166" s="138">
        <f>+O8</f>
        <v>0.18558883445829144</v>
      </c>
      <c r="P166" s="138">
        <f>+P8</f>
        <v>0.21215603576613007</v>
      </c>
      <c r="Q166" s="138"/>
      <c r="R166" s="138"/>
      <c r="S166" s="138">
        <f>+S8</f>
        <v>0.23878602715430142</v>
      </c>
      <c r="T166" s="138">
        <f>+T8</f>
        <v>0.17727843930973308</v>
      </c>
      <c r="U166" s="138"/>
      <c r="V166" s="138"/>
      <c r="W166" s="138">
        <f>+W8</f>
        <v>2.5103440782980879E-3</v>
      </c>
      <c r="X166" s="138">
        <f>+X8</f>
        <v>-4.1544874947381794E-2</v>
      </c>
      <c r="Y166" s="138"/>
      <c r="Z166" s="138"/>
      <c r="AA166" s="138">
        <f>+AA8</f>
        <v>-3.6231473944309811E-2</v>
      </c>
      <c r="AB166" s="138">
        <f>+AB8</f>
        <v>7.5044442719709448E-3</v>
      </c>
      <c r="AC166" s="138"/>
      <c r="AD166" s="138"/>
    </row>
    <row r="167" spans="2:30" s="5" customFormat="1" ht="13.5" customHeight="1" outlineLevel="1" thickBot="1">
      <c r="B167" s="25" t="str">
        <f>+B42</f>
        <v xml:space="preserve">EBITDA </v>
      </c>
      <c r="C167" s="68">
        <f>+C42</f>
        <v>735.54000000000008</v>
      </c>
      <c r="D167" s="68">
        <f>+D42</f>
        <v>808.846</v>
      </c>
      <c r="E167" s="68">
        <f>+E42</f>
        <v>1006.2909999999996</v>
      </c>
      <c r="F167" s="68">
        <f>+F42</f>
        <v>1131.0820000000001</v>
      </c>
      <c r="G167" s="68">
        <f>+G42</f>
        <v>1135.8439999999996</v>
      </c>
      <c r="H167" s="68">
        <f>+H42</f>
        <v>1110.4809999999998</v>
      </c>
      <c r="J167" s="68">
        <f>+J42</f>
        <v>168.8830000000001</v>
      </c>
      <c r="K167" s="68">
        <f>+K42</f>
        <v>186.73899999999992</v>
      </c>
      <c r="L167" s="68">
        <f>+L42</f>
        <v>183.23699999999994</v>
      </c>
      <c r="M167" s="68">
        <f>+M42</f>
        <v>196.68100000000032</v>
      </c>
      <c r="N167" s="68">
        <f>+N42</f>
        <v>162.95099999999996</v>
      </c>
      <c r="O167" s="68">
        <f>+O42</f>
        <v>186.59199999999998</v>
      </c>
      <c r="P167" s="68">
        <f>+P42</f>
        <v>207.96800000000007</v>
      </c>
      <c r="Q167" s="68">
        <f>+Q42</f>
        <v>251.33499999999981</v>
      </c>
      <c r="R167" s="68">
        <f>+R42</f>
        <v>210.62500000000011</v>
      </c>
      <c r="S167" s="68">
        <f>+S42</f>
        <v>239.41599999999994</v>
      </c>
      <c r="T167" s="68">
        <f>+T42</f>
        <v>278.46199999999993</v>
      </c>
      <c r="U167" s="68">
        <f>+U42</f>
        <v>277.78800000000035</v>
      </c>
      <c r="V167" s="68">
        <f>+V42</f>
        <v>264.36600000000016</v>
      </c>
      <c r="W167" s="68">
        <f>+W42</f>
        <v>286.30599999999993</v>
      </c>
      <c r="X167" s="68">
        <f>+X42</f>
        <v>287.9910000000001</v>
      </c>
      <c r="Y167" s="68">
        <f>+Y42</f>
        <v>292.41899999999953</v>
      </c>
      <c r="Z167" s="68">
        <f>+Z42</f>
        <v>275.95000000000005</v>
      </c>
      <c r="AA167" s="68">
        <f>+AA42</f>
        <v>289.66800000000006</v>
      </c>
      <c r="AB167" s="68">
        <f>+AB42</f>
        <v>292.66000000000008</v>
      </c>
      <c r="AC167" s="68">
        <f>+AC42</f>
        <v>277.56599999999958</v>
      </c>
      <c r="AD167" s="68">
        <f>+AD42</f>
        <v>250.58700000000002</v>
      </c>
    </row>
    <row r="168" spans="2:30" s="50" customFormat="1" ht="13.5" customHeight="1" outlineLevel="1" thickTop="1">
      <c r="B168" s="21" t="str">
        <f>+B43</f>
        <v xml:space="preserve">% growth </v>
      </c>
      <c r="C168" s="139"/>
      <c r="D168" s="139">
        <f>+D43</f>
        <v>9.966283274872878E-2</v>
      </c>
      <c r="E168" s="139">
        <f>+E43</f>
        <v>0.24410703644451437</v>
      </c>
      <c r="F168" s="139">
        <f>+F43</f>
        <v>0.12401084775676274</v>
      </c>
      <c r="G168" s="139">
        <f>+G43</f>
        <v>4.2101280013291387E-3</v>
      </c>
      <c r="H168" s="139"/>
      <c r="J168" s="139"/>
      <c r="K168" s="139"/>
      <c r="L168" s="139"/>
      <c r="M168" s="139"/>
      <c r="N168" s="139">
        <f>+N43</f>
        <v>-3.5124908960642132E-2</v>
      </c>
      <c r="O168" s="139">
        <f>+O43</f>
        <v>-7.8719496195189809E-4</v>
      </c>
      <c r="P168" s="139">
        <f>+P43</f>
        <v>0.13496728280860393</v>
      </c>
      <c r="Q168" s="139">
        <f>+Q43</f>
        <v>0.27788144253893043</v>
      </c>
      <c r="R168" s="139">
        <f>+R43</f>
        <v>0.29256647703911098</v>
      </c>
      <c r="S168" s="139">
        <f>+S43</f>
        <v>0.28309895386726103</v>
      </c>
      <c r="T168" s="139">
        <f>+T43</f>
        <v>0.33896561009385984</v>
      </c>
      <c r="U168" s="139">
        <f>+U43</f>
        <v>0.10524996518590957</v>
      </c>
      <c r="V168" s="139">
        <f>+V43</f>
        <v>0.25515014836795258</v>
      </c>
      <c r="W168" s="139">
        <f>+W43</f>
        <v>0.19585157215892002</v>
      </c>
      <c r="X168" s="139">
        <f>+X43</f>
        <v>3.4220109027444101E-2</v>
      </c>
      <c r="Y168" s="139">
        <f>+Y43</f>
        <v>5.2669661756444386E-2</v>
      </c>
      <c r="Z168" s="139">
        <f>+Z43</f>
        <v>4.3818040141318848E-2</v>
      </c>
      <c r="AA168" s="139">
        <f>+AA43</f>
        <v>1.1742680907840253E-2</v>
      </c>
      <c r="AB168" s="139">
        <f>+AB43</f>
        <v>1.6212312190311495E-2</v>
      </c>
      <c r="AC168" s="139">
        <f>+AC43</f>
        <v>-5.0793553086495691E-2</v>
      </c>
      <c r="AD168" s="139">
        <f>+AD43</f>
        <v>-9.1911578184453835E-2</v>
      </c>
    </row>
    <row r="169" spans="2:30" s="50" customFormat="1" ht="13.5" customHeight="1" outlineLevel="1">
      <c r="B169" s="21" t="str">
        <f>+B44</f>
        <v>% margin</v>
      </c>
      <c r="C169" s="139">
        <f>+C44</f>
        <v>0.15908482858811945</v>
      </c>
      <c r="D169" s="139">
        <f>+D44</f>
        <v>0.14452399045781375</v>
      </c>
      <c r="E169" s="139">
        <f>+E44</f>
        <v>0.15301943514749328</v>
      </c>
      <c r="F169" s="139">
        <f>+F44</f>
        <v>0.1743628970322226</v>
      </c>
      <c r="G169" s="139">
        <f>+G44</f>
        <v>0.17818214504606777</v>
      </c>
      <c r="H169" s="139">
        <f>+H44</f>
        <v>0.17214512462094092</v>
      </c>
      <c r="J169" s="139">
        <f>+J44</f>
        <v>0.15670018724263424</v>
      </c>
      <c r="K169" s="139">
        <f>+K44</f>
        <v>0.1655425950452199</v>
      </c>
      <c r="L169" s="139">
        <f>+L44</f>
        <v>0.1543785538021101</v>
      </c>
      <c r="M169" s="139">
        <f>+M44</f>
        <v>0.15979282609578774</v>
      </c>
      <c r="N169" s="139">
        <f>+N44</f>
        <v>0.12895702540425938</v>
      </c>
      <c r="O169" s="139">
        <f>+O44</f>
        <v>0.13951909459740361</v>
      </c>
      <c r="P169" s="139">
        <f>+P44</f>
        <v>0.14454789858960712</v>
      </c>
      <c r="Q169" s="139">
        <f>+Q44</f>
        <v>0.16143587912172602</v>
      </c>
      <c r="R169" s="139">
        <f>+R44</f>
        <v>0.13283824480078213</v>
      </c>
      <c r="S169" s="139">
        <f>+S44</f>
        <v>0.14450986723967776</v>
      </c>
      <c r="T169" s="139">
        <f>+T44</f>
        <v>0.16440007627787578</v>
      </c>
      <c r="U169" s="139">
        <f>+U44</f>
        <v>0.16937228942328642</v>
      </c>
      <c r="V169" s="139">
        <f>+V44</f>
        <v>0.16048501360412903</v>
      </c>
      <c r="W169" s="139">
        <f>+W44</f>
        <v>0.17237961977332822</v>
      </c>
      <c r="X169" s="139">
        <f>+X44</f>
        <v>0.17739574902152105</v>
      </c>
      <c r="Y169" s="139">
        <f>+Y44</f>
        <v>0.18801380564339082</v>
      </c>
      <c r="Z169" s="139">
        <f>+Z44</f>
        <v>0.17820367850622762</v>
      </c>
      <c r="AA169" s="139">
        <f>+AA44</f>
        <v>0.18096027617451324</v>
      </c>
      <c r="AB169" s="139">
        <f>+AB44</f>
        <v>0.178928981713979</v>
      </c>
      <c r="AC169" s="139">
        <f>+AC44</f>
        <v>0.17459550650850481</v>
      </c>
      <c r="AD169" s="139">
        <f>+AD44</f>
        <v>0.15423320088039352</v>
      </c>
    </row>
    <row r="171" spans="2:30" s="5" customFormat="1" ht="13.5" customHeight="1" thickBot="1">
      <c r="B171" s="25" t="str">
        <f>+B47</f>
        <v xml:space="preserve">Adj. EBITDA </v>
      </c>
      <c r="C171" s="68">
        <f>+C47</f>
        <v>735.54000000000008</v>
      </c>
      <c r="D171" s="68">
        <f>+D47</f>
        <v>808.846</v>
      </c>
      <c r="E171" s="68">
        <f>+E47</f>
        <v>1006.2909999999996</v>
      </c>
      <c r="F171" s="68">
        <f>+F47</f>
        <v>1131.0999999999999</v>
      </c>
      <c r="G171" s="68">
        <f>+G47</f>
        <v>1136</v>
      </c>
      <c r="H171" s="68">
        <f>+H47</f>
        <v>1121.8999999999999</v>
      </c>
      <c r="J171" s="68">
        <f>+J47</f>
        <v>168.9</v>
      </c>
      <c r="K171" s="68">
        <f>+K47</f>
        <v>186.7</v>
      </c>
      <c r="L171" s="68">
        <f>+L47</f>
        <v>183.2</v>
      </c>
      <c r="M171" s="68">
        <f>+M47</f>
        <v>196.74000000000012</v>
      </c>
      <c r="N171" s="68">
        <f>+N47</f>
        <v>164.9</v>
      </c>
      <c r="O171" s="68">
        <f>+O47</f>
        <v>186.6</v>
      </c>
      <c r="P171" s="68">
        <f>+P47</f>
        <v>208</v>
      </c>
      <c r="Q171" s="68">
        <f>+Q47</f>
        <v>249.346</v>
      </c>
      <c r="R171" s="68">
        <f>+R47</f>
        <v>210.6</v>
      </c>
      <c r="S171" s="68">
        <f>+S47</f>
        <v>244</v>
      </c>
      <c r="T171" s="68">
        <f>+T47</f>
        <v>278.5</v>
      </c>
      <c r="U171" s="68">
        <f>+U47</f>
        <v>273.19099999999958</v>
      </c>
      <c r="V171" s="68">
        <f>+V47</f>
        <v>264.39999999999998</v>
      </c>
      <c r="W171" s="68">
        <f>+W47</f>
        <v>286.3</v>
      </c>
      <c r="X171" s="68">
        <f>+X47</f>
        <v>288</v>
      </c>
      <c r="Y171" s="68">
        <f>+Y47</f>
        <v>292.39999999999986</v>
      </c>
      <c r="Z171" s="68">
        <f>+Z47</f>
        <v>276</v>
      </c>
      <c r="AA171" s="68">
        <f>+AA47</f>
        <v>289.7</v>
      </c>
      <c r="AB171" s="68">
        <f>+AB47</f>
        <v>292.7</v>
      </c>
      <c r="AC171" s="68">
        <f>+AC47</f>
        <v>277.59999999999991</v>
      </c>
      <c r="AD171" s="68">
        <f>+AD47</f>
        <v>261.89999999999998</v>
      </c>
    </row>
    <row r="172" spans="2:30" s="50" customFormat="1" ht="13.5" customHeight="1" thickTop="1">
      <c r="B172" s="21" t="str">
        <f>+B48</f>
        <v xml:space="preserve">% growth </v>
      </c>
      <c r="C172" s="138"/>
      <c r="D172" s="138">
        <f>+D48</f>
        <v>9.966283274872878E-2</v>
      </c>
      <c r="E172" s="138">
        <f>+E48</f>
        <v>0.24410703644451437</v>
      </c>
      <c r="F172" s="138">
        <f>+F48</f>
        <v>0.12402873522668934</v>
      </c>
      <c r="G172" s="138">
        <f>+G48</f>
        <v>4.3320661303156704E-3</v>
      </c>
      <c r="H172" s="138"/>
      <c r="J172" s="138"/>
      <c r="K172" s="138"/>
      <c r="L172" s="138"/>
      <c r="M172" s="138"/>
      <c r="N172" s="138">
        <f>+N48</f>
        <v>-2.3682652457075237E-2</v>
      </c>
      <c r="O172" s="138">
        <f>+O48</f>
        <v>-5.3561863952866773E-4</v>
      </c>
      <c r="P172" s="138">
        <f>+P48</f>
        <v>0.13537117903930129</v>
      </c>
      <c r="Q172" s="138">
        <f>+Q48</f>
        <v>0.26738843143234647</v>
      </c>
      <c r="R172" s="138">
        <f>+R48</f>
        <v>0.2771376591873862</v>
      </c>
      <c r="S172" s="138">
        <f>+S48</f>
        <v>0.307609860664523</v>
      </c>
      <c r="T172" s="138">
        <f>+T48</f>
        <v>0.33894230769230771</v>
      </c>
      <c r="U172" s="138">
        <f>+U48</f>
        <v>9.5630168520848935E-2</v>
      </c>
      <c r="V172" s="138">
        <f>+V48</f>
        <v>0.25546058879392208</v>
      </c>
      <c r="W172" s="138">
        <f>+W48</f>
        <v>0.17336065573770498</v>
      </c>
      <c r="X172" s="138">
        <f>+X48</f>
        <v>3.4111310592459532E-2</v>
      </c>
      <c r="Y172" s="138">
        <f>+Y48</f>
        <v>7.0313443707883172E-2</v>
      </c>
      <c r="Z172" s="138">
        <f>+Z48</f>
        <v>4.3872919818456868E-2</v>
      </c>
      <c r="AA172" s="138">
        <f>+AA48</f>
        <v>1.1875654907439692E-2</v>
      </c>
      <c r="AB172" s="138">
        <f>+AB48</f>
        <v>1.6319444444444331E-2</v>
      </c>
      <c r="AC172" s="138">
        <f>+AC48</f>
        <v>-5.0615595075239272E-2</v>
      </c>
      <c r="AD172" s="138">
        <f>+AD48</f>
        <v>-5.1086956521739224E-2</v>
      </c>
    </row>
    <row r="173" spans="2:30" s="50" customFormat="1" ht="13.5" customHeight="1">
      <c r="B173" s="21" t="str">
        <f>+B49</f>
        <v>% margin</v>
      </c>
      <c r="C173" s="138">
        <f>+C49</f>
        <v>0.15908482858811945</v>
      </c>
      <c r="D173" s="138">
        <f>+D49</f>
        <v>0.14452399045781375</v>
      </c>
      <c r="E173" s="138">
        <f>+E49</f>
        <v>0.15301943514749328</v>
      </c>
      <c r="F173" s="138">
        <f>+F49</f>
        <v>0.17436567183736187</v>
      </c>
      <c r="G173" s="138">
        <f>+G49</f>
        <v>0.17820661708151211</v>
      </c>
      <c r="H173" s="138">
        <f>+H49</f>
        <v>0.17391528113694305</v>
      </c>
      <c r="J173" s="138">
        <f>+J49</f>
        <v>0.15671596090358952</v>
      </c>
      <c r="K173" s="138">
        <f>+K49</f>
        <v>0.16550802186443414</v>
      </c>
      <c r="L173" s="138">
        <f>+L49</f>
        <v>0.1543473810231917</v>
      </c>
      <c r="M173" s="138">
        <f>+M49</f>
        <v>0.15984076045009557</v>
      </c>
      <c r="N173" s="138">
        <f>+N49</f>
        <v>0.13049943534659114</v>
      </c>
      <c r="O173" s="138">
        <f>+O49</f>
        <v>0.13952507637988507</v>
      </c>
      <c r="P173" s="138">
        <f>+P49</f>
        <v>0.1445701401496301</v>
      </c>
      <c r="Q173" s="138">
        <f>+Q49</f>
        <v>0.16015831744677791</v>
      </c>
      <c r="R173" s="138">
        <f>+R49</f>
        <v>0.13282247765006386</v>
      </c>
      <c r="S173" s="138">
        <f>+S49</f>
        <v>0.14727673842383712</v>
      </c>
      <c r="T173" s="138">
        <f>+T49</f>
        <v>0.16442251094723306</v>
      </c>
      <c r="U173" s="138">
        <f>+U49</f>
        <v>0.16656941667687916</v>
      </c>
      <c r="V173" s="138">
        <f>+V49</f>
        <v>0.1605056535141875</v>
      </c>
      <c r="W173" s="138">
        <f>+W49</f>
        <v>0.17237600728278096</v>
      </c>
      <c r="X173" s="138">
        <f>+X49</f>
        <v>0.17740129281192135</v>
      </c>
      <c r="Y173" s="138">
        <f>+Y49</f>
        <v>0.18800158939784192</v>
      </c>
      <c r="Z173" s="138">
        <f>+Z49</f>
        <v>0.17823596763079841</v>
      </c>
      <c r="AA173" s="138">
        <f>+AA49</f>
        <v>0.18098026709114046</v>
      </c>
      <c r="AB173" s="138">
        <f>+AB49</f>
        <v>0.17895343725716409</v>
      </c>
      <c r="AC173" s="138">
        <f>+AC49</f>
        <v>0.17461689330379437</v>
      </c>
      <c r="AD173" s="138">
        <f>+AD49</f>
        <v>0.16119621253526742</v>
      </c>
    </row>
    <row r="175" spans="2:30" s="5" customFormat="1" ht="13.5" customHeight="1">
      <c r="B175" s="5" t="str">
        <f>+B63</f>
        <v xml:space="preserve">Adjusted EBITDA </v>
      </c>
      <c r="C175" s="145">
        <f>+C63</f>
        <v>735.54000000000008</v>
      </c>
      <c r="D175" s="145">
        <f>+D63</f>
        <v>808.846</v>
      </c>
      <c r="E175" s="145">
        <f>+E63</f>
        <v>1006.2909999999996</v>
      </c>
      <c r="F175" s="145">
        <f>+F63</f>
        <v>1131.0999999999999</v>
      </c>
      <c r="G175" s="145">
        <f>+G63</f>
        <v>1136</v>
      </c>
      <c r="H175" s="145">
        <f>+H63</f>
        <v>1121.8999999999999</v>
      </c>
      <c r="J175" s="145">
        <f>+J63</f>
        <v>168.9</v>
      </c>
      <c r="K175" s="145">
        <f>+K63</f>
        <v>186.7</v>
      </c>
      <c r="L175" s="145">
        <f>+L63</f>
        <v>183.2</v>
      </c>
      <c r="M175" s="145">
        <f>+M63</f>
        <v>196.74000000000012</v>
      </c>
      <c r="N175" s="145">
        <f>+N63</f>
        <v>164.9</v>
      </c>
      <c r="O175" s="145">
        <f>+O63</f>
        <v>186.6</v>
      </c>
      <c r="P175" s="145">
        <f>+P63</f>
        <v>208</v>
      </c>
      <c r="Q175" s="145">
        <f>+Q63</f>
        <v>249.346</v>
      </c>
      <c r="R175" s="145">
        <f>+R63</f>
        <v>210.6</v>
      </c>
      <c r="S175" s="145">
        <f>+S63</f>
        <v>244</v>
      </c>
      <c r="T175" s="145">
        <f>+T63</f>
        <v>278.5</v>
      </c>
      <c r="U175" s="145">
        <f>+U63</f>
        <v>273.19099999999958</v>
      </c>
      <c r="V175" s="145">
        <f>+V63</f>
        <v>264.39999999999998</v>
      </c>
      <c r="W175" s="145">
        <f>+W63</f>
        <v>286.3</v>
      </c>
      <c r="X175" s="145">
        <f>+X63</f>
        <v>288</v>
      </c>
      <c r="Y175" s="145">
        <f>+Y63</f>
        <v>292.39999999999986</v>
      </c>
      <c r="Z175" s="145">
        <f>+Z63</f>
        <v>276</v>
      </c>
      <c r="AA175" s="145">
        <f>+AA63</f>
        <v>289.7</v>
      </c>
      <c r="AB175" s="145">
        <f>+AB63</f>
        <v>292.7</v>
      </c>
      <c r="AC175" s="145">
        <f>+AC63</f>
        <v>277.59999999999991</v>
      </c>
      <c r="AD175" s="145">
        <f>+AD63</f>
        <v>261.89999999999998</v>
      </c>
    </row>
    <row r="176" spans="2:30" ht="13.5" customHeight="1">
      <c r="B176" s="1" t="str">
        <f>+B64</f>
        <v>Working Capital</v>
      </c>
      <c r="C176" s="148">
        <f>+C64</f>
        <v>15.175000000000008</v>
      </c>
      <c r="D176" s="148">
        <f>+D64</f>
        <v>-348.13099999999997</v>
      </c>
      <c r="E176" s="148">
        <f>+E64</f>
        <v>-57.922999999999995</v>
      </c>
      <c r="F176" s="148">
        <f>+F64</f>
        <v>-7.1859999999999928</v>
      </c>
      <c r="G176" s="148">
        <f>+G64</f>
        <v>-66.88000000000001</v>
      </c>
      <c r="H176" s="148">
        <f>+H64</f>
        <v>5.0180000000000007</v>
      </c>
      <c r="J176" s="148">
        <f>+J64</f>
        <v>18.317</v>
      </c>
      <c r="K176" s="148">
        <f>+K64</f>
        <v>87.933999999999997</v>
      </c>
      <c r="L176" s="148">
        <f>+L64</f>
        <v>-28.886999999999993</v>
      </c>
      <c r="M176" s="148">
        <f>+M64</f>
        <v>-62.188999999999993</v>
      </c>
      <c r="N176" s="148">
        <f>+N64</f>
        <v>-21.883000000000003</v>
      </c>
      <c r="O176" s="148">
        <f>+O64</f>
        <v>-59.985999999999969</v>
      </c>
      <c r="P176" s="148">
        <f>+P64</f>
        <v>-195.23400000000004</v>
      </c>
      <c r="Q176" s="148">
        <f>+Q64</f>
        <v>-71.027999999999963</v>
      </c>
      <c r="R176" s="148">
        <f>+R64</f>
        <v>-79.301000000000016</v>
      </c>
      <c r="S176" s="148">
        <f>+S64</f>
        <v>-95.933999999999969</v>
      </c>
      <c r="T176" s="148">
        <f>+T64</f>
        <v>67.337999999999994</v>
      </c>
      <c r="U176" s="148">
        <f>+U64</f>
        <v>49.973999999999997</v>
      </c>
      <c r="V176" s="148">
        <f>+V64</f>
        <v>65.13000000000001</v>
      </c>
      <c r="W176" s="148">
        <f>+W64</f>
        <v>-50.666999999999994</v>
      </c>
      <c r="X176" s="148">
        <f>+X64</f>
        <v>-6.6670000000000229</v>
      </c>
      <c r="Y176" s="148">
        <f>+Y64</f>
        <v>-14.981999999999985</v>
      </c>
      <c r="Z176" s="148">
        <f>+Z64</f>
        <v>-129.91800000000001</v>
      </c>
      <c r="AA176" s="148">
        <f>+AA64</f>
        <v>10.927000000000021</v>
      </c>
      <c r="AB176" s="148">
        <f>+AB64</f>
        <v>95.392999999999986</v>
      </c>
      <c r="AC176" s="148">
        <f>+AC64</f>
        <v>-43.282000000000011</v>
      </c>
      <c r="AD176" s="148">
        <f>+AD64</f>
        <v>-58.019999999999996</v>
      </c>
    </row>
    <row r="177" spans="2:30" ht="13.5" customHeight="1">
      <c r="B177" s="1" t="str">
        <f>+B65</f>
        <v>Taxes/Other adjustments</v>
      </c>
      <c r="C177" s="148">
        <f>+C65</f>
        <v>-146.87700000000001</v>
      </c>
      <c r="D177" s="148">
        <f>+D65</f>
        <v>-163.63499999999999</v>
      </c>
      <c r="E177" s="148">
        <f>+E65</f>
        <v>-212.40899999999999</v>
      </c>
      <c r="F177" s="148">
        <f>+F65</f>
        <v>-241.554</v>
      </c>
      <c r="G177" s="148">
        <f>+G65</f>
        <v>-274.08300000000003</v>
      </c>
      <c r="H177" s="148">
        <f>+H65</f>
        <v>-298.08000000000004</v>
      </c>
      <c r="J177" s="148">
        <f>+J65</f>
        <v>-18.821999999999999</v>
      </c>
      <c r="K177" s="148">
        <f>+K65</f>
        <v>-65.707999999999998</v>
      </c>
      <c r="L177" s="148">
        <f>+L65</f>
        <v>-24.063999999999997</v>
      </c>
      <c r="M177" s="148">
        <f>+M65</f>
        <v>-38.283000000000015</v>
      </c>
      <c r="N177" s="148">
        <f>+N65</f>
        <v>-25.576000000000001</v>
      </c>
      <c r="O177" s="148">
        <f>+O65</f>
        <v>-64.679000000000002</v>
      </c>
      <c r="P177" s="148">
        <f>+P65</f>
        <v>-30.990999999999993</v>
      </c>
      <c r="Q177" s="148">
        <f>+Q65</f>
        <v>-42.38900000000001</v>
      </c>
      <c r="R177" s="148">
        <f>+R65</f>
        <v>-23.548999999999999</v>
      </c>
      <c r="S177" s="148">
        <f>+S65</f>
        <v>-83.491000000000014</v>
      </c>
      <c r="T177" s="148">
        <f>+T65</f>
        <v>-51.886999999999979</v>
      </c>
      <c r="U177" s="148">
        <f>+U65</f>
        <v>-53.481999999999999</v>
      </c>
      <c r="V177" s="148">
        <f>+V65</f>
        <v>-14.015000000000001</v>
      </c>
      <c r="W177" s="148">
        <f>+W65</f>
        <v>-112.79300000000001</v>
      </c>
      <c r="X177" s="148">
        <f>+X65</f>
        <v>-69.341999999999999</v>
      </c>
      <c r="Y177" s="148">
        <f>+Y65</f>
        <v>-45.403999999999996</v>
      </c>
      <c r="Z177" s="148">
        <f>+Z65</f>
        <v>-30.571000000000002</v>
      </c>
      <c r="AA177" s="148">
        <f>+AA65</f>
        <v>-126.66400000000002</v>
      </c>
      <c r="AB177" s="148">
        <f>+AB65</f>
        <v>-53.72999999999999</v>
      </c>
      <c r="AC177" s="148">
        <f>+AC65</f>
        <v>-63.118000000000023</v>
      </c>
      <c r="AD177" s="148">
        <f>+AD65</f>
        <v>-54.567999999999998</v>
      </c>
    </row>
    <row r="178" spans="2:30" ht="13.5" customHeight="1">
      <c r="B178" s="1" t="str">
        <f>+B66</f>
        <v>Cash interest paid</v>
      </c>
      <c r="C178" s="148">
        <f>+C66</f>
        <v>-49.198999999999998</v>
      </c>
      <c r="D178" s="148">
        <f>+D66</f>
        <v>-75.034000000000006</v>
      </c>
      <c r="E178" s="148">
        <f>+E66</f>
        <v>-124.764</v>
      </c>
      <c r="F178" s="148">
        <f>+F66</f>
        <v>-102.9</v>
      </c>
      <c r="G178" s="148">
        <f>+G66</f>
        <v>-117.20399999999999</v>
      </c>
      <c r="H178" s="148">
        <f>+H66</f>
        <v>-116.44399999999999</v>
      </c>
      <c r="J178" s="148">
        <f>+J66</f>
        <v>-7.5659999999999998</v>
      </c>
      <c r="K178" s="148">
        <f>+K66</f>
        <v>-16.740000000000002</v>
      </c>
      <c r="L178" s="148">
        <f>+L66</f>
        <v>-5.1529999999999978</v>
      </c>
      <c r="M178" s="148">
        <f>+M66</f>
        <v>-19.739999999999998</v>
      </c>
      <c r="N178" s="148">
        <f>+N66</f>
        <v>-6.5739999999999998</v>
      </c>
      <c r="O178" s="148">
        <f>+O66</f>
        <v>-25.639000000000003</v>
      </c>
      <c r="P178" s="148">
        <f>+P66</f>
        <v>-10.987999999999998</v>
      </c>
      <c r="Q178" s="148">
        <f>+Q66</f>
        <v>-31.833000000000006</v>
      </c>
      <c r="R178" s="148">
        <f>+R66</f>
        <v>-25.242000000000001</v>
      </c>
      <c r="S178" s="148">
        <f>+S66</f>
        <v>-41.94</v>
      </c>
      <c r="T178" s="148">
        <f>+T66</f>
        <v>-23.753000000000004</v>
      </c>
      <c r="U178" s="148">
        <f>+U66</f>
        <v>-33.828999999999994</v>
      </c>
      <c r="V178" s="148">
        <f>+V66</f>
        <v>-18.97</v>
      </c>
      <c r="W178" s="148">
        <f>+W66</f>
        <v>-35.341000000000001</v>
      </c>
      <c r="X178" s="148">
        <f>+X66</f>
        <v>-17.806000000000004</v>
      </c>
      <c r="Y178" s="148">
        <f>+Y66</f>
        <v>-30.783000000000001</v>
      </c>
      <c r="Z178" s="148">
        <f>+Z66</f>
        <v>-13.036</v>
      </c>
      <c r="AA178" s="148">
        <f>+AA66</f>
        <v>-38.722000000000001</v>
      </c>
      <c r="AB178" s="148">
        <f>+AB66</f>
        <v>-27.246999999999993</v>
      </c>
      <c r="AC178" s="148">
        <f>+AC66</f>
        <v>-38.198999999999998</v>
      </c>
      <c r="AD178" s="148">
        <f>+AD66</f>
        <v>-12.276</v>
      </c>
    </row>
    <row r="179" spans="2:30" s="5" customFormat="1" ht="13.5" customHeight="1" thickBot="1">
      <c r="B179" s="25" t="str">
        <f>+B67</f>
        <v xml:space="preserve">Net cash from operations </v>
      </c>
      <c r="C179" s="149">
        <f>+C67</f>
        <v>554.63900000000001</v>
      </c>
      <c r="D179" s="149">
        <f>+D67</f>
        <v>222.04600000000005</v>
      </c>
      <c r="E179" s="149">
        <f>+E67</f>
        <v>611.1949999999996</v>
      </c>
      <c r="F179" s="149">
        <f>+F67</f>
        <v>779.46</v>
      </c>
      <c r="G179" s="149">
        <f>+G67</f>
        <v>677.83299999999986</v>
      </c>
      <c r="H179" s="149">
        <f>+H67</f>
        <v>712.39399999999989</v>
      </c>
      <c r="J179" s="149">
        <f>+J67</f>
        <v>160.82900000000001</v>
      </c>
      <c r="K179" s="149">
        <f>+K67</f>
        <v>192.18600000000001</v>
      </c>
      <c r="L179" s="149">
        <f>+L67</f>
        <v>125.096</v>
      </c>
      <c r="M179" s="149">
        <f>+M67</f>
        <v>76.528000000000119</v>
      </c>
      <c r="N179" s="149">
        <f>+N67</f>
        <v>110.867</v>
      </c>
      <c r="O179" s="149">
        <f>+O67</f>
        <v>36.296000000000028</v>
      </c>
      <c r="P179" s="149">
        <f>+P67</f>
        <v>-29.213000000000029</v>
      </c>
      <c r="Q179" s="149">
        <f>+Q67</f>
        <v>104.09600000000003</v>
      </c>
      <c r="R179" s="149">
        <f>+R67</f>
        <v>82.507999999999967</v>
      </c>
      <c r="S179" s="149">
        <f>+S67</f>
        <v>22.635000000000019</v>
      </c>
      <c r="T179" s="149">
        <f>+T67</f>
        <v>270.19799999999998</v>
      </c>
      <c r="U179" s="149">
        <f>+U67</f>
        <v>235.85399999999953</v>
      </c>
      <c r="V179" s="149">
        <f>+V67</f>
        <v>296.54499999999996</v>
      </c>
      <c r="W179" s="149">
        <f>+W67</f>
        <v>87.498999999999995</v>
      </c>
      <c r="X179" s="149">
        <f>+X67</f>
        <v>194.18499999999997</v>
      </c>
      <c r="Y179" s="149">
        <f>+Y67</f>
        <v>201.23099999999988</v>
      </c>
      <c r="Z179" s="149">
        <f>+Z67</f>
        <v>102.47499999999999</v>
      </c>
      <c r="AA179" s="149">
        <f>+AA67</f>
        <v>135.24099999999999</v>
      </c>
      <c r="AB179" s="149">
        <f>+AB67</f>
        <v>307.11599999999993</v>
      </c>
      <c r="AC179" s="149">
        <f>+AC67</f>
        <v>133.00099999999986</v>
      </c>
      <c r="AD179" s="149">
        <f>+AD67</f>
        <v>137.036</v>
      </c>
    </row>
    <row r="180" spans="2:30" s="5" customFormat="1" ht="13.5" customHeight="1" thickTop="1">
      <c r="B180" s="1" t="str">
        <f>+B68</f>
        <v>Net Capex</v>
      </c>
      <c r="C180" s="148">
        <f>+C68</f>
        <v>-251.005</v>
      </c>
      <c r="D180" s="148">
        <f>+D68</f>
        <v>-297.363</v>
      </c>
      <c r="E180" s="148">
        <f>+E68</f>
        <v>-204.946</v>
      </c>
      <c r="F180" s="148">
        <f>+F68</f>
        <v>-218.25700000000001</v>
      </c>
      <c r="G180" s="148">
        <f>+G68</f>
        <v>-211.89600000000002</v>
      </c>
      <c r="H180" s="148">
        <f>+H68</f>
        <v>-203.82200000000003</v>
      </c>
      <c r="J180" s="148">
        <f>+J68</f>
        <v>-41.737000000000002</v>
      </c>
      <c r="K180" s="148">
        <f>+K68</f>
        <v>-37.127000000000002</v>
      </c>
      <c r="L180" s="148">
        <f>+L68</f>
        <v>-108.643</v>
      </c>
      <c r="M180" s="148">
        <f>+M68</f>
        <v>-63.49799999999999</v>
      </c>
      <c r="N180" s="148">
        <f>+N68</f>
        <v>-62.318999999999996</v>
      </c>
      <c r="O180" s="148">
        <f>+O68</f>
        <v>-66.046999999999997</v>
      </c>
      <c r="P180" s="148">
        <f>+P68</f>
        <v>-88.334000000000032</v>
      </c>
      <c r="Q180" s="148">
        <f>+Q68</f>
        <v>-80.662999999999982</v>
      </c>
      <c r="R180" s="148">
        <f>+R68</f>
        <v>-44.195999999999998</v>
      </c>
      <c r="S180" s="148">
        <f>+S68</f>
        <v>-61.602000000000004</v>
      </c>
      <c r="T180" s="148">
        <f>+T68</f>
        <v>-50.084000000000003</v>
      </c>
      <c r="U180" s="148">
        <f>+U68</f>
        <v>-49.063999999999993</v>
      </c>
      <c r="V180" s="148">
        <f>+V68</f>
        <v>-50.704000000000001</v>
      </c>
      <c r="W180" s="148">
        <f>+W68</f>
        <v>-49.664999999999999</v>
      </c>
      <c r="X180" s="148">
        <f>+X68</f>
        <v>-51.484000000000016</v>
      </c>
      <c r="Y180" s="148">
        <f>+Y68</f>
        <v>-66.403999999999996</v>
      </c>
      <c r="Z180" s="148">
        <f>+Z68</f>
        <v>-48.957000000000001</v>
      </c>
      <c r="AA180" s="148">
        <f>+AA68</f>
        <v>-55.757999999999988</v>
      </c>
      <c r="AB180" s="148">
        <f>+AB68</f>
        <v>-42.60100000000002</v>
      </c>
      <c r="AC180" s="148">
        <f>+AC68</f>
        <v>-64.580000000000013</v>
      </c>
      <c r="AD180" s="148">
        <f>+AD68</f>
        <v>-40.883000000000003</v>
      </c>
    </row>
    <row r="181" spans="2:30" ht="13.5" customHeight="1">
      <c r="B181" s="1" t="str">
        <f>+B69</f>
        <v>Net Payment for acquisition  of intangible assets</v>
      </c>
      <c r="C181" s="148">
        <f>+C69</f>
        <v>-6.069</v>
      </c>
      <c r="D181" s="148">
        <f>+D69</f>
        <v>-0.65400000000000003</v>
      </c>
      <c r="E181" s="148">
        <f>+E69</f>
        <v>-8.7999999999999995E-2</v>
      </c>
      <c r="F181" s="148">
        <f>+F69</f>
        <v>-0.16900000000000001</v>
      </c>
      <c r="G181" s="148">
        <f>+G69</f>
        <v>-0.105</v>
      </c>
      <c r="H181" s="148">
        <f>+H69</f>
        <v>-0.105</v>
      </c>
      <c r="J181" s="148">
        <f>+J69</f>
        <v>-8.9999999999999993E-3</v>
      </c>
      <c r="K181" s="148">
        <f>+K69</f>
        <v>-1.391</v>
      </c>
      <c r="L181" s="148">
        <f>+L69</f>
        <v>-0.20400000000000007</v>
      </c>
      <c r="M181" s="148">
        <f>+M69</f>
        <v>-4.4649999999999999</v>
      </c>
      <c r="N181" s="148">
        <f>+N69</f>
        <v>-2.5000000000000001E-2</v>
      </c>
      <c r="O181" s="148">
        <f>+O69</f>
        <v>-2.0999999999999998E-2</v>
      </c>
      <c r="P181" s="148">
        <f>+P69</f>
        <v>-1.5310000000000001</v>
      </c>
      <c r="Q181" s="148">
        <f>+Q69</f>
        <v>0.92300000000000015</v>
      </c>
      <c r="R181" s="148">
        <f>+R69</f>
        <v>-2E-3</v>
      </c>
      <c r="S181" s="148">
        <f>+S69</f>
        <v>2E-3</v>
      </c>
      <c r="T181" s="148">
        <f>+T69</f>
        <v>0</v>
      </c>
      <c r="U181" s="148">
        <f>+U69</f>
        <v>-8.7999999999999995E-2</v>
      </c>
      <c r="V181" s="148">
        <f>+V69</f>
        <v>0</v>
      </c>
      <c r="W181" s="148">
        <f>+W69</f>
        <v>0</v>
      </c>
      <c r="X181" s="148">
        <f>+X69</f>
        <v>0</v>
      </c>
      <c r="Y181" s="148">
        <f>+Y69</f>
        <v>-0.16900000000000001</v>
      </c>
      <c r="Z181" s="148">
        <f>+Z69</f>
        <v>0</v>
      </c>
      <c r="AA181" s="148">
        <f>+AA69</f>
        <v>0</v>
      </c>
      <c r="AB181" s="148">
        <f>+AB69</f>
        <v>0</v>
      </c>
      <c r="AC181" s="148">
        <f>+AC69</f>
        <v>-0.105</v>
      </c>
      <c r="AD181" s="148">
        <f>+AD69</f>
        <v>0</v>
      </c>
    </row>
    <row r="182" spans="2:30" ht="13.5" customHeight="1">
      <c r="B182" s="1" t="str">
        <f>+B70</f>
        <v>Disposals/ Acquisition, of subsidiaries</v>
      </c>
      <c r="C182" s="148">
        <f>+C70</f>
        <v>0</v>
      </c>
      <c r="D182" s="148">
        <f>+D70</f>
        <v>0</v>
      </c>
      <c r="E182" s="148">
        <f>+E70</f>
        <v>24.827000000000002</v>
      </c>
      <c r="F182" s="148">
        <f>+F70</f>
        <v>0</v>
      </c>
      <c r="G182" s="148">
        <f>+G70</f>
        <v>0</v>
      </c>
      <c r="H182" s="148">
        <f>+H70</f>
        <v>0</v>
      </c>
      <c r="J182" s="148">
        <f>+J70</f>
        <v>0</v>
      </c>
      <c r="K182" s="148">
        <f>+K70</f>
        <v>0</v>
      </c>
      <c r="L182" s="148">
        <f>+L70</f>
        <v>0</v>
      </c>
      <c r="M182" s="148">
        <f>+M70</f>
        <v>0</v>
      </c>
      <c r="N182" s="148">
        <f>+N70</f>
        <v>0</v>
      </c>
      <c r="O182" s="148">
        <f>+O70</f>
        <v>0</v>
      </c>
      <c r="P182" s="148">
        <f>+P70</f>
        <v>0</v>
      </c>
      <c r="Q182" s="148">
        <f>+Q70</f>
        <v>0</v>
      </c>
      <c r="R182" s="148">
        <f>+R70</f>
        <v>0</v>
      </c>
      <c r="S182" s="148">
        <f>+S70</f>
        <v>0</v>
      </c>
      <c r="T182" s="148">
        <f>+T70</f>
        <v>0</v>
      </c>
      <c r="U182" s="148">
        <f>+U70</f>
        <v>24.827000000000002</v>
      </c>
      <c r="V182" s="148">
        <f>+V70</f>
        <v>0</v>
      </c>
      <c r="W182" s="148">
        <f>+W70</f>
        <v>0</v>
      </c>
      <c r="X182" s="148">
        <f>+X70</f>
        <v>0</v>
      </c>
      <c r="Y182" s="148">
        <f>+Y70</f>
        <v>0</v>
      </c>
      <c r="Z182" s="148">
        <f>+Z70</f>
        <v>0</v>
      </c>
      <c r="AA182" s="148">
        <f>+AA70</f>
        <v>0</v>
      </c>
      <c r="AB182" s="148">
        <f>+AB70</f>
        <v>0</v>
      </c>
      <c r="AC182" s="148">
        <f>+AC70</f>
        <v>0</v>
      </c>
      <c r="AD182" s="148">
        <f>+AD70</f>
        <v>0</v>
      </c>
    </row>
    <row r="183" spans="2:30" ht="13.5" customHeight="1">
      <c r="B183" s="1" t="str">
        <f>+B72</f>
        <v>Deposits interest received in investing activities</v>
      </c>
      <c r="C183" s="148">
        <f>+C72</f>
        <v>1.6779999999999999</v>
      </c>
      <c r="D183" s="148">
        <f>+D72</f>
        <v>4.0410000000000004</v>
      </c>
      <c r="E183" s="148">
        <f>+E72</f>
        <v>9.1920000000000002</v>
      </c>
      <c r="F183" s="148">
        <f>+F72</f>
        <v>16.972000000000001</v>
      </c>
      <c r="G183" s="148">
        <f>+G72</f>
        <v>11.385</v>
      </c>
      <c r="H183" s="148">
        <f>+H72</f>
        <v>11.263</v>
      </c>
      <c r="J183" s="148">
        <f>+J72</f>
        <v>0.48299999999999998</v>
      </c>
      <c r="K183" s="148">
        <f>+K72</f>
        <v>0.52900000000000003</v>
      </c>
      <c r="L183" s="148">
        <f>+L72</f>
        <v>1.2370000000000001</v>
      </c>
      <c r="M183" s="148">
        <f>+M72</f>
        <v>-0.57100000000000017</v>
      </c>
      <c r="N183" s="148">
        <f>+N72</f>
        <v>0.47699999999999998</v>
      </c>
      <c r="O183" s="148">
        <f>+O72</f>
        <v>0.63700000000000012</v>
      </c>
      <c r="P183" s="148">
        <f>+P72</f>
        <v>0.76999999999999991</v>
      </c>
      <c r="Q183" s="148">
        <f>+Q72</f>
        <v>2.1570000000000005</v>
      </c>
      <c r="R183" s="148">
        <f>+R72</f>
        <v>2.0649999999999999</v>
      </c>
      <c r="S183" s="148">
        <f>+S72</f>
        <v>1.8839999999999999</v>
      </c>
      <c r="T183" s="148">
        <f>+T72</f>
        <v>2.2909999999999999</v>
      </c>
      <c r="U183" s="148">
        <f>+U72</f>
        <v>2.952</v>
      </c>
      <c r="V183" s="148">
        <f>+V72</f>
        <v>3.93</v>
      </c>
      <c r="W183" s="148">
        <f>+W72</f>
        <v>4.9120000000000008</v>
      </c>
      <c r="X183" s="148">
        <f>+X72</f>
        <v>4.0030000000000001</v>
      </c>
      <c r="Y183" s="148">
        <f>+Y72</f>
        <v>4.1270000000000007</v>
      </c>
      <c r="Z183" s="148">
        <f>+Z72</f>
        <v>2.9609999999999999</v>
      </c>
      <c r="AA183" s="148">
        <f>+AA72</f>
        <v>2.8030000000000004</v>
      </c>
      <c r="AB183" s="148">
        <f>+AB72</f>
        <v>2.5079999999999996</v>
      </c>
      <c r="AC183" s="148">
        <f>+AC72</f>
        <v>3.1129999999999995</v>
      </c>
      <c r="AD183" s="148">
        <f>+AD72</f>
        <v>2.839</v>
      </c>
    </row>
    <row r="184" spans="2:30" ht="13.5" customHeight="1" thickBot="1">
      <c r="B184" s="63" t="str">
        <f>+B73</f>
        <v>Disposed Cash from discontinued operations and Others in investing activitiesq</v>
      </c>
      <c r="C184" s="150">
        <f>+C73</f>
        <v>-2.7669999999999999</v>
      </c>
      <c r="D184" s="150">
        <f>+D73</f>
        <v>-4.3840000000000003</v>
      </c>
      <c r="E184" s="150">
        <f>+E73</f>
        <v>-12.523</v>
      </c>
      <c r="F184" s="150">
        <f>+F73</f>
        <v>3.29</v>
      </c>
      <c r="G184" s="150">
        <f>+G73</f>
        <v>-37.387</v>
      </c>
      <c r="H184" s="150">
        <f>+H73</f>
        <v>-37.625</v>
      </c>
      <c r="J184" s="150">
        <f>+J73</f>
        <v>-0.95299999999999996</v>
      </c>
      <c r="K184" s="150">
        <f>+K73</f>
        <v>-0.55900000000000005</v>
      </c>
      <c r="L184" s="150">
        <f>+L73</f>
        <v>0.18500000000000005</v>
      </c>
      <c r="M184" s="150">
        <f>+M73</f>
        <v>-1.44</v>
      </c>
      <c r="N184" s="150">
        <f>+N73</f>
        <v>-7.6999999999999999E-2</v>
      </c>
      <c r="O184" s="150">
        <f>+O73</f>
        <v>-0.63100000000000001</v>
      </c>
      <c r="P184" s="150">
        <f>+P73</f>
        <v>-2.7679999999999998</v>
      </c>
      <c r="Q184" s="150">
        <f>+Q73</f>
        <v>-0.90800000000000036</v>
      </c>
      <c r="R184" s="150">
        <f>+R73</f>
        <v>-2.17</v>
      </c>
      <c r="S184" s="150">
        <f>+S73</f>
        <v>-7.23</v>
      </c>
      <c r="T184" s="150">
        <f>+T73</f>
        <v>25.159000000000006</v>
      </c>
      <c r="U184" s="150">
        <f>+U73</f>
        <v>-28.282000000000004</v>
      </c>
      <c r="V184" s="150">
        <f>+V73</f>
        <v>-0.66400000000000003</v>
      </c>
      <c r="W184" s="150">
        <f>+W73</f>
        <v>-0.57999999999999996</v>
      </c>
      <c r="X184" s="150">
        <f>+X73</f>
        <v>-1.2909999999999999</v>
      </c>
      <c r="Y184" s="150">
        <f>+Y73</f>
        <v>5.8250000000000002</v>
      </c>
      <c r="Z184" s="150">
        <f>+Z73</f>
        <v>0.42699999999999999</v>
      </c>
      <c r="AA184" s="150">
        <f>+AA73</f>
        <v>-1.214</v>
      </c>
      <c r="AB184" s="150">
        <f>+AB73</f>
        <v>-38.088000000000001</v>
      </c>
      <c r="AC184" s="150">
        <f>+AC73</f>
        <v>1.4879999999999995</v>
      </c>
      <c r="AD184" s="150">
        <f>+AD73</f>
        <v>0.189</v>
      </c>
    </row>
    <row r="185" spans="2:30" ht="13.5" customHeight="1" thickTop="1" thickBot="1">
      <c r="B185" s="77" t="str">
        <f>+B71</f>
        <v xml:space="preserve">Free cash flow </v>
      </c>
      <c r="C185" s="151">
        <f>+C71</f>
        <v>297.565</v>
      </c>
      <c r="D185" s="151">
        <f>+D71</f>
        <v>-75.970999999999947</v>
      </c>
      <c r="E185" s="151">
        <f>+E71</f>
        <v>430.98799999999954</v>
      </c>
      <c r="F185" s="151">
        <f>+F71</f>
        <v>561.03399999999999</v>
      </c>
      <c r="G185" s="151">
        <f>+G71</f>
        <v>465.83199999999982</v>
      </c>
      <c r="H185" s="151">
        <f>+H71</f>
        <v>508.46699999999987</v>
      </c>
      <c r="J185" s="151">
        <f t="shared" ref="J185:AC185" si="354">+J71</f>
        <v>119.08300000000001</v>
      </c>
      <c r="K185" s="151">
        <f t="shared" si="354"/>
        <v>153.66800000000001</v>
      </c>
      <c r="L185" s="151">
        <f t="shared" si="354"/>
        <v>16.249000000000002</v>
      </c>
      <c r="M185" s="151">
        <f t="shared" si="354"/>
        <v>8.5650000000001292</v>
      </c>
      <c r="N185" s="151">
        <f t="shared" si="354"/>
        <v>48.52300000000001</v>
      </c>
      <c r="O185" s="151">
        <f t="shared" si="354"/>
        <v>-29.77199999999997</v>
      </c>
      <c r="P185" s="151">
        <f t="shared" si="354"/>
        <v>-119.07800000000006</v>
      </c>
      <c r="Q185" s="151">
        <f t="shared" si="354"/>
        <v>24.356000000000051</v>
      </c>
      <c r="R185" s="151">
        <f t="shared" si="354"/>
        <v>38.309999999999967</v>
      </c>
      <c r="S185" s="151">
        <f t="shared" si="354"/>
        <v>-38.964999999999982</v>
      </c>
      <c r="T185" s="151">
        <f t="shared" si="354"/>
        <v>220.11399999999998</v>
      </c>
      <c r="U185" s="151">
        <f t="shared" si="354"/>
        <v>211.52899999999954</v>
      </c>
      <c r="V185" s="151">
        <f t="shared" si="354"/>
        <v>245.84099999999995</v>
      </c>
      <c r="W185" s="151">
        <f t="shared" si="354"/>
        <v>37.833999999999996</v>
      </c>
      <c r="X185" s="151">
        <f t="shared" si="354"/>
        <v>142.70099999999996</v>
      </c>
      <c r="Y185" s="151">
        <f t="shared" si="354"/>
        <v>134.65799999999987</v>
      </c>
      <c r="Z185" s="151">
        <f t="shared" si="354"/>
        <v>53.517999999999994</v>
      </c>
      <c r="AA185" s="151">
        <f t="shared" si="354"/>
        <v>79.483000000000004</v>
      </c>
      <c r="AB185" s="151">
        <f t="shared" si="354"/>
        <v>264.51499999999993</v>
      </c>
      <c r="AC185" s="151">
        <f t="shared" si="354"/>
        <v>68.315999999999846</v>
      </c>
      <c r="AD185" s="151">
        <f t="shared" ref="AD185" si="355">+AD71</f>
        <v>96.152999999999992</v>
      </c>
    </row>
    <row r="186" spans="2:30" ht="13.5" customHeight="1" thickTop="1">
      <c r="B186" s="1" t="str">
        <f t="shared" ref="B186:H194" si="356">+B74</f>
        <v>Equity Issuance/Buyback</v>
      </c>
      <c r="C186" s="148">
        <f t="shared" si="356"/>
        <v>-184.49199999999999</v>
      </c>
      <c r="D186" s="148">
        <f t="shared" si="356"/>
        <v>-131.33000000000001</v>
      </c>
      <c r="E186" s="148">
        <f t="shared" si="356"/>
        <v>-19.38</v>
      </c>
      <c r="F186" s="148">
        <f t="shared" si="356"/>
        <v>-152.20099999999999</v>
      </c>
      <c r="G186" s="148">
        <f t="shared" si="356"/>
        <v>-279.50099999999998</v>
      </c>
      <c r="H186" s="148">
        <f t="shared" si="356"/>
        <v>-242.61399999999998</v>
      </c>
      <c r="J186" s="148">
        <f t="shared" ref="J186:AC186" si="357">+J74</f>
        <v>-36.008000000000003</v>
      </c>
      <c r="K186" s="148">
        <f t="shared" si="357"/>
        <v>-14.562999999999995</v>
      </c>
      <c r="L186" s="148">
        <f t="shared" si="357"/>
        <v>-48.339000000000006</v>
      </c>
      <c r="M186" s="148">
        <f t="shared" si="357"/>
        <v>-85.581999999999994</v>
      </c>
      <c r="N186" s="148">
        <f t="shared" si="357"/>
        <v>-74.287999999999997</v>
      </c>
      <c r="O186" s="148">
        <f t="shared" si="357"/>
        <v>-36.942000000000007</v>
      </c>
      <c r="P186" s="148">
        <f t="shared" si="357"/>
        <v>-10.337999999999994</v>
      </c>
      <c r="Q186" s="148">
        <f t="shared" si="357"/>
        <v>-9.7620000000000147</v>
      </c>
      <c r="R186" s="148">
        <f t="shared" si="357"/>
        <v>-2.202</v>
      </c>
      <c r="S186" s="148">
        <f t="shared" si="357"/>
        <v>-3.1219999999999999</v>
      </c>
      <c r="T186" s="148">
        <f t="shared" si="357"/>
        <v>-0.65300000000000047</v>
      </c>
      <c r="U186" s="148">
        <f t="shared" si="357"/>
        <v>-13.402999999999999</v>
      </c>
      <c r="V186" s="148">
        <f t="shared" si="357"/>
        <v>-66.399000000000001</v>
      </c>
      <c r="W186" s="148">
        <f t="shared" si="357"/>
        <v>-24.554999999999993</v>
      </c>
      <c r="X186" s="148">
        <f t="shared" si="357"/>
        <v>-11.160000000000011</v>
      </c>
      <c r="Y186" s="148">
        <f t="shared" si="357"/>
        <v>-50.086999999999989</v>
      </c>
      <c r="Z186" s="148">
        <f t="shared" si="357"/>
        <v>-70.271000000000001</v>
      </c>
      <c r="AA186" s="148">
        <f t="shared" si="357"/>
        <v>-84.843000000000004</v>
      </c>
      <c r="AB186" s="148">
        <f t="shared" si="357"/>
        <v>-48.907999999999987</v>
      </c>
      <c r="AC186" s="148">
        <f t="shared" si="357"/>
        <v>-75.478999999999985</v>
      </c>
      <c r="AD186" s="148">
        <f t="shared" ref="AD186" si="358">+AD74</f>
        <v>-33.384</v>
      </c>
    </row>
    <row r="187" spans="2:30" s="5" customFormat="1" ht="13.5" customHeight="1">
      <c r="B187" s="1" t="str">
        <f t="shared" si="356"/>
        <v xml:space="preserve">Dividends received  / Dividends Paid </v>
      </c>
      <c r="C187" s="148">
        <f t="shared" si="356"/>
        <v>-106.096</v>
      </c>
      <c r="D187" s="148">
        <f t="shared" si="356"/>
        <v>-97.5</v>
      </c>
      <c r="E187" s="148">
        <f t="shared" si="356"/>
        <v>-111.73</v>
      </c>
      <c r="F187" s="148">
        <f t="shared" si="356"/>
        <v>-105.04600000000001</v>
      </c>
      <c r="G187" s="148">
        <f t="shared" si="356"/>
        <v>-99.152000000000001</v>
      </c>
      <c r="H187" s="148">
        <f t="shared" si="356"/>
        <v>-105.854</v>
      </c>
      <c r="J187" s="148">
        <f t="shared" ref="J187:AC187" si="359">+J75</f>
        <v>-27.648</v>
      </c>
      <c r="K187" s="148">
        <f t="shared" si="359"/>
        <v>-27.843999999999998</v>
      </c>
      <c r="L187" s="148">
        <f t="shared" si="359"/>
        <v>-25.761000000000006</v>
      </c>
      <c r="M187" s="148">
        <f t="shared" si="359"/>
        <v>-24.843000000000004</v>
      </c>
      <c r="N187" s="148">
        <f t="shared" si="359"/>
        <v>-24.68</v>
      </c>
      <c r="O187" s="148">
        <f t="shared" si="359"/>
        <v>-22.9</v>
      </c>
      <c r="P187" s="148">
        <f t="shared" si="359"/>
        <v>-24.659000000000006</v>
      </c>
      <c r="Q187" s="148">
        <f t="shared" si="359"/>
        <v>-25.260999999999996</v>
      </c>
      <c r="R187" s="148">
        <f t="shared" si="359"/>
        <v>-26.608000000000001</v>
      </c>
      <c r="S187" s="148">
        <f t="shared" si="359"/>
        <v>-27.650000000000002</v>
      </c>
      <c r="T187" s="148">
        <f t="shared" si="359"/>
        <v>-29.841999999999988</v>
      </c>
      <c r="U187" s="148">
        <f t="shared" si="359"/>
        <v>-27.63000000000001</v>
      </c>
      <c r="V187" s="148">
        <f t="shared" si="359"/>
        <v>-28.901</v>
      </c>
      <c r="W187" s="148">
        <f t="shared" si="359"/>
        <v>-28.738000000000003</v>
      </c>
      <c r="X187" s="148">
        <f t="shared" si="359"/>
        <v>-24.552000000000003</v>
      </c>
      <c r="Y187" s="148">
        <f t="shared" si="359"/>
        <v>-22.855000000000004</v>
      </c>
      <c r="Z187" s="148">
        <f t="shared" si="359"/>
        <v>-22.033999999999999</v>
      </c>
      <c r="AA187" s="148">
        <f t="shared" si="359"/>
        <v>-22.926000000000002</v>
      </c>
      <c r="AB187" s="148">
        <f t="shared" si="359"/>
        <v>-26.939</v>
      </c>
      <c r="AC187" s="148">
        <f t="shared" si="359"/>
        <v>-27.253</v>
      </c>
      <c r="AD187" s="148">
        <f t="shared" ref="AD187" si="360">+AD75</f>
        <v>-28.736000000000001</v>
      </c>
    </row>
    <row r="188" spans="2:30" ht="13.5" customHeight="1">
      <c r="B188" s="1" t="str">
        <f t="shared" si="356"/>
        <v>Acquisition of bonds</v>
      </c>
      <c r="C188" s="148">
        <f t="shared" si="356"/>
        <v>0</v>
      </c>
      <c r="D188" s="148">
        <f t="shared" si="356"/>
        <v>0</v>
      </c>
      <c r="E188" s="148">
        <f t="shared" si="356"/>
        <v>0</v>
      </c>
      <c r="F188" s="148">
        <f t="shared" si="356"/>
        <v>0</v>
      </c>
      <c r="G188" s="148">
        <f t="shared" si="356"/>
        <v>0</v>
      </c>
      <c r="H188" s="148">
        <f t="shared" si="356"/>
        <v>0</v>
      </c>
      <c r="J188" s="148">
        <f t="shared" ref="J188:AC188" si="361">+J76</f>
        <v>0</v>
      </c>
      <c r="K188" s="148">
        <f t="shared" si="361"/>
        <v>0</v>
      </c>
      <c r="L188" s="148">
        <f t="shared" si="361"/>
        <v>0</v>
      </c>
      <c r="M188" s="148">
        <f t="shared" si="361"/>
        <v>0</v>
      </c>
      <c r="N188" s="148">
        <f t="shared" si="361"/>
        <v>0</v>
      </c>
      <c r="O188" s="148">
        <f t="shared" si="361"/>
        <v>0</v>
      </c>
      <c r="P188" s="148">
        <f t="shared" si="361"/>
        <v>0</v>
      </c>
      <c r="Q188" s="148">
        <f t="shared" si="361"/>
        <v>0</v>
      </c>
      <c r="R188" s="148">
        <f t="shared" si="361"/>
        <v>0</v>
      </c>
      <c r="S188" s="148">
        <f t="shared" si="361"/>
        <v>0</v>
      </c>
      <c r="T188" s="148">
        <f t="shared" si="361"/>
        <v>0</v>
      </c>
      <c r="U188" s="148">
        <f t="shared" si="361"/>
        <v>0</v>
      </c>
      <c r="V188" s="148">
        <f t="shared" si="361"/>
        <v>0</v>
      </c>
      <c r="W188" s="148">
        <f t="shared" si="361"/>
        <v>0</v>
      </c>
      <c r="X188" s="148">
        <f t="shared" si="361"/>
        <v>0</v>
      </c>
      <c r="Y188" s="148">
        <f t="shared" si="361"/>
        <v>0</v>
      </c>
      <c r="Z188" s="148">
        <f t="shared" si="361"/>
        <v>0</v>
      </c>
      <c r="AA188" s="148">
        <f t="shared" si="361"/>
        <v>0</v>
      </c>
      <c r="AB188" s="148">
        <f t="shared" si="361"/>
        <v>0</v>
      </c>
      <c r="AC188" s="148">
        <f t="shared" si="361"/>
        <v>0</v>
      </c>
      <c r="AD188" s="148">
        <f t="shared" ref="AD188" si="362">+AD76</f>
        <v>0</v>
      </c>
    </row>
    <row r="189" spans="2:30" ht="13.5" customHeight="1">
      <c r="B189" s="1" t="str">
        <f t="shared" si="356"/>
        <v>Change in debt /Finance Costs</v>
      </c>
      <c r="C189" s="148">
        <f t="shared" si="356"/>
        <v>-7.0460000000000207</v>
      </c>
      <c r="D189" s="148">
        <f t="shared" si="356"/>
        <v>339.61199999999985</v>
      </c>
      <c r="E189" s="148">
        <f t="shared" si="356"/>
        <v>-243.2350000000001</v>
      </c>
      <c r="F189" s="148">
        <f t="shared" si="356"/>
        <v>-241.72500000000008</v>
      </c>
      <c r="G189" s="148">
        <f t="shared" si="356"/>
        <v>-7.030999999999807</v>
      </c>
      <c r="H189" s="148">
        <f t="shared" si="356"/>
        <v>-103.20399999999981</v>
      </c>
      <c r="J189" s="148">
        <f t="shared" ref="J189:AC189" si="363">+J77</f>
        <v>56.500000000000021</v>
      </c>
      <c r="K189" s="148">
        <f t="shared" si="363"/>
        <v>-74.692000000000064</v>
      </c>
      <c r="L189" s="148">
        <f t="shared" si="363"/>
        <v>-13.878999999999955</v>
      </c>
      <c r="M189" s="148">
        <f t="shared" si="363"/>
        <v>25.024999999999977</v>
      </c>
      <c r="N189" s="148">
        <f t="shared" si="363"/>
        <v>88.162000000000035</v>
      </c>
      <c r="O189" s="148">
        <f t="shared" si="363"/>
        <v>32.754999999999967</v>
      </c>
      <c r="P189" s="148">
        <f t="shared" si="363"/>
        <v>167.02999999999994</v>
      </c>
      <c r="Q189" s="148">
        <f t="shared" si="363"/>
        <v>51.664999999999907</v>
      </c>
      <c r="R189" s="148">
        <f t="shared" si="363"/>
        <v>-20.064999999999987</v>
      </c>
      <c r="S189" s="148">
        <f t="shared" si="363"/>
        <v>47.511999999999944</v>
      </c>
      <c r="T189" s="148">
        <f t="shared" si="363"/>
        <v>-136.68</v>
      </c>
      <c r="U189" s="148">
        <f t="shared" si="363"/>
        <v>-134.00200000000007</v>
      </c>
      <c r="V189" s="148">
        <f t="shared" si="363"/>
        <v>-20.328999999999994</v>
      </c>
      <c r="W189" s="148">
        <f t="shared" si="363"/>
        <v>-17.279999999999994</v>
      </c>
      <c r="X189" s="148">
        <f t="shared" si="363"/>
        <v>-12.382999999999996</v>
      </c>
      <c r="Y189" s="148">
        <f t="shared" si="363"/>
        <v>-191.73300000000009</v>
      </c>
      <c r="Z189" s="148">
        <f t="shared" si="363"/>
        <v>75.245000000000005</v>
      </c>
      <c r="AA189" s="148">
        <f t="shared" si="363"/>
        <v>-20.812999999999953</v>
      </c>
      <c r="AB189" s="148">
        <f t="shared" si="363"/>
        <v>-49.163000000000018</v>
      </c>
      <c r="AC189" s="148">
        <f t="shared" si="363"/>
        <v>-12.299999999999841</v>
      </c>
      <c r="AD189" s="148">
        <f t="shared" ref="AD189" si="364">+AD77</f>
        <v>-20.928000000000001</v>
      </c>
    </row>
    <row r="190" spans="2:30" ht="13.5" customHeight="1" thickBot="1">
      <c r="B190" s="1" t="str">
        <f t="shared" si="356"/>
        <v>Other Finance</v>
      </c>
      <c r="C190" s="148">
        <f t="shared" si="356"/>
        <v>-0.80400000000000005</v>
      </c>
      <c r="D190" s="148">
        <f t="shared" si="356"/>
        <v>-1.1259999999999999</v>
      </c>
      <c r="E190" s="148">
        <f t="shared" si="356"/>
        <v>0</v>
      </c>
      <c r="F190" s="148">
        <f t="shared" si="356"/>
        <v>0</v>
      </c>
      <c r="G190" s="148">
        <f t="shared" si="356"/>
        <v>0.14199999999999999</v>
      </c>
      <c r="H190" s="148">
        <f t="shared" si="356"/>
        <v>0.14199999999999999</v>
      </c>
      <c r="J190" s="148">
        <f t="shared" ref="J190:AC190" si="365">+J78</f>
        <v>0.49099999999999999</v>
      </c>
      <c r="K190" s="148">
        <f t="shared" si="365"/>
        <v>-1.7629999999999999</v>
      </c>
      <c r="L190" s="148">
        <f t="shared" si="365"/>
        <v>-8.0000000000001181E-3</v>
      </c>
      <c r="M190" s="148">
        <f t="shared" si="365"/>
        <v>0.47599999999999976</v>
      </c>
      <c r="N190" s="148">
        <f t="shared" si="365"/>
        <v>0</v>
      </c>
      <c r="O190" s="148">
        <f t="shared" si="365"/>
        <v>0.57799999999999996</v>
      </c>
      <c r="P190" s="148">
        <f t="shared" si="365"/>
        <v>-1.7039999999999997</v>
      </c>
      <c r="Q190" s="148">
        <f t="shared" si="365"/>
        <v>0</v>
      </c>
      <c r="R190" s="148">
        <f t="shared" si="365"/>
        <v>0</v>
      </c>
      <c r="S190" s="148">
        <f t="shared" si="365"/>
        <v>0</v>
      </c>
      <c r="T190" s="148">
        <f t="shared" si="365"/>
        <v>0</v>
      </c>
      <c r="U190" s="148">
        <f t="shared" si="365"/>
        <v>0</v>
      </c>
      <c r="V190" s="148">
        <f t="shared" si="365"/>
        <v>0</v>
      </c>
      <c r="W190" s="148">
        <f t="shared" si="365"/>
        <v>0</v>
      </c>
      <c r="X190" s="148">
        <f t="shared" si="365"/>
        <v>0</v>
      </c>
      <c r="Y190" s="148">
        <f t="shared" si="365"/>
        <v>0</v>
      </c>
      <c r="Z190" s="148">
        <f t="shared" si="365"/>
        <v>0</v>
      </c>
      <c r="AA190" s="148">
        <f t="shared" si="365"/>
        <v>1.7999999999999999E-2</v>
      </c>
      <c r="AB190" s="148">
        <f t="shared" si="365"/>
        <v>0</v>
      </c>
      <c r="AC190" s="148">
        <f t="shared" si="365"/>
        <v>0.12399999999999999</v>
      </c>
      <c r="AD190" s="148">
        <f t="shared" ref="AD190" si="366">+AD78</f>
        <v>0</v>
      </c>
    </row>
    <row r="191" spans="2:30" ht="13.5" customHeight="1" thickTop="1" thickBot="1">
      <c r="B191" s="104" t="str">
        <f t="shared" si="356"/>
        <v>Cash flow after financing activities</v>
      </c>
      <c r="C191" s="152">
        <f t="shared" si="356"/>
        <v>-1.9620000000000155</v>
      </c>
      <c r="D191" s="152">
        <f t="shared" si="356"/>
        <v>33.341999999999906</v>
      </c>
      <c r="E191" s="152">
        <f t="shared" si="356"/>
        <v>53.311999999999415</v>
      </c>
      <c r="F191" s="152">
        <f t="shared" si="356"/>
        <v>82.323999999999842</v>
      </c>
      <c r="G191" s="152">
        <f t="shared" si="356"/>
        <v>54.288000000000032</v>
      </c>
      <c r="H191" s="152">
        <f t="shared" si="356"/>
        <v>30.575000000000134</v>
      </c>
      <c r="J191" s="152">
        <f t="shared" ref="J191:AC191" si="367">+J79</f>
        <v>111.94800000000005</v>
      </c>
      <c r="K191" s="152">
        <f t="shared" si="367"/>
        <v>34.775999999999961</v>
      </c>
      <c r="L191" s="152">
        <f t="shared" si="367"/>
        <v>-70.31599999999996</v>
      </c>
      <c r="M191" s="152">
        <f t="shared" si="367"/>
        <v>-78.369999999999891</v>
      </c>
      <c r="N191" s="152">
        <f t="shared" si="367"/>
        <v>38.117000000000047</v>
      </c>
      <c r="O191" s="152">
        <f t="shared" si="367"/>
        <v>-56.275000000000006</v>
      </c>
      <c r="P191" s="152">
        <f t="shared" si="367"/>
        <v>9.2529999999999077</v>
      </c>
      <c r="Q191" s="152">
        <f t="shared" si="367"/>
        <v>42.246999999999943</v>
      </c>
      <c r="R191" s="152">
        <f t="shared" si="367"/>
        <v>-10.670000000000023</v>
      </c>
      <c r="S191" s="152">
        <f t="shared" si="367"/>
        <v>-27.571000000000041</v>
      </c>
      <c r="T191" s="152">
        <f t="shared" si="367"/>
        <v>80.388999999999982</v>
      </c>
      <c r="U191" s="152">
        <f t="shared" si="367"/>
        <v>11.163999999999476</v>
      </c>
      <c r="V191" s="152">
        <f t="shared" si="367"/>
        <v>133.47799999999995</v>
      </c>
      <c r="W191" s="152">
        <f t="shared" si="367"/>
        <v>-28.406999999999993</v>
      </c>
      <c r="X191" s="152">
        <f t="shared" si="367"/>
        <v>97.317999999999927</v>
      </c>
      <c r="Y191" s="152">
        <f t="shared" si="367"/>
        <v>-120.06500000000021</v>
      </c>
      <c r="Z191" s="152">
        <f t="shared" si="367"/>
        <v>39.845999999999997</v>
      </c>
      <c r="AA191" s="152">
        <f t="shared" si="367"/>
        <v>-47.491999999999955</v>
      </c>
      <c r="AB191" s="152">
        <f t="shared" si="367"/>
        <v>103.92499999999993</v>
      </c>
      <c r="AC191" s="152">
        <f t="shared" si="367"/>
        <v>-41.990999999999978</v>
      </c>
      <c r="AD191" s="152">
        <f t="shared" ref="AD191" si="368">+AD79</f>
        <v>16.132999999999978</v>
      </c>
    </row>
    <row r="192" spans="2:30" s="5" customFormat="1" ht="13.5" customHeight="1" thickTop="1">
      <c r="B192" s="1" t="str">
        <f t="shared" si="356"/>
        <v xml:space="preserve">FX </v>
      </c>
      <c r="C192" s="148">
        <f t="shared" si="356"/>
        <v>-9.61</v>
      </c>
      <c r="D192" s="148">
        <f t="shared" si="356"/>
        <v>-7.6319999999999997</v>
      </c>
      <c r="E192" s="148">
        <f t="shared" si="356"/>
        <v>7.851</v>
      </c>
      <c r="F192" s="148">
        <f t="shared" si="356"/>
        <v>-84.787999999999997</v>
      </c>
      <c r="G192" s="148">
        <f t="shared" si="356"/>
        <v>32.389000000000003</v>
      </c>
      <c r="H192" s="148">
        <f t="shared" si="356"/>
        <v>18.436000000000003</v>
      </c>
      <c r="J192" s="148">
        <f t="shared" ref="J192:AC192" si="369">+J80</f>
        <v>-0.29499999999999998</v>
      </c>
      <c r="K192" s="148">
        <f t="shared" si="369"/>
        <v>2.8289999999999997</v>
      </c>
      <c r="L192" s="148">
        <f t="shared" si="369"/>
        <v>-6.1470000000000002</v>
      </c>
      <c r="M192" s="148">
        <f t="shared" si="369"/>
        <v>-5.996999999999999</v>
      </c>
      <c r="N192" s="148">
        <f t="shared" si="369"/>
        <v>0.22600000000000001</v>
      </c>
      <c r="O192" s="148">
        <f t="shared" si="369"/>
        <v>-0.40300000000000002</v>
      </c>
      <c r="P192" s="148">
        <f t="shared" si="369"/>
        <v>-11.632</v>
      </c>
      <c r="Q192" s="148">
        <f t="shared" si="369"/>
        <v>4.1769999999999996</v>
      </c>
      <c r="R192" s="148">
        <f t="shared" si="369"/>
        <v>6.7389999999999999</v>
      </c>
      <c r="S192" s="148">
        <f t="shared" si="369"/>
        <v>-3.3220000000000001</v>
      </c>
      <c r="T192" s="148">
        <f t="shared" si="369"/>
        <v>-8.0670000000000002</v>
      </c>
      <c r="U192" s="148">
        <f t="shared" si="369"/>
        <v>12.501000000000001</v>
      </c>
      <c r="V192" s="148">
        <f t="shared" si="369"/>
        <v>1.75</v>
      </c>
      <c r="W192" s="148">
        <f t="shared" si="369"/>
        <v>-34.104999999999997</v>
      </c>
      <c r="X192" s="148">
        <f t="shared" si="369"/>
        <v>-9.4280000000000044</v>
      </c>
      <c r="Y192" s="148">
        <f t="shared" si="369"/>
        <v>-43.004999999999995</v>
      </c>
      <c r="Z192" s="148">
        <f t="shared" si="369"/>
        <v>8.327</v>
      </c>
      <c r="AA192" s="148">
        <f t="shared" si="369"/>
        <v>17.029000000000003</v>
      </c>
      <c r="AB192" s="148">
        <f t="shared" si="369"/>
        <v>2.998999999999997</v>
      </c>
      <c r="AC192" s="148">
        <f t="shared" si="369"/>
        <v>4.034000000000006</v>
      </c>
      <c r="AD192" s="148">
        <f t="shared" ref="AD192" si="370">+AD80</f>
        <v>-5.6260000000000003</v>
      </c>
    </row>
    <row r="193" spans="2:30" s="5" customFormat="1" ht="13.5" customHeight="1" thickBot="1">
      <c r="B193" s="63" t="str">
        <f t="shared" si="356"/>
        <v>Balancing figure</v>
      </c>
      <c r="C193" s="150">
        <f t="shared" si="356"/>
        <v>-42.890999999999984</v>
      </c>
      <c r="D193" s="150">
        <f t="shared" si="356"/>
        <v>3.1860000000000923</v>
      </c>
      <c r="E193" s="150">
        <f t="shared" si="356"/>
        <v>5.0190000000005881</v>
      </c>
      <c r="F193" s="150">
        <f t="shared" si="356"/>
        <v>-7.2479999999998483</v>
      </c>
      <c r="G193" s="150">
        <f t="shared" si="356"/>
        <v>-15.787000000000035</v>
      </c>
      <c r="H193" s="150">
        <f t="shared" si="356"/>
        <v>-16.261000000000017</v>
      </c>
      <c r="J193" s="150">
        <f t="shared" ref="J193:AC193" si="371">+J81</f>
        <v>-7.3570000000000562</v>
      </c>
      <c r="K193" s="150">
        <f t="shared" si="371"/>
        <v>-27.317999999999941</v>
      </c>
      <c r="L193" s="150">
        <f t="shared" si="371"/>
        <v>-4.6800000000000637</v>
      </c>
      <c r="M193" s="150">
        <f t="shared" si="371"/>
        <v>-3.5359999999999232</v>
      </c>
      <c r="N193" s="150">
        <f t="shared" si="371"/>
        <v>-2.0590000000000472</v>
      </c>
      <c r="O193" s="150">
        <f t="shared" si="371"/>
        <v>1.0230000000000032</v>
      </c>
      <c r="P193" s="150">
        <f t="shared" si="371"/>
        <v>-1.305999999999905</v>
      </c>
      <c r="Q193" s="150">
        <f t="shared" si="371"/>
        <v>5.5280000000000413</v>
      </c>
      <c r="R193" s="150">
        <f t="shared" si="371"/>
        <v>8.415000000000024</v>
      </c>
      <c r="S193" s="150">
        <f t="shared" si="371"/>
        <v>2.9670000000000378</v>
      </c>
      <c r="T193" s="150">
        <f t="shared" si="371"/>
        <v>5.2810000000000201</v>
      </c>
      <c r="U193" s="150">
        <f t="shared" si="371"/>
        <v>-11.643999999999494</v>
      </c>
      <c r="V193" s="150">
        <f t="shared" si="371"/>
        <v>-2.8089999999999407</v>
      </c>
      <c r="W193" s="150">
        <f t="shared" si="371"/>
        <v>20.231999999999971</v>
      </c>
      <c r="X193" s="150">
        <f t="shared" si="371"/>
        <v>-29.983999999999909</v>
      </c>
      <c r="Y193" s="150">
        <f t="shared" si="371"/>
        <v>5.3130000000000308</v>
      </c>
      <c r="Z193" s="150">
        <f t="shared" si="371"/>
        <v>-2.1399999999999935</v>
      </c>
      <c r="AA193" s="150">
        <f t="shared" si="371"/>
        <v>-3.3760000000000474</v>
      </c>
      <c r="AB193" s="150">
        <f t="shared" si="371"/>
        <v>-3.8099999999999241</v>
      </c>
      <c r="AC193" s="150">
        <f t="shared" si="371"/>
        <v>-6.4610000000000696</v>
      </c>
      <c r="AD193" s="150">
        <f t="shared" ref="AD193" si="372">+AD81</f>
        <v>-2.6139999999999768</v>
      </c>
    </row>
    <row r="194" spans="2:30" ht="13.5" customHeight="1" thickTop="1">
      <c r="B194" s="5" t="str">
        <f t="shared" si="356"/>
        <v xml:space="preserve">Net change in cash </v>
      </c>
      <c r="C194" s="148">
        <f t="shared" si="356"/>
        <v>-54.463000000000001</v>
      </c>
      <c r="D194" s="148">
        <f t="shared" si="356"/>
        <v>28.896000000000001</v>
      </c>
      <c r="E194" s="148">
        <f t="shared" si="356"/>
        <v>66.182000000000002</v>
      </c>
      <c r="F194" s="148">
        <f t="shared" si="356"/>
        <v>-9.7120000000000033</v>
      </c>
      <c r="G194" s="148">
        <f t="shared" si="356"/>
        <v>70.89</v>
      </c>
      <c r="H194" s="148">
        <f t="shared" si="356"/>
        <v>32.750000000000121</v>
      </c>
      <c r="J194" s="148">
        <f t="shared" ref="J194:AC194" si="373">+J82</f>
        <v>104.29599999999999</v>
      </c>
      <c r="K194" s="148">
        <f t="shared" si="373"/>
        <v>10.28700000000002</v>
      </c>
      <c r="L194" s="148">
        <f t="shared" si="373"/>
        <v>-81.143000000000029</v>
      </c>
      <c r="M194" s="148">
        <f t="shared" si="373"/>
        <v>-87.902999999999821</v>
      </c>
      <c r="N194" s="148">
        <f t="shared" si="373"/>
        <v>36.283999999999999</v>
      </c>
      <c r="O194" s="148">
        <f t="shared" si="373"/>
        <v>-55.655000000000001</v>
      </c>
      <c r="P194" s="148">
        <f t="shared" si="373"/>
        <v>-3.6849999999999969</v>
      </c>
      <c r="Q194" s="148">
        <f t="shared" si="373"/>
        <v>51.951999999999984</v>
      </c>
      <c r="R194" s="148">
        <f t="shared" si="373"/>
        <v>4.4840000000000009</v>
      </c>
      <c r="S194" s="148">
        <f t="shared" si="373"/>
        <v>-27.926000000000002</v>
      </c>
      <c r="T194" s="148">
        <f t="shared" si="373"/>
        <v>77.602999999999994</v>
      </c>
      <c r="U194" s="148">
        <f t="shared" si="373"/>
        <v>12.020999999999983</v>
      </c>
      <c r="V194" s="148">
        <f t="shared" si="373"/>
        <v>132.41900000000001</v>
      </c>
      <c r="W194" s="148">
        <f t="shared" si="373"/>
        <v>-42.280000000000015</v>
      </c>
      <c r="X194" s="148">
        <f t="shared" si="373"/>
        <v>57.90600000000002</v>
      </c>
      <c r="Y194" s="148">
        <f t="shared" si="373"/>
        <v>-157.75700000000018</v>
      </c>
      <c r="Z194" s="148">
        <f t="shared" si="373"/>
        <v>46.033000000000001</v>
      </c>
      <c r="AA194" s="148">
        <f t="shared" si="373"/>
        <v>-33.838999999999999</v>
      </c>
      <c r="AB194" s="148">
        <f t="shared" si="373"/>
        <v>103.114</v>
      </c>
      <c r="AC194" s="148">
        <f t="shared" si="373"/>
        <v>-44.418000000000042</v>
      </c>
      <c r="AD194" s="148">
        <f t="shared" ref="AD194" si="374">+AD82</f>
        <v>7.8929999999999998</v>
      </c>
    </row>
    <row r="195" spans="2:30" ht="13.5" customHeight="1">
      <c r="J195" s="75"/>
      <c r="K195" s="75"/>
      <c r="L195" s="75"/>
      <c r="N195" s="75"/>
    </row>
    <row r="196" spans="2:30" ht="13.5" customHeight="1">
      <c r="B196" s="1" t="str">
        <f t="shared" ref="B196:H196" si="375">B119</f>
        <v>Cash and equivalents</v>
      </c>
      <c r="C196" s="143">
        <f t="shared" si="375"/>
        <v>254.96799999999999</v>
      </c>
      <c r="D196" s="143">
        <f t="shared" si="375"/>
        <v>283.86399999999998</v>
      </c>
      <c r="E196" s="143">
        <f t="shared" si="375"/>
        <v>350.04599999999999</v>
      </c>
      <c r="F196" s="143">
        <f t="shared" si="375"/>
        <v>340.334</v>
      </c>
      <c r="G196" s="143">
        <f t="shared" ref="G196" si="376">G119</f>
        <v>411.22500000000002</v>
      </c>
      <c r="H196" s="143">
        <f t="shared" si="375"/>
        <v>419.11799999999999</v>
      </c>
      <c r="J196" s="223"/>
      <c r="K196" s="223"/>
      <c r="L196" s="223"/>
      <c r="M196" s="143">
        <f t="shared" ref="M196:R196" si="377">M119</f>
        <v>254.96800000000016</v>
      </c>
      <c r="N196" s="143">
        <f t="shared" si="377"/>
        <v>291.25200000000001</v>
      </c>
      <c r="O196" s="143">
        <f t="shared" si="377"/>
        <v>235.59700000000001</v>
      </c>
      <c r="P196" s="143">
        <f t="shared" si="377"/>
        <v>231.91200000000001</v>
      </c>
      <c r="Q196" s="143">
        <f t="shared" si="377"/>
        <v>283.86399999999998</v>
      </c>
      <c r="R196" s="143">
        <f t="shared" si="377"/>
        <v>288.34799999999996</v>
      </c>
      <c r="S196" s="143">
        <f t="shared" ref="S196:V196" si="378">S119</f>
        <v>260.42199999999997</v>
      </c>
      <c r="T196" s="143">
        <f t="shared" si="378"/>
        <v>338.02499999999998</v>
      </c>
      <c r="U196" s="143">
        <f t="shared" si="378"/>
        <v>350.04599999999994</v>
      </c>
      <c r="V196" s="143">
        <f t="shared" si="378"/>
        <v>482.46499999999992</v>
      </c>
      <c r="W196" s="143">
        <f t="shared" ref="W196:Z196" si="379">W119</f>
        <v>440.18499999999989</v>
      </c>
      <c r="X196" s="143">
        <f t="shared" si="379"/>
        <v>498.09099999999989</v>
      </c>
      <c r="Y196" s="143">
        <f t="shared" si="379"/>
        <v>340.33399999999972</v>
      </c>
      <c r="Z196" s="143">
        <f t="shared" si="379"/>
        <v>386.36700000000002</v>
      </c>
      <c r="AA196" s="143">
        <f t="shared" ref="AA196:AD196" si="380">AA119</f>
        <v>352.52799999999974</v>
      </c>
      <c r="AB196" s="143">
        <f t="shared" si="380"/>
        <v>455.642</v>
      </c>
      <c r="AC196" s="143">
        <f t="shared" si="380"/>
        <v>411.22500000000002</v>
      </c>
      <c r="AD196" s="143">
        <f t="shared" si="380"/>
        <v>419.11799999999999</v>
      </c>
    </row>
    <row r="197" spans="2:30" ht="13.5" customHeight="1">
      <c r="B197" s="1" t="str">
        <f>B121</f>
        <v xml:space="preserve">Net debt </v>
      </c>
      <c r="C197" s="143">
        <f t="shared" ref="C197:D197" si="381">C121</f>
        <v>941.94900000000018</v>
      </c>
      <c r="D197" s="143">
        <f t="shared" si="381"/>
        <v>1473.8809999999999</v>
      </c>
      <c r="E197" s="143">
        <f t="shared" ref="E197:F197" si="382">E121</f>
        <v>1176.807</v>
      </c>
      <c r="F197" s="143">
        <f t="shared" si="382"/>
        <v>968.36599999999976</v>
      </c>
      <c r="G197" s="143">
        <f t="shared" ref="G197" si="383">G121</f>
        <v>1047.8269999999998</v>
      </c>
      <c r="H197" s="143">
        <f t="shared" ref="H197" si="384">H121</f>
        <v>1043.2190000000001</v>
      </c>
      <c r="J197" s="223"/>
      <c r="K197" s="223"/>
      <c r="L197" s="223"/>
      <c r="M197" s="143">
        <f t="shared" ref="M197:M198" si="385">M121</f>
        <v>941.94899999999996</v>
      </c>
      <c r="N197" s="143">
        <f t="shared" ref="N197:P198" si="386">N121</f>
        <v>1009.039</v>
      </c>
      <c r="O197" s="143">
        <f t="shared" si="386"/>
        <v>1109.2380000000001</v>
      </c>
      <c r="P197" s="143">
        <f t="shared" si="386"/>
        <v>1385.056</v>
      </c>
      <c r="Q197" s="143">
        <f t="shared" ref="Q197:T197" si="387">Q121</f>
        <v>1473.8809999999999</v>
      </c>
      <c r="R197" s="143">
        <f t="shared" si="387"/>
        <v>1372.3980000000004</v>
      </c>
      <c r="S197" s="143">
        <f t="shared" si="387"/>
        <v>1496.644</v>
      </c>
      <c r="T197" s="143">
        <f t="shared" si="387"/>
        <v>1277.6120000000001</v>
      </c>
      <c r="U197" s="143">
        <f t="shared" ref="U197:W197" si="388">U121</f>
        <v>1176.8070000000002</v>
      </c>
      <c r="V197" s="143">
        <f t="shared" si="388"/>
        <v>1049.6190000000001</v>
      </c>
      <c r="W197" s="143">
        <f t="shared" si="388"/>
        <v>1056.7300000000002</v>
      </c>
      <c r="X197" s="143">
        <f t="shared" ref="X197:AA197" si="389">X121</f>
        <v>976.15800000000013</v>
      </c>
      <c r="Y197" s="143">
        <f t="shared" si="389"/>
        <v>968.3660000000001</v>
      </c>
      <c r="Z197" s="143">
        <f t="shared" si="389"/>
        <v>1033.2170000000001</v>
      </c>
      <c r="AA197" s="143">
        <f t="shared" si="389"/>
        <v>1091.6050000000005</v>
      </c>
      <c r="AB197" s="143">
        <f t="shared" ref="AB197:AD197" si="390">AB121</f>
        <v>976.94399999999996</v>
      </c>
      <c r="AC197" s="143">
        <f t="shared" si="390"/>
        <v>1047.8269999999998</v>
      </c>
      <c r="AD197" s="143">
        <f t="shared" si="390"/>
        <v>1043.2190000000001</v>
      </c>
    </row>
    <row r="198" spans="2:30" ht="13.5" customHeight="1">
      <c r="B198" s="1" t="str">
        <f>B122</f>
        <v xml:space="preserve">Gross total debt </v>
      </c>
      <c r="C198" s="143">
        <f t="shared" ref="C198:D198" si="391">C122</f>
        <v>1196.9170000000001</v>
      </c>
      <c r="D198" s="143">
        <f t="shared" si="391"/>
        <v>1757.7449999999999</v>
      </c>
      <c r="E198" s="143">
        <f t="shared" ref="E198:F198" si="392">E122</f>
        <v>1526.8530000000001</v>
      </c>
      <c r="F198" s="143">
        <f t="shared" si="392"/>
        <v>1308.6999999999998</v>
      </c>
      <c r="G198" s="143">
        <f t="shared" ref="G198" si="393">G122</f>
        <v>1459.0519999999999</v>
      </c>
      <c r="H198" s="143">
        <f t="shared" ref="H198" si="394">H122</f>
        <v>1462.337</v>
      </c>
      <c r="J198" s="223"/>
      <c r="K198" s="223"/>
      <c r="L198" s="223"/>
      <c r="M198" s="143">
        <f t="shared" si="385"/>
        <v>1196.9170000000001</v>
      </c>
      <c r="N198" s="143">
        <f t="shared" si="386"/>
        <v>1300.2909999999999</v>
      </c>
      <c r="O198" s="143">
        <f t="shared" si="386"/>
        <v>1344.835</v>
      </c>
      <c r="P198" s="143">
        <f t="shared" si="386"/>
        <v>1616.9680000000001</v>
      </c>
      <c r="Q198" s="143">
        <f t="shared" ref="Q198:T198" si="395">Q122</f>
        <v>1757.7449999999999</v>
      </c>
      <c r="R198" s="143">
        <f t="shared" si="395"/>
        <v>1660.7460000000003</v>
      </c>
      <c r="S198" s="143">
        <f t="shared" si="395"/>
        <v>1757.066</v>
      </c>
      <c r="T198" s="143">
        <f t="shared" si="395"/>
        <v>1615.6370000000002</v>
      </c>
      <c r="U198" s="143">
        <f t="shared" ref="U198:W198" si="396">U122</f>
        <v>1526.8530000000001</v>
      </c>
      <c r="V198" s="143">
        <f t="shared" si="396"/>
        <v>1532.0840000000001</v>
      </c>
      <c r="W198" s="143">
        <f t="shared" si="396"/>
        <v>1496.9150000000002</v>
      </c>
      <c r="X198" s="143">
        <f t="shared" ref="X198:AA198" si="397">X122</f>
        <v>1474.249</v>
      </c>
      <c r="Y198" s="143">
        <f t="shared" si="397"/>
        <v>1308.6999999999998</v>
      </c>
      <c r="Z198" s="143">
        <f t="shared" si="397"/>
        <v>1419.5840000000001</v>
      </c>
      <c r="AA198" s="143">
        <f t="shared" si="397"/>
        <v>1444.1330000000003</v>
      </c>
      <c r="AB198" s="143">
        <f t="shared" ref="AB198:AD198" si="398">AB122</f>
        <v>1432.586</v>
      </c>
      <c r="AC198" s="143">
        <f t="shared" si="398"/>
        <v>1459.0519999999999</v>
      </c>
      <c r="AD198" s="143">
        <f t="shared" si="398"/>
        <v>1462.337</v>
      </c>
    </row>
    <row r="199" spans="2:30" ht="13.5" customHeight="1">
      <c r="J199" s="274"/>
      <c r="K199" s="274"/>
      <c r="L199" s="274"/>
      <c r="N199" s="75"/>
    </row>
    <row r="200" spans="2:30" ht="13.5" customHeight="1">
      <c r="B200" s="5" t="s">
        <v>292</v>
      </c>
      <c r="C200" s="143">
        <f t="shared" ref="C200:D200" si="399">C126</f>
        <v>941.94900000000018</v>
      </c>
      <c r="D200" s="143">
        <f t="shared" si="399"/>
        <v>1473.8809999999999</v>
      </c>
      <c r="E200" s="143">
        <f t="shared" ref="E200:F200" si="400">E126</f>
        <v>1176.807</v>
      </c>
      <c r="F200" s="143">
        <f t="shared" si="400"/>
        <v>968.36599999999976</v>
      </c>
      <c r="G200" s="143">
        <f t="shared" ref="G200" si="401">G126</f>
        <v>1047.8269999999998</v>
      </c>
      <c r="H200" s="143">
        <f t="shared" ref="H200" si="402">H126</f>
        <v>1043.2190000000001</v>
      </c>
      <c r="J200" s="223"/>
      <c r="K200" s="223"/>
      <c r="L200" s="223"/>
      <c r="M200" s="143">
        <f t="shared" ref="M200:M201" si="403">M126</f>
        <v>941.94899999999996</v>
      </c>
      <c r="N200" s="143">
        <f t="shared" ref="N200:P201" si="404">N126</f>
        <v>1009.039</v>
      </c>
      <c r="O200" s="143">
        <f t="shared" si="404"/>
        <v>1109.2380000000001</v>
      </c>
      <c r="P200" s="143">
        <f t="shared" si="404"/>
        <v>1385.056</v>
      </c>
      <c r="Q200" s="143">
        <f t="shared" ref="Q200:T200" si="405">Q126</f>
        <v>1473.8809999999999</v>
      </c>
      <c r="R200" s="143">
        <f t="shared" si="405"/>
        <v>1372.3980000000004</v>
      </c>
      <c r="S200" s="143">
        <f t="shared" si="405"/>
        <v>1496.644</v>
      </c>
      <c r="T200" s="143">
        <f t="shared" si="405"/>
        <v>1277.6120000000001</v>
      </c>
      <c r="U200" s="143">
        <f t="shared" ref="U200:W200" si="406">U126</f>
        <v>1176.8070000000002</v>
      </c>
      <c r="V200" s="143">
        <f t="shared" si="406"/>
        <v>1049.6190000000001</v>
      </c>
      <c r="W200" s="143">
        <f t="shared" si="406"/>
        <v>1056.7300000000002</v>
      </c>
      <c r="X200" s="143">
        <f t="shared" ref="X200:AA200" si="407">X126</f>
        <v>976.15800000000013</v>
      </c>
      <c r="Y200" s="143">
        <f t="shared" si="407"/>
        <v>968.3660000000001</v>
      </c>
      <c r="Z200" s="143">
        <f t="shared" si="407"/>
        <v>1033.2170000000001</v>
      </c>
      <c r="AA200" s="143">
        <f t="shared" si="407"/>
        <v>1091.6050000000005</v>
      </c>
      <c r="AB200" s="143">
        <f t="shared" ref="AB200:AD200" si="408">AB126</f>
        <v>976.94399999999996</v>
      </c>
      <c r="AC200" s="143">
        <f t="shared" si="408"/>
        <v>1047.8269999999998</v>
      </c>
      <c r="AD200" s="143">
        <f t="shared" si="408"/>
        <v>1043.2190000000001</v>
      </c>
    </row>
    <row r="201" spans="2:30" ht="13.5" customHeight="1">
      <c r="B201" s="5" t="s">
        <v>293</v>
      </c>
      <c r="C201" s="143">
        <f t="shared" ref="C201:D201" si="409">C127</f>
        <v>1196.9170000000001</v>
      </c>
      <c r="D201" s="143">
        <f t="shared" si="409"/>
        <v>1757.7449999999999</v>
      </c>
      <c r="E201" s="143">
        <f t="shared" ref="E201:F201" si="410">E127</f>
        <v>1526.8530000000001</v>
      </c>
      <c r="F201" s="143">
        <f t="shared" si="410"/>
        <v>1308.6999999999998</v>
      </c>
      <c r="G201" s="143">
        <f t="shared" ref="G201" si="411">G127</f>
        <v>1459.0519999999999</v>
      </c>
      <c r="H201" s="143">
        <f t="shared" ref="H201" si="412">H127</f>
        <v>1462.337</v>
      </c>
      <c r="J201" s="223"/>
      <c r="K201" s="223"/>
      <c r="L201" s="223"/>
      <c r="M201" s="143">
        <f t="shared" si="403"/>
        <v>1196.9170000000001</v>
      </c>
      <c r="N201" s="143">
        <f t="shared" si="404"/>
        <v>1300.2909999999999</v>
      </c>
      <c r="O201" s="143">
        <f t="shared" si="404"/>
        <v>1344.835</v>
      </c>
      <c r="P201" s="143">
        <f t="shared" si="404"/>
        <v>1616.9680000000001</v>
      </c>
      <c r="Q201" s="143">
        <f t="shared" ref="Q201:T201" si="413">Q127</f>
        <v>1757.7449999999999</v>
      </c>
      <c r="R201" s="143">
        <f t="shared" si="413"/>
        <v>1660.7460000000003</v>
      </c>
      <c r="S201" s="143">
        <f t="shared" si="413"/>
        <v>1757.066</v>
      </c>
      <c r="T201" s="143">
        <f t="shared" si="413"/>
        <v>1615.6370000000002</v>
      </c>
      <c r="U201" s="143">
        <f t="shared" ref="U201:W201" si="414">U127</f>
        <v>1526.8530000000001</v>
      </c>
      <c r="V201" s="143">
        <f t="shared" si="414"/>
        <v>1532.0840000000001</v>
      </c>
      <c r="W201" s="143">
        <f t="shared" si="414"/>
        <v>1496.9150000000002</v>
      </c>
      <c r="X201" s="143">
        <f t="shared" ref="X201:AA201" si="415">X127</f>
        <v>1474.249</v>
      </c>
      <c r="Y201" s="143">
        <f t="shared" si="415"/>
        <v>1308.6999999999998</v>
      </c>
      <c r="Z201" s="143">
        <f t="shared" si="415"/>
        <v>1419.5840000000001</v>
      </c>
      <c r="AA201" s="143">
        <f t="shared" si="415"/>
        <v>1444.1330000000003</v>
      </c>
      <c r="AB201" s="143">
        <f t="shared" ref="AB201:AD201" si="416">AB127</f>
        <v>1432.586</v>
      </c>
      <c r="AC201" s="143">
        <f t="shared" si="416"/>
        <v>1459.0519999999999</v>
      </c>
      <c r="AD201" s="143">
        <f t="shared" si="416"/>
        <v>1462.337</v>
      </c>
    </row>
    <row r="202" spans="2:30" ht="13.5" customHeight="1">
      <c r="J202" s="275"/>
      <c r="K202" s="275"/>
      <c r="L202" s="275"/>
      <c r="N202" s="51"/>
    </row>
    <row r="203" spans="2:30" ht="13.5" customHeight="1">
      <c r="B203" s="5" t="s">
        <v>296</v>
      </c>
      <c r="C203" s="143">
        <f t="shared" ref="C203:D203" si="417">C133</f>
        <v>1261.0290000000002</v>
      </c>
      <c r="D203" s="143">
        <f t="shared" si="417"/>
        <v>1841.2929999999999</v>
      </c>
      <c r="E203" s="143">
        <f t="shared" ref="E203:F203" si="418">E133</f>
        <v>1541.664</v>
      </c>
      <c r="F203" s="143">
        <f t="shared" si="418"/>
        <v>1330.6559999999997</v>
      </c>
      <c r="G203" s="143">
        <f t="shared" ref="G203" si="419">G133</f>
        <v>1437.2639999999997</v>
      </c>
      <c r="H203" s="143">
        <f>H133</f>
        <v>1440.742</v>
      </c>
      <c r="J203" s="223"/>
      <c r="K203" s="223"/>
      <c r="L203" s="223"/>
      <c r="M203" s="143">
        <f t="shared" ref="M203:M204" si="420">M133</f>
        <v>1261.029</v>
      </c>
      <c r="N203" s="143">
        <f t="shared" ref="N203:P204" si="421">N133</f>
        <v>1349.0630000000001</v>
      </c>
      <c r="O203" s="143">
        <f t="shared" si="421"/>
        <v>1473.758</v>
      </c>
      <c r="P203" s="143">
        <f t="shared" si="421"/>
        <v>1746.3110000000001</v>
      </c>
      <c r="Q203" s="143">
        <f t="shared" ref="Q203:T203" si="422">Q133</f>
        <v>1841.2929999999999</v>
      </c>
      <c r="R203" s="143">
        <f t="shared" si="422"/>
        <v>1734.6130000000003</v>
      </c>
      <c r="S203" s="143">
        <f t="shared" si="422"/>
        <v>1859.549</v>
      </c>
      <c r="T203" s="143">
        <f t="shared" si="422"/>
        <v>1646.098</v>
      </c>
      <c r="U203" s="143">
        <f t="shared" ref="U203:W203" si="423">U133</f>
        <v>1541.6640000000002</v>
      </c>
      <c r="V203" s="143">
        <f t="shared" si="423"/>
        <v>1415.3500000000001</v>
      </c>
      <c r="W203" s="143">
        <f t="shared" si="423"/>
        <v>1427.5060000000003</v>
      </c>
      <c r="X203" s="143">
        <f t="shared" ref="X203:AA203" si="424">X133</f>
        <v>1343.482</v>
      </c>
      <c r="Y203" s="143">
        <f t="shared" si="424"/>
        <v>1330.6559999999999</v>
      </c>
      <c r="Z203" s="143">
        <f t="shared" si="424"/>
        <v>1419.5210000000002</v>
      </c>
      <c r="AA203" s="143">
        <f t="shared" si="424"/>
        <v>1484.6560000000004</v>
      </c>
      <c r="AB203" s="143">
        <f t="shared" ref="AB203:AD203" si="425">AB133</f>
        <v>1366.338</v>
      </c>
      <c r="AC203" s="143">
        <f t="shared" si="425"/>
        <v>1437.2639999999997</v>
      </c>
      <c r="AD203" s="143">
        <f t="shared" si="425"/>
        <v>1440.742</v>
      </c>
    </row>
    <row r="204" spans="2:30" ht="13.5" customHeight="1">
      <c r="B204" s="5" t="s">
        <v>297</v>
      </c>
      <c r="C204" s="143">
        <f t="shared" ref="C204:D204" si="426">C134</f>
        <v>1515.9970000000001</v>
      </c>
      <c r="D204" s="143">
        <f t="shared" si="426"/>
        <v>2125.1570000000002</v>
      </c>
      <c r="E204" s="143">
        <f t="shared" ref="E204:F204" si="427">E134</f>
        <v>1891.71</v>
      </c>
      <c r="F204" s="143">
        <f t="shared" si="427"/>
        <v>1670.9899999999998</v>
      </c>
      <c r="G204" s="143">
        <f t="shared" ref="G204" si="428">G134</f>
        <v>1848.4889999999998</v>
      </c>
      <c r="H204" s="143">
        <f t="shared" ref="H204" si="429">H134</f>
        <v>1859.86</v>
      </c>
      <c r="J204" s="223"/>
      <c r="K204" s="223"/>
      <c r="L204" s="223"/>
      <c r="M204" s="143">
        <f t="shared" si="420"/>
        <v>1515.9970000000001</v>
      </c>
      <c r="N204" s="143">
        <f t="shared" si="421"/>
        <v>1640.3150000000001</v>
      </c>
      <c r="O204" s="143">
        <f t="shared" si="421"/>
        <v>1709.355</v>
      </c>
      <c r="P204" s="143">
        <f t="shared" si="421"/>
        <v>1978.223</v>
      </c>
      <c r="Q204" s="143">
        <f t="shared" ref="Q204:T204" si="430">Q134</f>
        <v>2125.1570000000002</v>
      </c>
      <c r="R204" s="143">
        <f t="shared" si="430"/>
        <v>2022.9610000000002</v>
      </c>
      <c r="S204" s="143">
        <f t="shared" si="430"/>
        <v>2119.971</v>
      </c>
      <c r="T204" s="143">
        <f t="shared" si="430"/>
        <v>1984.123</v>
      </c>
      <c r="U204" s="143">
        <f t="shared" ref="U204:W204" si="431">U134</f>
        <v>1891.71</v>
      </c>
      <c r="V204" s="143">
        <f t="shared" si="431"/>
        <v>1897.8150000000001</v>
      </c>
      <c r="W204" s="143">
        <f t="shared" si="431"/>
        <v>1867.6910000000003</v>
      </c>
      <c r="X204" s="143">
        <f t="shared" ref="X204:AA204" si="432">X134</f>
        <v>1841.5729999999999</v>
      </c>
      <c r="Y204" s="143">
        <f t="shared" si="432"/>
        <v>1670.9899999999998</v>
      </c>
      <c r="Z204" s="143">
        <f t="shared" si="432"/>
        <v>1805.8880000000001</v>
      </c>
      <c r="AA204" s="143">
        <f t="shared" si="432"/>
        <v>1837.1840000000002</v>
      </c>
      <c r="AB204" s="143">
        <f t="shared" ref="AB204:AD204" si="433">AB134</f>
        <v>1821.98</v>
      </c>
      <c r="AC204" s="143">
        <f t="shared" si="433"/>
        <v>1848.4889999999998</v>
      </c>
      <c r="AD204" s="143">
        <f t="shared" si="433"/>
        <v>1859.86</v>
      </c>
    </row>
    <row r="205" spans="2:30" ht="13.5" customHeight="1">
      <c r="J205" s="275"/>
      <c r="K205" s="275"/>
      <c r="L205" s="51"/>
      <c r="N205" s="51"/>
    </row>
    <row r="206" spans="2:30" ht="13.5" customHeight="1">
      <c r="B206" s="1" t="s">
        <v>315</v>
      </c>
      <c r="C206" s="143">
        <f t="shared" ref="C206:H206" si="434">C92</f>
        <v>0</v>
      </c>
      <c r="D206" s="143">
        <f t="shared" si="434"/>
        <v>0</v>
      </c>
      <c r="E206" s="143">
        <f t="shared" si="434"/>
        <v>0</v>
      </c>
      <c r="F206" s="143">
        <f t="shared" si="434"/>
        <v>0</v>
      </c>
      <c r="G206" s="143">
        <f t="shared" si="434"/>
        <v>0</v>
      </c>
      <c r="H206" s="143">
        <f t="shared" si="434"/>
        <v>0</v>
      </c>
      <c r="J206" s="223"/>
      <c r="K206" s="223"/>
      <c r="L206" s="223"/>
      <c r="M206" s="143">
        <f t="shared" ref="M206:AC206" si="435">M92</f>
        <v>0</v>
      </c>
      <c r="N206" s="143">
        <f t="shared" si="435"/>
        <v>0</v>
      </c>
      <c r="O206" s="143">
        <f t="shared" si="435"/>
        <v>0</v>
      </c>
      <c r="P206" s="143">
        <f t="shared" si="435"/>
        <v>0</v>
      </c>
      <c r="Q206" s="143">
        <f t="shared" si="435"/>
        <v>0</v>
      </c>
      <c r="R206" s="143">
        <f t="shared" si="435"/>
        <v>0</v>
      </c>
      <c r="S206" s="143">
        <f t="shared" si="435"/>
        <v>0</v>
      </c>
      <c r="T206" s="143">
        <f t="shared" si="435"/>
        <v>0</v>
      </c>
      <c r="U206" s="143">
        <f t="shared" si="435"/>
        <v>0</v>
      </c>
      <c r="V206" s="143">
        <f t="shared" si="435"/>
        <v>0</v>
      </c>
      <c r="W206" s="143">
        <f t="shared" si="435"/>
        <v>0</v>
      </c>
      <c r="X206" s="143">
        <f t="shared" si="435"/>
        <v>0</v>
      </c>
      <c r="Y206" s="143">
        <f t="shared" si="435"/>
        <v>0</v>
      </c>
      <c r="Z206" s="143">
        <f t="shared" si="435"/>
        <v>0</v>
      </c>
      <c r="AA206" s="143">
        <f t="shared" si="435"/>
        <v>0</v>
      </c>
      <c r="AB206" s="143">
        <f t="shared" si="435"/>
        <v>0</v>
      </c>
      <c r="AC206" s="143">
        <f t="shared" si="435"/>
        <v>0</v>
      </c>
      <c r="AD206" s="143">
        <f t="shared" ref="AD206" si="436">AD92</f>
        <v>0</v>
      </c>
    </row>
    <row r="207" spans="2:30" ht="13.5" customHeight="1">
      <c r="B207" s="1" t="s">
        <v>270</v>
      </c>
      <c r="C207" s="223"/>
      <c r="D207" s="223"/>
      <c r="E207" s="368"/>
      <c r="F207" s="368"/>
      <c r="G207" s="368"/>
      <c r="H207" s="368"/>
      <c r="J207" s="368"/>
      <c r="K207" s="368"/>
      <c r="L207" s="368"/>
      <c r="M207" s="368"/>
      <c r="N207" s="368"/>
      <c r="O207" s="368"/>
      <c r="P207" s="368"/>
      <c r="Q207" s="368"/>
      <c r="R207" s="368"/>
      <c r="S207" s="368"/>
      <c r="T207" s="368"/>
      <c r="U207" s="368"/>
      <c r="V207" s="368"/>
      <c r="W207" s="368"/>
      <c r="X207" s="368"/>
      <c r="Y207" s="368"/>
      <c r="Z207" s="368"/>
      <c r="AA207" s="368"/>
      <c r="AB207" s="368"/>
      <c r="AC207" s="368"/>
      <c r="AD207" s="368"/>
    </row>
    <row r="208" spans="2:30" ht="13.5" customHeight="1">
      <c r="B208" s="1" t="s">
        <v>316</v>
      </c>
      <c r="C208" s="143">
        <f t="shared" ref="C208:H208" si="437">C91</f>
        <v>735.54000000000008</v>
      </c>
      <c r="D208" s="143">
        <f t="shared" si="437"/>
        <v>808.846</v>
      </c>
      <c r="E208" s="143">
        <f t="shared" si="437"/>
        <v>1006.2909999999996</v>
      </c>
      <c r="F208" s="143">
        <f t="shared" si="437"/>
        <v>1131.0999999999999</v>
      </c>
      <c r="G208" s="143">
        <f t="shared" si="437"/>
        <v>1136</v>
      </c>
      <c r="H208" s="143">
        <f t="shared" si="437"/>
        <v>1121.8999999999999</v>
      </c>
      <c r="J208" s="223"/>
      <c r="K208" s="223"/>
      <c r="L208" s="223"/>
      <c r="M208" s="143">
        <f t="shared" ref="M208:AC208" si="438">M91</f>
        <v>735.54000000000008</v>
      </c>
      <c r="N208" s="143">
        <f t="shared" si="438"/>
        <v>731.94554007718887</v>
      </c>
      <c r="O208" s="143">
        <f t="shared" si="438"/>
        <v>731.84554007718896</v>
      </c>
      <c r="P208" s="143">
        <f t="shared" si="438"/>
        <v>756.6455400771888</v>
      </c>
      <c r="Q208" s="143">
        <f t="shared" si="438"/>
        <v>808.846</v>
      </c>
      <c r="R208" s="143">
        <f t="shared" si="438"/>
        <v>854.54600000000005</v>
      </c>
      <c r="S208" s="143">
        <f t="shared" si="438"/>
        <v>911.94600000000003</v>
      </c>
      <c r="T208" s="143">
        <f t="shared" si="438"/>
        <v>982.44600000000003</v>
      </c>
      <c r="U208" s="143">
        <f t="shared" si="438"/>
        <v>1006.2909999999996</v>
      </c>
      <c r="V208" s="143">
        <f t="shared" si="438"/>
        <v>1060.0909999999994</v>
      </c>
      <c r="W208" s="143">
        <f t="shared" si="438"/>
        <v>1102.3909999999996</v>
      </c>
      <c r="X208" s="143">
        <f t="shared" si="438"/>
        <v>1111.8909999999996</v>
      </c>
      <c r="Y208" s="143">
        <f t="shared" si="438"/>
        <v>1131.0999999999999</v>
      </c>
      <c r="Z208" s="143">
        <f t="shared" si="438"/>
        <v>1142.6999999999998</v>
      </c>
      <c r="AA208" s="143">
        <f t="shared" si="438"/>
        <v>1146.0999999999999</v>
      </c>
      <c r="AB208" s="143">
        <f t="shared" si="438"/>
        <v>1150.8</v>
      </c>
      <c r="AC208" s="143">
        <f t="shared" si="438"/>
        <v>1136</v>
      </c>
      <c r="AD208" s="143">
        <f t="shared" ref="AD208" si="439">AD91</f>
        <v>1121.8999999999999</v>
      </c>
    </row>
    <row r="209" spans="2:30" ht="13.5" customHeight="1">
      <c r="J209" s="274"/>
      <c r="K209" s="274"/>
      <c r="L209" s="75"/>
      <c r="N209" s="75"/>
    </row>
    <row r="210" spans="2:30" s="5" customFormat="1" ht="13.5" customHeight="1">
      <c r="B210" s="5" t="str">
        <f>+B147</f>
        <v>Total Net Leverage</v>
      </c>
      <c r="C210" s="53">
        <f t="shared" ref="C210:D211" si="440">+C147</f>
        <v>1.2806223998694837</v>
      </c>
      <c r="D210" s="53">
        <f t="shared" si="440"/>
        <v>1.8222022486357103</v>
      </c>
      <c r="E210" s="53">
        <f t="shared" ref="E210:F210" si="441">+E147</f>
        <v>1.1694499901122046</v>
      </c>
      <c r="F210" s="53">
        <f t="shared" si="441"/>
        <v>0.85612766333657486</v>
      </c>
      <c r="G210" s="53">
        <f t="shared" ref="G210" si="442">+G147</f>
        <v>0.92238292253521104</v>
      </c>
      <c r="H210" s="53">
        <f t="shared" ref="H210" si="443">+H147</f>
        <v>0.92986808093412976</v>
      </c>
      <c r="J210" s="224"/>
      <c r="K210" s="224"/>
      <c r="L210" s="225"/>
      <c r="M210" s="52">
        <f t="shared" ref="M210:S211" si="444">+M147</f>
        <v>1.2806223998694835</v>
      </c>
      <c r="N210" s="52">
        <f t="shared" si="444"/>
        <v>1.3785711432760279</v>
      </c>
      <c r="O210" s="52">
        <f t="shared" si="444"/>
        <v>1.5156722822728508</v>
      </c>
      <c r="P210" s="52">
        <f t="shared" si="444"/>
        <v>1.8305215938478991</v>
      </c>
      <c r="Q210" s="52">
        <f t="shared" si="444"/>
        <v>1.8222022486357103</v>
      </c>
      <c r="R210" s="52">
        <f t="shared" si="444"/>
        <v>1.6059966344702337</v>
      </c>
      <c r="S210" s="52">
        <f t="shared" si="444"/>
        <v>1.6411541911472829</v>
      </c>
      <c r="T210" s="52">
        <f t="shared" ref="T210:W210" si="445">+T147</f>
        <v>1.3004399223977705</v>
      </c>
      <c r="U210" s="52">
        <f t="shared" si="445"/>
        <v>1.1694499901122049</v>
      </c>
      <c r="V210" s="52">
        <f t="shared" si="445"/>
        <v>0.99012160276806493</v>
      </c>
      <c r="W210" s="52">
        <f t="shared" si="445"/>
        <v>0.95858003194873742</v>
      </c>
      <c r="X210" s="52">
        <f t="shared" ref="X210:AA210" si="446">+X147</f>
        <v>0.87792598375200492</v>
      </c>
      <c r="Y210" s="52">
        <f t="shared" si="446"/>
        <v>0.8561276633365752</v>
      </c>
      <c r="Z210" s="52">
        <f t="shared" si="446"/>
        <v>0.90418920101513978</v>
      </c>
      <c r="AA210" s="52">
        <f t="shared" si="446"/>
        <v>0.95245179303725724</v>
      </c>
      <c r="AB210" s="52">
        <f t="shared" ref="AB210:AD210" si="447">+AB147</f>
        <v>0.84892596454640246</v>
      </c>
      <c r="AC210" s="52">
        <f t="shared" si="447"/>
        <v>0.92238292253521104</v>
      </c>
      <c r="AD210" s="52">
        <f t="shared" si="447"/>
        <v>0.92986808093412976</v>
      </c>
    </row>
    <row r="211" spans="2:30" ht="12.75">
      <c r="B211" s="1" t="str">
        <f>+B148</f>
        <v xml:space="preserve">Total Gross Leverage </v>
      </c>
      <c r="C211" s="52">
        <f t="shared" si="440"/>
        <v>1.6272629632650841</v>
      </c>
      <c r="D211" s="52">
        <f t="shared" si="440"/>
        <v>2.1731516258966477</v>
      </c>
      <c r="E211" s="52">
        <f t="shared" ref="E211:F211" si="448">+E148</f>
        <v>1.5173076177765683</v>
      </c>
      <c r="F211" s="52">
        <f t="shared" si="448"/>
        <v>1.1570152948457253</v>
      </c>
      <c r="G211" s="52">
        <f t="shared" ref="G211" si="449">+G148</f>
        <v>1.2843767605633802</v>
      </c>
      <c r="H211" s="52">
        <f t="shared" ref="H211" si="450">+H148</f>
        <v>1.3034468312683842</v>
      </c>
      <c r="J211" s="225"/>
      <c r="K211" s="225"/>
      <c r="L211" s="224"/>
      <c r="M211" s="53">
        <f t="shared" si="444"/>
        <v>1.6272629632650841</v>
      </c>
      <c r="N211" s="53">
        <f t="shared" si="444"/>
        <v>1.7764859935656894</v>
      </c>
      <c r="O211" s="53">
        <f t="shared" si="444"/>
        <v>1.8375940363839043</v>
      </c>
      <c r="P211" s="53">
        <f t="shared" si="444"/>
        <v>2.1370217814738535</v>
      </c>
      <c r="Q211" s="53">
        <f t="shared" si="444"/>
        <v>2.1731516258966477</v>
      </c>
      <c r="R211" s="53">
        <f t="shared" si="444"/>
        <v>1.9434249297287685</v>
      </c>
      <c r="S211" s="53">
        <f t="shared" si="444"/>
        <v>1.9267215383366998</v>
      </c>
      <c r="T211" s="53">
        <f t="shared" ref="T211:W211" si="451">+T148</f>
        <v>1.6445046343514047</v>
      </c>
      <c r="U211" s="53">
        <f t="shared" si="451"/>
        <v>1.5173076177765683</v>
      </c>
      <c r="V211" s="53">
        <f t="shared" si="451"/>
        <v>1.4452381918156092</v>
      </c>
      <c r="W211" s="53">
        <f t="shared" si="451"/>
        <v>1.357880280227252</v>
      </c>
      <c r="X211" s="53">
        <f t="shared" ref="X211:AA211" si="452">+X148</f>
        <v>1.3258934553836668</v>
      </c>
      <c r="Y211" s="53">
        <f t="shared" si="452"/>
        <v>1.1570152948457253</v>
      </c>
      <c r="Z211" s="53">
        <f t="shared" si="452"/>
        <v>1.2423068171873635</v>
      </c>
      <c r="AA211" s="53">
        <f t="shared" si="452"/>
        <v>1.2600410086379901</v>
      </c>
      <c r="AB211" s="53">
        <f t="shared" ref="AB211:AD211" si="453">+AB148</f>
        <v>1.244860966284324</v>
      </c>
      <c r="AC211" s="53">
        <f t="shared" si="453"/>
        <v>1.2843767605633802</v>
      </c>
      <c r="AD211" s="53">
        <f t="shared" si="453"/>
        <v>1.3034468312683842</v>
      </c>
    </row>
    <row r="212" spans="2:30" ht="12.75">
      <c r="C212" s="53"/>
      <c r="D212" s="53"/>
      <c r="E212" s="53"/>
      <c r="F212" s="53"/>
      <c r="G212" s="53"/>
      <c r="H212" s="53"/>
      <c r="J212" s="225"/>
      <c r="K212" s="225"/>
      <c r="L212" s="225"/>
      <c r="N212" s="53"/>
    </row>
    <row r="213" spans="2:30" ht="12.75">
      <c r="B213" s="1" t="str">
        <f>+B150</f>
        <v>Total Net Leverage- including finance leases</v>
      </c>
      <c r="C213" s="52">
        <f t="shared" ref="C213:D214" si="454">+C150</f>
        <v>1.2806223998694837</v>
      </c>
      <c r="D213" s="52">
        <f t="shared" si="454"/>
        <v>1.8222022486357103</v>
      </c>
      <c r="E213" s="52">
        <f t="shared" ref="E213:F213" si="455">+E150</f>
        <v>1.1694499901122046</v>
      </c>
      <c r="F213" s="52">
        <f t="shared" si="455"/>
        <v>0.85612766333657486</v>
      </c>
      <c r="G213" s="52">
        <f t="shared" ref="G213" si="456">+G150</f>
        <v>0.92238292253521104</v>
      </c>
      <c r="H213" s="52">
        <f t="shared" ref="H213" si="457">+H150</f>
        <v>0.92986808093412976</v>
      </c>
      <c r="J213" s="224"/>
      <c r="K213" s="224"/>
      <c r="L213" s="224"/>
      <c r="M213" s="52">
        <f t="shared" ref="M213:S214" si="458">+M150</f>
        <v>1.2806223998694835</v>
      </c>
      <c r="N213" s="52">
        <f t="shared" si="458"/>
        <v>1.3785711432760279</v>
      </c>
      <c r="O213" s="52">
        <f t="shared" si="458"/>
        <v>1.5156722822728508</v>
      </c>
      <c r="P213" s="52">
        <f t="shared" si="458"/>
        <v>1.8305215938478991</v>
      </c>
      <c r="Q213" s="52">
        <f t="shared" si="458"/>
        <v>1.8222022486357103</v>
      </c>
      <c r="R213" s="52">
        <f t="shared" si="458"/>
        <v>1.6059966344702337</v>
      </c>
      <c r="S213" s="52">
        <f t="shared" si="458"/>
        <v>1.6411541911472829</v>
      </c>
      <c r="T213" s="52">
        <f t="shared" ref="T213:W213" si="459">+T150</f>
        <v>1.3004399223977705</v>
      </c>
      <c r="U213" s="52">
        <f t="shared" si="459"/>
        <v>1.1694499901122049</v>
      </c>
      <c r="V213" s="52">
        <f t="shared" si="459"/>
        <v>0.99012160276806493</v>
      </c>
      <c r="W213" s="52">
        <f t="shared" si="459"/>
        <v>0.95858003194873742</v>
      </c>
      <c r="X213" s="52">
        <f t="shared" ref="X213:AA213" si="460">+X150</f>
        <v>0.87792598375200492</v>
      </c>
      <c r="Y213" s="52">
        <f t="shared" si="460"/>
        <v>0.8561276633365752</v>
      </c>
      <c r="Z213" s="52">
        <f t="shared" si="460"/>
        <v>0.90418920101513978</v>
      </c>
      <c r="AA213" s="52">
        <f t="shared" si="460"/>
        <v>0.95245179303725724</v>
      </c>
      <c r="AB213" s="52">
        <f t="shared" ref="AB213:AD213" si="461">+AB150</f>
        <v>0.84892596454640246</v>
      </c>
      <c r="AC213" s="52">
        <f t="shared" si="461"/>
        <v>0.92238292253521104</v>
      </c>
      <c r="AD213" s="52">
        <f t="shared" si="461"/>
        <v>0.92986808093412976</v>
      </c>
    </row>
    <row r="214" spans="2:30" ht="12.75">
      <c r="B214" s="1" t="str">
        <f>+B151</f>
        <v>Total Gross Leverage - including finance leases</v>
      </c>
      <c r="C214" s="53">
        <f t="shared" si="454"/>
        <v>1.6272629632650841</v>
      </c>
      <c r="D214" s="53">
        <f t="shared" si="454"/>
        <v>2.1731516258966477</v>
      </c>
      <c r="E214" s="53">
        <f t="shared" ref="E214:F214" si="462">+E151</f>
        <v>1.5173076177765683</v>
      </c>
      <c r="F214" s="53">
        <f t="shared" si="462"/>
        <v>1.1570152948457253</v>
      </c>
      <c r="G214" s="53">
        <f t="shared" ref="G214" si="463">+G151</f>
        <v>1.2843767605633802</v>
      </c>
      <c r="H214" s="53">
        <f t="shared" ref="H214" si="464">+H151</f>
        <v>1.3034468312683842</v>
      </c>
      <c r="J214" s="225"/>
      <c r="K214" s="225"/>
      <c r="L214" s="225"/>
      <c r="M214" s="53">
        <f t="shared" si="458"/>
        <v>1.6272629632650841</v>
      </c>
      <c r="N214" s="53">
        <f t="shared" si="458"/>
        <v>1.7764859935656894</v>
      </c>
      <c r="O214" s="53">
        <f t="shared" si="458"/>
        <v>1.8375940363839043</v>
      </c>
      <c r="P214" s="53">
        <f t="shared" si="458"/>
        <v>2.1370217814738535</v>
      </c>
      <c r="Q214" s="53">
        <f t="shared" si="458"/>
        <v>2.1731516258966477</v>
      </c>
      <c r="R214" s="53">
        <f t="shared" si="458"/>
        <v>1.9434249297287685</v>
      </c>
      <c r="S214" s="53">
        <f t="shared" si="458"/>
        <v>1.9267215383366998</v>
      </c>
      <c r="T214" s="53">
        <f t="shared" ref="T214:W214" si="465">+T151</f>
        <v>1.6445046343514047</v>
      </c>
      <c r="U214" s="53">
        <f t="shared" si="465"/>
        <v>1.5173076177765683</v>
      </c>
      <c r="V214" s="53">
        <f t="shared" si="465"/>
        <v>1.4452381918156092</v>
      </c>
      <c r="W214" s="53">
        <f t="shared" si="465"/>
        <v>1.357880280227252</v>
      </c>
      <c r="X214" s="53">
        <f t="shared" ref="X214:AA214" si="466">+X151</f>
        <v>1.3258934553836668</v>
      </c>
      <c r="Y214" s="53">
        <f t="shared" si="466"/>
        <v>1.1570152948457253</v>
      </c>
      <c r="Z214" s="53">
        <f t="shared" si="466"/>
        <v>1.2423068171873635</v>
      </c>
      <c r="AA214" s="53">
        <f t="shared" si="466"/>
        <v>1.2600410086379901</v>
      </c>
      <c r="AB214" s="53">
        <f t="shared" ref="AB214:AD214" si="467">+AB151</f>
        <v>1.244860966284324</v>
      </c>
      <c r="AC214" s="53">
        <f t="shared" si="467"/>
        <v>1.2843767605633802</v>
      </c>
      <c r="AD214" s="53">
        <f t="shared" si="467"/>
        <v>1.3034468312683842</v>
      </c>
    </row>
    <row r="215" spans="2:30" ht="12.75">
      <c r="C215" s="96"/>
      <c r="D215" s="96"/>
      <c r="E215" s="96"/>
      <c r="F215" s="96"/>
      <c r="G215" s="96"/>
      <c r="H215" s="96"/>
      <c r="J215" s="276"/>
      <c r="K215" s="276"/>
      <c r="L215" s="276"/>
      <c r="N215" s="96"/>
    </row>
    <row r="216" spans="2:30" ht="12.75">
      <c r="B216" s="1" t="str">
        <f t="shared" ref="B216:D217" si="468">+B153</f>
        <v>Lease adjusted net leverage</v>
      </c>
      <c r="C216" s="52">
        <f t="shared" si="468"/>
        <v>1.7144261359001551</v>
      </c>
      <c r="D216" s="52">
        <f t="shared" si="468"/>
        <v>2.2764444653246723</v>
      </c>
      <c r="E216" s="52">
        <f t="shared" ref="E216:F216" si="469">+E153</f>
        <v>1.5320260242812473</v>
      </c>
      <c r="F216" s="52">
        <f t="shared" si="469"/>
        <v>1.1764264874900539</v>
      </c>
      <c r="G216" s="52">
        <f t="shared" ref="G216" si="470">+G153</f>
        <v>1.2651971830985913</v>
      </c>
      <c r="H216" s="52">
        <f t="shared" ref="H216" si="471">+H153</f>
        <v>1.2841982351368215</v>
      </c>
      <c r="J216" s="224"/>
      <c r="K216" s="224"/>
      <c r="L216" s="224"/>
      <c r="M216" s="52">
        <f t="shared" ref="M216:M217" si="472">+M153</f>
        <v>1.7144261359001549</v>
      </c>
      <c r="N216" s="52">
        <f t="shared" ref="N216:P217" si="473">+N153</f>
        <v>1.8431193663093184</v>
      </c>
      <c r="O216" s="52">
        <f t="shared" si="473"/>
        <v>2.0137555253046435</v>
      </c>
      <c r="P216" s="52">
        <f t="shared" si="473"/>
        <v>2.3079644397584782</v>
      </c>
      <c r="Q216" s="52">
        <f t="shared" ref="Q216:T216" si="474">+Q153</f>
        <v>2.2764444653246723</v>
      </c>
      <c r="R216" s="52">
        <f t="shared" si="474"/>
        <v>2.0298649809372464</v>
      </c>
      <c r="S216" s="52">
        <f t="shared" si="474"/>
        <v>2.0390999028451247</v>
      </c>
      <c r="T216" s="52">
        <f t="shared" si="474"/>
        <v>1.6755099007986189</v>
      </c>
      <c r="U216" s="52">
        <f t="shared" ref="U216:W216" si="475">+U153</f>
        <v>1.5320260242812476</v>
      </c>
      <c r="V216" s="52">
        <f t="shared" si="475"/>
        <v>1.3351212301585438</v>
      </c>
      <c r="W216" s="52">
        <f t="shared" si="475"/>
        <v>1.2949180463193193</v>
      </c>
      <c r="X216" s="52">
        <f t="shared" ref="X216:AA216" si="476">+X153</f>
        <v>1.2082857042641773</v>
      </c>
      <c r="Y216" s="52">
        <f t="shared" si="476"/>
        <v>1.1764264874900541</v>
      </c>
      <c r="Z216" s="52">
        <f t="shared" si="476"/>
        <v>1.2422516846066338</v>
      </c>
      <c r="AA216" s="52">
        <f t="shared" si="476"/>
        <v>1.2953983073030282</v>
      </c>
      <c r="AB216" s="52">
        <f t="shared" ref="AB216:AD216" si="477">+AB153</f>
        <v>1.1872940563086549</v>
      </c>
      <c r="AC216" s="52">
        <f t="shared" si="477"/>
        <v>1.2651971830985913</v>
      </c>
      <c r="AD216" s="52">
        <f t="shared" si="477"/>
        <v>1.2841982351368215</v>
      </c>
    </row>
    <row r="217" spans="2:30" ht="12.75">
      <c r="B217" s="1" t="str">
        <f t="shared" si="468"/>
        <v>Lease adjusted gross leverage</v>
      </c>
      <c r="C217" s="53">
        <f t="shared" si="468"/>
        <v>2.0610666992957554</v>
      </c>
      <c r="D217" s="53">
        <f t="shared" si="468"/>
        <v>2.6273938425856098</v>
      </c>
      <c r="E217" s="53">
        <f t="shared" ref="E217:F217" si="478">+E154</f>
        <v>1.879883651945611</v>
      </c>
      <c r="F217" s="53">
        <f t="shared" si="478"/>
        <v>1.4773141189992043</v>
      </c>
      <c r="G217" s="53">
        <f t="shared" ref="G217" si="479">+G154</f>
        <v>1.6271910211267604</v>
      </c>
      <c r="H217" s="53">
        <f t="shared" ref="H217" si="480">+H154</f>
        <v>1.657776985471076</v>
      </c>
      <c r="J217" s="225"/>
      <c r="K217" s="225"/>
      <c r="L217" s="225"/>
      <c r="M217" s="53">
        <f t="shared" si="472"/>
        <v>2.0610666992957554</v>
      </c>
      <c r="N217" s="53">
        <f t="shared" si="473"/>
        <v>2.2410342165989796</v>
      </c>
      <c r="O217" s="53">
        <f t="shared" si="473"/>
        <v>2.3356772794156968</v>
      </c>
      <c r="P217" s="53">
        <f t="shared" si="473"/>
        <v>2.6144646273844323</v>
      </c>
      <c r="Q217" s="53">
        <f t="shared" ref="Q217:T217" si="481">+Q154</f>
        <v>2.6273938425856098</v>
      </c>
      <c r="R217" s="53">
        <f t="shared" si="481"/>
        <v>2.3672932761957814</v>
      </c>
      <c r="S217" s="53">
        <f t="shared" si="481"/>
        <v>2.3246672500345413</v>
      </c>
      <c r="T217" s="53">
        <f t="shared" si="481"/>
        <v>2.0195746127522529</v>
      </c>
      <c r="U217" s="53">
        <f t="shared" ref="U217:W217" si="482">+U154</f>
        <v>1.879883651945611</v>
      </c>
      <c r="V217" s="53">
        <f t="shared" si="482"/>
        <v>1.7902378192060879</v>
      </c>
      <c r="W217" s="53">
        <f t="shared" si="482"/>
        <v>1.6942182945978341</v>
      </c>
      <c r="X217" s="53">
        <f t="shared" ref="X217:AA217" si="483">+X154</f>
        <v>1.6562531758958392</v>
      </c>
      <c r="Y217" s="53">
        <f t="shared" si="483"/>
        <v>1.4773141189992043</v>
      </c>
      <c r="Z217" s="53">
        <f t="shared" si="483"/>
        <v>1.5803693007788575</v>
      </c>
      <c r="AA217" s="53">
        <f t="shared" si="483"/>
        <v>1.6029875229037609</v>
      </c>
      <c r="AB217" s="53">
        <f t="shared" ref="AB217:AD217" si="484">+AB154</f>
        <v>1.5832290580465764</v>
      </c>
      <c r="AC217" s="53">
        <f t="shared" si="484"/>
        <v>1.6271910211267604</v>
      </c>
      <c r="AD217" s="53">
        <f t="shared" si="484"/>
        <v>1.657776985471076</v>
      </c>
    </row>
    <row r="218" spans="2:30" ht="12.75">
      <c r="J218" s="276"/>
      <c r="K218" s="276"/>
      <c r="L218" s="276"/>
      <c r="N218" s="96"/>
    </row>
    <row r="219" spans="2:30" ht="12.75">
      <c r="B219" s="1" t="str">
        <f>+B156</f>
        <v>Adjusted EBITDA - Capex / Interest</v>
      </c>
      <c r="C219" s="52">
        <f t="shared" ref="C219:D219" si="485">+C156</f>
        <v>9.848472529929472</v>
      </c>
      <c r="D219" s="52">
        <f t="shared" si="485"/>
        <v>6.816683103659674</v>
      </c>
      <c r="E219" s="52">
        <f t="shared" ref="E219:F219" si="486">+E156</f>
        <v>6.4228864095412108</v>
      </c>
      <c r="F219" s="52">
        <f t="shared" si="486"/>
        <v>8.8711661807580153</v>
      </c>
      <c r="G219" s="52">
        <f t="shared" ref="G219" si="487">+G156</f>
        <v>7.8845773181802681</v>
      </c>
      <c r="H219" s="52">
        <f t="shared" ref="H219" si="488">+H156</f>
        <v>7.8842877262890312</v>
      </c>
      <c r="J219" s="224"/>
      <c r="K219" s="224"/>
      <c r="L219" s="224"/>
      <c r="M219" s="52">
        <f t="shared" ref="M219:M220" si="489">+M156</f>
        <v>9.848472529929472</v>
      </c>
      <c r="N219" s="52">
        <f t="shared" ref="N219:P220" si="490">+N156</f>
        <v>9.3989350923647823</v>
      </c>
      <c r="O219" s="52">
        <f t="shared" si="490"/>
        <v>7.4519559438756824</v>
      </c>
      <c r="P219" s="52">
        <f t="shared" si="490"/>
        <v>7.4774951572168309</v>
      </c>
      <c r="Q219" s="52">
        <f t="shared" ref="Q219:T219" si="491">+Q156</f>
        <v>6.816683103659674</v>
      </c>
      <c r="R219" s="52">
        <f t="shared" si="491"/>
        <v>6.1397408806642328</v>
      </c>
      <c r="S219" s="52">
        <f t="shared" si="491"/>
        <v>5.7921238511676965</v>
      </c>
      <c r="T219" s="52">
        <f t="shared" si="491"/>
        <v>6.0756956210087321</v>
      </c>
      <c r="U219" s="52">
        <f t="shared" ref="U219:W219" si="492">+U156</f>
        <v>6.4228864095412108</v>
      </c>
      <c r="V219" s="52">
        <f t="shared" si="492"/>
        <v>7.1619771798939977</v>
      </c>
      <c r="W219" s="52">
        <f t="shared" si="492"/>
        <v>8.0690838568989971</v>
      </c>
      <c r="X219" s="52">
        <f t="shared" ref="X219:AA219" si="493">+X156</f>
        <v>8.5984746946557635</v>
      </c>
      <c r="Y219" s="52">
        <f t="shared" si="493"/>
        <v>8.8711661807580153</v>
      </c>
      <c r="Z219" s="52">
        <f t="shared" si="493"/>
        <v>9.5516985335065865</v>
      </c>
      <c r="AA219" s="52">
        <f t="shared" si="493"/>
        <v>9.2030354669297534</v>
      </c>
      <c r="AB219" s="52">
        <f t="shared" ref="AB219:AD219" si="494">+AB156</f>
        <v>8.5353590556344958</v>
      </c>
      <c r="AC219" s="52">
        <f t="shared" si="494"/>
        <v>7.8845773181802681</v>
      </c>
      <c r="AD219" s="52">
        <f t="shared" si="494"/>
        <v>7.8842877262890312</v>
      </c>
    </row>
    <row r="220" spans="2:30" ht="12.75">
      <c r="B220" s="1" t="str">
        <f>+B157</f>
        <v>Adjusted EBITDA/Interest</v>
      </c>
      <c r="C220" s="53">
        <f t="shared" ref="C220:D220" si="495">+C157</f>
        <v>14.950303867964799</v>
      </c>
      <c r="D220" s="53">
        <f t="shared" si="495"/>
        <v>10.779726523975796</v>
      </c>
      <c r="E220" s="53">
        <f t="shared" ref="E220:F220" si="496">+E157</f>
        <v>8.0655557692924216</v>
      </c>
      <c r="F220" s="53">
        <f t="shared" si="496"/>
        <v>10.992225461613215</v>
      </c>
      <c r="G220" s="53">
        <f t="shared" ref="G220" si="497">+G157</f>
        <v>9.692501962390363</v>
      </c>
      <c r="H220" s="53">
        <f t="shared" ref="H220" si="498">+H157</f>
        <v>9.6346741781457172</v>
      </c>
      <c r="J220" s="225"/>
      <c r="K220" s="225"/>
      <c r="L220" s="225"/>
      <c r="M220" s="53">
        <f t="shared" si="489"/>
        <v>14.950303867964799</v>
      </c>
      <c r="N220" s="53">
        <f t="shared" si="490"/>
        <v>14.94816555208522</v>
      </c>
      <c r="O220" s="53">
        <f t="shared" si="490"/>
        <v>12.647557237211327</v>
      </c>
      <c r="P220" s="53">
        <f t="shared" si="490"/>
        <v>11.878344954071995</v>
      </c>
      <c r="Q220" s="53">
        <f t="shared" ref="Q220:T220" si="499">+Q157</f>
        <v>10.779726523975796</v>
      </c>
      <c r="R220" s="53">
        <f t="shared" si="499"/>
        <v>9.1198266845958464</v>
      </c>
      <c r="S220" s="53">
        <f t="shared" si="499"/>
        <v>8.290192085670391</v>
      </c>
      <c r="T220" s="53">
        <f t="shared" si="499"/>
        <v>8.0024599244102692</v>
      </c>
      <c r="U220" s="53">
        <f t="shared" ref="U220:W220" si="500">+U157</f>
        <v>8.0655557692924216</v>
      </c>
      <c r="V220" s="53">
        <f t="shared" si="500"/>
        <v>8.9465195962596589</v>
      </c>
      <c r="W220" s="53">
        <f t="shared" si="500"/>
        <v>9.8521891449867258</v>
      </c>
      <c r="X220" s="53">
        <f t="shared" ref="X220:AA220" si="501">+X157</f>
        <v>10.494884186283574</v>
      </c>
      <c r="Y220" s="53">
        <f t="shared" si="501"/>
        <v>10.992225461613215</v>
      </c>
      <c r="Z220" s="53">
        <f t="shared" si="501"/>
        <v>11.784543035703233</v>
      </c>
      <c r="AA220" s="53">
        <f t="shared" si="501"/>
        <v>11.421367853548185</v>
      </c>
      <c r="AB220" s="53">
        <f t="shared" ref="AB220:AD220" si="502">+AB157</f>
        <v>10.48201989288447</v>
      </c>
      <c r="AC220" s="53">
        <f t="shared" si="502"/>
        <v>9.692501962390363</v>
      </c>
      <c r="AD220" s="53">
        <f t="shared" si="502"/>
        <v>9.6346741781457172</v>
      </c>
    </row>
    <row r="221" spans="2:30" ht="13.5" customHeight="1">
      <c r="J221" s="226"/>
      <c r="K221" s="226"/>
      <c r="L221" s="226"/>
      <c r="N221" s="69"/>
    </row>
    <row r="222" spans="2:30" ht="13.5" customHeight="1">
      <c r="B222" s="1" t="str">
        <f t="shared" ref="B222:H222" si="503">+B159</f>
        <v xml:space="preserve">Gearing (Net debt / Equity) </v>
      </c>
      <c r="C222" s="154">
        <f t="shared" si="503"/>
        <v>0.65585286376738949</v>
      </c>
      <c r="D222" s="154">
        <f t="shared" si="503"/>
        <v>1.0281064015602808</v>
      </c>
      <c r="E222" s="154">
        <f t="shared" si="503"/>
        <v>0.63843164189015444</v>
      </c>
      <c r="F222" s="154">
        <f t="shared" si="503"/>
        <v>0.49545484546167573</v>
      </c>
      <c r="G222" s="154">
        <f t="shared" ref="G222" si="504">+G159</f>
        <v>0.46835992429910955</v>
      </c>
      <c r="H222" s="154">
        <f t="shared" si="503"/>
        <v>0.45033517674427237</v>
      </c>
      <c r="J222" s="277"/>
      <c r="K222" s="277"/>
      <c r="L222" s="277"/>
      <c r="M222" s="154">
        <f t="shared" ref="M222:R222" si="505">+M159</f>
        <v>0.65585286376738938</v>
      </c>
      <c r="N222" s="154">
        <f t="shared" si="505"/>
        <v>0.68871775130400836</v>
      </c>
      <c r="O222" s="154">
        <f t="shared" si="505"/>
        <v>0.82692128488967187</v>
      </c>
      <c r="P222" s="154">
        <f t="shared" si="505"/>
        <v>1.0194624816172952</v>
      </c>
      <c r="Q222" s="154">
        <f t="shared" si="505"/>
        <v>1.0281064015602808</v>
      </c>
      <c r="R222" s="154">
        <f t="shared" si="505"/>
        <v>0.88912888694817305</v>
      </c>
      <c r="S222" s="154">
        <f t="shared" ref="S222:V222" si="506">+S159</f>
        <v>0.96047695141282097</v>
      </c>
      <c r="T222" s="154">
        <f t="shared" si="506"/>
        <v>0.76793596907127271</v>
      </c>
      <c r="U222" s="154">
        <f t="shared" si="506"/>
        <v>0.63843164189015456</v>
      </c>
      <c r="V222" s="154">
        <f t="shared" si="506"/>
        <v>0.56040143578912083</v>
      </c>
      <c r="W222" s="154">
        <f t="shared" ref="W222:Z222" si="507">+W159</f>
        <v>0.57179760227348986</v>
      </c>
      <c r="X222" s="154">
        <f t="shared" si="507"/>
        <v>0.50160322618438336</v>
      </c>
      <c r="Y222" s="154">
        <f t="shared" si="507"/>
        <v>0.4954548454616759</v>
      </c>
      <c r="Z222" s="154">
        <f t="shared" si="507"/>
        <v>0.50465622203726934</v>
      </c>
      <c r="AA222" s="154">
        <f t="shared" ref="AA222:AD222" si="508">+AA159</f>
        <v>0.52538094275510916</v>
      </c>
      <c r="AB222" s="154">
        <f t="shared" si="508"/>
        <v>0.44989051422624299</v>
      </c>
      <c r="AC222" s="154">
        <f t="shared" si="508"/>
        <v>0.46835992429910955</v>
      </c>
      <c r="AD222" s="154">
        <f t="shared" si="508"/>
        <v>0.45033517674427237</v>
      </c>
    </row>
    <row r="223" spans="2:30" s="5" customFormat="1" ht="13.5" customHeight="1">
      <c r="C223" s="37"/>
    </row>
    <row r="224" spans="2:30" s="5" customFormat="1" ht="13.5" customHeight="1">
      <c r="B224" s="333" t="s">
        <v>317</v>
      </c>
      <c r="C224" s="334">
        <v>1</v>
      </c>
      <c r="D224" s="334">
        <v>1</v>
      </c>
      <c r="E224" s="334">
        <v>1</v>
      </c>
      <c r="F224" s="334">
        <v>1</v>
      </c>
      <c r="G224" s="334">
        <v>1</v>
      </c>
      <c r="H224" s="334">
        <v>1</v>
      </c>
      <c r="I224" s="1"/>
      <c r="J224" s="335">
        <v>1</v>
      </c>
      <c r="K224" s="335">
        <v>1</v>
      </c>
      <c r="L224" s="335">
        <v>1</v>
      </c>
      <c r="M224" s="335">
        <v>1</v>
      </c>
      <c r="N224" s="335">
        <v>1</v>
      </c>
      <c r="O224" s="335">
        <v>1</v>
      </c>
      <c r="P224" s="335">
        <v>1</v>
      </c>
      <c r="Q224" s="335">
        <v>1</v>
      </c>
      <c r="R224" s="335">
        <v>1</v>
      </c>
      <c r="S224" s="335">
        <v>1</v>
      </c>
      <c r="T224" s="334">
        <v>1</v>
      </c>
      <c r="U224" s="334">
        <v>1</v>
      </c>
      <c r="V224" s="334">
        <v>1</v>
      </c>
      <c r="W224" s="334">
        <v>1</v>
      </c>
      <c r="X224" s="334">
        <v>1</v>
      </c>
      <c r="Y224" s="334">
        <v>1</v>
      </c>
      <c r="Z224" s="334">
        <v>1</v>
      </c>
      <c r="AA224" s="334">
        <v>1</v>
      </c>
      <c r="AB224" s="334">
        <v>1</v>
      </c>
      <c r="AC224" s="334">
        <v>1</v>
      </c>
      <c r="AD224" s="334">
        <v>1</v>
      </c>
    </row>
    <row r="225" spans="2:30" s="5" customFormat="1" ht="13.5" customHeight="1">
      <c r="B225" s="333" t="s">
        <v>318</v>
      </c>
      <c r="C225" s="334">
        <v>1</v>
      </c>
      <c r="D225" s="334">
        <v>1</v>
      </c>
      <c r="E225" s="334">
        <v>1</v>
      </c>
      <c r="F225" s="334">
        <v>1</v>
      </c>
      <c r="G225" s="334">
        <v>1</v>
      </c>
      <c r="H225" s="334">
        <v>1</v>
      </c>
      <c r="I225" s="1"/>
      <c r="J225" s="335">
        <v>1</v>
      </c>
      <c r="K225" s="335">
        <v>1</v>
      </c>
      <c r="L225" s="335">
        <v>1</v>
      </c>
      <c r="M225" s="335">
        <v>1</v>
      </c>
      <c r="N225" s="335">
        <v>1</v>
      </c>
      <c r="O225" s="335">
        <v>1</v>
      </c>
      <c r="P225" s="335">
        <v>1</v>
      </c>
      <c r="Q225" s="335">
        <v>1</v>
      </c>
      <c r="R225" s="335">
        <v>1</v>
      </c>
      <c r="S225" s="335">
        <v>1</v>
      </c>
      <c r="T225" s="334">
        <v>1</v>
      </c>
      <c r="U225" s="334">
        <v>1</v>
      </c>
      <c r="V225" s="334">
        <v>1</v>
      </c>
      <c r="W225" s="334">
        <v>1</v>
      </c>
      <c r="X225" s="334">
        <v>1</v>
      </c>
      <c r="Y225" s="334">
        <v>1</v>
      </c>
      <c r="Z225" s="334">
        <v>1</v>
      </c>
      <c r="AA225" s="334">
        <v>1</v>
      </c>
      <c r="AB225" s="334">
        <v>1</v>
      </c>
      <c r="AC225" s="334">
        <v>1</v>
      </c>
      <c r="AD225" s="334">
        <v>1</v>
      </c>
    </row>
    <row r="226" spans="2:30" s="5" customFormat="1" ht="13.5" customHeight="1">
      <c r="C226" s="57"/>
      <c r="D226" s="57"/>
      <c r="E226" s="57"/>
      <c r="F226" s="57"/>
      <c r="G226" s="57"/>
      <c r="H226" s="1"/>
      <c r="I226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2:30" ht="13.5" customHeight="1">
      <c r="B227" s="16" t="s">
        <v>314</v>
      </c>
      <c r="C227" s="13"/>
      <c r="D227" s="13"/>
      <c r="E227" s="13"/>
      <c r="F227" s="13"/>
      <c r="G227" s="13"/>
      <c r="H227" s="13"/>
      <c r="J227" s="17"/>
      <c r="K227" s="17"/>
      <c r="L227" s="13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</row>
    <row r="228" spans="2:30" s="2" customFormat="1" ht="13.5" customHeight="1">
      <c r="B228" s="103" t="s">
        <v>89</v>
      </c>
      <c r="C228" s="88">
        <f>+C3</f>
        <v>44531</v>
      </c>
      <c r="D228" s="88">
        <f>+D3</f>
        <v>44896</v>
      </c>
      <c r="E228" s="88">
        <f>+E3</f>
        <v>45261</v>
      </c>
      <c r="F228" s="88">
        <f>+F3</f>
        <v>45627</v>
      </c>
      <c r="G228" s="88">
        <f>+G3</f>
        <v>45992</v>
      </c>
      <c r="H228" s="88">
        <f>+H3</f>
        <v>46111</v>
      </c>
      <c r="J228" s="47">
        <f>+J3</f>
        <v>44285</v>
      </c>
      <c r="K228" s="253">
        <f>+K3</f>
        <v>44377</v>
      </c>
      <c r="L228" s="284">
        <f>+L3</f>
        <v>44469</v>
      </c>
      <c r="M228" s="47">
        <f>+M3</f>
        <v>44561</v>
      </c>
      <c r="N228" s="47">
        <f>+N3</f>
        <v>44650</v>
      </c>
      <c r="O228" s="47">
        <f>+O3</f>
        <v>44742</v>
      </c>
      <c r="P228" s="47">
        <f>+P3</f>
        <v>44834</v>
      </c>
      <c r="Q228" s="47">
        <f>+Q3</f>
        <v>44926</v>
      </c>
      <c r="R228" s="47">
        <f>+R3</f>
        <v>45015</v>
      </c>
      <c r="S228" s="47">
        <f>+S3</f>
        <v>45107</v>
      </c>
      <c r="T228" s="47">
        <f>+T3</f>
        <v>45199</v>
      </c>
      <c r="U228" s="47">
        <f>+U3</f>
        <v>45291</v>
      </c>
      <c r="V228" s="47">
        <f>+V3</f>
        <v>45381</v>
      </c>
      <c r="W228" s="47">
        <f>+W3</f>
        <v>45473</v>
      </c>
      <c r="X228" s="47">
        <f>+X3</f>
        <v>45565</v>
      </c>
      <c r="Y228" s="47">
        <f>+Y3</f>
        <v>45657</v>
      </c>
      <c r="Z228" s="47">
        <f>+Z3</f>
        <v>45746</v>
      </c>
      <c r="AA228" s="47">
        <f>+AA3</f>
        <v>45838</v>
      </c>
      <c r="AB228" s="47">
        <f>+AB3</f>
        <v>45930</v>
      </c>
      <c r="AC228" s="47">
        <f>+AC3</f>
        <v>46022</v>
      </c>
      <c r="AD228" s="47">
        <f>+AD3</f>
        <v>46111</v>
      </c>
    </row>
    <row r="229" spans="2:30" s="5" customFormat="1" ht="13.5" customHeight="1">
      <c r="B229" s="11"/>
      <c r="C229" s="14" t="s">
        <v>200</v>
      </c>
      <c r="D229" s="14" t="s">
        <v>200</v>
      </c>
      <c r="E229" s="14" t="s">
        <v>200</v>
      </c>
      <c r="F229" s="14" t="s">
        <v>200</v>
      </c>
      <c r="G229" s="14" t="s">
        <v>200</v>
      </c>
      <c r="H229" s="14" t="s">
        <v>200</v>
      </c>
      <c r="J229" s="14" t="s">
        <v>200</v>
      </c>
      <c r="K229" s="14" t="s">
        <v>200</v>
      </c>
      <c r="L229" s="14" t="s">
        <v>200</v>
      </c>
      <c r="M229" s="14" t="s">
        <v>200</v>
      </c>
      <c r="N229" s="14" t="s">
        <v>200</v>
      </c>
      <c r="O229" s="14" t="s">
        <v>200</v>
      </c>
      <c r="P229" s="14" t="s">
        <v>200</v>
      </c>
      <c r="Q229" s="14" t="s">
        <v>200</v>
      </c>
      <c r="R229" s="14" t="s">
        <v>200</v>
      </c>
      <c r="S229" s="14" t="s">
        <v>200</v>
      </c>
      <c r="T229" s="14" t="s">
        <v>200</v>
      </c>
      <c r="U229" s="14" t="s">
        <v>200</v>
      </c>
      <c r="V229" s="14" t="s">
        <v>200</v>
      </c>
      <c r="W229" s="14" t="s">
        <v>200</v>
      </c>
      <c r="X229" s="14" t="s">
        <v>200</v>
      </c>
      <c r="Y229" s="14" t="s">
        <v>200</v>
      </c>
      <c r="Z229" s="14" t="s">
        <v>200</v>
      </c>
      <c r="AA229" s="14" t="s">
        <v>200</v>
      </c>
      <c r="AB229" s="14" t="s">
        <v>200</v>
      </c>
      <c r="AC229" s="14" t="s">
        <v>200</v>
      </c>
      <c r="AD229" s="14" t="s">
        <v>200</v>
      </c>
    </row>
    <row r="230" spans="2:30" s="3" customFormat="1" ht="13.5" customHeight="1">
      <c r="C230" s="23" t="s">
        <v>201</v>
      </c>
      <c r="D230" s="23" t="s">
        <v>201</v>
      </c>
      <c r="E230" s="23" t="s">
        <v>201</v>
      </c>
      <c r="F230" s="23" t="s">
        <v>201</v>
      </c>
      <c r="G230" s="23" t="s">
        <v>201</v>
      </c>
      <c r="H230" s="23" t="s">
        <v>201</v>
      </c>
      <c r="J230" s="23" t="s">
        <v>202</v>
      </c>
      <c r="K230" s="23" t="s">
        <v>203</v>
      </c>
      <c r="L230" s="23" t="s">
        <v>204</v>
      </c>
      <c r="M230" s="288" t="s">
        <v>204</v>
      </c>
      <c r="N230" s="23" t="s">
        <v>202</v>
      </c>
      <c r="O230" s="280" t="s">
        <v>203</v>
      </c>
      <c r="P230" s="280" t="s">
        <v>204</v>
      </c>
      <c r="Q230" s="288" t="s">
        <v>204</v>
      </c>
      <c r="R230" s="23" t="s">
        <v>202</v>
      </c>
      <c r="S230" s="280" t="s">
        <v>203</v>
      </c>
      <c r="T230" s="280" t="s">
        <v>204</v>
      </c>
      <c r="U230" s="288" t="s">
        <v>204</v>
      </c>
      <c r="V230" s="23" t="s">
        <v>202</v>
      </c>
      <c r="W230" s="280" t="s">
        <v>203</v>
      </c>
      <c r="X230" s="301" t="str">
        <f>X5</f>
        <v>Q3</v>
      </c>
      <c r="Y230" s="288" t="s">
        <v>204</v>
      </c>
      <c r="Z230" s="23" t="s">
        <v>202</v>
      </c>
      <c r="AA230" s="280" t="s">
        <v>203</v>
      </c>
      <c r="AB230" s="280" t="s">
        <v>204</v>
      </c>
      <c r="AC230" s="288" t="s">
        <v>204</v>
      </c>
      <c r="AD230" s="23" t="s">
        <v>202</v>
      </c>
    </row>
    <row r="231" spans="2:30" s="5" customFormat="1" ht="13.5" customHeight="1">
      <c r="B231" s="5" t="str">
        <f>+B7</f>
        <v>Revenues</v>
      </c>
      <c r="C231" s="57">
        <f>+C7*C225</f>
        <v>4623.5709999999999</v>
      </c>
      <c r="D231" s="57">
        <f>+D7*D225</f>
        <v>5596.6210000000001</v>
      </c>
      <c r="E231" s="57">
        <f>+E7*E225</f>
        <v>6576.23</v>
      </c>
      <c r="F231" s="57">
        <f>+F7*F225</f>
        <v>6486.942</v>
      </c>
      <c r="G231" s="57">
        <f>+G7*G225</f>
        <v>6374.6229999999996</v>
      </c>
      <c r="H231" s="57">
        <f>+H7*H225</f>
        <v>6450.8419999999996</v>
      </c>
      <c r="J231" s="57">
        <f>+J7*J225</f>
        <v>1077.7460000000001</v>
      </c>
      <c r="K231" s="57">
        <f>+K7*K225</f>
        <v>1128.0419999999999</v>
      </c>
      <c r="L231" s="57">
        <f>+L7*L225</f>
        <v>1186.933</v>
      </c>
      <c r="M231" s="57">
        <f>+M7*M225</f>
        <v>1230.8499999999999</v>
      </c>
      <c r="N231" s="57">
        <f>+N7*N225</f>
        <v>1263.607</v>
      </c>
      <c r="O231" s="57">
        <f>+O7*O225</f>
        <v>1337.394</v>
      </c>
      <c r="P231" s="57">
        <f>+P7*P225</f>
        <v>1438.748</v>
      </c>
      <c r="Q231" s="57">
        <f>+Q7*Q225</f>
        <v>1556.8719999999998</v>
      </c>
      <c r="R231" s="57">
        <f>+R7*R225</f>
        <v>1585.575</v>
      </c>
      <c r="S231" s="57">
        <f>+S7*S225</f>
        <v>1656.7449999999999</v>
      </c>
      <c r="T231" s="57">
        <f>+T7*T225</f>
        <v>1693.807</v>
      </c>
      <c r="U231" s="57">
        <f>+U7*U225</f>
        <v>1640.1030000000001</v>
      </c>
      <c r="V231" s="57">
        <f>+V7*V225</f>
        <v>1647.2940000000001</v>
      </c>
      <c r="W231" s="57">
        <f>+W7*W225</f>
        <v>1660.904</v>
      </c>
      <c r="X231" s="57">
        <f>+X7*X225</f>
        <v>1623.4380000000001</v>
      </c>
      <c r="Y231" s="57">
        <f>+Y7*Y225</f>
        <v>1555.3059999999996</v>
      </c>
      <c r="Z231" s="57">
        <f>+Z7*Z225</f>
        <v>1548.509</v>
      </c>
      <c r="AA231" s="57">
        <f>+AA7*AA225</f>
        <v>1600.7270000000001</v>
      </c>
      <c r="AB231" s="57">
        <f>+AB7*AB225</f>
        <v>1635.6210000000001</v>
      </c>
      <c r="AC231" s="57">
        <f>+AC7*AC225</f>
        <v>1589.7659999999996</v>
      </c>
      <c r="AD231" s="57">
        <f>+AD7*AD225</f>
        <v>1624.7280000000001</v>
      </c>
    </row>
    <row r="232" spans="2:30" s="50" customFormat="1" ht="13.5" customHeight="1">
      <c r="B232" s="21" t="str">
        <f>+B8</f>
        <v xml:space="preserve">% y-o-y growth </v>
      </c>
      <c r="C232" s="138"/>
      <c r="D232" s="138">
        <f>D231/C231-1</f>
        <v>0.21045421385331808</v>
      </c>
      <c r="E232" s="138">
        <f>E231/D231-1</f>
        <v>0.17503579391922375</v>
      </c>
      <c r="F232" s="138">
        <f>F231/E231-1</f>
        <v>-1.3577384002688375E-2</v>
      </c>
      <c r="G232" s="138">
        <f>G231/F231-1</f>
        <v>-1.7314629913447677E-2</v>
      </c>
      <c r="H232" s="138"/>
      <c r="J232" s="138"/>
      <c r="K232" s="138"/>
      <c r="L232" s="138"/>
      <c r="M232" s="138"/>
      <c r="N232" s="138">
        <f>N231/J231-1</f>
        <v>0.17245343522499712</v>
      </c>
      <c r="O232" s="138">
        <f>O231/K231-1</f>
        <v>0.18558883445829144</v>
      </c>
      <c r="P232" s="138">
        <f>P231/L231-1</f>
        <v>0.21215603576613007</v>
      </c>
      <c r="Q232" s="138"/>
      <c r="R232" s="138">
        <f>R231/N231-1</f>
        <v>0.25480074105319139</v>
      </c>
      <c r="S232" s="138">
        <f>S231/O231-1</f>
        <v>0.23878602715430142</v>
      </c>
      <c r="T232" s="138">
        <f>T231/P231-1</f>
        <v>0.17727843930973308</v>
      </c>
      <c r="U232" s="138"/>
      <c r="V232" s="138">
        <f>V231/R231-1</f>
        <v>3.8925311007047991E-2</v>
      </c>
      <c r="W232" s="138">
        <f>W231/S231-1</f>
        <v>2.5103440782980879E-3</v>
      </c>
      <c r="X232" s="138">
        <f>X231/T231-1</f>
        <v>-4.1544874947381794E-2</v>
      </c>
      <c r="Y232" s="138"/>
      <c r="Z232" s="138">
        <f>Z231/V231-1</f>
        <v>-5.9968044562779932E-2</v>
      </c>
      <c r="AA232" s="138">
        <f>AA231/W231-1</f>
        <v>-3.6231473944309811E-2</v>
      </c>
      <c r="AB232" s="138">
        <f>AB231/X231-1</f>
        <v>7.5044442719709448E-3</v>
      </c>
      <c r="AC232" s="138"/>
      <c r="AD232" s="138">
        <f>AD231/Z231-1</f>
        <v>4.9220895713231183E-2</v>
      </c>
    </row>
    <row r="233" spans="2:30" s="5" customFormat="1" ht="13.5" customHeight="1" outlineLevel="1" thickBot="1">
      <c r="B233" s="25" t="str">
        <f>+B42</f>
        <v xml:space="preserve">EBITDA </v>
      </c>
      <c r="C233" s="68">
        <f>C42*C225</f>
        <v>735.54000000000008</v>
      </c>
      <c r="D233" s="68">
        <f>D42*D225</f>
        <v>808.846</v>
      </c>
      <c r="E233" s="68">
        <f>E42*E225</f>
        <v>1006.2909999999996</v>
      </c>
      <c r="F233" s="68">
        <f>F42*F225</f>
        <v>1131.0820000000001</v>
      </c>
      <c r="G233" s="68">
        <f>G42*G225</f>
        <v>1135.8439999999996</v>
      </c>
      <c r="H233" s="68">
        <f>H42*H225</f>
        <v>1110.4809999999998</v>
      </c>
      <c r="J233" s="68">
        <f>J42*J225</f>
        <v>168.8830000000001</v>
      </c>
      <c r="K233" s="68">
        <f>K42*K225</f>
        <v>186.73899999999992</v>
      </c>
      <c r="L233" s="68">
        <f>L42*L225</f>
        <v>183.23699999999994</v>
      </c>
      <c r="M233" s="68">
        <f>M42*M225</f>
        <v>196.68100000000032</v>
      </c>
      <c r="N233" s="68">
        <f>N42*N225</f>
        <v>162.95099999999996</v>
      </c>
      <c r="O233" s="68">
        <f>O42*O225</f>
        <v>186.59199999999998</v>
      </c>
      <c r="P233" s="68">
        <f>P42*P225</f>
        <v>207.96800000000007</v>
      </c>
      <c r="Q233" s="68">
        <f>Q42*Q225</f>
        <v>251.33499999999981</v>
      </c>
      <c r="R233" s="68">
        <f>R42*R225</f>
        <v>210.62500000000011</v>
      </c>
      <c r="S233" s="68">
        <f>S42*S225</f>
        <v>239.41599999999994</v>
      </c>
      <c r="T233" s="68">
        <f>T42*T225</f>
        <v>278.46199999999993</v>
      </c>
      <c r="U233" s="68">
        <f>U42*U225</f>
        <v>277.78800000000035</v>
      </c>
      <c r="V233" s="68">
        <f>V42*V225</f>
        <v>264.36600000000016</v>
      </c>
      <c r="W233" s="68">
        <f>W42*W225</f>
        <v>286.30599999999993</v>
      </c>
      <c r="X233" s="68">
        <f>X42*X225</f>
        <v>287.9910000000001</v>
      </c>
      <c r="Y233" s="68">
        <f>Y42*Y225</f>
        <v>292.41899999999953</v>
      </c>
      <c r="Z233" s="68">
        <f>Z42*Z225</f>
        <v>275.95000000000005</v>
      </c>
      <c r="AA233" s="68">
        <f>AA42*AA225</f>
        <v>289.66800000000006</v>
      </c>
      <c r="AB233" s="68">
        <f>AB42*AB225</f>
        <v>292.66000000000008</v>
      </c>
      <c r="AC233" s="68">
        <f>AC42*AC225</f>
        <v>277.56599999999958</v>
      </c>
      <c r="AD233" s="68">
        <f>AD42*AD225</f>
        <v>250.58700000000002</v>
      </c>
    </row>
    <row r="234" spans="2:30" s="50" customFormat="1" ht="13.5" customHeight="1" outlineLevel="1" thickTop="1">
      <c r="B234" s="21" t="str">
        <f>B43</f>
        <v xml:space="preserve">% growth </v>
      </c>
      <c r="C234" s="138"/>
      <c r="D234" s="138">
        <f>D233/C233-1</f>
        <v>9.966283274872878E-2</v>
      </c>
      <c r="E234" s="138">
        <f>E233/D233-1</f>
        <v>0.24410703644451437</v>
      </c>
      <c r="F234" s="138">
        <f>F233/E233-1</f>
        <v>0.12401084775676274</v>
      </c>
      <c r="G234" s="138">
        <f>G233/F233-1</f>
        <v>4.2101280013291387E-3</v>
      </c>
      <c r="H234" s="138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</row>
    <row r="235" spans="2:30" s="50" customFormat="1" ht="13.5" customHeight="1" outlineLevel="1">
      <c r="B235" s="21" t="str">
        <f>B44</f>
        <v>% margin</v>
      </c>
      <c r="C235" s="138">
        <f t="shared" ref="C235:H235" si="509">C233/C231</f>
        <v>0.15908482858811945</v>
      </c>
      <c r="D235" s="138">
        <f t="shared" si="509"/>
        <v>0.14452399045781375</v>
      </c>
      <c r="E235" s="138">
        <f t="shared" si="509"/>
        <v>0.15301943514749328</v>
      </c>
      <c r="F235" s="138">
        <f t="shared" si="509"/>
        <v>0.1743628970322226</v>
      </c>
      <c r="G235" s="138">
        <f t="shared" si="509"/>
        <v>0.17818214504606777</v>
      </c>
      <c r="H235" s="138">
        <f t="shared" si="509"/>
        <v>0.17214512462094092</v>
      </c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</row>
    <row r="237" spans="2:30" s="5" customFormat="1" ht="13.5" customHeight="1" thickBot="1">
      <c r="B237" s="25" t="str">
        <f>B47</f>
        <v xml:space="preserve">Adj. EBITDA </v>
      </c>
      <c r="C237" s="68">
        <f>C47*C225</f>
        <v>735.54000000000008</v>
      </c>
      <c r="D237" s="68">
        <f>D47*D225</f>
        <v>808.846</v>
      </c>
      <c r="E237" s="68">
        <f>E47*E225</f>
        <v>1006.2909999999996</v>
      </c>
      <c r="F237" s="68">
        <f>F47*F225</f>
        <v>1131.0999999999999</v>
      </c>
      <c r="G237" s="68">
        <f>G47*G225</f>
        <v>1136</v>
      </c>
      <c r="H237" s="68">
        <f>H47*H225</f>
        <v>1121.8999999999999</v>
      </c>
      <c r="J237" s="68">
        <f>J47*J225</f>
        <v>168.9</v>
      </c>
      <c r="K237" s="68">
        <f>K47*K225</f>
        <v>186.7</v>
      </c>
      <c r="L237" s="68">
        <f>L47*L225</f>
        <v>183.2</v>
      </c>
      <c r="M237" s="68">
        <f>M47*M225</f>
        <v>196.74000000000012</v>
      </c>
      <c r="N237" s="68">
        <f>N47*N225</f>
        <v>164.9</v>
      </c>
      <c r="O237" s="68">
        <f>O47*O225</f>
        <v>186.6</v>
      </c>
      <c r="P237" s="68">
        <f>P47*P225</f>
        <v>208</v>
      </c>
      <c r="Q237" s="68">
        <f>Q47*Q225</f>
        <v>249.346</v>
      </c>
      <c r="R237" s="68">
        <f>R47*R225</f>
        <v>210.6</v>
      </c>
      <c r="S237" s="68">
        <f>S47*S225</f>
        <v>244</v>
      </c>
      <c r="T237" s="68">
        <f>T47*T225</f>
        <v>278.5</v>
      </c>
      <c r="U237" s="68">
        <f>U47*U225</f>
        <v>273.19099999999958</v>
      </c>
      <c r="V237" s="68">
        <f>V47*V225</f>
        <v>264.39999999999998</v>
      </c>
      <c r="W237" s="68">
        <f>W47*W225</f>
        <v>286.3</v>
      </c>
      <c r="X237" s="68">
        <f>X47*X225</f>
        <v>288</v>
      </c>
      <c r="Y237" s="68">
        <f>Y47*Y225</f>
        <v>292.39999999999986</v>
      </c>
      <c r="Z237" s="68">
        <f>Z47*Z225</f>
        <v>276</v>
      </c>
      <c r="AA237" s="68">
        <f>AA47*AA225</f>
        <v>289.7</v>
      </c>
      <c r="AB237" s="68">
        <f>AB47*AB225</f>
        <v>292.7</v>
      </c>
      <c r="AC237" s="68">
        <f>AC47*AC225</f>
        <v>277.59999999999991</v>
      </c>
      <c r="AD237" s="68">
        <f>AD47*AD225</f>
        <v>261.89999999999998</v>
      </c>
    </row>
    <row r="238" spans="2:30" s="50" customFormat="1" ht="13.5" customHeight="1" thickTop="1">
      <c r="B238" s="21" t="str">
        <f>B48</f>
        <v xml:space="preserve">% growth </v>
      </c>
      <c r="C238" s="138"/>
      <c r="D238" s="138">
        <f>D237/C237-1</f>
        <v>9.966283274872878E-2</v>
      </c>
      <c r="E238" s="138">
        <f>E237/D237-1</f>
        <v>0.24410703644451437</v>
      </c>
      <c r="F238" s="138">
        <f>F237/E237-1</f>
        <v>0.12402873522668934</v>
      </c>
      <c r="G238" s="138">
        <f>G237/F237-1</f>
        <v>4.3320661303156704E-3</v>
      </c>
      <c r="H238" s="138"/>
      <c r="J238" s="138"/>
      <c r="K238" s="138"/>
      <c r="L238" s="138"/>
      <c r="M238" s="138"/>
      <c r="N238" s="138">
        <f t="shared" ref="N238:U238" si="510">N237/J237-1</f>
        <v>-2.3682652457075237E-2</v>
      </c>
      <c r="O238" s="138">
        <f t="shared" si="510"/>
        <v>-5.3561863952866773E-4</v>
      </c>
      <c r="P238" s="138">
        <f t="shared" si="510"/>
        <v>0.13537117903930129</v>
      </c>
      <c r="Q238" s="138">
        <f t="shared" si="510"/>
        <v>0.26738843143234647</v>
      </c>
      <c r="R238" s="138">
        <f>R237/N237-1</f>
        <v>0.2771376591873862</v>
      </c>
      <c r="S238" s="138">
        <f>S237/O237-1</f>
        <v>0.307609860664523</v>
      </c>
      <c r="T238" s="138">
        <f>T237/P237-1</f>
        <v>0.33894230769230771</v>
      </c>
      <c r="U238" s="138">
        <f t="shared" si="510"/>
        <v>9.5630168520848935E-2</v>
      </c>
      <c r="V238" s="138">
        <f>V237/R237-1</f>
        <v>0.25546058879392208</v>
      </c>
      <c r="W238" s="138">
        <f>W237/S237-1</f>
        <v>0.17336065573770498</v>
      </c>
      <c r="X238" s="138">
        <f>X237/T237-1</f>
        <v>3.4111310592459532E-2</v>
      </c>
      <c r="Y238" s="138">
        <f t="shared" ref="Y238" si="511">Y237/U237-1</f>
        <v>7.0313443707883172E-2</v>
      </c>
      <c r="Z238" s="138">
        <f>Z237/V237-1</f>
        <v>4.3872919818456868E-2</v>
      </c>
      <c r="AA238" s="138">
        <f>AA237/W237-1</f>
        <v>1.1875654907439692E-2</v>
      </c>
      <c r="AB238" s="138">
        <f>AB237/X237-1</f>
        <v>1.6319444444444331E-2</v>
      </c>
      <c r="AC238" s="138">
        <f t="shared" ref="AC238" si="512">AC237/Y237-1</f>
        <v>-5.0615595075239272E-2</v>
      </c>
      <c r="AD238" s="138">
        <f>AD237/Z237-1</f>
        <v>-5.1086956521739224E-2</v>
      </c>
    </row>
    <row r="239" spans="2:30" s="50" customFormat="1" ht="13.5" customHeight="1">
      <c r="B239" s="21" t="str">
        <f>B49</f>
        <v>% margin</v>
      </c>
      <c r="C239" s="138">
        <f t="shared" ref="C239:D239" si="513">C237/C231</f>
        <v>0.15908482858811945</v>
      </c>
      <c r="D239" s="138">
        <f t="shared" si="513"/>
        <v>0.14452399045781375</v>
      </c>
      <c r="E239" s="138">
        <f t="shared" ref="E239:F239" si="514">E237/E231</f>
        <v>0.15301943514749328</v>
      </c>
      <c r="F239" s="138">
        <f t="shared" si="514"/>
        <v>0.17436567183736187</v>
      </c>
      <c r="G239" s="138">
        <f t="shared" ref="G239" si="515">G237/G231</f>
        <v>0.17820661708151211</v>
      </c>
      <c r="H239" s="138">
        <f t="shared" ref="H239" si="516">H237/H231</f>
        <v>0.17391528113694305</v>
      </c>
      <c r="J239" s="138">
        <f t="shared" ref="J239:P239" si="517">J237/J231</f>
        <v>0.15671596090358952</v>
      </c>
      <c r="K239" s="138">
        <f t="shared" si="517"/>
        <v>0.16550802186443414</v>
      </c>
      <c r="L239" s="138">
        <f t="shared" si="517"/>
        <v>0.1543473810231917</v>
      </c>
      <c r="M239" s="138">
        <f t="shared" si="517"/>
        <v>0.15984076045009557</v>
      </c>
      <c r="N239" s="138">
        <f t="shared" si="517"/>
        <v>0.13049943534659114</v>
      </c>
      <c r="O239" s="138">
        <f t="shared" si="517"/>
        <v>0.13952507637988507</v>
      </c>
      <c r="P239" s="138">
        <f t="shared" si="517"/>
        <v>0.1445701401496301</v>
      </c>
      <c r="Q239" s="138">
        <f t="shared" ref="Q239:T239" si="518">Q237/Q231</f>
        <v>0.16015831744677791</v>
      </c>
      <c r="R239" s="138">
        <f t="shared" si="518"/>
        <v>0.13282247765006386</v>
      </c>
      <c r="S239" s="138">
        <f t="shared" si="518"/>
        <v>0.14727673842383712</v>
      </c>
      <c r="T239" s="138">
        <f t="shared" si="518"/>
        <v>0.16442251094723306</v>
      </c>
      <c r="U239" s="138">
        <f t="shared" ref="U239:W239" si="519">U237/U231</f>
        <v>0.16656941667687916</v>
      </c>
      <c r="V239" s="138">
        <f t="shared" si="519"/>
        <v>0.1605056535141875</v>
      </c>
      <c r="W239" s="138">
        <f t="shared" si="519"/>
        <v>0.17237600728278096</v>
      </c>
      <c r="X239" s="138">
        <f t="shared" ref="X239:AA239" si="520">X237/X231</f>
        <v>0.17740129281192135</v>
      </c>
      <c r="Y239" s="138">
        <f t="shared" si="520"/>
        <v>0.18800158939784192</v>
      </c>
      <c r="Z239" s="138">
        <f t="shared" si="520"/>
        <v>0.17823596763079841</v>
      </c>
      <c r="AA239" s="138">
        <f t="shared" si="520"/>
        <v>0.18098026709114046</v>
      </c>
      <c r="AB239" s="138">
        <f t="shared" ref="AB239:AD239" si="521">AB237/AB231</f>
        <v>0.17895343725716409</v>
      </c>
      <c r="AC239" s="138">
        <f t="shared" si="521"/>
        <v>0.17461689330379437</v>
      </c>
      <c r="AD239" s="138">
        <f t="shared" si="521"/>
        <v>0.16119621253526742</v>
      </c>
    </row>
    <row r="241" spans="2:30" s="5" customFormat="1" ht="13.5" customHeight="1">
      <c r="B241" s="5" t="str">
        <f>B63</f>
        <v xml:space="preserve">Adjusted EBITDA </v>
      </c>
      <c r="C241" s="79">
        <f>C63*C225</f>
        <v>735.54000000000008</v>
      </c>
      <c r="D241" s="79">
        <f>D63*D225</f>
        <v>808.846</v>
      </c>
      <c r="E241" s="79">
        <f>E63*E225</f>
        <v>1006.2909999999996</v>
      </c>
      <c r="F241" s="79">
        <f>F63*F225</f>
        <v>1131.0999999999999</v>
      </c>
      <c r="G241" s="79">
        <f>G63*G225</f>
        <v>1136</v>
      </c>
      <c r="H241" s="79">
        <f>H63*H225</f>
        <v>1121.8999999999999</v>
      </c>
      <c r="J241" s="79">
        <f>J63*J225</f>
        <v>168.9</v>
      </c>
      <c r="K241" s="79">
        <f>K63*K225</f>
        <v>186.7</v>
      </c>
      <c r="L241" s="79">
        <f>L63*L225</f>
        <v>183.2</v>
      </c>
      <c r="M241" s="79">
        <f>M63*M225</f>
        <v>196.74000000000012</v>
      </c>
      <c r="N241" s="79">
        <f>N63*N225</f>
        <v>164.9</v>
      </c>
      <c r="O241" s="79">
        <f>O63*O225</f>
        <v>186.6</v>
      </c>
      <c r="P241" s="79">
        <f>P63*P225</f>
        <v>208</v>
      </c>
      <c r="Q241" s="79">
        <f>Q63*Q225</f>
        <v>249.346</v>
      </c>
      <c r="R241" s="79">
        <f>R63*R225</f>
        <v>210.6</v>
      </c>
      <c r="S241" s="79">
        <f>S63*S225</f>
        <v>244</v>
      </c>
      <c r="T241" s="79">
        <f>T63*T225</f>
        <v>278.5</v>
      </c>
      <c r="U241" s="79">
        <f>U63*U225</f>
        <v>273.19099999999958</v>
      </c>
      <c r="V241" s="79">
        <f>V63*V225</f>
        <v>264.39999999999998</v>
      </c>
      <c r="W241" s="79">
        <f>W63*W225</f>
        <v>286.3</v>
      </c>
      <c r="X241" s="79">
        <f>X63*X225</f>
        <v>288</v>
      </c>
      <c r="Y241" s="79">
        <f>Y63*Y225</f>
        <v>292.39999999999986</v>
      </c>
      <c r="Z241" s="79">
        <f>Z63*Z225</f>
        <v>276</v>
      </c>
      <c r="AA241" s="79">
        <f>AA63*AA225</f>
        <v>289.7</v>
      </c>
      <c r="AB241" s="79">
        <f>AB63*AB225</f>
        <v>292.7</v>
      </c>
      <c r="AC241" s="79">
        <f>AC63*AC225</f>
        <v>277.59999999999991</v>
      </c>
      <c r="AD241" s="79">
        <f>AD63*AD225</f>
        <v>261.89999999999998</v>
      </c>
    </row>
    <row r="242" spans="2:30" ht="13.5" customHeight="1">
      <c r="B242" s="1" t="str">
        <f>B64</f>
        <v>Working Capital</v>
      </c>
      <c r="C242" s="69">
        <f>C64*C225</f>
        <v>15.175000000000008</v>
      </c>
      <c r="D242" s="69">
        <f>D64*D225</f>
        <v>-348.13099999999997</v>
      </c>
      <c r="E242" s="69">
        <f>E64*E225</f>
        <v>-57.922999999999995</v>
      </c>
      <c r="F242" s="69">
        <f>F64*F225</f>
        <v>-7.1859999999999928</v>
      </c>
      <c r="G242" s="69">
        <f>G64*G225</f>
        <v>-66.88000000000001</v>
      </c>
      <c r="H242" s="69">
        <f>H64*H225</f>
        <v>5.0180000000000007</v>
      </c>
      <c r="J242" s="69">
        <f>J64*J225</f>
        <v>18.317</v>
      </c>
      <c r="K242" s="69">
        <f>K64*K225</f>
        <v>87.933999999999997</v>
      </c>
      <c r="L242" s="69">
        <f>L64*L225</f>
        <v>-28.886999999999993</v>
      </c>
      <c r="M242" s="69">
        <f>M64*M225</f>
        <v>-62.188999999999993</v>
      </c>
      <c r="N242" s="69">
        <f>N64*N225</f>
        <v>-21.883000000000003</v>
      </c>
      <c r="O242" s="69">
        <f>O64*O225</f>
        <v>-59.985999999999969</v>
      </c>
      <c r="P242" s="69">
        <f>P64*P225</f>
        <v>-195.23400000000004</v>
      </c>
      <c r="Q242" s="69">
        <f>Q64*Q225</f>
        <v>-71.027999999999963</v>
      </c>
      <c r="R242" s="69">
        <f>R64*R225</f>
        <v>-79.301000000000016</v>
      </c>
      <c r="S242" s="69">
        <f>S64*S225</f>
        <v>-95.933999999999969</v>
      </c>
      <c r="T242" s="69">
        <f>T64*T225</f>
        <v>67.337999999999994</v>
      </c>
      <c r="U242" s="69">
        <f>U64*U225</f>
        <v>49.973999999999997</v>
      </c>
      <c r="V242" s="69">
        <f>V64*V225</f>
        <v>65.13000000000001</v>
      </c>
      <c r="W242" s="69">
        <f>W64*W225</f>
        <v>-50.666999999999994</v>
      </c>
      <c r="X242" s="69">
        <f>X64*X225</f>
        <v>-6.6670000000000229</v>
      </c>
      <c r="Y242" s="69">
        <f>Y64*Y225</f>
        <v>-14.981999999999985</v>
      </c>
      <c r="Z242" s="69">
        <f>Z64*Z225</f>
        <v>-129.91800000000001</v>
      </c>
      <c r="AA242" s="69">
        <f>AA64*AA225</f>
        <v>10.927000000000021</v>
      </c>
      <c r="AB242" s="69">
        <f>AB64*AB225</f>
        <v>95.392999999999986</v>
      </c>
      <c r="AC242" s="69">
        <f>AC64*AC225</f>
        <v>-43.282000000000011</v>
      </c>
      <c r="AD242" s="69">
        <f>AD64*AD225</f>
        <v>-58.019999999999996</v>
      </c>
    </row>
    <row r="243" spans="2:30" ht="13.5" customHeight="1">
      <c r="B243" s="1" t="str">
        <f>B65</f>
        <v>Taxes/Other adjustments</v>
      </c>
      <c r="C243" s="69">
        <f>C65*C225</f>
        <v>-146.87700000000001</v>
      </c>
      <c r="D243" s="69">
        <f>D65*D225</f>
        <v>-163.63499999999999</v>
      </c>
      <c r="E243" s="69">
        <f>E65*E225</f>
        <v>-212.40899999999999</v>
      </c>
      <c r="F243" s="69">
        <f>F65*F225</f>
        <v>-241.554</v>
      </c>
      <c r="G243" s="69">
        <f>G65*G225</f>
        <v>-274.08300000000003</v>
      </c>
      <c r="H243" s="69">
        <f>H65*H225</f>
        <v>-298.08000000000004</v>
      </c>
      <c r="J243" s="69">
        <f>J65*J225</f>
        <v>-18.821999999999999</v>
      </c>
      <c r="K243" s="69">
        <f>K65*K225</f>
        <v>-65.707999999999998</v>
      </c>
      <c r="L243" s="69">
        <f>L65*L225</f>
        <v>-24.063999999999997</v>
      </c>
      <c r="M243" s="69">
        <f>M65*M225</f>
        <v>-38.283000000000015</v>
      </c>
      <c r="N243" s="69">
        <f>N65*N225</f>
        <v>-25.576000000000001</v>
      </c>
      <c r="O243" s="69">
        <f>O65*O225</f>
        <v>-64.679000000000002</v>
      </c>
      <c r="P243" s="69">
        <f>P65*P225</f>
        <v>-30.990999999999993</v>
      </c>
      <c r="Q243" s="69">
        <f>Q65*Q225</f>
        <v>-42.38900000000001</v>
      </c>
      <c r="R243" s="69">
        <f>R65*R225</f>
        <v>-23.548999999999999</v>
      </c>
      <c r="S243" s="69">
        <f>S65*S225</f>
        <v>-83.491000000000014</v>
      </c>
      <c r="T243" s="69">
        <f>T65*T225</f>
        <v>-51.886999999999979</v>
      </c>
      <c r="U243" s="69">
        <f>U65*U225</f>
        <v>-53.481999999999999</v>
      </c>
      <c r="V243" s="69">
        <f>V65*V225</f>
        <v>-14.015000000000001</v>
      </c>
      <c r="W243" s="69">
        <f>W65*W225</f>
        <v>-112.79300000000001</v>
      </c>
      <c r="X243" s="69">
        <f>X65*X225</f>
        <v>-69.341999999999999</v>
      </c>
      <c r="Y243" s="69">
        <f>Y65*Y225</f>
        <v>-45.403999999999996</v>
      </c>
      <c r="Z243" s="69">
        <f>Z65*Z225</f>
        <v>-30.571000000000002</v>
      </c>
      <c r="AA243" s="69">
        <f>AA65*AA225</f>
        <v>-126.66400000000002</v>
      </c>
      <c r="AB243" s="69">
        <f>AB65*AB225</f>
        <v>-53.72999999999999</v>
      </c>
      <c r="AC243" s="69">
        <f>AC65*AC225</f>
        <v>-63.118000000000023</v>
      </c>
      <c r="AD243" s="69">
        <f>AD65*AD225</f>
        <v>-54.567999999999998</v>
      </c>
    </row>
    <row r="244" spans="2:30" ht="13.5" customHeight="1">
      <c r="B244" s="1" t="str">
        <f>B66</f>
        <v>Cash interest paid</v>
      </c>
      <c r="C244" s="69">
        <f>C66*C225</f>
        <v>-49.198999999999998</v>
      </c>
      <c r="D244" s="69">
        <f>D66*D225</f>
        <v>-75.034000000000006</v>
      </c>
      <c r="E244" s="69">
        <f>E66*E225</f>
        <v>-124.764</v>
      </c>
      <c r="F244" s="69">
        <f>F66*F225</f>
        <v>-102.9</v>
      </c>
      <c r="G244" s="69">
        <f>G66*G225</f>
        <v>-117.20399999999999</v>
      </c>
      <c r="H244" s="69">
        <f>H66*H225</f>
        <v>-116.44399999999999</v>
      </c>
      <c r="J244" s="69">
        <f>J66*J225</f>
        <v>-7.5659999999999998</v>
      </c>
      <c r="K244" s="69">
        <f>K66*K225</f>
        <v>-16.740000000000002</v>
      </c>
      <c r="L244" s="69">
        <f>L66*L225</f>
        <v>-5.1529999999999978</v>
      </c>
      <c r="M244" s="69">
        <f>M66*M225</f>
        <v>-19.739999999999998</v>
      </c>
      <c r="N244" s="69">
        <f>N66*N225</f>
        <v>-6.5739999999999998</v>
      </c>
      <c r="O244" s="69">
        <f>O66*O225</f>
        <v>-25.639000000000003</v>
      </c>
      <c r="P244" s="69">
        <f>P66*P225</f>
        <v>-10.987999999999998</v>
      </c>
      <c r="Q244" s="69">
        <f>Q66*Q225</f>
        <v>-31.833000000000006</v>
      </c>
      <c r="R244" s="69">
        <f>R66*R225</f>
        <v>-25.242000000000001</v>
      </c>
      <c r="S244" s="69">
        <f>S66*S225</f>
        <v>-41.94</v>
      </c>
      <c r="T244" s="69">
        <f>T66*T225</f>
        <v>-23.753000000000004</v>
      </c>
      <c r="U244" s="69">
        <f>U66*U225</f>
        <v>-33.828999999999994</v>
      </c>
      <c r="V244" s="69">
        <f>V66*V225</f>
        <v>-18.97</v>
      </c>
      <c r="W244" s="69">
        <f>W66*W225</f>
        <v>-35.341000000000001</v>
      </c>
      <c r="X244" s="69">
        <f>X66*X225</f>
        <v>-17.806000000000004</v>
      </c>
      <c r="Y244" s="69">
        <f>Y66*Y225</f>
        <v>-30.783000000000001</v>
      </c>
      <c r="Z244" s="69">
        <f>Z66*Z225</f>
        <v>-13.036</v>
      </c>
      <c r="AA244" s="69">
        <f>AA66*AA225</f>
        <v>-38.722000000000001</v>
      </c>
      <c r="AB244" s="69">
        <f>AB66*AB225</f>
        <v>-27.246999999999993</v>
      </c>
      <c r="AC244" s="69">
        <f>AC66*AC225</f>
        <v>-38.198999999999998</v>
      </c>
      <c r="AD244" s="69">
        <f>AD66*AD225</f>
        <v>-12.276</v>
      </c>
    </row>
    <row r="245" spans="2:30" s="5" customFormat="1" ht="13.5" customHeight="1" thickBot="1">
      <c r="B245" s="25" t="str">
        <f>B67</f>
        <v xml:space="preserve">Net cash from operations </v>
      </c>
      <c r="C245" s="70">
        <f>C67*C225</f>
        <v>554.63900000000001</v>
      </c>
      <c r="D245" s="70">
        <f>D67*D225</f>
        <v>222.04600000000005</v>
      </c>
      <c r="E245" s="70">
        <f>E67*E225</f>
        <v>611.1949999999996</v>
      </c>
      <c r="F245" s="70">
        <f>F67*F225</f>
        <v>779.46</v>
      </c>
      <c r="G245" s="70">
        <f>G67*G225</f>
        <v>677.83299999999986</v>
      </c>
      <c r="H245" s="70">
        <f>H67*H225</f>
        <v>712.39399999999989</v>
      </c>
      <c r="J245" s="70">
        <f>J67*J225</f>
        <v>160.82900000000001</v>
      </c>
      <c r="K245" s="70">
        <f>K67*K225</f>
        <v>192.18600000000001</v>
      </c>
      <c r="L245" s="70">
        <f>L67*L225</f>
        <v>125.096</v>
      </c>
      <c r="M245" s="70">
        <f>M67*M225</f>
        <v>76.528000000000119</v>
      </c>
      <c r="N245" s="70">
        <f>N67*N225</f>
        <v>110.867</v>
      </c>
      <c r="O245" s="70">
        <f>O67*O225</f>
        <v>36.296000000000028</v>
      </c>
      <c r="P245" s="70">
        <f>P67*P225</f>
        <v>-29.213000000000029</v>
      </c>
      <c r="Q245" s="70">
        <f>Q67*Q225</f>
        <v>104.09600000000003</v>
      </c>
      <c r="R245" s="70">
        <f>R67*R225</f>
        <v>82.507999999999967</v>
      </c>
      <c r="S245" s="70">
        <f>S67*S225</f>
        <v>22.635000000000019</v>
      </c>
      <c r="T245" s="70">
        <f>T67*T225</f>
        <v>270.19799999999998</v>
      </c>
      <c r="U245" s="70">
        <f>U67*U225</f>
        <v>235.85399999999953</v>
      </c>
      <c r="V245" s="70">
        <f>V67*V225</f>
        <v>296.54499999999996</v>
      </c>
      <c r="W245" s="70">
        <f>W67*W225</f>
        <v>87.498999999999995</v>
      </c>
      <c r="X245" s="70">
        <f>X67*X225</f>
        <v>194.18499999999997</v>
      </c>
      <c r="Y245" s="70">
        <f>Y67*Y225</f>
        <v>201.23099999999988</v>
      </c>
      <c r="Z245" s="70">
        <f>Z67*Z225</f>
        <v>102.47499999999999</v>
      </c>
      <c r="AA245" s="70">
        <f>AA67*AA225</f>
        <v>135.24099999999999</v>
      </c>
      <c r="AB245" s="70">
        <f>AB67*AB225</f>
        <v>307.11599999999993</v>
      </c>
      <c r="AC245" s="70">
        <f>AC67*AC225</f>
        <v>133.00099999999986</v>
      </c>
      <c r="AD245" s="70">
        <f>AD67*AD225</f>
        <v>137.036</v>
      </c>
    </row>
    <row r="246" spans="2:30" s="5" customFormat="1" ht="13.5" customHeight="1" thickTop="1">
      <c r="B246" s="1" t="str">
        <f>B68</f>
        <v>Net Capex</v>
      </c>
      <c r="C246" s="69">
        <f>C68*C225</f>
        <v>-251.005</v>
      </c>
      <c r="D246" s="69">
        <f>D68*D225</f>
        <v>-297.363</v>
      </c>
      <c r="E246" s="69">
        <f>E68*E225</f>
        <v>-204.946</v>
      </c>
      <c r="F246" s="69">
        <f>F68*F225</f>
        <v>-218.25700000000001</v>
      </c>
      <c r="G246" s="69">
        <f>G68*G225</f>
        <v>-211.89600000000002</v>
      </c>
      <c r="H246" s="69">
        <f>H68*H225</f>
        <v>-203.82200000000003</v>
      </c>
      <c r="J246" s="69">
        <f>J68*J225</f>
        <v>-41.737000000000002</v>
      </c>
      <c r="K246" s="69">
        <f>K68*K225</f>
        <v>-37.127000000000002</v>
      </c>
      <c r="L246" s="69">
        <f>L68*L225</f>
        <v>-108.643</v>
      </c>
      <c r="M246" s="69">
        <f>M68*M225</f>
        <v>-63.49799999999999</v>
      </c>
      <c r="N246" s="69">
        <f>N68*N225</f>
        <v>-62.318999999999996</v>
      </c>
      <c r="O246" s="69">
        <f>O68*O225</f>
        <v>-66.046999999999997</v>
      </c>
      <c r="P246" s="69">
        <f>P68*P225</f>
        <v>-88.334000000000032</v>
      </c>
      <c r="Q246" s="69">
        <f>Q68*Q225</f>
        <v>-80.662999999999982</v>
      </c>
      <c r="R246" s="69">
        <f>R68*R225</f>
        <v>-44.195999999999998</v>
      </c>
      <c r="S246" s="69">
        <f>S68*S225</f>
        <v>-61.602000000000004</v>
      </c>
      <c r="T246" s="69">
        <f>T68*T225</f>
        <v>-50.084000000000003</v>
      </c>
      <c r="U246" s="69">
        <f>U68*U225</f>
        <v>-49.063999999999993</v>
      </c>
      <c r="V246" s="69">
        <f>V68*V225</f>
        <v>-50.704000000000001</v>
      </c>
      <c r="W246" s="69">
        <f>W68*W225</f>
        <v>-49.664999999999999</v>
      </c>
      <c r="X246" s="69">
        <f>X68*X225</f>
        <v>-51.484000000000016</v>
      </c>
      <c r="Y246" s="69">
        <f>Y68*Y225</f>
        <v>-66.403999999999996</v>
      </c>
      <c r="Z246" s="69">
        <f>Z68*Z225</f>
        <v>-48.957000000000001</v>
      </c>
      <c r="AA246" s="69">
        <f>AA68*AA225</f>
        <v>-55.757999999999988</v>
      </c>
      <c r="AB246" s="69">
        <f>AB68*AB225</f>
        <v>-42.60100000000002</v>
      </c>
      <c r="AC246" s="69">
        <f>AC68*AC225</f>
        <v>-64.580000000000013</v>
      </c>
      <c r="AD246" s="69">
        <f>AD68*AD225</f>
        <v>-40.883000000000003</v>
      </c>
    </row>
    <row r="247" spans="2:30" ht="13.5" customHeight="1">
      <c r="B247" s="1" t="str">
        <f>B69</f>
        <v>Net Payment for acquisition  of intangible assets</v>
      </c>
      <c r="C247" s="69">
        <f>C69*C225</f>
        <v>-6.069</v>
      </c>
      <c r="D247" s="69">
        <f>D69*D225</f>
        <v>-0.65400000000000003</v>
      </c>
      <c r="E247" s="69">
        <f>E69*E225</f>
        <v>-8.7999999999999995E-2</v>
      </c>
      <c r="F247" s="69">
        <f>F69*F225</f>
        <v>-0.16900000000000001</v>
      </c>
      <c r="G247" s="69">
        <f>G69*G225</f>
        <v>-0.105</v>
      </c>
      <c r="H247" s="69">
        <f>H69*H225</f>
        <v>-0.105</v>
      </c>
      <c r="J247" s="69">
        <f>J69*J225</f>
        <v>-8.9999999999999993E-3</v>
      </c>
      <c r="K247" s="69">
        <f>K69*K225</f>
        <v>-1.391</v>
      </c>
      <c r="L247" s="69">
        <f>L69*L225</f>
        <v>-0.20400000000000007</v>
      </c>
      <c r="M247" s="69">
        <f>M69*M225</f>
        <v>-4.4649999999999999</v>
      </c>
      <c r="N247" s="69">
        <f>N69*N225</f>
        <v>-2.5000000000000001E-2</v>
      </c>
      <c r="O247" s="69">
        <f>O69*O225</f>
        <v>-2.0999999999999998E-2</v>
      </c>
      <c r="P247" s="69">
        <f>P69*P225</f>
        <v>-1.5310000000000001</v>
      </c>
      <c r="Q247" s="69">
        <f>Q69*Q225</f>
        <v>0.92300000000000015</v>
      </c>
      <c r="R247" s="69">
        <f>R69*R225</f>
        <v>-2E-3</v>
      </c>
      <c r="S247" s="69">
        <f>S69*S225</f>
        <v>2E-3</v>
      </c>
      <c r="T247" s="69">
        <f>T69*T225</f>
        <v>0</v>
      </c>
      <c r="U247" s="69">
        <f>U69*U225</f>
        <v>-8.7999999999999995E-2</v>
      </c>
      <c r="V247" s="69">
        <f>V69*V225</f>
        <v>0</v>
      </c>
      <c r="W247" s="69">
        <f>W69*W225</f>
        <v>0</v>
      </c>
      <c r="X247" s="69">
        <f>X69*X225</f>
        <v>0</v>
      </c>
      <c r="Y247" s="69">
        <f>Y69*Y225</f>
        <v>-0.16900000000000001</v>
      </c>
      <c r="Z247" s="69">
        <f>Z69*Z225</f>
        <v>0</v>
      </c>
      <c r="AA247" s="69">
        <f>AA69*AA225</f>
        <v>0</v>
      </c>
      <c r="AB247" s="69">
        <f>AB69*AB225</f>
        <v>0</v>
      </c>
      <c r="AC247" s="69">
        <f>AC69*AC225</f>
        <v>-0.105</v>
      </c>
      <c r="AD247" s="69">
        <f>AD69*AD225</f>
        <v>0</v>
      </c>
    </row>
    <row r="248" spans="2:30" ht="13.5" customHeight="1">
      <c r="B248" s="1" t="str">
        <f>B70</f>
        <v>Disposals/ Acquisition, of subsidiaries</v>
      </c>
      <c r="C248" s="69">
        <f>C70*C225</f>
        <v>0</v>
      </c>
      <c r="D248" s="69">
        <f>D70*D225</f>
        <v>0</v>
      </c>
      <c r="E248" s="69">
        <f>E70*E225</f>
        <v>24.827000000000002</v>
      </c>
      <c r="F248" s="69">
        <f>F70*F225</f>
        <v>0</v>
      </c>
      <c r="G248" s="69">
        <f>G70*G225</f>
        <v>0</v>
      </c>
      <c r="H248" s="69">
        <f>H70*H225</f>
        <v>0</v>
      </c>
      <c r="J248" s="69">
        <f>J70*J225</f>
        <v>0</v>
      </c>
      <c r="K248" s="69">
        <f>K70*K225</f>
        <v>0</v>
      </c>
      <c r="L248" s="69">
        <f>L70*L225</f>
        <v>0</v>
      </c>
      <c r="M248" s="69">
        <f>M70*M225</f>
        <v>0</v>
      </c>
      <c r="N248" s="69">
        <f>N70*N225</f>
        <v>0</v>
      </c>
      <c r="O248" s="69">
        <f>O70*O225</f>
        <v>0</v>
      </c>
      <c r="P248" s="69">
        <f>P70*P225</f>
        <v>0</v>
      </c>
      <c r="Q248" s="69">
        <f>Q70*Q225</f>
        <v>0</v>
      </c>
      <c r="R248" s="69">
        <f>R70*R225</f>
        <v>0</v>
      </c>
      <c r="S248" s="69">
        <f>S70*S225</f>
        <v>0</v>
      </c>
      <c r="T248" s="69">
        <f>T70*T225</f>
        <v>0</v>
      </c>
      <c r="U248" s="69">
        <f>U70*U225</f>
        <v>24.827000000000002</v>
      </c>
      <c r="V248" s="69">
        <f>V70*V225</f>
        <v>0</v>
      </c>
      <c r="W248" s="69">
        <f>W70*W225</f>
        <v>0</v>
      </c>
      <c r="X248" s="69">
        <f>X70*X225</f>
        <v>0</v>
      </c>
      <c r="Y248" s="69">
        <f>Y70*Y225</f>
        <v>0</v>
      </c>
      <c r="Z248" s="69">
        <f>Z70*Z225</f>
        <v>0</v>
      </c>
      <c r="AA248" s="69">
        <f>AA70*AA225</f>
        <v>0</v>
      </c>
      <c r="AB248" s="69">
        <f>AB70*AB225</f>
        <v>0</v>
      </c>
      <c r="AC248" s="69">
        <f>AC70*AC225</f>
        <v>0</v>
      </c>
      <c r="AD248" s="69">
        <f>AD70*AD225</f>
        <v>0</v>
      </c>
    </row>
    <row r="249" spans="2:30" ht="13.5" customHeight="1">
      <c r="B249" s="1" t="str">
        <f>B72</f>
        <v>Deposits interest received in investing activities</v>
      </c>
      <c r="C249" s="69">
        <f>C72*C225</f>
        <v>1.6779999999999999</v>
      </c>
      <c r="D249" s="69">
        <f>D72*D225</f>
        <v>4.0410000000000004</v>
      </c>
      <c r="E249" s="69">
        <f>E72*E225</f>
        <v>9.1920000000000002</v>
      </c>
      <c r="F249" s="69">
        <f>F72*F225</f>
        <v>16.972000000000001</v>
      </c>
      <c r="G249" s="69">
        <f>G72*G225</f>
        <v>11.385</v>
      </c>
      <c r="H249" s="69">
        <f>H72*H225</f>
        <v>11.263</v>
      </c>
      <c r="J249" s="69">
        <f>J72*J225</f>
        <v>0.48299999999999998</v>
      </c>
      <c r="K249" s="69">
        <f>K72*K225</f>
        <v>0.52900000000000003</v>
      </c>
      <c r="L249" s="69">
        <f>L72*L225</f>
        <v>1.2370000000000001</v>
      </c>
      <c r="M249" s="69">
        <f>M72*M225</f>
        <v>-0.57100000000000017</v>
      </c>
      <c r="N249" s="69">
        <f>N72*N225</f>
        <v>0.47699999999999998</v>
      </c>
      <c r="O249" s="69">
        <f>O72*O225</f>
        <v>0.63700000000000012</v>
      </c>
      <c r="P249" s="69">
        <f>P72*P225</f>
        <v>0.76999999999999991</v>
      </c>
      <c r="Q249" s="69">
        <f>Q72*Q225</f>
        <v>2.1570000000000005</v>
      </c>
      <c r="R249" s="69">
        <f>R72*R225</f>
        <v>2.0649999999999999</v>
      </c>
      <c r="S249" s="69">
        <f>S72*S225</f>
        <v>1.8839999999999999</v>
      </c>
      <c r="T249" s="69">
        <f>T72*T225</f>
        <v>2.2909999999999999</v>
      </c>
      <c r="U249" s="69">
        <f>U72*U225</f>
        <v>2.952</v>
      </c>
      <c r="V249" s="69">
        <f>V72*V225</f>
        <v>3.93</v>
      </c>
      <c r="W249" s="69">
        <f>W72*W225</f>
        <v>4.9120000000000008</v>
      </c>
      <c r="X249" s="69">
        <f>X72*X225</f>
        <v>4.0030000000000001</v>
      </c>
      <c r="Y249" s="69">
        <f>Y72*Y225</f>
        <v>4.1270000000000007</v>
      </c>
      <c r="Z249" s="69">
        <f>Z72*Z225</f>
        <v>2.9609999999999999</v>
      </c>
      <c r="AA249" s="69">
        <f>AA72*AA225</f>
        <v>2.8030000000000004</v>
      </c>
      <c r="AB249" s="69">
        <f>AB72*AB225</f>
        <v>2.5079999999999996</v>
      </c>
      <c r="AC249" s="69">
        <f>AC72*AC225</f>
        <v>3.1129999999999995</v>
      </c>
      <c r="AD249" s="69">
        <f>AD72*AD225</f>
        <v>2.839</v>
      </c>
    </row>
    <row r="250" spans="2:30" ht="13.5" customHeight="1" thickBot="1">
      <c r="B250" s="63" t="str">
        <f>B73</f>
        <v>Disposed Cash from discontinued operations and Others in investing activitiesq</v>
      </c>
      <c r="C250" s="97">
        <f>C73*C225</f>
        <v>-2.7669999999999999</v>
      </c>
      <c r="D250" s="97">
        <f>D73*D225</f>
        <v>-4.3840000000000003</v>
      </c>
      <c r="E250" s="97">
        <f>E73*E225</f>
        <v>-12.523</v>
      </c>
      <c r="F250" s="97">
        <f>F73*F225</f>
        <v>3.29</v>
      </c>
      <c r="G250" s="97">
        <f>G73*G225</f>
        <v>-37.387</v>
      </c>
      <c r="H250" s="97">
        <f>H73*H225</f>
        <v>-37.625</v>
      </c>
      <c r="J250" s="97">
        <f>J73*J225</f>
        <v>-0.95299999999999996</v>
      </c>
      <c r="K250" s="97">
        <f>K73*K225</f>
        <v>-0.55900000000000005</v>
      </c>
      <c r="L250" s="97">
        <f>L73*L225</f>
        <v>0.18500000000000005</v>
      </c>
      <c r="M250" s="97">
        <f>M73*M225</f>
        <v>-1.44</v>
      </c>
      <c r="N250" s="97">
        <f>N73*N225</f>
        <v>-7.6999999999999999E-2</v>
      </c>
      <c r="O250" s="97">
        <f>O73*O225</f>
        <v>-0.63100000000000001</v>
      </c>
      <c r="P250" s="97">
        <f>P73*P225</f>
        <v>-2.7679999999999998</v>
      </c>
      <c r="Q250" s="97">
        <f>Q73*Q225</f>
        <v>-0.90800000000000036</v>
      </c>
      <c r="R250" s="97">
        <f>R73*R225</f>
        <v>-2.17</v>
      </c>
      <c r="S250" s="97">
        <f>S73*S225</f>
        <v>-7.23</v>
      </c>
      <c r="T250" s="97">
        <f>T73*T225</f>
        <v>25.159000000000006</v>
      </c>
      <c r="U250" s="97">
        <f>U73*U225</f>
        <v>-28.282000000000004</v>
      </c>
      <c r="V250" s="97">
        <f>V73*V225</f>
        <v>-0.66400000000000003</v>
      </c>
      <c r="W250" s="97">
        <f>W73*W225</f>
        <v>-0.57999999999999996</v>
      </c>
      <c r="X250" s="97">
        <f>X73*X225</f>
        <v>-1.2909999999999999</v>
      </c>
      <c r="Y250" s="97">
        <f>Y73*Y225</f>
        <v>5.8250000000000002</v>
      </c>
      <c r="Z250" s="97">
        <f>Z73*Z225</f>
        <v>0.42699999999999999</v>
      </c>
      <c r="AA250" s="97">
        <f>AA73*AA225</f>
        <v>-1.214</v>
      </c>
      <c r="AB250" s="97">
        <f>AB73*AB225</f>
        <v>-38.088000000000001</v>
      </c>
      <c r="AC250" s="97">
        <f>AC73*AC225</f>
        <v>1.4879999999999995</v>
      </c>
      <c r="AD250" s="97">
        <f>AD73*AD225</f>
        <v>0.189</v>
      </c>
    </row>
    <row r="251" spans="2:30" ht="13.5" customHeight="1" thickTop="1" thickBot="1">
      <c r="B251" s="77" t="str">
        <f>B71</f>
        <v xml:space="preserve">Free cash flow </v>
      </c>
      <c r="C251" s="98">
        <f t="shared" ref="C251:H251" si="522">C71*C225</f>
        <v>297.565</v>
      </c>
      <c r="D251" s="98">
        <f t="shared" si="522"/>
        <v>-75.970999999999947</v>
      </c>
      <c r="E251" s="98">
        <f t="shared" si="522"/>
        <v>430.98799999999954</v>
      </c>
      <c r="F251" s="98">
        <f t="shared" si="522"/>
        <v>561.03399999999999</v>
      </c>
      <c r="G251" s="98">
        <f t="shared" si="522"/>
        <v>465.83199999999982</v>
      </c>
      <c r="H251" s="98">
        <f t="shared" si="522"/>
        <v>508.46699999999987</v>
      </c>
      <c r="J251" s="98">
        <f t="shared" ref="J251:AC251" si="523">J71*J225</f>
        <v>119.08300000000001</v>
      </c>
      <c r="K251" s="98">
        <f t="shared" si="523"/>
        <v>153.66800000000001</v>
      </c>
      <c r="L251" s="98">
        <f t="shared" si="523"/>
        <v>16.249000000000002</v>
      </c>
      <c r="M251" s="98">
        <f t="shared" si="523"/>
        <v>8.5650000000001292</v>
      </c>
      <c r="N251" s="98">
        <f t="shared" si="523"/>
        <v>48.52300000000001</v>
      </c>
      <c r="O251" s="98">
        <f t="shared" si="523"/>
        <v>-29.77199999999997</v>
      </c>
      <c r="P251" s="98">
        <f t="shared" si="523"/>
        <v>-119.07800000000006</v>
      </c>
      <c r="Q251" s="98">
        <f t="shared" si="523"/>
        <v>24.356000000000051</v>
      </c>
      <c r="R251" s="98">
        <f t="shared" si="523"/>
        <v>38.309999999999967</v>
      </c>
      <c r="S251" s="98">
        <f t="shared" si="523"/>
        <v>-38.964999999999982</v>
      </c>
      <c r="T251" s="98">
        <f t="shared" si="523"/>
        <v>220.11399999999998</v>
      </c>
      <c r="U251" s="98">
        <f t="shared" si="523"/>
        <v>211.52899999999954</v>
      </c>
      <c r="V251" s="98">
        <f t="shared" si="523"/>
        <v>245.84099999999995</v>
      </c>
      <c r="W251" s="98">
        <f t="shared" si="523"/>
        <v>37.833999999999996</v>
      </c>
      <c r="X251" s="98">
        <f t="shared" si="523"/>
        <v>142.70099999999996</v>
      </c>
      <c r="Y251" s="98">
        <f t="shared" si="523"/>
        <v>134.65799999999987</v>
      </c>
      <c r="Z251" s="98">
        <f t="shared" si="523"/>
        <v>53.517999999999994</v>
      </c>
      <c r="AA251" s="98">
        <f t="shared" si="523"/>
        <v>79.483000000000004</v>
      </c>
      <c r="AB251" s="98">
        <f t="shared" si="523"/>
        <v>264.51499999999993</v>
      </c>
      <c r="AC251" s="98">
        <f t="shared" si="523"/>
        <v>68.315999999999846</v>
      </c>
      <c r="AD251" s="98">
        <f t="shared" ref="AD251" si="524">AD71*AD225</f>
        <v>96.152999999999992</v>
      </c>
    </row>
    <row r="252" spans="2:30" ht="13.5" customHeight="1" thickTop="1">
      <c r="B252" s="1" t="str">
        <f t="shared" ref="B252:B260" si="525">B74</f>
        <v>Equity Issuance/Buyback</v>
      </c>
      <c r="C252" s="69">
        <f t="shared" ref="C252:H252" si="526">C74*C225</f>
        <v>-184.49199999999999</v>
      </c>
      <c r="D252" s="69">
        <f t="shared" si="526"/>
        <v>-131.33000000000001</v>
      </c>
      <c r="E252" s="69">
        <f t="shared" si="526"/>
        <v>-19.38</v>
      </c>
      <c r="F252" s="69">
        <f t="shared" si="526"/>
        <v>-152.20099999999999</v>
      </c>
      <c r="G252" s="69">
        <f t="shared" si="526"/>
        <v>-279.50099999999998</v>
      </c>
      <c r="H252" s="69">
        <f t="shared" si="526"/>
        <v>-242.61399999999998</v>
      </c>
      <c r="J252" s="69">
        <f t="shared" ref="J252:AC252" si="527">J74*J225</f>
        <v>-36.008000000000003</v>
      </c>
      <c r="K252" s="69">
        <f t="shared" si="527"/>
        <v>-14.562999999999995</v>
      </c>
      <c r="L252" s="69">
        <f t="shared" si="527"/>
        <v>-48.339000000000006</v>
      </c>
      <c r="M252" s="69">
        <f t="shared" si="527"/>
        <v>-85.581999999999994</v>
      </c>
      <c r="N252" s="69">
        <f t="shared" si="527"/>
        <v>-74.287999999999997</v>
      </c>
      <c r="O252" s="69">
        <f t="shared" si="527"/>
        <v>-36.942000000000007</v>
      </c>
      <c r="P252" s="69">
        <f t="shared" si="527"/>
        <v>-10.337999999999994</v>
      </c>
      <c r="Q252" s="69">
        <f t="shared" si="527"/>
        <v>-9.7620000000000147</v>
      </c>
      <c r="R252" s="69">
        <f t="shared" si="527"/>
        <v>-2.202</v>
      </c>
      <c r="S252" s="69">
        <f t="shared" si="527"/>
        <v>-3.1219999999999999</v>
      </c>
      <c r="T252" s="69">
        <f t="shared" si="527"/>
        <v>-0.65300000000000047</v>
      </c>
      <c r="U252" s="69">
        <f t="shared" si="527"/>
        <v>-13.402999999999999</v>
      </c>
      <c r="V252" s="69">
        <f t="shared" si="527"/>
        <v>-66.399000000000001</v>
      </c>
      <c r="W252" s="69">
        <f t="shared" si="527"/>
        <v>-24.554999999999993</v>
      </c>
      <c r="X252" s="69">
        <f t="shared" si="527"/>
        <v>-11.160000000000011</v>
      </c>
      <c r="Y252" s="69">
        <f t="shared" si="527"/>
        <v>-50.086999999999989</v>
      </c>
      <c r="Z252" s="69">
        <f t="shared" si="527"/>
        <v>-70.271000000000001</v>
      </c>
      <c r="AA252" s="69">
        <f t="shared" si="527"/>
        <v>-84.843000000000004</v>
      </c>
      <c r="AB252" s="69">
        <f t="shared" si="527"/>
        <v>-48.907999999999987</v>
      </c>
      <c r="AC252" s="69">
        <f t="shared" si="527"/>
        <v>-75.478999999999985</v>
      </c>
      <c r="AD252" s="69">
        <f t="shared" ref="AD252" si="528">AD74*AD225</f>
        <v>-33.384</v>
      </c>
    </row>
    <row r="253" spans="2:30" s="5" customFormat="1" ht="13.5" customHeight="1">
      <c r="B253" s="1" t="str">
        <f t="shared" si="525"/>
        <v xml:space="preserve">Dividends received  / Dividends Paid </v>
      </c>
      <c r="C253" s="69">
        <f t="shared" ref="C253:H253" si="529">C75*C225</f>
        <v>-106.096</v>
      </c>
      <c r="D253" s="69">
        <f t="shared" si="529"/>
        <v>-97.5</v>
      </c>
      <c r="E253" s="69">
        <f t="shared" si="529"/>
        <v>-111.73</v>
      </c>
      <c r="F253" s="69">
        <f t="shared" si="529"/>
        <v>-105.04600000000001</v>
      </c>
      <c r="G253" s="69">
        <f t="shared" si="529"/>
        <v>-99.152000000000001</v>
      </c>
      <c r="H253" s="69">
        <f t="shared" si="529"/>
        <v>-105.854</v>
      </c>
      <c r="J253" s="69">
        <f t="shared" ref="J253:AC253" si="530">J75*J225</f>
        <v>-27.648</v>
      </c>
      <c r="K253" s="69">
        <f t="shared" si="530"/>
        <v>-27.843999999999998</v>
      </c>
      <c r="L253" s="69">
        <f t="shared" si="530"/>
        <v>-25.761000000000006</v>
      </c>
      <c r="M253" s="69">
        <f t="shared" si="530"/>
        <v>-24.843000000000004</v>
      </c>
      <c r="N253" s="69">
        <f t="shared" si="530"/>
        <v>-24.68</v>
      </c>
      <c r="O253" s="69">
        <f t="shared" si="530"/>
        <v>-22.9</v>
      </c>
      <c r="P253" s="69">
        <f t="shared" si="530"/>
        <v>-24.659000000000006</v>
      </c>
      <c r="Q253" s="69">
        <f t="shared" si="530"/>
        <v>-25.260999999999996</v>
      </c>
      <c r="R253" s="69">
        <f t="shared" si="530"/>
        <v>-26.608000000000001</v>
      </c>
      <c r="S253" s="69">
        <f t="shared" si="530"/>
        <v>-27.650000000000002</v>
      </c>
      <c r="T253" s="69">
        <f t="shared" si="530"/>
        <v>-29.841999999999988</v>
      </c>
      <c r="U253" s="69">
        <f t="shared" si="530"/>
        <v>-27.63000000000001</v>
      </c>
      <c r="V253" s="69">
        <f t="shared" si="530"/>
        <v>-28.901</v>
      </c>
      <c r="W253" s="69">
        <f t="shared" si="530"/>
        <v>-28.738000000000003</v>
      </c>
      <c r="X253" s="69">
        <f t="shared" si="530"/>
        <v>-24.552000000000003</v>
      </c>
      <c r="Y253" s="69">
        <f t="shared" si="530"/>
        <v>-22.855000000000004</v>
      </c>
      <c r="Z253" s="69">
        <f t="shared" si="530"/>
        <v>-22.033999999999999</v>
      </c>
      <c r="AA253" s="69">
        <f t="shared" si="530"/>
        <v>-22.926000000000002</v>
      </c>
      <c r="AB253" s="69">
        <f t="shared" si="530"/>
        <v>-26.939</v>
      </c>
      <c r="AC253" s="69">
        <f t="shared" si="530"/>
        <v>-27.253</v>
      </c>
      <c r="AD253" s="69">
        <f t="shared" ref="AD253" si="531">AD75*AD225</f>
        <v>-28.736000000000001</v>
      </c>
    </row>
    <row r="254" spans="2:30" ht="13.5" customHeight="1">
      <c r="B254" s="1" t="str">
        <f t="shared" si="525"/>
        <v>Acquisition of bonds</v>
      </c>
      <c r="C254" s="69">
        <f t="shared" ref="C254:H254" si="532">C76*C225</f>
        <v>0</v>
      </c>
      <c r="D254" s="69">
        <f t="shared" si="532"/>
        <v>0</v>
      </c>
      <c r="E254" s="69">
        <f t="shared" si="532"/>
        <v>0</v>
      </c>
      <c r="F254" s="69">
        <f t="shared" si="532"/>
        <v>0</v>
      </c>
      <c r="G254" s="69">
        <f t="shared" si="532"/>
        <v>0</v>
      </c>
      <c r="H254" s="69">
        <f t="shared" si="532"/>
        <v>0</v>
      </c>
      <c r="J254" s="69">
        <f t="shared" ref="J254:AC254" si="533">J76*J225</f>
        <v>0</v>
      </c>
      <c r="K254" s="69">
        <f t="shared" si="533"/>
        <v>0</v>
      </c>
      <c r="L254" s="69">
        <f t="shared" si="533"/>
        <v>0</v>
      </c>
      <c r="M254" s="69">
        <f t="shared" si="533"/>
        <v>0</v>
      </c>
      <c r="N254" s="69">
        <f t="shared" si="533"/>
        <v>0</v>
      </c>
      <c r="O254" s="69">
        <f t="shared" si="533"/>
        <v>0</v>
      </c>
      <c r="P254" s="69">
        <f t="shared" si="533"/>
        <v>0</v>
      </c>
      <c r="Q254" s="69">
        <f t="shared" si="533"/>
        <v>0</v>
      </c>
      <c r="R254" s="69">
        <f t="shared" si="533"/>
        <v>0</v>
      </c>
      <c r="S254" s="69">
        <f t="shared" si="533"/>
        <v>0</v>
      </c>
      <c r="T254" s="69">
        <f t="shared" si="533"/>
        <v>0</v>
      </c>
      <c r="U254" s="69">
        <f t="shared" si="533"/>
        <v>0</v>
      </c>
      <c r="V254" s="69">
        <f t="shared" si="533"/>
        <v>0</v>
      </c>
      <c r="W254" s="69">
        <f t="shared" si="533"/>
        <v>0</v>
      </c>
      <c r="X254" s="69">
        <f t="shared" si="533"/>
        <v>0</v>
      </c>
      <c r="Y254" s="69">
        <f t="shared" si="533"/>
        <v>0</v>
      </c>
      <c r="Z254" s="69">
        <f t="shared" si="533"/>
        <v>0</v>
      </c>
      <c r="AA254" s="69">
        <f t="shared" si="533"/>
        <v>0</v>
      </c>
      <c r="AB254" s="69">
        <f t="shared" si="533"/>
        <v>0</v>
      </c>
      <c r="AC254" s="69">
        <f t="shared" si="533"/>
        <v>0</v>
      </c>
      <c r="AD254" s="69">
        <f t="shared" ref="AD254" si="534">AD76*AD225</f>
        <v>0</v>
      </c>
    </row>
    <row r="255" spans="2:30" ht="13.5" customHeight="1">
      <c r="B255" s="1" t="str">
        <f t="shared" si="525"/>
        <v>Change in debt /Finance Costs</v>
      </c>
      <c r="C255" s="69">
        <f t="shared" ref="C255:H255" si="535">C77*C225</f>
        <v>-7.0460000000000207</v>
      </c>
      <c r="D255" s="69">
        <f t="shared" si="535"/>
        <v>339.61199999999985</v>
      </c>
      <c r="E255" s="69">
        <f t="shared" si="535"/>
        <v>-243.2350000000001</v>
      </c>
      <c r="F255" s="69">
        <f t="shared" si="535"/>
        <v>-241.72500000000008</v>
      </c>
      <c r="G255" s="69">
        <f t="shared" si="535"/>
        <v>-7.030999999999807</v>
      </c>
      <c r="H255" s="69">
        <f t="shared" si="535"/>
        <v>-103.20399999999981</v>
      </c>
      <c r="J255" s="69">
        <f t="shared" ref="J255:AC255" si="536">J77*J225</f>
        <v>56.500000000000021</v>
      </c>
      <c r="K255" s="69">
        <f t="shared" si="536"/>
        <v>-74.692000000000064</v>
      </c>
      <c r="L255" s="69">
        <f t="shared" si="536"/>
        <v>-13.878999999999955</v>
      </c>
      <c r="M255" s="69">
        <f t="shared" si="536"/>
        <v>25.024999999999977</v>
      </c>
      <c r="N255" s="69">
        <f t="shared" si="536"/>
        <v>88.162000000000035</v>
      </c>
      <c r="O255" s="69">
        <f t="shared" si="536"/>
        <v>32.754999999999967</v>
      </c>
      <c r="P255" s="69">
        <f t="shared" si="536"/>
        <v>167.02999999999994</v>
      </c>
      <c r="Q255" s="69">
        <f t="shared" si="536"/>
        <v>51.664999999999907</v>
      </c>
      <c r="R255" s="69">
        <f t="shared" si="536"/>
        <v>-20.064999999999987</v>
      </c>
      <c r="S255" s="69">
        <f t="shared" si="536"/>
        <v>47.511999999999944</v>
      </c>
      <c r="T255" s="69">
        <f t="shared" si="536"/>
        <v>-136.68</v>
      </c>
      <c r="U255" s="69">
        <f t="shared" si="536"/>
        <v>-134.00200000000007</v>
      </c>
      <c r="V255" s="69">
        <f t="shared" si="536"/>
        <v>-20.328999999999994</v>
      </c>
      <c r="W255" s="69">
        <f t="shared" si="536"/>
        <v>-17.279999999999994</v>
      </c>
      <c r="X255" s="69">
        <f t="shared" si="536"/>
        <v>-12.382999999999996</v>
      </c>
      <c r="Y255" s="69">
        <f t="shared" si="536"/>
        <v>-191.73300000000009</v>
      </c>
      <c r="Z255" s="69">
        <f t="shared" si="536"/>
        <v>75.245000000000005</v>
      </c>
      <c r="AA255" s="69">
        <f t="shared" si="536"/>
        <v>-20.812999999999953</v>
      </c>
      <c r="AB255" s="69">
        <f t="shared" si="536"/>
        <v>-49.163000000000018</v>
      </c>
      <c r="AC255" s="69">
        <f t="shared" si="536"/>
        <v>-12.299999999999841</v>
      </c>
      <c r="AD255" s="69">
        <f t="shared" ref="AD255" si="537">AD77*AD225</f>
        <v>-20.928000000000001</v>
      </c>
    </row>
    <row r="256" spans="2:30" ht="13.5" customHeight="1" thickBot="1">
      <c r="B256" s="1" t="str">
        <f t="shared" si="525"/>
        <v>Other Finance</v>
      </c>
      <c r="C256" s="69">
        <f t="shared" ref="C256:H256" si="538">C78*C225</f>
        <v>-0.80400000000000005</v>
      </c>
      <c r="D256" s="69">
        <f t="shared" si="538"/>
        <v>-1.1259999999999999</v>
      </c>
      <c r="E256" s="69">
        <f t="shared" si="538"/>
        <v>0</v>
      </c>
      <c r="F256" s="69">
        <f t="shared" si="538"/>
        <v>0</v>
      </c>
      <c r="G256" s="69">
        <f t="shared" si="538"/>
        <v>0.14199999999999999</v>
      </c>
      <c r="H256" s="69">
        <f t="shared" si="538"/>
        <v>0.14199999999999999</v>
      </c>
      <c r="J256" s="69">
        <f t="shared" ref="J256:AC256" si="539">J78*J225</f>
        <v>0.49099999999999999</v>
      </c>
      <c r="K256" s="69">
        <f t="shared" si="539"/>
        <v>-1.7629999999999999</v>
      </c>
      <c r="L256" s="69">
        <f t="shared" si="539"/>
        <v>-8.0000000000001181E-3</v>
      </c>
      <c r="M256" s="69">
        <f t="shared" si="539"/>
        <v>0.47599999999999976</v>
      </c>
      <c r="N256" s="69">
        <f t="shared" si="539"/>
        <v>0</v>
      </c>
      <c r="O256" s="69">
        <f t="shared" si="539"/>
        <v>0.57799999999999996</v>
      </c>
      <c r="P256" s="69">
        <f t="shared" si="539"/>
        <v>-1.7039999999999997</v>
      </c>
      <c r="Q256" s="69">
        <f t="shared" si="539"/>
        <v>0</v>
      </c>
      <c r="R256" s="69">
        <f t="shared" si="539"/>
        <v>0</v>
      </c>
      <c r="S256" s="69">
        <f t="shared" si="539"/>
        <v>0</v>
      </c>
      <c r="T256" s="69">
        <f t="shared" si="539"/>
        <v>0</v>
      </c>
      <c r="U256" s="69">
        <f t="shared" si="539"/>
        <v>0</v>
      </c>
      <c r="V256" s="69">
        <f t="shared" si="539"/>
        <v>0</v>
      </c>
      <c r="W256" s="69">
        <f t="shared" si="539"/>
        <v>0</v>
      </c>
      <c r="X256" s="69">
        <f t="shared" si="539"/>
        <v>0</v>
      </c>
      <c r="Y256" s="69">
        <f t="shared" si="539"/>
        <v>0</v>
      </c>
      <c r="Z256" s="69">
        <f t="shared" si="539"/>
        <v>0</v>
      </c>
      <c r="AA256" s="69">
        <f t="shared" si="539"/>
        <v>1.7999999999999999E-2</v>
      </c>
      <c r="AB256" s="69">
        <f t="shared" si="539"/>
        <v>0</v>
      </c>
      <c r="AC256" s="69">
        <f t="shared" si="539"/>
        <v>0.12399999999999999</v>
      </c>
      <c r="AD256" s="69">
        <f t="shared" ref="AD256" si="540">AD78*AD225</f>
        <v>0</v>
      </c>
    </row>
    <row r="257" spans="2:30" ht="13.5" customHeight="1" thickTop="1" thickBot="1">
      <c r="B257" s="104" t="str">
        <f t="shared" si="525"/>
        <v>Cash flow after financing activities</v>
      </c>
      <c r="C257" s="105">
        <f t="shared" ref="C257:H257" si="541">C79*C225</f>
        <v>-1.9620000000000155</v>
      </c>
      <c r="D257" s="105">
        <f t="shared" si="541"/>
        <v>33.341999999999906</v>
      </c>
      <c r="E257" s="105">
        <f t="shared" si="541"/>
        <v>53.311999999999415</v>
      </c>
      <c r="F257" s="105">
        <f t="shared" si="541"/>
        <v>82.323999999999842</v>
      </c>
      <c r="G257" s="105">
        <f t="shared" si="541"/>
        <v>54.288000000000032</v>
      </c>
      <c r="H257" s="105">
        <f t="shared" si="541"/>
        <v>30.575000000000134</v>
      </c>
      <c r="J257" s="105">
        <f t="shared" ref="J257:AC257" si="542">J79*J225</f>
        <v>111.94800000000005</v>
      </c>
      <c r="K257" s="105">
        <f t="shared" si="542"/>
        <v>34.775999999999961</v>
      </c>
      <c r="L257" s="105">
        <f t="shared" si="542"/>
        <v>-70.31599999999996</v>
      </c>
      <c r="M257" s="105">
        <f t="shared" si="542"/>
        <v>-78.369999999999891</v>
      </c>
      <c r="N257" s="105">
        <f t="shared" si="542"/>
        <v>38.117000000000047</v>
      </c>
      <c r="O257" s="105">
        <f t="shared" si="542"/>
        <v>-56.275000000000006</v>
      </c>
      <c r="P257" s="105">
        <f t="shared" si="542"/>
        <v>9.2529999999999077</v>
      </c>
      <c r="Q257" s="105">
        <f t="shared" si="542"/>
        <v>42.246999999999943</v>
      </c>
      <c r="R257" s="105">
        <f t="shared" si="542"/>
        <v>-10.670000000000023</v>
      </c>
      <c r="S257" s="105">
        <f t="shared" si="542"/>
        <v>-27.571000000000041</v>
      </c>
      <c r="T257" s="105">
        <f t="shared" si="542"/>
        <v>80.388999999999982</v>
      </c>
      <c r="U257" s="105">
        <f t="shared" si="542"/>
        <v>11.163999999999476</v>
      </c>
      <c r="V257" s="105">
        <f t="shared" si="542"/>
        <v>133.47799999999995</v>
      </c>
      <c r="W257" s="105">
        <f t="shared" si="542"/>
        <v>-28.406999999999993</v>
      </c>
      <c r="X257" s="105">
        <f t="shared" si="542"/>
        <v>97.317999999999927</v>
      </c>
      <c r="Y257" s="105">
        <f t="shared" si="542"/>
        <v>-120.06500000000021</v>
      </c>
      <c r="Z257" s="105">
        <f t="shared" si="542"/>
        <v>39.845999999999997</v>
      </c>
      <c r="AA257" s="105">
        <f t="shared" si="542"/>
        <v>-47.491999999999955</v>
      </c>
      <c r="AB257" s="105">
        <f t="shared" si="542"/>
        <v>103.92499999999993</v>
      </c>
      <c r="AC257" s="105">
        <f t="shared" si="542"/>
        <v>-41.990999999999978</v>
      </c>
      <c r="AD257" s="105">
        <f t="shared" ref="AD257" si="543">AD79*AD225</f>
        <v>16.132999999999978</v>
      </c>
    </row>
    <row r="258" spans="2:30" s="5" customFormat="1" ht="13.5" customHeight="1" thickTop="1">
      <c r="B258" s="1" t="str">
        <f t="shared" si="525"/>
        <v xml:space="preserve">FX </v>
      </c>
      <c r="C258" s="69">
        <f t="shared" ref="C258:H258" si="544">C80*C225</f>
        <v>-9.61</v>
      </c>
      <c r="D258" s="69">
        <f t="shared" si="544"/>
        <v>-7.6319999999999997</v>
      </c>
      <c r="E258" s="69">
        <f t="shared" si="544"/>
        <v>7.851</v>
      </c>
      <c r="F258" s="69">
        <f t="shared" si="544"/>
        <v>-84.787999999999997</v>
      </c>
      <c r="G258" s="69">
        <f t="shared" si="544"/>
        <v>32.389000000000003</v>
      </c>
      <c r="H258" s="69">
        <f t="shared" si="544"/>
        <v>18.436000000000003</v>
      </c>
      <c r="J258" s="69">
        <f t="shared" ref="J258:AC258" si="545">J80*J225</f>
        <v>-0.29499999999999998</v>
      </c>
      <c r="K258" s="69">
        <f t="shared" si="545"/>
        <v>2.8289999999999997</v>
      </c>
      <c r="L258" s="69">
        <f t="shared" si="545"/>
        <v>-6.1470000000000002</v>
      </c>
      <c r="M258" s="69">
        <f t="shared" si="545"/>
        <v>-5.996999999999999</v>
      </c>
      <c r="N258" s="69">
        <f t="shared" si="545"/>
        <v>0.22600000000000001</v>
      </c>
      <c r="O258" s="69">
        <f t="shared" si="545"/>
        <v>-0.40300000000000002</v>
      </c>
      <c r="P258" s="69">
        <f t="shared" si="545"/>
        <v>-11.632</v>
      </c>
      <c r="Q258" s="69">
        <f t="shared" si="545"/>
        <v>4.1769999999999996</v>
      </c>
      <c r="R258" s="69">
        <f t="shared" si="545"/>
        <v>6.7389999999999999</v>
      </c>
      <c r="S258" s="69">
        <f t="shared" si="545"/>
        <v>-3.3220000000000001</v>
      </c>
      <c r="T258" s="69">
        <f t="shared" si="545"/>
        <v>-8.0670000000000002</v>
      </c>
      <c r="U258" s="69">
        <f t="shared" si="545"/>
        <v>12.501000000000001</v>
      </c>
      <c r="V258" s="69">
        <f t="shared" si="545"/>
        <v>1.75</v>
      </c>
      <c r="W258" s="69">
        <f t="shared" si="545"/>
        <v>-34.104999999999997</v>
      </c>
      <c r="X258" s="69">
        <f t="shared" si="545"/>
        <v>-9.4280000000000044</v>
      </c>
      <c r="Y258" s="69">
        <f t="shared" si="545"/>
        <v>-43.004999999999995</v>
      </c>
      <c r="Z258" s="69">
        <f t="shared" si="545"/>
        <v>8.327</v>
      </c>
      <c r="AA258" s="69">
        <f t="shared" si="545"/>
        <v>17.029000000000003</v>
      </c>
      <c r="AB258" s="69">
        <f t="shared" si="545"/>
        <v>2.998999999999997</v>
      </c>
      <c r="AC258" s="69">
        <f t="shared" si="545"/>
        <v>4.034000000000006</v>
      </c>
      <c r="AD258" s="69">
        <f t="shared" ref="AD258" si="546">AD80*AD225</f>
        <v>-5.6260000000000003</v>
      </c>
    </row>
    <row r="259" spans="2:30" s="5" customFormat="1" ht="13.5" customHeight="1" thickBot="1">
      <c r="B259" s="63" t="str">
        <f t="shared" si="525"/>
        <v>Balancing figure</v>
      </c>
      <c r="C259" s="97">
        <f t="shared" ref="C259:H259" si="547">C81*C225</f>
        <v>-42.890999999999984</v>
      </c>
      <c r="D259" s="97">
        <f t="shared" si="547"/>
        <v>3.1860000000000923</v>
      </c>
      <c r="E259" s="97">
        <f t="shared" si="547"/>
        <v>5.0190000000005881</v>
      </c>
      <c r="F259" s="97">
        <f t="shared" si="547"/>
        <v>-7.2479999999998483</v>
      </c>
      <c r="G259" s="97">
        <f t="shared" si="547"/>
        <v>-15.787000000000035</v>
      </c>
      <c r="H259" s="97">
        <f t="shared" si="547"/>
        <v>-16.261000000000017</v>
      </c>
      <c r="J259" s="97">
        <f t="shared" ref="J259:AC259" si="548">J81*J225</f>
        <v>-7.3570000000000562</v>
      </c>
      <c r="K259" s="97">
        <f t="shared" si="548"/>
        <v>-27.317999999999941</v>
      </c>
      <c r="L259" s="97">
        <f t="shared" si="548"/>
        <v>-4.6800000000000637</v>
      </c>
      <c r="M259" s="97">
        <f t="shared" si="548"/>
        <v>-3.5359999999999232</v>
      </c>
      <c r="N259" s="97">
        <f t="shared" si="548"/>
        <v>-2.0590000000000472</v>
      </c>
      <c r="O259" s="97">
        <f t="shared" si="548"/>
        <v>1.0230000000000032</v>
      </c>
      <c r="P259" s="97">
        <f t="shared" si="548"/>
        <v>-1.305999999999905</v>
      </c>
      <c r="Q259" s="97">
        <f t="shared" si="548"/>
        <v>5.5280000000000413</v>
      </c>
      <c r="R259" s="97">
        <f t="shared" si="548"/>
        <v>8.415000000000024</v>
      </c>
      <c r="S259" s="97">
        <f t="shared" si="548"/>
        <v>2.9670000000000378</v>
      </c>
      <c r="T259" s="97">
        <f t="shared" si="548"/>
        <v>5.2810000000000201</v>
      </c>
      <c r="U259" s="97">
        <f t="shared" si="548"/>
        <v>-11.643999999999494</v>
      </c>
      <c r="V259" s="97">
        <f t="shared" si="548"/>
        <v>-2.8089999999999407</v>
      </c>
      <c r="W259" s="97">
        <f t="shared" si="548"/>
        <v>20.231999999999971</v>
      </c>
      <c r="X259" s="97">
        <f t="shared" si="548"/>
        <v>-29.983999999999909</v>
      </c>
      <c r="Y259" s="97">
        <f t="shared" si="548"/>
        <v>5.3130000000000308</v>
      </c>
      <c r="Z259" s="97">
        <f t="shared" si="548"/>
        <v>-2.1399999999999935</v>
      </c>
      <c r="AA259" s="97">
        <f t="shared" si="548"/>
        <v>-3.3760000000000474</v>
      </c>
      <c r="AB259" s="97">
        <f t="shared" si="548"/>
        <v>-3.8099999999999241</v>
      </c>
      <c r="AC259" s="97">
        <f t="shared" si="548"/>
        <v>-6.4610000000000696</v>
      </c>
      <c r="AD259" s="97">
        <f t="shared" ref="AD259" si="549">AD81*AD225</f>
        <v>-2.6139999999999768</v>
      </c>
    </row>
    <row r="260" spans="2:30" ht="13.5" customHeight="1" thickTop="1">
      <c r="B260" s="5" t="str">
        <f t="shared" si="525"/>
        <v xml:space="preserve">Net change in cash </v>
      </c>
      <c r="C260" s="69">
        <f t="shared" ref="C260:H260" si="550">C82*C225</f>
        <v>-54.463000000000001</v>
      </c>
      <c r="D260" s="69">
        <f t="shared" si="550"/>
        <v>28.896000000000001</v>
      </c>
      <c r="E260" s="69">
        <f t="shared" si="550"/>
        <v>66.182000000000002</v>
      </c>
      <c r="F260" s="69">
        <f t="shared" si="550"/>
        <v>-9.7120000000000033</v>
      </c>
      <c r="G260" s="69">
        <f t="shared" si="550"/>
        <v>70.89</v>
      </c>
      <c r="H260" s="69">
        <f t="shared" si="550"/>
        <v>32.750000000000121</v>
      </c>
      <c r="J260" s="69">
        <f t="shared" ref="J260:AC260" si="551">J82*J225</f>
        <v>104.29599999999999</v>
      </c>
      <c r="K260" s="69">
        <f t="shared" si="551"/>
        <v>10.28700000000002</v>
      </c>
      <c r="L260" s="69">
        <f t="shared" si="551"/>
        <v>-81.143000000000029</v>
      </c>
      <c r="M260" s="69">
        <f t="shared" si="551"/>
        <v>-87.902999999999821</v>
      </c>
      <c r="N260" s="69">
        <f t="shared" si="551"/>
        <v>36.283999999999999</v>
      </c>
      <c r="O260" s="69">
        <f t="shared" si="551"/>
        <v>-55.655000000000001</v>
      </c>
      <c r="P260" s="69">
        <f t="shared" si="551"/>
        <v>-3.6849999999999969</v>
      </c>
      <c r="Q260" s="69">
        <f t="shared" si="551"/>
        <v>51.951999999999984</v>
      </c>
      <c r="R260" s="69">
        <f t="shared" si="551"/>
        <v>4.4840000000000009</v>
      </c>
      <c r="S260" s="69">
        <f t="shared" si="551"/>
        <v>-27.926000000000002</v>
      </c>
      <c r="T260" s="69">
        <f t="shared" si="551"/>
        <v>77.602999999999994</v>
      </c>
      <c r="U260" s="69">
        <f t="shared" si="551"/>
        <v>12.020999999999983</v>
      </c>
      <c r="V260" s="69">
        <f t="shared" si="551"/>
        <v>132.41900000000001</v>
      </c>
      <c r="W260" s="69">
        <f t="shared" si="551"/>
        <v>-42.280000000000015</v>
      </c>
      <c r="X260" s="69">
        <f t="shared" si="551"/>
        <v>57.90600000000002</v>
      </c>
      <c r="Y260" s="69">
        <f t="shared" si="551"/>
        <v>-157.75700000000018</v>
      </c>
      <c r="Z260" s="69">
        <f t="shared" si="551"/>
        <v>46.033000000000001</v>
      </c>
      <c r="AA260" s="69">
        <f t="shared" si="551"/>
        <v>-33.838999999999999</v>
      </c>
      <c r="AB260" s="69">
        <f t="shared" si="551"/>
        <v>103.114</v>
      </c>
      <c r="AC260" s="69">
        <f t="shared" si="551"/>
        <v>-44.418000000000042</v>
      </c>
      <c r="AD260" s="69">
        <f t="shared" ref="AD260" si="552">AD82*AD225</f>
        <v>7.8929999999999998</v>
      </c>
    </row>
    <row r="261" spans="2:30" ht="13.5" customHeight="1">
      <c r="B261" s="5"/>
      <c r="J261" s="69"/>
      <c r="K261" s="69"/>
      <c r="L261" s="69"/>
      <c r="N261" s="69"/>
      <c r="R261" s="69"/>
      <c r="V261" s="69"/>
      <c r="Z261" s="69"/>
      <c r="AD261" s="69"/>
    </row>
    <row r="262" spans="2:30" ht="13.5" customHeight="1">
      <c r="B262" s="1" t="s">
        <v>289</v>
      </c>
      <c r="C262" s="69">
        <f t="shared" ref="C262:D262" si="553">C196*C$224</f>
        <v>254.96799999999999</v>
      </c>
      <c r="D262" s="69">
        <f t="shared" si="553"/>
        <v>283.86399999999998</v>
      </c>
      <c r="E262" s="69">
        <f t="shared" ref="E262:F262" si="554">E196*E$224</f>
        <v>350.04599999999999</v>
      </c>
      <c r="F262" s="69">
        <f t="shared" si="554"/>
        <v>340.334</v>
      </c>
      <c r="G262" s="69">
        <f t="shared" ref="G262" si="555">G196*G$224</f>
        <v>411.22500000000002</v>
      </c>
      <c r="H262" s="69">
        <f t="shared" ref="H262" si="556">H196*H$224</f>
        <v>419.11799999999999</v>
      </c>
      <c r="J262" s="226"/>
      <c r="K262" s="226"/>
      <c r="L262" s="226"/>
      <c r="M262" s="69">
        <f t="shared" ref="M262" si="557">M196*M$224</f>
        <v>254.96800000000016</v>
      </c>
      <c r="N262" s="69">
        <f t="shared" ref="N262:O264" si="558">N196*N$224</f>
        <v>291.25200000000001</v>
      </c>
      <c r="O262" s="69">
        <f t="shared" si="558"/>
        <v>235.59700000000001</v>
      </c>
      <c r="P262" s="69">
        <f t="shared" ref="P262:S262" si="559">P196*P$224</f>
        <v>231.91200000000001</v>
      </c>
      <c r="Q262" s="69">
        <f t="shared" si="559"/>
        <v>283.86399999999998</v>
      </c>
      <c r="R262" s="69">
        <f t="shared" si="559"/>
        <v>288.34799999999996</v>
      </c>
      <c r="S262" s="69">
        <f t="shared" si="559"/>
        <v>260.42199999999997</v>
      </c>
      <c r="T262" s="69">
        <f t="shared" ref="T262:W262" si="560">T196*T$224</f>
        <v>338.02499999999998</v>
      </c>
      <c r="U262" s="69">
        <f t="shared" si="560"/>
        <v>350.04599999999994</v>
      </c>
      <c r="V262" s="69">
        <f t="shared" si="560"/>
        <v>482.46499999999992</v>
      </c>
      <c r="W262" s="69">
        <f t="shared" si="560"/>
        <v>440.18499999999989</v>
      </c>
      <c r="X262" s="69">
        <f t="shared" ref="X262:AA262" si="561">X196*X$224</f>
        <v>498.09099999999989</v>
      </c>
      <c r="Y262" s="69">
        <f t="shared" si="561"/>
        <v>340.33399999999972</v>
      </c>
      <c r="Z262" s="69">
        <f t="shared" si="561"/>
        <v>386.36700000000002</v>
      </c>
      <c r="AA262" s="69">
        <f t="shared" si="561"/>
        <v>352.52799999999974</v>
      </c>
      <c r="AB262" s="69">
        <f t="shared" ref="AB262:AD262" si="562">AB196*AB$224</f>
        <v>455.642</v>
      </c>
      <c r="AC262" s="69">
        <f t="shared" si="562"/>
        <v>411.22500000000002</v>
      </c>
      <c r="AD262" s="69">
        <f t="shared" si="562"/>
        <v>419.11799999999999</v>
      </c>
    </row>
    <row r="263" spans="2:30" ht="13.5" customHeight="1">
      <c r="B263" s="1" t="s">
        <v>19</v>
      </c>
      <c r="C263" s="69">
        <f t="shared" ref="C263:D263" si="563">C197*C$224</f>
        <v>941.94900000000018</v>
      </c>
      <c r="D263" s="69">
        <f t="shared" si="563"/>
        <v>1473.8809999999999</v>
      </c>
      <c r="E263" s="69">
        <f t="shared" ref="E263:F263" si="564">E197*E$224</f>
        <v>1176.807</v>
      </c>
      <c r="F263" s="69">
        <f t="shared" si="564"/>
        <v>968.36599999999976</v>
      </c>
      <c r="G263" s="69">
        <f t="shared" ref="G263" si="565">G197*G$224</f>
        <v>1047.8269999999998</v>
      </c>
      <c r="H263" s="69">
        <f t="shared" ref="H263" si="566">H197*H$224</f>
        <v>1043.2190000000001</v>
      </c>
      <c r="J263" s="226"/>
      <c r="K263" s="226"/>
      <c r="L263" s="226"/>
      <c r="M263" s="69">
        <f t="shared" ref="M263" si="567">M197*M$224</f>
        <v>941.94899999999996</v>
      </c>
      <c r="N263" s="69">
        <f t="shared" si="558"/>
        <v>1009.039</v>
      </c>
      <c r="O263" s="69">
        <f t="shared" si="558"/>
        <v>1109.2380000000001</v>
      </c>
      <c r="P263" s="69">
        <f t="shared" ref="P263:S263" si="568">P197*P$224</f>
        <v>1385.056</v>
      </c>
      <c r="Q263" s="69">
        <f t="shared" si="568"/>
        <v>1473.8809999999999</v>
      </c>
      <c r="R263" s="69">
        <f t="shared" si="568"/>
        <v>1372.3980000000004</v>
      </c>
      <c r="S263" s="69">
        <f t="shared" si="568"/>
        <v>1496.644</v>
      </c>
      <c r="T263" s="69">
        <f t="shared" ref="T263:W263" si="569">T197*T$224</f>
        <v>1277.6120000000001</v>
      </c>
      <c r="U263" s="69">
        <f t="shared" si="569"/>
        <v>1176.8070000000002</v>
      </c>
      <c r="V263" s="69">
        <f t="shared" si="569"/>
        <v>1049.6190000000001</v>
      </c>
      <c r="W263" s="69">
        <f t="shared" si="569"/>
        <v>1056.7300000000002</v>
      </c>
      <c r="X263" s="69">
        <f t="shared" ref="X263:AA263" si="570">X197*X$224</f>
        <v>976.15800000000013</v>
      </c>
      <c r="Y263" s="69">
        <f t="shared" si="570"/>
        <v>968.3660000000001</v>
      </c>
      <c r="Z263" s="69">
        <f t="shared" si="570"/>
        <v>1033.2170000000001</v>
      </c>
      <c r="AA263" s="69">
        <f t="shared" si="570"/>
        <v>1091.6050000000005</v>
      </c>
      <c r="AB263" s="69">
        <f t="shared" ref="AB263:AD263" si="571">AB197*AB$224</f>
        <v>976.94399999999996</v>
      </c>
      <c r="AC263" s="69">
        <f t="shared" si="571"/>
        <v>1047.8269999999998</v>
      </c>
      <c r="AD263" s="69">
        <f t="shared" si="571"/>
        <v>1043.2190000000001</v>
      </c>
    </row>
    <row r="264" spans="2:30" ht="13.5" customHeight="1">
      <c r="B264" s="1" t="s">
        <v>290</v>
      </c>
      <c r="C264" s="69">
        <f t="shared" ref="C264:D264" si="572">C198*C$224</f>
        <v>1196.9170000000001</v>
      </c>
      <c r="D264" s="69">
        <f t="shared" si="572"/>
        <v>1757.7449999999999</v>
      </c>
      <c r="E264" s="69">
        <f t="shared" ref="E264:F264" si="573">E198*E$224</f>
        <v>1526.8530000000001</v>
      </c>
      <c r="F264" s="69">
        <f t="shared" si="573"/>
        <v>1308.6999999999998</v>
      </c>
      <c r="G264" s="69">
        <f t="shared" ref="G264" si="574">G198*G$224</f>
        <v>1459.0519999999999</v>
      </c>
      <c r="H264" s="69">
        <f t="shared" ref="H264" si="575">H198*H$224</f>
        <v>1462.337</v>
      </c>
      <c r="J264" s="226"/>
      <c r="K264" s="226"/>
      <c r="L264" s="226"/>
      <c r="M264" s="69">
        <f t="shared" ref="M264" si="576">M198*M$224</f>
        <v>1196.9170000000001</v>
      </c>
      <c r="N264" s="69">
        <f t="shared" si="558"/>
        <v>1300.2909999999999</v>
      </c>
      <c r="O264" s="69">
        <f t="shared" si="558"/>
        <v>1344.835</v>
      </c>
      <c r="P264" s="69">
        <f t="shared" ref="P264:S264" si="577">P198*P$224</f>
        <v>1616.9680000000001</v>
      </c>
      <c r="Q264" s="69">
        <f t="shared" si="577"/>
        <v>1757.7449999999999</v>
      </c>
      <c r="R264" s="69">
        <f t="shared" si="577"/>
        <v>1660.7460000000003</v>
      </c>
      <c r="S264" s="69">
        <f t="shared" si="577"/>
        <v>1757.066</v>
      </c>
      <c r="T264" s="69">
        <f t="shared" ref="T264:W264" si="578">T198*T$224</f>
        <v>1615.6370000000002</v>
      </c>
      <c r="U264" s="69">
        <f t="shared" si="578"/>
        <v>1526.8530000000001</v>
      </c>
      <c r="V264" s="69">
        <f t="shared" si="578"/>
        <v>1532.0840000000001</v>
      </c>
      <c r="W264" s="69">
        <f t="shared" si="578"/>
        <v>1496.9150000000002</v>
      </c>
      <c r="X264" s="69">
        <f t="shared" ref="X264:AA264" si="579">X198*X$224</f>
        <v>1474.249</v>
      </c>
      <c r="Y264" s="69">
        <f t="shared" si="579"/>
        <v>1308.6999999999998</v>
      </c>
      <c r="Z264" s="69">
        <f t="shared" si="579"/>
        <v>1419.5840000000001</v>
      </c>
      <c r="AA264" s="69">
        <f t="shared" si="579"/>
        <v>1444.1330000000003</v>
      </c>
      <c r="AB264" s="69">
        <f t="shared" ref="AB264:AD264" si="580">AB198*AB$224</f>
        <v>1432.586</v>
      </c>
      <c r="AC264" s="69">
        <f t="shared" si="580"/>
        <v>1459.0519999999999</v>
      </c>
      <c r="AD264" s="69">
        <f t="shared" si="580"/>
        <v>1462.337</v>
      </c>
    </row>
    <row r="265" spans="2:30" ht="13.5" customHeight="1">
      <c r="C265" s="75"/>
      <c r="D265" s="75"/>
      <c r="E265" s="75"/>
      <c r="F265" s="75"/>
      <c r="G265" s="75"/>
      <c r="H265" s="75"/>
      <c r="J265"/>
      <c r="K265"/>
      <c r="L26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</row>
    <row r="266" spans="2:30" s="5" customFormat="1" ht="13.5" customHeight="1">
      <c r="B266" s="5" t="s">
        <v>292</v>
      </c>
      <c r="C266" s="79">
        <f t="shared" ref="C266:D266" si="581">C200*C$224</f>
        <v>941.94900000000018</v>
      </c>
      <c r="D266" s="79">
        <f t="shared" si="581"/>
        <v>1473.8809999999999</v>
      </c>
      <c r="E266" s="79">
        <f t="shared" ref="E266:F266" si="582">E200*E$224</f>
        <v>1176.807</v>
      </c>
      <c r="F266" s="79">
        <f t="shared" si="582"/>
        <v>968.36599999999976</v>
      </c>
      <c r="G266" s="79">
        <f t="shared" ref="G266" si="583">G200*G$224</f>
        <v>1047.8269999999998</v>
      </c>
      <c r="H266" s="79">
        <f t="shared" ref="H266" si="584">H200*H$224</f>
        <v>1043.2190000000001</v>
      </c>
      <c r="J266" s="278"/>
      <c r="K266" s="278"/>
      <c r="L266" s="278"/>
      <c r="M266" s="79">
        <f t="shared" ref="M266:P267" si="585">M200*M$224</f>
        <v>941.94899999999996</v>
      </c>
      <c r="N266" s="79">
        <f t="shared" si="585"/>
        <v>1009.039</v>
      </c>
      <c r="O266" s="79">
        <f t="shared" si="585"/>
        <v>1109.2380000000001</v>
      </c>
      <c r="P266" s="79">
        <f t="shared" si="585"/>
        <v>1385.056</v>
      </c>
      <c r="Q266" s="79">
        <f t="shared" ref="Q266:T266" si="586">Q200*Q$224</f>
        <v>1473.8809999999999</v>
      </c>
      <c r="R266" s="79">
        <f t="shared" si="586"/>
        <v>1372.3980000000004</v>
      </c>
      <c r="S266" s="79">
        <f t="shared" si="586"/>
        <v>1496.644</v>
      </c>
      <c r="T266" s="79">
        <f t="shared" si="586"/>
        <v>1277.6120000000001</v>
      </c>
      <c r="U266" s="79">
        <f t="shared" ref="U266:W266" si="587">U200*U$224</f>
        <v>1176.8070000000002</v>
      </c>
      <c r="V266" s="79">
        <f t="shared" si="587"/>
        <v>1049.6190000000001</v>
      </c>
      <c r="W266" s="79">
        <f t="shared" si="587"/>
        <v>1056.7300000000002</v>
      </c>
      <c r="X266" s="79">
        <f t="shared" ref="X266:AA266" si="588">X200*X$224</f>
        <v>976.15800000000013</v>
      </c>
      <c r="Y266" s="79">
        <f t="shared" si="588"/>
        <v>968.3660000000001</v>
      </c>
      <c r="Z266" s="79">
        <f t="shared" si="588"/>
        <v>1033.2170000000001</v>
      </c>
      <c r="AA266" s="79">
        <f t="shared" si="588"/>
        <v>1091.6050000000005</v>
      </c>
      <c r="AB266" s="79">
        <f t="shared" ref="AB266:AD266" si="589">AB200*AB$224</f>
        <v>976.94399999999996</v>
      </c>
      <c r="AC266" s="79">
        <f t="shared" si="589"/>
        <v>1047.8269999999998</v>
      </c>
      <c r="AD266" s="79">
        <f t="shared" si="589"/>
        <v>1043.2190000000001</v>
      </c>
    </row>
    <row r="267" spans="2:30" ht="13.5" customHeight="1">
      <c r="B267" s="1" t="s">
        <v>293</v>
      </c>
      <c r="C267" s="69">
        <f t="shared" ref="C267:D267" si="590">C201*C$224</f>
        <v>1196.9170000000001</v>
      </c>
      <c r="D267" s="69">
        <f t="shared" si="590"/>
        <v>1757.7449999999999</v>
      </c>
      <c r="E267" s="69">
        <f t="shared" ref="E267:F267" si="591">E201*E$224</f>
        <v>1526.8530000000001</v>
      </c>
      <c r="F267" s="69">
        <f t="shared" si="591"/>
        <v>1308.6999999999998</v>
      </c>
      <c r="G267" s="69">
        <f t="shared" ref="G267" si="592">G201*G$224</f>
        <v>1459.0519999999999</v>
      </c>
      <c r="H267" s="69">
        <f t="shared" ref="H267" si="593">H201*H$224</f>
        <v>1462.337</v>
      </c>
      <c r="J267" s="226"/>
      <c r="K267" s="226"/>
      <c r="L267" s="226"/>
      <c r="M267" s="69">
        <f t="shared" si="585"/>
        <v>1196.9170000000001</v>
      </c>
      <c r="N267" s="69">
        <f t="shared" si="585"/>
        <v>1300.2909999999999</v>
      </c>
      <c r="O267" s="69">
        <f t="shared" si="585"/>
        <v>1344.835</v>
      </c>
      <c r="P267" s="69">
        <f t="shared" si="585"/>
        <v>1616.9680000000001</v>
      </c>
      <c r="Q267" s="69">
        <f t="shared" ref="Q267:T267" si="594">Q201*Q$224</f>
        <v>1757.7449999999999</v>
      </c>
      <c r="R267" s="69">
        <f t="shared" si="594"/>
        <v>1660.7460000000003</v>
      </c>
      <c r="S267" s="69">
        <f t="shared" si="594"/>
        <v>1757.066</v>
      </c>
      <c r="T267" s="69">
        <f t="shared" si="594"/>
        <v>1615.6370000000002</v>
      </c>
      <c r="U267" s="69">
        <f t="shared" ref="U267:W267" si="595">U201*U$224</f>
        <v>1526.8530000000001</v>
      </c>
      <c r="V267" s="69">
        <f t="shared" si="595"/>
        <v>1532.0840000000001</v>
      </c>
      <c r="W267" s="69">
        <f t="shared" si="595"/>
        <v>1496.9150000000002</v>
      </c>
      <c r="X267" s="69">
        <f t="shared" ref="X267:AA267" si="596">X201*X$224</f>
        <v>1474.249</v>
      </c>
      <c r="Y267" s="69">
        <f t="shared" si="596"/>
        <v>1308.6999999999998</v>
      </c>
      <c r="Z267" s="69">
        <f t="shared" si="596"/>
        <v>1419.5840000000001</v>
      </c>
      <c r="AA267" s="69">
        <f t="shared" si="596"/>
        <v>1444.1330000000003</v>
      </c>
      <c r="AB267" s="69">
        <f t="shared" ref="AB267:AD267" si="597">AB201*AB$224</f>
        <v>1432.586</v>
      </c>
      <c r="AC267" s="69">
        <f t="shared" si="597"/>
        <v>1459.0519999999999</v>
      </c>
      <c r="AD267" s="69">
        <f t="shared" si="597"/>
        <v>1462.337</v>
      </c>
    </row>
    <row r="268" spans="2:30" ht="13.5" customHeight="1">
      <c r="J268" s="275"/>
      <c r="K268" s="275"/>
      <c r="L268" s="275"/>
      <c r="N268" s="51"/>
      <c r="R268" s="51"/>
      <c r="V268" s="51"/>
      <c r="Z268" s="51"/>
      <c r="AD268" s="51"/>
    </row>
    <row r="269" spans="2:30" s="5" customFormat="1" ht="13.5" customHeight="1">
      <c r="B269" s="5" t="s">
        <v>296</v>
      </c>
      <c r="C269" s="79">
        <f t="shared" ref="C269:D269" si="598">C203*C$224</f>
        <v>1261.0290000000002</v>
      </c>
      <c r="D269" s="79">
        <f t="shared" si="598"/>
        <v>1841.2929999999999</v>
      </c>
      <c r="E269" s="79">
        <f t="shared" ref="E269:F269" si="599">E203*E$224</f>
        <v>1541.664</v>
      </c>
      <c r="F269" s="79">
        <f t="shared" si="599"/>
        <v>1330.6559999999997</v>
      </c>
      <c r="G269" s="79">
        <f t="shared" ref="G269" si="600">G203*G$224</f>
        <v>1437.2639999999997</v>
      </c>
      <c r="H269" s="79">
        <f>H203*H$224</f>
        <v>1440.742</v>
      </c>
      <c r="J269" s="278"/>
      <c r="K269" s="278"/>
      <c r="L269" s="278"/>
      <c r="M269" s="79">
        <f t="shared" ref="M269:P270" si="601">M203*M$224</f>
        <v>1261.029</v>
      </c>
      <c r="N269" s="79">
        <f t="shared" si="601"/>
        <v>1349.0630000000001</v>
      </c>
      <c r="O269" s="79">
        <f t="shared" si="601"/>
        <v>1473.758</v>
      </c>
      <c r="P269" s="79">
        <f t="shared" si="601"/>
        <v>1746.3110000000001</v>
      </c>
      <c r="Q269" s="79">
        <f t="shared" ref="Q269:T269" si="602">Q203*Q$224</f>
        <v>1841.2929999999999</v>
      </c>
      <c r="R269" s="79">
        <f t="shared" si="602"/>
        <v>1734.6130000000003</v>
      </c>
      <c r="S269" s="79">
        <f t="shared" si="602"/>
        <v>1859.549</v>
      </c>
      <c r="T269" s="79">
        <f t="shared" si="602"/>
        <v>1646.098</v>
      </c>
      <c r="U269" s="79">
        <f t="shared" ref="U269:W269" si="603">U203*U$224</f>
        <v>1541.6640000000002</v>
      </c>
      <c r="V269" s="79">
        <f t="shared" si="603"/>
        <v>1415.3500000000001</v>
      </c>
      <c r="W269" s="79">
        <f t="shared" si="603"/>
        <v>1427.5060000000003</v>
      </c>
      <c r="X269" s="79">
        <f t="shared" ref="X269:AA269" si="604">X203*X$224</f>
        <v>1343.482</v>
      </c>
      <c r="Y269" s="79">
        <f t="shared" si="604"/>
        <v>1330.6559999999999</v>
      </c>
      <c r="Z269" s="79">
        <f t="shared" si="604"/>
        <v>1419.5210000000002</v>
      </c>
      <c r="AA269" s="79">
        <f t="shared" si="604"/>
        <v>1484.6560000000004</v>
      </c>
      <c r="AB269" s="79">
        <f t="shared" ref="AB269:AD269" si="605">AB203*AB$224</f>
        <v>1366.338</v>
      </c>
      <c r="AC269" s="79">
        <f t="shared" si="605"/>
        <v>1437.2639999999997</v>
      </c>
      <c r="AD269" s="79">
        <f t="shared" si="605"/>
        <v>1440.742</v>
      </c>
    </row>
    <row r="270" spans="2:30" ht="13.5" customHeight="1">
      <c r="B270" s="1" t="s">
        <v>297</v>
      </c>
      <c r="C270" s="69">
        <f t="shared" ref="C270:D270" si="606">C204*C$224</f>
        <v>1515.9970000000001</v>
      </c>
      <c r="D270" s="69">
        <f t="shared" si="606"/>
        <v>2125.1570000000002</v>
      </c>
      <c r="E270" s="69">
        <f t="shared" ref="E270:F270" si="607">E204*E$224</f>
        <v>1891.71</v>
      </c>
      <c r="F270" s="69">
        <f t="shared" si="607"/>
        <v>1670.9899999999998</v>
      </c>
      <c r="G270" s="69">
        <f t="shared" ref="G270" si="608">G204*G$224</f>
        <v>1848.4889999999998</v>
      </c>
      <c r="H270" s="69">
        <f t="shared" ref="H270" si="609">H204*H$224</f>
        <v>1859.86</v>
      </c>
      <c r="J270" s="226"/>
      <c r="K270" s="226"/>
      <c r="L270" s="226"/>
      <c r="M270" s="69">
        <f t="shared" si="601"/>
        <v>1515.9970000000001</v>
      </c>
      <c r="N270" s="69">
        <f t="shared" si="601"/>
        <v>1640.3150000000001</v>
      </c>
      <c r="O270" s="69">
        <f t="shared" si="601"/>
        <v>1709.355</v>
      </c>
      <c r="P270" s="69">
        <f t="shared" si="601"/>
        <v>1978.223</v>
      </c>
      <c r="Q270" s="69">
        <f t="shared" ref="Q270:T270" si="610">Q204*Q$224</f>
        <v>2125.1570000000002</v>
      </c>
      <c r="R270" s="69">
        <f t="shared" si="610"/>
        <v>2022.9610000000002</v>
      </c>
      <c r="S270" s="69">
        <f t="shared" si="610"/>
        <v>2119.971</v>
      </c>
      <c r="T270" s="69">
        <f t="shared" si="610"/>
        <v>1984.123</v>
      </c>
      <c r="U270" s="69">
        <f t="shared" ref="U270:W270" si="611">U204*U$224</f>
        <v>1891.71</v>
      </c>
      <c r="V270" s="69">
        <f t="shared" si="611"/>
        <v>1897.8150000000001</v>
      </c>
      <c r="W270" s="69">
        <f t="shared" si="611"/>
        <v>1867.6910000000003</v>
      </c>
      <c r="X270" s="69">
        <f t="shared" ref="X270:AA270" si="612">X204*X$224</f>
        <v>1841.5729999999999</v>
      </c>
      <c r="Y270" s="69">
        <f t="shared" si="612"/>
        <v>1670.9899999999998</v>
      </c>
      <c r="Z270" s="69">
        <f t="shared" si="612"/>
        <v>1805.8880000000001</v>
      </c>
      <c r="AA270" s="69">
        <f t="shared" si="612"/>
        <v>1837.1840000000002</v>
      </c>
      <c r="AB270" s="69">
        <f t="shared" ref="AB270:AD270" si="613">AB204*AB$224</f>
        <v>1821.98</v>
      </c>
      <c r="AC270" s="69">
        <f t="shared" si="613"/>
        <v>1848.4889999999998</v>
      </c>
      <c r="AD270" s="69">
        <f t="shared" si="613"/>
        <v>1859.86</v>
      </c>
    </row>
    <row r="271" spans="2:30" ht="13.5" customHeight="1">
      <c r="J271"/>
      <c r="K271"/>
      <c r="L271"/>
      <c r="N271" s="51"/>
      <c r="R271" s="51"/>
      <c r="V271" s="51"/>
      <c r="Z271" s="51"/>
      <c r="AD271" s="51"/>
    </row>
    <row r="272" spans="2:30" ht="13.5" customHeight="1">
      <c r="B272" s="1" t="s">
        <v>315</v>
      </c>
      <c r="C272" s="69">
        <f t="shared" ref="C272:H272" si="614">C206*AVERAGE(C$225:C$225)</f>
        <v>0</v>
      </c>
      <c r="D272" s="69">
        <f t="shared" si="614"/>
        <v>0</v>
      </c>
      <c r="E272" s="69">
        <f t="shared" si="614"/>
        <v>0</v>
      </c>
      <c r="F272" s="69">
        <f t="shared" si="614"/>
        <v>0</v>
      </c>
      <c r="G272" s="69">
        <f t="shared" si="614"/>
        <v>0</v>
      </c>
      <c r="H272" s="69">
        <f t="shared" si="614"/>
        <v>0</v>
      </c>
      <c r="J272" s="226"/>
      <c r="K272" s="226"/>
      <c r="L272" s="226"/>
      <c r="M272" s="69">
        <f t="shared" ref="M272:R272" si="615">M206*AVERAGE(M$225:M$225)</f>
        <v>0</v>
      </c>
      <c r="N272" s="69">
        <f t="shared" si="615"/>
        <v>0</v>
      </c>
      <c r="O272" s="69">
        <f t="shared" si="615"/>
        <v>0</v>
      </c>
      <c r="P272" s="69">
        <f t="shared" si="615"/>
        <v>0</v>
      </c>
      <c r="Q272" s="69">
        <f t="shared" si="615"/>
        <v>0</v>
      </c>
      <c r="R272" s="69">
        <f t="shared" si="615"/>
        <v>0</v>
      </c>
      <c r="S272" s="69">
        <f t="shared" ref="S272:V272" si="616">S206*AVERAGE(S$225:S$225)</f>
        <v>0</v>
      </c>
      <c r="T272" s="69">
        <f t="shared" si="616"/>
        <v>0</v>
      </c>
      <c r="U272" s="69">
        <f t="shared" si="616"/>
        <v>0</v>
      </c>
      <c r="V272" s="69">
        <f t="shared" si="616"/>
        <v>0</v>
      </c>
      <c r="W272" s="69">
        <f t="shared" ref="W272:Z272" si="617">W206*AVERAGE(W$225:W$225)</f>
        <v>0</v>
      </c>
      <c r="X272" s="69">
        <f t="shared" si="617"/>
        <v>0</v>
      </c>
      <c r="Y272" s="69">
        <f t="shared" si="617"/>
        <v>0</v>
      </c>
      <c r="Z272" s="69">
        <f t="shared" si="617"/>
        <v>0</v>
      </c>
      <c r="AA272" s="69">
        <f t="shared" ref="AA272:AD272" si="618">AA206*AVERAGE(AA$225:AA$225)</f>
        <v>0</v>
      </c>
      <c r="AB272" s="69">
        <f t="shared" si="618"/>
        <v>0</v>
      </c>
      <c r="AC272" s="69">
        <f t="shared" si="618"/>
        <v>0</v>
      </c>
      <c r="AD272" s="69">
        <f t="shared" si="618"/>
        <v>0</v>
      </c>
    </row>
    <row r="273" spans="2:30" ht="13.5" customHeight="1">
      <c r="B273" s="1" t="s">
        <v>270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2:30" ht="13.5" customHeight="1">
      <c r="B274" s="1" t="s">
        <v>316</v>
      </c>
      <c r="C274" s="69">
        <f t="shared" ref="C274:H274" si="619">C208*AVERAGE(C$225:C$225)</f>
        <v>735.54000000000008</v>
      </c>
      <c r="D274" s="69">
        <f t="shared" si="619"/>
        <v>808.846</v>
      </c>
      <c r="E274" s="69">
        <f t="shared" si="619"/>
        <v>1006.2909999999996</v>
      </c>
      <c r="F274" s="69">
        <f t="shared" si="619"/>
        <v>1131.0999999999999</v>
      </c>
      <c r="G274" s="69">
        <f t="shared" si="619"/>
        <v>1136</v>
      </c>
      <c r="H274" s="69">
        <f t="shared" si="619"/>
        <v>1121.8999999999999</v>
      </c>
      <c r="J274" s="226"/>
      <c r="K274" s="226"/>
      <c r="L274" s="226"/>
      <c r="M274" s="69">
        <f t="shared" ref="M274:AC274" si="620">SUM(J237:M237)</f>
        <v>735.54000000000008</v>
      </c>
      <c r="N274" s="69">
        <f t="shared" si="620"/>
        <v>731.54000000000008</v>
      </c>
      <c r="O274" s="69">
        <f t="shared" si="620"/>
        <v>731.44000000000017</v>
      </c>
      <c r="P274" s="69">
        <f t="shared" si="620"/>
        <v>756.24000000000012</v>
      </c>
      <c r="Q274" s="69">
        <f t="shared" si="620"/>
        <v>808.846</v>
      </c>
      <c r="R274" s="69">
        <f t="shared" si="620"/>
        <v>854.54600000000005</v>
      </c>
      <c r="S274" s="69">
        <f t="shared" si="620"/>
        <v>911.94600000000003</v>
      </c>
      <c r="T274" s="69">
        <f t="shared" si="620"/>
        <v>982.44600000000003</v>
      </c>
      <c r="U274" s="69">
        <f t="shared" si="620"/>
        <v>1006.2909999999996</v>
      </c>
      <c r="V274" s="69">
        <f t="shared" si="620"/>
        <v>1060.0909999999994</v>
      </c>
      <c r="W274" s="69">
        <f t="shared" si="620"/>
        <v>1102.3909999999996</v>
      </c>
      <c r="X274" s="69">
        <f t="shared" si="620"/>
        <v>1111.8909999999996</v>
      </c>
      <c r="Y274" s="69">
        <f t="shared" si="620"/>
        <v>1131.0999999999999</v>
      </c>
      <c r="Z274" s="69">
        <f>SUM(W237:Z237)</f>
        <v>1142.6999999999998</v>
      </c>
      <c r="AA274" s="69">
        <f t="shared" si="620"/>
        <v>1146.0999999999999</v>
      </c>
      <c r="AB274" s="69">
        <f t="shared" si="620"/>
        <v>1150.8</v>
      </c>
      <c r="AC274" s="69">
        <f t="shared" si="620"/>
        <v>1136</v>
      </c>
      <c r="AD274" s="69">
        <f>SUM(AA237:AD237)</f>
        <v>1121.8999999999999</v>
      </c>
    </row>
    <row r="275" spans="2:30" ht="13.5" customHeight="1">
      <c r="J275" s="274"/>
      <c r="K275" s="274"/>
      <c r="L275" s="274"/>
      <c r="N275" s="75"/>
      <c r="R275" s="75"/>
      <c r="V275" s="75"/>
      <c r="Z275" s="75"/>
      <c r="AD275" s="75"/>
    </row>
    <row r="276" spans="2:30" s="5" customFormat="1" ht="13.5" customHeight="1">
      <c r="B276" s="5" t="str">
        <f>+B147</f>
        <v>Total Net Leverage</v>
      </c>
      <c r="C276" s="52">
        <f t="shared" ref="C276:F276" si="621">C263/C274</f>
        <v>1.2806223998694837</v>
      </c>
      <c r="D276" s="52">
        <f t="shared" si="621"/>
        <v>1.8222022486357103</v>
      </c>
      <c r="E276" s="52">
        <f t="shared" si="621"/>
        <v>1.1694499901122046</v>
      </c>
      <c r="F276" s="52">
        <f t="shared" si="621"/>
        <v>0.85612766333657486</v>
      </c>
      <c r="G276" s="52">
        <f t="shared" ref="G276" si="622">G263/G274</f>
        <v>0.92238292253521104</v>
      </c>
      <c r="H276" s="52">
        <f>H263/H274</f>
        <v>0.92986808093412976</v>
      </c>
      <c r="J276" s="226"/>
      <c r="K276" s="226"/>
      <c r="L276" s="224"/>
      <c r="M276" s="52">
        <f t="shared" ref="M276:Y276" si="623">M263/M274</f>
        <v>1.2806223998694835</v>
      </c>
      <c r="N276" s="52">
        <f t="shared" si="623"/>
        <v>1.379335374689012</v>
      </c>
      <c r="O276" s="52">
        <f t="shared" si="623"/>
        <v>1.516512632615115</v>
      </c>
      <c r="P276" s="52">
        <f t="shared" si="623"/>
        <v>1.831503226488945</v>
      </c>
      <c r="Q276" s="52">
        <f t="shared" si="623"/>
        <v>1.8222022486357103</v>
      </c>
      <c r="R276" s="52">
        <f t="shared" si="623"/>
        <v>1.6059966344702337</v>
      </c>
      <c r="S276" s="52">
        <f t="shared" si="623"/>
        <v>1.6411541911472829</v>
      </c>
      <c r="T276" s="52">
        <f t="shared" si="623"/>
        <v>1.3004399223977705</v>
      </c>
      <c r="U276" s="52">
        <f t="shared" si="623"/>
        <v>1.1694499901122049</v>
      </c>
      <c r="V276" s="52">
        <f t="shared" si="623"/>
        <v>0.99012160276806493</v>
      </c>
      <c r="W276" s="52">
        <f t="shared" si="623"/>
        <v>0.95858003194873742</v>
      </c>
      <c r="X276" s="52">
        <f t="shared" si="623"/>
        <v>0.87792598375200492</v>
      </c>
      <c r="Y276" s="52">
        <f t="shared" si="623"/>
        <v>0.8561276633365752</v>
      </c>
      <c r="Z276" s="52">
        <f>Z263/Z274</f>
        <v>0.90418920101513978</v>
      </c>
      <c r="AA276" s="52">
        <f t="shared" ref="AA276:AC276" si="624">AA263/AA274</f>
        <v>0.95245179303725724</v>
      </c>
      <c r="AB276" s="52">
        <f t="shared" si="624"/>
        <v>0.84892596454640246</v>
      </c>
      <c r="AC276" s="52">
        <f t="shared" si="624"/>
        <v>0.92238292253521104</v>
      </c>
      <c r="AD276" s="52">
        <f>AD263/AD274</f>
        <v>0.92986808093412976</v>
      </c>
    </row>
    <row r="277" spans="2:30" ht="12.75">
      <c r="B277" s="1" t="str">
        <f>+B148</f>
        <v xml:space="preserve">Total Gross Leverage </v>
      </c>
      <c r="C277" s="53">
        <f t="shared" ref="C277:F277" si="625">C264/C274</f>
        <v>1.6272629632650841</v>
      </c>
      <c r="D277" s="53">
        <f t="shared" si="625"/>
        <v>2.1731516258966477</v>
      </c>
      <c r="E277" s="53">
        <f t="shared" si="625"/>
        <v>1.5173076177765683</v>
      </c>
      <c r="F277" s="53">
        <f t="shared" si="625"/>
        <v>1.1570152948457253</v>
      </c>
      <c r="G277" s="53">
        <f t="shared" ref="G277" si="626">G264/G274</f>
        <v>1.2843767605633802</v>
      </c>
      <c r="H277" s="53">
        <f>H264/H274</f>
        <v>1.3034468312683842</v>
      </c>
      <c r="J277" s="226"/>
      <c r="K277" s="226"/>
      <c r="L277" s="225"/>
      <c r="M277" s="53">
        <f t="shared" ref="M277:Y277" si="627">M264/M274</f>
        <v>1.6272629632650841</v>
      </c>
      <c r="N277" s="53">
        <f t="shared" si="627"/>
        <v>1.7774708149930281</v>
      </c>
      <c r="O277" s="53">
        <f t="shared" si="627"/>
        <v>1.8386128732363554</v>
      </c>
      <c r="P277" s="53">
        <f t="shared" si="627"/>
        <v>2.138167777425156</v>
      </c>
      <c r="Q277" s="53">
        <f t="shared" si="627"/>
        <v>2.1731516258966477</v>
      </c>
      <c r="R277" s="53">
        <f t="shared" si="627"/>
        <v>1.9434249297287685</v>
      </c>
      <c r="S277" s="53">
        <f t="shared" si="627"/>
        <v>1.9267215383366998</v>
      </c>
      <c r="T277" s="53">
        <f t="shared" si="627"/>
        <v>1.6445046343514047</v>
      </c>
      <c r="U277" s="53">
        <f t="shared" si="627"/>
        <v>1.5173076177765683</v>
      </c>
      <c r="V277" s="53">
        <f t="shared" si="627"/>
        <v>1.4452381918156092</v>
      </c>
      <c r="W277" s="53">
        <f t="shared" si="627"/>
        <v>1.357880280227252</v>
      </c>
      <c r="X277" s="53">
        <f t="shared" si="627"/>
        <v>1.3258934553836668</v>
      </c>
      <c r="Y277" s="53">
        <f t="shared" si="627"/>
        <v>1.1570152948457253</v>
      </c>
      <c r="Z277" s="53">
        <f>Z264/Z274</f>
        <v>1.2423068171873635</v>
      </c>
      <c r="AA277" s="53">
        <f t="shared" ref="AA277:AC277" si="628">AA264/AA274</f>
        <v>1.2600410086379901</v>
      </c>
      <c r="AB277" s="53">
        <f t="shared" si="628"/>
        <v>1.244860966284324</v>
      </c>
      <c r="AC277" s="53">
        <f t="shared" si="628"/>
        <v>1.2843767605633802</v>
      </c>
      <c r="AD277" s="53">
        <f>AD264/AD274</f>
        <v>1.3034468312683842</v>
      </c>
    </row>
    <row r="278" spans="2:30" ht="12.75">
      <c r="J278"/>
      <c r="K278"/>
      <c r="L278"/>
      <c r="M278" s="96"/>
      <c r="N278" s="96"/>
      <c r="O278" s="96"/>
      <c r="P278" s="96"/>
      <c r="Q278" s="96"/>
      <c r="R278" s="96"/>
      <c r="S278" s="96"/>
      <c r="T278" s="96"/>
      <c r="U278" s="96"/>
      <c r="V278" s="96"/>
      <c r="W278" s="96"/>
      <c r="X278" s="96"/>
      <c r="Y278" s="96"/>
      <c r="Z278" s="96"/>
      <c r="AA278" s="96"/>
      <c r="AB278" s="96"/>
      <c r="AC278" s="96"/>
      <c r="AD278" s="96"/>
    </row>
    <row r="279" spans="2:30" ht="12.75">
      <c r="B279" s="5" t="str">
        <f>B150</f>
        <v>Total Net Leverage- including finance leases</v>
      </c>
      <c r="C279" s="52">
        <f t="shared" ref="C279:F279" si="629">C266/C274</f>
        <v>1.2806223998694837</v>
      </c>
      <c r="D279" s="52">
        <f t="shared" si="629"/>
        <v>1.8222022486357103</v>
      </c>
      <c r="E279" s="52">
        <f t="shared" si="629"/>
        <v>1.1694499901122046</v>
      </c>
      <c r="F279" s="52">
        <f t="shared" si="629"/>
        <v>0.85612766333657486</v>
      </c>
      <c r="G279" s="52">
        <f t="shared" ref="G279" si="630">G266/G274</f>
        <v>0.92238292253521104</v>
      </c>
      <c r="H279" s="52">
        <f>H266/H274</f>
        <v>0.92986808093412976</v>
      </c>
      <c r="J279" s="226"/>
      <c r="K279" s="226"/>
      <c r="L279" s="224"/>
      <c r="M279" s="52">
        <f t="shared" ref="M279:Y279" si="631">M266/M274</f>
        <v>1.2806223998694835</v>
      </c>
      <c r="N279" s="52">
        <f t="shared" si="631"/>
        <v>1.379335374689012</v>
      </c>
      <c r="O279" s="52">
        <f t="shared" si="631"/>
        <v>1.516512632615115</v>
      </c>
      <c r="P279" s="52">
        <f t="shared" si="631"/>
        <v>1.831503226488945</v>
      </c>
      <c r="Q279" s="52">
        <f t="shared" si="631"/>
        <v>1.8222022486357103</v>
      </c>
      <c r="R279" s="52">
        <f t="shared" si="631"/>
        <v>1.6059966344702337</v>
      </c>
      <c r="S279" s="52">
        <f t="shared" si="631"/>
        <v>1.6411541911472829</v>
      </c>
      <c r="T279" s="52">
        <f t="shared" si="631"/>
        <v>1.3004399223977705</v>
      </c>
      <c r="U279" s="52">
        <f t="shared" si="631"/>
        <v>1.1694499901122049</v>
      </c>
      <c r="V279" s="52">
        <f t="shared" si="631"/>
        <v>0.99012160276806493</v>
      </c>
      <c r="W279" s="52">
        <f t="shared" si="631"/>
        <v>0.95858003194873742</v>
      </c>
      <c r="X279" s="52">
        <f t="shared" si="631"/>
        <v>0.87792598375200492</v>
      </c>
      <c r="Y279" s="52">
        <f t="shared" si="631"/>
        <v>0.8561276633365752</v>
      </c>
      <c r="Z279" s="52">
        <f>Z266/Z274</f>
        <v>0.90418920101513978</v>
      </c>
      <c r="AA279" s="52">
        <f t="shared" ref="AA279:AC279" si="632">AA266/AA274</f>
        <v>0.95245179303725724</v>
      </c>
      <c r="AB279" s="52">
        <f t="shared" si="632"/>
        <v>0.84892596454640246</v>
      </c>
      <c r="AC279" s="52">
        <f t="shared" si="632"/>
        <v>0.92238292253521104</v>
      </c>
      <c r="AD279" s="52">
        <f>AD266/AD274</f>
        <v>0.92986808093412976</v>
      </c>
    </row>
    <row r="280" spans="2:30" ht="12.75">
      <c r="B280" s="1" t="str">
        <f>B151</f>
        <v>Total Gross Leverage - including finance leases</v>
      </c>
      <c r="C280" s="53">
        <f t="shared" ref="C280:F280" si="633">C267/C274</f>
        <v>1.6272629632650841</v>
      </c>
      <c r="D280" s="53">
        <f t="shared" si="633"/>
        <v>2.1731516258966477</v>
      </c>
      <c r="E280" s="53">
        <f t="shared" si="633"/>
        <v>1.5173076177765683</v>
      </c>
      <c r="F280" s="53">
        <f t="shared" si="633"/>
        <v>1.1570152948457253</v>
      </c>
      <c r="G280" s="53">
        <f t="shared" ref="G280" si="634">G267/G274</f>
        <v>1.2843767605633802</v>
      </c>
      <c r="H280" s="53">
        <f>H267/H274</f>
        <v>1.3034468312683842</v>
      </c>
      <c r="J280" s="226"/>
      <c r="K280" s="226"/>
      <c r="L280" s="225"/>
      <c r="M280" s="53">
        <f t="shared" ref="M280:Y280" si="635">M267/M274</f>
        <v>1.6272629632650841</v>
      </c>
      <c r="N280" s="53">
        <f t="shared" si="635"/>
        <v>1.7774708149930281</v>
      </c>
      <c r="O280" s="53">
        <f t="shared" si="635"/>
        <v>1.8386128732363554</v>
      </c>
      <c r="P280" s="53">
        <f t="shared" si="635"/>
        <v>2.138167777425156</v>
      </c>
      <c r="Q280" s="53">
        <f t="shared" si="635"/>
        <v>2.1731516258966477</v>
      </c>
      <c r="R280" s="53">
        <f t="shared" si="635"/>
        <v>1.9434249297287685</v>
      </c>
      <c r="S280" s="53">
        <f t="shared" si="635"/>
        <v>1.9267215383366998</v>
      </c>
      <c r="T280" s="53">
        <f t="shared" si="635"/>
        <v>1.6445046343514047</v>
      </c>
      <c r="U280" s="53">
        <f t="shared" si="635"/>
        <v>1.5173076177765683</v>
      </c>
      <c r="V280" s="53">
        <f t="shared" si="635"/>
        <v>1.4452381918156092</v>
      </c>
      <c r="W280" s="53">
        <f t="shared" si="635"/>
        <v>1.357880280227252</v>
      </c>
      <c r="X280" s="53">
        <f t="shared" si="635"/>
        <v>1.3258934553836668</v>
      </c>
      <c r="Y280" s="53">
        <f t="shared" si="635"/>
        <v>1.1570152948457253</v>
      </c>
      <c r="Z280" s="53">
        <f>Z267/Z274</f>
        <v>1.2423068171873635</v>
      </c>
      <c r="AA280" s="53">
        <f t="shared" ref="AA280:AC280" si="636">AA267/AA274</f>
        <v>1.2600410086379901</v>
      </c>
      <c r="AB280" s="53">
        <f t="shared" si="636"/>
        <v>1.244860966284324</v>
      </c>
      <c r="AC280" s="53">
        <f t="shared" si="636"/>
        <v>1.2843767605633802</v>
      </c>
      <c r="AD280" s="53">
        <f>AD267/AD274</f>
        <v>1.3034468312683842</v>
      </c>
    </row>
    <row r="281" spans="2:30" ht="12.75">
      <c r="J281"/>
      <c r="K281"/>
      <c r="L281"/>
      <c r="N281" s="96"/>
      <c r="R281" s="96"/>
      <c r="V281" s="96"/>
      <c r="Z281" s="96"/>
      <c r="AD281" s="96"/>
    </row>
    <row r="282" spans="2:30" ht="12.75">
      <c r="B282" s="5" t="str">
        <f>B153</f>
        <v>Lease adjusted net leverage</v>
      </c>
      <c r="C282" s="52">
        <f t="shared" ref="C282:D282" si="637">C269/C$274</f>
        <v>1.7144261359001551</v>
      </c>
      <c r="D282" s="52">
        <f t="shared" si="637"/>
        <v>2.2764444653246723</v>
      </c>
      <c r="E282" s="52">
        <f t="shared" ref="E282:F282" si="638">E269/E$274</f>
        <v>1.5320260242812473</v>
      </c>
      <c r="F282" s="52">
        <f t="shared" si="638"/>
        <v>1.1764264874900539</v>
      </c>
      <c r="G282" s="52">
        <f t="shared" ref="G282" si="639">G269/G$274</f>
        <v>1.2651971830985913</v>
      </c>
      <c r="H282" s="52">
        <f>H269/H$274</f>
        <v>1.2841982351368215</v>
      </c>
      <c r="J282" s="224"/>
      <c r="K282" s="224"/>
      <c r="L282" s="224"/>
      <c r="M282" s="52">
        <f t="shared" ref="M282:M283" si="640">M269/M$274</f>
        <v>1.7144261359001549</v>
      </c>
      <c r="N282" s="52">
        <f t="shared" ref="N282:P283" si="641">N269/N$274</f>
        <v>1.8441411269376931</v>
      </c>
      <c r="O282" s="52">
        <f t="shared" si="641"/>
        <v>2.0148720332494801</v>
      </c>
      <c r="P282" s="52">
        <f t="shared" si="641"/>
        <v>2.3092021051518037</v>
      </c>
      <c r="Q282" s="52">
        <f t="shared" ref="Q282:T282" si="642">Q269/Q$274</f>
        <v>2.2764444653246723</v>
      </c>
      <c r="R282" s="52">
        <f t="shared" si="642"/>
        <v>2.0298649809372464</v>
      </c>
      <c r="S282" s="52">
        <f t="shared" si="642"/>
        <v>2.0390999028451247</v>
      </c>
      <c r="T282" s="52">
        <f t="shared" si="642"/>
        <v>1.6755099007986189</v>
      </c>
      <c r="U282" s="52">
        <f t="shared" ref="U282:W282" si="643">U269/U$274</f>
        <v>1.5320260242812476</v>
      </c>
      <c r="V282" s="52">
        <f t="shared" si="643"/>
        <v>1.3351212301585438</v>
      </c>
      <c r="W282" s="52">
        <f t="shared" si="643"/>
        <v>1.2949180463193193</v>
      </c>
      <c r="X282" s="52">
        <f t="shared" ref="X282:AA282" si="644">X269/X$274</f>
        <v>1.2082857042641773</v>
      </c>
      <c r="Y282" s="52">
        <f t="shared" si="644"/>
        <v>1.1764264874900541</v>
      </c>
      <c r="Z282" s="52">
        <f t="shared" si="644"/>
        <v>1.2422516846066338</v>
      </c>
      <c r="AA282" s="52">
        <f t="shared" si="644"/>
        <v>1.2953983073030282</v>
      </c>
      <c r="AB282" s="52">
        <f>AB269/AB$274</f>
        <v>1.1872940563086549</v>
      </c>
      <c r="AC282" s="52">
        <f t="shared" ref="AC282:AD282" si="645">AC269/AC$274</f>
        <v>1.2651971830985913</v>
      </c>
      <c r="AD282" s="52">
        <f t="shared" si="645"/>
        <v>1.2841982351368215</v>
      </c>
    </row>
    <row r="283" spans="2:30" ht="12.75">
      <c r="B283" s="1" t="str">
        <f>B154</f>
        <v>Lease adjusted gross leverage</v>
      </c>
      <c r="C283" s="53">
        <f t="shared" ref="C283:D283" si="646">C270/C$274</f>
        <v>2.0610666992957554</v>
      </c>
      <c r="D283" s="53">
        <f t="shared" si="646"/>
        <v>2.6273938425856098</v>
      </c>
      <c r="E283" s="53">
        <f t="shared" ref="E283:F283" si="647">E270/E$274</f>
        <v>1.879883651945611</v>
      </c>
      <c r="F283" s="53">
        <f t="shared" si="647"/>
        <v>1.4773141189992043</v>
      </c>
      <c r="G283" s="53">
        <f t="shared" ref="G283" si="648">G270/G$274</f>
        <v>1.6271910211267604</v>
      </c>
      <c r="H283" s="53">
        <f t="shared" ref="H283" si="649">H270/H$274</f>
        <v>1.657776985471076</v>
      </c>
      <c r="J283" s="225"/>
      <c r="K283" s="225"/>
      <c r="L283" s="225"/>
      <c r="M283" s="53">
        <f t="shared" si="640"/>
        <v>2.0610666992957554</v>
      </c>
      <c r="N283" s="53">
        <f t="shared" si="641"/>
        <v>2.2422765672417091</v>
      </c>
      <c r="O283" s="53">
        <f t="shared" si="641"/>
        <v>2.3369722738707202</v>
      </c>
      <c r="P283" s="53">
        <f t="shared" si="641"/>
        <v>2.6158666560880137</v>
      </c>
      <c r="Q283" s="53">
        <f t="shared" ref="Q283:T283" si="650">Q270/Q$274</f>
        <v>2.6273938425856098</v>
      </c>
      <c r="R283" s="53">
        <f t="shared" si="650"/>
        <v>2.3672932761957814</v>
      </c>
      <c r="S283" s="53">
        <f t="shared" si="650"/>
        <v>2.3246672500345413</v>
      </c>
      <c r="T283" s="53">
        <f t="shared" si="650"/>
        <v>2.0195746127522529</v>
      </c>
      <c r="U283" s="53">
        <f t="shared" ref="U283:W283" si="651">U270/U$274</f>
        <v>1.879883651945611</v>
      </c>
      <c r="V283" s="53">
        <f t="shared" si="651"/>
        <v>1.7902378192060879</v>
      </c>
      <c r="W283" s="53">
        <f t="shared" si="651"/>
        <v>1.6942182945978341</v>
      </c>
      <c r="X283" s="53">
        <f t="shared" ref="X283:AA283" si="652">X270/X$274</f>
        <v>1.6562531758958392</v>
      </c>
      <c r="Y283" s="53">
        <f t="shared" si="652"/>
        <v>1.4773141189992043</v>
      </c>
      <c r="Z283" s="53">
        <f t="shared" si="652"/>
        <v>1.5803693007788575</v>
      </c>
      <c r="AA283" s="53">
        <f t="shared" si="652"/>
        <v>1.6029875229037609</v>
      </c>
      <c r="AB283" s="53">
        <f t="shared" ref="AB283:AD283" si="653">AB270/AB$274</f>
        <v>1.5832290580465764</v>
      </c>
      <c r="AC283" s="53">
        <f t="shared" si="653"/>
        <v>1.6271910211267604</v>
      </c>
      <c r="AD283" s="53">
        <f t="shared" si="653"/>
        <v>1.657776985471076</v>
      </c>
    </row>
    <row r="284" spans="2:30" ht="12.75">
      <c r="J284" s="96"/>
      <c r="K284" s="96"/>
      <c r="L284" s="96"/>
      <c r="N284" s="96"/>
      <c r="R284" s="96"/>
      <c r="V284" s="96"/>
      <c r="Z284" s="96"/>
      <c r="AD284" s="96"/>
    </row>
    <row r="285" spans="2:30" ht="12.75">
      <c r="B285" s="5" t="str">
        <f>B156</f>
        <v>Adjusted EBITDA - Capex / Interest</v>
      </c>
      <c r="C285" s="52">
        <f t="shared" ref="C285:F285" si="654">(C274+C246)/-C244</f>
        <v>9.848472529929472</v>
      </c>
      <c r="D285" s="52">
        <f t="shared" si="654"/>
        <v>6.816683103659674</v>
      </c>
      <c r="E285" s="52">
        <f t="shared" si="654"/>
        <v>6.4228864095412108</v>
      </c>
      <c r="F285" s="52">
        <f t="shared" si="654"/>
        <v>8.8711661807580153</v>
      </c>
      <c r="G285" s="52">
        <f t="shared" ref="G285" si="655">(G274+G246)/-G244</f>
        <v>7.8845773181802681</v>
      </c>
      <c r="H285" s="52">
        <f>(H274+H246)/-H244</f>
        <v>7.8842877262890312</v>
      </c>
      <c r="J285" s="224"/>
      <c r="K285" s="224"/>
      <c r="L285" s="224"/>
      <c r="M285" s="52">
        <f t="shared" ref="M285:AD285" si="656">(M274+SUM(J246:M246))/-SUM(J244:M244)</f>
        <v>9.848472529929472</v>
      </c>
      <c r="N285" s="52">
        <f t="shared" si="656"/>
        <v>9.5412077084240909</v>
      </c>
      <c r="O285" s="52">
        <f t="shared" si="656"/>
        <v>7.5461947956431938</v>
      </c>
      <c r="P285" s="52">
        <f t="shared" si="656"/>
        <v>7.5633053176784628</v>
      </c>
      <c r="Q285" s="52">
        <f t="shared" si="656"/>
        <v>6.816683103659674</v>
      </c>
      <c r="R285" s="52">
        <f t="shared" si="656"/>
        <v>6.1397408806642328</v>
      </c>
      <c r="S285" s="52">
        <f t="shared" si="656"/>
        <v>5.7921238511676965</v>
      </c>
      <c r="T285" s="52">
        <f t="shared" si="656"/>
        <v>6.0756956210087321</v>
      </c>
      <c r="U285" s="52">
        <f t="shared" si="656"/>
        <v>6.4228864095412108</v>
      </c>
      <c r="V285" s="52">
        <f t="shared" si="656"/>
        <v>7.1619771798939977</v>
      </c>
      <c r="W285" s="52">
        <f t="shared" si="656"/>
        <v>8.0690838568989971</v>
      </c>
      <c r="X285" s="52">
        <f t="shared" si="656"/>
        <v>8.5984746946557635</v>
      </c>
      <c r="Y285" s="52">
        <f t="shared" si="656"/>
        <v>8.8711661807580153</v>
      </c>
      <c r="Z285" s="52">
        <f t="shared" si="656"/>
        <v>9.5516985335065865</v>
      </c>
      <c r="AA285" s="52">
        <f t="shared" si="656"/>
        <v>9.2030354669297534</v>
      </c>
      <c r="AB285" s="52">
        <f>(AB274+SUM(Y246:AB246))/-SUM(Y244:AB244)</f>
        <v>8.5353590556344958</v>
      </c>
      <c r="AC285" s="52">
        <f t="shared" si="656"/>
        <v>7.8845773181802681</v>
      </c>
      <c r="AD285" s="52">
        <f t="shared" si="656"/>
        <v>7.8842877262890312</v>
      </c>
    </row>
    <row r="286" spans="2:30" ht="12.75">
      <c r="B286" s="1" t="str">
        <f>B157</f>
        <v>Adjusted EBITDA/Interest</v>
      </c>
      <c r="C286" s="53">
        <f t="shared" ref="C286:F286" si="657">C274/-C244</f>
        <v>14.950303867964799</v>
      </c>
      <c r="D286" s="53">
        <f t="shared" si="657"/>
        <v>10.779726523975796</v>
      </c>
      <c r="E286" s="53">
        <f t="shared" si="657"/>
        <v>8.0655557692924216</v>
      </c>
      <c r="F286" s="53">
        <f t="shared" si="657"/>
        <v>10.992225461613215</v>
      </c>
      <c r="G286" s="53">
        <f t="shared" ref="G286" si="658">G274/-G244</f>
        <v>9.692501962390363</v>
      </c>
      <c r="H286" s="53">
        <f>H274/-H244</f>
        <v>9.6346741781457172</v>
      </c>
      <c r="J286" s="225"/>
      <c r="K286" s="225"/>
      <c r="L286" s="225"/>
      <c r="M286" s="53">
        <f t="shared" ref="M286:AD286" si="659">M274/-SUM(J244:M244)</f>
        <v>14.950303867964799</v>
      </c>
      <c r="N286" s="53">
        <f t="shared" si="659"/>
        <v>15.174974588752674</v>
      </c>
      <c r="O286" s="53">
        <f t="shared" si="659"/>
        <v>12.808461457640181</v>
      </c>
      <c r="P286" s="53">
        <f t="shared" si="659"/>
        <v>12.015061724472126</v>
      </c>
      <c r="Q286" s="53">
        <f t="shared" si="659"/>
        <v>10.779726523975796</v>
      </c>
      <c r="R286" s="53">
        <f t="shared" si="659"/>
        <v>9.1198266845958464</v>
      </c>
      <c r="S286" s="53">
        <f t="shared" si="659"/>
        <v>8.290192085670391</v>
      </c>
      <c r="T286" s="53">
        <f t="shared" si="659"/>
        <v>8.0024599244102692</v>
      </c>
      <c r="U286" s="53">
        <f t="shared" si="659"/>
        <v>8.0655557692924216</v>
      </c>
      <c r="V286" s="53">
        <f t="shared" si="659"/>
        <v>8.9465195962596589</v>
      </c>
      <c r="W286" s="53">
        <f t="shared" si="659"/>
        <v>9.8521891449867258</v>
      </c>
      <c r="X286" s="53">
        <f t="shared" si="659"/>
        <v>10.494884186283574</v>
      </c>
      <c r="Y286" s="53">
        <f t="shared" si="659"/>
        <v>10.992225461613215</v>
      </c>
      <c r="Z286" s="53">
        <f t="shared" si="659"/>
        <v>11.784543035703233</v>
      </c>
      <c r="AA286" s="53">
        <f t="shared" si="659"/>
        <v>11.421367853548185</v>
      </c>
      <c r="AB286" s="53">
        <f>AB274/-SUM(Y244:AB244)</f>
        <v>10.48201989288447</v>
      </c>
      <c r="AC286" s="53">
        <f t="shared" si="659"/>
        <v>9.692501962390363</v>
      </c>
      <c r="AD286" s="53">
        <f t="shared" si="659"/>
        <v>9.6346741781457172</v>
      </c>
    </row>
    <row r="287" spans="2:30" ht="13.5" customHeight="1">
      <c r="J287"/>
      <c r="K287"/>
      <c r="L287"/>
      <c r="M287"/>
      <c r="N287" s="69"/>
      <c r="R287" s="69"/>
      <c r="V287" s="69"/>
      <c r="Z287" s="69"/>
      <c r="AD287" s="69"/>
    </row>
    <row r="288" spans="2:30" s="5" customFormat="1" ht="13.5" customHeight="1">
      <c r="B288" s="18"/>
      <c r="C288" s="18"/>
      <c r="D288" s="18"/>
      <c r="E288" s="18"/>
      <c r="F288" s="18"/>
      <c r="G288" s="18"/>
      <c r="H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</row>
    <row r="289" spans="2:30" s="5" customFormat="1" ht="13.5" customHeight="1"/>
    <row r="290" spans="2:30" ht="13.5" customHeight="1">
      <c r="C290" s="6"/>
      <c r="D290" s="6"/>
      <c r="E290" s="6"/>
      <c r="F290" s="6"/>
      <c r="G290" s="6"/>
      <c r="H290" s="6"/>
      <c r="L290" s="6"/>
    </row>
    <row r="291" spans="2:30" ht="13.5" customHeight="1">
      <c r="B291" s="16" t="s">
        <v>319</v>
      </c>
      <c r="C291" s="47">
        <f>+C3</f>
        <v>44531</v>
      </c>
      <c r="D291" s="47">
        <f>+D3</f>
        <v>44896</v>
      </c>
      <c r="E291" s="47">
        <f>+E3</f>
        <v>45261</v>
      </c>
      <c r="F291" s="47">
        <f>+F3</f>
        <v>45627</v>
      </c>
      <c r="G291" s="47">
        <f>+G3</f>
        <v>45992</v>
      </c>
      <c r="H291" s="47">
        <f>+H3</f>
        <v>46111</v>
      </c>
      <c r="J291" s="13">
        <f>+J3</f>
        <v>44285</v>
      </c>
      <c r="K291" s="14">
        <f>+K3</f>
        <v>44377</v>
      </c>
      <c r="L291" s="14">
        <f>+L3</f>
        <v>44469</v>
      </c>
      <c r="M291" s="47">
        <f>+M3</f>
        <v>44561</v>
      </c>
      <c r="N291" s="47">
        <f>+N3</f>
        <v>44650</v>
      </c>
      <c r="O291" s="47">
        <f>+O3</f>
        <v>44742</v>
      </c>
      <c r="P291" s="47">
        <f>+P3</f>
        <v>44834</v>
      </c>
      <c r="Q291" s="47">
        <f>+Q3</f>
        <v>44926</v>
      </c>
      <c r="R291" s="47">
        <f>+R3</f>
        <v>45015</v>
      </c>
      <c r="S291" s="47">
        <f>+S3</f>
        <v>45107</v>
      </c>
      <c r="T291" s="47">
        <f>+T3</f>
        <v>45199</v>
      </c>
      <c r="U291" s="47">
        <f>+U3</f>
        <v>45291</v>
      </c>
      <c r="V291" s="47">
        <f>+V3</f>
        <v>45381</v>
      </c>
      <c r="W291" s="47">
        <f>+W3</f>
        <v>45473</v>
      </c>
      <c r="X291" s="47">
        <f>+X3</f>
        <v>45565</v>
      </c>
      <c r="Y291" s="47">
        <f>+Y3</f>
        <v>45657</v>
      </c>
      <c r="Z291" s="47">
        <f>+Z3</f>
        <v>45746</v>
      </c>
      <c r="AA291" s="47">
        <f>+AA3</f>
        <v>45838</v>
      </c>
      <c r="AB291" s="47">
        <f>+AB3</f>
        <v>45930</v>
      </c>
      <c r="AC291" s="47">
        <f>+AC3</f>
        <v>46022</v>
      </c>
      <c r="AD291" s="47">
        <f>+AD3</f>
        <v>46111</v>
      </c>
    </row>
    <row r="292" spans="2:30" ht="13.5" customHeight="1">
      <c r="B292" s="1" t="str">
        <f t="shared" ref="B292:H292" si="660">B88</f>
        <v>Revenues</v>
      </c>
      <c r="C292" s="24">
        <f t="shared" si="660"/>
        <v>4623.5709999999999</v>
      </c>
      <c r="D292" s="24">
        <f t="shared" si="660"/>
        <v>5596.6210000000001</v>
      </c>
      <c r="E292" s="24">
        <f t="shared" si="660"/>
        <v>6576.23</v>
      </c>
      <c r="F292" s="24">
        <f t="shared" si="660"/>
        <v>6486.942</v>
      </c>
      <c r="G292" s="24">
        <f t="shared" si="660"/>
        <v>6374.6229999999996</v>
      </c>
      <c r="H292" s="24">
        <f t="shared" si="660"/>
        <v>6450.8419999999996</v>
      </c>
      <c r="J292" s="227"/>
      <c r="K292" s="227"/>
      <c r="L292" s="227"/>
      <c r="M292" s="24">
        <f t="shared" ref="M292:AC292" si="661">M88</f>
        <v>4623.5709999999999</v>
      </c>
      <c r="N292" s="24">
        <f t="shared" si="661"/>
        <v>4814.0819613348776</v>
      </c>
      <c r="O292" s="24">
        <f t="shared" si="661"/>
        <v>5023.4339613348784</v>
      </c>
      <c r="P292" s="24">
        <f t="shared" si="661"/>
        <v>5275.248961334878</v>
      </c>
      <c r="Q292" s="24">
        <f t="shared" si="661"/>
        <v>5596.6210000000001</v>
      </c>
      <c r="R292" s="24">
        <f t="shared" si="661"/>
        <v>5918.588999999999</v>
      </c>
      <c r="S292" s="24">
        <f t="shared" si="661"/>
        <v>6237.94</v>
      </c>
      <c r="T292" s="24">
        <f t="shared" si="661"/>
        <v>6492.9989999999998</v>
      </c>
      <c r="U292" s="24">
        <f t="shared" si="661"/>
        <v>6576.23</v>
      </c>
      <c r="V292" s="24">
        <f t="shared" si="661"/>
        <v>6637.9489999999996</v>
      </c>
      <c r="W292" s="24">
        <f t="shared" si="661"/>
        <v>6642.1080000000002</v>
      </c>
      <c r="X292" s="24">
        <f t="shared" si="661"/>
        <v>6571.7389999999996</v>
      </c>
      <c r="Y292" s="24">
        <f t="shared" si="661"/>
        <v>6486.942</v>
      </c>
      <c r="Z292" s="24">
        <f t="shared" si="661"/>
        <v>6388.1569999999992</v>
      </c>
      <c r="AA292" s="24">
        <f t="shared" si="661"/>
        <v>6327.98</v>
      </c>
      <c r="AB292" s="24">
        <f t="shared" si="661"/>
        <v>6340.1629999999996</v>
      </c>
      <c r="AC292" s="24">
        <f t="shared" si="661"/>
        <v>6374.6229999999996</v>
      </c>
      <c r="AD292" s="24">
        <f t="shared" ref="AD292" si="662">AD88</f>
        <v>6450.8419999999996</v>
      </c>
    </row>
    <row r="293" spans="2:30" ht="13.5" customHeight="1">
      <c r="B293" s="1" t="s">
        <v>315</v>
      </c>
      <c r="C293" s="227"/>
      <c r="D293" s="227"/>
      <c r="E293" s="369"/>
      <c r="F293" s="369"/>
      <c r="G293" s="369"/>
      <c r="H293" s="369"/>
      <c r="J293" s="227"/>
      <c r="K293" s="227"/>
      <c r="L293" s="227"/>
      <c r="M293" s="227"/>
      <c r="N293" s="227"/>
      <c r="O293" s="227"/>
      <c r="P293" s="227"/>
      <c r="Q293" s="227"/>
      <c r="R293" s="227"/>
      <c r="S293" s="227"/>
      <c r="T293" s="227"/>
      <c r="U293" s="227"/>
      <c r="V293" s="369"/>
      <c r="W293" s="369"/>
      <c r="X293" s="369"/>
      <c r="Y293" s="369"/>
      <c r="Z293" s="369"/>
      <c r="AA293" s="369"/>
      <c r="AB293" s="369"/>
      <c r="AC293" s="369"/>
      <c r="AD293" s="369"/>
    </row>
    <row r="294" spans="2:30" ht="13.5" customHeight="1">
      <c r="B294" s="1" t="s">
        <v>316</v>
      </c>
      <c r="C294" s="24">
        <f t="shared" ref="C294:H294" si="663">C91</f>
        <v>735.54000000000008</v>
      </c>
      <c r="D294" s="24">
        <f t="shared" si="663"/>
        <v>808.846</v>
      </c>
      <c r="E294" s="24">
        <f t="shared" si="663"/>
        <v>1006.2909999999996</v>
      </c>
      <c r="F294" s="24">
        <f t="shared" si="663"/>
        <v>1131.0999999999999</v>
      </c>
      <c r="G294" s="24">
        <f t="shared" si="663"/>
        <v>1136</v>
      </c>
      <c r="H294" s="24">
        <f t="shared" si="663"/>
        <v>1121.8999999999999</v>
      </c>
      <c r="J294" s="227"/>
      <c r="K294" s="227"/>
      <c r="L294" s="227"/>
      <c r="M294" s="24">
        <f t="shared" ref="M294:AC294" si="664">M91</f>
        <v>735.54000000000008</v>
      </c>
      <c r="N294" s="24">
        <f t="shared" si="664"/>
        <v>731.94554007718887</v>
      </c>
      <c r="O294" s="24">
        <f t="shared" si="664"/>
        <v>731.84554007718896</v>
      </c>
      <c r="P294" s="24">
        <f t="shared" si="664"/>
        <v>756.6455400771888</v>
      </c>
      <c r="Q294" s="24">
        <f t="shared" si="664"/>
        <v>808.846</v>
      </c>
      <c r="R294" s="24">
        <f t="shared" si="664"/>
        <v>854.54600000000005</v>
      </c>
      <c r="S294" s="24">
        <f t="shared" si="664"/>
        <v>911.94600000000003</v>
      </c>
      <c r="T294" s="24">
        <f t="shared" si="664"/>
        <v>982.44600000000003</v>
      </c>
      <c r="U294" s="24">
        <f t="shared" si="664"/>
        <v>1006.2909999999996</v>
      </c>
      <c r="V294" s="24">
        <f t="shared" si="664"/>
        <v>1060.0909999999994</v>
      </c>
      <c r="W294" s="24">
        <f t="shared" si="664"/>
        <v>1102.3909999999996</v>
      </c>
      <c r="X294" s="24">
        <f t="shared" si="664"/>
        <v>1111.8909999999996</v>
      </c>
      <c r="Y294" s="24">
        <f t="shared" si="664"/>
        <v>1131.0999999999999</v>
      </c>
      <c r="Z294" s="24">
        <f t="shared" si="664"/>
        <v>1142.6999999999998</v>
      </c>
      <c r="AA294" s="24">
        <f t="shared" si="664"/>
        <v>1146.0999999999999</v>
      </c>
      <c r="AB294" s="24">
        <f t="shared" si="664"/>
        <v>1150.8</v>
      </c>
      <c r="AC294" s="24">
        <f t="shared" si="664"/>
        <v>1136</v>
      </c>
      <c r="AD294" s="24">
        <f t="shared" ref="AD294" si="665">AD91</f>
        <v>1121.8999999999999</v>
      </c>
    </row>
    <row r="295" spans="2:30" ht="13.5" customHeight="1">
      <c r="B295" s="1" t="str">
        <f>B93</f>
        <v>Adjusted EBITDAR</v>
      </c>
      <c r="C295" s="227"/>
      <c r="D295" s="227"/>
      <c r="E295" s="369"/>
      <c r="F295" s="369"/>
      <c r="G295" s="369"/>
      <c r="H295" s="369"/>
      <c r="J295" s="227"/>
      <c r="K295" s="227"/>
      <c r="L295" s="227"/>
      <c r="M295" s="227"/>
      <c r="N295" s="227"/>
      <c r="O295" s="227"/>
      <c r="P295" s="227"/>
      <c r="Q295" s="227"/>
      <c r="R295" s="227"/>
      <c r="S295" s="227"/>
      <c r="T295" s="227"/>
      <c r="U295" s="227"/>
      <c r="V295" s="369"/>
      <c r="W295" s="369"/>
      <c r="X295" s="369"/>
      <c r="Y295" s="369"/>
      <c r="Z295" s="369"/>
      <c r="AA295" s="369"/>
      <c r="AB295" s="369"/>
      <c r="AC295" s="369"/>
      <c r="AD295" s="369"/>
    </row>
    <row r="296" spans="2:30" ht="13.5" customHeight="1">
      <c r="B296" s="1" t="s">
        <v>320</v>
      </c>
      <c r="C296" s="140">
        <f t="shared" ref="C296:H296" si="666">C294/C292</f>
        <v>0.15908482858811945</v>
      </c>
      <c r="D296" s="140">
        <f t="shared" si="666"/>
        <v>0.14452399045781375</v>
      </c>
      <c r="E296" s="140">
        <f t="shared" si="666"/>
        <v>0.15301943514749328</v>
      </c>
      <c r="F296" s="140">
        <f t="shared" si="666"/>
        <v>0.17436567183736187</v>
      </c>
      <c r="G296" s="140">
        <f t="shared" si="666"/>
        <v>0.17820661708151211</v>
      </c>
      <c r="H296" s="140">
        <f t="shared" si="666"/>
        <v>0.17391528113694305</v>
      </c>
      <c r="J296" s="279"/>
      <c r="K296" s="279"/>
      <c r="L296" s="279"/>
      <c r="M296" s="140">
        <f t="shared" ref="M296:R296" si="667">M294/M292</f>
        <v>0.15908482858811945</v>
      </c>
      <c r="N296" s="140">
        <f t="shared" si="667"/>
        <v>0.15204260042847934</v>
      </c>
      <c r="O296" s="140">
        <f t="shared" si="667"/>
        <v>0.14568630656044604</v>
      </c>
      <c r="P296" s="140">
        <f t="shared" si="667"/>
        <v>0.14343314327400447</v>
      </c>
      <c r="Q296" s="140">
        <f t="shared" si="667"/>
        <v>0.14452399045781375</v>
      </c>
      <c r="R296" s="140">
        <f t="shared" si="667"/>
        <v>0.14438339948930398</v>
      </c>
      <c r="S296" s="140">
        <f t="shared" ref="S296:V296" si="668">S294/S292</f>
        <v>0.14619345489055682</v>
      </c>
      <c r="T296" s="140">
        <f t="shared" si="668"/>
        <v>0.15130850936524093</v>
      </c>
      <c r="U296" s="140">
        <f t="shared" si="668"/>
        <v>0.15301943514749328</v>
      </c>
      <c r="V296" s="140">
        <f t="shared" si="668"/>
        <v>0.15970158854790834</v>
      </c>
      <c r="W296" s="140">
        <f t="shared" ref="W296:Z296" si="669">W294/W292</f>
        <v>0.16597005047192842</v>
      </c>
      <c r="X296" s="140">
        <f t="shared" si="669"/>
        <v>0.16919281182651955</v>
      </c>
      <c r="Y296" s="140">
        <f t="shared" si="669"/>
        <v>0.17436567183736187</v>
      </c>
      <c r="Z296" s="140">
        <f t="shared" si="669"/>
        <v>0.17887788293243262</v>
      </c>
      <c r="AA296" s="140">
        <f t="shared" ref="AA296:AD296" si="670">AA294/AA292</f>
        <v>0.1811162487871327</v>
      </c>
      <c r="AB296" s="140">
        <f t="shared" si="670"/>
        <v>0.18150952901368625</v>
      </c>
      <c r="AC296" s="140">
        <f t="shared" si="670"/>
        <v>0.17820661708151211</v>
      </c>
      <c r="AD296" s="140">
        <f t="shared" si="670"/>
        <v>0.17391528113694305</v>
      </c>
    </row>
    <row r="297" spans="2:30" ht="13.5" customHeight="1">
      <c r="B297" s="1" t="str">
        <f t="shared" ref="B297:H298" si="671">B94</f>
        <v>LTM Rent</v>
      </c>
      <c r="C297" s="24">
        <f t="shared" si="671"/>
        <v>0</v>
      </c>
      <c r="D297" s="24">
        <f t="shared" si="671"/>
        <v>0</v>
      </c>
      <c r="E297" s="24">
        <f t="shared" si="671"/>
        <v>0</v>
      </c>
      <c r="F297" s="24">
        <f t="shared" si="671"/>
        <v>0</v>
      </c>
      <c r="G297" s="24">
        <f t="shared" si="671"/>
        <v>0</v>
      </c>
      <c r="H297" s="24">
        <f t="shared" si="671"/>
        <v>0</v>
      </c>
      <c r="J297" s="227"/>
      <c r="K297" s="227"/>
      <c r="L297" s="227"/>
      <c r="M297" s="24">
        <f t="shared" ref="M297:AC297" si="672">M94</f>
        <v>0</v>
      </c>
      <c r="N297" s="24">
        <f t="shared" si="672"/>
        <v>0</v>
      </c>
      <c r="O297" s="24">
        <f t="shared" si="672"/>
        <v>0</v>
      </c>
      <c r="P297" s="24">
        <f t="shared" si="672"/>
        <v>0</v>
      </c>
      <c r="Q297" s="24">
        <f t="shared" si="672"/>
        <v>0</v>
      </c>
      <c r="R297" s="24">
        <f t="shared" si="672"/>
        <v>0</v>
      </c>
      <c r="S297" s="24">
        <f t="shared" si="672"/>
        <v>0</v>
      </c>
      <c r="T297" s="24">
        <f t="shared" si="672"/>
        <v>0</v>
      </c>
      <c r="U297" s="24">
        <f t="shared" si="672"/>
        <v>0</v>
      </c>
      <c r="V297" s="24">
        <f t="shared" si="672"/>
        <v>0</v>
      </c>
      <c r="W297" s="24">
        <f t="shared" si="672"/>
        <v>0</v>
      </c>
      <c r="X297" s="24">
        <f t="shared" si="672"/>
        <v>0</v>
      </c>
      <c r="Y297" s="24">
        <f t="shared" si="672"/>
        <v>0</v>
      </c>
      <c r="Z297" s="24">
        <f t="shared" si="672"/>
        <v>0</v>
      </c>
      <c r="AA297" s="24">
        <f t="shared" si="672"/>
        <v>0</v>
      </c>
      <c r="AB297" s="24">
        <f t="shared" si="672"/>
        <v>0</v>
      </c>
      <c r="AC297" s="24">
        <f t="shared" si="672"/>
        <v>0</v>
      </c>
      <c r="AD297" s="24">
        <f t="shared" ref="AD297" si="673">AD94</f>
        <v>0</v>
      </c>
    </row>
    <row r="298" spans="2:30" ht="13.5" customHeight="1">
      <c r="B298" s="1" t="str">
        <f t="shared" si="671"/>
        <v>Cash interest paid</v>
      </c>
      <c r="C298" s="24">
        <f t="shared" si="671"/>
        <v>49.198999999999998</v>
      </c>
      <c r="D298" s="24">
        <f t="shared" si="671"/>
        <v>75.034000000000006</v>
      </c>
      <c r="E298" s="24">
        <f t="shared" si="671"/>
        <v>124.764</v>
      </c>
      <c r="F298" s="24">
        <f t="shared" si="671"/>
        <v>102.9</v>
      </c>
      <c r="G298" s="24">
        <f t="shared" si="671"/>
        <v>117.20399999999999</v>
      </c>
      <c r="H298" s="24">
        <f t="shared" si="671"/>
        <v>116.44399999999999</v>
      </c>
      <c r="J298" s="227"/>
      <c r="K298" s="227"/>
      <c r="L298" s="227"/>
      <c r="M298" s="24">
        <f t="shared" ref="M298:AC298" si="674">M95</f>
        <v>49.198999999999998</v>
      </c>
      <c r="N298" s="24">
        <f t="shared" si="674"/>
        <v>48.965576245914995</v>
      </c>
      <c r="O298" s="24">
        <f t="shared" si="674"/>
        <v>57.864576245915003</v>
      </c>
      <c r="P298" s="24">
        <f t="shared" si="674"/>
        <v>63.699576245915004</v>
      </c>
      <c r="Q298" s="24">
        <f t="shared" si="674"/>
        <v>75.034000000000006</v>
      </c>
      <c r="R298" s="24">
        <f t="shared" si="674"/>
        <v>93.702000000000012</v>
      </c>
      <c r="S298" s="24">
        <f t="shared" si="674"/>
        <v>110.003</v>
      </c>
      <c r="T298" s="24">
        <f t="shared" si="674"/>
        <v>122.768</v>
      </c>
      <c r="U298" s="24">
        <f t="shared" si="674"/>
        <v>124.764</v>
      </c>
      <c r="V298" s="24">
        <f t="shared" si="674"/>
        <v>118.49199999999999</v>
      </c>
      <c r="W298" s="24">
        <f t="shared" si="674"/>
        <v>111.893</v>
      </c>
      <c r="X298" s="24">
        <f t="shared" si="674"/>
        <v>105.946</v>
      </c>
      <c r="Y298" s="24">
        <f t="shared" si="674"/>
        <v>102.9</v>
      </c>
      <c r="Z298" s="24">
        <f t="shared" si="674"/>
        <v>96.966000000000008</v>
      </c>
      <c r="AA298" s="24">
        <f t="shared" si="674"/>
        <v>100.34700000000001</v>
      </c>
      <c r="AB298" s="24">
        <f t="shared" si="674"/>
        <v>109.78799999999998</v>
      </c>
      <c r="AC298" s="24">
        <f t="shared" si="674"/>
        <v>117.20399999999999</v>
      </c>
      <c r="AD298" s="24">
        <f t="shared" ref="AD298" si="675">AD95</f>
        <v>116.44399999999999</v>
      </c>
    </row>
    <row r="299" spans="2:30" ht="13.5" customHeight="1">
      <c r="B299" s="1" t="str">
        <f t="shared" ref="B299:H300" si="676">B97</f>
        <v>Capex</v>
      </c>
      <c r="C299" s="24">
        <f t="shared" si="676"/>
        <v>251.005</v>
      </c>
      <c r="D299" s="24">
        <f t="shared" si="676"/>
        <v>297.363</v>
      </c>
      <c r="E299" s="24">
        <f t="shared" si="676"/>
        <v>204.946</v>
      </c>
      <c r="F299" s="24">
        <f t="shared" si="676"/>
        <v>218.25700000000001</v>
      </c>
      <c r="G299" s="24">
        <f t="shared" si="676"/>
        <v>211.89600000000002</v>
      </c>
      <c r="H299" s="24">
        <f t="shared" si="676"/>
        <v>203.82200000000003</v>
      </c>
      <c r="J299" s="227"/>
      <c r="K299" s="227"/>
      <c r="L299" s="227"/>
      <c r="M299" s="24">
        <f t="shared" ref="M299:AC299" si="677">M97</f>
        <v>251.005</v>
      </c>
      <c r="N299" s="24">
        <f t="shared" si="677"/>
        <v>271.72126718159501</v>
      </c>
      <c r="O299" s="24">
        <f t="shared" si="677"/>
        <v>300.64126718159503</v>
      </c>
      <c r="P299" s="24">
        <f t="shared" si="677"/>
        <v>280.33226718159506</v>
      </c>
      <c r="Q299" s="24">
        <f t="shared" si="677"/>
        <v>297.363</v>
      </c>
      <c r="R299" s="24">
        <f t="shared" si="677"/>
        <v>279.24</v>
      </c>
      <c r="S299" s="24">
        <f t="shared" si="677"/>
        <v>274.79500000000002</v>
      </c>
      <c r="T299" s="24">
        <f t="shared" si="677"/>
        <v>236.54499999999999</v>
      </c>
      <c r="U299" s="24">
        <f t="shared" si="677"/>
        <v>204.946</v>
      </c>
      <c r="V299" s="24">
        <f t="shared" si="677"/>
        <v>211.45400000000001</v>
      </c>
      <c r="W299" s="24">
        <f t="shared" si="677"/>
        <v>199.517</v>
      </c>
      <c r="X299" s="24">
        <f t="shared" si="677"/>
        <v>200.917</v>
      </c>
      <c r="Y299" s="24">
        <f t="shared" si="677"/>
        <v>218.25700000000001</v>
      </c>
      <c r="Z299" s="24">
        <f t="shared" si="677"/>
        <v>216.51</v>
      </c>
      <c r="AA299" s="24">
        <f t="shared" si="677"/>
        <v>222.60299999999998</v>
      </c>
      <c r="AB299" s="24">
        <f t="shared" si="677"/>
        <v>213.72</v>
      </c>
      <c r="AC299" s="24">
        <f t="shared" si="677"/>
        <v>211.89600000000002</v>
      </c>
      <c r="AD299" s="24">
        <f t="shared" ref="AD299" si="678">AD97</f>
        <v>203.82200000000003</v>
      </c>
    </row>
    <row r="300" spans="2:30" ht="13.5" customHeight="1">
      <c r="B300" s="1" t="str">
        <f t="shared" si="676"/>
        <v xml:space="preserve">Free cash flow </v>
      </c>
      <c r="C300" s="24">
        <f t="shared" si="676"/>
        <v>297.565</v>
      </c>
      <c r="D300" s="24">
        <f t="shared" si="676"/>
        <v>-75.970999999999947</v>
      </c>
      <c r="E300" s="24">
        <f t="shared" si="676"/>
        <v>430.98799999999954</v>
      </c>
      <c r="F300" s="24">
        <f t="shared" si="676"/>
        <v>561.03399999999999</v>
      </c>
      <c r="G300" s="24">
        <f t="shared" si="676"/>
        <v>465.83199999999982</v>
      </c>
      <c r="H300" s="24">
        <f t="shared" si="676"/>
        <v>508.46699999999987</v>
      </c>
      <c r="J300" s="227"/>
      <c r="K300" s="227"/>
      <c r="L300" s="227"/>
      <c r="M300" s="24">
        <f t="shared" ref="M300:AC300" si="679">M98</f>
        <v>297.56500000000017</v>
      </c>
      <c r="N300" s="24">
        <f t="shared" si="679"/>
        <v>223.34532915885677</v>
      </c>
      <c r="O300" s="24">
        <f t="shared" si="679"/>
        <v>39.905329158856787</v>
      </c>
      <c r="P300" s="24">
        <f t="shared" si="679"/>
        <v>-95.421670841143282</v>
      </c>
      <c r="Q300" s="24">
        <f t="shared" si="679"/>
        <v>-75.970999999999975</v>
      </c>
      <c r="R300" s="24">
        <f t="shared" si="679"/>
        <v>-86.183999999999997</v>
      </c>
      <c r="S300" s="24">
        <f t="shared" si="679"/>
        <v>-95.377000000000024</v>
      </c>
      <c r="T300" s="24">
        <f t="shared" si="679"/>
        <v>243.815</v>
      </c>
      <c r="U300" s="24">
        <f t="shared" si="679"/>
        <v>430.98799999999949</v>
      </c>
      <c r="V300" s="24">
        <f t="shared" si="679"/>
        <v>638.51899999999955</v>
      </c>
      <c r="W300" s="24">
        <f t="shared" si="679"/>
        <v>715.31799999999942</v>
      </c>
      <c r="X300" s="24">
        <f t="shared" si="679"/>
        <v>637.90499999999952</v>
      </c>
      <c r="Y300" s="24">
        <f t="shared" si="679"/>
        <v>561.03399999999976</v>
      </c>
      <c r="Z300" s="24">
        <f t="shared" si="679"/>
        <v>368.71099999999984</v>
      </c>
      <c r="AA300" s="24">
        <f t="shared" si="679"/>
        <v>410.35999999999979</v>
      </c>
      <c r="AB300" s="24">
        <f t="shared" si="679"/>
        <v>532.17399999999975</v>
      </c>
      <c r="AC300" s="24">
        <f t="shared" si="679"/>
        <v>465.83199999999982</v>
      </c>
      <c r="AD300" s="24">
        <f t="shared" ref="AD300" si="680">AD98</f>
        <v>508.46699999999976</v>
      </c>
    </row>
    <row r="301" spans="2:30" ht="13.5" customHeight="1">
      <c r="B301" s="1" t="s">
        <v>30</v>
      </c>
      <c r="C301" s="24">
        <f t="shared" ref="C301:H301" si="681">C119</f>
        <v>254.96799999999999</v>
      </c>
      <c r="D301" s="24">
        <f t="shared" si="681"/>
        <v>283.86399999999998</v>
      </c>
      <c r="E301" s="24">
        <f t="shared" si="681"/>
        <v>350.04599999999999</v>
      </c>
      <c r="F301" s="24">
        <f t="shared" si="681"/>
        <v>340.334</v>
      </c>
      <c r="G301" s="24">
        <f t="shared" si="681"/>
        <v>411.22500000000002</v>
      </c>
      <c r="H301" s="24">
        <f t="shared" si="681"/>
        <v>419.11799999999999</v>
      </c>
      <c r="J301" s="227"/>
      <c r="K301" s="227"/>
      <c r="L301" s="227"/>
      <c r="M301" s="24">
        <f t="shared" ref="M301:Z301" si="682">M119</f>
        <v>254.96800000000016</v>
      </c>
      <c r="N301" s="24">
        <f t="shared" si="682"/>
        <v>291.25200000000001</v>
      </c>
      <c r="O301" s="24">
        <f t="shared" si="682"/>
        <v>235.59700000000001</v>
      </c>
      <c r="P301" s="24">
        <f t="shared" si="682"/>
        <v>231.91200000000001</v>
      </c>
      <c r="Q301" s="24">
        <f t="shared" si="682"/>
        <v>283.86399999999998</v>
      </c>
      <c r="R301" s="24">
        <f t="shared" si="682"/>
        <v>288.34799999999996</v>
      </c>
      <c r="S301" s="24">
        <f t="shared" si="682"/>
        <v>260.42199999999997</v>
      </c>
      <c r="T301" s="24">
        <f t="shared" si="682"/>
        <v>338.02499999999998</v>
      </c>
      <c r="U301" s="24">
        <f t="shared" si="682"/>
        <v>350.04599999999994</v>
      </c>
      <c r="V301" s="24">
        <f t="shared" si="682"/>
        <v>482.46499999999992</v>
      </c>
      <c r="W301" s="24">
        <f t="shared" si="682"/>
        <v>440.18499999999989</v>
      </c>
      <c r="X301" s="24">
        <f t="shared" si="682"/>
        <v>498.09099999999989</v>
      </c>
      <c r="Y301" s="24">
        <f t="shared" si="682"/>
        <v>340.33399999999972</v>
      </c>
      <c r="Z301" s="24">
        <f t="shared" si="682"/>
        <v>386.36700000000002</v>
      </c>
      <c r="AA301" s="24">
        <f t="shared" ref="AA301:AD301" si="683">AA119</f>
        <v>352.52799999999974</v>
      </c>
      <c r="AB301" s="24">
        <f t="shared" si="683"/>
        <v>455.642</v>
      </c>
      <c r="AC301" s="24">
        <f t="shared" si="683"/>
        <v>411.22500000000002</v>
      </c>
      <c r="AD301" s="24">
        <f t="shared" si="683"/>
        <v>419.11799999999999</v>
      </c>
    </row>
    <row r="302" spans="2:30" ht="13.5" customHeight="1">
      <c r="B302" s="1" t="s">
        <v>321</v>
      </c>
      <c r="C302" s="24">
        <f t="shared" ref="C302:H302" si="684">C127</f>
        <v>1196.9170000000001</v>
      </c>
      <c r="D302" s="24">
        <f t="shared" si="684"/>
        <v>1757.7449999999999</v>
      </c>
      <c r="E302" s="24">
        <f t="shared" si="684"/>
        <v>1526.8530000000001</v>
      </c>
      <c r="F302" s="24">
        <f t="shared" si="684"/>
        <v>1308.6999999999998</v>
      </c>
      <c r="G302" s="24">
        <f t="shared" si="684"/>
        <v>1459.0519999999999</v>
      </c>
      <c r="H302" s="24">
        <f t="shared" si="684"/>
        <v>1462.337</v>
      </c>
      <c r="J302" s="227"/>
      <c r="K302" s="227"/>
      <c r="L302" s="227"/>
      <c r="M302" s="24">
        <f t="shared" ref="M302:Z302" si="685">M127</f>
        <v>1196.9170000000001</v>
      </c>
      <c r="N302" s="24">
        <f t="shared" si="685"/>
        <v>1300.2909999999999</v>
      </c>
      <c r="O302" s="24">
        <f t="shared" si="685"/>
        <v>1344.835</v>
      </c>
      <c r="P302" s="24">
        <f t="shared" si="685"/>
        <v>1616.9680000000001</v>
      </c>
      <c r="Q302" s="24">
        <f t="shared" si="685"/>
        <v>1757.7449999999999</v>
      </c>
      <c r="R302" s="24">
        <f t="shared" si="685"/>
        <v>1660.7460000000003</v>
      </c>
      <c r="S302" s="24">
        <f t="shared" si="685"/>
        <v>1757.066</v>
      </c>
      <c r="T302" s="24">
        <f t="shared" si="685"/>
        <v>1615.6370000000002</v>
      </c>
      <c r="U302" s="24">
        <f t="shared" si="685"/>
        <v>1526.8530000000001</v>
      </c>
      <c r="V302" s="24">
        <f t="shared" si="685"/>
        <v>1532.0840000000001</v>
      </c>
      <c r="W302" s="24">
        <f t="shared" si="685"/>
        <v>1496.9150000000002</v>
      </c>
      <c r="X302" s="24">
        <f t="shared" si="685"/>
        <v>1474.249</v>
      </c>
      <c r="Y302" s="24">
        <f t="shared" si="685"/>
        <v>1308.6999999999998</v>
      </c>
      <c r="Z302" s="24">
        <f t="shared" si="685"/>
        <v>1419.5840000000001</v>
      </c>
      <c r="AA302" s="24">
        <f t="shared" ref="AA302:AD302" si="686">AA127</f>
        <v>1444.1330000000003</v>
      </c>
      <c r="AB302" s="24">
        <f t="shared" si="686"/>
        <v>1432.586</v>
      </c>
      <c r="AC302" s="24">
        <f t="shared" si="686"/>
        <v>1459.0519999999999</v>
      </c>
      <c r="AD302" s="24">
        <f t="shared" si="686"/>
        <v>1462.337</v>
      </c>
    </row>
    <row r="303" spans="2:30" ht="13.5" customHeight="1">
      <c r="B303" s="1" t="s">
        <v>322</v>
      </c>
      <c r="C303" s="24">
        <f t="shared" ref="C303:H303" si="687">C134</f>
        <v>1515.9970000000001</v>
      </c>
      <c r="D303" s="24">
        <f t="shared" si="687"/>
        <v>2125.1570000000002</v>
      </c>
      <c r="E303" s="24">
        <f t="shared" si="687"/>
        <v>1891.71</v>
      </c>
      <c r="F303" s="24">
        <f t="shared" si="687"/>
        <v>1670.9899999999998</v>
      </c>
      <c r="G303" s="24">
        <f t="shared" si="687"/>
        <v>1848.4889999999998</v>
      </c>
      <c r="H303" s="24">
        <f t="shared" si="687"/>
        <v>1859.86</v>
      </c>
      <c r="J303" s="227"/>
      <c r="K303" s="227"/>
      <c r="L303" s="227"/>
      <c r="M303" s="24">
        <f t="shared" ref="M303:Z303" si="688">M134</f>
        <v>1515.9970000000001</v>
      </c>
      <c r="N303" s="24">
        <f t="shared" si="688"/>
        <v>1640.3150000000001</v>
      </c>
      <c r="O303" s="24">
        <f t="shared" si="688"/>
        <v>1709.355</v>
      </c>
      <c r="P303" s="24">
        <f t="shared" si="688"/>
        <v>1978.223</v>
      </c>
      <c r="Q303" s="24">
        <f t="shared" si="688"/>
        <v>2125.1570000000002</v>
      </c>
      <c r="R303" s="24">
        <f t="shared" si="688"/>
        <v>2022.9610000000002</v>
      </c>
      <c r="S303" s="24">
        <f t="shared" si="688"/>
        <v>2119.971</v>
      </c>
      <c r="T303" s="24">
        <f t="shared" si="688"/>
        <v>1984.123</v>
      </c>
      <c r="U303" s="24">
        <f t="shared" si="688"/>
        <v>1891.71</v>
      </c>
      <c r="V303" s="24">
        <f t="shared" si="688"/>
        <v>1897.8150000000001</v>
      </c>
      <c r="W303" s="24">
        <f t="shared" si="688"/>
        <v>1867.6910000000003</v>
      </c>
      <c r="X303" s="24">
        <f t="shared" si="688"/>
        <v>1841.5729999999999</v>
      </c>
      <c r="Y303" s="24">
        <f t="shared" si="688"/>
        <v>1670.9899999999998</v>
      </c>
      <c r="Z303" s="24">
        <f t="shared" si="688"/>
        <v>1805.8880000000001</v>
      </c>
      <c r="AA303" s="24">
        <f t="shared" ref="AA303:AD303" si="689">AA134</f>
        <v>1837.1840000000002</v>
      </c>
      <c r="AB303" s="24">
        <f t="shared" si="689"/>
        <v>1821.98</v>
      </c>
      <c r="AC303" s="24">
        <f t="shared" si="689"/>
        <v>1848.4889999999998</v>
      </c>
      <c r="AD303" s="24">
        <f t="shared" si="689"/>
        <v>1859.86</v>
      </c>
    </row>
    <row r="304" spans="2:30" ht="13.5" customHeight="1">
      <c r="B304" s="1" t="s">
        <v>323</v>
      </c>
      <c r="C304" s="24">
        <f t="shared" ref="C304:H304" si="690">C121</f>
        <v>941.94900000000018</v>
      </c>
      <c r="D304" s="24">
        <f t="shared" si="690"/>
        <v>1473.8809999999999</v>
      </c>
      <c r="E304" s="24">
        <f t="shared" si="690"/>
        <v>1176.807</v>
      </c>
      <c r="F304" s="24">
        <f t="shared" si="690"/>
        <v>968.36599999999976</v>
      </c>
      <c r="G304" s="24">
        <f t="shared" si="690"/>
        <v>1047.8269999999998</v>
      </c>
      <c r="H304" s="24">
        <f t="shared" si="690"/>
        <v>1043.2190000000001</v>
      </c>
      <c r="J304" s="227"/>
      <c r="K304" s="227"/>
      <c r="L304" s="227"/>
      <c r="M304" s="24">
        <f t="shared" ref="M304:Z304" si="691">M121</f>
        <v>941.94899999999996</v>
      </c>
      <c r="N304" s="24">
        <f t="shared" si="691"/>
        <v>1009.039</v>
      </c>
      <c r="O304" s="24">
        <f t="shared" si="691"/>
        <v>1109.2380000000001</v>
      </c>
      <c r="P304" s="24">
        <f t="shared" si="691"/>
        <v>1385.056</v>
      </c>
      <c r="Q304" s="24">
        <f t="shared" si="691"/>
        <v>1473.8809999999999</v>
      </c>
      <c r="R304" s="24">
        <f t="shared" si="691"/>
        <v>1372.3980000000004</v>
      </c>
      <c r="S304" s="24">
        <f t="shared" si="691"/>
        <v>1496.644</v>
      </c>
      <c r="T304" s="24">
        <f t="shared" si="691"/>
        <v>1277.6120000000001</v>
      </c>
      <c r="U304" s="24">
        <f t="shared" si="691"/>
        <v>1176.8070000000002</v>
      </c>
      <c r="V304" s="24">
        <f t="shared" si="691"/>
        <v>1049.6190000000001</v>
      </c>
      <c r="W304" s="24">
        <f t="shared" si="691"/>
        <v>1056.7300000000002</v>
      </c>
      <c r="X304" s="24">
        <f t="shared" si="691"/>
        <v>976.15800000000013</v>
      </c>
      <c r="Y304" s="24">
        <f t="shared" si="691"/>
        <v>968.3660000000001</v>
      </c>
      <c r="Z304" s="24">
        <f t="shared" si="691"/>
        <v>1033.2170000000001</v>
      </c>
      <c r="AA304" s="24">
        <f t="shared" ref="AA304:AD304" si="692">AA121</f>
        <v>1091.6050000000005</v>
      </c>
      <c r="AB304" s="24">
        <f t="shared" si="692"/>
        <v>976.94399999999996</v>
      </c>
      <c r="AC304" s="24">
        <f t="shared" si="692"/>
        <v>1047.8269999999998</v>
      </c>
      <c r="AD304" s="24">
        <f t="shared" si="692"/>
        <v>1043.2190000000001</v>
      </c>
    </row>
    <row r="305" spans="2:30" ht="13.5" customHeight="1">
      <c r="B305" s="1" t="s">
        <v>324</v>
      </c>
      <c r="C305" s="24">
        <f t="shared" ref="C305:H305" si="693">C133</f>
        <v>1261.0290000000002</v>
      </c>
      <c r="D305" s="24">
        <f t="shared" si="693"/>
        <v>1841.2929999999999</v>
      </c>
      <c r="E305" s="24">
        <f t="shared" si="693"/>
        <v>1541.664</v>
      </c>
      <c r="F305" s="24">
        <f t="shared" si="693"/>
        <v>1330.6559999999997</v>
      </c>
      <c r="G305" s="24">
        <f t="shared" si="693"/>
        <v>1437.2639999999997</v>
      </c>
      <c r="H305" s="24">
        <f t="shared" si="693"/>
        <v>1440.742</v>
      </c>
      <c r="J305" s="227"/>
      <c r="K305" s="227"/>
      <c r="L305" s="227"/>
      <c r="M305" s="24">
        <f t="shared" ref="M305:Z305" si="694">M133</f>
        <v>1261.029</v>
      </c>
      <c r="N305" s="24">
        <f t="shared" si="694"/>
        <v>1349.0630000000001</v>
      </c>
      <c r="O305" s="24">
        <f t="shared" si="694"/>
        <v>1473.758</v>
      </c>
      <c r="P305" s="24">
        <f t="shared" si="694"/>
        <v>1746.3110000000001</v>
      </c>
      <c r="Q305" s="24">
        <f t="shared" si="694"/>
        <v>1841.2929999999999</v>
      </c>
      <c r="R305" s="24">
        <f t="shared" si="694"/>
        <v>1734.6130000000003</v>
      </c>
      <c r="S305" s="24">
        <f t="shared" si="694"/>
        <v>1859.549</v>
      </c>
      <c r="T305" s="24">
        <f t="shared" si="694"/>
        <v>1646.098</v>
      </c>
      <c r="U305" s="24">
        <f t="shared" si="694"/>
        <v>1541.6640000000002</v>
      </c>
      <c r="V305" s="24">
        <f t="shared" si="694"/>
        <v>1415.3500000000001</v>
      </c>
      <c r="W305" s="24">
        <f t="shared" si="694"/>
        <v>1427.5060000000003</v>
      </c>
      <c r="X305" s="24">
        <f t="shared" si="694"/>
        <v>1343.482</v>
      </c>
      <c r="Y305" s="24">
        <f t="shared" si="694"/>
        <v>1330.6559999999999</v>
      </c>
      <c r="Z305" s="24">
        <f t="shared" si="694"/>
        <v>1419.5210000000002</v>
      </c>
      <c r="AA305" s="24">
        <f t="shared" ref="AA305:AD305" si="695">AA133</f>
        <v>1484.6560000000004</v>
      </c>
      <c r="AB305" s="24">
        <f t="shared" si="695"/>
        <v>1366.338</v>
      </c>
      <c r="AC305" s="24">
        <f t="shared" si="695"/>
        <v>1437.2639999999997</v>
      </c>
      <c r="AD305" s="24">
        <f t="shared" si="695"/>
        <v>1440.742</v>
      </c>
    </row>
    <row r="306" spans="2:30" ht="13.5" customHeight="1">
      <c r="B306" s="1" t="s">
        <v>325</v>
      </c>
      <c r="C306" s="225"/>
      <c r="D306" s="225"/>
      <c r="E306" s="370"/>
      <c r="F306" s="370"/>
      <c r="G306" s="370"/>
      <c r="H306" s="370"/>
      <c r="J306" s="225"/>
      <c r="K306" s="225"/>
      <c r="L306" s="225"/>
      <c r="M306" s="225"/>
      <c r="N306" s="225"/>
      <c r="O306" s="225"/>
      <c r="P306" s="225"/>
      <c r="Q306" s="225"/>
      <c r="R306" s="225"/>
      <c r="S306" s="225"/>
      <c r="T306" s="225"/>
      <c r="U306" s="225"/>
      <c r="V306" s="370"/>
      <c r="W306" s="370"/>
      <c r="X306" s="370"/>
      <c r="Y306" s="370"/>
      <c r="Z306" s="370"/>
      <c r="AA306" s="370"/>
      <c r="AB306" s="370"/>
      <c r="AC306" s="370"/>
      <c r="AD306" s="370"/>
    </row>
    <row r="307" spans="2:30" ht="13.5" customHeight="1">
      <c r="B307" s="5" t="s">
        <v>326</v>
      </c>
      <c r="C307" s="224"/>
      <c r="D307" s="224"/>
      <c r="E307" s="371"/>
      <c r="F307" s="371"/>
      <c r="G307" s="371"/>
      <c r="H307" s="371"/>
      <c r="J307" s="224"/>
      <c r="K307" s="224"/>
      <c r="L307" s="224"/>
      <c r="M307" s="224"/>
      <c r="N307" s="224"/>
      <c r="O307" s="224"/>
      <c r="P307" s="224"/>
      <c r="Q307" s="224"/>
      <c r="R307" s="224"/>
      <c r="S307" s="224"/>
      <c r="T307" s="224"/>
      <c r="U307" s="224"/>
      <c r="V307" s="371"/>
      <c r="W307" s="371"/>
      <c r="X307" s="371"/>
      <c r="Y307" s="371"/>
      <c r="Z307" s="371"/>
      <c r="AA307" s="371"/>
      <c r="AB307" s="371"/>
      <c r="AC307" s="371"/>
      <c r="AD307" s="371"/>
    </row>
    <row r="308" spans="2:30" ht="13.5" customHeight="1">
      <c r="B308" s="1" t="s">
        <v>327</v>
      </c>
      <c r="C308" s="53">
        <f t="shared" ref="C308:H308" si="696">C154</f>
        <v>2.0610666992957554</v>
      </c>
      <c r="D308" s="53">
        <f t="shared" si="696"/>
        <v>2.6273938425856098</v>
      </c>
      <c r="E308" s="53">
        <f t="shared" si="696"/>
        <v>1.879883651945611</v>
      </c>
      <c r="F308" s="53">
        <f t="shared" si="696"/>
        <v>1.4773141189992043</v>
      </c>
      <c r="G308" s="53">
        <f t="shared" si="696"/>
        <v>1.6271910211267604</v>
      </c>
      <c r="H308" s="53">
        <f t="shared" si="696"/>
        <v>1.657776985471076</v>
      </c>
      <c r="J308" s="225"/>
      <c r="K308" s="225"/>
      <c r="L308" s="225"/>
      <c r="M308" s="53">
        <f t="shared" ref="M308:Z308" si="697">M154</f>
        <v>2.0610666992957554</v>
      </c>
      <c r="N308" s="53">
        <f t="shared" si="697"/>
        <v>2.2410342165989796</v>
      </c>
      <c r="O308" s="53">
        <f t="shared" si="697"/>
        <v>2.3356772794156968</v>
      </c>
      <c r="P308" s="53">
        <f t="shared" si="697"/>
        <v>2.6144646273844323</v>
      </c>
      <c r="Q308" s="53">
        <f t="shared" si="697"/>
        <v>2.6273938425856098</v>
      </c>
      <c r="R308" s="53">
        <f t="shared" si="697"/>
        <v>2.3672932761957814</v>
      </c>
      <c r="S308" s="53">
        <f t="shared" si="697"/>
        <v>2.3246672500345413</v>
      </c>
      <c r="T308" s="53">
        <f t="shared" si="697"/>
        <v>2.0195746127522529</v>
      </c>
      <c r="U308" s="53">
        <f t="shared" si="697"/>
        <v>1.879883651945611</v>
      </c>
      <c r="V308" s="53">
        <f t="shared" si="697"/>
        <v>1.7902378192060879</v>
      </c>
      <c r="W308" s="53">
        <f t="shared" si="697"/>
        <v>1.6942182945978341</v>
      </c>
      <c r="X308" s="53">
        <f t="shared" si="697"/>
        <v>1.6562531758958392</v>
      </c>
      <c r="Y308" s="53">
        <f t="shared" si="697"/>
        <v>1.4773141189992043</v>
      </c>
      <c r="Z308" s="53">
        <f t="shared" si="697"/>
        <v>1.5803693007788575</v>
      </c>
      <c r="AA308" s="53">
        <f t="shared" ref="AA308:AD308" si="698">AA154</f>
        <v>1.6029875229037609</v>
      </c>
      <c r="AB308" s="53">
        <f t="shared" si="698"/>
        <v>1.5832290580465764</v>
      </c>
      <c r="AC308" s="53">
        <f t="shared" si="698"/>
        <v>1.6271910211267604</v>
      </c>
      <c r="AD308" s="53">
        <f t="shared" si="698"/>
        <v>1.657776985471076</v>
      </c>
    </row>
    <row r="309" spans="2:30" ht="13.5" customHeight="1">
      <c r="B309" s="5" t="s">
        <v>328</v>
      </c>
      <c r="C309" s="52">
        <f t="shared" ref="C309:H309" si="699">C153</f>
        <v>1.7144261359001551</v>
      </c>
      <c r="D309" s="52">
        <f t="shared" si="699"/>
        <v>2.2764444653246723</v>
      </c>
      <c r="E309" s="52">
        <f t="shared" si="699"/>
        <v>1.5320260242812473</v>
      </c>
      <c r="F309" s="52">
        <f t="shared" si="699"/>
        <v>1.1764264874900539</v>
      </c>
      <c r="G309" s="52">
        <f t="shared" si="699"/>
        <v>1.2651971830985913</v>
      </c>
      <c r="H309" s="52">
        <f t="shared" si="699"/>
        <v>1.2841982351368215</v>
      </c>
      <c r="J309" s="224"/>
      <c r="K309" s="224"/>
      <c r="L309" s="224"/>
      <c r="M309" s="52">
        <f t="shared" ref="M309:Z309" si="700">M153</f>
        <v>1.7144261359001549</v>
      </c>
      <c r="N309" s="52">
        <f t="shared" si="700"/>
        <v>1.8431193663093184</v>
      </c>
      <c r="O309" s="52">
        <f t="shared" si="700"/>
        <v>2.0137555253046435</v>
      </c>
      <c r="P309" s="52">
        <f t="shared" si="700"/>
        <v>2.3079644397584782</v>
      </c>
      <c r="Q309" s="52">
        <f t="shared" si="700"/>
        <v>2.2764444653246723</v>
      </c>
      <c r="R309" s="52">
        <f t="shared" si="700"/>
        <v>2.0298649809372464</v>
      </c>
      <c r="S309" s="52">
        <f t="shared" si="700"/>
        <v>2.0390999028451247</v>
      </c>
      <c r="T309" s="52">
        <f t="shared" si="700"/>
        <v>1.6755099007986189</v>
      </c>
      <c r="U309" s="52">
        <f t="shared" si="700"/>
        <v>1.5320260242812476</v>
      </c>
      <c r="V309" s="52">
        <f t="shared" si="700"/>
        <v>1.3351212301585438</v>
      </c>
      <c r="W309" s="52">
        <f t="shared" si="700"/>
        <v>1.2949180463193193</v>
      </c>
      <c r="X309" s="52">
        <f t="shared" si="700"/>
        <v>1.2082857042641773</v>
      </c>
      <c r="Y309" s="52">
        <f t="shared" si="700"/>
        <v>1.1764264874900541</v>
      </c>
      <c r="Z309" s="52">
        <f t="shared" si="700"/>
        <v>1.2422516846066338</v>
      </c>
      <c r="AA309" s="52">
        <f t="shared" ref="AA309:AD309" si="701">AA153</f>
        <v>1.2953983073030282</v>
      </c>
      <c r="AB309" s="52">
        <f t="shared" si="701"/>
        <v>1.1872940563086549</v>
      </c>
      <c r="AC309" s="52">
        <f t="shared" si="701"/>
        <v>1.2651971830985913</v>
      </c>
      <c r="AD309" s="52">
        <f t="shared" si="701"/>
        <v>1.2841982351368215</v>
      </c>
    </row>
    <row r="314" spans="2:30" ht="13.5" customHeight="1">
      <c r="B314" s="382" t="s">
        <v>329</v>
      </c>
      <c r="C314" s="383"/>
      <c r="D314" s="383"/>
      <c r="E314" s="383"/>
      <c r="F314" s="383"/>
      <c r="G314" s="383"/>
      <c r="H314" s="383"/>
      <c r="J314" s="333"/>
      <c r="K314" s="333"/>
      <c r="L314" s="383"/>
      <c r="M314" s="333"/>
      <c r="N314" s="333"/>
      <c r="O314" s="333"/>
      <c r="P314" s="333"/>
      <c r="Q314" s="333"/>
      <c r="R314" s="333"/>
      <c r="S314" s="333"/>
      <c r="T314" s="333"/>
      <c r="U314" s="333"/>
      <c r="V314" s="333"/>
      <c r="W314" s="333"/>
      <c r="X314" s="333"/>
      <c r="Y314" s="333"/>
      <c r="Z314" s="333"/>
      <c r="AA314" s="333"/>
      <c r="AB314" s="333"/>
      <c r="AC314" s="333"/>
      <c r="AD314" s="333"/>
    </row>
    <row r="315" spans="2:30" ht="13.5" customHeight="1">
      <c r="B315" s="383"/>
      <c r="C315" s="383"/>
      <c r="D315" s="383"/>
      <c r="E315" s="383"/>
      <c r="F315" s="383"/>
      <c r="G315" s="383"/>
      <c r="H315" s="383"/>
      <c r="J315" s="333"/>
      <c r="K315" s="333"/>
      <c r="L315" s="383"/>
      <c r="M315" s="333"/>
      <c r="N315" s="333"/>
      <c r="O315" s="333"/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333"/>
      <c r="AA315" s="333"/>
      <c r="AB315" s="333"/>
      <c r="AC315" s="333"/>
      <c r="AD315" s="333"/>
    </row>
    <row r="316" spans="2:30" ht="13.5" customHeight="1">
      <c r="B316" s="5"/>
      <c r="C316" s="5"/>
      <c r="D316" s="5"/>
      <c r="E316" s="5"/>
      <c r="F316" s="5"/>
      <c r="I316" s="1"/>
    </row>
    <row r="317" spans="2:30" ht="13.5" customHeight="1">
      <c r="B317" s="336" t="s">
        <v>330</v>
      </c>
      <c r="C317" s="47">
        <f>+C3</f>
        <v>44531</v>
      </c>
      <c r="D317" s="47">
        <f>+D3</f>
        <v>44896</v>
      </c>
      <c r="E317" s="47">
        <f>+E3</f>
        <v>45261</v>
      </c>
      <c r="F317" s="47">
        <f>+F3</f>
        <v>45627</v>
      </c>
      <c r="G317" s="47">
        <f>+G3</f>
        <v>45992</v>
      </c>
      <c r="H317" s="47">
        <f>+H3</f>
        <v>46111</v>
      </c>
      <c r="J317" s="47">
        <f>+J3</f>
        <v>44285</v>
      </c>
      <c r="K317" s="253">
        <f>+K3</f>
        <v>44377</v>
      </c>
      <c r="L317" s="253">
        <f>+L3</f>
        <v>44469</v>
      </c>
      <c r="M317" s="47">
        <f>+M3</f>
        <v>44561</v>
      </c>
      <c r="N317" s="47">
        <f>+N3</f>
        <v>44650</v>
      </c>
      <c r="O317" s="47">
        <f>+O3</f>
        <v>44742</v>
      </c>
      <c r="P317" s="47">
        <f>+P3</f>
        <v>44834</v>
      </c>
      <c r="Q317" s="47">
        <f>+Q3</f>
        <v>44926</v>
      </c>
      <c r="R317" s="47">
        <f>+R3</f>
        <v>45015</v>
      </c>
      <c r="S317" s="47">
        <f>+S3</f>
        <v>45107</v>
      </c>
      <c r="T317" s="47">
        <f>+T3</f>
        <v>45199</v>
      </c>
      <c r="U317" s="47">
        <f>+U3</f>
        <v>45291</v>
      </c>
      <c r="V317" s="47">
        <f>+V3</f>
        <v>45381</v>
      </c>
      <c r="W317" s="47">
        <f>+W3</f>
        <v>45473</v>
      </c>
      <c r="X317" s="47">
        <f>+X3</f>
        <v>45565</v>
      </c>
      <c r="Y317" s="47">
        <f>+Y3</f>
        <v>45657</v>
      </c>
      <c r="Z317" s="47">
        <f>+Z3</f>
        <v>45746</v>
      </c>
      <c r="AA317" s="47">
        <f>+AA3</f>
        <v>45838</v>
      </c>
      <c r="AB317" s="47">
        <f>+AB3</f>
        <v>45930</v>
      </c>
      <c r="AC317" s="47">
        <f>+AC3</f>
        <v>46022</v>
      </c>
      <c r="AD317" s="47">
        <f>+AD3</f>
        <v>46111</v>
      </c>
    </row>
    <row r="318" spans="2:30" ht="13.5" customHeight="1">
      <c r="B318" s="1" t="s">
        <v>331</v>
      </c>
      <c r="C318" s="4">
        <v>1522</v>
      </c>
      <c r="D318" s="4">
        <v>1605</v>
      </c>
      <c r="E318" s="4">
        <v>1592</v>
      </c>
      <c r="F318" s="4">
        <v>1576</v>
      </c>
      <c r="G318" s="4">
        <v>1535</v>
      </c>
      <c r="H318" s="6">
        <f>SUM(AA318:AD318)</f>
        <v>1527</v>
      </c>
      <c r="J318" s="4">
        <v>363</v>
      </c>
      <c r="K318" s="4">
        <v>383</v>
      </c>
      <c r="L318" s="4">
        <v>388</v>
      </c>
      <c r="M318" s="6">
        <f>C318-SUM(J318:L318)</f>
        <v>388</v>
      </c>
      <c r="N318" s="4">
        <v>382</v>
      </c>
      <c r="O318" s="4">
        <v>400</v>
      </c>
      <c r="P318" s="4">
        <v>405</v>
      </c>
      <c r="Q318" s="6">
        <f>D318-SUM(N318:P318)</f>
        <v>418</v>
      </c>
      <c r="R318" s="4">
        <v>390</v>
      </c>
      <c r="S318" s="4">
        <v>402</v>
      </c>
      <c r="T318" s="4">
        <v>405</v>
      </c>
      <c r="U318" s="6">
        <f>E318-SUM(R318:T318)</f>
        <v>395</v>
      </c>
      <c r="V318" s="4">
        <v>390</v>
      </c>
      <c r="W318" s="4">
        <v>400</v>
      </c>
      <c r="X318" s="4">
        <v>398</v>
      </c>
      <c r="Y318" s="6">
        <f>F318-SUM(V318:X318)</f>
        <v>388</v>
      </c>
      <c r="Z318" s="4">
        <v>383</v>
      </c>
      <c r="AA318" s="4">
        <v>391</v>
      </c>
      <c r="AB318" s="4">
        <v>388</v>
      </c>
      <c r="AC318" s="6">
        <f>G318-SUM(Z318:AB318)</f>
        <v>373</v>
      </c>
      <c r="AD318" s="4">
        <v>375</v>
      </c>
    </row>
    <row r="319" spans="2:30" ht="13.5" customHeight="1">
      <c r="B319" s="1" t="s">
        <v>332</v>
      </c>
      <c r="C319" s="4">
        <v>2047</v>
      </c>
      <c r="D319" s="4">
        <v>2076</v>
      </c>
      <c r="E319" s="4">
        <v>2147</v>
      </c>
      <c r="F319" s="4">
        <v>2140</v>
      </c>
      <c r="G319" s="4">
        <v>2127</v>
      </c>
      <c r="H319" s="6">
        <f>SUM(AA319:AD319)</f>
        <v>2129</v>
      </c>
      <c r="J319" s="4">
        <v>497</v>
      </c>
      <c r="K319" s="4">
        <v>517</v>
      </c>
      <c r="L319" s="4">
        <v>503</v>
      </c>
      <c r="M319" s="6">
        <f>C319-SUM(J319:L319)</f>
        <v>530</v>
      </c>
      <c r="N319" s="4">
        <v>496</v>
      </c>
      <c r="O319" s="4">
        <v>510</v>
      </c>
      <c r="P319" s="4">
        <v>529</v>
      </c>
      <c r="Q319" s="6">
        <f>D319-SUM(N319:P319)</f>
        <v>541</v>
      </c>
      <c r="R319" s="4">
        <v>537</v>
      </c>
      <c r="S319" s="4">
        <v>523</v>
      </c>
      <c r="T319" s="4">
        <v>537</v>
      </c>
      <c r="U319" s="6">
        <f>E319-SUM(R319:T319)</f>
        <v>550</v>
      </c>
      <c r="V319" s="4">
        <v>524</v>
      </c>
      <c r="W319" s="4">
        <v>525</v>
      </c>
      <c r="X319" s="4">
        <v>537</v>
      </c>
      <c r="Y319" s="6">
        <f>F319-SUM(V319:X319)</f>
        <v>554</v>
      </c>
      <c r="Z319" s="4">
        <v>512</v>
      </c>
      <c r="AA319" s="4">
        <v>522</v>
      </c>
      <c r="AB319" s="4">
        <v>540</v>
      </c>
      <c r="AC319" s="6">
        <f>G319-SUM(Z319:AB319)</f>
        <v>553</v>
      </c>
      <c r="AD319" s="4">
        <v>514</v>
      </c>
    </row>
    <row r="320" spans="2:30" ht="13.5" customHeight="1">
      <c r="B320" s="116" t="s">
        <v>333</v>
      </c>
      <c r="C320" s="4"/>
      <c r="D320" s="4"/>
      <c r="E320" s="4"/>
      <c r="F320" s="4"/>
      <c r="G320" s="4"/>
      <c r="H320" s="6"/>
      <c r="J320" s="4"/>
      <c r="K320" s="4"/>
      <c r="L320" s="4"/>
      <c r="M320" s="6"/>
      <c r="N320" s="4"/>
      <c r="O320" s="4"/>
      <c r="P320" s="4"/>
      <c r="Q320" s="6"/>
      <c r="R320" s="4"/>
      <c r="S320" s="4"/>
      <c r="T320" s="4"/>
      <c r="U320" s="6"/>
      <c r="V320" s="4"/>
      <c r="W320" s="4"/>
      <c r="X320" s="4"/>
      <c r="Y320" s="6"/>
      <c r="Z320" s="4"/>
      <c r="AA320" s="4"/>
      <c r="AB320" s="4"/>
      <c r="AC320" s="6"/>
      <c r="AD320" s="4"/>
    </row>
    <row r="321" spans="2:30" ht="13.5" customHeight="1">
      <c r="B321" s="116" t="s">
        <v>334</v>
      </c>
      <c r="C321" s="4"/>
      <c r="D321" s="4"/>
      <c r="E321" s="4"/>
      <c r="F321" s="4"/>
      <c r="G321" s="4"/>
      <c r="H321" s="6"/>
      <c r="J321" s="4"/>
      <c r="K321" s="4"/>
      <c r="L321" s="4"/>
      <c r="M321" s="6"/>
      <c r="N321" s="4"/>
      <c r="O321" s="4"/>
      <c r="P321" s="4"/>
      <c r="Q321" s="6"/>
      <c r="R321" s="4"/>
      <c r="S321" s="4"/>
      <c r="T321" s="4"/>
      <c r="U321" s="6"/>
      <c r="V321" s="4"/>
      <c r="W321" s="4"/>
      <c r="X321" s="4"/>
      <c r="Y321" s="6"/>
      <c r="Z321" s="4"/>
      <c r="AA321" s="4"/>
      <c r="AB321" s="4"/>
      <c r="AC321" s="6"/>
      <c r="AD321" s="4"/>
    </row>
    <row r="322" spans="2:30" ht="13.5" customHeight="1">
      <c r="B322" s="116" t="s">
        <v>335</v>
      </c>
      <c r="C322" s="4"/>
      <c r="D322" s="4"/>
      <c r="E322" s="4"/>
      <c r="F322" s="4"/>
      <c r="G322" s="4"/>
      <c r="H322" s="6"/>
      <c r="J322" s="4"/>
      <c r="K322" s="4"/>
      <c r="L322" s="4"/>
      <c r="M322" s="6"/>
      <c r="N322" s="4"/>
      <c r="O322" s="4"/>
      <c r="P322" s="4"/>
      <c r="Q322" s="6"/>
      <c r="R322" s="4"/>
      <c r="S322" s="4"/>
      <c r="T322" s="4"/>
      <c r="U322" s="6"/>
      <c r="V322" s="4"/>
      <c r="W322" s="4"/>
      <c r="X322" s="4"/>
      <c r="Y322" s="6"/>
      <c r="Z322" s="4"/>
      <c r="AA322" s="4"/>
      <c r="AB322" s="4"/>
      <c r="AC322" s="6"/>
      <c r="AD322" s="4"/>
    </row>
    <row r="323" spans="2:30" ht="13.5" customHeight="1">
      <c r="B323" s="1" t="s">
        <v>336</v>
      </c>
      <c r="C323" s="4">
        <v>389</v>
      </c>
      <c r="D323" s="4">
        <v>410</v>
      </c>
      <c r="E323" s="4">
        <v>419</v>
      </c>
      <c r="F323" s="4">
        <v>418</v>
      </c>
      <c r="G323" s="4">
        <v>426</v>
      </c>
      <c r="H323" s="6">
        <f t="shared" ref="H323:H326" si="702">SUM(AA323:AD323)</f>
        <v>432</v>
      </c>
      <c r="J323" s="4">
        <v>87</v>
      </c>
      <c r="K323" s="4">
        <v>97</v>
      </c>
      <c r="L323" s="4">
        <v>97</v>
      </c>
      <c r="M323" s="6">
        <f>C323-SUM(J323:L323)</f>
        <v>108</v>
      </c>
      <c r="N323" s="4">
        <v>104</v>
      </c>
      <c r="O323" s="4">
        <v>109</v>
      </c>
      <c r="P323" s="4">
        <v>96</v>
      </c>
      <c r="Q323" s="6">
        <f>D323-SUM(N323:P323)</f>
        <v>101</v>
      </c>
      <c r="R323" s="4">
        <v>100</v>
      </c>
      <c r="S323" s="4">
        <v>113</v>
      </c>
      <c r="T323" s="4">
        <v>103</v>
      </c>
      <c r="U323" s="6">
        <f>E323-SUM(R323:T323)</f>
        <v>103</v>
      </c>
      <c r="V323" s="4">
        <v>108</v>
      </c>
      <c r="W323" s="4">
        <v>101</v>
      </c>
      <c r="X323" s="4">
        <v>102</v>
      </c>
      <c r="Y323" s="6">
        <f t="shared" ref="Y323:Y326" si="703">F323-SUM(V323:X323)</f>
        <v>107</v>
      </c>
      <c r="Z323" s="4">
        <v>105</v>
      </c>
      <c r="AA323" s="4">
        <v>107</v>
      </c>
      <c r="AB323" s="4">
        <v>107</v>
      </c>
      <c r="AC323" s="6">
        <f t="shared" ref="AC323:AC326" si="704">G323-SUM(Z323:AB323)</f>
        <v>107</v>
      </c>
      <c r="AD323" s="4">
        <v>111</v>
      </c>
    </row>
    <row r="324" spans="2:30" ht="13.5" customHeight="1">
      <c r="B324" s="1" t="s">
        <v>337</v>
      </c>
      <c r="C324" s="4">
        <v>237</v>
      </c>
      <c r="D324" s="4">
        <v>243</v>
      </c>
      <c r="E324" s="4">
        <v>233</v>
      </c>
      <c r="F324" s="4">
        <v>240</v>
      </c>
      <c r="G324" s="4">
        <v>247</v>
      </c>
      <c r="H324" s="6">
        <f t="shared" si="702"/>
        <v>250</v>
      </c>
      <c r="J324" s="4">
        <v>56</v>
      </c>
      <c r="K324" s="4">
        <v>57</v>
      </c>
      <c r="L324" s="4">
        <v>62</v>
      </c>
      <c r="M324" s="6">
        <f>C324-SUM(J324:L324)</f>
        <v>62</v>
      </c>
      <c r="N324" s="4">
        <v>59</v>
      </c>
      <c r="O324" s="4">
        <v>61</v>
      </c>
      <c r="P324" s="4">
        <v>63</v>
      </c>
      <c r="Q324" s="6">
        <f>D324-SUM(N324:P324)</f>
        <v>60</v>
      </c>
      <c r="R324" s="4">
        <v>58</v>
      </c>
      <c r="S324" s="4">
        <v>56</v>
      </c>
      <c r="T324" s="4">
        <v>58</v>
      </c>
      <c r="U324" s="6">
        <f>E324-SUM(R324:T324)</f>
        <v>61</v>
      </c>
      <c r="V324" s="4">
        <v>58</v>
      </c>
      <c r="W324" s="4">
        <v>60</v>
      </c>
      <c r="X324" s="4">
        <v>61</v>
      </c>
      <c r="Y324" s="6">
        <f t="shared" si="703"/>
        <v>61</v>
      </c>
      <c r="Z324" s="4">
        <v>59</v>
      </c>
      <c r="AA324" s="4">
        <v>60</v>
      </c>
      <c r="AB324" s="4">
        <v>64</v>
      </c>
      <c r="AC324" s="6">
        <f t="shared" si="704"/>
        <v>64</v>
      </c>
      <c r="AD324" s="4">
        <v>62</v>
      </c>
    </row>
    <row r="325" spans="2:30" ht="13.5" customHeight="1">
      <c r="B325" s="1" t="s">
        <v>338</v>
      </c>
      <c r="C325" s="4">
        <v>95</v>
      </c>
      <c r="D325" s="4">
        <v>97</v>
      </c>
      <c r="E325" s="4">
        <v>96</v>
      </c>
      <c r="F325" s="4">
        <v>100</v>
      </c>
      <c r="G325" s="4">
        <v>104</v>
      </c>
      <c r="H325" s="6">
        <f t="shared" si="702"/>
        <v>106</v>
      </c>
      <c r="J325" s="4">
        <v>23</v>
      </c>
      <c r="K325" s="4">
        <v>23</v>
      </c>
      <c r="L325" s="4">
        <v>24</v>
      </c>
      <c r="M325" s="6">
        <f>C325-SUM(J325:L325)</f>
        <v>25</v>
      </c>
      <c r="N325" s="4">
        <v>24</v>
      </c>
      <c r="O325" s="4">
        <v>21</v>
      </c>
      <c r="P325" s="4">
        <v>25</v>
      </c>
      <c r="Q325" s="6">
        <f>D325-SUM(N325:P325)</f>
        <v>27</v>
      </c>
      <c r="R325" s="4">
        <v>23</v>
      </c>
      <c r="S325" s="4">
        <v>23</v>
      </c>
      <c r="T325" s="4">
        <v>25</v>
      </c>
      <c r="U325" s="6">
        <f>E325-SUM(R325:T325)</f>
        <v>25</v>
      </c>
      <c r="V325" s="4">
        <v>25</v>
      </c>
      <c r="W325" s="4">
        <v>24</v>
      </c>
      <c r="X325" s="4">
        <v>25</v>
      </c>
      <c r="Y325" s="6">
        <f t="shared" si="703"/>
        <v>26</v>
      </c>
      <c r="Z325" s="4">
        <v>25</v>
      </c>
      <c r="AA325" s="4">
        <v>25</v>
      </c>
      <c r="AB325" s="4">
        <v>27</v>
      </c>
      <c r="AC325" s="6">
        <f t="shared" si="704"/>
        <v>27</v>
      </c>
      <c r="AD325" s="4">
        <v>27</v>
      </c>
    </row>
    <row r="326" spans="2:30" ht="13.5" customHeight="1">
      <c r="B326" s="1" t="s">
        <v>339</v>
      </c>
      <c r="C326" s="4">
        <v>-85</v>
      </c>
      <c r="D326" s="4">
        <v>-103</v>
      </c>
      <c r="E326" s="4">
        <v>-114</v>
      </c>
      <c r="F326" s="4">
        <v>-135</v>
      </c>
      <c r="G326" s="4">
        <v>-103</v>
      </c>
      <c r="H326" s="6">
        <f t="shared" si="702"/>
        <v>-101</v>
      </c>
      <c r="J326" s="4">
        <v>-14</v>
      </c>
      <c r="K326" s="4">
        <v>-20</v>
      </c>
      <c r="L326" s="4">
        <v>-21</v>
      </c>
      <c r="M326" s="6">
        <f>C326-SUM(J326:L326)</f>
        <v>-30</v>
      </c>
      <c r="N326" s="4">
        <v>-23</v>
      </c>
      <c r="O326" s="4">
        <v>-25</v>
      </c>
      <c r="P326" s="4">
        <v>-25</v>
      </c>
      <c r="Q326" s="6">
        <f>D326-SUM(N326:P326)</f>
        <v>-30</v>
      </c>
      <c r="R326" s="4">
        <v>-19</v>
      </c>
      <c r="S326" s="4">
        <v>-28</v>
      </c>
      <c r="T326" s="4">
        <v>-34</v>
      </c>
      <c r="U326" s="6">
        <f>E326-SUM(R326:T326)</f>
        <v>-33</v>
      </c>
      <c r="V326" s="4">
        <v>-30</v>
      </c>
      <c r="W326" s="4">
        <v>-31</v>
      </c>
      <c r="X326" s="4">
        <v>-36</v>
      </c>
      <c r="Y326" s="6">
        <f t="shared" si="703"/>
        <v>-38</v>
      </c>
      <c r="Z326" s="4">
        <v>-23</v>
      </c>
      <c r="AA326" s="4">
        <v>-21</v>
      </c>
      <c r="AB326" s="4">
        <v>-31</v>
      </c>
      <c r="AC326" s="6">
        <f t="shared" si="704"/>
        <v>-28</v>
      </c>
      <c r="AD326" s="4">
        <v>-21</v>
      </c>
    </row>
    <row r="327" spans="2:30" ht="13.5" customHeight="1">
      <c r="B327" s="5" t="s">
        <v>340</v>
      </c>
      <c r="C327" s="8">
        <f>SUM(C318:C326)+1</f>
        <v>4206</v>
      </c>
      <c r="D327" s="8">
        <f>SUM(D318:D326)+1</f>
        <v>4329</v>
      </c>
      <c r="E327" s="8">
        <f>SUM(E318:E326)-1</f>
        <v>4372</v>
      </c>
      <c r="F327" s="8">
        <f>SUM(F318:F326)-1</f>
        <v>4338</v>
      </c>
      <c r="G327" s="8">
        <f>SUM(G318:G326)-1</f>
        <v>4335</v>
      </c>
      <c r="H327" s="8">
        <f>SUM(H318:H326)</f>
        <v>4343</v>
      </c>
      <c r="J327" s="8">
        <f t="shared" ref="J327:P327" si="705">SUM(J318:J326)</f>
        <v>1012</v>
      </c>
      <c r="K327" s="8">
        <f t="shared" si="705"/>
        <v>1057</v>
      </c>
      <c r="L327" s="8">
        <f t="shared" si="705"/>
        <v>1053</v>
      </c>
      <c r="M327" s="8">
        <f>SUM(M318:M326)</f>
        <v>1083</v>
      </c>
      <c r="N327" s="8">
        <f t="shared" si="705"/>
        <v>1042</v>
      </c>
      <c r="O327" s="8">
        <f t="shared" si="705"/>
        <v>1076</v>
      </c>
      <c r="P327" s="8">
        <f t="shared" si="705"/>
        <v>1093</v>
      </c>
      <c r="Q327" s="8">
        <f>SUM(Q318:Q326)-1</f>
        <v>1116</v>
      </c>
      <c r="R327" s="8">
        <f>SUM(R318:R326)+1</f>
        <v>1090</v>
      </c>
      <c r="S327" s="8">
        <f>SUM(S318:S326)</f>
        <v>1089</v>
      </c>
      <c r="T327" s="8">
        <f>SUM(T318:T326)-1</f>
        <v>1093</v>
      </c>
      <c r="U327" s="8">
        <f>SUM(U318:U326)-1</f>
        <v>1100</v>
      </c>
      <c r="V327" s="8">
        <f>SUM(V318:V326)+1</f>
        <v>1076</v>
      </c>
      <c r="W327" s="8">
        <f>SUM(W318:W326)</f>
        <v>1079</v>
      </c>
      <c r="X327" s="8">
        <f>SUM(X318:X326)-1</f>
        <v>1086</v>
      </c>
      <c r="Y327" s="8">
        <f>SUM(Y318:Y326)-1</f>
        <v>1097</v>
      </c>
      <c r="Z327" s="8">
        <f>SUM(Z318:Z326)</f>
        <v>1061</v>
      </c>
      <c r="AA327" s="8">
        <f>SUM(AA318:AA326)</f>
        <v>1084</v>
      </c>
      <c r="AB327" s="8">
        <f>SUM(AB318:AB326)</f>
        <v>1095</v>
      </c>
      <c r="AC327" s="8">
        <f>SUM(AC318:AC326)-1</f>
        <v>1095</v>
      </c>
      <c r="AD327" s="8">
        <f>SUM(AD318:AD326)</f>
        <v>1068</v>
      </c>
    </row>
    <row r="328" spans="2:30" s="56" customFormat="1" ht="13.5" customHeight="1">
      <c r="B328" s="78" t="s">
        <v>232</v>
      </c>
      <c r="C328" s="64"/>
      <c r="D328" s="64">
        <f>D327/C327-1</f>
        <v>2.9243937232525052E-2</v>
      </c>
      <c r="E328" s="64">
        <f>E327/D327-1</f>
        <v>9.9330099330099397E-3</v>
      </c>
      <c r="F328" s="64">
        <f>F327/E327-1</f>
        <v>-7.7767612076852233E-3</v>
      </c>
      <c r="G328" s="64">
        <f>G327/F327-1</f>
        <v>-6.9156293222683018E-4</v>
      </c>
      <c r="H328" s="36"/>
      <c r="J328" s="64"/>
      <c r="K328" s="64"/>
      <c r="L328" s="64"/>
      <c r="M328" s="36">
        <f>M327/J327-1</f>
        <v>7.0158102766798347E-2</v>
      </c>
      <c r="N328" s="64">
        <f>N327/J327-1</f>
        <v>2.9644268774703608E-2</v>
      </c>
      <c r="O328" s="64">
        <f>O327/K327-1</f>
        <v>1.7975402081362279E-2</v>
      </c>
      <c r="P328" s="64">
        <f>P327/L327-1</f>
        <v>3.7986704653371284E-2</v>
      </c>
      <c r="Q328" s="64">
        <f>Q327/M327-1</f>
        <v>3.0470914127423754E-2</v>
      </c>
      <c r="R328" s="36">
        <f>R327/O327-1</f>
        <v>1.3011152416356975E-2</v>
      </c>
      <c r="S328" s="64">
        <f>S327/O327-1</f>
        <v>1.2081784386617E-2</v>
      </c>
      <c r="T328" s="64">
        <f>T327/P327-1</f>
        <v>0</v>
      </c>
      <c r="U328" s="64">
        <f>U327/Q327-1</f>
        <v>-1.4336917562724039E-2</v>
      </c>
      <c r="V328" s="36">
        <f>V327/S327-1</f>
        <v>-1.1937557392102893E-2</v>
      </c>
      <c r="W328" s="64">
        <f>W327/S327-1</f>
        <v>-9.1827364554637469E-3</v>
      </c>
      <c r="X328" s="64">
        <f>X327/T327-1</f>
        <v>-6.4043915827995956E-3</v>
      </c>
      <c r="Y328" s="64">
        <f>Y327/U327-1</f>
        <v>-2.7272727272726893E-3</v>
      </c>
      <c r="Z328" s="36">
        <f>Z327/W327-1</f>
        <v>-1.6682113067655213E-2</v>
      </c>
      <c r="AA328" s="64">
        <f>AA327/W327-1</f>
        <v>4.633920296570837E-3</v>
      </c>
      <c r="AB328" s="64">
        <f>AB327/X327-1</f>
        <v>8.2872928176795924E-3</v>
      </c>
      <c r="AC328" s="64">
        <f>AC327/Y327-1</f>
        <v>-1.8231540565177839E-3</v>
      </c>
      <c r="AD328" s="36">
        <f>AD327/AA327-1</f>
        <v>-1.4760147601476037E-2</v>
      </c>
    </row>
    <row r="329" spans="2:30" ht="13.5" customHeight="1">
      <c r="B329" s="5"/>
      <c r="C329" s="5"/>
      <c r="D329" s="5"/>
      <c r="E329" s="5"/>
      <c r="F329" s="5"/>
    </row>
    <row r="330" spans="2:30" ht="13.5" customHeight="1">
      <c r="B330" s="336" t="s">
        <v>341</v>
      </c>
      <c r="C330" s="47">
        <f>+C3</f>
        <v>44531</v>
      </c>
      <c r="D330" s="47">
        <f>+D3</f>
        <v>44896</v>
      </c>
      <c r="E330" s="47">
        <f>+E3</f>
        <v>45261</v>
      </c>
      <c r="F330" s="47">
        <f>+F3</f>
        <v>45627</v>
      </c>
      <c r="G330" s="47">
        <f>+G3</f>
        <v>45992</v>
      </c>
      <c r="H330" s="47">
        <f>+H3</f>
        <v>46111</v>
      </c>
      <c r="J330" s="47">
        <f>+J3</f>
        <v>44285</v>
      </c>
      <c r="K330" s="253">
        <f>+K3</f>
        <v>44377</v>
      </c>
      <c r="L330" s="253">
        <f>+L3</f>
        <v>44469</v>
      </c>
      <c r="M330" s="47">
        <f>+M3</f>
        <v>44561</v>
      </c>
      <c r="N330" s="47">
        <f>+N3</f>
        <v>44650</v>
      </c>
      <c r="O330" s="47">
        <f>+O3</f>
        <v>44742</v>
      </c>
      <c r="P330" s="47">
        <f>+P3</f>
        <v>44834</v>
      </c>
      <c r="Q330" s="47">
        <f>+Q3</f>
        <v>44926</v>
      </c>
      <c r="R330" s="47">
        <f>+R3</f>
        <v>45015</v>
      </c>
      <c r="S330" s="47">
        <f>+S3</f>
        <v>45107</v>
      </c>
      <c r="T330" s="47">
        <f>+T3</f>
        <v>45199</v>
      </c>
      <c r="U330" s="47">
        <f>+U3</f>
        <v>45291</v>
      </c>
      <c r="V330" s="47">
        <f>+V3</f>
        <v>45381</v>
      </c>
      <c r="W330" s="47">
        <f>+W3</f>
        <v>45473</v>
      </c>
      <c r="X330" s="47">
        <f>+X3</f>
        <v>45565</v>
      </c>
      <c r="Y330" s="47">
        <f>+Y3</f>
        <v>45657</v>
      </c>
      <c r="Z330" s="47">
        <f>+Z3</f>
        <v>45746</v>
      </c>
      <c r="AA330" s="47">
        <f>+AA3</f>
        <v>45838</v>
      </c>
      <c r="AB330" s="47">
        <f>+AB3</f>
        <v>45930</v>
      </c>
      <c r="AC330" s="47">
        <f>+AC3</f>
        <v>46022</v>
      </c>
      <c r="AD330" s="47">
        <f>+AD3</f>
        <v>46111</v>
      </c>
    </row>
    <row r="331" spans="2:30" ht="13.5" customHeight="1">
      <c r="B331" s="1" t="s">
        <v>331</v>
      </c>
      <c r="C331" s="4">
        <v>2597.3000000000002</v>
      </c>
      <c r="D331" s="4">
        <v>3196.7</v>
      </c>
      <c r="E331" s="4">
        <v>3645.5</v>
      </c>
      <c r="F331" s="4">
        <v>3605.1</v>
      </c>
      <c r="G331" s="4">
        <v>3447.5</v>
      </c>
      <c r="H331" s="6">
        <f t="shared" ref="H331:H336" si="706">SUM(AA331:AD331)</f>
        <v>3418.9</v>
      </c>
      <c r="J331" s="4">
        <v>618.9</v>
      </c>
      <c r="K331" s="4">
        <v>628.70000000000005</v>
      </c>
      <c r="L331" s="4">
        <v>659.3</v>
      </c>
      <c r="M331" s="6">
        <f t="shared" ref="M331:M336" si="707">C331-SUM(J331:L331)</f>
        <v>690.40000000000032</v>
      </c>
      <c r="N331" s="4">
        <v>724.6</v>
      </c>
      <c r="O331" s="4">
        <v>755.2</v>
      </c>
      <c r="P331" s="4">
        <v>826.2</v>
      </c>
      <c r="Q331" s="6">
        <f t="shared" ref="Q331:Q336" si="708">D331-SUM(N331:P331)</f>
        <v>890.69999999999982</v>
      </c>
      <c r="R331" s="4">
        <v>887.2</v>
      </c>
      <c r="S331" s="4">
        <v>928.5</v>
      </c>
      <c r="T331" s="4">
        <v>939.5</v>
      </c>
      <c r="U331" s="6">
        <f t="shared" ref="U331:U336" si="709">E331-SUM(R331:T331)</f>
        <v>890.30000000000018</v>
      </c>
      <c r="V331" s="4">
        <v>902.9</v>
      </c>
      <c r="W331" s="4">
        <v>921.6</v>
      </c>
      <c r="X331" s="4">
        <v>917.4</v>
      </c>
      <c r="Y331" s="6">
        <f>F331-SUM(V331:X331)</f>
        <v>863.19999999999982</v>
      </c>
      <c r="Z331" s="4">
        <v>879.7</v>
      </c>
      <c r="AA331" s="4">
        <v>875.7</v>
      </c>
      <c r="AB331" s="4">
        <v>874</v>
      </c>
      <c r="AC331" s="6">
        <f t="shared" ref="AC331:AC336" si="710">G331-SUM(Z331:AB331)</f>
        <v>818.09999999999991</v>
      </c>
      <c r="AD331" s="4">
        <v>851.1</v>
      </c>
    </row>
    <row r="332" spans="2:30" ht="13.5" customHeight="1">
      <c r="B332" s="1" t="s">
        <v>332</v>
      </c>
      <c r="C332" s="4">
        <v>1289.7</v>
      </c>
      <c r="D332" s="4">
        <v>1744.3</v>
      </c>
      <c r="E332" s="4">
        <v>2001.8</v>
      </c>
      <c r="F332" s="4">
        <v>1646.4</v>
      </c>
      <c r="G332" s="4">
        <v>1842.1</v>
      </c>
      <c r="H332" s="6">
        <f t="shared" si="706"/>
        <v>1886.8</v>
      </c>
      <c r="J332" s="4">
        <v>281.5</v>
      </c>
      <c r="K332" s="4">
        <v>302.7</v>
      </c>
      <c r="L332" s="4">
        <v>314.2</v>
      </c>
      <c r="M332" s="6">
        <f t="shared" si="707"/>
        <v>391.29999999999995</v>
      </c>
      <c r="N332" s="4">
        <v>336.5</v>
      </c>
      <c r="O332" s="4">
        <v>410.7</v>
      </c>
      <c r="P332" s="4">
        <v>429</v>
      </c>
      <c r="Q332" s="6">
        <f t="shared" si="708"/>
        <v>568.09999999999991</v>
      </c>
      <c r="R332" s="4">
        <v>453.8</v>
      </c>
      <c r="S332" s="4">
        <v>489.6</v>
      </c>
      <c r="T332" s="4">
        <v>482.6</v>
      </c>
      <c r="U332" s="6">
        <f t="shared" si="709"/>
        <v>575.79999999999995</v>
      </c>
      <c r="V332" s="4">
        <v>491</v>
      </c>
      <c r="W332" s="4">
        <v>445.3</v>
      </c>
      <c r="X332" s="4">
        <v>427.5</v>
      </c>
      <c r="Y332" s="6">
        <f t="shared" ref="Y332:Y336" si="711">F332-SUM(V332:X332)</f>
        <v>282.60000000000014</v>
      </c>
      <c r="Z332" s="4">
        <v>394</v>
      </c>
      <c r="AA332" s="4">
        <v>430.6</v>
      </c>
      <c r="AB332" s="4">
        <v>457.1</v>
      </c>
      <c r="AC332" s="6">
        <f t="shared" si="710"/>
        <v>560.39999999999986</v>
      </c>
      <c r="AD332" s="4">
        <v>438.7</v>
      </c>
    </row>
    <row r="333" spans="2:30" ht="13.5" customHeight="1">
      <c r="B333" s="1" t="s">
        <v>336</v>
      </c>
      <c r="C333" s="4">
        <v>334.6</v>
      </c>
      <c r="D333" s="4">
        <v>420.8</v>
      </c>
      <c r="E333" s="4">
        <v>435.5</v>
      </c>
      <c r="F333" s="4">
        <v>452.2</v>
      </c>
      <c r="G333" s="4">
        <v>511.3</v>
      </c>
      <c r="H333" s="6">
        <f t="shared" si="706"/>
        <v>527.4</v>
      </c>
      <c r="J333" s="4">
        <v>71.2</v>
      </c>
      <c r="K333" s="4">
        <v>85.1</v>
      </c>
      <c r="L333" s="4">
        <v>88.9</v>
      </c>
      <c r="M333" s="6">
        <f t="shared" si="707"/>
        <v>89.4</v>
      </c>
      <c r="N333" s="4">
        <v>91</v>
      </c>
      <c r="O333" s="4">
        <v>113.4</v>
      </c>
      <c r="P333" s="4">
        <v>105.3</v>
      </c>
      <c r="Q333" s="6">
        <f t="shared" si="708"/>
        <v>111.10000000000002</v>
      </c>
      <c r="R333" s="4">
        <v>110.1</v>
      </c>
      <c r="S333" s="4">
        <v>110.9</v>
      </c>
      <c r="T333" s="4">
        <v>112.6</v>
      </c>
      <c r="U333" s="6">
        <f t="shared" si="709"/>
        <v>101.89999999999998</v>
      </c>
      <c r="V333" s="4">
        <v>107.4</v>
      </c>
      <c r="W333" s="4">
        <v>116.3</v>
      </c>
      <c r="X333" s="4">
        <v>117.9</v>
      </c>
      <c r="Y333" s="6">
        <f t="shared" si="711"/>
        <v>110.59999999999997</v>
      </c>
      <c r="Z333" s="4">
        <v>114.8</v>
      </c>
      <c r="AA333" s="4">
        <v>135.30000000000001</v>
      </c>
      <c r="AB333" s="4">
        <v>135.5</v>
      </c>
      <c r="AC333" s="6">
        <f t="shared" si="710"/>
        <v>125.69999999999999</v>
      </c>
      <c r="AD333" s="4">
        <v>130.9</v>
      </c>
    </row>
    <row r="334" spans="2:30" ht="13.5" customHeight="1">
      <c r="B334" s="1" t="s">
        <v>337</v>
      </c>
      <c r="C334" s="4">
        <v>264.10000000000002</v>
      </c>
      <c r="D334" s="4">
        <v>322.60000000000002</v>
      </c>
      <c r="E334" s="4">
        <v>365</v>
      </c>
      <c r="F334" s="4">
        <v>393.4</v>
      </c>
      <c r="G334" s="4">
        <v>397</v>
      </c>
      <c r="H334" s="6">
        <f t="shared" si="706"/>
        <v>403.29999999999995</v>
      </c>
      <c r="J334" s="4">
        <v>61.1</v>
      </c>
      <c r="K334" s="4">
        <v>60.9</v>
      </c>
      <c r="L334" s="4">
        <v>68.2</v>
      </c>
      <c r="M334" s="6">
        <f t="shared" si="707"/>
        <v>73.900000000000034</v>
      </c>
      <c r="N334" s="4">
        <v>70.599999999999994</v>
      </c>
      <c r="O334" s="4">
        <v>77.099999999999994</v>
      </c>
      <c r="P334" s="4">
        <v>84.7</v>
      </c>
      <c r="Q334" s="6">
        <f t="shared" si="708"/>
        <v>90.200000000000045</v>
      </c>
      <c r="R334" s="4">
        <v>89.5</v>
      </c>
      <c r="S334" s="4">
        <v>88.1</v>
      </c>
      <c r="T334" s="4">
        <v>90</v>
      </c>
      <c r="U334" s="6">
        <f t="shared" si="709"/>
        <v>97.399999999999977</v>
      </c>
      <c r="V334" s="4">
        <v>95.9</v>
      </c>
      <c r="W334" s="4">
        <v>97.7</v>
      </c>
      <c r="X334" s="4">
        <v>99.3</v>
      </c>
      <c r="Y334" s="6">
        <f t="shared" si="711"/>
        <v>100.49999999999994</v>
      </c>
      <c r="Z334" s="4">
        <v>96.6</v>
      </c>
      <c r="AA334" s="4">
        <v>96.6</v>
      </c>
      <c r="AB334" s="4">
        <v>101.4</v>
      </c>
      <c r="AC334" s="6">
        <f t="shared" si="710"/>
        <v>102.39999999999998</v>
      </c>
      <c r="AD334" s="4">
        <v>102.9</v>
      </c>
    </row>
    <row r="335" spans="2:30" ht="13.5" customHeight="1">
      <c r="B335" s="1" t="s">
        <v>338</v>
      </c>
      <c r="C335" s="1">
        <v>240.2</v>
      </c>
      <c r="D335" s="4">
        <v>241.5</v>
      </c>
      <c r="E335" s="4">
        <v>257.10000000000002</v>
      </c>
      <c r="F335" s="4">
        <v>267.39999999999998</v>
      </c>
      <c r="G335" s="4">
        <v>281.39999999999998</v>
      </c>
      <c r="H335" s="6">
        <f t="shared" si="706"/>
        <v>292.39999999999998</v>
      </c>
      <c r="J335" s="4">
        <v>59</v>
      </c>
      <c r="K335" s="4">
        <v>58.1</v>
      </c>
      <c r="L335" s="4">
        <v>60.4</v>
      </c>
      <c r="M335" s="6">
        <f t="shared" si="707"/>
        <v>62.699999999999989</v>
      </c>
      <c r="N335" s="4">
        <v>60.2</v>
      </c>
      <c r="O335" s="4">
        <v>55.1</v>
      </c>
      <c r="P335" s="4">
        <v>60.9</v>
      </c>
      <c r="Q335" s="6">
        <f t="shared" si="708"/>
        <v>65.299999999999983</v>
      </c>
      <c r="R335" s="4">
        <v>64.3</v>
      </c>
      <c r="S335" s="4">
        <v>60.7</v>
      </c>
      <c r="T335" s="4">
        <v>65.099999999999994</v>
      </c>
      <c r="U335" s="6">
        <f t="shared" si="709"/>
        <v>67.000000000000028</v>
      </c>
      <c r="V335" s="4">
        <v>65.400000000000006</v>
      </c>
      <c r="W335" s="4">
        <v>65.400000000000006</v>
      </c>
      <c r="X335" s="4">
        <v>68.099999999999994</v>
      </c>
      <c r="Y335" s="6">
        <f t="shared" si="711"/>
        <v>68.499999999999972</v>
      </c>
      <c r="Z335" s="4">
        <v>66.8</v>
      </c>
      <c r="AA335" s="4">
        <v>68</v>
      </c>
      <c r="AB335" s="4">
        <v>72.5</v>
      </c>
      <c r="AC335" s="6">
        <f t="shared" si="710"/>
        <v>74.099999999999966</v>
      </c>
      <c r="AD335" s="4">
        <v>77.8</v>
      </c>
    </row>
    <row r="336" spans="2:30" ht="13.5" customHeight="1">
      <c r="B336" s="1" t="s">
        <v>339</v>
      </c>
      <c r="C336" s="4">
        <v>-102</v>
      </c>
      <c r="D336" s="4">
        <v>-329.3</v>
      </c>
      <c r="E336" s="4">
        <v>-128.69999999999999</v>
      </c>
      <c r="F336" s="4">
        <v>122.5</v>
      </c>
      <c r="G336" s="4">
        <v>-104.7</v>
      </c>
      <c r="H336" s="6">
        <f t="shared" si="706"/>
        <v>-78.100000000000009</v>
      </c>
      <c r="J336" s="4">
        <v>-14</v>
      </c>
      <c r="K336" s="4">
        <v>-7</v>
      </c>
      <c r="L336" s="4">
        <v>-4</v>
      </c>
      <c r="M336" s="6">
        <f t="shared" si="707"/>
        <v>-77</v>
      </c>
      <c r="N336" s="4">
        <v>-19</v>
      </c>
      <c r="O336" s="4">
        <v>-74.099999999999994</v>
      </c>
      <c r="P336" s="4">
        <v>-67.3</v>
      </c>
      <c r="Q336" s="6">
        <f t="shared" si="708"/>
        <v>-168.90000000000003</v>
      </c>
      <c r="R336" s="4">
        <v>-19</v>
      </c>
      <c r="S336" s="4">
        <v>-21.2</v>
      </c>
      <c r="T336" s="4">
        <v>4.0999999999999996</v>
      </c>
      <c r="U336" s="6">
        <f t="shared" si="709"/>
        <v>-92.6</v>
      </c>
      <c r="V336" s="4">
        <v>-15.3</v>
      </c>
      <c r="W336" s="4">
        <v>14.6</v>
      </c>
      <c r="X336" s="4">
        <v>-6.8</v>
      </c>
      <c r="Y336" s="6">
        <f t="shared" si="711"/>
        <v>130</v>
      </c>
      <c r="Z336" s="4">
        <v>-3.4</v>
      </c>
      <c r="AA336" s="4">
        <v>-5.5</v>
      </c>
      <c r="AB336" s="4">
        <v>-4.9000000000000004</v>
      </c>
      <c r="AC336" s="6">
        <f t="shared" si="710"/>
        <v>-90.9</v>
      </c>
      <c r="AD336" s="4">
        <v>23.2</v>
      </c>
    </row>
    <row r="337" spans="2:30" ht="13.5" customHeight="1">
      <c r="B337" s="5" t="s">
        <v>340</v>
      </c>
      <c r="C337" s="8">
        <f t="shared" ref="C337:D337" si="712">SUM(C331:C336)</f>
        <v>4623.9000000000005</v>
      </c>
      <c r="D337" s="8">
        <f t="shared" si="712"/>
        <v>5596.6</v>
      </c>
      <c r="E337" s="8">
        <f t="shared" ref="E337:F337" si="713">SUM(E331:E336)</f>
        <v>6576.2000000000007</v>
      </c>
      <c r="F337" s="8">
        <f t="shared" si="713"/>
        <v>6486.9999999999991</v>
      </c>
      <c r="G337" s="8">
        <f t="shared" ref="G337" si="714">SUM(G331:G336)</f>
        <v>6374.6</v>
      </c>
      <c r="H337" s="8">
        <f t="shared" ref="H337" si="715">SUM(H331:H336)</f>
        <v>6450.6999999999989</v>
      </c>
      <c r="J337" s="8">
        <f t="shared" ref="J337:P337" si="716">SUM(J331:J336)</f>
        <v>1077.7</v>
      </c>
      <c r="K337" s="8">
        <f t="shared" si="716"/>
        <v>1128.5</v>
      </c>
      <c r="L337" s="8">
        <f t="shared" si="716"/>
        <v>1187.0000000000002</v>
      </c>
      <c r="M337" s="8">
        <f t="shared" si="716"/>
        <v>1230.7000000000005</v>
      </c>
      <c r="N337" s="8">
        <f t="shared" si="716"/>
        <v>1263.8999999999999</v>
      </c>
      <c r="O337" s="8">
        <f t="shared" si="716"/>
        <v>1337.4</v>
      </c>
      <c r="P337" s="8">
        <f t="shared" si="716"/>
        <v>1438.8000000000002</v>
      </c>
      <c r="Q337" s="8">
        <f t="shared" ref="Q337:T337" si="717">SUM(Q331:Q336)</f>
        <v>1556.4999999999995</v>
      </c>
      <c r="R337" s="8">
        <f t="shared" si="717"/>
        <v>1585.8999999999999</v>
      </c>
      <c r="S337" s="8">
        <f t="shared" si="717"/>
        <v>1656.6</v>
      </c>
      <c r="T337" s="8">
        <f t="shared" si="717"/>
        <v>1693.8999999999996</v>
      </c>
      <c r="U337" s="8">
        <f t="shared" ref="U337:W337" si="718">SUM(U331:U336)</f>
        <v>1639.8000000000002</v>
      </c>
      <c r="V337" s="8">
        <f t="shared" si="718"/>
        <v>1647.3000000000004</v>
      </c>
      <c r="W337" s="8">
        <f t="shared" si="718"/>
        <v>1660.9</v>
      </c>
      <c r="X337" s="8">
        <f t="shared" ref="X337:AA337" si="719">SUM(X331:X336)</f>
        <v>1623.4</v>
      </c>
      <c r="Y337" s="8">
        <f t="shared" si="719"/>
        <v>1555.3999999999999</v>
      </c>
      <c r="Z337" s="8">
        <f t="shared" si="719"/>
        <v>1548.4999999999998</v>
      </c>
      <c r="AA337" s="8">
        <f t="shared" si="719"/>
        <v>1600.7</v>
      </c>
      <c r="AB337" s="8">
        <f t="shared" ref="AB337:AD337" si="720">SUM(AB331:AB336)</f>
        <v>1635.6</v>
      </c>
      <c r="AC337" s="8">
        <f t="shared" si="720"/>
        <v>1589.7999999999997</v>
      </c>
      <c r="AD337" s="8">
        <f t="shared" si="720"/>
        <v>1624.6000000000001</v>
      </c>
    </row>
    <row r="338" spans="2:30" s="56" customFormat="1" ht="13.5" customHeight="1">
      <c r="B338" s="78" t="s">
        <v>232</v>
      </c>
      <c r="C338" s="64"/>
      <c r="D338" s="64">
        <f>D337/C337-1</f>
        <v>0.21036354592443596</v>
      </c>
      <c r="E338" s="64">
        <f>E337/D337-1</f>
        <v>0.17503484258299684</v>
      </c>
      <c r="F338" s="64">
        <f>F337/E337-1</f>
        <v>-1.3564064353274174E-2</v>
      </c>
      <c r="G338" s="64">
        <f>G337/F337-1</f>
        <v>-1.7326961615538594E-2</v>
      </c>
      <c r="H338" s="36"/>
      <c r="J338" s="64"/>
      <c r="K338" s="64"/>
      <c r="L338" s="250"/>
      <c r="M338" s="36">
        <f>M337/J337-1</f>
        <v>0.14196900807274804</v>
      </c>
      <c r="N338" s="64">
        <f>N337/J337-1</f>
        <v>0.17277535492251994</v>
      </c>
      <c r="O338" s="64">
        <f>O337/K337-1</f>
        <v>0.18511298183429337</v>
      </c>
      <c r="P338" s="64">
        <f>P337/L337-1</f>
        <v>0.21213142375737148</v>
      </c>
      <c r="Q338" s="64">
        <f>Q337/M337-1</f>
        <v>0.26472739091573816</v>
      </c>
      <c r="R338" s="36">
        <f>R337/O337-1</f>
        <v>0.18580828473156852</v>
      </c>
      <c r="S338" s="64">
        <f>S337/O337-1</f>
        <v>0.2386720502467472</v>
      </c>
      <c r="T338" s="64">
        <f>T337/P337-1</f>
        <v>0.17730052821795894</v>
      </c>
      <c r="U338" s="64">
        <f>U337/Q337-1</f>
        <v>5.3517507227754946E-2</v>
      </c>
      <c r="V338" s="36">
        <f>V337/S337-1</f>
        <v>-5.6139080043459133E-3</v>
      </c>
      <c r="W338" s="64">
        <f>W337/S337-1</f>
        <v>2.5956778944828951E-3</v>
      </c>
      <c r="X338" s="64">
        <f>X337/T337-1</f>
        <v>-4.1619930338272382E-2</v>
      </c>
      <c r="Y338" s="64">
        <f>Y337/U337-1</f>
        <v>-5.1469691425783837E-2</v>
      </c>
      <c r="Z338" s="36">
        <f>Z337/W337-1</f>
        <v>-6.7674152567885115E-2</v>
      </c>
      <c r="AA338" s="64">
        <f>AA337/W337-1</f>
        <v>-3.6245409115539751E-2</v>
      </c>
      <c r="AB338" s="64">
        <f>AB337/X337-1</f>
        <v>7.5150917826782848E-3</v>
      </c>
      <c r="AC338" s="64">
        <f>AC337/Y337-1</f>
        <v>2.2116497364021992E-2</v>
      </c>
      <c r="AD338" s="36">
        <f>AD337/AA337-1</f>
        <v>1.4930967701630493E-2</v>
      </c>
    </row>
    <row r="339" spans="2:30" s="386" customFormat="1" ht="13.5" customHeight="1">
      <c r="B339" s="384" t="s">
        <v>342</v>
      </c>
      <c r="C339" s="385">
        <f>+C337-C7</f>
        <v>0.32900000000063301</v>
      </c>
      <c r="D339" s="385">
        <f>+D337-D7</f>
        <v>-2.099999999973079E-2</v>
      </c>
      <c r="E339" s="385">
        <f>+E337-E7</f>
        <v>-2.9999999998835847E-2</v>
      </c>
      <c r="F339" s="385">
        <f>+F337-F7</f>
        <v>5.7999999999083229E-2</v>
      </c>
      <c r="G339" s="385">
        <f>+G337-G7</f>
        <v>-2.2999999999228748E-2</v>
      </c>
      <c r="H339" s="385">
        <f>+H337-H7</f>
        <v>-0.14200000000073487</v>
      </c>
      <c r="J339" s="385">
        <f>+J337-J7</f>
        <v>-4.6000000000049113E-2</v>
      </c>
      <c r="K339" s="385">
        <f>+K337-K7</f>
        <v>0.45800000000008367</v>
      </c>
      <c r="L339" s="385">
        <f>+L337-L7</f>
        <v>6.700000000023465E-2</v>
      </c>
      <c r="M339" s="385">
        <f>+M337-M7</f>
        <v>-0.14999999999940883</v>
      </c>
      <c r="N339" s="385">
        <f>+N337-N7</f>
        <v>0.29299999999989268</v>
      </c>
      <c r="O339" s="385">
        <f>+O337-O7</f>
        <v>6.0000000000854925E-3</v>
      </c>
      <c r="P339" s="385">
        <f>+P337-P7</f>
        <v>5.2000000000134605E-2</v>
      </c>
      <c r="Q339" s="385">
        <f>+Q337-Q7</f>
        <v>-0.37200000000029831</v>
      </c>
      <c r="R339" s="385">
        <f>+R337-R7</f>
        <v>0.3249999999998181</v>
      </c>
      <c r="S339" s="385">
        <f>+S337-S7</f>
        <v>-0.14499999999998181</v>
      </c>
      <c r="T339" s="385">
        <f>+T337-T7</f>
        <v>9.2999999999619831E-2</v>
      </c>
      <c r="U339" s="385">
        <f>+U337-U7</f>
        <v>-0.30299999999988358</v>
      </c>
      <c r="V339" s="385">
        <f>+V337-V7</f>
        <v>6.0000000003128662E-3</v>
      </c>
      <c r="W339" s="385">
        <f>+W337-W7</f>
        <v>-3.9999999999054126E-3</v>
      </c>
      <c r="X339" s="385">
        <f>+X337-X7</f>
        <v>-3.8000000000010914E-2</v>
      </c>
      <c r="Y339" s="385">
        <f>+Y337-Y7</f>
        <v>9.4000000000278305E-2</v>
      </c>
      <c r="Z339" s="385">
        <f>+Z337-Z7</f>
        <v>-9.0000000002419256E-3</v>
      </c>
      <c r="AA339" s="385">
        <f>+AA337-AA7</f>
        <v>-2.7000000000043656E-2</v>
      </c>
      <c r="AB339" s="385">
        <f>+AB337-AB7</f>
        <v>-2.1000000000185537E-2</v>
      </c>
      <c r="AC339" s="385">
        <f>+AC337-AC7</f>
        <v>3.4000000000105501E-2</v>
      </c>
      <c r="AD339" s="385">
        <f>+AD337-AD7</f>
        <v>-0.12799999999992906</v>
      </c>
    </row>
    <row r="340" spans="2:30" s="386" customFormat="1" ht="13.5" customHeight="1">
      <c r="B340" s="384"/>
      <c r="C340" s="385"/>
      <c r="D340" s="385"/>
      <c r="E340" s="385"/>
      <c r="F340" s="385"/>
      <c r="G340" s="385"/>
      <c r="H340" s="385"/>
      <c r="J340" s="385"/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</row>
    <row r="341" spans="2:30" s="386" customFormat="1" ht="13.5" customHeight="1">
      <c r="B341" s="387" t="s">
        <v>343</v>
      </c>
      <c r="C341" s="385"/>
      <c r="D341" s="385"/>
      <c r="E341" s="385"/>
      <c r="F341" s="385"/>
      <c r="G341" s="385"/>
      <c r="H341" s="385"/>
      <c r="J341" s="385"/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</row>
    <row r="342" spans="2:30" s="386" customFormat="1" ht="13.5" customHeight="1">
      <c r="B342" s="1" t="s">
        <v>331</v>
      </c>
      <c r="C342" s="289">
        <f>C331/C$337</f>
        <v>0.56171197473993817</v>
      </c>
      <c r="D342" s="289">
        <f t="shared" ref="D342:AD347" si="721">D331/D$337</f>
        <v>0.57118607726119419</v>
      </c>
      <c r="E342" s="289">
        <f t="shared" si="721"/>
        <v>0.55434749551412665</v>
      </c>
      <c r="F342" s="289">
        <f t="shared" si="721"/>
        <v>0.55574225373824582</v>
      </c>
      <c r="G342" s="289">
        <f t="shared" si="721"/>
        <v>0.54081824741944584</v>
      </c>
      <c r="H342" s="289">
        <f t="shared" si="721"/>
        <v>0.53000449563613261</v>
      </c>
      <c r="J342" s="289">
        <f t="shared" si="721"/>
        <v>0.57427855618446688</v>
      </c>
      <c r="K342" s="289">
        <f t="shared" si="721"/>
        <v>0.55711120957022597</v>
      </c>
      <c r="L342" s="289">
        <f t="shared" si="721"/>
        <v>0.55543386689132257</v>
      </c>
      <c r="M342" s="289">
        <f t="shared" si="721"/>
        <v>0.56098155521248072</v>
      </c>
      <c r="N342" s="289">
        <f t="shared" si="721"/>
        <v>0.57330485006725218</v>
      </c>
      <c r="O342" s="289">
        <f t="shared" si="721"/>
        <v>0.56467773291461043</v>
      </c>
      <c r="P342" s="289">
        <f t="shared" si="721"/>
        <v>0.57422852376980815</v>
      </c>
      <c r="Q342" s="289">
        <f t="shared" si="721"/>
        <v>0.57224542242210097</v>
      </c>
      <c r="R342" s="289">
        <f t="shared" si="721"/>
        <v>0.5594299766693992</v>
      </c>
      <c r="S342" s="289">
        <f t="shared" si="721"/>
        <v>0.56048533140166612</v>
      </c>
      <c r="T342" s="289">
        <f t="shared" si="721"/>
        <v>0.55463722769939205</v>
      </c>
      <c r="U342" s="289">
        <f t="shared" si="721"/>
        <v>0.5429320648859618</v>
      </c>
      <c r="V342" s="289">
        <f t="shared" si="721"/>
        <v>0.54810902689249064</v>
      </c>
      <c r="W342" s="289">
        <f t="shared" si="721"/>
        <v>0.55487988440002411</v>
      </c>
      <c r="X342" s="289">
        <f t="shared" si="721"/>
        <v>0.56511026241222118</v>
      </c>
      <c r="Y342" s="289">
        <f t="shared" si="721"/>
        <v>0.55496978269255492</v>
      </c>
      <c r="Z342" s="289">
        <f t="shared" si="721"/>
        <v>0.56809815950920262</v>
      </c>
      <c r="AA342" s="289">
        <f t="shared" si="721"/>
        <v>0.54707315549447122</v>
      </c>
      <c r="AB342" s="289">
        <f t="shared" si="721"/>
        <v>0.53436047933480069</v>
      </c>
      <c r="AC342" s="289">
        <f t="shared" si="721"/>
        <v>0.51459303056988304</v>
      </c>
      <c r="AD342" s="289">
        <f t="shared" si="721"/>
        <v>0.52388280192047265</v>
      </c>
    </row>
    <row r="343" spans="2:30" s="386" customFormat="1" ht="13.5" customHeight="1">
      <c r="B343" s="1" t="s">
        <v>332</v>
      </c>
      <c r="C343" s="289">
        <f t="shared" ref="C343:R348" si="722">C332/C$337</f>
        <v>0.27892039187698692</v>
      </c>
      <c r="D343" s="289">
        <f t="shared" si="722"/>
        <v>0.3116713719043705</v>
      </c>
      <c r="E343" s="289">
        <f t="shared" si="722"/>
        <v>0.30440071773972804</v>
      </c>
      <c r="F343" s="289">
        <f t="shared" si="722"/>
        <v>0.2537999075073224</v>
      </c>
      <c r="G343" s="289">
        <f t="shared" si="722"/>
        <v>0.2889749945094594</v>
      </c>
      <c r="H343" s="289">
        <f t="shared" si="722"/>
        <v>0.29249538809741582</v>
      </c>
      <c r="J343" s="289">
        <f t="shared" si="722"/>
        <v>0.26120441681358447</v>
      </c>
      <c r="K343" s="289">
        <f t="shared" si="722"/>
        <v>0.26823216659282234</v>
      </c>
      <c r="L343" s="289">
        <f t="shared" si="722"/>
        <v>0.26470092670598139</v>
      </c>
      <c r="M343" s="289">
        <f t="shared" si="722"/>
        <v>0.31794913463882329</v>
      </c>
      <c r="N343" s="289">
        <f t="shared" si="722"/>
        <v>0.26623941767544901</v>
      </c>
      <c r="O343" s="289">
        <f t="shared" si="722"/>
        <v>0.30708838043965903</v>
      </c>
      <c r="P343" s="289">
        <f t="shared" si="722"/>
        <v>0.29816513761467889</v>
      </c>
      <c r="Q343" s="289">
        <f t="shared" si="722"/>
        <v>0.36498554449084492</v>
      </c>
      <c r="R343" s="289">
        <f t="shared" si="722"/>
        <v>0.28614666750740908</v>
      </c>
      <c r="S343" s="289">
        <f t="shared" si="721"/>
        <v>0.29554509235784138</v>
      </c>
      <c r="T343" s="289">
        <f t="shared" si="721"/>
        <v>0.28490465789007624</v>
      </c>
      <c r="U343" s="289">
        <f t="shared" si="721"/>
        <v>0.35114038297353328</v>
      </c>
      <c r="V343" s="289">
        <f t="shared" si="721"/>
        <v>0.29806349784495834</v>
      </c>
      <c r="W343" s="289">
        <f t="shared" si="721"/>
        <v>0.2681076524775724</v>
      </c>
      <c r="X343" s="289">
        <f t="shared" si="721"/>
        <v>0.26333620795860541</v>
      </c>
      <c r="Y343" s="289">
        <f t="shared" si="721"/>
        <v>0.1816895975311818</v>
      </c>
      <c r="Z343" s="289">
        <f t="shared" si="721"/>
        <v>0.25443978043267684</v>
      </c>
      <c r="AA343" s="289">
        <f t="shared" si="721"/>
        <v>0.26900730930218031</v>
      </c>
      <c r="AB343" s="289">
        <f t="shared" si="721"/>
        <v>0.2794693078992419</v>
      </c>
      <c r="AC343" s="289">
        <f t="shared" si="721"/>
        <v>0.35249716945527737</v>
      </c>
      <c r="AD343" s="289">
        <f t="shared" si="721"/>
        <v>0.27003570109565428</v>
      </c>
    </row>
    <row r="344" spans="2:30" s="386" customFormat="1" ht="13.5" customHeight="1">
      <c r="B344" s="1" t="s">
        <v>336</v>
      </c>
      <c r="C344" s="289">
        <f t="shared" si="722"/>
        <v>7.236315664266095E-2</v>
      </c>
      <c r="D344" s="289">
        <f t="shared" si="721"/>
        <v>7.5188507308008426E-2</v>
      </c>
      <c r="E344" s="289">
        <f t="shared" si="721"/>
        <v>6.6223654998327289E-2</v>
      </c>
      <c r="F344" s="289">
        <f t="shared" si="721"/>
        <v>6.9708648065361506E-2</v>
      </c>
      <c r="G344" s="289">
        <f t="shared" si="721"/>
        <v>8.0208954287327827E-2</v>
      </c>
      <c r="H344" s="289">
        <f t="shared" si="721"/>
        <v>8.1758568837490511E-2</v>
      </c>
      <c r="J344" s="289">
        <f t="shared" si="721"/>
        <v>6.6066623364572696E-2</v>
      </c>
      <c r="K344" s="289">
        <f t="shared" si="721"/>
        <v>7.5409836065573763E-2</v>
      </c>
      <c r="L344" s="289">
        <f t="shared" si="721"/>
        <v>7.4894692502106147E-2</v>
      </c>
      <c r="M344" s="289">
        <f t="shared" si="721"/>
        <v>7.2641586089217489E-2</v>
      </c>
      <c r="N344" s="289">
        <f t="shared" si="721"/>
        <v>7.1999367038531534E-2</v>
      </c>
      <c r="O344" s="289">
        <f t="shared" si="721"/>
        <v>8.4791386271870786E-2</v>
      </c>
      <c r="P344" s="289">
        <f t="shared" si="721"/>
        <v>7.3185988323602985E-2</v>
      </c>
      <c r="Q344" s="289">
        <f t="shared" si="721"/>
        <v>7.1378091872791552E-2</v>
      </c>
      <c r="R344" s="289">
        <f t="shared" si="721"/>
        <v>6.9424301658364343E-2</v>
      </c>
      <c r="S344" s="289">
        <f t="shared" si="721"/>
        <v>6.6944343836774126E-2</v>
      </c>
      <c r="T344" s="289">
        <f t="shared" si="721"/>
        <v>6.6473817816872324E-2</v>
      </c>
      <c r="U344" s="289">
        <f t="shared" si="721"/>
        <v>6.214172460056102E-2</v>
      </c>
      <c r="V344" s="289">
        <f t="shared" si="721"/>
        <v>6.5197596066290275E-2</v>
      </c>
      <c r="W344" s="289">
        <f t="shared" si="721"/>
        <v>7.0022277078692269E-2</v>
      </c>
      <c r="X344" s="289">
        <f t="shared" si="721"/>
        <v>7.26253541948996E-2</v>
      </c>
      <c r="Y344" s="289">
        <f t="shared" si="721"/>
        <v>7.1107110711071092E-2</v>
      </c>
      <c r="Z344" s="289">
        <f t="shared" si="721"/>
        <v>7.4136260897642886E-2</v>
      </c>
      <c r="AA344" s="289">
        <f t="shared" si="721"/>
        <v>8.4525520084962835E-2</v>
      </c>
      <c r="AB344" s="289">
        <f t="shared" si="721"/>
        <v>8.2844216189777456E-2</v>
      </c>
      <c r="AC344" s="289">
        <f t="shared" si="721"/>
        <v>7.9066549251478185E-2</v>
      </c>
      <c r="AD344" s="289">
        <f t="shared" si="721"/>
        <v>8.0573679674996915E-2</v>
      </c>
    </row>
    <row r="345" spans="2:30" s="386" customFormat="1" ht="13.5" customHeight="1">
      <c r="B345" s="1" t="s">
        <v>337</v>
      </c>
      <c r="C345" s="289">
        <f t="shared" si="722"/>
        <v>5.7116287116935921E-2</v>
      </c>
      <c r="D345" s="289">
        <f t="shared" si="721"/>
        <v>5.7642139870635746E-2</v>
      </c>
      <c r="E345" s="289">
        <f t="shared" si="721"/>
        <v>5.5503178127185908E-2</v>
      </c>
      <c r="F345" s="289">
        <f t="shared" si="721"/>
        <v>6.0644365654385697E-2</v>
      </c>
      <c r="G345" s="289">
        <f t="shared" si="721"/>
        <v>6.2278417469331403E-2</v>
      </c>
      <c r="H345" s="289">
        <f t="shared" si="721"/>
        <v>6.2520346629048013E-2</v>
      </c>
      <c r="J345" s="289">
        <f t="shared" si="721"/>
        <v>5.6694813027744269E-2</v>
      </c>
      <c r="K345" s="289">
        <f t="shared" si="721"/>
        <v>5.3965440850686754E-2</v>
      </c>
      <c r="L345" s="289">
        <f t="shared" si="721"/>
        <v>5.7455770850884574E-2</v>
      </c>
      <c r="M345" s="289">
        <f t="shared" si="721"/>
        <v>6.0047127650930371E-2</v>
      </c>
      <c r="N345" s="289">
        <f t="shared" si="721"/>
        <v>5.5858849592531054E-2</v>
      </c>
      <c r="O345" s="289">
        <f t="shared" si="721"/>
        <v>5.7649170031404212E-2</v>
      </c>
      <c r="P345" s="289">
        <f t="shared" si="721"/>
        <v>5.8868501529051979E-2</v>
      </c>
      <c r="Q345" s="289">
        <f t="shared" si="721"/>
        <v>5.7950530035335734E-2</v>
      </c>
      <c r="R345" s="289">
        <f t="shared" si="721"/>
        <v>5.64348319566177E-2</v>
      </c>
      <c r="S345" s="289">
        <f t="shared" si="721"/>
        <v>5.318121453579621E-2</v>
      </c>
      <c r="T345" s="289">
        <f t="shared" si="721"/>
        <v>5.3131825963752301E-2</v>
      </c>
      <c r="U345" s="289">
        <f t="shared" si="721"/>
        <v>5.9397487498475406E-2</v>
      </c>
      <c r="V345" s="289">
        <f t="shared" si="721"/>
        <v>5.8216475444667022E-2</v>
      </c>
      <c r="W345" s="289">
        <f t="shared" si="721"/>
        <v>5.8823529411764705E-2</v>
      </c>
      <c r="X345" s="289">
        <f t="shared" si="721"/>
        <v>6.1167919181963772E-2</v>
      </c>
      <c r="Y345" s="289">
        <f t="shared" si="721"/>
        <v>6.4613604217564582E-2</v>
      </c>
      <c r="Z345" s="289">
        <f t="shared" si="721"/>
        <v>6.2382951243138529E-2</v>
      </c>
      <c r="AA345" s="289">
        <f t="shared" si="721"/>
        <v>6.0348597488598735E-2</v>
      </c>
      <c r="AB345" s="289">
        <f t="shared" si="721"/>
        <v>6.1995597945708004E-2</v>
      </c>
      <c r="AC345" s="289">
        <f t="shared" si="721"/>
        <v>6.4410617687759464E-2</v>
      </c>
      <c r="AD345" s="289">
        <f t="shared" si="721"/>
        <v>6.3338667979810415E-2</v>
      </c>
    </row>
    <row r="346" spans="2:30" s="386" customFormat="1" ht="13.5" customHeight="1">
      <c r="B346" s="1" t="s">
        <v>338</v>
      </c>
      <c r="C346" s="289">
        <f t="shared" si="722"/>
        <v>5.1947490213888697E-2</v>
      </c>
      <c r="D346" s="289">
        <f t="shared" si="721"/>
        <v>4.3151198942214912E-2</v>
      </c>
      <c r="E346" s="289">
        <f t="shared" si="721"/>
        <v>3.9095526291779446E-2</v>
      </c>
      <c r="F346" s="289">
        <f t="shared" si="721"/>
        <v>4.1220903345151848E-2</v>
      </c>
      <c r="G346" s="289">
        <f t="shared" si="721"/>
        <v>4.4143946286825837E-2</v>
      </c>
      <c r="H346" s="289">
        <f t="shared" si="721"/>
        <v>4.5328413970576839E-2</v>
      </c>
      <c r="J346" s="289">
        <f t="shared" si="721"/>
        <v>5.4746218799294789E-2</v>
      </c>
      <c r="K346" s="289">
        <f t="shared" si="721"/>
        <v>5.1484271156402306E-2</v>
      </c>
      <c r="L346" s="289">
        <f t="shared" si="721"/>
        <v>5.088458298230833E-2</v>
      </c>
      <c r="M346" s="289">
        <f t="shared" si="721"/>
        <v>5.094661574713575E-2</v>
      </c>
      <c r="N346" s="289">
        <f t="shared" si="721"/>
        <v>4.7630350502413175E-2</v>
      </c>
      <c r="O346" s="289">
        <f t="shared" si="721"/>
        <v>4.1199342006879018E-2</v>
      </c>
      <c r="P346" s="289">
        <f t="shared" si="721"/>
        <v>4.2326939115929933E-2</v>
      </c>
      <c r="Q346" s="289">
        <f t="shared" si="721"/>
        <v>4.1953099903629942E-2</v>
      </c>
      <c r="R346" s="289">
        <f t="shared" si="721"/>
        <v>4.0544801059335396E-2</v>
      </c>
      <c r="S346" s="289">
        <f t="shared" si="721"/>
        <v>3.6641313533743815E-2</v>
      </c>
      <c r="T346" s="289">
        <f t="shared" si="721"/>
        <v>3.8432020780447496E-2</v>
      </c>
      <c r="U346" s="289">
        <f t="shared" si="721"/>
        <v>4.0858641297719246E-2</v>
      </c>
      <c r="V346" s="289">
        <f t="shared" si="721"/>
        <v>3.9701329448187939E-2</v>
      </c>
      <c r="W346" s="289">
        <f t="shared" si="721"/>
        <v>3.9376241796616293E-2</v>
      </c>
      <c r="X346" s="289">
        <f t="shared" si="721"/>
        <v>4.1948995934458541E-2</v>
      </c>
      <c r="Y346" s="289">
        <f t="shared" si="721"/>
        <v>4.4040118297544027E-2</v>
      </c>
      <c r="Z346" s="289">
        <f t="shared" si="721"/>
        <v>4.3138521149499523E-2</v>
      </c>
      <c r="AA346" s="289">
        <f t="shared" si="721"/>
        <v>4.248141438120822E-2</v>
      </c>
      <c r="AB346" s="289">
        <f t="shared" si="721"/>
        <v>4.4326241134751775E-2</v>
      </c>
      <c r="AC346" s="289">
        <f t="shared" si="721"/>
        <v>4.6609636432255616E-2</v>
      </c>
      <c r="AD346" s="289">
        <f t="shared" si="721"/>
        <v>4.7888711067339648E-2</v>
      </c>
    </row>
    <row r="347" spans="2:30" s="386" customFormat="1" ht="13.5" customHeight="1">
      <c r="B347" s="1" t="s">
        <v>339</v>
      </c>
      <c r="C347" s="289">
        <f t="shared" si="722"/>
        <v>-2.205930059041069E-2</v>
      </c>
      <c r="D347" s="289">
        <f t="shared" si="721"/>
        <v>-5.8839295286423898E-2</v>
      </c>
      <c r="E347" s="289">
        <f t="shared" si="721"/>
        <v>-1.9570572671147469E-2</v>
      </c>
      <c r="F347" s="289">
        <f t="shared" si="721"/>
        <v>1.8883921689532915E-2</v>
      </c>
      <c r="G347" s="289">
        <f t="shared" si="721"/>
        <v>-1.6424559972390423E-2</v>
      </c>
      <c r="H347" s="289">
        <f t="shared" si="721"/>
        <v>-1.2107213170663652E-2</v>
      </c>
      <c r="J347" s="289">
        <f t="shared" si="721"/>
        <v>-1.2990628189663171E-2</v>
      </c>
      <c r="K347" s="289">
        <f t="shared" si="721"/>
        <v>-6.202924235711121E-3</v>
      </c>
      <c r="L347" s="289">
        <f t="shared" si="721"/>
        <v>-3.3698399326032007E-3</v>
      </c>
      <c r="M347" s="289">
        <f t="shared" si="721"/>
        <v>-6.2566019338587769E-2</v>
      </c>
      <c r="N347" s="289">
        <f t="shared" si="721"/>
        <v>-1.5032834876176914E-2</v>
      </c>
      <c r="O347" s="289">
        <f t="shared" si="721"/>
        <v>-5.54060116644235E-2</v>
      </c>
      <c r="P347" s="289">
        <f t="shared" si="721"/>
        <v>-4.6775090353071994E-2</v>
      </c>
      <c r="Q347" s="289">
        <f t="shared" si="721"/>
        <v>-0.10851268872470292</v>
      </c>
      <c r="R347" s="289">
        <f t="shared" si="721"/>
        <v>-1.1980578851125545E-2</v>
      </c>
      <c r="S347" s="289">
        <f t="shared" si="721"/>
        <v>-1.2797295665821563E-2</v>
      </c>
      <c r="T347" s="289">
        <f t="shared" si="721"/>
        <v>2.4204498494598266E-3</v>
      </c>
      <c r="U347" s="289">
        <f t="shared" si="721"/>
        <v>-5.647030125625075E-2</v>
      </c>
      <c r="V347" s="289">
        <f t="shared" si="721"/>
        <v>-9.2879256965944252E-3</v>
      </c>
      <c r="W347" s="289">
        <f t="shared" si="721"/>
        <v>8.7904148353302423E-3</v>
      </c>
      <c r="X347" s="289">
        <f t="shared" si="721"/>
        <v>-4.1887396821485767E-3</v>
      </c>
      <c r="Y347" s="289">
        <f t="shared" si="721"/>
        <v>8.3579786550083593E-2</v>
      </c>
      <c r="Z347" s="289">
        <f t="shared" si="721"/>
        <v>-2.1956732321601552E-3</v>
      </c>
      <c r="AA347" s="289">
        <f t="shared" si="721"/>
        <v>-3.4359967514212531E-3</v>
      </c>
      <c r="AB347" s="289">
        <f t="shared" si="721"/>
        <v>-2.9958425042797754E-3</v>
      </c>
      <c r="AC347" s="289">
        <f t="shared" si="721"/>
        <v>-5.7177003396653679E-2</v>
      </c>
      <c r="AD347" s="289">
        <f t="shared" si="721"/>
        <v>1.4280438261725962E-2</v>
      </c>
    </row>
    <row r="348" spans="2:30" s="386" customFormat="1" ht="13.5" customHeight="1">
      <c r="B348" s="5" t="s">
        <v>340</v>
      </c>
      <c r="C348" s="172">
        <f>SUM(C342:C347)</f>
        <v>0.99999999999999989</v>
      </c>
      <c r="D348" s="172">
        <f t="shared" ref="D348:AD348" si="723">SUM(D342:D347)</f>
        <v>1</v>
      </c>
      <c r="E348" s="172">
        <f t="shared" si="723"/>
        <v>0.99999999999999978</v>
      </c>
      <c r="F348" s="172">
        <f t="shared" si="723"/>
        <v>1.0000000000000002</v>
      </c>
      <c r="G348" s="172">
        <f t="shared" si="723"/>
        <v>0.99999999999999978</v>
      </c>
      <c r="H348" s="172">
        <f t="shared" si="723"/>
        <v>1.0000000000000002</v>
      </c>
      <c r="J348" s="172">
        <f t="shared" si="723"/>
        <v>0.99999999999999989</v>
      </c>
      <c r="K348" s="172">
        <f t="shared" si="723"/>
        <v>1</v>
      </c>
      <c r="L348" s="172">
        <f t="shared" si="723"/>
        <v>0.99999999999999978</v>
      </c>
      <c r="M348" s="172">
        <f t="shared" si="723"/>
        <v>0.99999999999999978</v>
      </c>
      <c r="N348" s="172">
        <f t="shared" si="723"/>
        <v>1</v>
      </c>
      <c r="O348" s="172">
        <f t="shared" si="723"/>
        <v>1</v>
      </c>
      <c r="P348" s="172">
        <f t="shared" si="723"/>
        <v>0.99999999999999989</v>
      </c>
      <c r="Q348" s="172">
        <f t="shared" si="723"/>
        <v>1.0000000000000002</v>
      </c>
      <c r="R348" s="172">
        <f t="shared" si="723"/>
        <v>1</v>
      </c>
      <c r="S348" s="172">
        <f t="shared" si="723"/>
        <v>1.0000000000000002</v>
      </c>
      <c r="T348" s="172">
        <f t="shared" si="723"/>
        <v>1.0000000000000002</v>
      </c>
      <c r="U348" s="172">
        <f t="shared" si="723"/>
        <v>0.99999999999999989</v>
      </c>
      <c r="V348" s="172">
        <f t="shared" si="723"/>
        <v>0.99999999999999967</v>
      </c>
      <c r="W348" s="172">
        <f t="shared" si="723"/>
        <v>1</v>
      </c>
      <c r="X348" s="172">
        <f t="shared" si="723"/>
        <v>0.99999999999999967</v>
      </c>
      <c r="Y348" s="172">
        <f t="shared" si="723"/>
        <v>1</v>
      </c>
      <c r="Z348" s="172">
        <f t="shared" si="723"/>
        <v>1.0000000000000002</v>
      </c>
      <c r="AA348" s="172">
        <f t="shared" si="723"/>
        <v>1</v>
      </c>
      <c r="AB348" s="172">
        <f t="shared" si="723"/>
        <v>1</v>
      </c>
      <c r="AC348" s="172">
        <f t="shared" si="723"/>
        <v>1</v>
      </c>
      <c r="AD348" s="172">
        <f t="shared" si="723"/>
        <v>0.99999999999999989</v>
      </c>
    </row>
    <row r="349" spans="2:30" s="386" customFormat="1" ht="13.5" customHeight="1">
      <c r="B349" s="384"/>
      <c r="C349" s="385"/>
      <c r="D349" s="385"/>
      <c r="E349" s="385"/>
      <c r="F349" s="385"/>
      <c r="G349" s="385"/>
      <c r="H349" s="385"/>
      <c r="J349" s="385"/>
      <c r="K349" s="385"/>
      <c r="L349" s="385"/>
      <c r="M349" s="385"/>
      <c r="N349" s="385"/>
      <c r="O349" s="385"/>
      <c r="P349" s="385"/>
      <c r="Q349" s="385"/>
      <c r="R349" s="385"/>
      <c r="S349" s="385"/>
      <c r="T349" s="385"/>
      <c r="U349" s="385"/>
      <c r="V349" s="385"/>
      <c r="W349" s="385"/>
      <c r="X349" s="385"/>
      <c r="Y349" s="385"/>
      <c r="Z349" s="385"/>
      <c r="AA349" s="385"/>
      <c r="AB349" s="385"/>
      <c r="AC349" s="385"/>
      <c r="AD349" s="385"/>
    </row>
    <row r="350" spans="2:30" s="386" customFormat="1" ht="13.5" customHeight="1">
      <c r="B350" s="387" t="s">
        <v>344</v>
      </c>
      <c r="C350" s="385"/>
      <c r="D350" s="385"/>
      <c r="E350" s="385"/>
      <c r="F350" s="385"/>
      <c r="G350" s="385"/>
      <c r="H350" s="385"/>
      <c r="J350" s="385"/>
      <c r="K350" s="385"/>
      <c r="L350" s="385"/>
      <c r="M350" s="385"/>
      <c r="N350" s="385"/>
      <c r="O350" s="385"/>
      <c r="P350" s="385"/>
      <c r="Q350" s="385"/>
      <c r="R350" s="385"/>
      <c r="S350" s="385"/>
      <c r="T350" s="385"/>
      <c r="U350" s="385"/>
      <c r="V350" s="385"/>
      <c r="W350" s="385"/>
      <c r="X350" s="385"/>
      <c r="Y350" s="385"/>
      <c r="Z350" s="385"/>
      <c r="AA350" s="385"/>
      <c r="AB350" s="385"/>
      <c r="AC350" s="385"/>
      <c r="AD350" s="385"/>
    </row>
    <row r="351" spans="2:30" s="386" customFormat="1" ht="13.5" customHeight="1">
      <c r="B351" s="1" t="s">
        <v>331</v>
      </c>
      <c r="C351" s="388"/>
      <c r="D351" s="289">
        <f>D331/C331-1</f>
        <v>0.2307781157355715</v>
      </c>
      <c r="E351" s="289">
        <f t="shared" ref="E351:G351" si="724">E331/D331-1</f>
        <v>0.14039478211906031</v>
      </c>
      <c r="F351" s="289">
        <f t="shared" si="724"/>
        <v>-1.108215608284191E-2</v>
      </c>
      <c r="G351" s="289">
        <f t="shared" si="724"/>
        <v>-4.3715846994535457E-2</v>
      </c>
      <c r="H351" s="388"/>
      <c r="J351" s="388"/>
      <c r="K351" s="388"/>
      <c r="L351" s="388"/>
      <c r="M351" s="388"/>
      <c r="N351" s="289">
        <f>N331/J331-1</f>
        <v>0.17078687994829544</v>
      </c>
      <c r="O351" s="289">
        <f t="shared" ref="O351:AD357" si="725">O331/K331-1</f>
        <v>0.20120884364561786</v>
      </c>
      <c r="P351" s="289">
        <f t="shared" si="725"/>
        <v>0.25314727741544085</v>
      </c>
      <c r="Q351" s="289">
        <f t="shared" si="725"/>
        <v>0.29012166859791333</v>
      </c>
      <c r="R351" s="289">
        <f t="shared" si="725"/>
        <v>0.22439966878277673</v>
      </c>
      <c r="S351" s="289">
        <f t="shared" si="725"/>
        <v>0.22947563559322037</v>
      </c>
      <c r="T351" s="289">
        <f t="shared" si="725"/>
        <v>0.1371338658920358</v>
      </c>
      <c r="U351" s="289">
        <f t="shared" si="725"/>
        <v>-4.4908498933382557E-4</v>
      </c>
      <c r="V351" s="289">
        <f t="shared" si="725"/>
        <v>1.7696122633002576E-2</v>
      </c>
      <c r="W351" s="289">
        <f t="shared" si="725"/>
        <v>-7.4313408723747365E-3</v>
      </c>
      <c r="X351" s="289">
        <f t="shared" si="725"/>
        <v>-2.3523150612027699E-2</v>
      </c>
      <c r="Y351" s="289">
        <f t="shared" si="725"/>
        <v>-3.0439177805234641E-2</v>
      </c>
      <c r="Z351" s="289">
        <f t="shared" si="725"/>
        <v>-2.5694982833093238E-2</v>
      </c>
      <c r="AA351" s="289">
        <f t="shared" si="725"/>
        <v>-4.98046875E-2</v>
      </c>
      <c r="AB351" s="289">
        <f t="shared" si="725"/>
        <v>-4.7307608458687533E-2</v>
      </c>
      <c r="AC351" s="289">
        <f t="shared" si="725"/>
        <v>-5.2247451343836793E-2</v>
      </c>
      <c r="AD351" s="289">
        <f t="shared" si="725"/>
        <v>-3.2511083323860435E-2</v>
      </c>
    </row>
    <row r="352" spans="2:30" s="386" customFormat="1" ht="13.5" customHeight="1">
      <c r="B352" s="1" t="s">
        <v>332</v>
      </c>
      <c r="C352" s="388"/>
      <c r="D352" s="289">
        <f t="shared" ref="D352:G357" si="726">D332/C332-1</f>
        <v>0.35248507404822815</v>
      </c>
      <c r="E352" s="289">
        <f t="shared" si="726"/>
        <v>0.14762368858567898</v>
      </c>
      <c r="F352" s="289">
        <f t="shared" si="726"/>
        <v>-0.17754021380757312</v>
      </c>
      <c r="G352" s="289">
        <f t="shared" si="726"/>
        <v>0.11886540330417872</v>
      </c>
      <c r="H352" s="388"/>
      <c r="J352" s="388"/>
      <c r="K352" s="388"/>
      <c r="L352" s="388"/>
      <c r="M352" s="388"/>
      <c r="N352" s="289">
        <f t="shared" ref="N352:N357" si="727">N332/J332-1</f>
        <v>0.19538188277087043</v>
      </c>
      <c r="O352" s="289">
        <f t="shared" si="725"/>
        <v>0.35678889990089191</v>
      </c>
      <c r="P352" s="289">
        <f t="shared" si="725"/>
        <v>0.36537237428389568</v>
      </c>
      <c r="Q352" s="289">
        <f t="shared" si="725"/>
        <v>0.45182724252491679</v>
      </c>
      <c r="R352" s="289">
        <f t="shared" si="725"/>
        <v>0.34858841010401198</v>
      </c>
      <c r="S352" s="289">
        <f t="shared" si="725"/>
        <v>0.19211102994886797</v>
      </c>
      <c r="T352" s="289">
        <f t="shared" si="725"/>
        <v>0.12494172494172506</v>
      </c>
      <c r="U352" s="289">
        <f t="shared" si="725"/>
        <v>1.3553951769054828E-2</v>
      </c>
      <c r="V352" s="289">
        <f t="shared" si="725"/>
        <v>8.1974438078448619E-2</v>
      </c>
      <c r="W352" s="289">
        <f t="shared" si="725"/>
        <v>-9.0482026143790861E-2</v>
      </c>
      <c r="X352" s="289">
        <f t="shared" si="725"/>
        <v>-0.11417322834645671</v>
      </c>
      <c r="Y352" s="289">
        <f t="shared" si="725"/>
        <v>-0.50920458492532106</v>
      </c>
      <c r="Z352" s="289">
        <f t="shared" si="725"/>
        <v>-0.19755600814663954</v>
      </c>
      <c r="AA352" s="289">
        <f t="shared" si="725"/>
        <v>-3.301145295306529E-2</v>
      </c>
      <c r="AB352" s="289">
        <f t="shared" si="725"/>
        <v>6.9239766081871323E-2</v>
      </c>
      <c r="AC352" s="289">
        <f t="shared" si="725"/>
        <v>0.98301486199575216</v>
      </c>
      <c r="AD352" s="289">
        <f t="shared" si="725"/>
        <v>0.11345177664974626</v>
      </c>
    </row>
    <row r="353" spans="2:31" s="386" customFormat="1" ht="13.5" customHeight="1">
      <c r="B353" s="1" t="s">
        <v>336</v>
      </c>
      <c r="C353" s="388"/>
      <c r="D353" s="289">
        <f t="shared" si="726"/>
        <v>0.25762104004781827</v>
      </c>
      <c r="E353" s="289">
        <f t="shared" si="726"/>
        <v>3.4933460076045586E-2</v>
      </c>
      <c r="F353" s="289">
        <f t="shared" si="726"/>
        <v>3.8346727898966648E-2</v>
      </c>
      <c r="G353" s="289">
        <f t="shared" si="726"/>
        <v>0.13069438301636449</v>
      </c>
      <c r="H353" s="388"/>
      <c r="J353" s="388"/>
      <c r="K353" s="388"/>
      <c r="L353" s="388"/>
      <c r="M353" s="388"/>
      <c r="N353" s="289">
        <f t="shared" si="727"/>
        <v>0.2780898876404494</v>
      </c>
      <c r="O353" s="289">
        <f t="shared" si="725"/>
        <v>0.33254994124559367</v>
      </c>
      <c r="P353" s="289">
        <f t="shared" si="725"/>
        <v>0.18447694038245199</v>
      </c>
      <c r="Q353" s="289">
        <f t="shared" si="725"/>
        <v>0.24272930648769586</v>
      </c>
      <c r="R353" s="289">
        <f t="shared" si="725"/>
        <v>0.20989010989010981</v>
      </c>
      <c r="S353" s="289">
        <f t="shared" si="725"/>
        <v>-2.2045855379188684E-2</v>
      </c>
      <c r="T353" s="289">
        <f t="shared" si="725"/>
        <v>6.9325735992402659E-2</v>
      </c>
      <c r="U353" s="289">
        <f t="shared" si="725"/>
        <v>-8.2808280828083225E-2</v>
      </c>
      <c r="V353" s="289">
        <f t="shared" si="725"/>
        <v>-2.4523160762942697E-2</v>
      </c>
      <c r="W353" s="289">
        <f t="shared" si="725"/>
        <v>4.8692515779981793E-2</v>
      </c>
      <c r="X353" s="289">
        <f t="shared" si="725"/>
        <v>4.7069271758437115E-2</v>
      </c>
      <c r="Y353" s="289">
        <f t="shared" si="725"/>
        <v>8.5377821393523012E-2</v>
      </c>
      <c r="Z353" s="289">
        <f t="shared" si="725"/>
        <v>6.8901303538174918E-2</v>
      </c>
      <c r="AA353" s="289">
        <f t="shared" si="725"/>
        <v>0.16337059329320724</v>
      </c>
      <c r="AB353" s="289">
        <f t="shared" si="725"/>
        <v>0.14927905004240882</v>
      </c>
      <c r="AC353" s="289">
        <f t="shared" si="725"/>
        <v>0.13652802893309257</v>
      </c>
      <c r="AD353" s="289">
        <f t="shared" si="725"/>
        <v>0.14024390243902451</v>
      </c>
    </row>
    <row r="354" spans="2:31" s="386" customFormat="1" ht="13.5" customHeight="1">
      <c r="B354" s="1" t="s">
        <v>337</v>
      </c>
      <c r="C354" s="388"/>
      <c r="D354" s="289">
        <f t="shared" si="726"/>
        <v>0.22150700492237796</v>
      </c>
      <c r="E354" s="289">
        <f t="shared" si="726"/>
        <v>0.13143211407315558</v>
      </c>
      <c r="F354" s="289">
        <f t="shared" si="726"/>
        <v>7.7808219178082227E-2</v>
      </c>
      <c r="G354" s="289">
        <f t="shared" si="726"/>
        <v>9.1509913573970536E-3</v>
      </c>
      <c r="H354" s="388"/>
      <c r="J354" s="388"/>
      <c r="K354" s="388"/>
      <c r="L354" s="388"/>
      <c r="M354" s="388"/>
      <c r="N354" s="289">
        <f t="shared" si="727"/>
        <v>0.15548281505728312</v>
      </c>
      <c r="O354" s="289">
        <f t="shared" si="725"/>
        <v>0.26600985221674867</v>
      </c>
      <c r="P354" s="289">
        <f t="shared" si="725"/>
        <v>0.24193548387096775</v>
      </c>
      <c r="Q354" s="289">
        <f t="shared" si="725"/>
        <v>0.22056833558863342</v>
      </c>
      <c r="R354" s="289">
        <f t="shared" si="725"/>
        <v>0.26770538243626074</v>
      </c>
      <c r="S354" s="289">
        <f t="shared" si="725"/>
        <v>0.14267185473411148</v>
      </c>
      <c r="T354" s="289">
        <f t="shared" si="725"/>
        <v>6.2573789846517069E-2</v>
      </c>
      <c r="U354" s="289">
        <f t="shared" si="725"/>
        <v>7.9822616407981384E-2</v>
      </c>
      <c r="V354" s="289">
        <f t="shared" si="725"/>
        <v>7.1508379888268303E-2</v>
      </c>
      <c r="W354" s="289">
        <f t="shared" si="725"/>
        <v>0.10896708286038592</v>
      </c>
      <c r="X354" s="289">
        <f t="shared" si="725"/>
        <v>0.10333333333333328</v>
      </c>
      <c r="Y354" s="289">
        <f t="shared" si="725"/>
        <v>3.18275154004104E-2</v>
      </c>
      <c r="Z354" s="289">
        <f t="shared" si="725"/>
        <v>7.2992700729925808E-3</v>
      </c>
      <c r="AA354" s="289">
        <f t="shared" si="725"/>
        <v>-1.1258955987717645E-2</v>
      </c>
      <c r="AB354" s="289">
        <f t="shared" si="725"/>
        <v>2.1148036253776592E-2</v>
      </c>
      <c r="AC354" s="289">
        <f t="shared" si="725"/>
        <v>1.8905472636816301E-2</v>
      </c>
      <c r="AD354" s="289">
        <f t="shared" si="725"/>
        <v>6.5217391304347894E-2</v>
      </c>
    </row>
    <row r="355" spans="2:31" s="386" customFormat="1" ht="13.5" customHeight="1">
      <c r="B355" s="1" t="s">
        <v>338</v>
      </c>
      <c r="C355" s="388"/>
      <c r="D355" s="289">
        <f t="shared" si="726"/>
        <v>5.4121565362199586E-3</v>
      </c>
      <c r="E355" s="289">
        <f t="shared" si="726"/>
        <v>6.4596273291925632E-2</v>
      </c>
      <c r="F355" s="289">
        <f t="shared" si="726"/>
        <v>4.0062232594321179E-2</v>
      </c>
      <c r="G355" s="289">
        <f t="shared" si="726"/>
        <v>5.2356020942408321E-2</v>
      </c>
      <c r="H355" s="388"/>
      <c r="J355" s="388"/>
      <c r="K355" s="388"/>
      <c r="L355" s="388"/>
      <c r="M355" s="388"/>
      <c r="N355" s="289">
        <f t="shared" si="727"/>
        <v>2.0338983050847581E-2</v>
      </c>
      <c r="O355" s="289">
        <f t="shared" si="725"/>
        <v>-5.1635111876075723E-2</v>
      </c>
      <c r="P355" s="289">
        <f t="shared" si="725"/>
        <v>8.2781456953642252E-3</v>
      </c>
      <c r="Q355" s="289">
        <f t="shared" si="725"/>
        <v>4.1467304625199208E-2</v>
      </c>
      <c r="R355" s="289">
        <f t="shared" si="725"/>
        <v>6.8106312292358639E-2</v>
      </c>
      <c r="S355" s="289">
        <f t="shared" si="725"/>
        <v>0.10163339382940118</v>
      </c>
      <c r="T355" s="289">
        <f t="shared" si="725"/>
        <v>6.8965517241379226E-2</v>
      </c>
      <c r="U355" s="289">
        <f t="shared" si="725"/>
        <v>2.6033690658499919E-2</v>
      </c>
      <c r="V355" s="289">
        <f t="shared" si="725"/>
        <v>1.7107309486780853E-2</v>
      </c>
      <c r="W355" s="289">
        <f t="shared" si="725"/>
        <v>7.7429983525535429E-2</v>
      </c>
      <c r="X355" s="289">
        <f t="shared" si="725"/>
        <v>4.6082949308755783E-2</v>
      </c>
      <c r="Y355" s="289">
        <f t="shared" si="725"/>
        <v>2.2388059701491603E-2</v>
      </c>
      <c r="Z355" s="289">
        <f t="shared" si="725"/>
        <v>2.1406727828745975E-2</v>
      </c>
      <c r="AA355" s="289">
        <f t="shared" si="725"/>
        <v>3.9755351681957096E-2</v>
      </c>
      <c r="AB355" s="289">
        <f t="shared" si="725"/>
        <v>6.4610866372980968E-2</v>
      </c>
      <c r="AC355" s="289">
        <f t="shared" si="725"/>
        <v>8.1751824817518193E-2</v>
      </c>
      <c r="AD355" s="289">
        <f t="shared" si="725"/>
        <v>0.16467065868263475</v>
      </c>
    </row>
    <row r="356" spans="2:31" s="386" customFormat="1" ht="13.5" customHeight="1">
      <c r="B356" s="1" t="s">
        <v>339</v>
      </c>
      <c r="C356" s="388"/>
      <c r="D356" s="289">
        <f t="shared" si="726"/>
        <v>2.2284313725490197</v>
      </c>
      <c r="E356" s="289">
        <f t="shared" si="726"/>
        <v>-0.60917096872153054</v>
      </c>
      <c r="F356" s="289">
        <f t="shared" si="726"/>
        <v>-1.9518259518259518</v>
      </c>
      <c r="G356" s="289">
        <f t="shared" si="726"/>
        <v>-1.8546938775510204</v>
      </c>
      <c r="H356" s="388"/>
      <c r="J356" s="388"/>
      <c r="K356" s="388"/>
      <c r="L356" s="388"/>
      <c r="M356" s="388"/>
      <c r="N356" s="289">
        <f t="shared" si="727"/>
        <v>0.35714285714285721</v>
      </c>
      <c r="O356" s="289">
        <f t="shared" si="725"/>
        <v>9.5857142857142854</v>
      </c>
      <c r="P356" s="289">
        <f t="shared" si="725"/>
        <v>15.824999999999999</v>
      </c>
      <c r="Q356" s="289">
        <f t="shared" si="725"/>
        <v>1.1935064935064941</v>
      </c>
      <c r="R356" s="289">
        <f t="shared" si="725"/>
        <v>0</v>
      </c>
      <c r="S356" s="289">
        <f t="shared" si="725"/>
        <v>-0.7139001349527665</v>
      </c>
      <c r="T356" s="289">
        <f t="shared" si="725"/>
        <v>-1.0609212481426449</v>
      </c>
      <c r="U356" s="289">
        <f t="shared" si="725"/>
        <v>-0.45174659561870945</v>
      </c>
      <c r="V356" s="289">
        <f t="shared" si="725"/>
        <v>-0.1947368421052631</v>
      </c>
      <c r="W356" s="289">
        <f t="shared" si="725"/>
        <v>-1.6886792452830188</v>
      </c>
      <c r="X356" s="289">
        <f t="shared" si="725"/>
        <v>-2.6585365853658538</v>
      </c>
      <c r="Y356" s="289">
        <f t="shared" si="725"/>
        <v>-2.4038876889848813</v>
      </c>
      <c r="Z356" s="289">
        <f t="shared" si="725"/>
        <v>-0.77777777777777779</v>
      </c>
      <c r="AA356" s="289">
        <f t="shared" si="725"/>
        <v>-1.3767123287671232</v>
      </c>
      <c r="AB356" s="289">
        <f t="shared" si="725"/>
        <v>-0.27941176470588225</v>
      </c>
      <c r="AC356" s="289">
        <f t="shared" si="725"/>
        <v>-1.6992307692307693</v>
      </c>
      <c r="AD356" s="289">
        <f t="shared" si="725"/>
        <v>-7.8235294117647056</v>
      </c>
    </row>
    <row r="357" spans="2:31" s="386" customFormat="1" ht="13.5" customHeight="1">
      <c r="B357" s="5" t="s">
        <v>340</v>
      </c>
      <c r="C357" s="388"/>
      <c r="D357" s="172">
        <f t="shared" si="726"/>
        <v>0.21036354592443596</v>
      </c>
      <c r="E357" s="172">
        <f t="shared" si="726"/>
        <v>0.17503484258299684</v>
      </c>
      <c r="F357" s="172">
        <f t="shared" si="726"/>
        <v>-1.3564064353274174E-2</v>
      </c>
      <c r="G357" s="172">
        <f t="shared" si="726"/>
        <v>-1.7326961615538594E-2</v>
      </c>
      <c r="H357" s="388"/>
      <c r="J357" s="388"/>
      <c r="K357" s="388"/>
      <c r="L357" s="388"/>
      <c r="M357" s="388"/>
      <c r="N357" s="172">
        <f t="shared" si="727"/>
        <v>0.17277535492251994</v>
      </c>
      <c r="O357" s="172">
        <f t="shared" si="725"/>
        <v>0.18511298183429337</v>
      </c>
      <c r="P357" s="172">
        <f t="shared" si="725"/>
        <v>0.21213142375737148</v>
      </c>
      <c r="Q357" s="172">
        <f t="shared" si="725"/>
        <v>0.26472739091573816</v>
      </c>
      <c r="R357" s="172">
        <f t="shared" si="725"/>
        <v>0.25476699105941925</v>
      </c>
      <c r="S357" s="172">
        <f t="shared" si="725"/>
        <v>0.2386720502467472</v>
      </c>
      <c r="T357" s="172">
        <f t="shared" si="725"/>
        <v>0.17730052821795894</v>
      </c>
      <c r="U357" s="172">
        <f t="shared" si="725"/>
        <v>5.3517507227754946E-2</v>
      </c>
      <c r="V357" s="172">
        <f t="shared" si="725"/>
        <v>3.8716186392584895E-2</v>
      </c>
      <c r="W357" s="172">
        <f t="shared" si="725"/>
        <v>2.5956778944828951E-3</v>
      </c>
      <c r="X357" s="172">
        <f t="shared" si="725"/>
        <v>-4.1619930338272382E-2</v>
      </c>
      <c r="Y357" s="172">
        <f t="shared" si="725"/>
        <v>-5.1469691425783837E-2</v>
      </c>
      <c r="Z357" s="172">
        <f t="shared" si="725"/>
        <v>-5.9976931949250689E-2</v>
      </c>
      <c r="AA357" s="172">
        <f t="shared" si="725"/>
        <v>-3.6245409115539751E-2</v>
      </c>
      <c r="AB357" s="172">
        <f t="shared" si="725"/>
        <v>7.5150917826782848E-3</v>
      </c>
      <c r="AC357" s="172">
        <f t="shared" si="725"/>
        <v>2.2116497364021992E-2</v>
      </c>
      <c r="AD357" s="172">
        <f t="shared" si="725"/>
        <v>4.9144333225702441E-2</v>
      </c>
    </row>
    <row r="358" spans="2:31" s="386" customFormat="1" ht="13.5" customHeight="1">
      <c r="B358" s="384"/>
      <c r="C358" s="385"/>
      <c r="D358" s="385"/>
      <c r="E358" s="385"/>
      <c r="F358" s="385"/>
      <c r="G358" s="385"/>
      <c r="H358" s="385"/>
      <c r="J358" s="385"/>
      <c r="K358" s="385"/>
      <c r="L358" s="385"/>
      <c r="M358" s="385"/>
      <c r="N358" s="385"/>
      <c r="O358" s="385"/>
      <c r="P358" s="385"/>
      <c r="Q358" s="385"/>
      <c r="R358" s="385"/>
      <c r="S358" s="385"/>
      <c r="T358" s="385"/>
      <c r="U358" s="385"/>
      <c r="V358" s="385"/>
      <c r="W358" s="385"/>
      <c r="X358" s="385"/>
      <c r="Y358" s="385"/>
      <c r="Z358" s="385"/>
      <c r="AA358" s="385"/>
      <c r="AB358" s="385"/>
      <c r="AC358" s="385"/>
      <c r="AD358" s="385"/>
    </row>
    <row r="359" spans="2:31" ht="13.5" customHeight="1">
      <c r="B359" s="5"/>
      <c r="C359" s="5"/>
      <c r="D359" s="5"/>
      <c r="E359" s="5"/>
      <c r="F359" s="5"/>
    </row>
    <row r="360" spans="2:31" ht="13.5" customHeight="1">
      <c r="B360" s="336" t="s">
        <v>345</v>
      </c>
      <c r="C360" s="47">
        <f t="shared" ref="C360:H360" si="728">+C330</f>
        <v>44531</v>
      </c>
      <c r="D360" s="47">
        <f t="shared" si="728"/>
        <v>44896</v>
      </c>
      <c r="E360" s="47">
        <f t="shared" si="728"/>
        <v>45261</v>
      </c>
      <c r="F360" s="47">
        <f t="shared" si="728"/>
        <v>45627</v>
      </c>
      <c r="G360" s="47">
        <f t="shared" si="728"/>
        <v>45992</v>
      </c>
      <c r="H360" s="47">
        <f t="shared" si="728"/>
        <v>46111</v>
      </c>
      <c r="J360" s="47">
        <f t="shared" ref="J360:P360" si="729">+J330</f>
        <v>44285</v>
      </c>
      <c r="K360" s="253">
        <f t="shared" si="729"/>
        <v>44377</v>
      </c>
      <c r="L360" s="253">
        <f t="shared" si="729"/>
        <v>44469</v>
      </c>
      <c r="M360" s="47">
        <f t="shared" si="729"/>
        <v>44561</v>
      </c>
      <c r="N360" s="47">
        <f t="shared" si="729"/>
        <v>44650</v>
      </c>
      <c r="O360" s="47">
        <f t="shared" si="729"/>
        <v>44742</v>
      </c>
      <c r="P360" s="47">
        <f t="shared" si="729"/>
        <v>44834</v>
      </c>
      <c r="Q360" s="47">
        <f t="shared" ref="Q360:T360" si="730">+Q330</f>
        <v>44926</v>
      </c>
      <c r="R360" s="47">
        <f t="shared" si="730"/>
        <v>45015</v>
      </c>
      <c r="S360" s="47">
        <f t="shared" si="730"/>
        <v>45107</v>
      </c>
      <c r="T360" s="47">
        <f t="shared" si="730"/>
        <v>45199</v>
      </c>
      <c r="U360" s="47">
        <f t="shared" ref="U360:W360" si="731">+U330</f>
        <v>45291</v>
      </c>
      <c r="V360" s="47">
        <f t="shared" si="731"/>
        <v>45381</v>
      </c>
      <c r="W360" s="47">
        <f t="shared" si="731"/>
        <v>45473</v>
      </c>
      <c r="X360" s="47">
        <f t="shared" ref="X360:AA360" si="732">+X330</f>
        <v>45565</v>
      </c>
      <c r="Y360" s="47">
        <f t="shared" si="732"/>
        <v>45657</v>
      </c>
      <c r="Z360" s="47">
        <f t="shared" si="732"/>
        <v>45746</v>
      </c>
      <c r="AA360" s="47">
        <f t="shared" si="732"/>
        <v>45838</v>
      </c>
      <c r="AB360" s="47">
        <f t="shared" ref="AB360:AD360" si="733">+AB330</f>
        <v>45930</v>
      </c>
      <c r="AC360" s="47">
        <f t="shared" si="733"/>
        <v>46022</v>
      </c>
      <c r="AD360" s="47">
        <f t="shared" si="733"/>
        <v>46111</v>
      </c>
    </row>
    <row r="361" spans="2:31" ht="13.5" customHeight="1">
      <c r="B361" s="1" t="s">
        <v>331</v>
      </c>
      <c r="C361" s="142">
        <v>1103.9000000000001</v>
      </c>
      <c r="D361" s="142">
        <v>1307.3</v>
      </c>
      <c r="E361" s="142">
        <v>1502</v>
      </c>
      <c r="F361" s="142">
        <v>1547.9</v>
      </c>
      <c r="G361" s="142">
        <v>1514.4</v>
      </c>
      <c r="H361" s="6">
        <f t="shared" ref="H361:H366" si="734">SUM(AA361:AD361)</f>
        <v>1496</v>
      </c>
      <c r="J361" s="142">
        <v>268.89999999999998</v>
      </c>
      <c r="K361" s="142">
        <v>268.2</v>
      </c>
      <c r="L361" s="142">
        <v>277.60000000000002</v>
      </c>
      <c r="M361" s="6">
        <f t="shared" ref="M361:M366" si="735">C361-SUM(J361:L361)</f>
        <v>289.20000000000016</v>
      </c>
      <c r="N361" s="142">
        <v>289.3</v>
      </c>
      <c r="O361" s="142">
        <v>297.7</v>
      </c>
      <c r="P361" s="142">
        <v>345.6</v>
      </c>
      <c r="Q361" s="6">
        <f t="shared" ref="Q361:Q366" si="736">D361-SUM(N361:P361)</f>
        <v>374.69999999999993</v>
      </c>
      <c r="R361" s="142">
        <v>355.8</v>
      </c>
      <c r="S361" s="142">
        <v>377</v>
      </c>
      <c r="T361" s="142">
        <v>393.7</v>
      </c>
      <c r="U361" s="6">
        <f t="shared" ref="U361:U366" si="737">E361-SUM(R361:T361)</f>
        <v>375.5</v>
      </c>
      <c r="V361" s="142">
        <v>385.5</v>
      </c>
      <c r="W361" s="142">
        <v>400.4</v>
      </c>
      <c r="X361" s="142">
        <v>392.5</v>
      </c>
      <c r="Y361" s="6">
        <f>F361-SUM(V361:X361)</f>
        <v>369.5</v>
      </c>
      <c r="Z361" s="142">
        <v>391.5</v>
      </c>
      <c r="AA361" s="142">
        <v>387.7</v>
      </c>
      <c r="AB361" s="142">
        <v>385.6</v>
      </c>
      <c r="AC361" s="6">
        <f t="shared" ref="AC361:AC366" si="738">G361-SUM(Z361:AB361)</f>
        <v>349.59999999999991</v>
      </c>
      <c r="AD361" s="142">
        <v>373.1</v>
      </c>
    </row>
    <row r="362" spans="2:31" ht="13.5" customHeight="1">
      <c r="B362" s="1" t="s">
        <v>332</v>
      </c>
      <c r="C362" s="4">
        <v>307.2</v>
      </c>
      <c r="D362" s="4">
        <v>421.6</v>
      </c>
      <c r="E362" s="4">
        <v>460.6</v>
      </c>
      <c r="F362" s="4">
        <v>454.8</v>
      </c>
      <c r="G362" s="4">
        <v>499</v>
      </c>
      <c r="H362" s="6">
        <f t="shared" si="734"/>
        <v>510.70000000000005</v>
      </c>
      <c r="J362" s="4">
        <v>62.5</v>
      </c>
      <c r="K362" s="4">
        <v>70.900000000000006</v>
      </c>
      <c r="L362" s="4">
        <v>80.7</v>
      </c>
      <c r="M362" s="6">
        <f t="shared" si="735"/>
        <v>93.099999999999966</v>
      </c>
      <c r="N362" s="4">
        <v>80.2</v>
      </c>
      <c r="O362" s="4">
        <v>104.5</v>
      </c>
      <c r="P362" s="4">
        <v>100.6</v>
      </c>
      <c r="Q362" s="6">
        <f t="shared" si="736"/>
        <v>136.30000000000007</v>
      </c>
      <c r="R362" s="4">
        <v>94.3</v>
      </c>
      <c r="S362" s="4">
        <v>110.8</v>
      </c>
      <c r="T362" s="4">
        <v>119.3</v>
      </c>
      <c r="U362" s="6">
        <f t="shared" si="737"/>
        <v>136.20000000000005</v>
      </c>
      <c r="V362" s="4">
        <v>119.1</v>
      </c>
      <c r="W362" s="4">
        <v>112.1</v>
      </c>
      <c r="X362" s="4">
        <v>125.9</v>
      </c>
      <c r="Y362" s="6">
        <f t="shared" ref="Y362:Y366" si="739">F362-SUM(V362:X362)</f>
        <v>97.699999999999989</v>
      </c>
      <c r="Z362" s="4">
        <v>107.6</v>
      </c>
      <c r="AA362" s="4">
        <v>118.6</v>
      </c>
      <c r="AB362" s="4">
        <v>126.7</v>
      </c>
      <c r="AC362" s="6">
        <f t="shared" si="738"/>
        <v>146.10000000000002</v>
      </c>
      <c r="AD362" s="4">
        <v>119.3</v>
      </c>
    </row>
    <row r="363" spans="2:31" ht="13.5" customHeight="1">
      <c r="B363" s="1" t="s">
        <v>336</v>
      </c>
      <c r="C363" s="4">
        <v>75.599999999999994</v>
      </c>
      <c r="D363" s="4">
        <v>86.8</v>
      </c>
      <c r="E363" s="4">
        <v>106.6</v>
      </c>
      <c r="F363" s="4">
        <v>136.4</v>
      </c>
      <c r="G363" s="4">
        <v>152.9</v>
      </c>
      <c r="H363" s="6">
        <f t="shared" si="734"/>
        <v>157.69999999999999</v>
      </c>
      <c r="J363" s="4">
        <v>15.5</v>
      </c>
      <c r="K363" s="4">
        <v>21.3</v>
      </c>
      <c r="L363" s="4">
        <v>19.899999999999999</v>
      </c>
      <c r="M363" s="6">
        <f t="shared" si="735"/>
        <v>18.899999999999999</v>
      </c>
      <c r="N363" s="4">
        <v>18.7</v>
      </c>
      <c r="O363" s="4">
        <v>25.8</v>
      </c>
      <c r="P363" s="4">
        <v>22.6</v>
      </c>
      <c r="Q363" s="6">
        <f t="shared" si="736"/>
        <v>19.700000000000003</v>
      </c>
      <c r="R363" s="4">
        <v>23.6</v>
      </c>
      <c r="S363" s="4">
        <v>28.8</v>
      </c>
      <c r="T363" s="4">
        <v>27.9</v>
      </c>
      <c r="U363" s="6">
        <f t="shared" si="737"/>
        <v>26.299999999999983</v>
      </c>
      <c r="V363" s="4">
        <v>31.7</v>
      </c>
      <c r="W363" s="4">
        <v>37.200000000000003</v>
      </c>
      <c r="X363" s="4">
        <v>37.1</v>
      </c>
      <c r="Y363" s="6">
        <f t="shared" si="739"/>
        <v>30.400000000000006</v>
      </c>
      <c r="Z363" s="4">
        <v>32.9</v>
      </c>
      <c r="AA363" s="4">
        <v>42.5</v>
      </c>
      <c r="AB363" s="4">
        <v>42.9</v>
      </c>
      <c r="AC363" s="6">
        <f t="shared" si="738"/>
        <v>34.599999999999994</v>
      </c>
      <c r="AD363" s="4">
        <v>37.700000000000003</v>
      </c>
    </row>
    <row r="364" spans="2:31" ht="13.5" customHeight="1">
      <c r="B364" s="1" t="s">
        <v>337</v>
      </c>
      <c r="C364" s="4">
        <v>76.599999999999994</v>
      </c>
      <c r="D364" s="4">
        <v>102.4</v>
      </c>
      <c r="E364" s="4">
        <v>127.4</v>
      </c>
      <c r="F364" s="4">
        <v>152.4</v>
      </c>
      <c r="G364" s="4">
        <v>166.8</v>
      </c>
      <c r="H364" s="6">
        <f t="shared" si="734"/>
        <v>171.79999999999998</v>
      </c>
      <c r="J364" s="4">
        <v>19.3</v>
      </c>
      <c r="K364" s="4">
        <v>17.3</v>
      </c>
      <c r="L364" s="4">
        <v>18.600000000000001</v>
      </c>
      <c r="M364" s="6">
        <f t="shared" si="735"/>
        <v>21.399999999999991</v>
      </c>
      <c r="N364" s="4">
        <v>21.4</v>
      </c>
      <c r="O364" s="4">
        <v>26</v>
      </c>
      <c r="P364" s="4">
        <v>26.8</v>
      </c>
      <c r="Q364" s="6">
        <f t="shared" si="736"/>
        <v>28.200000000000003</v>
      </c>
      <c r="R364" s="4">
        <v>30.4</v>
      </c>
      <c r="S364" s="4">
        <v>29.7</v>
      </c>
      <c r="T364" s="4">
        <v>32.299999999999997</v>
      </c>
      <c r="U364" s="6">
        <f t="shared" si="737"/>
        <v>35.000000000000014</v>
      </c>
      <c r="V364" s="4">
        <v>36.4</v>
      </c>
      <c r="W364" s="4">
        <v>39.6</v>
      </c>
      <c r="X364" s="4">
        <v>40.1</v>
      </c>
      <c r="Y364" s="6">
        <f t="shared" si="739"/>
        <v>36.300000000000011</v>
      </c>
      <c r="Z364" s="4">
        <v>38.6</v>
      </c>
      <c r="AA364" s="4">
        <v>40.299999999999997</v>
      </c>
      <c r="AB364" s="4">
        <v>43.4</v>
      </c>
      <c r="AC364" s="6">
        <f t="shared" si="738"/>
        <v>44.5</v>
      </c>
      <c r="AD364" s="4">
        <v>43.6</v>
      </c>
    </row>
    <row r="365" spans="2:31" ht="13.5" customHeight="1">
      <c r="B365" s="1" t="s">
        <v>338</v>
      </c>
      <c r="C365" s="4">
        <v>74.5</v>
      </c>
      <c r="D365" s="4">
        <v>62.2</v>
      </c>
      <c r="E365" s="4">
        <v>74.5</v>
      </c>
      <c r="F365" s="4">
        <v>84.5</v>
      </c>
      <c r="G365" s="4">
        <v>88.1</v>
      </c>
      <c r="H365" s="6">
        <f t="shared" si="734"/>
        <v>91.9</v>
      </c>
      <c r="J365" s="4">
        <v>17.7</v>
      </c>
      <c r="K365" s="4">
        <v>17.899999999999999</v>
      </c>
      <c r="L365" s="4">
        <v>19.399999999999999</v>
      </c>
      <c r="M365" s="6">
        <f t="shared" si="735"/>
        <v>19.500000000000007</v>
      </c>
      <c r="N365" s="4">
        <v>16.2</v>
      </c>
      <c r="O365" s="4">
        <v>14.6</v>
      </c>
      <c r="P365" s="4">
        <v>15.9</v>
      </c>
      <c r="Q365" s="6">
        <f t="shared" si="736"/>
        <v>15.500000000000007</v>
      </c>
      <c r="R365" s="4">
        <v>18.3</v>
      </c>
      <c r="S365" s="4">
        <v>17.399999999999999</v>
      </c>
      <c r="T365" s="4">
        <v>18.899999999999999</v>
      </c>
      <c r="U365" s="6">
        <f t="shared" si="737"/>
        <v>19.899999999999999</v>
      </c>
      <c r="V365" s="4">
        <v>21.8</v>
      </c>
      <c r="W365" s="4">
        <v>20.3</v>
      </c>
      <c r="X365" s="4">
        <v>21.5</v>
      </c>
      <c r="Y365" s="6">
        <f t="shared" si="739"/>
        <v>20.9</v>
      </c>
      <c r="Z365" s="4">
        <v>20.7</v>
      </c>
      <c r="AA365" s="4">
        <v>20.9</v>
      </c>
      <c r="AB365" s="4">
        <v>22.6</v>
      </c>
      <c r="AC365" s="6">
        <f t="shared" si="738"/>
        <v>23.900000000000006</v>
      </c>
      <c r="AD365" s="4">
        <v>24.5</v>
      </c>
    </row>
    <row r="366" spans="2:31" ht="13.5" customHeight="1">
      <c r="B366" s="1" t="s">
        <v>339</v>
      </c>
      <c r="C366" s="4">
        <v>25</v>
      </c>
      <c r="D366" s="4">
        <v>-0.8</v>
      </c>
      <c r="E366" s="4">
        <v>62.6</v>
      </c>
      <c r="F366" s="4">
        <v>122.7</v>
      </c>
      <c r="G366" s="4">
        <v>71.5</v>
      </c>
      <c r="H366" s="6">
        <f t="shared" si="734"/>
        <v>77.300000000000011</v>
      </c>
      <c r="J366" s="4">
        <v>6</v>
      </c>
      <c r="K366" s="4">
        <v>10</v>
      </c>
      <c r="L366" s="4">
        <v>11</v>
      </c>
      <c r="M366" s="6">
        <f t="shared" si="735"/>
        <v>-2</v>
      </c>
      <c r="N366" s="4">
        <v>13</v>
      </c>
      <c r="O366" s="4">
        <v>-3.4</v>
      </c>
      <c r="P366" s="4">
        <v>-0.1</v>
      </c>
      <c r="Q366" s="6">
        <f t="shared" si="736"/>
        <v>-10.3</v>
      </c>
      <c r="R366" s="4">
        <v>18</v>
      </c>
      <c r="S366" s="4">
        <v>16.2</v>
      </c>
      <c r="T366" s="4">
        <v>26.7</v>
      </c>
      <c r="U366" s="6">
        <f t="shared" si="737"/>
        <v>1.6999999999999957</v>
      </c>
      <c r="V366" s="4">
        <v>19.7</v>
      </c>
      <c r="W366" s="4">
        <v>23.6</v>
      </c>
      <c r="X366" s="4">
        <v>23.1</v>
      </c>
      <c r="Y366" s="6">
        <f t="shared" si="739"/>
        <v>56.3</v>
      </c>
      <c r="Z366" s="4">
        <v>24.8</v>
      </c>
      <c r="AA366" s="4">
        <v>20.6</v>
      </c>
      <c r="AB366" s="4">
        <v>22.1</v>
      </c>
      <c r="AC366" s="6">
        <f t="shared" si="738"/>
        <v>4</v>
      </c>
      <c r="AD366" s="4">
        <v>30.6</v>
      </c>
    </row>
    <row r="367" spans="2:31" ht="13.5" customHeight="1">
      <c r="B367" s="5" t="s">
        <v>340</v>
      </c>
      <c r="C367" s="8">
        <f t="shared" ref="C367:D367" si="740">SUM(C361:C366)</f>
        <v>1662.8</v>
      </c>
      <c r="D367" s="8">
        <f t="shared" si="740"/>
        <v>1979.5000000000002</v>
      </c>
      <c r="E367" s="8">
        <f t="shared" ref="E367:F367" si="741">SUM(E361:E366)</f>
        <v>2333.6999999999998</v>
      </c>
      <c r="F367" s="8">
        <f t="shared" si="741"/>
        <v>2498.6999999999998</v>
      </c>
      <c r="G367" s="8">
        <f t="shared" ref="G367" si="742">SUM(G361:G366)</f>
        <v>2492.7000000000003</v>
      </c>
      <c r="H367" s="8">
        <f t="shared" ref="H367" si="743">SUM(H361:H366)</f>
        <v>2505.4000000000005</v>
      </c>
      <c r="J367" s="8">
        <f t="shared" ref="J367:P367" si="744">SUM(J361:J366)</f>
        <v>389.9</v>
      </c>
      <c r="K367" s="8">
        <f t="shared" si="744"/>
        <v>405.6</v>
      </c>
      <c r="L367" s="8">
        <f t="shared" si="744"/>
        <v>427.2</v>
      </c>
      <c r="M367" s="8">
        <f t="shared" si="744"/>
        <v>440.10000000000008</v>
      </c>
      <c r="N367" s="8">
        <f t="shared" si="744"/>
        <v>438.79999999999995</v>
      </c>
      <c r="O367" s="8">
        <f t="shared" si="744"/>
        <v>465.20000000000005</v>
      </c>
      <c r="P367" s="8">
        <f t="shared" si="744"/>
        <v>511.40000000000003</v>
      </c>
      <c r="Q367" s="8">
        <f t="shared" ref="Q367:T367" si="745">SUM(Q361:Q366)</f>
        <v>564.10000000000014</v>
      </c>
      <c r="R367" s="8">
        <f t="shared" si="745"/>
        <v>540.4</v>
      </c>
      <c r="S367" s="8">
        <f t="shared" si="745"/>
        <v>579.90000000000009</v>
      </c>
      <c r="T367" s="8">
        <f t="shared" si="745"/>
        <v>618.79999999999995</v>
      </c>
      <c r="U367" s="8">
        <f t="shared" ref="U367:X367" si="746">SUM(U361:U366)</f>
        <v>594.6</v>
      </c>
      <c r="V367" s="8">
        <f t="shared" si="746"/>
        <v>614.20000000000005</v>
      </c>
      <c r="W367" s="8">
        <f t="shared" si="746"/>
        <v>633.20000000000005</v>
      </c>
      <c r="X367" s="8">
        <f t="shared" si="746"/>
        <v>640.20000000000005</v>
      </c>
      <c r="Y367" s="8">
        <f t="shared" ref="Y367:AA367" si="747">SUM(Y361:Y366)</f>
        <v>611.1</v>
      </c>
      <c r="Z367" s="8">
        <f t="shared" si="747"/>
        <v>616.1</v>
      </c>
      <c r="AA367" s="8">
        <f t="shared" si="747"/>
        <v>630.59999999999991</v>
      </c>
      <c r="AB367" s="8">
        <f t="shared" ref="AB367:AD367" si="748">SUM(AB361:AB366)</f>
        <v>643.30000000000007</v>
      </c>
      <c r="AC367" s="8">
        <f t="shared" si="748"/>
        <v>602.69999999999993</v>
      </c>
      <c r="AD367" s="8">
        <f t="shared" si="748"/>
        <v>628.80000000000007</v>
      </c>
      <c r="AE367" s="6"/>
    </row>
    <row r="368" spans="2:31" s="56" customFormat="1" ht="13.5" customHeight="1">
      <c r="B368" s="78" t="s">
        <v>232</v>
      </c>
      <c r="C368" s="64"/>
      <c r="D368" s="64">
        <f>D367/C367-1</f>
        <v>0.19046187154197747</v>
      </c>
      <c r="E368" s="64">
        <f>E367/D367-1</f>
        <v>0.17893407426117691</v>
      </c>
      <c r="F368" s="64">
        <f>F367/E367-1</f>
        <v>7.0703175215323322E-2</v>
      </c>
      <c r="G368" s="64">
        <f>G367/F367-1</f>
        <v>-2.4012486492974716E-3</v>
      </c>
      <c r="H368" s="36"/>
      <c r="J368" s="64"/>
      <c r="K368" s="64"/>
      <c r="L368" s="250"/>
      <c r="M368" s="36">
        <f>M367/K367-1</f>
        <v>8.505917159763321E-2</v>
      </c>
      <c r="N368" s="64">
        <f>N367/J367-1</f>
        <v>0.12541677353167469</v>
      </c>
      <c r="O368" s="64">
        <f>O367/K367-1</f>
        <v>0.14694280078895461</v>
      </c>
      <c r="P368" s="64">
        <f>P367/L367-1</f>
        <v>0.19709737827715368</v>
      </c>
      <c r="Q368" s="64">
        <f>Q367/M367-1</f>
        <v>0.28175414678482169</v>
      </c>
      <c r="R368" s="36">
        <f>R367/P367-1</f>
        <v>5.6707078607743266E-2</v>
      </c>
      <c r="S368" s="64">
        <f>S367/O367-1</f>
        <v>0.24656061908856408</v>
      </c>
      <c r="T368" s="64">
        <f>T367/P367-1</f>
        <v>0.21001173249902205</v>
      </c>
      <c r="U368" s="64">
        <f>U367/Q367-1</f>
        <v>5.4068427583761514E-2</v>
      </c>
      <c r="V368" s="36">
        <f>V367/T367-1</f>
        <v>-7.4337427278602375E-3</v>
      </c>
      <c r="W368" s="64">
        <f>W367/S367-1</f>
        <v>9.191239868942902E-2</v>
      </c>
      <c r="X368" s="64">
        <f>X367/T367-1</f>
        <v>3.45830639948288E-2</v>
      </c>
      <c r="Y368" s="64">
        <f>Y367/U367-1</f>
        <v>2.7749747729566066E-2</v>
      </c>
      <c r="Z368" s="36">
        <f>Z367/X367-1</f>
        <v>-3.7644486098094343E-2</v>
      </c>
      <c r="AA368" s="64">
        <f>AA367/W367-1</f>
        <v>-4.1061276058119711E-3</v>
      </c>
      <c r="AB368" s="64">
        <f>AB367/X367-1</f>
        <v>4.8422368009997108E-3</v>
      </c>
      <c r="AC368" s="64">
        <f>AC367/Y367-1</f>
        <v>-1.3745704467354125E-2</v>
      </c>
      <c r="AD368" s="36">
        <f>AD367/AB367-1</f>
        <v>-2.2540027980724409E-2</v>
      </c>
    </row>
    <row r="369" spans="2:32" s="386" customFormat="1" ht="13.5" customHeight="1">
      <c r="B369" s="384" t="s">
        <v>342</v>
      </c>
      <c r="C369" s="385">
        <f>+C367-C10</f>
        <v>-0.30300000000011096</v>
      </c>
      <c r="D369" s="385">
        <f>+D367-D10</f>
        <v>-1.9999999997253326E-3</v>
      </c>
      <c r="E369" s="385">
        <f>+E367-E10</f>
        <v>9.0000000000145519E-2</v>
      </c>
      <c r="F369" s="385">
        <f>+F367-F10</f>
        <v>8.2999999999628926E-2</v>
      </c>
      <c r="G369" s="385">
        <f>+G367-G10</f>
        <v>4.7000000000480213E-2</v>
      </c>
      <c r="H369" s="385">
        <f>+H367-H10</f>
        <v>-8.4999999999126885E-2</v>
      </c>
      <c r="J369" s="385">
        <f>+J367-J10</f>
        <v>-0.1530000000001337</v>
      </c>
      <c r="K369" s="385">
        <f>+K367-K10</f>
        <v>-0.40699999999992542</v>
      </c>
      <c r="L369" s="385">
        <f>+L367-L10</f>
        <v>-0.18999999999999773</v>
      </c>
      <c r="M369" s="385">
        <f>+M367-M10</f>
        <v>0.4469999999998322</v>
      </c>
      <c r="N369" s="385">
        <f>+N367-N10</f>
        <v>0.32200000000000273</v>
      </c>
      <c r="O369" s="385">
        <f>+O367-O10</f>
        <v>-5.999999999994543E-2</v>
      </c>
      <c r="P369" s="385">
        <f>+P367-P10</f>
        <v>0.14799999999996771</v>
      </c>
      <c r="Q369" s="385">
        <f>+Q367-Q10</f>
        <v>-0.41199999999957981</v>
      </c>
      <c r="R369" s="385">
        <f>+R367-R10</f>
        <v>-0.39300000000014279</v>
      </c>
      <c r="S369" s="385">
        <f>+S367-S10</f>
        <v>0.11900000000014188</v>
      </c>
      <c r="T369" s="385">
        <f>+T367-T10</f>
        <v>-9.0000000000145519E-3</v>
      </c>
      <c r="U369" s="385">
        <f>+U367-U10</f>
        <v>0.37299999999970623</v>
      </c>
      <c r="V369" s="385">
        <f>+V367-V10</f>
        <v>-3.4000000000105501E-2</v>
      </c>
      <c r="W369" s="385">
        <f>+W367-W10</f>
        <v>-0.14899999999988722</v>
      </c>
      <c r="X369" s="385">
        <f>+X367-X10</f>
        <v>-8.0000000000381988E-3</v>
      </c>
      <c r="Y369" s="385">
        <f>+Y367-Y10</f>
        <v>0.27400000000045566</v>
      </c>
      <c r="Z369" s="385">
        <f>+Z367-Z10</f>
        <v>0.16999999999995907</v>
      </c>
      <c r="AA369" s="385">
        <f>+AA367-AA10</f>
        <v>-5.9000000000196451E-2</v>
      </c>
      <c r="AB369" s="385">
        <f>+AB367-AB10</f>
        <v>-6.7000000000007276E-2</v>
      </c>
      <c r="AC369" s="385">
        <f>+AC367-AC10</f>
        <v>3.0000000002701199E-3</v>
      </c>
      <c r="AD369" s="385">
        <f>+AD367-AD10</f>
        <v>3.8000000000010914E-2</v>
      </c>
    </row>
    <row r="370" spans="2:32" ht="13.5" customHeight="1">
      <c r="B370" s="5"/>
      <c r="C370" s="5"/>
      <c r="D370" s="5"/>
      <c r="E370" s="5"/>
      <c r="F370" s="5"/>
    </row>
    <row r="371" spans="2:32" ht="13.5" customHeight="1">
      <c r="B371" s="336" t="s">
        <v>346</v>
      </c>
      <c r="C371" s="47">
        <f t="shared" ref="C371:H371" si="749">+C360</f>
        <v>44531</v>
      </c>
      <c r="D371" s="47">
        <f t="shared" si="749"/>
        <v>44896</v>
      </c>
      <c r="E371" s="47">
        <f t="shared" si="749"/>
        <v>45261</v>
      </c>
      <c r="F371" s="47">
        <f t="shared" si="749"/>
        <v>45627</v>
      </c>
      <c r="G371" s="47">
        <f t="shared" si="749"/>
        <v>45992</v>
      </c>
      <c r="H371" s="47">
        <f t="shared" si="749"/>
        <v>46111</v>
      </c>
      <c r="J371" s="47">
        <f>+J360</f>
        <v>44285</v>
      </c>
      <c r="K371" s="253">
        <f>+K360</f>
        <v>44377</v>
      </c>
      <c r="L371" s="253">
        <v>44440</v>
      </c>
      <c r="M371" s="47">
        <f t="shared" ref="M371:R371" si="750">+M360</f>
        <v>44561</v>
      </c>
      <c r="N371" s="47">
        <f t="shared" si="750"/>
        <v>44650</v>
      </c>
      <c r="O371" s="47">
        <f t="shared" si="750"/>
        <v>44742</v>
      </c>
      <c r="P371" s="47">
        <f t="shared" si="750"/>
        <v>44834</v>
      </c>
      <c r="Q371" s="47">
        <f t="shared" si="750"/>
        <v>44926</v>
      </c>
      <c r="R371" s="47">
        <f t="shared" si="750"/>
        <v>45015</v>
      </c>
      <c r="S371" s="47">
        <f t="shared" ref="S371:V371" si="751">+S360</f>
        <v>45107</v>
      </c>
      <c r="T371" s="47">
        <f t="shared" si="751"/>
        <v>45199</v>
      </c>
      <c r="U371" s="47">
        <f t="shared" si="751"/>
        <v>45291</v>
      </c>
      <c r="V371" s="47">
        <f t="shared" si="751"/>
        <v>45381</v>
      </c>
      <c r="W371" s="47">
        <f t="shared" ref="W371:Z371" si="752">+W360</f>
        <v>45473</v>
      </c>
      <c r="X371" s="47">
        <f t="shared" si="752"/>
        <v>45565</v>
      </c>
      <c r="Y371" s="47">
        <f t="shared" si="752"/>
        <v>45657</v>
      </c>
      <c r="Z371" s="47">
        <f t="shared" si="752"/>
        <v>45746</v>
      </c>
      <c r="AA371" s="47">
        <f t="shared" ref="AA371:AD371" si="753">+AA360</f>
        <v>45838</v>
      </c>
      <c r="AB371" s="47">
        <f t="shared" si="753"/>
        <v>45930</v>
      </c>
      <c r="AC371" s="47">
        <f t="shared" si="753"/>
        <v>46022</v>
      </c>
      <c r="AD371" s="47">
        <f t="shared" si="753"/>
        <v>46111</v>
      </c>
    </row>
    <row r="372" spans="2:32" ht="13.5" customHeight="1">
      <c r="B372" s="1" t="s">
        <v>331</v>
      </c>
      <c r="C372" s="4">
        <v>368.9</v>
      </c>
      <c r="D372" s="4">
        <v>440.9</v>
      </c>
      <c r="E372" s="4">
        <v>565.20000000000005</v>
      </c>
      <c r="F372" s="4">
        <v>588.79999999999995</v>
      </c>
      <c r="G372" s="4">
        <v>568.20000000000005</v>
      </c>
      <c r="H372" s="6">
        <f t="shared" ref="H372:H377" si="754">SUM(AA372:AD372)</f>
        <v>548.40000000000009</v>
      </c>
      <c r="J372" s="4">
        <v>86.5</v>
      </c>
      <c r="K372" s="4">
        <v>85.9</v>
      </c>
      <c r="L372" s="4">
        <v>89.2</v>
      </c>
      <c r="M372" s="6">
        <f t="shared" ref="M372:M377" si="755">C372-SUM(J372:L372)</f>
        <v>107.29999999999995</v>
      </c>
      <c r="N372" s="4">
        <v>83.3</v>
      </c>
      <c r="O372" s="4">
        <v>92.2</v>
      </c>
      <c r="P372" s="4">
        <v>124.7</v>
      </c>
      <c r="Q372" s="6">
        <f t="shared" ref="Q372:Q377" si="756">D372-SUM(N372:P372)</f>
        <v>140.69999999999999</v>
      </c>
      <c r="R372" s="4">
        <v>124.5</v>
      </c>
      <c r="S372" s="4">
        <v>133.9</v>
      </c>
      <c r="T372" s="4">
        <v>150.69999999999999</v>
      </c>
      <c r="U372" s="6">
        <f t="shared" ref="U372:U377" si="757">E372-SUM(R372:T372)</f>
        <v>156.10000000000008</v>
      </c>
      <c r="V372" s="4">
        <v>145.5</v>
      </c>
      <c r="W372" s="4">
        <v>152.19999999999999</v>
      </c>
      <c r="X372" s="4">
        <v>152.9</v>
      </c>
      <c r="Y372" s="6">
        <f>F372-SUM(V372:X372)</f>
        <v>138.19999999999993</v>
      </c>
      <c r="Z372" s="4">
        <v>150.69999999999999</v>
      </c>
      <c r="AA372" s="4">
        <v>150.80000000000001</v>
      </c>
      <c r="AB372" s="4">
        <v>141.69999999999999</v>
      </c>
      <c r="AC372" s="6">
        <f t="shared" ref="AC372:AC377" si="758">G372-SUM(Z372:AB372)</f>
        <v>125.00000000000006</v>
      </c>
      <c r="AD372" s="4">
        <v>130.9</v>
      </c>
    </row>
    <row r="373" spans="2:32" ht="13.5" customHeight="1">
      <c r="B373" s="1" t="s">
        <v>332</v>
      </c>
      <c r="C373" s="4">
        <v>120.5</v>
      </c>
      <c r="D373" s="4">
        <v>137.1</v>
      </c>
      <c r="E373" s="4">
        <v>114.6</v>
      </c>
      <c r="F373" s="4">
        <v>139.6</v>
      </c>
      <c r="G373" s="4">
        <v>144.9</v>
      </c>
      <c r="H373" s="6">
        <f t="shared" si="754"/>
        <v>133.69999999999999</v>
      </c>
      <c r="J373" s="4">
        <v>16.600000000000001</v>
      </c>
      <c r="K373" s="4">
        <v>31.3</v>
      </c>
      <c r="L373" s="4">
        <v>34.5</v>
      </c>
      <c r="M373" s="6">
        <f t="shared" si="755"/>
        <v>38.099999999999994</v>
      </c>
      <c r="N373" s="4">
        <v>27</v>
      </c>
      <c r="O373" s="4">
        <v>35.1</v>
      </c>
      <c r="P373" s="4">
        <v>32.9</v>
      </c>
      <c r="Q373" s="6">
        <f t="shared" si="756"/>
        <v>42.099999999999994</v>
      </c>
      <c r="R373" s="4">
        <v>14</v>
      </c>
      <c r="S373" s="4">
        <v>28.2</v>
      </c>
      <c r="T373" s="4">
        <v>34.6</v>
      </c>
      <c r="U373" s="6">
        <f t="shared" si="757"/>
        <v>37.799999999999983</v>
      </c>
      <c r="V373" s="4">
        <v>36</v>
      </c>
      <c r="W373" s="4">
        <v>39</v>
      </c>
      <c r="X373" s="4">
        <v>39.200000000000003</v>
      </c>
      <c r="Y373" s="6">
        <f t="shared" ref="Y373:Y377" si="759">F373-SUM(V373:X373)</f>
        <v>25.399999999999991</v>
      </c>
      <c r="Z373" s="4">
        <v>28.4</v>
      </c>
      <c r="AA373" s="4">
        <v>33.700000000000003</v>
      </c>
      <c r="AB373" s="4">
        <v>39.200000000000003</v>
      </c>
      <c r="AC373" s="6">
        <f t="shared" si="758"/>
        <v>43.599999999999994</v>
      </c>
      <c r="AD373" s="4">
        <v>17.2</v>
      </c>
    </row>
    <row r="374" spans="2:32" ht="13.5" customHeight="1">
      <c r="B374" s="1" t="s">
        <v>336</v>
      </c>
      <c r="C374" s="4">
        <v>27.8</v>
      </c>
      <c r="D374" s="4">
        <v>8.5</v>
      </c>
      <c r="E374" s="4">
        <v>24</v>
      </c>
      <c r="F374" s="4">
        <v>38.200000000000003</v>
      </c>
      <c r="G374" s="4">
        <v>44.4</v>
      </c>
      <c r="H374" s="6">
        <f t="shared" si="754"/>
        <v>46.199999999999996</v>
      </c>
      <c r="J374" s="4">
        <v>10.4</v>
      </c>
      <c r="K374" s="4">
        <v>10</v>
      </c>
      <c r="L374" s="4">
        <v>4</v>
      </c>
      <c r="M374" s="6">
        <f t="shared" si="755"/>
        <v>3.4000000000000021</v>
      </c>
      <c r="N374" s="4">
        <v>1.3</v>
      </c>
      <c r="O374" s="4">
        <v>5.5</v>
      </c>
      <c r="P374" s="4">
        <v>4.4000000000000004</v>
      </c>
      <c r="Q374" s="6">
        <f t="shared" si="756"/>
        <v>-2.6999999999999993</v>
      </c>
      <c r="R374" s="4">
        <v>2.2999999999999998</v>
      </c>
      <c r="S374" s="4">
        <v>7</v>
      </c>
      <c r="T374" s="4">
        <v>8.3000000000000007</v>
      </c>
      <c r="U374" s="6">
        <f t="shared" si="757"/>
        <v>6.3999999999999986</v>
      </c>
      <c r="V374" s="4">
        <v>6.1</v>
      </c>
      <c r="W374" s="4">
        <v>11.4</v>
      </c>
      <c r="X374" s="4">
        <v>13.4</v>
      </c>
      <c r="Y374" s="6">
        <f t="shared" si="759"/>
        <v>7.3000000000000043</v>
      </c>
      <c r="Z374" s="4">
        <v>7.6</v>
      </c>
      <c r="AA374" s="4">
        <v>13.9</v>
      </c>
      <c r="AB374" s="4">
        <v>15.7</v>
      </c>
      <c r="AC374" s="6">
        <f t="shared" si="758"/>
        <v>7.1999999999999957</v>
      </c>
      <c r="AD374" s="4">
        <v>9.4</v>
      </c>
    </row>
    <row r="375" spans="2:32" ht="13.5" customHeight="1">
      <c r="B375" s="1" t="s">
        <v>337</v>
      </c>
      <c r="C375" s="4">
        <v>15.2</v>
      </c>
      <c r="D375" s="4">
        <v>25.4</v>
      </c>
      <c r="E375" s="4">
        <v>42.4</v>
      </c>
      <c r="F375" s="4">
        <v>58.2</v>
      </c>
      <c r="G375" s="4">
        <v>67.2</v>
      </c>
      <c r="H375" s="6">
        <f t="shared" si="754"/>
        <v>71.5</v>
      </c>
      <c r="J375" s="4">
        <v>4.8</v>
      </c>
      <c r="K375" s="4">
        <v>2.6</v>
      </c>
      <c r="L375" s="4">
        <v>3.2</v>
      </c>
      <c r="M375" s="6">
        <f t="shared" si="755"/>
        <v>4.5999999999999979</v>
      </c>
      <c r="N375" s="4">
        <v>4.7</v>
      </c>
      <c r="O375" s="4">
        <v>8.1</v>
      </c>
      <c r="P375" s="4">
        <v>6.5</v>
      </c>
      <c r="Q375" s="6">
        <f t="shared" si="756"/>
        <v>6.0999999999999979</v>
      </c>
      <c r="R375" s="4">
        <v>10.199999999999999</v>
      </c>
      <c r="S375" s="4">
        <v>9.6</v>
      </c>
      <c r="T375" s="4">
        <v>8.8000000000000007</v>
      </c>
      <c r="U375" s="6">
        <f t="shared" si="757"/>
        <v>13.8</v>
      </c>
      <c r="V375" s="4">
        <v>13.5</v>
      </c>
      <c r="W375" s="4">
        <v>15.7</v>
      </c>
      <c r="X375" s="4">
        <v>13.8</v>
      </c>
      <c r="Y375" s="6">
        <f t="shared" si="759"/>
        <v>15.200000000000003</v>
      </c>
      <c r="Z375" s="4">
        <v>14.1</v>
      </c>
      <c r="AA375" s="4">
        <v>15.3</v>
      </c>
      <c r="AB375" s="4">
        <v>18.600000000000001</v>
      </c>
      <c r="AC375" s="6">
        <f t="shared" si="758"/>
        <v>19.200000000000003</v>
      </c>
      <c r="AD375" s="4">
        <v>18.399999999999999</v>
      </c>
    </row>
    <row r="376" spans="2:32" ht="13.5" customHeight="1">
      <c r="B376" s="1" t="s">
        <v>338</v>
      </c>
      <c r="C376" s="4">
        <v>25.1</v>
      </c>
      <c r="D376" s="4">
        <v>11.2</v>
      </c>
      <c r="E376" s="4">
        <v>19</v>
      </c>
      <c r="F376" s="4">
        <v>25.2</v>
      </c>
      <c r="G376" s="4">
        <v>25.9</v>
      </c>
      <c r="H376" s="6">
        <f t="shared" si="754"/>
        <v>28</v>
      </c>
      <c r="J376" s="4">
        <v>5.4</v>
      </c>
      <c r="K376" s="4">
        <v>6.3</v>
      </c>
      <c r="L376" s="4">
        <v>7.5</v>
      </c>
      <c r="M376" s="6">
        <f t="shared" si="755"/>
        <v>5.9000000000000021</v>
      </c>
      <c r="N376" s="4">
        <v>3.5</v>
      </c>
      <c r="O376" s="4">
        <v>2.5</v>
      </c>
      <c r="P376" s="4">
        <v>3.8</v>
      </c>
      <c r="Q376" s="6">
        <f t="shared" si="756"/>
        <v>1.3999999999999986</v>
      </c>
      <c r="R376" s="4">
        <v>4.3</v>
      </c>
      <c r="S376" s="4">
        <v>3.9</v>
      </c>
      <c r="T376" s="4">
        <v>4.8</v>
      </c>
      <c r="U376" s="6">
        <f t="shared" si="757"/>
        <v>6</v>
      </c>
      <c r="V376" s="4">
        <v>7.1</v>
      </c>
      <c r="W376" s="4">
        <v>5.6</v>
      </c>
      <c r="X376" s="4">
        <v>6.9</v>
      </c>
      <c r="Y376" s="6">
        <f t="shared" si="759"/>
        <v>5.5999999999999979</v>
      </c>
      <c r="Z376" s="4">
        <v>5.7</v>
      </c>
      <c r="AA376" s="4">
        <v>5.7</v>
      </c>
      <c r="AB376" s="4">
        <v>6.8</v>
      </c>
      <c r="AC376" s="6">
        <f t="shared" si="758"/>
        <v>7.6999999999999993</v>
      </c>
      <c r="AD376" s="4">
        <v>7.8</v>
      </c>
    </row>
    <row r="377" spans="2:32" ht="13.5" customHeight="1">
      <c r="B377" s="1" t="s">
        <v>339</v>
      </c>
      <c r="C377" s="4">
        <v>-4</v>
      </c>
      <c r="D377" s="4">
        <v>-13</v>
      </c>
      <c r="E377" s="4">
        <v>12.4</v>
      </c>
      <c r="F377" s="4">
        <v>40.299999999999997</v>
      </c>
      <c r="G377" s="4">
        <v>39.6</v>
      </c>
      <c r="H377" s="6">
        <f t="shared" si="754"/>
        <v>34.4</v>
      </c>
      <c r="J377" s="4">
        <v>2</v>
      </c>
      <c r="K377" s="4">
        <v>5</v>
      </c>
      <c r="L377" s="4">
        <v>-1</v>
      </c>
      <c r="M377" s="6">
        <f t="shared" si="755"/>
        <v>-10</v>
      </c>
      <c r="N377" s="4">
        <v>-4</v>
      </c>
      <c r="O377" s="4">
        <v>-4.8</v>
      </c>
      <c r="P377" s="4">
        <v>-13</v>
      </c>
      <c r="Q377" s="6">
        <f t="shared" si="756"/>
        <v>8.8000000000000007</v>
      </c>
      <c r="R377" s="4">
        <v>2</v>
      </c>
      <c r="S377" s="4">
        <v>2</v>
      </c>
      <c r="T377" s="4">
        <v>13</v>
      </c>
      <c r="U377" s="6">
        <f t="shared" si="757"/>
        <v>-4.5999999999999996</v>
      </c>
      <c r="V377" s="4">
        <v>-2.2999999999999998</v>
      </c>
      <c r="W377" s="4">
        <v>3</v>
      </c>
      <c r="X377" s="4">
        <v>1.7</v>
      </c>
      <c r="Y377" s="6">
        <f t="shared" si="759"/>
        <v>37.9</v>
      </c>
      <c r="Z377" s="4">
        <v>10.6</v>
      </c>
      <c r="AA377" s="4">
        <v>10.3</v>
      </c>
      <c r="AB377" s="4">
        <v>8.6</v>
      </c>
      <c r="AC377" s="6">
        <f t="shared" si="758"/>
        <v>10.100000000000001</v>
      </c>
      <c r="AD377" s="4">
        <v>5.4</v>
      </c>
    </row>
    <row r="378" spans="2:32" ht="13.5" customHeight="1">
      <c r="B378" s="5" t="s">
        <v>340</v>
      </c>
      <c r="C378" s="8">
        <f t="shared" ref="C378" si="760">SUM(C372:C377)</f>
        <v>553.5</v>
      </c>
      <c r="D378" s="8">
        <f>SUM(D372:D377)</f>
        <v>610.1</v>
      </c>
      <c r="E378" s="8">
        <f>SUM(E372:E377)</f>
        <v>777.6</v>
      </c>
      <c r="F378" s="8">
        <f>SUM(F372:F377)</f>
        <v>890.30000000000007</v>
      </c>
      <c r="G378" s="8">
        <f>SUM(G372:G377)</f>
        <v>890.2</v>
      </c>
      <c r="H378" s="8">
        <f>SUM(H372:H377)</f>
        <v>862.20000000000016</v>
      </c>
      <c r="J378" s="8">
        <f t="shared" ref="J378:P378" si="761">SUM(J372:J377)</f>
        <v>125.7</v>
      </c>
      <c r="K378" s="8">
        <f t="shared" si="761"/>
        <v>141.10000000000002</v>
      </c>
      <c r="L378" s="8">
        <f t="shared" si="761"/>
        <v>137.4</v>
      </c>
      <c r="M378" s="8">
        <f t="shared" ref="M378" si="762">SUM(M372:M377)</f>
        <v>149.29999999999995</v>
      </c>
      <c r="N378" s="8">
        <f t="shared" si="761"/>
        <v>115.8</v>
      </c>
      <c r="O378" s="8">
        <f t="shared" si="761"/>
        <v>138.6</v>
      </c>
      <c r="P378" s="8">
        <f t="shared" si="761"/>
        <v>159.30000000000001</v>
      </c>
      <c r="Q378" s="8">
        <f t="shared" ref="Q378:T378" si="763">SUM(Q372:Q377)</f>
        <v>196.4</v>
      </c>
      <c r="R378" s="8">
        <f t="shared" si="763"/>
        <v>157.30000000000001</v>
      </c>
      <c r="S378" s="8">
        <f t="shared" si="763"/>
        <v>184.6</v>
      </c>
      <c r="T378" s="8">
        <f t="shared" si="763"/>
        <v>220.20000000000002</v>
      </c>
      <c r="U378" s="8">
        <f t="shared" ref="U378:X378" si="764">SUM(U372:U377)</f>
        <v>215.50000000000009</v>
      </c>
      <c r="V378" s="8">
        <f t="shared" si="764"/>
        <v>205.89999999999998</v>
      </c>
      <c r="W378" s="8">
        <f t="shared" si="764"/>
        <v>226.89999999999998</v>
      </c>
      <c r="X378" s="8">
        <f t="shared" si="764"/>
        <v>227.90000000000003</v>
      </c>
      <c r="Y378" s="8">
        <f t="shared" ref="Y378:AA378" si="765">SUM(Y372:Y377)</f>
        <v>229.59999999999991</v>
      </c>
      <c r="Z378" s="8">
        <f t="shared" si="765"/>
        <v>217.09999999999997</v>
      </c>
      <c r="AA378" s="8">
        <f t="shared" si="765"/>
        <v>229.70000000000002</v>
      </c>
      <c r="AB378" s="8">
        <f t="shared" ref="AB378:AD378" si="766">SUM(AB372:AB377)</f>
        <v>230.59999999999997</v>
      </c>
      <c r="AC378" s="8">
        <f t="shared" si="766"/>
        <v>212.80000000000004</v>
      </c>
      <c r="AD378" s="8">
        <f t="shared" si="766"/>
        <v>189.10000000000002</v>
      </c>
      <c r="AE378" s="6"/>
    </row>
    <row r="379" spans="2:32" ht="13.5" customHeight="1">
      <c r="B379" s="78" t="s">
        <v>232</v>
      </c>
      <c r="C379" s="64"/>
      <c r="D379" s="64">
        <f>D378/C378-1</f>
        <v>0.10225835591689258</v>
      </c>
      <c r="E379" s="64">
        <f>E378/D378-1</f>
        <v>0.27454515653171607</v>
      </c>
      <c r="F379" s="64">
        <f>F378/E378-1</f>
        <v>0.14493312757201648</v>
      </c>
      <c r="G379" s="64">
        <f>G378/F378-1</f>
        <v>-1.1232168931818443E-4</v>
      </c>
      <c r="H379" s="64"/>
      <c r="J379" s="64"/>
      <c r="K379" s="64"/>
      <c r="L379" s="250"/>
      <c r="M379" s="36">
        <f>M378/K378-1</f>
        <v>5.8114812189935749E-2</v>
      </c>
      <c r="N379" s="64">
        <f>N378/J378-1</f>
        <v>-7.8758949880668339E-2</v>
      </c>
      <c r="O379" s="64">
        <f>O378/K378-1</f>
        <v>-1.7717930545712468E-2</v>
      </c>
      <c r="P379" s="64">
        <f t="shared" ref="P379:U379" si="767">P378/L378-1</f>
        <v>0.1593886462882097</v>
      </c>
      <c r="Q379" s="64">
        <f t="shared" si="767"/>
        <v>0.31547220361687911</v>
      </c>
      <c r="R379" s="64">
        <f>R378/N378-1</f>
        <v>0.35837651122625225</v>
      </c>
      <c r="S379" s="64">
        <f>S378/O378-1</f>
        <v>0.3318903318903319</v>
      </c>
      <c r="T379" s="64">
        <f>T378/P378-1</f>
        <v>0.38229755178907721</v>
      </c>
      <c r="U379" s="64">
        <f t="shared" si="767"/>
        <v>9.7250509164969801E-2</v>
      </c>
      <c r="V379" s="64">
        <f>V378/R378-1</f>
        <v>0.30896376350921773</v>
      </c>
      <c r="W379" s="64">
        <f>W378/S378-1</f>
        <v>0.22914409534127844</v>
      </c>
      <c r="X379" s="64">
        <f>X378/T378-1</f>
        <v>3.4968210717529535E-2</v>
      </c>
      <c r="Y379" s="64">
        <f t="shared" ref="Y379" si="768">Y378/U378-1</f>
        <v>6.5429234338746367E-2</v>
      </c>
      <c r="Z379" s="64">
        <f>Z378/V378-1</f>
        <v>5.4395337542496369E-2</v>
      </c>
      <c r="AA379" s="64">
        <f>AA378/W378-1</f>
        <v>1.234023799030437E-2</v>
      </c>
      <c r="AB379" s="64">
        <f>AB378/X378-1</f>
        <v>1.1847301448003167E-2</v>
      </c>
      <c r="AC379" s="64">
        <f t="shared" ref="AC379" si="769">AC378/Y378-1</f>
        <v>-7.3170731707316583E-2</v>
      </c>
      <c r="AD379" s="64">
        <f>AD378/Z378-1</f>
        <v>-0.12897282358360174</v>
      </c>
    </row>
    <row r="380" spans="2:32" s="386" customFormat="1" ht="13.5" customHeight="1">
      <c r="B380" s="384" t="s">
        <v>342</v>
      </c>
      <c r="C380" s="385">
        <f>+C378-C14</f>
        <v>-0.22600000000011278</v>
      </c>
      <c r="D380" s="385">
        <f>+D378-D14</f>
        <v>-4.3000000000006366E-2</v>
      </c>
      <c r="E380" s="385">
        <f>+E378-E14</f>
        <v>5.0000000004501999E-3</v>
      </c>
      <c r="F380" s="385">
        <f>+F378-F14</f>
        <v>7.7999999999974534E-2</v>
      </c>
      <c r="G380" s="385">
        <f>+G378-G14</f>
        <v>4.1000000000394721E-2</v>
      </c>
      <c r="H380" s="385">
        <f>+H378-H14</f>
        <v>-6.9999999994934115E-3</v>
      </c>
      <c r="J380" s="385">
        <f>+J378-J14</f>
        <v>0.35699999999989984</v>
      </c>
      <c r="K380" s="385">
        <f>+K378-K14</f>
        <v>0.14300000000008595</v>
      </c>
      <c r="L380" s="385">
        <f>+L378-L14</f>
        <v>-0.39799999999993929</v>
      </c>
      <c r="M380" s="385">
        <f>+M378-M14</f>
        <v>-0.32800000000037244</v>
      </c>
      <c r="N380" s="385">
        <f>+N378-N14</f>
        <v>-0.28799999999998249</v>
      </c>
      <c r="O380" s="385">
        <f>+O378-O14</f>
        <v>-0.10399999999998499</v>
      </c>
      <c r="P380" s="385">
        <f>+P378-P14</f>
        <v>1.8999999999948614E-2</v>
      </c>
      <c r="Q380" s="385">
        <f>+Q378-Q14</f>
        <v>0.33000000000021146</v>
      </c>
      <c r="R380" s="385">
        <f>+R378-R14</f>
        <v>-0.49500000000008981</v>
      </c>
      <c r="S380" s="385">
        <f>+S378-S14</f>
        <v>-1.5999999999934289E-2</v>
      </c>
      <c r="T380" s="385">
        <f>+T378-T14</f>
        <v>3.2000000000095952E-2</v>
      </c>
      <c r="U380" s="385">
        <f>+U378-U14</f>
        <v>0.48399999999978149</v>
      </c>
      <c r="V380" s="385">
        <f>+V378-V14</f>
        <v>-7.8000000000173486E-2</v>
      </c>
      <c r="W380" s="385">
        <f>+W378-W14</f>
        <v>-5.9999999999718057E-3</v>
      </c>
      <c r="X380" s="385">
        <f>+X378-X14</f>
        <v>1.3999999999924739E-2</v>
      </c>
      <c r="Y380" s="385">
        <f>+Y378-Y14</f>
        <v>0.14800000000039404</v>
      </c>
      <c r="Z380" s="385">
        <f>+Z378-Z14</f>
        <v>-1.6000000000104819E-2</v>
      </c>
      <c r="AA380" s="385">
        <f>+AA378-AA14</f>
        <v>-6.8000000000040473E-2</v>
      </c>
      <c r="AB380" s="385">
        <f>+AB378-AB14</f>
        <v>9.9999999998772182E-3</v>
      </c>
      <c r="AC380" s="385">
        <f>+AC378-AC14</f>
        <v>0.11500000000046384</v>
      </c>
      <c r="AD380" s="385">
        <f>+AD378-AD14</f>
        <v>-6.3999999999992951E-2</v>
      </c>
    </row>
    <row r="381" spans="2:32" ht="13.5" customHeight="1"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</row>
    <row r="382" spans="2:32" ht="13.5" customHeight="1">
      <c r="B382" s="336" t="s">
        <v>347</v>
      </c>
      <c r="C382" s="47">
        <f>+C3</f>
        <v>44531</v>
      </c>
      <c r="D382" s="47">
        <f>+D3</f>
        <v>44896</v>
      </c>
      <c r="E382" s="47">
        <f>+E3</f>
        <v>45261</v>
      </c>
      <c r="F382" s="47">
        <f>+F3</f>
        <v>45627</v>
      </c>
      <c r="G382" s="47">
        <f>+G3</f>
        <v>45992</v>
      </c>
      <c r="H382" s="47">
        <f>+H3</f>
        <v>46111</v>
      </c>
      <c r="J382" s="47">
        <f>+J3</f>
        <v>44285</v>
      </c>
      <c r="K382" s="253">
        <f>+K3</f>
        <v>44377</v>
      </c>
      <c r="L382" s="253">
        <f>+L3</f>
        <v>44469</v>
      </c>
      <c r="M382" s="47">
        <f>+M3</f>
        <v>44561</v>
      </c>
      <c r="N382" s="47">
        <f>+N3</f>
        <v>44650</v>
      </c>
      <c r="O382" s="47">
        <f>+O3</f>
        <v>44742</v>
      </c>
      <c r="P382" s="47">
        <f>+P3</f>
        <v>44834</v>
      </c>
      <c r="Q382" s="47">
        <f>+Q3</f>
        <v>44926</v>
      </c>
      <c r="R382" s="47">
        <f>+R3</f>
        <v>45015</v>
      </c>
      <c r="S382" s="47">
        <f>+S3</f>
        <v>45107</v>
      </c>
      <c r="T382" s="47">
        <f>+T3</f>
        <v>45199</v>
      </c>
      <c r="U382" s="47">
        <f>+U3</f>
        <v>45291</v>
      </c>
      <c r="V382" s="47">
        <f>+V3</f>
        <v>45381</v>
      </c>
      <c r="W382" s="47">
        <f>+W3</f>
        <v>45473</v>
      </c>
      <c r="X382" s="47">
        <f>+X3</f>
        <v>45565</v>
      </c>
      <c r="Y382" s="47">
        <f>+Y3</f>
        <v>45657</v>
      </c>
      <c r="Z382" s="47">
        <f>+Z3</f>
        <v>45746</v>
      </c>
      <c r="AA382" s="47">
        <f>+AA3</f>
        <v>45838</v>
      </c>
      <c r="AB382" s="47">
        <f>+AB3</f>
        <v>45930</v>
      </c>
      <c r="AC382" s="47">
        <f>+AC3</f>
        <v>46022</v>
      </c>
      <c r="AD382" s="47">
        <f>+AD3</f>
        <v>46111</v>
      </c>
    </row>
    <row r="383" spans="2:32" ht="13.5" customHeight="1">
      <c r="B383" s="1" t="s">
        <v>331</v>
      </c>
      <c r="C383" s="4">
        <v>483.3</v>
      </c>
      <c r="D383" s="4">
        <v>566.6</v>
      </c>
      <c r="E383" s="4">
        <v>708.8</v>
      </c>
      <c r="F383" s="4">
        <v>744.3</v>
      </c>
      <c r="G383" s="4">
        <v>740.1</v>
      </c>
      <c r="H383" s="6">
        <f t="shared" ref="H383:H388" si="770">SUM(AA383:AD383)</f>
        <v>719</v>
      </c>
      <c r="J383" s="4">
        <v>114.2</v>
      </c>
      <c r="K383" s="4">
        <v>114.8</v>
      </c>
      <c r="L383" s="4">
        <v>117.4</v>
      </c>
      <c r="M383" s="6">
        <f t="shared" ref="M383:M388" si="771">C383-SUM(J383:L383)</f>
        <v>136.90000000000003</v>
      </c>
      <c r="N383" s="4">
        <v>112.4</v>
      </c>
      <c r="O383" s="4">
        <v>123</v>
      </c>
      <c r="P383" s="4">
        <v>156.30000000000001</v>
      </c>
      <c r="Q383" s="6">
        <f t="shared" ref="Q383:Q388" si="772">D383-SUM(N383:P383)</f>
        <v>174.89999999999998</v>
      </c>
      <c r="R383" s="4">
        <v>158.1</v>
      </c>
      <c r="S383" s="4">
        <v>172.8</v>
      </c>
      <c r="T383" s="4">
        <v>186</v>
      </c>
      <c r="U383" s="6">
        <f t="shared" ref="U383:U388" si="773">E383-SUM(R383:T383)</f>
        <v>191.89999999999998</v>
      </c>
      <c r="V383" s="4">
        <v>181.6</v>
      </c>
      <c r="W383" s="4">
        <v>188.8</v>
      </c>
      <c r="X383" s="4">
        <v>191.6</v>
      </c>
      <c r="Y383" s="6">
        <f>F383-SUM(V383:X383)</f>
        <v>182.29999999999995</v>
      </c>
      <c r="Z383" s="4">
        <v>193.4</v>
      </c>
      <c r="AA383" s="4">
        <v>193</v>
      </c>
      <c r="AB383" s="4">
        <v>184.7</v>
      </c>
      <c r="AC383" s="6">
        <f t="shared" ref="AC383:AC388" si="774">G383-SUM(Z383:AB383)</f>
        <v>169.00000000000011</v>
      </c>
      <c r="AD383" s="4">
        <v>172.3</v>
      </c>
    </row>
    <row r="384" spans="2:32" ht="13.5" customHeight="1">
      <c r="B384" s="1" t="s">
        <v>332</v>
      </c>
      <c r="C384" s="4">
        <v>180.4</v>
      </c>
      <c r="D384" s="4">
        <v>209.1</v>
      </c>
      <c r="E384" s="4">
        <v>163.5</v>
      </c>
      <c r="F384" s="4">
        <v>183.9</v>
      </c>
      <c r="G384" s="4">
        <v>197.7</v>
      </c>
      <c r="H384" s="6">
        <f t="shared" si="770"/>
        <v>198.3</v>
      </c>
      <c r="J384" s="4">
        <v>30.7</v>
      </c>
      <c r="K384" s="4">
        <v>45.5</v>
      </c>
      <c r="L384" s="4">
        <v>49</v>
      </c>
      <c r="M384" s="6">
        <f t="shared" si="771"/>
        <v>55.2</v>
      </c>
      <c r="N384" s="4">
        <v>42</v>
      </c>
      <c r="O384" s="4">
        <v>53.1</v>
      </c>
      <c r="P384" s="4">
        <v>49.9</v>
      </c>
      <c r="Q384" s="6">
        <f t="shared" si="772"/>
        <v>64.099999999999994</v>
      </c>
      <c r="R384" s="4">
        <v>24.5</v>
      </c>
      <c r="S384" s="4">
        <v>39.9</v>
      </c>
      <c r="T384" s="4">
        <v>47.2</v>
      </c>
      <c r="U384" s="6">
        <f t="shared" si="773"/>
        <v>51.899999999999991</v>
      </c>
      <c r="V384" s="4">
        <v>48.8</v>
      </c>
      <c r="W384" s="4">
        <v>50.8</v>
      </c>
      <c r="X384" s="4">
        <v>50.9</v>
      </c>
      <c r="Y384" s="6">
        <f t="shared" ref="Y384:Y388" si="775">F384-SUM(V384:X384)</f>
        <v>33.400000000000006</v>
      </c>
      <c r="Z384" s="4">
        <v>39.700000000000003</v>
      </c>
      <c r="AA384" s="4">
        <v>46</v>
      </c>
      <c r="AB384" s="4">
        <v>52</v>
      </c>
      <c r="AC384" s="6">
        <f t="shared" si="774"/>
        <v>60</v>
      </c>
      <c r="AD384" s="4">
        <v>40.299999999999997</v>
      </c>
    </row>
    <row r="385" spans="2:30" ht="13.5" customHeight="1">
      <c r="B385" s="1" t="s">
        <v>336</v>
      </c>
      <c r="C385" s="4">
        <v>41.1</v>
      </c>
      <c r="D385" s="4">
        <v>22.5</v>
      </c>
      <c r="E385" s="4">
        <v>38.1</v>
      </c>
      <c r="F385" s="4">
        <v>52.6</v>
      </c>
      <c r="G385" s="4">
        <v>60.6</v>
      </c>
      <c r="H385" s="6">
        <f t="shared" si="770"/>
        <v>62.900000000000006</v>
      </c>
      <c r="J385" s="4">
        <v>13.4</v>
      </c>
      <c r="K385" s="4">
        <v>13.4</v>
      </c>
      <c r="L385" s="4">
        <v>7.5</v>
      </c>
      <c r="M385" s="6">
        <f t="shared" si="771"/>
        <v>6.8000000000000043</v>
      </c>
      <c r="N385" s="4">
        <v>4.8</v>
      </c>
      <c r="O385" s="4">
        <v>9</v>
      </c>
      <c r="P385" s="4">
        <v>7.8</v>
      </c>
      <c r="Q385" s="6">
        <f t="shared" si="772"/>
        <v>0.89999999999999858</v>
      </c>
      <c r="R385" s="4">
        <v>5.9</v>
      </c>
      <c r="S385" s="4">
        <v>10.4</v>
      </c>
      <c r="T385" s="4">
        <v>11.8</v>
      </c>
      <c r="U385" s="6">
        <f t="shared" si="773"/>
        <v>10</v>
      </c>
      <c r="V385" s="4">
        <v>9.5</v>
      </c>
      <c r="W385" s="4">
        <v>14.9</v>
      </c>
      <c r="X385" s="4">
        <v>17.100000000000001</v>
      </c>
      <c r="Y385" s="6">
        <f t="shared" si="775"/>
        <v>11.100000000000001</v>
      </c>
      <c r="Z385" s="4">
        <v>11.4</v>
      </c>
      <c r="AA385" s="4">
        <v>17.899999999999999</v>
      </c>
      <c r="AB385" s="4">
        <v>19.899999999999999</v>
      </c>
      <c r="AC385" s="6">
        <f t="shared" si="774"/>
        <v>11.400000000000006</v>
      </c>
      <c r="AD385" s="4">
        <v>13.7</v>
      </c>
    </row>
    <row r="386" spans="2:30" ht="13.5" customHeight="1">
      <c r="B386" s="1" t="s">
        <v>337</v>
      </c>
      <c r="C386" s="4">
        <v>22.5</v>
      </c>
      <c r="D386" s="4">
        <v>32</v>
      </c>
      <c r="E386" s="4">
        <v>49.9</v>
      </c>
      <c r="F386" s="4">
        <v>66.3</v>
      </c>
      <c r="G386" s="4">
        <v>76.2</v>
      </c>
      <c r="H386" s="6">
        <f t="shared" si="770"/>
        <v>81.5</v>
      </c>
      <c r="J386" s="4">
        <v>6.6</v>
      </c>
      <c r="K386" s="4">
        <v>4.4000000000000004</v>
      </c>
      <c r="L386" s="4">
        <v>4.9000000000000004</v>
      </c>
      <c r="M386" s="6">
        <f t="shared" si="771"/>
        <v>6.6</v>
      </c>
      <c r="N386" s="4">
        <v>6.4</v>
      </c>
      <c r="O386" s="4">
        <v>9.8000000000000007</v>
      </c>
      <c r="P386" s="4">
        <v>8.1</v>
      </c>
      <c r="Q386" s="6">
        <f t="shared" si="772"/>
        <v>7.6999999999999957</v>
      </c>
      <c r="R386" s="4">
        <v>12</v>
      </c>
      <c r="S386" s="4">
        <v>11.4</v>
      </c>
      <c r="T386" s="4">
        <v>10.7</v>
      </c>
      <c r="U386" s="6">
        <f t="shared" si="773"/>
        <v>15.800000000000004</v>
      </c>
      <c r="V386" s="4">
        <v>15.5</v>
      </c>
      <c r="W386" s="4">
        <v>17.7</v>
      </c>
      <c r="X386" s="4">
        <v>15.9</v>
      </c>
      <c r="Y386" s="6">
        <f t="shared" si="775"/>
        <v>17.199999999999996</v>
      </c>
      <c r="Z386" s="4">
        <v>16.2</v>
      </c>
      <c r="AA386" s="4">
        <v>17.5</v>
      </c>
      <c r="AB386" s="4">
        <v>20.8</v>
      </c>
      <c r="AC386" s="6">
        <f t="shared" si="774"/>
        <v>21.700000000000003</v>
      </c>
      <c r="AD386" s="4">
        <v>21.5</v>
      </c>
    </row>
    <row r="387" spans="2:30" ht="13.5" customHeight="1">
      <c r="B387" s="1" t="s">
        <v>338</v>
      </c>
      <c r="C387" s="4">
        <v>36.1</v>
      </c>
      <c r="D387" s="4">
        <v>21.7</v>
      </c>
      <c r="E387" s="4">
        <v>29.6</v>
      </c>
      <c r="F387" s="4">
        <v>36</v>
      </c>
      <c r="G387" s="4">
        <v>37.799999999999997</v>
      </c>
      <c r="H387" s="6">
        <f t="shared" si="770"/>
        <v>40.199999999999996</v>
      </c>
      <c r="J387" s="4">
        <v>7.9</v>
      </c>
      <c r="K387" s="4">
        <v>9</v>
      </c>
      <c r="L387" s="4">
        <v>10.199999999999999</v>
      </c>
      <c r="M387" s="6">
        <f t="shared" si="771"/>
        <v>9.0000000000000036</v>
      </c>
      <c r="N387" s="4">
        <v>6.2</v>
      </c>
      <c r="O387" s="4">
        <v>5</v>
      </c>
      <c r="P387" s="4">
        <v>6.2</v>
      </c>
      <c r="Q387" s="6">
        <f t="shared" si="772"/>
        <v>4.3000000000000007</v>
      </c>
      <c r="R387" s="4">
        <v>6.9</v>
      </c>
      <c r="S387" s="4">
        <v>6.5</v>
      </c>
      <c r="T387" s="4">
        <v>7.7</v>
      </c>
      <c r="U387" s="6">
        <f t="shared" si="773"/>
        <v>8.5</v>
      </c>
      <c r="V387" s="4">
        <v>9.8000000000000007</v>
      </c>
      <c r="W387" s="4">
        <v>8.3000000000000007</v>
      </c>
      <c r="X387" s="4">
        <v>6.9</v>
      </c>
      <c r="Y387" s="6">
        <f t="shared" si="775"/>
        <v>11</v>
      </c>
      <c r="Z387" s="4">
        <v>8.6</v>
      </c>
      <c r="AA387" s="4">
        <v>8.6</v>
      </c>
      <c r="AB387" s="4">
        <v>9.9</v>
      </c>
      <c r="AC387" s="6">
        <f t="shared" si="774"/>
        <v>10.699999999999996</v>
      </c>
      <c r="AD387" s="4">
        <v>11</v>
      </c>
    </row>
    <row r="388" spans="2:30" ht="13.5" customHeight="1">
      <c r="B388" s="1" t="s">
        <v>339</v>
      </c>
      <c r="C388" s="4">
        <v>-28</v>
      </c>
      <c r="D388" s="4">
        <v>-43.1</v>
      </c>
      <c r="E388" s="4">
        <v>16.399999999999999</v>
      </c>
      <c r="F388" s="4">
        <v>48</v>
      </c>
      <c r="G388" s="4">
        <v>23.5</v>
      </c>
      <c r="H388" s="6">
        <f t="shared" si="770"/>
        <v>19.799999999999997</v>
      </c>
      <c r="J388" s="4">
        <v>-4</v>
      </c>
      <c r="K388" s="4">
        <v>0</v>
      </c>
      <c r="L388" s="4">
        <v>-6</v>
      </c>
      <c r="M388" s="6">
        <f t="shared" si="771"/>
        <v>-18</v>
      </c>
      <c r="N388" s="4">
        <v>-7</v>
      </c>
      <c r="O388" s="4">
        <v>-13.2</v>
      </c>
      <c r="P388" s="4">
        <v>-20.399999999999999</v>
      </c>
      <c r="Q388" s="6">
        <f t="shared" si="772"/>
        <v>-2.5000000000000071</v>
      </c>
      <c r="R388" s="4">
        <v>3</v>
      </c>
      <c r="S388" s="4">
        <v>3.1</v>
      </c>
      <c r="T388" s="4">
        <v>15.1</v>
      </c>
      <c r="U388" s="6">
        <f t="shared" si="773"/>
        <v>-4.8000000000000007</v>
      </c>
      <c r="V388" s="4">
        <v>-0.8</v>
      </c>
      <c r="W388" s="4">
        <v>5.7</v>
      </c>
      <c r="X388" s="4">
        <v>5.6</v>
      </c>
      <c r="Y388" s="6">
        <f t="shared" si="775"/>
        <v>37.5</v>
      </c>
      <c r="Z388" s="4">
        <v>6.7</v>
      </c>
      <c r="AA388" s="4">
        <v>6.6</v>
      </c>
      <c r="AB388" s="4">
        <v>5.4</v>
      </c>
      <c r="AC388" s="6">
        <f t="shared" si="774"/>
        <v>4.7999999999999972</v>
      </c>
      <c r="AD388" s="4">
        <v>3</v>
      </c>
    </row>
    <row r="389" spans="2:30" ht="13.5" customHeight="1">
      <c r="B389" s="5" t="s">
        <v>340</v>
      </c>
      <c r="C389" s="8">
        <f t="shared" ref="C389:D389" si="776">SUM(C383:C388)</f>
        <v>735.40000000000009</v>
      </c>
      <c r="D389" s="8">
        <f t="shared" si="776"/>
        <v>808.80000000000007</v>
      </c>
      <c r="E389" s="8">
        <f>SUM(E383:E388)</f>
        <v>1006.3</v>
      </c>
      <c r="F389" s="8">
        <f>SUM(F383:F388)</f>
        <v>1131.0999999999999</v>
      </c>
      <c r="G389" s="8">
        <f>SUM(G383:G388)</f>
        <v>1135.8999999999999</v>
      </c>
      <c r="H389" s="8">
        <f t="shared" ref="H389" si="777">SUM(H383:H388)</f>
        <v>1121.6999999999998</v>
      </c>
      <c r="J389" s="8">
        <f t="shared" ref="J389:P389" si="778">SUM(J383:J388)</f>
        <v>168.8</v>
      </c>
      <c r="K389" s="8">
        <f t="shared" si="778"/>
        <v>187.10000000000002</v>
      </c>
      <c r="L389" s="8">
        <f t="shared" si="778"/>
        <v>183</v>
      </c>
      <c r="M389" s="8">
        <f t="shared" si="778"/>
        <v>196.50000000000003</v>
      </c>
      <c r="N389" s="8">
        <f t="shared" si="778"/>
        <v>164.8</v>
      </c>
      <c r="O389" s="8">
        <f t="shared" si="778"/>
        <v>186.70000000000002</v>
      </c>
      <c r="P389" s="8">
        <f t="shared" si="778"/>
        <v>207.9</v>
      </c>
      <c r="Q389" s="8">
        <f t="shared" ref="Q389:T389" si="779">SUM(Q383:Q388)</f>
        <v>249.39999999999998</v>
      </c>
      <c r="R389" s="8">
        <f t="shared" si="779"/>
        <v>210.4</v>
      </c>
      <c r="S389" s="8">
        <f t="shared" si="779"/>
        <v>244.10000000000002</v>
      </c>
      <c r="T389" s="8">
        <f t="shared" si="779"/>
        <v>278.5</v>
      </c>
      <c r="U389" s="8">
        <f t="shared" ref="U389:X389" si="780">SUM(U383:U388)</f>
        <v>273.29999999999995</v>
      </c>
      <c r="V389" s="8">
        <f t="shared" si="780"/>
        <v>264.39999999999998</v>
      </c>
      <c r="W389" s="8">
        <f t="shared" si="780"/>
        <v>286.20000000000005</v>
      </c>
      <c r="X389" s="8">
        <f t="shared" si="780"/>
        <v>288</v>
      </c>
      <c r="Y389" s="8">
        <f t="shared" ref="Y389:AA389" si="781">SUM(Y383:Y388)</f>
        <v>292.49999999999994</v>
      </c>
      <c r="Z389" s="8">
        <f t="shared" si="781"/>
        <v>276.00000000000006</v>
      </c>
      <c r="AA389" s="8">
        <f t="shared" si="781"/>
        <v>289.60000000000002</v>
      </c>
      <c r="AB389" s="8">
        <f t="shared" ref="AB389:AD389" si="782">SUM(AB383:AB388)</f>
        <v>292.69999999999993</v>
      </c>
      <c r="AC389" s="8">
        <f t="shared" si="782"/>
        <v>277.60000000000014</v>
      </c>
      <c r="AD389" s="8">
        <f t="shared" si="782"/>
        <v>261.8</v>
      </c>
    </row>
    <row r="390" spans="2:30" ht="13.5" customHeight="1">
      <c r="B390" s="78" t="s">
        <v>232</v>
      </c>
      <c r="C390" s="64"/>
      <c r="D390" s="64">
        <f>D389/C389-1</f>
        <v>9.9809627413652402E-2</v>
      </c>
      <c r="E390" s="64">
        <f>E389/D389-1</f>
        <v>0.24418892185954477</v>
      </c>
      <c r="F390" s="64">
        <f>F389/E389-1</f>
        <v>0.12401868230150059</v>
      </c>
      <c r="G390" s="64">
        <f>G389/F389-1</f>
        <v>4.243656617451963E-3</v>
      </c>
      <c r="H390" s="64"/>
      <c r="J390" s="64"/>
      <c r="K390" s="64"/>
      <c r="L390" s="250"/>
      <c r="M390" s="36">
        <f>M389/K389-1</f>
        <v>5.0240513094601758E-2</v>
      </c>
      <c r="N390" s="64">
        <f>N389/J389-1</f>
        <v>-2.3696682464454999E-2</v>
      </c>
      <c r="O390" s="64">
        <f>O389/K389-1</f>
        <v>-2.137894174238375E-3</v>
      </c>
      <c r="P390" s="64">
        <f t="shared" ref="P390:U390" si="783">P389/L389-1</f>
        <v>0.13606557377049189</v>
      </c>
      <c r="Q390" s="64">
        <f t="shared" si="783"/>
        <v>0.26921119592875287</v>
      </c>
      <c r="R390" s="64">
        <f>R389/N389-1</f>
        <v>0.27669902912621347</v>
      </c>
      <c r="S390" s="64">
        <f>S389/O389-1</f>
        <v>0.30744509908944839</v>
      </c>
      <c r="T390" s="64">
        <f>T389/P389-1</f>
        <v>0.33958633958633966</v>
      </c>
      <c r="U390" s="64">
        <f t="shared" si="783"/>
        <v>9.5829991980753704E-2</v>
      </c>
      <c r="V390" s="64">
        <f>V389/R389-1</f>
        <v>0.25665399239543718</v>
      </c>
      <c r="W390" s="64">
        <f>W389/S389-1</f>
        <v>0.17247029905776334</v>
      </c>
      <c r="X390" s="64">
        <f>X389/T389-1</f>
        <v>3.4111310592459532E-2</v>
      </c>
      <c r="Y390" s="64">
        <f t="shared" ref="Y390" si="784">Y389/U389-1</f>
        <v>7.0252469813391949E-2</v>
      </c>
      <c r="Z390" s="64">
        <f>Z389/V389-1</f>
        <v>4.387291981845709E-2</v>
      </c>
      <c r="AA390" s="64">
        <f>AA389/W389-1</f>
        <v>1.1879804332634469E-2</v>
      </c>
      <c r="AB390" s="64">
        <f>AB389/X389-1</f>
        <v>1.6319444444444109E-2</v>
      </c>
      <c r="AC390" s="64">
        <f t="shared" ref="AC390" si="785">AC389/Y389-1</f>
        <v>-5.0940170940170337E-2</v>
      </c>
      <c r="AD390" s="64">
        <f>AD389/Z389-1</f>
        <v>-5.1449275362319025E-2</v>
      </c>
    </row>
    <row r="391" spans="2:30" s="386" customFormat="1" ht="13.5" customHeight="1">
      <c r="B391" s="384" t="s">
        <v>342</v>
      </c>
      <c r="C391" s="385">
        <f>+C389-C47</f>
        <v>-0.13999999999998636</v>
      </c>
      <c r="D391" s="385">
        <f>+D389-D47</f>
        <v>-4.5999999999935426E-2</v>
      </c>
      <c r="E391" s="385">
        <f>+E389-E47</f>
        <v>9.0000000003556124E-3</v>
      </c>
      <c r="F391" s="385">
        <f>+F389-F47</f>
        <v>0</v>
      </c>
      <c r="G391" s="385">
        <f>+G389-G47</f>
        <v>-0.10000000000013642</v>
      </c>
      <c r="H391" s="385">
        <f>+H389-H47</f>
        <v>-0.20000000000004547</v>
      </c>
      <c r="J391" s="385">
        <f>+J389-J47</f>
        <v>-9.9999999999994316E-2</v>
      </c>
      <c r="K391" s="385">
        <f>+K389-K47</f>
        <v>0.40000000000003411</v>
      </c>
      <c r="L391" s="385">
        <f>+L389-L47</f>
        <v>-0.19999999999998863</v>
      </c>
      <c r="M391" s="385">
        <f>+M389-M47</f>
        <v>-0.24000000000009436</v>
      </c>
      <c r="N391" s="385">
        <f>+N389-N47</f>
        <v>-9.9999999999994316E-2</v>
      </c>
      <c r="O391" s="385">
        <f>+O389-O47</f>
        <v>0.10000000000002274</v>
      </c>
      <c r="P391" s="385">
        <f>+P389-P47</f>
        <v>-9.9999999999994316E-2</v>
      </c>
      <c r="Q391" s="385">
        <f>+Q389-Q47</f>
        <v>5.3999999999973625E-2</v>
      </c>
      <c r="R391" s="385">
        <f>+R389-R47</f>
        <v>-0.19999999999998863</v>
      </c>
      <c r="S391" s="385">
        <f>+S389-S47</f>
        <v>0.10000000000002274</v>
      </c>
      <c r="T391" s="385">
        <f>+T389-T47</f>
        <v>0</v>
      </c>
      <c r="U391" s="385">
        <f>+U389-U47</f>
        <v>0.10900000000037835</v>
      </c>
      <c r="V391" s="385">
        <f>+V389-V47</f>
        <v>0</v>
      </c>
      <c r="W391" s="385">
        <f>+W389-W47</f>
        <v>-9.9999999999965894E-2</v>
      </c>
      <c r="X391" s="385">
        <f>+X389-X47</f>
        <v>0</v>
      </c>
      <c r="Y391" s="385">
        <f>+Y389-Y47</f>
        <v>0.10000000000007958</v>
      </c>
      <c r="Z391" s="385">
        <f>+Z389-Z47</f>
        <v>0</v>
      </c>
      <c r="AA391" s="385">
        <f>+AA389-AA47</f>
        <v>-9.9999999999965894E-2</v>
      </c>
      <c r="AB391" s="385">
        <f>+AB389-AB47</f>
        <v>0</v>
      </c>
      <c r="AC391" s="385">
        <f>+AC389-AC47</f>
        <v>0</v>
      </c>
      <c r="AD391" s="385">
        <f>+AD389-AD47</f>
        <v>-9.9999999999965894E-2</v>
      </c>
    </row>
    <row r="392" spans="2:30" ht="13.5" customHeight="1">
      <c r="B392" s="5"/>
      <c r="C392" s="5"/>
      <c r="D392" s="5"/>
      <c r="E392" s="5"/>
      <c r="F392" s="5"/>
      <c r="G392" s="5"/>
      <c r="H392" s="5"/>
      <c r="J392" s="5"/>
      <c r="K392" s="5"/>
      <c r="L392" s="5"/>
      <c r="N392" s="5"/>
      <c r="O392"/>
      <c r="P392"/>
      <c r="R392" s="5"/>
      <c r="S392"/>
      <c r="T392"/>
      <c r="V392" s="5"/>
      <c r="W392"/>
      <c r="X392"/>
      <c r="Z392" s="5"/>
      <c r="AA392"/>
      <c r="AB392"/>
      <c r="AD392" s="5"/>
    </row>
    <row r="393" spans="2:30" ht="13.5" customHeight="1">
      <c r="B393" s="5"/>
      <c r="C393" s="5"/>
      <c r="D393" s="5"/>
      <c r="E393" s="5"/>
      <c r="F393" s="5"/>
      <c r="G393" s="5"/>
      <c r="H393" s="5"/>
      <c r="L393" s="5"/>
    </row>
    <row r="394" spans="2:30" ht="13.5" customHeight="1">
      <c r="B394" s="5"/>
      <c r="C394" s="5"/>
      <c r="D394" s="5"/>
      <c r="E394" s="5"/>
      <c r="F394" s="5"/>
      <c r="G394" s="5"/>
      <c r="H394" s="5"/>
      <c r="L394" s="5"/>
    </row>
    <row r="395" spans="2:30" ht="13.5" customHeight="1">
      <c r="B395" s="5"/>
      <c r="C395" s="5"/>
      <c r="D395" s="5"/>
      <c r="E395" s="5"/>
      <c r="F395" s="5"/>
      <c r="G395" s="5"/>
      <c r="H395" s="5"/>
      <c r="L395" s="5"/>
    </row>
    <row r="396" spans="2:30" ht="13.5" customHeight="1">
      <c r="B396" s="5"/>
      <c r="C396" s="5"/>
      <c r="D396" s="5"/>
      <c r="E396" s="5"/>
      <c r="F396" s="5"/>
      <c r="G396" s="5"/>
      <c r="H396" s="5"/>
      <c r="L396" s="5"/>
    </row>
    <row r="397" spans="2:30" ht="13.5" customHeight="1">
      <c r="C397" s="82"/>
      <c r="D397" s="82"/>
      <c r="E397" s="82"/>
      <c r="F397" s="82"/>
      <c r="G397" s="82"/>
      <c r="H397" s="82"/>
      <c r="J397" s="83"/>
      <c r="K397" s="83"/>
      <c r="L397" s="82"/>
      <c r="N397" s="83"/>
      <c r="R397" s="83"/>
      <c r="V397" s="83"/>
      <c r="Z397" s="83"/>
      <c r="AD397" s="83"/>
    </row>
    <row r="398" spans="2:30" ht="13.5" customHeight="1">
      <c r="C398" s="82"/>
      <c r="D398" s="82"/>
      <c r="E398" s="82"/>
      <c r="F398" s="82"/>
      <c r="G398" s="82"/>
      <c r="H398" s="82"/>
      <c r="J398" s="83"/>
      <c r="K398" s="83"/>
      <c r="L398" s="82"/>
      <c r="N398" s="83"/>
      <c r="R398" s="83"/>
      <c r="V398" s="83"/>
      <c r="Z398" s="83"/>
      <c r="AD398" s="83"/>
    </row>
  </sheetData>
  <pageMargins left="0.51181102362204722" right="0.47244094488188981" top="0.23622047244094491" bottom="0.43307086614173229" header="0.51181102362204722" footer="0.23622047244094491"/>
  <pageSetup paperSize="9" scale="83" fitToHeight="0" orientation="portrait" r:id="rId1"/>
  <headerFooter alignWithMargins="0">
    <oddFooter>&amp;L&amp;8U.S. Bank Loan Team&amp;C&amp;"Arial,Bold"&amp;8- Confidential -&amp;R&amp;8&amp;D &amp;T</oddFooter>
  </headerFooter>
  <rowBreaks count="1" manualBreakCount="1">
    <brk id="99" min="1" max="10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GP396"/>
  <sheetViews>
    <sheetView zoomScale="80" zoomScaleNormal="80" zoomScaleSheetLayoutView="100" workbookViewId="0">
      <pane xSplit="2" ySplit="5" topLeftCell="E6" activePane="bottomRight" state="frozen"/>
      <selection pane="bottomRight" activeCell="B2" sqref="B2"/>
      <selection pane="bottomLeft" activeCell="A6" sqref="A6"/>
      <selection pane="topRight" activeCell="C1" sqref="C1"/>
    </sheetView>
  </sheetViews>
  <sheetFormatPr defaultColWidth="11.42578125" defaultRowHeight="13.5" customHeight="1" outlineLevelRow="1" outlineLevelCol="1"/>
  <cols>
    <col min="1" max="1" width="3.5703125" style="1" customWidth="1"/>
    <col min="2" max="2" width="47.42578125" style="1" bestFit="1" customWidth="1"/>
    <col min="3" max="4" width="11.42578125" style="1" hidden="1" customWidth="1" outlineLevel="1"/>
    <col min="5" max="5" width="11.42578125" style="1" customWidth="1" collapsed="1"/>
    <col min="6" max="12" width="11.42578125" style="1" customWidth="1"/>
    <col min="14" max="14" width="11.42578125" style="1" hidden="1" customWidth="1" outlineLevel="1" collapsed="1"/>
    <col min="15" max="16" width="11.42578125" style="1" hidden="1" customWidth="1" outlineLevel="1"/>
    <col min="17" max="17" width="12.5703125" style="1" hidden="1" customWidth="1" outlineLevel="1"/>
    <col min="18" max="18" width="3.5703125" style="1" hidden="1" customWidth="1" outlineLevel="1"/>
    <col min="19" max="19" width="11.42578125" style="1" customWidth="1" collapsed="1"/>
    <col min="20" max="20" width="11.42578125" style="1" customWidth="1"/>
    <col min="21" max="24" width="12.5703125" style="1" customWidth="1"/>
    <col min="25" max="25" width="11.42578125" style="1" customWidth="1"/>
    <col min="26" max="28" width="12.5703125" style="1" customWidth="1"/>
    <col min="29" max="29" width="11.42578125" style="1" customWidth="1"/>
    <col min="30" max="32" width="12.5703125" style="1" customWidth="1"/>
    <col min="33" max="33" width="11.42578125" style="1" customWidth="1"/>
    <col min="34" max="36" width="12.5703125" style="1" customWidth="1"/>
    <col min="37" max="37" width="11.42578125" style="1" customWidth="1"/>
    <col min="38" max="39" width="11.42578125" style="1"/>
    <col min="40" max="40" width="11.42578125" style="1" customWidth="1"/>
    <col min="41" max="16384" width="11.42578125" style="1"/>
  </cols>
  <sheetData>
    <row r="1" spans="1:40" s="2" customFormat="1" ht="24.75" customHeight="1">
      <c r="B1" s="10" t="s">
        <v>348</v>
      </c>
      <c r="C1" s="12" t="s">
        <v>197</v>
      </c>
      <c r="D1" s="12" t="s">
        <v>197</v>
      </c>
      <c r="E1" s="12" t="s">
        <v>197</v>
      </c>
      <c r="F1" s="12" t="s">
        <v>197</v>
      </c>
      <c r="G1" s="12" t="s">
        <v>197</v>
      </c>
      <c r="H1" s="12" t="s">
        <v>197</v>
      </c>
      <c r="I1" s="242" t="s">
        <v>197</v>
      </c>
      <c r="J1" s="242" t="s">
        <v>197</v>
      </c>
      <c r="K1" s="242" t="s">
        <v>197</v>
      </c>
      <c r="L1" s="242" t="s">
        <v>197</v>
      </c>
      <c r="N1" s="12" t="s">
        <v>199</v>
      </c>
      <c r="O1" s="12" t="s">
        <v>199</v>
      </c>
      <c r="P1" s="12" t="s">
        <v>199</v>
      </c>
      <c r="Q1" s="12" t="s">
        <v>199</v>
      </c>
      <c r="R1" s="12" t="s">
        <v>199</v>
      </c>
      <c r="S1" s="12" t="s">
        <v>199</v>
      </c>
      <c r="T1" s="12" t="s">
        <v>199</v>
      </c>
      <c r="U1" s="12" t="s">
        <v>199</v>
      </c>
      <c r="V1" s="12" t="s">
        <v>199</v>
      </c>
      <c r="W1" s="12" t="s">
        <v>199</v>
      </c>
      <c r="X1" s="12" t="s">
        <v>199</v>
      </c>
      <c r="Y1" s="12" t="s">
        <v>199</v>
      </c>
      <c r="Z1" s="12" t="s">
        <v>199</v>
      </c>
      <c r="AA1" s="12" t="s">
        <v>199</v>
      </c>
      <c r="AB1" s="12" t="s">
        <v>199</v>
      </c>
      <c r="AC1" s="12" t="s">
        <v>199</v>
      </c>
      <c r="AD1" s="12" t="s">
        <v>199</v>
      </c>
      <c r="AE1" s="12" t="s">
        <v>199</v>
      </c>
      <c r="AF1" s="12" t="s">
        <v>199</v>
      </c>
      <c r="AG1" s="12" t="s">
        <v>199</v>
      </c>
      <c r="AH1" s="12" t="s">
        <v>199</v>
      </c>
      <c r="AI1" s="12" t="s">
        <v>199</v>
      </c>
      <c r="AJ1" s="12" t="s">
        <v>199</v>
      </c>
      <c r="AK1" s="12" t="s">
        <v>199</v>
      </c>
      <c r="AN1" s="12" t="s">
        <v>199</v>
      </c>
    </row>
    <row r="2" spans="1:40" s="2" customFormat="1" ht="13.5" customHeight="1">
      <c r="B2" s="11" t="s">
        <v>161</v>
      </c>
      <c r="C2" s="13">
        <v>42004</v>
      </c>
      <c r="D2" s="13">
        <v>42369</v>
      </c>
      <c r="E2" s="13">
        <v>42735</v>
      </c>
      <c r="F2" s="13">
        <v>43100</v>
      </c>
      <c r="G2" s="13">
        <v>43465</v>
      </c>
      <c r="H2" s="13">
        <v>43440</v>
      </c>
      <c r="I2" s="13">
        <v>43806</v>
      </c>
      <c r="J2" s="13">
        <v>43806</v>
      </c>
      <c r="K2" s="13">
        <v>44172</v>
      </c>
      <c r="L2" s="13">
        <v>44537</v>
      </c>
      <c r="N2" s="13">
        <v>42437</v>
      </c>
      <c r="O2" s="13">
        <v>42527</v>
      </c>
      <c r="P2" s="13">
        <v>42622</v>
      </c>
      <c r="Q2" s="13">
        <v>42714</v>
      </c>
      <c r="R2" s="13">
        <v>42825</v>
      </c>
      <c r="S2" s="13">
        <f>+EDATE(R2,3)</f>
        <v>42916</v>
      </c>
      <c r="T2" s="13">
        <f t="shared" ref="T2:AK2" si="0">+EDATE(S2,3)</f>
        <v>43008</v>
      </c>
      <c r="U2" s="13">
        <f t="shared" si="0"/>
        <v>43099</v>
      </c>
      <c r="V2" s="13">
        <f t="shared" si="0"/>
        <v>43189</v>
      </c>
      <c r="W2" s="13">
        <f t="shared" si="0"/>
        <v>43281</v>
      </c>
      <c r="X2" s="13">
        <f t="shared" si="0"/>
        <v>43373</v>
      </c>
      <c r="Y2" s="13">
        <f t="shared" si="0"/>
        <v>43464</v>
      </c>
      <c r="Z2" s="13">
        <f t="shared" si="0"/>
        <v>43554</v>
      </c>
      <c r="AA2" s="13">
        <f t="shared" si="0"/>
        <v>43646</v>
      </c>
      <c r="AB2" s="13">
        <f t="shared" si="0"/>
        <v>43738</v>
      </c>
      <c r="AC2" s="13">
        <f t="shared" si="0"/>
        <v>43829</v>
      </c>
      <c r="AD2" s="13">
        <f t="shared" si="0"/>
        <v>43920</v>
      </c>
      <c r="AE2" s="13">
        <f t="shared" si="0"/>
        <v>44012</v>
      </c>
      <c r="AF2" s="13">
        <f t="shared" si="0"/>
        <v>44104</v>
      </c>
      <c r="AG2" s="13">
        <f t="shared" si="0"/>
        <v>44195</v>
      </c>
      <c r="AH2" s="13">
        <v>44285</v>
      </c>
      <c r="AI2" s="13">
        <f t="shared" si="0"/>
        <v>44377</v>
      </c>
      <c r="AJ2" s="13">
        <f t="shared" si="0"/>
        <v>44469</v>
      </c>
      <c r="AK2" s="13">
        <f t="shared" si="0"/>
        <v>44560</v>
      </c>
      <c r="AN2" s="13">
        <f>+EDATE(AB2,3)</f>
        <v>43829</v>
      </c>
    </row>
    <row r="3" spans="1:40" s="5" customFormat="1" ht="13.5" customHeight="1">
      <c r="B3" s="11"/>
      <c r="C3" s="14" t="s">
        <v>200</v>
      </c>
      <c r="D3" s="14" t="s">
        <v>200</v>
      </c>
      <c r="E3" s="14" t="s">
        <v>200</v>
      </c>
      <c r="F3" s="14" t="s">
        <v>200</v>
      </c>
      <c r="G3" s="14" t="s">
        <v>200</v>
      </c>
      <c r="H3" s="14" t="s">
        <v>200</v>
      </c>
      <c r="I3" s="14" t="s">
        <v>200</v>
      </c>
      <c r="J3" s="14" t="s">
        <v>200</v>
      </c>
      <c r="K3" s="14" t="s">
        <v>200</v>
      </c>
      <c r="L3" s="14" t="s">
        <v>200</v>
      </c>
      <c r="N3" s="14" t="s">
        <v>200</v>
      </c>
      <c r="O3" s="14" t="s">
        <v>200</v>
      </c>
      <c r="P3" s="14" t="s">
        <v>200</v>
      </c>
      <c r="Q3" s="14" t="s">
        <v>200</v>
      </c>
      <c r="R3" s="14" t="s">
        <v>200</v>
      </c>
      <c r="S3" s="14" t="s">
        <v>200</v>
      </c>
      <c r="T3" s="12" t="s">
        <v>200</v>
      </c>
      <c r="U3" s="14" t="s">
        <v>200</v>
      </c>
      <c r="V3" s="14" t="s">
        <v>200</v>
      </c>
      <c r="W3" s="14" t="s">
        <v>200</v>
      </c>
      <c r="X3" s="14" t="s">
        <v>200</v>
      </c>
      <c r="Y3" s="14" t="s">
        <v>200</v>
      </c>
      <c r="Z3" s="14" t="s">
        <v>200</v>
      </c>
      <c r="AA3" s="14" t="s">
        <v>200</v>
      </c>
      <c r="AB3" s="14" t="s">
        <v>200</v>
      </c>
      <c r="AC3" s="14" t="s">
        <v>200</v>
      </c>
      <c r="AD3" s="14" t="s">
        <v>200</v>
      </c>
      <c r="AE3" s="14" t="s">
        <v>200</v>
      </c>
      <c r="AF3" s="14" t="s">
        <v>200</v>
      </c>
      <c r="AG3" s="14" t="s">
        <v>200</v>
      </c>
      <c r="AH3" s="14" t="s">
        <v>200</v>
      </c>
      <c r="AI3" s="14" t="s">
        <v>200</v>
      </c>
      <c r="AJ3" s="14" t="s">
        <v>200</v>
      </c>
      <c r="AK3" s="14" t="s">
        <v>200</v>
      </c>
      <c r="AN3" s="14" t="s">
        <v>200</v>
      </c>
    </row>
    <row r="4" spans="1:40" s="3" customFormat="1" ht="13.5" customHeight="1">
      <c r="C4" s="23" t="s">
        <v>201</v>
      </c>
      <c r="D4" s="23" t="s">
        <v>201</v>
      </c>
      <c r="E4" s="23" t="s">
        <v>201</v>
      </c>
      <c r="F4" s="23" t="s">
        <v>201</v>
      </c>
      <c r="G4" s="23" t="s">
        <v>201</v>
      </c>
      <c r="H4" s="23" t="s">
        <v>201</v>
      </c>
      <c r="I4" s="23" t="s">
        <v>201</v>
      </c>
      <c r="J4" s="23" t="s">
        <v>201</v>
      </c>
      <c r="K4" s="23" t="s">
        <v>201</v>
      </c>
      <c r="L4" s="23" t="s">
        <v>201</v>
      </c>
      <c r="N4" s="23" t="s">
        <v>202</v>
      </c>
      <c r="O4" s="23" t="s">
        <v>203</v>
      </c>
      <c r="P4" s="23" t="s">
        <v>204</v>
      </c>
      <c r="Q4" s="23" t="s">
        <v>205</v>
      </c>
      <c r="R4" s="23" t="s">
        <v>202</v>
      </c>
      <c r="S4" s="23" t="s">
        <v>203</v>
      </c>
      <c r="T4" s="23" t="s">
        <v>204</v>
      </c>
      <c r="U4" s="23" t="s">
        <v>205</v>
      </c>
      <c r="V4" s="23" t="s">
        <v>202</v>
      </c>
      <c r="W4" s="23" t="s">
        <v>203</v>
      </c>
      <c r="X4" s="23" t="s">
        <v>204</v>
      </c>
      <c r="Y4" s="23" t="s">
        <v>205</v>
      </c>
      <c r="Z4" s="23" t="s">
        <v>202</v>
      </c>
      <c r="AA4" s="23" t="s">
        <v>203</v>
      </c>
      <c r="AB4" s="23" t="s">
        <v>204</v>
      </c>
      <c r="AC4" s="23" t="s">
        <v>205</v>
      </c>
      <c r="AD4" s="23" t="s">
        <v>202</v>
      </c>
      <c r="AE4" s="23" t="s">
        <v>203</v>
      </c>
      <c r="AF4" s="23" t="s">
        <v>204</v>
      </c>
      <c r="AG4" s="23" t="s">
        <v>205</v>
      </c>
      <c r="AH4" s="23" t="s">
        <v>202</v>
      </c>
      <c r="AI4" s="23" t="s">
        <v>203</v>
      </c>
      <c r="AJ4" s="23" t="s">
        <v>204</v>
      </c>
      <c r="AK4" s="23" t="s">
        <v>205</v>
      </c>
      <c r="AN4" s="23" t="s">
        <v>205</v>
      </c>
    </row>
    <row r="5" spans="1:40" ht="13.5" customHeight="1">
      <c r="A5" s="27"/>
      <c r="B5" s="16" t="s">
        <v>206</v>
      </c>
      <c r="C5" s="17"/>
      <c r="D5" s="17"/>
      <c r="E5" s="17"/>
      <c r="F5" s="17"/>
      <c r="G5" s="17"/>
      <c r="H5" s="17" t="s">
        <v>349</v>
      </c>
      <c r="I5" s="243"/>
      <c r="J5" s="243" t="s">
        <v>349</v>
      </c>
      <c r="K5" s="243"/>
      <c r="L5" s="243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N5" s="255" t="s">
        <v>349</v>
      </c>
    </row>
    <row r="6" spans="1:40" s="5" customFormat="1" ht="16.5" customHeight="1">
      <c r="B6" s="5" t="s">
        <v>207</v>
      </c>
      <c r="C6" s="28">
        <v>49935.328000000001</v>
      </c>
      <c r="D6" s="28">
        <v>58279.004000000001</v>
      </c>
      <c r="E6" s="28">
        <v>68206.284</v>
      </c>
      <c r="F6" s="28">
        <v>70580.517999999996</v>
      </c>
      <c r="G6" s="28">
        <v>74041.088000000003</v>
      </c>
      <c r="H6" s="28">
        <v>74037.588000000003</v>
      </c>
      <c r="I6" s="28">
        <v>77387.657999999996</v>
      </c>
      <c r="J6" s="28">
        <v>77387.657999999996</v>
      </c>
      <c r="K6" s="28">
        <v>91103.130999999994</v>
      </c>
      <c r="L6" s="28">
        <v>94250.380999999994</v>
      </c>
      <c r="N6" s="28">
        <v>15830.555</v>
      </c>
      <c r="O6" s="28">
        <v>16348.175999999999</v>
      </c>
      <c r="P6" s="28">
        <v>17209.001</v>
      </c>
      <c r="Q6" s="28">
        <v>18818.552</v>
      </c>
      <c r="R6" s="28">
        <v>17677.451000000001</v>
      </c>
      <c r="S6" s="28">
        <v>17437.441999999999</v>
      </c>
      <c r="T6" s="28">
        <v>17134.553</v>
      </c>
      <c r="U6" s="28">
        <v>18331.072</v>
      </c>
      <c r="V6" s="28">
        <v>17532.128000000001</v>
      </c>
      <c r="W6" s="28">
        <v>18941.787</v>
      </c>
      <c r="X6" s="28">
        <v>18487.637999999999</v>
      </c>
      <c r="Y6" s="173">
        <f>H6-X6-W6-V6</f>
        <v>19076.035</v>
      </c>
      <c r="Z6" s="28">
        <v>18578.741999999998</v>
      </c>
      <c r="AA6" s="28">
        <v>19313.781999999999</v>
      </c>
      <c r="AB6" s="28">
        <v>20053.329000000002</v>
      </c>
      <c r="AC6" s="173">
        <f>I6-AB6-AA6-Z6</f>
        <v>19441.805</v>
      </c>
      <c r="AD6" s="28">
        <v>21544.293000000001</v>
      </c>
      <c r="AE6" s="28">
        <v>24145.562999999998</v>
      </c>
      <c r="AF6" s="28">
        <v>23473.200000000001</v>
      </c>
      <c r="AG6" s="173">
        <f>K6-AF6-AE6-AD6</f>
        <v>21940.075000000001</v>
      </c>
      <c r="AH6" s="28">
        <v>22178.932000000001</v>
      </c>
      <c r="AI6" s="28">
        <v>22449.985000000001</v>
      </c>
      <c r="AJ6" s="28">
        <v>23903.053</v>
      </c>
      <c r="AK6" s="173">
        <f>L6-AJ6-AI6-AH6</f>
        <v>25718.410999999993</v>
      </c>
      <c r="AN6" s="173">
        <f>J6-Z6-AA6-AB6</f>
        <v>19441.804999999997</v>
      </c>
    </row>
    <row r="7" spans="1:40" s="50" customFormat="1" ht="13.5" customHeight="1">
      <c r="B7" s="19" t="s">
        <v>208</v>
      </c>
      <c r="C7" s="110">
        <f>C6/49035.523-1</f>
        <v>1.835006429930397E-2</v>
      </c>
      <c r="D7" s="20">
        <f>D6/C6-1</f>
        <v>0.16708964042451058</v>
      </c>
      <c r="E7" s="20">
        <f>E6/D6-1</f>
        <v>0.17034059127022827</v>
      </c>
      <c r="F7" s="20">
        <f>F6/E6-1</f>
        <v>3.4809607865456949E-2</v>
      </c>
      <c r="G7" s="20">
        <f>G6/F6-1</f>
        <v>4.9030102046006663E-2</v>
      </c>
      <c r="H7" s="20">
        <f>H6/F6-1</f>
        <v>4.8980513291217331E-2</v>
      </c>
      <c r="I7" s="64">
        <f>I6/H6-1</f>
        <v>4.524823255992616E-2</v>
      </c>
      <c r="J7" s="64">
        <f>J6/H6-1</f>
        <v>4.524823255992616E-2</v>
      </c>
      <c r="K7" s="64">
        <f>K6/J6-1</f>
        <v>0.17723075428901081</v>
      </c>
      <c r="L7" s="64">
        <f>L6/K6-1</f>
        <v>3.4546013572244849E-2</v>
      </c>
      <c r="N7" s="110">
        <f>N6/13522.45-1</f>
        <v>0.17068689475649745</v>
      </c>
      <c r="O7" s="110">
        <f>O6/14279.95-1</f>
        <v>0.14483426062416171</v>
      </c>
      <c r="P7" s="110">
        <f>P6/15312.715-1</f>
        <v>0.12383734693684301</v>
      </c>
      <c r="Q7" s="110">
        <f>Q6/15163.889-1</f>
        <v>0.24101093063923118</v>
      </c>
      <c r="R7" s="20">
        <f t="shared" ref="R7:AE7" si="1">R6/N6-1</f>
        <v>0.11666653506462654</v>
      </c>
      <c r="S7" s="20">
        <f t="shared" si="1"/>
        <v>6.6629206830168597E-2</v>
      </c>
      <c r="T7" s="74">
        <f t="shared" si="1"/>
        <v>-4.3261081802482559E-3</v>
      </c>
      <c r="U7" s="137">
        <f t="shared" si="1"/>
        <v>-2.5904224724622837E-2</v>
      </c>
      <c r="V7" s="137">
        <f t="shared" si="1"/>
        <v>-8.2208119258823098E-3</v>
      </c>
      <c r="W7" s="137">
        <f t="shared" si="1"/>
        <v>8.6270967955047517E-2</v>
      </c>
      <c r="X7" s="137">
        <f t="shared" si="1"/>
        <v>7.8968211192903537E-2</v>
      </c>
      <c r="Y7" s="137">
        <f t="shared" si="1"/>
        <v>4.0639358134646919E-2</v>
      </c>
      <c r="Z7" s="137">
        <f t="shared" si="1"/>
        <v>5.9696917567565011E-2</v>
      </c>
      <c r="AA7" s="137">
        <f t="shared" si="1"/>
        <v>1.9638854560026342E-2</v>
      </c>
      <c r="AB7" s="137">
        <f t="shared" si="1"/>
        <v>8.4688536199162057E-2</v>
      </c>
      <c r="AC7" s="137">
        <f>AC6/Y6-1</f>
        <v>1.9174320030341807E-2</v>
      </c>
      <c r="AD7" s="137">
        <f t="shared" si="1"/>
        <v>0.15962065676997961</v>
      </c>
      <c r="AE7" s="137">
        <f t="shared" si="1"/>
        <v>0.2501727005099259</v>
      </c>
      <c r="AF7" s="137">
        <f>AF6/AB6-1</f>
        <v>0.1705388167720181</v>
      </c>
      <c r="AG7" s="137">
        <f>AG6/AN6-1</f>
        <v>0.12849990008643775</v>
      </c>
      <c r="AH7" s="137">
        <f>AH6/AD6-1</f>
        <v>2.9457406655210239E-2</v>
      </c>
      <c r="AI7" s="137">
        <f>AI6/AE6-1</f>
        <v>-7.0223171023181319E-2</v>
      </c>
      <c r="AJ7" s="137">
        <f>AJ6/AF6-1</f>
        <v>1.8312501065044451E-2</v>
      </c>
      <c r="AK7" s="137">
        <f>AK6/AG6-1</f>
        <v>0.17221162644156829</v>
      </c>
      <c r="AN7" s="137">
        <f>AN6/Y6-1</f>
        <v>1.9174320030341585E-2</v>
      </c>
    </row>
    <row r="8" spans="1:40" s="50" customFormat="1" ht="13.5" customHeight="1">
      <c r="B8" s="5" t="s">
        <v>209</v>
      </c>
      <c r="C8" s="4">
        <v>31574.75</v>
      </c>
      <c r="D8" s="4">
        <v>35937.866999999998</v>
      </c>
      <c r="E8" s="4">
        <v>42150.595999999998</v>
      </c>
      <c r="F8" s="4">
        <v>43802.989000000001</v>
      </c>
      <c r="G8" s="4">
        <v>46347.137000000002</v>
      </c>
      <c r="H8" s="4">
        <v>46347.137000000002</v>
      </c>
      <c r="I8" s="4">
        <v>48672.006000000001</v>
      </c>
      <c r="J8" s="4">
        <v>48672.006000000001</v>
      </c>
      <c r="K8" s="4">
        <v>56260.258000000002</v>
      </c>
      <c r="L8" s="4">
        <v>60350.116999999998</v>
      </c>
      <c r="N8" s="4">
        <v>9712.2739999999994</v>
      </c>
      <c r="O8" s="4">
        <v>10097.067999999999</v>
      </c>
      <c r="P8" s="4">
        <v>10572.57</v>
      </c>
      <c r="Q8" s="4">
        <v>11768.683999999999</v>
      </c>
      <c r="R8" s="4">
        <v>11031.175999999999</v>
      </c>
      <c r="S8" s="4">
        <v>10704.736000000001</v>
      </c>
      <c r="T8" s="4">
        <v>10723.343999999999</v>
      </c>
      <c r="U8" s="4">
        <v>11343.733</v>
      </c>
      <c r="V8" s="4">
        <v>11021.261</v>
      </c>
      <c r="W8" s="4">
        <v>11778.618</v>
      </c>
      <c r="X8" s="4">
        <v>11497.046</v>
      </c>
      <c r="Y8" s="174">
        <f>H8-X8-W8-V8</f>
        <v>12050.211999999998</v>
      </c>
      <c r="Z8" s="4">
        <v>11779.800999999999</v>
      </c>
      <c r="AA8" s="4">
        <v>12050.886</v>
      </c>
      <c r="AB8" s="4">
        <v>12606.828</v>
      </c>
      <c r="AC8" s="174">
        <f>I8-AB8-AA8-Z8</f>
        <v>12234.491000000002</v>
      </c>
      <c r="AD8" s="4">
        <v>13425.395</v>
      </c>
      <c r="AE8" s="4">
        <v>14614.763999999999</v>
      </c>
      <c r="AF8" s="4">
        <v>14320.772999999999</v>
      </c>
      <c r="AG8" s="174">
        <f>K8-AF8-AE8-AD8</f>
        <v>13899.326000000001</v>
      </c>
      <c r="AH8" s="4">
        <v>14153.522999999999</v>
      </c>
      <c r="AI8" s="4">
        <v>14370.589</v>
      </c>
      <c r="AJ8" s="4">
        <v>15293.314</v>
      </c>
      <c r="AK8" s="174">
        <f>L8-AJ8-AI8-AH8</f>
        <v>16532.690999999999</v>
      </c>
      <c r="AN8" s="174">
        <f>J8-Z8-AA8-AB8</f>
        <v>12234.491000000004</v>
      </c>
    </row>
    <row r="9" spans="1:40" s="5" customFormat="1" ht="16.5" customHeight="1">
      <c r="B9" s="5" t="s">
        <v>210</v>
      </c>
      <c r="C9" s="173">
        <f t="shared" ref="C9:X9" si="2">C6-C8</f>
        <v>18360.578000000001</v>
      </c>
      <c r="D9" s="173">
        <f t="shared" si="2"/>
        <v>22341.137000000002</v>
      </c>
      <c r="E9" s="173">
        <f t="shared" si="2"/>
        <v>26055.688000000002</v>
      </c>
      <c r="F9" s="173">
        <f t="shared" si="2"/>
        <v>26777.528999999995</v>
      </c>
      <c r="G9" s="173">
        <f t="shared" si="2"/>
        <v>27693.951000000001</v>
      </c>
      <c r="H9" s="173">
        <f t="shared" si="2"/>
        <v>27690.451000000001</v>
      </c>
      <c r="I9" s="173">
        <f>I6-I8</f>
        <v>28715.651999999995</v>
      </c>
      <c r="J9" s="173">
        <f>J6-J8</f>
        <v>28715.651999999995</v>
      </c>
      <c r="K9" s="173">
        <f>K6-K8</f>
        <v>34842.872999999992</v>
      </c>
      <c r="L9" s="173">
        <f>L6-L8</f>
        <v>33900.263999999996</v>
      </c>
      <c r="N9" s="173">
        <f t="shared" si="2"/>
        <v>6118.2810000000009</v>
      </c>
      <c r="O9" s="173">
        <f t="shared" si="2"/>
        <v>6251.1080000000002</v>
      </c>
      <c r="P9" s="173">
        <f t="shared" si="2"/>
        <v>6636.4310000000005</v>
      </c>
      <c r="Q9" s="173">
        <f t="shared" si="2"/>
        <v>7049.8680000000004</v>
      </c>
      <c r="R9" s="173">
        <f t="shared" si="2"/>
        <v>6646.2750000000015</v>
      </c>
      <c r="S9" s="173">
        <f t="shared" si="2"/>
        <v>6732.7059999999983</v>
      </c>
      <c r="T9" s="173">
        <f t="shared" si="2"/>
        <v>6411.2090000000007</v>
      </c>
      <c r="U9" s="173">
        <f t="shared" si="2"/>
        <v>6987.3389999999999</v>
      </c>
      <c r="V9" s="173">
        <f t="shared" si="2"/>
        <v>6510.8670000000002</v>
      </c>
      <c r="W9" s="173">
        <f t="shared" si="2"/>
        <v>7163.1689999999999</v>
      </c>
      <c r="X9" s="173">
        <f t="shared" si="2"/>
        <v>6990.5919999999987</v>
      </c>
      <c r="Y9" s="173">
        <f t="shared" ref="Y9:AE9" si="3">Y6-Y8</f>
        <v>7025.8230000000021</v>
      </c>
      <c r="Z9" s="173">
        <f t="shared" si="3"/>
        <v>6798.9409999999989</v>
      </c>
      <c r="AA9" s="173">
        <f t="shared" si="3"/>
        <v>7262.8959999999988</v>
      </c>
      <c r="AB9" s="173">
        <f t="shared" si="3"/>
        <v>7446.501000000002</v>
      </c>
      <c r="AC9" s="173">
        <f t="shared" si="3"/>
        <v>7207.3139999999985</v>
      </c>
      <c r="AD9" s="173">
        <f t="shared" si="3"/>
        <v>8118.898000000001</v>
      </c>
      <c r="AE9" s="173">
        <f t="shared" si="3"/>
        <v>9530.7989999999991</v>
      </c>
      <c r="AF9" s="173">
        <f t="shared" ref="AF9:AK9" si="4">AF6-AF8</f>
        <v>9152.4270000000015</v>
      </c>
      <c r="AG9" s="173">
        <f t="shared" si="4"/>
        <v>8040.7489999999998</v>
      </c>
      <c r="AH9" s="173">
        <f t="shared" si="4"/>
        <v>8025.4090000000015</v>
      </c>
      <c r="AI9" s="173">
        <f t="shared" si="4"/>
        <v>8079.3960000000006</v>
      </c>
      <c r="AJ9" s="173">
        <f t="shared" si="4"/>
        <v>8609.7389999999996</v>
      </c>
      <c r="AK9" s="173">
        <f t="shared" si="4"/>
        <v>9185.7199999999939</v>
      </c>
      <c r="AN9" s="173">
        <f>AN6-AN8</f>
        <v>7207.313999999993</v>
      </c>
    </row>
    <row r="10" spans="1:40" s="50" customFormat="1" ht="13.5" customHeight="1">
      <c r="B10" s="19" t="s">
        <v>211</v>
      </c>
      <c r="C10" s="20">
        <f t="shared" ref="C10:H10" si="5">C9/C6</f>
        <v>0.36768714125598617</v>
      </c>
      <c r="D10" s="20">
        <f t="shared" si="5"/>
        <v>0.38334795495132351</v>
      </c>
      <c r="E10" s="20">
        <f t="shared" si="5"/>
        <v>0.38201301217348244</v>
      </c>
      <c r="F10" s="20">
        <f t="shared" si="5"/>
        <v>0.37938980555512497</v>
      </c>
      <c r="G10" s="20">
        <f t="shared" si="5"/>
        <v>0.37403490072971374</v>
      </c>
      <c r="H10" s="20">
        <f t="shared" si="5"/>
        <v>0.374005309303161</v>
      </c>
      <c r="I10" s="64">
        <f>I9/I6</f>
        <v>0.3710624244501623</v>
      </c>
      <c r="J10" s="64">
        <f>J9/J6</f>
        <v>0.3710624244501623</v>
      </c>
      <c r="K10" s="64">
        <f>K9/K6</f>
        <v>0.38245527478084146</v>
      </c>
      <c r="L10" s="64">
        <f>L9/L6</f>
        <v>0.35968304467649842</v>
      </c>
      <c r="N10" s="20">
        <f t="shared" ref="N10:U10" si="6">N9/N6</f>
        <v>0.38648556541447859</v>
      </c>
      <c r="O10" s="20">
        <f t="shared" si="6"/>
        <v>0.38237342196462776</v>
      </c>
      <c r="P10" s="20">
        <f t="shared" si="6"/>
        <v>0.38563720229895976</v>
      </c>
      <c r="Q10" s="20">
        <f t="shared" si="6"/>
        <v>0.37462329726537941</v>
      </c>
      <c r="R10" s="20">
        <f t="shared" si="6"/>
        <v>0.37597473753427468</v>
      </c>
      <c r="S10" s="20">
        <f t="shared" si="6"/>
        <v>0.38610628783740175</v>
      </c>
      <c r="T10" s="74">
        <f t="shared" si="6"/>
        <v>0.37416844197803123</v>
      </c>
      <c r="U10" s="64">
        <f t="shared" si="6"/>
        <v>0.38117459797222986</v>
      </c>
      <c r="V10" s="64">
        <f t="shared" ref="V10:AA10" si="7">V9/V6</f>
        <v>0.37136775410263945</v>
      </c>
      <c r="W10" s="64">
        <f t="shared" si="7"/>
        <v>0.3781675403698711</v>
      </c>
      <c r="X10" s="64">
        <f t="shared" si="7"/>
        <v>0.37812250542768089</v>
      </c>
      <c r="Y10" s="137">
        <f t="shared" si="7"/>
        <v>0.36830625441817455</v>
      </c>
      <c r="Z10" s="64">
        <f t="shared" si="7"/>
        <v>0.36595271089937087</v>
      </c>
      <c r="AA10" s="64">
        <f t="shared" si="7"/>
        <v>0.37604732206255609</v>
      </c>
      <c r="AB10" s="64">
        <f t="shared" ref="AB10:AG10" si="8">AB9/AB6</f>
        <v>0.37133490404510899</v>
      </c>
      <c r="AC10" s="137">
        <f t="shared" si="8"/>
        <v>0.37071218438822928</v>
      </c>
      <c r="AD10" s="64">
        <f t="shared" si="8"/>
        <v>0.37684680578750024</v>
      </c>
      <c r="AE10" s="64">
        <f t="shared" si="8"/>
        <v>0.39472258319261389</v>
      </c>
      <c r="AF10" s="64">
        <f t="shared" si="8"/>
        <v>0.38990964163386332</v>
      </c>
      <c r="AG10" s="137">
        <f t="shared" si="8"/>
        <v>0.36648685111605134</v>
      </c>
      <c r="AH10" s="64">
        <f>AH9/AH6</f>
        <v>0.3618483072133501</v>
      </c>
      <c r="AI10" s="64">
        <f>AI9/AI6</f>
        <v>0.35988424936586821</v>
      </c>
      <c r="AJ10" s="64">
        <f>AJ9/AJ6</f>
        <v>0.36019411411588298</v>
      </c>
      <c r="AK10" s="137">
        <f>AK9/AK6</f>
        <v>0.35716514523389475</v>
      </c>
      <c r="AN10" s="137">
        <f>AN9/AN6</f>
        <v>0.37071218438822912</v>
      </c>
    </row>
    <row r="11" spans="1:40" ht="16.5" customHeight="1">
      <c r="B11" s="1" t="s">
        <v>212</v>
      </c>
      <c r="C11" s="4">
        <v>-12040.402</v>
      </c>
      <c r="D11" s="4">
        <v>-14442.285</v>
      </c>
      <c r="E11" s="4">
        <v>-17140.414000000001</v>
      </c>
      <c r="F11" s="4">
        <f>-14198.071-3397.092</f>
        <v>-17595.163</v>
      </c>
      <c r="G11" s="4">
        <f>-14391.118-3847.563</f>
        <v>-18238.681</v>
      </c>
      <c r="H11" s="4">
        <f>-14391.118-3847.563</f>
        <v>-18238.681</v>
      </c>
      <c r="I11" s="4">
        <f>-15380.503-4032.198</f>
        <v>-19412.701000000001</v>
      </c>
      <c r="J11" s="4">
        <f>-15380.503-4032.198</f>
        <v>-19412.701000000001</v>
      </c>
      <c r="K11" s="4">
        <f>-18919.883-4488.679</f>
        <v>-23408.562000000002</v>
      </c>
      <c r="L11" s="4">
        <f>-19233.75-4081.139</f>
        <v>-23314.888999999999</v>
      </c>
      <c r="N11" s="4">
        <f>-3198.277-865.628</f>
        <v>-4063.9050000000002</v>
      </c>
      <c r="O11" s="4">
        <f>-3281.381-873.571</f>
        <v>-4154.9520000000002</v>
      </c>
      <c r="P11" s="4">
        <f>-3491.97-863.013</f>
        <v>-4354.9830000000002</v>
      </c>
      <c r="Q11" s="4">
        <f>-3682.773-883.803</f>
        <v>-4566.576</v>
      </c>
      <c r="R11" s="4">
        <f>-3589.701-828.75</f>
        <v>-4418.451</v>
      </c>
      <c r="S11" s="4">
        <f>-3500.197-882.221</f>
        <v>-4382.4179999999997</v>
      </c>
      <c r="T11" s="4">
        <f>-3441.496-662.286</f>
        <v>-4103.7820000000002</v>
      </c>
      <c r="U11" s="4">
        <f>-3666.677-1023.835</f>
        <v>-4690.5120000000006</v>
      </c>
      <c r="V11" s="4">
        <f>-3476.207-916.919</f>
        <v>-4393.1260000000002</v>
      </c>
      <c r="W11" s="4">
        <f>-3661.369-916.005</f>
        <v>-4577.3739999999998</v>
      </c>
      <c r="X11" s="4">
        <f>-3578.328-967.352</f>
        <v>-4545.68</v>
      </c>
      <c r="Y11" s="174">
        <f>H11-X11-W11-V11</f>
        <v>-4722.5010000000002</v>
      </c>
      <c r="Z11" s="4">
        <f>-3709.512-1022.442</f>
        <v>-4731.9539999999997</v>
      </c>
      <c r="AA11" s="4">
        <f>-3777.846-1028.148</f>
        <v>-4805.9939999999997</v>
      </c>
      <c r="AB11" s="4">
        <f>-3946.726-1004.159</f>
        <v>-4950.8850000000002</v>
      </c>
      <c r="AC11" s="174">
        <f t="shared" ref="AC11:AC16" si="9">I11-AB11-AA11-Z11</f>
        <v>-4923.8680000000004</v>
      </c>
      <c r="AD11" s="4">
        <f>-4421.996-1179.377</f>
        <v>-5601.3729999999996</v>
      </c>
      <c r="AE11" s="4">
        <f>-5104.763-1295.556</f>
        <v>-6400.3189999999995</v>
      </c>
      <c r="AF11" s="4">
        <f>-5063.992-1273.674</f>
        <v>-6337.6660000000002</v>
      </c>
      <c r="AG11" s="174">
        <f t="shared" ref="AG11:AG16" si="10">K11-AF11-AE11-AD11</f>
        <v>-5069.2040000000015</v>
      </c>
      <c r="AH11" s="4">
        <f>-4680.192-1048.108</f>
        <v>-5728.3</v>
      </c>
      <c r="AI11" s="4">
        <f>-4660.428-1089.879</f>
        <v>-5750.3069999999998</v>
      </c>
      <c r="AJ11" s="4">
        <f>-4849.183-998.809</f>
        <v>-5847.9920000000002</v>
      </c>
      <c r="AK11" s="174">
        <f>L11-AJ11-AI11-AH11</f>
        <v>-5988.2899999999963</v>
      </c>
      <c r="AN11" s="174">
        <f t="shared" ref="AN11:AN16" si="11">J11-Z11-AA11-AB11</f>
        <v>-4923.8680000000004</v>
      </c>
    </row>
    <row r="12" spans="1:40" ht="16.5" customHeight="1">
      <c r="B12" s="1" t="s">
        <v>213</v>
      </c>
      <c r="C12" s="4">
        <v>-297.262</v>
      </c>
      <c r="D12" s="4">
        <v>-530.90499999999997</v>
      </c>
      <c r="E12" s="4">
        <v>206.43100000000001</v>
      </c>
      <c r="F12" s="4">
        <v>136.87799999999999</v>
      </c>
      <c r="G12" s="4">
        <v>-29.788</v>
      </c>
      <c r="H12" s="4">
        <v>-26.288</v>
      </c>
      <c r="I12" s="4">
        <v>-20.946000000000002</v>
      </c>
      <c r="J12" s="4">
        <v>-20.946000000000002</v>
      </c>
      <c r="K12" s="4">
        <v>-85.906000000000006</v>
      </c>
      <c r="L12" s="4">
        <f>697.76</f>
        <v>697.76</v>
      </c>
      <c r="N12" s="4">
        <v>-23.684000000000001</v>
      </c>
      <c r="O12" s="4">
        <v>94.480999999999995</v>
      </c>
      <c r="P12" s="4">
        <v>141.28</v>
      </c>
      <c r="Q12" s="4">
        <v>-5.6449999999999996</v>
      </c>
      <c r="R12" s="4">
        <v>-48.158000000000001</v>
      </c>
      <c r="S12" s="4">
        <v>-6.7569999999999997</v>
      </c>
      <c r="T12" s="4">
        <v>4.8920000000000003</v>
      </c>
      <c r="U12" s="4">
        <v>186.90199999999999</v>
      </c>
      <c r="V12" s="4">
        <v>28.077999999999999</v>
      </c>
      <c r="W12" s="4">
        <v>-67.012</v>
      </c>
      <c r="X12" s="4">
        <v>-9.1129999999999995</v>
      </c>
      <c r="Y12" s="174">
        <f>H12-X12-W12-V12</f>
        <v>21.759000000000004</v>
      </c>
      <c r="Z12" s="4">
        <v>-18.047999999999998</v>
      </c>
      <c r="AA12" s="4">
        <v>-94.45</v>
      </c>
      <c r="AB12" s="4">
        <v>-21.786999999999999</v>
      </c>
      <c r="AC12" s="174">
        <f t="shared" si="9"/>
        <v>113.339</v>
      </c>
      <c r="AD12" s="4">
        <v>144.184</v>
      </c>
      <c r="AE12" s="4">
        <v>-77.296000000000006</v>
      </c>
      <c r="AF12" s="4">
        <v>183.00299999999999</v>
      </c>
      <c r="AG12" s="174">
        <f t="shared" si="10"/>
        <v>-335.79700000000003</v>
      </c>
      <c r="AH12" s="4">
        <v>278.98399999999998</v>
      </c>
      <c r="AI12" s="4">
        <v>475.75900000000001</v>
      </c>
      <c r="AJ12" s="4">
        <v>16.722999999999999</v>
      </c>
      <c r="AK12" s="174">
        <f>L12-AJ12-AI12-AH12</f>
        <v>-73.70599999999996</v>
      </c>
      <c r="AN12" s="174">
        <f t="shared" si="11"/>
        <v>113.339</v>
      </c>
    </row>
    <row r="13" spans="1:40" s="5" customFormat="1" ht="13.5" customHeight="1">
      <c r="B13" s="15" t="s">
        <v>214</v>
      </c>
      <c r="C13" s="8">
        <f t="shared" ref="C13:H13" si="12">SUM(C9,C11,C12)</f>
        <v>6022.9140000000016</v>
      </c>
      <c r="D13" s="8">
        <f t="shared" si="12"/>
        <v>7367.9470000000028</v>
      </c>
      <c r="E13" s="8">
        <f t="shared" si="12"/>
        <v>9121.7050000000017</v>
      </c>
      <c r="F13" s="8">
        <f t="shared" si="12"/>
        <v>9319.2439999999951</v>
      </c>
      <c r="G13" s="8">
        <f t="shared" si="12"/>
        <v>9425.482</v>
      </c>
      <c r="H13" s="8">
        <f t="shared" si="12"/>
        <v>9425.482</v>
      </c>
      <c r="I13" s="8">
        <f>SUM(I9,I11,I12)</f>
        <v>9282.0049999999937</v>
      </c>
      <c r="J13" s="8">
        <f>SUM(J9,J11,J12)</f>
        <v>9282.0049999999937</v>
      </c>
      <c r="K13" s="8">
        <f>SUM(K9,K11,K12)</f>
        <v>11348.40499999999</v>
      </c>
      <c r="L13" s="8">
        <f>SUM(L9,L11,L12)</f>
        <v>11283.134999999997</v>
      </c>
      <c r="N13" s="8">
        <f t="shared" ref="N13:S13" si="13">SUM(N9,N11,N12)</f>
        <v>2030.6920000000007</v>
      </c>
      <c r="O13" s="8">
        <f t="shared" si="13"/>
        <v>2190.6369999999997</v>
      </c>
      <c r="P13" s="8">
        <f t="shared" si="13"/>
        <v>2422.7280000000005</v>
      </c>
      <c r="Q13" s="8">
        <f t="shared" si="13"/>
        <v>2477.6470000000004</v>
      </c>
      <c r="R13" s="8">
        <f t="shared" si="13"/>
        <v>2179.6660000000015</v>
      </c>
      <c r="S13" s="8">
        <f t="shared" si="13"/>
        <v>2343.5309999999986</v>
      </c>
      <c r="T13" s="8">
        <f>SUM(T9,T11,T12)</f>
        <v>2312.3190000000004</v>
      </c>
      <c r="U13" s="8">
        <f>SUM(U9,U11,U12)</f>
        <v>2483.7289999999994</v>
      </c>
      <c r="V13" s="8">
        <f>SUM(V9,V11,V12)</f>
        <v>2145.819</v>
      </c>
      <c r="W13" s="8">
        <f>SUM(W9,W11,W12)</f>
        <v>2518.7829999999999</v>
      </c>
      <c r="X13" s="8">
        <f>SUM(X9,X11,X12)</f>
        <v>2435.7989999999986</v>
      </c>
      <c r="Y13" s="8">
        <f>G13-X13-W13-V13</f>
        <v>2325.0810000000015</v>
      </c>
      <c r="Z13" s="8">
        <f>SUM(Z9,Z11,Z12)</f>
        <v>2048.9389999999994</v>
      </c>
      <c r="AA13" s="8">
        <f>SUM(AA9,AA11,AA12)</f>
        <v>2362.4519999999993</v>
      </c>
      <c r="AB13" s="8">
        <f>SUM(AB9,AB11,AB12)</f>
        <v>2473.829000000002</v>
      </c>
      <c r="AC13" s="8">
        <f t="shared" si="9"/>
        <v>2396.7849999999935</v>
      </c>
      <c r="AD13" s="8">
        <f>SUM(AD9,AD11,AD12)</f>
        <v>2661.7090000000017</v>
      </c>
      <c r="AE13" s="8">
        <f>SUM(AE9,AE11,AE12)</f>
        <v>3053.1839999999997</v>
      </c>
      <c r="AF13" s="8">
        <f>SUM(AF9,AF11,AF12)</f>
        <v>2997.7640000000015</v>
      </c>
      <c r="AG13" s="174">
        <f t="shared" si="10"/>
        <v>2635.7479999999878</v>
      </c>
      <c r="AH13" s="8">
        <f>SUM(AH9,AH11,AH12)</f>
        <v>2576.0930000000012</v>
      </c>
      <c r="AI13" s="8">
        <f>SUM(AI9,AI11,AI12)</f>
        <v>2804.8480000000009</v>
      </c>
      <c r="AJ13" s="8">
        <f>SUM(AJ9,AJ11,AJ12)</f>
        <v>2778.4699999999993</v>
      </c>
      <c r="AK13" s="8">
        <f>SUM(AK9,AK11,AK12)</f>
        <v>3123.7239999999974</v>
      </c>
      <c r="AN13" s="174">
        <f t="shared" si="11"/>
        <v>2396.784999999993</v>
      </c>
    </row>
    <row r="14" spans="1:40" ht="13.5" customHeight="1">
      <c r="B14" s="7" t="s">
        <v>215</v>
      </c>
      <c r="C14" s="4">
        <v>35.552</v>
      </c>
      <c r="D14" s="4">
        <v>49.752000000000002</v>
      </c>
      <c r="E14" s="4">
        <v>63.558999999999997</v>
      </c>
      <c r="F14" s="4">
        <f>42.842+15.129</f>
        <v>57.970999999999997</v>
      </c>
      <c r="G14" s="4">
        <f>70.147+11.726</f>
        <v>81.873000000000005</v>
      </c>
      <c r="H14" s="4">
        <f>70.147+11.726</f>
        <v>81.873000000000005</v>
      </c>
      <c r="I14" s="4">
        <f>104.184+2.645</f>
        <v>106.82899999999999</v>
      </c>
      <c r="J14" s="4">
        <f>104.184+2.645</f>
        <v>106.82899999999999</v>
      </c>
      <c r="K14" s="4">
        <f>56.688+4.46</f>
        <v>61.148000000000003</v>
      </c>
      <c r="L14" s="4">
        <v>42.625</v>
      </c>
      <c r="N14" s="4">
        <f>7.252+2.973</f>
        <v>10.225</v>
      </c>
      <c r="O14" s="4">
        <f>6.544+5.013</f>
        <v>11.556999999999999</v>
      </c>
      <c r="P14" s="4">
        <f>9.699+0.2</f>
        <v>9.8989999999999991</v>
      </c>
      <c r="Q14" s="4">
        <f>15.48+16.397</f>
        <v>31.876999999999999</v>
      </c>
      <c r="R14" s="4">
        <v>13.396000000000001</v>
      </c>
      <c r="S14" s="4">
        <f>1.801+14.067</f>
        <v>15.868</v>
      </c>
      <c r="T14" s="4">
        <f>11.128+175.859</f>
        <v>186.98700000000002</v>
      </c>
      <c r="U14" s="4">
        <f>12.484-170.764</f>
        <v>-158.28</v>
      </c>
      <c r="V14" s="4">
        <f>12.931+3.427</f>
        <v>16.358000000000001</v>
      </c>
      <c r="W14" s="4">
        <v>108.098</v>
      </c>
      <c r="X14" s="4">
        <f>21.406+2.8</f>
        <v>24.206</v>
      </c>
      <c r="Y14" s="174">
        <f>H14-X14-W14-V14</f>
        <v>-66.789000000000001</v>
      </c>
      <c r="Z14" s="4">
        <v>41.027000000000001</v>
      </c>
      <c r="AA14" s="4">
        <v>65.271000000000001</v>
      </c>
      <c r="AB14" s="4">
        <v>48.765999999999998</v>
      </c>
      <c r="AC14" s="174">
        <f t="shared" si="9"/>
        <v>-48.235000000000007</v>
      </c>
      <c r="AD14" s="4">
        <v>20.381</v>
      </c>
      <c r="AE14" s="4">
        <v>44.844999999999999</v>
      </c>
      <c r="AF14" s="4">
        <v>36.298999999999999</v>
      </c>
      <c r="AG14" s="174">
        <f t="shared" si="10"/>
        <v>-40.376999999999995</v>
      </c>
      <c r="AH14" s="4">
        <v>24.52</v>
      </c>
      <c r="AI14" s="4">
        <v>82.061999999999998</v>
      </c>
      <c r="AJ14" s="4">
        <v>24.774999999999999</v>
      </c>
      <c r="AK14" s="174">
        <f>L14-AJ14-AI14-AH14</f>
        <v>-88.731999999999985</v>
      </c>
      <c r="AN14" s="174">
        <f t="shared" si="11"/>
        <v>-48.235000000000007</v>
      </c>
    </row>
    <row r="15" spans="1:40" ht="13.5" customHeight="1">
      <c r="B15" s="7" t="s">
        <v>216</v>
      </c>
      <c r="C15" s="4">
        <v>-1189.9929999999999</v>
      </c>
      <c r="D15" s="4">
        <v>-611.77200000000005</v>
      </c>
      <c r="E15" s="4">
        <v>-656.54</v>
      </c>
      <c r="F15" s="4">
        <f>-762.024-30.792</f>
        <v>-792.81600000000003</v>
      </c>
      <c r="G15" s="4">
        <f>-1239.337-107.465</f>
        <v>-1346.8019999999999</v>
      </c>
      <c r="H15" s="4">
        <f>-1239.337-107.465</f>
        <v>-1346.8019999999999</v>
      </c>
      <c r="I15" s="4">
        <f>-1845.984-156.488</f>
        <v>-2002.472</v>
      </c>
      <c r="J15" s="4">
        <f>-1845.984-156.488</f>
        <v>-2002.472</v>
      </c>
      <c r="K15" s="4">
        <f>-1434.423-244.172</f>
        <v>-1678.595</v>
      </c>
      <c r="L15" s="4">
        <f>-1361.253-285.356</f>
        <v>-1646.6089999999999</v>
      </c>
      <c r="N15" s="4">
        <f>-127.031-26.065</f>
        <v>-153.096</v>
      </c>
      <c r="O15" s="4">
        <f>-138.646-25.834</f>
        <v>-164.48</v>
      </c>
      <c r="P15" s="4">
        <f>-143.14-11.163</f>
        <v>-154.303</v>
      </c>
      <c r="Q15" s="4">
        <f>-169.873-14.788</f>
        <v>-184.661</v>
      </c>
      <c r="R15" s="4">
        <f>-158.448-8.977</f>
        <v>-167.42500000000001</v>
      </c>
      <c r="S15" s="4">
        <f>-140.422-9.61</f>
        <v>-150.03199999999998</v>
      </c>
      <c r="T15" s="4">
        <f>-215.253-8.374</f>
        <v>-223.62699999999998</v>
      </c>
      <c r="U15" s="4">
        <f>-242.61-9.121</f>
        <v>-251.73100000000002</v>
      </c>
      <c r="V15" s="4">
        <f>-232.218-10.925</f>
        <v>-243.143</v>
      </c>
      <c r="W15" s="4">
        <v>-465.82499999999999</v>
      </c>
      <c r="X15" s="4">
        <v>-456.33100000000002</v>
      </c>
      <c r="Y15" s="174">
        <f>H15-X15-W15-V15</f>
        <v>-181.5029999999999</v>
      </c>
      <c r="Z15" s="4">
        <f>-429.035-36.09</f>
        <v>-465.125</v>
      </c>
      <c r="AA15" s="4">
        <v>-541.41700000000003</v>
      </c>
      <c r="AB15" s="4">
        <v>-538.94299999999998</v>
      </c>
      <c r="AC15" s="174">
        <f t="shared" si="9"/>
        <v>-456.98699999999997</v>
      </c>
      <c r="AD15" s="4">
        <v>-1739.098</v>
      </c>
      <c r="AE15" s="4">
        <v>-436.56200000000001</v>
      </c>
      <c r="AF15" s="4">
        <v>-412.66300000000001</v>
      </c>
      <c r="AG15" s="174">
        <f t="shared" si="10"/>
        <v>909.72799999999995</v>
      </c>
      <c r="AH15" s="4">
        <v>-479.03100000000001</v>
      </c>
      <c r="AI15" s="4">
        <v>-431.483</v>
      </c>
      <c r="AJ15" s="4">
        <v>-403.31099999999998</v>
      </c>
      <c r="AK15" s="174">
        <f>L15-AJ15-AI15-AH15</f>
        <v>-332.78400000000005</v>
      </c>
      <c r="AN15" s="174">
        <f t="shared" si="11"/>
        <v>-456.98699999999997</v>
      </c>
    </row>
    <row r="16" spans="1:40" ht="13.5" customHeight="1">
      <c r="B16" s="1" t="s">
        <v>217</v>
      </c>
      <c r="C16" s="4">
        <f>-23.375+72.413</f>
        <v>49.037999999999997</v>
      </c>
      <c r="D16" s="4">
        <f>342.204-103.286</f>
        <v>238.91800000000001</v>
      </c>
      <c r="E16" s="4">
        <f>554.687-400.135</f>
        <v>154.55200000000002</v>
      </c>
      <c r="F16" s="4">
        <f>85.761-614.147</f>
        <v>-528.38600000000008</v>
      </c>
      <c r="G16" s="4">
        <f>-233.336-66.561</f>
        <v>-299.89700000000005</v>
      </c>
      <c r="H16" s="4">
        <f>-233.336-66.561</f>
        <v>-299.89700000000005</v>
      </c>
      <c r="I16" s="4">
        <f>153.529+19.928</f>
        <v>173.45699999999999</v>
      </c>
      <c r="J16" s="4">
        <f>153.529+19.928</f>
        <v>173.45699999999999</v>
      </c>
      <c r="K16" s="4">
        <f>-1050.37-203.34</f>
        <v>-1253.7099999999998</v>
      </c>
      <c r="L16" s="4">
        <f>-45.362-15.082</f>
        <v>-60.444000000000003</v>
      </c>
      <c r="N16" s="4">
        <f>24.027+81.933-100.588</f>
        <v>5.3720000000000141</v>
      </c>
      <c r="O16" s="4">
        <f>302.305-182.857</f>
        <v>119.44800000000001</v>
      </c>
      <c r="P16" s="4">
        <f>152.985-54.25</f>
        <v>98.735000000000014</v>
      </c>
      <c r="Q16" s="4">
        <f>118.049-187.055</f>
        <v>-69.006</v>
      </c>
      <c r="R16" s="4">
        <f>174.703-472.327</f>
        <v>-297.62400000000002</v>
      </c>
      <c r="S16" s="4">
        <f>33.222-237.744</f>
        <v>-204.52199999999999</v>
      </c>
      <c r="T16" s="4">
        <f>9.529-35.608</f>
        <v>-26.078999999999997</v>
      </c>
      <c r="U16" s="4">
        <f>86.395-86.556</f>
        <v>-0.16100000000000136</v>
      </c>
      <c r="V16" s="4">
        <f>65.95-100.839</f>
        <v>-34.888999999999996</v>
      </c>
      <c r="W16" s="4">
        <v>0</v>
      </c>
      <c r="X16" s="4">
        <v>0</v>
      </c>
      <c r="Y16" s="174">
        <f>H16-X16-W16-V16</f>
        <v>-265.00800000000004</v>
      </c>
      <c r="Z16" s="4">
        <v>0</v>
      </c>
      <c r="AA16" s="4">
        <v>0</v>
      </c>
      <c r="AB16" s="4">
        <v>0</v>
      </c>
      <c r="AC16" s="174">
        <f t="shared" si="9"/>
        <v>173.45699999999999</v>
      </c>
      <c r="AD16" s="4">
        <v>0</v>
      </c>
      <c r="AE16" s="4">
        <v>0</v>
      </c>
      <c r="AF16" s="4">
        <v>0</v>
      </c>
      <c r="AG16" s="174">
        <f t="shared" si="10"/>
        <v>-1253.7099999999998</v>
      </c>
      <c r="AH16" s="4">
        <v>0</v>
      </c>
      <c r="AI16" s="4">
        <v>0</v>
      </c>
      <c r="AJ16" s="4">
        <v>0</v>
      </c>
      <c r="AK16" s="174">
        <f>L16-AJ16-AI16-AH16</f>
        <v>-60.444000000000003</v>
      </c>
      <c r="AN16" s="174">
        <f t="shared" si="11"/>
        <v>173.45699999999999</v>
      </c>
    </row>
    <row r="17" spans="1:40" s="5" customFormat="1" ht="13.5" customHeight="1">
      <c r="B17" s="5" t="s">
        <v>218</v>
      </c>
      <c r="C17" s="8">
        <f>SUM(C13,C14,C15,C16)</f>
        <v>4917.5110000000013</v>
      </c>
      <c r="D17" s="8">
        <f t="shared" ref="D17:S17" si="14">SUM(D13,D14,D15,D16)</f>
        <v>7044.845000000003</v>
      </c>
      <c r="E17" s="8">
        <f t="shared" si="14"/>
        <v>8683.2760000000017</v>
      </c>
      <c r="F17" s="8">
        <f t="shared" ref="F17:K17" si="15">SUM(F13,F14,F15,F16)</f>
        <v>8056.0129999999936</v>
      </c>
      <c r="G17" s="8">
        <f t="shared" si="15"/>
        <v>7860.6559999999999</v>
      </c>
      <c r="H17" s="8">
        <f t="shared" si="15"/>
        <v>7860.6559999999999</v>
      </c>
      <c r="I17" s="8">
        <f t="shared" si="15"/>
        <v>7559.818999999994</v>
      </c>
      <c r="J17" s="8">
        <f t="shared" si="15"/>
        <v>7559.818999999994</v>
      </c>
      <c r="K17" s="8">
        <f t="shared" si="15"/>
        <v>8477.2479999999905</v>
      </c>
      <c r="L17" s="8">
        <f>SUM(L13,L14,L15,L16)</f>
        <v>9618.7069999999967</v>
      </c>
      <c r="N17" s="8">
        <f t="shared" si="14"/>
        <v>1893.1930000000007</v>
      </c>
      <c r="O17" s="8">
        <f t="shared" si="14"/>
        <v>2157.1619999999994</v>
      </c>
      <c r="P17" s="8">
        <f t="shared" si="14"/>
        <v>2377.0590000000007</v>
      </c>
      <c r="Q17" s="8">
        <f t="shared" si="14"/>
        <v>2255.8570000000004</v>
      </c>
      <c r="R17" s="8">
        <f t="shared" si="14"/>
        <v>1728.0130000000017</v>
      </c>
      <c r="S17" s="8">
        <f t="shared" si="14"/>
        <v>2004.8449999999984</v>
      </c>
      <c r="T17" s="8">
        <f t="shared" ref="T17:Y17" si="16">SUM(T13,T14,T15,T16)</f>
        <v>2249.6000000000004</v>
      </c>
      <c r="U17" s="8">
        <f t="shared" si="16"/>
        <v>2073.5569999999989</v>
      </c>
      <c r="V17" s="8">
        <f t="shared" si="16"/>
        <v>1884.1450000000002</v>
      </c>
      <c r="W17" s="8">
        <f t="shared" si="16"/>
        <v>2161.056</v>
      </c>
      <c r="X17" s="8">
        <f t="shared" si="16"/>
        <v>2003.6739999999986</v>
      </c>
      <c r="Y17" s="8">
        <f t="shared" si="16"/>
        <v>1811.7810000000015</v>
      </c>
      <c r="Z17" s="8">
        <f t="shared" ref="Z17:AE17" si="17">SUM(Z13,Z14,Z15,Z16)</f>
        <v>1624.8409999999994</v>
      </c>
      <c r="AA17" s="8">
        <f t="shared" si="17"/>
        <v>1886.3059999999996</v>
      </c>
      <c r="AB17" s="8">
        <f t="shared" si="17"/>
        <v>1983.6520000000021</v>
      </c>
      <c r="AC17" s="8">
        <f t="shared" si="17"/>
        <v>2065.0199999999932</v>
      </c>
      <c r="AD17" s="8">
        <f t="shared" si="17"/>
        <v>942.99200000000155</v>
      </c>
      <c r="AE17" s="8">
        <f t="shared" si="17"/>
        <v>2661.4669999999996</v>
      </c>
      <c r="AF17" s="8">
        <f t="shared" ref="AF17:AK17" si="18">SUM(AF13,AF14,AF15,AF16)</f>
        <v>2621.4000000000015</v>
      </c>
      <c r="AG17" s="8">
        <f t="shared" si="18"/>
        <v>2251.3889999999883</v>
      </c>
      <c r="AH17" s="8">
        <f t="shared" si="18"/>
        <v>2121.5820000000012</v>
      </c>
      <c r="AI17" s="8">
        <f t="shared" si="18"/>
        <v>2455.4270000000006</v>
      </c>
      <c r="AJ17" s="8">
        <f t="shared" si="18"/>
        <v>2399.9339999999993</v>
      </c>
      <c r="AK17" s="8">
        <f t="shared" si="18"/>
        <v>2641.7639999999974</v>
      </c>
      <c r="AN17" s="8">
        <f>SUM(AN13,AN14,AN15,AN16)</f>
        <v>2065.0199999999927</v>
      </c>
    </row>
    <row r="18" spans="1:40" s="5" customFormat="1" ht="13.5" customHeight="1">
      <c r="B18" s="7" t="s">
        <v>219</v>
      </c>
      <c r="C18" s="4">
        <v>-1059.5830000000001</v>
      </c>
      <c r="D18" s="4">
        <v>-1646.4490000000001</v>
      </c>
      <c r="E18" s="4">
        <v>-2449.3380000000002</v>
      </c>
      <c r="F18" s="4">
        <v>-1782.0630000000001</v>
      </c>
      <c r="G18" s="4">
        <v>-2887.3589999999999</v>
      </c>
      <c r="H18" s="4">
        <v>-2807.9580000000001</v>
      </c>
      <c r="I18" s="4">
        <v>-2711.069</v>
      </c>
      <c r="J18" s="4">
        <v>-2711.069</v>
      </c>
      <c r="K18" s="4">
        <v>-3096.8220000000001</v>
      </c>
      <c r="L18" s="4">
        <v>-3473.326</v>
      </c>
      <c r="N18" s="4">
        <v>-577.91399999999999</v>
      </c>
      <c r="O18" s="4">
        <v>-656.08500000000004</v>
      </c>
      <c r="P18" s="4">
        <v>-756.86900000000003</v>
      </c>
      <c r="Q18" s="4">
        <v>-458.46899999999999</v>
      </c>
      <c r="R18" s="4">
        <v>-431.72500000000002</v>
      </c>
      <c r="S18" s="4">
        <v>-525.89300000000003</v>
      </c>
      <c r="T18" s="4">
        <v>-590.89</v>
      </c>
      <c r="U18" s="4">
        <v>-233.55500000000001</v>
      </c>
      <c r="V18" s="4">
        <v>-600.63800000000003</v>
      </c>
      <c r="W18" s="4">
        <v>-853.81299999999999</v>
      </c>
      <c r="X18" s="4">
        <f>-728.504</f>
        <v>-728.50400000000002</v>
      </c>
      <c r="Y18" s="174">
        <f>H18-X18-W18-V18</f>
        <v>-625.00300000000004</v>
      </c>
      <c r="Z18" s="4">
        <v>-595.51300000000003</v>
      </c>
      <c r="AA18" s="4">
        <v>-608.35199999999998</v>
      </c>
      <c r="AB18" s="4">
        <v>-678.55399999999997</v>
      </c>
      <c r="AC18" s="174">
        <f>I18-AB18-AA18-Z18</f>
        <v>-828.65</v>
      </c>
      <c r="AD18" s="4">
        <v>-380.86700000000002</v>
      </c>
      <c r="AE18" s="4">
        <v>-910.09100000000001</v>
      </c>
      <c r="AF18" s="4">
        <v>-971.95</v>
      </c>
      <c r="AG18" s="174">
        <f>K18-AF18-AE18-AD18</f>
        <v>-833.91400000000044</v>
      </c>
      <c r="AH18" s="4">
        <v>-799.83100000000002</v>
      </c>
      <c r="AI18" s="4">
        <v>-923.59100000000001</v>
      </c>
      <c r="AJ18" s="4">
        <v>-922.36800000000005</v>
      </c>
      <c r="AK18" s="174">
        <f>L18-AJ18-AI18-AH18</f>
        <v>-827.53600000000017</v>
      </c>
      <c r="AN18" s="174">
        <f>J18-Z18-AA18-AB18</f>
        <v>-828.6500000000002</v>
      </c>
    </row>
    <row r="19" spans="1:40" s="5" customFormat="1" ht="13.5" customHeight="1">
      <c r="B19" s="5" t="s">
        <v>220</v>
      </c>
      <c r="C19" s="8">
        <f t="shared" ref="C19:S19" si="19">SUM(C17,C18)</f>
        <v>3857.9280000000012</v>
      </c>
      <c r="D19" s="8">
        <f t="shared" si="19"/>
        <v>5398.3960000000025</v>
      </c>
      <c r="E19" s="8">
        <f t="shared" si="19"/>
        <v>6233.9380000000019</v>
      </c>
      <c r="F19" s="8">
        <f t="shared" ref="F19:K19" si="20">SUM(F17,F18)</f>
        <v>6273.9499999999935</v>
      </c>
      <c r="G19" s="8">
        <f t="shared" si="20"/>
        <v>4973.2970000000005</v>
      </c>
      <c r="H19" s="8">
        <f t="shared" si="20"/>
        <v>5052.6980000000003</v>
      </c>
      <c r="I19" s="8">
        <f t="shared" si="20"/>
        <v>4848.7499999999945</v>
      </c>
      <c r="J19" s="8">
        <f t="shared" si="20"/>
        <v>4848.7499999999945</v>
      </c>
      <c r="K19" s="8">
        <f t="shared" si="20"/>
        <v>5380.4259999999904</v>
      </c>
      <c r="L19" s="8">
        <f>SUM(L17,L18)</f>
        <v>6145.3809999999967</v>
      </c>
      <c r="N19" s="8">
        <f t="shared" si="19"/>
        <v>1315.2790000000007</v>
      </c>
      <c r="O19" s="8">
        <f t="shared" si="19"/>
        <v>1501.0769999999993</v>
      </c>
      <c r="P19" s="8">
        <f t="shared" si="19"/>
        <v>1620.1900000000005</v>
      </c>
      <c r="Q19" s="8">
        <f t="shared" si="19"/>
        <v>1797.3880000000004</v>
      </c>
      <c r="R19" s="8">
        <f t="shared" si="19"/>
        <v>1296.2880000000018</v>
      </c>
      <c r="S19" s="8">
        <f t="shared" si="19"/>
        <v>1478.9519999999984</v>
      </c>
      <c r="T19" s="8">
        <f t="shared" ref="T19:Y19" si="21">SUM(T17,T18)</f>
        <v>1658.7100000000005</v>
      </c>
      <c r="U19" s="8">
        <f t="shared" si="21"/>
        <v>1840.0019999999988</v>
      </c>
      <c r="V19" s="8">
        <f t="shared" si="21"/>
        <v>1283.5070000000001</v>
      </c>
      <c r="W19" s="8">
        <f t="shared" si="21"/>
        <v>1307.2429999999999</v>
      </c>
      <c r="X19" s="8">
        <f t="shared" si="21"/>
        <v>1275.1699999999987</v>
      </c>
      <c r="Y19" s="8">
        <f t="shared" si="21"/>
        <v>1186.7780000000016</v>
      </c>
      <c r="Z19" s="8">
        <f t="shared" ref="Z19:AE19" si="22">SUM(Z17,Z18)</f>
        <v>1029.3279999999995</v>
      </c>
      <c r="AA19" s="8">
        <f t="shared" si="22"/>
        <v>1277.9539999999997</v>
      </c>
      <c r="AB19" s="8">
        <f t="shared" si="22"/>
        <v>1305.0980000000022</v>
      </c>
      <c r="AC19" s="8">
        <f t="shared" si="22"/>
        <v>1236.3699999999931</v>
      </c>
      <c r="AD19" s="8">
        <f t="shared" si="22"/>
        <v>562.12500000000159</v>
      </c>
      <c r="AE19" s="8">
        <f t="shared" si="22"/>
        <v>1751.3759999999997</v>
      </c>
      <c r="AF19" s="8">
        <f t="shared" ref="AF19:AK19" si="23">SUM(AF17,AF18)</f>
        <v>1649.4500000000014</v>
      </c>
      <c r="AG19" s="8">
        <f t="shared" si="23"/>
        <v>1417.4749999999879</v>
      </c>
      <c r="AH19" s="8">
        <f t="shared" si="23"/>
        <v>1321.7510000000011</v>
      </c>
      <c r="AI19" s="8">
        <f t="shared" si="23"/>
        <v>1531.8360000000007</v>
      </c>
      <c r="AJ19" s="8">
        <f t="shared" si="23"/>
        <v>1477.5659999999993</v>
      </c>
      <c r="AK19" s="8">
        <f t="shared" si="23"/>
        <v>1814.2279999999973</v>
      </c>
      <c r="AN19" s="8">
        <f>SUM(AN17,AN18)</f>
        <v>1236.3699999999926</v>
      </c>
    </row>
    <row r="20" spans="1:40" ht="13.5" customHeight="1">
      <c r="B20" s="7" t="s">
        <v>221</v>
      </c>
      <c r="C20" s="4">
        <v>598.85199999999998</v>
      </c>
      <c r="D20" s="4">
        <v>-4313.8029999999999</v>
      </c>
      <c r="E20" s="4">
        <v>0</v>
      </c>
      <c r="F20" s="4">
        <v>0</v>
      </c>
      <c r="G20" s="4">
        <v>-81.756</v>
      </c>
      <c r="H20" s="4">
        <v>-81.756</v>
      </c>
      <c r="I20" s="4">
        <v>-11.473000000000001</v>
      </c>
      <c r="J20" s="4">
        <v>-11.473000000000001</v>
      </c>
      <c r="K20" s="4">
        <v>-11.43</v>
      </c>
      <c r="L20" s="4">
        <v>-0.63700000000000001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174">
        <f>H20-X20-W20-V20</f>
        <v>-81.756</v>
      </c>
      <c r="Z20" s="4">
        <v>-0.53</v>
      </c>
      <c r="AA20" s="4">
        <v>-8.9320000000000004</v>
      </c>
      <c r="AB20" s="4">
        <v>-1.0449999999999999</v>
      </c>
      <c r="AC20" s="174">
        <f>I20-AB20-AA20-Z20</f>
        <v>-0.96600000000000041</v>
      </c>
      <c r="AD20" s="4">
        <v>-0.125</v>
      </c>
      <c r="AE20" s="4">
        <v>-0.41499999999999998</v>
      </c>
      <c r="AF20" s="4">
        <v>-4.4009999999999998</v>
      </c>
      <c r="AG20" s="174">
        <f>K20-AF20-AE20-AD20</f>
        <v>-6.4889999999999999</v>
      </c>
      <c r="AH20" s="4">
        <v>-0.503</v>
      </c>
      <c r="AI20" s="4">
        <v>-6.2E-2</v>
      </c>
      <c r="AJ20" s="4">
        <v>-3.4000000000000002E-2</v>
      </c>
      <c r="AK20" s="174">
        <f>L20-AJ20-AI20-AH20</f>
        <v>-3.7999999999999923E-2</v>
      </c>
      <c r="AN20" s="174">
        <f>J20-Z20-AA20-AB20</f>
        <v>-0.96600000000000108</v>
      </c>
    </row>
    <row r="21" spans="1:40" s="5" customFormat="1" ht="13.5" customHeight="1">
      <c r="B21" s="5" t="s">
        <v>222</v>
      </c>
      <c r="C21" s="8">
        <f t="shared" ref="C21:H21" si="24">SUM(C19,C20)</f>
        <v>4456.7800000000016</v>
      </c>
      <c r="D21" s="122">
        <f t="shared" si="24"/>
        <v>1084.5930000000026</v>
      </c>
      <c r="E21" s="8">
        <f t="shared" si="24"/>
        <v>6233.9380000000019</v>
      </c>
      <c r="F21" s="8">
        <f t="shared" si="24"/>
        <v>6273.9499999999935</v>
      </c>
      <c r="G21" s="8">
        <f t="shared" si="24"/>
        <v>4891.5410000000002</v>
      </c>
      <c r="H21" s="8">
        <f t="shared" si="24"/>
        <v>4970.942</v>
      </c>
      <c r="I21" s="8">
        <f>SUM(I19,I20)</f>
        <v>4837.2769999999946</v>
      </c>
      <c r="J21" s="8">
        <f>SUM(J19,J20)</f>
        <v>4837.2769999999946</v>
      </c>
      <c r="K21" s="8">
        <f>SUM(K19,K20)</f>
        <v>5368.9959999999901</v>
      </c>
      <c r="L21" s="8">
        <f>SUM(L19,L20)</f>
        <v>6144.743999999997</v>
      </c>
      <c r="N21" s="8">
        <f t="shared" ref="N21:Y21" si="25">SUM(N19,N20)</f>
        <v>1315.2790000000007</v>
      </c>
      <c r="O21" s="8">
        <f t="shared" si="25"/>
        <v>1501.0769999999993</v>
      </c>
      <c r="P21" s="8">
        <f t="shared" si="25"/>
        <v>1620.1900000000005</v>
      </c>
      <c r="Q21" s="8">
        <f t="shared" si="25"/>
        <v>1797.3880000000004</v>
      </c>
      <c r="R21" s="8">
        <f t="shared" si="25"/>
        <v>1296.2880000000018</v>
      </c>
      <c r="S21" s="8">
        <f t="shared" si="25"/>
        <v>1478.9519999999984</v>
      </c>
      <c r="T21" s="8">
        <f t="shared" si="25"/>
        <v>1658.7100000000005</v>
      </c>
      <c r="U21" s="8">
        <f t="shared" si="25"/>
        <v>1840.0019999999988</v>
      </c>
      <c r="V21" s="8">
        <f t="shared" si="25"/>
        <v>1283.5070000000001</v>
      </c>
      <c r="W21" s="8">
        <f t="shared" si="25"/>
        <v>1307.2429999999999</v>
      </c>
      <c r="X21" s="8">
        <f t="shared" si="25"/>
        <v>1275.1699999999987</v>
      </c>
      <c r="Y21" s="8">
        <f t="shared" si="25"/>
        <v>1105.0220000000015</v>
      </c>
      <c r="Z21" s="8">
        <f t="shared" ref="Z21:AE21" si="26">SUM(Z19,Z20)</f>
        <v>1028.7979999999995</v>
      </c>
      <c r="AA21" s="8">
        <f t="shared" si="26"/>
        <v>1269.0219999999997</v>
      </c>
      <c r="AB21" s="8">
        <f t="shared" si="26"/>
        <v>1304.0530000000022</v>
      </c>
      <c r="AC21" s="8">
        <f t="shared" si="26"/>
        <v>1235.4039999999932</v>
      </c>
      <c r="AD21" s="8">
        <f t="shared" si="26"/>
        <v>562.00000000000159</v>
      </c>
      <c r="AE21" s="8">
        <f t="shared" si="26"/>
        <v>1750.9609999999998</v>
      </c>
      <c r="AF21" s="8">
        <f t="shared" ref="AF21:AK21" si="27">SUM(AF19,AF20)</f>
        <v>1645.0490000000013</v>
      </c>
      <c r="AG21" s="8">
        <f t="shared" si="27"/>
        <v>1410.9859999999878</v>
      </c>
      <c r="AH21" s="8">
        <f t="shared" si="27"/>
        <v>1321.2480000000012</v>
      </c>
      <c r="AI21" s="8">
        <f t="shared" si="27"/>
        <v>1531.7740000000008</v>
      </c>
      <c r="AJ21" s="8">
        <f t="shared" si="27"/>
        <v>1477.5319999999992</v>
      </c>
      <c r="AK21" s="8">
        <f t="shared" si="27"/>
        <v>1814.1899999999973</v>
      </c>
      <c r="AN21" s="8">
        <f>SUM(AN19,AN20)</f>
        <v>1235.4039999999927</v>
      </c>
    </row>
    <row r="22" spans="1:40" s="50" customFormat="1" ht="13.5" customHeight="1">
      <c r="B22" s="73"/>
      <c r="C22" s="74"/>
      <c r="D22" s="134"/>
      <c r="E22" s="134"/>
      <c r="F22" s="74"/>
      <c r="G22" s="74"/>
      <c r="H22" s="100"/>
      <c r="I22" s="117"/>
      <c r="J22" s="117"/>
      <c r="K22" s="117"/>
      <c r="L22" s="117"/>
      <c r="N22" s="133"/>
      <c r="O22" s="135"/>
      <c r="P22" s="135"/>
      <c r="Q22" s="135"/>
      <c r="R22" s="133"/>
      <c r="S22" s="133"/>
      <c r="T22" s="135"/>
      <c r="U22" s="135"/>
      <c r="V22" s="135"/>
      <c r="W22" s="135"/>
      <c r="X22" s="135"/>
      <c r="Y22" s="171"/>
      <c r="Z22" s="135"/>
      <c r="AA22" s="135"/>
      <c r="AB22" s="135"/>
      <c r="AC22" s="171"/>
      <c r="AD22" s="135"/>
      <c r="AE22" s="135"/>
      <c r="AF22" s="135"/>
      <c r="AG22" s="171"/>
      <c r="AH22" s="135"/>
      <c r="AI22" s="135"/>
      <c r="AJ22" s="135"/>
      <c r="AK22" s="171"/>
      <c r="AN22" s="171"/>
    </row>
    <row r="23" spans="1:40" s="5" customFormat="1" ht="13.5" customHeight="1">
      <c r="B23" s="7"/>
      <c r="C23" s="4"/>
      <c r="D23" s="4"/>
      <c r="E23" s="4"/>
      <c r="F23" s="4"/>
      <c r="G23" s="4"/>
      <c r="H23" s="24"/>
      <c r="I23" s="24"/>
      <c r="J23" s="24"/>
      <c r="K23" s="24"/>
      <c r="L23" s="24"/>
      <c r="N23" s="4"/>
      <c r="R23" s="4"/>
      <c r="S23" s="4"/>
      <c r="Y23" s="4"/>
      <c r="AC23" s="4"/>
      <c r="AG23" s="4"/>
      <c r="AK23" s="4"/>
      <c r="AN23" s="4"/>
    </row>
    <row r="24" spans="1:40" s="5" customFormat="1" ht="13.5" customHeight="1">
      <c r="A24" s="49"/>
      <c r="B24" s="59" t="s">
        <v>350</v>
      </c>
      <c r="C24" s="48"/>
      <c r="D24" s="48"/>
      <c r="E24" s="48"/>
      <c r="F24" s="48"/>
      <c r="G24" s="48"/>
      <c r="H24" s="60"/>
      <c r="I24" s="60"/>
      <c r="J24" s="60"/>
      <c r="K24" s="60"/>
      <c r="L24" s="60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N24" s="48"/>
    </row>
    <row r="25" spans="1:40" s="50" customFormat="1" ht="13.5" customHeight="1">
      <c r="B25" s="1" t="str">
        <f>B8</f>
        <v>COGS</v>
      </c>
      <c r="C25" s="29">
        <f t="shared" ref="C25:H25" si="28">C8/C6</f>
        <v>0.63231285874401388</v>
      </c>
      <c r="D25" s="29">
        <f t="shared" si="28"/>
        <v>0.61665204504867654</v>
      </c>
      <c r="E25" s="29">
        <f t="shared" si="28"/>
        <v>0.61798698782651751</v>
      </c>
      <c r="F25" s="29">
        <f t="shared" si="28"/>
        <v>0.62061019444487509</v>
      </c>
      <c r="G25" s="29">
        <f t="shared" si="28"/>
        <v>0.62596509927028621</v>
      </c>
      <c r="H25" s="29">
        <f t="shared" si="28"/>
        <v>0.625994690696839</v>
      </c>
      <c r="I25" s="36">
        <f>I8/I6</f>
        <v>0.62893757554983776</v>
      </c>
      <c r="J25" s="36">
        <f>J8/J6</f>
        <v>0.62893757554983776</v>
      </c>
      <c r="K25" s="36">
        <f>K8/K6</f>
        <v>0.6175447252191586</v>
      </c>
      <c r="L25" s="36">
        <f>L8/L6</f>
        <v>0.64031695532350164</v>
      </c>
      <c r="N25" s="29">
        <f t="shared" ref="N25:U25" si="29">N8/N6</f>
        <v>0.61351443458552146</v>
      </c>
      <c r="O25" s="29">
        <f t="shared" si="29"/>
        <v>0.61762657803537224</v>
      </c>
      <c r="P25" s="29">
        <f t="shared" si="29"/>
        <v>0.6143627977010403</v>
      </c>
      <c r="Q25" s="29">
        <f t="shared" si="29"/>
        <v>0.62537670273462054</v>
      </c>
      <c r="R25" s="29">
        <f t="shared" si="29"/>
        <v>0.62402526246572532</v>
      </c>
      <c r="S25" s="29">
        <f t="shared" si="29"/>
        <v>0.61389371216259825</v>
      </c>
      <c r="T25" s="29">
        <f>T8/T6</f>
        <v>0.62583155802196877</v>
      </c>
      <c r="U25" s="36">
        <f t="shared" si="29"/>
        <v>0.61882540202777014</v>
      </c>
      <c r="V25" s="36">
        <f t="shared" ref="V25:AA25" si="30">V8/V6</f>
        <v>0.62863224589736055</v>
      </c>
      <c r="W25" s="36">
        <f t="shared" si="30"/>
        <v>0.6218324596301289</v>
      </c>
      <c r="X25" s="36">
        <f t="shared" si="30"/>
        <v>0.62187749457231911</v>
      </c>
      <c r="Y25" s="36">
        <f t="shared" si="30"/>
        <v>0.63169374558182545</v>
      </c>
      <c r="Z25" s="36">
        <f t="shared" si="30"/>
        <v>0.63404728910062913</v>
      </c>
      <c r="AA25" s="36">
        <f t="shared" si="30"/>
        <v>0.62395267793744391</v>
      </c>
      <c r="AB25" s="36">
        <f t="shared" ref="AB25:AG25" si="31">AB8/AB6</f>
        <v>0.62866509595489106</v>
      </c>
      <c r="AC25" s="36">
        <f t="shared" si="31"/>
        <v>0.62928781561177072</v>
      </c>
      <c r="AD25" s="36">
        <f t="shared" si="31"/>
        <v>0.62315319421249982</v>
      </c>
      <c r="AE25" s="36">
        <f t="shared" si="31"/>
        <v>0.60527741680738611</v>
      </c>
      <c r="AF25" s="36">
        <f t="shared" si="31"/>
        <v>0.61009035836613668</v>
      </c>
      <c r="AG25" s="36">
        <f t="shared" si="31"/>
        <v>0.63351314888394872</v>
      </c>
      <c r="AH25" s="36">
        <f>AH8/AH6</f>
        <v>0.63815169278664996</v>
      </c>
      <c r="AI25" s="36">
        <f>AI8/AI6</f>
        <v>0.64011575063413184</v>
      </c>
      <c r="AJ25" s="36">
        <f>AJ8/AJ6</f>
        <v>0.63980588588411702</v>
      </c>
      <c r="AK25" s="36">
        <f>AK8/AK6</f>
        <v>0.64283485476610525</v>
      </c>
      <c r="AN25" s="36">
        <f>AN8/AN6</f>
        <v>0.62928781561177094</v>
      </c>
    </row>
    <row r="26" spans="1:40" s="50" customFormat="1" ht="13.5" customHeight="1">
      <c r="B26" s="1" t="str">
        <f t="shared" ref="B26:B32" si="32">B11</f>
        <v>Selling and administrative expenses</v>
      </c>
      <c r="C26" s="29">
        <f t="shared" ref="C26:H26" si="33">-C11/C6</f>
        <v>0.24111991414174749</v>
      </c>
      <c r="D26" s="29">
        <f t="shared" si="33"/>
        <v>0.24781283153020253</v>
      </c>
      <c r="E26" s="29">
        <f t="shared" si="33"/>
        <v>0.25130256326528505</v>
      </c>
      <c r="F26" s="29">
        <f t="shared" si="33"/>
        <v>0.2492920638525209</v>
      </c>
      <c r="G26" s="29">
        <f t="shared" si="33"/>
        <v>0.24633188804572942</v>
      </c>
      <c r="H26" s="29">
        <f t="shared" si="33"/>
        <v>0.24634353296328346</v>
      </c>
      <c r="I26" s="36">
        <f>-I11/I6</f>
        <v>0.25085009033352584</v>
      </c>
      <c r="J26" s="36">
        <f>-J11/J6</f>
        <v>0.25085009033352584</v>
      </c>
      <c r="K26" s="36">
        <f>-K11/K6</f>
        <v>0.25694574646397172</v>
      </c>
      <c r="L26" s="36">
        <f>-L11/L6</f>
        <v>0.24737182760035739</v>
      </c>
      <c r="N26" s="29">
        <f t="shared" ref="N26:U26" si="34">-N11/N6</f>
        <v>0.25671273053913779</v>
      </c>
      <c r="O26" s="29">
        <f t="shared" si="34"/>
        <v>0.25415385789827566</v>
      </c>
      <c r="P26" s="29">
        <f t="shared" si="34"/>
        <v>0.25306425399126886</v>
      </c>
      <c r="Q26" s="29">
        <f t="shared" si="34"/>
        <v>0.2426635163002977</v>
      </c>
      <c r="R26" s="29">
        <f t="shared" si="34"/>
        <v>0.24994842299379022</v>
      </c>
      <c r="S26" s="29">
        <f t="shared" si="34"/>
        <v>0.2513222983049922</v>
      </c>
      <c r="T26" s="29">
        <f>-T11/T6</f>
        <v>0.23950330072806686</v>
      </c>
      <c r="U26" s="36">
        <f t="shared" si="34"/>
        <v>0.25587767043847737</v>
      </c>
      <c r="V26" s="36">
        <f t="shared" ref="V26:AA26" si="35">-V11/V6</f>
        <v>0.2505757430016482</v>
      </c>
      <c r="W26" s="36">
        <f t="shared" si="35"/>
        <v>0.24165481324438923</v>
      </c>
      <c r="X26" s="36">
        <f t="shared" si="35"/>
        <v>0.24587673125144491</v>
      </c>
      <c r="Y26" s="36">
        <f t="shared" si="35"/>
        <v>0.24756198025428242</v>
      </c>
      <c r="Z26" s="36">
        <f t="shared" si="35"/>
        <v>0.25469722331038347</v>
      </c>
      <c r="AA26" s="36">
        <f t="shared" si="35"/>
        <v>0.24883753994945162</v>
      </c>
      <c r="AB26" s="36">
        <f t="shared" ref="AB26:AG26" si="36">-AB11/AB6</f>
        <v>0.24688594098266675</v>
      </c>
      <c r="AC26" s="36">
        <f t="shared" si="36"/>
        <v>0.25326187563346103</v>
      </c>
      <c r="AD26" s="36">
        <f t="shared" si="36"/>
        <v>0.25999335415648123</v>
      </c>
      <c r="AE26" s="36">
        <f t="shared" si="36"/>
        <v>0.26507226193069094</v>
      </c>
      <c r="AF26" s="36">
        <f t="shared" si="36"/>
        <v>0.26999582502598707</v>
      </c>
      <c r="AG26" s="36">
        <f t="shared" si="36"/>
        <v>0.23104770608122358</v>
      </c>
      <c r="AH26" s="36">
        <f>-AH11/AH6</f>
        <v>0.25827663838817849</v>
      </c>
      <c r="AI26" s="36">
        <f>-AI11/AI6</f>
        <v>0.25613856757588033</v>
      </c>
      <c r="AJ26" s="36">
        <f>-AJ11/AJ6</f>
        <v>0.24465460541797737</v>
      </c>
      <c r="AK26" s="36">
        <f>-AK11/AK6</f>
        <v>0.23284059034595869</v>
      </c>
      <c r="AN26" s="36">
        <f>-AN11/AN6</f>
        <v>0.25326187563346103</v>
      </c>
    </row>
    <row r="27" spans="1:40" s="50" customFormat="1" ht="13.5" customHeight="1">
      <c r="B27" s="1" t="str">
        <f t="shared" si="32"/>
        <v>Other income/ (expenses)</v>
      </c>
      <c r="C27" s="29">
        <f t="shared" ref="C27:H27" si="37">C12/C6</f>
        <v>-5.952939770416648E-3</v>
      </c>
      <c r="D27" s="29">
        <f t="shared" si="37"/>
        <v>-9.1097129937224037E-3</v>
      </c>
      <c r="E27" s="29">
        <f t="shared" si="37"/>
        <v>3.0265686369895187E-3</v>
      </c>
      <c r="F27" s="29">
        <f t="shared" si="37"/>
        <v>1.9393170222978527E-3</v>
      </c>
      <c r="G27" s="29">
        <f t="shared" si="37"/>
        <v>-4.0231715665766554E-4</v>
      </c>
      <c r="H27" s="29">
        <f t="shared" si="37"/>
        <v>-3.5506289048746427E-4</v>
      </c>
      <c r="I27" s="36">
        <f>I12/I6</f>
        <v>-2.7066331429748141E-4</v>
      </c>
      <c r="J27" s="36">
        <f>J12/J6</f>
        <v>-2.7066331429748141E-4</v>
      </c>
      <c r="K27" s="36">
        <f>K12/K6</f>
        <v>-9.4295332176893036E-4</v>
      </c>
      <c r="L27" s="36">
        <f>L12/L6</f>
        <v>7.4032591974349691E-3</v>
      </c>
      <c r="N27" s="29">
        <f t="shared" ref="N27:U27" si="38">-N12/N6</f>
        <v>1.496094104091739E-3</v>
      </c>
      <c r="O27" s="29">
        <f t="shared" si="38"/>
        <v>-5.779299170745409E-3</v>
      </c>
      <c r="P27" s="29">
        <f t="shared" si="38"/>
        <v>-8.2096572601744865E-3</v>
      </c>
      <c r="Q27" s="29">
        <f t="shared" si="38"/>
        <v>2.999699445525883E-4</v>
      </c>
      <c r="R27" s="29">
        <f t="shared" si="38"/>
        <v>2.7242615465317933E-3</v>
      </c>
      <c r="S27" s="29">
        <f t="shared" si="38"/>
        <v>3.8749949677251974E-4</v>
      </c>
      <c r="T27" s="29">
        <f>-T12/T6</f>
        <v>-2.855049676522055E-4</v>
      </c>
      <c r="U27" s="36">
        <f t="shared" si="38"/>
        <v>-1.0195912164875027E-2</v>
      </c>
      <c r="V27" s="36">
        <f t="shared" ref="V27:AA27" si="39">-V12/V6</f>
        <v>-1.6015169407843702E-3</v>
      </c>
      <c r="W27" s="36">
        <f t="shared" si="39"/>
        <v>3.5377865879285837E-3</v>
      </c>
      <c r="X27" s="36">
        <f t="shared" si="39"/>
        <v>4.9292397438764212E-4</v>
      </c>
      <c r="Y27" s="36">
        <f t="shared" si="39"/>
        <v>-1.1406458417590451E-3</v>
      </c>
      <c r="Z27" s="36">
        <f t="shared" si="39"/>
        <v>9.7143283436521163E-4</v>
      </c>
      <c r="AA27" s="36">
        <f t="shared" si="39"/>
        <v>4.8902902600847422E-3</v>
      </c>
      <c r="AB27" s="36">
        <f t="shared" ref="AB27:AG27" si="40">-AB12/AB6</f>
        <v>1.0864530273252883E-3</v>
      </c>
      <c r="AC27" s="36">
        <f t="shared" si="40"/>
        <v>-5.8296541910589058E-3</v>
      </c>
      <c r="AD27" s="36">
        <f t="shared" si="40"/>
        <v>-6.6924451872242916E-3</v>
      </c>
      <c r="AE27" s="36">
        <f t="shared" si="40"/>
        <v>3.2012506811292829E-3</v>
      </c>
      <c r="AF27" s="36">
        <f t="shared" si="40"/>
        <v>-7.7962527478145282E-3</v>
      </c>
      <c r="AG27" s="36">
        <f t="shared" si="40"/>
        <v>1.5305189248441493E-2</v>
      </c>
      <c r="AH27" s="36">
        <f>-AH12/AH6</f>
        <v>-1.257878422640008E-2</v>
      </c>
      <c r="AI27" s="36">
        <f>-AI12/AI6</f>
        <v>-2.1191951798631491E-2</v>
      </c>
      <c r="AJ27" s="36">
        <f>-AJ12/AJ6</f>
        <v>-6.9961774339035267E-4</v>
      </c>
      <c r="AK27" s="36">
        <f>-AK12/AK6</f>
        <v>2.8658846769343558E-3</v>
      </c>
      <c r="AN27" s="36">
        <f>-AN12/AN6</f>
        <v>-5.8296541910589075E-3</v>
      </c>
    </row>
    <row r="28" spans="1:40" s="50" customFormat="1" ht="13.5" customHeight="1">
      <c r="B28" s="1" t="str">
        <f t="shared" si="32"/>
        <v>Operating Profit</v>
      </c>
      <c r="C28" s="29">
        <f t="shared" ref="C28:H28" si="41">C13/C6</f>
        <v>0.12061428734382203</v>
      </c>
      <c r="D28" s="29">
        <f t="shared" si="41"/>
        <v>0.12642541042739858</v>
      </c>
      <c r="E28" s="29">
        <f t="shared" si="41"/>
        <v>0.13373701754518691</v>
      </c>
      <c r="F28" s="29">
        <f t="shared" si="41"/>
        <v>0.1320370587249019</v>
      </c>
      <c r="G28" s="29">
        <f t="shared" si="41"/>
        <v>0.12730069552732665</v>
      </c>
      <c r="H28" s="29">
        <f t="shared" si="41"/>
        <v>0.12730671344939004</v>
      </c>
      <c r="I28" s="36">
        <f>I13/I6</f>
        <v>0.11994167080233897</v>
      </c>
      <c r="J28" s="36">
        <f>J13/J6</f>
        <v>0.11994167080233897</v>
      </c>
      <c r="K28" s="36">
        <f>K13/K6</f>
        <v>0.12456657499510078</v>
      </c>
      <c r="L28" s="36">
        <f>L13/L6</f>
        <v>0.119714476273576</v>
      </c>
      <c r="N28" s="29">
        <f t="shared" ref="N28:U28" si="42">N13/N6</f>
        <v>0.12827674077124906</v>
      </c>
      <c r="O28" s="29">
        <f t="shared" si="42"/>
        <v>0.1339988632370975</v>
      </c>
      <c r="P28" s="29">
        <f t="shared" si="42"/>
        <v>0.14078260556786534</v>
      </c>
      <c r="Q28" s="29">
        <f t="shared" si="42"/>
        <v>0.13165981102052912</v>
      </c>
      <c r="R28" s="29">
        <f t="shared" si="42"/>
        <v>0.12330205299395265</v>
      </c>
      <c r="S28" s="29">
        <f t="shared" si="42"/>
        <v>0.13439649003563703</v>
      </c>
      <c r="T28" s="29">
        <f>T13/T6</f>
        <v>0.13495064621761654</v>
      </c>
      <c r="U28" s="36">
        <f t="shared" si="42"/>
        <v>0.13549283969862752</v>
      </c>
      <c r="V28" s="36">
        <f t="shared" ref="V28:AA28" si="43">V13/V6</f>
        <v>0.12239352804177564</v>
      </c>
      <c r="W28" s="36">
        <f t="shared" si="43"/>
        <v>0.13297494053755329</v>
      </c>
      <c r="X28" s="36">
        <f t="shared" si="43"/>
        <v>0.13175285020184832</v>
      </c>
      <c r="Y28" s="36">
        <f t="shared" si="43"/>
        <v>0.12188492000565115</v>
      </c>
      <c r="Z28" s="36">
        <f t="shared" si="43"/>
        <v>0.11028405475462222</v>
      </c>
      <c r="AA28" s="36">
        <f t="shared" si="43"/>
        <v>0.12231949185301974</v>
      </c>
      <c r="AB28" s="36">
        <f t="shared" ref="AB28:AG28" si="44">AB13/AB6</f>
        <v>0.12336251003511696</v>
      </c>
      <c r="AC28" s="36">
        <f t="shared" si="44"/>
        <v>0.12327996294582697</v>
      </c>
      <c r="AD28" s="36">
        <f t="shared" si="44"/>
        <v>0.12354589681824331</v>
      </c>
      <c r="AE28" s="36">
        <f t="shared" si="44"/>
        <v>0.12644907058079366</v>
      </c>
      <c r="AF28" s="36">
        <f t="shared" si="44"/>
        <v>0.12771006935569079</v>
      </c>
      <c r="AG28" s="36">
        <f t="shared" si="44"/>
        <v>0.12013395578638576</v>
      </c>
      <c r="AH28" s="36">
        <f>AH13/AH6</f>
        <v>0.11615045305157169</v>
      </c>
      <c r="AI28" s="36">
        <f>AI13/AI6</f>
        <v>0.12493763358861935</v>
      </c>
      <c r="AJ28" s="36">
        <f>AJ13/AJ6</f>
        <v>0.11623912644129598</v>
      </c>
      <c r="AK28" s="36">
        <f>AK13/AK6</f>
        <v>0.12145867021100169</v>
      </c>
      <c r="AN28" s="36">
        <f>AN13/AN6</f>
        <v>0.12327996294582697</v>
      </c>
    </row>
    <row r="29" spans="1:40" s="50" customFormat="1" ht="13.5" customHeight="1">
      <c r="B29" s="1" t="str">
        <f t="shared" si="32"/>
        <v>Finance Income</v>
      </c>
      <c r="C29" s="29">
        <f t="shared" ref="C29:H29" si="45">C14/C113</f>
        <v>2.4266119168268388E-2</v>
      </c>
      <c r="D29" s="29">
        <f t="shared" si="45"/>
        <v>1.7043877913872095E-2</v>
      </c>
      <c r="E29" s="29">
        <f t="shared" si="45"/>
        <v>1.1626937014888785E-2</v>
      </c>
      <c r="F29" s="29">
        <f t="shared" si="45"/>
        <v>1.7947789150397211E-2</v>
      </c>
      <c r="G29" s="29">
        <f t="shared" si="45"/>
        <v>2.3829925704116919E-2</v>
      </c>
      <c r="H29" s="29">
        <f t="shared" si="45"/>
        <v>2.3829925704116919E-2</v>
      </c>
      <c r="I29" s="36">
        <f>I14/I113</f>
        <v>2.7979029805030191E-2</v>
      </c>
      <c r="J29" s="36">
        <f>J14/J113</f>
        <v>2.708988789403121E-2</v>
      </c>
      <c r="K29" s="36">
        <f>K14/K113</f>
        <v>9.9061132194803152E-3</v>
      </c>
      <c r="L29" s="36">
        <f>L14/L113</f>
        <v>8.1219421245171362E-3</v>
      </c>
      <c r="N29" s="29">
        <f>(N14+97.715+124.123+95.863)/N113</f>
        <v>9.6548694635009188E-2</v>
      </c>
      <c r="O29" s="29">
        <f>(O14+N14+97.715+124.123)/O113</f>
        <v>8.3955509989575336E-2</v>
      </c>
      <c r="P29" s="29">
        <f>(P14+O14+N14+97.715)/P113</f>
        <v>2.7273716009028007E-2</v>
      </c>
      <c r="Q29" s="29">
        <f t="shared" ref="Q29:AJ29" si="46">(Q14+P14+O14+N14)/Q113</f>
        <v>1.1626754083486237E-2</v>
      </c>
      <c r="R29" s="29">
        <f t="shared" si="46"/>
        <v>1.7195222166475857E-2</v>
      </c>
      <c r="S29" s="29">
        <f t="shared" si="46"/>
        <v>2.1319472475102533E-2</v>
      </c>
      <c r="T29" s="29">
        <f t="shared" si="46"/>
        <v>6.7145008463213127E-2</v>
      </c>
      <c r="U29" s="36">
        <f t="shared" si="46"/>
        <v>1.7947789150397228E-2</v>
      </c>
      <c r="V29" s="36">
        <f t="shared" si="46"/>
        <v>1.4847453761462178E-2</v>
      </c>
      <c r="W29" s="36">
        <f t="shared" si="46"/>
        <v>2.8527392540110049E-2</v>
      </c>
      <c r="X29" s="36">
        <f t="shared" si="46"/>
        <v>-2.5670987513618858E-3</v>
      </c>
      <c r="Y29" s="36">
        <f t="shared" si="46"/>
        <v>2.3829925704116933E-2</v>
      </c>
      <c r="Z29" s="36">
        <f t="shared" si="46"/>
        <v>2.7424898271857148E-2</v>
      </c>
      <c r="AA29" s="36">
        <f t="shared" si="46"/>
        <v>1.3195606669647583E-2</v>
      </c>
      <c r="AB29" s="36">
        <f t="shared" si="46"/>
        <v>1.921487508861917E-2</v>
      </c>
      <c r="AC29" s="36">
        <f t="shared" si="46"/>
        <v>2.7979029805030219E-2</v>
      </c>
      <c r="AD29" s="36">
        <f t="shared" si="46"/>
        <v>1.4801557321062905E-2</v>
      </c>
      <c r="AE29" s="36">
        <f t="shared" si="46"/>
        <v>9.2994767532880215E-3</v>
      </c>
      <c r="AF29" s="36">
        <f t="shared" si="46"/>
        <v>6.7868128240578945E-3</v>
      </c>
      <c r="AG29" s="36">
        <f t="shared" si="46"/>
        <v>9.9061132194803135E-3</v>
      </c>
      <c r="AH29" s="36">
        <f t="shared" si="46"/>
        <v>7.7503321553964912E-3</v>
      </c>
      <c r="AI29" s="36">
        <f t="shared" si="46"/>
        <v>1.2350494066752957E-2</v>
      </c>
      <c r="AJ29" s="36">
        <f t="shared" si="46"/>
        <v>1.3256890800114119E-2</v>
      </c>
      <c r="AK29" s="36">
        <f>(AK14+AJ14+AI14+AH14)/AK113</f>
        <v>8.1219421245171328E-3</v>
      </c>
      <c r="AN29" s="36">
        <f>(AN14+AM14+AL14+AG14)/AC113</f>
        <v>-2.3207909735028294E-2</v>
      </c>
    </row>
    <row r="30" spans="1:40" s="50" customFormat="1" ht="13.5" customHeight="1">
      <c r="B30" s="1" t="str">
        <f t="shared" si="32"/>
        <v>Finance costs</v>
      </c>
      <c r="C30" s="29">
        <f t="shared" ref="C30:H30" si="47">C15/C116</f>
        <v>-0.11078191827374316</v>
      </c>
      <c r="D30" s="29">
        <f t="shared" si="47"/>
        <v>-4.6533293516819917E-2</v>
      </c>
      <c r="E30" s="29">
        <f t="shared" si="47"/>
        <v>-4.1159051013488497E-2</v>
      </c>
      <c r="F30" s="29">
        <f t="shared" si="47"/>
        <v>-3.9235264308111362E-2</v>
      </c>
      <c r="G30" s="29">
        <f t="shared" si="47"/>
        <v>-6.2657457566244287E-2</v>
      </c>
      <c r="H30" s="29">
        <f t="shared" si="47"/>
        <v>-6.2657457566244287E-2</v>
      </c>
      <c r="I30" s="36">
        <f>I15/I116</f>
        <v>-9.2596221651403299E-2</v>
      </c>
      <c r="J30" s="36">
        <f>J15/J116</f>
        <v>-9.2596221651403299E-2</v>
      </c>
      <c r="K30" s="36">
        <f>K15/K116</f>
        <v>-7.3379867714755451E-2</v>
      </c>
      <c r="L30" s="36">
        <f>L15/L116</f>
        <v>-6.7315953135499526E-2</v>
      </c>
      <c r="N30" s="29">
        <f>(N15-154.819-211.797-191.501)/N116</f>
        <v>-5.637801944276831E-2</v>
      </c>
      <c r="O30" s="29">
        <f>(O15+N15-211.797-191.501)/O116</f>
        <v>-5.445532213649025E-2</v>
      </c>
      <c r="P30" s="29">
        <f>(P15+O15+N15-191.501)/P116</f>
        <v>-4.8849624408405769E-2</v>
      </c>
      <c r="Q30" s="29">
        <f t="shared" ref="Q30:AJ30" si="48">(Q15+P15+O15+N15)/Q116</f>
        <v>-4.1159051013488497E-2</v>
      </c>
      <c r="R30" s="29">
        <f t="shared" si="48"/>
        <v>-4.8783376963350784E-2</v>
      </c>
      <c r="S30" s="29">
        <f t="shared" si="48"/>
        <v>-4.5823858555405099E-2</v>
      </c>
      <c r="T30" s="29">
        <f t="shared" si="48"/>
        <v>-3.6009042338441093E-2</v>
      </c>
      <c r="U30" s="36">
        <f t="shared" si="48"/>
        <v>-3.9235214819624366E-2</v>
      </c>
      <c r="V30" s="36">
        <f t="shared" si="48"/>
        <v>-4.1915109419856593E-2</v>
      </c>
      <c r="W30" s="36">
        <f t="shared" si="48"/>
        <v>-4.9831895205105524E-2</v>
      </c>
      <c r="X30" s="36">
        <f t="shared" si="48"/>
        <v>-6.8128306009909601E-2</v>
      </c>
      <c r="Y30" s="36">
        <f t="shared" si="48"/>
        <v>-6.2657457566244287E-2</v>
      </c>
      <c r="Z30" s="36">
        <f t="shared" si="48"/>
        <v>-7.1578670725631149E-2</v>
      </c>
      <c r="AA30" s="36">
        <f t="shared" si="48"/>
        <v>-7.0038624454391185E-2</v>
      </c>
      <c r="AB30" s="36">
        <f t="shared" si="48"/>
        <v>-7.592873201433907E-2</v>
      </c>
      <c r="AC30" s="36">
        <f t="shared" si="48"/>
        <v>-9.2596221651403299E-2</v>
      </c>
      <c r="AD30" s="36">
        <f t="shared" si="48"/>
        <v>-0.12639918609362633</v>
      </c>
      <c r="AE30" s="36">
        <f t="shared" si="48"/>
        <v>-0.12192716885420701</v>
      </c>
      <c r="AF30" s="36">
        <f t="shared" si="48"/>
        <v>-0.12004523805957265</v>
      </c>
      <c r="AG30" s="36">
        <f t="shared" si="48"/>
        <v>-7.3379867714755451E-2</v>
      </c>
      <c r="AH30" s="36">
        <f t="shared" si="48"/>
        <v>-1.6867914765861806E-2</v>
      </c>
      <c r="AI30" s="36">
        <f t="shared" si="48"/>
        <v>-1.7996895620495244E-2</v>
      </c>
      <c r="AJ30" s="36">
        <f t="shared" si="48"/>
        <v>-1.7269201456110904E-2</v>
      </c>
      <c r="AK30" s="36">
        <f>(AK15+AJ15+AI15+AH15)/AK116</f>
        <v>-6.7315953135499526E-2</v>
      </c>
      <c r="AN30" s="36">
        <f>(AN15+AM15+AL15+AG15)/AC116</f>
        <v>2.0935177114425562E-2</v>
      </c>
    </row>
    <row r="31" spans="1:40" s="50" customFormat="1" ht="13.5" customHeight="1">
      <c r="B31" s="1" t="str">
        <f t="shared" si="32"/>
        <v xml:space="preserve">Gain on net non-monetary position </v>
      </c>
      <c r="C31" s="29">
        <f t="shared" ref="C31:H31" si="49">C16/C6</f>
        <v>9.8203019713818626E-4</v>
      </c>
      <c r="D31" s="29">
        <f t="shared" si="49"/>
        <v>4.0995553046857154E-3</v>
      </c>
      <c r="E31" s="29">
        <f t="shared" si="49"/>
        <v>2.2659495714500446E-3</v>
      </c>
      <c r="F31" s="29">
        <f t="shared" si="49"/>
        <v>-7.4862867965916615E-3</v>
      </c>
      <c r="G31" s="29">
        <f t="shared" si="49"/>
        <v>-4.0504131976018508E-3</v>
      </c>
      <c r="H31" s="29">
        <f t="shared" si="49"/>
        <v>-4.0506046739394053E-3</v>
      </c>
      <c r="I31" s="36">
        <f>I16/I6</f>
        <v>2.2414039199894122E-3</v>
      </c>
      <c r="J31" s="36">
        <f>J16/J6</f>
        <v>2.2414039199894122E-3</v>
      </c>
      <c r="K31" s="36">
        <f>K16/K6</f>
        <v>-1.3761437024595783E-2</v>
      </c>
      <c r="L31" s="36">
        <f>L16/L6</f>
        <v>-6.4131305739761424E-4</v>
      </c>
      <c r="N31" s="29">
        <f t="shared" ref="N31:U31" si="50">N16/N6</f>
        <v>3.3934375642547047E-4</v>
      </c>
      <c r="O31" s="29">
        <f t="shared" si="50"/>
        <v>7.3065031842084408E-3</v>
      </c>
      <c r="P31" s="29">
        <f t="shared" si="50"/>
        <v>5.7374045129057758E-3</v>
      </c>
      <c r="Q31" s="29">
        <f t="shared" si="50"/>
        <v>-3.666913373568806E-3</v>
      </c>
      <c r="R31" s="29">
        <f t="shared" si="50"/>
        <v>-1.6836364021034483E-2</v>
      </c>
      <c r="S31" s="29">
        <f t="shared" si="50"/>
        <v>-1.172889922730639E-2</v>
      </c>
      <c r="T31" s="29">
        <f>T16/T6</f>
        <v>-1.5220122754296536E-3</v>
      </c>
      <c r="U31" s="36">
        <f t="shared" si="50"/>
        <v>-8.7829015127975796E-6</v>
      </c>
      <c r="V31" s="36">
        <f t="shared" ref="V31:AA31" si="51">V16/V6</f>
        <v>-1.9900037234498857E-3</v>
      </c>
      <c r="W31" s="36">
        <f t="shared" si="51"/>
        <v>0</v>
      </c>
      <c r="X31" s="36">
        <f t="shared" si="51"/>
        <v>0</v>
      </c>
      <c r="Y31" s="36">
        <f t="shared" si="51"/>
        <v>-1.3892195102388942E-2</v>
      </c>
      <c r="Z31" s="36">
        <f t="shared" si="51"/>
        <v>0</v>
      </c>
      <c r="AA31" s="36">
        <f t="shared" si="51"/>
        <v>0</v>
      </c>
      <c r="AB31" s="36">
        <f t="shared" ref="AB31:AG31" si="52">AB16/AB6</f>
        <v>0</v>
      </c>
      <c r="AC31" s="36">
        <f t="shared" si="52"/>
        <v>8.9218567926177637E-3</v>
      </c>
      <c r="AD31" s="36">
        <f t="shared" si="52"/>
        <v>0</v>
      </c>
      <c r="AE31" s="36">
        <f t="shared" si="52"/>
        <v>0</v>
      </c>
      <c r="AF31" s="36">
        <f t="shared" si="52"/>
        <v>0</v>
      </c>
      <c r="AG31" s="36">
        <f t="shared" si="52"/>
        <v>-5.7142466468323369E-2</v>
      </c>
      <c r="AH31" s="36">
        <f>AH16/AH6</f>
        <v>0</v>
      </c>
      <c r="AI31" s="36">
        <f>AI16/AI6</f>
        <v>0</v>
      </c>
      <c r="AJ31" s="36">
        <f>AJ16/AJ6</f>
        <v>0</v>
      </c>
      <c r="AK31" s="36">
        <f>AK16/AK6</f>
        <v>-2.3502229589534135E-3</v>
      </c>
      <c r="AN31" s="36">
        <f>AN16/AN6</f>
        <v>8.9218567926177654E-3</v>
      </c>
    </row>
    <row r="32" spans="1:40" s="50" customFormat="1" ht="13.5" customHeight="1">
      <c r="B32" s="1" t="str">
        <f t="shared" si="32"/>
        <v>Profit before tax</v>
      </c>
      <c r="C32" s="29">
        <f t="shared" ref="C32:H32" si="53">C17/C6</f>
        <v>9.8477594860296128E-2</v>
      </c>
      <c r="D32" s="29">
        <f t="shared" si="53"/>
        <v>0.12088135548781861</v>
      </c>
      <c r="E32" s="29">
        <f t="shared" si="53"/>
        <v>0.12730903211205585</v>
      </c>
      <c r="F32" s="29">
        <f t="shared" si="53"/>
        <v>0.11413932949599483</v>
      </c>
      <c r="G32" s="29">
        <f t="shared" si="53"/>
        <v>0.10616613305304211</v>
      </c>
      <c r="H32" s="29">
        <f t="shared" si="53"/>
        <v>0.1061711518749098</v>
      </c>
      <c r="I32" s="36">
        <f>I17/I6</f>
        <v>9.7687657119692059E-2</v>
      </c>
      <c r="J32" s="36">
        <f>J17/J6</f>
        <v>9.7687657119692059E-2</v>
      </c>
      <c r="K32" s="36">
        <f>K17/K6</f>
        <v>9.305111588316313E-2</v>
      </c>
      <c r="L32" s="36">
        <f>L17/L6</f>
        <v>0.10205483413377392</v>
      </c>
      <c r="N32" s="29">
        <f t="shared" ref="N32:U32" si="54">N17/N6</f>
        <v>0.11959106929605441</v>
      </c>
      <c r="O32" s="29">
        <f t="shared" si="54"/>
        <v>0.13195123419273191</v>
      </c>
      <c r="P32" s="29">
        <f t="shared" si="54"/>
        <v>0.13812881991232381</v>
      </c>
      <c r="Q32" s="29">
        <f t="shared" si="54"/>
        <v>0.11987410083411308</v>
      </c>
      <c r="R32" s="29">
        <f t="shared" si="54"/>
        <v>9.7752385227938221E-2</v>
      </c>
      <c r="S32" s="29">
        <f t="shared" si="54"/>
        <v>0.11497357238521559</v>
      </c>
      <c r="T32" s="29">
        <f>T17/T6</f>
        <v>0.13129026476500438</v>
      </c>
      <c r="U32" s="36">
        <f t="shared" si="54"/>
        <v>0.11311706156628477</v>
      </c>
      <c r="V32" s="36">
        <f t="shared" ref="V32:AA32" si="55">V17/V6</f>
        <v>0.10746812936798089</v>
      </c>
      <c r="W32" s="36">
        <f t="shared" si="55"/>
        <v>0.11408934120101763</v>
      </c>
      <c r="X32" s="36">
        <f t="shared" si="55"/>
        <v>0.10837912339045143</v>
      </c>
      <c r="Y32" s="36">
        <f t="shared" si="55"/>
        <v>9.4976812529438195E-2</v>
      </c>
      <c r="Z32" s="36">
        <f t="shared" si="55"/>
        <v>8.745699789576708E-2</v>
      </c>
      <c r="AA32" s="36">
        <f t="shared" si="55"/>
        <v>9.7666319315398695E-2</v>
      </c>
      <c r="AB32" s="36">
        <f t="shared" ref="AB32:AG32" si="56">AB17/AB6</f>
        <v>9.8918837864775566E-2</v>
      </c>
      <c r="AC32" s="36">
        <f t="shared" si="56"/>
        <v>0.10621544655961693</v>
      </c>
      <c r="AD32" s="36">
        <f t="shared" si="56"/>
        <v>4.3769920878814705E-2</v>
      </c>
      <c r="AE32" s="36">
        <f t="shared" si="56"/>
        <v>0.11022592432406732</v>
      </c>
      <c r="AF32" s="36">
        <f t="shared" si="56"/>
        <v>0.11167629466796182</v>
      </c>
      <c r="AG32" s="36">
        <f t="shared" si="56"/>
        <v>0.10261537392192088</v>
      </c>
      <c r="AH32" s="36">
        <f>AH17/AH6</f>
        <v>9.5657536620789546E-2</v>
      </c>
      <c r="AI32" s="36">
        <f>AI17/AI6</f>
        <v>0.1093732133896749</v>
      </c>
      <c r="AJ32" s="36">
        <f>AJ17/AJ6</f>
        <v>0.10040282302013886</v>
      </c>
      <c r="AK32" s="36">
        <f>AK17/AK6</f>
        <v>0.10271878771981667</v>
      </c>
      <c r="AN32" s="36">
        <f>AN17/AN6</f>
        <v>0.10621544655961693</v>
      </c>
    </row>
    <row r="33" spans="1:40" s="50" customFormat="1" ht="13.5" customHeight="1">
      <c r="B33" s="7" t="s">
        <v>226</v>
      </c>
      <c r="C33" s="29">
        <f t="shared" ref="C33:H33" si="57">C18/C17</f>
        <v>-0.21547140413107357</v>
      </c>
      <c r="D33" s="29">
        <f t="shared" si="57"/>
        <v>-0.2337097551472033</v>
      </c>
      <c r="E33" s="29">
        <f t="shared" si="57"/>
        <v>-0.28207533654348887</v>
      </c>
      <c r="F33" s="29">
        <f t="shared" si="57"/>
        <v>-0.22120905217009973</v>
      </c>
      <c r="G33" s="29">
        <f t="shared" si="57"/>
        <v>-0.36731781673183511</v>
      </c>
      <c r="H33" s="29">
        <f t="shared" si="57"/>
        <v>-0.35721675137545772</v>
      </c>
      <c r="I33" s="36">
        <f>I18/I17</f>
        <v>-0.35861559648451929</v>
      </c>
      <c r="J33" s="36">
        <f>J18/J17</f>
        <v>-0.35861559648451929</v>
      </c>
      <c r="K33" s="36">
        <f>K18/K17</f>
        <v>-0.36530982696271286</v>
      </c>
      <c r="L33" s="36">
        <f>L18/L17</f>
        <v>-0.36110113344756228</v>
      </c>
      <c r="N33" s="29">
        <f t="shared" ref="N33:S33" si="58">N18/N17</f>
        <v>-0.30525889330881734</v>
      </c>
      <c r="O33" s="29">
        <f t="shared" si="58"/>
        <v>-0.30414266522403055</v>
      </c>
      <c r="P33" s="29">
        <f t="shared" si="58"/>
        <v>-0.31840564327599769</v>
      </c>
      <c r="Q33" s="29">
        <f t="shared" si="58"/>
        <v>-0.20323495682572074</v>
      </c>
      <c r="R33" s="29">
        <f t="shared" si="58"/>
        <v>-0.24983897690584481</v>
      </c>
      <c r="S33" s="29">
        <f t="shared" si="58"/>
        <v>-0.26231105147779527</v>
      </c>
      <c r="T33" s="29">
        <f t="shared" ref="T33:Y33" si="59">T18/T17</f>
        <v>-0.26266447368421048</v>
      </c>
      <c r="U33" s="36">
        <f t="shared" si="59"/>
        <v>-0.11263495529662321</v>
      </c>
      <c r="V33" s="36">
        <f t="shared" si="59"/>
        <v>-0.31878544379546159</v>
      </c>
      <c r="W33" s="36">
        <f t="shared" si="59"/>
        <v>-0.39509064087187001</v>
      </c>
      <c r="X33" s="36">
        <f t="shared" si="59"/>
        <v>-0.36358409601561958</v>
      </c>
      <c r="Y33" s="36">
        <f t="shared" si="59"/>
        <v>-0.34496608585695487</v>
      </c>
      <c r="Z33" s="36">
        <f t="shared" ref="Z33:AE33" si="60">Z18/Z17</f>
        <v>-0.36650539960525386</v>
      </c>
      <c r="AA33" s="36">
        <f t="shared" si="60"/>
        <v>-0.32250970945329133</v>
      </c>
      <c r="AB33" s="36">
        <f t="shared" si="60"/>
        <v>-0.34207310556488701</v>
      </c>
      <c r="AC33" s="36">
        <f t="shared" si="60"/>
        <v>-0.40127940649485366</v>
      </c>
      <c r="AD33" s="36">
        <f t="shared" si="60"/>
        <v>-0.40389207967829993</v>
      </c>
      <c r="AE33" s="36">
        <f t="shared" si="60"/>
        <v>-0.34195088648478456</v>
      </c>
      <c r="AF33" s="36">
        <f t="shared" ref="AF33:AK33" si="61">AF18/AF17</f>
        <v>-0.37077515831235197</v>
      </c>
      <c r="AG33" s="36">
        <f t="shared" si="61"/>
        <v>-0.37039978431093196</v>
      </c>
      <c r="AH33" s="36">
        <f t="shared" si="61"/>
        <v>-0.3769974481306872</v>
      </c>
      <c r="AI33" s="36">
        <f t="shared" si="61"/>
        <v>-0.37614272385210384</v>
      </c>
      <c r="AJ33" s="36">
        <f t="shared" si="61"/>
        <v>-0.38433056909065011</v>
      </c>
      <c r="AK33" s="36">
        <f t="shared" si="61"/>
        <v>-0.31325129723926931</v>
      </c>
      <c r="AN33" s="36">
        <f>AN18/AN17</f>
        <v>-0.40127940649485389</v>
      </c>
    </row>
    <row r="34" spans="1:40" s="50" customFormat="1" ht="13.5" customHeight="1">
      <c r="B34" s="1"/>
      <c r="C34" s="66"/>
      <c r="D34" s="66"/>
      <c r="E34" s="66"/>
      <c r="F34" s="66"/>
      <c r="G34" s="66"/>
      <c r="H34" s="100"/>
      <c r="I34" s="117"/>
      <c r="J34" s="117"/>
      <c r="K34" s="117"/>
      <c r="L34" s="117"/>
      <c r="N34" s="66"/>
      <c r="O34" s="66"/>
      <c r="P34" s="66"/>
      <c r="Q34" s="66"/>
      <c r="R34" s="66"/>
      <c r="S34" s="66"/>
      <c r="T34" s="6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N34" s="56"/>
    </row>
    <row r="35" spans="1:40" s="50" customFormat="1" ht="13.5" customHeight="1">
      <c r="B35" s="50" t="s">
        <v>227</v>
      </c>
      <c r="C35" s="66">
        <f t="shared" ref="C35:H35" si="62">C65/C6</f>
        <v>-2.9672860064121336E-2</v>
      </c>
      <c r="D35" s="66">
        <f t="shared" si="62"/>
        <v>-3.7762673500734506E-2</v>
      </c>
      <c r="E35" s="66">
        <f t="shared" si="62"/>
        <v>-7.9715352913816553E-2</v>
      </c>
      <c r="F35" s="66">
        <f t="shared" si="62"/>
        <v>-6.8930763585498198E-2</v>
      </c>
      <c r="G35" s="66">
        <f t="shared" si="62"/>
        <v>-4.9207583227302114E-2</v>
      </c>
      <c r="H35" s="66">
        <f t="shared" si="62"/>
        <v>-4.8209890360015509E-2</v>
      </c>
      <c r="I35" s="56">
        <f>I65/I6</f>
        <v>-1.7133093755079137E-2</v>
      </c>
      <c r="J35" s="56">
        <f>J65/J6</f>
        <v>-1.7188580639047119E-2</v>
      </c>
      <c r="K35" s="56">
        <f>K65/K6</f>
        <v>-3.9347582905794973E-2</v>
      </c>
      <c r="L35" s="56">
        <f>L65/L6</f>
        <v>-5.4262592317796579E-2</v>
      </c>
      <c r="N35" s="66">
        <f t="shared" ref="N35:AB35" si="63">N65/N6</f>
        <v>-5.6785374865252668E-2</v>
      </c>
      <c r="O35" s="66">
        <f t="shared" si="63"/>
        <v>-8.4193062271901153E-2</v>
      </c>
      <c r="P35" s="66">
        <f t="shared" si="63"/>
        <v>-5.6897550299404367E-2</v>
      </c>
      <c r="Q35" s="66">
        <f t="shared" si="63"/>
        <v>-0.11598081510203337</v>
      </c>
      <c r="R35" s="66">
        <f t="shared" si="63"/>
        <v>-6.2920892836868858E-2</v>
      </c>
      <c r="S35" s="66">
        <f t="shared" si="63"/>
        <v>-6.3379709019247207E-2</v>
      </c>
      <c r="T35" s="66">
        <f t="shared" si="63"/>
        <v>-8.8428743953810743E-2</v>
      </c>
      <c r="U35" s="56">
        <f t="shared" si="63"/>
        <v>-6.1781493193633165E-2</v>
      </c>
      <c r="V35" s="56">
        <f t="shared" si="63"/>
        <v>-3.1049967237291448E-2</v>
      </c>
      <c r="W35" s="56">
        <f t="shared" si="63"/>
        <v>-5.6121526443096426E-2</v>
      </c>
      <c r="X35" s="56">
        <f t="shared" si="63"/>
        <v>-4.1070579162140658E-2</v>
      </c>
      <c r="Y35" s="56">
        <f t="shared" si="63"/>
        <v>-6.304412840509048E-2</v>
      </c>
      <c r="Z35" s="56">
        <f t="shared" si="63"/>
        <v>-3.0282513207837217E-2</v>
      </c>
      <c r="AA35" s="56">
        <f t="shared" si="63"/>
        <v>-1.7416112494176437E-2</v>
      </c>
      <c r="AB35" s="56">
        <f t="shared" si="63"/>
        <v>-1.6093088583945338E-2</v>
      </c>
      <c r="AC35" s="56">
        <f t="shared" ref="AC35:AH35" si="64">AC65/AC6</f>
        <v>-5.3589674415518455E-3</v>
      </c>
      <c r="AD35" s="56">
        <f t="shared" si="64"/>
        <v>-2.0988203233218188E-2</v>
      </c>
      <c r="AE35" s="56">
        <f t="shared" si="64"/>
        <v>-2.8868699396241041E-2</v>
      </c>
      <c r="AF35" s="56">
        <f t="shared" si="64"/>
        <v>-4.5951894074945036E-2</v>
      </c>
      <c r="AG35" s="56">
        <f t="shared" si="64"/>
        <v>-6.1842222508355159E-2</v>
      </c>
      <c r="AH35" s="56">
        <f t="shared" si="64"/>
        <v>-3.8796502915469502E-2</v>
      </c>
      <c r="AI35" s="56">
        <f>AI65/AI6</f>
        <v>-3.0576100607639614E-2</v>
      </c>
      <c r="AJ35" s="56">
        <f>AJ65/AJ6</f>
        <v>-9.4074928420231504E-2</v>
      </c>
      <c r="AK35" s="56">
        <f>AK65/AK6</f>
        <v>-5.1274318619451295E-2</v>
      </c>
      <c r="AN35" s="56">
        <f>AN65/AN6</f>
        <v>-5.579831708012707E-3</v>
      </c>
    </row>
    <row r="36" spans="1:40" s="50" customFormat="1" ht="13.5" customHeight="1">
      <c r="B36" s="50" t="s">
        <v>228</v>
      </c>
      <c r="C36" s="66">
        <f t="shared" ref="C36:H36" si="65">C40/C6</f>
        <v>2.9246849044428026E-2</v>
      </c>
      <c r="D36" s="66">
        <f t="shared" si="65"/>
        <v>2.7425125522049076E-2</v>
      </c>
      <c r="E36" s="66">
        <f t="shared" si="65"/>
        <v>2.7835323795091956E-2</v>
      </c>
      <c r="F36" s="66">
        <f t="shared" si="65"/>
        <v>2.845934057893993E-2</v>
      </c>
      <c r="G36" s="66">
        <f t="shared" si="65"/>
        <v>3.1231078073839215E-2</v>
      </c>
      <c r="H36" s="66">
        <f t="shared" si="65"/>
        <v>3.1232554469494599E-2</v>
      </c>
      <c r="I36" s="56">
        <f>I40/I6</f>
        <v>4.1086008831020579E-2</v>
      </c>
      <c r="J36" s="56">
        <f>J40/J6</f>
        <v>4.1086008831020579E-2</v>
      </c>
      <c r="K36" s="56">
        <f>K40/K6</f>
        <v>4.0544753615548081E-2</v>
      </c>
      <c r="L36" s="56">
        <f>L40/L6</f>
        <v>3.8761381770966004E-2</v>
      </c>
      <c r="N36" s="66">
        <f t="shared" ref="N36:U36" si="66">N40/N6</f>
        <v>2.804702677827783E-2</v>
      </c>
      <c r="O36" s="66">
        <f t="shared" si="66"/>
        <v>2.7608401084010841E-2</v>
      </c>
      <c r="P36" s="66">
        <f t="shared" si="66"/>
        <v>2.6846416012178742E-2</v>
      </c>
      <c r="Q36" s="66">
        <f t="shared" si="66"/>
        <v>2.8748226749858333E-2</v>
      </c>
      <c r="R36" s="66">
        <f t="shared" si="66"/>
        <v>2.9258007842872819E-2</v>
      </c>
      <c r="S36" s="66">
        <f t="shared" si="66"/>
        <v>2.8202531082253922E-2</v>
      </c>
      <c r="T36" s="66">
        <f>T40/T6</f>
        <v>2.8538824444384398E-2</v>
      </c>
      <c r="U36" s="56">
        <f t="shared" si="66"/>
        <v>2.814892658759946E-2</v>
      </c>
      <c r="V36" s="56">
        <f t="shared" ref="V36:AA36" si="67">V40/V6</f>
        <v>3.112782430062112E-2</v>
      </c>
      <c r="W36" s="56">
        <f t="shared" si="67"/>
        <v>2.9916765508977587E-2</v>
      </c>
      <c r="X36" s="56">
        <f t="shared" si="67"/>
        <v>3.177712588271147E-2</v>
      </c>
      <c r="Y36" s="56">
        <f t="shared" si="67"/>
        <v>3.2107563233135177E-2</v>
      </c>
      <c r="Z36" s="56">
        <f t="shared" si="67"/>
        <v>4.4247667576200807E-2</v>
      </c>
      <c r="AA36" s="56">
        <f t="shared" si="67"/>
        <v>3.8790848938856197E-2</v>
      </c>
      <c r="AB36" s="56">
        <f t="shared" ref="AB36:AG36" si="68">AB40/AB6</f>
        <v>4.1137259554261542E-2</v>
      </c>
      <c r="AC36" s="56">
        <f t="shared" si="68"/>
        <v>4.0291886478647426E-2</v>
      </c>
      <c r="AD36" s="56">
        <f t="shared" si="68"/>
        <v>3.914484453028929E-2</v>
      </c>
      <c r="AE36" s="56">
        <f t="shared" si="68"/>
        <v>4.014762463811674E-2</v>
      </c>
      <c r="AF36" s="56">
        <f t="shared" si="68"/>
        <v>4.0748257587376241E-2</v>
      </c>
      <c r="AG36" s="56">
        <f t="shared" si="68"/>
        <v>4.2138734712620619E-2</v>
      </c>
      <c r="AH36" s="56">
        <f>AH40/AH6</f>
        <v>4.0392657320018836E-2</v>
      </c>
      <c r="AI36" s="56">
        <f>AI40/AI6</f>
        <v>4.0585817763352627E-2</v>
      </c>
      <c r="AJ36" s="56">
        <f>AJ40/AJ6</f>
        <v>3.8280925871686765E-2</v>
      </c>
      <c r="AK36" s="56">
        <f>AK40/AK6</f>
        <v>3.620857447219427E-2</v>
      </c>
      <c r="AN36" s="56">
        <f>AN40/AN6</f>
        <v>4.0291886478647461E-2</v>
      </c>
    </row>
    <row r="37" spans="1:40" s="50" customFormat="1" ht="13.5" customHeight="1">
      <c r="C37" s="66"/>
      <c r="D37" s="66"/>
      <c r="E37" s="66"/>
      <c r="F37" s="66"/>
      <c r="G37" s="66"/>
      <c r="H37" s="66"/>
      <c r="I37" s="56"/>
      <c r="J37" s="56"/>
      <c r="K37" s="56"/>
      <c r="L37" s="56"/>
      <c r="N37" s="66"/>
      <c r="R37" s="66"/>
      <c r="S37" s="66"/>
      <c r="Y37" s="56"/>
      <c r="AC37" s="56"/>
      <c r="AG37" s="56"/>
      <c r="AK37" s="56"/>
      <c r="AN37" s="56"/>
    </row>
    <row r="38" spans="1:40" ht="13.5" customHeight="1">
      <c r="A38" s="27"/>
      <c r="B38" s="16" t="s">
        <v>229</v>
      </c>
      <c r="C38" s="47">
        <f>+C2</f>
        <v>42004</v>
      </c>
      <c r="D38" s="47">
        <f t="shared" ref="D38:V38" si="69">+D2</f>
        <v>42369</v>
      </c>
      <c r="E38" s="47">
        <f t="shared" si="69"/>
        <v>42735</v>
      </c>
      <c r="F38" s="47">
        <f t="shared" si="69"/>
        <v>43100</v>
      </c>
      <c r="G38" s="47">
        <f>G2</f>
        <v>43465</v>
      </c>
      <c r="H38" s="47">
        <f t="shared" si="69"/>
        <v>43440</v>
      </c>
      <c r="I38" s="47">
        <f>+I2</f>
        <v>43806</v>
      </c>
      <c r="J38" s="47">
        <f>+J2</f>
        <v>43806</v>
      </c>
      <c r="K38" s="47">
        <f>+K2</f>
        <v>44172</v>
      </c>
      <c r="L38" s="47">
        <f>+L2</f>
        <v>44537</v>
      </c>
      <c r="N38" s="47">
        <f t="shared" si="69"/>
        <v>42437</v>
      </c>
      <c r="O38" s="47">
        <f t="shared" si="69"/>
        <v>42527</v>
      </c>
      <c r="P38" s="47">
        <f t="shared" si="69"/>
        <v>42622</v>
      </c>
      <c r="Q38" s="47">
        <f t="shared" si="69"/>
        <v>42714</v>
      </c>
      <c r="R38" s="47">
        <f t="shared" si="69"/>
        <v>42825</v>
      </c>
      <c r="S38" s="47">
        <f t="shared" si="69"/>
        <v>42916</v>
      </c>
      <c r="T38" s="47">
        <f t="shared" si="69"/>
        <v>43008</v>
      </c>
      <c r="U38" s="47">
        <f t="shared" si="69"/>
        <v>43099</v>
      </c>
      <c r="V38" s="47">
        <f t="shared" si="69"/>
        <v>43189</v>
      </c>
      <c r="W38" s="47">
        <f>W2</f>
        <v>43281</v>
      </c>
      <c r="X38" s="47">
        <f>+X2</f>
        <v>43373</v>
      </c>
      <c r="Y38" s="47">
        <f>Y2</f>
        <v>43464</v>
      </c>
      <c r="Z38" s="47">
        <f>+Z2</f>
        <v>43554</v>
      </c>
      <c r="AA38" s="47">
        <f>+AA2</f>
        <v>43646</v>
      </c>
      <c r="AB38" s="47">
        <f>+AB2</f>
        <v>43738</v>
      </c>
      <c r="AC38" s="47">
        <f>AC2</f>
        <v>43829</v>
      </c>
      <c r="AD38" s="47">
        <f>+AD2</f>
        <v>43920</v>
      </c>
      <c r="AE38" s="47">
        <f>+AE2</f>
        <v>44012</v>
      </c>
      <c r="AF38" s="47">
        <f>+AF2</f>
        <v>44104</v>
      </c>
      <c r="AG38" s="47">
        <f>AG2</f>
        <v>44195</v>
      </c>
      <c r="AH38" s="47">
        <f>+AH2</f>
        <v>44285</v>
      </c>
      <c r="AI38" s="47">
        <f>+AI2</f>
        <v>44377</v>
      </c>
      <c r="AJ38" s="47">
        <f>+AJ2</f>
        <v>44469</v>
      </c>
      <c r="AK38" s="47">
        <f>AK2</f>
        <v>44560</v>
      </c>
      <c r="AN38" s="47">
        <f>AN2</f>
        <v>43829</v>
      </c>
    </row>
    <row r="39" spans="1:40" ht="13.5" customHeight="1">
      <c r="B39" s="7" t="s">
        <v>230</v>
      </c>
      <c r="C39" s="6">
        <f t="shared" ref="C39:U39" si="70">C13</f>
        <v>6022.9140000000016</v>
      </c>
      <c r="D39" s="6">
        <f t="shared" si="70"/>
        <v>7367.9470000000028</v>
      </c>
      <c r="E39" s="6">
        <f t="shared" si="70"/>
        <v>9121.7050000000017</v>
      </c>
      <c r="F39" s="6">
        <f t="shared" si="70"/>
        <v>9319.2439999999951</v>
      </c>
      <c r="G39" s="6">
        <f>G13</f>
        <v>9425.482</v>
      </c>
      <c r="H39" s="6">
        <f t="shared" si="70"/>
        <v>9425.482</v>
      </c>
      <c r="I39" s="6">
        <f>I13</f>
        <v>9282.0049999999937</v>
      </c>
      <c r="J39" s="6">
        <f>J13</f>
        <v>9282.0049999999937</v>
      </c>
      <c r="K39" s="6">
        <f>K13</f>
        <v>11348.40499999999</v>
      </c>
      <c r="L39" s="6">
        <f>L13</f>
        <v>11283.134999999997</v>
      </c>
      <c r="N39" s="6">
        <f t="shared" si="70"/>
        <v>2030.6920000000007</v>
      </c>
      <c r="O39" s="6">
        <f t="shared" si="70"/>
        <v>2190.6369999999997</v>
      </c>
      <c r="P39" s="6">
        <f t="shared" si="70"/>
        <v>2422.7280000000005</v>
      </c>
      <c r="Q39" s="6">
        <f t="shared" si="70"/>
        <v>2477.6470000000004</v>
      </c>
      <c r="R39" s="6">
        <f t="shared" si="70"/>
        <v>2179.6660000000015</v>
      </c>
      <c r="S39" s="6">
        <f t="shared" si="70"/>
        <v>2343.5309999999986</v>
      </c>
      <c r="T39" s="6">
        <f>T13</f>
        <v>2312.3190000000004</v>
      </c>
      <c r="U39" s="6">
        <f t="shared" si="70"/>
        <v>2483.7289999999994</v>
      </c>
      <c r="V39" s="6">
        <f t="shared" ref="V39:AA39" si="71">V13</f>
        <v>2145.819</v>
      </c>
      <c r="W39" s="6">
        <f t="shared" si="71"/>
        <v>2518.7829999999999</v>
      </c>
      <c r="X39" s="6">
        <f t="shared" si="71"/>
        <v>2435.7989999999986</v>
      </c>
      <c r="Y39" s="6">
        <f t="shared" si="71"/>
        <v>2325.0810000000015</v>
      </c>
      <c r="Z39" s="6">
        <f t="shared" si="71"/>
        <v>2048.9389999999994</v>
      </c>
      <c r="AA39" s="6">
        <f t="shared" si="71"/>
        <v>2362.4519999999993</v>
      </c>
      <c r="AB39" s="6">
        <f t="shared" ref="AB39:AG39" si="72">AB13</f>
        <v>2473.829000000002</v>
      </c>
      <c r="AC39" s="6">
        <f t="shared" si="72"/>
        <v>2396.7849999999935</v>
      </c>
      <c r="AD39" s="6">
        <f t="shared" si="72"/>
        <v>2661.7090000000017</v>
      </c>
      <c r="AE39" s="6">
        <f t="shared" si="72"/>
        <v>3053.1839999999997</v>
      </c>
      <c r="AF39" s="6">
        <f t="shared" si="72"/>
        <v>2997.7640000000015</v>
      </c>
      <c r="AG39" s="6">
        <f t="shared" si="72"/>
        <v>2635.7479999999878</v>
      </c>
      <c r="AH39" s="6">
        <f>AH13</f>
        <v>2576.0930000000012</v>
      </c>
      <c r="AI39" s="6">
        <f>AI13</f>
        <v>2804.8480000000009</v>
      </c>
      <c r="AJ39" s="6">
        <f>AJ13</f>
        <v>2778.4699999999993</v>
      </c>
      <c r="AK39" s="6">
        <f>AK13</f>
        <v>3123.7239999999974</v>
      </c>
      <c r="AN39" s="6">
        <f>AN13</f>
        <v>2396.784999999993</v>
      </c>
    </row>
    <row r="40" spans="1:40" ht="13.5" customHeight="1">
      <c r="B40" s="7" t="s">
        <v>231</v>
      </c>
      <c r="C40" s="6">
        <f>SUM(C56,C57)</f>
        <v>1460.451</v>
      </c>
      <c r="D40" s="6">
        <f t="shared" ref="D40:U40" si="73">SUM(D56,D57)</f>
        <v>1598.3090000000002</v>
      </c>
      <c r="E40" s="6">
        <f t="shared" si="73"/>
        <v>1898.5439999999999</v>
      </c>
      <c r="F40" s="6">
        <f t="shared" si="73"/>
        <v>2008.675</v>
      </c>
      <c r="G40" s="6">
        <f t="shared" ref="G40:L40" si="74">SUM(G56,G57)</f>
        <v>2312.3829999999998</v>
      </c>
      <c r="H40" s="6">
        <f t="shared" si="74"/>
        <v>2312.3829999999998</v>
      </c>
      <c r="I40" s="6">
        <f t="shared" si="74"/>
        <v>3179.55</v>
      </c>
      <c r="J40" s="6">
        <f t="shared" si="74"/>
        <v>3179.55</v>
      </c>
      <c r="K40" s="6">
        <f t="shared" si="74"/>
        <v>3693.7539999999999</v>
      </c>
      <c r="L40" s="6">
        <f t="shared" si="74"/>
        <v>3653.2750000000001</v>
      </c>
      <c r="N40" s="6">
        <f t="shared" si="73"/>
        <v>444</v>
      </c>
      <c r="O40" s="6">
        <f t="shared" si="73"/>
        <v>451.34699999999998</v>
      </c>
      <c r="P40" s="6">
        <f t="shared" si="73"/>
        <v>462</v>
      </c>
      <c r="Q40" s="6">
        <f t="shared" si="73"/>
        <v>541</v>
      </c>
      <c r="R40" s="6">
        <f t="shared" si="73"/>
        <v>517.20699999999999</v>
      </c>
      <c r="S40" s="6">
        <f t="shared" si="73"/>
        <v>491.78</v>
      </c>
      <c r="T40" s="6">
        <f>SUM(T56,T57)</f>
        <v>489</v>
      </c>
      <c r="U40" s="6">
        <f t="shared" si="73"/>
        <v>516</v>
      </c>
      <c r="V40" s="6">
        <f t="shared" ref="V40:AA40" si="75">SUM(V56,V57)</f>
        <v>545.73699999999997</v>
      </c>
      <c r="W40" s="6">
        <f t="shared" si="75"/>
        <v>566.67700000000002</v>
      </c>
      <c r="X40" s="6">
        <f t="shared" si="75"/>
        <v>587.48400000000004</v>
      </c>
      <c r="Y40" s="6">
        <f t="shared" si="75"/>
        <v>612.48499999999979</v>
      </c>
      <c r="Z40" s="6">
        <f t="shared" si="75"/>
        <v>822.06600000000003</v>
      </c>
      <c r="AA40" s="6">
        <f t="shared" si="75"/>
        <v>749.19799999999987</v>
      </c>
      <c r="AB40" s="6">
        <f t="shared" ref="AB40:AK40" si="76">SUM(AB56,AB57)</f>
        <v>824.93900000000008</v>
      </c>
      <c r="AC40" s="6">
        <f t="shared" si="76"/>
        <v>783.34699999999998</v>
      </c>
      <c r="AD40" s="6">
        <f t="shared" si="76"/>
        <v>843.34799999999996</v>
      </c>
      <c r="AE40" s="6">
        <f t="shared" si="76"/>
        <v>969.38699999999994</v>
      </c>
      <c r="AF40" s="6">
        <f t="shared" si="76"/>
        <v>956.49199999999996</v>
      </c>
      <c r="AG40" s="6">
        <f t="shared" si="76"/>
        <v>924.52699999999982</v>
      </c>
      <c r="AH40" s="6">
        <f t="shared" si="76"/>
        <v>895.86599999999999</v>
      </c>
      <c r="AI40" s="6">
        <f t="shared" si="76"/>
        <v>911.15100000000007</v>
      </c>
      <c r="AJ40" s="6">
        <f t="shared" si="76"/>
        <v>915.03099999999995</v>
      </c>
      <c r="AK40" s="6">
        <f t="shared" si="76"/>
        <v>931.22700000000009</v>
      </c>
      <c r="AN40" s="6">
        <f>SUM(AN56,AN57)</f>
        <v>783.34700000000043</v>
      </c>
    </row>
    <row r="41" spans="1:40" s="5" customFormat="1" ht="13.5" customHeight="1">
      <c r="B41" s="5" t="s">
        <v>229</v>
      </c>
      <c r="C41" s="8">
        <f t="shared" ref="C41:U41" si="77">SUM(C39+C40)</f>
        <v>7483.3650000000016</v>
      </c>
      <c r="D41" s="8">
        <f t="shared" si="77"/>
        <v>8966.256000000003</v>
      </c>
      <c r="E41" s="8">
        <f t="shared" si="77"/>
        <v>11020.249000000002</v>
      </c>
      <c r="F41" s="8">
        <f>SUM(F39+F40)</f>
        <v>11327.918999999994</v>
      </c>
      <c r="G41" s="8">
        <f>SUM(G39+G40)</f>
        <v>11737.865</v>
      </c>
      <c r="H41" s="8">
        <f t="shared" si="77"/>
        <v>11737.865</v>
      </c>
      <c r="I41" s="8">
        <f>SUM(I39+I40)</f>
        <v>12461.554999999993</v>
      </c>
      <c r="J41" s="8">
        <f>SUM(J39+J40)</f>
        <v>12461.554999999993</v>
      </c>
      <c r="K41" s="8">
        <f>SUM(K39+K40)</f>
        <v>15042.158999999989</v>
      </c>
      <c r="L41" s="8">
        <f>SUM(L39+L40)</f>
        <v>14936.409999999996</v>
      </c>
      <c r="N41" s="8">
        <f t="shared" si="77"/>
        <v>2474.6920000000009</v>
      </c>
      <c r="O41" s="8">
        <f t="shared" si="77"/>
        <v>2641.9839999999995</v>
      </c>
      <c r="P41" s="8">
        <f t="shared" si="77"/>
        <v>2884.7280000000005</v>
      </c>
      <c r="Q41" s="8">
        <f t="shared" si="77"/>
        <v>3018.6470000000004</v>
      </c>
      <c r="R41" s="8">
        <f t="shared" si="77"/>
        <v>2696.8730000000014</v>
      </c>
      <c r="S41" s="8">
        <f t="shared" si="77"/>
        <v>2835.3109999999988</v>
      </c>
      <c r="T41" s="8">
        <f>SUM(T39+T40)</f>
        <v>2801.3190000000004</v>
      </c>
      <c r="U41" s="8">
        <f t="shared" si="77"/>
        <v>2999.7289999999994</v>
      </c>
      <c r="V41" s="8">
        <f t="shared" ref="V41:AA41" si="78">SUM(V39+V40)</f>
        <v>2691.556</v>
      </c>
      <c r="W41" s="8">
        <f t="shared" si="78"/>
        <v>3085.46</v>
      </c>
      <c r="X41" s="8">
        <f t="shared" si="78"/>
        <v>3023.2829999999985</v>
      </c>
      <c r="Y41" s="8">
        <f t="shared" si="78"/>
        <v>2937.5660000000012</v>
      </c>
      <c r="Z41" s="8">
        <f t="shared" si="78"/>
        <v>2871.0049999999992</v>
      </c>
      <c r="AA41" s="8">
        <f t="shared" si="78"/>
        <v>3111.6499999999992</v>
      </c>
      <c r="AB41" s="8">
        <f t="shared" ref="AB41:AG41" si="79">SUM(AB39+AB40)</f>
        <v>3298.7680000000018</v>
      </c>
      <c r="AC41" s="8">
        <f t="shared" si="79"/>
        <v>3180.1319999999932</v>
      </c>
      <c r="AD41" s="8">
        <f t="shared" si="79"/>
        <v>3505.0570000000016</v>
      </c>
      <c r="AE41" s="8">
        <f t="shared" si="79"/>
        <v>4022.5709999999999</v>
      </c>
      <c r="AF41" s="8">
        <f t="shared" si="79"/>
        <v>3954.2560000000012</v>
      </c>
      <c r="AG41" s="8">
        <f t="shared" si="79"/>
        <v>3560.2749999999878</v>
      </c>
      <c r="AH41" s="8">
        <f>SUM(AH39+AH40)</f>
        <v>3471.9590000000012</v>
      </c>
      <c r="AI41" s="8">
        <f>SUM(AI39+AI40)</f>
        <v>3715.9990000000007</v>
      </c>
      <c r="AJ41" s="8">
        <f>SUM(AJ39+AJ40)</f>
        <v>3693.5009999999993</v>
      </c>
      <c r="AK41" s="8">
        <f>SUM(AK39+AK40)</f>
        <v>4054.9509999999973</v>
      </c>
      <c r="AN41" s="8">
        <f>SUM(AN39+AN40)</f>
        <v>3180.1319999999932</v>
      </c>
    </row>
    <row r="42" spans="1:40" s="50" customFormat="1" ht="13.5" customHeight="1">
      <c r="B42" s="19" t="s">
        <v>232</v>
      </c>
      <c r="C42" s="20">
        <f>+C41/(4639.751+1400.412+168.964)-1</f>
        <v>0.20522015413761086</v>
      </c>
      <c r="D42" s="20">
        <f>+D41/C41-1</f>
        <v>0.19815831514298732</v>
      </c>
      <c r="E42" s="20">
        <f>+E41/D41-1</f>
        <v>0.22908034301050484</v>
      </c>
      <c r="F42" s="20">
        <f>+F41/E41-1</f>
        <v>2.791860692076864E-2</v>
      </c>
      <c r="G42" s="20">
        <f>+G41/F41-1</f>
        <v>3.6188994642352812E-2</v>
      </c>
      <c r="H42" s="20">
        <f>+H41/F41-1</f>
        <v>3.6188994642352812E-2</v>
      </c>
      <c r="I42" s="64">
        <f>+I41/H41-1</f>
        <v>6.1654312773233633E-2</v>
      </c>
      <c r="J42" s="64">
        <f>+J41/H41-1</f>
        <v>6.1654312773233633E-2</v>
      </c>
      <c r="K42" s="64">
        <f>+K41/J41-1</f>
        <v>0.20708523133750134</v>
      </c>
      <c r="L42" s="64">
        <f>+L41/K41-1</f>
        <v>-7.0301743253738946E-3</v>
      </c>
      <c r="N42" s="20"/>
      <c r="O42" s="20"/>
      <c r="P42" s="20"/>
      <c r="Q42" s="20"/>
      <c r="R42" s="20">
        <f t="shared" ref="R42:AK42" si="80">+R41/N41-1</f>
        <v>8.9781273790839666E-2</v>
      </c>
      <c r="S42" s="20">
        <f t="shared" si="80"/>
        <v>7.3174932172185514E-2</v>
      </c>
      <c r="T42" s="20">
        <f>+T41/P41-1</f>
        <v>-2.8913991197783706E-2</v>
      </c>
      <c r="U42" s="64">
        <f t="shared" si="80"/>
        <v>-6.2670461302699598E-3</v>
      </c>
      <c r="V42" s="64">
        <f t="shared" si="80"/>
        <v>-1.9715425976682965E-3</v>
      </c>
      <c r="W42" s="64">
        <f t="shared" si="80"/>
        <v>8.8226300395265689E-2</v>
      </c>
      <c r="X42" s="64">
        <f t="shared" si="80"/>
        <v>7.9235531547816596E-2</v>
      </c>
      <c r="Y42" s="64">
        <f t="shared" si="80"/>
        <v>-2.0722871966100342E-2</v>
      </c>
      <c r="Z42" s="64">
        <f t="shared" si="80"/>
        <v>6.6671100285485174E-2</v>
      </c>
      <c r="AA42" s="64">
        <f t="shared" si="80"/>
        <v>8.4881994905132707E-3</v>
      </c>
      <c r="AB42" s="64">
        <f t="shared" si="80"/>
        <v>9.1121142149115153E-2</v>
      </c>
      <c r="AC42" s="64">
        <f t="shared" si="80"/>
        <v>8.2573804299202802E-2</v>
      </c>
      <c r="AD42" s="64">
        <f t="shared" si="80"/>
        <v>0.22084670698936515</v>
      </c>
      <c r="AE42" s="64">
        <f t="shared" si="80"/>
        <v>0.29274532804139319</v>
      </c>
      <c r="AF42" s="64">
        <f t="shared" si="80"/>
        <v>0.19870691118623651</v>
      </c>
      <c r="AG42" s="64">
        <f>+AG41/AN41-1</f>
        <v>0.11953686199189062</v>
      </c>
      <c r="AH42" s="64">
        <f t="shared" si="80"/>
        <v>-9.4429277469668671E-3</v>
      </c>
      <c r="AI42" s="64">
        <f t="shared" si="80"/>
        <v>-7.621294937988643E-2</v>
      </c>
      <c r="AJ42" s="64">
        <f t="shared" si="80"/>
        <v>-6.5942872692107413E-2</v>
      </c>
      <c r="AK42" s="64">
        <f t="shared" si="80"/>
        <v>0.13894319961239265</v>
      </c>
      <c r="AN42" s="64">
        <f>+AN41/Y41-1</f>
        <v>8.2573804299202802E-2</v>
      </c>
    </row>
    <row r="43" spans="1:40" s="50" customFormat="1" ht="13.5" customHeight="1">
      <c r="B43" s="19" t="s">
        <v>233</v>
      </c>
      <c r="C43" s="20">
        <f t="shared" ref="C43:U43" si="81">C41/C6</f>
        <v>0.14986113638825005</v>
      </c>
      <c r="D43" s="20">
        <f t="shared" si="81"/>
        <v>0.15385053594944764</v>
      </c>
      <c r="E43" s="20">
        <f t="shared" si="81"/>
        <v>0.16157234134027887</v>
      </c>
      <c r="F43" s="20">
        <f t="shared" si="81"/>
        <v>0.16049639930384182</v>
      </c>
      <c r="G43" s="20">
        <f>G41/G6</f>
        <v>0.15853177360116588</v>
      </c>
      <c r="H43" s="20">
        <f t="shared" si="81"/>
        <v>0.15853926791888465</v>
      </c>
      <c r="I43" s="64">
        <f>I41/I6</f>
        <v>0.16102767963335954</v>
      </c>
      <c r="J43" s="64">
        <f>J41/J6</f>
        <v>0.16102767963335954</v>
      </c>
      <c r="K43" s="64">
        <f>K41/K6</f>
        <v>0.16511132861064884</v>
      </c>
      <c r="L43" s="64">
        <f>L41/L6</f>
        <v>0.15847585804454198</v>
      </c>
      <c r="N43" s="20">
        <f t="shared" si="81"/>
        <v>0.1563237675495269</v>
      </c>
      <c r="O43" s="20">
        <f t="shared" si="81"/>
        <v>0.16160726432110833</v>
      </c>
      <c r="P43" s="20">
        <f t="shared" si="81"/>
        <v>0.16762902158004411</v>
      </c>
      <c r="Q43" s="20">
        <f t="shared" si="81"/>
        <v>0.16040803777038745</v>
      </c>
      <c r="R43" s="20">
        <f t="shared" si="81"/>
        <v>0.15256006083682547</v>
      </c>
      <c r="S43" s="20">
        <f t="shared" si="81"/>
        <v>0.16259902111789096</v>
      </c>
      <c r="T43" s="20">
        <f>T41/T6</f>
        <v>0.16348947066200095</v>
      </c>
      <c r="U43" s="64">
        <f t="shared" si="81"/>
        <v>0.16364176628622698</v>
      </c>
      <c r="V43" s="64">
        <f t="shared" ref="V43:AA43" si="82">V41/V6</f>
        <v>0.15352135234239678</v>
      </c>
      <c r="W43" s="64">
        <f t="shared" si="82"/>
        <v>0.16289170604653089</v>
      </c>
      <c r="X43" s="64">
        <f t="shared" si="82"/>
        <v>0.1635299760845598</v>
      </c>
      <c r="Y43" s="64">
        <f t="shared" si="82"/>
        <v>0.15399248323878631</v>
      </c>
      <c r="Z43" s="64">
        <f t="shared" si="82"/>
        <v>0.15453172233082302</v>
      </c>
      <c r="AA43" s="64">
        <f t="shared" si="82"/>
        <v>0.16111034079187594</v>
      </c>
      <c r="AB43" s="64">
        <f t="shared" ref="AB43:AG43" si="83">AB41/AB6</f>
        <v>0.16449976958937848</v>
      </c>
      <c r="AC43" s="64">
        <f t="shared" si="83"/>
        <v>0.16357184942447439</v>
      </c>
      <c r="AD43" s="64">
        <f t="shared" si="83"/>
        <v>0.16269074134853259</v>
      </c>
      <c r="AE43" s="64">
        <f t="shared" si="83"/>
        <v>0.16659669521891041</v>
      </c>
      <c r="AF43" s="64">
        <f t="shared" si="83"/>
        <v>0.16845832694306703</v>
      </c>
      <c r="AG43" s="64">
        <f t="shared" si="83"/>
        <v>0.16227269049900639</v>
      </c>
      <c r="AH43" s="64">
        <f>AH41/AH6</f>
        <v>0.15654311037159052</v>
      </c>
      <c r="AI43" s="64">
        <f>AI41/AI6</f>
        <v>0.16552345135197197</v>
      </c>
      <c r="AJ43" s="64">
        <f>AJ41/AJ6</f>
        <v>0.15452005231298274</v>
      </c>
      <c r="AK43" s="64">
        <f>AK41/AK6</f>
        <v>0.15766724468319596</v>
      </c>
      <c r="AN43" s="64">
        <f>AN41/AN6</f>
        <v>0.16357184942447442</v>
      </c>
    </row>
    <row r="44" spans="1:40" ht="13.5" customHeight="1">
      <c r="B44" s="123" t="s">
        <v>234</v>
      </c>
      <c r="C44" s="6">
        <f t="shared" ref="C44:S44" si="84">C45-C41</f>
        <v>9.6349999999983993</v>
      </c>
      <c r="D44" s="6">
        <f t="shared" si="84"/>
        <v>172.74399999999696</v>
      </c>
      <c r="E44" s="6">
        <f t="shared" si="84"/>
        <v>-56.249000000001615</v>
      </c>
      <c r="F44" s="6">
        <f t="shared" si="84"/>
        <v>16.081000000005588</v>
      </c>
      <c r="G44" s="6">
        <f t="shared" si="84"/>
        <v>3.1350000000002183</v>
      </c>
      <c r="H44" s="6">
        <f t="shared" si="84"/>
        <v>3.1350000000002183</v>
      </c>
      <c r="I44" s="6">
        <f>I45-I41</f>
        <v>66.445000000006985</v>
      </c>
      <c r="J44" s="6">
        <f>J45-J41</f>
        <v>66.445000000006985</v>
      </c>
      <c r="K44" s="6">
        <f>K45-K41</f>
        <v>351.84100000001126</v>
      </c>
      <c r="L44" s="6">
        <f>L45-L41</f>
        <v>50.590000000003783</v>
      </c>
      <c r="N44" s="6">
        <f t="shared" si="84"/>
        <v>0.30799999999908323</v>
      </c>
      <c r="O44" s="6">
        <f t="shared" si="84"/>
        <v>1.6000000000531145E-2</v>
      </c>
      <c r="P44" s="6">
        <f t="shared" si="84"/>
        <v>-78.72800000000052</v>
      </c>
      <c r="Q44" s="6">
        <f t="shared" si="84"/>
        <v>22.352999999999611</v>
      </c>
      <c r="R44" s="6">
        <f t="shared" si="84"/>
        <v>0.12699999999858846</v>
      </c>
      <c r="S44" s="6">
        <f t="shared" si="84"/>
        <v>-0.31099999999878492</v>
      </c>
      <c r="T44" s="6">
        <f t="shared" ref="T44:Y44" si="85">T45-T41</f>
        <v>0.68099999999958527</v>
      </c>
      <c r="U44" s="6">
        <f t="shared" si="85"/>
        <v>10.27100000000064</v>
      </c>
      <c r="V44" s="6">
        <f t="shared" si="85"/>
        <v>0.44399999999995998</v>
      </c>
      <c r="W44" s="6">
        <f t="shared" si="85"/>
        <v>11.539999999999964</v>
      </c>
      <c r="X44" s="6">
        <f t="shared" si="85"/>
        <v>-0.28299999999853753</v>
      </c>
      <c r="Y44" s="6">
        <f t="shared" si="85"/>
        <v>-8.5660000000011678</v>
      </c>
      <c r="Z44" s="6">
        <f t="shared" ref="Z44:AE44" si="86">Z45-Z41</f>
        <v>-4.9999999991996447E-3</v>
      </c>
      <c r="AA44" s="6">
        <f t="shared" si="86"/>
        <v>66.350000000000819</v>
      </c>
      <c r="AB44" s="6">
        <f t="shared" si="86"/>
        <v>0.23199999999815191</v>
      </c>
      <c r="AC44" s="6">
        <f t="shared" si="86"/>
        <v>-0.13199999999324064</v>
      </c>
      <c r="AD44" s="6">
        <f t="shared" si="86"/>
        <v>-5.7000000001607987E-2</v>
      </c>
      <c r="AE44" s="6">
        <f t="shared" si="86"/>
        <v>0.42900000000008731</v>
      </c>
      <c r="AF44" s="6">
        <f t="shared" ref="AF44:AK44" si="87">AF45-AF41</f>
        <v>-0.25600000000122236</v>
      </c>
      <c r="AG44" s="6">
        <f t="shared" si="87"/>
        <v>351.72500000001219</v>
      </c>
      <c r="AH44" s="6">
        <f t="shared" si="87"/>
        <v>4.0999999998803105E-2</v>
      </c>
      <c r="AI44" s="6">
        <f t="shared" si="87"/>
        <v>9.9999999929423211E-4</v>
      </c>
      <c r="AJ44" s="6">
        <f t="shared" si="87"/>
        <v>0.49900000000070577</v>
      </c>
      <c r="AK44" s="6">
        <f t="shared" si="87"/>
        <v>50.049000000002707</v>
      </c>
      <c r="AN44" s="6">
        <f>AN45-AN41</f>
        <v>-0.13199999999324064</v>
      </c>
    </row>
    <row r="45" spans="1:40" s="195" customFormat="1" ht="13.5" customHeight="1">
      <c r="B45" s="5" t="s">
        <v>235</v>
      </c>
      <c r="C45" s="155">
        <v>7493</v>
      </c>
      <c r="D45" s="155">
        <v>9139</v>
      </c>
      <c r="E45" s="155">
        <v>10964</v>
      </c>
      <c r="F45" s="155">
        <v>11344</v>
      </c>
      <c r="G45" s="8">
        <f>V45+W45+X45+Y45</f>
        <v>11741</v>
      </c>
      <c r="H45" s="8">
        <f>W45+X45+V45+Y45</f>
        <v>11741</v>
      </c>
      <c r="I45" s="8">
        <f>SUM(Z45:AC45)</f>
        <v>12528</v>
      </c>
      <c r="J45" s="8">
        <f>SUM(Z45:AC45)</f>
        <v>12528</v>
      </c>
      <c r="K45" s="8">
        <f>SUM(AD45:AG45)</f>
        <v>15394</v>
      </c>
      <c r="L45" s="8">
        <f>SUM(AH45:AK45)</f>
        <v>14987</v>
      </c>
      <c r="N45" s="155">
        <v>2475</v>
      </c>
      <c r="O45" s="155">
        <v>2642</v>
      </c>
      <c r="P45" s="155">
        <v>2806</v>
      </c>
      <c r="Q45" s="155">
        <v>3041</v>
      </c>
      <c r="R45" s="155">
        <v>2697</v>
      </c>
      <c r="S45" s="155">
        <v>2835</v>
      </c>
      <c r="T45" s="155">
        <v>2802</v>
      </c>
      <c r="U45" s="155">
        <v>3010</v>
      </c>
      <c r="V45" s="155">
        <v>2692</v>
      </c>
      <c r="W45" s="155">
        <v>3097</v>
      </c>
      <c r="X45" s="155">
        <v>3023</v>
      </c>
      <c r="Y45" s="155">
        <v>2929</v>
      </c>
      <c r="Z45" s="155">
        <v>2871</v>
      </c>
      <c r="AA45" s="155">
        <v>3178</v>
      </c>
      <c r="AB45" s="155">
        <v>3299</v>
      </c>
      <c r="AC45" s="155">
        <v>3180</v>
      </c>
      <c r="AD45" s="155">
        <v>3505</v>
      </c>
      <c r="AE45" s="155">
        <v>4023</v>
      </c>
      <c r="AF45" s="155">
        <v>3954</v>
      </c>
      <c r="AG45" s="155">
        <v>3912</v>
      </c>
      <c r="AH45" s="155">
        <v>3472</v>
      </c>
      <c r="AI45" s="155">
        <v>3716</v>
      </c>
      <c r="AJ45" s="155">
        <v>3694</v>
      </c>
      <c r="AK45" s="155">
        <v>4105</v>
      </c>
      <c r="AN45" s="155">
        <v>3180</v>
      </c>
    </row>
    <row r="46" spans="1:40" s="50" customFormat="1" ht="13.5" customHeight="1">
      <c r="B46" s="19" t="s">
        <v>232</v>
      </c>
      <c r="C46" s="20"/>
      <c r="D46" s="20">
        <f>+D45/C45-1</f>
        <v>0.21967169358067529</v>
      </c>
      <c r="E46" s="20">
        <f>+E45/D45-1</f>
        <v>0.1996936207462523</v>
      </c>
      <c r="F46" s="20">
        <f>+F45/E45-1</f>
        <v>3.4658883619117065E-2</v>
      </c>
      <c r="G46" s="20">
        <f>+G45/F45-1</f>
        <v>3.4996473906911074E-2</v>
      </c>
      <c r="H46" s="20">
        <f>+H45/F45-1</f>
        <v>3.4996473906911074E-2</v>
      </c>
      <c r="I46" s="64">
        <f>+I45/H45-1</f>
        <v>6.703006558214808E-2</v>
      </c>
      <c r="J46" s="64">
        <f>+J45/H45-1</f>
        <v>6.703006558214808E-2</v>
      </c>
      <c r="K46" s="64">
        <f>+K45/J45-1</f>
        <v>0.22876756066411241</v>
      </c>
      <c r="L46" s="64">
        <f>+L45/K45-1</f>
        <v>-2.6438872287904425E-2</v>
      </c>
      <c r="N46" s="20"/>
      <c r="O46" s="21"/>
      <c r="P46" s="21"/>
      <c r="Q46" s="21"/>
      <c r="R46" s="20">
        <f t="shared" ref="R46:W46" si="88">+R45/N45-1</f>
        <v>8.9696969696969608E-2</v>
      </c>
      <c r="S46" s="20">
        <f t="shared" si="88"/>
        <v>7.3050719152157439E-2</v>
      </c>
      <c r="T46" s="20">
        <f>+T45/P45-1</f>
        <v>-1.4255167498218313E-3</v>
      </c>
      <c r="U46" s="36">
        <f t="shared" si="88"/>
        <v>-1.0194015126603118E-2</v>
      </c>
      <c r="V46" s="36">
        <f t="shared" si="88"/>
        <v>-1.8539117538005634E-3</v>
      </c>
      <c r="W46" s="36">
        <f t="shared" si="88"/>
        <v>9.24162257495591E-2</v>
      </c>
      <c r="X46" s="36">
        <f t="shared" ref="X46:AK46" si="89">+X45/T45-1</f>
        <v>7.8872234118486872E-2</v>
      </c>
      <c r="Y46" s="36">
        <f t="shared" si="89"/>
        <v>-2.6910299003322313E-2</v>
      </c>
      <c r="Z46" s="36">
        <f t="shared" si="89"/>
        <v>6.6493313521545305E-2</v>
      </c>
      <c r="AA46" s="36">
        <f t="shared" si="89"/>
        <v>2.6154342912495965E-2</v>
      </c>
      <c r="AB46" s="36">
        <f t="shared" si="89"/>
        <v>9.1300033079722231E-2</v>
      </c>
      <c r="AC46" s="36">
        <f t="shared" si="89"/>
        <v>8.5694776374189097E-2</v>
      </c>
      <c r="AD46" s="36">
        <f t="shared" si="89"/>
        <v>0.22082897944966917</v>
      </c>
      <c r="AE46" s="36">
        <f t="shared" si="89"/>
        <v>0.26589049716803026</v>
      </c>
      <c r="AF46" s="36">
        <f t="shared" si="89"/>
        <v>0.19854501364049715</v>
      </c>
      <c r="AG46" s="36">
        <f>+AG45/AN45-1</f>
        <v>0.23018867924528297</v>
      </c>
      <c r="AH46" s="36">
        <f t="shared" si="89"/>
        <v>-9.4151212553494901E-3</v>
      </c>
      <c r="AI46" s="36">
        <f t="shared" si="89"/>
        <v>-7.6311210539398489E-2</v>
      </c>
      <c r="AJ46" s="36">
        <f t="shared" si="89"/>
        <v>-6.5756196256954946E-2</v>
      </c>
      <c r="AK46" s="36">
        <f t="shared" si="89"/>
        <v>4.9335378323108303E-2</v>
      </c>
      <c r="AN46" s="36">
        <f>+AN45/Y45-1</f>
        <v>8.5694776374189097E-2</v>
      </c>
    </row>
    <row r="47" spans="1:40" s="50" customFormat="1" ht="13.5" customHeight="1">
      <c r="B47" s="19" t="s">
        <v>233</v>
      </c>
      <c r="C47" s="20">
        <f t="shared" ref="C47:U47" si="90">C45/C6</f>
        <v>0.15005408595694014</v>
      </c>
      <c r="D47" s="20">
        <f t="shared" si="90"/>
        <v>0.15681462229519227</v>
      </c>
      <c r="E47" s="20">
        <f t="shared" si="90"/>
        <v>0.1607476519318953</v>
      </c>
      <c r="F47" s="20">
        <f t="shared" si="90"/>
        <v>0.16072423837977501</v>
      </c>
      <c r="G47" s="20">
        <f>G45/G6</f>
        <v>0.15857411495627941</v>
      </c>
      <c r="H47" s="20">
        <f t="shared" si="90"/>
        <v>0.15858161127561313</v>
      </c>
      <c r="I47" s="64">
        <f>I45/I6</f>
        <v>0.16188627907566347</v>
      </c>
      <c r="J47" s="64">
        <f>J45/J6</f>
        <v>0.16188627907566347</v>
      </c>
      <c r="K47" s="64">
        <f>K45/K6</f>
        <v>0.16897333638291753</v>
      </c>
      <c r="L47" s="64">
        <f>L45/L6</f>
        <v>0.15901261980044409</v>
      </c>
      <c r="N47" s="20">
        <f t="shared" si="90"/>
        <v>0.15634322359512978</v>
      </c>
      <c r="O47" s="20">
        <f t="shared" si="90"/>
        <v>0.16160824302356422</v>
      </c>
      <c r="P47" s="20">
        <f t="shared" si="90"/>
        <v>0.163054206342367</v>
      </c>
      <c r="Q47" s="20">
        <f t="shared" si="90"/>
        <v>0.16159585498395412</v>
      </c>
      <c r="R47" s="20">
        <f t="shared" si="90"/>
        <v>0.1525672451305338</v>
      </c>
      <c r="S47" s="20">
        <f t="shared" si="90"/>
        <v>0.16258118593312024</v>
      </c>
      <c r="T47" s="20">
        <f>T45/T6</f>
        <v>0.16352921491444802</v>
      </c>
      <c r="U47" s="64">
        <f t="shared" si="90"/>
        <v>0.16420207176099685</v>
      </c>
      <c r="V47" s="64">
        <f t="shared" ref="V47:AA47" si="91">V45/V6</f>
        <v>0.15354667727728202</v>
      </c>
      <c r="W47" s="64">
        <f t="shared" si="91"/>
        <v>0.16350094106749274</v>
      </c>
      <c r="X47" s="64">
        <f t="shared" si="91"/>
        <v>0.16351466855852545</v>
      </c>
      <c r="Y47" s="64">
        <f t="shared" si="91"/>
        <v>0.15354343814110216</v>
      </c>
      <c r="Z47" s="64">
        <f t="shared" si="91"/>
        <v>0.15453145320603517</v>
      </c>
      <c r="AA47" s="64">
        <f t="shared" si="91"/>
        <v>0.16454571145102498</v>
      </c>
      <c r="AB47" s="64">
        <f t="shared" ref="AB47:AG47" si="92">AB45/AB6</f>
        <v>0.16451133874081456</v>
      </c>
      <c r="AC47" s="64">
        <f t="shared" si="92"/>
        <v>0.16356505993142098</v>
      </c>
      <c r="AD47" s="64">
        <f t="shared" si="92"/>
        <v>0.16268809563627823</v>
      </c>
      <c r="AE47" s="64">
        <f t="shared" si="92"/>
        <v>0.16661446245838213</v>
      </c>
      <c r="AF47" s="64">
        <f t="shared" si="92"/>
        <v>0.16844742088850262</v>
      </c>
      <c r="AG47" s="64">
        <f t="shared" si="92"/>
        <v>0.1783038572110624</v>
      </c>
      <c r="AH47" s="64">
        <f>AH45/AH6</f>
        <v>0.15654495897277651</v>
      </c>
      <c r="AI47" s="64">
        <f>AI45/AI6</f>
        <v>0.16552349589543155</v>
      </c>
      <c r="AJ47" s="64">
        <f>AJ45/AJ6</f>
        <v>0.15454092830735891</v>
      </c>
      <c r="AK47" s="64">
        <f>AK45/AK6</f>
        <v>0.1596132824846761</v>
      </c>
      <c r="AN47" s="64">
        <f>AN45/AN6</f>
        <v>0.16356505993142101</v>
      </c>
    </row>
    <row r="48" spans="1:40" s="5" customFormat="1" ht="13.5" customHeight="1">
      <c r="B48" s="5" t="s">
        <v>236</v>
      </c>
      <c r="C48" s="4">
        <v>875.29300000000001</v>
      </c>
      <c r="D48" s="4">
        <v>832.71900000000005</v>
      </c>
      <c r="E48" s="4">
        <v>979.76499999999999</v>
      </c>
      <c r="F48" s="4">
        <v>1091.049</v>
      </c>
      <c r="G48" s="4">
        <v>1270.4659999999999</v>
      </c>
      <c r="H48" s="4">
        <v>1270.4659999999999</v>
      </c>
      <c r="I48" s="214"/>
      <c r="J48" s="214"/>
      <c r="K48" s="214"/>
      <c r="L48" s="214"/>
      <c r="N48" s="4">
        <f>$E$48*0.25</f>
        <v>244.94125</v>
      </c>
      <c r="O48" s="4">
        <f>$E$48*0.25</f>
        <v>244.94125</v>
      </c>
      <c r="P48" s="4">
        <f>$E$48*0.25</f>
        <v>244.94125</v>
      </c>
      <c r="Q48" s="4">
        <f>$E$48*0.25</f>
        <v>244.94125</v>
      </c>
      <c r="R48" s="6">
        <f>+F48/4</f>
        <v>272.76224999999999</v>
      </c>
      <c r="S48" s="6">
        <f t="shared" ref="S48:Y48" si="93">+R48</f>
        <v>272.76224999999999</v>
      </c>
      <c r="T48" s="6">
        <f t="shared" si="93"/>
        <v>272.76224999999999</v>
      </c>
      <c r="U48" s="6">
        <f t="shared" si="93"/>
        <v>272.76224999999999</v>
      </c>
      <c r="V48" s="6">
        <f>G48/4</f>
        <v>317.61649999999997</v>
      </c>
      <c r="W48" s="6">
        <f t="shared" si="93"/>
        <v>317.61649999999997</v>
      </c>
      <c r="X48" s="6">
        <f t="shared" si="93"/>
        <v>317.61649999999997</v>
      </c>
      <c r="Y48" s="6">
        <f t="shared" si="93"/>
        <v>317.61649999999997</v>
      </c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N48" s="214"/>
    </row>
    <row r="49" spans="1:40" s="50" customFormat="1" ht="13.5" customHeight="1">
      <c r="B49" s="5" t="s">
        <v>237</v>
      </c>
      <c r="C49" s="8">
        <f t="shared" ref="C49:H49" si="94">C45+C48</f>
        <v>8368.2929999999997</v>
      </c>
      <c r="D49" s="8">
        <f t="shared" si="94"/>
        <v>9971.719000000001</v>
      </c>
      <c r="E49" s="8">
        <f t="shared" si="94"/>
        <v>11943.764999999999</v>
      </c>
      <c r="F49" s="8">
        <f t="shared" si="94"/>
        <v>12435.048999999999</v>
      </c>
      <c r="G49" s="8">
        <f>G45+G48</f>
        <v>13011.466</v>
      </c>
      <c r="H49" s="8">
        <f t="shared" si="94"/>
        <v>13011.466</v>
      </c>
      <c r="I49" s="215"/>
      <c r="J49" s="215"/>
      <c r="K49" s="215"/>
      <c r="L49" s="215"/>
      <c r="N49" s="8">
        <f t="shared" ref="N49:U49" si="95">N45+N48</f>
        <v>2719.9412499999999</v>
      </c>
      <c r="O49" s="8">
        <f t="shared" si="95"/>
        <v>2886.9412499999999</v>
      </c>
      <c r="P49" s="8">
        <f t="shared" si="95"/>
        <v>3050.9412499999999</v>
      </c>
      <c r="Q49" s="8">
        <f t="shared" si="95"/>
        <v>3285.9412499999999</v>
      </c>
      <c r="R49" s="8">
        <f t="shared" si="95"/>
        <v>2969.7622499999998</v>
      </c>
      <c r="S49" s="8">
        <f t="shared" si="95"/>
        <v>3107.7622499999998</v>
      </c>
      <c r="T49" s="8">
        <f>T45+T48</f>
        <v>3074.7622499999998</v>
      </c>
      <c r="U49" s="8">
        <f t="shared" si="95"/>
        <v>3282.7622499999998</v>
      </c>
      <c r="V49" s="8">
        <f>V45+V48</f>
        <v>3009.6165000000001</v>
      </c>
      <c r="W49" s="8">
        <f>W45+W48</f>
        <v>3414.6165000000001</v>
      </c>
      <c r="X49" s="8">
        <f>X45+X48</f>
        <v>3340.6165000000001</v>
      </c>
      <c r="Y49" s="8">
        <f>Y45+Y48</f>
        <v>3246.6165000000001</v>
      </c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N49" s="215"/>
    </row>
    <row r="50" spans="1:40" s="50" customFormat="1" ht="13.5" customHeight="1">
      <c r="B50" s="19" t="s">
        <v>238</v>
      </c>
      <c r="C50" s="20">
        <f t="shared" ref="C50:U50" si="96">C48/C6</f>
        <v>1.7528532104565328E-2</v>
      </c>
      <c r="D50" s="20">
        <f t="shared" si="96"/>
        <v>1.4288490585734788E-2</v>
      </c>
      <c r="E50" s="20">
        <f t="shared" si="96"/>
        <v>1.4364732141103011E-2</v>
      </c>
      <c r="F50" s="20">
        <f t="shared" si="96"/>
        <v>1.5458217521157893E-2</v>
      </c>
      <c r="G50" s="20">
        <f>G48/G6</f>
        <v>1.7158932078361677E-2</v>
      </c>
      <c r="H50" s="20">
        <f t="shared" si="96"/>
        <v>1.7159743237448521E-2</v>
      </c>
      <c r="I50" s="64"/>
      <c r="J50" s="64"/>
      <c r="K50" s="64"/>
      <c r="L50" s="64"/>
      <c r="N50" s="20">
        <f t="shared" si="96"/>
        <v>1.5472688733907307E-2</v>
      </c>
      <c r="O50" s="20">
        <f t="shared" si="96"/>
        <v>1.4982787682246632E-2</v>
      </c>
      <c r="P50" s="20">
        <f t="shared" si="96"/>
        <v>1.4233321852907092E-2</v>
      </c>
      <c r="Q50" s="20">
        <f t="shared" si="96"/>
        <v>1.3015945647677888E-2</v>
      </c>
      <c r="R50" s="20">
        <f t="shared" si="96"/>
        <v>1.5429953673750814E-2</v>
      </c>
      <c r="S50" s="20">
        <f t="shared" si="96"/>
        <v>1.5642331598866393E-2</v>
      </c>
      <c r="T50" s="74">
        <f>T48/T6</f>
        <v>1.5918842469949464E-2</v>
      </c>
      <c r="U50" s="64">
        <f t="shared" si="96"/>
        <v>1.4879776261857462E-2</v>
      </c>
      <c r="V50" s="64">
        <f>V48/V6</f>
        <v>1.8116254912124756E-2</v>
      </c>
      <c r="W50" s="64">
        <f>W48/W6</f>
        <v>1.6768032498728866E-2</v>
      </c>
      <c r="X50" s="64">
        <f>X48/X6</f>
        <v>1.7179939373542473E-2</v>
      </c>
      <c r="Y50" s="64">
        <f>Y48/Y6</f>
        <v>1.6650027115173566E-2</v>
      </c>
      <c r="Z50" s="64"/>
      <c r="AA50" s="64"/>
      <c r="AB50" s="64"/>
      <c r="AC50" s="64"/>
      <c r="AD50" s="64"/>
      <c r="AE50" s="262"/>
      <c r="AF50" s="64"/>
      <c r="AG50" s="64"/>
      <c r="AH50" s="64"/>
      <c r="AI50" s="64"/>
      <c r="AJ50" s="64"/>
      <c r="AK50" s="64"/>
      <c r="AN50" s="64"/>
    </row>
    <row r="51" spans="1:40" s="50" customFormat="1" ht="13.5" customHeight="1">
      <c r="B51" s="19"/>
      <c r="C51" s="20"/>
      <c r="D51" s="20"/>
      <c r="E51" s="20"/>
      <c r="F51" s="20"/>
      <c r="G51" s="20"/>
      <c r="H51" s="65"/>
      <c r="I51" s="244"/>
      <c r="J51" s="244"/>
      <c r="K51" s="244"/>
      <c r="L51" s="244"/>
      <c r="N51" s="20"/>
      <c r="O51" s="20"/>
      <c r="P51" s="20"/>
      <c r="Q51" s="20"/>
      <c r="R51" s="20"/>
      <c r="S51" s="20"/>
      <c r="T51" s="7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N51" s="64"/>
    </row>
    <row r="52" spans="1:40" s="195" customFormat="1" ht="13.5" customHeight="1">
      <c r="B52" s="219" t="s">
        <v>239</v>
      </c>
      <c r="C52" s="220">
        <f>C45</f>
        <v>7493</v>
      </c>
      <c r="D52" s="220">
        <f>D45</f>
        <v>9139</v>
      </c>
      <c r="E52" s="220">
        <f>E45</f>
        <v>10964</v>
      </c>
      <c r="F52" s="220">
        <f>F45</f>
        <v>11344</v>
      </c>
      <c r="G52" s="220">
        <f>V52+W52+X52+Y52</f>
        <v>11741</v>
      </c>
      <c r="H52" s="220">
        <f>W52+X52+Y52+V52</f>
        <v>11741</v>
      </c>
      <c r="I52" s="220">
        <f>SUM(Z52:AC52)</f>
        <v>11590</v>
      </c>
      <c r="J52" s="220">
        <f>SUM(Z52:AC52)</f>
        <v>11590</v>
      </c>
      <c r="K52" s="215"/>
      <c r="L52" s="215"/>
      <c r="N52" s="221">
        <v>2475</v>
      </c>
      <c r="O52" s="221">
        <v>2642</v>
      </c>
      <c r="P52" s="221">
        <v>2806</v>
      </c>
      <c r="Q52" s="221">
        <v>3041</v>
      </c>
      <c r="R52" s="220">
        <f t="shared" ref="R52:Y52" si="97">R45</f>
        <v>2697</v>
      </c>
      <c r="S52" s="220">
        <f t="shared" si="97"/>
        <v>2835</v>
      </c>
      <c r="T52" s="220">
        <f t="shared" si="97"/>
        <v>2802</v>
      </c>
      <c r="U52" s="220">
        <f t="shared" si="97"/>
        <v>3010</v>
      </c>
      <c r="V52" s="220">
        <f t="shared" si="97"/>
        <v>2692</v>
      </c>
      <c r="W52" s="220">
        <f t="shared" si="97"/>
        <v>3097</v>
      </c>
      <c r="X52" s="220">
        <f t="shared" si="97"/>
        <v>3023</v>
      </c>
      <c r="Y52" s="220">
        <f t="shared" si="97"/>
        <v>2929</v>
      </c>
      <c r="Z52" s="221">
        <f>+Z45-209</f>
        <v>2662</v>
      </c>
      <c r="AA52" s="221">
        <f>+AA45-219</f>
        <v>2959</v>
      </c>
      <c r="AB52" s="221">
        <f>+AB45-237</f>
        <v>3062</v>
      </c>
      <c r="AC52" s="221">
        <f>+AC45-273</f>
        <v>2907</v>
      </c>
      <c r="AD52" s="239"/>
      <c r="AE52" s="239"/>
      <c r="AF52" s="239"/>
      <c r="AG52" s="239"/>
      <c r="AH52" s="239"/>
      <c r="AI52" s="239"/>
      <c r="AJ52" s="239"/>
      <c r="AK52" s="239"/>
      <c r="AN52" s="221">
        <f>+AN45-273</f>
        <v>2907</v>
      </c>
    </row>
    <row r="53" spans="1:40" s="50" customFormat="1" ht="13.5" customHeight="1">
      <c r="B53" s="19" t="s">
        <v>232</v>
      </c>
      <c r="C53" s="20"/>
      <c r="D53" s="20">
        <f>+D52/C52-1</f>
        <v>0.21967169358067529</v>
      </c>
      <c r="E53" s="20">
        <f>+E52/D52-1</f>
        <v>0.1996936207462523</v>
      </c>
      <c r="F53" s="20">
        <f>+F52/E52-1</f>
        <v>3.4658883619117065E-2</v>
      </c>
      <c r="G53" s="20">
        <f>+G52/F52-1</f>
        <v>3.4996473906911074E-2</v>
      </c>
      <c r="H53" s="20">
        <f>+H52/F52-1</f>
        <v>3.4996473906911074E-2</v>
      </c>
      <c r="I53" s="64">
        <f>+I52/H52-1</f>
        <v>-1.2860914743207608E-2</v>
      </c>
      <c r="J53" s="64">
        <f>+J52/H52-1</f>
        <v>-1.2860914743207608E-2</v>
      </c>
      <c r="K53" s="64"/>
      <c r="L53" s="64"/>
      <c r="N53" s="20"/>
      <c r="O53" s="21"/>
      <c r="P53" s="21"/>
      <c r="Q53" s="21"/>
      <c r="R53" s="20">
        <f t="shared" ref="R53:AB53" si="98">+R52/N52-1</f>
        <v>8.9696969696969608E-2</v>
      </c>
      <c r="S53" s="20">
        <f t="shared" si="98"/>
        <v>7.3050719152157439E-2</v>
      </c>
      <c r="T53" s="74">
        <f t="shared" si="98"/>
        <v>-1.4255167498218313E-3</v>
      </c>
      <c r="U53" s="36">
        <f t="shared" si="98"/>
        <v>-1.0194015126603118E-2</v>
      </c>
      <c r="V53" s="36">
        <f t="shared" si="98"/>
        <v>-1.8539117538005634E-3</v>
      </c>
      <c r="W53" s="36">
        <f t="shared" si="98"/>
        <v>9.24162257495591E-2</v>
      </c>
      <c r="X53" s="36">
        <f t="shared" si="98"/>
        <v>7.8872234118486872E-2</v>
      </c>
      <c r="Y53" s="36">
        <f t="shared" si="98"/>
        <v>-2.6910299003322313E-2</v>
      </c>
      <c r="Z53" s="36">
        <f t="shared" si="98"/>
        <v>-1.1144130757800852E-2</v>
      </c>
      <c r="AA53" s="36">
        <f t="shared" si="98"/>
        <v>-4.4559250887956092E-2</v>
      </c>
      <c r="AB53" s="36">
        <f t="shared" si="98"/>
        <v>1.2901091630830308E-2</v>
      </c>
      <c r="AC53" s="36">
        <f>+AC52/Y52-1</f>
        <v>-7.5110959371799124E-3</v>
      </c>
      <c r="AD53" s="36"/>
      <c r="AE53" s="36"/>
      <c r="AF53" s="36"/>
      <c r="AG53" s="36"/>
      <c r="AH53" s="36"/>
      <c r="AI53" s="36"/>
      <c r="AJ53" s="36"/>
      <c r="AK53" s="36"/>
      <c r="AN53" s="36">
        <f>+AN52/Y52-1</f>
        <v>-7.5110959371799124E-3</v>
      </c>
    </row>
    <row r="54" spans="1:40" s="50" customFormat="1" ht="13.5" customHeight="1">
      <c r="B54" s="19" t="s">
        <v>233</v>
      </c>
      <c r="C54" s="64">
        <f t="shared" ref="C54:AB54" si="99">C52/C6</f>
        <v>0.15005408595694014</v>
      </c>
      <c r="D54" s="64">
        <f t="shared" si="99"/>
        <v>0.15681462229519227</v>
      </c>
      <c r="E54" s="64">
        <f t="shared" si="99"/>
        <v>0.1607476519318953</v>
      </c>
      <c r="F54" s="64">
        <f t="shared" si="99"/>
        <v>0.16072423837977501</v>
      </c>
      <c r="G54" s="64">
        <f t="shared" si="99"/>
        <v>0.15857411495627941</v>
      </c>
      <c r="H54" s="64">
        <f t="shared" si="99"/>
        <v>0.15858161127561313</v>
      </c>
      <c r="I54" s="64">
        <f>I52/I6</f>
        <v>0.14976548327641601</v>
      </c>
      <c r="J54" s="64">
        <f>J52/J6</f>
        <v>0.14976548327641601</v>
      </c>
      <c r="K54" s="64"/>
      <c r="L54" s="64"/>
      <c r="N54" s="64">
        <f t="shared" si="99"/>
        <v>0.15634322359512978</v>
      </c>
      <c r="O54" s="64">
        <f t="shared" si="99"/>
        <v>0.16160824302356422</v>
      </c>
      <c r="P54" s="64">
        <f t="shared" si="99"/>
        <v>0.163054206342367</v>
      </c>
      <c r="Q54" s="64">
        <f t="shared" si="99"/>
        <v>0.16159585498395412</v>
      </c>
      <c r="R54" s="64">
        <f t="shared" si="99"/>
        <v>0.1525672451305338</v>
      </c>
      <c r="S54" s="64">
        <f t="shared" si="99"/>
        <v>0.16258118593312024</v>
      </c>
      <c r="T54" s="64">
        <f t="shared" si="99"/>
        <v>0.16352921491444802</v>
      </c>
      <c r="U54" s="64">
        <f t="shared" si="99"/>
        <v>0.16420207176099685</v>
      </c>
      <c r="V54" s="64">
        <f t="shared" si="99"/>
        <v>0.15354667727728202</v>
      </c>
      <c r="W54" s="64">
        <f t="shared" si="99"/>
        <v>0.16350094106749274</v>
      </c>
      <c r="X54" s="64">
        <f t="shared" si="99"/>
        <v>0.16351466855852545</v>
      </c>
      <c r="Y54" s="64">
        <f t="shared" si="99"/>
        <v>0.15354343814110216</v>
      </c>
      <c r="Z54" s="64">
        <f t="shared" si="99"/>
        <v>0.1432820370722625</v>
      </c>
      <c r="AA54" s="64">
        <f t="shared" si="99"/>
        <v>0.15320665833341188</v>
      </c>
      <c r="AB54" s="64">
        <f t="shared" si="99"/>
        <v>0.15269285214439957</v>
      </c>
      <c r="AC54" s="64">
        <f>AC52/AC6</f>
        <v>0.1495231538429688</v>
      </c>
      <c r="AD54" s="64"/>
      <c r="AE54" s="64"/>
      <c r="AF54" s="64"/>
      <c r="AG54" s="64"/>
      <c r="AH54" s="64"/>
      <c r="AI54" s="64"/>
      <c r="AJ54" s="64"/>
      <c r="AK54" s="64"/>
      <c r="AN54" s="64">
        <f>AN52/AN6</f>
        <v>0.14952315384296883</v>
      </c>
    </row>
    <row r="55" spans="1:40" s="50" customFormat="1" ht="13.5" customHeight="1">
      <c r="B55" s="73"/>
      <c r="C55" s="168"/>
      <c r="D55" s="168"/>
      <c r="E55" s="168"/>
      <c r="F55" s="168"/>
      <c r="G55" s="168"/>
      <c r="H55" s="168"/>
      <c r="I55" s="168"/>
      <c r="J55" s="168"/>
      <c r="K55" s="168"/>
      <c r="L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68"/>
      <c r="AI55" s="168"/>
      <c r="AJ55" s="168"/>
      <c r="AK55" s="168"/>
      <c r="AN55" s="168"/>
    </row>
    <row r="56" spans="1:40" s="5" customFormat="1" ht="13.5" customHeight="1">
      <c r="B56" s="5" t="s">
        <v>240</v>
      </c>
      <c r="C56" s="4">
        <v>1402.509</v>
      </c>
      <c r="D56" s="4">
        <v>1569.4570000000001</v>
      </c>
      <c r="E56" s="4">
        <v>1870.4459999999999</v>
      </c>
      <c r="F56" s="4">
        <v>2008.675</v>
      </c>
      <c r="G56" s="4">
        <v>2312.3829999999998</v>
      </c>
      <c r="H56" s="4">
        <f>G56</f>
        <v>2312.3829999999998</v>
      </c>
      <c r="I56" s="4">
        <v>3179.55</v>
      </c>
      <c r="J56" s="4">
        <v>3179.55</v>
      </c>
      <c r="K56" s="4">
        <v>3693.7539999999999</v>
      </c>
      <c r="L56" s="4">
        <v>3653.2750000000001</v>
      </c>
      <c r="N56" s="4">
        <v>444</v>
      </c>
      <c r="O56" s="4">
        <v>451.34699999999998</v>
      </c>
      <c r="P56" s="4">
        <v>462</v>
      </c>
      <c r="Q56" s="4">
        <v>541</v>
      </c>
      <c r="R56" s="4">
        <v>517.20699999999999</v>
      </c>
      <c r="S56" s="4">
        <v>491.78</v>
      </c>
      <c r="T56" s="4">
        <v>489</v>
      </c>
      <c r="U56" s="4">
        <v>516</v>
      </c>
      <c r="V56" s="4">
        <v>545.73699999999997</v>
      </c>
      <c r="W56" s="4">
        <f>1112.414-V56</f>
        <v>566.67700000000002</v>
      </c>
      <c r="X56" s="4">
        <v>587.48400000000004</v>
      </c>
      <c r="Y56" s="174">
        <f>H56-X56-W56-V56</f>
        <v>612.48499999999979</v>
      </c>
      <c r="Z56" s="4">
        <v>822.06600000000003</v>
      </c>
      <c r="AA56" s="4">
        <f>1571.264-Z56</f>
        <v>749.19799999999987</v>
      </c>
      <c r="AB56" s="4">
        <f>2396.203-AA56-Z56</f>
        <v>824.93900000000008</v>
      </c>
      <c r="AC56" s="174">
        <f>I56-AB56-AA56-Z56</f>
        <v>783.34699999999998</v>
      </c>
      <c r="AD56" s="4">
        <v>843.34799999999996</v>
      </c>
      <c r="AE56" s="4">
        <f>1812.735-AD56</f>
        <v>969.38699999999994</v>
      </c>
      <c r="AF56" s="4">
        <f>2769.227-AE56-AD56</f>
        <v>956.49199999999996</v>
      </c>
      <c r="AG56" s="174">
        <f>K56-AF56-AE56-AD56</f>
        <v>924.52699999999982</v>
      </c>
      <c r="AH56" s="4">
        <v>895.86599999999999</v>
      </c>
      <c r="AI56" s="4">
        <f>1807.017-AH56</f>
        <v>911.15100000000007</v>
      </c>
      <c r="AJ56" s="4">
        <v>915.03099999999995</v>
      </c>
      <c r="AK56" s="174">
        <f>L56-AJ56-AI56-AH56</f>
        <v>931.22700000000009</v>
      </c>
      <c r="AN56" s="174">
        <f>J56-Z56-AA56-AB56</f>
        <v>783.34700000000043</v>
      </c>
    </row>
    <row r="57" spans="1:40" s="5" customFormat="1" ht="13.5" customHeight="1">
      <c r="B57" s="5" t="s">
        <v>241</v>
      </c>
      <c r="C57" s="4">
        <v>57.942</v>
      </c>
      <c r="D57" s="4">
        <v>28.852</v>
      </c>
      <c r="E57" s="4">
        <v>28.097999999999999</v>
      </c>
      <c r="F57" s="4"/>
      <c r="G57" s="4"/>
      <c r="H57" s="67"/>
      <c r="I57" s="67"/>
      <c r="J57" s="67"/>
      <c r="K57" s="67"/>
      <c r="L57" s="67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N57" s="4"/>
    </row>
    <row r="58" spans="1:40" ht="13.5" customHeight="1">
      <c r="C58" s="62"/>
      <c r="D58" s="62"/>
      <c r="E58" s="62"/>
      <c r="F58" s="62"/>
      <c r="G58" s="62"/>
      <c r="H58" s="39"/>
      <c r="I58" s="245"/>
      <c r="J58" s="245"/>
      <c r="K58" s="245"/>
      <c r="L58" s="245"/>
      <c r="N58" s="58"/>
      <c r="R58" s="58"/>
      <c r="S58" s="58"/>
      <c r="Y58" s="140"/>
      <c r="AC58" s="140"/>
      <c r="AG58" s="140"/>
      <c r="AK58" s="140"/>
      <c r="AN58" s="140"/>
    </row>
    <row r="59" spans="1:40" ht="13.5" customHeight="1">
      <c r="A59" s="27"/>
      <c r="B59" s="16" t="s">
        <v>242</v>
      </c>
      <c r="C59" s="47">
        <f t="shared" ref="C59:X59" si="100">+C38</f>
        <v>42004</v>
      </c>
      <c r="D59" s="47">
        <f t="shared" si="100"/>
        <v>42369</v>
      </c>
      <c r="E59" s="47">
        <f t="shared" si="100"/>
        <v>42735</v>
      </c>
      <c r="F59" s="47">
        <f t="shared" si="100"/>
        <v>43100</v>
      </c>
      <c r="G59" s="47">
        <f t="shared" si="100"/>
        <v>43465</v>
      </c>
      <c r="H59" s="47">
        <f t="shared" si="100"/>
        <v>43440</v>
      </c>
      <c r="I59" s="47">
        <f>+I38</f>
        <v>43806</v>
      </c>
      <c r="J59" s="47">
        <f>+J38</f>
        <v>43806</v>
      </c>
      <c r="K59" s="47">
        <f>+K38</f>
        <v>44172</v>
      </c>
      <c r="L59" s="47">
        <f>+L38</f>
        <v>44537</v>
      </c>
      <c r="N59" s="47">
        <f t="shared" si="100"/>
        <v>42437</v>
      </c>
      <c r="O59" s="47">
        <f t="shared" si="100"/>
        <v>42527</v>
      </c>
      <c r="P59" s="47">
        <f t="shared" si="100"/>
        <v>42622</v>
      </c>
      <c r="Q59" s="47">
        <f t="shared" si="100"/>
        <v>42714</v>
      </c>
      <c r="R59" s="47">
        <f t="shared" si="100"/>
        <v>42825</v>
      </c>
      <c r="S59" s="47">
        <f t="shared" si="100"/>
        <v>42916</v>
      </c>
      <c r="T59" s="47">
        <f t="shared" si="100"/>
        <v>43008</v>
      </c>
      <c r="U59" s="47">
        <f t="shared" si="100"/>
        <v>43099</v>
      </c>
      <c r="V59" s="47">
        <f t="shared" si="100"/>
        <v>43189</v>
      </c>
      <c r="W59" s="47">
        <f t="shared" si="100"/>
        <v>43281</v>
      </c>
      <c r="X59" s="47">
        <f t="shared" si="100"/>
        <v>43373</v>
      </c>
      <c r="Y59" s="47">
        <f>Y2</f>
        <v>43464</v>
      </c>
      <c r="Z59" s="47">
        <f>+Z38</f>
        <v>43554</v>
      </c>
      <c r="AA59" s="47">
        <f>+AA38</f>
        <v>43646</v>
      </c>
      <c r="AB59" s="47">
        <f>+AB38</f>
        <v>43738</v>
      </c>
      <c r="AC59" s="47">
        <f>AC2</f>
        <v>43829</v>
      </c>
      <c r="AD59" s="47">
        <f>+AD38</f>
        <v>43920</v>
      </c>
      <c r="AE59" s="47">
        <f>+AE38</f>
        <v>44012</v>
      </c>
      <c r="AF59" s="47">
        <f>+AF38</f>
        <v>44104</v>
      </c>
      <c r="AG59" s="47">
        <f>AG2</f>
        <v>44195</v>
      </c>
      <c r="AH59" s="47">
        <f>+AH38</f>
        <v>44285</v>
      </c>
      <c r="AI59" s="47">
        <f>+AI38</f>
        <v>44377</v>
      </c>
      <c r="AJ59" s="47">
        <f>+AJ38</f>
        <v>44469</v>
      </c>
      <c r="AK59" s="47">
        <f>AK2</f>
        <v>44560</v>
      </c>
      <c r="AN59" s="47">
        <f>AN2</f>
        <v>43829</v>
      </c>
    </row>
    <row r="60" spans="1:40" ht="13.5" customHeight="1">
      <c r="B60" s="1" t="s">
        <v>243</v>
      </c>
      <c r="C60" s="6">
        <f t="shared" ref="C60:H60" si="101">C45</f>
        <v>7493</v>
      </c>
      <c r="D60" s="6">
        <f t="shared" si="101"/>
        <v>9139</v>
      </c>
      <c r="E60" s="6">
        <f t="shared" si="101"/>
        <v>10964</v>
      </c>
      <c r="F60" s="6">
        <f t="shared" si="101"/>
        <v>11344</v>
      </c>
      <c r="G60" s="6">
        <f t="shared" si="101"/>
        <v>11741</v>
      </c>
      <c r="H60" s="6">
        <f t="shared" si="101"/>
        <v>11741</v>
      </c>
      <c r="I60" s="6">
        <f>I45</f>
        <v>12528</v>
      </c>
      <c r="J60" s="6">
        <f>J45</f>
        <v>12528</v>
      </c>
      <c r="K60" s="6">
        <f>K45</f>
        <v>15394</v>
      </c>
      <c r="L60" s="6">
        <f>L45</f>
        <v>14987</v>
      </c>
      <c r="N60" s="124">
        <f t="shared" ref="N60:AB60" si="102">N45</f>
        <v>2475</v>
      </c>
      <c r="O60" s="124">
        <f t="shared" si="102"/>
        <v>2642</v>
      </c>
      <c r="P60" s="6">
        <f t="shared" si="102"/>
        <v>2806</v>
      </c>
      <c r="Q60" s="6">
        <f t="shared" si="102"/>
        <v>3041</v>
      </c>
      <c r="R60" s="6">
        <f t="shared" si="102"/>
        <v>2697</v>
      </c>
      <c r="S60" s="6">
        <f t="shared" si="102"/>
        <v>2835</v>
      </c>
      <c r="T60" s="6">
        <f t="shared" si="102"/>
        <v>2802</v>
      </c>
      <c r="U60" s="141">
        <f t="shared" si="102"/>
        <v>3010</v>
      </c>
      <c r="V60" s="141">
        <f t="shared" si="102"/>
        <v>2692</v>
      </c>
      <c r="W60" s="141">
        <f t="shared" si="102"/>
        <v>3097</v>
      </c>
      <c r="X60" s="141">
        <f t="shared" si="102"/>
        <v>3023</v>
      </c>
      <c r="Y60" s="141">
        <f t="shared" si="102"/>
        <v>2929</v>
      </c>
      <c r="Z60" s="141">
        <f t="shared" si="102"/>
        <v>2871</v>
      </c>
      <c r="AA60" s="141">
        <f t="shared" si="102"/>
        <v>3178</v>
      </c>
      <c r="AB60" s="141">
        <f t="shared" si="102"/>
        <v>3299</v>
      </c>
      <c r="AC60" s="141">
        <f t="shared" ref="AC60:AH60" si="103">AC45</f>
        <v>3180</v>
      </c>
      <c r="AD60" s="141">
        <f t="shared" si="103"/>
        <v>3505</v>
      </c>
      <c r="AE60" s="141">
        <f t="shared" si="103"/>
        <v>4023</v>
      </c>
      <c r="AF60" s="141">
        <f t="shared" si="103"/>
        <v>3954</v>
      </c>
      <c r="AG60" s="141">
        <f t="shared" si="103"/>
        <v>3912</v>
      </c>
      <c r="AH60" s="141">
        <f t="shared" si="103"/>
        <v>3472</v>
      </c>
      <c r="AI60" s="141">
        <f>AI45</f>
        <v>3716</v>
      </c>
      <c r="AJ60" s="141">
        <f>AJ45</f>
        <v>3694</v>
      </c>
      <c r="AK60" s="141">
        <f>AK45</f>
        <v>4105</v>
      </c>
      <c r="AN60" s="141">
        <f>AN45</f>
        <v>3180</v>
      </c>
    </row>
    <row r="61" spans="1:40" ht="13.5" customHeight="1">
      <c r="B61" s="7" t="s">
        <v>244</v>
      </c>
      <c r="C61" s="4">
        <f>258.084+382.429+46.445-110.409+44.845</f>
        <v>621.39400000000001</v>
      </c>
      <c r="D61" s="4">
        <f>-981.684-707.173-17.591+69.564+4.508</f>
        <v>-1632.3759999999997</v>
      </c>
      <c r="E61" s="4">
        <f>-25.026+159.924-65.222+874.896+227.311</f>
        <v>1171.883</v>
      </c>
      <c r="F61" s="4">
        <f>-2624.182-1261.818-41.032+1248.514-89.533</f>
        <v>-2768.0509999999999</v>
      </c>
      <c r="G61" s="4">
        <f>-436.635-983.312-131.443-701.662+359.565</f>
        <v>-1893.4870000000001</v>
      </c>
      <c r="H61" s="4">
        <f>-436.635-775.423-420.945-467.653+218.925</f>
        <v>-1881.731</v>
      </c>
      <c r="I61" s="4">
        <f>-245.228-427.605-1469.796-193.42-7.072</f>
        <v>-2343.1210000000001</v>
      </c>
      <c r="J61" s="4">
        <f>-314.602-343.859-1377.574-193.42+325.007</f>
        <v>-1904.4479999999999</v>
      </c>
      <c r="K61" s="4">
        <f>-492.373-3.29-96.637+411.074+1171.954</f>
        <v>990.72800000000007</v>
      </c>
      <c r="L61" s="4">
        <f>-3012.215-724.23+1426.878+2512.832+56.903</f>
        <v>260.16799999999989</v>
      </c>
      <c r="N61" s="4">
        <f>123.441+43.063-88.084-382.997+179.572</f>
        <v>-125.005</v>
      </c>
      <c r="O61" s="4">
        <f>-1401.604+263.972-102.566+1943.419+273.299-N61</f>
        <v>1101.5250000000001</v>
      </c>
      <c r="P61" s="4">
        <f>-363.262+11.514-123.69+1713.875+567.078-O61-N61</f>
        <v>828.99499999999978</v>
      </c>
      <c r="Q61" s="4">
        <f>E61-P61-O61-N61</f>
        <v>-633.63199999999983</v>
      </c>
      <c r="R61" s="4">
        <f>-1083.105-811.889-100.727+203.293+132.173</f>
        <v>-1660.2550000000003</v>
      </c>
      <c r="S61" s="4">
        <f>-1716.212-703.327-74.822+133.436-59.819-R61</f>
        <v>-760.48899999999935</v>
      </c>
      <c r="T61" s="4">
        <f>-2496.579-1168.53-154.616-5.998+75.718-S61-R61</f>
        <v>-1329.2610000000011</v>
      </c>
      <c r="U61" s="4">
        <f>F61-T61-S61-R61</f>
        <v>981.95400000000086</v>
      </c>
      <c r="V61" s="4">
        <f>-1250.106-359.073-67.558+476.981-429.658</f>
        <v>-1629.4140000000002</v>
      </c>
      <c r="W61" s="4">
        <f>-1880.963-470.352-164.721+878.05-298.906-V61</f>
        <v>-307.47799999999984</v>
      </c>
      <c r="X61" s="4">
        <f>-1073.243-832.861-208.706+13.988-171.652-W61-V61</f>
        <v>-335.58200000000011</v>
      </c>
      <c r="Y61" s="174">
        <f>H61-X61-W61-V61</f>
        <v>390.74300000000017</v>
      </c>
      <c r="Z61" s="4">
        <f>-804.58-31.931-501.216+715.678-97.499</f>
        <v>-719.54800000000012</v>
      </c>
      <c r="AA61" s="4">
        <f>-469.738-446.905-686.75+821.628-435.118-Z61</f>
        <v>-497.33499999999992</v>
      </c>
      <c r="AB61" s="4">
        <f>-545.165-652.535-953.74+814.941+74.458-AA61-Z61</f>
        <v>-45.157999999999447</v>
      </c>
      <c r="AC61" s="174">
        <f>I61-AB61-AA61-Z61</f>
        <v>-1081.0800000000004</v>
      </c>
      <c r="AD61" s="4">
        <f>-713.984-757.918-215.229+2382.54+182.562</f>
        <v>877.97099999999989</v>
      </c>
      <c r="AE61" s="4">
        <f>-991.602+290.932+198.358+628.834+348.003-AD61</f>
        <v>-403.44599999999991</v>
      </c>
      <c r="AF61" s="4">
        <f>-801.994+238.575+1265.513+707.992+560.096-AE61-AD61</f>
        <v>1495.6569999999997</v>
      </c>
      <c r="AG61" s="174">
        <f>K61-AF61-AE61-AD61</f>
        <v>-979.45399999999961</v>
      </c>
      <c r="AH61" s="4">
        <f>612.903+368.952+188.122+92.726-886.867</f>
        <v>375.83600000000001</v>
      </c>
      <c r="AI61" s="4">
        <f>-1186.934+518.607+1028.772+2236.199-480.94-AH61</f>
        <v>1739.8680000000002</v>
      </c>
      <c r="AJ61" s="4">
        <f>-797.959-481.165+1532.835+1741.165-469.045-AI61-AH61</f>
        <v>-589.87300000000027</v>
      </c>
      <c r="AK61" s="174">
        <f>L61-AJ61-AI61-AH61</f>
        <v>-1265.663</v>
      </c>
      <c r="AN61" s="174">
        <f>J61-Z61-AA61-AB61</f>
        <v>-642.40700000000027</v>
      </c>
    </row>
    <row r="62" spans="1:40" ht="13.5" customHeight="1">
      <c r="B62" s="7" t="s">
        <v>245</v>
      </c>
      <c r="C62" s="4">
        <v>-1816.0119999999999</v>
      </c>
      <c r="D62" s="4">
        <v>-2684.8159999999998</v>
      </c>
      <c r="E62" s="4">
        <v>-2952.5610000000001</v>
      </c>
      <c r="F62" s="4">
        <v>-3225.4760000000001</v>
      </c>
      <c r="G62" s="4">
        <v>-2116.8519999999999</v>
      </c>
      <c r="H62" s="4">
        <v>-2081.87</v>
      </c>
      <c r="I62" s="4">
        <v>-2839.4270000000001</v>
      </c>
      <c r="J62" s="4">
        <v>-2839.4259999999999</v>
      </c>
      <c r="K62" s="4">
        <v>-3291.0219999999999</v>
      </c>
      <c r="L62" s="4">
        <v>-2971.5680000000002</v>
      </c>
      <c r="N62" s="4">
        <v>-324.86</v>
      </c>
      <c r="O62" s="4">
        <f>-1499.769-N62</f>
        <v>-1174.9090000000001</v>
      </c>
      <c r="P62" s="4">
        <f>-2163.811-O62-N62</f>
        <v>-664.04200000000003</v>
      </c>
      <c r="Q62" s="4">
        <f>E62-P62-O62-N62</f>
        <v>-788.75000000000011</v>
      </c>
      <c r="R62" s="4">
        <v>-278.16699999999997</v>
      </c>
      <c r="S62" s="4">
        <f>-1757.518-R62</f>
        <v>-1479.3510000000001</v>
      </c>
      <c r="T62" s="4">
        <f>-2331.445-S62-R62</f>
        <v>-573.92700000000013</v>
      </c>
      <c r="U62" s="4">
        <f t="shared" ref="U62:U78" si="104">F62-T62-S62-R62</f>
        <v>-894.03099999999995</v>
      </c>
      <c r="V62" s="4">
        <v>-267.10500000000002</v>
      </c>
      <c r="W62" s="4">
        <f>-1332.231-V62</f>
        <v>-1065.126</v>
      </c>
      <c r="X62" s="4">
        <f>-1859.762-W62-V62</f>
        <v>-527.53099999999995</v>
      </c>
      <c r="Y62" s="174">
        <f>H62-X62-W62-V62</f>
        <v>-222.10799999999995</v>
      </c>
      <c r="Z62" s="4">
        <v>-335.38</v>
      </c>
      <c r="AA62" s="4">
        <f>-1455.32-Z62</f>
        <v>-1119.94</v>
      </c>
      <c r="AB62" s="4">
        <f>-2097.589-AA62-Z62</f>
        <v>-642.26899999999989</v>
      </c>
      <c r="AC62" s="174">
        <f>I62-AB62-AA62-Z62</f>
        <v>-741.83800000000031</v>
      </c>
      <c r="AD62" s="4">
        <v>-479.334</v>
      </c>
      <c r="AE62" s="4">
        <f>-855.377-AD62</f>
        <v>-376.04299999999995</v>
      </c>
      <c r="AF62" s="4">
        <f>-2672.948-AE62-AD62</f>
        <v>-1817.5709999999997</v>
      </c>
      <c r="AG62" s="174">
        <f>K62-AF62-AE62-AD62</f>
        <v>-618.0740000000003</v>
      </c>
      <c r="AH62" s="4">
        <v>-386.32900000000001</v>
      </c>
      <c r="AI62" s="4">
        <f>-1693.601-AH62</f>
        <v>-1307.2720000000002</v>
      </c>
      <c r="AJ62" s="4">
        <f>-2175.022-AI62-AH62</f>
        <v>-481.42099999999976</v>
      </c>
      <c r="AK62" s="174">
        <f>L62-AJ62-AI62-AH62</f>
        <v>-796.54600000000028</v>
      </c>
      <c r="AN62" s="174">
        <f>J62-Z62-AA62-AB62</f>
        <v>-741.83699999999988</v>
      </c>
    </row>
    <row r="63" spans="1:40" ht="13.5" customHeight="1">
      <c r="B63" s="7" t="s">
        <v>246</v>
      </c>
      <c r="C63" s="4">
        <v>-1010.976</v>
      </c>
      <c r="D63" s="4">
        <v>-485.80500000000001</v>
      </c>
      <c r="E63" s="4">
        <v>-585.87099999999998</v>
      </c>
      <c r="F63" s="4">
        <v>-753.15599999999995</v>
      </c>
      <c r="G63" s="4">
        <v>-1231.047</v>
      </c>
      <c r="H63" s="4">
        <v>-1231.047</v>
      </c>
      <c r="I63" s="4">
        <v>-1877.6079999999999</v>
      </c>
      <c r="J63" s="4">
        <v>-1662.3150000000001</v>
      </c>
      <c r="K63" s="4">
        <v>-1088.2711589999999</v>
      </c>
      <c r="L63" s="4">
        <v>-1017.35</v>
      </c>
      <c r="N63" s="4">
        <v>-41.606000000000002</v>
      </c>
      <c r="O63" s="4">
        <f>-274.78-N63</f>
        <v>-233.17399999999998</v>
      </c>
      <c r="P63" s="4">
        <f>-319.075-O63-N63</f>
        <v>-44.295000000000009</v>
      </c>
      <c r="Q63" s="4">
        <f>E63-P63-O63-N63</f>
        <v>-266.79600000000005</v>
      </c>
      <c r="R63" s="4">
        <v>-69.581000000000003</v>
      </c>
      <c r="S63" s="4">
        <f>-319.775-R63</f>
        <v>-250.19399999999996</v>
      </c>
      <c r="T63" s="4">
        <f>-431.011-S63-R63</f>
        <v>-111.23600000000006</v>
      </c>
      <c r="U63" s="4">
        <f t="shared" si="104"/>
        <v>-322.14499999999987</v>
      </c>
      <c r="V63" s="4">
        <v>-136.81200000000001</v>
      </c>
      <c r="W63" s="4">
        <f>-539.634-V63</f>
        <v>-402.822</v>
      </c>
      <c r="X63" s="4">
        <f>-880.697-W63-V63</f>
        <v>-341.06299999999999</v>
      </c>
      <c r="Y63" s="174">
        <f>H63-X63-W63-V63</f>
        <v>-350.35</v>
      </c>
      <c r="Z63" s="4">
        <v>-335.26600000000002</v>
      </c>
      <c r="AA63" s="4">
        <f>-893.968-Z63</f>
        <v>-558.702</v>
      </c>
      <c r="AB63" s="4">
        <f>-1285.065-AA63-Z63</f>
        <v>-391.09700000000004</v>
      </c>
      <c r="AC63" s="174">
        <f>I63-AB63-AA63-Z63</f>
        <v>-592.54299999999989</v>
      </c>
      <c r="AD63" s="4">
        <v>-173.773</v>
      </c>
      <c r="AE63" s="4">
        <f>-595.293-AD63</f>
        <v>-421.52</v>
      </c>
      <c r="AF63" s="4">
        <f>-748.314-AE63-AD63</f>
        <v>-153.02099999999999</v>
      </c>
      <c r="AG63" s="174">
        <f>K63-AF63-AE63-AD63</f>
        <v>-339.95715899999993</v>
      </c>
      <c r="AH63" s="4">
        <v>-156.10900000000001</v>
      </c>
      <c r="AI63" s="4">
        <f>-489.616-AH63</f>
        <v>-333.50699999999995</v>
      </c>
      <c r="AJ63" s="4">
        <f>-593.493-AI63-AH63</f>
        <v>-103.87700000000009</v>
      </c>
      <c r="AK63" s="174">
        <f>L63-AJ63-AI63-AH63</f>
        <v>-423.85699999999997</v>
      </c>
      <c r="AN63" s="174">
        <f>J63-Z63-AA63-AB63</f>
        <v>-377.24999999999994</v>
      </c>
    </row>
    <row r="64" spans="1:40" s="5" customFormat="1" ht="13.5" customHeight="1">
      <c r="B64" s="5" t="s">
        <v>247</v>
      </c>
      <c r="C64" s="40">
        <f t="shared" ref="C64:H64" si="105">SUM(C60:C63)</f>
        <v>5287.4060000000009</v>
      </c>
      <c r="D64" s="40">
        <f t="shared" si="105"/>
        <v>4336.0029999999997</v>
      </c>
      <c r="E64" s="40">
        <f t="shared" si="105"/>
        <v>8597.4510000000009</v>
      </c>
      <c r="F64" s="40">
        <f t="shared" si="105"/>
        <v>4597.317</v>
      </c>
      <c r="G64" s="40">
        <f t="shared" si="105"/>
        <v>6499.6139999999996</v>
      </c>
      <c r="H64" s="40">
        <f t="shared" si="105"/>
        <v>6546.3520000000008</v>
      </c>
      <c r="I64" s="40">
        <f>SUM(I60:I63)</f>
        <v>5467.844000000001</v>
      </c>
      <c r="J64" s="40">
        <f>SUM(J60:J63)</f>
        <v>6121.8109999999997</v>
      </c>
      <c r="K64" s="40">
        <f>SUM(K60:K63)</f>
        <v>12005.434840999998</v>
      </c>
      <c r="L64" s="40">
        <f>SUM(L60:L63)</f>
        <v>11258.249999999998</v>
      </c>
      <c r="N64" s="40">
        <f t="shared" ref="N64:U64" si="106">SUM(N60:N63)</f>
        <v>1983.5289999999998</v>
      </c>
      <c r="O64" s="40">
        <f t="shared" si="106"/>
        <v>2335.442</v>
      </c>
      <c r="P64" s="40">
        <f t="shared" si="106"/>
        <v>2926.6579999999999</v>
      </c>
      <c r="Q64" s="40">
        <f t="shared" si="106"/>
        <v>1351.8220000000003</v>
      </c>
      <c r="R64" s="40">
        <f t="shared" si="106"/>
        <v>688.99699999999973</v>
      </c>
      <c r="S64" s="40">
        <f t="shared" si="106"/>
        <v>344.96600000000035</v>
      </c>
      <c r="T64" s="40">
        <f>SUM(T60:T63)</f>
        <v>787.57599999999866</v>
      </c>
      <c r="U64" s="40">
        <f t="shared" si="106"/>
        <v>2775.7780000000007</v>
      </c>
      <c r="V64" s="40">
        <f t="shared" ref="V64:AA64" si="107">SUM(V60:V63)</f>
        <v>658.66899999999976</v>
      </c>
      <c r="W64" s="40">
        <f t="shared" si="107"/>
        <v>1321.5740000000001</v>
      </c>
      <c r="X64" s="40">
        <f t="shared" si="107"/>
        <v>1818.8239999999996</v>
      </c>
      <c r="Y64" s="40">
        <f t="shared" si="107"/>
        <v>2747.2850000000003</v>
      </c>
      <c r="Z64" s="40">
        <f t="shared" si="107"/>
        <v>1480.8059999999996</v>
      </c>
      <c r="AA64" s="40">
        <f t="shared" si="107"/>
        <v>1002.0229999999999</v>
      </c>
      <c r="AB64" s="40">
        <f t="shared" ref="AB64:AG64" si="108">SUM(AB60:AB63)</f>
        <v>2220.4760000000006</v>
      </c>
      <c r="AC64" s="40">
        <f t="shared" si="108"/>
        <v>764.53899999999953</v>
      </c>
      <c r="AD64" s="40">
        <f t="shared" si="108"/>
        <v>3729.8639999999996</v>
      </c>
      <c r="AE64" s="40">
        <f t="shared" si="108"/>
        <v>2821.991</v>
      </c>
      <c r="AF64" s="40">
        <f t="shared" si="108"/>
        <v>3479.0649999999991</v>
      </c>
      <c r="AG64" s="40">
        <f t="shared" si="108"/>
        <v>1974.5148409999997</v>
      </c>
      <c r="AH64" s="40">
        <f>SUM(AH60:AH63)</f>
        <v>3305.3980000000001</v>
      </c>
      <c r="AI64" s="40">
        <f>SUM(AI60:AI63)</f>
        <v>3815.0890000000004</v>
      </c>
      <c r="AJ64" s="40">
        <f>SUM(AJ60:AJ63)</f>
        <v>2518.8289999999997</v>
      </c>
      <c r="AK64" s="40">
        <f>SUM(AK60:AK63)</f>
        <v>1618.9339999999997</v>
      </c>
      <c r="AN64" s="40">
        <f>SUM(AN60:AN63)</f>
        <v>1418.5059999999999</v>
      </c>
    </row>
    <row r="65" spans="2:40" ht="13.5" customHeight="1">
      <c r="B65" s="7" t="s">
        <v>248</v>
      </c>
      <c r="C65" s="4">
        <f>-1597.298+115.574</f>
        <v>-1481.7239999999999</v>
      </c>
      <c r="D65" s="4">
        <f>-2431.514+230.743</f>
        <v>-2200.7710000000002</v>
      </c>
      <c r="E65" s="4">
        <f>-5598.795+161.707</f>
        <v>-5437.0879999999997</v>
      </c>
      <c r="F65" s="4">
        <f>-5154.381+289.212</f>
        <v>-4865.1689999999999</v>
      </c>
      <c r="G65" s="4">
        <f>-4044.298+400.915</f>
        <v>-3643.3829999999998</v>
      </c>
      <c r="H65" s="4">
        <f>-3969.598+400.254</f>
        <v>-3569.3440000000001</v>
      </c>
      <c r="I65" s="4">
        <f>-1749.106+423.216</f>
        <v>-1325.8899999999999</v>
      </c>
      <c r="J65" s="4">
        <f>-1765.079+434.895</f>
        <v>-1330.184</v>
      </c>
      <c r="K65" s="4">
        <f>-3702.481+117.793</f>
        <v>-3584.6880000000001</v>
      </c>
      <c r="L65" s="4">
        <f>-5826.339+712.069</f>
        <v>-5114.2700000000004</v>
      </c>
      <c r="N65" s="4">
        <f>-914.276+15.332</f>
        <v>-898.94399999999996</v>
      </c>
      <c r="O65" s="4">
        <f>-2348.932+73.585-N65</f>
        <v>-1376.4029999999998</v>
      </c>
      <c r="P65" s="4">
        <f>-3451.509+197.012-O65-N65</f>
        <v>-979.15000000000009</v>
      </c>
      <c r="Q65" s="4">
        <f t="shared" ref="Q65:Q78" si="109">E65-P65-O65-N65</f>
        <v>-2182.5910000000003</v>
      </c>
      <c r="R65" s="4">
        <f>-1155.929+43.648</f>
        <v>-1112.2810000000002</v>
      </c>
      <c r="S65" s="4">
        <f>-2279.826+62.365-R65</f>
        <v>-1105.18</v>
      </c>
      <c r="T65" s="4">
        <f>-3988.414+255.766-S65-R65</f>
        <v>-1515.1869999999997</v>
      </c>
      <c r="U65" s="4">
        <f t="shared" si="104"/>
        <v>-1132.5209999999995</v>
      </c>
      <c r="V65" s="4">
        <f>-610.815+66.443</f>
        <v>-544.37200000000007</v>
      </c>
      <c r="W65" s="4">
        <f>-1684.996+77.582-V65</f>
        <v>-1063.0420000000001</v>
      </c>
      <c r="X65" s="4">
        <f>-2434.814+68.102-W65-V65</f>
        <v>-759.29799999999977</v>
      </c>
      <c r="Y65" s="174">
        <f>H65-X65-W65-V65</f>
        <v>-1202.6320000000001</v>
      </c>
      <c r="Z65" s="4">
        <f>-570.417+7.806</f>
        <v>-562.61099999999999</v>
      </c>
      <c r="AA65" s="4">
        <f>-949.584+50.602-Z65</f>
        <v>-336.37099999999998</v>
      </c>
      <c r="AB65" s="4">
        <f>-1282.092+60.39-AA65-Z65</f>
        <v>-322.72000000000003</v>
      </c>
      <c r="AC65" s="174">
        <f>I65-AB65-AA65-Z65</f>
        <v>-104.18799999999987</v>
      </c>
      <c r="AD65" s="4">
        <f>-543.679+91.503</f>
        <v>-452.17599999999999</v>
      </c>
      <c r="AE65" s="4">
        <f>-1189.503+40.276-AD65</f>
        <v>-697.05099999999993</v>
      </c>
      <c r="AF65" s="4">
        <f>-2292.122+64.257-AE65-AD65</f>
        <v>-1078.6379999999999</v>
      </c>
      <c r="AG65" s="174">
        <f>K65-AF65-AE65-AD65</f>
        <v>-1356.8230000000003</v>
      </c>
      <c r="AH65" s="4">
        <f>-894.391+33.926</f>
        <v>-860.46499999999992</v>
      </c>
      <c r="AI65" s="4">
        <f>-2142.482+595.584-AH65</f>
        <v>-686.43300000000022</v>
      </c>
      <c r="AJ65" s="4">
        <f>-4361.984+566.408-AI65-AH65</f>
        <v>-2248.6779999999999</v>
      </c>
      <c r="AK65" s="174">
        <f>L65-AJ65-AI65-AH65</f>
        <v>-1318.6940000000006</v>
      </c>
      <c r="AN65" s="174">
        <f>J65-Z65-AA65-AB65</f>
        <v>-108.48199999999997</v>
      </c>
    </row>
    <row r="66" spans="2:40" ht="13.5" customHeight="1">
      <c r="B66" s="7" t="s">
        <v>249</v>
      </c>
      <c r="C66" s="4">
        <v>-17.126000000000001</v>
      </c>
      <c r="D66" s="4">
        <v>-3.8180000000000001</v>
      </c>
      <c r="E66" s="4">
        <v>-44.353000000000002</v>
      </c>
      <c r="F66" s="4">
        <v>-158.94200000000001</v>
      </c>
      <c r="G66" s="4">
        <v>-267.24400000000003</v>
      </c>
      <c r="H66" s="4">
        <v>-302.76499999999999</v>
      </c>
      <c r="I66" s="4">
        <v>-44.399000000000001</v>
      </c>
      <c r="J66" s="4">
        <v>-44.399000000000001</v>
      </c>
      <c r="K66" s="4">
        <v>-21.449000000000002</v>
      </c>
      <c r="L66" s="4">
        <v>-138.85</v>
      </c>
      <c r="N66" s="4">
        <v>-0.63400000000000001</v>
      </c>
      <c r="O66" s="4">
        <f>-0.308-N66</f>
        <v>0.32600000000000001</v>
      </c>
      <c r="P66" s="4">
        <f>-1.176-O66-N66</f>
        <v>-0.86799999999999999</v>
      </c>
      <c r="Q66" s="4">
        <f t="shared" si="109"/>
        <v>-43.177</v>
      </c>
      <c r="R66" s="4">
        <v>-5.4930000000000003</v>
      </c>
      <c r="S66" s="4">
        <f>-52.282-R66</f>
        <v>-46.788999999999994</v>
      </c>
      <c r="T66" s="4">
        <f>-97.001-S66-R66</f>
        <v>-44.719000000000008</v>
      </c>
      <c r="U66" s="4">
        <f t="shared" si="104"/>
        <v>-61.940999999999995</v>
      </c>
      <c r="V66" s="4">
        <v>-37.334000000000003</v>
      </c>
      <c r="W66" s="4">
        <f>-134.909-V66</f>
        <v>-97.574999999999989</v>
      </c>
      <c r="X66" s="4">
        <f>-149.708-W66-V66</f>
        <v>-14.799000000000007</v>
      </c>
      <c r="Y66" s="174">
        <f>H66-X66-W66-V66</f>
        <v>-153.05700000000002</v>
      </c>
      <c r="Z66" s="4">
        <v>-53.551000000000002</v>
      </c>
      <c r="AA66" s="4">
        <f>-78.61-Z66</f>
        <v>-25.058999999999997</v>
      </c>
      <c r="AB66" s="4">
        <f>-50.256-AA66-Z66</f>
        <v>28.353999999999999</v>
      </c>
      <c r="AC66" s="174">
        <f>I66-AB66-AA66-Z66</f>
        <v>5.8569999999999993</v>
      </c>
      <c r="AD66" s="4">
        <v>-3.7919999999999998</v>
      </c>
      <c r="AE66" s="4">
        <f>-9.602-AD66</f>
        <v>-5.8100000000000005</v>
      </c>
      <c r="AF66" s="4">
        <f>-51.153-AE66-AD66</f>
        <v>-41.550999999999995</v>
      </c>
      <c r="AG66" s="174">
        <f>K66-AF66-AE66-AD66</f>
        <v>29.703999999999994</v>
      </c>
      <c r="AH66" s="4">
        <v>-0.185</v>
      </c>
      <c r="AI66" s="4">
        <f>-27.729-AH66</f>
        <v>-27.544</v>
      </c>
      <c r="AJ66" s="4">
        <f>-31.814-AI66-AH66</f>
        <v>-4.085</v>
      </c>
      <c r="AK66" s="174">
        <f>L66-AJ66-AI66-AH66</f>
        <v>-107.03599999999999</v>
      </c>
      <c r="AN66" s="174">
        <f>J66-Z66-AA66-AB66</f>
        <v>5.8569999999999993</v>
      </c>
    </row>
    <row r="67" spans="2:40" ht="13.5" customHeight="1">
      <c r="B67" s="7" t="s">
        <v>250</v>
      </c>
      <c r="C67" s="4">
        <f>-122.081+3677.788</f>
        <v>3555.7069999999999</v>
      </c>
      <c r="D67" s="4">
        <v>-641.98400000000004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N67" s="4">
        <v>0</v>
      </c>
      <c r="O67" s="4">
        <v>0</v>
      </c>
      <c r="P67" s="4">
        <v>0</v>
      </c>
      <c r="Q67" s="4">
        <f t="shared" si="109"/>
        <v>0</v>
      </c>
      <c r="R67" s="4">
        <v>0</v>
      </c>
      <c r="S67" s="4">
        <v>0</v>
      </c>
      <c r="T67" s="4">
        <v>0</v>
      </c>
      <c r="U67" s="4">
        <f t="shared" si="104"/>
        <v>0</v>
      </c>
      <c r="V67" s="4">
        <v>0</v>
      </c>
      <c r="W67" s="4">
        <f>0-V67</f>
        <v>0</v>
      </c>
      <c r="X67" s="4">
        <v>0</v>
      </c>
      <c r="Y67" s="174">
        <f>H67-X67-W67-V67</f>
        <v>0</v>
      </c>
      <c r="Z67" s="4">
        <v>0</v>
      </c>
      <c r="AA67" s="4">
        <f>-Z67</f>
        <v>0</v>
      </c>
      <c r="AB67" s="4">
        <f>-AA67-Z67</f>
        <v>0</v>
      </c>
      <c r="AC67" s="174">
        <f>I67-AB67-AA67-Z67</f>
        <v>0</v>
      </c>
      <c r="AD67" s="4">
        <v>0</v>
      </c>
      <c r="AE67" s="4">
        <f>-AD67</f>
        <v>0</v>
      </c>
      <c r="AF67" s="4">
        <f>-AE67-AD67</f>
        <v>0</v>
      </c>
      <c r="AG67" s="174">
        <f>K67-AF67-AE67-AD67</f>
        <v>0</v>
      </c>
      <c r="AH67" s="4">
        <v>0</v>
      </c>
      <c r="AI67" s="4">
        <f>-AH67</f>
        <v>0</v>
      </c>
      <c r="AJ67" s="4">
        <f>0-AI67-AH67</f>
        <v>0</v>
      </c>
      <c r="AK67" s="174">
        <f>L67-AJ67-AI67-AH67</f>
        <v>0</v>
      </c>
      <c r="AN67" s="174">
        <f>J67-Z67-AA67-AB67</f>
        <v>0</v>
      </c>
    </row>
    <row r="68" spans="2:40" ht="13.5" customHeight="1">
      <c r="B68" s="7" t="s">
        <v>351</v>
      </c>
      <c r="C68" s="4">
        <v>13.273</v>
      </c>
      <c r="D68" s="4">
        <v>7.3</v>
      </c>
      <c r="E68" s="4">
        <v>13.178000000000001</v>
      </c>
      <c r="F68" s="4">
        <v>23.975999999999999</v>
      </c>
      <c r="G68" s="4">
        <v>51.084000000000003</v>
      </c>
      <c r="H68" s="4">
        <v>51.084000000000003</v>
      </c>
      <c r="I68" s="4">
        <v>81.123999999999995</v>
      </c>
      <c r="J68" s="4">
        <v>81.123999999999995</v>
      </c>
      <c r="K68" s="4">
        <v>47.204000000000001</v>
      </c>
      <c r="L68" s="4">
        <v>33.877000000000002</v>
      </c>
      <c r="N68" s="4">
        <v>2.504</v>
      </c>
      <c r="O68" s="4">
        <f>5.288-N68</f>
        <v>2.7840000000000003</v>
      </c>
      <c r="P68" s="4">
        <f>8.578-O68-N68</f>
        <v>3.2899999999999987</v>
      </c>
      <c r="Q68" s="4">
        <f t="shared" si="109"/>
        <v>4.6000000000000014</v>
      </c>
      <c r="R68" s="4">
        <v>4.2850000000000001</v>
      </c>
      <c r="S68" s="4">
        <f>9.679-R68</f>
        <v>5.3940000000000001</v>
      </c>
      <c r="T68" s="4">
        <f>16.53-S68-R68</f>
        <v>6.8510000000000009</v>
      </c>
      <c r="U68" s="4">
        <f t="shared" si="104"/>
        <v>7.4459999999999997</v>
      </c>
      <c r="V68" s="4">
        <v>8.0709999999999997</v>
      </c>
      <c r="W68" s="4">
        <f>19.858-V68</f>
        <v>11.787000000000001</v>
      </c>
      <c r="X68" s="4">
        <f>36.726-W68-V68</f>
        <v>16.868000000000002</v>
      </c>
      <c r="Y68" s="174">
        <f>H68-X68-W68-V68</f>
        <v>14.358000000000002</v>
      </c>
      <c r="Z68" s="4">
        <v>20.414000000000001</v>
      </c>
      <c r="AA68" s="4">
        <f>40.094-Z68</f>
        <v>19.68</v>
      </c>
      <c r="AB68" s="4">
        <f>58.711-AA68-Z68</f>
        <v>18.616999999999997</v>
      </c>
      <c r="AC68" s="174">
        <f>I68-AB68-AA68-Z68</f>
        <v>22.412999999999997</v>
      </c>
      <c r="AD68" s="4">
        <v>16.907</v>
      </c>
      <c r="AE68" s="4">
        <f>30.851-AD68</f>
        <v>13.943999999999999</v>
      </c>
      <c r="AF68" s="4">
        <f>46.314-AE68-AD68</f>
        <v>15.463000000000005</v>
      </c>
      <c r="AG68" s="174">
        <f>K68-AF68-AE68-AD68</f>
        <v>0.88999999999999702</v>
      </c>
      <c r="AH68" s="4">
        <v>9.9339999999999993</v>
      </c>
      <c r="AI68" s="4">
        <f>20.469-AH68</f>
        <v>10.535000000000002</v>
      </c>
      <c r="AJ68" s="4">
        <f>45.415-AI68-AH68</f>
        <v>24.945999999999998</v>
      </c>
      <c r="AK68" s="174">
        <f>L68-AJ68-AI68-AH68</f>
        <v>-11.537999999999997</v>
      </c>
      <c r="AN68" s="174">
        <f>J68-Z68-AA68-AB68</f>
        <v>22.412999999999997</v>
      </c>
    </row>
    <row r="69" spans="2:40" ht="13.5" customHeight="1">
      <c r="B69" s="7" t="s">
        <v>352</v>
      </c>
      <c r="C69" s="4">
        <f>0.922-75.464</f>
        <v>-74.542000000000002</v>
      </c>
      <c r="D69" s="4">
        <v>-6.0960000000000001</v>
      </c>
      <c r="E69" s="4">
        <v>-16.513999999999999</v>
      </c>
      <c r="F69" s="4">
        <v>-27.402999999999999</v>
      </c>
      <c r="G69" s="4">
        <v>-3.9540000000000002</v>
      </c>
      <c r="H69" s="4">
        <v>-85.71</v>
      </c>
      <c r="I69" s="4">
        <v>146.80000000000001</v>
      </c>
      <c r="J69" s="4">
        <v>-20.509</v>
      </c>
      <c r="K69" s="4">
        <v>-35.401000000000003</v>
      </c>
      <c r="L69" s="4">
        <v>-53.837000000000003</v>
      </c>
      <c r="N69" s="4">
        <v>-0.47099999999999997</v>
      </c>
      <c r="O69" s="4">
        <f>1.376-N69</f>
        <v>1.847</v>
      </c>
      <c r="P69" s="4">
        <f>0.064-O69-N69</f>
        <v>-1.3119999999999998</v>
      </c>
      <c r="Q69" s="4">
        <f t="shared" si="109"/>
        <v>-16.577999999999999</v>
      </c>
      <c r="R69" s="4">
        <v>1.39</v>
      </c>
      <c r="S69" s="4">
        <f>0.423-R69</f>
        <v>-0.96699999999999986</v>
      </c>
      <c r="T69" s="4">
        <f>-1.986-S69-R69</f>
        <v>-2.4089999999999998</v>
      </c>
      <c r="U69" s="4">
        <f t="shared" si="104"/>
        <v>-25.417000000000002</v>
      </c>
      <c r="V69" s="4">
        <v>1.8420000000000001</v>
      </c>
      <c r="W69" s="4">
        <f>-0.505-V69</f>
        <v>-2.347</v>
      </c>
      <c r="X69" s="4">
        <f>5.286-W69-V69</f>
        <v>5.7909999999999986</v>
      </c>
      <c r="Y69" s="174">
        <f>H69-X69-W69-V69</f>
        <v>-90.995999999999995</v>
      </c>
      <c r="Z69" s="4">
        <v>2.84</v>
      </c>
      <c r="AA69" s="4">
        <f>-0.227-Z69</f>
        <v>-3.0669999999999997</v>
      </c>
      <c r="AB69" s="4">
        <f>-21.29-AA69-Z69</f>
        <v>-21.062999999999999</v>
      </c>
      <c r="AC69" s="174">
        <f>I69-AB69-AA69-Z69</f>
        <v>168.09</v>
      </c>
      <c r="AD69" s="4">
        <v>-4.0960000000000001</v>
      </c>
      <c r="AE69" s="4">
        <f>-8.35-AD69</f>
        <v>-4.2539999999999996</v>
      </c>
      <c r="AF69" s="4">
        <f>-23.23-AE69-AD69</f>
        <v>-14.879999999999999</v>
      </c>
      <c r="AG69" s="174">
        <f>K69-AF69-AE69-AD69</f>
        <v>-12.171000000000003</v>
      </c>
      <c r="AH69" s="4">
        <v>-19.79</v>
      </c>
      <c r="AI69" s="4">
        <f>-30.851-AH69</f>
        <v>-11.061</v>
      </c>
      <c r="AJ69" s="4">
        <f>-27.031-AI69-AH69</f>
        <v>3.8200000000000003</v>
      </c>
      <c r="AK69" s="174">
        <f>L69-AJ69-AI69-AH69</f>
        <v>-26.806000000000004</v>
      </c>
      <c r="AL69" s="6"/>
      <c r="AN69" s="174">
        <f>J69-Z69-AA69-AB69</f>
        <v>0.78099999999999881</v>
      </c>
    </row>
    <row r="70" spans="2:40" s="5" customFormat="1" ht="13.5" customHeight="1">
      <c r="B70" s="15" t="s">
        <v>251</v>
      </c>
      <c r="C70" s="8">
        <f>SUM(C64:C69)</f>
        <v>7282.9940000000006</v>
      </c>
      <c r="D70" s="8">
        <f t="shared" ref="D70:U70" si="110">SUM(D64:D69)</f>
        <v>1490.6339999999993</v>
      </c>
      <c r="E70" s="8">
        <f t="shared" si="110"/>
        <v>3112.6740000000009</v>
      </c>
      <c r="F70" s="8">
        <f t="shared" si="110"/>
        <v>-430.22099999999989</v>
      </c>
      <c r="G70" s="8">
        <f t="shared" si="110"/>
        <v>2636.1169999999993</v>
      </c>
      <c r="H70" s="8">
        <f t="shared" si="110"/>
        <v>2639.6170000000006</v>
      </c>
      <c r="I70" s="8">
        <f>SUM(I64:I69)</f>
        <v>4325.4790000000012</v>
      </c>
      <c r="J70" s="8">
        <f>SUM(J64:J69)</f>
        <v>4807.8429999999989</v>
      </c>
      <c r="K70" s="8">
        <f>SUM(K64:K69)</f>
        <v>8411.1008409999977</v>
      </c>
      <c r="L70" s="8">
        <f>SUM(L64:L69)</f>
        <v>5985.1699999999973</v>
      </c>
      <c r="N70" s="8">
        <f t="shared" si="110"/>
        <v>1085.9839999999997</v>
      </c>
      <c r="O70" s="8">
        <f t="shared" si="110"/>
        <v>963.99600000000021</v>
      </c>
      <c r="P70" s="8">
        <f t="shared" si="110"/>
        <v>1948.6179999999999</v>
      </c>
      <c r="Q70" s="8">
        <f t="shared" si="110"/>
        <v>-885.92399999999998</v>
      </c>
      <c r="R70" s="8">
        <f t="shared" si="110"/>
        <v>-423.10200000000043</v>
      </c>
      <c r="S70" s="8">
        <f t="shared" si="110"/>
        <v>-802.57599999999968</v>
      </c>
      <c r="T70" s="8">
        <f>SUM(T64:T69)</f>
        <v>-767.88800000000106</v>
      </c>
      <c r="U70" s="8">
        <f t="shared" si="110"/>
        <v>1563.3450000000012</v>
      </c>
      <c r="V70" s="8">
        <f t="shared" ref="V70:AA70" si="111">SUM(V64:V69)</f>
        <v>86.875999999999678</v>
      </c>
      <c r="W70" s="8">
        <f t="shared" si="111"/>
        <v>170.39699999999993</v>
      </c>
      <c r="X70" s="8">
        <f t="shared" si="111"/>
        <v>1067.3859999999997</v>
      </c>
      <c r="Y70" s="8">
        <f t="shared" si="111"/>
        <v>1314.9580000000001</v>
      </c>
      <c r="Z70" s="8">
        <f t="shared" si="111"/>
        <v>887.89799999999957</v>
      </c>
      <c r="AA70" s="8">
        <f t="shared" si="111"/>
        <v>657.2059999999999</v>
      </c>
      <c r="AB70" s="8">
        <f t="shared" ref="AB70:AG70" si="112">SUM(AB64:AB69)</f>
        <v>1923.6640000000004</v>
      </c>
      <c r="AC70" s="8">
        <f t="shared" si="112"/>
        <v>856.71099999999967</v>
      </c>
      <c r="AD70" s="8">
        <f t="shared" si="112"/>
        <v>3286.7069999999999</v>
      </c>
      <c r="AE70" s="8">
        <f t="shared" si="112"/>
        <v>2128.8200000000002</v>
      </c>
      <c r="AF70" s="8">
        <f t="shared" si="112"/>
        <v>2359.4589999999994</v>
      </c>
      <c r="AG70" s="8">
        <f t="shared" si="112"/>
        <v>636.11484099999927</v>
      </c>
      <c r="AH70" s="8">
        <f>SUM(AH64:AH69)</f>
        <v>2434.8920000000003</v>
      </c>
      <c r="AI70" s="8">
        <f>SUM(AI64:AI69)</f>
        <v>3100.5859999999998</v>
      </c>
      <c r="AJ70" s="8">
        <f>SUM(AJ64:AJ69)</f>
        <v>294.83199999999982</v>
      </c>
      <c r="AK70" s="8">
        <f>SUM(AK64:AK69)</f>
        <v>154.85999999999908</v>
      </c>
      <c r="AN70" s="8">
        <f>SUM(AN64:AN69)</f>
        <v>1339.0749999999998</v>
      </c>
    </row>
    <row r="71" spans="2:40" ht="13.5" customHeight="1">
      <c r="B71" s="7" t="s">
        <v>254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-3226.518</v>
      </c>
      <c r="L71" s="4">
        <v>-3806.4360000000001</v>
      </c>
      <c r="N71" s="4">
        <v>0</v>
      </c>
      <c r="O71" s="4">
        <v>0</v>
      </c>
      <c r="P71" s="4">
        <v>0</v>
      </c>
      <c r="Q71" s="4">
        <f t="shared" si="109"/>
        <v>0</v>
      </c>
      <c r="R71" s="4">
        <v>0</v>
      </c>
      <c r="S71" s="4">
        <v>0</v>
      </c>
      <c r="T71" s="4">
        <v>0</v>
      </c>
      <c r="U71" s="4">
        <f t="shared" si="104"/>
        <v>0</v>
      </c>
      <c r="V71" s="4">
        <v>-329.76799999999997</v>
      </c>
      <c r="W71" s="4">
        <f>-832.197-V71</f>
        <v>-502.42900000000003</v>
      </c>
      <c r="X71" s="4">
        <f>-926.525-W71-V71</f>
        <v>-94.327999999999975</v>
      </c>
      <c r="Y71" s="174">
        <f>H71-X71-W71-V71</f>
        <v>926.52500000000009</v>
      </c>
      <c r="Z71" s="4">
        <v>-517.31299999999999</v>
      </c>
      <c r="AA71" s="4">
        <f>-1149.674-Z71</f>
        <v>-632.36099999999999</v>
      </c>
      <c r="AB71" s="4">
        <f>-1628.59-AA71-Z71</f>
        <v>-478.91599999999994</v>
      </c>
      <c r="AC71" s="174">
        <f>I71-AB71-AA71-Z71</f>
        <v>1628.5900000000001</v>
      </c>
      <c r="AD71" s="4">
        <v>-1434.107</v>
      </c>
      <c r="AE71" s="4">
        <f>-2167.172-AD71</f>
        <v>-733.06500000000005</v>
      </c>
      <c r="AF71" s="4">
        <f>-2409.233-AE71-AD71</f>
        <v>-242.06100000000015</v>
      </c>
      <c r="AG71" s="174">
        <f>K71-AF71-AE71-AD71</f>
        <v>-817.28499999999985</v>
      </c>
      <c r="AH71" s="4">
        <v>-741.00800000000004</v>
      </c>
      <c r="AI71" s="4">
        <f>-1031.134-AH71</f>
        <v>-290.12599999999998</v>
      </c>
      <c r="AJ71" s="4">
        <f>-2003.422-AI71-AH71</f>
        <v>-972.28800000000001</v>
      </c>
      <c r="AK71" s="174">
        <f>L71-AJ71-AI71-AH71</f>
        <v>-1803.0139999999999</v>
      </c>
      <c r="AN71" s="174">
        <f>J71-Z71-AA71-AB71</f>
        <v>1628.59</v>
      </c>
    </row>
    <row r="72" spans="2:40" ht="13.5" customHeight="1">
      <c r="B72" s="7" t="s">
        <v>255</v>
      </c>
      <c r="C72" s="4">
        <v>-750.51499999999999</v>
      </c>
      <c r="D72" s="4">
        <v>-780.08500000000004</v>
      </c>
      <c r="E72" s="4">
        <v>-479.35899999999998</v>
      </c>
      <c r="F72" s="4">
        <v>-1356.67</v>
      </c>
      <c r="G72" s="4">
        <v>-1850</v>
      </c>
      <c r="H72" s="4">
        <v>-1839.3920000000001</v>
      </c>
      <c r="I72" s="4">
        <v>-1872.02</v>
      </c>
      <c r="J72" s="4">
        <v>-1872.02</v>
      </c>
      <c r="K72" s="4">
        <v>-2081.6750000000002</v>
      </c>
      <c r="L72" s="4">
        <v>-2132.6709999999998</v>
      </c>
      <c r="N72" s="4">
        <v>0</v>
      </c>
      <c r="O72" s="4">
        <f>-46.609-N72</f>
        <v>-46.609000000000002</v>
      </c>
      <c r="P72" s="4">
        <f>-262.984-O72-N72</f>
        <v>-216.37499999999997</v>
      </c>
      <c r="Q72" s="4">
        <f t="shared" si="109"/>
        <v>-216.37500000000003</v>
      </c>
      <c r="R72" s="4">
        <v>-216.375</v>
      </c>
      <c r="S72" s="4">
        <f>-432.75-R72</f>
        <v>-216.375</v>
      </c>
      <c r="T72" s="4">
        <f>-894.71-S72-R72</f>
        <v>-461.96000000000004</v>
      </c>
      <c r="U72" s="4">
        <f t="shared" si="104"/>
        <v>-461.96000000000004</v>
      </c>
      <c r="V72" s="4">
        <v>-461.959</v>
      </c>
      <c r="W72" s="4">
        <f>-923.918+0-V72</f>
        <v>-461.959</v>
      </c>
      <c r="X72" s="4">
        <f>-1386.959-W72-V72</f>
        <v>-463.041</v>
      </c>
      <c r="Y72" s="174">
        <f>H72-X72-W72-V72</f>
        <v>-452.43300000000005</v>
      </c>
      <c r="Z72" s="4">
        <v>-452.762</v>
      </c>
      <c r="AA72" s="4">
        <f>-904.384-Z72</f>
        <v>-451.62200000000001</v>
      </c>
      <c r="AB72" s="4">
        <f>-1389.676-AA72-Z72</f>
        <v>-485.29199999999986</v>
      </c>
      <c r="AC72" s="174">
        <f>I72-AB72-AA72-Z72</f>
        <v>-482.34399999999999</v>
      </c>
      <c r="AD72" s="4">
        <v>-487.86099999999999</v>
      </c>
      <c r="AE72" s="4">
        <f>-975.721-AD72</f>
        <v>-487.86</v>
      </c>
      <c r="AF72" s="4">
        <f>-1516.615-AE72-AD72</f>
        <v>-540.89400000000012</v>
      </c>
      <c r="AG72" s="174">
        <f>K72-AF72-AE72-AD72</f>
        <v>-565.05999999999983</v>
      </c>
      <c r="AH72" s="4">
        <v>-560.41600000000005</v>
      </c>
      <c r="AI72" s="4">
        <f>-1116.505-AH72</f>
        <v>-556.08900000000006</v>
      </c>
      <c r="AJ72" s="4">
        <f>-1627.717-AI72-AH72</f>
        <v>-511.2120000000001</v>
      </c>
      <c r="AK72" s="174">
        <f>L72-AJ72-AI72-AH72</f>
        <v>-504.95399999999984</v>
      </c>
      <c r="AN72" s="174">
        <f>J72-Z72-AA72-AB72</f>
        <v>-482.34400000000011</v>
      </c>
    </row>
    <row r="73" spans="2:40" ht="15.75" customHeight="1">
      <c r="B73" s="7" t="s">
        <v>256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N73" s="4">
        <v>0</v>
      </c>
      <c r="O73" s="4">
        <v>0</v>
      </c>
      <c r="P73" s="4">
        <v>0</v>
      </c>
      <c r="Q73" s="4">
        <f t="shared" si="109"/>
        <v>0</v>
      </c>
      <c r="R73" s="4">
        <v>0</v>
      </c>
      <c r="S73" s="4">
        <v>0</v>
      </c>
      <c r="T73" s="4">
        <v>0</v>
      </c>
      <c r="U73" s="4">
        <f t="shared" si="104"/>
        <v>0</v>
      </c>
      <c r="V73" s="4">
        <v>0</v>
      </c>
      <c r="W73" s="4">
        <v>0</v>
      </c>
      <c r="X73" s="4">
        <v>0</v>
      </c>
      <c r="Y73" s="174">
        <f>H73-X73-W73-V73</f>
        <v>0</v>
      </c>
      <c r="Z73" s="4">
        <v>0</v>
      </c>
      <c r="AA73" s="4">
        <f>-Z73</f>
        <v>0</v>
      </c>
      <c r="AB73" s="4">
        <f>-AA73-Z73</f>
        <v>0</v>
      </c>
      <c r="AC73" s="174">
        <f>I73-AB73-AA73-Z73</f>
        <v>0</v>
      </c>
      <c r="AD73" s="4">
        <v>0</v>
      </c>
      <c r="AE73" s="4">
        <f>-AD73</f>
        <v>0</v>
      </c>
      <c r="AF73" s="4">
        <f>-AE73-AD73</f>
        <v>0</v>
      </c>
      <c r="AG73" s="174">
        <f>K73-AF73-AE73-AD73</f>
        <v>0</v>
      </c>
      <c r="AH73" s="4">
        <v>0</v>
      </c>
      <c r="AI73" s="4">
        <f>-AH73</f>
        <v>0</v>
      </c>
      <c r="AJ73" s="4">
        <f>0-AI73-AH73</f>
        <v>0</v>
      </c>
      <c r="AK73" s="174">
        <f>L73-AJ73-AI73-AH73</f>
        <v>0</v>
      </c>
      <c r="AN73" s="174">
        <f>J73-Z73-AA73-AB73</f>
        <v>0</v>
      </c>
    </row>
    <row r="74" spans="2:40" ht="13.5" customHeight="1">
      <c r="B74" s="7" t="s">
        <v>257</v>
      </c>
      <c r="C74" s="4">
        <f>8838.154-15649.521</f>
        <v>-6811.3670000000002</v>
      </c>
      <c r="D74" s="4">
        <f>8453.486-8098.907</f>
        <v>354.57900000000063</v>
      </c>
      <c r="E74" s="4">
        <f>7517.954-7440.085</f>
        <v>77.868999999999687</v>
      </c>
      <c r="F74" s="4">
        <f>31820.635-27437.696</f>
        <v>4382.9389999999985</v>
      </c>
      <c r="G74" s="4">
        <f>30376.283-28911.854</f>
        <v>1464.4290000000001</v>
      </c>
      <c r="H74" s="4">
        <f>30376.283-28911.854</f>
        <v>1464.4290000000001</v>
      </c>
      <c r="I74" s="4">
        <f>54585.491-53487.071</f>
        <v>1098.4199999999983</v>
      </c>
      <c r="J74" s="4">
        <f>55746.208-55026.523</f>
        <v>719.68499999999767</v>
      </c>
      <c r="K74" s="4">
        <f>13754.921159-13446.468-1114.028</f>
        <v>-805.57484100000124</v>
      </c>
      <c r="L74" s="4">
        <f>18686.783-17528.656-1226.634</f>
        <v>-68.506999999999607</v>
      </c>
      <c r="N74" s="4">
        <f>-1732.2+1012.344</f>
        <v>-719.85599999999999</v>
      </c>
      <c r="O74" s="4">
        <f>-3205.928+1942.204-N74</f>
        <v>-543.86799999999994</v>
      </c>
      <c r="P74" s="4">
        <f>-4483.465+3120.764-O74-N74</f>
        <v>-98.977000000000089</v>
      </c>
      <c r="Q74" s="4">
        <f t="shared" si="109"/>
        <v>1440.5699999999997</v>
      </c>
      <c r="R74" s="4">
        <f>-5134.506+4270.952</f>
        <v>-863.55400000000009</v>
      </c>
      <c r="S74" s="4">
        <f>-12755.548+13145.062-R74</f>
        <v>1253.0679999999993</v>
      </c>
      <c r="T74" s="4">
        <f>-19235.548+25163.344-S74-R74</f>
        <v>5538.2820000000029</v>
      </c>
      <c r="U74" s="4">
        <f t="shared" si="104"/>
        <v>-1544.8570000000036</v>
      </c>
      <c r="V74" s="4">
        <f>-4097.742+5852.819</f>
        <v>1755.0770000000002</v>
      </c>
      <c r="W74" s="4">
        <f>12909.266-9363.145-V74</f>
        <v>1791.043999999999</v>
      </c>
      <c r="X74" s="4">
        <f>-21606.874+23120.463-W74-V74</f>
        <v>-2032.5319999999992</v>
      </c>
      <c r="Y74" s="174">
        <f>H74-X74-W74-V74</f>
        <v>-49.159999999999854</v>
      </c>
      <c r="Z74" s="4">
        <f>8850.851-8119.541-209.181</f>
        <v>522.12900000000036</v>
      </c>
      <c r="AA74" s="4">
        <f>20275.4-17849.28-428.186-Z74</f>
        <v>1475.8050000000023</v>
      </c>
      <c r="AB74" s="4">
        <f>35001.705-33561.522-665.041-AA74-Z74</f>
        <v>-1222.7919999999981</v>
      </c>
      <c r="AC74" s="174">
        <f>I74-AB74-AA74-Z74</f>
        <v>323.27799999999365</v>
      </c>
      <c r="AD74" s="4">
        <f>1454.532-1365.83-232.871</f>
        <v>-144.16900000000001</v>
      </c>
      <c r="AE74" s="4">
        <f>6399.877-5631.442-488.254-AD74</f>
        <v>424.35000000000036</v>
      </c>
      <c r="AF74" s="4">
        <f>7699.577-7209.262-772.355-AE74-AD74</f>
        <v>-562.22099999999989</v>
      </c>
      <c r="AG74" s="174">
        <f>K74-AF74-AE74-AD74</f>
        <v>-523.53484100000173</v>
      </c>
      <c r="AH74" s="4">
        <f>8152.773-6680.889-324.51</f>
        <v>1147.374</v>
      </c>
      <c r="AI74" s="4">
        <f>11221.827-10928.655-620.414-AH74</f>
        <v>-1474.6160000000013</v>
      </c>
      <c r="AJ74" s="4">
        <f>11740.219-11428.656-919.872-AI74-AH74</f>
        <v>-281.06700000000035</v>
      </c>
      <c r="AK74" s="174">
        <f>L74-AJ74-AI74-AH74</f>
        <v>539.80200000000218</v>
      </c>
      <c r="AN74" s="174">
        <f>J74-Z74-AA74-AB74</f>
        <v>-55.457000000006929</v>
      </c>
    </row>
    <row r="75" spans="2:40" ht="13.5" customHeight="1">
      <c r="B75" s="7" t="s">
        <v>258</v>
      </c>
      <c r="C75" s="4">
        <f>-13.832-4.556</f>
        <v>-18.388000000000002</v>
      </c>
      <c r="D75" s="4">
        <f>301.903-467.573</f>
        <v>-165.66999999999996</v>
      </c>
      <c r="E75" s="4">
        <f>-1110.276+460.618</f>
        <v>-649.65800000000013</v>
      </c>
      <c r="F75" s="4">
        <v>-4408.1930000000002</v>
      </c>
      <c r="G75" s="4">
        <v>-2019.2460000000001</v>
      </c>
      <c r="H75" s="4">
        <f>37.778-2067.632</f>
        <v>-2029.854</v>
      </c>
      <c r="I75" s="4">
        <f>19.424-937.746-1995.02</f>
        <v>-2913.3420000000001</v>
      </c>
      <c r="J75" s="4">
        <f>-1995.02-891.66+19.425</f>
        <v>-2867.2549999999997</v>
      </c>
      <c r="K75" s="4">
        <f>-203.965</f>
        <v>-203.965</v>
      </c>
      <c r="L75" s="4">
        <v>-15.081</v>
      </c>
      <c r="N75" s="4">
        <v>81.933000000000007</v>
      </c>
      <c r="O75" s="4">
        <f>-905.236-N75</f>
        <v>-987.16899999999998</v>
      </c>
      <c r="P75" s="4">
        <f>-813.672-O75-N75</f>
        <v>91.56399999999995</v>
      </c>
      <c r="Q75" s="4">
        <f t="shared" si="109"/>
        <v>164.0139999999999</v>
      </c>
      <c r="R75" s="4">
        <v>115.76600000000001</v>
      </c>
      <c r="S75" s="4">
        <f>-420.547-R75</f>
        <v>-536.31299999999999</v>
      </c>
      <c r="T75" s="4">
        <f>-4408.9-S75-R75</f>
        <v>-3988.3529999999996</v>
      </c>
      <c r="U75" s="4">
        <f t="shared" si="104"/>
        <v>0.70699999999938257</v>
      </c>
      <c r="V75" s="4">
        <v>7.3520000000000003</v>
      </c>
      <c r="W75" s="4">
        <f>36.109-V75</f>
        <v>28.757000000000001</v>
      </c>
      <c r="X75" s="4">
        <f>37.778-W75-V75</f>
        <v>1.6689999999999969</v>
      </c>
      <c r="Y75" s="174">
        <f>H75-X75-W75-V75</f>
        <v>-2067.6320000000001</v>
      </c>
      <c r="Z75" s="4">
        <v>12.682</v>
      </c>
      <c r="AA75" s="4">
        <f>-35.428-Z75</f>
        <v>-48.11</v>
      </c>
      <c r="AB75" s="4">
        <f>-10.484-AA75-Z75</f>
        <v>24.943999999999996</v>
      </c>
      <c r="AC75" s="174">
        <f>I75-AB75-AA75-Z75</f>
        <v>-2902.8579999999997</v>
      </c>
      <c r="AD75" s="4">
        <v>-203.041</v>
      </c>
      <c r="AE75" s="4">
        <f>-205.618-AD75</f>
        <v>-2.5769999999999982</v>
      </c>
      <c r="AF75" s="4">
        <f>-205.618-AE75-AD75</f>
        <v>0</v>
      </c>
      <c r="AG75" s="174">
        <f>K75-AF75-AE75-AD75</f>
        <v>1.6529999999999916</v>
      </c>
      <c r="AH75" s="4">
        <v>10.196</v>
      </c>
      <c r="AI75" s="4">
        <f>-24.714-AH75</f>
        <v>-34.909999999999997</v>
      </c>
      <c r="AJ75" s="4">
        <f>-24.881-AI75-AH75</f>
        <v>-0.16700000000000337</v>
      </c>
      <c r="AK75" s="174">
        <f>L75-AJ75-AI75-AH75</f>
        <v>9.8000000000000025</v>
      </c>
      <c r="AN75" s="174">
        <f>J75-Z75-AA75-AB75</f>
        <v>-2856.7709999999993</v>
      </c>
    </row>
    <row r="76" spans="2:40" s="5" customFormat="1" ht="13.5" customHeight="1">
      <c r="B76" s="15" t="s">
        <v>259</v>
      </c>
      <c r="C76" s="8">
        <f t="shared" ref="C76:H76" si="113">SUM(C70:C75)</f>
        <v>-297.2759999999999</v>
      </c>
      <c r="D76" s="8">
        <f t="shared" si="113"/>
        <v>899.45799999999997</v>
      </c>
      <c r="E76" s="8">
        <f t="shared" si="113"/>
        <v>2061.5260000000007</v>
      </c>
      <c r="F76" s="8">
        <f t="shared" si="113"/>
        <v>-1812.1450000000018</v>
      </c>
      <c r="G76" s="8">
        <f t="shared" si="113"/>
        <v>231.29999999999927</v>
      </c>
      <c r="H76" s="8">
        <f t="shared" si="113"/>
        <v>234.80000000000041</v>
      </c>
      <c r="I76" s="8">
        <f>SUM(I70:I75)</f>
        <v>638.53699999999935</v>
      </c>
      <c r="J76" s="8">
        <f>SUM(J70:J75)</f>
        <v>788.25299999999697</v>
      </c>
      <c r="K76" s="8">
        <f>SUM(K70:K75)</f>
        <v>2093.3679999999958</v>
      </c>
      <c r="L76" s="8">
        <f>SUM(L70:L75)</f>
        <v>-37.525000000002237</v>
      </c>
      <c r="N76" s="8">
        <f t="shared" ref="N76:U76" si="114">SUM(N70:N75)</f>
        <v>448.06099999999969</v>
      </c>
      <c r="O76" s="8">
        <f t="shared" si="114"/>
        <v>-613.64999999999975</v>
      </c>
      <c r="P76" s="8">
        <f t="shared" si="114"/>
        <v>1724.8299999999997</v>
      </c>
      <c r="Q76" s="8">
        <f t="shared" si="114"/>
        <v>502.28499999999963</v>
      </c>
      <c r="R76" s="8">
        <f t="shared" si="114"/>
        <v>-1387.2650000000003</v>
      </c>
      <c r="S76" s="8">
        <f t="shared" si="114"/>
        <v>-302.19600000000037</v>
      </c>
      <c r="T76" s="8">
        <f>SUM(T70:T75)</f>
        <v>320.0810000000024</v>
      </c>
      <c r="U76" s="8">
        <f t="shared" si="114"/>
        <v>-442.76500000000311</v>
      </c>
      <c r="V76" s="8">
        <f t="shared" ref="V76:AA76" si="115">SUM(V70:V75)</f>
        <v>1057.578</v>
      </c>
      <c r="W76" s="8">
        <f t="shared" si="115"/>
        <v>1025.8099999999988</v>
      </c>
      <c r="X76" s="8">
        <f t="shared" si="115"/>
        <v>-1520.8459999999993</v>
      </c>
      <c r="Y76" s="8">
        <f t="shared" si="115"/>
        <v>-327.74199999999973</v>
      </c>
      <c r="Z76" s="8">
        <f t="shared" si="115"/>
        <v>452.63399999999996</v>
      </c>
      <c r="AA76" s="8">
        <f t="shared" si="115"/>
        <v>1000.9180000000023</v>
      </c>
      <c r="AB76" s="8">
        <f t="shared" ref="AB76:AG76" si="116">SUM(AB70:AB75)</f>
        <v>-238.39199999999752</v>
      </c>
      <c r="AC76" s="8">
        <f t="shared" si="116"/>
        <v>-576.62300000000641</v>
      </c>
      <c r="AD76" s="8">
        <f t="shared" si="116"/>
        <v>1017.529</v>
      </c>
      <c r="AE76" s="8">
        <f t="shared" si="116"/>
        <v>1329.6680000000003</v>
      </c>
      <c r="AF76" s="8">
        <f t="shared" si="116"/>
        <v>1014.2829999999991</v>
      </c>
      <c r="AG76" s="8">
        <f t="shared" si="116"/>
        <v>-1268.1120000000021</v>
      </c>
      <c r="AH76" s="8">
        <f>SUM(AH70:AH75)</f>
        <v>2291.0380000000005</v>
      </c>
      <c r="AI76" s="8">
        <f>SUM(AI70:AI75)</f>
        <v>744.84499999999878</v>
      </c>
      <c r="AJ76" s="8">
        <f>SUM(AJ70:AJ75)</f>
        <v>-1469.9020000000005</v>
      </c>
      <c r="AK76" s="8">
        <f>SUM(AK70:AK75)</f>
        <v>-1603.5059999999985</v>
      </c>
      <c r="AN76" s="8">
        <f>SUM(AN70:AN75)</f>
        <v>-426.90700000000606</v>
      </c>
    </row>
    <row r="77" spans="2:40" ht="13.5" customHeight="1">
      <c r="B77" s="7" t="s">
        <v>260</v>
      </c>
      <c r="C77" s="4">
        <v>-7.8090000000000002</v>
      </c>
      <c r="D77" s="4">
        <v>319.54700000000003</v>
      </c>
      <c r="E77" s="4">
        <v>691.96799999999996</v>
      </c>
      <c r="F77" s="4">
        <v>-494.06200000000001</v>
      </c>
      <c r="G77" s="4">
        <v>39.17</v>
      </c>
      <c r="H77" s="4">
        <v>39.17</v>
      </c>
      <c r="I77" s="4">
        <v>-144.53899999999999</v>
      </c>
      <c r="J77" s="4">
        <v>-144.53899999999999</v>
      </c>
      <c r="K77" s="4">
        <v>358.6</v>
      </c>
      <c r="L77" s="4">
        <v>-17.003</v>
      </c>
      <c r="N77" s="4">
        <v>30.341000000000001</v>
      </c>
      <c r="O77" s="4">
        <f>269.201-N77</f>
        <v>238.86</v>
      </c>
      <c r="P77" s="4">
        <f>458.09-O77-N77</f>
        <v>188.88899999999995</v>
      </c>
      <c r="Q77" s="4">
        <f t="shared" si="109"/>
        <v>233.87799999999999</v>
      </c>
      <c r="R77" s="4">
        <v>-234.37100000000001</v>
      </c>
      <c r="S77" s="4">
        <f>-500.275-R77</f>
        <v>-265.904</v>
      </c>
      <c r="T77" s="4">
        <f>-621.333-S77-R77</f>
        <v>-121.05799999999996</v>
      </c>
      <c r="U77" s="4">
        <f t="shared" si="104"/>
        <v>127.27099999999999</v>
      </c>
      <c r="V77" s="4">
        <v>-146.60300000000001</v>
      </c>
      <c r="W77" s="4">
        <f>41.041-V77</f>
        <v>187.64400000000001</v>
      </c>
      <c r="X77" s="4">
        <f>-41.198-W77-V77</f>
        <v>-82.239000000000004</v>
      </c>
      <c r="Y77" s="174">
        <f>H77-X77-W77-V77</f>
        <v>80.368000000000009</v>
      </c>
      <c r="Z77" s="4">
        <v>8.2579999999999991</v>
      </c>
      <c r="AA77" s="4">
        <f>-33.74-Z77</f>
        <v>-41.998000000000005</v>
      </c>
      <c r="AB77" s="4">
        <f>-5.594-AA77-Z77</f>
        <v>28.146000000000004</v>
      </c>
      <c r="AC77" s="174">
        <f>I77-AB77-AA77-Z77</f>
        <v>-138.94500000000002</v>
      </c>
      <c r="AD77" s="4">
        <v>1051.6179999999999</v>
      </c>
      <c r="AE77" s="4">
        <f>965.879-AD77</f>
        <v>-85.738999999999919</v>
      </c>
      <c r="AF77" s="4">
        <f>829.535-AE77-AD77</f>
        <v>-136.34400000000005</v>
      </c>
      <c r="AG77" s="174">
        <f>K77-AF77-AE77-AD77</f>
        <v>-470.93499999999995</v>
      </c>
      <c r="AH77" s="4">
        <v>111.26300000000001</v>
      </c>
      <c r="AI77" s="4">
        <f>-164.609-AH77</f>
        <v>-275.87200000000001</v>
      </c>
      <c r="AJ77" s="4">
        <f>-83.552-AI77-AH77</f>
        <v>81.056999999999988</v>
      </c>
      <c r="AK77" s="174">
        <f>L77-AJ77-AI77-AH77</f>
        <v>66.549000000000007</v>
      </c>
      <c r="AN77" s="174">
        <f>J77-Z77-AA77-AB77</f>
        <v>-138.94499999999999</v>
      </c>
    </row>
    <row r="78" spans="2:40" ht="13.5" customHeight="1">
      <c r="B78" s="7" t="s">
        <v>261</v>
      </c>
      <c r="C78" s="6">
        <f>134.342-C76</f>
        <v>431.61799999999994</v>
      </c>
      <c r="D78" s="6">
        <f>1134.419-D76</f>
        <v>234.96100000000013</v>
      </c>
      <c r="E78" s="6">
        <f>1855.508-E76</f>
        <v>-206.01800000000071</v>
      </c>
      <c r="F78" s="6">
        <f>-1742.488-F76</f>
        <v>69.657000000001744</v>
      </c>
      <c r="G78" s="6">
        <f>166.572-G76</f>
        <v>-64.72799999999927</v>
      </c>
      <c r="H78" s="6">
        <f>166.572-H76</f>
        <v>-68.228000000000407</v>
      </c>
      <c r="I78" s="6">
        <f>526.998-I76</f>
        <v>-111.53899999999931</v>
      </c>
      <c r="J78" s="6">
        <f>652.318-J76</f>
        <v>-135.93499999999699</v>
      </c>
      <c r="K78" s="6">
        <f>1870.653-K76</f>
        <v>-222.71499999999583</v>
      </c>
      <c r="L78" s="6">
        <f>-907.622-L76</f>
        <v>-870.09699999999771</v>
      </c>
      <c r="N78" s="6">
        <f>447.088-N76</f>
        <v>-0.97299999999967213</v>
      </c>
      <c r="O78" s="6">
        <f>-286.48-O76-N76-N78</f>
        <v>-119.91800000000029</v>
      </c>
      <c r="P78" s="6">
        <f>1367.204-P76-O76-N76-N78-O78</f>
        <v>-71.145999999999731</v>
      </c>
      <c r="Q78" s="6">
        <f t="shared" si="109"/>
        <v>-13.981000000001018</v>
      </c>
      <c r="R78" s="6">
        <f>-1351.488-R76</f>
        <v>35.777000000000271</v>
      </c>
      <c r="S78" s="6">
        <f>-1634.09-S76-R76-R78</f>
        <v>19.594000000000506</v>
      </c>
      <c r="T78" s="6">
        <f>-1149.792-T76-S76-R76-R78-S78</f>
        <v>164.2169999999976</v>
      </c>
      <c r="U78" s="4">
        <f t="shared" si="104"/>
        <v>-149.93099999999663</v>
      </c>
      <c r="V78" s="4">
        <f>1020.559-V76</f>
        <v>-37.019000000000005</v>
      </c>
      <c r="W78" s="4">
        <f>2097.959-W76-V76-V78</f>
        <v>51.590000000001055</v>
      </c>
      <c r="X78" s="4">
        <f>557.86-X76-W76-V76-V78-W78</f>
        <v>-19.253000000000611</v>
      </c>
      <c r="Y78" s="174">
        <f>H78-X78-W78-V78</f>
        <v>-63.546000000000845</v>
      </c>
      <c r="Z78" s="4">
        <f>440.884-Z76</f>
        <v>-11.749999999999943</v>
      </c>
      <c r="AA78" s="4">
        <f>1426.519-AA76-Z76-Z78</f>
        <v>-15.283000000002289</v>
      </c>
      <c r="AB78" s="4">
        <f>1163.969-AB76-AA78-AA76-Z78-Z76</f>
        <v>-24.158000000002517</v>
      </c>
      <c r="AC78" s="174">
        <f>I78-AB78-AA78-Z78</f>
        <v>-60.347999999994556</v>
      </c>
      <c r="AD78" s="4">
        <f>827.444-AD76</f>
        <v>-190.08500000000004</v>
      </c>
      <c r="AE78" s="4">
        <f>2161.663-AE76-AD78-AD76</f>
        <v>4.5509999999997035</v>
      </c>
      <c r="AF78" s="4">
        <f>3078.956-AF76-AE78-AE76-AD78-AD76</f>
        <v>-96.9899999999991</v>
      </c>
      <c r="AG78" s="174">
        <f>K78-AF78-AE78-AD78</f>
        <v>59.809000000003607</v>
      </c>
      <c r="AH78" s="4">
        <f>2139.751-AH76</f>
        <v>-151.28700000000026</v>
      </c>
      <c r="AI78" s="4">
        <f>2291.442-AI76-AH78-AH76</f>
        <v>-593.15399999999909</v>
      </c>
      <c r="AJ78" s="4">
        <f>773.644-AJ76-AI78-AI76-AH78-AH76</f>
        <v>-47.895999999999731</v>
      </c>
      <c r="AK78" s="174">
        <f>L78-AJ78-AI78-AH78</f>
        <v>-77.759999999998627</v>
      </c>
      <c r="AN78" s="174">
        <f>J78-Z78-AA78-AB78</f>
        <v>-84.743999999992241</v>
      </c>
    </row>
    <row r="79" spans="2:40" ht="13.5" customHeight="1">
      <c r="B79" s="15" t="s">
        <v>262</v>
      </c>
      <c r="C79" s="8">
        <f t="shared" ref="C79:H79" si="117">SUM(C76:C78)</f>
        <v>126.53300000000002</v>
      </c>
      <c r="D79" s="8">
        <f t="shared" si="117"/>
        <v>1453.9660000000003</v>
      </c>
      <c r="E79" s="8">
        <f t="shared" si="117"/>
        <v>2547.4759999999997</v>
      </c>
      <c r="F79" s="8">
        <f t="shared" si="117"/>
        <v>-2236.5500000000002</v>
      </c>
      <c r="G79" s="8">
        <f t="shared" si="117"/>
        <v>205.74200000000002</v>
      </c>
      <c r="H79" s="8">
        <f t="shared" si="117"/>
        <v>205.74200000000002</v>
      </c>
      <c r="I79" s="8">
        <f>SUM(I76:I78)</f>
        <v>382.45900000000006</v>
      </c>
      <c r="J79" s="8">
        <f>SUM(J76:J78)</f>
        <v>507.779</v>
      </c>
      <c r="K79" s="8">
        <f>SUM(K76:K78)</f>
        <v>2229.2529999999997</v>
      </c>
      <c r="L79" s="8">
        <f>SUM(L76:L78)</f>
        <v>-924.625</v>
      </c>
      <c r="N79" s="8">
        <f t="shared" ref="N79:S79" si="118">SUM(N76:N78)</f>
        <v>477.42900000000003</v>
      </c>
      <c r="O79" s="8">
        <f t="shared" si="118"/>
        <v>-494.70800000000003</v>
      </c>
      <c r="P79" s="8">
        <f t="shared" si="118"/>
        <v>1842.5729999999999</v>
      </c>
      <c r="Q79" s="8">
        <f t="shared" si="118"/>
        <v>722.18199999999854</v>
      </c>
      <c r="R79" s="8">
        <f t="shared" si="118"/>
        <v>-1585.8590000000002</v>
      </c>
      <c r="S79" s="8">
        <f t="shared" si="118"/>
        <v>-548.50599999999986</v>
      </c>
      <c r="T79" s="8">
        <f t="shared" ref="T79:Y79" si="119">SUM(T76:T78)</f>
        <v>363.24</v>
      </c>
      <c r="U79" s="8">
        <f t="shared" si="119"/>
        <v>-465.42499999999973</v>
      </c>
      <c r="V79" s="8">
        <f t="shared" si="119"/>
        <v>873.9559999999999</v>
      </c>
      <c r="W79" s="8">
        <f t="shared" si="119"/>
        <v>1265.0439999999999</v>
      </c>
      <c r="X79" s="8">
        <f t="shared" si="119"/>
        <v>-1622.338</v>
      </c>
      <c r="Y79" s="8">
        <f t="shared" si="119"/>
        <v>-310.92000000000058</v>
      </c>
      <c r="Z79" s="8">
        <f t="shared" ref="Z79:AE79" si="120">SUM(Z76:Z78)</f>
        <v>449.142</v>
      </c>
      <c r="AA79" s="8">
        <f t="shared" si="120"/>
        <v>943.63699999999994</v>
      </c>
      <c r="AB79" s="8">
        <f t="shared" si="120"/>
        <v>-234.40400000000002</v>
      </c>
      <c r="AC79" s="8">
        <f t="shared" si="120"/>
        <v>-775.91600000000108</v>
      </c>
      <c r="AD79" s="8">
        <f t="shared" si="120"/>
        <v>1879.0619999999999</v>
      </c>
      <c r="AE79" s="8">
        <f t="shared" si="120"/>
        <v>1248.4800000000002</v>
      </c>
      <c r="AF79" s="8">
        <f t="shared" ref="AF79:AK79" si="121">SUM(AF76:AF78)</f>
        <v>780.94899999999996</v>
      </c>
      <c r="AG79" s="8">
        <f t="shared" si="121"/>
        <v>-1679.2379999999985</v>
      </c>
      <c r="AH79" s="8">
        <f t="shared" si="121"/>
        <v>2251.0140000000001</v>
      </c>
      <c r="AI79" s="8">
        <f t="shared" si="121"/>
        <v>-124.18100000000032</v>
      </c>
      <c r="AJ79" s="8">
        <f t="shared" si="121"/>
        <v>-1436.7410000000002</v>
      </c>
      <c r="AK79" s="8">
        <f t="shared" si="121"/>
        <v>-1614.7169999999971</v>
      </c>
      <c r="AN79" s="8">
        <f>SUM(AN76:AN78)</f>
        <v>-650.59599999999818</v>
      </c>
    </row>
    <row r="80" spans="2:40" ht="13.5" customHeight="1">
      <c r="B80" s="15" t="s">
        <v>263</v>
      </c>
      <c r="C80" s="6">
        <f>1338.555+C79</f>
        <v>1465.0880000000002</v>
      </c>
      <c r="D80" s="6">
        <f>+C80+D79</f>
        <v>2919.0540000000005</v>
      </c>
      <c r="E80" s="6">
        <f>+D80+E79</f>
        <v>5466.5300000000007</v>
      </c>
      <c r="F80" s="6">
        <f>+E80+F79</f>
        <v>3229.9800000000005</v>
      </c>
      <c r="G80" s="6">
        <f>+F80+G79</f>
        <v>3435.7220000000007</v>
      </c>
      <c r="H80" s="6">
        <f>+F80+H79</f>
        <v>3435.7220000000007</v>
      </c>
      <c r="I80" s="6">
        <f>+H80+I79</f>
        <v>3818.1810000000005</v>
      </c>
      <c r="J80" s="6">
        <f>+H80+J79</f>
        <v>3943.5010000000007</v>
      </c>
      <c r="K80" s="6">
        <f>+J80+K79</f>
        <v>6172.7540000000008</v>
      </c>
      <c r="L80" s="6">
        <f>+K80+L79</f>
        <v>5248.1290000000008</v>
      </c>
      <c r="N80" s="6">
        <f>+D80+N79</f>
        <v>3396.4830000000006</v>
      </c>
      <c r="O80" s="6">
        <f t="shared" ref="O80:W80" si="122">+N80+O79</f>
        <v>2901.7750000000005</v>
      </c>
      <c r="P80" s="6">
        <f t="shared" si="122"/>
        <v>4744.348</v>
      </c>
      <c r="Q80" s="6">
        <f t="shared" si="122"/>
        <v>5466.5299999999988</v>
      </c>
      <c r="R80" s="6">
        <f t="shared" si="122"/>
        <v>3880.6709999999985</v>
      </c>
      <c r="S80" s="6">
        <f t="shared" si="122"/>
        <v>3332.1649999999986</v>
      </c>
      <c r="T80" s="6">
        <f>+S80+T79</f>
        <v>3695.4049999999988</v>
      </c>
      <c r="U80" s="6">
        <f t="shared" si="122"/>
        <v>3229.9799999999991</v>
      </c>
      <c r="V80" s="6">
        <f t="shared" si="122"/>
        <v>4103.9359999999988</v>
      </c>
      <c r="W80" s="6">
        <f t="shared" si="122"/>
        <v>5368.9799999999987</v>
      </c>
      <c r="X80" s="6">
        <f t="shared" ref="X80:AK80" si="123">+W80+X79</f>
        <v>3746.6419999999989</v>
      </c>
      <c r="Y80" s="6">
        <f t="shared" si="123"/>
        <v>3435.7219999999984</v>
      </c>
      <c r="Z80" s="6">
        <f t="shared" si="123"/>
        <v>3884.8639999999982</v>
      </c>
      <c r="AA80" s="6">
        <f t="shared" si="123"/>
        <v>4828.5009999999984</v>
      </c>
      <c r="AB80" s="6">
        <f t="shared" si="123"/>
        <v>4594.0969999999979</v>
      </c>
      <c r="AC80" s="6">
        <f>+AB80+AC79</f>
        <v>3818.1809999999969</v>
      </c>
      <c r="AD80" s="202">
        <f>3943.501+AD79</f>
        <v>5822.5630000000001</v>
      </c>
      <c r="AE80" s="6">
        <f t="shared" si="123"/>
        <v>7071.0430000000006</v>
      </c>
      <c r="AF80" s="6">
        <f>+AE80+AF79</f>
        <v>7851.9920000000002</v>
      </c>
      <c r="AG80" s="6">
        <f t="shared" si="123"/>
        <v>6172.7540000000017</v>
      </c>
      <c r="AH80" s="6">
        <f t="shared" si="123"/>
        <v>8423.7680000000018</v>
      </c>
      <c r="AI80" s="6">
        <f t="shared" si="123"/>
        <v>8299.5870000000014</v>
      </c>
      <c r="AJ80" s="6">
        <f>+AI80+AJ79</f>
        <v>6862.8460000000014</v>
      </c>
      <c r="AK80" s="6">
        <f t="shared" si="123"/>
        <v>5248.1290000000045</v>
      </c>
      <c r="AN80" s="6">
        <f>+AB80+AN79</f>
        <v>3943.5009999999997</v>
      </c>
    </row>
    <row r="81" spans="1:40" s="115" customFormat="1" ht="13.5" customHeight="1">
      <c r="B81" s="120" t="s">
        <v>264</v>
      </c>
      <c r="C81" s="121">
        <f>6730-C60-C61-C62-C78</f>
        <v>0</v>
      </c>
      <c r="D81" s="121">
        <f>5056.769-D60-D61-D62-D78</f>
        <v>-3.4106051316484809E-13</v>
      </c>
      <c r="E81" s="121">
        <f>8977.304-E60-E61-E62-E78</f>
        <v>1.1368683772161603E-12</v>
      </c>
      <c r="F81" s="121">
        <f>5420.13-F60-F61-F62-F78</f>
        <v>-1.5916157281026244E-12</v>
      </c>
      <c r="G81" s="121">
        <f>7665.933-G60-G61-G62-G78</f>
        <v>-7.9580786405131221E-13</v>
      </c>
      <c r="H81" s="121">
        <f>7709.171-H60-H61-H62-H78</f>
        <v>3.4106051316484809E-13</v>
      </c>
      <c r="I81" s="121">
        <f>7233.913-I60-I61-I62-I78</f>
        <v>-9.0949470177292824E-13</v>
      </c>
      <c r="J81" s="121">
        <f>7648.191-J60-J61-J62-J78</f>
        <v>-3.4106051316484809E-12</v>
      </c>
      <c r="K81" s="121">
        <f>12870.991-K60-K61-K62-K78</f>
        <v>-4.3200998334214091E-12</v>
      </c>
      <c r="L81" s="121">
        <f>11405.503-L60-L61-L62-L78</f>
        <v>-1.1368683772161603E-12</v>
      </c>
      <c r="N81" s="121">
        <f>2024.162-N60-N61-N62-N78</f>
        <v>-2.8421709430404007E-13</v>
      </c>
      <c r="O81" s="121">
        <f>4472.86-O60-O61-O62-N60-N61-N62-O78-N78</f>
        <v>-3.4106051316484809E-13</v>
      </c>
      <c r="P81" s="121">
        <f>7372.667-P60-P61-P62-O60-O61-N60-N61-N62-N78-O62-P78-O78</f>
        <v>8.5265128291212022E-13</v>
      </c>
      <c r="Q81" s="121">
        <f>E81-P81-O81-N81</f>
        <v>9.0949470177292824E-13</v>
      </c>
      <c r="R81" s="121">
        <f>794.355-R60-R61-R62-R78</f>
        <v>5.6843418860808015E-14</v>
      </c>
      <c r="S81" s="121">
        <f>1409.109-S60-S61-S62-R60-R61-R62-S78-R78</f>
        <v>-1.0800249583553523E-12</v>
      </c>
      <c r="T81" s="121">
        <f>2472.138-T60-T61-T62-S60-S61-R60-R61-R62-R78-S62-T78-S78</f>
        <v>2.5011104298755527E-12</v>
      </c>
      <c r="U81" s="121">
        <f>N81-T81-S81-R81</f>
        <v>-1.7621459846850485E-12</v>
      </c>
      <c r="V81" s="121">
        <f>758.462-V60-V61-V62-V78</f>
        <v>2.2737367544323206E-13</v>
      </c>
      <c r="W81" s="121">
        <f>2534.448-W60-W61-W62-V60-V61-V62-W78-V78</f>
        <v>-1.1368683772161603E-12</v>
      </c>
      <c r="X81" s="121">
        <f>4675.082-X60-X61-X62-W60-W61-V60-V61-V62-V78-W62-X78-W78</f>
        <v>4.5474735088646412E-13</v>
      </c>
      <c r="Y81" s="121">
        <f>G81-X81-W81-V81</f>
        <v>-3.4106051316484809E-13</v>
      </c>
      <c r="Z81" s="121">
        <f>1804.322-Z60-Z61-Z62-Z78</f>
        <v>-5.6843418860808015E-14</v>
      </c>
      <c r="AA81" s="121">
        <f>3349.764-AA60-AA61-AA62-Z60-Z61-Z62-AA78-Z78</f>
        <v>2.5579538487363607E-12</v>
      </c>
      <c r="AB81" s="121">
        <f>5937.179-AB60-AB61-AB62-AA60-AA61-Z60-Z61-Z62-Z78-AA62-AB78-AA78</f>
        <v>4.5474735088646412E-12</v>
      </c>
      <c r="AC81" s="121">
        <f>I81-AB81-AA81-Z81</f>
        <v>-7.9580786405131221E-12</v>
      </c>
      <c r="AD81" s="121">
        <f>3713.552-AD60-AD61-AD62-AD78</f>
        <v>2.8421709430404007E-13</v>
      </c>
      <c r="AE81" s="121">
        <f>6961.614-AE60-AE61-AE62-AD60-AD61-AD62-AE78-AD78</f>
        <v>0</v>
      </c>
      <c r="AF81" s="121">
        <f>10496.71-AF60-AF61-AF62-AE60-AE61-AD60-AD61-AD62-AD78-AE62-AF78-AE78</f>
        <v>-8.5265128291212022E-13</v>
      </c>
      <c r="AG81" s="121">
        <f>N81-AF81-AE81-AD81</f>
        <v>2.8421709430404007E-13</v>
      </c>
      <c r="AH81" s="121">
        <f>3310.22-AH60-AH61-AH62-AH78</f>
        <v>0</v>
      </c>
      <c r="AI81" s="121">
        <f>6865.662-AI60-AI61-AI62-AH60-AH61-AH62-AI78-AH78</f>
        <v>-4.5474735088646412E-13</v>
      </c>
      <c r="AJ81" s="121">
        <f>9440.472-AJ60-AJ61-AJ62-AI60-AI61-AH60-AH61-AH62-AH78-AI62-AJ78-AI78</f>
        <v>-1.5916157281026244E-12</v>
      </c>
      <c r="AK81" s="121">
        <f>R81-AJ81-AI81-AH81</f>
        <v>2.1032064978498966E-12</v>
      </c>
      <c r="AN81" s="39">
        <f>J81-Z81-AA81-AB81</f>
        <v>-1.0459189070388675E-11</v>
      </c>
    </row>
    <row r="82" spans="1:40" s="115" customFormat="1" ht="13.5" customHeight="1">
      <c r="B82" s="120" t="s">
        <v>265</v>
      </c>
      <c r="C82" s="121">
        <f>1465.088-C80</f>
        <v>0</v>
      </c>
      <c r="D82" s="121">
        <f>2919.054-D80</f>
        <v>0</v>
      </c>
      <c r="E82" s="121">
        <f>5466.53-E80</f>
        <v>0</v>
      </c>
      <c r="F82" s="121">
        <f>3229.98-F80</f>
        <v>0</v>
      </c>
      <c r="G82" s="121">
        <f>3435.722-G80</f>
        <v>0</v>
      </c>
      <c r="H82" s="121">
        <f>3435.722-H80</f>
        <v>0</v>
      </c>
      <c r="I82" s="121">
        <f>3818.181-I80</f>
        <v>0</v>
      </c>
      <c r="J82" s="121">
        <f>3943.501-J80</f>
        <v>0</v>
      </c>
      <c r="K82" s="121">
        <f>6172.754-K80</f>
        <v>0</v>
      </c>
      <c r="L82" s="121">
        <f>5248.129-L80</f>
        <v>0</v>
      </c>
      <c r="N82" s="121">
        <f>3396.483-N80</f>
        <v>0</v>
      </c>
      <c r="O82" s="121">
        <f>2901.775-O80</f>
        <v>0</v>
      </c>
      <c r="P82" s="121">
        <f>4744.348-P80</f>
        <v>0</v>
      </c>
      <c r="Q82" s="121">
        <f>5466.53-Q80</f>
        <v>0</v>
      </c>
      <c r="R82" s="121">
        <f>3880.671-R80</f>
        <v>0</v>
      </c>
      <c r="S82" s="121">
        <f>3332.165-S80</f>
        <v>0</v>
      </c>
      <c r="T82" s="121">
        <f>3695.405-T80</f>
        <v>0</v>
      </c>
      <c r="U82" s="121">
        <f>3229.98-U80</f>
        <v>0</v>
      </c>
      <c r="V82" s="121">
        <f>4103.936-V80</f>
        <v>0</v>
      </c>
      <c r="W82" s="121">
        <f>W80-W113</f>
        <v>0</v>
      </c>
      <c r="X82" s="121">
        <f>3746.642-X80</f>
        <v>0</v>
      </c>
      <c r="Y82" s="121">
        <f>3435.722-Y80</f>
        <v>0</v>
      </c>
      <c r="Z82" s="121">
        <f>3884.864-Z80</f>
        <v>0</v>
      </c>
      <c r="AA82" s="121">
        <f>4828.501-AA80</f>
        <v>0</v>
      </c>
      <c r="AB82" s="121">
        <f>4594.097-AB80</f>
        <v>0</v>
      </c>
      <c r="AC82" s="121">
        <f>3818.181-AC80</f>
        <v>0</v>
      </c>
      <c r="AD82" s="121">
        <f>5822.563-AD80</f>
        <v>0</v>
      </c>
      <c r="AE82" s="121">
        <f>7071.043-AE80</f>
        <v>0</v>
      </c>
      <c r="AF82" s="121">
        <f>7851.992-AF80</f>
        <v>0</v>
      </c>
      <c r="AG82" s="121">
        <f>6172.754-AG80</f>
        <v>0</v>
      </c>
      <c r="AH82" s="121">
        <f>8423.768-AH80</f>
        <v>0</v>
      </c>
      <c r="AI82" s="121">
        <f>8299.587-AI80</f>
        <v>0</v>
      </c>
      <c r="AJ82" s="121">
        <f>6862.846-AJ80</f>
        <v>0</v>
      </c>
      <c r="AK82" s="121">
        <f>5248.129-AK80</f>
        <v>0</v>
      </c>
      <c r="AN82" s="121">
        <f>3943.501-AN80</f>
        <v>0</v>
      </c>
    </row>
    <row r="83" spans="1:40" ht="11.25" customHeight="1">
      <c r="C83" s="62"/>
      <c r="D83" s="62"/>
      <c r="E83" s="62"/>
      <c r="F83" s="62"/>
      <c r="G83" s="62"/>
      <c r="H83" s="87"/>
      <c r="I83" s="245"/>
      <c r="J83" s="245"/>
      <c r="K83" s="245"/>
      <c r="L83" s="245"/>
      <c r="N83" s="62"/>
      <c r="R83" s="62"/>
      <c r="S83" s="62"/>
      <c r="Y83" s="83"/>
      <c r="AC83" s="83"/>
      <c r="AG83" s="83"/>
      <c r="AK83" s="83"/>
      <c r="AN83" s="83"/>
    </row>
    <row r="84" spans="1:40" ht="13.5" customHeight="1">
      <c r="A84" s="27"/>
      <c r="B84" s="16" t="s">
        <v>266</v>
      </c>
      <c r="C84" s="47">
        <f t="shared" ref="C84:AB84" si="124">+C2</f>
        <v>42004</v>
      </c>
      <c r="D84" s="47">
        <f t="shared" si="124"/>
        <v>42369</v>
      </c>
      <c r="E84" s="47">
        <f t="shared" si="124"/>
        <v>42735</v>
      </c>
      <c r="F84" s="47">
        <f t="shared" si="124"/>
        <v>43100</v>
      </c>
      <c r="G84" s="47">
        <f t="shared" si="124"/>
        <v>43465</v>
      </c>
      <c r="H84" s="47">
        <f t="shared" si="124"/>
        <v>43440</v>
      </c>
      <c r="I84" s="47">
        <f>+I2</f>
        <v>43806</v>
      </c>
      <c r="J84" s="47">
        <f>+J2</f>
        <v>43806</v>
      </c>
      <c r="K84" s="47">
        <f>+K2</f>
        <v>44172</v>
      </c>
      <c r="L84" s="47">
        <f>+L2</f>
        <v>44537</v>
      </c>
      <c r="N84" s="47">
        <f t="shared" si="124"/>
        <v>42437</v>
      </c>
      <c r="O84" s="47">
        <f t="shared" si="124"/>
        <v>42527</v>
      </c>
      <c r="P84" s="47">
        <f t="shared" si="124"/>
        <v>42622</v>
      </c>
      <c r="Q84" s="47">
        <f t="shared" si="124"/>
        <v>42714</v>
      </c>
      <c r="R84" s="47">
        <f t="shared" si="124"/>
        <v>42825</v>
      </c>
      <c r="S84" s="47">
        <f t="shared" si="124"/>
        <v>42916</v>
      </c>
      <c r="T84" s="47">
        <f t="shared" si="124"/>
        <v>43008</v>
      </c>
      <c r="U84" s="47">
        <f t="shared" si="124"/>
        <v>43099</v>
      </c>
      <c r="V84" s="47">
        <f t="shared" si="124"/>
        <v>43189</v>
      </c>
      <c r="W84" s="47">
        <f t="shared" si="124"/>
        <v>43281</v>
      </c>
      <c r="X84" s="47">
        <f t="shared" si="124"/>
        <v>43373</v>
      </c>
      <c r="Y84" s="47">
        <f t="shared" si="124"/>
        <v>43464</v>
      </c>
      <c r="Z84" s="47">
        <f t="shared" si="124"/>
        <v>43554</v>
      </c>
      <c r="AA84" s="47">
        <f t="shared" si="124"/>
        <v>43646</v>
      </c>
      <c r="AB84" s="47">
        <f t="shared" si="124"/>
        <v>43738</v>
      </c>
      <c r="AC84" s="47">
        <f t="shared" ref="AC84:AH84" si="125">+AC2</f>
        <v>43829</v>
      </c>
      <c r="AD84" s="47">
        <f t="shared" si="125"/>
        <v>43920</v>
      </c>
      <c r="AE84" s="47">
        <f t="shared" si="125"/>
        <v>44012</v>
      </c>
      <c r="AF84" s="47">
        <f t="shared" si="125"/>
        <v>44104</v>
      </c>
      <c r="AG84" s="47">
        <f t="shared" si="125"/>
        <v>44195</v>
      </c>
      <c r="AH84" s="47">
        <f t="shared" si="125"/>
        <v>44285</v>
      </c>
      <c r="AI84" s="47">
        <f>+AI2</f>
        <v>44377</v>
      </c>
      <c r="AJ84" s="47">
        <f>+AJ2</f>
        <v>44469</v>
      </c>
      <c r="AK84" s="47">
        <f>+AK2</f>
        <v>44560</v>
      </c>
      <c r="AN84"/>
    </row>
    <row r="85" spans="1:40" ht="13.5" customHeight="1">
      <c r="B85" s="1" t="str">
        <f t="shared" ref="B85:G85" si="126">+B6</f>
        <v>Revenues</v>
      </c>
      <c r="C85" s="6">
        <f t="shared" si="126"/>
        <v>49935.328000000001</v>
      </c>
      <c r="D85" s="6">
        <f t="shared" si="126"/>
        <v>58279.004000000001</v>
      </c>
      <c r="E85" s="6">
        <f t="shared" si="126"/>
        <v>68206.284</v>
      </c>
      <c r="F85" s="6">
        <f t="shared" si="126"/>
        <v>70580.517999999996</v>
      </c>
      <c r="G85" s="6">
        <f t="shared" si="126"/>
        <v>74041.088000000003</v>
      </c>
      <c r="H85" s="6">
        <f>+H6</f>
        <v>74037.588000000003</v>
      </c>
      <c r="I85" s="6">
        <f>+I6</f>
        <v>77387.657999999996</v>
      </c>
      <c r="J85" s="6">
        <f>+J6</f>
        <v>77387.657999999996</v>
      </c>
      <c r="K85" s="6">
        <f>+K6</f>
        <v>91103.130999999994</v>
      </c>
      <c r="L85" s="6">
        <f>+L6</f>
        <v>94250.380999999994</v>
      </c>
      <c r="N85" s="39"/>
      <c r="O85" s="39"/>
      <c r="P85" s="39"/>
      <c r="Q85" s="6">
        <f t="shared" ref="Q85:AE85" si="127">SUM(N6:Q6)</f>
        <v>68206.284</v>
      </c>
      <c r="R85" s="6">
        <f t="shared" si="127"/>
        <v>70053.179999999993</v>
      </c>
      <c r="S85" s="6">
        <f t="shared" si="127"/>
        <v>71142.445999999996</v>
      </c>
      <c r="T85" s="6">
        <f t="shared" si="127"/>
        <v>71067.997999999992</v>
      </c>
      <c r="U85" s="6">
        <f t="shared" si="127"/>
        <v>70580.517999999996</v>
      </c>
      <c r="V85" s="6">
        <f t="shared" si="127"/>
        <v>70435.194999999992</v>
      </c>
      <c r="W85" s="6">
        <f t="shared" si="127"/>
        <v>71939.539999999994</v>
      </c>
      <c r="X85" s="6">
        <f t="shared" si="127"/>
        <v>73292.625</v>
      </c>
      <c r="Y85" s="6">
        <f t="shared" si="127"/>
        <v>74037.588000000003</v>
      </c>
      <c r="Z85" s="6">
        <f t="shared" si="127"/>
        <v>75084.202000000005</v>
      </c>
      <c r="AA85" s="6">
        <f t="shared" si="127"/>
        <v>75456.196999999986</v>
      </c>
      <c r="AB85" s="6">
        <f t="shared" si="127"/>
        <v>77021.888000000006</v>
      </c>
      <c r="AC85" s="6">
        <f t="shared" si="127"/>
        <v>77387.657999999996</v>
      </c>
      <c r="AD85" s="6">
        <f t="shared" si="127"/>
        <v>80353.209000000003</v>
      </c>
      <c r="AE85" s="6">
        <f t="shared" si="127"/>
        <v>85184.99</v>
      </c>
      <c r="AF85" s="6">
        <f t="shared" ref="AF85:AK85" si="128">SUM(AC6:AF6)</f>
        <v>88604.86099999999</v>
      </c>
      <c r="AG85" s="6">
        <f t="shared" si="128"/>
        <v>91103.130999999994</v>
      </c>
      <c r="AH85" s="6">
        <f t="shared" si="128"/>
        <v>91737.77</v>
      </c>
      <c r="AI85" s="6">
        <f t="shared" si="128"/>
        <v>90042.191999999995</v>
      </c>
      <c r="AJ85" s="6">
        <f t="shared" si="128"/>
        <v>90472.044999999998</v>
      </c>
      <c r="AK85" s="6">
        <f t="shared" si="128"/>
        <v>94250.380999999994</v>
      </c>
      <c r="AN85"/>
    </row>
    <row r="86" spans="1:40" ht="13.5" customHeight="1">
      <c r="B86" s="1" t="s">
        <v>230</v>
      </c>
      <c r="C86" s="6">
        <f t="shared" ref="C86:H86" si="129">C13</f>
        <v>6022.9140000000016</v>
      </c>
      <c r="D86" s="6">
        <f t="shared" si="129"/>
        <v>7367.9470000000028</v>
      </c>
      <c r="E86" s="6">
        <f t="shared" si="129"/>
        <v>9121.7050000000017</v>
      </c>
      <c r="F86" s="6">
        <f t="shared" si="129"/>
        <v>9319.2439999999951</v>
      </c>
      <c r="G86" s="6">
        <f t="shared" si="129"/>
        <v>9425.482</v>
      </c>
      <c r="H86" s="6">
        <f t="shared" si="129"/>
        <v>9425.482</v>
      </c>
      <c r="I86" s="6">
        <f>I13</f>
        <v>9282.0049999999937</v>
      </c>
      <c r="J86" s="6">
        <f>J13</f>
        <v>9282.0049999999937</v>
      </c>
      <c r="K86" s="6">
        <f>K13</f>
        <v>11348.40499999999</v>
      </c>
      <c r="L86" s="6">
        <f>L13</f>
        <v>11283.134999999997</v>
      </c>
      <c r="N86" s="39"/>
      <c r="O86" s="39"/>
      <c r="P86" s="39"/>
      <c r="Q86" s="6">
        <f t="shared" ref="Q86:AK86" si="130">SUM(N13:Q13)</f>
        <v>9121.7040000000015</v>
      </c>
      <c r="R86" s="6">
        <f t="shared" si="130"/>
        <v>9270.6780000000017</v>
      </c>
      <c r="S86" s="6">
        <f t="shared" si="130"/>
        <v>9423.5720000000019</v>
      </c>
      <c r="T86" s="6">
        <f t="shared" si="130"/>
        <v>9313.1630000000005</v>
      </c>
      <c r="U86" s="6">
        <f t="shared" si="130"/>
        <v>9319.244999999999</v>
      </c>
      <c r="V86" s="6">
        <f t="shared" si="130"/>
        <v>9285.3979999999974</v>
      </c>
      <c r="W86" s="6">
        <f t="shared" si="130"/>
        <v>9460.65</v>
      </c>
      <c r="X86" s="6">
        <f t="shared" si="130"/>
        <v>9584.1299999999974</v>
      </c>
      <c r="Y86" s="6">
        <f t="shared" si="130"/>
        <v>9425.482</v>
      </c>
      <c r="Z86" s="6">
        <f t="shared" si="130"/>
        <v>9328.601999999999</v>
      </c>
      <c r="AA86" s="6">
        <f t="shared" si="130"/>
        <v>9172.2709999999988</v>
      </c>
      <c r="AB86" s="6">
        <f t="shared" si="130"/>
        <v>9210.3010000000013</v>
      </c>
      <c r="AC86" s="6">
        <f t="shared" si="130"/>
        <v>9282.0049999999937</v>
      </c>
      <c r="AD86" s="6">
        <f t="shared" si="130"/>
        <v>9894.774999999996</v>
      </c>
      <c r="AE86" s="6">
        <f t="shared" si="130"/>
        <v>10585.506999999998</v>
      </c>
      <c r="AF86" s="6">
        <f t="shared" si="130"/>
        <v>11109.441999999995</v>
      </c>
      <c r="AG86" s="6">
        <f t="shared" si="130"/>
        <v>11348.404999999992</v>
      </c>
      <c r="AH86" s="6">
        <f t="shared" si="130"/>
        <v>11262.78899999999</v>
      </c>
      <c r="AI86" s="6">
        <f t="shared" si="130"/>
        <v>11014.45299999999</v>
      </c>
      <c r="AJ86" s="6">
        <f t="shared" si="130"/>
        <v>10795.158999999989</v>
      </c>
      <c r="AK86" s="6">
        <f t="shared" si="130"/>
        <v>11283.134999999998</v>
      </c>
      <c r="AN86"/>
    </row>
    <row r="87" spans="1:40" ht="13.5" customHeight="1">
      <c r="B87" s="1" t="s">
        <v>267</v>
      </c>
      <c r="C87" s="6">
        <f t="shared" ref="C87:H87" si="131">C41</f>
        <v>7483.3650000000016</v>
      </c>
      <c r="D87" s="6">
        <f t="shared" si="131"/>
        <v>8966.256000000003</v>
      </c>
      <c r="E87" s="6">
        <f t="shared" si="131"/>
        <v>11020.249000000002</v>
      </c>
      <c r="F87" s="6">
        <f t="shared" si="131"/>
        <v>11327.918999999994</v>
      </c>
      <c r="G87" s="6">
        <f t="shared" si="131"/>
        <v>11737.865</v>
      </c>
      <c r="H87" s="6">
        <f t="shared" si="131"/>
        <v>11737.865</v>
      </c>
      <c r="I87" s="6">
        <f>I41</f>
        <v>12461.554999999993</v>
      </c>
      <c r="J87" s="6">
        <f>J41</f>
        <v>12461.554999999993</v>
      </c>
      <c r="K87" s="6">
        <f>K41</f>
        <v>15042.158999999989</v>
      </c>
      <c r="L87" s="6">
        <f>L41</f>
        <v>14936.409999999996</v>
      </c>
      <c r="N87" s="6"/>
      <c r="O87" s="6"/>
      <c r="P87" s="6"/>
      <c r="Q87" s="6">
        <f t="shared" ref="Q87:AK87" si="132">SUM(N41:Q41)</f>
        <v>11020.051000000001</v>
      </c>
      <c r="R87" s="6">
        <f t="shared" si="132"/>
        <v>11242.232000000002</v>
      </c>
      <c r="S87" s="6">
        <f t="shared" si="132"/>
        <v>11435.559000000001</v>
      </c>
      <c r="T87" s="6">
        <f t="shared" si="132"/>
        <v>11352.150000000001</v>
      </c>
      <c r="U87" s="6">
        <f t="shared" si="132"/>
        <v>11333.232</v>
      </c>
      <c r="V87" s="6">
        <f t="shared" si="132"/>
        <v>11327.914999999999</v>
      </c>
      <c r="W87" s="6">
        <f t="shared" si="132"/>
        <v>11578.063999999998</v>
      </c>
      <c r="X87" s="6">
        <f t="shared" si="132"/>
        <v>11800.027999999998</v>
      </c>
      <c r="Y87" s="6">
        <f t="shared" si="132"/>
        <v>11737.865</v>
      </c>
      <c r="Z87" s="6">
        <f t="shared" si="132"/>
        <v>11917.313999999998</v>
      </c>
      <c r="AA87" s="6">
        <f t="shared" si="132"/>
        <v>11943.503999999999</v>
      </c>
      <c r="AB87" s="6">
        <f t="shared" si="132"/>
        <v>12218.989000000001</v>
      </c>
      <c r="AC87" s="6">
        <f t="shared" si="132"/>
        <v>12461.554999999993</v>
      </c>
      <c r="AD87" s="6">
        <f t="shared" si="132"/>
        <v>13095.606999999996</v>
      </c>
      <c r="AE87" s="6">
        <f t="shared" si="132"/>
        <v>14006.527999999997</v>
      </c>
      <c r="AF87" s="6">
        <f t="shared" si="132"/>
        <v>14662.015999999996</v>
      </c>
      <c r="AG87" s="6">
        <f t="shared" si="132"/>
        <v>15042.158999999989</v>
      </c>
      <c r="AH87" s="6">
        <f t="shared" si="132"/>
        <v>15009.060999999989</v>
      </c>
      <c r="AI87" s="6">
        <f t="shared" si="132"/>
        <v>14702.48899999999</v>
      </c>
      <c r="AJ87" s="6">
        <f t="shared" si="132"/>
        <v>14441.733999999989</v>
      </c>
      <c r="AK87" s="6">
        <f t="shared" si="132"/>
        <v>14936.41</v>
      </c>
      <c r="AN87"/>
    </row>
    <row r="88" spans="1:40" s="5" customFormat="1" ht="13.5" customHeight="1">
      <c r="B88" s="1" t="s">
        <v>268</v>
      </c>
      <c r="C88" s="6">
        <f t="shared" ref="C88:H88" si="133">+C45</f>
        <v>7493</v>
      </c>
      <c r="D88" s="6">
        <f t="shared" si="133"/>
        <v>9139</v>
      </c>
      <c r="E88" s="6">
        <f t="shared" si="133"/>
        <v>10964</v>
      </c>
      <c r="F88" s="6">
        <f t="shared" si="133"/>
        <v>11344</v>
      </c>
      <c r="G88" s="6">
        <f t="shared" si="133"/>
        <v>11741</v>
      </c>
      <c r="H88" s="6">
        <f t="shared" si="133"/>
        <v>11741</v>
      </c>
      <c r="I88" s="6">
        <f>+I45</f>
        <v>12528</v>
      </c>
      <c r="J88" s="6">
        <f>+J45</f>
        <v>12528</v>
      </c>
      <c r="K88" s="6">
        <f>+K45</f>
        <v>15394</v>
      </c>
      <c r="L88" s="6">
        <f>+L45</f>
        <v>14987</v>
      </c>
      <c r="N88" s="39"/>
      <c r="O88" s="39"/>
      <c r="P88" s="39"/>
      <c r="Q88" s="6">
        <f t="shared" ref="Q88:AK88" si="134">SUM(N45:Q45)</f>
        <v>10964</v>
      </c>
      <c r="R88" s="6">
        <f t="shared" si="134"/>
        <v>11186</v>
      </c>
      <c r="S88" s="6">
        <f t="shared" si="134"/>
        <v>11379</v>
      </c>
      <c r="T88" s="6">
        <f t="shared" si="134"/>
        <v>11375</v>
      </c>
      <c r="U88" s="6">
        <f t="shared" si="134"/>
        <v>11344</v>
      </c>
      <c r="V88" s="6">
        <f t="shared" si="134"/>
        <v>11339</v>
      </c>
      <c r="W88" s="6">
        <f t="shared" si="134"/>
        <v>11601</v>
      </c>
      <c r="X88" s="6">
        <f t="shared" si="134"/>
        <v>11822</v>
      </c>
      <c r="Y88" s="6">
        <f t="shared" si="134"/>
        <v>11741</v>
      </c>
      <c r="Z88" s="6">
        <f t="shared" si="134"/>
        <v>11920</v>
      </c>
      <c r="AA88" s="6">
        <f t="shared" si="134"/>
        <v>12001</v>
      </c>
      <c r="AB88" s="6">
        <f t="shared" si="134"/>
        <v>12277</v>
      </c>
      <c r="AC88" s="6">
        <f t="shared" si="134"/>
        <v>12528</v>
      </c>
      <c r="AD88" s="6">
        <f t="shared" si="134"/>
        <v>13162</v>
      </c>
      <c r="AE88" s="6">
        <f t="shared" si="134"/>
        <v>14007</v>
      </c>
      <c r="AF88" s="6">
        <f t="shared" si="134"/>
        <v>14662</v>
      </c>
      <c r="AG88" s="6">
        <f t="shared" si="134"/>
        <v>15394</v>
      </c>
      <c r="AH88" s="6">
        <f t="shared" si="134"/>
        <v>15361</v>
      </c>
      <c r="AI88" s="6">
        <f t="shared" si="134"/>
        <v>15054</v>
      </c>
      <c r="AJ88" s="6">
        <f t="shared" si="134"/>
        <v>14794</v>
      </c>
      <c r="AK88" s="6">
        <f t="shared" si="134"/>
        <v>14987</v>
      </c>
      <c r="AN88"/>
    </row>
    <row r="89" spans="1:40" s="5" customFormat="1" ht="13.5" customHeight="1">
      <c r="B89" s="216" t="s">
        <v>269</v>
      </c>
      <c r="C89" s="217">
        <f t="shared" ref="C89:H89" si="135">C52</f>
        <v>7493</v>
      </c>
      <c r="D89" s="217">
        <f t="shared" si="135"/>
        <v>9139</v>
      </c>
      <c r="E89" s="217">
        <f t="shared" si="135"/>
        <v>10964</v>
      </c>
      <c r="F89" s="217">
        <f t="shared" si="135"/>
        <v>11344</v>
      </c>
      <c r="G89" s="217">
        <f t="shared" si="135"/>
        <v>11741</v>
      </c>
      <c r="H89" s="217">
        <f t="shared" si="135"/>
        <v>11741</v>
      </c>
      <c r="I89" s="217">
        <f>I52</f>
        <v>11590</v>
      </c>
      <c r="J89" s="217">
        <f>J52</f>
        <v>11590</v>
      </c>
      <c r="K89" s="214"/>
      <c r="L89" s="214"/>
      <c r="N89" s="218"/>
      <c r="O89" s="218"/>
      <c r="P89" s="218"/>
      <c r="Q89" s="217"/>
      <c r="R89" s="217">
        <f t="shared" ref="R89:AC89" si="136">SUM(O52:R52)</f>
        <v>11186</v>
      </c>
      <c r="S89" s="217">
        <f t="shared" si="136"/>
        <v>11379</v>
      </c>
      <c r="T89" s="217">
        <f t="shared" si="136"/>
        <v>11375</v>
      </c>
      <c r="U89" s="217">
        <f t="shared" si="136"/>
        <v>11344</v>
      </c>
      <c r="V89" s="217">
        <f t="shared" si="136"/>
        <v>11339</v>
      </c>
      <c r="W89" s="217">
        <f t="shared" si="136"/>
        <v>11601</v>
      </c>
      <c r="X89" s="217">
        <f t="shared" si="136"/>
        <v>11822</v>
      </c>
      <c r="Y89" s="217">
        <f t="shared" si="136"/>
        <v>11741</v>
      </c>
      <c r="Z89" s="217">
        <f t="shared" si="136"/>
        <v>11711</v>
      </c>
      <c r="AA89" s="217">
        <f t="shared" si="136"/>
        <v>11573</v>
      </c>
      <c r="AB89" s="217">
        <f t="shared" si="136"/>
        <v>11612</v>
      </c>
      <c r="AC89" s="217">
        <f t="shared" si="136"/>
        <v>11590</v>
      </c>
      <c r="AD89" s="217"/>
      <c r="AE89" s="217"/>
      <c r="AF89" s="217"/>
      <c r="AG89" s="217"/>
      <c r="AH89" s="217"/>
      <c r="AI89" s="217"/>
      <c r="AJ89" s="217"/>
      <c r="AK89" s="217"/>
      <c r="AN89"/>
    </row>
    <row r="90" spans="1:40" s="5" customFormat="1" ht="13.5" customHeight="1">
      <c r="B90" s="1" t="s">
        <v>270</v>
      </c>
      <c r="C90" s="6">
        <f t="shared" ref="C90:H90" si="137">C49</f>
        <v>8368.2929999999997</v>
      </c>
      <c r="D90" s="6">
        <f t="shared" si="137"/>
        <v>9971.719000000001</v>
      </c>
      <c r="E90" s="6">
        <f t="shared" si="137"/>
        <v>11943.764999999999</v>
      </c>
      <c r="F90" s="6">
        <f t="shared" si="137"/>
        <v>12435.048999999999</v>
      </c>
      <c r="G90" s="6">
        <f t="shared" si="137"/>
        <v>13011.466</v>
      </c>
      <c r="H90" s="6">
        <f t="shared" si="137"/>
        <v>13011.466</v>
      </c>
      <c r="I90" s="214"/>
      <c r="J90" s="214"/>
      <c r="K90" s="214"/>
      <c r="L90" s="214"/>
      <c r="N90" s="6"/>
      <c r="O90" s="6"/>
      <c r="P90" s="6"/>
      <c r="Q90" s="6">
        <f t="shared" ref="Q90:Y90" si="138">SUM(N49:Q49)</f>
        <v>11943.764999999999</v>
      </c>
      <c r="R90" s="6">
        <f t="shared" si="138"/>
        <v>12193.585999999999</v>
      </c>
      <c r="S90" s="6">
        <f t="shared" si="138"/>
        <v>12414.406999999999</v>
      </c>
      <c r="T90" s="6">
        <f t="shared" si="138"/>
        <v>12438.227999999999</v>
      </c>
      <c r="U90" s="6">
        <f t="shared" si="138"/>
        <v>12435.048999999999</v>
      </c>
      <c r="V90" s="6">
        <f t="shared" si="138"/>
        <v>12474.903249999999</v>
      </c>
      <c r="W90" s="6">
        <f t="shared" si="138"/>
        <v>12781.7575</v>
      </c>
      <c r="X90" s="6">
        <f t="shared" si="138"/>
        <v>13047.61175</v>
      </c>
      <c r="Y90" s="6">
        <f t="shared" si="138"/>
        <v>13011.466</v>
      </c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N90"/>
    </row>
    <row r="91" spans="1:40" s="5" customFormat="1" ht="13.5" customHeight="1">
      <c r="B91" s="1" t="s">
        <v>271</v>
      </c>
      <c r="C91" s="6">
        <f t="shared" ref="C91:H91" si="139">C48</f>
        <v>875.29300000000001</v>
      </c>
      <c r="D91" s="6">
        <f t="shared" si="139"/>
        <v>832.71900000000005</v>
      </c>
      <c r="E91" s="6">
        <f t="shared" si="139"/>
        <v>979.76499999999999</v>
      </c>
      <c r="F91" s="6">
        <f t="shared" si="139"/>
        <v>1091.049</v>
      </c>
      <c r="G91" s="6">
        <f t="shared" si="139"/>
        <v>1270.4659999999999</v>
      </c>
      <c r="H91" s="6">
        <f t="shared" si="139"/>
        <v>1270.4659999999999</v>
      </c>
      <c r="I91" s="214"/>
      <c r="J91" s="214"/>
      <c r="K91" s="214"/>
      <c r="L91" s="214"/>
      <c r="N91" s="6"/>
      <c r="O91" s="6"/>
      <c r="P91" s="6"/>
      <c r="Q91" s="6">
        <f t="shared" ref="Q91:AJ91" si="140">SUM(N48:Q48)</f>
        <v>979.76499999999999</v>
      </c>
      <c r="R91" s="6">
        <f t="shared" si="140"/>
        <v>1007.586</v>
      </c>
      <c r="S91" s="6">
        <f t="shared" si="140"/>
        <v>1035.4069999999999</v>
      </c>
      <c r="T91" s="6">
        <f t="shared" si="140"/>
        <v>1063.2280000000001</v>
      </c>
      <c r="U91" s="6">
        <f t="shared" si="140"/>
        <v>1091.049</v>
      </c>
      <c r="V91" s="6">
        <f t="shared" si="140"/>
        <v>1135.9032499999998</v>
      </c>
      <c r="W91" s="6">
        <f t="shared" si="140"/>
        <v>1180.7574999999999</v>
      </c>
      <c r="X91" s="6">
        <f t="shared" si="140"/>
        <v>1225.61175</v>
      </c>
      <c r="Y91" s="6">
        <f t="shared" si="140"/>
        <v>1270.4659999999999</v>
      </c>
      <c r="Z91" s="6">
        <f t="shared" si="140"/>
        <v>952.84949999999992</v>
      </c>
      <c r="AA91" s="6">
        <f t="shared" si="140"/>
        <v>635.23299999999995</v>
      </c>
      <c r="AB91" s="6">
        <f t="shared" si="140"/>
        <v>317.61649999999997</v>
      </c>
      <c r="AC91" s="6">
        <f t="shared" si="140"/>
        <v>0</v>
      </c>
      <c r="AD91" s="6">
        <f t="shared" si="140"/>
        <v>0</v>
      </c>
      <c r="AE91" s="6">
        <f t="shared" si="140"/>
        <v>0</v>
      </c>
      <c r="AF91" s="6">
        <f t="shared" si="140"/>
        <v>0</v>
      </c>
      <c r="AG91" s="6">
        <f t="shared" si="140"/>
        <v>0</v>
      </c>
      <c r="AH91" s="6">
        <f t="shared" si="140"/>
        <v>0</v>
      </c>
      <c r="AI91" s="6">
        <f t="shared" si="140"/>
        <v>0</v>
      </c>
      <c r="AJ91" s="6">
        <f t="shared" si="140"/>
        <v>0</v>
      </c>
      <c r="AK91" s="6">
        <f>SUM(AH48:AK48)</f>
        <v>0</v>
      </c>
      <c r="AN91"/>
    </row>
    <row r="92" spans="1:40" ht="13.5" customHeight="1">
      <c r="B92" s="1" t="s">
        <v>246</v>
      </c>
      <c r="C92" s="6">
        <f t="shared" ref="C92:H92" si="141">-C63</f>
        <v>1010.976</v>
      </c>
      <c r="D92" s="6">
        <f t="shared" si="141"/>
        <v>485.80500000000001</v>
      </c>
      <c r="E92" s="6">
        <f t="shared" si="141"/>
        <v>585.87099999999998</v>
      </c>
      <c r="F92" s="6">
        <f t="shared" si="141"/>
        <v>753.15599999999995</v>
      </c>
      <c r="G92" s="6">
        <f t="shared" si="141"/>
        <v>1231.047</v>
      </c>
      <c r="H92" s="6">
        <f t="shared" si="141"/>
        <v>1231.047</v>
      </c>
      <c r="I92" s="6">
        <f>-I63</f>
        <v>1877.6079999999999</v>
      </c>
      <c r="J92" s="6">
        <f>-J63</f>
        <v>1662.3150000000001</v>
      </c>
      <c r="K92" s="6">
        <f>-K63</f>
        <v>1088.2711589999999</v>
      </c>
      <c r="L92" s="6">
        <f>-L63</f>
        <v>1017.35</v>
      </c>
      <c r="N92" s="39"/>
      <c r="O92" s="39"/>
      <c r="P92" s="39"/>
      <c r="Q92" s="6">
        <f t="shared" ref="Q92:W92" si="142">-SUM(N63:Q63)</f>
        <v>585.87100000000009</v>
      </c>
      <c r="R92" s="6">
        <f t="shared" si="142"/>
        <v>613.84600000000012</v>
      </c>
      <c r="S92" s="6">
        <f t="shared" si="142"/>
        <v>630.86599999999999</v>
      </c>
      <c r="T92" s="6">
        <f>-SUM(Q63:T63)</f>
        <v>697.80700000000013</v>
      </c>
      <c r="U92" s="6">
        <f t="shared" si="142"/>
        <v>753.15599999999995</v>
      </c>
      <c r="V92" s="6">
        <f t="shared" si="142"/>
        <v>820.38699999999983</v>
      </c>
      <c r="W92" s="6">
        <f t="shared" si="142"/>
        <v>973.01499999999999</v>
      </c>
      <c r="X92" s="6">
        <f t="shared" ref="X92:AJ92" si="143">-SUM(U63:X63)</f>
        <v>1202.8419999999999</v>
      </c>
      <c r="Y92" s="6">
        <f t="shared" si="143"/>
        <v>1231.047</v>
      </c>
      <c r="Z92" s="6">
        <f t="shared" si="143"/>
        <v>1429.5010000000002</v>
      </c>
      <c r="AA92" s="6">
        <f t="shared" si="143"/>
        <v>1585.3810000000001</v>
      </c>
      <c r="AB92" s="6">
        <f t="shared" si="143"/>
        <v>1635.415</v>
      </c>
      <c r="AC92" s="6">
        <f>-SUM(Z63:AC63)</f>
        <v>1877.6079999999999</v>
      </c>
      <c r="AD92" s="6">
        <f t="shared" si="143"/>
        <v>1716.1149999999998</v>
      </c>
      <c r="AE92" s="6">
        <f t="shared" si="143"/>
        <v>1578.9329999999998</v>
      </c>
      <c r="AF92" s="6">
        <f t="shared" si="143"/>
        <v>1340.8569999999997</v>
      </c>
      <c r="AG92" s="6">
        <f t="shared" si="143"/>
        <v>1088.2711589999999</v>
      </c>
      <c r="AH92" s="6">
        <f t="shared" si="143"/>
        <v>1070.6071589999999</v>
      </c>
      <c r="AI92" s="6">
        <f t="shared" si="143"/>
        <v>982.59415899999988</v>
      </c>
      <c r="AJ92" s="6">
        <f t="shared" si="143"/>
        <v>933.45015899999999</v>
      </c>
      <c r="AK92" s="6">
        <f>-SUM(AH63:AK63)</f>
        <v>1017.35</v>
      </c>
      <c r="AN92"/>
    </row>
    <row r="93" spans="1:40" ht="13.5" customHeight="1">
      <c r="B93" s="1" t="s">
        <v>272</v>
      </c>
      <c r="C93" s="6">
        <f t="shared" ref="C93:H93" si="144">+C19</f>
        <v>3857.9280000000012</v>
      </c>
      <c r="D93" s="6">
        <f t="shared" si="144"/>
        <v>5398.3960000000025</v>
      </c>
      <c r="E93" s="6">
        <f t="shared" si="144"/>
        <v>6233.9380000000019</v>
      </c>
      <c r="F93" s="6">
        <f t="shared" si="144"/>
        <v>6273.9499999999935</v>
      </c>
      <c r="G93" s="6">
        <f t="shared" si="144"/>
        <v>4973.2970000000005</v>
      </c>
      <c r="H93" s="6">
        <f t="shared" si="144"/>
        <v>5052.6980000000003</v>
      </c>
      <c r="I93" s="6">
        <f>+I19</f>
        <v>4848.7499999999945</v>
      </c>
      <c r="J93" s="6">
        <f>+J19</f>
        <v>4848.7499999999945</v>
      </c>
      <c r="K93" s="6">
        <f>+K19</f>
        <v>5380.4259999999904</v>
      </c>
      <c r="L93" s="6">
        <f>+L19</f>
        <v>6145.3809999999967</v>
      </c>
      <c r="N93" s="39"/>
      <c r="O93" s="39"/>
      <c r="P93" s="39"/>
      <c r="Q93" s="6">
        <f t="shared" ref="Q93:AJ93" si="145">SUM(N19:Q19)</f>
        <v>6233.9340000000011</v>
      </c>
      <c r="R93" s="6">
        <f t="shared" si="145"/>
        <v>6214.9430000000029</v>
      </c>
      <c r="S93" s="6">
        <f t="shared" si="145"/>
        <v>6192.8180000000011</v>
      </c>
      <c r="T93" s="6">
        <f t="shared" si="145"/>
        <v>6231.3380000000016</v>
      </c>
      <c r="U93" s="6">
        <f t="shared" si="145"/>
        <v>6273.9519999999993</v>
      </c>
      <c r="V93" s="6">
        <f t="shared" si="145"/>
        <v>6261.1709999999985</v>
      </c>
      <c r="W93" s="6">
        <f t="shared" si="145"/>
        <v>6089.4619999999995</v>
      </c>
      <c r="X93" s="6">
        <f t="shared" si="145"/>
        <v>5705.9219999999968</v>
      </c>
      <c r="Y93" s="6">
        <f t="shared" si="145"/>
        <v>5052.6980000000003</v>
      </c>
      <c r="Z93" s="6">
        <f t="shared" si="145"/>
        <v>4798.5190000000002</v>
      </c>
      <c r="AA93" s="6">
        <f t="shared" si="145"/>
        <v>4769.2299999999996</v>
      </c>
      <c r="AB93" s="6">
        <f t="shared" si="145"/>
        <v>4799.1580000000031</v>
      </c>
      <c r="AC93" s="6">
        <f t="shared" si="145"/>
        <v>4848.7499999999945</v>
      </c>
      <c r="AD93" s="6">
        <f t="shared" si="145"/>
        <v>4381.5469999999968</v>
      </c>
      <c r="AE93" s="6">
        <f t="shared" si="145"/>
        <v>4854.9689999999973</v>
      </c>
      <c r="AF93" s="6">
        <f t="shared" si="145"/>
        <v>5199.3209999999963</v>
      </c>
      <c r="AG93" s="6">
        <f t="shared" si="145"/>
        <v>5380.4259999999904</v>
      </c>
      <c r="AH93" s="6">
        <f t="shared" si="145"/>
        <v>6140.0519999999897</v>
      </c>
      <c r="AI93" s="6">
        <f t="shared" si="145"/>
        <v>5920.5119999999915</v>
      </c>
      <c r="AJ93" s="6">
        <f t="shared" si="145"/>
        <v>5748.6279999999879</v>
      </c>
      <c r="AK93" s="6">
        <f>SUM(AH19:AK19)</f>
        <v>6145.3809999999985</v>
      </c>
      <c r="AN93"/>
    </row>
    <row r="94" spans="1:40" ht="13.5" customHeight="1">
      <c r="B94" s="1" t="s">
        <v>273</v>
      </c>
      <c r="C94" s="6">
        <f t="shared" ref="C94:H94" si="146">-C65</f>
        <v>1481.7239999999999</v>
      </c>
      <c r="D94" s="6">
        <f t="shared" si="146"/>
        <v>2200.7710000000002</v>
      </c>
      <c r="E94" s="6">
        <f t="shared" si="146"/>
        <v>5437.0879999999997</v>
      </c>
      <c r="F94" s="6">
        <f t="shared" si="146"/>
        <v>4865.1689999999999</v>
      </c>
      <c r="G94" s="6">
        <f t="shared" si="146"/>
        <v>3643.3829999999998</v>
      </c>
      <c r="H94" s="6">
        <f t="shared" si="146"/>
        <v>3569.3440000000001</v>
      </c>
      <c r="I94" s="6">
        <f>-I65</f>
        <v>1325.8899999999999</v>
      </c>
      <c r="J94" s="6">
        <f>-J65</f>
        <v>1330.184</v>
      </c>
      <c r="K94" s="6">
        <f>-K65</f>
        <v>3584.6880000000001</v>
      </c>
      <c r="L94" s="6">
        <f>-L65</f>
        <v>5114.2700000000004</v>
      </c>
      <c r="N94" s="39"/>
      <c r="O94" s="39"/>
      <c r="P94" s="39"/>
      <c r="Q94" s="6">
        <f t="shared" ref="Q94:W94" si="147">-SUM(N65:Q65)</f>
        <v>5437.0879999999997</v>
      </c>
      <c r="R94" s="6">
        <f t="shared" si="147"/>
        <v>5650.4250000000002</v>
      </c>
      <c r="S94" s="6">
        <f t="shared" si="147"/>
        <v>5379.2020000000011</v>
      </c>
      <c r="T94" s="6">
        <f>-SUM(Q65:T65)</f>
        <v>5915.2390000000005</v>
      </c>
      <c r="U94" s="6">
        <f t="shared" si="147"/>
        <v>4865.1689999999999</v>
      </c>
      <c r="V94" s="6">
        <f t="shared" si="147"/>
        <v>4297.2599999999993</v>
      </c>
      <c r="W94" s="6">
        <f t="shared" si="147"/>
        <v>4255.1219999999994</v>
      </c>
      <c r="X94" s="6">
        <f t="shared" ref="X94:AJ94" si="148">-SUM(U65:X65)</f>
        <v>3499.2329999999993</v>
      </c>
      <c r="Y94" s="6">
        <f t="shared" si="148"/>
        <v>3569.3440000000001</v>
      </c>
      <c r="Z94" s="6">
        <f t="shared" si="148"/>
        <v>3587.5829999999996</v>
      </c>
      <c r="AA94" s="6">
        <f t="shared" si="148"/>
        <v>2860.9119999999998</v>
      </c>
      <c r="AB94" s="6">
        <f t="shared" si="148"/>
        <v>2424.3339999999998</v>
      </c>
      <c r="AC94" s="6">
        <f t="shared" si="148"/>
        <v>1325.8899999999999</v>
      </c>
      <c r="AD94" s="6">
        <f t="shared" si="148"/>
        <v>1215.4549999999999</v>
      </c>
      <c r="AE94" s="6">
        <f t="shared" si="148"/>
        <v>1576.1349999999998</v>
      </c>
      <c r="AF94" s="6">
        <f t="shared" si="148"/>
        <v>2332.0529999999999</v>
      </c>
      <c r="AG94" s="6">
        <f t="shared" si="148"/>
        <v>3584.6880000000001</v>
      </c>
      <c r="AH94" s="6">
        <f t="shared" si="148"/>
        <v>3992.9769999999999</v>
      </c>
      <c r="AI94" s="6">
        <f t="shared" si="148"/>
        <v>3982.3590000000004</v>
      </c>
      <c r="AJ94" s="6">
        <f t="shared" si="148"/>
        <v>5152.3990000000003</v>
      </c>
      <c r="AK94" s="6">
        <f>-SUM(AH65:AK65)</f>
        <v>5114.2700000000004</v>
      </c>
      <c r="AN94"/>
    </row>
    <row r="95" spans="1:40" ht="13.5" customHeight="1">
      <c r="B95" s="1" t="s">
        <v>251</v>
      </c>
      <c r="C95" s="6">
        <f t="shared" ref="C95:H95" si="149">+C70</f>
        <v>7282.9940000000006</v>
      </c>
      <c r="D95" s="6">
        <f t="shared" si="149"/>
        <v>1490.6339999999993</v>
      </c>
      <c r="E95" s="6">
        <f t="shared" si="149"/>
        <v>3112.6740000000009</v>
      </c>
      <c r="F95" s="6">
        <f t="shared" si="149"/>
        <v>-430.22099999999989</v>
      </c>
      <c r="G95" s="6">
        <f t="shared" si="149"/>
        <v>2636.1169999999993</v>
      </c>
      <c r="H95" s="6">
        <f t="shared" si="149"/>
        <v>2639.6170000000006</v>
      </c>
      <c r="I95" s="6">
        <f>+I70</f>
        <v>4325.4790000000012</v>
      </c>
      <c r="J95" s="6">
        <f>+J70</f>
        <v>4807.8429999999989</v>
      </c>
      <c r="K95" s="6">
        <f>+K70</f>
        <v>8411.1008409999977</v>
      </c>
      <c r="L95" s="6">
        <f>+L70</f>
        <v>5985.1699999999973</v>
      </c>
      <c r="N95" s="39"/>
      <c r="O95" s="39"/>
      <c r="P95" s="39"/>
      <c r="Q95" s="6">
        <f t="shared" ref="Q95:W95" si="150">SUM(N70:Q70)</f>
        <v>3112.674</v>
      </c>
      <c r="R95" s="6">
        <f t="shared" si="150"/>
        <v>1603.5879999999997</v>
      </c>
      <c r="S95" s="6">
        <f t="shared" si="150"/>
        <v>-162.98400000000015</v>
      </c>
      <c r="T95" s="6">
        <f>SUM(Q70:T70)</f>
        <v>-2879.4900000000007</v>
      </c>
      <c r="U95" s="6">
        <f t="shared" si="150"/>
        <v>-430.221</v>
      </c>
      <c r="V95" s="6">
        <f t="shared" si="150"/>
        <v>79.756999999999991</v>
      </c>
      <c r="W95" s="6">
        <f t="shared" si="150"/>
        <v>1052.7299999999996</v>
      </c>
      <c r="X95" s="6">
        <f t="shared" ref="X95:AJ95" si="151">SUM(U70:X70)</f>
        <v>2888.0040000000008</v>
      </c>
      <c r="Y95" s="6">
        <f t="shared" si="151"/>
        <v>2639.6169999999993</v>
      </c>
      <c r="Z95" s="6">
        <f t="shared" si="151"/>
        <v>3440.6389999999997</v>
      </c>
      <c r="AA95" s="6">
        <f t="shared" si="151"/>
        <v>3927.4479999999994</v>
      </c>
      <c r="AB95" s="6">
        <f t="shared" si="151"/>
        <v>4783.7260000000006</v>
      </c>
      <c r="AC95" s="6">
        <f>SUM(Z70:AC70)</f>
        <v>4325.4789999999994</v>
      </c>
      <c r="AD95" s="6">
        <f t="shared" si="151"/>
        <v>6724.2880000000005</v>
      </c>
      <c r="AE95" s="6">
        <f t="shared" si="151"/>
        <v>8195.902</v>
      </c>
      <c r="AF95" s="6">
        <f t="shared" si="151"/>
        <v>8631.6969999999983</v>
      </c>
      <c r="AG95" s="6">
        <f t="shared" si="151"/>
        <v>8411.1008409999977</v>
      </c>
      <c r="AH95" s="6">
        <f t="shared" si="151"/>
        <v>7559.285840999999</v>
      </c>
      <c r="AI95" s="6">
        <f t="shared" si="151"/>
        <v>8531.0518409999986</v>
      </c>
      <c r="AJ95" s="6">
        <f t="shared" si="151"/>
        <v>6466.4248409999991</v>
      </c>
      <c r="AK95" s="6">
        <f>SUM(AH70:AK70)</f>
        <v>5985.1699999999983</v>
      </c>
      <c r="AN95"/>
    </row>
    <row r="96" spans="1:40" ht="13.5" customHeight="1">
      <c r="C96" s="6"/>
      <c r="D96" s="6"/>
      <c r="E96" s="6"/>
      <c r="F96" s="6"/>
      <c r="G96" s="6"/>
      <c r="H96" s="6"/>
      <c r="I96" s="6"/>
      <c r="J96" s="6"/>
      <c r="K96" s="6"/>
      <c r="L96" s="6"/>
      <c r="N96" s="6"/>
      <c r="R96" s="6"/>
      <c r="S96" s="6"/>
      <c r="Y96" s="6"/>
      <c r="AC96" s="6"/>
      <c r="AG96" s="6"/>
      <c r="AK96" s="6"/>
      <c r="AN96"/>
    </row>
    <row r="97" spans="1:198" ht="13.5" customHeight="1">
      <c r="A97" s="27"/>
      <c r="B97" s="16" t="s">
        <v>274</v>
      </c>
      <c r="C97" s="47">
        <f>+C2</f>
        <v>42004</v>
      </c>
      <c r="D97" s="47">
        <f>+D2</f>
        <v>42369</v>
      </c>
      <c r="E97" s="47">
        <f>+E2</f>
        <v>42735</v>
      </c>
      <c r="F97" s="47">
        <f>+F2</f>
        <v>43100</v>
      </c>
      <c r="G97" s="47">
        <f>G2</f>
        <v>43465</v>
      </c>
      <c r="H97" s="47">
        <f t="shared" ref="H97:X97" si="152">+H2</f>
        <v>43440</v>
      </c>
      <c r="I97" s="47">
        <f>+I2</f>
        <v>43806</v>
      </c>
      <c r="J97" s="47">
        <f>+J2</f>
        <v>43806</v>
      </c>
      <c r="K97" s="47">
        <f>+K2</f>
        <v>44172</v>
      </c>
      <c r="L97" s="47">
        <f>+L2</f>
        <v>44537</v>
      </c>
      <c r="N97" s="47">
        <f t="shared" si="152"/>
        <v>42437</v>
      </c>
      <c r="O97" s="47">
        <f t="shared" si="152"/>
        <v>42527</v>
      </c>
      <c r="P97" s="47">
        <f t="shared" si="152"/>
        <v>42622</v>
      </c>
      <c r="Q97" s="47">
        <f t="shared" si="152"/>
        <v>42714</v>
      </c>
      <c r="R97" s="47">
        <f t="shared" si="152"/>
        <v>42825</v>
      </c>
      <c r="S97" s="47">
        <f t="shared" si="152"/>
        <v>42916</v>
      </c>
      <c r="T97" s="47">
        <f t="shared" si="152"/>
        <v>43008</v>
      </c>
      <c r="U97" s="47">
        <f t="shared" si="152"/>
        <v>43099</v>
      </c>
      <c r="V97" s="47">
        <f t="shared" si="152"/>
        <v>43189</v>
      </c>
      <c r="W97" s="47">
        <f t="shared" si="152"/>
        <v>43281</v>
      </c>
      <c r="X97" s="47">
        <f t="shared" si="152"/>
        <v>43373</v>
      </c>
      <c r="Y97" s="47">
        <f>Y2</f>
        <v>43464</v>
      </c>
      <c r="Z97" s="47">
        <f>+Z2</f>
        <v>43554</v>
      </c>
      <c r="AA97" s="47">
        <f>+AA2</f>
        <v>43646</v>
      </c>
      <c r="AB97" s="47">
        <f>+AB2</f>
        <v>43738</v>
      </c>
      <c r="AC97" s="47">
        <f>AC2</f>
        <v>43829</v>
      </c>
      <c r="AD97" s="47">
        <f>+AD2</f>
        <v>43920</v>
      </c>
      <c r="AE97" s="47">
        <f>+AE2</f>
        <v>44012</v>
      </c>
      <c r="AF97" s="47">
        <f>+AF2</f>
        <v>44104</v>
      </c>
      <c r="AG97" s="47">
        <f>AG2</f>
        <v>44195</v>
      </c>
      <c r="AH97" s="47">
        <f>+AH2</f>
        <v>44285</v>
      </c>
      <c r="AI97" s="47">
        <f>+AI2</f>
        <v>44377</v>
      </c>
      <c r="AJ97" s="47">
        <f>+AJ2</f>
        <v>44469</v>
      </c>
      <c r="AK97" s="47">
        <f>AK2</f>
        <v>44560</v>
      </c>
      <c r="AN97"/>
    </row>
    <row r="98" spans="1:198" ht="13.5" customHeight="1">
      <c r="C98" s="125"/>
      <c r="D98" s="125"/>
      <c r="E98" s="125"/>
      <c r="F98" s="125"/>
      <c r="G98" s="125"/>
      <c r="H98" s="125"/>
      <c r="I98" s="246"/>
      <c r="J98" s="246"/>
      <c r="K98" s="246"/>
      <c r="L98" s="246"/>
      <c r="N98" s="4"/>
      <c r="R98" s="4"/>
      <c r="S98" s="4"/>
      <c r="Y98" s="4"/>
      <c r="AC98" s="4"/>
      <c r="AG98" s="4"/>
      <c r="AK98" s="4"/>
      <c r="AN98"/>
    </row>
    <row r="99" spans="1:198" s="5" customFormat="1" ht="13.5" customHeight="1">
      <c r="B99" s="1" t="s">
        <v>275</v>
      </c>
      <c r="C99" s="4">
        <v>17814.335999999999</v>
      </c>
      <c r="D99" s="4">
        <v>20169.988000000001</v>
      </c>
      <c r="E99" s="4">
        <v>26313.384999999998</v>
      </c>
      <c r="F99" s="4">
        <v>29326.903999999999</v>
      </c>
      <c r="G99" s="4">
        <v>30154.66</v>
      </c>
      <c r="H99" s="4">
        <v>30154.66</v>
      </c>
      <c r="I99" s="4">
        <v>28665.642</v>
      </c>
      <c r="J99" s="4">
        <v>28665.642</v>
      </c>
      <c r="K99" s="4">
        <v>31044.030999999999</v>
      </c>
      <c r="L99" s="4">
        <v>33914.913999999997</v>
      </c>
      <c r="N99" s="4">
        <v>20753.895</v>
      </c>
      <c r="O99" s="4">
        <v>22803.217000000001</v>
      </c>
      <c r="P99" s="4">
        <v>23952.846000000001</v>
      </c>
      <c r="Q99" s="6">
        <f>+E99</f>
        <v>26313.384999999998</v>
      </c>
      <c r="R99" s="4">
        <v>25324.359</v>
      </c>
      <c r="S99" s="4">
        <v>25191.539000000001</v>
      </c>
      <c r="T99" s="4">
        <v>26772.319</v>
      </c>
      <c r="U99" s="42">
        <f>+F99</f>
        <v>29326.903999999999</v>
      </c>
      <c r="V99" s="42">
        <v>28058.812000000002</v>
      </c>
      <c r="W99" s="42">
        <v>29839.519</v>
      </c>
      <c r="X99" s="42">
        <v>28797.292000000001</v>
      </c>
      <c r="Y99" s="174">
        <f>G99</f>
        <v>30154.66</v>
      </c>
      <c r="Z99" s="42">
        <f>29902.027+4333.104</f>
        <v>34235.131000000001</v>
      </c>
      <c r="AA99" s="42">
        <f>29544.547+4208.734</f>
        <v>33753.281000000003</v>
      </c>
      <c r="AB99" s="42">
        <f>29639.848+4165.473</f>
        <v>33805.321000000004</v>
      </c>
      <c r="AC99" s="174">
        <f>I99</f>
        <v>28665.642</v>
      </c>
      <c r="AD99" s="42">
        <f>32656.78+5774.917</f>
        <v>38431.697</v>
      </c>
      <c r="AE99" s="42">
        <f>32649.332+6923.276</f>
        <v>39572.608</v>
      </c>
      <c r="AF99" s="42">
        <f>32620.613+6722.171</f>
        <v>39342.784</v>
      </c>
      <c r="AG99" s="174">
        <f>K99</f>
        <v>31044.030999999999</v>
      </c>
      <c r="AH99" s="42">
        <f>31901.639+6277.499</f>
        <v>38179.137999999999</v>
      </c>
      <c r="AI99" s="4">
        <f>31117.128+6153.206</f>
        <v>37270.334000000003</v>
      </c>
      <c r="AJ99" s="42">
        <f>33013.527+5952.016</f>
        <v>38965.543000000005</v>
      </c>
      <c r="AK99" s="174">
        <f>L99</f>
        <v>33914.913999999997</v>
      </c>
      <c r="AN99"/>
    </row>
    <row r="100" spans="1:198" s="5" customFormat="1" ht="13.5" customHeight="1">
      <c r="B100" s="1" t="s">
        <v>276</v>
      </c>
      <c r="C100" s="42">
        <v>619.98299999999995</v>
      </c>
      <c r="D100" s="42">
        <v>645.673</v>
      </c>
      <c r="E100" s="42">
        <v>736.173</v>
      </c>
      <c r="F100" s="42">
        <v>885.14300000000003</v>
      </c>
      <c r="G100" s="42">
        <v>814.75199999999995</v>
      </c>
      <c r="H100" s="42">
        <v>814.75199999999995</v>
      </c>
      <c r="I100" s="42">
        <v>974.05200000000002</v>
      </c>
      <c r="J100" s="42">
        <v>974.05200000000002</v>
      </c>
      <c r="K100" s="42">
        <v>1088.3900000000001</v>
      </c>
      <c r="L100" s="42">
        <v>1116.9269999999999</v>
      </c>
      <c r="N100" s="42">
        <v>675.79600000000005</v>
      </c>
      <c r="O100" s="42">
        <v>713.86900000000003</v>
      </c>
      <c r="P100" s="42">
        <v>645.673</v>
      </c>
      <c r="Q100" s="6">
        <f>+E100</f>
        <v>736.173</v>
      </c>
      <c r="R100" s="42">
        <v>712.94399999999996</v>
      </c>
      <c r="S100" s="42">
        <v>721.67899999999997</v>
      </c>
      <c r="T100" s="42">
        <v>736.19299999999998</v>
      </c>
      <c r="U100" s="4">
        <f>+F100</f>
        <v>885.14300000000003</v>
      </c>
      <c r="V100" s="4">
        <v>873.63</v>
      </c>
      <c r="W100" s="4">
        <v>869.59799999999996</v>
      </c>
      <c r="X100" s="4">
        <v>848.024</v>
      </c>
      <c r="Y100" s="174">
        <f>G100</f>
        <v>814.75199999999995</v>
      </c>
      <c r="Z100" s="4">
        <v>824.36</v>
      </c>
      <c r="AA100" s="4">
        <v>804.79700000000003</v>
      </c>
      <c r="AB100" s="4">
        <v>821.16099999999994</v>
      </c>
      <c r="AC100" s="174">
        <f>I100</f>
        <v>974.05200000000002</v>
      </c>
      <c r="AD100" s="4">
        <v>1024.6310000000001</v>
      </c>
      <c r="AE100" s="4">
        <v>1049.2159999999999</v>
      </c>
      <c r="AF100" s="4">
        <v>969.24</v>
      </c>
      <c r="AG100" s="174">
        <f>K100</f>
        <v>1088.3900000000001</v>
      </c>
      <c r="AH100" s="4">
        <v>1100.3119999999999</v>
      </c>
      <c r="AI100" s="42">
        <v>1092.0039999999999</v>
      </c>
      <c r="AJ100" s="4">
        <v>1101.277</v>
      </c>
      <c r="AK100" s="174">
        <f>L100</f>
        <v>1116.9269999999999</v>
      </c>
      <c r="AN100"/>
      <c r="GP100" s="26"/>
    </row>
    <row r="101" spans="1:198" s="5" customFormat="1" ht="13.5" customHeight="1">
      <c r="B101" s="7" t="s">
        <v>277</v>
      </c>
      <c r="C101" s="4">
        <v>6556.777</v>
      </c>
      <c r="D101" s="4">
        <v>7816.7669999999998</v>
      </c>
      <c r="E101" s="4">
        <v>8682.3469999999998</v>
      </c>
      <c r="F101" s="4">
        <v>10789.674000000001</v>
      </c>
      <c r="G101" s="4">
        <v>11115.967000000001</v>
      </c>
      <c r="H101" s="4">
        <v>11115.967000000001</v>
      </c>
      <c r="I101" s="4">
        <v>11095.805</v>
      </c>
      <c r="J101" s="4">
        <v>11238.374</v>
      </c>
      <c r="K101" s="4">
        <v>11944.942999999999</v>
      </c>
      <c r="L101" s="4">
        <v>14908.968999999999</v>
      </c>
      <c r="N101" s="4">
        <v>7808.7690000000002</v>
      </c>
      <c r="O101" s="4">
        <v>9736.9809999999998</v>
      </c>
      <c r="P101" s="4">
        <v>8749.5010000000002</v>
      </c>
      <c r="Q101" s="6">
        <f>+E101</f>
        <v>8682.3469999999998</v>
      </c>
      <c r="R101" s="4">
        <v>9399.0020000000004</v>
      </c>
      <c r="S101" s="4">
        <v>9856.89</v>
      </c>
      <c r="T101" s="4">
        <v>10616.795</v>
      </c>
      <c r="U101" s="42">
        <f>+F101</f>
        <v>10789.674000000001</v>
      </c>
      <c r="V101" s="42">
        <v>11701.018</v>
      </c>
      <c r="W101" s="42">
        <v>12666.504999999999</v>
      </c>
      <c r="X101" s="42">
        <v>11593.790999999999</v>
      </c>
      <c r="Y101" s="174">
        <f>G101</f>
        <v>11115.967000000001</v>
      </c>
      <c r="Z101" s="42">
        <v>11755.019</v>
      </c>
      <c r="AA101" s="42">
        <v>11471.745000000001</v>
      </c>
      <c r="AB101" s="42">
        <v>11384.450999999999</v>
      </c>
      <c r="AC101" s="174">
        <f>I101</f>
        <v>11095.805</v>
      </c>
      <c r="AD101" s="42">
        <v>12961.59</v>
      </c>
      <c r="AE101" s="42">
        <v>13146.776</v>
      </c>
      <c r="AF101" s="42">
        <v>12803.235000000001</v>
      </c>
      <c r="AG101" s="174">
        <f>K101</f>
        <v>11944.942999999999</v>
      </c>
      <c r="AH101" s="42">
        <v>11429.74</v>
      </c>
      <c r="AI101" s="4">
        <v>13023.038</v>
      </c>
      <c r="AJ101" s="42">
        <v>12724.638999999999</v>
      </c>
      <c r="AK101" s="174">
        <f>L101</f>
        <v>14908.968999999999</v>
      </c>
      <c r="AN101"/>
    </row>
    <row r="102" spans="1:198" s="5" customFormat="1" ht="13.5" customHeight="1">
      <c r="B102" s="7" t="s">
        <v>278</v>
      </c>
      <c r="C102" s="4">
        <v>6489.3959999999997</v>
      </c>
      <c r="D102" s="4">
        <v>6723.7569999999996</v>
      </c>
      <c r="E102" s="4">
        <v>6465.7150000000001</v>
      </c>
      <c r="F102" s="4">
        <v>7171.9219999999996</v>
      </c>
      <c r="G102" s="4">
        <v>7588.7380000000003</v>
      </c>
      <c r="H102" s="4">
        <v>7602.7489999999998</v>
      </c>
      <c r="I102" s="4">
        <v>7798.4110000000001</v>
      </c>
      <c r="J102" s="4">
        <v>7817.607</v>
      </c>
      <c r="K102" s="4">
        <v>8266.5040000000008</v>
      </c>
      <c r="L102" s="4">
        <v>9077.6810000000005</v>
      </c>
      <c r="N102" s="4">
        <v>6959.7290000000003</v>
      </c>
      <c r="O102" s="4">
        <v>7226.3729999999996</v>
      </c>
      <c r="P102" s="4">
        <v>7726.7330000000002</v>
      </c>
      <c r="Q102" s="6">
        <f>+E102</f>
        <v>6465.7150000000001</v>
      </c>
      <c r="R102" s="4">
        <v>7832.6149999999998</v>
      </c>
      <c r="S102" s="4">
        <v>7680.9269999999997</v>
      </c>
      <c r="T102" s="4">
        <v>8723.3279999999995</v>
      </c>
      <c r="U102" s="4">
        <f>+F102</f>
        <v>7171.9219999999996</v>
      </c>
      <c r="V102" s="4">
        <v>7065.2809999999999</v>
      </c>
      <c r="W102" s="4">
        <v>7284.35</v>
      </c>
      <c r="X102" s="4">
        <v>7224.4189999999999</v>
      </c>
      <c r="Y102" s="174">
        <f>G102</f>
        <v>7588.7380000000003</v>
      </c>
      <c r="Z102" s="4">
        <v>7543.6589999999997</v>
      </c>
      <c r="AA102" s="4">
        <v>7927.5379999999996</v>
      </c>
      <c r="AB102" s="4">
        <v>8212.8590000000004</v>
      </c>
      <c r="AC102" s="174">
        <f>I102</f>
        <v>7798.4110000000001</v>
      </c>
      <c r="AD102" s="4">
        <v>9857.7919999999995</v>
      </c>
      <c r="AE102" s="4">
        <v>8731.8919999999998</v>
      </c>
      <c r="AF102" s="4">
        <v>8647.598</v>
      </c>
      <c r="AG102" s="174">
        <f>K102</f>
        <v>8266.5040000000008</v>
      </c>
      <c r="AH102" s="4">
        <v>8067.067</v>
      </c>
      <c r="AI102" s="4">
        <v>7672.116</v>
      </c>
      <c r="AJ102" s="4">
        <v>8784.99</v>
      </c>
      <c r="AK102" s="174">
        <f>L102</f>
        <v>9077.6810000000005</v>
      </c>
      <c r="AN102"/>
    </row>
    <row r="103" spans="1:198" s="5" customFormat="1" ht="13.5" customHeight="1">
      <c r="B103" s="7" t="s">
        <v>279</v>
      </c>
      <c r="C103" s="4">
        <v>3555.5210000000002</v>
      </c>
      <c r="D103" s="4">
        <v>3914.328</v>
      </c>
      <c r="E103" s="4">
        <v>5204.0330000000004</v>
      </c>
      <c r="F103" s="42">
        <v>6512.2389999999996</v>
      </c>
      <c r="G103" s="42">
        <v>5734.0349999999999</v>
      </c>
      <c r="H103" s="4">
        <v>5968.0439999999999</v>
      </c>
      <c r="I103" s="4">
        <v>5652.2359999999999</v>
      </c>
      <c r="J103" s="4">
        <v>5652.2359999999999</v>
      </c>
      <c r="K103" s="4">
        <v>6220.0810000000001</v>
      </c>
      <c r="L103" s="4">
        <v>8754.9240000000009</v>
      </c>
      <c r="N103" s="4">
        <v>3595.404</v>
      </c>
      <c r="O103" s="4">
        <v>6016.3069999999998</v>
      </c>
      <c r="P103" s="4">
        <v>5895.424</v>
      </c>
      <c r="Q103" s="6">
        <f>+E103</f>
        <v>5204.0330000000004</v>
      </c>
      <c r="R103" s="4">
        <v>5215.076</v>
      </c>
      <c r="S103" s="4">
        <v>5057.0360000000001</v>
      </c>
      <c r="T103" s="4">
        <v>4972.4520000000002</v>
      </c>
      <c r="U103" s="42">
        <f>+F103</f>
        <v>6512.2389999999996</v>
      </c>
      <c r="V103" s="42">
        <v>6826.933</v>
      </c>
      <c r="W103" s="42">
        <v>7377.86</v>
      </c>
      <c r="X103" s="42">
        <v>6349.4690000000001</v>
      </c>
      <c r="Y103" s="174">
        <f>G103</f>
        <v>5734.0349999999999</v>
      </c>
      <c r="Z103" s="42">
        <v>6637.0810000000001</v>
      </c>
      <c r="AA103" s="42">
        <v>6725.6610000000001</v>
      </c>
      <c r="AB103" s="42">
        <v>6752.6059999999998</v>
      </c>
      <c r="AC103" s="174">
        <f>I103</f>
        <v>5652.2359999999999</v>
      </c>
      <c r="AD103" s="42">
        <v>8589.7279999999992</v>
      </c>
      <c r="AE103" s="42">
        <v>6803.8389999999999</v>
      </c>
      <c r="AF103" s="42">
        <v>6829.0439999999999</v>
      </c>
      <c r="AG103" s="174">
        <f>K103</f>
        <v>6220.0810000000001</v>
      </c>
      <c r="AH103" s="42">
        <v>6397.2870000000003</v>
      </c>
      <c r="AI103" s="4">
        <v>8424.15</v>
      </c>
      <c r="AJ103" s="42">
        <v>7975.3879999999999</v>
      </c>
      <c r="AK103" s="174">
        <f>L103</f>
        <v>8754.9240000000009</v>
      </c>
      <c r="AN103"/>
    </row>
    <row r="104" spans="1:198" s="5" customFormat="1" ht="13.5" customHeight="1">
      <c r="B104" s="1" t="s">
        <v>280</v>
      </c>
      <c r="C104" s="6">
        <f t="shared" ref="C104:H104" si="153">C101+C102-C103</f>
        <v>9490.6519999999982</v>
      </c>
      <c r="D104" s="6">
        <f t="shared" si="153"/>
        <v>10626.196</v>
      </c>
      <c r="E104" s="6">
        <f t="shared" si="153"/>
        <v>9944.0289999999986</v>
      </c>
      <c r="F104" s="6">
        <f t="shared" si="153"/>
        <v>11449.357000000002</v>
      </c>
      <c r="G104" s="6">
        <f t="shared" si="153"/>
        <v>12970.670000000002</v>
      </c>
      <c r="H104" s="6">
        <f t="shared" si="153"/>
        <v>12750.672</v>
      </c>
      <c r="I104" s="6">
        <f>I101+I102-I103</f>
        <v>13241.98</v>
      </c>
      <c r="J104" s="6">
        <f>J101+J102-J103</f>
        <v>13403.744999999999</v>
      </c>
      <c r="K104" s="6">
        <f>K101+K102-K103</f>
        <v>13991.366</v>
      </c>
      <c r="L104" s="6">
        <f>L101+L102-L103</f>
        <v>15231.726000000001</v>
      </c>
      <c r="N104" s="6">
        <f t="shared" ref="N104:S104" si="154">N101+N102-N103</f>
        <v>11173.093999999999</v>
      </c>
      <c r="O104" s="6">
        <f t="shared" si="154"/>
        <v>10947.046999999999</v>
      </c>
      <c r="P104" s="6">
        <f t="shared" si="154"/>
        <v>10580.810000000001</v>
      </c>
      <c r="Q104" s="6">
        <f t="shared" si="154"/>
        <v>9944.0289999999986</v>
      </c>
      <c r="R104" s="6">
        <f t="shared" si="154"/>
        <v>12016.540999999997</v>
      </c>
      <c r="S104" s="6">
        <f t="shared" si="154"/>
        <v>12480.780999999999</v>
      </c>
      <c r="T104" s="6">
        <f t="shared" ref="T104:Y104" si="155">T101+T102-T103</f>
        <v>14367.670999999998</v>
      </c>
      <c r="U104" s="6">
        <f t="shared" si="155"/>
        <v>11449.357000000002</v>
      </c>
      <c r="V104" s="6">
        <f t="shared" si="155"/>
        <v>11939.365999999998</v>
      </c>
      <c r="W104" s="6">
        <f t="shared" si="155"/>
        <v>12572.994999999999</v>
      </c>
      <c r="X104" s="6">
        <f t="shared" si="155"/>
        <v>12468.740999999998</v>
      </c>
      <c r="Y104" s="6">
        <f t="shared" si="155"/>
        <v>12970.670000000002</v>
      </c>
      <c r="Z104" s="6">
        <f t="shared" ref="Z104:AE104" si="156">Z101+Z102-Z103</f>
        <v>12661.597</v>
      </c>
      <c r="AA104" s="6">
        <f t="shared" si="156"/>
        <v>12673.621999999999</v>
      </c>
      <c r="AB104" s="6">
        <f t="shared" si="156"/>
        <v>12844.703999999998</v>
      </c>
      <c r="AC104" s="6">
        <f t="shared" si="156"/>
        <v>13241.98</v>
      </c>
      <c r="AD104" s="6">
        <f t="shared" si="156"/>
        <v>14229.653999999999</v>
      </c>
      <c r="AE104" s="6">
        <f t="shared" si="156"/>
        <v>15074.828999999998</v>
      </c>
      <c r="AF104" s="6">
        <f t="shared" ref="AF104:AK104" si="157">AF101+AF102-AF103</f>
        <v>14621.788999999999</v>
      </c>
      <c r="AG104" s="6">
        <f t="shared" si="157"/>
        <v>13991.366</v>
      </c>
      <c r="AH104" s="6">
        <f t="shared" si="157"/>
        <v>13099.52</v>
      </c>
      <c r="AI104" s="6">
        <f t="shared" si="157"/>
        <v>12271.004000000003</v>
      </c>
      <c r="AJ104" s="6">
        <f t="shared" si="157"/>
        <v>13534.241000000002</v>
      </c>
      <c r="AK104" s="6">
        <f t="shared" si="157"/>
        <v>15231.726000000001</v>
      </c>
      <c r="AN104"/>
    </row>
    <row r="105" spans="1:198" s="50" customFormat="1" ht="13.5" customHeight="1">
      <c r="B105" s="22" t="s">
        <v>281</v>
      </c>
      <c r="C105" s="41">
        <f t="shared" ref="C105:H105" si="158">+C104/C6</f>
        <v>0.19005886974448227</v>
      </c>
      <c r="D105" s="41">
        <f t="shared" si="158"/>
        <v>0.18233317782850236</v>
      </c>
      <c r="E105" s="41">
        <f t="shared" si="158"/>
        <v>0.14579344331381547</v>
      </c>
      <c r="F105" s="41">
        <f t="shared" si="158"/>
        <v>0.16221695907644093</v>
      </c>
      <c r="G105" s="41">
        <f t="shared" si="158"/>
        <v>0.17518205567157524</v>
      </c>
      <c r="H105" s="41">
        <f t="shared" si="158"/>
        <v>0.17221890048606123</v>
      </c>
      <c r="I105" s="41">
        <f>+I104/I6</f>
        <v>0.1711122980359478</v>
      </c>
      <c r="J105" s="41">
        <f>+J104/J6</f>
        <v>0.17320261843303231</v>
      </c>
      <c r="K105" s="41">
        <f>+K104/K6</f>
        <v>0.15357722447541347</v>
      </c>
      <c r="L105" s="41">
        <f>+L104/L6</f>
        <v>0.16160917163825578</v>
      </c>
      <c r="N105" s="41"/>
      <c r="O105" s="41"/>
      <c r="P105" s="41"/>
      <c r="Q105" s="41">
        <f t="shared" ref="Q105:AJ105" si="159">+Q104/(SUM(N6:Q6))</f>
        <v>0.14579344331381547</v>
      </c>
      <c r="R105" s="41">
        <f t="shared" si="159"/>
        <v>0.17153455417726932</v>
      </c>
      <c r="S105" s="41">
        <f t="shared" si="159"/>
        <v>0.17543367851029468</v>
      </c>
      <c r="T105" s="162">
        <f t="shared" si="159"/>
        <v>0.2021679434391834</v>
      </c>
      <c r="U105" s="41">
        <f t="shared" si="159"/>
        <v>0.16221695907644093</v>
      </c>
      <c r="V105" s="41">
        <f t="shared" si="159"/>
        <v>0.16950852482200127</v>
      </c>
      <c r="W105" s="41">
        <f t="shared" si="159"/>
        <v>0.17477169022765507</v>
      </c>
      <c r="X105" s="41">
        <f t="shared" si="159"/>
        <v>0.1701227238074772</v>
      </c>
      <c r="Y105" s="41">
        <f t="shared" si="159"/>
        <v>0.17519033710282406</v>
      </c>
      <c r="Z105" s="41">
        <f t="shared" si="159"/>
        <v>0.16863197134331931</v>
      </c>
      <c r="AA105" s="41">
        <f t="shared" si="159"/>
        <v>0.16795998876010146</v>
      </c>
      <c r="AB105" s="41">
        <f t="shared" si="159"/>
        <v>0.16676693253741062</v>
      </c>
      <c r="AC105" s="41">
        <f t="shared" si="159"/>
        <v>0.1711122980359478</v>
      </c>
      <c r="AD105" s="41">
        <f t="shared" si="159"/>
        <v>0.17708880799023222</v>
      </c>
      <c r="AE105" s="41">
        <f t="shared" si="159"/>
        <v>0.1769657893955261</v>
      </c>
      <c r="AF105" s="41">
        <f t="shared" si="159"/>
        <v>0.16502242467261474</v>
      </c>
      <c r="AG105" s="41">
        <f>+AG104/(SUM(AD6:AG6))</f>
        <v>0.15357722447541347</v>
      </c>
      <c r="AH105" s="41">
        <f t="shared" si="159"/>
        <v>0.14279309383692235</v>
      </c>
      <c r="AI105" s="41">
        <f t="shared" si="159"/>
        <v>0.1362806005433542</v>
      </c>
      <c r="AJ105" s="41">
        <f t="shared" si="159"/>
        <v>0.14959583371858126</v>
      </c>
      <c r="AK105" s="41">
        <f>+AK104/(SUM(AH6:AK6))</f>
        <v>0.16160917163825578</v>
      </c>
      <c r="AN105"/>
    </row>
    <row r="106" spans="1:198" ht="13.5" customHeight="1">
      <c r="C106" s="39"/>
      <c r="D106" s="39"/>
      <c r="E106" s="39"/>
      <c r="F106" s="39"/>
      <c r="G106" s="39"/>
      <c r="H106" s="4"/>
      <c r="I106" s="4"/>
      <c r="J106" s="4"/>
      <c r="K106" s="4"/>
      <c r="L106" s="4"/>
      <c r="AN106"/>
    </row>
    <row r="107" spans="1:198" ht="13.5" customHeight="1">
      <c r="C107" s="39"/>
      <c r="D107" s="39"/>
      <c r="E107" s="39"/>
      <c r="F107" s="39"/>
      <c r="G107" s="39"/>
      <c r="H107" s="4"/>
      <c r="I107" s="4"/>
      <c r="J107" s="4"/>
      <c r="K107" s="4"/>
      <c r="L107" s="4"/>
      <c r="AN107"/>
    </row>
    <row r="108" spans="1:198" ht="13.5" customHeight="1">
      <c r="B108" s="5" t="s">
        <v>285</v>
      </c>
      <c r="C108" s="39"/>
      <c r="D108" s="39"/>
      <c r="E108" s="39"/>
      <c r="F108" s="39"/>
      <c r="G108" s="39"/>
      <c r="H108" s="4"/>
      <c r="I108" s="4"/>
      <c r="J108" s="4"/>
      <c r="K108" s="4"/>
      <c r="L108" s="4"/>
      <c r="AN108"/>
    </row>
    <row r="109" spans="1:198" ht="13.5" customHeight="1">
      <c r="B109" s="1" t="s">
        <v>286</v>
      </c>
      <c r="C109" s="4">
        <f>973.499+9768.263</f>
        <v>10741.762000000001</v>
      </c>
      <c r="D109" s="4">
        <f>1979.983+11166.991</f>
        <v>13146.974</v>
      </c>
      <c r="E109" s="4">
        <f>2971.58+12979.711</f>
        <v>15951.290999999999</v>
      </c>
      <c r="F109" s="4">
        <f>2490+406.675+248.993+1797.772+492.857+14770.423</f>
        <v>20206.72</v>
      </c>
      <c r="G109" s="4">
        <f>3550+2000+2990.409+780.288+516.485+563.235+3188.723+7905.54</f>
        <v>21494.68</v>
      </c>
      <c r="H109" s="4">
        <f>3550+2000+2990.409+780.288+516.485+563.235+3188.723+7905.54</f>
        <v>21494.68</v>
      </c>
      <c r="I109" s="4">
        <f>2000+2992.161+587.076+538.216+2501.544+225.378+12781.475</f>
        <v>21625.85</v>
      </c>
      <c r="J109" s="4">
        <f>2000+2992.161+587.076+538.216+2501.544+225.378+12781.475</f>
        <v>21625.85</v>
      </c>
      <c r="K109" s="4">
        <f>2000+2993.818+720.179+3287.921+262.322+8211.129+5400.047</f>
        <v>22875.415999999997</v>
      </c>
      <c r="L109" s="4">
        <f>750+2995.851+1991.702+375.484+249.549+8459.381+5332.165+4306.771</f>
        <v>24460.903000000002</v>
      </c>
      <c r="N109" s="4">
        <f>1992.841+10622.235</f>
        <v>12615.076000000001</v>
      </c>
      <c r="O109" s="4">
        <f>2002.797+11235.101</f>
        <v>13237.898000000001</v>
      </c>
      <c r="P109" s="4">
        <f>1989.896+11590.147</f>
        <v>13580.043000000001</v>
      </c>
      <c r="Q109" s="6">
        <f>+E109</f>
        <v>15951.290999999999</v>
      </c>
      <c r="R109" s="4">
        <f>3792.147+9959.853</f>
        <v>13752</v>
      </c>
      <c r="S109" s="4">
        <f>3267.381+11057.493</f>
        <v>14324.874</v>
      </c>
      <c r="T109" s="4">
        <f>3244.293+16910.228</f>
        <v>20154.521000000001</v>
      </c>
      <c r="U109" s="42">
        <f>+F109</f>
        <v>20206.72</v>
      </c>
      <c r="V109" s="42">
        <f>4200+428.256+439.485+1671.424+527.155+13454.919</f>
        <v>20721.239000000001</v>
      </c>
      <c r="W109" s="42">
        <f>6120+148.975+249.874+546.007+1783.105+1933.573+12984.891</f>
        <v>23766.424999999999</v>
      </c>
      <c r="X109" s="42">
        <f>2100+2000+3000+84.655+236.201+516.513+468.427+4840.295+7553.34</f>
        <v>20799.431</v>
      </c>
      <c r="Y109" s="174">
        <f>G109</f>
        <v>21494.68</v>
      </c>
      <c r="Z109" s="42">
        <f>5820+2000+2990.773+251.161+455.103+503.269+550.69+1586.681+7759.243</f>
        <v>21916.920000000002</v>
      </c>
      <c r="AA109" s="42">
        <f>5420+2000+2991.149+153.348+526.174+2778.791+1868.515+39.684+7700.47</f>
        <v>23478.130999999998</v>
      </c>
      <c r="AB109" s="42">
        <f>4470+2000+2991.717+100.203+533.188+486.232+4272.551+39.136+7851.828</f>
        <v>22744.855</v>
      </c>
      <c r="AC109" s="174">
        <f>I109</f>
        <v>21625.85</v>
      </c>
      <c r="AD109" s="42">
        <f>2000+2992.61+891.559+670.844+3130.135+277.754+15958.507</f>
        <v>25921.409</v>
      </c>
      <c r="AE109" s="42">
        <f>2000+2992.859+495.061+261.602+2262.804+2117.171+276.357+15606.314</f>
        <v>26012.167999999998</v>
      </c>
      <c r="AF109" s="42">
        <f>2000+2993.333+257.62+301.795+4012.197+280.314+280.308+15242.453</f>
        <v>25368.019999999997</v>
      </c>
      <c r="AG109" s="174">
        <f>K109</f>
        <v>22875.415999999997</v>
      </c>
      <c r="AH109" s="42">
        <f>2000+2994.303+1171.308+261.36+258.467+8471.429+9655.21</f>
        <v>24812.076999999997</v>
      </c>
      <c r="AI109" s="42">
        <f>2994.805+1990.49+45.911+255.559+252.73+8146.647+9287.209</f>
        <v>22973.351000000002</v>
      </c>
      <c r="AJ109" s="42">
        <f>2995.323+1991.457+42.058+42.89+251.82+252.026+8309.2+9515.092</f>
        <v>23399.866000000002</v>
      </c>
      <c r="AK109" s="174">
        <f>L109</f>
        <v>24460.903000000002</v>
      </c>
      <c r="AN109"/>
    </row>
    <row r="110" spans="1:198" ht="13.5" customHeight="1">
      <c r="B110" s="1" t="s">
        <v>287</v>
      </c>
      <c r="C110" s="42">
        <v>19.398</v>
      </c>
      <c r="D110" s="42">
        <v>7.4669999999999996</v>
      </c>
      <c r="E110" s="42">
        <f>3.295</f>
        <v>3.2949999999999999</v>
      </c>
      <c r="F110" s="42"/>
      <c r="G110" s="42"/>
      <c r="H110" s="4"/>
      <c r="I110" s="42"/>
      <c r="J110" s="42"/>
      <c r="K110" s="42"/>
      <c r="L110" s="42"/>
      <c r="N110" s="42"/>
      <c r="O110" s="42"/>
      <c r="P110" s="42"/>
      <c r="Q110" s="6">
        <f>+E110</f>
        <v>3.2949999999999999</v>
      </c>
      <c r="R110" s="42"/>
      <c r="S110" s="42"/>
      <c r="T110" s="42"/>
      <c r="U110" s="6"/>
      <c r="V110" s="6"/>
      <c r="W110" s="6"/>
      <c r="X110" s="6"/>
      <c r="Y110" s="42"/>
      <c r="Z110" s="202"/>
      <c r="AA110" s="202"/>
      <c r="AB110" s="42"/>
      <c r="AC110" s="174"/>
      <c r="AD110" s="202"/>
      <c r="AE110" s="202"/>
      <c r="AF110" s="42"/>
      <c r="AG110" s="174"/>
      <c r="AH110" s="202"/>
      <c r="AI110" s="202"/>
      <c r="AJ110" s="42"/>
      <c r="AK110" s="174"/>
      <c r="AN110"/>
    </row>
    <row r="111" spans="1:198" ht="13.5" customHeight="1">
      <c r="B111" s="1" t="s">
        <v>288</v>
      </c>
      <c r="C111" s="39"/>
      <c r="D111" s="39"/>
      <c r="E111" s="39"/>
      <c r="F111" s="39"/>
      <c r="G111" s="39"/>
      <c r="H111" s="4"/>
      <c r="I111" s="4"/>
      <c r="J111" s="4"/>
      <c r="K111" s="4"/>
      <c r="L111" s="4"/>
      <c r="N111" s="39"/>
      <c r="O111" s="39"/>
      <c r="P111" s="39"/>
      <c r="Q111" s="39"/>
      <c r="R111" s="39"/>
      <c r="S111" s="39"/>
      <c r="T111" s="39"/>
      <c r="U111" s="6"/>
      <c r="V111" s="6"/>
      <c r="W111" s="6"/>
      <c r="X111" s="6"/>
      <c r="Y111" s="39"/>
      <c r="Z111" s="6"/>
      <c r="AA111" s="6"/>
      <c r="AB111" s="6"/>
      <c r="AC111" s="39"/>
      <c r="AD111" s="6"/>
      <c r="AE111" s="6"/>
      <c r="AF111" s="6"/>
      <c r="AG111" s="39"/>
      <c r="AH111" s="6"/>
      <c r="AI111" s="6"/>
      <c r="AJ111" s="6"/>
      <c r="AK111" s="39"/>
      <c r="AN111"/>
    </row>
    <row r="112" spans="1:198" ht="13.5" customHeight="1">
      <c r="C112" s="39"/>
      <c r="D112" s="39"/>
      <c r="E112" s="39"/>
      <c r="F112" s="39"/>
      <c r="G112" s="39"/>
      <c r="H112" s="4"/>
      <c r="I112" s="4"/>
      <c r="J112" s="4"/>
      <c r="K112" s="4"/>
      <c r="L112" s="4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N112"/>
    </row>
    <row r="113" spans="2:40" ht="13.5" customHeight="1">
      <c r="B113" s="7" t="s">
        <v>289</v>
      </c>
      <c r="C113" s="8">
        <f t="shared" ref="C113:H113" si="160">C80</f>
        <v>1465.0880000000002</v>
      </c>
      <c r="D113" s="8">
        <f t="shared" si="160"/>
        <v>2919.0540000000005</v>
      </c>
      <c r="E113" s="8">
        <f t="shared" si="160"/>
        <v>5466.5300000000007</v>
      </c>
      <c r="F113" s="8">
        <f t="shared" si="160"/>
        <v>3229.9800000000005</v>
      </c>
      <c r="G113" s="8">
        <f t="shared" si="160"/>
        <v>3435.7220000000007</v>
      </c>
      <c r="H113" s="8">
        <f t="shared" si="160"/>
        <v>3435.7220000000007</v>
      </c>
      <c r="I113" s="8">
        <f>I80</f>
        <v>3818.1810000000005</v>
      </c>
      <c r="J113" s="8">
        <f>J80</f>
        <v>3943.5010000000007</v>
      </c>
      <c r="K113" s="8">
        <f>K80</f>
        <v>6172.7540000000008</v>
      </c>
      <c r="L113" s="8">
        <f>L80</f>
        <v>5248.1290000000008</v>
      </c>
      <c r="N113" s="8">
        <f t="shared" ref="N113:Z113" si="161">N80</f>
        <v>3396.4830000000006</v>
      </c>
      <c r="O113" s="8">
        <f t="shared" si="161"/>
        <v>2901.7750000000005</v>
      </c>
      <c r="P113" s="8">
        <f t="shared" si="161"/>
        <v>4744.348</v>
      </c>
      <c r="Q113" s="8">
        <f t="shared" si="161"/>
        <v>5466.5299999999988</v>
      </c>
      <c r="R113" s="8">
        <f t="shared" si="161"/>
        <v>3880.6709999999985</v>
      </c>
      <c r="S113" s="8">
        <f t="shared" si="161"/>
        <v>3332.1649999999986</v>
      </c>
      <c r="T113" s="8">
        <f t="shared" si="161"/>
        <v>3695.4049999999988</v>
      </c>
      <c r="U113" s="8">
        <f t="shared" si="161"/>
        <v>3229.9799999999991</v>
      </c>
      <c r="V113" s="8">
        <f t="shared" si="161"/>
        <v>4103.9359999999988</v>
      </c>
      <c r="W113" s="8">
        <f t="shared" si="161"/>
        <v>5368.9799999999987</v>
      </c>
      <c r="X113" s="8">
        <f t="shared" si="161"/>
        <v>3746.6419999999989</v>
      </c>
      <c r="Y113" s="8">
        <f t="shared" si="161"/>
        <v>3435.7219999999984</v>
      </c>
      <c r="Z113" s="8">
        <f t="shared" si="161"/>
        <v>3884.8639999999982</v>
      </c>
      <c r="AA113" s="8">
        <f t="shared" ref="AA113:AF113" si="162">AA80</f>
        <v>4828.5009999999984</v>
      </c>
      <c r="AB113" s="8">
        <f t="shared" si="162"/>
        <v>4594.0969999999979</v>
      </c>
      <c r="AC113" s="8">
        <f t="shared" si="162"/>
        <v>3818.1809999999969</v>
      </c>
      <c r="AD113" s="8">
        <f t="shared" si="162"/>
        <v>5822.5630000000001</v>
      </c>
      <c r="AE113" s="8">
        <f t="shared" si="162"/>
        <v>7071.0430000000006</v>
      </c>
      <c r="AF113" s="8">
        <f t="shared" si="162"/>
        <v>7851.9920000000002</v>
      </c>
      <c r="AG113" s="8">
        <f>AG80</f>
        <v>6172.7540000000017</v>
      </c>
      <c r="AH113" s="8">
        <f>AH80</f>
        <v>8423.7680000000018</v>
      </c>
      <c r="AI113" s="8">
        <f>AI80</f>
        <v>8299.5870000000014</v>
      </c>
      <c r="AJ113" s="8">
        <f>AJ80</f>
        <v>6862.8460000000014</v>
      </c>
      <c r="AK113" s="8">
        <f>AK80</f>
        <v>5248.1290000000045</v>
      </c>
      <c r="AN113"/>
    </row>
    <row r="114" spans="2:40" ht="13.5" customHeight="1">
      <c r="B114" s="7"/>
      <c r="C114" s="4"/>
      <c r="D114" s="4"/>
      <c r="E114" s="4"/>
      <c r="F114" s="4"/>
      <c r="G114" s="4"/>
      <c r="H114" s="39"/>
      <c r="I114" s="39"/>
      <c r="J114" s="39"/>
      <c r="K114" s="39"/>
      <c r="L114" s="39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N114"/>
    </row>
    <row r="115" spans="2:40" ht="13.5" customHeight="1">
      <c r="B115" s="5" t="s">
        <v>19</v>
      </c>
      <c r="C115" s="8">
        <f t="shared" ref="C115:H115" si="163">+C116-C113</f>
        <v>9276.6740000000009</v>
      </c>
      <c r="D115" s="8">
        <f t="shared" si="163"/>
        <v>10227.92</v>
      </c>
      <c r="E115" s="8">
        <f t="shared" si="163"/>
        <v>10484.760999999999</v>
      </c>
      <c r="F115" s="8">
        <f t="shared" si="163"/>
        <v>16976.740000000002</v>
      </c>
      <c r="G115" s="8">
        <f t="shared" si="163"/>
        <v>18058.957999999999</v>
      </c>
      <c r="H115" s="8">
        <f t="shared" si="163"/>
        <v>18058.957999999999</v>
      </c>
      <c r="I115" s="8">
        <f>+I116-I113</f>
        <v>17807.668999999998</v>
      </c>
      <c r="J115" s="8">
        <f>+J116-J113</f>
        <v>17682.348999999998</v>
      </c>
      <c r="K115" s="8">
        <f>+K116-K113</f>
        <v>16702.661999999997</v>
      </c>
      <c r="L115" s="8">
        <f>+L116-L113</f>
        <v>19212.774000000001</v>
      </c>
      <c r="N115" s="8">
        <f t="shared" ref="N115:S115" si="164">+N116-N113</f>
        <v>9218.5930000000008</v>
      </c>
      <c r="O115" s="8">
        <f t="shared" si="164"/>
        <v>10336.123</v>
      </c>
      <c r="P115" s="8">
        <f t="shared" si="164"/>
        <v>8835.6950000000015</v>
      </c>
      <c r="Q115" s="8">
        <f>+Q116-Q113</f>
        <v>10484.761</v>
      </c>
      <c r="R115" s="8">
        <f t="shared" si="164"/>
        <v>9871.3290000000015</v>
      </c>
      <c r="S115" s="8">
        <f t="shared" si="164"/>
        <v>10992.709000000001</v>
      </c>
      <c r="T115" s="8">
        <f t="shared" ref="T115:Y115" si="165">+T116-T113</f>
        <v>16459.116000000002</v>
      </c>
      <c r="U115" s="8">
        <f t="shared" si="165"/>
        <v>16976.740000000002</v>
      </c>
      <c r="V115" s="8">
        <f t="shared" si="165"/>
        <v>16617.303000000004</v>
      </c>
      <c r="W115" s="8">
        <f t="shared" si="165"/>
        <v>18397.445</v>
      </c>
      <c r="X115" s="8">
        <f t="shared" si="165"/>
        <v>17052.789000000001</v>
      </c>
      <c r="Y115" s="8">
        <f t="shared" si="165"/>
        <v>18058.958000000002</v>
      </c>
      <c r="Z115" s="8">
        <f t="shared" ref="Z115:AE115" si="166">+Z116-Z113</f>
        <v>18032.056000000004</v>
      </c>
      <c r="AA115" s="8">
        <f t="shared" si="166"/>
        <v>18649.629999999997</v>
      </c>
      <c r="AB115" s="8">
        <f t="shared" si="166"/>
        <v>18150.758000000002</v>
      </c>
      <c r="AC115" s="8">
        <f t="shared" si="166"/>
        <v>17807.669000000002</v>
      </c>
      <c r="AD115" s="8">
        <f t="shared" si="166"/>
        <v>20098.845999999998</v>
      </c>
      <c r="AE115" s="8">
        <f t="shared" si="166"/>
        <v>18941.124999999996</v>
      </c>
      <c r="AF115" s="8">
        <f t="shared" ref="AF115:AK115" si="167">+AF116-AF113</f>
        <v>17516.027999999998</v>
      </c>
      <c r="AG115" s="8">
        <f t="shared" si="167"/>
        <v>16702.661999999997</v>
      </c>
      <c r="AH115" s="8">
        <f t="shared" si="167"/>
        <v>16388.308999999994</v>
      </c>
      <c r="AI115" s="8">
        <f t="shared" si="167"/>
        <v>14673.764000000001</v>
      </c>
      <c r="AJ115" s="8">
        <f t="shared" si="167"/>
        <v>16537.02</v>
      </c>
      <c r="AK115" s="8">
        <f t="shared" si="167"/>
        <v>19212.773999999998</v>
      </c>
      <c r="AN115"/>
    </row>
    <row r="116" spans="2:40" s="5" customFormat="1" ht="13.5" customHeight="1">
      <c r="B116" s="5" t="s">
        <v>290</v>
      </c>
      <c r="C116" s="8">
        <f t="shared" ref="C116:AA116" si="168">+C109</f>
        <v>10741.762000000001</v>
      </c>
      <c r="D116" s="8">
        <f t="shared" si="168"/>
        <v>13146.974</v>
      </c>
      <c r="E116" s="8">
        <f t="shared" si="168"/>
        <v>15951.290999999999</v>
      </c>
      <c r="F116" s="8">
        <f t="shared" si="168"/>
        <v>20206.72</v>
      </c>
      <c r="G116" s="8">
        <f t="shared" si="168"/>
        <v>21494.68</v>
      </c>
      <c r="H116" s="8">
        <f t="shared" si="168"/>
        <v>21494.68</v>
      </c>
      <c r="I116" s="8">
        <f>+I109</f>
        <v>21625.85</v>
      </c>
      <c r="J116" s="8">
        <f>+J109</f>
        <v>21625.85</v>
      </c>
      <c r="K116" s="8">
        <f>+K109</f>
        <v>22875.415999999997</v>
      </c>
      <c r="L116" s="8">
        <f>+L109</f>
        <v>24460.903000000002</v>
      </c>
      <c r="N116" s="8">
        <f t="shared" si="168"/>
        <v>12615.076000000001</v>
      </c>
      <c r="O116" s="8">
        <f t="shared" si="168"/>
        <v>13237.898000000001</v>
      </c>
      <c r="P116" s="8">
        <f t="shared" si="168"/>
        <v>13580.043000000001</v>
      </c>
      <c r="Q116" s="8">
        <f t="shared" si="168"/>
        <v>15951.290999999999</v>
      </c>
      <c r="R116" s="8">
        <f t="shared" si="168"/>
        <v>13752</v>
      </c>
      <c r="S116" s="8">
        <f t="shared" si="168"/>
        <v>14324.874</v>
      </c>
      <c r="T116" s="8">
        <f t="shared" si="168"/>
        <v>20154.521000000001</v>
      </c>
      <c r="U116" s="8">
        <f t="shared" si="168"/>
        <v>20206.72</v>
      </c>
      <c r="V116" s="8">
        <f t="shared" si="168"/>
        <v>20721.239000000001</v>
      </c>
      <c r="W116" s="8">
        <f t="shared" si="168"/>
        <v>23766.424999999999</v>
      </c>
      <c r="X116" s="8">
        <f t="shared" si="168"/>
        <v>20799.431</v>
      </c>
      <c r="Y116" s="8">
        <f t="shared" si="168"/>
        <v>21494.68</v>
      </c>
      <c r="Z116" s="8">
        <f t="shared" si="168"/>
        <v>21916.920000000002</v>
      </c>
      <c r="AA116" s="8">
        <f t="shared" si="168"/>
        <v>23478.130999999998</v>
      </c>
      <c r="AB116" s="8">
        <f t="shared" ref="AB116:AG116" si="169">+AB109</f>
        <v>22744.855</v>
      </c>
      <c r="AC116" s="8">
        <f t="shared" si="169"/>
        <v>21625.85</v>
      </c>
      <c r="AD116" s="8">
        <f t="shared" si="169"/>
        <v>25921.409</v>
      </c>
      <c r="AE116" s="8">
        <f t="shared" si="169"/>
        <v>26012.167999999998</v>
      </c>
      <c r="AF116" s="8">
        <f t="shared" si="169"/>
        <v>25368.019999999997</v>
      </c>
      <c r="AG116" s="8">
        <f t="shared" si="169"/>
        <v>22875.415999999997</v>
      </c>
      <c r="AH116" s="8">
        <f>+AH109</f>
        <v>24812.076999999997</v>
      </c>
      <c r="AI116" s="8">
        <f>+AI109</f>
        <v>22973.351000000002</v>
      </c>
      <c r="AJ116" s="8">
        <f>+AJ109</f>
        <v>23399.866000000002</v>
      </c>
      <c r="AK116" s="8">
        <f>+AK109</f>
        <v>24460.903000000002</v>
      </c>
      <c r="AN116"/>
    </row>
    <row r="117" spans="2:40" s="5" customFormat="1" ht="13.5" customHeight="1">
      <c r="C117" s="28"/>
      <c r="D117" s="28"/>
      <c r="E117" s="28"/>
      <c r="F117" s="28"/>
      <c r="G117" s="28"/>
      <c r="H117" s="67"/>
      <c r="I117" s="67"/>
      <c r="J117" s="67"/>
      <c r="K117" s="67"/>
      <c r="L117" s="67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N117"/>
    </row>
    <row r="118" spans="2:40" ht="13.5" customHeight="1">
      <c r="B118" s="1" t="s">
        <v>291</v>
      </c>
      <c r="C118" s="6">
        <f t="shared" ref="C118:H118" si="170">C110</f>
        <v>19.398</v>
      </c>
      <c r="D118" s="6">
        <f t="shared" si="170"/>
        <v>7.4669999999999996</v>
      </c>
      <c r="E118" s="6">
        <f t="shared" si="170"/>
        <v>3.2949999999999999</v>
      </c>
      <c r="F118" s="6">
        <f t="shared" si="170"/>
        <v>0</v>
      </c>
      <c r="G118" s="6">
        <f t="shared" si="170"/>
        <v>0</v>
      </c>
      <c r="H118" s="6">
        <f t="shared" si="170"/>
        <v>0</v>
      </c>
      <c r="I118" s="6">
        <f>I110</f>
        <v>0</v>
      </c>
      <c r="J118" s="6">
        <f>J110</f>
        <v>0</v>
      </c>
      <c r="K118" s="6">
        <f>K110</f>
        <v>0</v>
      </c>
      <c r="L118" s="6">
        <f>L110</f>
        <v>0</v>
      </c>
      <c r="N118" s="6">
        <f t="shared" ref="N118:Y118" si="171">N110</f>
        <v>0</v>
      </c>
      <c r="O118" s="6">
        <f t="shared" si="171"/>
        <v>0</v>
      </c>
      <c r="P118" s="6">
        <f t="shared" si="171"/>
        <v>0</v>
      </c>
      <c r="Q118" s="6">
        <f t="shared" si="171"/>
        <v>3.2949999999999999</v>
      </c>
      <c r="R118" s="6">
        <f t="shared" si="171"/>
        <v>0</v>
      </c>
      <c r="S118" s="6">
        <f t="shared" si="171"/>
        <v>0</v>
      </c>
      <c r="T118" s="6">
        <f t="shared" si="171"/>
        <v>0</v>
      </c>
      <c r="U118" s="6">
        <f t="shared" si="171"/>
        <v>0</v>
      </c>
      <c r="V118" s="6">
        <f t="shared" si="171"/>
        <v>0</v>
      </c>
      <c r="W118" s="6">
        <f t="shared" si="171"/>
        <v>0</v>
      </c>
      <c r="X118" s="6">
        <f t="shared" si="171"/>
        <v>0</v>
      </c>
      <c r="Y118" s="6">
        <f t="shared" si="171"/>
        <v>0</v>
      </c>
      <c r="Z118" s="6">
        <f t="shared" ref="Z118:AE118" si="172">Z110</f>
        <v>0</v>
      </c>
      <c r="AA118" s="6">
        <f t="shared" si="172"/>
        <v>0</v>
      </c>
      <c r="AB118" s="6">
        <f t="shared" si="172"/>
        <v>0</v>
      </c>
      <c r="AC118" s="6">
        <f t="shared" si="172"/>
        <v>0</v>
      </c>
      <c r="AD118" s="6">
        <f t="shared" si="172"/>
        <v>0</v>
      </c>
      <c r="AE118" s="6">
        <f t="shared" si="172"/>
        <v>0</v>
      </c>
      <c r="AF118" s="6">
        <f t="shared" ref="AF118:AK118" si="173">AF110</f>
        <v>0</v>
      </c>
      <c r="AG118" s="6">
        <f t="shared" si="173"/>
        <v>0</v>
      </c>
      <c r="AH118" s="6">
        <f t="shared" si="173"/>
        <v>0</v>
      </c>
      <c r="AI118" s="6">
        <f t="shared" si="173"/>
        <v>0</v>
      </c>
      <c r="AJ118" s="6">
        <f t="shared" si="173"/>
        <v>0</v>
      </c>
      <c r="AK118" s="6">
        <f t="shared" si="173"/>
        <v>0</v>
      </c>
      <c r="AN118"/>
    </row>
    <row r="119" spans="2:40" ht="13.5" customHeight="1">
      <c r="B119" s="5"/>
      <c r="C119" s="28"/>
      <c r="D119" s="28"/>
      <c r="E119" s="28"/>
      <c r="F119" s="28"/>
      <c r="G119" s="28"/>
      <c r="H119" s="67"/>
      <c r="I119" s="67"/>
      <c r="J119" s="67"/>
      <c r="K119" s="67"/>
      <c r="L119" s="67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N119"/>
    </row>
    <row r="120" spans="2:40" ht="13.5" customHeight="1">
      <c r="B120" s="5" t="s">
        <v>292</v>
      </c>
      <c r="C120" s="8">
        <f t="shared" ref="C120:H120" si="174">C115+C118</f>
        <v>9296.0720000000001</v>
      </c>
      <c r="D120" s="8">
        <f t="shared" si="174"/>
        <v>10235.387000000001</v>
      </c>
      <c r="E120" s="8">
        <f t="shared" si="174"/>
        <v>10488.055999999999</v>
      </c>
      <c r="F120" s="8">
        <f t="shared" si="174"/>
        <v>16976.740000000002</v>
      </c>
      <c r="G120" s="8">
        <f t="shared" si="174"/>
        <v>18058.957999999999</v>
      </c>
      <c r="H120" s="8">
        <f t="shared" si="174"/>
        <v>18058.957999999999</v>
      </c>
      <c r="I120" s="8">
        <f>I115+I118</f>
        <v>17807.668999999998</v>
      </c>
      <c r="J120" s="8">
        <f>J115+J118</f>
        <v>17682.348999999998</v>
      </c>
      <c r="K120" s="8">
        <f>K115+K118</f>
        <v>16702.661999999997</v>
      </c>
      <c r="L120" s="8">
        <f>L115+L118</f>
        <v>19212.774000000001</v>
      </c>
      <c r="N120" s="8">
        <f t="shared" ref="N120:S120" si="175">N115+N118</f>
        <v>9218.5930000000008</v>
      </c>
      <c r="O120" s="8">
        <f t="shared" si="175"/>
        <v>10336.123</v>
      </c>
      <c r="P120" s="8">
        <f t="shared" si="175"/>
        <v>8835.6950000000015</v>
      </c>
      <c r="Q120" s="8">
        <f t="shared" si="175"/>
        <v>10488.056</v>
      </c>
      <c r="R120" s="8">
        <f t="shared" si="175"/>
        <v>9871.3290000000015</v>
      </c>
      <c r="S120" s="8">
        <f t="shared" si="175"/>
        <v>10992.709000000001</v>
      </c>
      <c r="T120" s="8">
        <f t="shared" ref="T120:Y120" si="176">T115+T118</f>
        <v>16459.116000000002</v>
      </c>
      <c r="U120" s="8">
        <f t="shared" si="176"/>
        <v>16976.740000000002</v>
      </c>
      <c r="V120" s="8">
        <f t="shared" si="176"/>
        <v>16617.303000000004</v>
      </c>
      <c r="W120" s="8">
        <f t="shared" si="176"/>
        <v>18397.445</v>
      </c>
      <c r="X120" s="8">
        <f t="shared" si="176"/>
        <v>17052.789000000001</v>
      </c>
      <c r="Y120" s="8">
        <f t="shared" si="176"/>
        <v>18058.958000000002</v>
      </c>
      <c r="Z120" s="8">
        <f t="shared" ref="Z120:AE120" si="177">Z115+Z118</f>
        <v>18032.056000000004</v>
      </c>
      <c r="AA120" s="8">
        <f t="shared" si="177"/>
        <v>18649.629999999997</v>
      </c>
      <c r="AB120" s="8">
        <f t="shared" si="177"/>
        <v>18150.758000000002</v>
      </c>
      <c r="AC120" s="8">
        <f t="shared" si="177"/>
        <v>17807.669000000002</v>
      </c>
      <c r="AD120" s="8">
        <f t="shared" si="177"/>
        <v>20098.845999999998</v>
      </c>
      <c r="AE120" s="8">
        <f t="shared" si="177"/>
        <v>18941.124999999996</v>
      </c>
      <c r="AF120" s="8">
        <f t="shared" ref="AF120:AK120" si="178">AF115+AF118</f>
        <v>17516.027999999998</v>
      </c>
      <c r="AG120" s="8">
        <f t="shared" si="178"/>
        <v>16702.661999999997</v>
      </c>
      <c r="AH120" s="8">
        <f t="shared" si="178"/>
        <v>16388.308999999994</v>
      </c>
      <c r="AI120" s="8">
        <f t="shared" si="178"/>
        <v>14673.764000000001</v>
      </c>
      <c r="AJ120" s="8">
        <f t="shared" si="178"/>
        <v>16537.02</v>
      </c>
      <c r="AK120" s="8">
        <f t="shared" si="178"/>
        <v>19212.773999999998</v>
      </c>
      <c r="AN120"/>
    </row>
    <row r="121" spans="2:40" ht="13.5" customHeight="1">
      <c r="B121" s="5" t="s">
        <v>293</v>
      </c>
      <c r="C121" s="8">
        <f t="shared" ref="C121:H121" si="179">C116+C118</f>
        <v>10761.16</v>
      </c>
      <c r="D121" s="8">
        <f t="shared" si="179"/>
        <v>13154.441000000001</v>
      </c>
      <c r="E121" s="8">
        <f t="shared" si="179"/>
        <v>15954.585999999999</v>
      </c>
      <c r="F121" s="8">
        <f t="shared" si="179"/>
        <v>20206.72</v>
      </c>
      <c r="G121" s="8">
        <f t="shared" si="179"/>
        <v>21494.68</v>
      </c>
      <c r="H121" s="8">
        <f t="shared" si="179"/>
        <v>21494.68</v>
      </c>
      <c r="I121" s="8">
        <f>I116+I118</f>
        <v>21625.85</v>
      </c>
      <c r="J121" s="8">
        <f>J116+J118</f>
        <v>21625.85</v>
      </c>
      <c r="K121" s="8">
        <f>K116+K118</f>
        <v>22875.415999999997</v>
      </c>
      <c r="L121" s="8">
        <f>L116+L118</f>
        <v>24460.903000000002</v>
      </c>
      <c r="N121" s="8">
        <f t="shared" ref="N121:S121" si="180">N116+N118</f>
        <v>12615.076000000001</v>
      </c>
      <c r="O121" s="8">
        <f t="shared" si="180"/>
        <v>13237.898000000001</v>
      </c>
      <c r="P121" s="8">
        <f t="shared" si="180"/>
        <v>13580.043000000001</v>
      </c>
      <c r="Q121" s="8">
        <f t="shared" si="180"/>
        <v>15954.585999999999</v>
      </c>
      <c r="R121" s="8">
        <f t="shared" si="180"/>
        <v>13752</v>
      </c>
      <c r="S121" s="8">
        <f t="shared" si="180"/>
        <v>14324.874</v>
      </c>
      <c r="T121" s="8">
        <f t="shared" ref="T121:Y121" si="181">T116+T118</f>
        <v>20154.521000000001</v>
      </c>
      <c r="U121" s="8">
        <f t="shared" si="181"/>
        <v>20206.72</v>
      </c>
      <c r="V121" s="8">
        <f t="shared" si="181"/>
        <v>20721.239000000001</v>
      </c>
      <c r="W121" s="8">
        <f t="shared" si="181"/>
        <v>23766.424999999999</v>
      </c>
      <c r="X121" s="8">
        <f t="shared" si="181"/>
        <v>20799.431</v>
      </c>
      <c r="Y121" s="8">
        <f t="shared" si="181"/>
        <v>21494.68</v>
      </c>
      <c r="Z121" s="8">
        <f t="shared" ref="Z121:AE121" si="182">Z116+Z118</f>
        <v>21916.920000000002</v>
      </c>
      <c r="AA121" s="8">
        <f t="shared" si="182"/>
        <v>23478.130999999998</v>
      </c>
      <c r="AB121" s="8">
        <f t="shared" si="182"/>
        <v>22744.855</v>
      </c>
      <c r="AC121" s="8">
        <f t="shared" si="182"/>
        <v>21625.85</v>
      </c>
      <c r="AD121" s="8">
        <f t="shared" si="182"/>
        <v>25921.409</v>
      </c>
      <c r="AE121" s="8">
        <f t="shared" si="182"/>
        <v>26012.167999999998</v>
      </c>
      <c r="AF121" s="8">
        <f t="shared" ref="AF121:AK121" si="183">AF116+AF118</f>
        <v>25368.019999999997</v>
      </c>
      <c r="AG121" s="8">
        <f t="shared" si="183"/>
        <v>22875.415999999997</v>
      </c>
      <c r="AH121" s="8">
        <f t="shared" si="183"/>
        <v>24812.076999999997</v>
      </c>
      <c r="AI121" s="8">
        <f t="shared" si="183"/>
        <v>22973.351000000002</v>
      </c>
      <c r="AJ121" s="8">
        <f t="shared" si="183"/>
        <v>23399.866000000002</v>
      </c>
      <c r="AK121" s="8">
        <f t="shared" si="183"/>
        <v>24460.903000000002</v>
      </c>
      <c r="AN121"/>
    </row>
    <row r="122" spans="2:40" ht="14.25" customHeight="1">
      <c r="D122" s="109"/>
      <c r="H122" s="80"/>
      <c r="I122" s="80"/>
      <c r="J122" s="80"/>
      <c r="K122" s="80"/>
      <c r="L122" s="80"/>
      <c r="AN122"/>
    </row>
    <row r="123" spans="2:40" ht="14.25" customHeight="1">
      <c r="D123" s="109"/>
      <c r="H123" s="80"/>
      <c r="I123" s="80"/>
      <c r="J123" s="80"/>
      <c r="K123" s="80"/>
      <c r="L123" s="80"/>
      <c r="AN123"/>
    </row>
    <row r="124" spans="2:40" ht="13.5" customHeight="1">
      <c r="B124" s="5" t="s">
        <v>294</v>
      </c>
      <c r="C124" s="8">
        <f t="shared" ref="C124:H124" si="184">C91*8</f>
        <v>7002.3440000000001</v>
      </c>
      <c r="D124" s="8">
        <f t="shared" si="184"/>
        <v>6661.7520000000004</v>
      </c>
      <c r="E124" s="8">
        <f t="shared" si="184"/>
        <v>7838.12</v>
      </c>
      <c r="F124" s="8">
        <f t="shared" si="184"/>
        <v>8728.3919999999998</v>
      </c>
      <c r="G124" s="8">
        <f t="shared" si="184"/>
        <v>10163.727999999999</v>
      </c>
      <c r="H124" s="8">
        <f t="shared" si="184"/>
        <v>10163.727999999999</v>
      </c>
      <c r="I124" s="42">
        <f>4403.642+612.596</f>
        <v>5016.2379999999994</v>
      </c>
      <c r="J124" s="42">
        <f>4403.642+612.596</f>
        <v>5016.2379999999994</v>
      </c>
      <c r="K124" s="42">
        <f>5962.332+717.338</f>
        <v>6679.67</v>
      </c>
      <c r="L124" s="42">
        <f>5795.113+767.83</f>
        <v>6562.9430000000002</v>
      </c>
      <c r="N124" s="8">
        <f>(($D$48*0.25)+($C$48*0.75))*8</f>
        <v>6917.1959999999999</v>
      </c>
      <c r="O124" s="8">
        <f>(($D$48*0.5)+($C$48*0.5))*8</f>
        <v>6832.0480000000007</v>
      </c>
      <c r="P124" s="8">
        <f>(($D$48*0.75)+($C$48*0.25))*8</f>
        <v>6746.9000000000005</v>
      </c>
      <c r="Q124" s="8">
        <f t="shared" ref="Q124:Y124" si="185">Q91*8</f>
        <v>7838.12</v>
      </c>
      <c r="R124" s="8">
        <f t="shared" si="185"/>
        <v>8060.6880000000001</v>
      </c>
      <c r="S124" s="8">
        <f t="shared" si="185"/>
        <v>8283.2559999999994</v>
      </c>
      <c r="T124" s="8">
        <f t="shared" si="185"/>
        <v>8505.8240000000005</v>
      </c>
      <c r="U124" s="8">
        <f t="shared" si="185"/>
        <v>8728.3919999999998</v>
      </c>
      <c r="V124" s="8">
        <f t="shared" si="185"/>
        <v>9087.2259999999987</v>
      </c>
      <c r="W124" s="8">
        <f t="shared" si="185"/>
        <v>9446.06</v>
      </c>
      <c r="X124" s="8">
        <f t="shared" si="185"/>
        <v>9804.8940000000002</v>
      </c>
      <c r="Y124" s="8">
        <f t="shared" si="185"/>
        <v>10163.727999999999</v>
      </c>
      <c r="Z124" s="202">
        <f>592.928+3765.702</f>
        <v>4358.63</v>
      </c>
      <c r="AA124" s="202">
        <f>3632.256+625.718</f>
        <v>4257.9740000000002</v>
      </c>
      <c r="AB124" s="42">
        <f>3628.095+635.762</f>
        <v>4263.857</v>
      </c>
      <c r="AC124" s="174">
        <f>I124</f>
        <v>5016.2379999999994</v>
      </c>
      <c r="AD124" s="202">
        <f>676.915+5609.729</f>
        <v>6286.6440000000002</v>
      </c>
      <c r="AE124" s="202">
        <f>6811.973+705.897</f>
        <v>7517.87</v>
      </c>
      <c r="AF124" s="42">
        <f>6597.493+740.054</f>
        <v>7337.5470000000005</v>
      </c>
      <c r="AG124" s="174">
        <f>K124</f>
        <v>6679.67</v>
      </c>
      <c r="AH124" s="202">
        <f>6078.821+747.116</f>
        <v>6825.9369999999999</v>
      </c>
      <c r="AI124" s="202">
        <f>5931.605+746.241</f>
        <v>6677.8459999999995</v>
      </c>
      <c r="AJ124" s="42">
        <f>5793.183+740.448</f>
        <v>6533.6310000000003</v>
      </c>
      <c r="AK124" s="174">
        <f>L124</f>
        <v>6562.9430000000002</v>
      </c>
      <c r="AN124"/>
    </row>
    <row r="125" spans="2:40" ht="13.5" customHeight="1">
      <c r="B125" s="1" t="s">
        <v>295</v>
      </c>
      <c r="C125" s="42">
        <v>1973.8030000000001</v>
      </c>
      <c r="D125" s="42">
        <v>3602.2240000000002</v>
      </c>
      <c r="E125" s="42">
        <v>5292.8159999999998</v>
      </c>
      <c r="F125" s="42">
        <v>5354.9390000000003</v>
      </c>
      <c r="G125" s="42">
        <v>5377.6909999999998</v>
      </c>
      <c r="H125" s="4">
        <f>G125</f>
        <v>5377.6909999999998</v>
      </c>
      <c r="I125" s="214"/>
      <c r="J125" s="214"/>
      <c r="K125" s="214"/>
      <c r="L125" s="214"/>
      <c r="N125" s="42">
        <v>3602.2240000000002</v>
      </c>
      <c r="O125" s="42">
        <v>3602.2240000000002</v>
      </c>
      <c r="P125" s="42">
        <v>3602.2240000000002</v>
      </c>
      <c r="Q125" s="6">
        <f>+E125</f>
        <v>5292.8159999999998</v>
      </c>
      <c r="R125" s="143">
        <f>+Q125</f>
        <v>5292.8159999999998</v>
      </c>
      <c r="S125" s="143">
        <f>+R125</f>
        <v>5292.8159999999998</v>
      </c>
      <c r="T125" s="143">
        <f>+S125</f>
        <v>5292.8159999999998</v>
      </c>
      <c r="U125" s="6">
        <f>+F125</f>
        <v>5354.9390000000003</v>
      </c>
      <c r="V125" s="6">
        <f>+U125</f>
        <v>5354.9390000000003</v>
      </c>
      <c r="W125" s="6">
        <f>+V125</f>
        <v>5354.9390000000003</v>
      </c>
      <c r="X125" s="6">
        <f>+W125</f>
        <v>5354.9390000000003</v>
      </c>
      <c r="Y125" s="174">
        <f>G125</f>
        <v>5377.6909999999998</v>
      </c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N125"/>
    </row>
    <row r="126" spans="2:40" ht="13.5" customHeight="1">
      <c r="B126" s="5"/>
      <c r="C126" s="28"/>
      <c r="D126" s="28"/>
      <c r="E126" s="28"/>
      <c r="F126" s="28"/>
      <c r="G126" s="28"/>
      <c r="H126" s="67"/>
      <c r="I126" s="67"/>
      <c r="J126" s="67"/>
      <c r="K126" s="67"/>
      <c r="L126" s="67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N126"/>
    </row>
    <row r="127" spans="2:40" ht="13.5" customHeight="1">
      <c r="B127" s="5" t="s">
        <v>296</v>
      </c>
      <c r="C127" s="8">
        <f t="shared" ref="C127:H127" si="186">C124+C120</f>
        <v>16298.416000000001</v>
      </c>
      <c r="D127" s="8">
        <f t="shared" si="186"/>
        <v>16897.139000000003</v>
      </c>
      <c r="E127" s="8">
        <f t="shared" si="186"/>
        <v>18326.175999999999</v>
      </c>
      <c r="F127" s="8">
        <f t="shared" si="186"/>
        <v>25705.132000000001</v>
      </c>
      <c r="G127" s="8">
        <f t="shared" si="186"/>
        <v>28222.685999999998</v>
      </c>
      <c r="H127" s="8">
        <f t="shared" si="186"/>
        <v>28222.685999999998</v>
      </c>
      <c r="I127" s="8">
        <f>I124+I120</f>
        <v>22823.906999999999</v>
      </c>
      <c r="J127" s="8">
        <f>J124+J120</f>
        <v>22698.587</v>
      </c>
      <c r="K127" s="8">
        <f>K124+K120</f>
        <v>23382.331999999995</v>
      </c>
      <c r="L127" s="8">
        <f>L124+L120</f>
        <v>25775.717000000001</v>
      </c>
      <c r="N127" s="8">
        <f t="shared" ref="N127:X127" si="187">N124+N120</f>
        <v>16135.789000000001</v>
      </c>
      <c r="O127" s="8">
        <f t="shared" si="187"/>
        <v>17168.171000000002</v>
      </c>
      <c r="P127" s="8">
        <f t="shared" si="187"/>
        <v>15582.595000000001</v>
      </c>
      <c r="Q127" s="8">
        <f t="shared" si="187"/>
        <v>18326.175999999999</v>
      </c>
      <c r="R127" s="8">
        <f t="shared" si="187"/>
        <v>17932.017</v>
      </c>
      <c r="S127" s="8">
        <f t="shared" si="187"/>
        <v>19275.965</v>
      </c>
      <c r="T127" s="8">
        <f t="shared" si="187"/>
        <v>24964.940000000002</v>
      </c>
      <c r="U127" s="8">
        <f>U124+U120</f>
        <v>25705.132000000001</v>
      </c>
      <c r="V127" s="8">
        <f t="shared" si="187"/>
        <v>25704.529000000002</v>
      </c>
      <c r="W127" s="8">
        <f t="shared" si="187"/>
        <v>27843.504999999997</v>
      </c>
      <c r="X127" s="8">
        <f t="shared" si="187"/>
        <v>26857.683000000001</v>
      </c>
      <c r="Y127" s="8">
        <f t="shared" ref="Y127:AD127" si="188">Y124+Y120</f>
        <v>28222.686000000002</v>
      </c>
      <c r="Z127" s="8">
        <f t="shared" si="188"/>
        <v>22390.686000000005</v>
      </c>
      <c r="AA127" s="8">
        <f t="shared" si="188"/>
        <v>22907.603999999999</v>
      </c>
      <c r="AB127" s="8">
        <f t="shared" si="188"/>
        <v>22414.615000000002</v>
      </c>
      <c r="AC127" s="8">
        <f t="shared" si="188"/>
        <v>22823.906999999999</v>
      </c>
      <c r="AD127" s="8">
        <f t="shared" si="188"/>
        <v>26385.489999999998</v>
      </c>
      <c r="AE127" s="8">
        <f t="shared" ref="AE127:AJ127" si="189">AE124+AE120</f>
        <v>26458.994999999995</v>
      </c>
      <c r="AF127" s="8">
        <f t="shared" si="189"/>
        <v>24853.574999999997</v>
      </c>
      <c r="AG127" s="8">
        <f t="shared" si="189"/>
        <v>23382.331999999995</v>
      </c>
      <c r="AH127" s="8">
        <f t="shared" si="189"/>
        <v>23214.245999999992</v>
      </c>
      <c r="AI127" s="8">
        <f t="shared" si="189"/>
        <v>21351.61</v>
      </c>
      <c r="AJ127" s="8">
        <f t="shared" si="189"/>
        <v>23070.651000000002</v>
      </c>
      <c r="AK127" s="8">
        <f>AK124+AK120</f>
        <v>25775.716999999997</v>
      </c>
      <c r="AN127"/>
    </row>
    <row r="128" spans="2:40" ht="13.5" customHeight="1">
      <c r="B128" s="5" t="s">
        <v>297</v>
      </c>
      <c r="C128" s="8">
        <f t="shared" ref="C128:H128" si="190">C121+C124</f>
        <v>17763.504000000001</v>
      </c>
      <c r="D128" s="8">
        <f t="shared" si="190"/>
        <v>19816.192999999999</v>
      </c>
      <c r="E128" s="8">
        <f t="shared" si="190"/>
        <v>23792.705999999998</v>
      </c>
      <c r="F128" s="8">
        <f t="shared" si="190"/>
        <v>28935.112000000001</v>
      </c>
      <c r="G128" s="8">
        <f t="shared" si="190"/>
        <v>31658.407999999999</v>
      </c>
      <c r="H128" s="8">
        <f t="shared" si="190"/>
        <v>31658.407999999999</v>
      </c>
      <c r="I128" s="8">
        <f>I121+I124</f>
        <v>26642.087999999996</v>
      </c>
      <c r="J128" s="8">
        <f>J121+J124</f>
        <v>26642.087999999996</v>
      </c>
      <c r="K128" s="8">
        <f>K121+K124</f>
        <v>29555.085999999996</v>
      </c>
      <c r="L128" s="8">
        <f>L121+L124</f>
        <v>31023.846000000001</v>
      </c>
      <c r="N128" s="8">
        <f t="shared" ref="N128:X128" si="191">N121+N124</f>
        <v>19532.272000000001</v>
      </c>
      <c r="O128" s="8">
        <f t="shared" si="191"/>
        <v>20069.946000000004</v>
      </c>
      <c r="P128" s="8">
        <f t="shared" si="191"/>
        <v>20326.943000000003</v>
      </c>
      <c r="Q128" s="8">
        <f t="shared" si="191"/>
        <v>23792.705999999998</v>
      </c>
      <c r="R128" s="8">
        <f t="shared" si="191"/>
        <v>21812.688000000002</v>
      </c>
      <c r="S128" s="8">
        <f t="shared" si="191"/>
        <v>22608.129999999997</v>
      </c>
      <c r="T128" s="8">
        <f t="shared" si="191"/>
        <v>28660.345000000001</v>
      </c>
      <c r="U128" s="8">
        <f t="shared" si="191"/>
        <v>28935.112000000001</v>
      </c>
      <c r="V128" s="8">
        <f t="shared" si="191"/>
        <v>29808.465</v>
      </c>
      <c r="W128" s="8">
        <f t="shared" si="191"/>
        <v>33212.485000000001</v>
      </c>
      <c r="X128" s="8">
        <f t="shared" si="191"/>
        <v>30604.325000000001</v>
      </c>
      <c r="Y128" s="8">
        <f t="shared" ref="Y128:AD128" si="192">Y121+Y124</f>
        <v>31658.407999999999</v>
      </c>
      <c r="Z128" s="8">
        <f t="shared" si="192"/>
        <v>26275.550000000003</v>
      </c>
      <c r="AA128" s="8">
        <f t="shared" si="192"/>
        <v>27736.104999999996</v>
      </c>
      <c r="AB128" s="8">
        <f t="shared" si="192"/>
        <v>27008.712</v>
      </c>
      <c r="AC128" s="8">
        <f t="shared" si="192"/>
        <v>26642.087999999996</v>
      </c>
      <c r="AD128" s="8">
        <f t="shared" si="192"/>
        <v>32208.053</v>
      </c>
      <c r="AE128" s="8">
        <f t="shared" ref="AE128:AJ128" si="193">AE121+AE124</f>
        <v>33530.038</v>
      </c>
      <c r="AF128" s="8">
        <f t="shared" si="193"/>
        <v>32705.566999999995</v>
      </c>
      <c r="AG128" s="8">
        <f t="shared" si="193"/>
        <v>29555.085999999996</v>
      </c>
      <c r="AH128" s="8">
        <f t="shared" si="193"/>
        <v>31638.013999999996</v>
      </c>
      <c r="AI128" s="8">
        <f t="shared" si="193"/>
        <v>29651.197</v>
      </c>
      <c r="AJ128" s="8">
        <f t="shared" si="193"/>
        <v>29933.497000000003</v>
      </c>
      <c r="AK128" s="8">
        <f>AK121+AK124</f>
        <v>31023.846000000001</v>
      </c>
      <c r="AN128"/>
    </row>
    <row r="129" spans="1:40" ht="13.5" customHeight="1"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N129"/>
    </row>
    <row r="130" spans="1:40" ht="13.5" customHeight="1">
      <c r="B130" s="1" t="s">
        <v>298</v>
      </c>
      <c r="C130" s="28">
        <f>0.8*C121</f>
        <v>8608.9279999999999</v>
      </c>
      <c r="D130" s="28">
        <f>0.8*D121</f>
        <v>10523.552800000001</v>
      </c>
      <c r="E130" s="28">
        <f>0.85*E121</f>
        <v>13561.398099999999</v>
      </c>
      <c r="F130" s="28">
        <f>0.86*F121</f>
        <v>17377.779200000001</v>
      </c>
      <c r="G130" s="28">
        <f>0.59*G121</f>
        <v>12681.861199999999</v>
      </c>
      <c r="H130" s="28">
        <f>0.59*H121</f>
        <v>12681.861199999999</v>
      </c>
      <c r="I130" s="28">
        <f>0.72*I121</f>
        <v>15570.611999999999</v>
      </c>
      <c r="J130" s="28">
        <f>0.72*J121</f>
        <v>15570.611999999999</v>
      </c>
      <c r="K130" s="28">
        <f>0.72*K121</f>
        <v>16470.299519999997</v>
      </c>
      <c r="L130" s="28">
        <f>0.72*L121</f>
        <v>17611.850160000002</v>
      </c>
      <c r="N130" s="28">
        <f>0.94*N121</f>
        <v>11858.17144</v>
      </c>
      <c r="O130" s="28">
        <f>0.93*O121</f>
        <v>12311.245140000001</v>
      </c>
      <c r="P130" s="28">
        <f>0.92*P121</f>
        <v>12493.639560000001</v>
      </c>
      <c r="Q130" s="28">
        <f>0.84*Q121</f>
        <v>13401.852239999998</v>
      </c>
      <c r="R130" s="28">
        <f>0.88*R121</f>
        <v>12101.76</v>
      </c>
      <c r="S130" s="28">
        <f>0.79*S121</f>
        <v>11316.650460000001</v>
      </c>
      <c r="T130" s="28">
        <f>0.84*T121</f>
        <v>16929.797640000001</v>
      </c>
      <c r="U130" s="28">
        <f>+F130</f>
        <v>17377.779200000001</v>
      </c>
      <c r="V130" s="28">
        <f>0.78*V121</f>
        <v>16162.566420000001</v>
      </c>
      <c r="W130" s="28">
        <f>0.73*W121</f>
        <v>17349.490249999999</v>
      </c>
      <c r="X130" s="28">
        <f>0.64*X121</f>
        <v>13311.635840000001</v>
      </c>
      <c r="Y130" s="28">
        <f>0.59*Y121</f>
        <v>12681.861199999999</v>
      </c>
      <c r="Z130" s="28">
        <f>0.49*Z121</f>
        <v>10739.290800000001</v>
      </c>
      <c r="AA130" s="28">
        <f>0.55*AA121</f>
        <v>12912.97205</v>
      </c>
      <c r="AB130" s="28">
        <f>0.57*AB121</f>
        <v>12964.567349999999</v>
      </c>
      <c r="AC130" s="28">
        <f>0.72*AC121</f>
        <v>15570.611999999999</v>
      </c>
      <c r="AD130" s="28">
        <f>0.79*AD121</f>
        <v>20477.913110000001</v>
      </c>
      <c r="AE130" s="28">
        <f>0.75*AE121</f>
        <v>19509.125999999997</v>
      </c>
      <c r="AF130" s="28">
        <f>0.75*AF121</f>
        <v>19026.014999999999</v>
      </c>
      <c r="AG130" s="28">
        <f>0.72*AG121</f>
        <v>16470.299519999997</v>
      </c>
      <c r="AH130" s="28">
        <f>0.7*AH121</f>
        <v>17368.453899999997</v>
      </c>
      <c r="AI130" s="28">
        <f>0.73*AI121</f>
        <v>16770.54623</v>
      </c>
      <c r="AJ130" s="28">
        <f>0.73*AJ121</f>
        <v>17081.902180000001</v>
      </c>
      <c r="AK130" s="28">
        <f>0.72*AK121</f>
        <v>17611.850160000002</v>
      </c>
      <c r="AN130"/>
    </row>
    <row r="131" spans="1:40" ht="13.5" customHeight="1">
      <c r="B131" s="1" t="s">
        <v>299</v>
      </c>
      <c r="C131" s="8">
        <f t="shared" ref="C131:H131" si="194">C121-C130</f>
        <v>2152.232</v>
      </c>
      <c r="D131" s="8">
        <f t="shared" si="194"/>
        <v>2630.8881999999994</v>
      </c>
      <c r="E131" s="8">
        <f t="shared" si="194"/>
        <v>2393.1879000000008</v>
      </c>
      <c r="F131" s="8">
        <f t="shared" si="194"/>
        <v>2828.9408000000003</v>
      </c>
      <c r="G131" s="8">
        <f t="shared" si="194"/>
        <v>8812.8188000000009</v>
      </c>
      <c r="H131" s="8">
        <f t="shared" si="194"/>
        <v>8812.8188000000009</v>
      </c>
      <c r="I131" s="8">
        <f>I121-I130</f>
        <v>6055.2379999999994</v>
      </c>
      <c r="J131" s="8">
        <f>J121-J130</f>
        <v>6055.2379999999994</v>
      </c>
      <c r="K131" s="8">
        <f>K121-K130</f>
        <v>6405.1164800000006</v>
      </c>
      <c r="L131" s="8">
        <f>L121-L130</f>
        <v>6849.0528400000003</v>
      </c>
      <c r="N131" s="8">
        <f t="shared" ref="N131:S131" si="195">N121-N130</f>
        <v>756.90456000000086</v>
      </c>
      <c r="O131" s="8">
        <f t="shared" si="195"/>
        <v>926.65286000000015</v>
      </c>
      <c r="P131" s="8">
        <f t="shared" si="195"/>
        <v>1086.40344</v>
      </c>
      <c r="Q131" s="8">
        <f t="shared" si="195"/>
        <v>2552.733760000001</v>
      </c>
      <c r="R131" s="8">
        <f t="shared" si="195"/>
        <v>1650.2399999999998</v>
      </c>
      <c r="S131" s="8">
        <f t="shared" si="195"/>
        <v>3008.223539999999</v>
      </c>
      <c r="T131" s="8">
        <f>T121-T130</f>
        <v>3224.72336</v>
      </c>
      <c r="U131" s="8">
        <f>+F131</f>
        <v>2828.9408000000003</v>
      </c>
      <c r="V131" s="8">
        <f t="shared" ref="V131:AA131" si="196">V121-V130</f>
        <v>4558.6725800000004</v>
      </c>
      <c r="W131" s="8">
        <f t="shared" si="196"/>
        <v>6416.9347500000003</v>
      </c>
      <c r="X131" s="8">
        <f t="shared" si="196"/>
        <v>7487.7951599999997</v>
      </c>
      <c r="Y131" s="8">
        <f t="shared" si="196"/>
        <v>8812.8188000000009</v>
      </c>
      <c r="Z131" s="8">
        <f t="shared" si="196"/>
        <v>11177.629200000001</v>
      </c>
      <c r="AA131" s="8">
        <f t="shared" si="196"/>
        <v>10565.158949999997</v>
      </c>
      <c r="AB131" s="8">
        <f t="shared" ref="AB131:AG131" si="197">AB121-AB130</f>
        <v>9780.2876500000002</v>
      </c>
      <c r="AC131" s="8">
        <f t="shared" si="197"/>
        <v>6055.2379999999994</v>
      </c>
      <c r="AD131" s="8">
        <f t="shared" si="197"/>
        <v>5443.4958899999983</v>
      </c>
      <c r="AE131" s="8">
        <f t="shared" si="197"/>
        <v>6503.0420000000013</v>
      </c>
      <c r="AF131" s="8">
        <f t="shared" si="197"/>
        <v>6342.0049999999974</v>
      </c>
      <c r="AG131" s="8">
        <f t="shared" si="197"/>
        <v>6405.1164800000006</v>
      </c>
      <c r="AH131" s="8">
        <f>AH121-AH130</f>
        <v>7443.6231000000007</v>
      </c>
      <c r="AI131" s="8">
        <f>AI121-AI130</f>
        <v>6202.8047700000025</v>
      </c>
      <c r="AJ131" s="8">
        <f>AJ121-AJ130</f>
        <v>6317.9638200000009</v>
      </c>
      <c r="AK131" s="8">
        <f>AK121-AK130</f>
        <v>6849.0528400000003</v>
      </c>
      <c r="AN131"/>
    </row>
    <row r="132" spans="1:40" ht="13.5" customHeight="1"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N132"/>
    </row>
    <row r="133" spans="1:40" ht="13.5" customHeight="1"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N133"/>
    </row>
    <row r="134" spans="1:40" ht="13.5" customHeight="1">
      <c r="B134" s="5" t="s">
        <v>300</v>
      </c>
      <c r="C134" s="4">
        <v>68080.100000000006</v>
      </c>
      <c r="D134" s="4">
        <v>104617.1</v>
      </c>
      <c r="E134" s="4">
        <v>113856.3</v>
      </c>
      <c r="F134" s="4">
        <v>107884.3</v>
      </c>
      <c r="G134" s="4">
        <v>92222.9</v>
      </c>
      <c r="H134" s="235">
        <f>G134</f>
        <v>92222.9</v>
      </c>
      <c r="I134" s="247">
        <v>69320</v>
      </c>
      <c r="J134" s="247">
        <v>69320</v>
      </c>
      <c r="K134" s="247">
        <v>94131.6</v>
      </c>
      <c r="L134" s="247">
        <v>103498.94</v>
      </c>
      <c r="N134" s="4">
        <v>118447.8</v>
      </c>
      <c r="O134" s="4">
        <v>114159.2</v>
      </c>
      <c r="P134" s="4">
        <v>110325.1</v>
      </c>
      <c r="Q134" s="4">
        <v>113856.3</v>
      </c>
      <c r="R134" s="4">
        <v>114033.7</v>
      </c>
      <c r="S134" s="4">
        <v>102423.1</v>
      </c>
      <c r="T134" s="4">
        <v>115210.8</v>
      </c>
      <c r="U134" s="4">
        <f>+F134</f>
        <v>107884.3</v>
      </c>
      <c r="V134" s="4">
        <v>97338.3</v>
      </c>
      <c r="W134" s="4">
        <v>107027.3</v>
      </c>
      <c r="X134" s="4">
        <v>101493.5</v>
      </c>
      <c r="Y134" s="6">
        <f>G134</f>
        <v>92222.9</v>
      </c>
      <c r="Z134" s="4">
        <v>81096.7</v>
      </c>
      <c r="AA134" s="4">
        <v>75237.600000000006</v>
      </c>
      <c r="AB134" s="4">
        <v>83806.3</v>
      </c>
      <c r="AC134" s="6">
        <f>I134</f>
        <v>69320</v>
      </c>
      <c r="AD134" s="4">
        <v>89472</v>
      </c>
      <c r="AE134" s="4">
        <v>99525</v>
      </c>
      <c r="AF134" s="4">
        <v>98231.8</v>
      </c>
      <c r="AG134" s="6">
        <f>K134</f>
        <v>94131.6</v>
      </c>
      <c r="AH134" s="4">
        <v>92389.8</v>
      </c>
      <c r="AI134" s="4">
        <v>83202.399799999999</v>
      </c>
      <c r="AJ134" s="4">
        <v>85231</v>
      </c>
      <c r="AK134" s="6">
        <f>L134</f>
        <v>103498.94</v>
      </c>
      <c r="AN134"/>
    </row>
    <row r="135" spans="1:40" ht="13.5" customHeight="1" outlineLevel="1">
      <c r="B135" s="1" t="s">
        <v>301</v>
      </c>
      <c r="C135" s="4">
        <v>18084.245999999999</v>
      </c>
      <c r="D135" s="4">
        <v>18593.885999999999</v>
      </c>
      <c r="E135" s="4">
        <v>25700.266</v>
      </c>
      <c r="F135" s="4">
        <v>25977.918000000001</v>
      </c>
      <c r="G135" s="4">
        <v>26016.356</v>
      </c>
      <c r="H135" s="4">
        <v>26101.455000000002</v>
      </c>
      <c r="I135" s="4">
        <v>25941.478999999999</v>
      </c>
      <c r="J135" s="4">
        <v>25977.534</v>
      </c>
      <c r="K135" s="4">
        <v>27671.701000000001</v>
      </c>
      <c r="L135" s="4">
        <v>29562.359</v>
      </c>
      <c r="N135" s="4">
        <v>20057.657999999999</v>
      </c>
      <c r="O135" s="4">
        <v>21398.387999999999</v>
      </c>
      <c r="P135" s="4">
        <v>23530.626</v>
      </c>
      <c r="Q135" s="4">
        <v>25700.266</v>
      </c>
      <c r="R135" s="4">
        <v>25783.396000000001</v>
      </c>
      <c r="S135" s="4">
        <v>24826.332999999999</v>
      </c>
      <c r="T135" s="4">
        <v>23070.26</v>
      </c>
      <c r="U135" s="4">
        <f>+F135</f>
        <v>25977.918000000001</v>
      </c>
      <c r="V135" s="4">
        <v>25979.242999999999</v>
      </c>
      <c r="W135" s="4">
        <v>25727.552</v>
      </c>
      <c r="X135" s="4">
        <v>25580.795999999998</v>
      </c>
      <c r="Y135" s="6">
        <f>G135</f>
        <v>26016.356</v>
      </c>
      <c r="Z135" s="4">
        <v>26396.078000000001</v>
      </c>
      <c r="AA135" s="4">
        <v>25060.471000000001</v>
      </c>
      <c r="AB135" s="4">
        <v>25875.958999999999</v>
      </c>
      <c r="AC135" s="6">
        <f>I135</f>
        <v>25941.478999999999</v>
      </c>
      <c r="AD135" s="4">
        <v>29439.578000000001</v>
      </c>
      <c r="AE135" s="4">
        <v>27844.741999999998</v>
      </c>
      <c r="AF135" s="4">
        <v>29586.205999999998</v>
      </c>
      <c r="AG135" s="6">
        <f>K135</f>
        <v>27671.701000000001</v>
      </c>
      <c r="AH135" s="4">
        <v>28918.827000000001</v>
      </c>
      <c r="AI135" s="4">
        <v>28042.668000000001</v>
      </c>
      <c r="AJ135" s="4">
        <v>28856.170999999998</v>
      </c>
      <c r="AK135" s="6">
        <f>L135</f>
        <v>29562.359</v>
      </c>
      <c r="AN135"/>
    </row>
    <row r="136" spans="1:40" s="5" customFormat="1" ht="13.5" customHeight="1" outlineLevel="1">
      <c r="B136" s="5" t="s">
        <v>302</v>
      </c>
      <c r="C136" s="8">
        <f t="shared" ref="C136:H136" si="198">C121+C135</f>
        <v>28845.405999999999</v>
      </c>
      <c r="D136" s="8">
        <f t="shared" si="198"/>
        <v>31748.326999999997</v>
      </c>
      <c r="E136" s="8">
        <f t="shared" si="198"/>
        <v>41654.851999999999</v>
      </c>
      <c r="F136" s="8">
        <f t="shared" si="198"/>
        <v>46184.638000000006</v>
      </c>
      <c r="G136" s="8">
        <f t="shared" si="198"/>
        <v>47511.036</v>
      </c>
      <c r="H136" s="8">
        <f t="shared" si="198"/>
        <v>47596.135000000002</v>
      </c>
      <c r="I136" s="8">
        <f>I121+I135</f>
        <v>47567.328999999998</v>
      </c>
      <c r="J136" s="8">
        <f>J121+J135</f>
        <v>47603.383999999998</v>
      </c>
      <c r="K136" s="8">
        <f>K121+K135</f>
        <v>50547.116999999998</v>
      </c>
      <c r="L136" s="8">
        <f>L121+L135</f>
        <v>54023.262000000002</v>
      </c>
      <c r="N136" s="8">
        <f t="shared" ref="N136:S136" si="199">N121+N135</f>
        <v>32672.734</v>
      </c>
      <c r="O136" s="8">
        <f t="shared" si="199"/>
        <v>34636.286</v>
      </c>
      <c r="P136" s="8">
        <f t="shared" si="199"/>
        <v>37110.669000000002</v>
      </c>
      <c r="Q136" s="8">
        <f t="shared" si="199"/>
        <v>41654.851999999999</v>
      </c>
      <c r="R136" s="8">
        <f t="shared" si="199"/>
        <v>39535.396000000001</v>
      </c>
      <c r="S136" s="8">
        <f t="shared" si="199"/>
        <v>39151.206999999995</v>
      </c>
      <c r="T136" s="8">
        <f t="shared" ref="T136:Y136" si="200">T121+T135</f>
        <v>43224.781000000003</v>
      </c>
      <c r="U136" s="8">
        <f t="shared" si="200"/>
        <v>46184.638000000006</v>
      </c>
      <c r="V136" s="8">
        <f t="shared" si="200"/>
        <v>46700.482000000004</v>
      </c>
      <c r="W136" s="8">
        <f t="shared" si="200"/>
        <v>49493.976999999999</v>
      </c>
      <c r="X136" s="8">
        <f t="shared" si="200"/>
        <v>46380.226999999999</v>
      </c>
      <c r="Y136" s="8">
        <f t="shared" si="200"/>
        <v>47511.036</v>
      </c>
      <c r="Z136" s="8">
        <f t="shared" ref="Z136:AE136" si="201">Z121+Z135</f>
        <v>48312.998000000007</v>
      </c>
      <c r="AA136" s="8">
        <f t="shared" si="201"/>
        <v>48538.601999999999</v>
      </c>
      <c r="AB136" s="8">
        <f t="shared" si="201"/>
        <v>48620.813999999998</v>
      </c>
      <c r="AC136" s="8">
        <f t="shared" si="201"/>
        <v>47567.328999999998</v>
      </c>
      <c r="AD136" s="8">
        <f t="shared" si="201"/>
        <v>55360.987000000001</v>
      </c>
      <c r="AE136" s="8">
        <f t="shared" si="201"/>
        <v>53856.909999999996</v>
      </c>
      <c r="AF136" s="8">
        <f t="shared" ref="AF136:AK136" si="202">AF121+AF135</f>
        <v>54954.225999999995</v>
      </c>
      <c r="AG136" s="8">
        <f t="shared" si="202"/>
        <v>50547.116999999998</v>
      </c>
      <c r="AH136" s="8">
        <f t="shared" si="202"/>
        <v>53730.903999999995</v>
      </c>
      <c r="AI136" s="8">
        <f t="shared" si="202"/>
        <v>51016.019</v>
      </c>
      <c r="AJ136" s="8">
        <f t="shared" si="202"/>
        <v>52256.036999999997</v>
      </c>
      <c r="AK136" s="8">
        <f t="shared" si="202"/>
        <v>54023.262000000002</v>
      </c>
      <c r="AN136"/>
    </row>
    <row r="137" spans="1:40" s="5" customFormat="1" ht="13.5" customHeight="1" outlineLevel="1">
      <c r="B137" s="5" t="s">
        <v>303</v>
      </c>
      <c r="C137" s="8">
        <f t="shared" ref="C137:H137" si="203">C120+C134</f>
        <v>77376.172000000006</v>
      </c>
      <c r="D137" s="8">
        <f t="shared" si="203"/>
        <v>114852.48700000001</v>
      </c>
      <c r="E137" s="8">
        <f t="shared" si="203"/>
        <v>124344.356</v>
      </c>
      <c r="F137" s="8">
        <f t="shared" si="203"/>
        <v>124861.04000000001</v>
      </c>
      <c r="G137" s="8">
        <f t="shared" si="203"/>
        <v>110281.85799999999</v>
      </c>
      <c r="H137" s="8">
        <f t="shared" si="203"/>
        <v>110281.85799999999</v>
      </c>
      <c r="I137" s="8">
        <f>I120+I134</f>
        <v>87127.668999999994</v>
      </c>
      <c r="J137" s="8">
        <f>J120+J134</f>
        <v>87002.349000000002</v>
      </c>
      <c r="K137" s="8">
        <f>K120+K134</f>
        <v>110834.262</v>
      </c>
      <c r="L137" s="8">
        <f>L120+L134</f>
        <v>122711.71400000001</v>
      </c>
      <c r="N137" s="8">
        <f t="shared" ref="N137:S137" si="204">N120+N134</f>
        <v>127666.39300000001</v>
      </c>
      <c r="O137" s="8">
        <f t="shared" si="204"/>
        <v>124495.323</v>
      </c>
      <c r="P137" s="8">
        <f t="shared" si="204"/>
        <v>119160.79500000001</v>
      </c>
      <c r="Q137" s="8">
        <f t="shared" si="204"/>
        <v>124344.356</v>
      </c>
      <c r="R137" s="8">
        <f t="shared" si="204"/>
        <v>123905.02899999999</v>
      </c>
      <c r="S137" s="8">
        <f t="shared" si="204"/>
        <v>113415.80900000001</v>
      </c>
      <c r="T137" s="8">
        <f t="shared" ref="T137:Y137" si="205">T120+T134</f>
        <v>131669.916</v>
      </c>
      <c r="U137" s="8">
        <f t="shared" si="205"/>
        <v>124861.04000000001</v>
      </c>
      <c r="V137" s="8">
        <f t="shared" si="205"/>
        <v>113955.603</v>
      </c>
      <c r="W137" s="8">
        <f t="shared" si="205"/>
        <v>125424.745</v>
      </c>
      <c r="X137" s="8">
        <f t="shared" si="205"/>
        <v>118546.289</v>
      </c>
      <c r="Y137" s="8">
        <f t="shared" si="205"/>
        <v>110281.85799999999</v>
      </c>
      <c r="Z137" s="8">
        <f t="shared" ref="Z137:AE137" si="206">Z120+Z134</f>
        <v>99128.755999999994</v>
      </c>
      <c r="AA137" s="8">
        <f t="shared" si="206"/>
        <v>93887.23000000001</v>
      </c>
      <c r="AB137" s="8">
        <f t="shared" si="206"/>
        <v>101957.058</v>
      </c>
      <c r="AC137" s="8">
        <f t="shared" si="206"/>
        <v>87127.668999999994</v>
      </c>
      <c r="AD137" s="8">
        <f t="shared" si="206"/>
        <v>109570.84599999999</v>
      </c>
      <c r="AE137" s="8">
        <f t="shared" si="206"/>
        <v>118466.125</v>
      </c>
      <c r="AF137" s="8">
        <f t="shared" ref="AF137:AK137" si="207">AF120+AF134</f>
        <v>115747.82800000001</v>
      </c>
      <c r="AG137" s="8">
        <f t="shared" si="207"/>
        <v>110834.262</v>
      </c>
      <c r="AH137" s="8">
        <f t="shared" si="207"/>
        <v>108778.109</v>
      </c>
      <c r="AI137" s="8">
        <f t="shared" si="207"/>
        <v>97876.163799999995</v>
      </c>
      <c r="AJ137" s="8">
        <f t="shared" si="207"/>
        <v>101768.02</v>
      </c>
      <c r="AK137" s="8">
        <f t="shared" si="207"/>
        <v>122711.71400000001</v>
      </c>
      <c r="AN137"/>
    </row>
    <row r="138" spans="1:40" ht="13.5" customHeight="1">
      <c r="H138" s="61"/>
      <c r="I138" s="61"/>
      <c r="J138" s="61"/>
      <c r="K138" s="61"/>
      <c r="L138" s="61"/>
      <c r="AN138"/>
    </row>
    <row r="139" spans="1:40" ht="13.5" customHeight="1">
      <c r="A139" s="27"/>
      <c r="B139" s="16" t="s">
        <v>304</v>
      </c>
      <c r="C139" s="47">
        <f t="shared" ref="C139:AB139" si="208">+C2</f>
        <v>42004</v>
      </c>
      <c r="D139" s="47">
        <f t="shared" si="208"/>
        <v>42369</v>
      </c>
      <c r="E139" s="47">
        <f t="shared" si="208"/>
        <v>42735</v>
      </c>
      <c r="F139" s="47">
        <f t="shared" si="208"/>
        <v>43100</v>
      </c>
      <c r="G139" s="47">
        <f t="shared" si="208"/>
        <v>43465</v>
      </c>
      <c r="H139" s="47">
        <f t="shared" si="208"/>
        <v>43440</v>
      </c>
      <c r="I139" s="47">
        <f>+I2</f>
        <v>43806</v>
      </c>
      <c r="J139" s="47">
        <f>+J2</f>
        <v>43806</v>
      </c>
      <c r="K139" s="47">
        <f>+K2</f>
        <v>44172</v>
      </c>
      <c r="L139" s="47">
        <f>+L2</f>
        <v>44537</v>
      </c>
      <c r="N139" s="47">
        <f t="shared" si="208"/>
        <v>42437</v>
      </c>
      <c r="O139" s="47">
        <f t="shared" si="208"/>
        <v>42527</v>
      </c>
      <c r="P139" s="47">
        <f t="shared" si="208"/>
        <v>42622</v>
      </c>
      <c r="Q139" s="47">
        <f t="shared" si="208"/>
        <v>42714</v>
      </c>
      <c r="R139" s="47">
        <f t="shared" si="208"/>
        <v>42825</v>
      </c>
      <c r="S139" s="47">
        <f t="shared" si="208"/>
        <v>42916</v>
      </c>
      <c r="T139" s="47">
        <f t="shared" si="208"/>
        <v>43008</v>
      </c>
      <c r="U139" s="47">
        <f t="shared" si="208"/>
        <v>43099</v>
      </c>
      <c r="V139" s="47">
        <f t="shared" si="208"/>
        <v>43189</v>
      </c>
      <c r="W139" s="47">
        <f t="shared" si="208"/>
        <v>43281</v>
      </c>
      <c r="X139" s="47">
        <f t="shared" si="208"/>
        <v>43373</v>
      </c>
      <c r="Y139" s="47">
        <f t="shared" si="208"/>
        <v>43464</v>
      </c>
      <c r="Z139" s="47">
        <f t="shared" si="208"/>
        <v>43554</v>
      </c>
      <c r="AA139" s="47">
        <f t="shared" si="208"/>
        <v>43646</v>
      </c>
      <c r="AB139" s="47">
        <f t="shared" si="208"/>
        <v>43738</v>
      </c>
      <c r="AC139" s="47">
        <f t="shared" ref="AC139:AH139" si="209">+AC2</f>
        <v>43829</v>
      </c>
      <c r="AD139" s="47">
        <f t="shared" si="209"/>
        <v>43920</v>
      </c>
      <c r="AE139" s="47">
        <f t="shared" si="209"/>
        <v>44012</v>
      </c>
      <c r="AF139" s="47">
        <f t="shared" si="209"/>
        <v>44104</v>
      </c>
      <c r="AG139" s="47">
        <f t="shared" si="209"/>
        <v>44195</v>
      </c>
      <c r="AH139" s="47">
        <f t="shared" si="209"/>
        <v>44285</v>
      </c>
      <c r="AI139" s="47">
        <f>+AI2</f>
        <v>44377</v>
      </c>
      <c r="AJ139" s="47">
        <f>+AJ2</f>
        <v>44469</v>
      </c>
      <c r="AK139" s="47">
        <f>+AK2</f>
        <v>44560</v>
      </c>
      <c r="AN139"/>
    </row>
    <row r="140" spans="1:40" ht="13.5" customHeight="1">
      <c r="B140" s="5"/>
      <c r="AN140"/>
    </row>
    <row r="141" spans="1:40" s="5" customFormat="1" ht="13.5" customHeight="1">
      <c r="B141" s="5" t="s">
        <v>305</v>
      </c>
      <c r="C141" s="30">
        <f>+C115/C89</f>
        <v>1.2380453756839718</v>
      </c>
      <c r="D141" s="30">
        <f>+D115/D89</f>
        <v>1.1191508917824708</v>
      </c>
      <c r="E141" s="30">
        <f>+E115/E89</f>
        <v>0.95628976650857334</v>
      </c>
      <c r="F141" s="30">
        <f t="shared" ref="F141:W141" si="210">+F115/F89</f>
        <v>1.4965391396332866</v>
      </c>
      <c r="G141" s="30">
        <f t="shared" si="210"/>
        <v>1.5381107231070605</v>
      </c>
      <c r="H141" s="30">
        <f t="shared" si="210"/>
        <v>1.5381107231070605</v>
      </c>
      <c r="I141" s="30">
        <f>+I115/I89</f>
        <v>1.5364684210526314</v>
      </c>
      <c r="J141" s="30">
        <f>+J115/J89</f>
        <v>1.525655651423641</v>
      </c>
      <c r="K141" s="30">
        <f>+K115/K88</f>
        <v>1.0850111731843572</v>
      </c>
      <c r="L141" s="30">
        <f>+L115/L88</f>
        <v>1.2819626342830455</v>
      </c>
      <c r="N141" s="30" t="e">
        <f t="shared" si="210"/>
        <v>#DIV/0!</v>
      </c>
      <c r="O141" s="30" t="e">
        <f t="shared" si="210"/>
        <v>#DIV/0!</v>
      </c>
      <c r="P141" s="30" t="e">
        <f t="shared" si="210"/>
        <v>#DIV/0!</v>
      </c>
      <c r="Q141" s="30" t="e">
        <f t="shared" si="210"/>
        <v>#DIV/0!</v>
      </c>
      <c r="R141" s="30">
        <f t="shared" si="210"/>
        <v>0.88247175040228876</v>
      </c>
      <c r="S141" s="30">
        <f t="shared" si="210"/>
        <v>0.96605228930485987</v>
      </c>
      <c r="T141" s="30">
        <f t="shared" si="210"/>
        <v>1.4469552527472529</v>
      </c>
      <c r="U141" s="30">
        <f t="shared" si="210"/>
        <v>1.4965391396332866</v>
      </c>
      <c r="V141" s="30">
        <f t="shared" si="210"/>
        <v>1.4654998677132025</v>
      </c>
      <c r="W141" s="30">
        <f t="shared" si="210"/>
        <v>1.5858499267304542</v>
      </c>
      <c r="X141" s="30">
        <f t="shared" ref="X141:AC141" si="211">+X115/X89</f>
        <v>1.4424622737269499</v>
      </c>
      <c r="Y141" s="30">
        <f t="shared" si="211"/>
        <v>1.538110723107061</v>
      </c>
      <c r="Z141" s="30">
        <f t="shared" si="211"/>
        <v>1.5397537358039453</v>
      </c>
      <c r="AA141" s="30">
        <f t="shared" si="211"/>
        <v>1.6114775771191565</v>
      </c>
      <c r="AB141" s="30">
        <f t="shared" si="211"/>
        <v>1.563103513606614</v>
      </c>
      <c r="AC141" s="30">
        <f t="shared" si="211"/>
        <v>1.5364684210526318</v>
      </c>
      <c r="AD141" s="238"/>
      <c r="AE141" s="238"/>
      <c r="AF141" s="238"/>
      <c r="AG141" s="238"/>
      <c r="AH141" s="238"/>
      <c r="AI141" s="238"/>
      <c r="AJ141" s="238"/>
      <c r="AK141" s="238"/>
      <c r="AN141"/>
    </row>
    <row r="142" spans="1:40" ht="13.5" customHeight="1">
      <c r="B142" s="1" t="s">
        <v>306</v>
      </c>
      <c r="C142" s="31">
        <f>+C116/C89</f>
        <v>1.43357293473909</v>
      </c>
      <c r="D142" s="31">
        <f>+D116/D89</f>
        <v>1.4385571725571726</v>
      </c>
      <c r="E142" s="31">
        <f>+E116/E89</f>
        <v>1.4548787851149214</v>
      </c>
      <c r="F142" s="31">
        <f t="shared" ref="F142:W142" si="212">+F116/F89</f>
        <v>1.7812693935119888</v>
      </c>
      <c r="G142" s="31">
        <f t="shared" si="212"/>
        <v>1.830736734520058</v>
      </c>
      <c r="H142" s="31">
        <f t="shared" si="212"/>
        <v>1.830736734520058</v>
      </c>
      <c r="I142" s="31">
        <f>+I116/I89</f>
        <v>1.8659059534081104</v>
      </c>
      <c r="J142" s="31">
        <f>+J116/J89</f>
        <v>1.8659059534081104</v>
      </c>
      <c r="K142" s="31">
        <f>+K116/K88</f>
        <v>1.4859955826945561</v>
      </c>
      <c r="L142" s="31">
        <f>+L116/L88</f>
        <v>1.6321413892039769</v>
      </c>
      <c r="N142" s="31" t="e">
        <f t="shared" si="212"/>
        <v>#DIV/0!</v>
      </c>
      <c r="O142" s="31" t="e">
        <f t="shared" si="212"/>
        <v>#DIV/0!</v>
      </c>
      <c r="P142" s="31" t="e">
        <f t="shared" si="212"/>
        <v>#DIV/0!</v>
      </c>
      <c r="Q142" s="31" t="e">
        <f t="shared" si="212"/>
        <v>#DIV/0!</v>
      </c>
      <c r="R142" s="31">
        <f t="shared" si="212"/>
        <v>1.2293938852136599</v>
      </c>
      <c r="S142" s="31">
        <f t="shared" si="212"/>
        <v>1.2588868969153704</v>
      </c>
      <c r="T142" s="31">
        <f t="shared" si="212"/>
        <v>1.771826021978022</v>
      </c>
      <c r="U142" s="31">
        <f t="shared" si="212"/>
        <v>1.7812693935119888</v>
      </c>
      <c r="V142" s="31">
        <f t="shared" si="212"/>
        <v>1.8274309021959609</v>
      </c>
      <c r="W142" s="31">
        <f t="shared" si="212"/>
        <v>2.0486531333505731</v>
      </c>
      <c r="X142" s="31">
        <f t="shared" ref="X142:AC142" si="213">+X116/X89</f>
        <v>1.7593834376586026</v>
      </c>
      <c r="Y142" s="31">
        <f t="shared" si="213"/>
        <v>1.830736734520058</v>
      </c>
      <c r="Z142" s="31">
        <f t="shared" si="213"/>
        <v>1.8714815131073352</v>
      </c>
      <c r="AA142" s="31">
        <f t="shared" si="213"/>
        <v>2.0286987816469368</v>
      </c>
      <c r="AB142" s="31">
        <f t="shared" si="213"/>
        <v>1.9587370823286254</v>
      </c>
      <c r="AC142" s="31">
        <f t="shared" si="213"/>
        <v>1.8659059534081104</v>
      </c>
      <c r="AD142" s="222"/>
      <c r="AE142" s="222"/>
      <c r="AF142" s="222"/>
      <c r="AG142" s="222"/>
      <c r="AH142" s="222"/>
      <c r="AI142" s="222"/>
      <c r="AJ142" s="222"/>
      <c r="AK142" s="222"/>
      <c r="AN142"/>
    </row>
    <row r="143" spans="1:40" ht="13.5" customHeight="1">
      <c r="C143" s="31"/>
      <c r="D143" s="31"/>
      <c r="E143" s="31"/>
      <c r="F143" s="31"/>
      <c r="G143" s="31"/>
      <c r="H143" s="101"/>
      <c r="I143" s="101"/>
      <c r="J143" s="101"/>
      <c r="K143" s="101"/>
      <c r="L143" s="10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N143"/>
    </row>
    <row r="144" spans="1:40" ht="13.5" customHeight="1">
      <c r="B144" s="5" t="s">
        <v>307</v>
      </c>
      <c r="C144" s="31">
        <f>C120/C89</f>
        <v>1.2406341919124517</v>
      </c>
      <c r="D144" s="31">
        <f t="shared" ref="D144:AC144" si="214">D120/D89</f>
        <v>1.1199679395995186</v>
      </c>
      <c r="E144" s="31">
        <f t="shared" si="214"/>
        <v>0.95659029551258656</v>
      </c>
      <c r="F144" s="31">
        <f t="shared" si="214"/>
        <v>1.4965391396332866</v>
      </c>
      <c r="G144" s="31">
        <f t="shared" si="214"/>
        <v>1.5381107231070605</v>
      </c>
      <c r="H144" s="31">
        <f t="shared" si="214"/>
        <v>1.5381107231070605</v>
      </c>
      <c r="I144" s="31">
        <f>I120/I89</f>
        <v>1.5364684210526314</v>
      </c>
      <c r="J144" s="31">
        <f>J120/J89</f>
        <v>1.525655651423641</v>
      </c>
      <c r="K144" s="31">
        <f>K120/K88</f>
        <v>1.0850111731843572</v>
      </c>
      <c r="L144" s="31">
        <f>L120/L88</f>
        <v>1.2819626342830455</v>
      </c>
      <c r="N144" s="31" t="e">
        <f t="shared" si="214"/>
        <v>#DIV/0!</v>
      </c>
      <c r="O144" s="31" t="e">
        <f t="shared" si="214"/>
        <v>#DIV/0!</v>
      </c>
      <c r="P144" s="31" t="e">
        <f t="shared" si="214"/>
        <v>#DIV/0!</v>
      </c>
      <c r="Q144" s="31" t="e">
        <f t="shared" si="214"/>
        <v>#DIV/0!</v>
      </c>
      <c r="R144" s="31">
        <f t="shared" si="214"/>
        <v>0.88247175040228876</v>
      </c>
      <c r="S144" s="31">
        <f t="shared" si="214"/>
        <v>0.96605228930485987</v>
      </c>
      <c r="T144" s="31">
        <f t="shared" si="214"/>
        <v>1.4469552527472529</v>
      </c>
      <c r="U144" s="31">
        <f t="shared" si="214"/>
        <v>1.4965391396332866</v>
      </c>
      <c r="V144" s="31">
        <f t="shared" si="214"/>
        <v>1.4654998677132025</v>
      </c>
      <c r="W144" s="31">
        <f t="shared" si="214"/>
        <v>1.5858499267304542</v>
      </c>
      <c r="X144" s="31">
        <f t="shared" si="214"/>
        <v>1.4424622737269499</v>
      </c>
      <c r="Y144" s="31">
        <f t="shared" si="214"/>
        <v>1.538110723107061</v>
      </c>
      <c r="Z144" s="31">
        <f t="shared" si="214"/>
        <v>1.5397537358039453</v>
      </c>
      <c r="AA144" s="31">
        <f t="shared" si="214"/>
        <v>1.6114775771191565</v>
      </c>
      <c r="AB144" s="31">
        <f t="shared" si="214"/>
        <v>1.563103513606614</v>
      </c>
      <c r="AC144" s="31">
        <f t="shared" si="214"/>
        <v>1.5364684210526318</v>
      </c>
      <c r="AD144" s="222"/>
      <c r="AE144" s="222"/>
      <c r="AF144" s="238"/>
      <c r="AG144" s="222"/>
      <c r="AH144" s="222"/>
      <c r="AI144" s="222"/>
      <c r="AJ144" s="238"/>
      <c r="AK144" s="222"/>
      <c r="AN144"/>
    </row>
    <row r="145" spans="1:40" ht="13.5" customHeight="1">
      <c r="B145" s="1" t="s">
        <v>308</v>
      </c>
      <c r="C145" s="31">
        <f>C121/C89</f>
        <v>1.4361617509675697</v>
      </c>
      <c r="D145" s="31">
        <f t="shared" ref="D145:AC145" si="215">D121/D89</f>
        <v>1.4393742203742204</v>
      </c>
      <c r="E145" s="31">
        <f t="shared" si="215"/>
        <v>1.4551793141189346</v>
      </c>
      <c r="F145" s="31">
        <f t="shared" si="215"/>
        <v>1.7812693935119888</v>
      </c>
      <c r="G145" s="31">
        <f t="shared" si="215"/>
        <v>1.830736734520058</v>
      </c>
      <c r="H145" s="31">
        <f t="shared" si="215"/>
        <v>1.830736734520058</v>
      </c>
      <c r="I145" s="31">
        <f>I121/I89</f>
        <v>1.8659059534081104</v>
      </c>
      <c r="J145" s="31">
        <f>J121/J89</f>
        <v>1.8659059534081104</v>
      </c>
      <c r="K145" s="31">
        <f>K121/K88</f>
        <v>1.4859955826945561</v>
      </c>
      <c r="L145" s="31">
        <f>L121/L88</f>
        <v>1.6321413892039769</v>
      </c>
      <c r="N145" s="31" t="e">
        <f t="shared" si="215"/>
        <v>#DIV/0!</v>
      </c>
      <c r="O145" s="31" t="e">
        <f t="shared" si="215"/>
        <v>#DIV/0!</v>
      </c>
      <c r="P145" s="31" t="e">
        <f t="shared" si="215"/>
        <v>#DIV/0!</v>
      </c>
      <c r="Q145" s="31" t="e">
        <f t="shared" si="215"/>
        <v>#DIV/0!</v>
      </c>
      <c r="R145" s="31">
        <f t="shared" si="215"/>
        <v>1.2293938852136599</v>
      </c>
      <c r="S145" s="31">
        <f t="shared" si="215"/>
        <v>1.2588868969153704</v>
      </c>
      <c r="T145" s="31">
        <f t="shared" si="215"/>
        <v>1.771826021978022</v>
      </c>
      <c r="U145" s="31">
        <f t="shared" si="215"/>
        <v>1.7812693935119888</v>
      </c>
      <c r="V145" s="31">
        <f t="shared" si="215"/>
        <v>1.8274309021959609</v>
      </c>
      <c r="W145" s="31">
        <f t="shared" si="215"/>
        <v>2.0486531333505731</v>
      </c>
      <c r="X145" s="31">
        <f t="shared" si="215"/>
        <v>1.7593834376586026</v>
      </c>
      <c r="Y145" s="31">
        <f t="shared" si="215"/>
        <v>1.830736734520058</v>
      </c>
      <c r="Z145" s="31">
        <f t="shared" si="215"/>
        <v>1.8714815131073352</v>
      </c>
      <c r="AA145" s="31">
        <f t="shared" si="215"/>
        <v>2.0286987816469368</v>
      </c>
      <c r="AB145" s="31">
        <f t="shared" si="215"/>
        <v>1.9587370823286254</v>
      </c>
      <c r="AC145" s="31">
        <f t="shared" si="215"/>
        <v>1.8659059534081104</v>
      </c>
      <c r="AD145" s="222"/>
      <c r="AE145" s="222"/>
      <c r="AF145" s="222"/>
      <c r="AG145" s="222"/>
      <c r="AH145" s="222"/>
      <c r="AI145" s="222"/>
      <c r="AJ145" s="222"/>
      <c r="AK145" s="222"/>
      <c r="AN145"/>
    </row>
    <row r="146" spans="1:40" ht="13.5" customHeight="1">
      <c r="C146" s="31"/>
      <c r="D146" s="31"/>
      <c r="E146" s="31"/>
      <c r="F146" s="31"/>
      <c r="G146" s="31"/>
      <c r="H146" s="101"/>
      <c r="I146" s="101"/>
      <c r="J146" s="101"/>
      <c r="K146" s="101"/>
      <c r="L146" s="10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N146"/>
    </row>
    <row r="147" spans="1:40" ht="13.5" customHeight="1">
      <c r="B147" s="1" t="s">
        <v>309</v>
      </c>
      <c r="C147" s="31">
        <f t="shared" ref="C147:H147" si="216">C127/C90</f>
        <v>1.9476392616749918</v>
      </c>
      <c r="D147" s="31">
        <f t="shared" si="216"/>
        <v>1.6945061327941553</v>
      </c>
      <c r="E147" s="31">
        <f t="shared" si="216"/>
        <v>1.5343717831018946</v>
      </c>
      <c r="F147" s="31">
        <f t="shared" si="216"/>
        <v>2.0671516453212209</v>
      </c>
      <c r="G147" s="31">
        <f t="shared" si="216"/>
        <v>2.1690627328234955</v>
      </c>
      <c r="H147" s="31">
        <f t="shared" si="216"/>
        <v>2.1690627328234955</v>
      </c>
      <c r="I147" s="31">
        <f>I127/I88</f>
        <v>1.8218316570881226</v>
      </c>
      <c r="J147" s="31">
        <f>J127/J88</f>
        <v>1.8118284642401021</v>
      </c>
      <c r="K147" s="31">
        <f>K127/K88</f>
        <v>1.5189250357282054</v>
      </c>
      <c r="L147" s="31">
        <f>L127/L88</f>
        <v>1.7198716887969574</v>
      </c>
      <c r="N147" s="31"/>
      <c r="O147" s="31"/>
      <c r="P147" s="31"/>
      <c r="Q147" s="31">
        <f t="shared" ref="Q147:Y147" si="217">Q127/Q90</f>
        <v>1.5343717831018946</v>
      </c>
      <c r="R147" s="31">
        <f t="shared" si="217"/>
        <v>1.4706106144656708</v>
      </c>
      <c r="S147" s="31">
        <f t="shared" si="217"/>
        <v>1.5527092836572864</v>
      </c>
      <c r="T147" s="31">
        <f t="shared" si="217"/>
        <v>2.0071138750632329</v>
      </c>
      <c r="U147" s="31">
        <f t="shared" si="217"/>
        <v>2.0671516453212209</v>
      </c>
      <c r="V147" s="31">
        <f t="shared" si="217"/>
        <v>2.0604992667979212</v>
      </c>
      <c r="W147" s="31">
        <f t="shared" si="217"/>
        <v>2.1783784428706303</v>
      </c>
      <c r="X147" s="31">
        <f t="shared" si="217"/>
        <v>2.058436709691335</v>
      </c>
      <c r="Y147" s="31">
        <f t="shared" si="217"/>
        <v>2.1690627328234959</v>
      </c>
      <c r="Z147" s="31">
        <f t="shared" ref="Z147:AE147" si="218">Z127/Z88</f>
        <v>1.8784132550335575</v>
      </c>
      <c r="AA147" s="31">
        <f t="shared" si="218"/>
        <v>1.9088079326722773</v>
      </c>
      <c r="AB147" s="31">
        <f t="shared" si="218"/>
        <v>1.8257404088946811</v>
      </c>
      <c r="AC147" s="31">
        <f t="shared" si="218"/>
        <v>1.8218316570881226</v>
      </c>
      <c r="AD147" s="31">
        <f t="shared" si="218"/>
        <v>2.0046717824038898</v>
      </c>
      <c r="AE147" s="31">
        <f t="shared" si="218"/>
        <v>1.8889837224245016</v>
      </c>
      <c r="AF147" s="31">
        <f t="shared" ref="AF147:AK147" si="219">AF127/AF88</f>
        <v>1.6951012822261626</v>
      </c>
      <c r="AG147" s="31">
        <f t="shared" si="219"/>
        <v>1.5189250357282054</v>
      </c>
      <c r="AH147" s="31">
        <f t="shared" si="219"/>
        <v>1.5112457522296721</v>
      </c>
      <c r="AI147" s="31">
        <f t="shared" si="219"/>
        <v>1.4183346618838848</v>
      </c>
      <c r="AJ147" s="31">
        <f t="shared" si="219"/>
        <v>1.5594599837772072</v>
      </c>
      <c r="AK147" s="31">
        <f t="shared" si="219"/>
        <v>1.7198716887969572</v>
      </c>
      <c r="AN147"/>
    </row>
    <row r="148" spans="1:40" ht="13.5" customHeight="1">
      <c r="B148" s="1" t="s">
        <v>310</v>
      </c>
      <c r="C148" s="31">
        <f t="shared" ref="C148:H148" si="220">C128/C90</f>
        <v>2.1227153494744986</v>
      </c>
      <c r="D148" s="31">
        <f t="shared" si="220"/>
        <v>1.9872394117804562</v>
      </c>
      <c r="E148" s="31">
        <f t="shared" si="220"/>
        <v>1.9920607949001006</v>
      </c>
      <c r="F148" s="31">
        <f t="shared" si="220"/>
        <v>2.3268997170819352</v>
      </c>
      <c r="G148" s="31">
        <f t="shared" si="220"/>
        <v>2.4331161454059056</v>
      </c>
      <c r="H148" s="31">
        <f t="shared" si="220"/>
        <v>2.4331161454059056</v>
      </c>
      <c r="I148" s="31">
        <f>I128/I88</f>
        <v>2.1266034482758616</v>
      </c>
      <c r="J148" s="31">
        <f>J128/J88</f>
        <v>2.1266034482758616</v>
      </c>
      <c r="K148" s="31">
        <f>K128/K88</f>
        <v>1.9199094452384042</v>
      </c>
      <c r="L148" s="31">
        <f>L128/L88</f>
        <v>2.0700504437178888</v>
      </c>
      <c r="N148" s="31"/>
      <c r="O148" s="31"/>
      <c r="P148" s="31"/>
      <c r="Q148" s="31">
        <f t="shared" ref="Q148:Y148" si="221">Q128/Q90</f>
        <v>1.9920607949001006</v>
      </c>
      <c r="R148" s="31">
        <f t="shared" si="221"/>
        <v>1.7888657200597102</v>
      </c>
      <c r="S148" s="31">
        <f t="shared" si="221"/>
        <v>1.8211204127591434</v>
      </c>
      <c r="T148" s="31">
        <f t="shared" si="221"/>
        <v>2.3042144749235987</v>
      </c>
      <c r="U148" s="31">
        <f t="shared" si="221"/>
        <v>2.3268997170819352</v>
      </c>
      <c r="V148" s="31">
        <f t="shared" si="221"/>
        <v>2.3894746438213859</v>
      </c>
      <c r="W148" s="31">
        <f t="shared" si="221"/>
        <v>2.5984286589696293</v>
      </c>
      <c r="X148" s="31">
        <f t="shared" si="221"/>
        <v>2.3455882644576698</v>
      </c>
      <c r="Y148" s="31">
        <f t="shared" si="221"/>
        <v>2.4331161454059056</v>
      </c>
      <c r="Z148" s="31">
        <f t="shared" ref="Z148:AE148" si="222">Z128/Z88</f>
        <v>2.2043246644295302</v>
      </c>
      <c r="AA148" s="31">
        <f t="shared" si="222"/>
        <v>2.3111494875427043</v>
      </c>
      <c r="AB148" s="31">
        <f t="shared" si="222"/>
        <v>2.1999439602508755</v>
      </c>
      <c r="AC148" s="31">
        <f t="shared" si="222"/>
        <v>2.1266034482758616</v>
      </c>
      <c r="AD148" s="31">
        <f t="shared" si="222"/>
        <v>2.447048548852758</v>
      </c>
      <c r="AE148" s="31">
        <f t="shared" si="222"/>
        <v>2.3938058113800245</v>
      </c>
      <c r="AF148" s="31">
        <f t="shared" ref="AF148:AK148" si="223">AF128/AF88</f>
        <v>2.2306347701541398</v>
      </c>
      <c r="AG148" s="31">
        <f t="shared" si="223"/>
        <v>1.9199094452384042</v>
      </c>
      <c r="AH148" s="31">
        <f t="shared" si="223"/>
        <v>2.0596324458043092</v>
      </c>
      <c r="AI148" s="31">
        <f t="shared" si="223"/>
        <v>1.969655706124618</v>
      </c>
      <c r="AJ148" s="31">
        <f t="shared" si="223"/>
        <v>2.0233538596728406</v>
      </c>
      <c r="AK148" s="31">
        <f t="shared" si="223"/>
        <v>2.0700504437178888</v>
      </c>
      <c r="AN148"/>
    </row>
    <row r="149" spans="1:40" ht="13.5" customHeight="1">
      <c r="C149" s="31"/>
      <c r="D149" s="31"/>
      <c r="E149" s="31"/>
      <c r="F149" s="31"/>
      <c r="G149" s="31"/>
      <c r="H149" s="101"/>
      <c r="I149" s="101"/>
      <c r="J149" s="101"/>
      <c r="K149" s="101"/>
      <c r="L149" s="101"/>
      <c r="N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N149"/>
    </row>
    <row r="150" spans="1:40" s="5" customFormat="1" ht="13.5" customHeight="1">
      <c r="B150" s="5" t="s">
        <v>311</v>
      </c>
      <c r="C150" s="30">
        <f t="shared" ref="C150:H150" si="224">+(C88-C94)/C92</f>
        <v>5.9460125660747636</v>
      </c>
      <c r="D150" s="30">
        <f t="shared" si="224"/>
        <v>14.281921758730354</v>
      </c>
      <c r="E150" s="30">
        <f t="shared" si="224"/>
        <v>9.4336671383290867</v>
      </c>
      <c r="F150" s="30">
        <f t="shared" si="224"/>
        <v>8.6022430943921329</v>
      </c>
      <c r="G150" s="30">
        <f t="shared" si="224"/>
        <v>6.5778292786546739</v>
      </c>
      <c r="H150" s="30">
        <f t="shared" si="224"/>
        <v>6.6379723926056435</v>
      </c>
      <c r="I150" s="30">
        <f>+(I88-I94)/I92</f>
        <v>5.96616013566197</v>
      </c>
      <c r="J150" s="30">
        <f>+(J88-J94)/J92</f>
        <v>6.7362780219152212</v>
      </c>
      <c r="K150" s="30">
        <f>+(K88-K94)/K92</f>
        <v>10.851442586102754</v>
      </c>
      <c r="L150" s="30">
        <f>+(L88-L94)/L92</f>
        <v>9.7043593650169555</v>
      </c>
      <c r="N150" s="30"/>
      <c r="O150" s="30"/>
      <c r="P150" s="30"/>
      <c r="Q150" s="30">
        <f t="shared" ref="Q150:Z150" si="225">+(Q88-Q94)/Q92</f>
        <v>9.4336671383290849</v>
      </c>
      <c r="R150" s="30">
        <f t="shared" si="225"/>
        <v>9.0178562701394149</v>
      </c>
      <c r="S150" s="30">
        <f t="shared" si="225"/>
        <v>9.5104158410819402</v>
      </c>
      <c r="T150" s="30">
        <f t="shared" si="225"/>
        <v>7.8241705801174231</v>
      </c>
      <c r="U150" s="30">
        <f t="shared" si="225"/>
        <v>8.6022430943921329</v>
      </c>
      <c r="V150" s="30">
        <f t="shared" si="225"/>
        <v>8.5834368413931497</v>
      </c>
      <c r="W150" s="30">
        <f t="shared" si="225"/>
        <v>7.5496040657132735</v>
      </c>
      <c r="X150" s="30">
        <f t="shared" si="225"/>
        <v>6.919252071344367</v>
      </c>
      <c r="Y150" s="30">
        <f t="shared" si="225"/>
        <v>6.6379723926056435</v>
      </c>
      <c r="Z150" s="30">
        <f t="shared" si="225"/>
        <v>5.8288990353976669</v>
      </c>
      <c r="AA150" s="30">
        <f t="shared" ref="AA150:AF150" si="226">+(AA88-AA94)/AA92</f>
        <v>5.7652311967911807</v>
      </c>
      <c r="AB150" s="30">
        <f t="shared" si="226"/>
        <v>6.0245662415961707</v>
      </c>
      <c r="AC150" s="30">
        <f t="shared" si="226"/>
        <v>5.96616013566197</v>
      </c>
      <c r="AD150" s="30">
        <f t="shared" si="226"/>
        <v>6.9613895339181822</v>
      </c>
      <c r="AE150" s="30">
        <f t="shared" si="226"/>
        <v>7.8729528105372433</v>
      </c>
      <c r="AF150" s="30">
        <f t="shared" si="226"/>
        <v>9.1955719364555666</v>
      </c>
      <c r="AG150" s="30">
        <f>+(AG88-AG94)/AG92</f>
        <v>10.851442586102754</v>
      </c>
      <c r="AH150" s="30">
        <f>+(AH88-AH94)/AH92</f>
        <v>10.618295333106401</v>
      </c>
      <c r="AI150" s="30">
        <f>+(AI88-AI94)/AI92</f>
        <v>11.267765942418961</v>
      </c>
      <c r="AJ150" s="30">
        <f>+(AJ88-AJ94)/AJ92</f>
        <v>10.328993901858663</v>
      </c>
      <c r="AK150" s="30">
        <f>+(AK88-AK94)/AK92</f>
        <v>9.7043593650169555</v>
      </c>
      <c r="AN150"/>
    </row>
    <row r="151" spans="1:40" ht="13.5" customHeight="1">
      <c r="B151" s="1" t="s">
        <v>312</v>
      </c>
      <c r="C151" s="31">
        <f t="shared" ref="C151:H151" si="227">+C88/C92</f>
        <v>7.4116497325356887</v>
      </c>
      <c r="D151" s="31">
        <f t="shared" si="227"/>
        <v>18.812074803676371</v>
      </c>
      <c r="E151" s="31">
        <f t="shared" si="227"/>
        <v>18.71401724953104</v>
      </c>
      <c r="F151" s="31">
        <f t="shared" si="227"/>
        <v>15.06195263663836</v>
      </c>
      <c r="G151" s="31">
        <f t="shared" si="227"/>
        <v>9.5374100257748076</v>
      </c>
      <c r="H151" s="31">
        <f t="shared" si="227"/>
        <v>9.5374100257748076</v>
      </c>
      <c r="I151" s="31">
        <f>+I88/I92</f>
        <v>6.6723192487462777</v>
      </c>
      <c r="J151" s="31">
        <f>+J88/J92</f>
        <v>7.5364777433879855</v>
      </c>
      <c r="K151" s="31">
        <f>+K88/K92</f>
        <v>14.145371649971294</v>
      </c>
      <c r="L151" s="31">
        <f>+L88/L92</f>
        <v>14.731410035877525</v>
      </c>
      <c r="N151" s="31"/>
      <c r="O151" s="31"/>
      <c r="P151" s="31"/>
      <c r="Q151" s="31">
        <f t="shared" ref="Q151:Z151" si="228">+Q88/Q92</f>
        <v>18.714017249531036</v>
      </c>
      <c r="R151" s="31">
        <f t="shared" si="228"/>
        <v>18.222811584664555</v>
      </c>
      <c r="S151" s="31">
        <f t="shared" si="228"/>
        <v>18.037110892011935</v>
      </c>
      <c r="T151" s="31">
        <f t="shared" si="228"/>
        <v>16.301068920202862</v>
      </c>
      <c r="U151" s="31">
        <f t="shared" si="228"/>
        <v>15.06195263663836</v>
      </c>
      <c r="V151" s="31">
        <f t="shared" si="228"/>
        <v>13.821525694580732</v>
      </c>
      <c r="W151" s="31">
        <f t="shared" si="228"/>
        <v>11.92273500408524</v>
      </c>
      <c r="X151" s="31">
        <f t="shared" si="228"/>
        <v>9.8283897635765971</v>
      </c>
      <c r="Y151" s="31">
        <f t="shared" si="228"/>
        <v>9.5374100257748076</v>
      </c>
      <c r="Z151" s="31">
        <f t="shared" si="228"/>
        <v>8.3385740898397405</v>
      </c>
      <c r="AA151" s="31">
        <f t="shared" ref="AA151:AF151" si="229">+AA88/AA92</f>
        <v>7.5697892178599337</v>
      </c>
      <c r="AB151" s="31">
        <f t="shared" si="229"/>
        <v>7.5069630644209573</v>
      </c>
      <c r="AC151" s="31">
        <f t="shared" si="229"/>
        <v>6.6723192487462777</v>
      </c>
      <c r="AD151" s="31">
        <f t="shared" si="229"/>
        <v>7.6696491785224197</v>
      </c>
      <c r="AE151" s="31">
        <f t="shared" si="229"/>
        <v>8.8711807277446244</v>
      </c>
      <c r="AF151" s="31">
        <f t="shared" si="229"/>
        <v>10.934797670445098</v>
      </c>
      <c r="AG151" s="31">
        <f>+AG88/AG92</f>
        <v>14.145371649971294</v>
      </c>
      <c r="AH151" s="31">
        <f>+AH88/AH92</f>
        <v>14.347933199277254</v>
      </c>
      <c r="AI151" s="31">
        <f>+AI88/AI92</f>
        <v>15.320669130906163</v>
      </c>
      <c r="AJ151" s="31">
        <f>+AJ88/AJ92</f>
        <v>15.848730494458033</v>
      </c>
      <c r="AK151" s="31">
        <f>+AK88/AK92</f>
        <v>14.731410035877525</v>
      </c>
      <c r="AN151"/>
    </row>
    <row r="152" spans="1:40" ht="13.5" customHeight="1">
      <c r="C152" s="9"/>
      <c r="D152" s="9"/>
      <c r="E152" s="9"/>
      <c r="F152" s="9"/>
      <c r="G152" s="9"/>
      <c r="H152" s="9"/>
      <c r="I152" s="9"/>
      <c r="J152" s="9"/>
      <c r="K152" s="9"/>
      <c r="L152" s="9"/>
      <c r="N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N152"/>
    </row>
    <row r="153" spans="1:40" s="5" customFormat="1" ht="13.5" customHeight="1">
      <c r="B153" s="5" t="s">
        <v>313</v>
      </c>
      <c r="C153" s="71">
        <f t="shared" ref="C153:H153" si="230">C120/C135</f>
        <v>0.51404255394446641</v>
      </c>
      <c r="D153" s="71">
        <f t="shared" si="230"/>
        <v>0.55047056865896682</v>
      </c>
      <c r="E153" s="71">
        <f t="shared" si="230"/>
        <v>0.40809134037756645</v>
      </c>
      <c r="F153" s="71">
        <f t="shared" si="230"/>
        <v>0.65350656661553863</v>
      </c>
      <c r="G153" s="71">
        <f t="shared" si="230"/>
        <v>0.69413864109178081</v>
      </c>
      <c r="H153" s="71">
        <f t="shared" si="230"/>
        <v>0.69187552954423415</v>
      </c>
      <c r="I153" s="71">
        <f>I120/I135</f>
        <v>0.68645542530555015</v>
      </c>
      <c r="J153" s="71">
        <f>J120/J135</f>
        <v>0.68067850474182801</v>
      </c>
      <c r="K153" s="71">
        <f>K120/K135</f>
        <v>0.60360084116260126</v>
      </c>
      <c r="L153" s="71">
        <f>L120/L135</f>
        <v>0.64990666001992603</v>
      </c>
      <c r="N153" s="71"/>
      <c r="Q153" s="71">
        <f t="shared" ref="Q153:W153" si="231">Q120/Q135</f>
        <v>0.40809134037756656</v>
      </c>
      <c r="R153" s="71">
        <f t="shared" si="231"/>
        <v>0.38285604425421699</v>
      </c>
      <c r="S153" s="71">
        <f t="shared" si="231"/>
        <v>0.44278424042729153</v>
      </c>
      <c r="T153" s="71">
        <f>T120/T135</f>
        <v>0.71343435227864804</v>
      </c>
      <c r="U153" s="71">
        <f t="shared" si="231"/>
        <v>0.65350656661553863</v>
      </c>
      <c r="V153" s="71">
        <f t="shared" si="231"/>
        <v>0.63963769075180532</v>
      </c>
      <c r="W153" s="71">
        <f t="shared" si="231"/>
        <v>0.7150872729749026</v>
      </c>
      <c r="X153" s="71">
        <f t="shared" ref="X153:AC153" si="232">X120/X135</f>
        <v>0.6666246429548166</v>
      </c>
      <c r="Y153" s="71">
        <f t="shared" si="232"/>
        <v>0.69413864109178103</v>
      </c>
      <c r="Z153" s="71">
        <f t="shared" si="232"/>
        <v>0.68313391103026755</v>
      </c>
      <c r="AA153" s="71">
        <f t="shared" si="232"/>
        <v>0.74418513522750618</v>
      </c>
      <c r="AB153" s="71">
        <f t="shared" si="232"/>
        <v>0.70145257225055901</v>
      </c>
      <c r="AC153" s="71">
        <f t="shared" si="232"/>
        <v>0.68645542530555037</v>
      </c>
      <c r="AD153" s="71">
        <f t="shared" ref="AD153:AI153" si="233">AD120/AD135</f>
        <v>0.68271515305008779</v>
      </c>
      <c r="AE153" s="71">
        <f t="shared" si="233"/>
        <v>0.68024063573654214</v>
      </c>
      <c r="AF153" s="71">
        <f t="shared" si="233"/>
        <v>0.59203359835999247</v>
      </c>
      <c r="AG153" s="71">
        <f t="shared" si="233"/>
        <v>0.60360084116260126</v>
      </c>
      <c r="AH153" s="71">
        <f t="shared" si="233"/>
        <v>0.56670033677368703</v>
      </c>
      <c r="AI153" s="71">
        <f t="shared" si="233"/>
        <v>0.52326561795047466</v>
      </c>
      <c r="AJ153" s="71">
        <f>AJ120/AJ135</f>
        <v>0.57308434996451885</v>
      </c>
      <c r="AK153" s="71">
        <f>AK120/AK135</f>
        <v>0.64990666001992592</v>
      </c>
      <c r="AN153"/>
    </row>
    <row r="154" spans="1:40" s="5" customFormat="1" ht="13.5" customHeight="1">
      <c r="C154" s="37"/>
      <c r="D154" s="37"/>
      <c r="E154" s="37"/>
      <c r="F154" s="37"/>
      <c r="G154" s="37"/>
      <c r="I154" s="37"/>
      <c r="J154" s="37"/>
      <c r="K154" s="37"/>
      <c r="L154" s="37"/>
      <c r="N154" s="37"/>
      <c r="R154" s="37"/>
      <c r="S154" s="37"/>
      <c r="Y154" s="37"/>
      <c r="AC154" s="37"/>
      <c r="AG154" s="37"/>
      <c r="AK154" s="37"/>
      <c r="AN154"/>
    </row>
    <row r="155" spans="1:40" ht="13.5" customHeight="1">
      <c r="A155" s="27"/>
      <c r="B155" s="16" t="s">
        <v>314</v>
      </c>
      <c r="C155" s="47"/>
      <c r="D155" s="47"/>
      <c r="E155" s="47"/>
      <c r="F155" s="47"/>
      <c r="G155" s="47"/>
      <c r="H155" s="47"/>
      <c r="I155" s="13"/>
      <c r="J155" s="13"/>
      <c r="K155" s="13"/>
      <c r="L155" s="13"/>
      <c r="N155" s="47"/>
      <c r="O155" s="17"/>
      <c r="P155" s="17"/>
      <c r="Q155" s="1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N155"/>
    </row>
    <row r="156" spans="1:40" s="2" customFormat="1" ht="13.5" customHeight="1">
      <c r="A156" s="102"/>
      <c r="B156" s="103" t="s">
        <v>161</v>
      </c>
      <c r="C156" s="88">
        <f t="shared" ref="C156:AB156" si="234">+C2</f>
        <v>42004</v>
      </c>
      <c r="D156" s="47">
        <f t="shared" si="234"/>
        <v>42369</v>
      </c>
      <c r="E156" s="47">
        <f t="shared" si="234"/>
        <v>42735</v>
      </c>
      <c r="F156" s="47">
        <f t="shared" si="234"/>
        <v>43100</v>
      </c>
      <c r="G156" s="47">
        <f t="shared" si="234"/>
        <v>43465</v>
      </c>
      <c r="H156" s="47">
        <f t="shared" si="234"/>
        <v>43440</v>
      </c>
      <c r="I156" s="88">
        <f>+I2</f>
        <v>43806</v>
      </c>
      <c r="J156" s="88">
        <f>+J2</f>
        <v>43806</v>
      </c>
      <c r="K156" s="88">
        <f>+K2</f>
        <v>44172</v>
      </c>
      <c r="L156" s="88">
        <f>+L2</f>
        <v>44537</v>
      </c>
      <c r="N156" s="47">
        <f t="shared" si="234"/>
        <v>42437</v>
      </c>
      <c r="O156" s="47">
        <f t="shared" si="234"/>
        <v>42527</v>
      </c>
      <c r="P156" s="47">
        <f t="shared" si="234"/>
        <v>42622</v>
      </c>
      <c r="Q156" s="47">
        <f t="shared" si="234"/>
        <v>42714</v>
      </c>
      <c r="R156" s="47">
        <f t="shared" si="234"/>
        <v>42825</v>
      </c>
      <c r="S156" s="47">
        <f t="shared" si="234"/>
        <v>42916</v>
      </c>
      <c r="T156" s="47">
        <f t="shared" si="234"/>
        <v>43008</v>
      </c>
      <c r="U156" s="47">
        <f t="shared" si="234"/>
        <v>43099</v>
      </c>
      <c r="V156" s="47">
        <f t="shared" si="234"/>
        <v>43189</v>
      </c>
      <c r="W156" s="47">
        <f t="shared" si="234"/>
        <v>43281</v>
      </c>
      <c r="X156" s="47">
        <f t="shared" si="234"/>
        <v>43373</v>
      </c>
      <c r="Y156" s="47">
        <f t="shared" si="234"/>
        <v>43464</v>
      </c>
      <c r="Z156" s="47">
        <f t="shared" si="234"/>
        <v>43554</v>
      </c>
      <c r="AA156" s="47">
        <f t="shared" si="234"/>
        <v>43646</v>
      </c>
      <c r="AB156" s="47">
        <f t="shared" si="234"/>
        <v>43738</v>
      </c>
      <c r="AC156" s="47">
        <f t="shared" ref="AC156:AH156" si="235">+AC2</f>
        <v>43829</v>
      </c>
      <c r="AD156" s="47">
        <f t="shared" si="235"/>
        <v>43920</v>
      </c>
      <c r="AE156" s="47">
        <f t="shared" si="235"/>
        <v>44012</v>
      </c>
      <c r="AF156" s="47">
        <f t="shared" si="235"/>
        <v>44104</v>
      </c>
      <c r="AG156" s="47">
        <f t="shared" si="235"/>
        <v>44195</v>
      </c>
      <c r="AH156" s="47">
        <f t="shared" si="235"/>
        <v>44285</v>
      </c>
      <c r="AI156" s="47">
        <f>+AI2</f>
        <v>44377</v>
      </c>
      <c r="AJ156" s="47">
        <f>+AJ2</f>
        <v>44469</v>
      </c>
      <c r="AK156" s="47">
        <f>+AK2</f>
        <v>44560</v>
      </c>
      <c r="AN156"/>
    </row>
    <row r="157" spans="1:40" s="5" customFormat="1" ht="13.5" customHeight="1">
      <c r="B157" s="11"/>
      <c r="C157" s="14" t="str">
        <f t="shared" ref="C157:H158" si="236">C3</f>
        <v>Act</v>
      </c>
      <c r="D157" s="14" t="str">
        <f t="shared" si="236"/>
        <v>Act</v>
      </c>
      <c r="E157" s="14" t="str">
        <f t="shared" si="236"/>
        <v>Act</v>
      </c>
      <c r="F157" s="14" t="str">
        <f t="shared" si="236"/>
        <v>Act</v>
      </c>
      <c r="G157" s="14" t="str">
        <f t="shared" si="236"/>
        <v>Act</v>
      </c>
      <c r="H157" s="14" t="str">
        <f t="shared" si="236"/>
        <v>Act</v>
      </c>
      <c r="I157" s="14" t="str">
        <f>I3</f>
        <v>Act</v>
      </c>
      <c r="J157" s="14" t="str">
        <f>J3</f>
        <v>Act</v>
      </c>
      <c r="K157" s="14" t="str">
        <f>K3</f>
        <v>Act</v>
      </c>
      <c r="L157" s="14" t="str">
        <f>L3</f>
        <v>Act</v>
      </c>
      <c r="N157" s="14" t="s">
        <v>200</v>
      </c>
      <c r="O157" s="14" t="s">
        <v>200</v>
      </c>
      <c r="P157" s="14" t="s">
        <v>200</v>
      </c>
      <c r="Q157" s="14" t="s">
        <v>200</v>
      </c>
      <c r="R157" s="14" t="str">
        <f t="shared" ref="R157:AB157" si="237">R3</f>
        <v>Act</v>
      </c>
      <c r="S157" s="14" t="str">
        <f t="shared" si="237"/>
        <v>Act</v>
      </c>
      <c r="T157" s="14" t="str">
        <f t="shared" si="237"/>
        <v>Act</v>
      </c>
      <c r="U157" s="14" t="str">
        <f t="shared" si="237"/>
        <v>Act</v>
      </c>
      <c r="V157" s="14" t="str">
        <f t="shared" si="237"/>
        <v>Act</v>
      </c>
      <c r="W157" s="14" t="str">
        <f t="shared" si="237"/>
        <v>Act</v>
      </c>
      <c r="X157" s="14" t="str">
        <f t="shared" si="237"/>
        <v>Act</v>
      </c>
      <c r="Y157" s="14" t="str">
        <f t="shared" si="237"/>
        <v>Act</v>
      </c>
      <c r="Z157" s="14" t="str">
        <f t="shared" si="237"/>
        <v>Act</v>
      </c>
      <c r="AA157" s="14" t="str">
        <f t="shared" si="237"/>
        <v>Act</v>
      </c>
      <c r="AB157" s="14" t="str">
        <f t="shared" si="237"/>
        <v>Act</v>
      </c>
      <c r="AC157" s="14" t="str">
        <f t="shared" ref="AC157:AF158" si="238">AC3</f>
        <v>Act</v>
      </c>
      <c r="AD157" s="14" t="str">
        <f t="shared" si="238"/>
        <v>Act</v>
      </c>
      <c r="AE157" s="14" t="str">
        <f t="shared" si="238"/>
        <v>Act</v>
      </c>
      <c r="AF157" s="14" t="str">
        <f t="shared" si="238"/>
        <v>Act</v>
      </c>
      <c r="AG157" s="14" t="str">
        <f t="shared" ref="AG157:AJ158" si="239">AG3</f>
        <v>Act</v>
      </c>
      <c r="AH157" s="14" t="str">
        <f t="shared" si="239"/>
        <v>Act</v>
      </c>
      <c r="AI157" s="14" t="str">
        <f t="shared" si="239"/>
        <v>Act</v>
      </c>
      <c r="AJ157" s="14" t="str">
        <f t="shared" si="239"/>
        <v>Act</v>
      </c>
      <c r="AK157" s="14" t="str">
        <f>AK3</f>
        <v>Act</v>
      </c>
      <c r="AN157"/>
    </row>
    <row r="158" spans="1:40" s="3" customFormat="1" ht="13.5" customHeight="1">
      <c r="C158" s="23" t="str">
        <f t="shared" si="236"/>
        <v>FY</v>
      </c>
      <c r="D158" s="23" t="str">
        <f t="shared" si="236"/>
        <v>FY</v>
      </c>
      <c r="E158" s="23" t="str">
        <f t="shared" si="236"/>
        <v>FY</v>
      </c>
      <c r="F158" s="23" t="str">
        <f t="shared" si="236"/>
        <v>FY</v>
      </c>
      <c r="G158" s="23" t="str">
        <f t="shared" si="236"/>
        <v>FY</v>
      </c>
      <c r="H158" s="23" t="s">
        <v>201</v>
      </c>
      <c r="I158" s="23" t="s">
        <v>201</v>
      </c>
      <c r="J158" s="23" t="s">
        <v>201</v>
      </c>
      <c r="K158" s="23" t="s">
        <v>201</v>
      </c>
      <c r="L158" s="23" t="s">
        <v>201</v>
      </c>
      <c r="N158" s="23" t="s">
        <v>202</v>
      </c>
      <c r="O158" s="23" t="s">
        <v>203</v>
      </c>
      <c r="P158" s="23" t="s">
        <v>204</v>
      </c>
      <c r="Q158" s="23" t="s">
        <v>205</v>
      </c>
      <c r="R158" s="23" t="str">
        <f t="shared" ref="R158:AB158" si="240">R4</f>
        <v>Q1</v>
      </c>
      <c r="S158" s="23" t="str">
        <f t="shared" si="240"/>
        <v>Q2</v>
      </c>
      <c r="T158" s="23" t="str">
        <f t="shared" si="240"/>
        <v>Q3</v>
      </c>
      <c r="U158" s="23" t="str">
        <f t="shared" si="240"/>
        <v>Q4</v>
      </c>
      <c r="V158" s="23" t="str">
        <f t="shared" si="240"/>
        <v>Q1</v>
      </c>
      <c r="W158" s="23" t="str">
        <f t="shared" si="240"/>
        <v>Q2</v>
      </c>
      <c r="X158" s="23" t="str">
        <f t="shared" si="240"/>
        <v>Q3</v>
      </c>
      <c r="Y158" s="23" t="str">
        <f t="shared" si="240"/>
        <v>Q4</v>
      </c>
      <c r="Z158" s="23" t="str">
        <f t="shared" si="240"/>
        <v>Q1</v>
      </c>
      <c r="AA158" s="23" t="str">
        <f t="shared" si="240"/>
        <v>Q2</v>
      </c>
      <c r="AB158" s="23" t="str">
        <f t="shared" si="240"/>
        <v>Q3</v>
      </c>
      <c r="AC158" s="23" t="str">
        <f t="shared" si="238"/>
        <v>Q4</v>
      </c>
      <c r="AD158" s="23" t="str">
        <f t="shared" si="238"/>
        <v>Q1</v>
      </c>
      <c r="AE158" s="23" t="str">
        <f t="shared" si="238"/>
        <v>Q2</v>
      </c>
      <c r="AF158" s="23" t="str">
        <f t="shared" si="238"/>
        <v>Q3</v>
      </c>
      <c r="AG158" s="23" t="str">
        <f t="shared" si="239"/>
        <v>Q4</v>
      </c>
      <c r="AH158" s="23" t="str">
        <f t="shared" si="239"/>
        <v>Q1</v>
      </c>
      <c r="AI158" s="23" t="str">
        <f t="shared" si="239"/>
        <v>Q2</v>
      </c>
      <c r="AJ158" s="23" t="str">
        <f t="shared" si="239"/>
        <v>Q3</v>
      </c>
      <c r="AK158" s="23" t="str">
        <f>AK4</f>
        <v>Q4</v>
      </c>
      <c r="AN158"/>
    </row>
    <row r="159" spans="1:40" s="5" customFormat="1" ht="13.5" customHeight="1">
      <c r="B159" s="5" t="str">
        <f t="shared" ref="B159:AB159" si="241">+B6</f>
        <v>Revenues</v>
      </c>
      <c r="C159" s="57">
        <f t="shared" si="241"/>
        <v>49935.328000000001</v>
      </c>
      <c r="D159" s="57">
        <f t="shared" si="241"/>
        <v>58279.004000000001</v>
      </c>
      <c r="E159" s="57">
        <f t="shared" si="241"/>
        <v>68206.284</v>
      </c>
      <c r="F159" s="57">
        <f t="shared" si="241"/>
        <v>70580.517999999996</v>
      </c>
      <c r="G159" s="57">
        <f t="shared" si="241"/>
        <v>74041.088000000003</v>
      </c>
      <c r="H159" s="57">
        <f t="shared" si="241"/>
        <v>74037.588000000003</v>
      </c>
      <c r="I159" s="57">
        <f t="shared" ref="I159:K160" si="242">+I6</f>
        <v>77387.657999999996</v>
      </c>
      <c r="J159" s="57">
        <f t="shared" si="242"/>
        <v>77387.657999999996</v>
      </c>
      <c r="K159" s="57">
        <f t="shared" si="242"/>
        <v>91103.130999999994</v>
      </c>
      <c r="L159" s="57">
        <f>+L6</f>
        <v>94250.380999999994</v>
      </c>
      <c r="N159" s="57">
        <f t="shared" si="241"/>
        <v>15830.555</v>
      </c>
      <c r="O159" s="57">
        <f t="shared" si="241"/>
        <v>16348.175999999999</v>
      </c>
      <c r="P159" s="57">
        <f t="shared" si="241"/>
        <v>17209.001</v>
      </c>
      <c r="Q159" s="57">
        <f t="shared" si="241"/>
        <v>18818.552</v>
      </c>
      <c r="R159" s="57">
        <f t="shared" si="241"/>
        <v>17677.451000000001</v>
      </c>
      <c r="S159" s="57">
        <f t="shared" si="241"/>
        <v>17437.441999999999</v>
      </c>
      <c r="T159" s="57">
        <f t="shared" si="241"/>
        <v>17134.553</v>
      </c>
      <c r="U159" s="57">
        <f t="shared" si="241"/>
        <v>18331.072</v>
      </c>
      <c r="V159" s="57">
        <f t="shared" si="241"/>
        <v>17532.128000000001</v>
      </c>
      <c r="W159" s="57">
        <f t="shared" si="241"/>
        <v>18941.787</v>
      </c>
      <c r="X159" s="57">
        <f t="shared" si="241"/>
        <v>18487.637999999999</v>
      </c>
      <c r="Y159" s="57">
        <f t="shared" si="241"/>
        <v>19076.035</v>
      </c>
      <c r="Z159" s="57">
        <f t="shared" si="241"/>
        <v>18578.741999999998</v>
      </c>
      <c r="AA159" s="57">
        <f t="shared" si="241"/>
        <v>19313.781999999999</v>
      </c>
      <c r="AB159" s="57">
        <f t="shared" si="241"/>
        <v>20053.329000000002</v>
      </c>
      <c r="AC159" s="57">
        <f t="shared" ref="AC159:AF160" si="243">+AC6</f>
        <v>19441.805</v>
      </c>
      <c r="AD159" s="57">
        <f t="shared" si="243"/>
        <v>21544.293000000001</v>
      </c>
      <c r="AE159" s="57">
        <f t="shared" si="243"/>
        <v>24145.562999999998</v>
      </c>
      <c r="AF159" s="57">
        <f t="shared" si="243"/>
        <v>23473.200000000001</v>
      </c>
      <c r="AG159" s="57">
        <f t="shared" ref="AG159:AJ160" si="244">+AG6</f>
        <v>21940.075000000001</v>
      </c>
      <c r="AH159" s="57">
        <f t="shared" si="244"/>
        <v>22178.932000000001</v>
      </c>
      <c r="AI159" s="57">
        <f t="shared" si="244"/>
        <v>22449.985000000001</v>
      </c>
      <c r="AJ159" s="57">
        <f t="shared" si="244"/>
        <v>23903.053</v>
      </c>
      <c r="AK159" s="57">
        <f>+AK6</f>
        <v>25718.410999999993</v>
      </c>
      <c r="AN159"/>
    </row>
    <row r="160" spans="1:40" s="50" customFormat="1" ht="13.5" customHeight="1">
      <c r="B160" s="21" t="str">
        <f t="shared" ref="B160:AB160" si="245">+B7</f>
        <v xml:space="preserve">% y-o-y growth </v>
      </c>
      <c r="C160" s="85">
        <f t="shared" si="245"/>
        <v>1.835006429930397E-2</v>
      </c>
      <c r="D160" s="85">
        <f t="shared" si="245"/>
        <v>0.16708964042451058</v>
      </c>
      <c r="E160" s="85">
        <f t="shared" si="245"/>
        <v>0.17034059127022827</v>
      </c>
      <c r="F160" s="85">
        <f t="shared" si="245"/>
        <v>3.4809607865456949E-2</v>
      </c>
      <c r="G160" s="85">
        <f t="shared" si="245"/>
        <v>4.9030102046006663E-2</v>
      </c>
      <c r="H160" s="85">
        <f t="shared" si="245"/>
        <v>4.8980513291217331E-2</v>
      </c>
      <c r="I160" s="138">
        <f t="shared" si="242"/>
        <v>4.524823255992616E-2</v>
      </c>
      <c r="J160" s="138">
        <f t="shared" si="242"/>
        <v>4.524823255992616E-2</v>
      </c>
      <c r="K160" s="138">
        <f t="shared" si="242"/>
        <v>0.17723075428901081</v>
      </c>
      <c r="L160" s="138">
        <f>+L7</f>
        <v>3.4546013572244849E-2</v>
      </c>
      <c r="N160" s="85">
        <f t="shared" si="245"/>
        <v>0.17068689475649745</v>
      </c>
      <c r="O160" s="85">
        <f t="shared" si="245"/>
        <v>0.14483426062416171</v>
      </c>
      <c r="P160" s="85">
        <f t="shared" si="245"/>
        <v>0.12383734693684301</v>
      </c>
      <c r="Q160" s="85">
        <f t="shared" si="245"/>
        <v>0.24101093063923118</v>
      </c>
      <c r="R160" s="85">
        <f t="shared" si="245"/>
        <v>0.11666653506462654</v>
      </c>
      <c r="S160" s="85">
        <f t="shared" si="245"/>
        <v>6.6629206830168597E-2</v>
      </c>
      <c r="T160" s="85">
        <f t="shared" si="245"/>
        <v>-4.3261081802482559E-3</v>
      </c>
      <c r="U160" s="138">
        <f t="shared" si="245"/>
        <v>-2.5904224724622837E-2</v>
      </c>
      <c r="V160" s="138">
        <f t="shared" si="245"/>
        <v>-8.2208119258823098E-3</v>
      </c>
      <c r="W160" s="138">
        <f t="shared" si="245"/>
        <v>8.6270967955047517E-2</v>
      </c>
      <c r="X160" s="138">
        <f t="shared" si="245"/>
        <v>7.8968211192903537E-2</v>
      </c>
      <c r="Y160" s="138">
        <f t="shared" si="245"/>
        <v>4.0639358134646919E-2</v>
      </c>
      <c r="Z160" s="138">
        <f t="shared" si="245"/>
        <v>5.9696917567565011E-2</v>
      </c>
      <c r="AA160" s="138">
        <f t="shared" si="245"/>
        <v>1.9638854560026342E-2</v>
      </c>
      <c r="AB160" s="138">
        <f t="shared" si="245"/>
        <v>8.4688536199162057E-2</v>
      </c>
      <c r="AC160" s="138">
        <f t="shared" si="243"/>
        <v>1.9174320030341807E-2</v>
      </c>
      <c r="AD160" s="138">
        <f t="shared" si="243"/>
        <v>0.15962065676997961</v>
      </c>
      <c r="AE160" s="138">
        <f t="shared" si="243"/>
        <v>0.2501727005099259</v>
      </c>
      <c r="AF160" s="138">
        <f t="shared" si="243"/>
        <v>0.1705388167720181</v>
      </c>
      <c r="AG160" s="138">
        <f t="shared" si="244"/>
        <v>0.12849990008643775</v>
      </c>
      <c r="AH160" s="138">
        <f t="shared" si="244"/>
        <v>2.9457406655210239E-2</v>
      </c>
      <c r="AI160" s="138">
        <f t="shared" si="244"/>
        <v>-7.0223171023181319E-2</v>
      </c>
      <c r="AJ160" s="138">
        <f t="shared" si="244"/>
        <v>1.8312501065044451E-2</v>
      </c>
      <c r="AK160" s="138">
        <f>+AK7</f>
        <v>0.17221162644156829</v>
      </c>
      <c r="AN160"/>
    </row>
    <row r="161" spans="2:40" s="5" customFormat="1" ht="13.5" hidden="1" customHeight="1" outlineLevel="1" thickBot="1">
      <c r="B161" s="25" t="str">
        <f t="shared" ref="B161:AB161" si="246">+B41</f>
        <v xml:space="preserve">EBITDA </v>
      </c>
      <c r="C161" s="68">
        <f t="shared" si="246"/>
        <v>7483.3650000000016</v>
      </c>
      <c r="D161" s="68">
        <f t="shared" si="246"/>
        <v>8966.256000000003</v>
      </c>
      <c r="E161" s="68">
        <f t="shared" si="246"/>
        <v>11020.249000000002</v>
      </c>
      <c r="F161" s="68">
        <f t="shared" si="246"/>
        <v>11327.918999999994</v>
      </c>
      <c r="G161" s="68">
        <f t="shared" si="246"/>
        <v>11737.865</v>
      </c>
      <c r="H161" s="68">
        <f t="shared" si="246"/>
        <v>11737.865</v>
      </c>
      <c r="I161" s="68">
        <f t="shared" ref="I161:K163" si="247">+I41</f>
        <v>12461.554999999993</v>
      </c>
      <c r="J161" s="68">
        <f t="shared" si="247"/>
        <v>12461.554999999993</v>
      </c>
      <c r="K161" s="68">
        <f t="shared" si="247"/>
        <v>15042.158999999989</v>
      </c>
      <c r="L161" s="68">
        <f>+L41</f>
        <v>14936.409999999996</v>
      </c>
      <c r="N161" s="68">
        <f t="shared" si="246"/>
        <v>2474.6920000000009</v>
      </c>
      <c r="O161" s="68">
        <f t="shared" si="246"/>
        <v>2641.9839999999995</v>
      </c>
      <c r="P161" s="68">
        <f t="shared" si="246"/>
        <v>2884.7280000000005</v>
      </c>
      <c r="Q161" s="68">
        <f t="shared" si="246"/>
        <v>3018.6470000000004</v>
      </c>
      <c r="R161" s="68">
        <f t="shared" si="246"/>
        <v>2696.8730000000014</v>
      </c>
      <c r="S161" s="68">
        <f t="shared" si="246"/>
        <v>2835.3109999999988</v>
      </c>
      <c r="T161" s="68">
        <f t="shared" si="246"/>
        <v>2801.3190000000004</v>
      </c>
      <c r="U161" s="68">
        <f t="shared" si="246"/>
        <v>2999.7289999999994</v>
      </c>
      <c r="V161" s="68">
        <f t="shared" si="246"/>
        <v>2691.556</v>
      </c>
      <c r="W161" s="68">
        <f t="shared" si="246"/>
        <v>3085.46</v>
      </c>
      <c r="X161" s="68">
        <f t="shared" si="246"/>
        <v>3023.2829999999985</v>
      </c>
      <c r="Y161" s="68">
        <f t="shared" si="246"/>
        <v>2937.5660000000012</v>
      </c>
      <c r="Z161" s="68">
        <f t="shared" si="246"/>
        <v>2871.0049999999992</v>
      </c>
      <c r="AA161" s="68">
        <f t="shared" si="246"/>
        <v>3111.6499999999992</v>
      </c>
      <c r="AB161" s="68">
        <f t="shared" si="246"/>
        <v>3298.7680000000018</v>
      </c>
      <c r="AC161" s="68">
        <f t="shared" ref="AC161:AD163" si="248">+AC41</f>
        <v>3180.1319999999932</v>
      </c>
      <c r="AD161" s="68">
        <f t="shared" si="248"/>
        <v>3505.0570000000016</v>
      </c>
      <c r="AE161" s="68">
        <f t="shared" ref="AE161:AH163" si="249">+AE41</f>
        <v>4022.5709999999999</v>
      </c>
      <c r="AF161" s="68">
        <f t="shared" si="249"/>
        <v>3954.2560000000012</v>
      </c>
      <c r="AG161" s="68">
        <f t="shared" si="249"/>
        <v>3560.2749999999878</v>
      </c>
      <c r="AH161" s="68">
        <f t="shared" si="249"/>
        <v>3471.9590000000012</v>
      </c>
      <c r="AI161" s="68">
        <f t="shared" ref="AI161:AJ163" si="250">+AI41</f>
        <v>3715.9990000000007</v>
      </c>
      <c r="AJ161" s="68">
        <f t="shared" si="250"/>
        <v>3693.5009999999993</v>
      </c>
      <c r="AK161" s="68">
        <f>+AK41</f>
        <v>4054.9509999999973</v>
      </c>
      <c r="AN161"/>
    </row>
    <row r="162" spans="2:40" s="50" customFormat="1" ht="13.5" hidden="1" customHeight="1" outlineLevel="1" thickTop="1">
      <c r="B162" s="21" t="str">
        <f t="shared" ref="B162:AB162" si="251">+B42</f>
        <v xml:space="preserve">% growth </v>
      </c>
      <c r="C162" s="54">
        <f t="shared" si="251"/>
        <v>0.20522015413761086</v>
      </c>
      <c r="D162" s="54">
        <f t="shared" si="251"/>
        <v>0.19815831514298732</v>
      </c>
      <c r="E162" s="54">
        <f t="shared" si="251"/>
        <v>0.22908034301050484</v>
      </c>
      <c r="F162" s="54">
        <f t="shared" si="251"/>
        <v>2.791860692076864E-2</v>
      </c>
      <c r="G162" s="54">
        <f t="shared" si="251"/>
        <v>3.6188994642352812E-2</v>
      </c>
      <c r="H162" s="54">
        <f t="shared" si="251"/>
        <v>3.6188994642352812E-2</v>
      </c>
      <c r="I162" s="139">
        <f t="shared" si="247"/>
        <v>6.1654312773233633E-2</v>
      </c>
      <c r="J162" s="139">
        <f t="shared" si="247"/>
        <v>6.1654312773233633E-2</v>
      </c>
      <c r="K162" s="139">
        <f t="shared" si="247"/>
        <v>0.20708523133750134</v>
      </c>
      <c r="L162" s="139">
        <f>+L42</f>
        <v>-7.0301743253738946E-3</v>
      </c>
      <c r="N162" s="54">
        <f t="shared" si="251"/>
        <v>0</v>
      </c>
      <c r="O162" s="54">
        <f t="shared" si="251"/>
        <v>0</v>
      </c>
      <c r="P162" s="54">
        <f t="shared" si="251"/>
        <v>0</v>
      </c>
      <c r="Q162" s="54">
        <f t="shared" si="251"/>
        <v>0</v>
      </c>
      <c r="R162" s="54">
        <f t="shared" si="251"/>
        <v>8.9781273790839666E-2</v>
      </c>
      <c r="S162" s="54">
        <f t="shared" si="251"/>
        <v>7.3174932172185514E-2</v>
      </c>
      <c r="T162" s="54">
        <f t="shared" si="251"/>
        <v>-2.8913991197783706E-2</v>
      </c>
      <c r="U162" s="139">
        <f t="shared" si="251"/>
        <v>-6.2670461302699598E-3</v>
      </c>
      <c r="V162" s="139">
        <f t="shared" si="251"/>
        <v>-1.9715425976682965E-3</v>
      </c>
      <c r="W162" s="139">
        <f t="shared" si="251"/>
        <v>8.8226300395265689E-2</v>
      </c>
      <c r="X162" s="139">
        <f t="shared" si="251"/>
        <v>7.9235531547816596E-2</v>
      </c>
      <c r="Y162" s="139">
        <f t="shared" si="251"/>
        <v>-2.0722871966100342E-2</v>
      </c>
      <c r="Z162" s="139">
        <f t="shared" si="251"/>
        <v>6.6671100285485174E-2</v>
      </c>
      <c r="AA162" s="139">
        <f t="shared" si="251"/>
        <v>8.4881994905132707E-3</v>
      </c>
      <c r="AB162" s="139">
        <f t="shared" si="251"/>
        <v>9.1121142149115153E-2</v>
      </c>
      <c r="AC162" s="139">
        <f t="shared" si="248"/>
        <v>8.2573804299202802E-2</v>
      </c>
      <c r="AD162" s="139">
        <f t="shared" si="248"/>
        <v>0.22084670698936515</v>
      </c>
      <c r="AE162" s="139">
        <f t="shared" si="249"/>
        <v>0.29274532804139319</v>
      </c>
      <c r="AF162" s="139">
        <f t="shared" si="249"/>
        <v>0.19870691118623651</v>
      </c>
      <c r="AG162" s="139">
        <f>+AG42</f>
        <v>0.11953686199189062</v>
      </c>
      <c r="AH162" s="139">
        <f>+AH42</f>
        <v>-9.4429277469668671E-3</v>
      </c>
      <c r="AI162" s="139">
        <f t="shared" si="250"/>
        <v>-7.621294937988643E-2</v>
      </c>
      <c r="AJ162" s="139">
        <f t="shared" si="250"/>
        <v>-6.5942872692107413E-2</v>
      </c>
      <c r="AK162" s="139">
        <f>+AK42</f>
        <v>0.13894319961239265</v>
      </c>
      <c r="AN162"/>
    </row>
    <row r="163" spans="2:40" s="50" customFormat="1" ht="13.5" hidden="1" customHeight="1" outlineLevel="1">
      <c r="B163" s="21" t="str">
        <f t="shared" ref="B163:AB163" si="252">+B43</f>
        <v>% margin</v>
      </c>
      <c r="C163" s="54">
        <f t="shared" si="252"/>
        <v>0.14986113638825005</v>
      </c>
      <c r="D163" s="54">
        <f t="shared" si="252"/>
        <v>0.15385053594944764</v>
      </c>
      <c r="E163" s="54">
        <f t="shared" si="252"/>
        <v>0.16157234134027887</v>
      </c>
      <c r="F163" s="54">
        <f t="shared" si="252"/>
        <v>0.16049639930384182</v>
      </c>
      <c r="G163" s="54">
        <f t="shared" si="252"/>
        <v>0.15853177360116588</v>
      </c>
      <c r="H163" s="54">
        <f t="shared" si="252"/>
        <v>0.15853926791888465</v>
      </c>
      <c r="I163" s="139">
        <f t="shared" si="247"/>
        <v>0.16102767963335954</v>
      </c>
      <c r="J163" s="139">
        <f t="shared" si="247"/>
        <v>0.16102767963335954</v>
      </c>
      <c r="K163" s="139">
        <f t="shared" si="247"/>
        <v>0.16511132861064884</v>
      </c>
      <c r="L163" s="139">
        <f>+L43</f>
        <v>0.15847585804454198</v>
      </c>
      <c r="N163" s="54">
        <f t="shared" si="252"/>
        <v>0.1563237675495269</v>
      </c>
      <c r="O163" s="54">
        <f t="shared" si="252"/>
        <v>0.16160726432110833</v>
      </c>
      <c r="P163" s="54">
        <f t="shared" si="252"/>
        <v>0.16762902158004411</v>
      </c>
      <c r="Q163" s="54">
        <f t="shared" si="252"/>
        <v>0.16040803777038745</v>
      </c>
      <c r="R163" s="54">
        <f t="shared" si="252"/>
        <v>0.15256006083682547</v>
      </c>
      <c r="S163" s="54">
        <f t="shared" si="252"/>
        <v>0.16259902111789096</v>
      </c>
      <c r="T163" s="54">
        <f t="shared" si="252"/>
        <v>0.16348947066200095</v>
      </c>
      <c r="U163" s="139">
        <f t="shared" si="252"/>
        <v>0.16364176628622698</v>
      </c>
      <c r="V163" s="139">
        <f t="shared" si="252"/>
        <v>0.15352135234239678</v>
      </c>
      <c r="W163" s="139">
        <f t="shared" si="252"/>
        <v>0.16289170604653089</v>
      </c>
      <c r="X163" s="139">
        <f t="shared" si="252"/>
        <v>0.1635299760845598</v>
      </c>
      <c r="Y163" s="139">
        <f t="shared" si="252"/>
        <v>0.15399248323878631</v>
      </c>
      <c r="Z163" s="139">
        <f t="shared" si="252"/>
        <v>0.15453172233082302</v>
      </c>
      <c r="AA163" s="139">
        <f t="shared" si="252"/>
        <v>0.16111034079187594</v>
      </c>
      <c r="AB163" s="139">
        <f t="shared" si="252"/>
        <v>0.16449976958937848</v>
      </c>
      <c r="AC163" s="139">
        <f t="shared" si="248"/>
        <v>0.16357184942447439</v>
      </c>
      <c r="AD163" s="139">
        <f t="shared" si="248"/>
        <v>0.16269074134853259</v>
      </c>
      <c r="AE163" s="139">
        <f t="shared" si="249"/>
        <v>0.16659669521891041</v>
      </c>
      <c r="AF163" s="139">
        <f t="shared" si="249"/>
        <v>0.16845832694306703</v>
      </c>
      <c r="AG163" s="139">
        <f>+AG43</f>
        <v>0.16227269049900639</v>
      </c>
      <c r="AH163" s="139">
        <f>+AH43</f>
        <v>0.15654311037159052</v>
      </c>
      <c r="AI163" s="139">
        <f t="shared" si="250"/>
        <v>0.16552345135197197</v>
      </c>
      <c r="AJ163" s="139">
        <f t="shared" si="250"/>
        <v>0.15452005231298274</v>
      </c>
      <c r="AK163" s="139">
        <f>+AK43</f>
        <v>0.15766724468319596</v>
      </c>
      <c r="AN163"/>
    </row>
    <row r="164" spans="2:40" ht="13.5" customHeight="1" collapsed="1">
      <c r="C164" s="55"/>
      <c r="H164" s="55"/>
      <c r="I164" s="55"/>
      <c r="J164" s="55"/>
      <c r="K164" s="55"/>
      <c r="L164" s="55"/>
      <c r="AN164"/>
    </row>
    <row r="165" spans="2:40" s="5" customFormat="1" ht="13.5" customHeight="1" thickBot="1">
      <c r="B165" s="25" t="str">
        <f t="shared" ref="B165:AB165" si="253">+B45</f>
        <v xml:space="preserve">Adj. EBITDA </v>
      </c>
      <c r="C165" s="68">
        <f t="shared" si="253"/>
        <v>7493</v>
      </c>
      <c r="D165" s="68">
        <f t="shared" si="253"/>
        <v>9139</v>
      </c>
      <c r="E165" s="68">
        <f t="shared" si="253"/>
        <v>10964</v>
      </c>
      <c r="F165" s="68">
        <f t="shared" si="253"/>
        <v>11344</v>
      </c>
      <c r="G165" s="68">
        <f t="shared" si="253"/>
        <v>11741</v>
      </c>
      <c r="H165" s="72">
        <f t="shared" si="253"/>
        <v>11741</v>
      </c>
      <c r="I165" s="72">
        <f t="shared" ref="I165:K167" si="254">+I45</f>
        <v>12528</v>
      </c>
      <c r="J165" s="72">
        <f t="shared" si="254"/>
        <v>12528</v>
      </c>
      <c r="K165" s="72">
        <f t="shared" si="254"/>
        <v>15394</v>
      </c>
      <c r="L165" s="72">
        <f>+L45</f>
        <v>14987</v>
      </c>
      <c r="N165" s="68">
        <f t="shared" si="253"/>
        <v>2475</v>
      </c>
      <c r="O165" s="68">
        <f t="shared" si="253"/>
        <v>2642</v>
      </c>
      <c r="P165" s="68">
        <f t="shared" si="253"/>
        <v>2806</v>
      </c>
      <c r="Q165" s="68">
        <f t="shared" si="253"/>
        <v>3041</v>
      </c>
      <c r="R165" s="68">
        <f t="shared" si="253"/>
        <v>2697</v>
      </c>
      <c r="S165" s="68">
        <f t="shared" si="253"/>
        <v>2835</v>
      </c>
      <c r="T165" s="68">
        <f t="shared" si="253"/>
        <v>2802</v>
      </c>
      <c r="U165" s="68">
        <f t="shared" si="253"/>
        <v>3010</v>
      </c>
      <c r="V165" s="68">
        <f t="shared" si="253"/>
        <v>2692</v>
      </c>
      <c r="W165" s="68">
        <f t="shared" si="253"/>
        <v>3097</v>
      </c>
      <c r="X165" s="68">
        <f t="shared" si="253"/>
        <v>3023</v>
      </c>
      <c r="Y165" s="68">
        <f t="shared" si="253"/>
        <v>2929</v>
      </c>
      <c r="Z165" s="68">
        <f t="shared" si="253"/>
        <v>2871</v>
      </c>
      <c r="AA165" s="68">
        <f t="shared" si="253"/>
        <v>3178</v>
      </c>
      <c r="AB165" s="68">
        <f t="shared" si="253"/>
        <v>3299</v>
      </c>
      <c r="AC165" s="68">
        <f t="shared" ref="AC165:AD167" si="255">+AC45</f>
        <v>3180</v>
      </c>
      <c r="AD165" s="68">
        <f t="shared" si="255"/>
        <v>3505</v>
      </c>
      <c r="AE165" s="68">
        <f t="shared" ref="AE165:AH167" si="256">+AE45</f>
        <v>4023</v>
      </c>
      <c r="AF165" s="68">
        <f t="shared" si="256"/>
        <v>3954</v>
      </c>
      <c r="AG165" s="68">
        <f t="shared" si="256"/>
        <v>3912</v>
      </c>
      <c r="AH165" s="68">
        <f t="shared" si="256"/>
        <v>3472</v>
      </c>
      <c r="AI165" s="68">
        <f t="shared" ref="AI165:AJ167" si="257">+AI45</f>
        <v>3716</v>
      </c>
      <c r="AJ165" s="68">
        <f t="shared" si="257"/>
        <v>3694</v>
      </c>
      <c r="AK165" s="68">
        <f>+AK45</f>
        <v>4105</v>
      </c>
      <c r="AN165"/>
    </row>
    <row r="166" spans="2:40" s="50" customFormat="1" ht="13.5" customHeight="1" thickTop="1">
      <c r="B166" s="21" t="str">
        <f>+B46</f>
        <v xml:space="preserve">% growth </v>
      </c>
      <c r="C166" s="85"/>
      <c r="D166" s="85">
        <f t="shared" ref="D166:AB166" si="258">+D46</f>
        <v>0.21967169358067529</v>
      </c>
      <c r="E166" s="85">
        <f t="shared" si="258"/>
        <v>0.1996936207462523</v>
      </c>
      <c r="F166" s="85">
        <f t="shared" si="258"/>
        <v>3.4658883619117065E-2</v>
      </c>
      <c r="G166" s="85">
        <f t="shared" si="258"/>
        <v>3.4996473906911074E-2</v>
      </c>
      <c r="H166" s="85">
        <f t="shared" si="258"/>
        <v>3.4996473906911074E-2</v>
      </c>
      <c r="I166" s="138">
        <f t="shared" si="254"/>
        <v>6.703006558214808E-2</v>
      </c>
      <c r="J166" s="138">
        <f t="shared" si="254"/>
        <v>6.703006558214808E-2</v>
      </c>
      <c r="K166" s="138">
        <f t="shared" si="254"/>
        <v>0.22876756066411241</v>
      </c>
      <c r="L166" s="138">
        <f>+L46</f>
        <v>-2.6438872287904425E-2</v>
      </c>
      <c r="N166" s="85">
        <f t="shared" si="258"/>
        <v>0</v>
      </c>
      <c r="O166" s="85">
        <f t="shared" si="258"/>
        <v>0</v>
      </c>
      <c r="P166" s="85">
        <f t="shared" si="258"/>
        <v>0</v>
      </c>
      <c r="Q166" s="85">
        <f t="shared" si="258"/>
        <v>0</v>
      </c>
      <c r="R166" s="85">
        <f t="shared" si="258"/>
        <v>8.9696969696969608E-2</v>
      </c>
      <c r="S166" s="85">
        <f t="shared" si="258"/>
        <v>7.3050719152157439E-2</v>
      </c>
      <c r="T166" s="85">
        <f t="shared" si="258"/>
        <v>-1.4255167498218313E-3</v>
      </c>
      <c r="U166" s="138">
        <f t="shared" si="258"/>
        <v>-1.0194015126603118E-2</v>
      </c>
      <c r="V166" s="138">
        <f t="shared" si="258"/>
        <v>-1.8539117538005634E-3</v>
      </c>
      <c r="W166" s="138">
        <f t="shared" si="258"/>
        <v>9.24162257495591E-2</v>
      </c>
      <c r="X166" s="138">
        <f t="shared" si="258"/>
        <v>7.8872234118486872E-2</v>
      </c>
      <c r="Y166" s="138">
        <f t="shared" si="258"/>
        <v>-2.6910299003322313E-2</v>
      </c>
      <c r="Z166" s="138">
        <f t="shared" si="258"/>
        <v>6.6493313521545305E-2</v>
      </c>
      <c r="AA166" s="138">
        <f t="shared" si="258"/>
        <v>2.6154342912495965E-2</v>
      </c>
      <c r="AB166" s="138">
        <f t="shared" si="258"/>
        <v>9.1300033079722231E-2</v>
      </c>
      <c r="AC166" s="138">
        <f t="shared" si="255"/>
        <v>8.5694776374189097E-2</v>
      </c>
      <c r="AD166" s="138">
        <f t="shared" si="255"/>
        <v>0.22082897944966917</v>
      </c>
      <c r="AE166" s="138">
        <f t="shared" si="256"/>
        <v>0.26589049716803026</v>
      </c>
      <c r="AF166" s="138">
        <f t="shared" si="256"/>
        <v>0.19854501364049715</v>
      </c>
      <c r="AG166" s="138">
        <f t="shared" si="256"/>
        <v>0.23018867924528297</v>
      </c>
      <c r="AH166" s="138">
        <f t="shared" si="256"/>
        <v>-9.4151212553494901E-3</v>
      </c>
      <c r="AI166" s="138">
        <f t="shared" si="257"/>
        <v>-7.6311210539398489E-2</v>
      </c>
      <c r="AJ166" s="138">
        <f t="shared" si="257"/>
        <v>-6.5756196256954946E-2</v>
      </c>
      <c r="AK166" s="138">
        <f>+AK46</f>
        <v>4.9335378323108303E-2</v>
      </c>
      <c r="AN166"/>
    </row>
    <row r="167" spans="2:40" s="50" customFormat="1" ht="13.5" customHeight="1">
      <c r="B167" s="21" t="str">
        <f>+B47</f>
        <v>% margin</v>
      </c>
      <c r="C167" s="85">
        <f>+C47</f>
        <v>0.15005408595694014</v>
      </c>
      <c r="D167" s="85">
        <f t="shared" ref="D167:AB167" si="259">+D47</f>
        <v>0.15681462229519227</v>
      </c>
      <c r="E167" s="85">
        <f t="shared" si="259"/>
        <v>0.1607476519318953</v>
      </c>
      <c r="F167" s="85">
        <f t="shared" si="259"/>
        <v>0.16072423837977501</v>
      </c>
      <c r="G167" s="85">
        <f t="shared" si="259"/>
        <v>0.15857411495627941</v>
      </c>
      <c r="H167" s="85">
        <f t="shared" si="259"/>
        <v>0.15858161127561313</v>
      </c>
      <c r="I167" s="138">
        <f t="shared" si="254"/>
        <v>0.16188627907566347</v>
      </c>
      <c r="J167" s="138">
        <f t="shared" si="254"/>
        <v>0.16188627907566347</v>
      </c>
      <c r="K167" s="138">
        <f t="shared" si="254"/>
        <v>0.16897333638291753</v>
      </c>
      <c r="L167" s="138">
        <f>+L47</f>
        <v>0.15901261980044409</v>
      </c>
      <c r="N167" s="85">
        <f t="shared" si="259"/>
        <v>0.15634322359512978</v>
      </c>
      <c r="O167" s="85">
        <f t="shared" si="259"/>
        <v>0.16160824302356422</v>
      </c>
      <c r="P167" s="85">
        <f t="shared" si="259"/>
        <v>0.163054206342367</v>
      </c>
      <c r="Q167" s="85">
        <f t="shared" si="259"/>
        <v>0.16159585498395412</v>
      </c>
      <c r="R167" s="85">
        <f t="shared" si="259"/>
        <v>0.1525672451305338</v>
      </c>
      <c r="S167" s="85">
        <f t="shared" si="259"/>
        <v>0.16258118593312024</v>
      </c>
      <c r="T167" s="85">
        <f t="shared" si="259"/>
        <v>0.16352921491444802</v>
      </c>
      <c r="U167" s="138">
        <f t="shared" si="259"/>
        <v>0.16420207176099685</v>
      </c>
      <c r="V167" s="138">
        <f t="shared" si="259"/>
        <v>0.15354667727728202</v>
      </c>
      <c r="W167" s="138">
        <f t="shared" si="259"/>
        <v>0.16350094106749274</v>
      </c>
      <c r="X167" s="138">
        <f t="shared" si="259"/>
        <v>0.16351466855852545</v>
      </c>
      <c r="Y167" s="138">
        <f t="shared" si="259"/>
        <v>0.15354343814110216</v>
      </c>
      <c r="Z167" s="138">
        <f t="shared" si="259"/>
        <v>0.15453145320603517</v>
      </c>
      <c r="AA167" s="138">
        <f t="shared" si="259"/>
        <v>0.16454571145102498</v>
      </c>
      <c r="AB167" s="138">
        <f t="shared" si="259"/>
        <v>0.16451133874081456</v>
      </c>
      <c r="AC167" s="138">
        <f t="shared" si="255"/>
        <v>0.16356505993142098</v>
      </c>
      <c r="AD167" s="138">
        <f t="shared" si="255"/>
        <v>0.16268809563627823</v>
      </c>
      <c r="AE167" s="138">
        <f t="shared" si="256"/>
        <v>0.16661446245838213</v>
      </c>
      <c r="AF167" s="138">
        <f t="shared" si="256"/>
        <v>0.16844742088850262</v>
      </c>
      <c r="AG167" s="138">
        <f t="shared" si="256"/>
        <v>0.1783038572110624</v>
      </c>
      <c r="AH167" s="138">
        <f t="shared" si="256"/>
        <v>0.15654495897277651</v>
      </c>
      <c r="AI167" s="138">
        <f t="shared" si="257"/>
        <v>0.16552349589543155</v>
      </c>
      <c r="AJ167" s="138">
        <f t="shared" si="257"/>
        <v>0.15454092830735891</v>
      </c>
      <c r="AK167" s="138">
        <f>+AK47</f>
        <v>0.1596132824846761</v>
      </c>
      <c r="AN167"/>
    </row>
    <row r="168" spans="2:40" ht="13.5" customHeight="1">
      <c r="C168" s="55"/>
      <c r="H168" s="55"/>
      <c r="I168" s="55"/>
      <c r="J168" s="55"/>
      <c r="K168" s="55"/>
      <c r="L168" s="55"/>
      <c r="AN168"/>
    </row>
    <row r="169" spans="2:40" s="5" customFormat="1" ht="13.5" customHeight="1">
      <c r="B169" s="5" t="str">
        <f t="shared" ref="B169:Z169" si="260">+B60</f>
        <v xml:space="preserve">Adjusted EBITDA </v>
      </c>
      <c r="C169" s="144">
        <f t="shared" si="260"/>
        <v>7493</v>
      </c>
      <c r="D169" s="144">
        <f t="shared" si="260"/>
        <v>9139</v>
      </c>
      <c r="E169" s="144">
        <f t="shared" si="260"/>
        <v>10964</v>
      </c>
      <c r="F169" s="144">
        <f t="shared" si="260"/>
        <v>11344</v>
      </c>
      <c r="G169" s="144">
        <f t="shared" si="260"/>
        <v>11741</v>
      </c>
      <c r="H169" s="144">
        <f t="shared" si="260"/>
        <v>11741</v>
      </c>
      <c r="I169" s="145">
        <f t="shared" ref="I169:K188" si="261">+I60</f>
        <v>12528</v>
      </c>
      <c r="J169" s="145">
        <f t="shared" si="261"/>
        <v>12528</v>
      </c>
      <c r="K169" s="145">
        <f t="shared" si="261"/>
        <v>15394</v>
      </c>
      <c r="L169" s="145">
        <f t="shared" ref="L169:L188" si="262">+L60</f>
        <v>14987</v>
      </c>
      <c r="N169" s="144">
        <f t="shared" si="260"/>
        <v>2475</v>
      </c>
      <c r="O169" s="144">
        <f t="shared" si="260"/>
        <v>2642</v>
      </c>
      <c r="P169" s="144">
        <f t="shared" si="260"/>
        <v>2806</v>
      </c>
      <c r="Q169" s="144">
        <f t="shared" si="260"/>
        <v>3041</v>
      </c>
      <c r="R169" s="144">
        <f t="shared" si="260"/>
        <v>2697</v>
      </c>
      <c r="S169" s="144">
        <f t="shared" si="260"/>
        <v>2835</v>
      </c>
      <c r="T169" s="144">
        <f t="shared" si="260"/>
        <v>2802</v>
      </c>
      <c r="U169" s="145">
        <f t="shared" si="260"/>
        <v>3010</v>
      </c>
      <c r="V169" s="145">
        <f t="shared" si="260"/>
        <v>2692</v>
      </c>
      <c r="W169" s="145">
        <f t="shared" si="260"/>
        <v>3097</v>
      </c>
      <c r="X169" s="145">
        <f t="shared" si="260"/>
        <v>3023</v>
      </c>
      <c r="Y169" s="145">
        <f t="shared" si="260"/>
        <v>2929</v>
      </c>
      <c r="Z169" s="145">
        <f t="shared" si="260"/>
        <v>2871</v>
      </c>
      <c r="AA169" s="145">
        <f t="shared" ref="AA169:AD188" si="263">+AA60</f>
        <v>3178</v>
      </c>
      <c r="AB169" s="145">
        <f t="shared" si="263"/>
        <v>3299</v>
      </c>
      <c r="AC169" s="145">
        <f t="shared" si="263"/>
        <v>3180</v>
      </c>
      <c r="AD169" s="145">
        <f t="shared" si="263"/>
        <v>3505</v>
      </c>
      <c r="AE169" s="145">
        <f t="shared" ref="AE169:AH188" si="264">+AE60</f>
        <v>4023</v>
      </c>
      <c r="AF169" s="145">
        <f t="shared" si="264"/>
        <v>3954</v>
      </c>
      <c r="AG169" s="145">
        <f t="shared" si="264"/>
        <v>3912</v>
      </c>
      <c r="AH169" s="145">
        <f t="shared" si="264"/>
        <v>3472</v>
      </c>
      <c r="AI169" s="145">
        <f t="shared" ref="AI169:AJ188" si="265">+AI60</f>
        <v>3716</v>
      </c>
      <c r="AJ169" s="145">
        <f t="shared" si="265"/>
        <v>3694</v>
      </c>
      <c r="AK169" s="145">
        <f t="shared" ref="AK169:AK188" si="266">+AK60</f>
        <v>4105</v>
      </c>
      <c r="AN169"/>
    </row>
    <row r="170" spans="2:40" ht="13.5" customHeight="1">
      <c r="B170" s="1" t="str">
        <f t="shared" ref="B170:Z170" si="267">+B61</f>
        <v>Working Capital</v>
      </c>
      <c r="C170" s="146">
        <f t="shared" si="267"/>
        <v>621.39400000000001</v>
      </c>
      <c r="D170" s="146">
        <f t="shared" si="267"/>
        <v>-1632.3759999999997</v>
      </c>
      <c r="E170" s="146">
        <f t="shared" si="267"/>
        <v>1171.883</v>
      </c>
      <c r="F170" s="146">
        <f t="shared" si="267"/>
        <v>-2768.0509999999999</v>
      </c>
      <c r="G170" s="146">
        <f t="shared" si="267"/>
        <v>-1893.4870000000001</v>
      </c>
      <c r="H170" s="147">
        <f t="shared" si="267"/>
        <v>-1881.731</v>
      </c>
      <c r="I170" s="248">
        <f t="shared" si="261"/>
        <v>-2343.1210000000001</v>
      </c>
      <c r="J170" s="248">
        <f t="shared" si="261"/>
        <v>-1904.4479999999999</v>
      </c>
      <c r="K170" s="248">
        <f t="shared" si="261"/>
        <v>990.72800000000007</v>
      </c>
      <c r="L170" s="248">
        <f t="shared" si="262"/>
        <v>260.16799999999989</v>
      </c>
      <c r="N170" s="146">
        <f t="shared" si="267"/>
        <v>-125.005</v>
      </c>
      <c r="O170" s="146">
        <f t="shared" si="267"/>
        <v>1101.5250000000001</v>
      </c>
      <c r="P170" s="146">
        <f t="shared" si="267"/>
        <v>828.99499999999978</v>
      </c>
      <c r="Q170" s="146">
        <f t="shared" si="267"/>
        <v>-633.63199999999983</v>
      </c>
      <c r="R170" s="146">
        <f t="shared" si="267"/>
        <v>-1660.2550000000003</v>
      </c>
      <c r="S170" s="146">
        <f t="shared" si="267"/>
        <v>-760.48899999999935</v>
      </c>
      <c r="T170" s="163">
        <f t="shared" si="267"/>
        <v>-1329.2610000000011</v>
      </c>
      <c r="U170" s="148">
        <f t="shared" si="267"/>
        <v>981.95400000000086</v>
      </c>
      <c r="V170" s="148">
        <f t="shared" si="267"/>
        <v>-1629.4140000000002</v>
      </c>
      <c r="W170" s="148">
        <f t="shared" si="267"/>
        <v>-307.47799999999984</v>
      </c>
      <c r="X170" s="148">
        <f t="shared" si="267"/>
        <v>-335.58200000000011</v>
      </c>
      <c r="Y170" s="148">
        <f t="shared" si="267"/>
        <v>390.74300000000017</v>
      </c>
      <c r="Z170" s="148">
        <f t="shared" si="267"/>
        <v>-719.54800000000012</v>
      </c>
      <c r="AA170" s="148">
        <f t="shared" si="263"/>
        <v>-497.33499999999992</v>
      </c>
      <c r="AB170" s="148">
        <f t="shared" si="263"/>
        <v>-45.157999999999447</v>
      </c>
      <c r="AC170" s="148">
        <f t="shared" si="263"/>
        <v>-1081.0800000000004</v>
      </c>
      <c r="AD170" s="148">
        <f t="shared" si="263"/>
        <v>877.97099999999989</v>
      </c>
      <c r="AE170" s="148">
        <f t="shared" si="264"/>
        <v>-403.44599999999991</v>
      </c>
      <c r="AF170" s="148">
        <f t="shared" si="264"/>
        <v>1495.6569999999997</v>
      </c>
      <c r="AG170" s="148">
        <f t="shared" si="264"/>
        <v>-979.45399999999961</v>
      </c>
      <c r="AH170" s="148">
        <f t="shared" si="264"/>
        <v>375.83600000000001</v>
      </c>
      <c r="AI170" s="148">
        <f t="shared" si="265"/>
        <v>1739.8680000000002</v>
      </c>
      <c r="AJ170" s="148">
        <f t="shared" si="265"/>
        <v>-589.87300000000027</v>
      </c>
      <c r="AK170" s="148">
        <f t="shared" si="266"/>
        <v>-1265.663</v>
      </c>
      <c r="AN170"/>
    </row>
    <row r="171" spans="2:40" ht="13.5" customHeight="1">
      <c r="B171" s="1" t="str">
        <f t="shared" ref="B171:Z171" si="268">+B62</f>
        <v>Taxes/Other adjustments</v>
      </c>
      <c r="C171" s="146">
        <f t="shared" si="268"/>
        <v>-1816.0119999999999</v>
      </c>
      <c r="D171" s="146">
        <f t="shared" si="268"/>
        <v>-2684.8159999999998</v>
      </c>
      <c r="E171" s="146">
        <f t="shared" si="268"/>
        <v>-2952.5610000000001</v>
      </c>
      <c r="F171" s="146">
        <f t="shared" si="268"/>
        <v>-3225.4760000000001</v>
      </c>
      <c r="G171" s="146">
        <f t="shared" si="268"/>
        <v>-2116.8519999999999</v>
      </c>
      <c r="H171" s="147">
        <f t="shared" si="268"/>
        <v>-2081.87</v>
      </c>
      <c r="I171" s="248">
        <f t="shared" si="261"/>
        <v>-2839.4270000000001</v>
      </c>
      <c r="J171" s="248">
        <f t="shared" si="261"/>
        <v>-2839.4259999999999</v>
      </c>
      <c r="K171" s="248">
        <f t="shared" si="261"/>
        <v>-3291.0219999999999</v>
      </c>
      <c r="L171" s="248">
        <f t="shared" si="262"/>
        <v>-2971.5680000000002</v>
      </c>
      <c r="N171" s="146">
        <f t="shared" si="268"/>
        <v>-324.86</v>
      </c>
      <c r="O171" s="146">
        <f t="shared" si="268"/>
        <v>-1174.9090000000001</v>
      </c>
      <c r="P171" s="146">
        <f t="shared" si="268"/>
        <v>-664.04200000000003</v>
      </c>
      <c r="Q171" s="146">
        <f t="shared" si="268"/>
        <v>-788.75000000000011</v>
      </c>
      <c r="R171" s="146">
        <f t="shared" si="268"/>
        <v>-278.16699999999997</v>
      </c>
      <c r="S171" s="146">
        <f t="shared" si="268"/>
        <v>-1479.3510000000001</v>
      </c>
      <c r="T171" s="163">
        <f t="shared" si="268"/>
        <v>-573.92700000000013</v>
      </c>
      <c r="U171" s="148">
        <f t="shared" si="268"/>
        <v>-894.03099999999995</v>
      </c>
      <c r="V171" s="148">
        <f t="shared" si="268"/>
        <v>-267.10500000000002</v>
      </c>
      <c r="W171" s="148">
        <f t="shared" si="268"/>
        <v>-1065.126</v>
      </c>
      <c r="X171" s="148">
        <f t="shared" si="268"/>
        <v>-527.53099999999995</v>
      </c>
      <c r="Y171" s="148">
        <f t="shared" si="268"/>
        <v>-222.10799999999995</v>
      </c>
      <c r="Z171" s="148">
        <f t="shared" si="268"/>
        <v>-335.38</v>
      </c>
      <c r="AA171" s="148">
        <f t="shared" si="263"/>
        <v>-1119.94</v>
      </c>
      <c r="AB171" s="148">
        <f t="shared" si="263"/>
        <v>-642.26899999999989</v>
      </c>
      <c r="AC171" s="148">
        <f t="shared" si="263"/>
        <v>-741.83800000000031</v>
      </c>
      <c r="AD171" s="148">
        <f t="shared" si="263"/>
        <v>-479.334</v>
      </c>
      <c r="AE171" s="148">
        <f t="shared" si="264"/>
        <v>-376.04299999999995</v>
      </c>
      <c r="AF171" s="148">
        <f t="shared" si="264"/>
        <v>-1817.5709999999997</v>
      </c>
      <c r="AG171" s="148">
        <f t="shared" si="264"/>
        <v>-618.0740000000003</v>
      </c>
      <c r="AH171" s="148">
        <f t="shared" si="264"/>
        <v>-386.32900000000001</v>
      </c>
      <c r="AI171" s="148">
        <f t="shared" si="265"/>
        <v>-1307.2720000000002</v>
      </c>
      <c r="AJ171" s="148">
        <f t="shared" si="265"/>
        <v>-481.42099999999976</v>
      </c>
      <c r="AK171" s="148">
        <f t="shared" si="266"/>
        <v>-796.54600000000028</v>
      </c>
      <c r="AN171"/>
    </row>
    <row r="172" spans="2:40" ht="13.5" customHeight="1">
      <c r="B172" s="1" t="str">
        <f t="shared" ref="B172:Z172" si="269">+B63</f>
        <v>Cash interest paid</v>
      </c>
      <c r="C172" s="146">
        <f t="shared" si="269"/>
        <v>-1010.976</v>
      </c>
      <c r="D172" s="146">
        <f t="shared" si="269"/>
        <v>-485.80500000000001</v>
      </c>
      <c r="E172" s="146">
        <f t="shared" si="269"/>
        <v>-585.87099999999998</v>
      </c>
      <c r="F172" s="146">
        <f t="shared" si="269"/>
        <v>-753.15599999999995</v>
      </c>
      <c r="G172" s="146">
        <f t="shared" si="269"/>
        <v>-1231.047</v>
      </c>
      <c r="H172" s="147">
        <f t="shared" si="269"/>
        <v>-1231.047</v>
      </c>
      <c r="I172" s="248">
        <f t="shared" si="261"/>
        <v>-1877.6079999999999</v>
      </c>
      <c r="J172" s="248">
        <f t="shared" si="261"/>
        <v>-1662.3150000000001</v>
      </c>
      <c r="K172" s="248">
        <f t="shared" si="261"/>
        <v>-1088.2711589999999</v>
      </c>
      <c r="L172" s="248">
        <f t="shared" si="262"/>
        <v>-1017.35</v>
      </c>
      <c r="N172" s="146">
        <f t="shared" si="269"/>
        <v>-41.606000000000002</v>
      </c>
      <c r="O172" s="146">
        <f t="shared" si="269"/>
        <v>-233.17399999999998</v>
      </c>
      <c r="P172" s="146">
        <f t="shared" si="269"/>
        <v>-44.295000000000009</v>
      </c>
      <c r="Q172" s="146">
        <f t="shared" si="269"/>
        <v>-266.79600000000005</v>
      </c>
      <c r="R172" s="146">
        <f t="shared" si="269"/>
        <v>-69.581000000000003</v>
      </c>
      <c r="S172" s="146">
        <f t="shared" si="269"/>
        <v>-250.19399999999996</v>
      </c>
      <c r="T172" s="163">
        <f t="shared" si="269"/>
        <v>-111.23600000000006</v>
      </c>
      <c r="U172" s="148">
        <f t="shared" si="269"/>
        <v>-322.14499999999987</v>
      </c>
      <c r="V172" s="148">
        <f t="shared" si="269"/>
        <v>-136.81200000000001</v>
      </c>
      <c r="W172" s="148">
        <f t="shared" si="269"/>
        <v>-402.822</v>
      </c>
      <c r="X172" s="148">
        <f t="shared" si="269"/>
        <v>-341.06299999999999</v>
      </c>
      <c r="Y172" s="148">
        <f t="shared" si="269"/>
        <v>-350.35</v>
      </c>
      <c r="Z172" s="148">
        <f t="shared" si="269"/>
        <v>-335.26600000000002</v>
      </c>
      <c r="AA172" s="148">
        <f t="shared" si="263"/>
        <v>-558.702</v>
      </c>
      <c r="AB172" s="148">
        <f t="shared" si="263"/>
        <v>-391.09700000000004</v>
      </c>
      <c r="AC172" s="148">
        <f t="shared" si="263"/>
        <v>-592.54299999999989</v>
      </c>
      <c r="AD172" s="148">
        <f t="shared" si="263"/>
        <v>-173.773</v>
      </c>
      <c r="AE172" s="148">
        <f t="shared" si="264"/>
        <v>-421.52</v>
      </c>
      <c r="AF172" s="148">
        <f t="shared" si="264"/>
        <v>-153.02099999999999</v>
      </c>
      <c r="AG172" s="148">
        <f t="shared" si="264"/>
        <v>-339.95715899999993</v>
      </c>
      <c r="AH172" s="148">
        <f t="shared" si="264"/>
        <v>-156.10900000000001</v>
      </c>
      <c r="AI172" s="148">
        <f t="shared" si="265"/>
        <v>-333.50699999999995</v>
      </c>
      <c r="AJ172" s="148">
        <f t="shared" si="265"/>
        <v>-103.87700000000009</v>
      </c>
      <c r="AK172" s="148">
        <f t="shared" si="266"/>
        <v>-423.85699999999997</v>
      </c>
      <c r="AN172"/>
    </row>
    <row r="173" spans="2:40" s="5" customFormat="1" ht="13.5" customHeight="1" thickBot="1">
      <c r="B173" s="25" t="str">
        <f t="shared" ref="B173:Z173" si="270">+B64</f>
        <v xml:space="preserve">Net cash from operations </v>
      </c>
      <c r="C173" s="149">
        <f t="shared" si="270"/>
        <v>5287.4060000000009</v>
      </c>
      <c r="D173" s="149">
        <f t="shared" si="270"/>
        <v>4336.0029999999997</v>
      </c>
      <c r="E173" s="149">
        <f t="shared" si="270"/>
        <v>8597.4510000000009</v>
      </c>
      <c r="F173" s="149">
        <f t="shared" si="270"/>
        <v>4597.317</v>
      </c>
      <c r="G173" s="149">
        <f t="shared" si="270"/>
        <v>6499.6139999999996</v>
      </c>
      <c r="H173" s="149">
        <f t="shared" si="270"/>
        <v>6546.3520000000008</v>
      </c>
      <c r="I173" s="149">
        <f t="shared" si="261"/>
        <v>5467.844000000001</v>
      </c>
      <c r="J173" s="149">
        <f t="shared" si="261"/>
        <v>6121.8109999999997</v>
      </c>
      <c r="K173" s="149">
        <f t="shared" si="261"/>
        <v>12005.434840999998</v>
      </c>
      <c r="L173" s="149">
        <f t="shared" si="262"/>
        <v>11258.249999999998</v>
      </c>
      <c r="N173" s="149">
        <f t="shared" si="270"/>
        <v>1983.5289999999998</v>
      </c>
      <c r="O173" s="149">
        <f t="shared" si="270"/>
        <v>2335.442</v>
      </c>
      <c r="P173" s="149">
        <f t="shared" si="270"/>
        <v>2926.6579999999999</v>
      </c>
      <c r="Q173" s="149">
        <f t="shared" si="270"/>
        <v>1351.8220000000003</v>
      </c>
      <c r="R173" s="149">
        <f t="shared" si="270"/>
        <v>688.99699999999973</v>
      </c>
      <c r="S173" s="149">
        <f t="shared" si="270"/>
        <v>344.96600000000035</v>
      </c>
      <c r="T173" s="149">
        <f t="shared" si="270"/>
        <v>787.57599999999866</v>
      </c>
      <c r="U173" s="149">
        <f t="shared" si="270"/>
        <v>2775.7780000000007</v>
      </c>
      <c r="V173" s="149">
        <f t="shared" si="270"/>
        <v>658.66899999999976</v>
      </c>
      <c r="W173" s="149">
        <f t="shared" si="270"/>
        <v>1321.5740000000001</v>
      </c>
      <c r="X173" s="149">
        <f t="shared" si="270"/>
        <v>1818.8239999999996</v>
      </c>
      <c r="Y173" s="149">
        <f t="shared" si="270"/>
        <v>2747.2850000000003</v>
      </c>
      <c r="Z173" s="149">
        <f t="shared" si="270"/>
        <v>1480.8059999999996</v>
      </c>
      <c r="AA173" s="149">
        <f t="shared" si="263"/>
        <v>1002.0229999999999</v>
      </c>
      <c r="AB173" s="149">
        <f t="shared" si="263"/>
        <v>2220.4760000000006</v>
      </c>
      <c r="AC173" s="149">
        <f t="shared" si="263"/>
        <v>764.53899999999953</v>
      </c>
      <c r="AD173" s="149">
        <f t="shared" si="263"/>
        <v>3729.8639999999996</v>
      </c>
      <c r="AE173" s="149">
        <f t="shared" si="264"/>
        <v>2821.991</v>
      </c>
      <c r="AF173" s="149">
        <f t="shared" si="264"/>
        <v>3479.0649999999991</v>
      </c>
      <c r="AG173" s="149">
        <f t="shared" si="264"/>
        <v>1974.5148409999997</v>
      </c>
      <c r="AH173" s="149">
        <f t="shared" si="264"/>
        <v>3305.3980000000001</v>
      </c>
      <c r="AI173" s="149">
        <f t="shared" si="265"/>
        <v>3815.0890000000004</v>
      </c>
      <c r="AJ173" s="149">
        <f t="shared" si="265"/>
        <v>2518.8289999999997</v>
      </c>
      <c r="AK173" s="149">
        <f t="shared" si="266"/>
        <v>1618.9339999999997</v>
      </c>
      <c r="AN173"/>
    </row>
    <row r="174" spans="2:40" s="5" customFormat="1" ht="13.5" customHeight="1" thickTop="1">
      <c r="B174" s="1" t="str">
        <f t="shared" ref="B174:Z174" si="271">+B65</f>
        <v>Net Capex</v>
      </c>
      <c r="C174" s="148">
        <f t="shared" si="271"/>
        <v>-1481.7239999999999</v>
      </c>
      <c r="D174" s="148">
        <f t="shared" si="271"/>
        <v>-2200.7710000000002</v>
      </c>
      <c r="E174" s="148">
        <f t="shared" si="271"/>
        <v>-5437.0879999999997</v>
      </c>
      <c r="F174" s="148">
        <f t="shared" si="271"/>
        <v>-4865.1689999999999</v>
      </c>
      <c r="G174" s="148">
        <f t="shared" si="271"/>
        <v>-3643.3829999999998</v>
      </c>
      <c r="H174" s="148">
        <f t="shared" si="271"/>
        <v>-3569.3440000000001</v>
      </c>
      <c r="I174" s="148">
        <f t="shared" si="261"/>
        <v>-1325.8899999999999</v>
      </c>
      <c r="J174" s="148">
        <f t="shared" si="261"/>
        <v>-1330.184</v>
      </c>
      <c r="K174" s="148">
        <f t="shared" si="261"/>
        <v>-3584.6880000000001</v>
      </c>
      <c r="L174" s="148">
        <f t="shared" si="262"/>
        <v>-5114.2700000000004</v>
      </c>
      <c r="N174" s="148">
        <f t="shared" si="271"/>
        <v>-898.94399999999996</v>
      </c>
      <c r="O174" s="148">
        <f t="shared" si="271"/>
        <v>-1376.4029999999998</v>
      </c>
      <c r="P174" s="148">
        <f t="shared" si="271"/>
        <v>-979.15000000000009</v>
      </c>
      <c r="Q174" s="148">
        <f t="shared" si="271"/>
        <v>-2182.5910000000003</v>
      </c>
      <c r="R174" s="148">
        <f t="shared" si="271"/>
        <v>-1112.2810000000002</v>
      </c>
      <c r="S174" s="148">
        <f t="shared" si="271"/>
        <v>-1105.18</v>
      </c>
      <c r="T174" s="164">
        <f t="shared" si="271"/>
        <v>-1515.1869999999997</v>
      </c>
      <c r="U174" s="148">
        <f t="shared" si="271"/>
        <v>-1132.5209999999995</v>
      </c>
      <c r="V174" s="148">
        <f t="shared" si="271"/>
        <v>-544.37200000000007</v>
      </c>
      <c r="W174" s="148">
        <f t="shared" si="271"/>
        <v>-1063.0420000000001</v>
      </c>
      <c r="X174" s="148">
        <f t="shared" si="271"/>
        <v>-759.29799999999977</v>
      </c>
      <c r="Y174" s="148">
        <f t="shared" si="271"/>
        <v>-1202.6320000000001</v>
      </c>
      <c r="Z174" s="148">
        <f t="shared" si="271"/>
        <v>-562.61099999999999</v>
      </c>
      <c r="AA174" s="148">
        <f t="shared" si="263"/>
        <v>-336.37099999999998</v>
      </c>
      <c r="AB174" s="148">
        <f t="shared" si="263"/>
        <v>-322.72000000000003</v>
      </c>
      <c r="AC174" s="148">
        <f t="shared" si="263"/>
        <v>-104.18799999999987</v>
      </c>
      <c r="AD174" s="148">
        <f t="shared" si="263"/>
        <v>-452.17599999999999</v>
      </c>
      <c r="AE174" s="148">
        <f t="shared" si="264"/>
        <v>-697.05099999999993</v>
      </c>
      <c r="AF174" s="148">
        <f t="shared" si="264"/>
        <v>-1078.6379999999999</v>
      </c>
      <c r="AG174" s="148">
        <f t="shared" si="264"/>
        <v>-1356.8230000000003</v>
      </c>
      <c r="AH174" s="148">
        <f t="shared" si="264"/>
        <v>-860.46499999999992</v>
      </c>
      <c r="AI174" s="148">
        <f t="shared" si="265"/>
        <v>-686.43300000000022</v>
      </c>
      <c r="AJ174" s="148">
        <f t="shared" si="265"/>
        <v>-2248.6779999999999</v>
      </c>
      <c r="AK174" s="148">
        <f t="shared" si="266"/>
        <v>-1318.6940000000006</v>
      </c>
      <c r="AN174"/>
    </row>
    <row r="175" spans="2:40" ht="13.5" customHeight="1">
      <c r="B175" s="1" t="str">
        <f t="shared" ref="B175:Z175" si="272">+B66</f>
        <v>Net Payment for acquisition  of intangible assets</v>
      </c>
      <c r="C175" s="148">
        <f t="shared" si="272"/>
        <v>-17.126000000000001</v>
      </c>
      <c r="D175" s="148">
        <f t="shared" si="272"/>
        <v>-3.8180000000000001</v>
      </c>
      <c r="E175" s="148">
        <f t="shared" si="272"/>
        <v>-44.353000000000002</v>
      </c>
      <c r="F175" s="148">
        <f t="shared" si="272"/>
        <v>-158.94200000000001</v>
      </c>
      <c r="G175" s="148">
        <f t="shared" si="272"/>
        <v>-267.24400000000003</v>
      </c>
      <c r="H175" s="148">
        <f t="shared" si="272"/>
        <v>-302.76499999999999</v>
      </c>
      <c r="I175" s="148">
        <f t="shared" si="261"/>
        <v>-44.399000000000001</v>
      </c>
      <c r="J175" s="148">
        <f t="shared" si="261"/>
        <v>-44.399000000000001</v>
      </c>
      <c r="K175" s="148">
        <f t="shared" si="261"/>
        <v>-21.449000000000002</v>
      </c>
      <c r="L175" s="148">
        <f t="shared" si="262"/>
        <v>-138.85</v>
      </c>
      <c r="N175" s="148">
        <f t="shared" si="272"/>
        <v>-0.63400000000000001</v>
      </c>
      <c r="O175" s="148">
        <f t="shared" si="272"/>
        <v>0.32600000000000001</v>
      </c>
      <c r="P175" s="148">
        <f t="shared" si="272"/>
        <v>-0.86799999999999999</v>
      </c>
      <c r="Q175" s="148">
        <f t="shared" si="272"/>
        <v>-43.177</v>
      </c>
      <c r="R175" s="148">
        <f t="shared" si="272"/>
        <v>-5.4930000000000003</v>
      </c>
      <c r="S175" s="148">
        <f t="shared" si="272"/>
        <v>-46.788999999999994</v>
      </c>
      <c r="T175" s="164">
        <f t="shared" si="272"/>
        <v>-44.719000000000008</v>
      </c>
      <c r="U175" s="148">
        <f t="shared" si="272"/>
        <v>-61.940999999999995</v>
      </c>
      <c r="V175" s="148">
        <f t="shared" si="272"/>
        <v>-37.334000000000003</v>
      </c>
      <c r="W175" s="148">
        <f t="shared" si="272"/>
        <v>-97.574999999999989</v>
      </c>
      <c r="X175" s="148">
        <f t="shared" si="272"/>
        <v>-14.799000000000007</v>
      </c>
      <c r="Y175" s="148">
        <f t="shared" si="272"/>
        <v>-153.05700000000002</v>
      </c>
      <c r="Z175" s="148">
        <f t="shared" si="272"/>
        <v>-53.551000000000002</v>
      </c>
      <c r="AA175" s="148">
        <f t="shared" si="263"/>
        <v>-25.058999999999997</v>
      </c>
      <c r="AB175" s="148">
        <f t="shared" si="263"/>
        <v>28.353999999999999</v>
      </c>
      <c r="AC175" s="148">
        <f t="shared" si="263"/>
        <v>5.8569999999999993</v>
      </c>
      <c r="AD175" s="148">
        <f t="shared" si="263"/>
        <v>-3.7919999999999998</v>
      </c>
      <c r="AE175" s="148">
        <f t="shared" si="264"/>
        <v>-5.8100000000000005</v>
      </c>
      <c r="AF175" s="148">
        <f t="shared" si="264"/>
        <v>-41.550999999999995</v>
      </c>
      <c r="AG175" s="148">
        <f t="shared" si="264"/>
        <v>29.703999999999994</v>
      </c>
      <c r="AH175" s="148">
        <f t="shared" si="264"/>
        <v>-0.185</v>
      </c>
      <c r="AI175" s="148">
        <f t="shared" si="265"/>
        <v>-27.544</v>
      </c>
      <c r="AJ175" s="148">
        <f t="shared" si="265"/>
        <v>-4.085</v>
      </c>
      <c r="AK175" s="148">
        <f t="shared" si="266"/>
        <v>-107.03599999999999</v>
      </c>
      <c r="AN175"/>
    </row>
    <row r="176" spans="2:40" ht="13.5" customHeight="1">
      <c r="B176" s="1" t="str">
        <f t="shared" ref="B176:Z176" si="273">+B67</f>
        <v>Disposals/ Acquisition, of subsidiaries</v>
      </c>
      <c r="C176" s="148">
        <f t="shared" si="273"/>
        <v>3555.7069999999999</v>
      </c>
      <c r="D176" s="148">
        <f t="shared" si="273"/>
        <v>-641.98400000000004</v>
      </c>
      <c r="E176" s="148">
        <f t="shared" si="273"/>
        <v>0</v>
      </c>
      <c r="F176" s="148">
        <f t="shared" si="273"/>
        <v>0</v>
      </c>
      <c r="G176" s="148">
        <f t="shared" si="273"/>
        <v>0</v>
      </c>
      <c r="H176" s="148">
        <f t="shared" si="273"/>
        <v>0</v>
      </c>
      <c r="I176" s="148">
        <f t="shared" si="261"/>
        <v>0</v>
      </c>
      <c r="J176" s="148">
        <f t="shared" si="261"/>
        <v>0</v>
      </c>
      <c r="K176" s="148">
        <f t="shared" si="261"/>
        <v>0</v>
      </c>
      <c r="L176" s="148">
        <f t="shared" si="262"/>
        <v>0</v>
      </c>
      <c r="N176" s="148">
        <f t="shared" si="273"/>
        <v>0</v>
      </c>
      <c r="O176" s="148">
        <f t="shared" si="273"/>
        <v>0</v>
      </c>
      <c r="P176" s="148">
        <f t="shared" si="273"/>
        <v>0</v>
      </c>
      <c r="Q176" s="148">
        <f t="shared" si="273"/>
        <v>0</v>
      </c>
      <c r="R176" s="148">
        <f t="shared" si="273"/>
        <v>0</v>
      </c>
      <c r="S176" s="148">
        <f t="shared" si="273"/>
        <v>0</v>
      </c>
      <c r="T176" s="164">
        <f t="shared" si="273"/>
        <v>0</v>
      </c>
      <c r="U176" s="148">
        <f t="shared" si="273"/>
        <v>0</v>
      </c>
      <c r="V176" s="148">
        <f t="shared" si="273"/>
        <v>0</v>
      </c>
      <c r="W176" s="148">
        <f t="shared" si="273"/>
        <v>0</v>
      </c>
      <c r="X176" s="148">
        <f t="shared" si="273"/>
        <v>0</v>
      </c>
      <c r="Y176" s="148">
        <f t="shared" si="273"/>
        <v>0</v>
      </c>
      <c r="Z176" s="148">
        <f t="shared" si="273"/>
        <v>0</v>
      </c>
      <c r="AA176" s="148">
        <f t="shared" si="263"/>
        <v>0</v>
      </c>
      <c r="AB176" s="148">
        <f t="shared" si="263"/>
        <v>0</v>
      </c>
      <c r="AC176" s="148">
        <f t="shared" si="263"/>
        <v>0</v>
      </c>
      <c r="AD176" s="148">
        <f t="shared" si="263"/>
        <v>0</v>
      </c>
      <c r="AE176" s="148">
        <f t="shared" si="264"/>
        <v>0</v>
      </c>
      <c r="AF176" s="148">
        <f t="shared" si="264"/>
        <v>0</v>
      </c>
      <c r="AG176" s="148">
        <f t="shared" si="264"/>
        <v>0</v>
      </c>
      <c r="AH176" s="148">
        <f t="shared" si="264"/>
        <v>0</v>
      </c>
      <c r="AI176" s="148">
        <f t="shared" si="265"/>
        <v>0</v>
      </c>
      <c r="AJ176" s="148">
        <f t="shared" si="265"/>
        <v>0</v>
      </c>
      <c r="AK176" s="148">
        <f t="shared" si="266"/>
        <v>0</v>
      </c>
      <c r="AN176"/>
    </row>
    <row r="177" spans="2:40" ht="13.5" customHeight="1">
      <c r="B177" s="1" t="str">
        <f t="shared" ref="B177:Z177" si="274">+B68</f>
        <v>Deposits interest received</v>
      </c>
      <c r="C177" s="148">
        <f t="shared" si="274"/>
        <v>13.273</v>
      </c>
      <c r="D177" s="148">
        <f t="shared" si="274"/>
        <v>7.3</v>
      </c>
      <c r="E177" s="148">
        <f t="shared" si="274"/>
        <v>13.178000000000001</v>
      </c>
      <c r="F177" s="148">
        <f t="shared" si="274"/>
        <v>23.975999999999999</v>
      </c>
      <c r="G177" s="148">
        <f t="shared" si="274"/>
        <v>51.084000000000003</v>
      </c>
      <c r="H177" s="148">
        <f t="shared" si="274"/>
        <v>51.084000000000003</v>
      </c>
      <c r="I177" s="148">
        <f t="shared" si="261"/>
        <v>81.123999999999995</v>
      </c>
      <c r="J177" s="148">
        <f t="shared" si="261"/>
        <v>81.123999999999995</v>
      </c>
      <c r="K177" s="148">
        <f t="shared" si="261"/>
        <v>47.204000000000001</v>
      </c>
      <c r="L177" s="148">
        <f t="shared" si="262"/>
        <v>33.877000000000002</v>
      </c>
      <c r="N177" s="148">
        <f t="shared" si="274"/>
        <v>2.504</v>
      </c>
      <c r="O177" s="148">
        <f t="shared" si="274"/>
        <v>2.7840000000000003</v>
      </c>
      <c r="P177" s="148">
        <f t="shared" si="274"/>
        <v>3.2899999999999987</v>
      </c>
      <c r="Q177" s="148">
        <f t="shared" si="274"/>
        <v>4.6000000000000014</v>
      </c>
      <c r="R177" s="148">
        <f t="shared" si="274"/>
        <v>4.2850000000000001</v>
      </c>
      <c r="S177" s="148">
        <f t="shared" si="274"/>
        <v>5.3940000000000001</v>
      </c>
      <c r="T177" s="164">
        <f t="shared" si="274"/>
        <v>6.8510000000000009</v>
      </c>
      <c r="U177" s="148">
        <f t="shared" si="274"/>
        <v>7.4459999999999997</v>
      </c>
      <c r="V177" s="148">
        <f t="shared" si="274"/>
        <v>8.0709999999999997</v>
      </c>
      <c r="W177" s="148">
        <f t="shared" si="274"/>
        <v>11.787000000000001</v>
      </c>
      <c r="X177" s="148">
        <f t="shared" si="274"/>
        <v>16.868000000000002</v>
      </c>
      <c r="Y177" s="148">
        <f t="shared" si="274"/>
        <v>14.358000000000002</v>
      </c>
      <c r="Z177" s="148">
        <f t="shared" si="274"/>
        <v>20.414000000000001</v>
      </c>
      <c r="AA177" s="148">
        <f t="shared" si="263"/>
        <v>19.68</v>
      </c>
      <c r="AB177" s="148">
        <f t="shared" si="263"/>
        <v>18.616999999999997</v>
      </c>
      <c r="AC177" s="148">
        <f t="shared" si="263"/>
        <v>22.412999999999997</v>
      </c>
      <c r="AD177" s="148">
        <f t="shared" si="263"/>
        <v>16.907</v>
      </c>
      <c r="AE177" s="148">
        <f t="shared" si="264"/>
        <v>13.943999999999999</v>
      </c>
      <c r="AF177" s="148">
        <f t="shared" si="264"/>
        <v>15.463000000000005</v>
      </c>
      <c r="AG177" s="148">
        <f t="shared" si="264"/>
        <v>0.88999999999999702</v>
      </c>
      <c r="AH177" s="148">
        <f t="shared" si="264"/>
        <v>9.9339999999999993</v>
      </c>
      <c r="AI177" s="148">
        <f t="shared" si="265"/>
        <v>10.535000000000002</v>
      </c>
      <c r="AJ177" s="148">
        <f t="shared" si="265"/>
        <v>24.945999999999998</v>
      </c>
      <c r="AK177" s="148">
        <f t="shared" si="266"/>
        <v>-11.537999999999997</v>
      </c>
      <c r="AN177"/>
    </row>
    <row r="178" spans="2:40" ht="13.5" customHeight="1" thickBot="1">
      <c r="B178" s="63" t="str">
        <f t="shared" ref="B178:Z178" si="275">+B69</f>
        <v>Disposed Cash from discontinued operations and Others</v>
      </c>
      <c r="C178" s="150">
        <f t="shared" si="275"/>
        <v>-74.542000000000002</v>
      </c>
      <c r="D178" s="150">
        <f t="shared" si="275"/>
        <v>-6.0960000000000001</v>
      </c>
      <c r="E178" s="150">
        <f t="shared" si="275"/>
        <v>-16.513999999999999</v>
      </c>
      <c r="F178" s="150">
        <f t="shared" si="275"/>
        <v>-27.402999999999999</v>
      </c>
      <c r="G178" s="150">
        <f t="shared" si="275"/>
        <v>-3.9540000000000002</v>
      </c>
      <c r="H178" s="150">
        <f t="shared" si="275"/>
        <v>-85.71</v>
      </c>
      <c r="I178" s="148">
        <f t="shared" si="261"/>
        <v>146.80000000000001</v>
      </c>
      <c r="J178" s="148">
        <f t="shared" si="261"/>
        <v>-20.509</v>
      </c>
      <c r="K178" s="148">
        <f t="shared" si="261"/>
        <v>-35.401000000000003</v>
      </c>
      <c r="L178" s="148">
        <f t="shared" si="262"/>
        <v>-53.837000000000003</v>
      </c>
      <c r="N178" s="150">
        <f t="shared" si="275"/>
        <v>-0.47099999999999997</v>
      </c>
      <c r="O178" s="150">
        <f t="shared" si="275"/>
        <v>1.847</v>
      </c>
      <c r="P178" s="150">
        <f t="shared" si="275"/>
        <v>-1.3119999999999998</v>
      </c>
      <c r="Q178" s="150">
        <f t="shared" si="275"/>
        <v>-16.577999999999999</v>
      </c>
      <c r="R178" s="150">
        <f t="shared" si="275"/>
        <v>1.39</v>
      </c>
      <c r="S178" s="150">
        <f t="shared" si="275"/>
        <v>-0.96699999999999986</v>
      </c>
      <c r="T178" s="165">
        <f t="shared" si="275"/>
        <v>-2.4089999999999998</v>
      </c>
      <c r="U178" s="150">
        <f t="shared" si="275"/>
        <v>-25.417000000000002</v>
      </c>
      <c r="V178" s="150">
        <f t="shared" si="275"/>
        <v>1.8420000000000001</v>
      </c>
      <c r="W178" s="150">
        <f t="shared" si="275"/>
        <v>-2.347</v>
      </c>
      <c r="X178" s="150">
        <f t="shared" si="275"/>
        <v>5.7909999999999986</v>
      </c>
      <c r="Y178" s="150">
        <f t="shared" si="275"/>
        <v>-90.995999999999995</v>
      </c>
      <c r="Z178" s="150">
        <f t="shared" si="275"/>
        <v>2.84</v>
      </c>
      <c r="AA178" s="150">
        <f t="shared" si="263"/>
        <v>-3.0669999999999997</v>
      </c>
      <c r="AB178" s="150">
        <f t="shared" si="263"/>
        <v>-21.062999999999999</v>
      </c>
      <c r="AC178" s="150">
        <f t="shared" si="263"/>
        <v>168.09</v>
      </c>
      <c r="AD178" s="150">
        <f t="shared" si="263"/>
        <v>-4.0960000000000001</v>
      </c>
      <c r="AE178" s="150">
        <f t="shared" si="264"/>
        <v>-4.2539999999999996</v>
      </c>
      <c r="AF178" s="150">
        <f t="shared" si="264"/>
        <v>-14.879999999999999</v>
      </c>
      <c r="AG178" s="150">
        <f t="shared" si="264"/>
        <v>-12.171000000000003</v>
      </c>
      <c r="AH178" s="150">
        <f t="shared" si="264"/>
        <v>-19.79</v>
      </c>
      <c r="AI178" s="150">
        <f t="shared" si="265"/>
        <v>-11.061</v>
      </c>
      <c r="AJ178" s="150">
        <f t="shared" si="265"/>
        <v>3.8200000000000003</v>
      </c>
      <c r="AK178" s="150">
        <f t="shared" si="266"/>
        <v>-26.806000000000004</v>
      </c>
      <c r="AN178"/>
    </row>
    <row r="179" spans="2:40" ht="13.5" customHeight="1" thickTop="1" thickBot="1">
      <c r="B179" s="77" t="str">
        <f t="shared" ref="B179:Z179" si="276">+B70</f>
        <v xml:space="preserve">Free cash flow </v>
      </c>
      <c r="C179" s="151">
        <f t="shared" si="276"/>
        <v>7282.9940000000006</v>
      </c>
      <c r="D179" s="151">
        <f t="shared" si="276"/>
        <v>1490.6339999999993</v>
      </c>
      <c r="E179" s="151">
        <f t="shared" si="276"/>
        <v>3112.6740000000009</v>
      </c>
      <c r="F179" s="151">
        <f t="shared" si="276"/>
        <v>-430.22099999999989</v>
      </c>
      <c r="G179" s="151">
        <f t="shared" si="276"/>
        <v>2636.1169999999993</v>
      </c>
      <c r="H179" s="151">
        <f t="shared" si="276"/>
        <v>2639.6170000000006</v>
      </c>
      <c r="I179" s="251">
        <f t="shared" si="261"/>
        <v>4325.4790000000012</v>
      </c>
      <c r="J179" s="251">
        <f t="shared" si="261"/>
        <v>4807.8429999999989</v>
      </c>
      <c r="K179" s="251">
        <f t="shared" si="261"/>
        <v>8411.1008409999977</v>
      </c>
      <c r="L179" s="251">
        <f t="shared" si="262"/>
        <v>5985.1699999999973</v>
      </c>
      <c r="N179" s="151">
        <f t="shared" si="276"/>
        <v>1085.9839999999997</v>
      </c>
      <c r="O179" s="151">
        <f t="shared" si="276"/>
        <v>963.99600000000021</v>
      </c>
      <c r="P179" s="151">
        <f t="shared" si="276"/>
        <v>1948.6179999999999</v>
      </c>
      <c r="Q179" s="151">
        <f t="shared" si="276"/>
        <v>-885.92399999999998</v>
      </c>
      <c r="R179" s="151">
        <f t="shared" si="276"/>
        <v>-423.10200000000043</v>
      </c>
      <c r="S179" s="151">
        <f t="shared" si="276"/>
        <v>-802.57599999999968</v>
      </c>
      <c r="T179" s="166">
        <f t="shared" si="276"/>
        <v>-767.88800000000106</v>
      </c>
      <c r="U179" s="151">
        <f t="shared" si="276"/>
        <v>1563.3450000000012</v>
      </c>
      <c r="V179" s="151">
        <f t="shared" si="276"/>
        <v>86.875999999999678</v>
      </c>
      <c r="W179" s="151">
        <f t="shared" si="276"/>
        <v>170.39699999999993</v>
      </c>
      <c r="X179" s="151">
        <f t="shared" si="276"/>
        <v>1067.3859999999997</v>
      </c>
      <c r="Y179" s="151">
        <f t="shared" si="276"/>
        <v>1314.9580000000001</v>
      </c>
      <c r="Z179" s="151">
        <f t="shared" si="276"/>
        <v>887.89799999999957</v>
      </c>
      <c r="AA179" s="151">
        <f t="shared" si="263"/>
        <v>657.2059999999999</v>
      </c>
      <c r="AB179" s="151">
        <f t="shared" si="263"/>
        <v>1923.6640000000004</v>
      </c>
      <c r="AC179" s="151">
        <f t="shared" si="263"/>
        <v>856.71099999999967</v>
      </c>
      <c r="AD179" s="151">
        <f t="shared" si="263"/>
        <v>3286.7069999999999</v>
      </c>
      <c r="AE179" s="151">
        <f t="shared" si="264"/>
        <v>2128.8200000000002</v>
      </c>
      <c r="AF179" s="151">
        <f t="shared" si="264"/>
        <v>2359.4589999999994</v>
      </c>
      <c r="AG179" s="151">
        <f t="shared" si="264"/>
        <v>636.11484099999927</v>
      </c>
      <c r="AH179" s="151">
        <f t="shared" si="264"/>
        <v>2434.8920000000003</v>
      </c>
      <c r="AI179" s="151">
        <f t="shared" si="265"/>
        <v>3100.5859999999998</v>
      </c>
      <c r="AJ179" s="151">
        <f t="shared" si="265"/>
        <v>294.83199999999982</v>
      </c>
      <c r="AK179" s="151">
        <f t="shared" si="266"/>
        <v>154.85999999999908</v>
      </c>
      <c r="AN179"/>
    </row>
    <row r="180" spans="2:40" ht="13.5" customHeight="1" thickTop="1">
      <c r="B180" s="1" t="str">
        <f t="shared" ref="B180:Z180" si="277">+B71</f>
        <v>Equity Issuance/Buyback</v>
      </c>
      <c r="C180" s="146">
        <f t="shared" si="277"/>
        <v>0</v>
      </c>
      <c r="D180" s="146">
        <f t="shared" si="277"/>
        <v>0</v>
      </c>
      <c r="E180" s="146">
        <f t="shared" si="277"/>
        <v>0</v>
      </c>
      <c r="F180" s="146">
        <f t="shared" si="277"/>
        <v>0</v>
      </c>
      <c r="G180" s="146">
        <f t="shared" si="277"/>
        <v>0</v>
      </c>
      <c r="H180" s="146">
        <f t="shared" si="277"/>
        <v>0</v>
      </c>
      <c r="I180" s="148">
        <f t="shared" si="261"/>
        <v>0</v>
      </c>
      <c r="J180" s="148">
        <f t="shared" si="261"/>
        <v>0</v>
      </c>
      <c r="K180" s="148">
        <f t="shared" si="261"/>
        <v>-3226.518</v>
      </c>
      <c r="L180" s="148">
        <f t="shared" si="262"/>
        <v>-3806.4360000000001</v>
      </c>
      <c r="N180" s="146">
        <f t="shared" si="277"/>
        <v>0</v>
      </c>
      <c r="O180" s="146">
        <f t="shared" si="277"/>
        <v>0</v>
      </c>
      <c r="P180" s="146">
        <f t="shared" si="277"/>
        <v>0</v>
      </c>
      <c r="Q180" s="146">
        <f t="shared" si="277"/>
        <v>0</v>
      </c>
      <c r="R180" s="146">
        <f t="shared" si="277"/>
        <v>0</v>
      </c>
      <c r="S180" s="146">
        <f t="shared" si="277"/>
        <v>0</v>
      </c>
      <c r="T180" s="163">
        <f t="shared" si="277"/>
        <v>0</v>
      </c>
      <c r="U180" s="148">
        <f t="shared" si="277"/>
        <v>0</v>
      </c>
      <c r="V180" s="148">
        <f t="shared" si="277"/>
        <v>-329.76799999999997</v>
      </c>
      <c r="W180" s="148">
        <f t="shared" si="277"/>
        <v>-502.42900000000003</v>
      </c>
      <c r="X180" s="148">
        <f t="shared" si="277"/>
        <v>-94.327999999999975</v>
      </c>
      <c r="Y180" s="148">
        <f t="shared" si="277"/>
        <v>926.52500000000009</v>
      </c>
      <c r="Z180" s="148">
        <f t="shared" si="277"/>
        <v>-517.31299999999999</v>
      </c>
      <c r="AA180" s="148">
        <f t="shared" si="263"/>
        <v>-632.36099999999999</v>
      </c>
      <c r="AB180" s="148">
        <f t="shared" si="263"/>
        <v>-478.91599999999994</v>
      </c>
      <c r="AC180" s="148">
        <f t="shared" si="263"/>
        <v>1628.5900000000001</v>
      </c>
      <c r="AD180" s="148">
        <f t="shared" si="263"/>
        <v>-1434.107</v>
      </c>
      <c r="AE180" s="148">
        <f t="shared" si="264"/>
        <v>-733.06500000000005</v>
      </c>
      <c r="AF180" s="148">
        <f t="shared" si="264"/>
        <v>-242.06100000000015</v>
      </c>
      <c r="AG180" s="148">
        <f t="shared" si="264"/>
        <v>-817.28499999999985</v>
      </c>
      <c r="AH180" s="148">
        <f t="shared" si="264"/>
        <v>-741.00800000000004</v>
      </c>
      <c r="AI180" s="148">
        <f t="shared" si="265"/>
        <v>-290.12599999999998</v>
      </c>
      <c r="AJ180" s="148">
        <f t="shared" si="265"/>
        <v>-972.28800000000001</v>
      </c>
      <c r="AK180" s="148">
        <f t="shared" si="266"/>
        <v>-1803.0139999999999</v>
      </c>
      <c r="AN180"/>
    </row>
    <row r="181" spans="2:40" s="5" customFormat="1" ht="13.5" customHeight="1">
      <c r="B181" s="1" t="str">
        <f t="shared" ref="B181:Z181" si="278">+B72</f>
        <v xml:space="preserve">Dividends received  / Dividends Paid </v>
      </c>
      <c r="C181" s="146">
        <f t="shared" si="278"/>
        <v>-750.51499999999999</v>
      </c>
      <c r="D181" s="146">
        <f t="shared" si="278"/>
        <v>-780.08500000000004</v>
      </c>
      <c r="E181" s="146">
        <f t="shared" si="278"/>
        <v>-479.35899999999998</v>
      </c>
      <c r="F181" s="146">
        <f t="shared" si="278"/>
        <v>-1356.67</v>
      </c>
      <c r="G181" s="146">
        <f t="shared" si="278"/>
        <v>-1850</v>
      </c>
      <c r="H181" s="146">
        <f t="shared" si="278"/>
        <v>-1839.3920000000001</v>
      </c>
      <c r="I181" s="148">
        <f t="shared" si="261"/>
        <v>-1872.02</v>
      </c>
      <c r="J181" s="148">
        <f t="shared" si="261"/>
        <v>-1872.02</v>
      </c>
      <c r="K181" s="148">
        <f t="shared" si="261"/>
        <v>-2081.6750000000002</v>
      </c>
      <c r="L181" s="148">
        <f t="shared" si="262"/>
        <v>-2132.6709999999998</v>
      </c>
      <c r="N181" s="146">
        <f t="shared" si="278"/>
        <v>0</v>
      </c>
      <c r="O181" s="146">
        <f t="shared" si="278"/>
        <v>-46.609000000000002</v>
      </c>
      <c r="P181" s="146">
        <f t="shared" si="278"/>
        <v>-216.37499999999997</v>
      </c>
      <c r="Q181" s="146">
        <f t="shared" si="278"/>
        <v>-216.37500000000003</v>
      </c>
      <c r="R181" s="146">
        <f t="shared" si="278"/>
        <v>-216.375</v>
      </c>
      <c r="S181" s="146">
        <f t="shared" si="278"/>
        <v>-216.375</v>
      </c>
      <c r="T181" s="163">
        <f t="shared" si="278"/>
        <v>-461.96000000000004</v>
      </c>
      <c r="U181" s="148">
        <f t="shared" si="278"/>
        <v>-461.96000000000004</v>
      </c>
      <c r="V181" s="148">
        <f t="shared" si="278"/>
        <v>-461.959</v>
      </c>
      <c r="W181" s="148">
        <f t="shared" si="278"/>
        <v>-461.959</v>
      </c>
      <c r="X181" s="148">
        <f t="shared" si="278"/>
        <v>-463.041</v>
      </c>
      <c r="Y181" s="148">
        <f t="shared" si="278"/>
        <v>-452.43300000000005</v>
      </c>
      <c r="Z181" s="148">
        <f t="shared" si="278"/>
        <v>-452.762</v>
      </c>
      <c r="AA181" s="148">
        <f t="shared" si="263"/>
        <v>-451.62200000000001</v>
      </c>
      <c r="AB181" s="148">
        <f t="shared" si="263"/>
        <v>-485.29199999999986</v>
      </c>
      <c r="AC181" s="148">
        <f t="shared" si="263"/>
        <v>-482.34399999999999</v>
      </c>
      <c r="AD181" s="148">
        <f t="shared" si="263"/>
        <v>-487.86099999999999</v>
      </c>
      <c r="AE181" s="148">
        <f t="shared" si="264"/>
        <v>-487.86</v>
      </c>
      <c r="AF181" s="148">
        <f t="shared" si="264"/>
        <v>-540.89400000000012</v>
      </c>
      <c r="AG181" s="148">
        <f t="shared" si="264"/>
        <v>-565.05999999999983</v>
      </c>
      <c r="AH181" s="148">
        <f t="shared" si="264"/>
        <v>-560.41600000000005</v>
      </c>
      <c r="AI181" s="148">
        <f t="shared" si="265"/>
        <v>-556.08900000000006</v>
      </c>
      <c r="AJ181" s="148">
        <f t="shared" si="265"/>
        <v>-511.2120000000001</v>
      </c>
      <c r="AK181" s="148">
        <f t="shared" si="266"/>
        <v>-504.95399999999984</v>
      </c>
      <c r="AN181"/>
    </row>
    <row r="182" spans="2:40" ht="13.5" customHeight="1">
      <c r="B182" s="1" t="str">
        <f t="shared" ref="B182:Z182" si="279">+B73</f>
        <v>Acquisition of bonds</v>
      </c>
      <c r="C182" s="146">
        <f t="shared" si="279"/>
        <v>0</v>
      </c>
      <c r="D182" s="146">
        <f t="shared" si="279"/>
        <v>0</v>
      </c>
      <c r="E182" s="146">
        <f t="shared" si="279"/>
        <v>0</v>
      </c>
      <c r="F182" s="146">
        <f t="shared" si="279"/>
        <v>0</v>
      </c>
      <c r="G182" s="146">
        <f t="shared" si="279"/>
        <v>0</v>
      </c>
      <c r="H182" s="146">
        <f t="shared" si="279"/>
        <v>0</v>
      </c>
      <c r="I182" s="148">
        <f t="shared" si="261"/>
        <v>0</v>
      </c>
      <c r="J182" s="148">
        <f t="shared" si="261"/>
        <v>0</v>
      </c>
      <c r="K182" s="148">
        <f t="shared" si="261"/>
        <v>0</v>
      </c>
      <c r="L182" s="148">
        <f t="shared" si="262"/>
        <v>0</v>
      </c>
      <c r="N182" s="146">
        <f t="shared" si="279"/>
        <v>0</v>
      </c>
      <c r="O182" s="146">
        <f t="shared" si="279"/>
        <v>0</v>
      </c>
      <c r="P182" s="146">
        <f t="shared" si="279"/>
        <v>0</v>
      </c>
      <c r="Q182" s="146">
        <f t="shared" si="279"/>
        <v>0</v>
      </c>
      <c r="R182" s="146">
        <f t="shared" si="279"/>
        <v>0</v>
      </c>
      <c r="S182" s="146">
        <f t="shared" si="279"/>
        <v>0</v>
      </c>
      <c r="T182" s="163">
        <f t="shared" si="279"/>
        <v>0</v>
      </c>
      <c r="U182" s="148">
        <f t="shared" si="279"/>
        <v>0</v>
      </c>
      <c r="V182" s="148">
        <f t="shared" si="279"/>
        <v>0</v>
      </c>
      <c r="W182" s="148">
        <f t="shared" si="279"/>
        <v>0</v>
      </c>
      <c r="X182" s="148">
        <f t="shared" si="279"/>
        <v>0</v>
      </c>
      <c r="Y182" s="148">
        <f t="shared" si="279"/>
        <v>0</v>
      </c>
      <c r="Z182" s="148">
        <f t="shared" si="279"/>
        <v>0</v>
      </c>
      <c r="AA182" s="148">
        <f t="shared" si="263"/>
        <v>0</v>
      </c>
      <c r="AB182" s="148">
        <f t="shared" si="263"/>
        <v>0</v>
      </c>
      <c r="AC182" s="148">
        <f t="shared" si="263"/>
        <v>0</v>
      </c>
      <c r="AD182" s="148">
        <f t="shared" si="263"/>
        <v>0</v>
      </c>
      <c r="AE182" s="148">
        <f t="shared" si="264"/>
        <v>0</v>
      </c>
      <c r="AF182" s="148">
        <f t="shared" si="264"/>
        <v>0</v>
      </c>
      <c r="AG182" s="148">
        <f t="shared" si="264"/>
        <v>0</v>
      </c>
      <c r="AH182" s="148">
        <f t="shared" si="264"/>
        <v>0</v>
      </c>
      <c r="AI182" s="148">
        <f t="shared" si="265"/>
        <v>0</v>
      </c>
      <c r="AJ182" s="148">
        <f t="shared" si="265"/>
        <v>0</v>
      </c>
      <c r="AK182" s="148">
        <f t="shared" si="266"/>
        <v>0</v>
      </c>
      <c r="AN182"/>
    </row>
    <row r="183" spans="2:40" ht="13.5" customHeight="1">
      <c r="B183" s="1" t="str">
        <f t="shared" ref="B183:Z183" si="280">+B74</f>
        <v>Change in debt /Finance Costs</v>
      </c>
      <c r="C183" s="146">
        <f t="shared" si="280"/>
        <v>-6811.3670000000002</v>
      </c>
      <c r="D183" s="146">
        <f t="shared" si="280"/>
        <v>354.57900000000063</v>
      </c>
      <c r="E183" s="146">
        <f t="shared" si="280"/>
        <v>77.868999999999687</v>
      </c>
      <c r="F183" s="146">
        <f t="shared" si="280"/>
        <v>4382.9389999999985</v>
      </c>
      <c r="G183" s="146">
        <f t="shared" si="280"/>
        <v>1464.4290000000001</v>
      </c>
      <c r="H183" s="146">
        <f t="shared" si="280"/>
        <v>1464.4290000000001</v>
      </c>
      <c r="I183" s="148">
        <f t="shared" si="261"/>
        <v>1098.4199999999983</v>
      </c>
      <c r="J183" s="148">
        <f t="shared" si="261"/>
        <v>719.68499999999767</v>
      </c>
      <c r="K183" s="148">
        <f t="shared" si="261"/>
        <v>-805.57484100000124</v>
      </c>
      <c r="L183" s="148">
        <f t="shared" si="262"/>
        <v>-68.506999999999607</v>
      </c>
      <c r="N183" s="146">
        <f t="shared" si="280"/>
        <v>-719.85599999999999</v>
      </c>
      <c r="O183" s="146">
        <f t="shared" si="280"/>
        <v>-543.86799999999994</v>
      </c>
      <c r="P183" s="146">
        <f t="shared" si="280"/>
        <v>-98.977000000000089</v>
      </c>
      <c r="Q183" s="146">
        <f t="shared" si="280"/>
        <v>1440.5699999999997</v>
      </c>
      <c r="R183" s="146">
        <f t="shared" si="280"/>
        <v>-863.55400000000009</v>
      </c>
      <c r="S183" s="146">
        <f t="shared" si="280"/>
        <v>1253.0679999999993</v>
      </c>
      <c r="T183" s="163">
        <f t="shared" si="280"/>
        <v>5538.2820000000029</v>
      </c>
      <c r="U183" s="148">
        <f t="shared" si="280"/>
        <v>-1544.8570000000036</v>
      </c>
      <c r="V183" s="148">
        <f t="shared" si="280"/>
        <v>1755.0770000000002</v>
      </c>
      <c r="W183" s="148">
        <f t="shared" si="280"/>
        <v>1791.043999999999</v>
      </c>
      <c r="X183" s="148">
        <f t="shared" si="280"/>
        <v>-2032.5319999999992</v>
      </c>
      <c r="Y183" s="148">
        <f t="shared" si="280"/>
        <v>-49.159999999999854</v>
      </c>
      <c r="Z183" s="148">
        <f t="shared" si="280"/>
        <v>522.12900000000036</v>
      </c>
      <c r="AA183" s="148">
        <f t="shared" si="263"/>
        <v>1475.8050000000023</v>
      </c>
      <c r="AB183" s="148">
        <f t="shared" si="263"/>
        <v>-1222.7919999999981</v>
      </c>
      <c r="AC183" s="148">
        <f t="shared" si="263"/>
        <v>323.27799999999365</v>
      </c>
      <c r="AD183" s="148">
        <f t="shared" si="263"/>
        <v>-144.16900000000001</v>
      </c>
      <c r="AE183" s="148">
        <f t="shared" si="264"/>
        <v>424.35000000000036</v>
      </c>
      <c r="AF183" s="148">
        <f t="shared" si="264"/>
        <v>-562.22099999999989</v>
      </c>
      <c r="AG183" s="148">
        <f t="shared" si="264"/>
        <v>-523.53484100000173</v>
      </c>
      <c r="AH183" s="148">
        <f t="shared" si="264"/>
        <v>1147.374</v>
      </c>
      <c r="AI183" s="148">
        <f t="shared" si="265"/>
        <v>-1474.6160000000013</v>
      </c>
      <c r="AJ183" s="148">
        <f t="shared" si="265"/>
        <v>-281.06700000000035</v>
      </c>
      <c r="AK183" s="148">
        <f t="shared" si="266"/>
        <v>539.80200000000218</v>
      </c>
      <c r="AN183"/>
    </row>
    <row r="184" spans="2:40" ht="13.5" customHeight="1" thickBot="1">
      <c r="B184" s="1" t="str">
        <f t="shared" ref="B184:Z184" si="281">+B75</f>
        <v>Other Finance</v>
      </c>
      <c r="C184" s="146">
        <f t="shared" si="281"/>
        <v>-18.388000000000002</v>
      </c>
      <c r="D184" s="146">
        <f t="shared" si="281"/>
        <v>-165.66999999999996</v>
      </c>
      <c r="E184" s="146">
        <f t="shared" si="281"/>
        <v>-649.65800000000013</v>
      </c>
      <c r="F184" s="146">
        <f t="shared" si="281"/>
        <v>-4408.1930000000002</v>
      </c>
      <c r="G184" s="146">
        <f t="shared" si="281"/>
        <v>-2019.2460000000001</v>
      </c>
      <c r="H184" s="150">
        <f t="shared" si="281"/>
        <v>-2029.854</v>
      </c>
      <c r="I184" s="148">
        <f t="shared" si="261"/>
        <v>-2913.3420000000001</v>
      </c>
      <c r="J184" s="148">
        <f t="shared" si="261"/>
        <v>-2867.2549999999997</v>
      </c>
      <c r="K184" s="148">
        <f t="shared" si="261"/>
        <v>-203.965</v>
      </c>
      <c r="L184" s="148">
        <f t="shared" si="262"/>
        <v>-15.081</v>
      </c>
      <c r="N184" s="146">
        <f t="shared" si="281"/>
        <v>81.933000000000007</v>
      </c>
      <c r="O184" s="146">
        <f t="shared" si="281"/>
        <v>-987.16899999999998</v>
      </c>
      <c r="P184" s="146">
        <f t="shared" si="281"/>
        <v>91.56399999999995</v>
      </c>
      <c r="Q184" s="146">
        <f t="shared" si="281"/>
        <v>164.0139999999999</v>
      </c>
      <c r="R184" s="146">
        <f t="shared" si="281"/>
        <v>115.76600000000001</v>
      </c>
      <c r="S184" s="146">
        <f t="shared" si="281"/>
        <v>-536.31299999999999</v>
      </c>
      <c r="T184" s="163">
        <f t="shared" si="281"/>
        <v>-3988.3529999999996</v>
      </c>
      <c r="U184" s="148">
        <f t="shared" si="281"/>
        <v>0.70699999999938257</v>
      </c>
      <c r="V184" s="148">
        <f t="shared" si="281"/>
        <v>7.3520000000000003</v>
      </c>
      <c r="W184" s="148">
        <f t="shared" si="281"/>
        <v>28.757000000000001</v>
      </c>
      <c r="X184" s="148">
        <f t="shared" si="281"/>
        <v>1.6689999999999969</v>
      </c>
      <c r="Y184" s="148">
        <f t="shared" si="281"/>
        <v>-2067.6320000000001</v>
      </c>
      <c r="Z184" s="148">
        <f t="shared" si="281"/>
        <v>12.682</v>
      </c>
      <c r="AA184" s="148">
        <f t="shared" si="263"/>
        <v>-48.11</v>
      </c>
      <c r="AB184" s="148">
        <f t="shared" si="263"/>
        <v>24.943999999999996</v>
      </c>
      <c r="AC184" s="148">
        <f t="shared" si="263"/>
        <v>-2902.8579999999997</v>
      </c>
      <c r="AD184" s="148">
        <f t="shared" si="263"/>
        <v>-203.041</v>
      </c>
      <c r="AE184" s="148">
        <f t="shared" si="264"/>
        <v>-2.5769999999999982</v>
      </c>
      <c r="AF184" s="148">
        <f t="shared" si="264"/>
        <v>0</v>
      </c>
      <c r="AG184" s="148">
        <f t="shared" si="264"/>
        <v>1.6529999999999916</v>
      </c>
      <c r="AH184" s="148">
        <f t="shared" si="264"/>
        <v>10.196</v>
      </c>
      <c r="AI184" s="148">
        <f t="shared" si="265"/>
        <v>-34.909999999999997</v>
      </c>
      <c r="AJ184" s="148">
        <f t="shared" si="265"/>
        <v>-0.16700000000000337</v>
      </c>
      <c r="AK184" s="148">
        <f t="shared" si="266"/>
        <v>9.8000000000000025</v>
      </c>
      <c r="AN184"/>
    </row>
    <row r="185" spans="2:40" ht="13.5" customHeight="1" thickTop="1" thickBot="1">
      <c r="B185" s="104" t="str">
        <f t="shared" ref="B185:Z185" si="282">+B76</f>
        <v>Cash flow after financing activities</v>
      </c>
      <c r="C185" s="152">
        <f t="shared" si="282"/>
        <v>-297.2759999999999</v>
      </c>
      <c r="D185" s="152">
        <f t="shared" si="282"/>
        <v>899.45799999999997</v>
      </c>
      <c r="E185" s="152">
        <f t="shared" si="282"/>
        <v>2061.5260000000007</v>
      </c>
      <c r="F185" s="152">
        <f t="shared" si="282"/>
        <v>-1812.1450000000018</v>
      </c>
      <c r="G185" s="152">
        <f t="shared" si="282"/>
        <v>231.29999999999927</v>
      </c>
      <c r="H185" s="151">
        <f t="shared" si="282"/>
        <v>234.80000000000041</v>
      </c>
      <c r="I185" s="251">
        <f t="shared" si="261"/>
        <v>638.53699999999935</v>
      </c>
      <c r="J185" s="251">
        <f t="shared" si="261"/>
        <v>788.25299999999697</v>
      </c>
      <c r="K185" s="251">
        <f t="shared" si="261"/>
        <v>2093.3679999999958</v>
      </c>
      <c r="L185" s="251">
        <f t="shared" si="262"/>
        <v>-37.525000000002237</v>
      </c>
      <c r="N185" s="152">
        <f t="shared" si="282"/>
        <v>448.06099999999969</v>
      </c>
      <c r="O185" s="152">
        <f t="shared" si="282"/>
        <v>-613.64999999999975</v>
      </c>
      <c r="P185" s="152">
        <f t="shared" si="282"/>
        <v>1724.8299999999997</v>
      </c>
      <c r="Q185" s="152">
        <f t="shared" si="282"/>
        <v>502.28499999999963</v>
      </c>
      <c r="R185" s="152">
        <f t="shared" si="282"/>
        <v>-1387.2650000000003</v>
      </c>
      <c r="S185" s="152">
        <f t="shared" si="282"/>
        <v>-302.19600000000037</v>
      </c>
      <c r="T185" s="167">
        <f t="shared" si="282"/>
        <v>320.0810000000024</v>
      </c>
      <c r="U185" s="152">
        <f t="shared" si="282"/>
        <v>-442.76500000000311</v>
      </c>
      <c r="V185" s="152">
        <f t="shared" si="282"/>
        <v>1057.578</v>
      </c>
      <c r="W185" s="152">
        <f t="shared" si="282"/>
        <v>1025.8099999999988</v>
      </c>
      <c r="X185" s="152">
        <f t="shared" si="282"/>
        <v>-1520.8459999999993</v>
      </c>
      <c r="Y185" s="152">
        <f t="shared" si="282"/>
        <v>-327.74199999999973</v>
      </c>
      <c r="Z185" s="152">
        <f t="shared" si="282"/>
        <v>452.63399999999996</v>
      </c>
      <c r="AA185" s="152">
        <f t="shared" si="263"/>
        <v>1000.9180000000023</v>
      </c>
      <c r="AB185" s="152">
        <f t="shared" si="263"/>
        <v>-238.39199999999752</v>
      </c>
      <c r="AC185" s="152">
        <f t="shared" si="263"/>
        <v>-576.62300000000641</v>
      </c>
      <c r="AD185" s="152">
        <f t="shared" si="263"/>
        <v>1017.529</v>
      </c>
      <c r="AE185" s="152">
        <f t="shared" si="264"/>
        <v>1329.6680000000003</v>
      </c>
      <c r="AF185" s="152">
        <f t="shared" si="264"/>
        <v>1014.2829999999991</v>
      </c>
      <c r="AG185" s="152">
        <f t="shared" si="264"/>
        <v>-1268.1120000000021</v>
      </c>
      <c r="AH185" s="152">
        <f t="shared" si="264"/>
        <v>2291.0380000000005</v>
      </c>
      <c r="AI185" s="152">
        <f t="shared" si="265"/>
        <v>744.84499999999878</v>
      </c>
      <c r="AJ185" s="152">
        <f t="shared" si="265"/>
        <v>-1469.9020000000005</v>
      </c>
      <c r="AK185" s="152">
        <f t="shared" si="266"/>
        <v>-1603.5059999999985</v>
      </c>
      <c r="AN185"/>
    </row>
    <row r="186" spans="2:40" s="5" customFormat="1" ht="13.5" customHeight="1" thickTop="1">
      <c r="B186" s="1" t="str">
        <f t="shared" ref="B186:Z186" si="283">+B77</f>
        <v xml:space="preserve">FX </v>
      </c>
      <c r="C186" s="148">
        <f t="shared" si="283"/>
        <v>-7.8090000000000002</v>
      </c>
      <c r="D186" s="148">
        <f t="shared" si="283"/>
        <v>319.54700000000003</v>
      </c>
      <c r="E186" s="148">
        <f t="shared" si="283"/>
        <v>691.96799999999996</v>
      </c>
      <c r="F186" s="148">
        <f t="shared" si="283"/>
        <v>-494.06200000000001</v>
      </c>
      <c r="G186" s="148">
        <f t="shared" si="283"/>
        <v>39.17</v>
      </c>
      <c r="H186" s="148">
        <f t="shared" si="283"/>
        <v>39.17</v>
      </c>
      <c r="I186" s="148">
        <f t="shared" si="261"/>
        <v>-144.53899999999999</v>
      </c>
      <c r="J186" s="148">
        <f t="shared" si="261"/>
        <v>-144.53899999999999</v>
      </c>
      <c r="K186" s="148">
        <f t="shared" si="261"/>
        <v>358.6</v>
      </c>
      <c r="L186" s="148">
        <f t="shared" si="262"/>
        <v>-17.003</v>
      </c>
      <c r="N186" s="148">
        <f t="shared" si="283"/>
        <v>30.341000000000001</v>
      </c>
      <c r="O186" s="148">
        <f t="shared" si="283"/>
        <v>238.86</v>
      </c>
      <c r="P186" s="148">
        <f t="shared" si="283"/>
        <v>188.88899999999995</v>
      </c>
      <c r="Q186" s="148">
        <f t="shared" si="283"/>
        <v>233.87799999999999</v>
      </c>
      <c r="R186" s="148">
        <f t="shared" si="283"/>
        <v>-234.37100000000001</v>
      </c>
      <c r="S186" s="148">
        <f t="shared" si="283"/>
        <v>-265.904</v>
      </c>
      <c r="T186" s="164">
        <f t="shared" si="283"/>
        <v>-121.05799999999996</v>
      </c>
      <c r="U186" s="148">
        <f t="shared" si="283"/>
        <v>127.27099999999999</v>
      </c>
      <c r="V186" s="148">
        <f t="shared" si="283"/>
        <v>-146.60300000000001</v>
      </c>
      <c r="W186" s="148">
        <f t="shared" si="283"/>
        <v>187.64400000000001</v>
      </c>
      <c r="X186" s="148">
        <f t="shared" si="283"/>
        <v>-82.239000000000004</v>
      </c>
      <c r="Y186" s="148">
        <f t="shared" si="283"/>
        <v>80.368000000000009</v>
      </c>
      <c r="Z186" s="148">
        <f t="shared" si="283"/>
        <v>8.2579999999999991</v>
      </c>
      <c r="AA186" s="148">
        <f t="shared" si="263"/>
        <v>-41.998000000000005</v>
      </c>
      <c r="AB186" s="148">
        <f t="shared" si="263"/>
        <v>28.146000000000004</v>
      </c>
      <c r="AC186" s="148">
        <f t="shared" si="263"/>
        <v>-138.94500000000002</v>
      </c>
      <c r="AD186" s="148">
        <f t="shared" si="263"/>
        <v>1051.6179999999999</v>
      </c>
      <c r="AE186" s="148">
        <f t="shared" si="264"/>
        <v>-85.738999999999919</v>
      </c>
      <c r="AF186" s="148">
        <f t="shared" si="264"/>
        <v>-136.34400000000005</v>
      </c>
      <c r="AG186" s="148">
        <f t="shared" si="264"/>
        <v>-470.93499999999995</v>
      </c>
      <c r="AH186" s="148">
        <f t="shared" si="264"/>
        <v>111.26300000000001</v>
      </c>
      <c r="AI186" s="148">
        <f t="shared" si="265"/>
        <v>-275.87200000000001</v>
      </c>
      <c r="AJ186" s="148">
        <f t="shared" si="265"/>
        <v>81.056999999999988</v>
      </c>
      <c r="AK186" s="148">
        <f t="shared" si="266"/>
        <v>66.549000000000007</v>
      </c>
      <c r="AN186"/>
    </row>
    <row r="187" spans="2:40" s="5" customFormat="1" ht="13.5" customHeight="1" thickBot="1">
      <c r="B187" s="63" t="str">
        <f t="shared" ref="B187:Z187" si="284">+B78</f>
        <v>Balancing figure</v>
      </c>
      <c r="C187" s="150">
        <f t="shared" si="284"/>
        <v>431.61799999999994</v>
      </c>
      <c r="D187" s="150">
        <f t="shared" si="284"/>
        <v>234.96100000000013</v>
      </c>
      <c r="E187" s="150">
        <f t="shared" si="284"/>
        <v>-206.01800000000071</v>
      </c>
      <c r="F187" s="150">
        <f t="shared" si="284"/>
        <v>69.657000000001744</v>
      </c>
      <c r="G187" s="150">
        <f t="shared" si="284"/>
        <v>-64.72799999999927</v>
      </c>
      <c r="H187" s="150">
        <f t="shared" si="284"/>
        <v>-68.228000000000407</v>
      </c>
      <c r="I187" s="150">
        <f t="shared" si="261"/>
        <v>-111.53899999999931</v>
      </c>
      <c r="J187" s="150">
        <f t="shared" si="261"/>
        <v>-135.93499999999699</v>
      </c>
      <c r="K187" s="150">
        <f t="shared" si="261"/>
        <v>-222.71499999999583</v>
      </c>
      <c r="L187" s="150">
        <f t="shared" si="262"/>
        <v>-870.09699999999771</v>
      </c>
      <c r="N187" s="150">
        <f t="shared" si="284"/>
        <v>-0.97299999999967213</v>
      </c>
      <c r="O187" s="150">
        <f t="shared" si="284"/>
        <v>-119.91800000000029</v>
      </c>
      <c r="P187" s="150">
        <f t="shared" si="284"/>
        <v>-71.145999999999731</v>
      </c>
      <c r="Q187" s="150">
        <f t="shared" si="284"/>
        <v>-13.981000000001018</v>
      </c>
      <c r="R187" s="150">
        <f t="shared" si="284"/>
        <v>35.777000000000271</v>
      </c>
      <c r="S187" s="150">
        <f t="shared" si="284"/>
        <v>19.594000000000506</v>
      </c>
      <c r="T187" s="165">
        <f t="shared" si="284"/>
        <v>164.2169999999976</v>
      </c>
      <c r="U187" s="150">
        <f t="shared" si="284"/>
        <v>-149.93099999999663</v>
      </c>
      <c r="V187" s="150">
        <f t="shared" si="284"/>
        <v>-37.019000000000005</v>
      </c>
      <c r="W187" s="150">
        <f t="shared" si="284"/>
        <v>51.590000000001055</v>
      </c>
      <c r="X187" s="150">
        <f t="shared" si="284"/>
        <v>-19.253000000000611</v>
      </c>
      <c r="Y187" s="150">
        <f t="shared" si="284"/>
        <v>-63.546000000000845</v>
      </c>
      <c r="Z187" s="150">
        <f t="shared" si="284"/>
        <v>-11.749999999999943</v>
      </c>
      <c r="AA187" s="150">
        <f t="shared" si="263"/>
        <v>-15.283000000002289</v>
      </c>
      <c r="AB187" s="150">
        <f t="shared" si="263"/>
        <v>-24.158000000002517</v>
      </c>
      <c r="AC187" s="150">
        <f t="shared" si="263"/>
        <v>-60.347999999994556</v>
      </c>
      <c r="AD187" s="150">
        <f t="shared" si="263"/>
        <v>-190.08500000000004</v>
      </c>
      <c r="AE187" s="150">
        <f t="shared" si="264"/>
        <v>4.5509999999997035</v>
      </c>
      <c r="AF187" s="150">
        <f t="shared" si="264"/>
        <v>-96.9899999999991</v>
      </c>
      <c r="AG187" s="150">
        <f t="shared" si="264"/>
        <v>59.809000000003607</v>
      </c>
      <c r="AH187" s="150">
        <f t="shared" si="264"/>
        <v>-151.28700000000026</v>
      </c>
      <c r="AI187" s="150">
        <f t="shared" si="265"/>
        <v>-593.15399999999909</v>
      </c>
      <c r="AJ187" s="150">
        <f t="shared" si="265"/>
        <v>-47.895999999999731</v>
      </c>
      <c r="AK187" s="150">
        <f t="shared" si="266"/>
        <v>-77.759999999998627</v>
      </c>
      <c r="AN187"/>
    </row>
    <row r="188" spans="2:40" ht="13.5" customHeight="1" thickTop="1">
      <c r="B188" s="5" t="str">
        <f t="shared" ref="B188:Z188" si="285">+B79</f>
        <v xml:space="preserve">Net change in cash </v>
      </c>
      <c r="C188" s="148">
        <f t="shared" si="285"/>
        <v>126.53300000000002</v>
      </c>
      <c r="D188" s="148">
        <f t="shared" si="285"/>
        <v>1453.9660000000003</v>
      </c>
      <c r="E188" s="148">
        <f t="shared" si="285"/>
        <v>2547.4759999999997</v>
      </c>
      <c r="F188" s="148">
        <f t="shared" si="285"/>
        <v>-2236.5500000000002</v>
      </c>
      <c r="G188" s="148">
        <f t="shared" si="285"/>
        <v>205.74200000000002</v>
      </c>
      <c r="H188" s="148">
        <f t="shared" si="285"/>
        <v>205.74200000000002</v>
      </c>
      <c r="I188" s="148">
        <f t="shared" si="261"/>
        <v>382.45900000000006</v>
      </c>
      <c r="J188" s="148">
        <f t="shared" si="261"/>
        <v>507.779</v>
      </c>
      <c r="K188" s="148">
        <f t="shared" si="261"/>
        <v>2229.2529999999997</v>
      </c>
      <c r="L188" s="148">
        <f t="shared" si="262"/>
        <v>-924.625</v>
      </c>
      <c r="N188" s="148">
        <f t="shared" si="285"/>
        <v>477.42900000000003</v>
      </c>
      <c r="O188" s="148">
        <f t="shared" si="285"/>
        <v>-494.70800000000003</v>
      </c>
      <c r="P188" s="148">
        <f t="shared" si="285"/>
        <v>1842.5729999999999</v>
      </c>
      <c r="Q188" s="148">
        <f t="shared" si="285"/>
        <v>722.18199999999854</v>
      </c>
      <c r="R188" s="148">
        <f t="shared" si="285"/>
        <v>-1585.8590000000002</v>
      </c>
      <c r="S188" s="148">
        <f t="shared" si="285"/>
        <v>-548.50599999999986</v>
      </c>
      <c r="T188" s="164">
        <f t="shared" si="285"/>
        <v>363.24</v>
      </c>
      <c r="U188" s="148">
        <f t="shared" si="285"/>
        <v>-465.42499999999973</v>
      </c>
      <c r="V188" s="148">
        <f t="shared" si="285"/>
        <v>873.9559999999999</v>
      </c>
      <c r="W188" s="148">
        <f t="shared" si="285"/>
        <v>1265.0439999999999</v>
      </c>
      <c r="X188" s="148">
        <f t="shared" si="285"/>
        <v>-1622.338</v>
      </c>
      <c r="Y188" s="148">
        <f t="shared" si="285"/>
        <v>-310.92000000000058</v>
      </c>
      <c r="Z188" s="148">
        <f t="shared" si="285"/>
        <v>449.142</v>
      </c>
      <c r="AA188" s="148">
        <f t="shared" si="263"/>
        <v>943.63699999999994</v>
      </c>
      <c r="AB188" s="148">
        <f t="shared" si="263"/>
        <v>-234.40400000000002</v>
      </c>
      <c r="AC188" s="148">
        <f t="shared" si="263"/>
        <v>-775.91600000000108</v>
      </c>
      <c r="AD188" s="148">
        <f t="shared" si="263"/>
        <v>1879.0619999999999</v>
      </c>
      <c r="AE188" s="148">
        <f t="shared" si="264"/>
        <v>1248.4800000000002</v>
      </c>
      <c r="AF188" s="148">
        <f t="shared" si="264"/>
        <v>780.94899999999996</v>
      </c>
      <c r="AG188" s="148">
        <f t="shared" si="264"/>
        <v>-1679.2379999999985</v>
      </c>
      <c r="AH188" s="148">
        <f t="shared" si="264"/>
        <v>2251.0140000000001</v>
      </c>
      <c r="AI188" s="148">
        <f t="shared" si="265"/>
        <v>-124.18100000000032</v>
      </c>
      <c r="AJ188" s="148">
        <f t="shared" si="265"/>
        <v>-1436.7410000000002</v>
      </c>
      <c r="AK188" s="148">
        <f t="shared" si="266"/>
        <v>-1614.7169999999971</v>
      </c>
      <c r="AN188"/>
    </row>
    <row r="189" spans="2:40" ht="13.5" customHeight="1">
      <c r="C189" s="51"/>
      <c r="D189" s="51"/>
      <c r="E189" s="51"/>
      <c r="F189" s="51"/>
      <c r="G189" s="51"/>
      <c r="H189" s="51"/>
      <c r="I189" s="75"/>
      <c r="J189" s="75"/>
      <c r="K189" s="75"/>
      <c r="L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N189"/>
    </row>
    <row r="190" spans="2:40" ht="13.5" customHeight="1">
      <c r="B190" s="1" t="str">
        <f>B113</f>
        <v>Cash and equivalents</v>
      </c>
      <c r="C190" s="143">
        <f>C113</f>
        <v>1465.0880000000002</v>
      </c>
      <c r="D190" s="143">
        <f t="shared" ref="D190:Y190" si="286">D113</f>
        <v>2919.0540000000005</v>
      </c>
      <c r="E190" s="143">
        <f t="shared" si="286"/>
        <v>5466.5300000000007</v>
      </c>
      <c r="F190" s="143">
        <f t="shared" si="286"/>
        <v>3229.9800000000005</v>
      </c>
      <c r="G190" s="143">
        <f t="shared" si="286"/>
        <v>3435.7220000000007</v>
      </c>
      <c r="H190" s="143">
        <f t="shared" si="286"/>
        <v>3435.7220000000007</v>
      </c>
      <c r="I190" s="143">
        <f>I113</f>
        <v>3818.1810000000005</v>
      </c>
      <c r="J190" s="143">
        <f>J113</f>
        <v>3943.5010000000007</v>
      </c>
      <c r="K190" s="143">
        <f>K113</f>
        <v>6172.7540000000008</v>
      </c>
      <c r="L190" s="143">
        <f>L113</f>
        <v>5248.1290000000008</v>
      </c>
      <c r="N190" s="143">
        <f t="shared" si="286"/>
        <v>3396.4830000000006</v>
      </c>
      <c r="O190" s="143">
        <f t="shared" si="286"/>
        <v>2901.7750000000005</v>
      </c>
      <c r="P190" s="143">
        <f t="shared" si="286"/>
        <v>4744.348</v>
      </c>
      <c r="Q190" s="143">
        <f t="shared" si="286"/>
        <v>5466.5299999999988</v>
      </c>
      <c r="R190" s="143">
        <f t="shared" si="286"/>
        <v>3880.6709999999985</v>
      </c>
      <c r="S190" s="143">
        <f t="shared" si="286"/>
        <v>3332.1649999999986</v>
      </c>
      <c r="T190" s="143">
        <f t="shared" si="286"/>
        <v>3695.4049999999988</v>
      </c>
      <c r="U190" s="143">
        <f t="shared" si="286"/>
        <v>3229.9799999999991</v>
      </c>
      <c r="V190" s="143">
        <f t="shared" si="286"/>
        <v>4103.9359999999988</v>
      </c>
      <c r="W190" s="143">
        <f t="shared" si="286"/>
        <v>5368.9799999999987</v>
      </c>
      <c r="X190" s="143">
        <f t="shared" si="286"/>
        <v>3746.6419999999989</v>
      </c>
      <c r="Y190" s="143">
        <f t="shared" si="286"/>
        <v>3435.7219999999984</v>
      </c>
      <c r="Z190" s="143">
        <f t="shared" ref="Z190:AE190" si="287">Z113</f>
        <v>3884.8639999999982</v>
      </c>
      <c r="AA190" s="143">
        <f t="shared" si="287"/>
        <v>4828.5009999999984</v>
      </c>
      <c r="AB190" s="143">
        <f t="shared" si="287"/>
        <v>4594.0969999999979</v>
      </c>
      <c r="AC190" s="143">
        <f t="shared" si="287"/>
        <v>3818.1809999999969</v>
      </c>
      <c r="AD190" s="143">
        <f t="shared" si="287"/>
        <v>5822.5630000000001</v>
      </c>
      <c r="AE190" s="143">
        <f t="shared" si="287"/>
        <v>7071.0430000000006</v>
      </c>
      <c r="AF190" s="143">
        <f t="shared" ref="AF190:AK190" si="288">AF113</f>
        <v>7851.9920000000002</v>
      </c>
      <c r="AG190" s="143">
        <f t="shared" si="288"/>
        <v>6172.7540000000017</v>
      </c>
      <c r="AH190" s="143">
        <f t="shared" si="288"/>
        <v>8423.7680000000018</v>
      </c>
      <c r="AI190" s="143">
        <f t="shared" si="288"/>
        <v>8299.5870000000014</v>
      </c>
      <c r="AJ190" s="143">
        <f t="shared" si="288"/>
        <v>6862.8460000000014</v>
      </c>
      <c r="AK190" s="143">
        <f t="shared" si="288"/>
        <v>5248.1290000000045</v>
      </c>
      <c r="AN190"/>
    </row>
    <row r="191" spans="2:40" ht="13.5" customHeight="1">
      <c r="B191" s="1" t="str">
        <f>B115</f>
        <v xml:space="preserve">Net debt </v>
      </c>
      <c r="C191" s="143">
        <f>C115</f>
        <v>9276.6740000000009</v>
      </c>
      <c r="D191" s="143">
        <f t="shared" ref="D191:Y191" si="289">D115</f>
        <v>10227.92</v>
      </c>
      <c r="E191" s="143">
        <f t="shared" si="289"/>
        <v>10484.760999999999</v>
      </c>
      <c r="F191" s="143">
        <f t="shared" si="289"/>
        <v>16976.740000000002</v>
      </c>
      <c r="G191" s="143">
        <f t="shared" si="289"/>
        <v>18058.957999999999</v>
      </c>
      <c r="H191" s="143">
        <f t="shared" si="289"/>
        <v>18058.957999999999</v>
      </c>
      <c r="I191" s="143">
        <f t="shared" ref="I191:K192" si="290">I115</f>
        <v>17807.668999999998</v>
      </c>
      <c r="J191" s="143">
        <f t="shared" si="290"/>
        <v>17682.348999999998</v>
      </c>
      <c r="K191" s="143">
        <f t="shared" si="290"/>
        <v>16702.661999999997</v>
      </c>
      <c r="L191" s="143">
        <f>L115</f>
        <v>19212.774000000001</v>
      </c>
      <c r="N191" s="143">
        <f t="shared" si="289"/>
        <v>9218.5930000000008</v>
      </c>
      <c r="O191" s="143">
        <f t="shared" si="289"/>
        <v>10336.123</v>
      </c>
      <c r="P191" s="143">
        <f t="shared" si="289"/>
        <v>8835.6950000000015</v>
      </c>
      <c r="Q191" s="143">
        <f t="shared" si="289"/>
        <v>10484.761</v>
      </c>
      <c r="R191" s="143">
        <f t="shared" si="289"/>
        <v>9871.3290000000015</v>
      </c>
      <c r="S191" s="143">
        <f t="shared" si="289"/>
        <v>10992.709000000001</v>
      </c>
      <c r="T191" s="143">
        <f t="shared" si="289"/>
        <v>16459.116000000002</v>
      </c>
      <c r="U191" s="143">
        <f t="shared" si="289"/>
        <v>16976.740000000002</v>
      </c>
      <c r="V191" s="143">
        <f t="shared" si="289"/>
        <v>16617.303000000004</v>
      </c>
      <c r="W191" s="143">
        <f t="shared" si="289"/>
        <v>18397.445</v>
      </c>
      <c r="X191" s="143">
        <f t="shared" si="289"/>
        <v>17052.789000000001</v>
      </c>
      <c r="Y191" s="143">
        <f t="shared" si="289"/>
        <v>18058.958000000002</v>
      </c>
      <c r="Z191" s="143">
        <f t="shared" ref="Z191:AC192" si="291">Z115</f>
        <v>18032.056000000004</v>
      </c>
      <c r="AA191" s="143">
        <f t="shared" si="291"/>
        <v>18649.629999999997</v>
      </c>
      <c r="AB191" s="143">
        <f t="shared" si="291"/>
        <v>18150.758000000002</v>
      </c>
      <c r="AC191" s="143">
        <f t="shared" si="291"/>
        <v>17807.669000000002</v>
      </c>
      <c r="AD191" s="143">
        <f t="shared" ref="AD191:AG192" si="292">AD115</f>
        <v>20098.845999999998</v>
      </c>
      <c r="AE191" s="143">
        <f t="shared" si="292"/>
        <v>18941.124999999996</v>
      </c>
      <c r="AF191" s="143">
        <f t="shared" si="292"/>
        <v>17516.027999999998</v>
      </c>
      <c r="AG191" s="143">
        <f t="shared" si="292"/>
        <v>16702.661999999997</v>
      </c>
      <c r="AH191" s="143">
        <f t="shared" ref="AH191:AK192" si="293">AH115</f>
        <v>16388.308999999994</v>
      </c>
      <c r="AI191" s="143">
        <f t="shared" si="293"/>
        <v>14673.764000000001</v>
      </c>
      <c r="AJ191" s="143">
        <f t="shared" si="293"/>
        <v>16537.02</v>
      </c>
      <c r="AK191" s="143">
        <f t="shared" si="293"/>
        <v>19212.773999999998</v>
      </c>
      <c r="AN191"/>
    </row>
    <row r="192" spans="2:40" ht="13.5" customHeight="1">
      <c r="B192" s="1" t="str">
        <f>B116</f>
        <v xml:space="preserve">Gross total debt </v>
      </c>
      <c r="C192" s="143">
        <f>C116</f>
        <v>10741.762000000001</v>
      </c>
      <c r="D192" s="143">
        <f t="shared" ref="D192:Y192" si="294">D116</f>
        <v>13146.974</v>
      </c>
      <c r="E192" s="143">
        <f t="shared" si="294"/>
        <v>15951.290999999999</v>
      </c>
      <c r="F192" s="143">
        <f t="shared" si="294"/>
        <v>20206.72</v>
      </c>
      <c r="G192" s="143">
        <f t="shared" si="294"/>
        <v>21494.68</v>
      </c>
      <c r="H192" s="143">
        <f t="shared" si="294"/>
        <v>21494.68</v>
      </c>
      <c r="I192" s="143">
        <f t="shared" si="290"/>
        <v>21625.85</v>
      </c>
      <c r="J192" s="143">
        <f t="shared" si="290"/>
        <v>21625.85</v>
      </c>
      <c r="K192" s="143">
        <f t="shared" si="290"/>
        <v>22875.415999999997</v>
      </c>
      <c r="L192" s="143">
        <f>L116</f>
        <v>24460.903000000002</v>
      </c>
      <c r="N192" s="143">
        <f t="shared" si="294"/>
        <v>12615.076000000001</v>
      </c>
      <c r="O192" s="143">
        <f t="shared" si="294"/>
        <v>13237.898000000001</v>
      </c>
      <c r="P192" s="143">
        <f t="shared" si="294"/>
        <v>13580.043000000001</v>
      </c>
      <c r="Q192" s="143">
        <f t="shared" si="294"/>
        <v>15951.290999999999</v>
      </c>
      <c r="R192" s="143">
        <f t="shared" si="294"/>
        <v>13752</v>
      </c>
      <c r="S192" s="143">
        <f t="shared" si="294"/>
        <v>14324.874</v>
      </c>
      <c r="T192" s="143">
        <f t="shared" si="294"/>
        <v>20154.521000000001</v>
      </c>
      <c r="U192" s="143">
        <f t="shared" si="294"/>
        <v>20206.72</v>
      </c>
      <c r="V192" s="143">
        <f t="shared" si="294"/>
        <v>20721.239000000001</v>
      </c>
      <c r="W192" s="143">
        <f t="shared" si="294"/>
        <v>23766.424999999999</v>
      </c>
      <c r="X192" s="143">
        <f t="shared" si="294"/>
        <v>20799.431</v>
      </c>
      <c r="Y192" s="143">
        <f t="shared" si="294"/>
        <v>21494.68</v>
      </c>
      <c r="Z192" s="143">
        <f t="shared" si="291"/>
        <v>21916.920000000002</v>
      </c>
      <c r="AA192" s="143">
        <f t="shared" si="291"/>
        <v>23478.130999999998</v>
      </c>
      <c r="AB192" s="143">
        <f t="shared" si="291"/>
        <v>22744.855</v>
      </c>
      <c r="AC192" s="143">
        <f t="shared" si="291"/>
        <v>21625.85</v>
      </c>
      <c r="AD192" s="143">
        <f t="shared" si="292"/>
        <v>25921.409</v>
      </c>
      <c r="AE192" s="143">
        <f t="shared" si="292"/>
        <v>26012.167999999998</v>
      </c>
      <c r="AF192" s="143">
        <f t="shared" si="292"/>
        <v>25368.019999999997</v>
      </c>
      <c r="AG192" s="143">
        <f t="shared" si="292"/>
        <v>22875.415999999997</v>
      </c>
      <c r="AH192" s="143">
        <f t="shared" si="293"/>
        <v>24812.076999999997</v>
      </c>
      <c r="AI192" s="143">
        <f t="shared" si="293"/>
        <v>22973.351000000002</v>
      </c>
      <c r="AJ192" s="143">
        <f t="shared" si="293"/>
        <v>23399.866000000002</v>
      </c>
      <c r="AK192" s="143">
        <f t="shared" si="293"/>
        <v>24460.903000000002</v>
      </c>
      <c r="AN192"/>
    </row>
    <row r="193" spans="2:40" ht="13.5" customHeight="1">
      <c r="C193" s="51"/>
      <c r="D193" s="51"/>
      <c r="E193" s="51"/>
      <c r="F193" s="51"/>
      <c r="G193" s="51"/>
      <c r="H193" s="51"/>
      <c r="I193" s="75"/>
      <c r="J193" s="75"/>
      <c r="K193" s="75"/>
      <c r="L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N193"/>
    </row>
    <row r="194" spans="2:40" ht="13.5" customHeight="1">
      <c r="B194" s="5" t="s">
        <v>292</v>
      </c>
      <c r="C194" s="143">
        <f>C120</f>
        <v>9296.0720000000001</v>
      </c>
      <c r="D194" s="143">
        <f t="shared" ref="D194:Z194" si="295">D120</f>
        <v>10235.387000000001</v>
      </c>
      <c r="E194" s="143">
        <f t="shared" si="295"/>
        <v>10488.055999999999</v>
      </c>
      <c r="F194" s="143">
        <f t="shared" si="295"/>
        <v>16976.740000000002</v>
      </c>
      <c r="G194" s="143">
        <f t="shared" si="295"/>
        <v>18058.957999999999</v>
      </c>
      <c r="H194" s="143">
        <f t="shared" si="295"/>
        <v>18058.957999999999</v>
      </c>
      <c r="I194" s="143">
        <f t="shared" ref="I194:K195" si="296">I120</f>
        <v>17807.668999999998</v>
      </c>
      <c r="J194" s="143">
        <f t="shared" si="296"/>
        <v>17682.348999999998</v>
      </c>
      <c r="K194" s="143">
        <f t="shared" si="296"/>
        <v>16702.661999999997</v>
      </c>
      <c r="L194" s="143">
        <f>L120</f>
        <v>19212.774000000001</v>
      </c>
      <c r="N194" s="143">
        <f t="shared" si="295"/>
        <v>9218.5930000000008</v>
      </c>
      <c r="O194" s="143">
        <f t="shared" si="295"/>
        <v>10336.123</v>
      </c>
      <c r="P194" s="143">
        <f t="shared" si="295"/>
        <v>8835.6950000000015</v>
      </c>
      <c r="Q194" s="143">
        <f t="shared" si="295"/>
        <v>10488.056</v>
      </c>
      <c r="R194" s="143">
        <f t="shared" si="295"/>
        <v>9871.3290000000015</v>
      </c>
      <c r="S194" s="143">
        <f t="shared" si="295"/>
        <v>10992.709000000001</v>
      </c>
      <c r="T194" s="143">
        <f t="shared" si="295"/>
        <v>16459.116000000002</v>
      </c>
      <c r="U194" s="143">
        <f t="shared" si="295"/>
        <v>16976.740000000002</v>
      </c>
      <c r="V194" s="143">
        <f t="shared" si="295"/>
        <v>16617.303000000004</v>
      </c>
      <c r="W194" s="143">
        <f t="shared" si="295"/>
        <v>18397.445</v>
      </c>
      <c r="X194" s="143">
        <f t="shared" si="295"/>
        <v>17052.789000000001</v>
      </c>
      <c r="Y194" s="143">
        <f t="shared" si="295"/>
        <v>18058.958000000002</v>
      </c>
      <c r="Z194" s="143">
        <f t="shared" si="295"/>
        <v>18032.056000000004</v>
      </c>
      <c r="AA194" s="143">
        <f t="shared" ref="AA194:AD195" si="297">AA120</f>
        <v>18649.629999999997</v>
      </c>
      <c r="AB194" s="143">
        <f t="shared" si="297"/>
        <v>18150.758000000002</v>
      </c>
      <c r="AC194" s="143">
        <f t="shared" si="297"/>
        <v>17807.669000000002</v>
      </c>
      <c r="AD194" s="143">
        <f t="shared" si="297"/>
        <v>20098.845999999998</v>
      </c>
      <c r="AE194" s="143">
        <f t="shared" ref="AE194:AH195" si="298">AE120</f>
        <v>18941.124999999996</v>
      </c>
      <c r="AF194" s="143">
        <f t="shared" si="298"/>
        <v>17516.027999999998</v>
      </c>
      <c r="AG194" s="143">
        <f t="shared" si="298"/>
        <v>16702.661999999997</v>
      </c>
      <c r="AH194" s="143">
        <f t="shared" si="298"/>
        <v>16388.308999999994</v>
      </c>
      <c r="AI194" s="143">
        <f t="shared" ref="AI194:AK195" si="299">AI120</f>
        <v>14673.764000000001</v>
      </c>
      <c r="AJ194" s="143">
        <f t="shared" si="299"/>
        <v>16537.02</v>
      </c>
      <c r="AK194" s="143">
        <f t="shared" si="299"/>
        <v>19212.773999999998</v>
      </c>
      <c r="AN194"/>
    </row>
    <row r="195" spans="2:40" ht="13.5" customHeight="1">
      <c r="B195" s="5" t="s">
        <v>293</v>
      </c>
      <c r="C195" s="143">
        <f>C121</f>
        <v>10761.16</v>
      </c>
      <c r="D195" s="143">
        <f t="shared" ref="D195:Z195" si="300">D121</f>
        <v>13154.441000000001</v>
      </c>
      <c r="E195" s="143">
        <f t="shared" si="300"/>
        <v>15954.585999999999</v>
      </c>
      <c r="F195" s="143">
        <f t="shared" si="300"/>
        <v>20206.72</v>
      </c>
      <c r="G195" s="143">
        <f t="shared" si="300"/>
        <v>21494.68</v>
      </c>
      <c r="H195" s="143">
        <f t="shared" si="300"/>
        <v>21494.68</v>
      </c>
      <c r="I195" s="143">
        <f t="shared" si="296"/>
        <v>21625.85</v>
      </c>
      <c r="J195" s="143">
        <f t="shared" si="296"/>
        <v>21625.85</v>
      </c>
      <c r="K195" s="143">
        <f t="shared" si="296"/>
        <v>22875.415999999997</v>
      </c>
      <c r="L195" s="143">
        <f>L121</f>
        <v>24460.903000000002</v>
      </c>
      <c r="N195" s="143">
        <f t="shared" si="300"/>
        <v>12615.076000000001</v>
      </c>
      <c r="O195" s="143">
        <f t="shared" si="300"/>
        <v>13237.898000000001</v>
      </c>
      <c r="P195" s="143">
        <f t="shared" si="300"/>
        <v>13580.043000000001</v>
      </c>
      <c r="Q195" s="143">
        <f t="shared" si="300"/>
        <v>15954.585999999999</v>
      </c>
      <c r="R195" s="143">
        <f t="shared" si="300"/>
        <v>13752</v>
      </c>
      <c r="S195" s="143">
        <f t="shared" si="300"/>
        <v>14324.874</v>
      </c>
      <c r="T195" s="143">
        <f t="shared" si="300"/>
        <v>20154.521000000001</v>
      </c>
      <c r="U195" s="143">
        <f t="shared" si="300"/>
        <v>20206.72</v>
      </c>
      <c r="V195" s="143">
        <f t="shared" si="300"/>
        <v>20721.239000000001</v>
      </c>
      <c r="W195" s="143">
        <f t="shared" si="300"/>
        <v>23766.424999999999</v>
      </c>
      <c r="X195" s="143">
        <f t="shared" si="300"/>
        <v>20799.431</v>
      </c>
      <c r="Y195" s="143">
        <f t="shared" si="300"/>
        <v>21494.68</v>
      </c>
      <c r="Z195" s="143">
        <f t="shared" si="300"/>
        <v>21916.920000000002</v>
      </c>
      <c r="AA195" s="143">
        <f t="shared" si="297"/>
        <v>23478.130999999998</v>
      </c>
      <c r="AB195" s="143">
        <f t="shared" si="297"/>
        <v>22744.855</v>
      </c>
      <c r="AC195" s="143">
        <f t="shared" si="297"/>
        <v>21625.85</v>
      </c>
      <c r="AD195" s="143">
        <f t="shared" si="297"/>
        <v>25921.409</v>
      </c>
      <c r="AE195" s="143">
        <f t="shared" si="298"/>
        <v>26012.167999999998</v>
      </c>
      <c r="AF195" s="143">
        <f t="shared" si="298"/>
        <v>25368.019999999997</v>
      </c>
      <c r="AG195" s="143">
        <f t="shared" si="298"/>
        <v>22875.415999999997</v>
      </c>
      <c r="AH195" s="143">
        <f t="shared" si="298"/>
        <v>24812.076999999997</v>
      </c>
      <c r="AI195" s="143">
        <f t="shared" si="299"/>
        <v>22973.351000000002</v>
      </c>
      <c r="AJ195" s="143">
        <f t="shared" si="299"/>
        <v>23399.866000000002</v>
      </c>
      <c r="AK195" s="143">
        <f t="shared" si="299"/>
        <v>24460.903000000002</v>
      </c>
      <c r="AN195"/>
    </row>
    <row r="196" spans="2:40" ht="13.5" customHeight="1"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N196"/>
    </row>
    <row r="197" spans="2:40" ht="13.5" customHeight="1">
      <c r="B197" s="5" t="s">
        <v>296</v>
      </c>
      <c r="C197" s="143">
        <f>C127</f>
        <v>16298.416000000001</v>
      </c>
      <c r="D197" s="143">
        <f t="shared" ref="D197:AB197" si="301">D127</f>
        <v>16897.139000000003</v>
      </c>
      <c r="E197" s="143">
        <f t="shared" si="301"/>
        <v>18326.175999999999</v>
      </c>
      <c r="F197" s="143">
        <f t="shared" si="301"/>
        <v>25705.132000000001</v>
      </c>
      <c r="G197" s="143">
        <f t="shared" si="301"/>
        <v>28222.685999999998</v>
      </c>
      <c r="H197" s="143">
        <f t="shared" si="301"/>
        <v>28222.685999999998</v>
      </c>
      <c r="I197" s="143">
        <f t="shared" ref="I197:K198" si="302">I127</f>
        <v>22823.906999999999</v>
      </c>
      <c r="J197" s="143">
        <f t="shared" si="302"/>
        <v>22698.587</v>
      </c>
      <c r="K197" s="143">
        <f t="shared" si="302"/>
        <v>23382.331999999995</v>
      </c>
      <c r="L197" s="143">
        <f>L127</f>
        <v>25775.717000000001</v>
      </c>
      <c r="N197" s="143">
        <f t="shared" si="301"/>
        <v>16135.789000000001</v>
      </c>
      <c r="O197" s="143">
        <f t="shared" si="301"/>
        <v>17168.171000000002</v>
      </c>
      <c r="P197" s="143">
        <f t="shared" si="301"/>
        <v>15582.595000000001</v>
      </c>
      <c r="Q197" s="143">
        <f t="shared" si="301"/>
        <v>18326.175999999999</v>
      </c>
      <c r="R197" s="143">
        <f t="shared" si="301"/>
        <v>17932.017</v>
      </c>
      <c r="S197" s="143">
        <f t="shared" si="301"/>
        <v>19275.965</v>
      </c>
      <c r="T197" s="143">
        <f t="shared" si="301"/>
        <v>24964.940000000002</v>
      </c>
      <c r="U197" s="143">
        <f t="shared" si="301"/>
        <v>25705.132000000001</v>
      </c>
      <c r="V197" s="143">
        <f t="shared" si="301"/>
        <v>25704.529000000002</v>
      </c>
      <c r="W197" s="143">
        <f t="shared" si="301"/>
        <v>27843.504999999997</v>
      </c>
      <c r="X197" s="143">
        <f t="shared" si="301"/>
        <v>26857.683000000001</v>
      </c>
      <c r="Y197" s="143">
        <f t="shared" si="301"/>
        <v>28222.686000000002</v>
      </c>
      <c r="Z197" s="143">
        <f t="shared" si="301"/>
        <v>22390.686000000005</v>
      </c>
      <c r="AA197" s="143">
        <f t="shared" si="301"/>
        <v>22907.603999999999</v>
      </c>
      <c r="AB197" s="143">
        <f t="shared" si="301"/>
        <v>22414.615000000002</v>
      </c>
      <c r="AC197" s="143">
        <f t="shared" ref="AC197:AF198" si="303">AC127</f>
        <v>22823.906999999999</v>
      </c>
      <c r="AD197" s="143">
        <f t="shared" si="303"/>
        <v>26385.489999999998</v>
      </c>
      <c r="AE197" s="143">
        <f t="shared" si="303"/>
        <v>26458.994999999995</v>
      </c>
      <c r="AF197" s="143">
        <f t="shared" si="303"/>
        <v>24853.574999999997</v>
      </c>
      <c r="AG197" s="143">
        <f t="shared" ref="AG197:AJ198" si="304">AG127</f>
        <v>23382.331999999995</v>
      </c>
      <c r="AH197" s="143">
        <f t="shared" si="304"/>
        <v>23214.245999999992</v>
      </c>
      <c r="AI197" s="143">
        <f t="shared" si="304"/>
        <v>21351.61</v>
      </c>
      <c r="AJ197" s="143">
        <f t="shared" si="304"/>
        <v>23070.651000000002</v>
      </c>
      <c r="AK197" s="143">
        <f>AK127</f>
        <v>25775.716999999997</v>
      </c>
      <c r="AN197"/>
    </row>
    <row r="198" spans="2:40" ht="13.5" customHeight="1">
      <c r="B198" s="5" t="s">
        <v>297</v>
      </c>
      <c r="C198" s="143">
        <f>C128</f>
        <v>17763.504000000001</v>
      </c>
      <c r="D198" s="143">
        <f t="shared" ref="D198:AB198" si="305">D128</f>
        <v>19816.192999999999</v>
      </c>
      <c r="E198" s="143">
        <f t="shared" si="305"/>
        <v>23792.705999999998</v>
      </c>
      <c r="F198" s="143">
        <f t="shared" si="305"/>
        <v>28935.112000000001</v>
      </c>
      <c r="G198" s="143">
        <f t="shared" si="305"/>
        <v>31658.407999999999</v>
      </c>
      <c r="H198" s="143">
        <f t="shared" si="305"/>
        <v>31658.407999999999</v>
      </c>
      <c r="I198" s="143">
        <f t="shared" si="302"/>
        <v>26642.087999999996</v>
      </c>
      <c r="J198" s="143">
        <f t="shared" si="302"/>
        <v>26642.087999999996</v>
      </c>
      <c r="K198" s="143">
        <f t="shared" si="302"/>
        <v>29555.085999999996</v>
      </c>
      <c r="L198" s="143">
        <f>L128</f>
        <v>31023.846000000001</v>
      </c>
      <c r="N198" s="143">
        <f t="shared" si="305"/>
        <v>19532.272000000001</v>
      </c>
      <c r="O198" s="143">
        <f t="shared" si="305"/>
        <v>20069.946000000004</v>
      </c>
      <c r="P198" s="143">
        <f t="shared" si="305"/>
        <v>20326.943000000003</v>
      </c>
      <c r="Q198" s="143">
        <f t="shared" si="305"/>
        <v>23792.705999999998</v>
      </c>
      <c r="R198" s="143">
        <f t="shared" si="305"/>
        <v>21812.688000000002</v>
      </c>
      <c r="S198" s="143">
        <f t="shared" si="305"/>
        <v>22608.129999999997</v>
      </c>
      <c r="T198" s="143">
        <f t="shared" si="305"/>
        <v>28660.345000000001</v>
      </c>
      <c r="U198" s="143">
        <f t="shared" si="305"/>
        <v>28935.112000000001</v>
      </c>
      <c r="V198" s="143">
        <f t="shared" si="305"/>
        <v>29808.465</v>
      </c>
      <c r="W198" s="143">
        <f t="shared" si="305"/>
        <v>33212.485000000001</v>
      </c>
      <c r="X198" s="143">
        <f t="shared" si="305"/>
        <v>30604.325000000001</v>
      </c>
      <c r="Y198" s="143">
        <f t="shared" si="305"/>
        <v>31658.407999999999</v>
      </c>
      <c r="Z198" s="143">
        <f t="shared" si="305"/>
        <v>26275.550000000003</v>
      </c>
      <c r="AA198" s="143">
        <f t="shared" si="305"/>
        <v>27736.104999999996</v>
      </c>
      <c r="AB198" s="143">
        <f t="shared" si="305"/>
        <v>27008.712</v>
      </c>
      <c r="AC198" s="143">
        <f t="shared" si="303"/>
        <v>26642.087999999996</v>
      </c>
      <c r="AD198" s="143">
        <f t="shared" si="303"/>
        <v>32208.053</v>
      </c>
      <c r="AE198" s="143">
        <f t="shared" si="303"/>
        <v>33530.038</v>
      </c>
      <c r="AF198" s="143">
        <f t="shared" si="303"/>
        <v>32705.566999999995</v>
      </c>
      <c r="AG198" s="143">
        <f t="shared" si="304"/>
        <v>29555.085999999996</v>
      </c>
      <c r="AH198" s="143">
        <f t="shared" si="304"/>
        <v>31638.013999999996</v>
      </c>
      <c r="AI198" s="143">
        <f t="shared" si="304"/>
        <v>29651.197</v>
      </c>
      <c r="AJ198" s="143">
        <f t="shared" si="304"/>
        <v>29933.497000000003</v>
      </c>
      <c r="AK198" s="143">
        <f>AK128</f>
        <v>31023.846000000001</v>
      </c>
      <c r="AN198"/>
    </row>
    <row r="199" spans="2:40" ht="13.5" customHeight="1"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N199"/>
    </row>
    <row r="200" spans="2:40" ht="13.5" customHeight="1">
      <c r="B200" s="1" t="s">
        <v>315</v>
      </c>
      <c r="C200" s="143">
        <f t="shared" ref="C200:AD200" si="306">C89</f>
        <v>7493</v>
      </c>
      <c r="D200" s="143">
        <f t="shared" si="306"/>
        <v>9139</v>
      </c>
      <c r="E200" s="143">
        <f t="shared" si="306"/>
        <v>10964</v>
      </c>
      <c r="F200" s="143">
        <f t="shared" si="306"/>
        <v>11344</v>
      </c>
      <c r="G200" s="143">
        <f t="shared" si="306"/>
        <v>11741</v>
      </c>
      <c r="H200" s="143">
        <f t="shared" si="306"/>
        <v>11741</v>
      </c>
      <c r="I200" s="143">
        <f>I89</f>
        <v>11590</v>
      </c>
      <c r="J200" s="143">
        <f>J89</f>
        <v>11590</v>
      </c>
      <c r="K200" s="143">
        <f>K89</f>
        <v>0</v>
      </c>
      <c r="L200" s="143">
        <f>L89</f>
        <v>0</v>
      </c>
      <c r="N200" s="143">
        <f t="shared" si="306"/>
        <v>0</v>
      </c>
      <c r="O200" s="143">
        <f t="shared" si="306"/>
        <v>0</v>
      </c>
      <c r="P200" s="143">
        <f t="shared" si="306"/>
        <v>0</v>
      </c>
      <c r="Q200" s="143">
        <f t="shared" si="306"/>
        <v>0</v>
      </c>
      <c r="R200" s="143">
        <f t="shared" si="306"/>
        <v>11186</v>
      </c>
      <c r="S200" s="143">
        <f t="shared" si="306"/>
        <v>11379</v>
      </c>
      <c r="T200" s="143">
        <f t="shared" si="306"/>
        <v>11375</v>
      </c>
      <c r="U200" s="143">
        <f t="shared" si="306"/>
        <v>11344</v>
      </c>
      <c r="V200" s="143">
        <f t="shared" si="306"/>
        <v>11339</v>
      </c>
      <c r="W200" s="143">
        <f t="shared" si="306"/>
        <v>11601</v>
      </c>
      <c r="X200" s="143">
        <f t="shared" si="306"/>
        <v>11822</v>
      </c>
      <c r="Y200" s="143">
        <f t="shared" si="306"/>
        <v>11741</v>
      </c>
      <c r="Z200" s="143">
        <f t="shared" si="306"/>
        <v>11711</v>
      </c>
      <c r="AA200" s="143">
        <f t="shared" si="306"/>
        <v>11573</v>
      </c>
      <c r="AB200" s="143">
        <f t="shared" si="306"/>
        <v>11612</v>
      </c>
      <c r="AC200" s="143">
        <f t="shared" si="306"/>
        <v>11590</v>
      </c>
      <c r="AD200" s="143">
        <f t="shared" si="306"/>
        <v>0</v>
      </c>
      <c r="AE200" s="143">
        <f t="shared" ref="AE200:AJ200" si="307">AE89</f>
        <v>0</v>
      </c>
      <c r="AF200" s="143">
        <f t="shared" si="307"/>
        <v>0</v>
      </c>
      <c r="AG200" s="143">
        <f t="shared" si="307"/>
        <v>0</v>
      </c>
      <c r="AH200" s="143">
        <f t="shared" si="307"/>
        <v>0</v>
      </c>
      <c r="AI200" s="143">
        <f t="shared" si="307"/>
        <v>0</v>
      </c>
      <c r="AJ200" s="143">
        <f t="shared" si="307"/>
        <v>0</v>
      </c>
      <c r="AK200" s="143">
        <f>AK89</f>
        <v>0</v>
      </c>
      <c r="AN200"/>
    </row>
    <row r="201" spans="2:40" ht="13.5" customHeight="1">
      <c r="B201" s="1" t="s">
        <v>270</v>
      </c>
      <c r="C201" s="143">
        <f t="shared" ref="C201:Y201" si="308">C90</f>
        <v>8368.2929999999997</v>
      </c>
      <c r="D201" s="143">
        <f t="shared" si="308"/>
        <v>9971.719000000001</v>
      </c>
      <c r="E201" s="143">
        <f t="shared" si="308"/>
        <v>11943.764999999999</v>
      </c>
      <c r="F201" s="143">
        <f t="shared" si="308"/>
        <v>12435.048999999999</v>
      </c>
      <c r="G201" s="143">
        <f t="shared" si="308"/>
        <v>13011.466</v>
      </c>
      <c r="H201" s="143">
        <f t="shared" si="308"/>
        <v>13011.466</v>
      </c>
      <c r="I201" s="223"/>
      <c r="J201" s="223"/>
      <c r="K201" s="223"/>
      <c r="L201" s="223"/>
      <c r="N201" s="143">
        <f t="shared" si="308"/>
        <v>0</v>
      </c>
      <c r="O201" s="143">
        <f t="shared" si="308"/>
        <v>0</v>
      </c>
      <c r="P201" s="143">
        <f t="shared" si="308"/>
        <v>0</v>
      </c>
      <c r="Q201" s="143">
        <f t="shared" si="308"/>
        <v>11943.764999999999</v>
      </c>
      <c r="R201" s="143">
        <f t="shared" si="308"/>
        <v>12193.585999999999</v>
      </c>
      <c r="S201" s="143">
        <f t="shared" si="308"/>
        <v>12414.406999999999</v>
      </c>
      <c r="T201" s="143">
        <f t="shared" si="308"/>
        <v>12438.227999999999</v>
      </c>
      <c r="U201" s="143">
        <f t="shared" si="308"/>
        <v>12435.048999999999</v>
      </c>
      <c r="V201" s="143">
        <f t="shared" si="308"/>
        <v>12474.903249999999</v>
      </c>
      <c r="W201" s="143">
        <f t="shared" si="308"/>
        <v>12781.7575</v>
      </c>
      <c r="X201" s="143">
        <f t="shared" si="308"/>
        <v>13047.61175</v>
      </c>
      <c r="Y201" s="143">
        <f t="shared" si="308"/>
        <v>13011.466</v>
      </c>
      <c r="Z201" s="223"/>
      <c r="AA201" s="223"/>
      <c r="AB201" s="223"/>
      <c r="AC201" s="223"/>
      <c r="AD201" s="223"/>
      <c r="AE201" s="223"/>
      <c r="AF201" s="223"/>
      <c r="AG201" s="223"/>
      <c r="AH201" s="223"/>
      <c r="AI201" s="223"/>
      <c r="AJ201" s="223"/>
      <c r="AK201" s="223"/>
      <c r="AN201"/>
    </row>
    <row r="202" spans="2:40" ht="13.5" customHeight="1">
      <c r="B202" s="1" t="s">
        <v>316</v>
      </c>
      <c r="C202" s="143">
        <f>C88</f>
        <v>7493</v>
      </c>
      <c r="D202" s="143">
        <f t="shared" ref="D202:AD202" si="309">D88</f>
        <v>9139</v>
      </c>
      <c r="E202" s="143">
        <f t="shared" si="309"/>
        <v>10964</v>
      </c>
      <c r="F202" s="143">
        <f t="shared" si="309"/>
        <v>11344</v>
      </c>
      <c r="G202" s="143">
        <f t="shared" si="309"/>
        <v>11741</v>
      </c>
      <c r="H202" s="143">
        <f t="shared" si="309"/>
        <v>11741</v>
      </c>
      <c r="I202" s="143">
        <f>I88</f>
        <v>12528</v>
      </c>
      <c r="J202" s="143">
        <f>J88</f>
        <v>12528</v>
      </c>
      <c r="K202" s="143">
        <f>K88</f>
        <v>15394</v>
      </c>
      <c r="L202" s="143">
        <f>L88</f>
        <v>14987</v>
      </c>
      <c r="N202" s="143">
        <f t="shared" si="309"/>
        <v>0</v>
      </c>
      <c r="O202" s="143">
        <f t="shared" si="309"/>
        <v>0</v>
      </c>
      <c r="P202" s="143">
        <f t="shared" si="309"/>
        <v>0</v>
      </c>
      <c r="Q202" s="143">
        <f t="shared" si="309"/>
        <v>10964</v>
      </c>
      <c r="R202" s="143">
        <f t="shared" si="309"/>
        <v>11186</v>
      </c>
      <c r="S202" s="143">
        <f t="shared" si="309"/>
        <v>11379</v>
      </c>
      <c r="T202" s="143">
        <f t="shared" si="309"/>
        <v>11375</v>
      </c>
      <c r="U202" s="143">
        <f t="shared" si="309"/>
        <v>11344</v>
      </c>
      <c r="V202" s="143">
        <f t="shared" si="309"/>
        <v>11339</v>
      </c>
      <c r="W202" s="143">
        <f t="shared" si="309"/>
        <v>11601</v>
      </c>
      <c r="X202" s="143">
        <f t="shared" si="309"/>
        <v>11822</v>
      </c>
      <c r="Y202" s="143">
        <f t="shared" si="309"/>
        <v>11741</v>
      </c>
      <c r="Z202" s="143">
        <f t="shared" si="309"/>
        <v>11920</v>
      </c>
      <c r="AA202" s="143">
        <f t="shared" si="309"/>
        <v>12001</v>
      </c>
      <c r="AB202" s="143">
        <f t="shared" si="309"/>
        <v>12277</v>
      </c>
      <c r="AC202" s="143">
        <f t="shared" si="309"/>
        <v>12528</v>
      </c>
      <c r="AD202" s="143">
        <f t="shared" si="309"/>
        <v>13162</v>
      </c>
      <c r="AE202" s="143">
        <f t="shared" ref="AE202:AJ202" si="310">AE88</f>
        <v>14007</v>
      </c>
      <c r="AF202" s="143">
        <f t="shared" si="310"/>
        <v>14662</v>
      </c>
      <c r="AG202" s="143">
        <f t="shared" si="310"/>
        <v>15394</v>
      </c>
      <c r="AH202" s="143">
        <f t="shared" si="310"/>
        <v>15361</v>
      </c>
      <c r="AI202" s="143">
        <f t="shared" si="310"/>
        <v>15054</v>
      </c>
      <c r="AJ202" s="143">
        <f t="shared" si="310"/>
        <v>14794</v>
      </c>
      <c r="AK202" s="143">
        <f>AK88</f>
        <v>14987</v>
      </c>
      <c r="AN202"/>
    </row>
    <row r="203" spans="2:40" ht="13.5" customHeight="1">
      <c r="C203" s="51"/>
      <c r="D203" s="51"/>
      <c r="E203" s="51"/>
      <c r="F203" s="51"/>
      <c r="G203" s="51"/>
      <c r="H203" s="51"/>
      <c r="I203" s="75"/>
      <c r="J203" s="75"/>
      <c r="K203" s="75"/>
      <c r="L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N203"/>
    </row>
    <row r="204" spans="2:40" s="5" customFormat="1" ht="13.5" customHeight="1">
      <c r="B204" s="5" t="str">
        <f t="shared" ref="B204:Y204" si="311">+B141</f>
        <v>Total Net Leverage</v>
      </c>
      <c r="C204" s="53">
        <f t="shared" si="311"/>
        <v>1.2380453756839718</v>
      </c>
      <c r="D204" s="53">
        <f t="shared" si="311"/>
        <v>1.1191508917824708</v>
      </c>
      <c r="E204" s="53">
        <f t="shared" si="311"/>
        <v>0.95628976650857334</v>
      </c>
      <c r="F204" s="53">
        <f t="shared" si="311"/>
        <v>1.4965391396332866</v>
      </c>
      <c r="G204" s="53">
        <f t="shared" si="311"/>
        <v>1.5381107231070605</v>
      </c>
      <c r="H204" s="53">
        <f t="shared" si="311"/>
        <v>1.5381107231070605</v>
      </c>
      <c r="I204" s="53">
        <f t="shared" ref="I204:L205" si="312">+I141</f>
        <v>1.5364684210526314</v>
      </c>
      <c r="J204" s="53">
        <f t="shared" si="312"/>
        <v>1.525655651423641</v>
      </c>
      <c r="K204" s="53">
        <f t="shared" si="312"/>
        <v>1.0850111731843572</v>
      </c>
      <c r="L204" s="53">
        <f t="shared" si="312"/>
        <v>1.2819626342830455</v>
      </c>
      <c r="N204" s="53" t="e">
        <f t="shared" si="311"/>
        <v>#DIV/0!</v>
      </c>
      <c r="O204" s="53" t="e">
        <f t="shared" si="311"/>
        <v>#DIV/0!</v>
      </c>
      <c r="P204" s="53" t="e">
        <f t="shared" si="311"/>
        <v>#DIV/0!</v>
      </c>
      <c r="Q204" s="53" t="e">
        <f t="shared" si="311"/>
        <v>#DIV/0!</v>
      </c>
      <c r="R204" s="53">
        <f t="shared" si="311"/>
        <v>0.88247175040228876</v>
      </c>
      <c r="S204" s="53">
        <f t="shared" si="311"/>
        <v>0.96605228930485987</v>
      </c>
      <c r="T204" s="53">
        <f t="shared" si="311"/>
        <v>1.4469552527472529</v>
      </c>
      <c r="U204" s="53">
        <f t="shared" si="311"/>
        <v>1.4965391396332866</v>
      </c>
      <c r="V204" s="53">
        <f t="shared" si="311"/>
        <v>1.4654998677132025</v>
      </c>
      <c r="W204" s="53">
        <f t="shared" si="311"/>
        <v>1.5858499267304542</v>
      </c>
      <c r="X204" s="53">
        <f t="shared" si="311"/>
        <v>1.4424622737269499</v>
      </c>
      <c r="Y204" s="53">
        <f t="shared" si="311"/>
        <v>1.538110723107061</v>
      </c>
      <c r="Z204" s="53">
        <f t="shared" ref="Z204:AC205" si="313">+Z141</f>
        <v>1.5397537358039453</v>
      </c>
      <c r="AA204" s="53">
        <f t="shared" si="313"/>
        <v>1.6114775771191565</v>
      </c>
      <c r="AB204" s="53">
        <f t="shared" si="313"/>
        <v>1.563103513606614</v>
      </c>
      <c r="AC204" s="53">
        <f t="shared" si="313"/>
        <v>1.5364684210526318</v>
      </c>
      <c r="AD204" s="224"/>
      <c r="AE204" s="224"/>
      <c r="AF204" s="224"/>
      <c r="AG204" s="225"/>
      <c r="AH204" s="224"/>
      <c r="AI204" s="224"/>
      <c r="AJ204" s="224"/>
      <c r="AK204" s="225"/>
      <c r="AN204"/>
    </row>
    <row r="205" spans="2:40" ht="12.75">
      <c r="B205" s="1" t="str">
        <f>+B142</f>
        <v xml:space="preserve">Total Gross Leverage </v>
      </c>
      <c r="C205" s="52">
        <f t="shared" ref="C205:V205" si="314">+C142</f>
        <v>1.43357293473909</v>
      </c>
      <c r="D205" s="52">
        <f t="shared" si="314"/>
        <v>1.4385571725571726</v>
      </c>
      <c r="E205" s="52">
        <f t="shared" si="314"/>
        <v>1.4548787851149214</v>
      </c>
      <c r="F205" s="52">
        <f t="shared" si="314"/>
        <v>1.7812693935119888</v>
      </c>
      <c r="G205" s="52">
        <f>+G142</f>
        <v>1.830736734520058</v>
      </c>
      <c r="H205" s="52">
        <f t="shared" si="314"/>
        <v>1.830736734520058</v>
      </c>
      <c r="I205" s="52">
        <f t="shared" si="312"/>
        <v>1.8659059534081104</v>
      </c>
      <c r="J205" s="52">
        <f t="shared" si="312"/>
        <v>1.8659059534081104</v>
      </c>
      <c r="K205" s="52">
        <f t="shared" si="312"/>
        <v>1.4859955826945561</v>
      </c>
      <c r="L205" s="52">
        <f t="shared" si="312"/>
        <v>1.6321413892039769</v>
      </c>
      <c r="N205" s="52" t="e">
        <f t="shared" si="314"/>
        <v>#DIV/0!</v>
      </c>
      <c r="O205" s="52" t="e">
        <f t="shared" si="314"/>
        <v>#DIV/0!</v>
      </c>
      <c r="P205" s="52" t="e">
        <f t="shared" si="314"/>
        <v>#DIV/0!</v>
      </c>
      <c r="Q205" s="52" t="e">
        <f t="shared" si="314"/>
        <v>#DIV/0!</v>
      </c>
      <c r="R205" s="52">
        <f t="shared" si="314"/>
        <v>1.2293938852136599</v>
      </c>
      <c r="S205" s="52">
        <f t="shared" si="314"/>
        <v>1.2588868969153704</v>
      </c>
      <c r="T205" s="52">
        <f t="shared" si="314"/>
        <v>1.771826021978022</v>
      </c>
      <c r="U205" s="52">
        <f t="shared" si="314"/>
        <v>1.7812693935119888</v>
      </c>
      <c r="V205" s="52">
        <f t="shared" si="314"/>
        <v>1.8274309021959609</v>
      </c>
      <c r="W205" s="52">
        <f>+W142</f>
        <v>2.0486531333505731</v>
      </c>
      <c r="X205" s="52">
        <f>+X142</f>
        <v>1.7593834376586026</v>
      </c>
      <c r="Y205" s="52">
        <f>+Y142</f>
        <v>1.830736734520058</v>
      </c>
      <c r="Z205" s="52">
        <f t="shared" si="313"/>
        <v>1.8714815131073352</v>
      </c>
      <c r="AA205" s="52">
        <f t="shared" si="313"/>
        <v>2.0286987816469368</v>
      </c>
      <c r="AB205" s="52">
        <f t="shared" si="313"/>
        <v>1.9587370823286254</v>
      </c>
      <c r="AC205" s="52">
        <f t="shared" si="313"/>
        <v>1.8659059534081104</v>
      </c>
      <c r="AD205" s="225"/>
      <c r="AE205" s="225"/>
      <c r="AF205" s="225"/>
      <c r="AG205" s="224"/>
      <c r="AH205" s="225"/>
      <c r="AI205" s="225"/>
      <c r="AJ205" s="225"/>
      <c r="AK205" s="224"/>
      <c r="AN205"/>
    </row>
    <row r="206" spans="2:40" ht="12.75"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N206"/>
    </row>
    <row r="207" spans="2:40" ht="12.75">
      <c r="B207" s="1" t="str">
        <f t="shared" ref="B207:Y207" si="315">+B144</f>
        <v>Total Net Leverage- including finance leases</v>
      </c>
      <c r="C207" s="52">
        <f t="shared" si="315"/>
        <v>1.2406341919124517</v>
      </c>
      <c r="D207" s="52">
        <f t="shared" si="315"/>
        <v>1.1199679395995186</v>
      </c>
      <c r="E207" s="52">
        <f t="shared" si="315"/>
        <v>0.95659029551258656</v>
      </c>
      <c r="F207" s="52">
        <f t="shared" si="315"/>
        <v>1.4965391396332866</v>
      </c>
      <c r="G207" s="52">
        <f t="shared" si="315"/>
        <v>1.5381107231070605</v>
      </c>
      <c r="H207" s="52">
        <f t="shared" si="315"/>
        <v>1.5381107231070605</v>
      </c>
      <c r="I207" s="52">
        <f t="shared" ref="I207:L208" si="316">+I144</f>
        <v>1.5364684210526314</v>
      </c>
      <c r="J207" s="52">
        <f t="shared" si="316"/>
        <v>1.525655651423641</v>
      </c>
      <c r="K207" s="52">
        <f t="shared" si="316"/>
        <v>1.0850111731843572</v>
      </c>
      <c r="L207" s="52">
        <f t="shared" si="316"/>
        <v>1.2819626342830455</v>
      </c>
      <c r="N207" s="52" t="e">
        <f t="shared" si="315"/>
        <v>#DIV/0!</v>
      </c>
      <c r="O207" s="52" t="e">
        <f t="shared" si="315"/>
        <v>#DIV/0!</v>
      </c>
      <c r="P207" s="52" t="e">
        <f t="shared" si="315"/>
        <v>#DIV/0!</v>
      </c>
      <c r="Q207" s="52" t="e">
        <f t="shared" si="315"/>
        <v>#DIV/0!</v>
      </c>
      <c r="R207" s="52">
        <f t="shared" si="315"/>
        <v>0.88247175040228876</v>
      </c>
      <c r="S207" s="52">
        <f t="shared" si="315"/>
        <v>0.96605228930485987</v>
      </c>
      <c r="T207" s="52">
        <f t="shared" si="315"/>
        <v>1.4469552527472529</v>
      </c>
      <c r="U207" s="52">
        <f t="shared" si="315"/>
        <v>1.4965391396332866</v>
      </c>
      <c r="V207" s="52">
        <f t="shared" si="315"/>
        <v>1.4654998677132025</v>
      </c>
      <c r="W207" s="52">
        <f t="shared" si="315"/>
        <v>1.5858499267304542</v>
      </c>
      <c r="X207" s="52">
        <f t="shared" si="315"/>
        <v>1.4424622737269499</v>
      </c>
      <c r="Y207" s="52">
        <f t="shared" si="315"/>
        <v>1.538110723107061</v>
      </c>
      <c r="Z207" s="52">
        <f t="shared" ref="Z207:AC208" si="317">+Z144</f>
        <v>1.5397537358039453</v>
      </c>
      <c r="AA207" s="52">
        <f t="shared" si="317"/>
        <v>1.6114775771191565</v>
      </c>
      <c r="AB207" s="52">
        <f t="shared" si="317"/>
        <v>1.563103513606614</v>
      </c>
      <c r="AC207" s="52">
        <f t="shared" si="317"/>
        <v>1.5364684210526318</v>
      </c>
      <c r="AD207" s="224"/>
      <c r="AE207" s="224"/>
      <c r="AF207" s="224"/>
      <c r="AG207" s="224"/>
      <c r="AH207" s="224"/>
      <c r="AI207" s="224"/>
      <c r="AJ207" s="224"/>
      <c r="AK207" s="224"/>
      <c r="AN207"/>
    </row>
    <row r="208" spans="2:40" ht="12.75">
      <c r="B208" s="1" t="str">
        <f>+B145</f>
        <v>Total Gross Leverage - including finance leases</v>
      </c>
      <c r="C208" s="53">
        <f t="shared" ref="C208:V208" si="318">+C145</f>
        <v>1.4361617509675697</v>
      </c>
      <c r="D208" s="53">
        <f t="shared" si="318"/>
        <v>1.4393742203742204</v>
      </c>
      <c r="E208" s="53">
        <f t="shared" si="318"/>
        <v>1.4551793141189346</v>
      </c>
      <c r="F208" s="53">
        <f t="shared" si="318"/>
        <v>1.7812693935119888</v>
      </c>
      <c r="G208" s="53">
        <f>+G145</f>
        <v>1.830736734520058</v>
      </c>
      <c r="H208" s="53">
        <f t="shared" si="318"/>
        <v>1.830736734520058</v>
      </c>
      <c r="I208" s="53">
        <f t="shared" si="316"/>
        <v>1.8659059534081104</v>
      </c>
      <c r="J208" s="53">
        <f t="shared" si="316"/>
        <v>1.8659059534081104</v>
      </c>
      <c r="K208" s="53">
        <f t="shared" si="316"/>
        <v>1.4859955826945561</v>
      </c>
      <c r="L208" s="53">
        <f t="shared" si="316"/>
        <v>1.6321413892039769</v>
      </c>
      <c r="N208" s="53" t="e">
        <f t="shared" si="318"/>
        <v>#DIV/0!</v>
      </c>
      <c r="O208" s="53" t="e">
        <f t="shared" si="318"/>
        <v>#DIV/0!</v>
      </c>
      <c r="P208" s="53" t="e">
        <f t="shared" si="318"/>
        <v>#DIV/0!</v>
      </c>
      <c r="Q208" s="53" t="e">
        <f t="shared" si="318"/>
        <v>#DIV/0!</v>
      </c>
      <c r="R208" s="53">
        <f t="shared" si="318"/>
        <v>1.2293938852136599</v>
      </c>
      <c r="S208" s="53">
        <f t="shared" si="318"/>
        <v>1.2588868969153704</v>
      </c>
      <c r="T208" s="53">
        <f t="shared" si="318"/>
        <v>1.771826021978022</v>
      </c>
      <c r="U208" s="53">
        <f t="shared" si="318"/>
        <v>1.7812693935119888</v>
      </c>
      <c r="V208" s="53">
        <f t="shared" si="318"/>
        <v>1.8274309021959609</v>
      </c>
      <c r="W208" s="53">
        <f>+W145</f>
        <v>2.0486531333505731</v>
      </c>
      <c r="X208" s="53">
        <f>+X145</f>
        <v>1.7593834376586026</v>
      </c>
      <c r="Y208" s="53">
        <f>+Y145</f>
        <v>1.830736734520058</v>
      </c>
      <c r="Z208" s="53">
        <f t="shared" si="317"/>
        <v>1.8714815131073352</v>
      </c>
      <c r="AA208" s="53">
        <f t="shared" si="317"/>
        <v>2.0286987816469368</v>
      </c>
      <c r="AB208" s="53">
        <f t="shared" si="317"/>
        <v>1.9587370823286254</v>
      </c>
      <c r="AC208" s="53">
        <f t="shared" si="317"/>
        <v>1.8659059534081104</v>
      </c>
      <c r="AD208" s="225"/>
      <c r="AE208" s="225"/>
      <c r="AF208" s="225"/>
      <c r="AG208" s="225"/>
      <c r="AH208" s="225"/>
      <c r="AI208" s="225"/>
      <c r="AJ208" s="225"/>
      <c r="AK208" s="225"/>
      <c r="AN208"/>
    </row>
    <row r="209" spans="1:40" ht="12.75">
      <c r="C209" s="96"/>
      <c r="D209" s="96"/>
      <c r="E209" s="96"/>
      <c r="F209" s="96"/>
      <c r="G209" s="96"/>
      <c r="H209" s="96"/>
      <c r="I209" s="96"/>
      <c r="J209" s="96"/>
      <c r="K209" s="96"/>
      <c r="L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  <c r="AH209" s="96"/>
      <c r="AI209" s="96"/>
      <c r="AJ209" s="96"/>
      <c r="AK209" s="96"/>
      <c r="AN209"/>
    </row>
    <row r="210" spans="1:40" ht="12.75">
      <c r="B210" s="1" t="str">
        <f t="shared" ref="B210:Y210" si="319">+B147</f>
        <v>Lease adjusted net leverage</v>
      </c>
      <c r="C210" s="52">
        <f t="shared" si="319"/>
        <v>1.9476392616749918</v>
      </c>
      <c r="D210" s="52">
        <f t="shared" si="319"/>
        <v>1.6945061327941553</v>
      </c>
      <c r="E210" s="52">
        <f t="shared" si="319"/>
        <v>1.5343717831018946</v>
      </c>
      <c r="F210" s="52">
        <f t="shared" si="319"/>
        <v>2.0671516453212209</v>
      </c>
      <c r="G210" s="52">
        <f t="shared" si="319"/>
        <v>2.1690627328234955</v>
      </c>
      <c r="H210" s="52">
        <f t="shared" si="319"/>
        <v>2.1690627328234955</v>
      </c>
      <c r="I210" s="52">
        <f t="shared" ref="I210:K211" si="320">+I147</f>
        <v>1.8218316570881226</v>
      </c>
      <c r="J210" s="52">
        <f t="shared" si="320"/>
        <v>1.8118284642401021</v>
      </c>
      <c r="K210" s="52">
        <f t="shared" si="320"/>
        <v>1.5189250357282054</v>
      </c>
      <c r="L210" s="52">
        <f>+L147</f>
        <v>1.7198716887969574</v>
      </c>
      <c r="N210" s="52">
        <f t="shared" si="319"/>
        <v>0</v>
      </c>
      <c r="O210" s="52">
        <f t="shared" si="319"/>
        <v>0</v>
      </c>
      <c r="P210" s="52">
        <f t="shared" si="319"/>
        <v>0</v>
      </c>
      <c r="Q210" s="52">
        <f t="shared" si="319"/>
        <v>1.5343717831018946</v>
      </c>
      <c r="R210" s="52">
        <f t="shared" si="319"/>
        <v>1.4706106144656708</v>
      </c>
      <c r="S210" s="52">
        <f t="shared" si="319"/>
        <v>1.5527092836572864</v>
      </c>
      <c r="T210" s="52">
        <f t="shared" si="319"/>
        <v>2.0071138750632329</v>
      </c>
      <c r="U210" s="52">
        <f t="shared" si="319"/>
        <v>2.0671516453212209</v>
      </c>
      <c r="V210" s="52">
        <f t="shared" si="319"/>
        <v>2.0604992667979212</v>
      </c>
      <c r="W210" s="52">
        <f t="shared" si="319"/>
        <v>2.1783784428706303</v>
      </c>
      <c r="X210" s="52">
        <f t="shared" si="319"/>
        <v>2.058436709691335</v>
      </c>
      <c r="Y210" s="52">
        <f t="shared" si="319"/>
        <v>2.1690627328234959</v>
      </c>
      <c r="Z210" s="52">
        <f t="shared" ref="Z210:AD211" si="321">+Z147</f>
        <v>1.8784132550335575</v>
      </c>
      <c r="AA210" s="52">
        <f t="shared" si="321"/>
        <v>1.9088079326722773</v>
      </c>
      <c r="AB210" s="52">
        <f t="shared" si="321"/>
        <v>1.8257404088946811</v>
      </c>
      <c r="AC210" s="52">
        <f t="shared" si="321"/>
        <v>1.8218316570881226</v>
      </c>
      <c r="AD210" s="52">
        <f t="shared" si="321"/>
        <v>2.0046717824038898</v>
      </c>
      <c r="AE210" s="52">
        <f t="shared" ref="AE210:AH211" si="322">+AE147</f>
        <v>1.8889837224245016</v>
      </c>
      <c r="AF210" s="52">
        <f t="shared" si="322"/>
        <v>1.6951012822261626</v>
      </c>
      <c r="AG210" s="52">
        <f t="shared" si="322"/>
        <v>1.5189250357282054</v>
      </c>
      <c r="AH210" s="52">
        <f t="shared" si="322"/>
        <v>1.5112457522296721</v>
      </c>
      <c r="AI210" s="52">
        <f t="shared" ref="AI210:AK211" si="323">+AI147</f>
        <v>1.4183346618838848</v>
      </c>
      <c r="AJ210" s="52">
        <f t="shared" si="323"/>
        <v>1.5594599837772072</v>
      </c>
      <c r="AK210" s="52">
        <f t="shared" si="323"/>
        <v>1.7198716887969572</v>
      </c>
      <c r="AN210"/>
    </row>
    <row r="211" spans="1:40" ht="12.75">
      <c r="B211" s="1" t="str">
        <f>+B148</f>
        <v>Lease adjusted gross leverage</v>
      </c>
      <c r="C211" s="53">
        <f t="shared" ref="C211:V211" si="324">+C148</f>
        <v>2.1227153494744986</v>
      </c>
      <c r="D211" s="53">
        <f t="shared" si="324"/>
        <v>1.9872394117804562</v>
      </c>
      <c r="E211" s="53">
        <f t="shared" si="324"/>
        <v>1.9920607949001006</v>
      </c>
      <c r="F211" s="53">
        <f t="shared" si="324"/>
        <v>2.3268997170819352</v>
      </c>
      <c r="G211" s="53">
        <f>+G148</f>
        <v>2.4331161454059056</v>
      </c>
      <c r="H211" s="53">
        <f t="shared" si="324"/>
        <v>2.4331161454059056</v>
      </c>
      <c r="I211" s="53">
        <f t="shared" si="320"/>
        <v>2.1266034482758616</v>
      </c>
      <c r="J211" s="53">
        <f t="shared" si="320"/>
        <v>2.1266034482758616</v>
      </c>
      <c r="K211" s="53">
        <f t="shared" si="320"/>
        <v>1.9199094452384042</v>
      </c>
      <c r="L211" s="53">
        <f>+L148</f>
        <v>2.0700504437178888</v>
      </c>
      <c r="N211" s="53">
        <f t="shared" si="324"/>
        <v>0</v>
      </c>
      <c r="O211" s="53">
        <f t="shared" si="324"/>
        <v>0</v>
      </c>
      <c r="P211" s="53">
        <f t="shared" si="324"/>
        <v>0</v>
      </c>
      <c r="Q211" s="53">
        <f t="shared" si="324"/>
        <v>1.9920607949001006</v>
      </c>
      <c r="R211" s="53">
        <f t="shared" si="324"/>
        <v>1.7888657200597102</v>
      </c>
      <c r="S211" s="53">
        <f t="shared" si="324"/>
        <v>1.8211204127591434</v>
      </c>
      <c r="T211" s="53">
        <f t="shared" si="324"/>
        <v>2.3042144749235987</v>
      </c>
      <c r="U211" s="53">
        <f t="shared" si="324"/>
        <v>2.3268997170819352</v>
      </c>
      <c r="V211" s="53">
        <f t="shared" si="324"/>
        <v>2.3894746438213859</v>
      </c>
      <c r="W211" s="53">
        <f>+W148</f>
        <v>2.5984286589696293</v>
      </c>
      <c r="X211" s="53">
        <f>+X148</f>
        <v>2.3455882644576698</v>
      </c>
      <c r="Y211" s="53">
        <f>+Y148</f>
        <v>2.4331161454059056</v>
      </c>
      <c r="Z211" s="53">
        <f t="shared" si="321"/>
        <v>2.2043246644295302</v>
      </c>
      <c r="AA211" s="53">
        <f t="shared" si="321"/>
        <v>2.3111494875427043</v>
      </c>
      <c r="AB211" s="53">
        <f t="shared" si="321"/>
        <v>2.1999439602508755</v>
      </c>
      <c r="AC211" s="53">
        <f t="shared" si="321"/>
        <v>2.1266034482758616</v>
      </c>
      <c r="AD211" s="53">
        <f t="shared" si="321"/>
        <v>2.447048548852758</v>
      </c>
      <c r="AE211" s="53">
        <f t="shared" si="322"/>
        <v>2.3938058113800245</v>
      </c>
      <c r="AF211" s="53">
        <f t="shared" si="322"/>
        <v>2.2306347701541398</v>
      </c>
      <c r="AG211" s="53">
        <f t="shared" si="322"/>
        <v>1.9199094452384042</v>
      </c>
      <c r="AH211" s="53">
        <f t="shared" si="322"/>
        <v>2.0596324458043092</v>
      </c>
      <c r="AI211" s="53">
        <f t="shared" si="323"/>
        <v>1.969655706124618</v>
      </c>
      <c r="AJ211" s="53">
        <f t="shared" si="323"/>
        <v>2.0233538596728406</v>
      </c>
      <c r="AK211" s="53">
        <f t="shared" si="323"/>
        <v>2.0700504437178888</v>
      </c>
      <c r="AN211"/>
    </row>
    <row r="212" spans="1:40" ht="12.75">
      <c r="C212" s="96"/>
      <c r="D212" s="96"/>
      <c r="E212" s="96"/>
      <c r="F212" s="96"/>
      <c r="G212" s="96"/>
      <c r="H212" s="96"/>
      <c r="I212" s="96"/>
      <c r="J212" s="96"/>
      <c r="K212" s="96"/>
      <c r="L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  <c r="AH212" s="96"/>
      <c r="AI212" s="96"/>
      <c r="AJ212" s="96"/>
      <c r="AK212" s="96"/>
      <c r="AN212"/>
    </row>
    <row r="213" spans="1:40" ht="12.75">
      <c r="B213" s="1" t="str">
        <f t="shared" ref="B213:Y213" si="325">+B150</f>
        <v>Adjusted EBITDA - Capex / Interest</v>
      </c>
      <c r="C213" s="52">
        <f t="shared" si="325"/>
        <v>5.9460125660747636</v>
      </c>
      <c r="D213" s="52">
        <f t="shared" si="325"/>
        <v>14.281921758730354</v>
      </c>
      <c r="E213" s="52">
        <f t="shared" si="325"/>
        <v>9.4336671383290867</v>
      </c>
      <c r="F213" s="52">
        <f t="shared" si="325"/>
        <v>8.6022430943921329</v>
      </c>
      <c r="G213" s="52">
        <f t="shared" si="325"/>
        <v>6.5778292786546739</v>
      </c>
      <c r="H213" s="52">
        <f t="shared" si="325"/>
        <v>6.6379723926056435</v>
      </c>
      <c r="I213" s="52">
        <f t="shared" ref="I213:K214" si="326">+I150</f>
        <v>5.96616013566197</v>
      </c>
      <c r="J213" s="52">
        <f t="shared" si="326"/>
        <v>6.7362780219152212</v>
      </c>
      <c r="K213" s="52">
        <f t="shared" si="326"/>
        <v>10.851442586102754</v>
      </c>
      <c r="L213" s="52">
        <f>+L150</f>
        <v>9.7043593650169555</v>
      </c>
      <c r="N213" s="52">
        <f t="shared" si="325"/>
        <v>0</v>
      </c>
      <c r="O213" s="52">
        <f t="shared" si="325"/>
        <v>0</v>
      </c>
      <c r="P213" s="52">
        <f t="shared" si="325"/>
        <v>0</v>
      </c>
      <c r="Q213" s="52">
        <f t="shared" si="325"/>
        <v>9.4336671383290849</v>
      </c>
      <c r="R213" s="52">
        <f t="shared" si="325"/>
        <v>9.0178562701394149</v>
      </c>
      <c r="S213" s="52">
        <f t="shared" si="325"/>
        <v>9.5104158410819402</v>
      </c>
      <c r="T213" s="52">
        <f t="shared" si="325"/>
        <v>7.8241705801174231</v>
      </c>
      <c r="U213" s="52">
        <f t="shared" si="325"/>
        <v>8.6022430943921329</v>
      </c>
      <c r="V213" s="52">
        <f t="shared" si="325"/>
        <v>8.5834368413931497</v>
      </c>
      <c r="W213" s="52">
        <f t="shared" si="325"/>
        <v>7.5496040657132735</v>
      </c>
      <c r="X213" s="52">
        <f t="shared" si="325"/>
        <v>6.919252071344367</v>
      </c>
      <c r="Y213" s="52">
        <f t="shared" si="325"/>
        <v>6.6379723926056435</v>
      </c>
      <c r="Z213" s="52">
        <f t="shared" ref="Z213:AD214" si="327">+Z150</f>
        <v>5.8288990353976669</v>
      </c>
      <c r="AA213" s="52">
        <f t="shared" si="327"/>
        <v>5.7652311967911807</v>
      </c>
      <c r="AB213" s="52">
        <f t="shared" si="327"/>
        <v>6.0245662415961707</v>
      </c>
      <c r="AC213" s="52">
        <f t="shared" si="327"/>
        <v>5.96616013566197</v>
      </c>
      <c r="AD213" s="52">
        <f t="shared" si="327"/>
        <v>6.9613895339181822</v>
      </c>
      <c r="AE213" s="52">
        <f t="shared" ref="AE213:AH214" si="328">+AE150</f>
        <v>7.8729528105372433</v>
      </c>
      <c r="AF213" s="52">
        <f t="shared" si="328"/>
        <v>9.1955719364555666</v>
      </c>
      <c r="AG213" s="52">
        <f t="shared" si="328"/>
        <v>10.851442586102754</v>
      </c>
      <c r="AH213" s="52">
        <f t="shared" si="328"/>
        <v>10.618295333106401</v>
      </c>
      <c r="AI213" s="52">
        <f t="shared" ref="AI213:AK214" si="329">+AI150</f>
        <v>11.267765942418961</v>
      </c>
      <c r="AJ213" s="52">
        <f t="shared" si="329"/>
        <v>10.328993901858663</v>
      </c>
      <c r="AK213" s="52">
        <f t="shared" si="329"/>
        <v>9.7043593650169555</v>
      </c>
      <c r="AN213"/>
    </row>
    <row r="214" spans="1:40" ht="12.75">
      <c r="B214" s="1" t="str">
        <f>+B151</f>
        <v>Adjusted EBITDA/Interest</v>
      </c>
      <c r="C214" s="53">
        <f t="shared" ref="C214:V214" si="330">+C151</f>
        <v>7.4116497325356887</v>
      </c>
      <c r="D214" s="53">
        <f t="shared" si="330"/>
        <v>18.812074803676371</v>
      </c>
      <c r="E214" s="53">
        <f t="shared" si="330"/>
        <v>18.71401724953104</v>
      </c>
      <c r="F214" s="53">
        <f t="shared" si="330"/>
        <v>15.06195263663836</v>
      </c>
      <c r="G214" s="53">
        <f>+G151</f>
        <v>9.5374100257748076</v>
      </c>
      <c r="H214" s="53">
        <f t="shared" si="330"/>
        <v>9.5374100257748076</v>
      </c>
      <c r="I214" s="53">
        <f t="shared" si="326"/>
        <v>6.6723192487462777</v>
      </c>
      <c r="J214" s="53">
        <f t="shared" si="326"/>
        <v>7.5364777433879855</v>
      </c>
      <c r="K214" s="53">
        <f t="shared" si="326"/>
        <v>14.145371649971294</v>
      </c>
      <c r="L214" s="53">
        <f>+L151</f>
        <v>14.731410035877525</v>
      </c>
      <c r="N214" s="53">
        <f t="shared" si="330"/>
        <v>0</v>
      </c>
      <c r="O214" s="53">
        <f t="shared" si="330"/>
        <v>0</v>
      </c>
      <c r="P214" s="53">
        <f t="shared" si="330"/>
        <v>0</v>
      </c>
      <c r="Q214" s="53">
        <f t="shared" si="330"/>
        <v>18.714017249531036</v>
      </c>
      <c r="R214" s="53">
        <f t="shared" si="330"/>
        <v>18.222811584664555</v>
      </c>
      <c r="S214" s="53">
        <f t="shared" si="330"/>
        <v>18.037110892011935</v>
      </c>
      <c r="T214" s="53">
        <f t="shared" si="330"/>
        <v>16.301068920202862</v>
      </c>
      <c r="U214" s="53">
        <f t="shared" si="330"/>
        <v>15.06195263663836</v>
      </c>
      <c r="V214" s="53">
        <f t="shared" si="330"/>
        <v>13.821525694580732</v>
      </c>
      <c r="W214" s="53">
        <f>+W151</f>
        <v>11.92273500408524</v>
      </c>
      <c r="X214" s="53">
        <f>+X151</f>
        <v>9.8283897635765971</v>
      </c>
      <c r="Y214" s="53">
        <f>+Y151</f>
        <v>9.5374100257748076</v>
      </c>
      <c r="Z214" s="53">
        <f t="shared" si="327"/>
        <v>8.3385740898397405</v>
      </c>
      <c r="AA214" s="53">
        <f t="shared" si="327"/>
        <v>7.5697892178599337</v>
      </c>
      <c r="AB214" s="53">
        <f t="shared" si="327"/>
        <v>7.5069630644209573</v>
      </c>
      <c r="AC214" s="53">
        <f t="shared" si="327"/>
        <v>6.6723192487462777</v>
      </c>
      <c r="AD214" s="53">
        <f t="shared" si="327"/>
        <v>7.6696491785224197</v>
      </c>
      <c r="AE214" s="53">
        <f t="shared" si="328"/>
        <v>8.8711807277446244</v>
      </c>
      <c r="AF214" s="53">
        <f t="shared" si="328"/>
        <v>10.934797670445098</v>
      </c>
      <c r="AG214" s="53">
        <f t="shared" si="328"/>
        <v>14.145371649971294</v>
      </c>
      <c r="AH214" s="53">
        <f t="shared" si="328"/>
        <v>14.347933199277254</v>
      </c>
      <c r="AI214" s="53">
        <f t="shared" si="329"/>
        <v>15.320669130906163</v>
      </c>
      <c r="AJ214" s="53">
        <f t="shared" si="329"/>
        <v>15.848730494458033</v>
      </c>
      <c r="AK214" s="53">
        <f t="shared" si="329"/>
        <v>14.731410035877525</v>
      </c>
      <c r="AN214"/>
    </row>
    <row r="215" spans="1:40" ht="13.5" customHeight="1"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N215" s="69"/>
      <c r="O215" s="69"/>
      <c r="P215" s="69"/>
      <c r="Q215" s="69"/>
      <c r="R215" s="69"/>
      <c r="S215" s="69"/>
      <c r="T215" s="69"/>
      <c r="U215" s="69"/>
      <c r="V215" s="69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  <c r="AG215" s="69"/>
      <c r="AH215" s="69"/>
      <c r="AI215" s="69"/>
      <c r="AJ215" s="69"/>
      <c r="AK215" s="69"/>
      <c r="AN215"/>
    </row>
    <row r="216" spans="1:40" ht="13.5" customHeight="1">
      <c r="B216" s="1" t="str">
        <f>+B153</f>
        <v xml:space="preserve">Gearing (Net debt / Equity) </v>
      </c>
      <c r="C216" s="153">
        <f t="shared" ref="C216:W216" si="331">+C153</f>
        <v>0.51404255394446641</v>
      </c>
      <c r="D216" s="153">
        <f t="shared" si="331"/>
        <v>0.55047056865896682</v>
      </c>
      <c r="E216" s="153">
        <f t="shared" si="331"/>
        <v>0.40809134037756645</v>
      </c>
      <c r="F216" s="153">
        <f t="shared" si="331"/>
        <v>0.65350656661553863</v>
      </c>
      <c r="G216" s="153">
        <f>+G153</f>
        <v>0.69413864109178081</v>
      </c>
      <c r="H216" s="153">
        <f t="shared" si="331"/>
        <v>0.69187552954423415</v>
      </c>
      <c r="I216" s="154">
        <f>+I153</f>
        <v>0.68645542530555015</v>
      </c>
      <c r="J216" s="154">
        <f>+J153</f>
        <v>0.68067850474182801</v>
      </c>
      <c r="K216" s="154">
        <f>+K153</f>
        <v>0.60360084116260126</v>
      </c>
      <c r="L216" s="154">
        <f>+L153</f>
        <v>0.64990666001992603</v>
      </c>
      <c r="N216" s="153">
        <f t="shared" si="331"/>
        <v>0</v>
      </c>
      <c r="O216" s="153">
        <f t="shared" si="331"/>
        <v>0</v>
      </c>
      <c r="P216" s="153">
        <f t="shared" si="331"/>
        <v>0</v>
      </c>
      <c r="Q216" s="153">
        <f t="shared" si="331"/>
        <v>0.40809134037756656</v>
      </c>
      <c r="R216" s="153">
        <f t="shared" si="331"/>
        <v>0.38285604425421699</v>
      </c>
      <c r="S216" s="153">
        <f t="shared" si="331"/>
        <v>0.44278424042729153</v>
      </c>
      <c r="T216" s="153">
        <f>+T153</f>
        <v>0.71343435227864804</v>
      </c>
      <c r="U216" s="154">
        <f t="shared" si="331"/>
        <v>0.65350656661553863</v>
      </c>
      <c r="V216" s="154">
        <f t="shared" si="331"/>
        <v>0.63963769075180532</v>
      </c>
      <c r="W216" s="154">
        <f t="shared" si="331"/>
        <v>0.7150872729749026</v>
      </c>
      <c r="X216" s="154">
        <f t="shared" ref="X216:AC216" si="332">+X153</f>
        <v>0.6666246429548166</v>
      </c>
      <c r="Y216" s="154">
        <f t="shared" si="332"/>
        <v>0.69413864109178103</v>
      </c>
      <c r="Z216" s="154">
        <f t="shared" si="332"/>
        <v>0.68313391103026755</v>
      </c>
      <c r="AA216" s="154">
        <f t="shared" si="332"/>
        <v>0.74418513522750618</v>
      </c>
      <c r="AB216" s="154">
        <f t="shared" si="332"/>
        <v>0.70145257225055901</v>
      </c>
      <c r="AC216" s="154">
        <f t="shared" si="332"/>
        <v>0.68645542530555037</v>
      </c>
      <c r="AD216" s="154">
        <f t="shared" ref="AD216:AI216" si="333">+AD153</f>
        <v>0.68271515305008779</v>
      </c>
      <c r="AE216" s="154">
        <f t="shared" si="333"/>
        <v>0.68024063573654214</v>
      </c>
      <c r="AF216" s="154">
        <f t="shared" si="333"/>
        <v>0.59203359835999247</v>
      </c>
      <c r="AG216" s="154">
        <f t="shared" si="333"/>
        <v>0.60360084116260126</v>
      </c>
      <c r="AH216" s="154">
        <f t="shared" si="333"/>
        <v>0.56670033677368703</v>
      </c>
      <c r="AI216" s="154">
        <f t="shared" si="333"/>
        <v>0.52326561795047466</v>
      </c>
      <c r="AJ216" s="154">
        <f>+AJ153</f>
        <v>0.57308434996451885</v>
      </c>
      <c r="AK216" s="154">
        <f>+AK153</f>
        <v>0.64990666001992592</v>
      </c>
      <c r="AN216"/>
    </row>
    <row r="217" spans="1:40" s="5" customFormat="1" ht="13.5" customHeight="1">
      <c r="C217" s="37"/>
      <c r="D217" s="37"/>
      <c r="E217" s="37"/>
      <c r="F217" s="37"/>
      <c r="G217" s="37"/>
      <c r="I217" s="37"/>
      <c r="J217" s="37"/>
      <c r="K217" s="37"/>
      <c r="L217" s="37"/>
      <c r="N217" s="37"/>
      <c r="R217" s="37"/>
      <c r="S217" s="37"/>
      <c r="Y217" s="37"/>
      <c r="AC217" s="37"/>
      <c r="AG217" s="37"/>
      <c r="AK217" s="37"/>
      <c r="AN217"/>
    </row>
    <row r="218" spans="1:40" s="5" customFormat="1" ht="13.5" customHeight="1">
      <c r="A218" s="49"/>
      <c r="B218" s="49" t="s">
        <v>353</v>
      </c>
      <c r="C218" s="132">
        <f>1/14.718</f>
        <v>6.7944014132354943E-2</v>
      </c>
      <c r="D218" s="132">
        <f>1/17.2065</f>
        <v>5.8117571847848201E-2</v>
      </c>
      <c r="E218" s="132">
        <f>1/19.5002</f>
        <v>5.128152531768905E-2</v>
      </c>
      <c r="F218" s="132">
        <f>1/19.7354</f>
        <v>5.0670368981626926E-2</v>
      </c>
      <c r="G218" s="175">
        <f>1/19.6829</f>
        <v>5.0805521544081411E-2</v>
      </c>
      <c r="H218" s="175">
        <f>1/19.6829</f>
        <v>5.0805521544081411E-2</v>
      </c>
      <c r="I218" s="175">
        <f>1/18.8452</f>
        <v>5.3063910173412866E-2</v>
      </c>
      <c r="J218" s="175">
        <f>1/18.8452</f>
        <v>5.3063910173412866E-2</v>
      </c>
      <c r="K218" s="175">
        <f>1/19.9143</f>
        <v>5.0215172012071728E-2</v>
      </c>
      <c r="L218" s="175">
        <f>1/20.5835</f>
        <v>4.8582602570019673E-2</v>
      </c>
      <c r="N218" s="132">
        <v>5.7869999999999998E-2</v>
      </c>
      <c r="O218" s="132">
        <v>5.4289999999999998E-2</v>
      </c>
      <c r="P218" s="132">
        <f>1/19.5002</f>
        <v>5.128152531768905E-2</v>
      </c>
      <c r="Q218" s="132">
        <f>1/19.5002</f>
        <v>5.128152531768905E-2</v>
      </c>
      <c r="R218" s="132">
        <f>1/18.8092</f>
        <v>5.3165472215724222E-2</v>
      </c>
      <c r="S218" s="132">
        <f>1/17.8973</f>
        <v>5.5874349762254638E-2</v>
      </c>
      <c r="T218" s="132">
        <f>1/18.13</f>
        <v>5.5157198014340873E-2</v>
      </c>
      <c r="U218" s="132">
        <f>1/19.7354</f>
        <v>5.0670368981626926E-2</v>
      </c>
      <c r="V218" s="132">
        <f>1/18.3445</f>
        <v>5.4512251628553519E-2</v>
      </c>
      <c r="W218" s="132">
        <f>1/19.8633</f>
        <v>5.0344101936737606E-2</v>
      </c>
      <c r="X218" s="132">
        <f>1/18.812</f>
        <v>5.3157559004890491E-2</v>
      </c>
      <c r="Y218" s="132">
        <f>1/19.6829</f>
        <v>5.0805521544081411E-2</v>
      </c>
      <c r="Z218" s="132">
        <f>1/19.3201</f>
        <v>5.1759566461871312E-2</v>
      </c>
      <c r="AA218" s="132">
        <f>1/19.1685</f>
        <v>5.2168922972585227E-2</v>
      </c>
      <c r="AB218" s="132">
        <f>1/19.6363</f>
        <v>5.0926090964183685E-2</v>
      </c>
      <c r="AC218" s="132">
        <f>I218</f>
        <v>5.3063910173412866E-2</v>
      </c>
      <c r="AD218" s="132">
        <f>1/23.5122</f>
        <v>4.2531111508068153E-2</v>
      </c>
      <c r="AE218" s="132">
        <f>1/22.9715</f>
        <v>4.3532202947130144E-2</v>
      </c>
      <c r="AF218" s="132">
        <f>1/22.4573</f>
        <v>4.452895049716573E-2</v>
      </c>
      <c r="AG218" s="175">
        <f>1/19.9143</f>
        <v>5.0215172012071728E-2</v>
      </c>
      <c r="AH218" s="132">
        <f>1/20.4325</f>
        <v>4.8941637097760921E-2</v>
      </c>
      <c r="AI218" s="132">
        <f>1/19.9365</f>
        <v>5.0159255636646354E-2</v>
      </c>
      <c r="AJ218" s="132">
        <f>1/20.5175</f>
        <v>4.8738881442670898E-2</v>
      </c>
      <c r="AK218" s="175">
        <f>1/20.5835</f>
        <v>4.8582602570019673E-2</v>
      </c>
      <c r="AL218" s="254"/>
      <c r="AN218"/>
    </row>
    <row r="219" spans="1:40" s="5" customFormat="1" ht="13.5" customHeight="1">
      <c r="A219" s="49"/>
      <c r="B219" s="49" t="s">
        <v>354</v>
      </c>
      <c r="C219" s="132">
        <v>7.5190000000000007E-2</v>
      </c>
      <c r="D219" s="132">
        <v>6.3140000000000002E-2</v>
      </c>
      <c r="E219" s="132">
        <v>5.364E-2</v>
      </c>
      <c r="F219" s="132">
        <v>5.3010000000000002E-2</v>
      </c>
      <c r="G219" s="175">
        <v>5.2060000000000002E-2</v>
      </c>
      <c r="H219" s="175">
        <v>5.2060000000000002E-2</v>
      </c>
      <c r="I219" s="175">
        <f>AVERAGE(Z219:AC219)</f>
        <v>5.2243477543353213E-2</v>
      </c>
      <c r="J219" s="175">
        <f>AVERAGE(Z219:AC219)</f>
        <v>5.2243477543353213E-2</v>
      </c>
      <c r="K219" s="175">
        <f>AVERAGE(AD218:AG218)</f>
        <v>4.5201859241108942E-2</v>
      </c>
      <c r="L219" s="175">
        <f>AVERAGE(AH218:AK218)</f>
        <v>4.9105594186774459E-2</v>
      </c>
      <c r="N219" s="132">
        <v>5.5500000000000001E-2</v>
      </c>
      <c r="O219" s="132">
        <v>5.5280000000000003E-2</v>
      </c>
      <c r="P219" s="132">
        <v>5.3330000000000002E-2</v>
      </c>
      <c r="Q219" s="132">
        <v>5.0470000000000001E-2</v>
      </c>
      <c r="R219" s="132">
        <v>4.9369999999999997E-2</v>
      </c>
      <c r="S219" s="132">
        <v>5.3929999999999999E-2</v>
      </c>
      <c r="T219" s="132">
        <v>5.6129999999999999E-2</v>
      </c>
      <c r="U219" s="132">
        <v>5.2720000000000003E-2</v>
      </c>
      <c r="V219" s="132">
        <v>5.339E-2</v>
      </c>
      <c r="W219" s="132">
        <v>5.16E-2</v>
      </c>
      <c r="X219" s="132">
        <v>5.1830000000000001E-2</v>
      </c>
      <c r="Y219" s="132">
        <v>5.0450000000000002E-2</v>
      </c>
      <c r="Z219" s="132">
        <v>5.2109999999999997E-2</v>
      </c>
      <c r="AA219" s="132">
        <v>5.2339999999999998E-2</v>
      </c>
      <c r="AB219" s="132">
        <v>5.1459999999999999E-2</v>
      </c>
      <c r="AC219" s="132">
        <f>AC218</f>
        <v>5.3063910173412866E-2</v>
      </c>
      <c r="AD219" s="132">
        <f>AVERAGE(AC218:AD218)</f>
        <v>4.7797510840740506E-2</v>
      </c>
      <c r="AE219" s="132">
        <f>AVERAGE(AD218:AE218)</f>
        <v>4.3031657227599149E-2</v>
      </c>
      <c r="AF219" s="132">
        <v>4.5283999999999998E-2</v>
      </c>
      <c r="AG219" s="132">
        <v>4.6550000000000001E-2</v>
      </c>
      <c r="AH219" s="132">
        <v>4.8495115733593698E-2</v>
      </c>
      <c r="AI219" s="132">
        <f>1/20.0205</f>
        <v>4.9948802477460606E-2</v>
      </c>
      <c r="AJ219" s="132">
        <f>AVERAGE(AG218:AJ218)</f>
        <v>4.9513736547287482E-2</v>
      </c>
      <c r="AK219" s="132">
        <f>AVERAGE(AH218:AK218)</f>
        <v>4.9105594186774459E-2</v>
      </c>
      <c r="AN219"/>
    </row>
    <row r="220" spans="1:40" ht="13.5" customHeight="1">
      <c r="A220" s="27"/>
      <c r="B220" s="16" t="s">
        <v>314</v>
      </c>
      <c r="C220" s="47"/>
      <c r="D220" s="47"/>
      <c r="E220" s="47"/>
      <c r="F220" s="47"/>
      <c r="G220" s="47"/>
      <c r="H220" s="47"/>
      <c r="I220" s="13"/>
      <c r="J220" s="13"/>
      <c r="K220" s="13"/>
      <c r="L220" s="13"/>
      <c r="N220" s="47"/>
      <c r="O220" s="17"/>
      <c r="P220" s="17"/>
      <c r="Q220" s="17"/>
      <c r="R220" s="47"/>
      <c r="S220" s="47"/>
      <c r="T220" s="17"/>
      <c r="U220" s="17"/>
      <c r="V220" s="17"/>
      <c r="W220" s="17"/>
      <c r="X220" s="17"/>
      <c r="Y220" s="47"/>
      <c r="Z220" s="17"/>
      <c r="AA220" s="17"/>
      <c r="AB220" s="17"/>
      <c r="AC220" s="47"/>
      <c r="AD220" s="17"/>
      <c r="AE220" s="17"/>
      <c r="AF220" s="17"/>
      <c r="AG220" s="47"/>
      <c r="AH220" s="17"/>
      <c r="AI220" s="17"/>
      <c r="AJ220" s="17"/>
      <c r="AK220" s="47"/>
      <c r="AN220"/>
    </row>
    <row r="221" spans="1:40" s="2" customFormat="1" ht="13.5" customHeight="1">
      <c r="A221" s="102"/>
      <c r="B221" s="103" t="s">
        <v>89</v>
      </c>
      <c r="C221" s="88">
        <f t="shared" ref="C221:AB221" si="334">+C2</f>
        <v>42004</v>
      </c>
      <c r="D221" s="47">
        <f t="shared" si="334"/>
        <v>42369</v>
      </c>
      <c r="E221" s="47">
        <f t="shared" si="334"/>
        <v>42735</v>
      </c>
      <c r="F221" s="47">
        <f t="shared" si="334"/>
        <v>43100</v>
      </c>
      <c r="G221" s="47">
        <f t="shared" si="334"/>
        <v>43465</v>
      </c>
      <c r="H221" s="47">
        <f t="shared" si="334"/>
        <v>43440</v>
      </c>
      <c r="I221" s="88">
        <f>+I2</f>
        <v>43806</v>
      </c>
      <c r="J221" s="88">
        <f>+J2</f>
        <v>43806</v>
      </c>
      <c r="K221" s="88">
        <f>+K2</f>
        <v>44172</v>
      </c>
      <c r="L221" s="88">
        <f>+L2</f>
        <v>44537</v>
      </c>
      <c r="N221" s="47">
        <f t="shared" si="334"/>
        <v>42437</v>
      </c>
      <c r="O221" s="47">
        <f t="shared" si="334"/>
        <v>42527</v>
      </c>
      <c r="P221" s="47">
        <f t="shared" si="334"/>
        <v>42622</v>
      </c>
      <c r="Q221" s="47">
        <f t="shared" si="334"/>
        <v>42714</v>
      </c>
      <c r="R221" s="47">
        <f t="shared" si="334"/>
        <v>42825</v>
      </c>
      <c r="S221" s="47">
        <f t="shared" si="334"/>
        <v>42916</v>
      </c>
      <c r="T221" s="47">
        <f t="shared" si="334"/>
        <v>43008</v>
      </c>
      <c r="U221" s="47">
        <f t="shared" si="334"/>
        <v>43099</v>
      </c>
      <c r="V221" s="47">
        <f t="shared" si="334"/>
        <v>43189</v>
      </c>
      <c r="W221" s="47">
        <f t="shared" si="334"/>
        <v>43281</v>
      </c>
      <c r="X221" s="47">
        <f t="shared" si="334"/>
        <v>43373</v>
      </c>
      <c r="Y221" s="47">
        <f t="shared" si="334"/>
        <v>43464</v>
      </c>
      <c r="Z221" s="47">
        <f t="shared" si="334"/>
        <v>43554</v>
      </c>
      <c r="AA221" s="47">
        <f t="shared" si="334"/>
        <v>43646</v>
      </c>
      <c r="AB221" s="47">
        <f t="shared" si="334"/>
        <v>43738</v>
      </c>
      <c r="AC221" s="47">
        <f t="shared" ref="AC221:AH221" si="335">+AC2</f>
        <v>43829</v>
      </c>
      <c r="AD221" s="47">
        <f t="shared" si="335"/>
        <v>43920</v>
      </c>
      <c r="AE221" s="47">
        <f t="shared" si="335"/>
        <v>44012</v>
      </c>
      <c r="AF221" s="47">
        <f t="shared" si="335"/>
        <v>44104</v>
      </c>
      <c r="AG221" s="47">
        <f t="shared" si="335"/>
        <v>44195</v>
      </c>
      <c r="AH221" s="47">
        <f t="shared" si="335"/>
        <v>44285</v>
      </c>
      <c r="AI221" s="47">
        <f>+AI2</f>
        <v>44377</v>
      </c>
      <c r="AJ221" s="47">
        <f>+AJ2</f>
        <v>44469</v>
      </c>
      <c r="AK221" s="47">
        <f>+AK2</f>
        <v>44560</v>
      </c>
      <c r="AN221"/>
    </row>
    <row r="222" spans="1:40" s="5" customFormat="1" ht="13.5" customHeight="1">
      <c r="B222" s="11"/>
      <c r="C222" s="14" t="s">
        <v>200</v>
      </c>
      <c r="D222" s="14" t="s">
        <v>200</v>
      </c>
      <c r="E222" s="14" t="s">
        <v>200</v>
      </c>
      <c r="F222" s="14" t="s">
        <v>200</v>
      </c>
      <c r="G222" s="14" t="s">
        <v>200</v>
      </c>
      <c r="H222" s="14" t="s">
        <v>200</v>
      </c>
      <c r="I222" s="14" t="s">
        <v>200</v>
      </c>
      <c r="J222" s="14" t="s">
        <v>200</v>
      </c>
      <c r="K222" s="14" t="s">
        <v>200</v>
      </c>
      <c r="L222" s="14" t="s">
        <v>200</v>
      </c>
      <c r="N222" s="14" t="s">
        <v>200</v>
      </c>
      <c r="O222" s="14" t="s">
        <v>200</v>
      </c>
      <c r="P222" s="14" t="s">
        <v>200</v>
      </c>
      <c r="Q222" s="14" t="s">
        <v>200</v>
      </c>
      <c r="R222" s="14" t="s">
        <v>200</v>
      </c>
      <c r="S222" s="14" t="s">
        <v>200</v>
      </c>
      <c r="T222" s="14" t="s">
        <v>200</v>
      </c>
      <c r="U222" s="14" t="s">
        <v>200</v>
      </c>
      <c r="V222" s="14" t="s">
        <v>200</v>
      </c>
      <c r="W222" s="14" t="s">
        <v>200</v>
      </c>
      <c r="X222" s="14" t="s">
        <v>200</v>
      </c>
      <c r="Y222" s="14" t="s">
        <v>200</v>
      </c>
      <c r="Z222" s="14" t="s">
        <v>200</v>
      </c>
      <c r="AA222" s="14" t="s">
        <v>200</v>
      </c>
      <c r="AB222" s="14" t="s">
        <v>200</v>
      </c>
      <c r="AC222" s="14" t="s">
        <v>200</v>
      </c>
      <c r="AD222" s="14" t="s">
        <v>200</v>
      </c>
      <c r="AE222" s="14" t="str">
        <f>AE3</f>
        <v>Act</v>
      </c>
      <c r="AF222" s="14" t="s">
        <v>200</v>
      </c>
      <c r="AG222" s="14" t="s">
        <v>200</v>
      </c>
      <c r="AH222" s="14" t="s">
        <v>200</v>
      </c>
      <c r="AI222" s="14" t="str">
        <f>AI3</f>
        <v>Act</v>
      </c>
      <c r="AJ222" s="14" t="s">
        <v>200</v>
      </c>
      <c r="AK222" s="14" t="s">
        <v>200</v>
      </c>
      <c r="AN222"/>
    </row>
    <row r="223" spans="1:40" s="3" customFormat="1" ht="13.5" customHeight="1">
      <c r="C223" s="23" t="s">
        <v>201</v>
      </c>
      <c r="D223" s="23" t="s">
        <v>201</v>
      </c>
      <c r="E223" s="23" t="s">
        <v>201</v>
      </c>
      <c r="F223" s="23" t="s">
        <v>201</v>
      </c>
      <c r="G223" s="23" t="s">
        <v>201</v>
      </c>
      <c r="H223" s="23" t="s">
        <v>201</v>
      </c>
      <c r="I223" s="23" t="s">
        <v>201</v>
      </c>
      <c r="J223" s="23" t="s">
        <v>201</v>
      </c>
      <c r="K223" s="23" t="s">
        <v>201</v>
      </c>
      <c r="L223" s="23" t="s">
        <v>201</v>
      </c>
      <c r="N223" s="23" t="s">
        <v>202</v>
      </c>
      <c r="O223" s="23" t="s">
        <v>203</v>
      </c>
      <c r="P223" s="23" t="s">
        <v>204</v>
      </c>
      <c r="Q223" s="23" t="s">
        <v>205</v>
      </c>
      <c r="R223" s="23" t="s">
        <v>202</v>
      </c>
      <c r="S223" s="23" t="s">
        <v>203</v>
      </c>
      <c r="T223" s="23" t="s">
        <v>204</v>
      </c>
      <c r="U223" s="23" t="s">
        <v>205</v>
      </c>
      <c r="V223" s="23" t="s">
        <v>202</v>
      </c>
      <c r="W223" s="23" t="s">
        <v>203</v>
      </c>
      <c r="X223" s="23" t="s">
        <v>204</v>
      </c>
      <c r="Y223" s="23" t="s">
        <v>205</v>
      </c>
      <c r="Z223" s="23" t="s">
        <v>202</v>
      </c>
      <c r="AA223" s="23" t="s">
        <v>203</v>
      </c>
      <c r="AB223" s="23" t="s">
        <v>204</v>
      </c>
      <c r="AC223" s="23" t="s">
        <v>205</v>
      </c>
      <c r="AD223" s="23" t="s">
        <v>202</v>
      </c>
      <c r="AE223" s="23" t="str">
        <f>AE4</f>
        <v>Q2</v>
      </c>
      <c r="AF223" s="23" t="s">
        <v>204</v>
      </c>
      <c r="AG223" s="23" t="s">
        <v>205</v>
      </c>
      <c r="AH223" s="23" t="s">
        <v>202</v>
      </c>
      <c r="AI223" s="23" t="str">
        <f>AI4</f>
        <v>Q2</v>
      </c>
      <c r="AJ223" s="23" t="s">
        <v>204</v>
      </c>
      <c r="AK223" s="23" t="s">
        <v>205</v>
      </c>
      <c r="AN223"/>
    </row>
    <row r="224" spans="1:40" s="5" customFormat="1" ht="13.5" customHeight="1">
      <c r="B224" s="5" t="str">
        <f>+B6</f>
        <v>Revenues</v>
      </c>
      <c r="C224" s="57">
        <f t="shared" ref="C224:AB224" si="336">+C6*C219</f>
        <v>3754.6373123200005</v>
      </c>
      <c r="D224" s="57">
        <f t="shared" si="336"/>
        <v>3679.73631256</v>
      </c>
      <c r="E224" s="57">
        <f t="shared" si="336"/>
        <v>3658.5850737599999</v>
      </c>
      <c r="F224" s="57">
        <f t="shared" si="336"/>
        <v>3741.4732591799998</v>
      </c>
      <c r="G224" s="57">
        <f t="shared" si="336"/>
        <v>3854.5790412800002</v>
      </c>
      <c r="H224" s="57">
        <f>+H6*H219</f>
        <v>3854.3968312800002</v>
      </c>
      <c r="I224" s="57">
        <f>+I6*I219</f>
        <v>4043.0003728556985</v>
      </c>
      <c r="J224" s="57">
        <f>+J6*J219</f>
        <v>4043.0003728556985</v>
      </c>
      <c r="K224" s="57">
        <f>+K6*K219</f>
        <v>4118.0309038863079</v>
      </c>
      <c r="L224" s="57">
        <f>+L6*L219</f>
        <v>4628.2209613348778</v>
      </c>
      <c r="N224" s="57">
        <f t="shared" si="336"/>
        <v>878.59580249999999</v>
      </c>
      <c r="O224" s="57">
        <f t="shared" si="336"/>
        <v>903.72716928</v>
      </c>
      <c r="P224" s="57">
        <f t="shared" si="336"/>
        <v>917.75602333000006</v>
      </c>
      <c r="Q224" s="57">
        <f t="shared" si="336"/>
        <v>949.77231944000005</v>
      </c>
      <c r="R224" s="57">
        <f t="shared" si="336"/>
        <v>872.73575587000005</v>
      </c>
      <c r="S224" s="57">
        <f t="shared" si="336"/>
        <v>940.40124705999995</v>
      </c>
      <c r="T224" s="57">
        <f t="shared" si="336"/>
        <v>961.76245988999995</v>
      </c>
      <c r="U224" s="57">
        <f t="shared" si="336"/>
        <v>966.41411584000002</v>
      </c>
      <c r="V224" s="57">
        <f t="shared" si="336"/>
        <v>936.04031392000002</v>
      </c>
      <c r="W224" s="57">
        <f t="shared" si="336"/>
        <v>977.39620920000004</v>
      </c>
      <c r="X224" s="57">
        <f t="shared" si="336"/>
        <v>958.21427754000001</v>
      </c>
      <c r="Y224" s="57">
        <f t="shared" si="336"/>
        <v>962.38596575000008</v>
      </c>
      <c r="Z224" s="57">
        <f t="shared" si="336"/>
        <v>968.13824561999991</v>
      </c>
      <c r="AA224" s="57">
        <f t="shared" si="336"/>
        <v>1010.88334988</v>
      </c>
      <c r="AB224" s="57">
        <f t="shared" si="336"/>
        <v>1031.9443103400001</v>
      </c>
      <c r="AC224" s="57">
        <f t="shared" ref="AC224:AH224" si="337">+AC6*AC219</f>
        <v>1031.6581941290092</v>
      </c>
      <c r="AD224" s="57">
        <f t="shared" si="337"/>
        <v>1029.7635782235898</v>
      </c>
      <c r="AE224" s="57">
        <f t="shared" si="337"/>
        <v>1039.0235905834006</v>
      </c>
      <c r="AF224" s="57">
        <f t="shared" si="337"/>
        <v>1062.9603887999999</v>
      </c>
      <c r="AG224" s="57">
        <f t="shared" si="337"/>
        <v>1021.31049125</v>
      </c>
      <c r="AH224" s="57">
        <f t="shared" si="337"/>
        <v>1075.5698741875049</v>
      </c>
      <c r="AI224" s="57">
        <f>+AI6*AI219</f>
        <v>1121.3498663869534</v>
      </c>
      <c r="AJ224" s="57">
        <f>+AJ6*AJ219</f>
        <v>1183.5294689178497</v>
      </c>
      <c r="AK224" s="57">
        <f>+AK6*AK219</f>
        <v>1262.9178536946761</v>
      </c>
      <c r="AN224"/>
    </row>
    <row r="225" spans="2:40" s="50" customFormat="1" ht="13.5" customHeight="1">
      <c r="B225" s="21" t="str">
        <f>+B7</f>
        <v xml:space="preserve">% y-o-y growth </v>
      </c>
      <c r="C225" s="85">
        <f>C224/(49035.523*0.07671)-1</f>
        <v>-1.8284273932384076E-3</v>
      </c>
      <c r="D225" s="85">
        <f>+D224/C224-1</f>
        <v>-1.9948930756701788E-2</v>
      </c>
      <c r="E225" s="85">
        <f>+E224/D224-1</f>
        <v>-5.7480311096762549E-3</v>
      </c>
      <c r="F225" s="85">
        <f>+F224/E224-1</f>
        <v>2.2655803746231884E-2</v>
      </c>
      <c r="G225" s="85">
        <f>+G224/F224-1</f>
        <v>3.0230279428694606E-2</v>
      </c>
      <c r="H225" s="85">
        <f>+H224/F224-1</f>
        <v>3.0181579361267197E-2</v>
      </c>
      <c r="I225" s="138">
        <f>+I224/H224-1</f>
        <v>4.8932050806264504E-2</v>
      </c>
      <c r="J225" s="138">
        <f>+J224/H224-1</f>
        <v>4.8932050806264504E-2</v>
      </c>
      <c r="K225" s="138">
        <f>+K224/I224-1</f>
        <v>1.8558131118254773E-2</v>
      </c>
      <c r="L225" s="138">
        <f>+L224/J224-1</f>
        <v>0.14474908100634676</v>
      </c>
      <c r="N225" s="85"/>
      <c r="O225" s="85"/>
      <c r="P225" s="85"/>
      <c r="Q225" s="85"/>
      <c r="R225" s="85">
        <f t="shared" ref="R225:AJ225" si="338">R224/N224-1</f>
        <v>-6.6697867362051078E-3</v>
      </c>
      <c r="S225" s="85">
        <f t="shared" si="338"/>
        <v>4.0580917589562171E-2</v>
      </c>
      <c r="T225" s="85">
        <f>T224/P224-1</f>
        <v>4.7950038399449779E-2</v>
      </c>
      <c r="U225" s="85">
        <f t="shared" si="338"/>
        <v>1.7521879780421745E-2</v>
      </c>
      <c r="V225" s="138">
        <f t="shared" si="338"/>
        <v>7.2535767698544529E-2</v>
      </c>
      <c r="W225" s="138">
        <f t="shared" si="338"/>
        <v>3.9339550277776025E-2</v>
      </c>
      <c r="X225" s="138">
        <f t="shared" si="338"/>
        <v>-3.6892502025975826E-3</v>
      </c>
      <c r="Y225" s="138">
        <f t="shared" si="338"/>
        <v>-4.168140783517793E-3</v>
      </c>
      <c r="Z225" s="138">
        <f t="shared" si="338"/>
        <v>3.4291185136651192E-2</v>
      </c>
      <c r="AA225" s="138">
        <f t="shared" si="338"/>
        <v>3.4261582319220496E-2</v>
      </c>
      <c r="AB225" s="138">
        <f t="shared" si="338"/>
        <v>7.6945245471905732E-2</v>
      </c>
      <c r="AC225" s="138">
        <f t="shared" si="338"/>
        <v>7.1979674313958242E-2</v>
      </c>
      <c r="AD225" s="138">
        <f t="shared" si="338"/>
        <v>6.3653442968906404E-2</v>
      </c>
      <c r="AE225" s="138">
        <f t="shared" si="338"/>
        <v>2.7837277868649313E-2</v>
      </c>
      <c r="AF225" s="138">
        <f t="shared" si="338"/>
        <v>3.0055961498330008E-2</v>
      </c>
      <c r="AG225" s="138">
        <f>AG224/AC224-1</f>
        <v>-1.0030165938579416E-2</v>
      </c>
      <c r="AH225" s="138">
        <f t="shared" si="338"/>
        <v>4.44823422896099E-2</v>
      </c>
      <c r="AI225" s="138">
        <f t="shared" si="338"/>
        <v>7.9234270087484182E-2</v>
      </c>
      <c r="AJ225" s="138">
        <f t="shared" si="338"/>
        <v>0.1134276322883141</v>
      </c>
      <c r="AK225" s="138">
        <f>AK224/AG224-1</f>
        <v>0.23656602425474782</v>
      </c>
      <c r="AN225"/>
    </row>
    <row r="226" spans="2:40" s="5" customFormat="1" ht="13.5" customHeight="1" outlineLevel="1" thickBot="1">
      <c r="B226" s="25" t="str">
        <f>+B41</f>
        <v xml:space="preserve">EBITDA </v>
      </c>
      <c r="C226" s="68">
        <f t="shared" ref="C226:AB226" si="339">C41*C219</f>
        <v>562.67421435000017</v>
      </c>
      <c r="D226" s="68">
        <f t="shared" si="339"/>
        <v>566.12940384000024</v>
      </c>
      <c r="E226" s="68">
        <f t="shared" si="339"/>
        <v>591.1261563600001</v>
      </c>
      <c r="F226" s="68">
        <f t="shared" si="339"/>
        <v>600.49298618999967</v>
      </c>
      <c r="G226" s="68">
        <f t="shared" si="339"/>
        <v>611.07325190000006</v>
      </c>
      <c r="H226" s="68">
        <f>H41*H219</f>
        <v>611.07325190000006</v>
      </c>
      <c r="I226" s="8">
        <f>I41*I219</f>
        <v>651.0349687977606</v>
      </c>
      <c r="J226" s="8">
        <f>J41*J219</f>
        <v>651.0349687977606</v>
      </c>
      <c r="K226" s="8">
        <f>K41*K219</f>
        <v>679.93355380037951</v>
      </c>
      <c r="L226" s="8">
        <f>L41*L219</f>
        <v>733.46128806727972</v>
      </c>
      <c r="N226" s="68">
        <f t="shared" si="339"/>
        <v>137.34540600000005</v>
      </c>
      <c r="O226" s="68">
        <f t="shared" si="339"/>
        <v>146.04887551999997</v>
      </c>
      <c r="P226" s="68">
        <f t="shared" si="339"/>
        <v>153.84254424000002</v>
      </c>
      <c r="Q226" s="68">
        <f t="shared" si="339"/>
        <v>152.35111409000001</v>
      </c>
      <c r="R226" s="68">
        <f t="shared" si="339"/>
        <v>133.14462001000007</v>
      </c>
      <c r="S226" s="68">
        <f t="shared" si="339"/>
        <v>152.90832222999992</v>
      </c>
      <c r="T226" s="68">
        <f t="shared" si="339"/>
        <v>157.23803547000003</v>
      </c>
      <c r="U226" s="68">
        <f t="shared" si="339"/>
        <v>158.14571287999996</v>
      </c>
      <c r="V226" s="68">
        <f t="shared" si="339"/>
        <v>143.70217484</v>
      </c>
      <c r="W226" s="68">
        <f t="shared" si="339"/>
        <v>159.20973599999999</v>
      </c>
      <c r="X226" s="68">
        <f t="shared" si="339"/>
        <v>156.69675788999993</v>
      </c>
      <c r="Y226" s="68">
        <f t="shared" si="339"/>
        <v>148.20020470000006</v>
      </c>
      <c r="Z226" s="68">
        <f t="shared" si="339"/>
        <v>149.60807054999995</v>
      </c>
      <c r="AA226" s="68">
        <f t="shared" si="339"/>
        <v>162.86376099999995</v>
      </c>
      <c r="AB226" s="68">
        <f t="shared" si="339"/>
        <v>169.75460128000009</v>
      </c>
      <c r="AC226" s="68">
        <f t="shared" ref="AC226:AH226" si="340">AC41*AC219</f>
        <v>168.75023878759544</v>
      </c>
      <c r="AD226" s="68">
        <f t="shared" si="340"/>
        <v>167.53299995491346</v>
      </c>
      <c r="AE226" s="68">
        <f t="shared" si="340"/>
        <v>173.09789644568073</v>
      </c>
      <c r="AF226" s="68">
        <f t="shared" si="340"/>
        <v>179.06452870400005</v>
      </c>
      <c r="AG226" s="68">
        <f t="shared" si="340"/>
        <v>165.73080124999944</v>
      </c>
      <c r="AH226" s="68">
        <f t="shared" si="340"/>
        <v>168.37305352729231</v>
      </c>
      <c r="AI226" s="68">
        <f>AI41*AI219</f>
        <v>185.60970005744116</v>
      </c>
      <c r="AJ226" s="68">
        <f>AJ41*AJ219</f>
        <v>182.87903545114284</v>
      </c>
      <c r="AK226" s="68">
        <f>AK41*AK219</f>
        <v>199.12077825325514</v>
      </c>
      <c r="AN226"/>
    </row>
    <row r="227" spans="2:40" s="50" customFormat="1" ht="13.5" customHeight="1" outlineLevel="1" thickTop="1">
      <c r="B227" s="21"/>
      <c r="C227" s="54"/>
      <c r="D227" s="54"/>
      <c r="E227" s="54"/>
      <c r="F227" s="54"/>
      <c r="G227" s="54"/>
      <c r="H227" s="54"/>
      <c r="I227" s="139"/>
      <c r="J227" s="139"/>
      <c r="K227" s="139"/>
      <c r="L227" s="139"/>
      <c r="N227" s="54"/>
      <c r="O227" s="54"/>
      <c r="P227" s="54"/>
      <c r="Q227" s="54"/>
      <c r="R227" s="54"/>
      <c r="S227" s="54"/>
      <c r="T227" s="54"/>
      <c r="U227" s="54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N227"/>
    </row>
    <row r="228" spans="2:40" s="50" customFormat="1" ht="13.5" customHeight="1" outlineLevel="1">
      <c r="B228" s="21"/>
      <c r="C228" s="54"/>
      <c r="D228" s="54"/>
      <c r="E228" s="54"/>
      <c r="F228" s="54"/>
      <c r="G228" s="54"/>
      <c r="H228" s="54"/>
      <c r="I228" s="139"/>
      <c r="J228" s="139"/>
      <c r="K228" s="139"/>
      <c r="L228" s="139"/>
      <c r="N228" s="54"/>
      <c r="O228" s="54"/>
      <c r="P228" s="54"/>
      <c r="Q228" s="54"/>
      <c r="R228" s="54"/>
      <c r="S228" s="54"/>
      <c r="T228" s="54"/>
      <c r="U228" s="54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N228"/>
    </row>
    <row r="229" spans="2:40" ht="13.5" customHeight="1">
      <c r="C229" s="55"/>
      <c r="H229" s="55"/>
      <c r="I229" s="55"/>
      <c r="J229" s="55"/>
      <c r="K229" s="55"/>
      <c r="L229" s="55"/>
      <c r="AN229"/>
    </row>
    <row r="230" spans="2:40" s="5" customFormat="1" ht="13.5" customHeight="1" thickBot="1">
      <c r="B230" s="25" t="str">
        <f>B45</f>
        <v xml:space="preserve">Adj. EBITDA </v>
      </c>
      <c r="C230" s="68">
        <f t="shared" ref="C230:H230" si="341">C45*C219</f>
        <v>563.39867000000004</v>
      </c>
      <c r="D230" s="68">
        <f t="shared" si="341"/>
        <v>577.03646000000003</v>
      </c>
      <c r="E230" s="68">
        <f t="shared" si="341"/>
        <v>588.10896000000002</v>
      </c>
      <c r="F230" s="68">
        <f t="shared" si="341"/>
        <v>601.34544000000005</v>
      </c>
      <c r="G230" s="68">
        <f t="shared" si="341"/>
        <v>611.23646000000008</v>
      </c>
      <c r="H230" s="68">
        <f t="shared" si="341"/>
        <v>611.23646000000008</v>
      </c>
      <c r="I230" s="252">
        <f>I45*I219</f>
        <v>654.506286663129</v>
      </c>
      <c r="J230" s="252">
        <f>J45*J219</f>
        <v>654.506286663129</v>
      </c>
      <c r="K230" s="252">
        <f>K45*K219</f>
        <v>695.83742115763107</v>
      </c>
      <c r="L230" s="252">
        <f>L45*L219</f>
        <v>735.94554007718887</v>
      </c>
      <c r="N230" s="68">
        <f t="shared" ref="N230:AB230" si="342">N45*N219</f>
        <v>137.36250000000001</v>
      </c>
      <c r="O230" s="68">
        <f t="shared" si="342"/>
        <v>146.04976000000002</v>
      </c>
      <c r="P230" s="68">
        <f t="shared" si="342"/>
        <v>149.64398</v>
      </c>
      <c r="Q230" s="68">
        <f t="shared" si="342"/>
        <v>153.47927000000001</v>
      </c>
      <c r="R230" s="68">
        <f t="shared" si="342"/>
        <v>133.15089</v>
      </c>
      <c r="S230" s="68">
        <f t="shared" si="342"/>
        <v>152.89155</v>
      </c>
      <c r="T230" s="68">
        <f t="shared" si="342"/>
        <v>157.27626000000001</v>
      </c>
      <c r="U230" s="68">
        <f t="shared" si="342"/>
        <v>158.68720000000002</v>
      </c>
      <c r="V230" s="68">
        <f t="shared" si="342"/>
        <v>143.72587999999999</v>
      </c>
      <c r="W230" s="68">
        <f t="shared" si="342"/>
        <v>159.80520000000001</v>
      </c>
      <c r="X230" s="68">
        <f t="shared" si="342"/>
        <v>156.68209000000002</v>
      </c>
      <c r="Y230" s="68">
        <f t="shared" si="342"/>
        <v>147.76805000000002</v>
      </c>
      <c r="Z230" s="68">
        <f t="shared" si="342"/>
        <v>149.60781</v>
      </c>
      <c r="AA230" s="68">
        <f t="shared" si="342"/>
        <v>166.33651999999998</v>
      </c>
      <c r="AB230" s="68">
        <f t="shared" si="342"/>
        <v>169.76653999999999</v>
      </c>
      <c r="AC230" s="68">
        <f t="shared" ref="AC230:AH230" si="343">AC45*AC219</f>
        <v>168.74323435145291</v>
      </c>
      <c r="AD230" s="68">
        <f t="shared" si="343"/>
        <v>167.53027549679547</v>
      </c>
      <c r="AE230" s="68">
        <f t="shared" si="343"/>
        <v>173.11635702663136</v>
      </c>
      <c r="AF230" s="68">
        <f t="shared" si="343"/>
        <v>179.05293599999999</v>
      </c>
      <c r="AG230" s="68">
        <f t="shared" si="343"/>
        <v>182.1036</v>
      </c>
      <c r="AH230" s="68">
        <f t="shared" si="343"/>
        <v>168.37504182703731</v>
      </c>
      <c r="AI230" s="68">
        <f>AI45*AI219</f>
        <v>185.60975000624362</v>
      </c>
      <c r="AJ230" s="68">
        <f>AJ45*AJ219</f>
        <v>182.90374280567997</v>
      </c>
      <c r="AK230" s="68">
        <f>AK45*AK219</f>
        <v>201.57846413670916</v>
      </c>
      <c r="AN230"/>
    </row>
    <row r="231" spans="2:40" s="50" customFormat="1" ht="13.5" customHeight="1" thickTop="1">
      <c r="B231" s="21" t="str">
        <f>B46</f>
        <v xml:space="preserve">% growth </v>
      </c>
      <c r="C231" s="85"/>
      <c r="D231" s="85">
        <f t="shared" ref="D231:I231" si="344">D230/C230-1</f>
        <v>2.4206287174941332E-2</v>
      </c>
      <c r="E231" s="85">
        <f t="shared" si="344"/>
        <v>1.9188562192413272E-2</v>
      </c>
      <c r="F231" s="85">
        <f t="shared" si="344"/>
        <v>2.2506849751107394E-2</v>
      </c>
      <c r="G231" s="85">
        <f t="shared" si="344"/>
        <v>1.6448150001769468E-2</v>
      </c>
      <c r="H231" s="85">
        <f t="shared" si="344"/>
        <v>0</v>
      </c>
      <c r="I231" s="138">
        <f t="shared" si="344"/>
        <v>7.0790650582474912E-2</v>
      </c>
      <c r="J231" s="138">
        <f>J230/H230-1</f>
        <v>7.0790650582474912E-2</v>
      </c>
      <c r="K231" s="138">
        <f>K230/I230-1</f>
        <v>6.3148567609977668E-2</v>
      </c>
      <c r="L231" s="138">
        <f>L230/J230-1</f>
        <v>0.12442852738552257</v>
      </c>
      <c r="N231" s="85"/>
      <c r="O231" s="85"/>
      <c r="P231" s="85"/>
      <c r="Q231" s="85"/>
      <c r="R231" s="85">
        <f t="shared" ref="R231:AI231" si="345">R230/N230-1</f>
        <v>-3.0660551460551466E-2</v>
      </c>
      <c r="S231" s="85">
        <f t="shared" si="345"/>
        <v>4.6845609332052174E-2</v>
      </c>
      <c r="T231" s="85">
        <f>T230/P230-1</f>
        <v>5.1002920398134366E-2</v>
      </c>
      <c r="U231" s="85">
        <f t="shared" si="345"/>
        <v>3.3932465276906854E-2</v>
      </c>
      <c r="V231" s="138">
        <f t="shared" si="345"/>
        <v>7.9421098875118279E-2</v>
      </c>
      <c r="W231" s="138">
        <f t="shared" si="345"/>
        <v>4.5219307411037635E-2</v>
      </c>
      <c r="X231" s="138">
        <f t="shared" si="345"/>
        <v>-3.7778746773352578E-3</v>
      </c>
      <c r="Y231" s="138">
        <f t="shared" si="345"/>
        <v>-6.880926754016703E-2</v>
      </c>
      <c r="Z231" s="138">
        <f t="shared" si="345"/>
        <v>4.0924640711888616E-2</v>
      </c>
      <c r="AA231" s="138">
        <f t="shared" si="345"/>
        <v>4.0870509845736924E-2</v>
      </c>
      <c r="AB231" s="138">
        <f t="shared" si="345"/>
        <v>8.3509544709289729E-2</v>
      </c>
      <c r="AC231" s="138">
        <f t="shared" si="345"/>
        <v>0.14194668165041691</v>
      </c>
      <c r="AD231" s="138">
        <f t="shared" si="345"/>
        <v>0.11979632277750385</v>
      </c>
      <c r="AE231" s="138">
        <f t="shared" si="345"/>
        <v>4.0759762357847729E-2</v>
      </c>
      <c r="AF231" s="138">
        <f>AF230/AB230-1</f>
        <v>5.4700979356709478E-2</v>
      </c>
      <c r="AG231" s="138">
        <f t="shared" si="345"/>
        <v>7.9175711547169625E-2</v>
      </c>
      <c r="AH231" s="138">
        <f t="shared" si="345"/>
        <v>5.0424696535402713E-3</v>
      </c>
      <c r="AI231" s="138">
        <f t="shared" si="345"/>
        <v>7.2167605616205943E-2</v>
      </c>
      <c r="AJ231" s="138">
        <f>AJ230/AF230-1</f>
        <v>2.1506527017685961E-2</v>
      </c>
      <c r="AK231" s="138">
        <f>AK230/AG230-1</f>
        <v>0.10694387226122459</v>
      </c>
      <c r="AN231"/>
    </row>
    <row r="232" spans="2:40" s="50" customFormat="1" ht="13.5" customHeight="1">
      <c r="B232" s="21" t="str">
        <f>B47</f>
        <v>% margin</v>
      </c>
      <c r="C232" s="85">
        <f t="shared" ref="C232:W232" si="346">C230/C224</f>
        <v>0.15005408595694014</v>
      </c>
      <c r="D232" s="85">
        <f t="shared" si="346"/>
        <v>0.1568146222951923</v>
      </c>
      <c r="E232" s="85">
        <f t="shared" si="346"/>
        <v>0.16074765193189533</v>
      </c>
      <c r="F232" s="85">
        <f t="shared" si="346"/>
        <v>0.16072423837977501</v>
      </c>
      <c r="G232" s="85">
        <f t="shared" ref="G232:L232" si="347">G230/G224</f>
        <v>0.15857411495627943</v>
      </c>
      <c r="H232" s="85">
        <f t="shared" si="347"/>
        <v>0.15858161127561315</v>
      </c>
      <c r="I232" s="138">
        <f t="shared" si="347"/>
        <v>0.16188627907566344</v>
      </c>
      <c r="J232" s="138">
        <f t="shared" si="347"/>
        <v>0.16188627907566344</v>
      </c>
      <c r="K232" s="138">
        <f t="shared" si="347"/>
        <v>0.16897333638291753</v>
      </c>
      <c r="L232" s="138">
        <f t="shared" si="347"/>
        <v>0.15901261980044412</v>
      </c>
      <c r="N232" s="85">
        <f t="shared" si="346"/>
        <v>0.15634322359512981</v>
      </c>
      <c r="O232" s="85">
        <f t="shared" si="346"/>
        <v>0.16160824302356425</v>
      </c>
      <c r="P232" s="85">
        <f t="shared" si="346"/>
        <v>0.16305420634236698</v>
      </c>
      <c r="Q232" s="85">
        <f t="shared" si="346"/>
        <v>0.16159585498395415</v>
      </c>
      <c r="R232" s="85">
        <f t="shared" si="346"/>
        <v>0.1525672451305338</v>
      </c>
      <c r="S232" s="85">
        <f t="shared" si="346"/>
        <v>0.16258118593312024</v>
      </c>
      <c r="T232" s="85">
        <f>T230/T224</f>
        <v>0.16352921491444802</v>
      </c>
      <c r="U232" s="85">
        <f t="shared" si="346"/>
        <v>0.16420207176099685</v>
      </c>
      <c r="V232" s="138">
        <f t="shared" si="346"/>
        <v>0.15354667727728202</v>
      </c>
      <c r="W232" s="138">
        <f t="shared" si="346"/>
        <v>0.16350094106749274</v>
      </c>
      <c r="X232" s="138">
        <f t="shared" ref="X232:AC232" si="348">X230/X224</f>
        <v>0.16351466855852545</v>
      </c>
      <c r="Y232" s="138">
        <f t="shared" si="348"/>
        <v>0.15354343814110219</v>
      </c>
      <c r="Z232" s="138">
        <f t="shared" si="348"/>
        <v>0.15453145320603517</v>
      </c>
      <c r="AA232" s="138">
        <f t="shared" si="348"/>
        <v>0.16454571145102495</v>
      </c>
      <c r="AB232" s="138">
        <f t="shared" si="348"/>
        <v>0.16451133874081453</v>
      </c>
      <c r="AC232" s="138">
        <f t="shared" si="348"/>
        <v>0.16356505993142095</v>
      </c>
      <c r="AD232" s="138">
        <f t="shared" ref="AD232:AI232" si="349">AD230/AD224</f>
        <v>0.16268809563627826</v>
      </c>
      <c r="AE232" s="138">
        <f t="shared" si="349"/>
        <v>0.1666144624583821</v>
      </c>
      <c r="AF232" s="138">
        <f t="shared" si="349"/>
        <v>0.16844742088850265</v>
      </c>
      <c r="AG232" s="138">
        <f t="shared" si="349"/>
        <v>0.1783038572110624</v>
      </c>
      <c r="AH232" s="138">
        <f t="shared" si="349"/>
        <v>0.15654495897277648</v>
      </c>
      <c r="AI232" s="138">
        <f t="shared" si="349"/>
        <v>0.16552349589543155</v>
      </c>
      <c r="AJ232" s="138">
        <f>AJ230/AJ224</f>
        <v>0.15454092830735891</v>
      </c>
      <c r="AK232" s="138">
        <f>AK230/AK224</f>
        <v>0.1596132824846761</v>
      </c>
      <c r="AN232"/>
    </row>
    <row r="233" spans="2:40" ht="13.5" customHeight="1">
      <c r="C233" s="55"/>
      <c r="H233" s="55"/>
      <c r="I233" s="55"/>
      <c r="J233" s="55"/>
      <c r="K233" s="55"/>
      <c r="L233" s="55"/>
      <c r="AN233"/>
    </row>
    <row r="234" spans="2:40" s="5" customFormat="1" ht="13.5" customHeight="1">
      <c r="B234" s="5" t="str">
        <f t="shared" ref="B234:B253" si="350">B60</f>
        <v xml:space="preserve">Adjusted EBITDA </v>
      </c>
      <c r="C234" s="79">
        <f t="shared" ref="C234:H234" si="351">C60*C219</f>
        <v>563.39867000000004</v>
      </c>
      <c r="D234" s="79">
        <f t="shared" si="351"/>
        <v>577.03646000000003</v>
      </c>
      <c r="E234" s="79">
        <f t="shared" si="351"/>
        <v>588.10896000000002</v>
      </c>
      <c r="F234" s="79">
        <f t="shared" si="351"/>
        <v>601.34544000000005</v>
      </c>
      <c r="G234" s="79">
        <f t="shared" si="351"/>
        <v>611.23646000000008</v>
      </c>
      <c r="H234" s="79">
        <f t="shared" si="351"/>
        <v>611.23646000000008</v>
      </c>
      <c r="I234" s="79">
        <f>I60*I219</f>
        <v>654.506286663129</v>
      </c>
      <c r="J234" s="79">
        <f>J60*J219</f>
        <v>654.506286663129</v>
      </c>
      <c r="K234" s="79">
        <f>K60*K219</f>
        <v>695.83742115763107</v>
      </c>
      <c r="L234" s="79">
        <f>L60*L219</f>
        <v>735.94554007718887</v>
      </c>
      <c r="N234" s="79">
        <f t="shared" ref="N234:Z234" si="352">N60*N219</f>
        <v>137.36250000000001</v>
      </c>
      <c r="O234" s="79">
        <f t="shared" si="352"/>
        <v>146.04976000000002</v>
      </c>
      <c r="P234" s="79">
        <f t="shared" si="352"/>
        <v>149.64398</v>
      </c>
      <c r="Q234" s="79">
        <f t="shared" si="352"/>
        <v>153.47927000000001</v>
      </c>
      <c r="R234" s="79">
        <f t="shared" si="352"/>
        <v>133.15089</v>
      </c>
      <c r="S234" s="79">
        <f t="shared" si="352"/>
        <v>152.89155</v>
      </c>
      <c r="T234" s="79">
        <f t="shared" si="352"/>
        <v>157.27626000000001</v>
      </c>
      <c r="U234" s="79">
        <f t="shared" si="352"/>
        <v>158.68720000000002</v>
      </c>
      <c r="V234" s="79">
        <f t="shared" si="352"/>
        <v>143.72587999999999</v>
      </c>
      <c r="W234" s="79">
        <f t="shared" si="352"/>
        <v>159.80520000000001</v>
      </c>
      <c r="X234" s="79">
        <f t="shared" si="352"/>
        <v>156.68209000000002</v>
      </c>
      <c r="Y234" s="79">
        <f t="shared" si="352"/>
        <v>147.76805000000002</v>
      </c>
      <c r="Z234" s="79">
        <f t="shared" si="352"/>
        <v>149.60781</v>
      </c>
      <c r="AA234" s="79">
        <f t="shared" ref="AA234:AF234" si="353">AA60*AA219</f>
        <v>166.33651999999998</v>
      </c>
      <c r="AB234" s="79">
        <f t="shared" si="353"/>
        <v>169.76653999999999</v>
      </c>
      <c r="AC234" s="79">
        <f t="shared" si="353"/>
        <v>168.74323435145291</v>
      </c>
      <c r="AD234" s="79">
        <f t="shared" si="353"/>
        <v>167.53027549679547</v>
      </c>
      <c r="AE234" s="79">
        <f t="shared" si="353"/>
        <v>173.11635702663136</v>
      </c>
      <c r="AF234" s="79">
        <f t="shared" si="353"/>
        <v>179.05293599999999</v>
      </c>
      <c r="AG234" s="79">
        <f>AG60*AG219</f>
        <v>182.1036</v>
      </c>
      <c r="AH234" s="79">
        <f>AH60*AH219</f>
        <v>168.37504182703731</v>
      </c>
      <c r="AI234" s="79">
        <f>AI60*AI219</f>
        <v>185.60975000624362</v>
      </c>
      <c r="AJ234" s="79">
        <f>AJ60*AJ219</f>
        <v>182.90374280567997</v>
      </c>
      <c r="AK234" s="79">
        <f>AK60*AK219</f>
        <v>201.57846413670916</v>
      </c>
      <c r="AN234"/>
    </row>
    <row r="235" spans="2:40" ht="13.5" customHeight="1">
      <c r="B235" s="1" t="str">
        <f t="shared" si="350"/>
        <v>Working Capital</v>
      </c>
      <c r="C235" s="69">
        <f t="shared" ref="C235:H235" si="354">C61*C219</f>
        <v>46.722614860000007</v>
      </c>
      <c r="D235" s="69">
        <f t="shared" si="354"/>
        <v>-103.06822063999999</v>
      </c>
      <c r="E235" s="69">
        <f t="shared" si="354"/>
        <v>62.85980412</v>
      </c>
      <c r="F235" s="69">
        <f t="shared" si="354"/>
        <v>-146.73438350999999</v>
      </c>
      <c r="G235" s="69">
        <f t="shared" si="354"/>
        <v>-98.574933220000005</v>
      </c>
      <c r="H235" s="76">
        <f t="shared" si="354"/>
        <v>-97.96291586000001</v>
      </c>
      <c r="I235" s="76">
        <f>I61*I219</f>
        <v>-122.41278934485933</v>
      </c>
      <c r="J235" s="76">
        <f>J61*J219</f>
        <v>-99.494986320483932</v>
      </c>
      <c r="K235" s="76">
        <f>K61*K219</f>
        <v>44.782747602225385</v>
      </c>
      <c r="L235" s="76">
        <f>L61*L219</f>
        <v>12.775704228384733</v>
      </c>
      <c r="N235" s="69">
        <f t="shared" ref="N235:Z235" si="355">N61*N219</f>
        <v>-6.9377775000000002</v>
      </c>
      <c r="O235" s="69">
        <f t="shared" si="355"/>
        <v>60.892302000000008</v>
      </c>
      <c r="P235" s="69">
        <f t="shared" si="355"/>
        <v>44.21030334999999</v>
      </c>
      <c r="Q235" s="69">
        <f t="shared" si="355"/>
        <v>-31.979407039999991</v>
      </c>
      <c r="R235" s="69">
        <f t="shared" si="355"/>
        <v>-81.966789350000013</v>
      </c>
      <c r="S235" s="69">
        <f t="shared" si="355"/>
        <v>-41.013171769999964</v>
      </c>
      <c r="T235" s="69">
        <f t="shared" si="355"/>
        <v>-74.611419930000068</v>
      </c>
      <c r="U235" s="69">
        <f t="shared" si="355"/>
        <v>51.768614880000051</v>
      </c>
      <c r="V235" s="69">
        <f t="shared" si="355"/>
        <v>-86.994413460000018</v>
      </c>
      <c r="W235" s="69">
        <f t="shared" si="355"/>
        <v>-15.865864799999992</v>
      </c>
      <c r="X235" s="69">
        <f t="shared" si="355"/>
        <v>-17.393215060000006</v>
      </c>
      <c r="Y235" s="69">
        <f t="shared" si="355"/>
        <v>19.71298435000001</v>
      </c>
      <c r="Z235" s="69">
        <f t="shared" si="355"/>
        <v>-37.495646280000003</v>
      </c>
      <c r="AA235" s="69">
        <f t="shared" ref="AA235:AF235" si="356">AA61*AA219</f>
        <v>-26.030513899999995</v>
      </c>
      <c r="AB235" s="69">
        <f t="shared" si="356"/>
        <v>-2.3238306799999715</v>
      </c>
      <c r="AC235" s="69">
        <f t="shared" si="356"/>
        <v>-57.366332010273204</v>
      </c>
      <c r="AD235" s="69">
        <f t="shared" si="356"/>
        <v>41.964828390355777</v>
      </c>
      <c r="AE235" s="69">
        <f t="shared" si="356"/>
        <v>-17.360949981845962</v>
      </c>
      <c r="AF235" s="69">
        <f t="shared" si="356"/>
        <v>67.72933158799998</v>
      </c>
      <c r="AG235" s="69">
        <f>AG61*AG219</f>
        <v>-45.593583699999982</v>
      </c>
      <c r="AH235" s="69">
        <f>AH61*AH219</f>
        <v>18.226210316850921</v>
      </c>
      <c r="AI235" s="69">
        <f>AI61*AI219</f>
        <v>86.904323068854438</v>
      </c>
      <c r="AJ235" s="69">
        <f>AJ61*AJ219</f>
        <v>-29.206816318358122</v>
      </c>
      <c r="AK235" s="69">
        <f>AK61*AK219</f>
        <v>-62.151133655215524</v>
      </c>
      <c r="AN235"/>
    </row>
    <row r="236" spans="2:40" ht="13.5" customHeight="1">
      <c r="B236" s="1" t="str">
        <f t="shared" si="350"/>
        <v>Taxes/Other adjustments</v>
      </c>
      <c r="C236" s="69">
        <f t="shared" ref="C236:H236" si="357">C62*C219</f>
        <v>-136.54594228000002</v>
      </c>
      <c r="D236" s="69">
        <f t="shared" si="357"/>
        <v>-169.51928224</v>
      </c>
      <c r="E236" s="69">
        <f t="shared" si="357"/>
        <v>-158.37537204</v>
      </c>
      <c r="F236" s="69">
        <f t="shared" si="357"/>
        <v>-170.98248276000001</v>
      </c>
      <c r="G236" s="69">
        <f t="shared" si="357"/>
        <v>-110.20331512</v>
      </c>
      <c r="H236" s="76">
        <f t="shared" si="357"/>
        <v>-108.38215219999999</v>
      </c>
      <c r="I236" s="76">
        <f>I62*I219</f>
        <v>-148.34154071049079</v>
      </c>
      <c r="J236" s="76">
        <f>J62*J219</f>
        <v>-148.34148846701325</v>
      </c>
      <c r="K236" s="76">
        <f>K62*K219</f>
        <v>-148.76031320339283</v>
      </c>
      <c r="L236" s="76">
        <f>L62*L219</f>
        <v>-145.92061230640502</v>
      </c>
      <c r="N236" s="69">
        <f t="shared" ref="N236:Z236" si="358">N62*N219</f>
        <v>-18.029730000000001</v>
      </c>
      <c r="O236" s="69">
        <f t="shared" si="358"/>
        <v>-64.948969520000006</v>
      </c>
      <c r="P236" s="69">
        <f t="shared" si="358"/>
        <v>-35.41335986</v>
      </c>
      <c r="Q236" s="69">
        <f t="shared" si="358"/>
        <v>-39.808212500000003</v>
      </c>
      <c r="R236" s="69">
        <f t="shared" si="358"/>
        <v>-13.733104789999999</v>
      </c>
      <c r="S236" s="69">
        <f t="shared" si="358"/>
        <v>-79.781399430000008</v>
      </c>
      <c r="T236" s="69">
        <f t="shared" si="358"/>
        <v>-32.214522510000009</v>
      </c>
      <c r="U236" s="69">
        <f t="shared" si="358"/>
        <v>-47.133314319999997</v>
      </c>
      <c r="V236" s="69">
        <f t="shared" si="358"/>
        <v>-14.260735950000001</v>
      </c>
      <c r="W236" s="69">
        <f t="shared" si="358"/>
        <v>-54.960501600000001</v>
      </c>
      <c r="X236" s="69">
        <f t="shared" si="358"/>
        <v>-27.341931729999999</v>
      </c>
      <c r="Y236" s="69">
        <f t="shared" si="358"/>
        <v>-11.205348599999997</v>
      </c>
      <c r="Z236" s="69">
        <f t="shared" si="358"/>
        <v>-17.476651799999999</v>
      </c>
      <c r="AA236" s="69">
        <f t="shared" ref="AA236:AF236" si="359">AA62*AA219</f>
        <v>-58.617659600000003</v>
      </c>
      <c r="AB236" s="69">
        <f t="shared" si="359"/>
        <v>-33.051162739999995</v>
      </c>
      <c r="AC236" s="69">
        <f t="shared" si="359"/>
        <v>-39.364824995224268</v>
      </c>
      <c r="AD236" s="69">
        <f t="shared" si="359"/>
        <v>-22.91097206133551</v>
      </c>
      <c r="AE236" s="69">
        <f t="shared" si="359"/>
        <v>-16.181753478838065</v>
      </c>
      <c r="AF236" s="69">
        <f t="shared" si="359"/>
        <v>-82.306885163999979</v>
      </c>
      <c r="AG236" s="69">
        <f>AG62*AG219</f>
        <v>-28.771344700000014</v>
      </c>
      <c r="AH236" s="69">
        <f>AH62*AH219</f>
        <v>-18.735069566243521</v>
      </c>
      <c r="AI236" s="69">
        <f>AI62*AI219</f>
        <v>-65.296670912314895</v>
      </c>
      <c r="AJ236" s="69">
        <f>AJ62*AJ219</f>
        <v>-23.836952562331675</v>
      </c>
      <c r="AK236" s="69">
        <f>AK62*AK219</f>
        <v>-39.114864627098463</v>
      </c>
      <c r="AN236"/>
    </row>
    <row r="237" spans="2:40" ht="13.5" customHeight="1">
      <c r="B237" s="1" t="str">
        <f t="shared" si="350"/>
        <v>Cash interest paid</v>
      </c>
      <c r="C237" s="69">
        <f t="shared" ref="C237:H237" si="360">C63*C219</f>
        <v>-76.015285440000014</v>
      </c>
      <c r="D237" s="69">
        <f t="shared" si="360"/>
        <v>-30.673727700000001</v>
      </c>
      <c r="E237" s="69">
        <f t="shared" si="360"/>
        <v>-31.426120439999998</v>
      </c>
      <c r="F237" s="69">
        <f t="shared" si="360"/>
        <v>-39.924799559999997</v>
      </c>
      <c r="G237" s="69">
        <f t="shared" si="360"/>
        <v>-64.08830682</v>
      </c>
      <c r="H237" s="76">
        <f t="shared" si="360"/>
        <v>-64.08830682</v>
      </c>
      <c r="I237" s="76">
        <f>I63*I219</f>
        <v>-98.092771383220338</v>
      </c>
      <c r="J237" s="76">
        <f>J63*J219</f>
        <v>-86.845116372479197</v>
      </c>
      <c r="K237" s="76">
        <f>K63*K219</f>
        <v>-49.191879745276488</v>
      </c>
      <c r="L237" s="76">
        <f>L63*L219</f>
        <v>-49.957576245915</v>
      </c>
      <c r="N237" s="69">
        <f t="shared" ref="N237:Z237" si="361">N63*N219</f>
        <v>-2.3091330000000001</v>
      </c>
      <c r="O237" s="69">
        <f t="shared" si="361"/>
        <v>-12.889858719999999</v>
      </c>
      <c r="P237" s="69">
        <f t="shared" si="361"/>
        <v>-2.3622523500000008</v>
      </c>
      <c r="Q237" s="69">
        <f t="shared" si="361"/>
        <v>-13.465194120000003</v>
      </c>
      <c r="R237" s="69">
        <f t="shared" si="361"/>
        <v>-3.43521397</v>
      </c>
      <c r="S237" s="69">
        <f t="shared" si="361"/>
        <v>-13.492962419999998</v>
      </c>
      <c r="T237" s="69">
        <f t="shared" si="361"/>
        <v>-6.2436766800000036</v>
      </c>
      <c r="U237" s="69">
        <f t="shared" si="361"/>
        <v>-16.983484399999995</v>
      </c>
      <c r="V237" s="69">
        <f t="shared" si="361"/>
        <v>-7.3043926800000003</v>
      </c>
      <c r="W237" s="69">
        <f t="shared" si="361"/>
        <v>-20.785615199999999</v>
      </c>
      <c r="X237" s="69">
        <f t="shared" si="361"/>
        <v>-17.67729529</v>
      </c>
      <c r="Y237" s="69">
        <f t="shared" si="361"/>
        <v>-17.675157500000001</v>
      </c>
      <c r="Z237" s="69">
        <f t="shared" si="361"/>
        <v>-17.470711260000002</v>
      </c>
      <c r="AA237" s="69">
        <f t="shared" ref="AA237:AF237" si="362">AA63*AA219</f>
        <v>-29.242462679999999</v>
      </c>
      <c r="AB237" s="69">
        <f t="shared" si="362"/>
        <v>-20.125851620000002</v>
      </c>
      <c r="AC237" s="69">
        <f t="shared" si="362"/>
        <v>-31.442648525884575</v>
      </c>
      <c r="AD237" s="69">
        <f t="shared" si="362"/>
        <v>-8.305916851328</v>
      </c>
      <c r="AE237" s="69">
        <f t="shared" si="362"/>
        <v>-18.138704154577592</v>
      </c>
      <c r="AF237" s="69">
        <f t="shared" si="362"/>
        <v>-6.9294029639999994</v>
      </c>
      <c r="AG237" s="69">
        <f>AG63*AG219</f>
        <v>-15.825005751449996</v>
      </c>
      <c r="AH237" s="69">
        <f>AH63*AH219</f>
        <v>-7.5705240220555794</v>
      </c>
      <c r="AI237" s="69">
        <f>AI63*AI219</f>
        <v>-16.658275267850453</v>
      </c>
      <c r="AJ237" s="69">
        <f>AJ63*AJ219</f>
        <v>-5.1433384113225866</v>
      </c>
      <c r="AK237" s="69">
        <f>AK63*AK219</f>
        <v>-20.813749835223661</v>
      </c>
      <c r="AN237"/>
    </row>
    <row r="238" spans="2:40" s="5" customFormat="1" ht="13.5" customHeight="1" thickBot="1">
      <c r="B238" s="25" t="str">
        <f t="shared" si="350"/>
        <v xml:space="preserve">Net cash from operations </v>
      </c>
      <c r="C238" s="70">
        <f t="shared" ref="C238:H238" si="363">C64*C219</f>
        <v>397.56005714000008</v>
      </c>
      <c r="D238" s="70">
        <f t="shared" si="363"/>
        <v>273.77522942000002</v>
      </c>
      <c r="E238" s="70">
        <f t="shared" si="363"/>
        <v>461.16727164000002</v>
      </c>
      <c r="F238" s="70">
        <f t="shared" si="363"/>
        <v>243.70377417</v>
      </c>
      <c r="G238" s="70">
        <f t="shared" si="363"/>
        <v>338.36990484</v>
      </c>
      <c r="H238" s="70">
        <f t="shared" si="363"/>
        <v>340.80308512000005</v>
      </c>
      <c r="I238" s="70">
        <f>I64*I219</f>
        <v>285.65918522455866</v>
      </c>
      <c r="J238" s="70">
        <f>J64*J219</f>
        <v>319.82469550315267</v>
      </c>
      <c r="K238" s="70">
        <f>K64*K219</f>
        <v>542.66797581118703</v>
      </c>
      <c r="L238" s="70">
        <f>L64*L219</f>
        <v>552.84305575325345</v>
      </c>
      <c r="N238" s="70">
        <f t="shared" ref="N238:Z238" si="364">N64*N219</f>
        <v>110.08585949999998</v>
      </c>
      <c r="O238" s="70">
        <f t="shared" si="364"/>
        <v>129.10323375999999</v>
      </c>
      <c r="P238" s="70">
        <f t="shared" si="364"/>
        <v>156.07867114000001</v>
      </c>
      <c r="Q238" s="70">
        <f t="shared" si="364"/>
        <v>68.226456340000013</v>
      </c>
      <c r="R238" s="70">
        <f t="shared" si="364"/>
        <v>34.015781889999985</v>
      </c>
      <c r="S238" s="70">
        <f t="shared" si="364"/>
        <v>18.604016380000019</v>
      </c>
      <c r="T238" s="70">
        <f t="shared" si="364"/>
        <v>44.206640879999924</v>
      </c>
      <c r="U238" s="70">
        <f t="shared" si="364"/>
        <v>146.33901616000006</v>
      </c>
      <c r="V238" s="70">
        <f t="shared" si="364"/>
        <v>35.166337909999989</v>
      </c>
      <c r="W238" s="70">
        <f t="shared" si="364"/>
        <v>68.193218400000006</v>
      </c>
      <c r="X238" s="70">
        <f t="shared" si="364"/>
        <v>94.269647919999983</v>
      </c>
      <c r="Y238" s="70">
        <f t="shared" si="364"/>
        <v>138.60052825000002</v>
      </c>
      <c r="Z238" s="70">
        <f t="shared" si="364"/>
        <v>77.164800659999969</v>
      </c>
      <c r="AA238" s="70">
        <f t="shared" ref="AA238:AF238" si="365">AA64*AA219</f>
        <v>52.445883819999992</v>
      </c>
      <c r="AB238" s="70">
        <f t="shared" si="365"/>
        <v>114.26569496000003</v>
      </c>
      <c r="AC238" s="70">
        <f t="shared" si="365"/>
        <v>40.569428820070875</v>
      </c>
      <c r="AD238" s="70">
        <f t="shared" si="365"/>
        <v>178.27821497448772</v>
      </c>
      <c r="AE238" s="70">
        <f t="shared" si="365"/>
        <v>121.43494941136974</v>
      </c>
      <c r="AF238" s="70">
        <f t="shared" si="365"/>
        <v>157.54597945999996</v>
      </c>
      <c r="AG238" s="70">
        <f>AG64*AG219</f>
        <v>91.913665848549982</v>
      </c>
      <c r="AH238" s="70">
        <f>AH64*AH219</f>
        <v>160.29565855558914</v>
      </c>
      <c r="AI238" s="70">
        <f>AI64*AI219</f>
        <v>190.55912689493272</v>
      </c>
      <c r="AJ238" s="70">
        <f>AJ64*AJ219</f>
        <v>124.71663551366757</v>
      </c>
      <c r="AK238" s="70">
        <f>AK64*AK219</f>
        <v>79.498716019171511</v>
      </c>
      <c r="AN238"/>
    </row>
    <row r="239" spans="2:40" s="5" customFormat="1" ht="13.5" customHeight="1" thickTop="1">
      <c r="B239" s="1" t="str">
        <f t="shared" si="350"/>
        <v>Net Capex</v>
      </c>
      <c r="C239" s="69">
        <f t="shared" ref="C239:H239" si="366">C65*C219</f>
        <v>-111.41082756</v>
      </c>
      <c r="D239" s="69">
        <f t="shared" si="366"/>
        <v>-138.95668094000001</v>
      </c>
      <c r="E239" s="69">
        <f t="shared" si="366"/>
        <v>-291.64540031999996</v>
      </c>
      <c r="F239" s="69">
        <f t="shared" si="366"/>
        <v>-257.90260869000002</v>
      </c>
      <c r="G239" s="69">
        <f t="shared" si="366"/>
        <v>-189.67451897999999</v>
      </c>
      <c r="H239" s="69">
        <f t="shared" si="366"/>
        <v>-185.82004864000001</v>
      </c>
      <c r="I239" s="69">
        <f>I65*I219</f>
        <v>-69.269104439956578</v>
      </c>
      <c r="J239" s="69">
        <f>J65*J219</f>
        <v>-69.493437932527755</v>
      </c>
      <c r="K239" s="69">
        <f>K65*K219</f>
        <v>-162.03456239929233</v>
      </c>
      <c r="L239" s="69">
        <f>L65*L219</f>
        <v>-251.13926718159505</v>
      </c>
      <c r="N239" s="69">
        <f t="shared" ref="N239:Z239" si="367">N65*N219</f>
        <v>-49.891391999999996</v>
      </c>
      <c r="O239" s="69">
        <f t="shared" si="367"/>
        <v>-76.087557839999988</v>
      </c>
      <c r="P239" s="69">
        <f t="shared" si="367"/>
        <v>-52.218069500000006</v>
      </c>
      <c r="Q239" s="69">
        <f t="shared" si="367"/>
        <v>-110.15536777000003</v>
      </c>
      <c r="R239" s="69">
        <f t="shared" si="367"/>
        <v>-54.913312970000007</v>
      </c>
      <c r="S239" s="69">
        <f t="shared" si="367"/>
        <v>-59.602357400000002</v>
      </c>
      <c r="T239" s="69">
        <f t="shared" si="367"/>
        <v>-85.047446309999984</v>
      </c>
      <c r="U239" s="69">
        <f t="shared" si="367"/>
        <v>-59.706507119999976</v>
      </c>
      <c r="V239" s="69">
        <f t="shared" si="367"/>
        <v>-29.064021080000003</v>
      </c>
      <c r="W239" s="69">
        <f t="shared" si="367"/>
        <v>-54.852967200000009</v>
      </c>
      <c r="X239" s="69">
        <f t="shared" si="367"/>
        <v>-39.354415339999989</v>
      </c>
      <c r="Y239" s="69">
        <f t="shared" si="367"/>
        <v>-60.672784400000005</v>
      </c>
      <c r="Z239" s="69">
        <f t="shared" si="367"/>
        <v>-29.317659209999999</v>
      </c>
      <c r="AA239" s="69">
        <f t="shared" ref="AA239:AF239" si="368">AA65*AA219</f>
        <v>-17.605658139999999</v>
      </c>
      <c r="AB239" s="69">
        <f t="shared" si="368"/>
        <v>-16.6071712</v>
      </c>
      <c r="AC239" s="69">
        <f t="shared" si="368"/>
        <v>-5.5286226731475328</v>
      </c>
      <c r="AD239" s="69">
        <f t="shared" si="368"/>
        <v>-21.61288726192268</v>
      </c>
      <c r="AE239" s="69">
        <f t="shared" si="368"/>
        <v>-29.995259702155213</v>
      </c>
      <c r="AF239" s="69">
        <f t="shared" si="368"/>
        <v>-48.845043191999991</v>
      </c>
      <c r="AG239" s="69">
        <f>AG65*AG219</f>
        <v>-63.160110650000014</v>
      </c>
      <c r="AH239" s="69">
        <f>AH65*AH219</f>
        <v>-41.728349759706695</v>
      </c>
      <c r="AI239" s="69">
        <f>AI65*AI219</f>
        <v>-34.286506331010727</v>
      </c>
      <c r="AJ239" s="69">
        <f>AJ65*AJ219</f>
        <v>-111.34045007168132</v>
      </c>
      <c r="AK239" s="69">
        <f>AK65*AK219</f>
        <v>-64.75525242053439</v>
      </c>
      <c r="AN239"/>
    </row>
    <row r="240" spans="2:40" ht="13.5" customHeight="1">
      <c r="B240" s="1" t="str">
        <f t="shared" si="350"/>
        <v>Net Payment for acquisition  of intangible assets</v>
      </c>
      <c r="C240" s="69">
        <f t="shared" ref="C240:H240" si="369">C66*C219</f>
        <v>-1.2877039400000001</v>
      </c>
      <c r="D240" s="69">
        <f t="shared" si="369"/>
        <v>-0.24106852000000001</v>
      </c>
      <c r="E240" s="69">
        <f t="shared" si="369"/>
        <v>-2.37909492</v>
      </c>
      <c r="F240" s="69">
        <f t="shared" si="369"/>
        <v>-8.42551542</v>
      </c>
      <c r="G240" s="69">
        <f t="shared" si="369"/>
        <v>-13.912722640000002</v>
      </c>
      <c r="H240" s="69">
        <f t="shared" si="369"/>
        <v>-15.761945900000001</v>
      </c>
      <c r="I240" s="69">
        <f>I66*I219</f>
        <v>-2.3195581594473396</v>
      </c>
      <c r="J240" s="69">
        <f>J66*J219</f>
        <v>-2.3195581594473396</v>
      </c>
      <c r="K240" s="69">
        <f>K66*K219</f>
        <v>-0.96953467886254574</v>
      </c>
      <c r="L240" s="69">
        <f>L66*L219</f>
        <v>-6.8183117528336332</v>
      </c>
      <c r="N240" s="69">
        <f t="shared" ref="N240:Z240" si="370">N66*N219</f>
        <v>-3.5187000000000003E-2</v>
      </c>
      <c r="O240" s="69">
        <f t="shared" si="370"/>
        <v>1.8021280000000001E-2</v>
      </c>
      <c r="P240" s="69">
        <f t="shared" si="370"/>
        <v>-4.6290440000000002E-2</v>
      </c>
      <c r="Q240" s="69">
        <f t="shared" si="370"/>
        <v>-2.17914319</v>
      </c>
      <c r="R240" s="69">
        <f t="shared" si="370"/>
        <v>-0.27118941000000002</v>
      </c>
      <c r="S240" s="69">
        <f t="shared" si="370"/>
        <v>-2.5233307699999998</v>
      </c>
      <c r="T240" s="69">
        <f t="shared" si="370"/>
        <v>-2.5100774700000006</v>
      </c>
      <c r="U240" s="69">
        <f t="shared" si="370"/>
        <v>-3.2655295199999999</v>
      </c>
      <c r="V240" s="69">
        <f t="shared" si="370"/>
        <v>-1.9932622600000001</v>
      </c>
      <c r="W240" s="69">
        <f t="shared" si="370"/>
        <v>-5.0348699999999997</v>
      </c>
      <c r="X240" s="69">
        <f t="shared" si="370"/>
        <v>-0.76703217000000035</v>
      </c>
      <c r="Y240" s="69">
        <f t="shared" si="370"/>
        <v>-7.7217256500000007</v>
      </c>
      <c r="Z240" s="69">
        <f t="shared" si="370"/>
        <v>-2.7905426099999997</v>
      </c>
      <c r="AA240" s="69">
        <f t="shared" ref="AA240:AF240" si="371">AA66*AA219</f>
        <v>-1.3115880599999998</v>
      </c>
      <c r="AB240" s="69">
        <f t="shared" si="371"/>
        <v>1.45909684</v>
      </c>
      <c r="AC240" s="69">
        <f t="shared" si="371"/>
        <v>0.3107953218856791</v>
      </c>
      <c r="AD240" s="69">
        <f t="shared" si="371"/>
        <v>-0.181248161108088</v>
      </c>
      <c r="AE240" s="69">
        <f t="shared" si="371"/>
        <v>-0.2500139284923511</v>
      </c>
      <c r="AF240" s="69">
        <f t="shared" si="371"/>
        <v>-1.8815954839999998</v>
      </c>
      <c r="AG240" s="69">
        <f>AG66*AG219</f>
        <v>1.3827211999999998</v>
      </c>
      <c r="AH240" s="69">
        <f>AH66*AH219</f>
        <v>-8.9715964107148338E-3</v>
      </c>
      <c r="AI240" s="69">
        <f>AI66*AI219</f>
        <v>-1.375789815439175</v>
      </c>
      <c r="AJ240" s="69">
        <f>AJ66*AJ219</f>
        <v>-0.20226361379566937</v>
      </c>
      <c r="AK240" s="69">
        <f>AK66*AK219</f>
        <v>-5.2560663793755902</v>
      </c>
      <c r="AN240"/>
    </row>
    <row r="241" spans="2:40" ht="13.5" customHeight="1">
      <c r="B241" s="1" t="str">
        <f t="shared" si="350"/>
        <v>Disposals/ Acquisition, of subsidiaries</v>
      </c>
      <c r="C241" s="69">
        <f t="shared" ref="C241:H241" si="372">C67*C219</f>
        <v>267.35360933000004</v>
      </c>
      <c r="D241" s="69">
        <f t="shared" si="372"/>
        <v>-40.534869760000007</v>
      </c>
      <c r="E241" s="69">
        <f t="shared" si="372"/>
        <v>0</v>
      </c>
      <c r="F241" s="69">
        <f t="shared" si="372"/>
        <v>0</v>
      </c>
      <c r="G241" s="69">
        <f t="shared" si="372"/>
        <v>0</v>
      </c>
      <c r="H241" s="69">
        <f t="shared" si="372"/>
        <v>0</v>
      </c>
      <c r="I241" s="69">
        <f>I67*I219</f>
        <v>0</v>
      </c>
      <c r="J241" s="69">
        <f>J67*J219</f>
        <v>0</v>
      </c>
      <c r="K241" s="69">
        <f>K67*K219</f>
        <v>0</v>
      </c>
      <c r="L241" s="69">
        <f>L67*L219</f>
        <v>0</v>
      </c>
      <c r="N241" s="69">
        <f t="shared" ref="N241:Z241" si="373">N67*N219</f>
        <v>0</v>
      </c>
      <c r="O241" s="69">
        <f t="shared" si="373"/>
        <v>0</v>
      </c>
      <c r="P241" s="69">
        <f t="shared" si="373"/>
        <v>0</v>
      </c>
      <c r="Q241" s="69">
        <f t="shared" si="373"/>
        <v>0</v>
      </c>
      <c r="R241" s="69">
        <f t="shared" si="373"/>
        <v>0</v>
      </c>
      <c r="S241" s="69">
        <f t="shared" si="373"/>
        <v>0</v>
      </c>
      <c r="T241" s="69">
        <f t="shared" si="373"/>
        <v>0</v>
      </c>
      <c r="U241" s="69">
        <f t="shared" si="373"/>
        <v>0</v>
      </c>
      <c r="V241" s="69">
        <f t="shared" si="373"/>
        <v>0</v>
      </c>
      <c r="W241" s="69">
        <f t="shared" si="373"/>
        <v>0</v>
      </c>
      <c r="X241" s="69">
        <f t="shared" si="373"/>
        <v>0</v>
      </c>
      <c r="Y241" s="69">
        <f t="shared" si="373"/>
        <v>0</v>
      </c>
      <c r="Z241" s="69">
        <f t="shared" si="373"/>
        <v>0</v>
      </c>
      <c r="AA241" s="69">
        <f t="shared" ref="AA241:AF241" si="374">AA67*AA219</f>
        <v>0</v>
      </c>
      <c r="AB241" s="69">
        <f t="shared" si="374"/>
        <v>0</v>
      </c>
      <c r="AC241" s="69">
        <f t="shared" si="374"/>
        <v>0</v>
      </c>
      <c r="AD241" s="69">
        <f t="shared" si="374"/>
        <v>0</v>
      </c>
      <c r="AE241" s="69">
        <f t="shared" si="374"/>
        <v>0</v>
      </c>
      <c r="AF241" s="69">
        <f t="shared" si="374"/>
        <v>0</v>
      </c>
      <c r="AG241" s="69">
        <f>AG67*AG219</f>
        <v>0</v>
      </c>
      <c r="AH241" s="69">
        <f>AH67*AH219</f>
        <v>0</v>
      </c>
      <c r="AI241" s="69">
        <f>AI67*AI219</f>
        <v>0</v>
      </c>
      <c r="AJ241" s="69">
        <f>AJ67*AJ219</f>
        <v>0</v>
      </c>
      <c r="AK241" s="69">
        <f>AK67*AK219</f>
        <v>0</v>
      </c>
      <c r="AN241"/>
    </row>
    <row r="242" spans="2:40" ht="13.5" customHeight="1">
      <c r="B242" s="1" t="str">
        <f t="shared" si="350"/>
        <v>Deposits interest received</v>
      </c>
      <c r="C242" s="69">
        <f t="shared" ref="C242:H242" si="375">C68*C219</f>
        <v>0.99799687000000004</v>
      </c>
      <c r="D242" s="69">
        <f t="shared" si="375"/>
        <v>0.460922</v>
      </c>
      <c r="E242" s="69">
        <f t="shared" si="375"/>
        <v>0.70686792000000009</v>
      </c>
      <c r="F242" s="69">
        <f t="shared" si="375"/>
        <v>1.27096776</v>
      </c>
      <c r="G242" s="69">
        <f t="shared" si="375"/>
        <v>2.6594330400000001</v>
      </c>
      <c r="H242" s="69">
        <f t="shared" si="375"/>
        <v>2.6594330400000001</v>
      </c>
      <c r="I242" s="69">
        <f>I68*I219</f>
        <v>4.2381998722269856</v>
      </c>
      <c r="J242" s="69">
        <f>J68*J219</f>
        <v>4.2381998722269856</v>
      </c>
      <c r="K242" s="69">
        <f>K68*K219</f>
        <v>2.1337085636173065</v>
      </c>
      <c r="L242" s="69">
        <f>L68*L219</f>
        <v>1.6635502142653584</v>
      </c>
      <c r="N242" s="69">
        <f t="shared" ref="N242:Z242" si="376">N68*N219</f>
        <v>0.13897200000000001</v>
      </c>
      <c r="O242" s="69">
        <f t="shared" si="376"/>
        <v>0.15389952000000001</v>
      </c>
      <c r="P242" s="69">
        <f t="shared" si="376"/>
        <v>0.17545569999999994</v>
      </c>
      <c r="Q242" s="69">
        <f t="shared" si="376"/>
        <v>0.23216200000000006</v>
      </c>
      <c r="R242" s="69">
        <f t="shared" si="376"/>
        <v>0.21155045</v>
      </c>
      <c r="S242" s="69">
        <f t="shared" si="376"/>
        <v>0.29089841999999999</v>
      </c>
      <c r="T242" s="69">
        <f t="shared" si="376"/>
        <v>0.38454663000000006</v>
      </c>
      <c r="U242" s="69">
        <f t="shared" si="376"/>
        <v>0.39255312000000003</v>
      </c>
      <c r="V242" s="69">
        <f t="shared" si="376"/>
        <v>0.43091068999999999</v>
      </c>
      <c r="W242" s="69">
        <f t="shared" si="376"/>
        <v>0.60820920000000001</v>
      </c>
      <c r="X242" s="69">
        <f t="shared" si="376"/>
        <v>0.87426844000000015</v>
      </c>
      <c r="Y242" s="69">
        <f t="shared" si="376"/>
        <v>0.72436110000000009</v>
      </c>
      <c r="Z242" s="69">
        <f t="shared" si="376"/>
        <v>1.0637735399999999</v>
      </c>
      <c r="AA242" s="69">
        <f t="shared" ref="AA242:AF242" si="377">AA68*AA219</f>
        <v>1.0300511999999999</v>
      </c>
      <c r="AB242" s="69">
        <f t="shared" si="377"/>
        <v>0.95803081999999984</v>
      </c>
      <c r="AC242" s="69">
        <f t="shared" si="377"/>
        <v>1.1893214187167025</v>
      </c>
      <c r="AD242" s="69">
        <f t="shared" si="377"/>
        <v>0.80811251578439969</v>
      </c>
      <c r="AE242" s="69">
        <f t="shared" si="377"/>
        <v>0.60003342838164253</v>
      </c>
      <c r="AF242" s="69">
        <f t="shared" si="377"/>
        <v>0.7002264920000002</v>
      </c>
      <c r="AG242" s="69">
        <f>AG68*AG219</f>
        <v>4.1429499999999862E-2</v>
      </c>
      <c r="AH242" s="69">
        <f>AH68*AH219</f>
        <v>0.48175047969751977</v>
      </c>
      <c r="AI242" s="69">
        <f>AI68*AI219</f>
        <v>0.52621063410004754</v>
      </c>
      <c r="AJ242" s="69">
        <f>AJ68*AJ219</f>
        <v>1.2351696719086334</v>
      </c>
      <c r="AK242" s="69">
        <f>AK68*AK219</f>
        <v>-0.56658034572700355</v>
      </c>
      <c r="AN242"/>
    </row>
    <row r="243" spans="2:40" ht="13.5" customHeight="1" thickBot="1">
      <c r="B243" s="63" t="str">
        <f t="shared" si="350"/>
        <v>Disposed Cash from discontinued operations and Others</v>
      </c>
      <c r="C243" s="97">
        <f t="shared" ref="C243:H243" si="378">C69*C219</f>
        <v>-5.6048129800000011</v>
      </c>
      <c r="D243" s="97">
        <f t="shared" si="378"/>
        <v>-0.38490144000000004</v>
      </c>
      <c r="E243" s="97">
        <f t="shared" si="378"/>
        <v>-0.88581095999999993</v>
      </c>
      <c r="F243" s="97">
        <f t="shared" si="378"/>
        <v>-1.4526330299999999</v>
      </c>
      <c r="G243" s="97">
        <f t="shared" si="378"/>
        <v>-0.20584524000000001</v>
      </c>
      <c r="H243" s="97">
        <f t="shared" si="378"/>
        <v>-4.4620625999999994</v>
      </c>
      <c r="I243" s="69">
        <f>I69*I219</f>
        <v>7.6693425033642519</v>
      </c>
      <c r="J243" s="69">
        <f>J69*J219</f>
        <v>-1.071461480936631</v>
      </c>
      <c r="K243" s="69">
        <f>K69*K219</f>
        <v>-1.6001910189944979</v>
      </c>
      <c r="L243" s="69">
        <f>L69*L219</f>
        <v>-2.6436978742333768</v>
      </c>
      <c r="N243" s="97">
        <f t="shared" ref="N243:Z243" si="379">N69*N219</f>
        <v>-2.6140500000000001E-2</v>
      </c>
      <c r="O243" s="97">
        <f t="shared" si="379"/>
        <v>0.10210216</v>
      </c>
      <c r="P243" s="97">
        <f t="shared" si="379"/>
        <v>-6.9968959999999997E-2</v>
      </c>
      <c r="Q243" s="97">
        <f t="shared" si="379"/>
        <v>-0.83669165999999995</v>
      </c>
      <c r="R243" s="97">
        <f t="shared" si="379"/>
        <v>6.8624299999999985E-2</v>
      </c>
      <c r="S243" s="97">
        <f t="shared" si="379"/>
        <v>-5.2150309999999991E-2</v>
      </c>
      <c r="T243" s="97">
        <f t="shared" si="379"/>
        <v>-0.13521717</v>
      </c>
      <c r="U243" s="97">
        <f t="shared" si="379"/>
        <v>-1.3399842400000002</v>
      </c>
      <c r="V243" s="97">
        <f t="shared" si="379"/>
        <v>9.8344380000000009E-2</v>
      </c>
      <c r="W243" s="97">
        <f t="shared" si="379"/>
        <v>-0.1211052</v>
      </c>
      <c r="X243" s="97">
        <f t="shared" si="379"/>
        <v>0.30014752999999994</v>
      </c>
      <c r="Y243" s="97">
        <f t="shared" si="379"/>
        <v>-4.5907482000000002</v>
      </c>
      <c r="Z243" s="97">
        <f t="shared" si="379"/>
        <v>0.1479924</v>
      </c>
      <c r="AA243" s="97">
        <f t="shared" ref="AA243:AF243" si="380">AA69*AA219</f>
        <v>-0.16052677999999998</v>
      </c>
      <c r="AB243" s="97">
        <f t="shared" si="380"/>
        <v>-1.0839019799999998</v>
      </c>
      <c r="AC243" s="97">
        <f t="shared" si="380"/>
        <v>8.9195126610489694</v>
      </c>
      <c r="AD243" s="97">
        <f t="shared" si="380"/>
        <v>-0.19577860440367312</v>
      </c>
      <c r="AE243" s="97">
        <f t="shared" si="380"/>
        <v>-0.18305666984620675</v>
      </c>
      <c r="AF243" s="97">
        <f t="shared" si="380"/>
        <v>-0.67382591999999997</v>
      </c>
      <c r="AG243" s="97">
        <f>AG69*AG219</f>
        <v>-0.5665600500000002</v>
      </c>
      <c r="AH243" s="97">
        <f>AH69*AH219</f>
        <v>-0.95971834036781922</v>
      </c>
      <c r="AI243" s="97">
        <f>AI69*AI219</f>
        <v>-0.55248370420319182</v>
      </c>
      <c r="AJ243" s="97">
        <f>AJ69*AJ219</f>
        <v>0.18914247361063818</v>
      </c>
      <c r="AK243" s="97">
        <f>AK69*AK219</f>
        <v>-1.3163245577706764</v>
      </c>
      <c r="AN243"/>
    </row>
    <row r="244" spans="2:40" ht="13.5" customHeight="1" thickTop="1" thickBot="1">
      <c r="B244" s="77" t="str">
        <f t="shared" si="350"/>
        <v xml:space="preserve">Free cash flow </v>
      </c>
      <c r="C244" s="98">
        <f t="shared" ref="C244:H244" si="381">C70*C219</f>
        <v>547.60831886000005</v>
      </c>
      <c r="D244" s="98">
        <f t="shared" si="381"/>
        <v>94.118630759999959</v>
      </c>
      <c r="E244" s="98">
        <f t="shared" si="381"/>
        <v>166.96383336000005</v>
      </c>
      <c r="F244" s="98">
        <f t="shared" si="381"/>
        <v>-22.806015209999995</v>
      </c>
      <c r="G244" s="98">
        <f t="shared" si="381"/>
        <v>137.23625101999997</v>
      </c>
      <c r="H244" s="98">
        <f t="shared" si="381"/>
        <v>137.41846102000005</v>
      </c>
      <c r="I244" s="72">
        <f>I70*I219</f>
        <v>225.97806500074597</v>
      </c>
      <c r="J244" s="72">
        <f>J70*J219</f>
        <v>251.1784378024679</v>
      </c>
      <c r="K244" s="72">
        <f>K70*K219</f>
        <v>380.19739627765495</v>
      </c>
      <c r="L244" s="72">
        <f>L70*L219</f>
        <v>293.90532915885677</v>
      </c>
      <c r="N244" s="98">
        <f t="shared" ref="N244:Z244" si="382">N70*N219</f>
        <v>60.272111999999986</v>
      </c>
      <c r="O244" s="98">
        <f t="shared" si="382"/>
        <v>53.289698880000017</v>
      </c>
      <c r="P244" s="98">
        <f t="shared" si="382"/>
        <v>103.91979794</v>
      </c>
      <c r="Q244" s="98">
        <f t="shared" si="382"/>
        <v>-44.712584280000002</v>
      </c>
      <c r="R244" s="98">
        <f t="shared" si="382"/>
        <v>-20.888545740000019</v>
      </c>
      <c r="S244" s="98">
        <f t="shared" si="382"/>
        <v>-43.282923679999982</v>
      </c>
      <c r="T244" s="98">
        <f t="shared" si="382"/>
        <v>-43.10155344000006</v>
      </c>
      <c r="U244" s="98">
        <f t="shared" si="382"/>
        <v>82.419548400000068</v>
      </c>
      <c r="V244" s="98">
        <f t="shared" si="382"/>
        <v>4.6383096399999824</v>
      </c>
      <c r="W244" s="98">
        <f t="shared" si="382"/>
        <v>8.7924851999999962</v>
      </c>
      <c r="X244" s="98">
        <f t="shared" si="382"/>
        <v>55.322616379999985</v>
      </c>
      <c r="Y244" s="98">
        <f t="shared" si="382"/>
        <v>66.339631100000005</v>
      </c>
      <c r="Z244" s="98">
        <f t="shared" si="382"/>
        <v>46.268364779999978</v>
      </c>
      <c r="AA244" s="98">
        <f t="shared" ref="AA244:AF244" si="383">AA70*AA219</f>
        <v>34.398162039999995</v>
      </c>
      <c r="AB244" s="98">
        <f t="shared" si="383"/>
        <v>98.991749440000021</v>
      </c>
      <c r="AC244" s="98">
        <f t="shared" si="383"/>
        <v>45.460435548574694</v>
      </c>
      <c r="AD244" s="98">
        <f t="shared" si="383"/>
        <v>157.09641346283769</v>
      </c>
      <c r="AE244" s="98">
        <f t="shared" si="383"/>
        <v>91.606652539257624</v>
      </c>
      <c r="AF244" s="98">
        <f t="shared" si="383"/>
        <v>106.84574135599996</v>
      </c>
      <c r="AG244" s="98">
        <f>AG70*AG219</f>
        <v>29.611145848549967</v>
      </c>
      <c r="AH244" s="98">
        <f>AH70*AH219</f>
        <v>118.08036933880145</v>
      </c>
      <c r="AI244" s="98">
        <f>AI70*AI219</f>
        <v>154.87055767837967</v>
      </c>
      <c r="AJ244" s="98">
        <f>AJ70*AJ219</f>
        <v>14.598233973709855</v>
      </c>
      <c r="AK244" s="98">
        <f>AK70*AK219</f>
        <v>7.6044923157638475</v>
      </c>
      <c r="AN244"/>
    </row>
    <row r="245" spans="2:40" ht="13.5" customHeight="1" thickTop="1">
      <c r="B245" s="1" t="str">
        <f t="shared" si="350"/>
        <v>Equity Issuance/Buyback</v>
      </c>
      <c r="C245" s="69">
        <f t="shared" ref="C245:H245" si="384">C71*C219</f>
        <v>0</v>
      </c>
      <c r="D245" s="69">
        <f t="shared" si="384"/>
        <v>0</v>
      </c>
      <c r="E245" s="69">
        <f t="shared" si="384"/>
        <v>0</v>
      </c>
      <c r="F245" s="69">
        <f t="shared" si="384"/>
        <v>0</v>
      </c>
      <c r="G245" s="69">
        <f t="shared" si="384"/>
        <v>0</v>
      </c>
      <c r="H245" s="69">
        <f t="shared" si="384"/>
        <v>0</v>
      </c>
      <c r="I245" s="69">
        <f>I71*I219</f>
        <v>0</v>
      </c>
      <c r="J245" s="69">
        <f>J71*J219</f>
        <v>0</v>
      </c>
      <c r="K245" s="69">
        <f>K71*K219</f>
        <v>-145.84461247490435</v>
      </c>
      <c r="L245" s="69">
        <f>L71*L219</f>
        <v>-186.91730151392903</v>
      </c>
      <c r="N245" s="69">
        <f t="shared" ref="N245:Z245" si="385">N71*N219</f>
        <v>0</v>
      </c>
      <c r="O245" s="69">
        <f t="shared" si="385"/>
        <v>0</v>
      </c>
      <c r="P245" s="69">
        <f t="shared" si="385"/>
        <v>0</v>
      </c>
      <c r="Q245" s="69">
        <f t="shared" si="385"/>
        <v>0</v>
      </c>
      <c r="R245" s="69">
        <f t="shared" si="385"/>
        <v>0</v>
      </c>
      <c r="S245" s="69">
        <f t="shared" si="385"/>
        <v>0</v>
      </c>
      <c r="T245" s="69">
        <f t="shared" si="385"/>
        <v>0</v>
      </c>
      <c r="U245" s="69">
        <f t="shared" si="385"/>
        <v>0</v>
      </c>
      <c r="V245" s="69">
        <f t="shared" si="385"/>
        <v>-17.606313519999997</v>
      </c>
      <c r="W245" s="69">
        <f t="shared" si="385"/>
        <v>-25.925336400000003</v>
      </c>
      <c r="X245" s="69">
        <f t="shared" si="385"/>
        <v>-4.8890202399999989</v>
      </c>
      <c r="Y245" s="69">
        <f t="shared" si="385"/>
        <v>46.743186250000008</v>
      </c>
      <c r="Z245" s="69">
        <f t="shared" si="385"/>
        <v>-26.957180429999998</v>
      </c>
      <c r="AA245" s="69">
        <f t="shared" ref="AA245:AF245" si="386">AA71*AA219</f>
        <v>-33.097774739999998</v>
      </c>
      <c r="AB245" s="69">
        <f t="shared" si="386"/>
        <v>-24.645017359999997</v>
      </c>
      <c r="AC245" s="69">
        <f t="shared" si="386"/>
        <v>86.419353469318466</v>
      </c>
      <c r="AD245" s="69">
        <f t="shared" si="386"/>
        <v>-68.546744879281846</v>
      </c>
      <c r="AE245" s="69">
        <f t="shared" si="386"/>
        <v>-31.545001805549973</v>
      </c>
      <c r="AF245" s="69">
        <f t="shared" si="386"/>
        <v>-10.961490324000007</v>
      </c>
      <c r="AG245" s="69">
        <f>AG71*AG219</f>
        <v>-38.044616749999996</v>
      </c>
      <c r="AH245" s="69">
        <f>AH71*AH219</f>
        <v>-35.935268719518803</v>
      </c>
      <c r="AI245" s="69">
        <f>AI71*AI219</f>
        <v>-14.491446267575734</v>
      </c>
      <c r="AJ245" s="69">
        <f>AJ71*AJ219</f>
        <v>-48.141611880089052</v>
      </c>
      <c r="AK245" s="69">
        <f>AK71*AK219</f>
        <v>-88.538073797072954</v>
      </c>
      <c r="AN245"/>
    </row>
    <row r="246" spans="2:40" s="5" customFormat="1" ht="13.5" customHeight="1">
      <c r="B246" s="1" t="str">
        <f t="shared" si="350"/>
        <v xml:space="preserve">Dividends received  / Dividends Paid </v>
      </c>
      <c r="C246" s="69">
        <f t="shared" ref="C246:H246" si="387">C72*C219</f>
        <v>-56.431222850000005</v>
      </c>
      <c r="D246" s="69">
        <f t="shared" si="387"/>
        <v>-49.2545669</v>
      </c>
      <c r="E246" s="69">
        <f t="shared" si="387"/>
        <v>-25.712816759999999</v>
      </c>
      <c r="F246" s="69">
        <f t="shared" si="387"/>
        <v>-71.91707670000001</v>
      </c>
      <c r="G246" s="69">
        <f t="shared" si="387"/>
        <v>-96.311000000000007</v>
      </c>
      <c r="H246" s="69">
        <f t="shared" si="387"/>
        <v>-95.75874752</v>
      </c>
      <c r="I246" s="69">
        <f>I72*I219</f>
        <v>-97.800834830708084</v>
      </c>
      <c r="J246" s="69">
        <f>J72*J219</f>
        <v>-97.800834830708084</v>
      </c>
      <c r="K246" s="69">
        <f>K72*K219</f>
        <v>-94.095580335735463</v>
      </c>
      <c r="L246" s="69">
        <f>L72*L219</f>
        <v>-104.72607665990246</v>
      </c>
      <c r="N246" s="69">
        <f t="shared" ref="N246:Z246" si="388">N72*N219</f>
        <v>0</v>
      </c>
      <c r="O246" s="69">
        <f t="shared" si="388"/>
        <v>-2.5765455200000003</v>
      </c>
      <c r="P246" s="69">
        <f t="shared" si="388"/>
        <v>-11.539278749999999</v>
      </c>
      <c r="Q246" s="69">
        <f t="shared" si="388"/>
        <v>-10.920446250000001</v>
      </c>
      <c r="R246" s="69">
        <f t="shared" si="388"/>
        <v>-10.68243375</v>
      </c>
      <c r="S246" s="69">
        <f t="shared" si="388"/>
        <v>-11.66910375</v>
      </c>
      <c r="T246" s="69">
        <f t="shared" si="388"/>
        <v>-25.929814800000003</v>
      </c>
      <c r="U246" s="69">
        <f t="shared" si="388"/>
        <v>-24.354531200000004</v>
      </c>
      <c r="V246" s="69">
        <f t="shared" si="388"/>
        <v>-24.66399101</v>
      </c>
      <c r="W246" s="69">
        <f t="shared" si="388"/>
        <v>-23.837084400000002</v>
      </c>
      <c r="X246" s="69">
        <f t="shared" si="388"/>
        <v>-23.999415030000002</v>
      </c>
      <c r="Y246" s="69">
        <f t="shared" si="388"/>
        <v>-22.825244850000004</v>
      </c>
      <c r="Z246" s="69">
        <f t="shared" si="388"/>
        <v>-23.593427819999999</v>
      </c>
      <c r="AA246" s="69">
        <f t="shared" ref="AA246:AF246" si="389">AA72*AA219</f>
        <v>-23.637895480000001</v>
      </c>
      <c r="AB246" s="69">
        <f t="shared" si="389"/>
        <v>-24.973126319999992</v>
      </c>
      <c r="AC246" s="69">
        <f t="shared" si="389"/>
        <v>-25.595058688684656</v>
      </c>
      <c r="AD246" s="69">
        <f t="shared" si="389"/>
        <v>-23.318541436274504</v>
      </c>
      <c r="AE246" s="69">
        <f t="shared" si="389"/>
        <v>-20.993424295056521</v>
      </c>
      <c r="AF246" s="69">
        <f t="shared" si="389"/>
        <v>-24.493843896000005</v>
      </c>
      <c r="AG246" s="69">
        <f>AG72*AG219</f>
        <v>-26.303542999999994</v>
      </c>
      <c r="AH246" s="69">
        <f>AH72*AH219</f>
        <v>-27.177438778957647</v>
      </c>
      <c r="AI246" s="69">
        <f>AI72*AI219</f>
        <v>-27.775979620888595</v>
      </c>
      <c r="AJ246" s="69">
        <f>AJ72*AJ219</f>
        <v>-25.312016287811932</v>
      </c>
      <c r="AK246" s="69">
        <f>AK72*AK219</f>
        <v>-24.796066206988503</v>
      </c>
      <c r="AN246"/>
    </row>
    <row r="247" spans="2:40" ht="13.5" customHeight="1">
      <c r="B247" s="1" t="str">
        <f t="shared" si="350"/>
        <v>Acquisition of bonds</v>
      </c>
      <c r="C247" s="69">
        <f t="shared" ref="C247:H247" si="390">C73*C219</f>
        <v>0</v>
      </c>
      <c r="D247" s="69">
        <f t="shared" si="390"/>
        <v>0</v>
      </c>
      <c r="E247" s="69">
        <f t="shared" si="390"/>
        <v>0</v>
      </c>
      <c r="F247" s="69">
        <f t="shared" si="390"/>
        <v>0</v>
      </c>
      <c r="G247" s="69">
        <f t="shared" si="390"/>
        <v>0</v>
      </c>
      <c r="H247" s="69">
        <f t="shared" si="390"/>
        <v>0</v>
      </c>
      <c r="I247" s="69">
        <f>I73*I219</f>
        <v>0</v>
      </c>
      <c r="J247" s="69">
        <f>J73*J219</f>
        <v>0</v>
      </c>
      <c r="K247" s="69">
        <f>K73*K219</f>
        <v>0</v>
      </c>
      <c r="L247" s="69">
        <f>L73*L219</f>
        <v>0</v>
      </c>
      <c r="N247" s="69">
        <f t="shared" ref="N247:Z247" si="391">N73*N219</f>
        <v>0</v>
      </c>
      <c r="O247" s="69">
        <f t="shared" si="391"/>
        <v>0</v>
      </c>
      <c r="P247" s="69">
        <f t="shared" si="391"/>
        <v>0</v>
      </c>
      <c r="Q247" s="69">
        <f t="shared" si="391"/>
        <v>0</v>
      </c>
      <c r="R247" s="69">
        <f t="shared" si="391"/>
        <v>0</v>
      </c>
      <c r="S247" s="69">
        <f t="shared" si="391"/>
        <v>0</v>
      </c>
      <c r="T247" s="69">
        <f t="shared" si="391"/>
        <v>0</v>
      </c>
      <c r="U247" s="69">
        <f t="shared" si="391"/>
        <v>0</v>
      </c>
      <c r="V247" s="69">
        <f t="shared" si="391"/>
        <v>0</v>
      </c>
      <c r="W247" s="69">
        <f t="shared" si="391"/>
        <v>0</v>
      </c>
      <c r="X247" s="69">
        <f t="shared" si="391"/>
        <v>0</v>
      </c>
      <c r="Y247" s="69">
        <f t="shared" si="391"/>
        <v>0</v>
      </c>
      <c r="Z247" s="69">
        <f t="shared" si="391"/>
        <v>0</v>
      </c>
      <c r="AA247" s="69">
        <f t="shared" ref="AA247:AF247" si="392">AA73*AA219</f>
        <v>0</v>
      </c>
      <c r="AB247" s="69">
        <f t="shared" si="392"/>
        <v>0</v>
      </c>
      <c r="AC247" s="69">
        <f t="shared" si="392"/>
        <v>0</v>
      </c>
      <c r="AD247" s="69">
        <f t="shared" si="392"/>
        <v>0</v>
      </c>
      <c r="AE247" s="69">
        <f t="shared" si="392"/>
        <v>0</v>
      </c>
      <c r="AF247" s="69">
        <f t="shared" si="392"/>
        <v>0</v>
      </c>
      <c r="AG247" s="69">
        <f>AG73*AG219</f>
        <v>0</v>
      </c>
      <c r="AH247" s="69">
        <f>AH73*AH219</f>
        <v>0</v>
      </c>
      <c r="AI247" s="69">
        <f>AI73*AI219</f>
        <v>0</v>
      </c>
      <c r="AJ247" s="69">
        <f>AJ73*AJ219</f>
        <v>0</v>
      </c>
      <c r="AK247" s="69">
        <f>AK73*AK219</f>
        <v>0</v>
      </c>
      <c r="AN247"/>
    </row>
    <row r="248" spans="2:40" ht="13.5" customHeight="1">
      <c r="B248" s="1" t="str">
        <f t="shared" si="350"/>
        <v>Change in debt /Finance Costs</v>
      </c>
      <c r="C248" s="69">
        <f t="shared" ref="C248:H248" si="393">C74*C219</f>
        <v>-512.14668473000006</v>
      </c>
      <c r="D248" s="69">
        <f t="shared" si="393"/>
        <v>22.388118060000039</v>
      </c>
      <c r="E248" s="69">
        <f t="shared" si="393"/>
        <v>4.1768931599999837</v>
      </c>
      <c r="F248" s="69">
        <f t="shared" si="393"/>
        <v>232.33959638999994</v>
      </c>
      <c r="G248" s="69">
        <f t="shared" si="393"/>
        <v>76.238173740000008</v>
      </c>
      <c r="H248" s="69">
        <f t="shared" si="393"/>
        <v>76.238173740000008</v>
      </c>
      <c r="I248" s="69">
        <f>I74*I219</f>
        <v>57.385280603169946</v>
      </c>
      <c r="J248" s="69">
        <f>J74*J219</f>
        <v>37.598847135788034</v>
      </c>
      <c r="K248" s="69">
        <f>K74*K219</f>
        <v>-36.413480571060774</v>
      </c>
      <c r="L248" s="69">
        <f>L74*L219</f>
        <v>-3.3640769409533386</v>
      </c>
      <c r="N248" s="69">
        <f t="shared" ref="N248:Z248" si="394">N74*N219</f>
        <v>-39.952007999999999</v>
      </c>
      <c r="O248" s="69">
        <f t="shared" si="394"/>
        <v>-30.06502304</v>
      </c>
      <c r="P248" s="69">
        <f t="shared" si="394"/>
        <v>-5.2784434100000048</v>
      </c>
      <c r="Q248" s="69">
        <f t="shared" si="394"/>
        <v>72.705567899999991</v>
      </c>
      <c r="R248" s="69">
        <f t="shared" si="394"/>
        <v>-42.633660980000002</v>
      </c>
      <c r="S248" s="69">
        <f t="shared" si="394"/>
        <v>67.577957239999961</v>
      </c>
      <c r="T248" s="69">
        <f t="shared" si="394"/>
        <v>310.86376866000018</v>
      </c>
      <c r="U248" s="69">
        <f t="shared" si="394"/>
        <v>-81.444861040000191</v>
      </c>
      <c r="V248" s="69">
        <f t="shared" si="394"/>
        <v>93.703561030000017</v>
      </c>
      <c r="W248" s="69">
        <f t="shared" si="394"/>
        <v>92.417870399999941</v>
      </c>
      <c r="X248" s="69">
        <f t="shared" si="394"/>
        <v>-105.34613355999997</v>
      </c>
      <c r="Y248" s="69">
        <f t="shared" si="394"/>
        <v>-2.4801219999999926</v>
      </c>
      <c r="Z248" s="69">
        <f t="shared" si="394"/>
        <v>27.208142190000018</v>
      </c>
      <c r="AA248" s="69">
        <f t="shared" ref="AA248:AF248" si="395">AA74*AA219</f>
        <v>77.243633700000117</v>
      </c>
      <c r="AB248" s="69">
        <f t="shared" si="395"/>
        <v>-62.924876319999903</v>
      </c>
      <c r="AC248" s="69">
        <f t="shared" si="395"/>
        <v>17.154394753040229</v>
      </c>
      <c r="AD248" s="69">
        <f t="shared" si="395"/>
        <v>-6.8909193403987183</v>
      </c>
      <c r="AE248" s="69">
        <f t="shared" si="395"/>
        <v>18.260483744531715</v>
      </c>
      <c r="AF248" s="69">
        <f t="shared" si="395"/>
        <v>-25.459615763999995</v>
      </c>
      <c r="AG248" s="69">
        <f>AG74*AG219</f>
        <v>-24.370546848550081</v>
      </c>
      <c r="AH248" s="69">
        <f>AH74*AH219</f>
        <v>55.642034919716338</v>
      </c>
      <c r="AI248" s="69">
        <f>AI74*AI219</f>
        <v>-73.655303314103122</v>
      </c>
      <c r="AJ248" s="69">
        <f>AJ74*AJ219</f>
        <v>-13.916677390136467</v>
      </c>
      <c r="AK248" s="69">
        <f>AK74*AK219</f>
        <v>26.507297953209335</v>
      </c>
      <c r="AN248"/>
    </row>
    <row r="249" spans="2:40" ht="13.5" customHeight="1" thickBot="1">
      <c r="B249" s="1" t="str">
        <f t="shared" si="350"/>
        <v>Other Finance</v>
      </c>
      <c r="C249" s="69">
        <f t="shared" ref="C249:Z249" si="396">C75*C219</f>
        <v>-1.3825937200000002</v>
      </c>
      <c r="D249" s="69">
        <f t="shared" si="396"/>
        <v>-10.460403799999998</v>
      </c>
      <c r="E249" s="69">
        <f t="shared" si="396"/>
        <v>-34.847655120000006</v>
      </c>
      <c r="F249" s="69">
        <f t="shared" si="396"/>
        <v>-233.67831093000001</v>
      </c>
      <c r="G249" s="69">
        <f t="shared" si="396"/>
        <v>-105.12194676000001</v>
      </c>
      <c r="H249" s="97">
        <f>H75*H219</f>
        <v>-105.67419924000001</v>
      </c>
      <c r="I249" s="97">
        <f>I75*I219</f>
        <v>-152.20311735310773</v>
      </c>
      <c r="J249" s="97">
        <f>J75*J219</f>
        <v>-149.79537220356721</v>
      </c>
      <c r="K249" s="97">
        <f>K75*K219</f>
        <v>-9.2195972201127852</v>
      </c>
      <c r="L249" s="97">
        <f>L75*L219</f>
        <v>-0.74056146593074557</v>
      </c>
      <c r="N249" s="69">
        <f t="shared" si="396"/>
        <v>4.5472815000000004</v>
      </c>
      <c r="O249" s="69">
        <f t="shared" si="396"/>
        <v>-54.570702320000002</v>
      </c>
      <c r="P249" s="69">
        <f t="shared" si="396"/>
        <v>4.8831081199999975</v>
      </c>
      <c r="Q249" s="69">
        <f t="shared" si="396"/>
        <v>8.2777865799999955</v>
      </c>
      <c r="R249" s="69">
        <f t="shared" si="396"/>
        <v>5.7153674199999998</v>
      </c>
      <c r="S249" s="69">
        <f t="shared" si="396"/>
        <v>-28.923360089999999</v>
      </c>
      <c r="T249" s="69">
        <f t="shared" si="396"/>
        <v>-223.86625388999997</v>
      </c>
      <c r="U249" s="69">
        <f t="shared" si="396"/>
        <v>3.727303999996745E-2</v>
      </c>
      <c r="V249" s="69">
        <f t="shared" si="396"/>
        <v>0.39252328000000003</v>
      </c>
      <c r="W249" s="69">
        <f t="shared" si="396"/>
        <v>1.4838612</v>
      </c>
      <c r="X249" s="69">
        <f t="shared" si="396"/>
        <v>8.6504269999999842E-2</v>
      </c>
      <c r="Y249" s="69">
        <f t="shared" si="396"/>
        <v>-104.3120344</v>
      </c>
      <c r="Z249" s="69">
        <f t="shared" si="396"/>
        <v>0.66085901999999996</v>
      </c>
      <c r="AA249" s="69">
        <f t="shared" ref="AA249:AF249" si="397">AA75*AA219</f>
        <v>-2.5180773999999997</v>
      </c>
      <c r="AB249" s="69">
        <f t="shared" si="397"/>
        <v>1.2836182399999998</v>
      </c>
      <c r="AC249" s="69">
        <f t="shared" si="397"/>
        <v>-154.03699615817291</v>
      </c>
      <c r="AD249" s="69">
        <f t="shared" si="397"/>
        <v>-9.7048543986147937</v>
      </c>
      <c r="AE249" s="69">
        <f t="shared" si="397"/>
        <v>-0.11089258067552293</v>
      </c>
      <c r="AF249" s="69">
        <f t="shared" si="397"/>
        <v>0</v>
      </c>
      <c r="AG249" s="69">
        <f>AG75*AG219</f>
        <v>7.6947149999999603E-2</v>
      </c>
      <c r="AH249" s="69">
        <f>AH75*AH219</f>
        <v>0.49445620001972135</v>
      </c>
      <c r="AI249" s="69">
        <f>AI75*AI219</f>
        <v>-1.7437126944881496</v>
      </c>
      <c r="AJ249" s="69">
        <f>AJ75*AJ219</f>
        <v>-8.2687940033971761E-3</v>
      </c>
      <c r="AK249" s="69">
        <f>AK75*AK219</f>
        <v>0.48123482303038984</v>
      </c>
      <c r="AN249"/>
    </row>
    <row r="250" spans="2:40" ht="13.5" customHeight="1" thickTop="1" thickBot="1">
      <c r="B250" s="104" t="str">
        <f t="shared" si="350"/>
        <v>Cash flow after financing activities</v>
      </c>
      <c r="C250" s="105">
        <f t="shared" ref="C250:H250" si="398">C76*C219</f>
        <v>-22.352182439999993</v>
      </c>
      <c r="D250" s="105">
        <f t="shared" si="398"/>
        <v>56.791778119999996</v>
      </c>
      <c r="E250" s="105">
        <f t="shared" si="398"/>
        <v>110.58025464000004</v>
      </c>
      <c r="F250" s="105">
        <f t="shared" si="398"/>
        <v>-96.061806450000091</v>
      </c>
      <c r="G250" s="105">
        <f t="shared" si="398"/>
        <v>12.041477999999962</v>
      </c>
      <c r="H250" s="98">
        <f t="shared" si="398"/>
        <v>12.223688000000022</v>
      </c>
      <c r="I250" s="105">
        <f>I76*I219</f>
        <v>33.359393420100098</v>
      </c>
      <c r="J250" s="105">
        <f>J76*J219</f>
        <v>41.181077903980643</v>
      </c>
      <c r="K250" s="105">
        <f>K76*K219</f>
        <v>94.624125675841555</v>
      </c>
      <c r="L250" s="105">
        <f>L76*L219</f>
        <v>-1.8426874218588214</v>
      </c>
      <c r="N250" s="105">
        <f t="shared" ref="N250:Z250" si="399">N76*N219</f>
        <v>24.867385499999983</v>
      </c>
      <c r="O250" s="105">
        <f t="shared" si="399"/>
        <v>-33.922571999999988</v>
      </c>
      <c r="P250" s="105">
        <f t="shared" si="399"/>
        <v>91.985183899999981</v>
      </c>
      <c r="Q250" s="105">
        <f t="shared" si="399"/>
        <v>25.350323949999982</v>
      </c>
      <c r="R250" s="105">
        <f t="shared" si="399"/>
        <v>-68.489273050000008</v>
      </c>
      <c r="S250" s="105">
        <f t="shared" si="399"/>
        <v>-16.297430280000018</v>
      </c>
      <c r="T250" s="105">
        <f t="shared" si="399"/>
        <v>17.966146530000135</v>
      </c>
      <c r="U250" s="105">
        <f t="shared" si="399"/>
        <v>-23.342570800000164</v>
      </c>
      <c r="V250" s="105">
        <f t="shared" si="399"/>
        <v>56.464089420000001</v>
      </c>
      <c r="W250" s="105">
        <f t="shared" si="399"/>
        <v>52.931795999999942</v>
      </c>
      <c r="X250" s="105">
        <f t="shared" si="399"/>
        <v>-78.825448179999967</v>
      </c>
      <c r="Y250" s="105">
        <f t="shared" si="399"/>
        <v>-16.534583899999987</v>
      </c>
      <c r="Z250" s="105">
        <f t="shared" si="399"/>
        <v>23.586757739999996</v>
      </c>
      <c r="AA250" s="105">
        <f t="shared" ref="AA250:AF250" si="400">AA76*AA219</f>
        <v>52.388048120000114</v>
      </c>
      <c r="AB250" s="105">
        <f t="shared" si="400"/>
        <v>-12.267652319999872</v>
      </c>
      <c r="AC250" s="105">
        <f t="shared" si="400"/>
        <v>-30.597871075924189</v>
      </c>
      <c r="AD250" s="105">
        <f t="shared" si="400"/>
        <v>48.635353408267846</v>
      </c>
      <c r="AE250" s="105">
        <f t="shared" si="400"/>
        <v>57.217817602507317</v>
      </c>
      <c r="AF250" s="105">
        <f t="shared" si="400"/>
        <v>45.930791371999959</v>
      </c>
      <c r="AG250" s="105">
        <f>AG76*AG219</f>
        <v>-59.030613600000102</v>
      </c>
      <c r="AH250" s="105">
        <f>AH76*AH219</f>
        <v>111.10415296006106</v>
      </c>
      <c r="AI250" s="105">
        <f>AI76*AI219</f>
        <v>37.204115781324084</v>
      </c>
      <c r="AJ250" s="105">
        <f>AJ76*AJ219</f>
        <v>-72.78034037833099</v>
      </c>
      <c r="AK250" s="105">
        <f>AK76*AK219</f>
        <v>-78.741114912057895</v>
      </c>
      <c r="AN250"/>
    </row>
    <row r="251" spans="2:40" s="5" customFormat="1" ht="13.5" customHeight="1" thickTop="1">
      <c r="B251" s="1" t="str">
        <f t="shared" si="350"/>
        <v xml:space="preserve">FX </v>
      </c>
      <c r="C251" s="69">
        <f t="shared" ref="C251:H251" si="401">C77*C219</f>
        <v>-0.58715871000000008</v>
      </c>
      <c r="D251" s="69">
        <f t="shared" si="401"/>
        <v>20.176197580000004</v>
      </c>
      <c r="E251" s="69">
        <f t="shared" si="401"/>
        <v>37.117163519999998</v>
      </c>
      <c r="F251" s="69">
        <f t="shared" si="401"/>
        <v>-26.190226620000001</v>
      </c>
      <c r="G251" s="69">
        <f t="shared" si="401"/>
        <v>2.0391902000000002</v>
      </c>
      <c r="H251" s="69">
        <f t="shared" si="401"/>
        <v>2.0391902000000002</v>
      </c>
      <c r="I251" s="69">
        <f>I77*I219</f>
        <v>-7.5512200006387298</v>
      </c>
      <c r="J251" s="69">
        <f>J77*J219</f>
        <v>-7.5512200006387298</v>
      </c>
      <c r="K251" s="69">
        <f>K77*K219</f>
        <v>16.209386723861666</v>
      </c>
      <c r="L251" s="69">
        <f>L77*L219</f>
        <v>-0.83494241795772617</v>
      </c>
      <c r="N251" s="69">
        <f t="shared" ref="N251:Z251" si="402">N77*N219</f>
        <v>1.6839255000000002</v>
      </c>
      <c r="O251" s="69">
        <f t="shared" si="402"/>
        <v>13.204180800000001</v>
      </c>
      <c r="P251" s="69">
        <f t="shared" si="402"/>
        <v>10.073450369999998</v>
      </c>
      <c r="Q251" s="69">
        <f t="shared" si="402"/>
        <v>11.80382266</v>
      </c>
      <c r="R251" s="69">
        <f t="shared" si="402"/>
        <v>-11.57089627</v>
      </c>
      <c r="S251" s="69">
        <f t="shared" si="402"/>
        <v>-14.340202719999999</v>
      </c>
      <c r="T251" s="69">
        <f t="shared" si="402"/>
        <v>-6.7949855399999981</v>
      </c>
      <c r="U251" s="69">
        <f t="shared" si="402"/>
        <v>6.7097271199999993</v>
      </c>
      <c r="V251" s="69">
        <f t="shared" si="402"/>
        <v>-7.8271341700000008</v>
      </c>
      <c r="W251" s="69">
        <f t="shared" si="402"/>
        <v>9.6824303999999994</v>
      </c>
      <c r="X251" s="69">
        <f t="shared" si="402"/>
        <v>-4.2624473700000003</v>
      </c>
      <c r="Y251" s="69">
        <f t="shared" si="402"/>
        <v>4.054565600000001</v>
      </c>
      <c r="Z251" s="69">
        <f t="shared" si="402"/>
        <v>0.43032437999999995</v>
      </c>
      <c r="AA251" s="69">
        <f t="shared" ref="AA251:AF251" si="403">AA77*AA219</f>
        <v>-2.1981753200000003</v>
      </c>
      <c r="AB251" s="69">
        <f t="shared" si="403"/>
        <v>1.4483931600000002</v>
      </c>
      <c r="AC251" s="69">
        <f t="shared" si="403"/>
        <v>-7.3729649990448518</v>
      </c>
      <c r="AD251" s="69">
        <f t="shared" si="403"/>
        <v>50.264722755317848</v>
      </c>
      <c r="AE251" s="69">
        <f t="shared" si="403"/>
        <v>-3.6894912590371201</v>
      </c>
      <c r="AF251" s="69">
        <f t="shared" si="403"/>
        <v>-6.1742016960000017</v>
      </c>
      <c r="AG251" s="69">
        <f>AG77*AG219</f>
        <v>-21.922024249999996</v>
      </c>
      <c r="AH251" s="69">
        <f>AH77*AH219</f>
        <v>5.3957120618668357</v>
      </c>
      <c r="AI251" s="69">
        <f>AI77*AI219</f>
        <v>-13.779476037062013</v>
      </c>
      <c r="AJ251" s="69">
        <f>AJ77*AJ219</f>
        <v>4.0134349433134808</v>
      </c>
      <c r="AK251" s="69">
        <f>AK77*AK219</f>
        <v>3.2679281875356536</v>
      </c>
      <c r="AN251"/>
    </row>
    <row r="252" spans="2:40" s="5" customFormat="1" ht="13.5" customHeight="1" thickBot="1">
      <c r="B252" s="63" t="str">
        <f t="shared" si="350"/>
        <v>Balancing figure</v>
      </c>
      <c r="C252" s="97">
        <f t="shared" ref="C252:Z252" si="404">C78*C219</f>
        <v>32.453357419999996</v>
      </c>
      <c r="D252" s="97">
        <f t="shared" si="404"/>
        <v>14.835437540000008</v>
      </c>
      <c r="E252" s="97">
        <f t="shared" si="404"/>
        <v>-11.050805520000038</v>
      </c>
      <c r="F252" s="97">
        <f t="shared" si="404"/>
        <v>3.6925175700000925</v>
      </c>
      <c r="G252" s="97">
        <f t="shared" si="404"/>
        <v>-3.3697396799999622</v>
      </c>
      <c r="H252" s="97">
        <f>H78*H219</f>
        <v>-3.5519496800000212</v>
      </c>
      <c r="I252" s="97">
        <f>I78*I219</f>
        <v>-5.8271852417080376</v>
      </c>
      <c r="J252" s="97">
        <f>J78*J219</f>
        <v>-7.1017171198555618</v>
      </c>
      <c r="K252" s="97">
        <f>K78*K219</f>
        <v>-10.06713208088339</v>
      </c>
      <c r="L252" s="97">
        <f>L78*L219</f>
        <v>-42.726630185129785</v>
      </c>
      <c r="N252" s="97">
        <f t="shared" si="404"/>
        <v>-5.4001499999981807E-2</v>
      </c>
      <c r="O252" s="97">
        <f t="shared" si="404"/>
        <v>-6.6290670400000167</v>
      </c>
      <c r="P252" s="97">
        <f t="shared" si="404"/>
        <v>-3.7942161799999856</v>
      </c>
      <c r="Q252" s="97">
        <f t="shared" si="404"/>
        <v>-0.70562107000005136</v>
      </c>
      <c r="R252" s="97">
        <f t="shared" si="404"/>
        <v>1.7663104900000133</v>
      </c>
      <c r="S252" s="97">
        <f t="shared" si="404"/>
        <v>1.0567044200000273</v>
      </c>
      <c r="T252" s="97">
        <f t="shared" si="404"/>
        <v>9.2175002099998657</v>
      </c>
      <c r="U252" s="97">
        <f t="shared" si="404"/>
        <v>-7.904362319999823</v>
      </c>
      <c r="V252" s="97">
        <f t="shared" si="404"/>
        <v>-1.9764444100000003</v>
      </c>
      <c r="W252" s="97">
        <f t="shared" si="404"/>
        <v>2.6620440000000545</v>
      </c>
      <c r="X252" s="97">
        <f t="shared" si="404"/>
        <v>-0.99788299000003167</v>
      </c>
      <c r="Y252" s="97">
        <f t="shared" si="404"/>
        <v>-3.2058957000000428</v>
      </c>
      <c r="Z252" s="97">
        <f t="shared" si="404"/>
        <v>-0.61229249999999702</v>
      </c>
      <c r="AA252" s="97">
        <f t="shared" ref="AA252:AF252" si="405">AA78*AA219</f>
        <v>-0.79991222000011974</v>
      </c>
      <c r="AB252" s="97">
        <f t="shared" si="405"/>
        <v>-1.2431706800001294</v>
      </c>
      <c r="AC252" s="97">
        <f t="shared" si="405"/>
        <v>-3.2023008511448308</v>
      </c>
      <c r="AD252" s="97">
        <f t="shared" si="405"/>
        <v>-9.0855898481621615</v>
      </c>
      <c r="AE252" s="97">
        <f t="shared" si="405"/>
        <v>0.19583707204279097</v>
      </c>
      <c r="AF252" s="97">
        <f t="shared" si="405"/>
        <v>-4.3920951599999594</v>
      </c>
      <c r="AG252" s="97">
        <f>AG78*AG219</f>
        <v>2.7841089500001681</v>
      </c>
      <c r="AH252" s="97">
        <f>AH78*AH219</f>
        <v>-7.3366805739882022</v>
      </c>
      <c r="AI252" s="97">
        <f>AI78*AI219</f>
        <v>-29.627331984715624</v>
      </c>
      <c r="AJ252" s="97">
        <f>AJ78*AJ219</f>
        <v>-2.3715099256688679</v>
      </c>
      <c r="AK252" s="97">
        <f>AK78*AK219</f>
        <v>-3.8184510039635144</v>
      </c>
      <c r="AN252"/>
    </row>
    <row r="253" spans="2:40" ht="13.5" customHeight="1" thickTop="1">
      <c r="B253" s="5" t="str">
        <f t="shared" si="350"/>
        <v xml:space="preserve">Net change in cash </v>
      </c>
      <c r="C253" s="69">
        <f t="shared" ref="C253:H253" si="406">C79*C219</f>
        <v>9.5140162700000026</v>
      </c>
      <c r="D253" s="69">
        <f t="shared" si="406"/>
        <v>91.803413240000026</v>
      </c>
      <c r="E253" s="69">
        <f t="shared" si="406"/>
        <v>136.64661263999997</v>
      </c>
      <c r="F253" s="69">
        <f t="shared" si="406"/>
        <v>-118.55951550000002</v>
      </c>
      <c r="G253" s="69">
        <f t="shared" si="406"/>
        <v>10.710928520000001</v>
      </c>
      <c r="H253" s="69">
        <f t="shared" si="406"/>
        <v>10.710928520000001</v>
      </c>
      <c r="I253" s="69">
        <f>I79*I219</f>
        <v>19.980988177753328</v>
      </c>
      <c r="J253" s="69">
        <f>J79*J219</f>
        <v>26.52814078348635</v>
      </c>
      <c r="K253" s="69">
        <f>K79*K219</f>
        <v>100.76638031881981</v>
      </c>
      <c r="L253" s="69">
        <f>L79*L219</f>
        <v>-45.404260024946332</v>
      </c>
      <c r="N253" s="69">
        <f t="shared" ref="N253:Z253" si="407">N79*N219</f>
        <v>26.497309500000004</v>
      </c>
      <c r="O253" s="69">
        <f t="shared" si="407"/>
        <v>-27.347458240000002</v>
      </c>
      <c r="P253" s="69">
        <f t="shared" si="407"/>
        <v>98.264418089999992</v>
      </c>
      <c r="Q253" s="69">
        <f t="shared" si="407"/>
        <v>36.448525539999928</v>
      </c>
      <c r="R253" s="69">
        <f t="shared" si="407"/>
        <v>-78.293858830000005</v>
      </c>
      <c r="S253" s="69">
        <f t="shared" si="407"/>
        <v>-29.580928579999991</v>
      </c>
      <c r="T253" s="69">
        <f t="shared" si="407"/>
        <v>20.388661200000001</v>
      </c>
      <c r="U253" s="69">
        <f t="shared" si="407"/>
        <v>-24.537205999999987</v>
      </c>
      <c r="V253" s="69">
        <f t="shared" si="407"/>
        <v>46.660510839999993</v>
      </c>
      <c r="W253" s="69">
        <f t="shared" si="407"/>
        <v>65.276270399999987</v>
      </c>
      <c r="X253" s="69">
        <f t="shared" si="407"/>
        <v>-84.085778540000007</v>
      </c>
      <c r="Y253" s="69">
        <f t="shared" si="407"/>
        <v>-15.685914000000031</v>
      </c>
      <c r="Z253" s="69">
        <f t="shared" si="407"/>
        <v>23.404789619999999</v>
      </c>
      <c r="AA253" s="69">
        <f t="shared" ref="AA253:AF253" si="408">AA79*AA219</f>
        <v>49.389960579999993</v>
      </c>
      <c r="AB253" s="69">
        <f t="shared" si="408"/>
        <v>-12.062429840000002</v>
      </c>
      <c r="AC253" s="69">
        <f t="shared" si="408"/>
        <v>-41.173136926113877</v>
      </c>
      <c r="AD253" s="69">
        <f t="shared" si="408"/>
        <v>89.814486315423537</v>
      </c>
      <c r="AE253" s="69">
        <f t="shared" si="408"/>
        <v>53.724163415512997</v>
      </c>
      <c r="AF253" s="69">
        <f t="shared" si="408"/>
        <v>35.364494515999993</v>
      </c>
      <c r="AG253" s="69">
        <f>AG79*AG219</f>
        <v>-78.168528899999927</v>
      </c>
      <c r="AH253" s="69">
        <f>AH79*AH219</f>
        <v>109.16318444793968</v>
      </c>
      <c r="AI253" s="69">
        <f>AI79*AI219</f>
        <v>-6.2026922404535521</v>
      </c>
      <c r="AJ253" s="69">
        <f>AJ79*AJ219</f>
        <v>-71.13841536068638</v>
      </c>
      <c r="AK253" s="69">
        <f>AK79*AK219</f>
        <v>-79.291637728485753</v>
      </c>
      <c r="AN253"/>
    </row>
    <row r="254" spans="2:40" ht="13.5" customHeight="1">
      <c r="B254" s="5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N254" s="69"/>
      <c r="O254" s="69"/>
      <c r="P254" s="69"/>
      <c r="Q254" s="69"/>
      <c r="R254" s="69"/>
      <c r="S254" s="69"/>
      <c r="T254" s="69"/>
      <c r="U254" s="69"/>
      <c r="V254" s="69"/>
      <c r="W254" s="69"/>
      <c r="X254" s="69"/>
      <c r="Y254" s="69"/>
      <c r="Z254" s="69"/>
      <c r="AA254" s="69"/>
      <c r="AB254" s="69"/>
      <c r="AC254" s="69"/>
      <c r="AD254" s="69"/>
      <c r="AE254" s="69"/>
      <c r="AF254" s="69"/>
      <c r="AG254" s="69"/>
      <c r="AH254" s="69"/>
      <c r="AI254" s="69"/>
      <c r="AJ254" s="69"/>
      <c r="AK254" s="69"/>
      <c r="AN254"/>
    </row>
    <row r="255" spans="2:40" ht="13.5" customHeight="1">
      <c r="B255" s="1" t="s">
        <v>289</v>
      </c>
      <c r="C255" s="69">
        <f t="shared" ref="C255:Z255" si="409">C190*C$218</f>
        <v>99.543959777143655</v>
      </c>
      <c r="D255" s="69">
        <f t="shared" si="409"/>
        <v>169.6483305727487</v>
      </c>
      <c r="E255" s="69">
        <f t="shared" si="409"/>
        <v>280.33199659490674</v>
      </c>
      <c r="F255" s="69">
        <f t="shared" si="409"/>
        <v>163.66427840327538</v>
      </c>
      <c r="G255" s="69">
        <f t="shared" si="409"/>
        <v>174.5536480904745</v>
      </c>
      <c r="H255" s="69">
        <f t="shared" ref="H255:K257" si="410">H190*H$218</f>
        <v>174.5536480904745</v>
      </c>
      <c r="I255" s="69">
        <f t="shared" si="410"/>
        <v>202.60761360983173</v>
      </c>
      <c r="J255" s="69">
        <f t="shared" si="410"/>
        <v>209.25758283276386</v>
      </c>
      <c r="K255" s="69">
        <f t="shared" si="410"/>
        <v>309.96590389820386</v>
      </c>
      <c r="L255" s="69">
        <f>L190*L$218</f>
        <v>254.96776544319482</v>
      </c>
      <c r="N255" s="69">
        <f t="shared" si="409"/>
        <v>196.55447121000003</v>
      </c>
      <c r="O255" s="69">
        <f t="shared" si="409"/>
        <v>157.53736475000002</v>
      </c>
      <c r="P255" s="69">
        <f t="shared" si="409"/>
        <v>243.29740207792742</v>
      </c>
      <c r="Q255" s="69">
        <f t="shared" si="409"/>
        <v>280.33199659490668</v>
      </c>
      <c r="R255" s="69">
        <f t="shared" si="409"/>
        <v>206.31770622886665</v>
      </c>
      <c r="S255" s="69">
        <f t="shared" si="409"/>
        <v>186.18255267554315</v>
      </c>
      <c r="T255" s="69">
        <f t="shared" si="409"/>
        <v>203.82818532818527</v>
      </c>
      <c r="U255" s="69">
        <f t="shared" si="409"/>
        <v>163.66427840327529</v>
      </c>
      <c r="V255" s="69">
        <f t="shared" si="409"/>
        <v>223.71479189947934</v>
      </c>
      <c r="W255" s="69">
        <f t="shared" si="409"/>
        <v>270.29647641630538</v>
      </c>
      <c r="X255" s="69">
        <f t="shared" si="409"/>
        <v>199.16234318520085</v>
      </c>
      <c r="Y255" s="69">
        <f t="shared" si="409"/>
        <v>174.55364809047438</v>
      </c>
      <c r="Z255" s="69">
        <f t="shared" si="409"/>
        <v>201.07887640333115</v>
      </c>
      <c r="AA255" s="69">
        <f t="shared" ref="AA255:AD257" si="411">AA190*AA$218</f>
        <v>251.89769674205067</v>
      </c>
      <c r="AB255" s="69">
        <f t="shared" si="411"/>
        <v>233.95940172028327</v>
      </c>
      <c r="AC255" s="69">
        <f t="shared" si="411"/>
        <v>202.60761360983153</v>
      </c>
      <c r="AD255" s="69">
        <f t="shared" si="411"/>
        <v>247.64007621575183</v>
      </c>
      <c r="AE255" s="69">
        <f t="shared" ref="AE255:AH257" si="412">AE190*AE$218</f>
        <v>307.818078923884</v>
      </c>
      <c r="AF255" s="69">
        <f t="shared" si="412"/>
        <v>349.64096307214135</v>
      </c>
      <c r="AG255" s="69">
        <f t="shared" si="412"/>
        <v>309.96590389820392</v>
      </c>
      <c r="AH255" s="69">
        <f t="shared" si="412"/>
        <v>412.27299645173139</v>
      </c>
      <c r="AI255" s="69">
        <f t="shared" ref="AI255:AJ257" si="413">AI190*AI$218</f>
        <v>416.30110601158685</v>
      </c>
      <c r="AJ255" s="69">
        <f t="shared" si="413"/>
        <v>334.48743755330827</v>
      </c>
      <c r="AK255" s="69">
        <f>AK190*AK$218</f>
        <v>254.96776544319499</v>
      </c>
      <c r="AN255"/>
    </row>
    <row r="256" spans="2:40" ht="13.5" customHeight="1">
      <c r="B256" s="1" t="s">
        <v>19</v>
      </c>
      <c r="C256" s="69">
        <f t="shared" ref="C256:Z256" si="414">C191*C$218</f>
        <v>630.29446935724968</v>
      </c>
      <c r="D256" s="69">
        <f t="shared" si="414"/>
        <v>594.42187545404363</v>
      </c>
      <c r="E256" s="69">
        <f t="shared" si="414"/>
        <v>537.67453667141865</v>
      </c>
      <c r="F256" s="69">
        <f t="shared" si="414"/>
        <v>860.21767990514513</v>
      </c>
      <c r="G256" s="69">
        <f t="shared" si="414"/>
        <v>917.4947797326613</v>
      </c>
      <c r="H256" s="69">
        <f t="shared" si="410"/>
        <v>917.4947797326613</v>
      </c>
      <c r="I256" s="69">
        <f t="shared" si="410"/>
        <v>944.94454821386887</v>
      </c>
      <c r="J256" s="69">
        <f t="shared" si="410"/>
        <v>938.29457899093677</v>
      </c>
      <c r="K256" s="69">
        <f t="shared" si="410"/>
        <v>838.72704538949381</v>
      </c>
      <c r="L256" s="69">
        <f>L191*L$218</f>
        <v>933.40656350960717</v>
      </c>
      <c r="N256" s="69">
        <f t="shared" si="414"/>
        <v>533.47997691</v>
      </c>
      <c r="O256" s="69">
        <f t="shared" si="414"/>
        <v>561.14811766999992</v>
      </c>
      <c r="P256" s="69">
        <f t="shared" si="414"/>
        <v>453.10791684187865</v>
      </c>
      <c r="Q256" s="69">
        <f t="shared" si="414"/>
        <v>537.67453667141876</v>
      </c>
      <c r="R256" s="69">
        <f t="shared" si="414"/>
        <v>524.81386768177288</v>
      </c>
      <c r="S256" s="69">
        <f t="shared" si="414"/>
        <v>614.21046750068444</v>
      </c>
      <c r="T256" s="69">
        <f t="shared" si="414"/>
        <v>907.83872035300624</v>
      </c>
      <c r="U256" s="69">
        <f t="shared" si="414"/>
        <v>860.21767990514513</v>
      </c>
      <c r="V256" s="69">
        <f t="shared" si="414"/>
        <v>905.84660252391745</v>
      </c>
      <c r="W256" s="69">
        <f t="shared" si="414"/>
        <v>926.20284645552363</v>
      </c>
      <c r="X256" s="69">
        <f t="shared" si="414"/>
        <v>906.48463746544758</v>
      </c>
      <c r="Y256" s="69">
        <f t="shared" si="414"/>
        <v>917.49477973266153</v>
      </c>
      <c r="Z256" s="69">
        <f t="shared" si="414"/>
        <v>933.33140097618559</v>
      </c>
      <c r="AA256" s="69">
        <f t="shared" si="411"/>
        <v>972.9311109372145</v>
      </c>
      <c r="AB256" s="69">
        <f t="shared" si="411"/>
        <v>924.34715297688479</v>
      </c>
      <c r="AC256" s="69">
        <f t="shared" si="411"/>
        <v>944.94454821386898</v>
      </c>
      <c r="AD256" s="69">
        <f t="shared" si="411"/>
        <v>854.82626040948946</v>
      </c>
      <c r="AE256" s="69">
        <f t="shared" si="412"/>
        <v>824.54889754696035</v>
      </c>
      <c r="AF256" s="69">
        <f t="shared" si="412"/>
        <v>779.97034371896882</v>
      </c>
      <c r="AG256" s="69">
        <f t="shared" si="412"/>
        <v>838.72704538949381</v>
      </c>
      <c r="AH256" s="69">
        <f t="shared" si="412"/>
        <v>802.07067172396887</v>
      </c>
      <c r="AI256" s="69">
        <f t="shared" si="413"/>
        <v>736.0250796278184</v>
      </c>
      <c r="AJ256" s="69">
        <f t="shared" si="413"/>
        <v>805.99585719507752</v>
      </c>
      <c r="AK256" s="69">
        <f>AK191*AK$218</f>
        <v>933.40656350960705</v>
      </c>
      <c r="AN256"/>
    </row>
    <row r="257" spans="2:40" ht="13.5" customHeight="1">
      <c r="B257" s="1" t="s">
        <v>290</v>
      </c>
      <c r="C257" s="69">
        <f t="shared" ref="C257:Z257" si="415">C192*C$218</f>
        <v>729.83842913439332</v>
      </c>
      <c r="D257" s="69">
        <f t="shared" si="415"/>
        <v>764.07020602679222</v>
      </c>
      <c r="E257" s="69">
        <f t="shared" si="415"/>
        <v>818.00653326632539</v>
      </c>
      <c r="F257" s="69">
        <f t="shared" si="415"/>
        <v>1023.8819583084205</v>
      </c>
      <c r="G257" s="69">
        <f t="shared" si="415"/>
        <v>1092.0484278231359</v>
      </c>
      <c r="H257" s="69">
        <f t="shared" si="410"/>
        <v>1092.0484278231359</v>
      </c>
      <c r="I257" s="69">
        <f t="shared" si="410"/>
        <v>1147.5521618237005</v>
      </c>
      <c r="J257" s="69">
        <f t="shared" si="410"/>
        <v>1147.5521618237005</v>
      </c>
      <c r="K257" s="69">
        <f t="shared" si="410"/>
        <v>1148.6929492876977</v>
      </c>
      <c r="L257" s="69">
        <f>L192*L$218</f>
        <v>1188.374328952802</v>
      </c>
      <c r="N257" s="69">
        <f t="shared" si="415"/>
        <v>730.03444811999998</v>
      </c>
      <c r="O257" s="69">
        <f t="shared" si="415"/>
        <v>718.68548242000008</v>
      </c>
      <c r="P257" s="69">
        <f t="shared" si="415"/>
        <v>696.40531891980606</v>
      </c>
      <c r="Q257" s="69">
        <f t="shared" si="415"/>
        <v>818.00653326632539</v>
      </c>
      <c r="R257" s="69">
        <f t="shared" si="415"/>
        <v>731.13157391063953</v>
      </c>
      <c r="S257" s="69">
        <f t="shared" si="415"/>
        <v>800.39302017622765</v>
      </c>
      <c r="T257" s="69">
        <f t="shared" si="415"/>
        <v>1111.6669056811916</v>
      </c>
      <c r="U257" s="69">
        <f t="shared" si="415"/>
        <v>1023.8819583084205</v>
      </c>
      <c r="V257" s="69">
        <f t="shared" si="415"/>
        <v>1129.5613944233967</v>
      </c>
      <c r="W257" s="69">
        <f t="shared" si="415"/>
        <v>1196.499322871829</v>
      </c>
      <c r="X257" s="69">
        <f t="shared" si="415"/>
        <v>1105.6469806506484</v>
      </c>
      <c r="Y257" s="69">
        <f t="shared" si="415"/>
        <v>1092.0484278231359</v>
      </c>
      <c r="Z257" s="69">
        <f t="shared" si="415"/>
        <v>1134.4102773795166</v>
      </c>
      <c r="AA257" s="69">
        <f t="shared" si="411"/>
        <v>1224.8288076792653</v>
      </c>
      <c r="AB257" s="69">
        <f t="shared" si="411"/>
        <v>1158.3065546971682</v>
      </c>
      <c r="AC257" s="69">
        <f t="shared" si="411"/>
        <v>1147.5521618237005</v>
      </c>
      <c r="AD257" s="69">
        <f t="shared" si="411"/>
        <v>1102.4663366252414</v>
      </c>
      <c r="AE257" s="69">
        <f t="shared" si="412"/>
        <v>1132.3669764708443</v>
      </c>
      <c r="AF257" s="69">
        <f t="shared" si="412"/>
        <v>1129.6113067911101</v>
      </c>
      <c r="AG257" s="69">
        <f t="shared" si="412"/>
        <v>1148.6929492876977</v>
      </c>
      <c r="AH257" s="69">
        <f t="shared" si="412"/>
        <v>1214.3436681757003</v>
      </c>
      <c r="AI257" s="69">
        <f t="shared" si="413"/>
        <v>1152.3261856394054</v>
      </c>
      <c r="AJ257" s="69">
        <f t="shared" si="413"/>
        <v>1140.4832947483858</v>
      </c>
      <c r="AK257" s="69">
        <f>AK192*AK$218</f>
        <v>1188.374328952802</v>
      </c>
      <c r="AN257"/>
    </row>
    <row r="258" spans="2:40" ht="13.5" customHeight="1">
      <c r="C258" s="51"/>
      <c r="D258" s="51"/>
      <c r="E258" s="51"/>
      <c r="F258" s="51"/>
      <c r="G258" s="51"/>
      <c r="H258" s="51"/>
      <c r="I258" s="75"/>
      <c r="J258" s="75"/>
      <c r="K258" s="75"/>
      <c r="L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N258"/>
    </row>
    <row r="259" spans="2:40" s="5" customFormat="1" ht="13.5" customHeight="1">
      <c r="B259" s="5" t="s">
        <v>292</v>
      </c>
      <c r="C259" s="79">
        <f>C194*C$218</f>
        <v>631.61244734338914</v>
      </c>
      <c r="D259" s="79">
        <f t="shared" ref="D259:Z259" si="416">D194*D$218</f>
        <v>594.85583936303146</v>
      </c>
      <c r="E259" s="79">
        <f t="shared" si="416"/>
        <v>537.84350929734046</v>
      </c>
      <c r="F259" s="79">
        <f t="shared" si="416"/>
        <v>860.21767990514513</v>
      </c>
      <c r="G259" s="79">
        <f t="shared" si="416"/>
        <v>917.4947797326613</v>
      </c>
      <c r="H259" s="79">
        <f t="shared" ref="H259:K260" si="417">H194*H$218</f>
        <v>917.4947797326613</v>
      </c>
      <c r="I259" s="79">
        <f t="shared" si="417"/>
        <v>944.94454821386887</v>
      </c>
      <c r="J259" s="79">
        <f t="shared" si="417"/>
        <v>938.29457899093677</v>
      </c>
      <c r="K259" s="79">
        <f t="shared" si="417"/>
        <v>838.72704538949381</v>
      </c>
      <c r="L259" s="79">
        <f>L194*L$218</f>
        <v>933.40656350960717</v>
      </c>
      <c r="N259" s="79">
        <f t="shared" si="416"/>
        <v>533.47997691</v>
      </c>
      <c r="O259" s="79">
        <f t="shared" si="416"/>
        <v>561.14811766999992</v>
      </c>
      <c r="P259" s="79">
        <f t="shared" si="416"/>
        <v>453.10791684187865</v>
      </c>
      <c r="Q259" s="79">
        <f t="shared" si="416"/>
        <v>537.84350929734057</v>
      </c>
      <c r="R259" s="79">
        <f t="shared" si="416"/>
        <v>524.81386768177288</v>
      </c>
      <c r="S259" s="79">
        <f t="shared" si="416"/>
        <v>614.21046750068444</v>
      </c>
      <c r="T259" s="79">
        <f t="shared" si="416"/>
        <v>907.83872035300624</v>
      </c>
      <c r="U259" s="79">
        <f t="shared" si="416"/>
        <v>860.21767990514513</v>
      </c>
      <c r="V259" s="79">
        <f t="shared" si="416"/>
        <v>905.84660252391745</v>
      </c>
      <c r="W259" s="79">
        <f t="shared" si="416"/>
        <v>926.20284645552363</v>
      </c>
      <c r="X259" s="79">
        <f t="shared" si="416"/>
        <v>906.48463746544758</v>
      </c>
      <c r="Y259" s="79">
        <f t="shared" si="416"/>
        <v>917.49477973266153</v>
      </c>
      <c r="Z259" s="79">
        <f t="shared" si="416"/>
        <v>933.33140097618559</v>
      </c>
      <c r="AA259" s="79">
        <f t="shared" ref="AA259:AD260" si="418">AA194*AA$218</f>
        <v>972.9311109372145</v>
      </c>
      <c r="AB259" s="79">
        <f t="shared" si="418"/>
        <v>924.34715297688479</v>
      </c>
      <c r="AC259" s="79">
        <f t="shared" si="418"/>
        <v>944.94454821386898</v>
      </c>
      <c r="AD259" s="79">
        <f t="shared" si="418"/>
        <v>854.82626040948946</v>
      </c>
      <c r="AE259" s="79">
        <f t="shared" ref="AE259:AH260" si="419">AE194*AE$218</f>
        <v>824.54889754696035</v>
      </c>
      <c r="AF259" s="79">
        <f t="shared" si="419"/>
        <v>779.97034371896882</v>
      </c>
      <c r="AG259" s="79">
        <f t="shared" si="419"/>
        <v>838.72704538949381</v>
      </c>
      <c r="AH259" s="79">
        <f t="shared" si="419"/>
        <v>802.07067172396887</v>
      </c>
      <c r="AI259" s="79">
        <f t="shared" ref="AI259:AK260" si="420">AI194*AI$218</f>
        <v>736.0250796278184</v>
      </c>
      <c r="AJ259" s="79">
        <f t="shared" si="420"/>
        <v>805.99585719507752</v>
      </c>
      <c r="AK259" s="79">
        <f t="shared" si="420"/>
        <v>933.40656350960705</v>
      </c>
      <c r="AN259"/>
    </row>
    <row r="260" spans="2:40" ht="13.5" customHeight="1">
      <c r="B260" s="5" t="s">
        <v>293</v>
      </c>
      <c r="C260" s="69">
        <f>C195*C$218</f>
        <v>731.15640712053266</v>
      </c>
      <c r="D260" s="69">
        <f t="shared" ref="D260:Z260" si="421">D195*D$218</f>
        <v>764.50416993578017</v>
      </c>
      <c r="E260" s="69">
        <f t="shared" si="421"/>
        <v>818.1755058922472</v>
      </c>
      <c r="F260" s="69">
        <f t="shared" si="421"/>
        <v>1023.8819583084205</v>
      </c>
      <c r="G260" s="69">
        <f t="shared" si="421"/>
        <v>1092.0484278231359</v>
      </c>
      <c r="H260" s="69">
        <f t="shared" si="417"/>
        <v>1092.0484278231359</v>
      </c>
      <c r="I260" s="69">
        <f t="shared" si="417"/>
        <v>1147.5521618237005</v>
      </c>
      <c r="J260" s="69">
        <f t="shared" si="417"/>
        <v>1147.5521618237005</v>
      </c>
      <c r="K260" s="69">
        <f t="shared" si="417"/>
        <v>1148.6929492876977</v>
      </c>
      <c r="L260" s="69">
        <f>L195*L$218</f>
        <v>1188.374328952802</v>
      </c>
      <c r="N260" s="69">
        <f t="shared" si="421"/>
        <v>730.03444811999998</v>
      </c>
      <c r="O260" s="69">
        <f t="shared" si="421"/>
        <v>718.68548242000008</v>
      </c>
      <c r="P260" s="69">
        <f t="shared" si="421"/>
        <v>696.40531891980606</v>
      </c>
      <c r="Q260" s="69">
        <f t="shared" si="421"/>
        <v>818.1755058922472</v>
      </c>
      <c r="R260" s="69">
        <f t="shared" si="421"/>
        <v>731.13157391063953</v>
      </c>
      <c r="S260" s="69">
        <f t="shared" si="421"/>
        <v>800.39302017622765</v>
      </c>
      <c r="T260" s="69">
        <f t="shared" si="421"/>
        <v>1111.6669056811916</v>
      </c>
      <c r="U260" s="69">
        <f t="shared" si="421"/>
        <v>1023.8819583084205</v>
      </c>
      <c r="V260" s="69">
        <f t="shared" si="421"/>
        <v>1129.5613944233967</v>
      </c>
      <c r="W260" s="69">
        <f t="shared" si="421"/>
        <v>1196.499322871829</v>
      </c>
      <c r="X260" s="69">
        <f t="shared" si="421"/>
        <v>1105.6469806506484</v>
      </c>
      <c r="Y260" s="69">
        <f t="shared" si="421"/>
        <v>1092.0484278231359</v>
      </c>
      <c r="Z260" s="69">
        <f t="shared" si="421"/>
        <v>1134.4102773795166</v>
      </c>
      <c r="AA260" s="69">
        <f t="shared" si="418"/>
        <v>1224.8288076792653</v>
      </c>
      <c r="AB260" s="69">
        <f t="shared" si="418"/>
        <v>1158.3065546971682</v>
      </c>
      <c r="AC260" s="69">
        <f t="shared" si="418"/>
        <v>1147.5521618237005</v>
      </c>
      <c r="AD260" s="69">
        <f t="shared" si="418"/>
        <v>1102.4663366252414</v>
      </c>
      <c r="AE260" s="69">
        <f t="shared" si="419"/>
        <v>1132.3669764708443</v>
      </c>
      <c r="AF260" s="69">
        <f t="shared" si="419"/>
        <v>1129.6113067911101</v>
      </c>
      <c r="AG260" s="69">
        <f t="shared" si="419"/>
        <v>1148.6929492876977</v>
      </c>
      <c r="AH260" s="69">
        <f t="shared" si="419"/>
        <v>1214.3436681757003</v>
      </c>
      <c r="AI260" s="69">
        <f t="shared" si="420"/>
        <v>1152.3261856394054</v>
      </c>
      <c r="AJ260" s="69">
        <f t="shared" si="420"/>
        <v>1140.4832947483858</v>
      </c>
      <c r="AK260" s="69">
        <f t="shared" si="420"/>
        <v>1188.374328952802</v>
      </c>
      <c r="AN260"/>
    </row>
    <row r="261" spans="2:40" ht="13.5" customHeight="1"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N261"/>
    </row>
    <row r="262" spans="2:40" s="5" customFormat="1" ht="13.5" customHeight="1">
      <c r="B262" s="5" t="s">
        <v>296</v>
      </c>
      <c r="C262" s="79">
        <f>C197*C$218</f>
        <v>1107.3798070390001</v>
      </c>
      <c r="D262" s="79">
        <f t="shared" ref="D262:Y262" si="422">D197*D$218</f>
        <v>982.0206898555781</v>
      </c>
      <c r="E262" s="79">
        <f t="shared" si="422"/>
        <v>939.79425852042539</v>
      </c>
      <c r="F262" s="79">
        <f t="shared" si="422"/>
        <v>1302.4885231614257</v>
      </c>
      <c r="G262" s="79">
        <f t="shared" si="422"/>
        <v>1433.8682816048447</v>
      </c>
      <c r="H262" s="79">
        <f t="shared" ref="H262:K263" si="423">H197*H$218</f>
        <v>1433.8682816048447</v>
      </c>
      <c r="I262" s="79">
        <f t="shared" si="423"/>
        <v>1211.125750854329</v>
      </c>
      <c r="J262" s="79">
        <f t="shared" si="423"/>
        <v>1204.475781631397</v>
      </c>
      <c r="K262" s="79">
        <f t="shared" si="423"/>
        <v>1174.1478234233689</v>
      </c>
      <c r="L262" s="79">
        <f>L197*L$218</f>
        <v>1252.2514149682997</v>
      </c>
      <c r="N262" s="79">
        <f t="shared" si="422"/>
        <v>933.77810942999997</v>
      </c>
      <c r="O262" s="79">
        <f t="shared" si="422"/>
        <v>932.06000359000006</v>
      </c>
      <c r="P262" s="79">
        <f t="shared" si="422"/>
        <v>799.09924000779483</v>
      </c>
      <c r="Q262" s="79">
        <f t="shared" si="422"/>
        <v>939.79425852042539</v>
      </c>
      <c r="R262" s="79">
        <f t="shared" si="422"/>
        <v>953.36415158539444</v>
      </c>
      <c r="S262" s="79">
        <f t="shared" si="422"/>
        <v>1077.0320104149787</v>
      </c>
      <c r="T262" s="79">
        <f t="shared" si="422"/>
        <v>1376.9961389961393</v>
      </c>
      <c r="U262" s="79">
        <f t="shared" si="422"/>
        <v>1302.4885231614257</v>
      </c>
      <c r="V262" s="79">
        <f t="shared" si="422"/>
        <v>1401.2117528414512</v>
      </c>
      <c r="W262" s="79">
        <f t="shared" si="422"/>
        <v>1401.7562539960632</v>
      </c>
      <c r="X262" s="79">
        <f t="shared" si="422"/>
        <v>1427.6888688071442</v>
      </c>
      <c r="Y262" s="79">
        <f t="shared" si="422"/>
        <v>1433.8682816048449</v>
      </c>
      <c r="Z262" s="79">
        <f t="shared" ref="Z262:AD263" si="424">Z197*Z$218</f>
        <v>1158.9322001438918</v>
      </c>
      <c r="AA262" s="79">
        <f t="shared" si="424"/>
        <v>1195.0650285624852</v>
      </c>
      <c r="AB262" s="79">
        <f t="shared" si="424"/>
        <v>1141.4887224171562</v>
      </c>
      <c r="AC262" s="79">
        <f t="shared" si="424"/>
        <v>1211.125750854329</v>
      </c>
      <c r="AD262" s="79">
        <f t="shared" si="424"/>
        <v>1122.204217385017</v>
      </c>
      <c r="AE262" s="79">
        <f t="shared" ref="AE262:AH263" si="425">AE197*AE$218</f>
        <v>1151.8183401171016</v>
      </c>
      <c r="AF262" s="79">
        <f t="shared" si="425"/>
        <v>1106.7036108525956</v>
      </c>
      <c r="AG262" s="79">
        <f t="shared" si="425"/>
        <v>1174.1478234233689</v>
      </c>
      <c r="AH262" s="79">
        <f t="shared" si="425"/>
        <v>1136.1432032301477</v>
      </c>
      <c r="AI262" s="79">
        <f t="shared" ref="AI262:AK263" si="426">AI197*AI$218</f>
        <v>1070.9808642439746</v>
      </c>
      <c r="AJ262" s="79">
        <f t="shared" si="426"/>
        <v>1124.4377238942368</v>
      </c>
      <c r="AK262" s="79">
        <f t="shared" si="426"/>
        <v>1252.2514149682995</v>
      </c>
      <c r="AN262"/>
    </row>
    <row r="263" spans="2:40" ht="13.5" customHeight="1">
      <c r="B263" s="5" t="s">
        <v>297</v>
      </c>
      <c r="C263" s="69">
        <f>C198*C$218</f>
        <v>1206.9237668161436</v>
      </c>
      <c r="D263" s="69">
        <f t="shared" ref="D263:Y263" si="427">D198*D$218</f>
        <v>1151.6690204283266</v>
      </c>
      <c r="E263" s="69">
        <f t="shared" si="427"/>
        <v>1220.126255115332</v>
      </c>
      <c r="F263" s="69">
        <f t="shared" si="427"/>
        <v>1466.1528015647011</v>
      </c>
      <c r="G263" s="69">
        <f t="shared" si="427"/>
        <v>1608.4219296953192</v>
      </c>
      <c r="H263" s="69">
        <f t="shared" si="423"/>
        <v>1608.4219296953192</v>
      </c>
      <c r="I263" s="69">
        <f t="shared" si="423"/>
        <v>1413.7333644641606</v>
      </c>
      <c r="J263" s="69">
        <f t="shared" si="423"/>
        <v>1413.7333644641606</v>
      </c>
      <c r="K263" s="69">
        <f t="shared" si="423"/>
        <v>1484.1137273215727</v>
      </c>
      <c r="L263" s="69">
        <f>L198*L$218</f>
        <v>1507.2191804114946</v>
      </c>
      <c r="N263" s="69">
        <f t="shared" si="427"/>
        <v>1130.3325806400001</v>
      </c>
      <c r="O263" s="69">
        <f t="shared" si="427"/>
        <v>1089.5973683400002</v>
      </c>
      <c r="P263" s="69">
        <f t="shared" si="427"/>
        <v>1042.3966420857223</v>
      </c>
      <c r="Q263" s="69">
        <f t="shared" si="427"/>
        <v>1220.126255115332</v>
      </c>
      <c r="R263" s="69">
        <f t="shared" si="427"/>
        <v>1159.6818578142613</v>
      </c>
      <c r="S263" s="69">
        <f t="shared" si="427"/>
        <v>1263.2145630905218</v>
      </c>
      <c r="T263" s="69">
        <f t="shared" si="427"/>
        <v>1580.8243243243244</v>
      </c>
      <c r="U263" s="69">
        <f t="shared" si="427"/>
        <v>1466.1528015647011</v>
      </c>
      <c r="V263" s="69">
        <f t="shared" si="427"/>
        <v>1624.9265447409307</v>
      </c>
      <c r="W263" s="69">
        <f t="shared" si="427"/>
        <v>1672.0527304123686</v>
      </c>
      <c r="X263" s="69">
        <f t="shared" si="427"/>
        <v>1626.8512119923453</v>
      </c>
      <c r="Y263" s="69">
        <f t="shared" si="427"/>
        <v>1608.4219296953192</v>
      </c>
      <c r="Z263" s="69">
        <f t="shared" si="424"/>
        <v>1360.011076547223</v>
      </c>
      <c r="AA263" s="69">
        <f t="shared" si="424"/>
        <v>1446.9627253045358</v>
      </c>
      <c r="AB263" s="69">
        <f t="shared" si="424"/>
        <v>1375.4481241374394</v>
      </c>
      <c r="AC263" s="69">
        <f t="shared" si="424"/>
        <v>1413.7333644641606</v>
      </c>
      <c r="AD263" s="69">
        <f t="shared" si="424"/>
        <v>1369.8442936007691</v>
      </c>
      <c r="AE263" s="69">
        <f t="shared" si="425"/>
        <v>1459.6364190409859</v>
      </c>
      <c r="AF263" s="69">
        <f t="shared" si="425"/>
        <v>1456.3445739247368</v>
      </c>
      <c r="AG263" s="69">
        <f t="shared" si="425"/>
        <v>1484.1137273215727</v>
      </c>
      <c r="AH263" s="69">
        <f t="shared" si="425"/>
        <v>1548.4161996818791</v>
      </c>
      <c r="AI263" s="69">
        <f t="shared" si="426"/>
        <v>1487.2819702555614</v>
      </c>
      <c r="AJ263" s="69">
        <f t="shared" si="426"/>
        <v>1458.9251614475452</v>
      </c>
      <c r="AK263" s="69">
        <f t="shared" si="426"/>
        <v>1507.2191804114946</v>
      </c>
      <c r="AN263"/>
    </row>
    <row r="264" spans="2:40" ht="13.5" customHeight="1"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N264"/>
    </row>
    <row r="265" spans="2:40" ht="13.5" customHeight="1">
      <c r="B265" s="1" t="s">
        <v>315</v>
      </c>
      <c r="C265" s="69">
        <f t="shared" ref="C265:H267" si="428">C200*C$219</f>
        <v>563.39867000000004</v>
      </c>
      <c r="D265" s="69">
        <f t="shared" si="428"/>
        <v>577.03646000000003</v>
      </c>
      <c r="E265" s="69">
        <f t="shared" si="428"/>
        <v>588.10896000000002</v>
      </c>
      <c r="F265" s="69">
        <f t="shared" si="428"/>
        <v>601.34544000000005</v>
      </c>
      <c r="G265" s="69">
        <f t="shared" si="428"/>
        <v>611.23646000000008</v>
      </c>
      <c r="H265" s="69">
        <f t="shared" si="428"/>
        <v>611.23646000000008</v>
      </c>
      <c r="I265" s="69">
        <f t="shared" ref="I265:K267" si="429">I200*I$219</f>
        <v>605.50190472746374</v>
      </c>
      <c r="J265" s="69">
        <f t="shared" si="429"/>
        <v>605.50190472746374</v>
      </c>
      <c r="K265" s="69">
        <f t="shared" si="429"/>
        <v>0</v>
      </c>
      <c r="L265" s="69">
        <f>L200*L$219</f>
        <v>0</v>
      </c>
      <c r="N265" s="69"/>
      <c r="O265" s="69"/>
      <c r="P265" s="69"/>
      <c r="Q265" s="69">
        <f t="shared" ref="Q265:AK265" si="430">Q200*AVERAGE(N$219:Q$219)</f>
        <v>0</v>
      </c>
      <c r="R265" s="69">
        <f t="shared" si="430"/>
        <v>582.93042500000001</v>
      </c>
      <c r="S265" s="69">
        <f t="shared" si="430"/>
        <v>589.14772500000004</v>
      </c>
      <c r="T265" s="69">
        <f t="shared" si="430"/>
        <v>596.90312499999993</v>
      </c>
      <c r="U265" s="69">
        <f t="shared" si="430"/>
        <v>601.65740000000005</v>
      </c>
      <c r="V265" s="69">
        <f t="shared" si="430"/>
        <v>612.78790749999996</v>
      </c>
      <c r="W265" s="69">
        <f t="shared" si="430"/>
        <v>620.18946000000005</v>
      </c>
      <c r="X265" s="69">
        <f t="shared" si="430"/>
        <v>619.29547000000002</v>
      </c>
      <c r="Y265" s="69">
        <f t="shared" si="430"/>
        <v>608.38926750000007</v>
      </c>
      <c r="Z265" s="69">
        <f t="shared" si="430"/>
        <v>603.08722249999994</v>
      </c>
      <c r="AA265" s="69">
        <f t="shared" si="430"/>
        <v>598.12157249999996</v>
      </c>
      <c r="AB265" s="69">
        <f t="shared" si="430"/>
        <v>599.06308000000001</v>
      </c>
      <c r="AC265" s="69">
        <f t="shared" si="430"/>
        <v>605.50190472746374</v>
      </c>
      <c r="AD265" s="69">
        <f t="shared" si="430"/>
        <v>0</v>
      </c>
      <c r="AE265" s="69">
        <f t="shared" si="430"/>
        <v>0</v>
      </c>
      <c r="AF265" s="69">
        <f t="shared" si="430"/>
        <v>0</v>
      </c>
      <c r="AG265" s="69">
        <f t="shared" si="430"/>
        <v>0</v>
      </c>
      <c r="AH265" s="69">
        <f t="shared" si="430"/>
        <v>0</v>
      </c>
      <c r="AI265" s="69">
        <f t="shared" si="430"/>
        <v>0</v>
      </c>
      <c r="AJ265" s="69">
        <f t="shared" si="430"/>
        <v>0</v>
      </c>
      <c r="AK265" s="69">
        <f t="shared" si="430"/>
        <v>0</v>
      </c>
      <c r="AN265"/>
    </row>
    <row r="266" spans="2:40" ht="13.5" customHeight="1">
      <c r="B266" s="1" t="s">
        <v>270</v>
      </c>
      <c r="C266" s="69">
        <f t="shared" si="428"/>
        <v>629.21195067000008</v>
      </c>
      <c r="D266" s="69">
        <f t="shared" si="428"/>
        <v>629.61433766000005</v>
      </c>
      <c r="E266" s="69">
        <f t="shared" si="428"/>
        <v>640.6635546</v>
      </c>
      <c r="F266" s="69">
        <f t="shared" si="428"/>
        <v>659.18194748999997</v>
      </c>
      <c r="G266" s="69">
        <f t="shared" si="428"/>
        <v>677.37691996000001</v>
      </c>
      <c r="H266" s="69">
        <f t="shared" si="428"/>
        <v>677.37691996000001</v>
      </c>
      <c r="I266" s="69">
        <f t="shared" si="429"/>
        <v>0</v>
      </c>
      <c r="J266" s="69">
        <f t="shared" si="429"/>
        <v>0</v>
      </c>
      <c r="K266" s="69">
        <f t="shared" si="429"/>
        <v>0</v>
      </c>
      <c r="L266" s="69">
        <f>L201*L$219</f>
        <v>0</v>
      </c>
      <c r="N266" s="69"/>
      <c r="O266" s="69"/>
      <c r="P266" s="69"/>
      <c r="Q266" s="69">
        <f>Q201*AVERAGE(N$219:Q$219)</f>
        <v>640.723273425</v>
      </c>
      <c r="R266" s="69">
        <f t="shared" ref="R266:Y266" si="431">R201*AVERAGE(O$219:R$219)</f>
        <v>635.43825042499998</v>
      </c>
      <c r="S266" s="69">
        <f t="shared" si="431"/>
        <v>642.75592242499999</v>
      </c>
      <c r="T266" s="69">
        <f t="shared" si="431"/>
        <v>652.69601429999989</v>
      </c>
      <c r="U266" s="69">
        <f t="shared" si="431"/>
        <v>659.52391133749995</v>
      </c>
      <c r="V266" s="69">
        <f t="shared" si="431"/>
        <v>674.17495888812493</v>
      </c>
      <c r="W266" s="69">
        <f t="shared" si="431"/>
        <v>683.31275595</v>
      </c>
      <c r="X266" s="69">
        <f t="shared" si="431"/>
        <v>683.49914152375004</v>
      </c>
      <c r="Y266" s="69">
        <f t="shared" si="431"/>
        <v>674.22163945500006</v>
      </c>
      <c r="Z266" s="226"/>
      <c r="AA266" s="226"/>
      <c r="AB266" s="226"/>
      <c r="AC266" s="69">
        <f>AC201*AVERAGE(Z$219:AC$219)</f>
        <v>0</v>
      </c>
      <c r="AD266" s="226"/>
      <c r="AE266" s="226"/>
      <c r="AF266" s="226"/>
      <c r="AG266" s="226"/>
      <c r="AH266" s="226"/>
      <c r="AI266" s="226"/>
      <c r="AJ266" s="226"/>
      <c r="AK266" s="226"/>
      <c r="AN266"/>
    </row>
    <row r="267" spans="2:40" ht="13.5" customHeight="1">
      <c r="B267" s="1" t="s">
        <v>316</v>
      </c>
      <c r="C267" s="69">
        <f t="shared" si="428"/>
        <v>563.39867000000004</v>
      </c>
      <c r="D267" s="69">
        <f t="shared" si="428"/>
        <v>577.03646000000003</v>
      </c>
      <c r="E267" s="69">
        <f t="shared" si="428"/>
        <v>588.10896000000002</v>
      </c>
      <c r="F267" s="69">
        <f t="shared" si="428"/>
        <v>601.34544000000005</v>
      </c>
      <c r="G267" s="69">
        <f t="shared" si="428"/>
        <v>611.23646000000008</v>
      </c>
      <c r="H267" s="69">
        <f t="shared" si="428"/>
        <v>611.23646000000008</v>
      </c>
      <c r="I267" s="69">
        <f t="shared" si="429"/>
        <v>654.506286663129</v>
      </c>
      <c r="J267" s="69">
        <f t="shared" si="429"/>
        <v>654.506286663129</v>
      </c>
      <c r="K267" s="69">
        <f t="shared" si="429"/>
        <v>695.83742115763107</v>
      </c>
      <c r="L267" s="69">
        <f>L202*L$219</f>
        <v>735.94554007718887</v>
      </c>
      <c r="N267" s="69"/>
      <c r="O267" s="69"/>
      <c r="P267" s="69"/>
      <c r="Q267" s="69">
        <f>Q202*AVERAGE(N$219:Q$219)</f>
        <v>588.16377999999997</v>
      </c>
      <c r="R267" s="69">
        <f t="shared" ref="R267:AB267" si="432">R202*AVERAGE(O$219:R$219)</f>
        <v>582.93042500000001</v>
      </c>
      <c r="S267" s="69">
        <f t="shared" si="432"/>
        <v>589.14772500000004</v>
      </c>
      <c r="T267" s="69">
        <f t="shared" si="432"/>
        <v>596.90312499999993</v>
      </c>
      <c r="U267" s="69">
        <f t="shared" si="432"/>
        <v>601.65740000000005</v>
      </c>
      <c r="V267" s="69">
        <f t="shared" si="432"/>
        <v>612.78790749999996</v>
      </c>
      <c r="W267" s="69">
        <f t="shared" si="432"/>
        <v>620.18946000000005</v>
      </c>
      <c r="X267" s="69">
        <f t="shared" si="432"/>
        <v>619.29547000000002</v>
      </c>
      <c r="Y267" s="69">
        <f t="shared" si="432"/>
        <v>608.38926750000007</v>
      </c>
      <c r="Z267" s="69">
        <f t="shared" si="432"/>
        <v>613.85019999999997</v>
      </c>
      <c r="AA267" s="69">
        <f t="shared" si="432"/>
        <v>620.24168250000002</v>
      </c>
      <c r="AB267" s="69">
        <f t="shared" si="432"/>
        <v>633.37042999999994</v>
      </c>
      <c r="AC267" s="69">
        <f>AC202*AVERAGE(Z$219:AC$219)</f>
        <v>654.506286663129</v>
      </c>
      <c r="AD267" s="69">
        <f t="shared" ref="AD267:AK267" si="433">AD202*AVERAGE(AA$219:AD$219)</f>
        <v>673.43840584707164</v>
      </c>
      <c r="AE267" s="69">
        <f t="shared" si="433"/>
        <v>684.07764173305691</v>
      </c>
      <c r="AF267" s="69">
        <f t="shared" si="433"/>
        <v>693.42858029514377</v>
      </c>
      <c r="AG267" s="69">
        <f t="shared" si="433"/>
        <v>702.97920231100511</v>
      </c>
      <c r="AH267" s="69">
        <f t="shared" si="433"/>
        <v>704.15120836422091</v>
      </c>
      <c r="AI267" s="69">
        <f t="shared" si="433"/>
        <v>716.11094518730283</v>
      </c>
      <c r="AJ267" s="69">
        <f t="shared" si="433"/>
        <v>719.38656112372723</v>
      </c>
      <c r="AK267" s="69">
        <f t="shared" si="433"/>
        <v>738.34672798511428</v>
      </c>
      <c r="AN267"/>
    </row>
    <row r="268" spans="2:40" ht="13.5" customHeight="1">
      <c r="C268" s="51"/>
      <c r="D268" s="51"/>
      <c r="E268" s="51"/>
      <c r="F268" s="51"/>
      <c r="G268" s="51"/>
      <c r="H268" s="51"/>
      <c r="I268" s="75"/>
      <c r="J268" s="75"/>
      <c r="K268" s="75"/>
      <c r="L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N268"/>
    </row>
    <row r="269" spans="2:40" s="5" customFormat="1" ht="13.5" customHeight="1">
      <c r="B269" s="5" t="str">
        <f>+B141</f>
        <v>Total Net Leverage</v>
      </c>
      <c r="C269" s="52">
        <f>C256/C$265</f>
        <v>1.1187361683996337</v>
      </c>
      <c r="D269" s="52">
        <f t="shared" ref="D269:Z269" si="434">D256/D$265</f>
        <v>1.030128798887411</v>
      </c>
      <c r="E269" s="52">
        <f t="shared" si="434"/>
        <v>0.91424306249545773</v>
      </c>
      <c r="F269" s="52">
        <f t="shared" si="434"/>
        <v>1.4304884059736864</v>
      </c>
      <c r="G269" s="52">
        <f t="shared" si="434"/>
        <v>1.5010472047637033</v>
      </c>
      <c r="H269" s="52">
        <f t="shared" ref="H269:J270" si="435">H256/H$265</f>
        <v>1.5010472047637033</v>
      </c>
      <c r="I269" s="52">
        <f t="shared" si="435"/>
        <v>1.5605971522735147</v>
      </c>
      <c r="J269" s="52">
        <f t="shared" si="435"/>
        <v>1.5496145786911486</v>
      </c>
      <c r="K269" s="224"/>
      <c r="L269" s="224"/>
      <c r="N269" s="52"/>
      <c r="O269" s="52"/>
      <c r="P269" s="52"/>
      <c r="Q269" s="52" t="e">
        <f t="shared" si="434"/>
        <v>#DIV/0!</v>
      </c>
      <c r="R269" s="52">
        <f t="shared" si="434"/>
        <v>0.9003027551388707</v>
      </c>
      <c r="S269" s="52">
        <f t="shared" si="434"/>
        <v>1.0425406760260076</v>
      </c>
      <c r="T269" s="52">
        <f t="shared" si="434"/>
        <v>1.5209146716278397</v>
      </c>
      <c r="U269" s="52">
        <f t="shared" si="434"/>
        <v>1.4297466962180554</v>
      </c>
      <c r="V269" s="52">
        <f t="shared" si="434"/>
        <v>1.4782383781356154</v>
      </c>
      <c r="W269" s="52">
        <f t="shared" si="434"/>
        <v>1.4934191987969669</v>
      </c>
      <c r="X269" s="52">
        <f t="shared" si="434"/>
        <v>1.4637352949884286</v>
      </c>
      <c r="Y269" s="52">
        <f t="shared" si="434"/>
        <v>1.508071934771041</v>
      </c>
      <c r="Z269" s="52">
        <f t="shared" si="434"/>
        <v>1.547589413529957</v>
      </c>
      <c r="AA269" s="52">
        <f t="shared" ref="AA269:AC270" si="436">AA256/AA$265</f>
        <v>1.6266444075417703</v>
      </c>
      <c r="AB269" s="52">
        <f t="shared" si="436"/>
        <v>1.5429880155139668</v>
      </c>
      <c r="AC269" s="52">
        <f t="shared" si="436"/>
        <v>1.5605971522735147</v>
      </c>
      <c r="AD269" s="226"/>
      <c r="AE269" s="226"/>
      <c r="AF269" s="226"/>
      <c r="AG269" s="224"/>
      <c r="AH269" s="226"/>
      <c r="AI269" s="226"/>
      <c r="AJ269" s="226"/>
      <c r="AK269" s="224"/>
      <c r="AN269"/>
    </row>
    <row r="270" spans="2:40" ht="12.75">
      <c r="B270" s="1" t="str">
        <f>+B142</f>
        <v xml:space="preserve">Total Gross Leverage </v>
      </c>
      <c r="C270" s="53">
        <f>C257/C$265</f>
        <v>1.2954209301459538</v>
      </c>
      <c r="D270" s="53">
        <f t="shared" ref="D270:Z270" si="437">D257/D$265</f>
        <v>1.3241281253298833</v>
      </c>
      <c r="E270" s="53">
        <f t="shared" si="437"/>
        <v>1.3909098294750097</v>
      </c>
      <c r="F270" s="53">
        <f t="shared" si="437"/>
        <v>1.7026519038847627</v>
      </c>
      <c r="G270" s="53">
        <f t="shared" si="437"/>
        <v>1.7866218710564741</v>
      </c>
      <c r="H270" s="53">
        <f t="shared" si="435"/>
        <v>1.7866218710564741</v>
      </c>
      <c r="I270" s="53">
        <f t="shared" si="435"/>
        <v>1.8952081783131856</v>
      </c>
      <c r="J270" s="53">
        <f t="shared" si="435"/>
        <v>1.8952081783131856</v>
      </c>
      <c r="K270" s="225"/>
      <c r="L270" s="225"/>
      <c r="N270" s="53"/>
      <c r="O270" s="53"/>
      <c r="P270" s="53"/>
      <c r="Q270" s="53" t="e">
        <f t="shared" si="437"/>
        <v>#DIV/0!</v>
      </c>
      <c r="R270" s="53">
        <f t="shared" si="437"/>
        <v>1.2542347123340483</v>
      </c>
      <c r="S270" s="53">
        <f t="shared" si="437"/>
        <v>1.3585608264484559</v>
      </c>
      <c r="T270" s="53">
        <f t="shared" si="437"/>
        <v>1.8623908287985453</v>
      </c>
      <c r="U270" s="53">
        <f t="shared" si="437"/>
        <v>1.7017690770668166</v>
      </c>
      <c r="V270" s="53">
        <f t="shared" si="437"/>
        <v>1.8433154123939639</v>
      </c>
      <c r="W270" s="53">
        <f t="shared" si="437"/>
        <v>1.9292480766632649</v>
      </c>
      <c r="X270" s="53">
        <f t="shared" si="437"/>
        <v>1.7853303216486442</v>
      </c>
      <c r="Y270" s="53">
        <f t="shared" si="437"/>
        <v>1.7949830579862025</v>
      </c>
      <c r="Z270" s="53">
        <f t="shared" si="437"/>
        <v>1.8810053256923658</v>
      </c>
      <c r="AA270" s="53">
        <f t="shared" si="436"/>
        <v>2.0477923953817356</v>
      </c>
      <c r="AB270" s="53">
        <f t="shared" si="436"/>
        <v>1.9335301963478839</v>
      </c>
      <c r="AC270" s="53">
        <f t="shared" si="436"/>
        <v>1.8952081783131856</v>
      </c>
      <c r="AD270" s="226"/>
      <c r="AE270" s="226"/>
      <c r="AF270" s="226"/>
      <c r="AG270" s="225"/>
      <c r="AH270" s="226"/>
      <c r="AI270" s="226"/>
      <c r="AJ270" s="226"/>
      <c r="AK270" s="225"/>
      <c r="AN270"/>
    </row>
    <row r="271" spans="2:40" ht="12.75"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N271"/>
    </row>
    <row r="272" spans="2:40" ht="12.75">
      <c r="B272" s="5" t="str">
        <f>B144</f>
        <v>Total Net Leverage- including finance leases</v>
      </c>
      <c r="C272" s="52">
        <f>C259/C$265</f>
        <v>1.1210755029709052</v>
      </c>
      <c r="D272" s="52">
        <f t="shared" ref="D272:Z272" si="438">D259/D$265</f>
        <v>1.0308808551941959</v>
      </c>
      <c r="E272" s="52">
        <f t="shared" si="438"/>
        <v>0.91453037766562928</v>
      </c>
      <c r="F272" s="52">
        <f t="shared" si="438"/>
        <v>1.4304884059736864</v>
      </c>
      <c r="G272" s="52">
        <f t="shared" si="438"/>
        <v>1.5010472047637033</v>
      </c>
      <c r="H272" s="52">
        <f t="shared" ref="H272:J273" si="439">H259/H$265</f>
        <v>1.5010472047637033</v>
      </c>
      <c r="I272" s="52">
        <f t="shared" si="439"/>
        <v>1.5605971522735147</v>
      </c>
      <c r="J272" s="52">
        <f t="shared" si="439"/>
        <v>1.5496145786911486</v>
      </c>
      <c r="K272" s="224"/>
      <c r="L272" s="224"/>
      <c r="N272" s="52"/>
      <c r="O272" s="52"/>
      <c r="P272" s="52"/>
      <c r="Q272" s="52" t="e">
        <f t="shared" si="438"/>
        <v>#DIV/0!</v>
      </c>
      <c r="R272" s="52">
        <f t="shared" si="438"/>
        <v>0.9003027551388707</v>
      </c>
      <c r="S272" s="52">
        <f t="shared" si="438"/>
        <v>1.0425406760260076</v>
      </c>
      <c r="T272" s="52">
        <f t="shared" si="438"/>
        <v>1.5209146716278397</v>
      </c>
      <c r="U272" s="52">
        <f t="shared" si="438"/>
        <v>1.4297466962180554</v>
      </c>
      <c r="V272" s="52">
        <f t="shared" si="438"/>
        <v>1.4782383781356154</v>
      </c>
      <c r="W272" s="52">
        <f t="shared" si="438"/>
        <v>1.4934191987969669</v>
      </c>
      <c r="X272" s="52">
        <f t="shared" si="438"/>
        <v>1.4637352949884286</v>
      </c>
      <c r="Y272" s="52">
        <f t="shared" si="438"/>
        <v>1.508071934771041</v>
      </c>
      <c r="Z272" s="52">
        <f t="shared" si="438"/>
        <v>1.547589413529957</v>
      </c>
      <c r="AA272" s="52">
        <f t="shared" ref="AA272:AC273" si="440">AA259/AA$265</f>
        <v>1.6266444075417703</v>
      </c>
      <c r="AB272" s="52">
        <f t="shared" si="440"/>
        <v>1.5429880155139668</v>
      </c>
      <c r="AC272" s="52">
        <f t="shared" si="440"/>
        <v>1.5605971522735147</v>
      </c>
      <c r="AD272" s="226"/>
      <c r="AE272" s="226"/>
      <c r="AF272" s="226"/>
      <c r="AG272" s="224"/>
      <c r="AH272" s="226"/>
      <c r="AI272" s="226"/>
      <c r="AJ272" s="226"/>
      <c r="AK272" s="224"/>
      <c r="AN272"/>
    </row>
    <row r="273" spans="1:40" ht="12.75">
      <c r="B273" s="1" t="str">
        <f>B145</f>
        <v>Total Gross Leverage - including finance leases</v>
      </c>
      <c r="C273" s="53">
        <f>C260/C$265</f>
        <v>1.2977602647172253</v>
      </c>
      <c r="D273" s="53">
        <f t="shared" ref="D273:Z273" si="441">D260/D$265</f>
        <v>1.3248801816366684</v>
      </c>
      <c r="E273" s="53">
        <f t="shared" si="441"/>
        <v>1.3911971446451814</v>
      </c>
      <c r="F273" s="53">
        <f t="shared" si="441"/>
        <v>1.7026519038847627</v>
      </c>
      <c r="G273" s="53">
        <f t="shared" si="441"/>
        <v>1.7866218710564741</v>
      </c>
      <c r="H273" s="53">
        <f t="shared" si="439"/>
        <v>1.7866218710564741</v>
      </c>
      <c r="I273" s="53">
        <f t="shared" si="439"/>
        <v>1.8952081783131856</v>
      </c>
      <c r="J273" s="53">
        <f t="shared" si="439"/>
        <v>1.8952081783131856</v>
      </c>
      <c r="K273" s="225"/>
      <c r="L273" s="225"/>
      <c r="N273" s="53"/>
      <c r="O273" s="53"/>
      <c r="P273" s="53"/>
      <c r="Q273" s="53" t="e">
        <f t="shared" si="441"/>
        <v>#DIV/0!</v>
      </c>
      <c r="R273" s="53">
        <f t="shared" si="441"/>
        <v>1.2542347123340483</v>
      </c>
      <c r="S273" s="53">
        <f t="shared" si="441"/>
        <v>1.3585608264484559</v>
      </c>
      <c r="T273" s="53">
        <f t="shared" si="441"/>
        <v>1.8623908287985453</v>
      </c>
      <c r="U273" s="53">
        <f t="shared" si="441"/>
        <v>1.7017690770668166</v>
      </c>
      <c r="V273" s="53">
        <f t="shared" si="441"/>
        <v>1.8433154123939639</v>
      </c>
      <c r="W273" s="53">
        <f t="shared" si="441"/>
        <v>1.9292480766632649</v>
      </c>
      <c r="X273" s="53">
        <f t="shared" si="441"/>
        <v>1.7853303216486442</v>
      </c>
      <c r="Y273" s="53">
        <f t="shared" si="441"/>
        <v>1.7949830579862025</v>
      </c>
      <c r="Z273" s="53">
        <f t="shared" si="441"/>
        <v>1.8810053256923658</v>
      </c>
      <c r="AA273" s="53">
        <f t="shared" si="440"/>
        <v>2.0477923953817356</v>
      </c>
      <c r="AB273" s="53">
        <f t="shared" si="440"/>
        <v>1.9335301963478839</v>
      </c>
      <c r="AC273" s="53">
        <f t="shared" si="440"/>
        <v>1.8952081783131856</v>
      </c>
      <c r="AD273" s="226"/>
      <c r="AE273" s="226"/>
      <c r="AF273" s="226"/>
      <c r="AG273" s="225"/>
      <c r="AH273" s="226"/>
      <c r="AI273" s="226"/>
      <c r="AJ273" s="226"/>
      <c r="AK273" s="225"/>
      <c r="AN273"/>
    </row>
    <row r="274" spans="1:40" ht="12.75">
      <c r="C274" s="96"/>
      <c r="D274" s="96"/>
      <c r="E274" s="96"/>
      <c r="F274" s="96"/>
      <c r="G274" s="96"/>
      <c r="H274" s="96"/>
      <c r="I274" s="96"/>
      <c r="J274" s="96"/>
      <c r="K274" s="96"/>
      <c r="L274" s="96"/>
      <c r="N274" s="96"/>
      <c r="O274" s="96"/>
      <c r="P274" s="96"/>
      <c r="Q274" s="96"/>
      <c r="R274" s="96"/>
      <c r="S274" s="96"/>
      <c r="T274" s="96"/>
      <c r="U274" s="96"/>
      <c r="V274" s="96"/>
      <c r="W274" s="96"/>
      <c r="X274" s="96"/>
      <c r="Y274" s="96"/>
      <c r="Z274" s="96"/>
      <c r="AA274" s="96"/>
      <c r="AB274" s="96"/>
      <c r="AC274" s="96"/>
      <c r="AD274" s="96"/>
      <c r="AE274" s="96"/>
      <c r="AF274" s="96"/>
      <c r="AG274" s="96"/>
      <c r="AH274" s="96"/>
      <c r="AI274" s="96"/>
      <c r="AJ274" s="96"/>
      <c r="AK274" s="96"/>
      <c r="AN274"/>
    </row>
    <row r="275" spans="1:40" ht="12.75">
      <c r="B275" s="5" t="str">
        <f>B147</f>
        <v>Lease adjusted net leverage</v>
      </c>
      <c r="C275" s="52">
        <f>C262/C$266</f>
        <v>1.759947194041428</v>
      </c>
      <c r="D275" s="52">
        <f t="shared" ref="D275:Y275" si="442">D262/D$266</f>
        <v>1.5597178004321148</v>
      </c>
      <c r="E275" s="52">
        <f t="shared" si="442"/>
        <v>1.4669076331448079</v>
      </c>
      <c r="F275" s="52">
        <f t="shared" si="442"/>
        <v>1.9759165555443021</v>
      </c>
      <c r="G275" s="52">
        <f t="shared" si="442"/>
        <v>2.1167953016313525</v>
      </c>
      <c r="H275" s="52">
        <f>H262/H$266</f>
        <v>2.1167953016313525</v>
      </c>
      <c r="I275" s="224"/>
      <c r="J275" s="224"/>
      <c r="K275" s="224"/>
      <c r="L275" s="224"/>
      <c r="N275" s="52"/>
      <c r="O275" s="52"/>
      <c r="P275" s="52"/>
      <c r="Q275" s="52">
        <f t="shared" si="442"/>
        <v>1.4667709095328081</v>
      </c>
      <c r="R275" s="52">
        <f t="shared" si="442"/>
        <v>1.5003254068318301</v>
      </c>
      <c r="S275" s="52">
        <f t="shared" si="442"/>
        <v>1.6756469646386685</v>
      </c>
      <c r="T275" s="52">
        <f t="shared" si="442"/>
        <v>2.1097051442438071</v>
      </c>
      <c r="U275" s="52">
        <f t="shared" si="442"/>
        <v>1.974892040714654</v>
      </c>
      <c r="V275" s="52">
        <f t="shared" si="442"/>
        <v>2.0784096685412092</v>
      </c>
      <c r="W275" s="52">
        <f t="shared" si="442"/>
        <v>2.0514123902856478</v>
      </c>
      <c r="X275" s="52">
        <f t="shared" si="442"/>
        <v>2.0887939458480438</v>
      </c>
      <c r="Y275" s="52">
        <f t="shared" si="442"/>
        <v>2.1267016626222457</v>
      </c>
      <c r="Z275" s="52">
        <f t="shared" ref="Z275:AD276" si="443">Z262/Z$267</f>
        <v>1.887972342672352</v>
      </c>
      <c r="AA275" s="52">
        <f t="shared" si="443"/>
        <v>1.9267731632378402</v>
      </c>
      <c r="AB275" s="52">
        <f t="shared" si="443"/>
        <v>1.8022450502104372</v>
      </c>
      <c r="AC275" s="52">
        <f t="shared" si="443"/>
        <v>1.8504417383506191</v>
      </c>
      <c r="AD275" s="52">
        <f t="shared" si="443"/>
        <v>1.6663798910807202</v>
      </c>
      <c r="AE275" s="52">
        <f t="shared" ref="AE275:AH276" si="444">AE262/AE$267</f>
        <v>1.6837538165975727</v>
      </c>
      <c r="AF275" s="52">
        <f t="shared" si="444"/>
        <v>1.5959878815227801</v>
      </c>
      <c r="AG275" s="52">
        <f t="shared" si="444"/>
        <v>1.6702454632561292</v>
      </c>
      <c r="AH275" s="52">
        <f t="shared" si="444"/>
        <v>1.613493223805532</v>
      </c>
      <c r="AI275" s="52">
        <f t="shared" ref="AI275:AK276" si="445">AI262/AI$267</f>
        <v>1.4955515921682407</v>
      </c>
      <c r="AJ275" s="52">
        <f t="shared" si="445"/>
        <v>1.5630507777873888</v>
      </c>
      <c r="AK275" s="52">
        <f t="shared" si="445"/>
        <v>1.6960208090656643</v>
      </c>
      <c r="AN275"/>
    </row>
    <row r="276" spans="1:40" ht="12.75">
      <c r="B276" s="1" t="str">
        <f>B148</f>
        <v>Lease adjusted gross leverage</v>
      </c>
      <c r="C276" s="53">
        <f>C263/C$266</f>
        <v>1.9181513725716461</v>
      </c>
      <c r="D276" s="53">
        <f t="shared" ref="D276:Y276" si="446">D263/D$266</f>
        <v>1.8291658107859718</v>
      </c>
      <c r="E276" s="53">
        <f t="shared" si="446"/>
        <v>1.9044727085765338</v>
      </c>
      <c r="F276" s="53">
        <f t="shared" si="446"/>
        <v>2.2242004762834364</v>
      </c>
      <c r="G276" s="53">
        <f t="shared" si="446"/>
        <v>2.3744858767704966</v>
      </c>
      <c r="H276" s="53">
        <f>H263/H$266</f>
        <v>2.3744858767704966</v>
      </c>
      <c r="I276" s="225"/>
      <c r="J276" s="225"/>
      <c r="K276" s="225"/>
      <c r="L276" s="225"/>
      <c r="N276" s="53"/>
      <c r="O276" s="53"/>
      <c r="P276" s="53"/>
      <c r="Q276" s="53">
        <f t="shared" si="446"/>
        <v>1.9042952015666934</v>
      </c>
      <c r="R276" s="53">
        <f t="shared" si="446"/>
        <v>1.825011095946194</v>
      </c>
      <c r="S276" s="53">
        <f t="shared" si="446"/>
        <v>1.9653098773864974</v>
      </c>
      <c r="T276" s="53">
        <f t="shared" si="446"/>
        <v>2.4219916924415705</v>
      </c>
      <c r="U276" s="53">
        <f t="shared" si="446"/>
        <v>2.2230472259775627</v>
      </c>
      <c r="V276" s="53">
        <f t="shared" si="446"/>
        <v>2.4102445860950126</v>
      </c>
      <c r="W276" s="53">
        <f t="shared" si="446"/>
        <v>2.4469801212590236</v>
      </c>
      <c r="X276" s="53">
        <f t="shared" si="446"/>
        <v>2.3801803296571014</v>
      </c>
      <c r="Y276" s="53">
        <f t="shared" si="446"/>
        <v>2.3855982003120966</v>
      </c>
      <c r="Z276" s="53">
        <f t="shared" si="443"/>
        <v>2.2155422879184905</v>
      </c>
      <c r="AA276" s="53">
        <f t="shared" si="443"/>
        <v>2.3329014578192844</v>
      </c>
      <c r="AB276" s="53">
        <f t="shared" si="443"/>
        <v>2.1716329954611862</v>
      </c>
      <c r="AC276" s="53">
        <f t="shared" si="443"/>
        <v>2.1599996719233987</v>
      </c>
      <c r="AD276" s="53">
        <f t="shared" si="443"/>
        <v>2.0341047996479151</v>
      </c>
      <c r="AE276" s="53">
        <f t="shared" si="444"/>
        <v>2.1337291704829173</v>
      </c>
      <c r="AF276" s="53">
        <f t="shared" si="444"/>
        <v>2.1002084645903594</v>
      </c>
      <c r="AG276" s="53">
        <f t="shared" si="444"/>
        <v>2.1111772900857253</v>
      </c>
      <c r="AH276" s="53">
        <f t="shared" si="444"/>
        <v>2.1989825214941101</v>
      </c>
      <c r="AI276" s="53">
        <f t="shared" si="445"/>
        <v>2.076887639060669</v>
      </c>
      <c r="AJ276" s="53">
        <f t="shared" si="445"/>
        <v>2.0280128102040327</v>
      </c>
      <c r="AK276" s="53">
        <f t="shared" si="445"/>
        <v>2.0413433462684503</v>
      </c>
      <c r="AN276"/>
    </row>
    <row r="277" spans="1:40" ht="12.75">
      <c r="C277" s="96"/>
      <c r="D277" s="96"/>
      <c r="E277" s="96"/>
      <c r="F277" s="96"/>
      <c r="G277" s="96"/>
      <c r="H277" s="96"/>
      <c r="I277" s="96"/>
      <c r="J277" s="96"/>
      <c r="K277" s="96"/>
      <c r="L277" s="96"/>
      <c r="N277" s="96"/>
      <c r="O277" s="96"/>
      <c r="P277" s="96"/>
      <c r="Q277" s="96"/>
      <c r="R277" s="96"/>
      <c r="S277" s="96"/>
      <c r="T277" s="96"/>
      <c r="U277" s="96"/>
      <c r="V277" s="96"/>
      <c r="W277" s="96"/>
      <c r="X277" s="96"/>
      <c r="Y277" s="96"/>
      <c r="Z277" s="96"/>
      <c r="AA277" s="96"/>
      <c r="AB277" s="96"/>
      <c r="AC277" s="96"/>
      <c r="AD277" s="96"/>
      <c r="AE277" s="96"/>
      <c r="AF277" s="96"/>
      <c r="AG277" s="96"/>
      <c r="AH277" s="96"/>
      <c r="AI277" s="96"/>
      <c r="AJ277" s="96"/>
      <c r="AK277" s="96"/>
      <c r="AN277"/>
    </row>
    <row r="278" spans="1:40" ht="12.75">
      <c r="B278" s="5" t="str">
        <f t="shared" ref="B278:H279" si="447">B150</f>
        <v>Adjusted EBITDA - Capex / Interest</v>
      </c>
      <c r="C278" s="52">
        <f t="shared" si="447"/>
        <v>5.9460125660747636</v>
      </c>
      <c r="D278" s="52">
        <f t="shared" si="447"/>
        <v>14.281921758730354</v>
      </c>
      <c r="E278" s="52">
        <f t="shared" si="447"/>
        <v>9.4336671383290867</v>
      </c>
      <c r="F278" s="52">
        <f t="shared" si="447"/>
        <v>8.6022430943921329</v>
      </c>
      <c r="G278" s="52">
        <f t="shared" si="447"/>
        <v>6.5778292786546739</v>
      </c>
      <c r="H278" s="52">
        <f t="shared" si="447"/>
        <v>6.6379723926056435</v>
      </c>
      <c r="I278" s="52">
        <f t="shared" ref="I278:K279" si="448">I150</f>
        <v>5.96616013566197</v>
      </c>
      <c r="J278" s="52">
        <f t="shared" si="448"/>
        <v>6.7362780219152212</v>
      </c>
      <c r="K278" s="52">
        <f t="shared" si="448"/>
        <v>10.851442586102754</v>
      </c>
      <c r="L278" s="52">
        <f>L150</f>
        <v>9.7043593650169555</v>
      </c>
      <c r="N278" s="52"/>
      <c r="O278" s="52"/>
      <c r="P278" s="52"/>
      <c r="Q278" s="52">
        <f t="shared" ref="Q278:Y278" si="449">Q150</f>
        <v>9.4336671383290849</v>
      </c>
      <c r="R278" s="52">
        <f t="shared" si="449"/>
        <v>9.0178562701394149</v>
      </c>
      <c r="S278" s="52">
        <f t="shared" si="449"/>
        <v>9.5104158410819402</v>
      </c>
      <c r="T278" s="52">
        <f t="shared" si="449"/>
        <v>7.8241705801174231</v>
      </c>
      <c r="U278" s="52">
        <f t="shared" si="449"/>
        <v>8.6022430943921329</v>
      </c>
      <c r="V278" s="52">
        <f t="shared" si="449"/>
        <v>8.5834368413931497</v>
      </c>
      <c r="W278" s="52">
        <f t="shared" si="449"/>
        <v>7.5496040657132735</v>
      </c>
      <c r="X278" s="52">
        <f t="shared" si="449"/>
        <v>6.919252071344367</v>
      </c>
      <c r="Y278" s="52">
        <f t="shared" si="449"/>
        <v>6.6379723926056435</v>
      </c>
      <c r="Z278" s="52">
        <f t="shared" ref="Z278:AD279" si="450">Z150</f>
        <v>5.8288990353976669</v>
      </c>
      <c r="AA278" s="52">
        <f t="shared" si="450"/>
        <v>5.7652311967911807</v>
      </c>
      <c r="AB278" s="52">
        <f t="shared" si="450"/>
        <v>6.0245662415961707</v>
      </c>
      <c r="AC278" s="52">
        <f t="shared" si="450"/>
        <v>5.96616013566197</v>
      </c>
      <c r="AD278" s="52">
        <f t="shared" si="450"/>
        <v>6.9613895339181822</v>
      </c>
      <c r="AE278" s="52">
        <f t="shared" ref="AE278:AH279" si="451">AE150</f>
        <v>7.8729528105372433</v>
      </c>
      <c r="AF278" s="52">
        <f t="shared" si="451"/>
        <v>9.1955719364555666</v>
      </c>
      <c r="AG278" s="52">
        <f t="shared" si="451"/>
        <v>10.851442586102754</v>
      </c>
      <c r="AH278" s="52">
        <f t="shared" si="451"/>
        <v>10.618295333106401</v>
      </c>
      <c r="AI278" s="52">
        <f t="shared" ref="AI278:AK279" si="452">AI150</f>
        <v>11.267765942418961</v>
      </c>
      <c r="AJ278" s="52">
        <f t="shared" si="452"/>
        <v>10.328993901858663</v>
      </c>
      <c r="AK278" s="52">
        <f t="shared" si="452"/>
        <v>9.7043593650169555</v>
      </c>
      <c r="AN278"/>
    </row>
    <row r="279" spans="1:40" ht="12.75">
      <c r="B279" s="1" t="str">
        <f t="shared" si="447"/>
        <v>Adjusted EBITDA/Interest</v>
      </c>
      <c r="C279" s="53">
        <f t="shared" si="447"/>
        <v>7.4116497325356887</v>
      </c>
      <c r="D279" s="53">
        <f t="shared" si="447"/>
        <v>18.812074803676371</v>
      </c>
      <c r="E279" s="53">
        <f t="shared" si="447"/>
        <v>18.71401724953104</v>
      </c>
      <c r="F279" s="53">
        <f t="shared" si="447"/>
        <v>15.06195263663836</v>
      </c>
      <c r="G279" s="53">
        <f t="shared" si="447"/>
        <v>9.5374100257748076</v>
      </c>
      <c r="H279" s="53">
        <f t="shared" si="447"/>
        <v>9.5374100257748076</v>
      </c>
      <c r="I279" s="53">
        <f t="shared" si="448"/>
        <v>6.6723192487462777</v>
      </c>
      <c r="J279" s="53">
        <f t="shared" si="448"/>
        <v>7.5364777433879855</v>
      </c>
      <c r="K279" s="53">
        <f t="shared" si="448"/>
        <v>14.145371649971294</v>
      </c>
      <c r="L279" s="53">
        <f>L151</f>
        <v>14.731410035877525</v>
      </c>
      <c r="N279" s="53"/>
      <c r="O279" s="53"/>
      <c r="P279" s="53"/>
      <c r="Q279" s="53">
        <f t="shared" ref="Q279:Y279" si="453">Q151</f>
        <v>18.714017249531036</v>
      </c>
      <c r="R279" s="53">
        <f t="shared" si="453"/>
        <v>18.222811584664555</v>
      </c>
      <c r="S279" s="53">
        <f t="shared" si="453"/>
        <v>18.037110892011935</v>
      </c>
      <c r="T279" s="53">
        <f t="shared" si="453"/>
        <v>16.301068920202862</v>
      </c>
      <c r="U279" s="53">
        <f t="shared" si="453"/>
        <v>15.06195263663836</v>
      </c>
      <c r="V279" s="53">
        <f t="shared" si="453"/>
        <v>13.821525694580732</v>
      </c>
      <c r="W279" s="53">
        <f t="shared" si="453"/>
        <v>11.92273500408524</v>
      </c>
      <c r="X279" s="53">
        <f t="shared" si="453"/>
        <v>9.8283897635765971</v>
      </c>
      <c r="Y279" s="53">
        <f t="shared" si="453"/>
        <v>9.5374100257748076</v>
      </c>
      <c r="Z279" s="53">
        <f t="shared" si="450"/>
        <v>8.3385740898397405</v>
      </c>
      <c r="AA279" s="53">
        <f t="shared" si="450"/>
        <v>7.5697892178599337</v>
      </c>
      <c r="AB279" s="53">
        <f t="shared" si="450"/>
        <v>7.5069630644209573</v>
      </c>
      <c r="AC279" s="53">
        <f t="shared" si="450"/>
        <v>6.6723192487462777</v>
      </c>
      <c r="AD279" s="53">
        <f t="shared" si="450"/>
        <v>7.6696491785224197</v>
      </c>
      <c r="AE279" s="53">
        <f t="shared" si="451"/>
        <v>8.8711807277446244</v>
      </c>
      <c r="AF279" s="53">
        <f t="shared" si="451"/>
        <v>10.934797670445098</v>
      </c>
      <c r="AG279" s="53">
        <f t="shared" si="451"/>
        <v>14.145371649971294</v>
      </c>
      <c r="AH279" s="53">
        <f t="shared" si="451"/>
        <v>14.347933199277254</v>
      </c>
      <c r="AI279" s="53">
        <f t="shared" si="452"/>
        <v>15.320669130906163</v>
      </c>
      <c r="AJ279" s="53">
        <f t="shared" si="452"/>
        <v>15.848730494458033</v>
      </c>
      <c r="AK279" s="53">
        <f t="shared" si="452"/>
        <v>14.731410035877525</v>
      </c>
      <c r="AN279"/>
    </row>
    <row r="280" spans="1:40" ht="13.5" customHeight="1"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  <c r="AK280" s="69"/>
      <c r="AN280"/>
    </row>
    <row r="281" spans="1:40" ht="13.5" customHeight="1">
      <c r="B281" s="1" t="str">
        <f t="shared" ref="B281:H282" si="454">+B150</f>
        <v>Adjusted EBITDA - Capex / Interest</v>
      </c>
      <c r="C281" s="52">
        <f t="shared" si="454"/>
        <v>5.9460125660747636</v>
      </c>
      <c r="D281" s="52">
        <f t="shared" si="454"/>
        <v>14.281921758730354</v>
      </c>
      <c r="E281" s="52">
        <f t="shared" si="454"/>
        <v>9.4336671383290867</v>
      </c>
      <c r="F281" s="52">
        <f t="shared" si="454"/>
        <v>8.6022430943921329</v>
      </c>
      <c r="G281" s="52">
        <f t="shared" si="454"/>
        <v>6.5778292786546739</v>
      </c>
      <c r="H281" s="52">
        <f t="shared" si="454"/>
        <v>6.6379723926056435</v>
      </c>
      <c r="I281" s="52">
        <f t="shared" ref="I281:K282" si="455">+I150</f>
        <v>5.96616013566197</v>
      </c>
      <c r="J281" s="52">
        <f t="shared" si="455"/>
        <v>6.7362780219152212</v>
      </c>
      <c r="K281" s="52">
        <f t="shared" si="455"/>
        <v>10.851442586102754</v>
      </c>
      <c r="L281" s="52">
        <f>+L150</f>
        <v>9.7043593650169555</v>
      </c>
      <c r="N281" s="52"/>
      <c r="O281" s="52"/>
      <c r="P281" s="52"/>
      <c r="Q281" s="52">
        <f t="shared" ref="Q281:Y281" si="456">+Q150</f>
        <v>9.4336671383290849</v>
      </c>
      <c r="R281" s="52">
        <f t="shared" si="456"/>
        <v>9.0178562701394149</v>
      </c>
      <c r="S281" s="52">
        <f t="shared" si="456"/>
        <v>9.5104158410819402</v>
      </c>
      <c r="T281" s="52">
        <f t="shared" si="456"/>
        <v>7.8241705801174231</v>
      </c>
      <c r="U281" s="52">
        <f t="shared" si="456"/>
        <v>8.6022430943921329</v>
      </c>
      <c r="V281" s="52">
        <f t="shared" si="456"/>
        <v>8.5834368413931497</v>
      </c>
      <c r="W281" s="52">
        <f t="shared" si="456"/>
        <v>7.5496040657132735</v>
      </c>
      <c r="X281" s="52">
        <f t="shared" si="456"/>
        <v>6.919252071344367</v>
      </c>
      <c r="Y281" s="52">
        <f t="shared" si="456"/>
        <v>6.6379723926056435</v>
      </c>
      <c r="Z281" s="52">
        <f t="shared" ref="Z281:AD282" si="457">+Z150</f>
        <v>5.8288990353976669</v>
      </c>
      <c r="AA281" s="52">
        <f t="shared" si="457"/>
        <v>5.7652311967911807</v>
      </c>
      <c r="AB281" s="52">
        <f t="shared" si="457"/>
        <v>6.0245662415961707</v>
      </c>
      <c r="AC281" s="52">
        <f t="shared" si="457"/>
        <v>5.96616013566197</v>
      </c>
      <c r="AD281" s="52">
        <f t="shared" si="457"/>
        <v>6.9613895339181822</v>
      </c>
      <c r="AE281" s="52">
        <f t="shared" ref="AE281:AH282" si="458">+AE150</f>
        <v>7.8729528105372433</v>
      </c>
      <c r="AF281" s="52">
        <f t="shared" si="458"/>
        <v>9.1955719364555666</v>
      </c>
      <c r="AG281" s="52">
        <f t="shared" si="458"/>
        <v>10.851442586102754</v>
      </c>
      <c r="AH281" s="52">
        <f t="shared" si="458"/>
        <v>10.618295333106401</v>
      </c>
      <c r="AI281" s="52">
        <f t="shared" ref="AI281:AK282" si="459">+AI150</f>
        <v>11.267765942418961</v>
      </c>
      <c r="AJ281" s="52">
        <f t="shared" si="459"/>
        <v>10.328993901858663</v>
      </c>
      <c r="AK281" s="52">
        <f t="shared" si="459"/>
        <v>9.7043593650169555</v>
      </c>
      <c r="AN281"/>
    </row>
    <row r="282" spans="1:40" s="5" customFormat="1" ht="12.75" customHeight="1">
      <c r="B282" s="5" t="str">
        <f t="shared" si="454"/>
        <v>Adjusted EBITDA/Interest</v>
      </c>
      <c r="C282" s="53">
        <f t="shared" si="454"/>
        <v>7.4116497325356887</v>
      </c>
      <c r="D282" s="53">
        <f t="shared" si="454"/>
        <v>18.812074803676371</v>
      </c>
      <c r="E282" s="53">
        <f t="shared" si="454"/>
        <v>18.71401724953104</v>
      </c>
      <c r="F282" s="53">
        <f t="shared" si="454"/>
        <v>15.06195263663836</v>
      </c>
      <c r="G282" s="53">
        <f t="shared" si="454"/>
        <v>9.5374100257748076</v>
      </c>
      <c r="H282" s="53">
        <f t="shared" si="454"/>
        <v>9.5374100257748076</v>
      </c>
      <c r="I282" s="53">
        <f t="shared" si="455"/>
        <v>6.6723192487462777</v>
      </c>
      <c r="J282" s="53">
        <f t="shared" si="455"/>
        <v>7.5364777433879855</v>
      </c>
      <c r="K282" s="53">
        <f t="shared" si="455"/>
        <v>14.145371649971294</v>
      </c>
      <c r="L282" s="53">
        <f>+L151</f>
        <v>14.731410035877525</v>
      </c>
      <c r="N282" s="53"/>
      <c r="O282" s="53"/>
      <c r="P282" s="53"/>
      <c r="Q282" s="53">
        <f t="shared" ref="Q282:Y282" si="460">+Q151</f>
        <v>18.714017249531036</v>
      </c>
      <c r="R282" s="53">
        <f t="shared" si="460"/>
        <v>18.222811584664555</v>
      </c>
      <c r="S282" s="53">
        <f t="shared" si="460"/>
        <v>18.037110892011935</v>
      </c>
      <c r="T282" s="53">
        <f t="shared" si="460"/>
        <v>16.301068920202862</v>
      </c>
      <c r="U282" s="53">
        <f t="shared" si="460"/>
        <v>15.06195263663836</v>
      </c>
      <c r="V282" s="53">
        <f t="shared" si="460"/>
        <v>13.821525694580732</v>
      </c>
      <c r="W282" s="53">
        <f t="shared" si="460"/>
        <v>11.92273500408524</v>
      </c>
      <c r="X282" s="53">
        <f t="shared" si="460"/>
        <v>9.8283897635765971</v>
      </c>
      <c r="Y282" s="53">
        <f t="shared" si="460"/>
        <v>9.5374100257748076</v>
      </c>
      <c r="Z282" s="53">
        <f t="shared" si="457"/>
        <v>8.3385740898397405</v>
      </c>
      <c r="AA282" s="53">
        <f t="shared" si="457"/>
        <v>7.5697892178599337</v>
      </c>
      <c r="AB282" s="53">
        <f t="shared" si="457"/>
        <v>7.5069630644209573</v>
      </c>
      <c r="AC282" s="53">
        <f t="shared" si="457"/>
        <v>6.6723192487462777</v>
      </c>
      <c r="AD282" s="53">
        <f t="shared" si="457"/>
        <v>7.6696491785224197</v>
      </c>
      <c r="AE282" s="53">
        <f t="shared" si="458"/>
        <v>8.8711807277446244</v>
      </c>
      <c r="AF282" s="53">
        <f t="shared" si="458"/>
        <v>10.934797670445098</v>
      </c>
      <c r="AG282" s="53">
        <f t="shared" si="458"/>
        <v>14.145371649971294</v>
      </c>
      <c r="AH282" s="53">
        <f t="shared" si="458"/>
        <v>14.347933199277254</v>
      </c>
      <c r="AI282" s="53">
        <f t="shared" si="459"/>
        <v>15.320669130906163</v>
      </c>
      <c r="AJ282" s="53">
        <f t="shared" si="459"/>
        <v>15.848730494458033</v>
      </c>
      <c r="AK282" s="53">
        <f t="shared" si="459"/>
        <v>14.731410035877525</v>
      </c>
      <c r="AN282"/>
    </row>
    <row r="283" spans="1:40" s="5" customFormat="1" ht="13.5" customHeight="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N283"/>
    </row>
    <row r="284" spans="1:40" s="5" customFormat="1" ht="13.5" customHeight="1">
      <c r="AN284"/>
    </row>
    <row r="285" spans="1:40" ht="13.5" customHeight="1">
      <c r="C285" s="6"/>
      <c r="D285" s="6"/>
      <c r="E285" s="6"/>
      <c r="F285" s="6"/>
      <c r="G285" s="6"/>
      <c r="H285" s="6"/>
      <c r="I285" s="6"/>
      <c r="J285" s="6"/>
      <c r="K285" s="6"/>
      <c r="L285" s="6"/>
      <c r="N285" s="6"/>
      <c r="R285" s="6"/>
      <c r="S285" s="6"/>
      <c r="Y285" s="6"/>
      <c r="AC285" s="6"/>
      <c r="AG285" s="6"/>
      <c r="AK285" s="6"/>
      <c r="AN285"/>
    </row>
    <row r="286" spans="1:40" ht="13.5" customHeight="1">
      <c r="B286" s="16" t="s">
        <v>355</v>
      </c>
      <c r="C286" s="47">
        <f t="shared" ref="C286:AB286" si="461">+C2</f>
        <v>42004</v>
      </c>
      <c r="D286" s="47">
        <f t="shared" si="461"/>
        <v>42369</v>
      </c>
      <c r="E286" s="47">
        <f t="shared" si="461"/>
        <v>42735</v>
      </c>
      <c r="F286" s="47">
        <f t="shared" si="461"/>
        <v>43100</v>
      </c>
      <c r="G286" s="47">
        <f t="shared" si="461"/>
        <v>43465</v>
      </c>
      <c r="H286" s="47">
        <f>+H2</f>
        <v>43440</v>
      </c>
      <c r="I286" s="47">
        <f>+I2</f>
        <v>43806</v>
      </c>
      <c r="J286" s="47">
        <f>+J2</f>
        <v>43806</v>
      </c>
      <c r="K286" s="47">
        <f>+K2</f>
        <v>44172</v>
      </c>
      <c r="L286" s="47">
        <f>+L2</f>
        <v>44537</v>
      </c>
      <c r="N286" s="47">
        <f t="shared" si="461"/>
        <v>42437</v>
      </c>
      <c r="O286" s="47">
        <f t="shared" si="461"/>
        <v>42527</v>
      </c>
      <c r="P286" s="47">
        <f t="shared" si="461"/>
        <v>42622</v>
      </c>
      <c r="Q286" s="47">
        <f t="shared" si="461"/>
        <v>42714</v>
      </c>
      <c r="R286" s="47">
        <f t="shared" si="461"/>
        <v>42825</v>
      </c>
      <c r="S286" s="47">
        <f t="shared" si="461"/>
        <v>42916</v>
      </c>
      <c r="T286" s="47">
        <f t="shared" si="461"/>
        <v>43008</v>
      </c>
      <c r="U286" s="47">
        <f t="shared" si="461"/>
        <v>43099</v>
      </c>
      <c r="V286" s="47">
        <f t="shared" si="461"/>
        <v>43189</v>
      </c>
      <c r="W286" s="47">
        <f t="shared" si="461"/>
        <v>43281</v>
      </c>
      <c r="X286" s="47">
        <f t="shared" si="461"/>
        <v>43373</v>
      </c>
      <c r="Y286" s="47">
        <f t="shared" si="461"/>
        <v>43464</v>
      </c>
      <c r="Z286" s="47">
        <f t="shared" si="461"/>
        <v>43554</v>
      </c>
      <c r="AA286" s="47">
        <f t="shared" si="461"/>
        <v>43646</v>
      </c>
      <c r="AB286" s="47">
        <f t="shared" si="461"/>
        <v>43738</v>
      </c>
      <c r="AC286" s="47">
        <f t="shared" ref="AC286:AH286" si="462">+AC2</f>
        <v>43829</v>
      </c>
      <c r="AD286" s="47">
        <f t="shared" si="462"/>
        <v>43920</v>
      </c>
      <c r="AE286" s="47">
        <f t="shared" si="462"/>
        <v>44012</v>
      </c>
      <c r="AF286" s="47">
        <f t="shared" si="462"/>
        <v>44104</v>
      </c>
      <c r="AG286" s="47">
        <f t="shared" si="462"/>
        <v>44195</v>
      </c>
      <c r="AH286" s="47">
        <f t="shared" si="462"/>
        <v>44285</v>
      </c>
      <c r="AI286" s="47">
        <f>+AI2</f>
        <v>44377</v>
      </c>
      <c r="AJ286" s="47">
        <f>+AJ2</f>
        <v>44469</v>
      </c>
      <c r="AK286" s="47">
        <f>+AK2</f>
        <v>44560</v>
      </c>
      <c r="AN286"/>
    </row>
    <row r="287" spans="1:40" ht="13.5" customHeight="1">
      <c r="B287" s="1" t="str">
        <f t="shared" ref="B287:G287" si="463">B85</f>
        <v>Revenues</v>
      </c>
      <c r="C287" s="24">
        <f t="shared" si="463"/>
        <v>49935.328000000001</v>
      </c>
      <c r="D287" s="24">
        <f t="shared" si="463"/>
        <v>58279.004000000001</v>
      </c>
      <c r="E287" s="24">
        <f t="shared" si="463"/>
        <v>68206.284</v>
      </c>
      <c r="F287" s="24">
        <f t="shared" si="463"/>
        <v>70580.517999999996</v>
      </c>
      <c r="G287" s="24">
        <f t="shared" si="463"/>
        <v>74041.088000000003</v>
      </c>
      <c r="H287" s="24">
        <f>H85</f>
        <v>74037.588000000003</v>
      </c>
      <c r="I287" s="24">
        <f>I85</f>
        <v>77387.657999999996</v>
      </c>
      <c r="J287" s="24">
        <f>J85</f>
        <v>77387.657999999996</v>
      </c>
      <c r="K287" s="24">
        <f>K85</f>
        <v>91103.130999999994</v>
      </c>
      <c r="L287" s="24">
        <f>L85</f>
        <v>94250.380999999994</v>
      </c>
      <c r="N287" s="24"/>
      <c r="O287" s="24"/>
      <c r="P287" s="24"/>
      <c r="Q287" s="24">
        <f t="shared" ref="Q287:AB287" si="464">Q85</f>
        <v>68206.284</v>
      </c>
      <c r="R287" s="24">
        <f t="shared" si="464"/>
        <v>70053.179999999993</v>
      </c>
      <c r="S287" s="24">
        <f t="shared" si="464"/>
        <v>71142.445999999996</v>
      </c>
      <c r="T287" s="24">
        <f t="shared" si="464"/>
        <v>71067.997999999992</v>
      </c>
      <c r="U287" s="24">
        <f t="shared" si="464"/>
        <v>70580.517999999996</v>
      </c>
      <c r="V287" s="24">
        <f t="shared" si="464"/>
        <v>70435.194999999992</v>
      </c>
      <c r="W287" s="24">
        <f t="shared" si="464"/>
        <v>71939.539999999994</v>
      </c>
      <c r="X287" s="24">
        <f t="shared" si="464"/>
        <v>73292.625</v>
      </c>
      <c r="Y287" s="24">
        <f t="shared" si="464"/>
        <v>74037.588000000003</v>
      </c>
      <c r="Z287" s="24">
        <f t="shared" si="464"/>
        <v>75084.202000000005</v>
      </c>
      <c r="AA287" s="24">
        <f t="shared" si="464"/>
        <v>75456.196999999986</v>
      </c>
      <c r="AB287" s="24">
        <f t="shared" si="464"/>
        <v>77021.888000000006</v>
      </c>
      <c r="AC287" s="24">
        <f t="shared" ref="AC287:AH287" si="465">AC85</f>
        <v>77387.657999999996</v>
      </c>
      <c r="AD287" s="24">
        <f t="shared" si="465"/>
        <v>80353.209000000003</v>
      </c>
      <c r="AE287" s="24">
        <f t="shared" si="465"/>
        <v>85184.99</v>
      </c>
      <c r="AF287" s="24">
        <f t="shared" si="465"/>
        <v>88604.86099999999</v>
      </c>
      <c r="AG287" s="24">
        <f t="shared" si="465"/>
        <v>91103.130999999994</v>
      </c>
      <c r="AH287" s="24">
        <f t="shared" si="465"/>
        <v>91737.77</v>
      </c>
      <c r="AI287" s="24">
        <f>AI85</f>
        <v>90042.191999999995</v>
      </c>
      <c r="AJ287" s="24">
        <f>AJ85</f>
        <v>90472.044999999998</v>
      </c>
      <c r="AK287" s="24">
        <f>AK85</f>
        <v>94250.380999999994</v>
      </c>
      <c r="AN287"/>
    </row>
    <row r="288" spans="1:40" ht="13.5" customHeight="1">
      <c r="B288" s="1" t="s">
        <v>315</v>
      </c>
      <c r="C288" s="24">
        <f>C89</f>
        <v>7493</v>
      </c>
      <c r="D288" s="24">
        <f t="shared" ref="D288:AC288" si="466">D89</f>
        <v>9139</v>
      </c>
      <c r="E288" s="24">
        <f t="shared" si="466"/>
        <v>10964</v>
      </c>
      <c r="F288" s="24">
        <f t="shared" si="466"/>
        <v>11344</v>
      </c>
      <c r="G288" s="24">
        <f t="shared" si="466"/>
        <v>11741</v>
      </c>
      <c r="H288" s="24">
        <f t="shared" si="466"/>
        <v>11741</v>
      </c>
      <c r="I288" s="24">
        <f>I89</f>
        <v>11590</v>
      </c>
      <c r="J288" s="24">
        <f>J89</f>
        <v>11590</v>
      </c>
      <c r="K288" s="24">
        <f>K89</f>
        <v>0</v>
      </c>
      <c r="L288" s="24">
        <f>L89</f>
        <v>0</v>
      </c>
      <c r="N288" s="24">
        <f t="shared" si="466"/>
        <v>0</v>
      </c>
      <c r="O288" s="24">
        <f t="shared" si="466"/>
        <v>0</v>
      </c>
      <c r="P288" s="24">
        <f t="shared" si="466"/>
        <v>0</v>
      </c>
      <c r="Q288" s="24">
        <f t="shared" si="466"/>
        <v>0</v>
      </c>
      <c r="R288" s="24">
        <f t="shared" si="466"/>
        <v>11186</v>
      </c>
      <c r="S288" s="24">
        <f t="shared" si="466"/>
        <v>11379</v>
      </c>
      <c r="T288" s="24">
        <f t="shared" si="466"/>
        <v>11375</v>
      </c>
      <c r="U288" s="24">
        <f t="shared" si="466"/>
        <v>11344</v>
      </c>
      <c r="V288" s="24">
        <f t="shared" si="466"/>
        <v>11339</v>
      </c>
      <c r="W288" s="24">
        <f t="shared" si="466"/>
        <v>11601</v>
      </c>
      <c r="X288" s="24">
        <f t="shared" si="466"/>
        <v>11822</v>
      </c>
      <c r="Y288" s="24">
        <f t="shared" si="466"/>
        <v>11741</v>
      </c>
      <c r="Z288" s="24">
        <f t="shared" si="466"/>
        <v>11711</v>
      </c>
      <c r="AA288" s="24">
        <f t="shared" si="466"/>
        <v>11573</v>
      </c>
      <c r="AB288" s="24">
        <f t="shared" si="466"/>
        <v>11612</v>
      </c>
      <c r="AC288" s="24">
        <f t="shared" si="466"/>
        <v>11590</v>
      </c>
      <c r="AD288" s="227"/>
      <c r="AE288" s="227"/>
      <c r="AF288" s="227"/>
      <c r="AG288" s="227"/>
      <c r="AH288" s="227"/>
      <c r="AI288" s="227"/>
      <c r="AJ288" s="227"/>
      <c r="AK288" s="227"/>
      <c r="AN288"/>
    </row>
    <row r="289" spans="2:40" ht="13.5" customHeight="1">
      <c r="B289" s="1" t="s">
        <v>316</v>
      </c>
      <c r="C289" s="24">
        <f t="shared" ref="C289:H289" si="467">C88</f>
        <v>7493</v>
      </c>
      <c r="D289" s="24">
        <f t="shared" si="467"/>
        <v>9139</v>
      </c>
      <c r="E289" s="24">
        <f t="shared" si="467"/>
        <v>10964</v>
      </c>
      <c r="F289" s="24">
        <f t="shared" si="467"/>
        <v>11344</v>
      </c>
      <c r="G289" s="24">
        <f t="shared" si="467"/>
        <v>11741</v>
      </c>
      <c r="H289" s="24">
        <f t="shared" si="467"/>
        <v>11741</v>
      </c>
      <c r="I289" s="24">
        <f>I88</f>
        <v>12528</v>
      </c>
      <c r="J289" s="24">
        <f>J88</f>
        <v>12528</v>
      </c>
      <c r="K289" s="24">
        <f>K88</f>
        <v>15394</v>
      </c>
      <c r="L289" s="24">
        <f>L88</f>
        <v>14987</v>
      </c>
      <c r="N289" s="24"/>
      <c r="O289" s="24"/>
      <c r="P289" s="24"/>
      <c r="Q289" s="24">
        <f t="shared" ref="Q289:AB289" si="468">Q88</f>
        <v>10964</v>
      </c>
      <c r="R289" s="24">
        <f t="shared" si="468"/>
        <v>11186</v>
      </c>
      <c r="S289" s="24">
        <f t="shared" si="468"/>
        <v>11379</v>
      </c>
      <c r="T289" s="24">
        <f t="shared" si="468"/>
        <v>11375</v>
      </c>
      <c r="U289" s="24">
        <f t="shared" si="468"/>
        <v>11344</v>
      </c>
      <c r="V289" s="24">
        <f t="shared" si="468"/>
        <v>11339</v>
      </c>
      <c r="W289" s="24">
        <f t="shared" si="468"/>
        <v>11601</v>
      </c>
      <c r="X289" s="24">
        <f t="shared" si="468"/>
        <v>11822</v>
      </c>
      <c r="Y289" s="24">
        <f t="shared" si="468"/>
        <v>11741</v>
      </c>
      <c r="Z289" s="24">
        <f t="shared" si="468"/>
        <v>11920</v>
      </c>
      <c r="AA289" s="24">
        <f t="shared" si="468"/>
        <v>12001</v>
      </c>
      <c r="AB289" s="24">
        <f t="shared" si="468"/>
        <v>12277</v>
      </c>
      <c r="AC289" s="24">
        <f t="shared" ref="AC289:AH289" si="469">AC88</f>
        <v>12528</v>
      </c>
      <c r="AD289" s="24">
        <f t="shared" si="469"/>
        <v>13162</v>
      </c>
      <c r="AE289" s="24">
        <f t="shared" si="469"/>
        <v>14007</v>
      </c>
      <c r="AF289" s="24">
        <f t="shared" si="469"/>
        <v>14662</v>
      </c>
      <c r="AG289" s="24">
        <f t="shared" si="469"/>
        <v>15394</v>
      </c>
      <c r="AH289" s="24">
        <f t="shared" si="469"/>
        <v>15361</v>
      </c>
      <c r="AI289" s="24">
        <f>AI88</f>
        <v>15054</v>
      </c>
      <c r="AJ289" s="24">
        <f>AJ88</f>
        <v>14794</v>
      </c>
      <c r="AK289" s="24">
        <f>AK88</f>
        <v>14987</v>
      </c>
      <c r="AN289"/>
    </row>
    <row r="290" spans="2:40" ht="13.5" customHeight="1">
      <c r="B290" s="1" t="str">
        <f t="shared" ref="B290:G290" si="470">B90</f>
        <v>Adjusted EBITDAR</v>
      </c>
      <c r="C290" s="24">
        <f t="shared" si="470"/>
        <v>8368.2929999999997</v>
      </c>
      <c r="D290" s="24">
        <f t="shared" si="470"/>
        <v>9971.719000000001</v>
      </c>
      <c r="E290" s="24">
        <f t="shared" si="470"/>
        <v>11943.764999999999</v>
      </c>
      <c r="F290" s="24">
        <f t="shared" si="470"/>
        <v>12435.048999999999</v>
      </c>
      <c r="G290" s="24">
        <f t="shared" si="470"/>
        <v>13011.466</v>
      </c>
      <c r="H290" s="24">
        <f>H90</f>
        <v>13011.466</v>
      </c>
      <c r="I290" s="24">
        <f>I90</f>
        <v>0</v>
      </c>
      <c r="J290" s="24">
        <f>J90</f>
        <v>0</v>
      </c>
      <c r="K290" s="24">
        <f>K90</f>
        <v>0</v>
      </c>
      <c r="L290" s="24">
        <f>L90</f>
        <v>0</v>
      </c>
      <c r="N290" s="24"/>
      <c r="O290" s="24"/>
      <c r="P290" s="24"/>
      <c r="Q290" s="24">
        <f t="shared" ref="Q290:Y290" si="471">Q90</f>
        <v>11943.764999999999</v>
      </c>
      <c r="R290" s="24">
        <f t="shared" si="471"/>
        <v>12193.585999999999</v>
      </c>
      <c r="S290" s="24">
        <f t="shared" si="471"/>
        <v>12414.406999999999</v>
      </c>
      <c r="T290" s="24">
        <f t="shared" si="471"/>
        <v>12438.227999999999</v>
      </c>
      <c r="U290" s="24">
        <f t="shared" si="471"/>
        <v>12435.048999999999</v>
      </c>
      <c r="V290" s="24">
        <f t="shared" si="471"/>
        <v>12474.903249999999</v>
      </c>
      <c r="W290" s="24">
        <f t="shared" si="471"/>
        <v>12781.7575</v>
      </c>
      <c r="X290" s="24">
        <f t="shared" si="471"/>
        <v>13047.61175</v>
      </c>
      <c r="Y290" s="24">
        <f t="shared" si="471"/>
        <v>13011.466</v>
      </c>
      <c r="Z290" s="227"/>
      <c r="AA290" s="227"/>
      <c r="AB290" s="227"/>
      <c r="AC290" s="24">
        <f>AC90</f>
        <v>0</v>
      </c>
      <c r="AD290" s="227"/>
      <c r="AE290" s="227"/>
      <c r="AF290" s="227"/>
      <c r="AG290" s="227"/>
      <c r="AH290" s="227"/>
      <c r="AI290" s="227"/>
      <c r="AJ290" s="227"/>
      <c r="AK290" s="227"/>
      <c r="AN290"/>
    </row>
    <row r="291" spans="2:40" ht="13.5" customHeight="1">
      <c r="B291" s="1" t="s">
        <v>320</v>
      </c>
      <c r="C291" s="58">
        <f t="shared" ref="C291:K291" si="472">C289/C287</f>
        <v>0.15005408595694014</v>
      </c>
      <c r="D291" s="58">
        <f t="shared" si="472"/>
        <v>0.15681462229519227</v>
      </c>
      <c r="E291" s="58">
        <f t="shared" si="472"/>
        <v>0.1607476519318953</v>
      </c>
      <c r="F291" s="58">
        <f t="shared" si="472"/>
        <v>0.16072423837977501</v>
      </c>
      <c r="G291" s="58">
        <f t="shared" si="472"/>
        <v>0.15857411495627941</v>
      </c>
      <c r="H291" s="58">
        <f t="shared" si="472"/>
        <v>0.15858161127561313</v>
      </c>
      <c r="I291" s="140">
        <f t="shared" si="472"/>
        <v>0.16188627907566347</v>
      </c>
      <c r="J291" s="140">
        <f t="shared" si="472"/>
        <v>0.16188627907566347</v>
      </c>
      <c r="K291" s="140">
        <f t="shared" si="472"/>
        <v>0.16897333638291753</v>
      </c>
      <c r="L291" s="140">
        <f>L289/L287</f>
        <v>0.15901261980044409</v>
      </c>
      <c r="N291" s="58"/>
      <c r="O291" s="58"/>
      <c r="P291" s="58"/>
      <c r="Q291" s="58">
        <f>Q289/Q287</f>
        <v>0.1607476519318953</v>
      </c>
      <c r="R291" s="58">
        <f>R289/R287</f>
        <v>0.15967868981822098</v>
      </c>
      <c r="S291" s="58">
        <f>S289/S287</f>
        <v>0.15994670748318102</v>
      </c>
      <c r="T291" s="62">
        <f>T289/T287</f>
        <v>0.16005797715027797</v>
      </c>
      <c r="U291" s="140">
        <f>U289/U287</f>
        <v>0.16072423837977501</v>
      </c>
      <c r="V291" s="140">
        <f t="shared" ref="V291:AA291" si="473">V289/V287</f>
        <v>0.16098485991271838</v>
      </c>
      <c r="W291" s="140">
        <f t="shared" si="473"/>
        <v>0.16126041395316124</v>
      </c>
      <c r="X291" s="140">
        <f t="shared" si="473"/>
        <v>0.16129862997811853</v>
      </c>
      <c r="Y291" s="140">
        <f t="shared" si="473"/>
        <v>0.15858161127561313</v>
      </c>
      <c r="Z291" s="140">
        <f t="shared" si="473"/>
        <v>0.15875510004088475</v>
      </c>
      <c r="AA291" s="140">
        <f t="shared" si="473"/>
        <v>0.15904591640100815</v>
      </c>
      <c r="AB291" s="140">
        <f t="shared" ref="AB291:AG291" si="474">AB289/AB287</f>
        <v>0.15939624850535991</v>
      </c>
      <c r="AC291" s="140">
        <f t="shared" si="474"/>
        <v>0.16188627907566347</v>
      </c>
      <c r="AD291" s="140">
        <f t="shared" si="474"/>
        <v>0.1638017966401317</v>
      </c>
      <c r="AE291" s="140">
        <f t="shared" si="474"/>
        <v>0.16443037676003716</v>
      </c>
      <c r="AF291" s="140">
        <f t="shared" si="474"/>
        <v>0.16547624853223347</v>
      </c>
      <c r="AG291" s="140">
        <f t="shared" si="474"/>
        <v>0.16897333638291753</v>
      </c>
      <c r="AH291" s="140">
        <f>AH289/AH287</f>
        <v>0.16744466319597695</v>
      </c>
      <c r="AI291" s="140">
        <f>AI289/AI287</f>
        <v>0.16718828879687869</v>
      </c>
      <c r="AJ291" s="140">
        <f>AJ289/AJ287</f>
        <v>0.16352012381283082</v>
      </c>
      <c r="AK291" s="140">
        <f>AK289/AK287</f>
        <v>0.15901261980044409</v>
      </c>
      <c r="AN291"/>
    </row>
    <row r="292" spans="2:40" ht="13.5" customHeight="1">
      <c r="B292" s="1" t="str">
        <f t="shared" ref="B292:H293" si="475">B91</f>
        <v>LTM Rent</v>
      </c>
      <c r="C292" s="24">
        <f t="shared" si="475"/>
        <v>875.29300000000001</v>
      </c>
      <c r="D292" s="24">
        <f t="shared" si="475"/>
        <v>832.71900000000005</v>
      </c>
      <c r="E292" s="24">
        <f t="shared" si="475"/>
        <v>979.76499999999999</v>
      </c>
      <c r="F292" s="24">
        <f t="shared" si="475"/>
        <v>1091.049</v>
      </c>
      <c r="G292" s="24">
        <f t="shared" si="475"/>
        <v>1270.4659999999999</v>
      </c>
      <c r="H292" s="24">
        <f t="shared" si="475"/>
        <v>1270.4659999999999</v>
      </c>
      <c r="I292" s="24">
        <f t="shared" ref="I292:K293" si="476">I91</f>
        <v>0</v>
      </c>
      <c r="J292" s="24">
        <f t="shared" si="476"/>
        <v>0</v>
      </c>
      <c r="K292" s="24">
        <f t="shared" si="476"/>
        <v>0</v>
      </c>
      <c r="L292" s="24">
        <f>L91</f>
        <v>0</v>
      </c>
      <c r="N292" s="24"/>
      <c r="O292" s="24"/>
      <c r="P292" s="24"/>
      <c r="Q292" s="24">
        <f t="shared" ref="Q292:AD292" si="477">Q91</f>
        <v>979.76499999999999</v>
      </c>
      <c r="R292" s="24">
        <f t="shared" si="477"/>
        <v>1007.586</v>
      </c>
      <c r="S292" s="24">
        <f t="shared" si="477"/>
        <v>1035.4069999999999</v>
      </c>
      <c r="T292" s="24">
        <f t="shared" si="477"/>
        <v>1063.2280000000001</v>
      </c>
      <c r="U292" s="24">
        <f t="shared" si="477"/>
        <v>1091.049</v>
      </c>
      <c r="V292" s="24">
        <f t="shared" si="477"/>
        <v>1135.9032499999998</v>
      </c>
      <c r="W292" s="24">
        <f t="shared" si="477"/>
        <v>1180.7574999999999</v>
      </c>
      <c r="X292" s="24">
        <f t="shared" si="477"/>
        <v>1225.61175</v>
      </c>
      <c r="Y292" s="24">
        <f t="shared" si="477"/>
        <v>1270.4659999999999</v>
      </c>
      <c r="Z292" s="24">
        <f t="shared" si="477"/>
        <v>952.84949999999992</v>
      </c>
      <c r="AA292" s="24">
        <f t="shared" si="477"/>
        <v>635.23299999999995</v>
      </c>
      <c r="AB292" s="24">
        <f t="shared" si="477"/>
        <v>317.61649999999997</v>
      </c>
      <c r="AC292" s="24">
        <f t="shared" si="477"/>
        <v>0</v>
      </c>
      <c r="AD292" s="24">
        <f t="shared" si="477"/>
        <v>0</v>
      </c>
      <c r="AE292" s="24">
        <f t="shared" ref="AE292:AH293" si="478">AE91</f>
        <v>0</v>
      </c>
      <c r="AF292" s="24">
        <f t="shared" si="478"/>
        <v>0</v>
      </c>
      <c r="AG292" s="24">
        <f t="shared" si="478"/>
        <v>0</v>
      </c>
      <c r="AH292" s="24">
        <f t="shared" si="478"/>
        <v>0</v>
      </c>
      <c r="AI292" s="24">
        <f t="shared" ref="AI292:AK293" si="479">AI91</f>
        <v>0</v>
      </c>
      <c r="AJ292" s="24">
        <f t="shared" si="479"/>
        <v>0</v>
      </c>
      <c r="AK292" s="24">
        <f t="shared" si="479"/>
        <v>0</v>
      </c>
      <c r="AN292"/>
    </row>
    <row r="293" spans="2:40" ht="13.5" customHeight="1">
      <c r="B293" s="1" t="str">
        <f t="shared" si="475"/>
        <v>Cash interest paid</v>
      </c>
      <c r="C293" s="24">
        <f t="shared" si="475"/>
        <v>1010.976</v>
      </c>
      <c r="D293" s="24">
        <f t="shared" si="475"/>
        <v>485.80500000000001</v>
      </c>
      <c r="E293" s="24">
        <f t="shared" si="475"/>
        <v>585.87099999999998</v>
      </c>
      <c r="F293" s="24">
        <f t="shared" si="475"/>
        <v>753.15599999999995</v>
      </c>
      <c r="G293" s="24">
        <f t="shared" si="475"/>
        <v>1231.047</v>
      </c>
      <c r="H293" s="24">
        <f t="shared" si="475"/>
        <v>1231.047</v>
      </c>
      <c r="I293" s="24">
        <f t="shared" si="476"/>
        <v>1877.6079999999999</v>
      </c>
      <c r="J293" s="24">
        <f t="shared" si="476"/>
        <v>1662.3150000000001</v>
      </c>
      <c r="K293" s="24">
        <f t="shared" si="476"/>
        <v>1088.2711589999999</v>
      </c>
      <c r="L293" s="24">
        <f>L92</f>
        <v>1017.35</v>
      </c>
      <c r="N293" s="24"/>
      <c r="O293" s="24"/>
      <c r="P293" s="24"/>
      <c r="Q293" s="24">
        <f t="shared" ref="Q293:AD293" si="480">Q92</f>
        <v>585.87100000000009</v>
      </c>
      <c r="R293" s="24">
        <f t="shared" si="480"/>
        <v>613.84600000000012</v>
      </c>
      <c r="S293" s="24">
        <f t="shared" si="480"/>
        <v>630.86599999999999</v>
      </c>
      <c r="T293" s="24">
        <f t="shared" si="480"/>
        <v>697.80700000000013</v>
      </c>
      <c r="U293" s="24">
        <f t="shared" si="480"/>
        <v>753.15599999999995</v>
      </c>
      <c r="V293" s="24">
        <f t="shared" si="480"/>
        <v>820.38699999999983</v>
      </c>
      <c r="W293" s="24">
        <f t="shared" si="480"/>
        <v>973.01499999999999</v>
      </c>
      <c r="X293" s="24">
        <f t="shared" si="480"/>
        <v>1202.8419999999999</v>
      </c>
      <c r="Y293" s="24">
        <f t="shared" si="480"/>
        <v>1231.047</v>
      </c>
      <c r="Z293" s="24">
        <f t="shared" si="480"/>
        <v>1429.5010000000002</v>
      </c>
      <c r="AA293" s="24">
        <f t="shared" si="480"/>
        <v>1585.3810000000001</v>
      </c>
      <c r="AB293" s="24">
        <f t="shared" si="480"/>
        <v>1635.415</v>
      </c>
      <c r="AC293" s="24">
        <f t="shared" si="480"/>
        <v>1877.6079999999999</v>
      </c>
      <c r="AD293" s="24">
        <f t="shared" si="480"/>
        <v>1716.1149999999998</v>
      </c>
      <c r="AE293" s="24">
        <f t="shared" si="478"/>
        <v>1578.9329999999998</v>
      </c>
      <c r="AF293" s="24">
        <f t="shared" si="478"/>
        <v>1340.8569999999997</v>
      </c>
      <c r="AG293" s="24">
        <f t="shared" si="478"/>
        <v>1088.2711589999999</v>
      </c>
      <c r="AH293" s="24">
        <f t="shared" si="478"/>
        <v>1070.6071589999999</v>
      </c>
      <c r="AI293" s="24">
        <f t="shared" si="479"/>
        <v>982.59415899999988</v>
      </c>
      <c r="AJ293" s="24">
        <f t="shared" si="479"/>
        <v>933.45015899999999</v>
      </c>
      <c r="AK293" s="24">
        <f t="shared" si="479"/>
        <v>1017.35</v>
      </c>
      <c r="AN293"/>
    </row>
    <row r="294" spans="2:40" ht="13.5" customHeight="1">
      <c r="B294" s="1" t="str">
        <f t="shared" ref="B294:H295" si="481">B94</f>
        <v>Capex</v>
      </c>
      <c r="C294" s="24">
        <f t="shared" si="481"/>
        <v>1481.7239999999999</v>
      </c>
      <c r="D294" s="24">
        <f t="shared" si="481"/>
        <v>2200.7710000000002</v>
      </c>
      <c r="E294" s="24">
        <f t="shared" si="481"/>
        <v>5437.0879999999997</v>
      </c>
      <c r="F294" s="24">
        <f t="shared" si="481"/>
        <v>4865.1689999999999</v>
      </c>
      <c r="G294" s="24">
        <f t="shared" si="481"/>
        <v>3643.3829999999998</v>
      </c>
      <c r="H294" s="24">
        <f t="shared" si="481"/>
        <v>3569.3440000000001</v>
      </c>
      <c r="I294" s="24">
        <f t="shared" ref="I294:K295" si="482">I94</f>
        <v>1325.8899999999999</v>
      </c>
      <c r="J294" s="24">
        <f t="shared" si="482"/>
        <v>1330.184</v>
      </c>
      <c r="K294" s="24">
        <f t="shared" si="482"/>
        <v>3584.6880000000001</v>
      </c>
      <c r="L294" s="24">
        <f>L94</f>
        <v>5114.2700000000004</v>
      </c>
      <c r="N294" s="24"/>
      <c r="O294" s="24"/>
      <c r="P294" s="24"/>
      <c r="Q294" s="24">
        <f t="shared" ref="Q294:AD294" si="483">Q94</f>
        <v>5437.0879999999997</v>
      </c>
      <c r="R294" s="24">
        <f t="shared" si="483"/>
        <v>5650.4250000000002</v>
      </c>
      <c r="S294" s="24">
        <f t="shared" si="483"/>
        <v>5379.2020000000011</v>
      </c>
      <c r="T294" s="24">
        <f t="shared" si="483"/>
        <v>5915.2390000000005</v>
      </c>
      <c r="U294" s="24">
        <f t="shared" si="483"/>
        <v>4865.1689999999999</v>
      </c>
      <c r="V294" s="24">
        <f t="shared" si="483"/>
        <v>4297.2599999999993</v>
      </c>
      <c r="W294" s="24">
        <f t="shared" si="483"/>
        <v>4255.1219999999994</v>
      </c>
      <c r="X294" s="24">
        <f t="shared" si="483"/>
        <v>3499.2329999999993</v>
      </c>
      <c r="Y294" s="24">
        <f t="shared" si="483"/>
        <v>3569.3440000000001</v>
      </c>
      <c r="Z294" s="24">
        <f t="shared" si="483"/>
        <v>3587.5829999999996</v>
      </c>
      <c r="AA294" s="24">
        <f t="shared" si="483"/>
        <v>2860.9119999999998</v>
      </c>
      <c r="AB294" s="24">
        <f t="shared" si="483"/>
        <v>2424.3339999999998</v>
      </c>
      <c r="AC294" s="24">
        <f t="shared" si="483"/>
        <v>1325.8899999999999</v>
      </c>
      <c r="AD294" s="24">
        <f t="shared" si="483"/>
        <v>1215.4549999999999</v>
      </c>
      <c r="AE294" s="24">
        <f t="shared" ref="AE294:AH295" si="484">AE94</f>
        <v>1576.1349999999998</v>
      </c>
      <c r="AF294" s="24">
        <f t="shared" si="484"/>
        <v>2332.0529999999999</v>
      </c>
      <c r="AG294" s="24">
        <f t="shared" si="484"/>
        <v>3584.6880000000001</v>
      </c>
      <c r="AH294" s="24">
        <f t="shared" si="484"/>
        <v>3992.9769999999999</v>
      </c>
      <c r="AI294" s="24">
        <f t="shared" ref="AI294:AK295" si="485">AI94</f>
        <v>3982.3590000000004</v>
      </c>
      <c r="AJ294" s="24">
        <f t="shared" si="485"/>
        <v>5152.3990000000003</v>
      </c>
      <c r="AK294" s="24">
        <f t="shared" si="485"/>
        <v>5114.2700000000004</v>
      </c>
      <c r="AN294"/>
    </row>
    <row r="295" spans="2:40" ht="13.5" customHeight="1">
      <c r="B295" s="1" t="str">
        <f t="shared" si="481"/>
        <v xml:space="preserve">Free cash flow </v>
      </c>
      <c r="C295" s="24">
        <f t="shared" si="481"/>
        <v>7282.9940000000006</v>
      </c>
      <c r="D295" s="24">
        <f t="shared" si="481"/>
        <v>1490.6339999999993</v>
      </c>
      <c r="E295" s="24">
        <f t="shared" si="481"/>
        <v>3112.6740000000009</v>
      </c>
      <c r="F295" s="24">
        <f t="shared" si="481"/>
        <v>-430.22099999999989</v>
      </c>
      <c r="G295" s="24">
        <f t="shared" si="481"/>
        <v>2636.1169999999993</v>
      </c>
      <c r="H295" s="24">
        <f t="shared" si="481"/>
        <v>2639.6170000000006</v>
      </c>
      <c r="I295" s="24">
        <f t="shared" si="482"/>
        <v>4325.4790000000012</v>
      </c>
      <c r="J295" s="24">
        <f t="shared" si="482"/>
        <v>4807.8429999999989</v>
      </c>
      <c r="K295" s="24">
        <f t="shared" si="482"/>
        <v>8411.1008409999977</v>
      </c>
      <c r="L295" s="24">
        <f>L95</f>
        <v>5985.1699999999973</v>
      </c>
      <c r="N295" s="24"/>
      <c r="O295" s="24"/>
      <c r="P295" s="24"/>
      <c r="Q295" s="24">
        <f t="shared" ref="Q295:AD295" si="486">Q95</f>
        <v>3112.674</v>
      </c>
      <c r="R295" s="24">
        <f t="shared" si="486"/>
        <v>1603.5879999999997</v>
      </c>
      <c r="S295" s="24">
        <f t="shared" si="486"/>
        <v>-162.98400000000015</v>
      </c>
      <c r="T295" s="24">
        <f t="shared" si="486"/>
        <v>-2879.4900000000007</v>
      </c>
      <c r="U295" s="24">
        <f t="shared" si="486"/>
        <v>-430.221</v>
      </c>
      <c r="V295" s="24">
        <f t="shared" si="486"/>
        <v>79.756999999999991</v>
      </c>
      <c r="W295" s="24">
        <f t="shared" si="486"/>
        <v>1052.7299999999996</v>
      </c>
      <c r="X295" s="24">
        <f t="shared" si="486"/>
        <v>2888.0040000000008</v>
      </c>
      <c r="Y295" s="24">
        <f t="shared" si="486"/>
        <v>2639.6169999999993</v>
      </c>
      <c r="Z295" s="24">
        <f t="shared" si="486"/>
        <v>3440.6389999999997</v>
      </c>
      <c r="AA295" s="24">
        <f t="shared" si="486"/>
        <v>3927.4479999999994</v>
      </c>
      <c r="AB295" s="24">
        <f t="shared" si="486"/>
        <v>4783.7260000000006</v>
      </c>
      <c r="AC295" s="24">
        <f t="shared" si="486"/>
        <v>4325.4789999999994</v>
      </c>
      <c r="AD295" s="24">
        <f t="shared" si="486"/>
        <v>6724.2880000000005</v>
      </c>
      <c r="AE295" s="24">
        <f t="shared" si="484"/>
        <v>8195.902</v>
      </c>
      <c r="AF295" s="24">
        <f t="shared" si="484"/>
        <v>8631.6969999999983</v>
      </c>
      <c r="AG295" s="24">
        <f t="shared" si="484"/>
        <v>8411.1008409999977</v>
      </c>
      <c r="AH295" s="24">
        <f t="shared" si="484"/>
        <v>7559.285840999999</v>
      </c>
      <c r="AI295" s="24">
        <f t="shared" si="485"/>
        <v>8531.0518409999986</v>
      </c>
      <c r="AJ295" s="24">
        <f t="shared" si="485"/>
        <v>6466.4248409999991</v>
      </c>
      <c r="AK295" s="24">
        <f t="shared" si="485"/>
        <v>5985.1699999999983</v>
      </c>
      <c r="AN295"/>
    </row>
    <row r="296" spans="2:40" ht="13.5" customHeight="1">
      <c r="B296" s="1" t="s">
        <v>30</v>
      </c>
      <c r="C296" s="24">
        <f t="shared" ref="C296:AD296" si="487">C113</f>
        <v>1465.0880000000002</v>
      </c>
      <c r="D296" s="24">
        <f t="shared" si="487"/>
        <v>2919.0540000000005</v>
      </c>
      <c r="E296" s="24">
        <f t="shared" si="487"/>
        <v>5466.5300000000007</v>
      </c>
      <c r="F296" s="24">
        <f t="shared" si="487"/>
        <v>3229.9800000000005</v>
      </c>
      <c r="G296" s="24">
        <f t="shared" si="487"/>
        <v>3435.7220000000007</v>
      </c>
      <c r="H296" s="24">
        <f t="shared" si="487"/>
        <v>3435.7220000000007</v>
      </c>
      <c r="I296" s="24">
        <f>I113</f>
        <v>3818.1810000000005</v>
      </c>
      <c r="J296" s="24">
        <f>J113</f>
        <v>3943.5010000000007</v>
      </c>
      <c r="K296" s="24">
        <f>K113</f>
        <v>6172.7540000000008</v>
      </c>
      <c r="L296" s="24">
        <f>L113</f>
        <v>5248.1290000000008</v>
      </c>
      <c r="N296" s="24">
        <f t="shared" si="487"/>
        <v>3396.4830000000006</v>
      </c>
      <c r="O296" s="24">
        <f t="shared" si="487"/>
        <v>2901.7750000000005</v>
      </c>
      <c r="P296" s="24">
        <f t="shared" si="487"/>
        <v>4744.348</v>
      </c>
      <c r="Q296" s="24">
        <f t="shared" si="487"/>
        <v>5466.5299999999988</v>
      </c>
      <c r="R296" s="24">
        <f t="shared" si="487"/>
        <v>3880.6709999999985</v>
      </c>
      <c r="S296" s="24">
        <f t="shared" si="487"/>
        <v>3332.1649999999986</v>
      </c>
      <c r="T296" s="24">
        <f t="shared" si="487"/>
        <v>3695.4049999999988</v>
      </c>
      <c r="U296" s="24">
        <f t="shared" si="487"/>
        <v>3229.9799999999991</v>
      </c>
      <c r="V296" s="24">
        <f t="shared" si="487"/>
        <v>4103.9359999999988</v>
      </c>
      <c r="W296" s="24">
        <f t="shared" si="487"/>
        <v>5368.9799999999987</v>
      </c>
      <c r="X296" s="24">
        <f t="shared" si="487"/>
        <v>3746.6419999999989</v>
      </c>
      <c r="Y296" s="24">
        <f t="shared" si="487"/>
        <v>3435.7219999999984</v>
      </c>
      <c r="Z296" s="24">
        <f t="shared" si="487"/>
        <v>3884.8639999999982</v>
      </c>
      <c r="AA296" s="24">
        <f t="shared" si="487"/>
        <v>4828.5009999999984</v>
      </c>
      <c r="AB296" s="24">
        <f t="shared" si="487"/>
        <v>4594.0969999999979</v>
      </c>
      <c r="AC296" s="24">
        <f t="shared" si="487"/>
        <v>3818.1809999999969</v>
      </c>
      <c r="AD296" s="24">
        <f t="shared" si="487"/>
        <v>5822.5630000000001</v>
      </c>
      <c r="AE296" s="24">
        <f t="shared" ref="AE296:AJ296" si="488">AE113</f>
        <v>7071.0430000000006</v>
      </c>
      <c r="AF296" s="24">
        <f t="shared" si="488"/>
        <v>7851.9920000000002</v>
      </c>
      <c r="AG296" s="24">
        <f t="shared" si="488"/>
        <v>6172.7540000000017</v>
      </c>
      <c r="AH296" s="24">
        <f t="shared" si="488"/>
        <v>8423.7680000000018</v>
      </c>
      <c r="AI296" s="24">
        <f t="shared" si="488"/>
        <v>8299.5870000000014</v>
      </c>
      <c r="AJ296" s="24">
        <f t="shared" si="488"/>
        <v>6862.8460000000014</v>
      </c>
      <c r="AK296" s="24">
        <f>AK113</f>
        <v>5248.1290000000045</v>
      </c>
      <c r="AN296"/>
    </row>
    <row r="297" spans="2:40" ht="13.5" customHeight="1">
      <c r="B297" s="1" t="s">
        <v>321</v>
      </c>
      <c r="C297" s="24">
        <f t="shared" ref="C297:AD297" si="489">C121</f>
        <v>10761.16</v>
      </c>
      <c r="D297" s="24">
        <f t="shared" si="489"/>
        <v>13154.441000000001</v>
      </c>
      <c r="E297" s="24">
        <f t="shared" si="489"/>
        <v>15954.585999999999</v>
      </c>
      <c r="F297" s="24">
        <f t="shared" si="489"/>
        <v>20206.72</v>
      </c>
      <c r="G297" s="24">
        <f t="shared" si="489"/>
        <v>21494.68</v>
      </c>
      <c r="H297" s="24">
        <f t="shared" si="489"/>
        <v>21494.68</v>
      </c>
      <c r="I297" s="24">
        <f>I121</f>
        <v>21625.85</v>
      </c>
      <c r="J297" s="24">
        <f>J121</f>
        <v>21625.85</v>
      </c>
      <c r="K297" s="24">
        <f>K121</f>
        <v>22875.415999999997</v>
      </c>
      <c r="L297" s="24">
        <f>L121</f>
        <v>24460.903000000002</v>
      </c>
      <c r="N297" s="24">
        <f t="shared" si="489"/>
        <v>12615.076000000001</v>
      </c>
      <c r="O297" s="24">
        <f t="shared" si="489"/>
        <v>13237.898000000001</v>
      </c>
      <c r="P297" s="24">
        <f t="shared" si="489"/>
        <v>13580.043000000001</v>
      </c>
      <c r="Q297" s="24">
        <f t="shared" si="489"/>
        <v>15954.585999999999</v>
      </c>
      <c r="R297" s="24">
        <f t="shared" si="489"/>
        <v>13752</v>
      </c>
      <c r="S297" s="24">
        <f t="shared" si="489"/>
        <v>14324.874</v>
      </c>
      <c r="T297" s="24">
        <f t="shared" si="489"/>
        <v>20154.521000000001</v>
      </c>
      <c r="U297" s="24">
        <f t="shared" si="489"/>
        <v>20206.72</v>
      </c>
      <c r="V297" s="24">
        <f t="shared" si="489"/>
        <v>20721.239000000001</v>
      </c>
      <c r="W297" s="24">
        <f t="shared" si="489"/>
        <v>23766.424999999999</v>
      </c>
      <c r="X297" s="24">
        <f t="shared" si="489"/>
        <v>20799.431</v>
      </c>
      <c r="Y297" s="24">
        <f t="shared" si="489"/>
        <v>21494.68</v>
      </c>
      <c r="Z297" s="24">
        <f t="shared" si="489"/>
        <v>21916.920000000002</v>
      </c>
      <c r="AA297" s="24">
        <f t="shared" si="489"/>
        <v>23478.130999999998</v>
      </c>
      <c r="AB297" s="24">
        <f t="shared" si="489"/>
        <v>22744.855</v>
      </c>
      <c r="AC297" s="24">
        <f t="shared" si="489"/>
        <v>21625.85</v>
      </c>
      <c r="AD297" s="24">
        <f t="shared" si="489"/>
        <v>25921.409</v>
      </c>
      <c r="AE297" s="24">
        <f t="shared" ref="AE297:AJ297" si="490">AE121</f>
        <v>26012.167999999998</v>
      </c>
      <c r="AF297" s="24">
        <f t="shared" si="490"/>
        <v>25368.019999999997</v>
      </c>
      <c r="AG297" s="24">
        <f t="shared" si="490"/>
        <v>22875.415999999997</v>
      </c>
      <c r="AH297" s="24">
        <f t="shared" si="490"/>
        <v>24812.076999999997</v>
      </c>
      <c r="AI297" s="24">
        <f t="shared" si="490"/>
        <v>22973.351000000002</v>
      </c>
      <c r="AJ297" s="24">
        <f t="shared" si="490"/>
        <v>23399.866000000002</v>
      </c>
      <c r="AK297" s="24">
        <f>AK121</f>
        <v>24460.903000000002</v>
      </c>
      <c r="AN297"/>
    </row>
    <row r="298" spans="2:40" ht="13.5" customHeight="1">
      <c r="B298" s="1" t="s">
        <v>322</v>
      </c>
      <c r="C298" s="24">
        <f t="shared" ref="C298:AD298" si="491">C128</f>
        <v>17763.504000000001</v>
      </c>
      <c r="D298" s="24">
        <f t="shared" si="491"/>
        <v>19816.192999999999</v>
      </c>
      <c r="E298" s="24">
        <f t="shared" si="491"/>
        <v>23792.705999999998</v>
      </c>
      <c r="F298" s="24">
        <f t="shared" si="491"/>
        <v>28935.112000000001</v>
      </c>
      <c r="G298" s="24">
        <f t="shared" si="491"/>
        <v>31658.407999999999</v>
      </c>
      <c r="H298" s="24">
        <f t="shared" si="491"/>
        <v>31658.407999999999</v>
      </c>
      <c r="I298" s="24">
        <f>I128</f>
        <v>26642.087999999996</v>
      </c>
      <c r="J298" s="24">
        <f>J128</f>
        <v>26642.087999999996</v>
      </c>
      <c r="K298" s="24">
        <f>K128</f>
        <v>29555.085999999996</v>
      </c>
      <c r="L298" s="24">
        <f>L128</f>
        <v>31023.846000000001</v>
      </c>
      <c r="N298" s="24">
        <f t="shared" si="491"/>
        <v>19532.272000000001</v>
      </c>
      <c r="O298" s="24">
        <f t="shared" si="491"/>
        <v>20069.946000000004</v>
      </c>
      <c r="P298" s="24">
        <f t="shared" si="491"/>
        <v>20326.943000000003</v>
      </c>
      <c r="Q298" s="24">
        <f t="shared" si="491"/>
        <v>23792.705999999998</v>
      </c>
      <c r="R298" s="24">
        <f t="shared" si="491"/>
        <v>21812.688000000002</v>
      </c>
      <c r="S298" s="24">
        <f t="shared" si="491"/>
        <v>22608.129999999997</v>
      </c>
      <c r="T298" s="24">
        <f t="shared" si="491"/>
        <v>28660.345000000001</v>
      </c>
      <c r="U298" s="24">
        <f t="shared" si="491"/>
        <v>28935.112000000001</v>
      </c>
      <c r="V298" s="24">
        <f t="shared" si="491"/>
        <v>29808.465</v>
      </c>
      <c r="W298" s="24">
        <f t="shared" si="491"/>
        <v>33212.485000000001</v>
      </c>
      <c r="X298" s="24">
        <f t="shared" si="491"/>
        <v>30604.325000000001</v>
      </c>
      <c r="Y298" s="24">
        <f t="shared" si="491"/>
        <v>31658.407999999999</v>
      </c>
      <c r="Z298" s="24">
        <f t="shared" si="491"/>
        <v>26275.550000000003</v>
      </c>
      <c r="AA298" s="24">
        <f t="shared" si="491"/>
        <v>27736.104999999996</v>
      </c>
      <c r="AB298" s="24">
        <f t="shared" si="491"/>
        <v>27008.712</v>
      </c>
      <c r="AC298" s="24">
        <f t="shared" si="491"/>
        <v>26642.087999999996</v>
      </c>
      <c r="AD298" s="24">
        <f t="shared" si="491"/>
        <v>32208.053</v>
      </c>
      <c r="AE298" s="24">
        <f t="shared" ref="AE298:AJ298" si="492">AE128</f>
        <v>33530.038</v>
      </c>
      <c r="AF298" s="24">
        <f t="shared" si="492"/>
        <v>32705.566999999995</v>
      </c>
      <c r="AG298" s="24">
        <f t="shared" si="492"/>
        <v>29555.085999999996</v>
      </c>
      <c r="AH298" s="24">
        <f t="shared" si="492"/>
        <v>31638.013999999996</v>
      </c>
      <c r="AI298" s="24">
        <f t="shared" si="492"/>
        <v>29651.197</v>
      </c>
      <c r="AJ298" s="24">
        <f t="shared" si="492"/>
        <v>29933.497000000003</v>
      </c>
      <c r="AK298" s="24">
        <f>AK128</f>
        <v>31023.846000000001</v>
      </c>
      <c r="AN298"/>
    </row>
    <row r="299" spans="2:40" ht="13.5" customHeight="1">
      <c r="B299" s="1" t="s">
        <v>323</v>
      </c>
      <c r="C299" s="24">
        <f t="shared" ref="C299:AD299" si="493">C115</f>
        <v>9276.6740000000009</v>
      </c>
      <c r="D299" s="24">
        <f t="shared" si="493"/>
        <v>10227.92</v>
      </c>
      <c r="E299" s="24">
        <f t="shared" si="493"/>
        <v>10484.760999999999</v>
      </c>
      <c r="F299" s="24">
        <f t="shared" si="493"/>
        <v>16976.740000000002</v>
      </c>
      <c r="G299" s="24">
        <f t="shared" si="493"/>
        <v>18058.957999999999</v>
      </c>
      <c r="H299" s="24">
        <f t="shared" si="493"/>
        <v>18058.957999999999</v>
      </c>
      <c r="I299" s="24">
        <f>I115</f>
        <v>17807.668999999998</v>
      </c>
      <c r="J299" s="24">
        <f>J115</f>
        <v>17682.348999999998</v>
      </c>
      <c r="K299" s="24">
        <f>K115</f>
        <v>16702.661999999997</v>
      </c>
      <c r="L299" s="24">
        <f>L115</f>
        <v>19212.774000000001</v>
      </c>
      <c r="N299" s="24">
        <f t="shared" si="493"/>
        <v>9218.5930000000008</v>
      </c>
      <c r="O299" s="24">
        <f t="shared" si="493"/>
        <v>10336.123</v>
      </c>
      <c r="P299" s="24">
        <f t="shared" si="493"/>
        <v>8835.6950000000015</v>
      </c>
      <c r="Q299" s="24">
        <f t="shared" si="493"/>
        <v>10484.761</v>
      </c>
      <c r="R299" s="24">
        <f t="shared" si="493"/>
        <v>9871.3290000000015</v>
      </c>
      <c r="S299" s="24">
        <f t="shared" si="493"/>
        <v>10992.709000000001</v>
      </c>
      <c r="T299" s="24">
        <f t="shared" si="493"/>
        <v>16459.116000000002</v>
      </c>
      <c r="U299" s="24">
        <f t="shared" si="493"/>
        <v>16976.740000000002</v>
      </c>
      <c r="V299" s="24">
        <f t="shared" si="493"/>
        <v>16617.303000000004</v>
      </c>
      <c r="W299" s="24">
        <f t="shared" si="493"/>
        <v>18397.445</v>
      </c>
      <c r="X299" s="24">
        <f t="shared" si="493"/>
        <v>17052.789000000001</v>
      </c>
      <c r="Y299" s="24">
        <f t="shared" si="493"/>
        <v>18058.958000000002</v>
      </c>
      <c r="Z299" s="24">
        <f t="shared" si="493"/>
        <v>18032.056000000004</v>
      </c>
      <c r="AA299" s="24">
        <f t="shared" si="493"/>
        <v>18649.629999999997</v>
      </c>
      <c r="AB299" s="24">
        <f t="shared" si="493"/>
        <v>18150.758000000002</v>
      </c>
      <c r="AC299" s="24">
        <f t="shared" si="493"/>
        <v>17807.669000000002</v>
      </c>
      <c r="AD299" s="24">
        <f t="shared" si="493"/>
        <v>20098.845999999998</v>
      </c>
      <c r="AE299" s="24">
        <f t="shared" ref="AE299:AJ299" si="494">AE115</f>
        <v>18941.124999999996</v>
      </c>
      <c r="AF299" s="24">
        <f t="shared" si="494"/>
        <v>17516.027999999998</v>
      </c>
      <c r="AG299" s="24">
        <f t="shared" si="494"/>
        <v>16702.661999999997</v>
      </c>
      <c r="AH299" s="24">
        <f t="shared" si="494"/>
        <v>16388.308999999994</v>
      </c>
      <c r="AI299" s="24">
        <f t="shared" si="494"/>
        <v>14673.764000000001</v>
      </c>
      <c r="AJ299" s="24">
        <f t="shared" si="494"/>
        <v>16537.02</v>
      </c>
      <c r="AK299" s="24">
        <f>AK115</f>
        <v>19212.773999999998</v>
      </c>
      <c r="AN299"/>
    </row>
    <row r="300" spans="2:40" ht="13.5" customHeight="1">
      <c r="B300" s="1" t="s">
        <v>324</v>
      </c>
      <c r="C300" s="24">
        <f t="shared" ref="C300:AD300" si="495">C127</f>
        <v>16298.416000000001</v>
      </c>
      <c r="D300" s="24">
        <f t="shared" si="495"/>
        <v>16897.139000000003</v>
      </c>
      <c r="E300" s="24">
        <f t="shared" si="495"/>
        <v>18326.175999999999</v>
      </c>
      <c r="F300" s="24">
        <f t="shared" si="495"/>
        <v>25705.132000000001</v>
      </c>
      <c r="G300" s="24">
        <f t="shared" si="495"/>
        <v>28222.685999999998</v>
      </c>
      <c r="H300" s="24">
        <f t="shared" si="495"/>
        <v>28222.685999999998</v>
      </c>
      <c r="I300" s="24">
        <f>I127</f>
        <v>22823.906999999999</v>
      </c>
      <c r="J300" s="24">
        <f>J127</f>
        <v>22698.587</v>
      </c>
      <c r="K300" s="24">
        <f>K127</f>
        <v>23382.331999999995</v>
      </c>
      <c r="L300" s="24">
        <f>L127</f>
        <v>25775.717000000001</v>
      </c>
      <c r="N300" s="24">
        <f t="shared" si="495"/>
        <v>16135.789000000001</v>
      </c>
      <c r="O300" s="24">
        <f t="shared" si="495"/>
        <v>17168.171000000002</v>
      </c>
      <c r="P300" s="24">
        <f t="shared" si="495"/>
        <v>15582.595000000001</v>
      </c>
      <c r="Q300" s="24">
        <f t="shared" si="495"/>
        <v>18326.175999999999</v>
      </c>
      <c r="R300" s="24">
        <f t="shared" si="495"/>
        <v>17932.017</v>
      </c>
      <c r="S300" s="24">
        <f t="shared" si="495"/>
        <v>19275.965</v>
      </c>
      <c r="T300" s="24">
        <f t="shared" si="495"/>
        <v>24964.940000000002</v>
      </c>
      <c r="U300" s="24">
        <f t="shared" si="495"/>
        <v>25705.132000000001</v>
      </c>
      <c r="V300" s="24">
        <f t="shared" si="495"/>
        <v>25704.529000000002</v>
      </c>
      <c r="W300" s="24">
        <f t="shared" si="495"/>
        <v>27843.504999999997</v>
      </c>
      <c r="X300" s="24">
        <f t="shared" si="495"/>
        <v>26857.683000000001</v>
      </c>
      <c r="Y300" s="24">
        <f t="shared" si="495"/>
        <v>28222.686000000002</v>
      </c>
      <c r="Z300" s="24">
        <f t="shared" si="495"/>
        <v>22390.686000000005</v>
      </c>
      <c r="AA300" s="24">
        <f t="shared" si="495"/>
        <v>22907.603999999999</v>
      </c>
      <c r="AB300" s="24">
        <f t="shared" si="495"/>
        <v>22414.615000000002</v>
      </c>
      <c r="AC300" s="24">
        <f t="shared" si="495"/>
        <v>22823.906999999999</v>
      </c>
      <c r="AD300" s="24">
        <f t="shared" si="495"/>
        <v>26385.489999999998</v>
      </c>
      <c r="AE300" s="24">
        <f t="shared" ref="AE300:AJ300" si="496">AE127</f>
        <v>26458.994999999995</v>
      </c>
      <c r="AF300" s="24">
        <f t="shared" si="496"/>
        <v>24853.574999999997</v>
      </c>
      <c r="AG300" s="24">
        <f t="shared" si="496"/>
        <v>23382.331999999995</v>
      </c>
      <c r="AH300" s="24">
        <f t="shared" si="496"/>
        <v>23214.245999999992</v>
      </c>
      <c r="AI300" s="24">
        <f t="shared" si="496"/>
        <v>21351.61</v>
      </c>
      <c r="AJ300" s="24">
        <f t="shared" si="496"/>
        <v>23070.651000000002</v>
      </c>
      <c r="AK300" s="24">
        <f>AK127</f>
        <v>25775.716999999997</v>
      </c>
      <c r="AN300"/>
    </row>
    <row r="301" spans="2:40" ht="13.5" customHeight="1">
      <c r="B301" s="1" t="s">
        <v>325</v>
      </c>
      <c r="C301" s="53">
        <f t="shared" ref="C301:H301" si="497">C145</f>
        <v>1.4361617509675697</v>
      </c>
      <c r="D301" s="53">
        <f t="shared" si="497"/>
        <v>1.4393742203742204</v>
      </c>
      <c r="E301" s="53">
        <f t="shared" si="497"/>
        <v>1.4551793141189346</v>
      </c>
      <c r="F301" s="53">
        <f t="shared" si="497"/>
        <v>1.7812693935119888</v>
      </c>
      <c r="G301" s="53">
        <f t="shared" si="497"/>
        <v>1.830736734520058</v>
      </c>
      <c r="H301" s="53">
        <f t="shared" si="497"/>
        <v>1.830736734520058</v>
      </c>
      <c r="I301" s="53">
        <f>I145</f>
        <v>1.8659059534081104</v>
      </c>
      <c r="J301" s="53">
        <f>J145</f>
        <v>1.8659059534081104</v>
      </c>
      <c r="K301" s="225"/>
      <c r="L301" s="225"/>
      <c r="N301" s="53"/>
      <c r="O301" s="53"/>
      <c r="P301" s="53"/>
      <c r="Q301" s="53" t="e">
        <f t="shared" ref="Q301:AC301" si="498">Q145</f>
        <v>#DIV/0!</v>
      </c>
      <c r="R301" s="53">
        <f t="shared" si="498"/>
        <v>1.2293938852136599</v>
      </c>
      <c r="S301" s="53">
        <f t="shared" si="498"/>
        <v>1.2588868969153704</v>
      </c>
      <c r="T301" s="53">
        <f t="shared" si="498"/>
        <v>1.771826021978022</v>
      </c>
      <c r="U301" s="53">
        <f t="shared" si="498"/>
        <v>1.7812693935119888</v>
      </c>
      <c r="V301" s="53">
        <f t="shared" si="498"/>
        <v>1.8274309021959609</v>
      </c>
      <c r="W301" s="53">
        <f t="shared" si="498"/>
        <v>2.0486531333505731</v>
      </c>
      <c r="X301" s="53">
        <f t="shared" si="498"/>
        <v>1.7593834376586026</v>
      </c>
      <c r="Y301" s="53">
        <f t="shared" si="498"/>
        <v>1.830736734520058</v>
      </c>
      <c r="Z301" s="53">
        <f t="shared" si="498"/>
        <v>1.8714815131073352</v>
      </c>
      <c r="AA301" s="53">
        <f t="shared" si="498"/>
        <v>2.0286987816469368</v>
      </c>
      <c r="AB301" s="53">
        <f t="shared" si="498"/>
        <v>1.9587370823286254</v>
      </c>
      <c r="AC301" s="53">
        <f t="shared" si="498"/>
        <v>1.8659059534081104</v>
      </c>
      <c r="AD301" s="225"/>
      <c r="AE301" s="225"/>
      <c r="AF301" s="225"/>
      <c r="AG301" s="225"/>
      <c r="AH301" s="225"/>
      <c r="AI301" s="225"/>
      <c r="AJ301" s="225"/>
      <c r="AK301" s="225"/>
      <c r="AN301"/>
    </row>
    <row r="302" spans="2:40" ht="13.5" customHeight="1">
      <c r="B302" s="5" t="s">
        <v>326</v>
      </c>
      <c r="C302" s="52">
        <f t="shared" ref="C302:H302" si="499">C144</f>
        <v>1.2406341919124517</v>
      </c>
      <c r="D302" s="52">
        <f t="shared" si="499"/>
        <v>1.1199679395995186</v>
      </c>
      <c r="E302" s="52">
        <f t="shared" si="499"/>
        <v>0.95659029551258656</v>
      </c>
      <c r="F302" s="52">
        <f t="shared" si="499"/>
        <v>1.4965391396332866</v>
      </c>
      <c r="G302" s="52">
        <f t="shared" si="499"/>
        <v>1.5381107231070605</v>
      </c>
      <c r="H302" s="52">
        <f t="shared" si="499"/>
        <v>1.5381107231070605</v>
      </c>
      <c r="I302" s="52">
        <f>I144</f>
        <v>1.5364684210526314</v>
      </c>
      <c r="J302" s="52">
        <f>J144</f>
        <v>1.525655651423641</v>
      </c>
      <c r="K302" s="224"/>
      <c r="L302" s="224"/>
      <c r="N302" s="52"/>
      <c r="O302" s="52"/>
      <c r="P302" s="52"/>
      <c r="Q302" s="52" t="e">
        <f t="shared" ref="Q302:AC302" si="500">Q144</f>
        <v>#DIV/0!</v>
      </c>
      <c r="R302" s="52">
        <f t="shared" si="500"/>
        <v>0.88247175040228876</v>
      </c>
      <c r="S302" s="52">
        <f t="shared" si="500"/>
        <v>0.96605228930485987</v>
      </c>
      <c r="T302" s="52">
        <f t="shared" si="500"/>
        <v>1.4469552527472529</v>
      </c>
      <c r="U302" s="52">
        <f t="shared" si="500"/>
        <v>1.4965391396332866</v>
      </c>
      <c r="V302" s="52">
        <f t="shared" si="500"/>
        <v>1.4654998677132025</v>
      </c>
      <c r="W302" s="52">
        <f t="shared" si="500"/>
        <v>1.5858499267304542</v>
      </c>
      <c r="X302" s="52">
        <f t="shared" si="500"/>
        <v>1.4424622737269499</v>
      </c>
      <c r="Y302" s="52">
        <f t="shared" si="500"/>
        <v>1.538110723107061</v>
      </c>
      <c r="Z302" s="52">
        <f t="shared" si="500"/>
        <v>1.5397537358039453</v>
      </c>
      <c r="AA302" s="52">
        <f t="shared" si="500"/>
        <v>1.6114775771191565</v>
      </c>
      <c r="AB302" s="52">
        <f t="shared" si="500"/>
        <v>1.563103513606614</v>
      </c>
      <c r="AC302" s="52">
        <f t="shared" si="500"/>
        <v>1.5364684210526318</v>
      </c>
      <c r="AD302" s="224"/>
      <c r="AE302" s="224"/>
      <c r="AF302" s="224"/>
      <c r="AG302" s="224"/>
      <c r="AH302" s="224"/>
      <c r="AI302" s="224"/>
      <c r="AJ302" s="224"/>
      <c r="AK302" s="224"/>
      <c r="AN302"/>
    </row>
    <row r="303" spans="2:40" ht="13.5" customHeight="1">
      <c r="B303" s="1" t="s">
        <v>327</v>
      </c>
      <c r="C303" s="53">
        <f t="shared" ref="C303:H303" si="501">C148</f>
        <v>2.1227153494744986</v>
      </c>
      <c r="D303" s="53">
        <f t="shared" si="501"/>
        <v>1.9872394117804562</v>
      </c>
      <c r="E303" s="53">
        <f t="shared" si="501"/>
        <v>1.9920607949001006</v>
      </c>
      <c r="F303" s="53">
        <f t="shared" si="501"/>
        <v>2.3268997170819352</v>
      </c>
      <c r="G303" s="53">
        <f t="shared" si="501"/>
        <v>2.4331161454059056</v>
      </c>
      <c r="H303" s="53">
        <f t="shared" si="501"/>
        <v>2.4331161454059056</v>
      </c>
      <c r="I303" s="53">
        <f>I148</f>
        <v>2.1266034482758616</v>
      </c>
      <c r="J303" s="53">
        <f>J148</f>
        <v>2.1266034482758616</v>
      </c>
      <c r="K303" s="53">
        <f>K148</f>
        <v>1.9199094452384042</v>
      </c>
      <c r="L303" s="53">
        <f>L148</f>
        <v>2.0700504437178888</v>
      </c>
      <c r="N303" s="53"/>
      <c r="O303" s="53"/>
      <c r="P303" s="53"/>
      <c r="Q303" s="53">
        <f t="shared" ref="Q303:AD303" si="502">Q148</f>
        <v>1.9920607949001006</v>
      </c>
      <c r="R303" s="53">
        <f t="shared" si="502"/>
        <v>1.7888657200597102</v>
      </c>
      <c r="S303" s="53">
        <f t="shared" si="502"/>
        <v>1.8211204127591434</v>
      </c>
      <c r="T303" s="53">
        <f t="shared" si="502"/>
        <v>2.3042144749235987</v>
      </c>
      <c r="U303" s="53">
        <f t="shared" si="502"/>
        <v>2.3268997170819352</v>
      </c>
      <c r="V303" s="53">
        <f t="shared" si="502"/>
        <v>2.3894746438213859</v>
      </c>
      <c r="W303" s="53">
        <f t="shared" si="502"/>
        <v>2.5984286589696293</v>
      </c>
      <c r="X303" s="53">
        <f t="shared" si="502"/>
        <v>2.3455882644576698</v>
      </c>
      <c r="Y303" s="53">
        <f t="shared" si="502"/>
        <v>2.4331161454059056</v>
      </c>
      <c r="Z303" s="53">
        <f t="shared" si="502"/>
        <v>2.2043246644295302</v>
      </c>
      <c r="AA303" s="53">
        <f t="shared" si="502"/>
        <v>2.3111494875427043</v>
      </c>
      <c r="AB303" s="53">
        <f t="shared" si="502"/>
        <v>2.1999439602508755</v>
      </c>
      <c r="AC303" s="53">
        <f t="shared" si="502"/>
        <v>2.1266034482758616</v>
      </c>
      <c r="AD303" s="53">
        <f t="shared" si="502"/>
        <v>2.447048548852758</v>
      </c>
      <c r="AE303" s="53">
        <f t="shared" ref="AE303:AJ303" si="503">AE148</f>
        <v>2.3938058113800245</v>
      </c>
      <c r="AF303" s="53">
        <f t="shared" si="503"/>
        <v>2.2306347701541398</v>
      </c>
      <c r="AG303" s="53">
        <f t="shared" si="503"/>
        <v>1.9199094452384042</v>
      </c>
      <c r="AH303" s="53">
        <f t="shared" si="503"/>
        <v>2.0596324458043092</v>
      </c>
      <c r="AI303" s="53">
        <f t="shared" si="503"/>
        <v>1.969655706124618</v>
      </c>
      <c r="AJ303" s="53">
        <f t="shared" si="503"/>
        <v>2.0233538596728406</v>
      </c>
      <c r="AK303" s="53">
        <f>AK148</f>
        <v>2.0700504437178888</v>
      </c>
      <c r="AN303"/>
    </row>
    <row r="304" spans="2:40" ht="13.5" customHeight="1">
      <c r="B304" s="5" t="s">
        <v>328</v>
      </c>
      <c r="C304" s="52">
        <f t="shared" ref="C304:H304" si="504">C147</f>
        <v>1.9476392616749918</v>
      </c>
      <c r="D304" s="52">
        <f t="shared" si="504"/>
        <v>1.6945061327941553</v>
      </c>
      <c r="E304" s="52">
        <f t="shared" si="504"/>
        <v>1.5343717831018946</v>
      </c>
      <c r="F304" s="52">
        <f t="shared" si="504"/>
        <v>2.0671516453212209</v>
      </c>
      <c r="G304" s="52">
        <f t="shared" si="504"/>
        <v>2.1690627328234955</v>
      </c>
      <c r="H304" s="52">
        <f t="shared" si="504"/>
        <v>2.1690627328234955</v>
      </c>
      <c r="I304" s="52">
        <f>I147</f>
        <v>1.8218316570881226</v>
      </c>
      <c r="J304" s="52">
        <f>J147</f>
        <v>1.8118284642401021</v>
      </c>
      <c r="K304" s="52">
        <f>K147</f>
        <v>1.5189250357282054</v>
      </c>
      <c r="L304" s="52">
        <f>L147</f>
        <v>1.7198716887969574</v>
      </c>
      <c r="N304" s="52"/>
      <c r="O304" s="52"/>
      <c r="P304" s="52"/>
      <c r="Q304" s="52">
        <f t="shared" ref="Q304:AD304" si="505">Q147</f>
        <v>1.5343717831018946</v>
      </c>
      <c r="R304" s="52">
        <f t="shared" si="505"/>
        <v>1.4706106144656708</v>
      </c>
      <c r="S304" s="52">
        <f t="shared" si="505"/>
        <v>1.5527092836572864</v>
      </c>
      <c r="T304" s="52">
        <f t="shared" si="505"/>
        <v>2.0071138750632329</v>
      </c>
      <c r="U304" s="52">
        <f t="shared" si="505"/>
        <v>2.0671516453212209</v>
      </c>
      <c r="V304" s="52">
        <f t="shared" si="505"/>
        <v>2.0604992667979212</v>
      </c>
      <c r="W304" s="52">
        <f t="shared" si="505"/>
        <v>2.1783784428706303</v>
      </c>
      <c r="X304" s="52">
        <f t="shared" si="505"/>
        <v>2.058436709691335</v>
      </c>
      <c r="Y304" s="52">
        <f t="shared" si="505"/>
        <v>2.1690627328234959</v>
      </c>
      <c r="Z304" s="52">
        <f t="shared" si="505"/>
        <v>1.8784132550335575</v>
      </c>
      <c r="AA304" s="52">
        <f t="shared" si="505"/>
        <v>1.9088079326722773</v>
      </c>
      <c r="AB304" s="52">
        <f t="shared" si="505"/>
        <v>1.8257404088946811</v>
      </c>
      <c r="AC304" s="52">
        <f t="shared" si="505"/>
        <v>1.8218316570881226</v>
      </c>
      <c r="AD304" s="52">
        <f t="shared" si="505"/>
        <v>2.0046717824038898</v>
      </c>
      <c r="AE304" s="52">
        <f t="shared" ref="AE304:AJ304" si="506">AE147</f>
        <v>1.8889837224245016</v>
      </c>
      <c r="AF304" s="52">
        <f t="shared" si="506"/>
        <v>1.6951012822261626</v>
      </c>
      <c r="AG304" s="52">
        <f t="shared" si="506"/>
        <v>1.5189250357282054</v>
      </c>
      <c r="AH304" s="52">
        <f t="shared" si="506"/>
        <v>1.5112457522296721</v>
      </c>
      <c r="AI304" s="52">
        <f t="shared" si="506"/>
        <v>1.4183346618838848</v>
      </c>
      <c r="AJ304" s="52">
        <f t="shared" si="506"/>
        <v>1.5594599837772072</v>
      </c>
      <c r="AK304" s="52">
        <f>AK147</f>
        <v>1.7198716887969572</v>
      </c>
      <c r="AN304"/>
    </row>
    <row r="305" spans="2:40" ht="13.5" customHeight="1">
      <c r="AN305"/>
    </row>
    <row r="306" spans="2:40" ht="13.5" customHeight="1">
      <c r="AN306"/>
    </row>
    <row r="307" spans="2:40" ht="13.5" customHeight="1">
      <c r="B307" s="16" t="s">
        <v>319</v>
      </c>
      <c r="C307" s="47">
        <f t="shared" ref="C307:AD307" si="507">C2</f>
        <v>42004</v>
      </c>
      <c r="D307" s="47">
        <f t="shared" si="507"/>
        <v>42369</v>
      </c>
      <c r="E307" s="47">
        <f t="shared" si="507"/>
        <v>42735</v>
      </c>
      <c r="F307" s="47">
        <f t="shared" si="507"/>
        <v>43100</v>
      </c>
      <c r="G307" s="47">
        <f t="shared" si="507"/>
        <v>43465</v>
      </c>
      <c r="H307" s="47">
        <f t="shared" si="507"/>
        <v>43440</v>
      </c>
      <c r="I307" s="47">
        <f>I2</f>
        <v>43806</v>
      </c>
      <c r="J307" s="47">
        <f>J2</f>
        <v>43806</v>
      </c>
      <c r="K307" s="47">
        <f>K2</f>
        <v>44172</v>
      </c>
      <c r="L307" s="47">
        <f>L2</f>
        <v>44537</v>
      </c>
      <c r="N307" s="47">
        <f t="shared" si="507"/>
        <v>42437</v>
      </c>
      <c r="O307" s="47">
        <f t="shared" si="507"/>
        <v>42527</v>
      </c>
      <c r="P307" s="47">
        <f t="shared" si="507"/>
        <v>42622</v>
      </c>
      <c r="Q307" s="47">
        <f t="shared" si="507"/>
        <v>42714</v>
      </c>
      <c r="R307" s="47">
        <f t="shared" si="507"/>
        <v>42825</v>
      </c>
      <c r="S307" s="47">
        <f t="shared" si="507"/>
        <v>42916</v>
      </c>
      <c r="T307" s="47">
        <f t="shared" si="507"/>
        <v>43008</v>
      </c>
      <c r="U307" s="47">
        <f t="shared" si="507"/>
        <v>43099</v>
      </c>
      <c r="V307" s="47">
        <f t="shared" si="507"/>
        <v>43189</v>
      </c>
      <c r="W307" s="47">
        <f t="shared" si="507"/>
        <v>43281</v>
      </c>
      <c r="X307" s="47">
        <f t="shared" si="507"/>
        <v>43373</v>
      </c>
      <c r="Y307" s="47">
        <f t="shared" si="507"/>
        <v>43464</v>
      </c>
      <c r="Z307" s="47">
        <f t="shared" si="507"/>
        <v>43554</v>
      </c>
      <c r="AA307" s="47">
        <f t="shared" si="507"/>
        <v>43646</v>
      </c>
      <c r="AB307" s="47">
        <f t="shared" si="507"/>
        <v>43738</v>
      </c>
      <c r="AC307" s="47">
        <f t="shared" si="507"/>
        <v>43829</v>
      </c>
      <c r="AD307" s="47">
        <f t="shared" si="507"/>
        <v>43920</v>
      </c>
      <c r="AE307" s="47">
        <f t="shared" ref="AE307:AJ307" si="508">AE2</f>
        <v>44012</v>
      </c>
      <c r="AF307" s="47">
        <f t="shared" si="508"/>
        <v>44104</v>
      </c>
      <c r="AG307" s="47">
        <f t="shared" si="508"/>
        <v>44195</v>
      </c>
      <c r="AH307" s="47">
        <f t="shared" si="508"/>
        <v>44285</v>
      </c>
      <c r="AI307" s="47">
        <f t="shared" si="508"/>
        <v>44377</v>
      </c>
      <c r="AJ307" s="47">
        <f t="shared" si="508"/>
        <v>44469</v>
      </c>
      <c r="AK307" s="47">
        <f>AK2</f>
        <v>44560</v>
      </c>
      <c r="AN307"/>
    </row>
    <row r="308" spans="2:40" ht="13.5" customHeight="1">
      <c r="B308" s="1" t="s">
        <v>207</v>
      </c>
      <c r="C308" s="24">
        <f t="shared" ref="C308:H310" si="509">C287*C$219</f>
        <v>3754.6373123200005</v>
      </c>
      <c r="D308" s="24">
        <f t="shared" si="509"/>
        <v>3679.73631256</v>
      </c>
      <c r="E308" s="24">
        <f t="shared" si="509"/>
        <v>3658.5850737599999</v>
      </c>
      <c r="F308" s="24">
        <f t="shared" si="509"/>
        <v>3741.4732591799998</v>
      </c>
      <c r="G308" s="24">
        <f t="shared" si="509"/>
        <v>3854.5790412800002</v>
      </c>
      <c r="H308" s="24">
        <f t="shared" si="509"/>
        <v>3854.3968312800002</v>
      </c>
      <c r="I308" s="24">
        <f t="shared" ref="I308:K310" si="510">I287*I$219</f>
        <v>4043.0003728556985</v>
      </c>
      <c r="J308" s="24">
        <f t="shared" si="510"/>
        <v>4043.0003728556985</v>
      </c>
      <c r="K308" s="24">
        <f t="shared" si="510"/>
        <v>4118.0309038863079</v>
      </c>
      <c r="L308" s="24">
        <f>L287*L$219</f>
        <v>4628.2209613348778</v>
      </c>
      <c r="N308" s="24"/>
      <c r="O308" s="24"/>
      <c r="P308" s="24"/>
      <c r="Q308" s="24">
        <f t="shared" ref="Q308:AK308" si="511">Q287*AVERAGE(N$219:Q$219)</f>
        <v>3658.9261051799999</v>
      </c>
      <c r="R308" s="24">
        <f t="shared" si="511"/>
        <v>3650.6463427499993</v>
      </c>
      <c r="S308" s="24">
        <f t="shared" si="511"/>
        <v>3683.40014165</v>
      </c>
      <c r="T308" s="24">
        <f t="shared" si="511"/>
        <v>3729.2931950499992</v>
      </c>
      <c r="U308" s="24">
        <f t="shared" si="511"/>
        <v>3743.4142234249998</v>
      </c>
      <c r="V308" s="24">
        <f t="shared" si="511"/>
        <v>3806.4940257874991</v>
      </c>
      <c r="W308" s="24">
        <f t="shared" si="511"/>
        <v>3845.8878083999998</v>
      </c>
      <c r="X308" s="24">
        <f t="shared" si="511"/>
        <v>3839.434160625</v>
      </c>
      <c r="Y308" s="24">
        <f t="shared" si="511"/>
        <v>3836.4427161900003</v>
      </c>
      <c r="Z308" s="24">
        <f t="shared" si="511"/>
        <v>3866.648692495</v>
      </c>
      <c r="AA308" s="24">
        <f t="shared" si="511"/>
        <v>3899.7649014524991</v>
      </c>
      <c r="AB308" s="24">
        <f t="shared" si="511"/>
        <v>3973.5592019200003</v>
      </c>
      <c r="AC308" s="24">
        <f t="shared" si="511"/>
        <v>4043.0003728556985</v>
      </c>
      <c r="AD308" s="24">
        <f t="shared" si="511"/>
        <v>4111.3004842468144</v>
      </c>
      <c r="AE308" s="24">
        <f t="shared" si="511"/>
        <v>4160.2875041232264</v>
      </c>
      <c r="AF308" s="24">
        <f t="shared" si="511"/>
        <v>4190.5021804991511</v>
      </c>
      <c r="AG308" s="24">
        <f t="shared" si="511"/>
        <v>4160.296632351241</v>
      </c>
      <c r="AH308" s="24">
        <f t="shared" si="511"/>
        <v>4205.2771042340328</v>
      </c>
      <c r="AI308" s="24">
        <f t="shared" si="511"/>
        <v>4283.2602112300119</v>
      </c>
      <c r="AJ308" s="24">
        <f t="shared" si="511"/>
        <v>4399.3763235352908</v>
      </c>
      <c r="AK308" s="24">
        <f t="shared" si="511"/>
        <v>4643.3215735437625</v>
      </c>
      <c r="AN308"/>
    </row>
    <row r="309" spans="2:40" ht="13.5" customHeight="1">
      <c r="B309" s="1" t="s">
        <v>315</v>
      </c>
      <c r="C309" s="24">
        <f t="shared" si="509"/>
        <v>563.39867000000004</v>
      </c>
      <c r="D309" s="24">
        <f t="shared" si="509"/>
        <v>577.03646000000003</v>
      </c>
      <c r="E309" s="24">
        <f t="shared" si="509"/>
        <v>588.10896000000002</v>
      </c>
      <c r="F309" s="24">
        <f t="shared" si="509"/>
        <v>601.34544000000005</v>
      </c>
      <c r="G309" s="24">
        <f t="shared" si="509"/>
        <v>611.23646000000008</v>
      </c>
      <c r="H309" s="24">
        <f t="shared" si="509"/>
        <v>611.23646000000008</v>
      </c>
      <c r="I309" s="24">
        <f t="shared" si="510"/>
        <v>605.50190472746374</v>
      </c>
      <c r="J309" s="24">
        <f t="shared" si="510"/>
        <v>605.50190472746374</v>
      </c>
      <c r="K309" s="24">
        <f t="shared" si="510"/>
        <v>0</v>
      </c>
      <c r="L309" s="24">
        <f>L288*L$219</f>
        <v>0</v>
      </c>
      <c r="N309" s="24"/>
      <c r="O309" s="24"/>
      <c r="P309" s="24"/>
      <c r="Q309" s="24">
        <f t="shared" ref="Q309:AC310" si="512">Q288*AVERAGE(N$219:Q$219)</f>
        <v>0</v>
      </c>
      <c r="R309" s="24">
        <f t="shared" si="512"/>
        <v>582.93042500000001</v>
      </c>
      <c r="S309" s="24">
        <f t="shared" si="512"/>
        <v>589.14772500000004</v>
      </c>
      <c r="T309" s="24">
        <f t="shared" si="512"/>
        <v>596.90312499999993</v>
      </c>
      <c r="U309" s="24">
        <f t="shared" si="512"/>
        <v>601.65740000000005</v>
      </c>
      <c r="V309" s="24">
        <f t="shared" si="512"/>
        <v>612.78790749999996</v>
      </c>
      <c r="W309" s="24">
        <f t="shared" si="512"/>
        <v>620.18946000000005</v>
      </c>
      <c r="X309" s="24">
        <f t="shared" si="512"/>
        <v>619.29547000000002</v>
      </c>
      <c r="Y309" s="24">
        <f t="shared" si="512"/>
        <v>608.38926750000007</v>
      </c>
      <c r="Z309" s="24">
        <f t="shared" si="512"/>
        <v>603.08722249999994</v>
      </c>
      <c r="AA309" s="24">
        <f t="shared" si="512"/>
        <v>598.12157249999996</v>
      </c>
      <c r="AB309" s="24">
        <f t="shared" si="512"/>
        <v>599.06308000000001</v>
      </c>
      <c r="AC309" s="24">
        <f t="shared" si="512"/>
        <v>605.50190472746374</v>
      </c>
      <c r="AD309" s="227"/>
      <c r="AE309" s="227"/>
      <c r="AF309" s="227"/>
      <c r="AG309" s="227"/>
      <c r="AH309" s="227"/>
      <c r="AI309" s="227"/>
      <c r="AJ309" s="227"/>
      <c r="AK309" s="227"/>
      <c r="AN309"/>
    </row>
    <row r="310" spans="2:40" ht="13.5" customHeight="1">
      <c r="B310" s="1" t="s">
        <v>316</v>
      </c>
      <c r="C310" s="24">
        <f t="shared" si="509"/>
        <v>563.39867000000004</v>
      </c>
      <c r="D310" s="24">
        <f t="shared" si="509"/>
        <v>577.03646000000003</v>
      </c>
      <c r="E310" s="24">
        <f t="shared" si="509"/>
        <v>588.10896000000002</v>
      </c>
      <c r="F310" s="24">
        <f t="shared" si="509"/>
        <v>601.34544000000005</v>
      </c>
      <c r="G310" s="24">
        <f t="shared" si="509"/>
        <v>611.23646000000008</v>
      </c>
      <c r="H310" s="24">
        <f t="shared" si="509"/>
        <v>611.23646000000008</v>
      </c>
      <c r="I310" s="24">
        <f t="shared" si="510"/>
        <v>654.506286663129</v>
      </c>
      <c r="J310" s="24">
        <f t="shared" si="510"/>
        <v>654.506286663129</v>
      </c>
      <c r="K310" s="24">
        <f t="shared" si="510"/>
        <v>695.83742115763107</v>
      </c>
      <c r="L310" s="24">
        <f>L289*L$219</f>
        <v>735.94554007718887</v>
      </c>
      <c r="N310" s="24"/>
      <c r="O310" s="24"/>
      <c r="P310" s="24"/>
      <c r="Q310" s="24">
        <f t="shared" si="512"/>
        <v>588.16377999999997</v>
      </c>
      <c r="R310" s="24">
        <f t="shared" si="512"/>
        <v>582.93042500000001</v>
      </c>
      <c r="S310" s="24">
        <f t="shared" si="512"/>
        <v>589.14772500000004</v>
      </c>
      <c r="T310" s="24">
        <f t="shared" si="512"/>
        <v>596.90312499999993</v>
      </c>
      <c r="U310" s="24">
        <f t="shared" si="512"/>
        <v>601.65740000000005</v>
      </c>
      <c r="V310" s="24">
        <f t="shared" si="512"/>
        <v>612.78790749999996</v>
      </c>
      <c r="W310" s="24">
        <f t="shared" si="512"/>
        <v>620.18946000000005</v>
      </c>
      <c r="X310" s="24">
        <f t="shared" si="512"/>
        <v>619.29547000000002</v>
      </c>
      <c r="Y310" s="24">
        <f t="shared" si="512"/>
        <v>608.38926750000007</v>
      </c>
      <c r="Z310" s="24">
        <f t="shared" si="512"/>
        <v>613.85019999999997</v>
      </c>
      <c r="AA310" s="24">
        <f t="shared" si="512"/>
        <v>620.24168250000002</v>
      </c>
      <c r="AB310" s="24">
        <f t="shared" si="512"/>
        <v>633.37042999999994</v>
      </c>
      <c r="AC310" s="24">
        <f t="shared" si="512"/>
        <v>654.506286663129</v>
      </c>
      <c r="AD310" s="24">
        <f t="shared" ref="AD310:AK310" si="513">AD289*AVERAGE(AA$219:AD$219)</f>
        <v>673.43840584707164</v>
      </c>
      <c r="AE310" s="24">
        <f t="shared" si="513"/>
        <v>684.07764173305691</v>
      </c>
      <c r="AF310" s="24">
        <f t="shared" si="513"/>
        <v>693.42858029514377</v>
      </c>
      <c r="AG310" s="24">
        <f t="shared" si="513"/>
        <v>702.97920231100511</v>
      </c>
      <c r="AH310" s="24">
        <f t="shared" si="513"/>
        <v>704.15120836422091</v>
      </c>
      <c r="AI310" s="24">
        <f t="shared" si="513"/>
        <v>716.11094518730283</v>
      </c>
      <c r="AJ310" s="24">
        <f t="shared" si="513"/>
        <v>719.38656112372723</v>
      </c>
      <c r="AK310" s="24">
        <f t="shared" si="513"/>
        <v>738.34672798511428</v>
      </c>
      <c r="AN310"/>
    </row>
    <row r="311" spans="2:40" ht="13.5" customHeight="1">
      <c r="B311" s="1" t="s">
        <v>270</v>
      </c>
      <c r="C311" s="24">
        <f t="shared" ref="C311:H311" si="514">C290*C$219</f>
        <v>629.21195067000008</v>
      </c>
      <c r="D311" s="24">
        <f t="shared" si="514"/>
        <v>629.61433766000005</v>
      </c>
      <c r="E311" s="24">
        <f t="shared" si="514"/>
        <v>640.6635546</v>
      </c>
      <c r="F311" s="24">
        <f t="shared" si="514"/>
        <v>659.18194748999997</v>
      </c>
      <c r="G311" s="24">
        <f t="shared" si="514"/>
        <v>677.37691996000001</v>
      </c>
      <c r="H311" s="24">
        <f t="shared" si="514"/>
        <v>677.37691996000001</v>
      </c>
      <c r="I311" s="227"/>
      <c r="J311" s="227"/>
      <c r="K311" s="227"/>
      <c r="L311" s="227"/>
      <c r="N311" s="24"/>
      <c r="O311" s="24"/>
      <c r="P311" s="24"/>
      <c r="Q311" s="24">
        <f t="shared" ref="Q311:Y311" si="515">Q290*AVERAGE(N$219:Q$219)</f>
        <v>640.723273425</v>
      </c>
      <c r="R311" s="24">
        <f t="shared" si="515"/>
        <v>635.43825042499998</v>
      </c>
      <c r="S311" s="24">
        <f t="shared" si="515"/>
        <v>642.75592242499999</v>
      </c>
      <c r="T311" s="24">
        <f t="shared" si="515"/>
        <v>652.69601429999989</v>
      </c>
      <c r="U311" s="24">
        <f t="shared" si="515"/>
        <v>659.52391133749995</v>
      </c>
      <c r="V311" s="24">
        <f t="shared" si="515"/>
        <v>674.17495888812493</v>
      </c>
      <c r="W311" s="24">
        <f t="shared" si="515"/>
        <v>683.31275595</v>
      </c>
      <c r="X311" s="24">
        <f t="shared" si="515"/>
        <v>683.49914152375004</v>
      </c>
      <c r="Y311" s="24">
        <f t="shared" si="515"/>
        <v>674.22163945500006</v>
      </c>
      <c r="Z311" s="227"/>
      <c r="AA311" s="227"/>
      <c r="AB311" s="227"/>
      <c r="AC311" s="227"/>
      <c r="AD311" s="227"/>
      <c r="AE311" s="227"/>
      <c r="AF311" s="227"/>
      <c r="AG311" s="227"/>
      <c r="AH311" s="227"/>
      <c r="AI311" s="227"/>
      <c r="AJ311" s="227"/>
      <c r="AK311" s="227"/>
      <c r="AN311"/>
    </row>
    <row r="312" spans="2:40" ht="13.5" customHeight="1">
      <c r="B312" s="1" t="s">
        <v>320</v>
      </c>
      <c r="C312" s="58">
        <f t="shared" ref="C312:H312" si="516">C310/C308</f>
        <v>0.15005408595694014</v>
      </c>
      <c r="D312" s="58">
        <f t="shared" si="516"/>
        <v>0.1568146222951923</v>
      </c>
      <c r="E312" s="58">
        <f t="shared" si="516"/>
        <v>0.16074765193189533</v>
      </c>
      <c r="F312" s="58">
        <f t="shared" si="516"/>
        <v>0.16072423837977501</v>
      </c>
      <c r="G312" s="58">
        <f t="shared" si="516"/>
        <v>0.15857411495627943</v>
      </c>
      <c r="H312" s="58">
        <f t="shared" si="516"/>
        <v>0.15858161127561315</v>
      </c>
      <c r="I312" s="140">
        <f>I310/I308</f>
        <v>0.16188627907566344</v>
      </c>
      <c r="J312" s="140">
        <f>J310/J308</f>
        <v>0.16188627907566344</v>
      </c>
      <c r="K312" s="140">
        <f>K310/K308</f>
        <v>0.16897333638291753</v>
      </c>
      <c r="L312" s="140">
        <f>L310/L308</f>
        <v>0.15901261980044412</v>
      </c>
      <c r="N312" s="58"/>
      <c r="O312" s="58"/>
      <c r="P312" s="58"/>
      <c r="Q312" s="58">
        <f>Q310/Q308</f>
        <v>0.1607476519318953</v>
      </c>
      <c r="R312" s="58">
        <f>R310/R308</f>
        <v>0.15967868981822098</v>
      </c>
      <c r="S312" s="58">
        <f t="shared" ref="S312:Y312" si="517">S310/S308</f>
        <v>0.15994670748318102</v>
      </c>
      <c r="T312" s="58">
        <f t="shared" si="517"/>
        <v>0.16005797715027797</v>
      </c>
      <c r="U312" s="58">
        <f t="shared" si="517"/>
        <v>0.16072423837977501</v>
      </c>
      <c r="V312" s="58">
        <f t="shared" si="517"/>
        <v>0.16098485991271838</v>
      </c>
      <c r="W312" s="58">
        <f t="shared" si="517"/>
        <v>0.16126041395316124</v>
      </c>
      <c r="X312" s="58">
        <f t="shared" si="517"/>
        <v>0.16129862997811853</v>
      </c>
      <c r="Y312" s="58">
        <f t="shared" si="517"/>
        <v>0.15858161127561315</v>
      </c>
      <c r="Z312" s="58">
        <f t="shared" ref="Z312:AE312" si="518">Z310/Z308</f>
        <v>0.15875510004088475</v>
      </c>
      <c r="AA312" s="58">
        <f t="shared" si="518"/>
        <v>0.15904591640100818</v>
      </c>
      <c r="AB312" s="58">
        <f t="shared" si="518"/>
        <v>0.15939624850535991</v>
      </c>
      <c r="AC312" s="58">
        <f t="shared" si="518"/>
        <v>0.16188627907566344</v>
      </c>
      <c r="AD312" s="58">
        <f t="shared" si="518"/>
        <v>0.1638017966401317</v>
      </c>
      <c r="AE312" s="58">
        <f t="shared" si="518"/>
        <v>0.16443037676003719</v>
      </c>
      <c r="AF312" s="58">
        <f t="shared" ref="AF312:AK312" si="519">AF310/AF308</f>
        <v>0.16547624853223347</v>
      </c>
      <c r="AG312" s="58">
        <f t="shared" si="519"/>
        <v>0.16897333638291751</v>
      </c>
      <c r="AH312" s="58">
        <f t="shared" si="519"/>
        <v>0.16744466319597695</v>
      </c>
      <c r="AI312" s="58">
        <f t="shared" si="519"/>
        <v>0.16718828879687869</v>
      </c>
      <c r="AJ312" s="58">
        <f t="shared" si="519"/>
        <v>0.16352012381283082</v>
      </c>
      <c r="AK312" s="58">
        <f t="shared" si="519"/>
        <v>0.15901261980044412</v>
      </c>
      <c r="AN312"/>
    </row>
    <row r="313" spans="2:40" ht="13.5" customHeight="1">
      <c r="B313" s="1" t="s">
        <v>271</v>
      </c>
      <c r="C313" s="24">
        <f t="shared" ref="C313:H316" si="520">C292*C$219</f>
        <v>65.813280670000012</v>
      </c>
      <c r="D313" s="24">
        <f t="shared" si="520"/>
        <v>52.577877660000006</v>
      </c>
      <c r="E313" s="24">
        <f t="shared" si="520"/>
        <v>52.554594600000001</v>
      </c>
      <c r="F313" s="24">
        <f t="shared" si="520"/>
        <v>57.836507490000002</v>
      </c>
      <c r="G313" s="24">
        <f t="shared" si="520"/>
        <v>66.140459960000001</v>
      </c>
      <c r="H313" s="24">
        <f t="shared" si="520"/>
        <v>66.140459960000001</v>
      </c>
      <c r="I313" s="24">
        <f t="shared" ref="I313:K316" si="521">I292*I$219</f>
        <v>0</v>
      </c>
      <c r="J313" s="24">
        <f t="shared" si="521"/>
        <v>0</v>
      </c>
      <c r="K313" s="24">
        <f t="shared" si="521"/>
        <v>0</v>
      </c>
      <c r="L313" s="24">
        <f>L292*L$219</f>
        <v>0</v>
      </c>
      <c r="N313" s="24"/>
      <c r="O313" s="24"/>
      <c r="P313" s="24"/>
      <c r="Q313" s="24">
        <f t="shared" ref="Q313:AK316" si="522">Q292*AVERAGE(N$219:Q$219)</f>
        <v>52.559493424999999</v>
      </c>
      <c r="R313" s="24">
        <f t="shared" si="522"/>
        <v>52.507825425</v>
      </c>
      <c r="S313" s="24">
        <f t="shared" si="522"/>
        <v>53.608197425</v>
      </c>
      <c r="T313" s="24">
        <f t="shared" si="522"/>
        <v>55.792889299999999</v>
      </c>
      <c r="U313" s="24">
        <f t="shared" si="522"/>
        <v>57.8665113375</v>
      </c>
      <c r="V313" s="24">
        <f t="shared" si="522"/>
        <v>61.387051388124981</v>
      </c>
      <c r="W313" s="24">
        <f t="shared" si="522"/>
        <v>63.123295949999999</v>
      </c>
      <c r="X313" s="24">
        <f t="shared" si="522"/>
        <v>64.203671523750003</v>
      </c>
      <c r="Y313" s="24">
        <f t="shared" si="522"/>
        <v>65.832371954999999</v>
      </c>
      <c r="Z313" s="24">
        <f t="shared" si="522"/>
        <v>49.069367126249993</v>
      </c>
      <c r="AA313" s="24">
        <f t="shared" si="522"/>
        <v>32.830429522499998</v>
      </c>
      <c r="AB313" s="24">
        <f t="shared" si="522"/>
        <v>16.385835234999998</v>
      </c>
      <c r="AC313" s="24">
        <f t="shared" si="522"/>
        <v>0</v>
      </c>
      <c r="AD313" s="24">
        <f t="shared" si="522"/>
        <v>0</v>
      </c>
      <c r="AE313" s="24">
        <f t="shared" si="522"/>
        <v>0</v>
      </c>
      <c r="AF313" s="24">
        <f t="shared" si="522"/>
        <v>0</v>
      </c>
      <c r="AG313" s="24">
        <f t="shared" si="522"/>
        <v>0</v>
      </c>
      <c r="AH313" s="24">
        <f t="shared" si="522"/>
        <v>0</v>
      </c>
      <c r="AI313" s="24">
        <f t="shared" si="522"/>
        <v>0</v>
      </c>
      <c r="AJ313" s="24">
        <f t="shared" si="522"/>
        <v>0</v>
      </c>
      <c r="AK313" s="24">
        <f t="shared" si="522"/>
        <v>0</v>
      </c>
      <c r="AN313"/>
    </row>
    <row r="314" spans="2:40" ht="13.5" customHeight="1">
      <c r="B314" s="1" t="s">
        <v>246</v>
      </c>
      <c r="C314" s="24">
        <f t="shared" si="520"/>
        <v>76.015285440000014</v>
      </c>
      <c r="D314" s="24">
        <f t="shared" si="520"/>
        <v>30.673727700000001</v>
      </c>
      <c r="E314" s="24">
        <f t="shared" si="520"/>
        <v>31.426120439999998</v>
      </c>
      <c r="F314" s="24">
        <f t="shared" si="520"/>
        <v>39.924799559999997</v>
      </c>
      <c r="G314" s="24">
        <f t="shared" si="520"/>
        <v>64.08830682</v>
      </c>
      <c r="H314" s="24">
        <f t="shared" si="520"/>
        <v>64.08830682</v>
      </c>
      <c r="I314" s="24">
        <f t="shared" si="521"/>
        <v>98.092771383220338</v>
      </c>
      <c r="J314" s="24">
        <f t="shared" si="521"/>
        <v>86.845116372479197</v>
      </c>
      <c r="K314" s="24">
        <f t="shared" si="521"/>
        <v>49.191879745276488</v>
      </c>
      <c r="L314" s="24">
        <f>L293*L$219</f>
        <v>49.957576245915</v>
      </c>
      <c r="N314" s="24"/>
      <c r="O314" s="24"/>
      <c r="P314" s="24"/>
      <c r="Q314" s="24">
        <f t="shared" si="522"/>
        <v>31.429049795000005</v>
      </c>
      <c r="R314" s="24">
        <f t="shared" si="522"/>
        <v>31.989049675000004</v>
      </c>
      <c r="S314" s="24">
        <f t="shared" si="522"/>
        <v>32.663087150000003</v>
      </c>
      <c r="T314" s="24">
        <f t="shared" si="522"/>
        <v>36.617422325</v>
      </c>
      <c r="U314" s="24">
        <f t="shared" si="522"/>
        <v>39.945511349999997</v>
      </c>
      <c r="V314" s="24">
        <f t="shared" si="522"/>
        <v>44.335764447499983</v>
      </c>
      <c r="W314" s="24">
        <f t="shared" si="522"/>
        <v>52.017381899999997</v>
      </c>
      <c r="X314" s="24">
        <f t="shared" si="522"/>
        <v>63.010878169999991</v>
      </c>
      <c r="Y314" s="24">
        <f t="shared" si="522"/>
        <v>63.789777922500001</v>
      </c>
      <c r="Z314" s="24">
        <f t="shared" si="522"/>
        <v>73.615727747500003</v>
      </c>
      <c r="AA314" s="24">
        <f t="shared" si="522"/>
        <v>81.936453532499996</v>
      </c>
      <c r="AB314" s="24">
        <f t="shared" si="522"/>
        <v>84.371059849999995</v>
      </c>
      <c r="AC314" s="24">
        <f t="shared" si="522"/>
        <v>98.092771383220338</v>
      </c>
      <c r="AD314" s="24">
        <f t="shared" si="522"/>
        <v>87.805633630925939</v>
      </c>
      <c r="AE314" s="24">
        <f t="shared" si="522"/>
        <v>77.11235547187124</v>
      </c>
      <c r="AF314" s="24">
        <f t="shared" si="522"/>
        <v>63.41485240000037</v>
      </c>
      <c r="AG314" s="24">
        <f t="shared" si="522"/>
        <v>49.696764405085943</v>
      </c>
      <c r="AH314" s="24">
        <f t="shared" si="522"/>
        <v>49.076839053006672</v>
      </c>
      <c r="AI314" s="24">
        <f t="shared" si="522"/>
        <v>46.741492755215418</v>
      </c>
      <c r="AJ314" s="24">
        <f t="shared" si="522"/>
        <v>45.390800315222819</v>
      </c>
      <c r="AK314" s="24">
        <f t="shared" si="522"/>
        <v>50.1205740785785</v>
      </c>
      <c r="AN314"/>
    </row>
    <row r="315" spans="2:40" ht="13.5" customHeight="1">
      <c r="B315" s="1" t="s">
        <v>273</v>
      </c>
      <c r="C315" s="24">
        <f t="shared" si="520"/>
        <v>111.41082756</v>
      </c>
      <c r="D315" s="24">
        <f t="shared" si="520"/>
        <v>138.95668094000001</v>
      </c>
      <c r="E315" s="24">
        <f t="shared" si="520"/>
        <v>291.64540031999996</v>
      </c>
      <c r="F315" s="24">
        <f t="shared" si="520"/>
        <v>257.90260869000002</v>
      </c>
      <c r="G315" s="24">
        <f t="shared" si="520"/>
        <v>189.67451897999999</v>
      </c>
      <c r="H315" s="24">
        <f t="shared" si="520"/>
        <v>185.82004864000001</v>
      </c>
      <c r="I315" s="24">
        <f t="shared" si="521"/>
        <v>69.269104439956578</v>
      </c>
      <c r="J315" s="24">
        <f t="shared" si="521"/>
        <v>69.493437932527755</v>
      </c>
      <c r="K315" s="24">
        <f t="shared" si="521"/>
        <v>162.03456239929233</v>
      </c>
      <c r="L315" s="24">
        <f>L294*L$219</f>
        <v>251.13926718159505</v>
      </c>
      <c r="N315" s="24"/>
      <c r="O315" s="24"/>
      <c r="P315" s="24"/>
      <c r="Q315" s="24">
        <f t="shared" si="522"/>
        <v>291.67258576</v>
      </c>
      <c r="R315" s="24">
        <f t="shared" si="522"/>
        <v>294.45777281250002</v>
      </c>
      <c r="S315" s="24">
        <f t="shared" si="522"/>
        <v>278.50818355000007</v>
      </c>
      <c r="T315" s="24">
        <f t="shared" si="522"/>
        <v>310.40216652499998</v>
      </c>
      <c r="U315" s="24">
        <f t="shared" si="522"/>
        <v>258.03640083750003</v>
      </c>
      <c r="V315" s="24">
        <f t="shared" si="522"/>
        <v>232.23467354999994</v>
      </c>
      <c r="W315" s="24">
        <f t="shared" si="522"/>
        <v>227.47882211999996</v>
      </c>
      <c r="X315" s="24">
        <f t="shared" si="522"/>
        <v>183.30732070499997</v>
      </c>
      <c r="Y315" s="24">
        <f t="shared" si="522"/>
        <v>184.95448272000002</v>
      </c>
      <c r="Z315" s="24">
        <f t="shared" si="522"/>
        <v>184.75155554249997</v>
      </c>
      <c r="AA315" s="24">
        <f t="shared" si="522"/>
        <v>147.85908443999998</v>
      </c>
      <c r="AB315" s="24">
        <f t="shared" si="522"/>
        <v>125.07139105999998</v>
      </c>
      <c r="AC315" s="24">
        <f t="shared" si="522"/>
        <v>69.269104439956578</v>
      </c>
      <c r="AD315" s="24">
        <f t="shared" si="522"/>
        <v>62.189186869689436</v>
      </c>
      <c r="AE315" s="24">
        <f t="shared" si="522"/>
        <v>76.975705993641142</v>
      </c>
      <c r="AF315" s="24">
        <f t="shared" si="522"/>
        <v>110.29274321122841</v>
      </c>
      <c r="AG315" s="24">
        <f t="shared" si="522"/>
        <v>163.69761665414009</v>
      </c>
      <c r="AH315" s="24">
        <f t="shared" si="522"/>
        <v>183.03883728406623</v>
      </c>
      <c r="AI315" s="24">
        <f t="shared" si="522"/>
        <v>189.43874502226402</v>
      </c>
      <c r="AJ315" s="24">
        <f t="shared" si="522"/>
        <v>250.5452614673064</v>
      </c>
      <c r="AK315" s="24">
        <f t="shared" si="522"/>
        <v>251.95866554563491</v>
      </c>
      <c r="AN315"/>
    </row>
    <row r="316" spans="2:40" ht="13.5" customHeight="1">
      <c r="B316" s="1" t="s">
        <v>251</v>
      </c>
      <c r="C316" s="24">
        <f t="shared" si="520"/>
        <v>547.60831886000005</v>
      </c>
      <c r="D316" s="24">
        <f t="shared" si="520"/>
        <v>94.118630759999959</v>
      </c>
      <c r="E316" s="24">
        <f t="shared" si="520"/>
        <v>166.96383336000005</v>
      </c>
      <c r="F316" s="24">
        <f t="shared" si="520"/>
        <v>-22.806015209999995</v>
      </c>
      <c r="G316" s="24">
        <f t="shared" si="520"/>
        <v>137.23625101999997</v>
      </c>
      <c r="H316" s="24">
        <f t="shared" si="520"/>
        <v>137.41846102000005</v>
      </c>
      <c r="I316" s="24">
        <f t="shared" si="521"/>
        <v>225.97806500074597</v>
      </c>
      <c r="J316" s="24">
        <f t="shared" si="521"/>
        <v>251.1784378024679</v>
      </c>
      <c r="K316" s="24">
        <f t="shared" si="521"/>
        <v>380.19739627765495</v>
      </c>
      <c r="L316" s="24">
        <f>L295*L$219</f>
        <v>293.90532915885677</v>
      </c>
      <c r="N316" s="24"/>
      <c r="O316" s="24"/>
      <c r="P316" s="24"/>
      <c r="Q316" s="24">
        <f t="shared" si="522"/>
        <v>166.97939672999999</v>
      </c>
      <c r="R316" s="24">
        <f t="shared" si="522"/>
        <v>83.566979649999979</v>
      </c>
      <c r="S316" s="24">
        <f t="shared" si="522"/>
        <v>-8.4384966000000077</v>
      </c>
      <c r="T316" s="24">
        <f t="shared" si="522"/>
        <v>-151.10123775000002</v>
      </c>
      <c r="U316" s="24">
        <f t="shared" si="522"/>
        <v>-22.8178462875</v>
      </c>
      <c r="V316" s="24">
        <f t="shared" si="522"/>
        <v>4.3102676724999993</v>
      </c>
      <c r="W316" s="24">
        <f t="shared" si="522"/>
        <v>56.278945799999974</v>
      </c>
      <c r="X316" s="24">
        <f t="shared" si="522"/>
        <v>151.28808954000004</v>
      </c>
      <c r="Y316" s="24">
        <f t="shared" si="522"/>
        <v>136.77835389749998</v>
      </c>
      <c r="Z316" s="24">
        <f t="shared" si="522"/>
        <v>177.18430690249997</v>
      </c>
      <c r="AA316" s="24">
        <f t="shared" si="522"/>
        <v>202.98033125999996</v>
      </c>
      <c r="AB316" s="24">
        <f t="shared" si="522"/>
        <v>246.79242434000003</v>
      </c>
      <c r="AC316" s="24">
        <f t="shared" si="522"/>
        <v>225.97806500074589</v>
      </c>
      <c r="AD316" s="24">
        <f t="shared" si="522"/>
        <v>344.05058434710486</v>
      </c>
      <c r="AE316" s="24">
        <f t="shared" si="522"/>
        <v>400.27367116693398</v>
      </c>
      <c r="AF316" s="24">
        <f t="shared" si="522"/>
        <v>408.22980468202502</v>
      </c>
      <c r="AG316" s="24">
        <f t="shared" si="522"/>
        <v>384.0995816398339</v>
      </c>
      <c r="AH316" s="24">
        <f t="shared" si="522"/>
        <v>346.51912371009013</v>
      </c>
      <c r="AI316" s="24">
        <f t="shared" si="522"/>
        <v>405.81769611401552</v>
      </c>
      <c r="AJ316" s="24">
        <f t="shared" si="522"/>
        <v>314.44228262349827</v>
      </c>
      <c r="AK316" s="24">
        <f t="shared" si="522"/>
        <v>294.86426142221023</v>
      </c>
      <c r="AN316"/>
    </row>
    <row r="317" spans="2:40" ht="13.5" customHeight="1">
      <c r="B317" s="1" t="s">
        <v>30</v>
      </c>
      <c r="C317" s="24">
        <f t="shared" ref="C317:R317" si="523">C296*C$218</f>
        <v>99.543959777143655</v>
      </c>
      <c r="D317" s="24">
        <f t="shared" si="523"/>
        <v>169.6483305727487</v>
      </c>
      <c r="E317" s="24">
        <f t="shared" si="523"/>
        <v>280.33199659490674</v>
      </c>
      <c r="F317" s="24">
        <f t="shared" si="523"/>
        <v>163.66427840327538</v>
      </c>
      <c r="G317" s="24">
        <f t="shared" si="523"/>
        <v>174.5536480904745</v>
      </c>
      <c r="H317" s="24">
        <f t="shared" si="523"/>
        <v>174.5536480904745</v>
      </c>
      <c r="I317" s="24">
        <f t="shared" ref="I317:K321" si="524">I296*I$218</f>
        <v>202.60761360983173</v>
      </c>
      <c r="J317" s="24">
        <f t="shared" si="524"/>
        <v>209.25758283276386</v>
      </c>
      <c r="K317" s="24">
        <f t="shared" si="524"/>
        <v>309.96590389820386</v>
      </c>
      <c r="L317" s="24">
        <f>L296*L$218</f>
        <v>254.96776544319482</v>
      </c>
      <c r="N317" s="24">
        <f t="shared" si="523"/>
        <v>196.55447121000003</v>
      </c>
      <c r="O317" s="24">
        <f t="shared" si="523"/>
        <v>157.53736475000002</v>
      </c>
      <c r="P317" s="24">
        <f t="shared" si="523"/>
        <v>243.29740207792742</v>
      </c>
      <c r="Q317" s="24">
        <f t="shared" si="523"/>
        <v>280.33199659490668</v>
      </c>
      <c r="R317" s="24">
        <f t="shared" si="523"/>
        <v>206.31770622886665</v>
      </c>
      <c r="S317" s="24">
        <f t="shared" ref="S317:Y317" si="525">S296*S$218</f>
        <v>186.18255267554315</v>
      </c>
      <c r="T317" s="24">
        <f t="shared" si="525"/>
        <v>203.82818532818527</v>
      </c>
      <c r="U317" s="24">
        <f t="shared" si="525"/>
        <v>163.66427840327529</v>
      </c>
      <c r="V317" s="24">
        <f t="shared" si="525"/>
        <v>223.71479189947934</v>
      </c>
      <c r="W317" s="24">
        <f t="shared" si="525"/>
        <v>270.29647641630538</v>
      </c>
      <c r="X317" s="24">
        <f t="shared" si="525"/>
        <v>199.16234318520085</v>
      </c>
      <c r="Y317" s="24">
        <f t="shared" si="525"/>
        <v>174.55364809047438</v>
      </c>
      <c r="Z317" s="24">
        <f t="shared" ref="Z317:AD318" si="526">Z296*Z$218</f>
        <v>201.07887640333115</v>
      </c>
      <c r="AA317" s="24">
        <f t="shared" si="526"/>
        <v>251.89769674205067</v>
      </c>
      <c r="AB317" s="24">
        <f t="shared" si="526"/>
        <v>233.95940172028327</v>
      </c>
      <c r="AC317" s="24">
        <f t="shared" si="526"/>
        <v>202.60761360983153</v>
      </c>
      <c r="AD317" s="24">
        <f t="shared" si="526"/>
        <v>247.64007621575183</v>
      </c>
      <c r="AE317" s="24">
        <f t="shared" ref="AE317:AH321" si="527">AE296*AE$218</f>
        <v>307.818078923884</v>
      </c>
      <c r="AF317" s="24">
        <f t="shared" si="527"/>
        <v>349.64096307214135</v>
      </c>
      <c r="AG317" s="24">
        <f t="shared" si="527"/>
        <v>309.96590389820392</v>
      </c>
      <c r="AH317" s="24">
        <f t="shared" si="527"/>
        <v>412.27299645173139</v>
      </c>
      <c r="AI317" s="24">
        <f t="shared" ref="AI317:AJ321" si="528">AI296*AI$218</f>
        <v>416.30110601158685</v>
      </c>
      <c r="AJ317" s="24">
        <f t="shared" si="528"/>
        <v>334.48743755330827</v>
      </c>
      <c r="AK317" s="24">
        <f>AK296*AK$218</f>
        <v>254.96776544319499</v>
      </c>
      <c r="AN317"/>
    </row>
    <row r="318" spans="2:40" ht="13.5" customHeight="1">
      <c r="B318" s="1" t="s">
        <v>321</v>
      </c>
      <c r="C318" s="24">
        <f t="shared" ref="C318:Q318" si="529">C297*C$218</f>
        <v>731.15640712053266</v>
      </c>
      <c r="D318" s="24">
        <f t="shared" si="529"/>
        <v>764.50416993578017</v>
      </c>
      <c r="E318" s="24">
        <f t="shared" si="529"/>
        <v>818.1755058922472</v>
      </c>
      <c r="F318" s="24">
        <f t="shared" si="529"/>
        <v>1023.8819583084205</v>
      </c>
      <c r="G318" s="24">
        <f t="shared" si="529"/>
        <v>1092.0484278231359</v>
      </c>
      <c r="H318" s="24">
        <f t="shared" si="529"/>
        <v>1092.0484278231359</v>
      </c>
      <c r="I318" s="24">
        <f t="shared" si="524"/>
        <v>1147.5521618237005</v>
      </c>
      <c r="J318" s="24">
        <f t="shared" si="524"/>
        <v>1147.5521618237005</v>
      </c>
      <c r="K318" s="24">
        <f t="shared" si="524"/>
        <v>1148.6929492876977</v>
      </c>
      <c r="L318" s="24">
        <f>L297*L$218</f>
        <v>1188.374328952802</v>
      </c>
      <c r="N318" s="24">
        <f t="shared" si="529"/>
        <v>730.03444811999998</v>
      </c>
      <c r="O318" s="24">
        <f t="shared" si="529"/>
        <v>718.68548242000008</v>
      </c>
      <c r="P318" s="24">
        <f t="shared" si="529"/>
        <v>696.40531891980606</v>
      </c>
      <c r="Q318" s="24">
        <f t="shared" si="529"/>
        <v>818.1755058922472</v>
      </c>
      <c r="R318" s="24">
        <f t="shared" ref="R318:Y318" si="530">R297*R$218</f>
        <v>731.13157391063953</v>
      </c>
      <c r="S318" s="24">
        <f t="shared" si="530"/>
        <v>800.39302017622765</v>
      </c>
      <c r="T318" s="24">
        <f t="shared" si="530"/>
        <v>1111.6669056811916</v>
      </c>
      <c r="U318" s="24">
        <f t="shared" si="530"/>
        <v>1023.8819583084205</v>
      </c>
      <c r="V318" s="24">
        <f t="shared" si="530"/>
        <v>1129.5613944233967</v>
      </c>
      <c r="W318" s="24">
        <f t="shared" si="530"/>
        <v>1196.499322871829</v>
      </c>
      <c r="X318" s="24">
        <f t="shared" si="530"/>
        <v>1105.6469806506484</v>
      </c>
      <c r="Y318" s="24">
        <f t="shared" si="530"/>
        <v>1092.0484278231359</v>
      </c>
      <c r="Z318" s="24">
        <f t="shared" si="526"/>
        <v>1134.4102773795166</v>
      </c>
      <c r="AA318" s="24">
        <f t="shared" si="526"/>
        <v>1224.8288076792653</v>
      </c>
      <c r="AB318" s="24">
        <f t="shared" si="526"/>
        <v>1158.3065546971682</v>
      </c>
      <c r="AC318" s="24">
        <f t="shared" si="526"/>
        <v>1147.5521618237005</v>
      </c>
      <c r="AD318" s="24">
        <f t="shared" si="526"/>
        <v>1102.4663366252414</v>
      </c>
      <c r="AE318" s="24">
        <f t="shared" si="527"/>
        <v>1132.3669764708443</v>
      </c>
      <c r="AF318" s="24">
        <f t="shared" si="527"/>
        <v>1129.6113067911101</v>
      </c>
      <c r="AG318" s="24">
        <f t="shared" si="527"/>
        <v>1148.6929492876977</v>
      </c>
      <c r="AH318" s="24">
        <f t="shared" si="527"/>
        <v>1214.3436681757003</v>
      </c>
      <c r="AI318" s="24">
        <f t="shared" si="528"/>
        <v>1152.3261856394054</v>
      </c>
      <c r="AJ318" s="24">
        <f t="shared" si="528"/>
        <v>1140.4832947483858</v>
      </c>
      <c r="AK318" s="24">
        <f>AK297*AK$218</f>
        <v>1188.374328952802</v>
      </c>
      <c r="AN318"/>
    </row>
    <row r="319" spans="2:40" ht="13.5" customHeight="1">
      <c r="B319" s="1" t="s">
        <v>322</v>
      </c>
      <c r="C319" s="24">
        <f t="shared" ref="C319:Q319" si="531">C298*C$218</f>
        <v>1206.9237668161436</v>
      </c>
      <c r="D319" s="24">
        <f t="shared" si="531"/>
        <v>1151.6690204283266</v>
      </c>
      <c r="E319" s="24">
        <f t="shared" si="531"/>
        <v>1220.126255115332</v>
      </c>
      <c r="F319" s="24">
        <f t="shared" si="531"/>
        <v>1466.1528015647011</v>
      </c>
      <c r="G319" s="24">
        <f t="shared" si="531"/>
        <v>1608.4219296953192</v>
      </c>
      <c r="H319" s="24">
        <f t="shared" si="531"/>
        <v>1608.4219296953192</v>
      </c>
      <c r="I319" s="24">
        <f t="shared" si="524"/>
        <v>1413.7333644641606</v>
      </c>
      <c r="J319" s="24">
        <f t="shared" si="524"/>
        <v>1413.7333644641606</v>
      </c>
      <c r="K319" s="24">
        <f t="shared" si="524"/>
        <v>1484.1137273215727</v>
      </c>
      <c r="L319" s="24">
        <f>L298*L$218</f>
        <v>1507.2191804114946</v>
      </c>
      <c r="N319" s="24">
        <f t="shared" si="531"/>
        <v>1130.3325806400001</v>
      </c>
      <c r="O319" s="24">
        <f t="shared" si="531"/>
        <v>1089.5973683400002</v>
      </c>
      <c r="P319" s="24">
        <f t="shared" si="531"/>
        <v>1042.3966420857223</v>
      </c>
      <c r="Q319" s="24">
        <f t="shared" si="531"/>
        <v>1220.126255115332</v>
      </c>
      <c r="R319" s="24">
        <f t="shared" ref="R319:AD319" si="532">R298*R$218</f>
        <v>1159.6818578142613</v>
      </c>
      <c r="S319" s="24">
        <f t="shared" si="532"/>
        <v>1263.2145630905218</v>
      </c>
      <c r="T319" s="24">
        <f t="shared" si="532"/>
        <v>1580.8243243243244</v>
      </c>
      <c r="U319" s="24">
        <f t="shared" si="532"/>
        <v>1466.1528015647011</v>
      </c>
      <c r="V319" s="24">
        <f t="shared" si="532"/>
        <v>1624.9265447409307</v>
      </c>
      <c r="W319" s="24">
        <f t="shared" si="532"/>
        <v>1672.0527304123686</v>
      </c>
      <c r="X319" s="24">
        <f t="shared" si="532"/>
        <v>1626.8512119923453</v>
      </c>
      <c r="Y319" s="24">
        <f t="shared" si="532"/>
        <v>1608.4219296953192</v>
      </c>
      <c r="Z319" s="24">
        <f t="shared" si="532"/>
        <v>1360.011076547223</v>
      </c>
      <c r="AA319" s="24">
        <f t="shared" si="532"/>
        <v>1446.9627253045358</v>
      </c>
      <c r="AB319" s="24">
        <f t="shared" si="532"/>
        <v>1375.4481241374394</v>
      </c>
      <c r="AC319" s="24">
        <f t="shared" si="532"/>
        <v>1413.7333644641606</v>
      </c>
      <c r="AD319" s="24">
        <f t="shared" si="532"/>
        <v>1369.8442936007691</v>
      </c>
      <c r="AE319" s="24">
        <f t="shared" si="527"/>
        <v>1459.6364190409859</v>
      </c>
      <c r="AF319" s="24">
        <f t="shared" si="527"/>
        <v>1456.3445739247368</v>
      </c>
      <c r="AG319" s="24">
        <f t="shared" si="527"/>
        <v>1484.1137273215727</v>
      </c>
      <c r="AH319" s="24">
        <f t="shared" si="527"/>
        <v>1548.4161996818791</v>
      </c>
      <c r="AI319" s="24">
        <f t="shared" si="528"/>
        <v>1487.2819702555614</v>
      </c>
      <c r="AJ319" s="24">
        <f t="shared" si="528"/>
        <v>1458.9251614475452</v>
      </c>
      <c r="AK319" s="24">
        <f>AK298*AK$218</f>
        <v>1507.2191804114946</v>
      </c>
      <c r="AN319"/>
    </row>
    <row r="320" spans="2:40" ht="13.5" customHeight="1">
      <c r="B320" s="1" t="s">
        <v>323</v>
      </c>
      <c r="C320" s="24">
        <f t="shared" ref="C320:Q320" si="533">C299*C$218</f>
        <v>630.29446935724968</v>
      </c>
      <c r="D320" s="24">
        <f t="shared" si="533"/>
        <v>594.42187545404363</v>
      </c>
      <c r="E320" s="24">
        <f t="shared" si="533"/>
        <v>537.67453667141865</v>
      </c>
      <c r="F320" s="24">
        <f t="shared" si="533"/>
        <v>860.21767990514513</v>
      </c>
      <c r="G320" s="24">
        <f t="shared" si="533"/>
        <v>917.4947797326613</v>
      </c>
      <c r="H320" s="24">
        <f t="shared" si="533"/>
        <v>917.4947797326613</v>
      </c>
      <c r="I320" s="24">
        <f t="shared" si="524"/>
        <v>944.94454821386887</v>
      </c>
      <c r="J320" s="24">
        <f t="shared" si="524"/>
        <v>938.29457899093677</v>
      </c>
      <c r="K320" s="24">
        <f t="shared" si="524"/>
        <v>838.72704538949381</v>
      </c>
      <c r="L320" s="24">
        <f>L299*L$218</f>
        <v>933.40656350960717</v>
      </c>
      <c r="N320" s="24">
        <f t="shared" si="533"/>
        <v>533.47997691</v>
      </c>
      <c r="O320" s="24">
        <f t="shared" si="533"/>
        <v>561.14811766999992</v>
      </c>
      <c r="P320" s="24">
        <f t="shared" si="533"/>
        <v>453.10791684187865</v>
      </c>
      <c r="Q320" s="24">
        <f t="shared" si="533"/>
        <v>537.67453667141876</v>
      </c>
      <c r="R320" s="24">
        <f t="shared" ref="R320:Y320" si="534">R299*R$218</f>
        <v>524.81386768177288</v>
      </c>
      <c r="S320" s="24">
        <f t="shared" si="534"/>
        <v>614.21046750068444</v>
      </c>
      <c r="T320" s="24">
        <f t="shared" si="534"/>
        <v>907.83872035300624</v>
      </c>
      <c r="U320" s="24">
        <f t="shared" si="534"/>
        <v>860.21767990514513</v>
      </c>
      <c r="V320" s="24">
        <f t="shared" si="534"/>
        <v>905.84660252391745</v>
      </c>
      <c r="W320" s="24">
        <f t="shared" si="534"/>
        <v>926.20284645552363</v>
      </c>
      <c r="X320" s="24">
        <f t="shared" si="534"/>
        <v>906.48463746544758</v>
      </c>
      <c r="Y320" s="24">
        <f t="shared" si="534"/>
        <v>917.49477973266153</v>
      </c>
      <c r="Z320" s="24">
        <f>Z299*Z$218</f>
        <v>933.33140097618559</v>
      </c>
      <c r="AA320" s="24">
        <f>AA299*AA$218</f>
        <v>972.9311109372145</v>
      </c>
      <c r="AB320" s="24">
        <f>AB299*AB$218</f>
        <v>924.34715297688479</v>
      </c>
      <c r="AC320" s="24">
        <f>AC299*AC$218</f>
        <v>944.94454821386898</v>
      </c>
      <c r="AD320" s="24">
        <f>AD299*AD$218</f>
        <v>854.82626040948946</v>
      </c>
      <c r="AE320" s="24">
        <f t="shared" si="527"/>
        <v>824.54889754696035</v>
      </c>
      <c r="AF320" s="24">
        <f t="shared" si="527"/>
        <v>779.97034371896882</v>
      </c>
      <c r="AG320" s="24">
        <f>AG299*AG$218</f>
        <v>838.72704538949381</v>
      </c>
      <c r="AH320" s="24">
        <f>AH299*AH$218</f>
        <v>802.07067172396887</v>
      </c>
      <c r="AI320" s="24">
        <f t="shared" si="528"/>
        <v>736.0250796278184</v>
      </c>
      <c r="AJ320" s="24">
        <f t="shared" si="528"/>
        <v>805.99585719507752</v>
      </c>
      <c r="AK320" s="24">
        <f>AK299*AK$218</f>
        <v>933.40656350960705</v>
      </c>
      <c r="AN320"/>
    </row>
    <row r="321" spans="1:41" ht="13.5" customHeight="1">
      <c r="B321" s="1" t="s">
        <v>324</v>
      </c>
      <c r="C321" s="24">
        <f t="shared" ref="C321:Q321" si="535">C300*C$218</f>
        <v>1107.3798070390001</v>
      </c>
      <c r="D321" s="24">
        <f t="shared" si="535"/>
        <v>982.0206898555781</v>
      </c>
      <c r="E321" s="24">
        <f t="shared" si="535"/>
        <v>939.79425852042539</v>
      </c>
      <c r="F321" s="24">
        <f t="shared" si="535"/>
        <v>1302.4885231614257</v>
      </c>
      <c r="G321" s="24">
        <f t="shared" si="535"/>
        <v>1433.8682816048447</v>
      </c>
      <c r="H321" s="24">
        <f t="shared" si="535"/>
        <v>1433.8682816048447</v>
      </c>
      <c r="I321" s="24">
        <f t="shared" si="524"/>
        <v>1211.125750854329</v>
      </c>
      <c r="J321" s="24">
        <f t="shared" si="524"/>
        <v>1204.475781631397</v>
      </c>
      <c r="K321" s="24">
        <f t="shared" si="524"/>
        <v>1174.1478234233689</v>
      </c>
      <c r="L321" s="24">
        <f>L300*L$218</f>
        <v>1252.2514149682997</v>
      </c>
      <c r="N321" s="24">
        <f t="shared" si="535"/>
        <v>933.77810942999997</v>
      </c>
      <c r="O321" s="24">
        <f t="shared" si="535"/>
        <v>932.06000359000006</v>
      </c>
      <c r="P321" s="24">
        <f t="shared" si="535"/>
        <v>799.09924000779483</v>
      </c>
      <c r="Q321" s="24">
        <f t="shared" si="535"/>
        <v>939.79425852042539</v>
      </c>
      <c r="R321" s="24">
        <f t="shared" ref="R321:AD321" si="536">R300*R$218</f>
        <v>953.36415158539444</v>
      </c>
      <c r="S321" s="24">
        <f t="shared" si="536"/>
        <v>1077.0320104149787</v>
      </c>
      <c r="T321" s="24">
        <f t="shared" si="536"/>
        <v>1376.9961389961393</v>
      </c>
      <c r="U321" s="24">
        <f t="shared" si="536"/>
        <v>1302.4885231614257</v>
      </c>
      <c r="V321" s="24">
        <f t="shared" si="536"/>
        <v>1401.2117528414512</v>
      </c>
      <c r="W321" s="24">
        <f t="shared" si="536"/>
        <v>1401.7562539960632</v>
      </c>
      <c r="X321" s="24">
        <f t="shared" si="536"/>
        <v>1427.6888688071442</v>
      </c>
      <c r="Y321" s="24">
        <f t="shared" si="536"/>
        <v>1433.8682816048449</v>
      </c>
      <c r="Z321" s="24">
        <f t="shared" si="536"/>
        <v>1158.9322001438918</v>
      </c>
      <c r="AA321" s="24">
        <f t="shared" si="536"/>
        <v>1195.0650285624852</v>
      </c>
      <c r="AB321" s="24">
        <f t="shared" si="536"/>
        <v>1141.4887224171562</v>
      </c>
      <c r="AC321" s="24">
        <f t="shared" si="536"/>
        <v>1211.125750854329</v>
      </c>
      <c r="AD321" s="24">
        <f t="shared" si="536"/>
        <v>1122.204217385017</v>
      </c>
      <c r="AE321" s="24">
        <f t="shared" si="527"/>
        <v>1151.8183401171016</v>
      </c>
      <c r="AF321" s="24">
        <f t="shared" si="527"/>
        <v>1106.7036108525956</v>
      </c>
      <c r="AG321" s="24">
        <f t="shared" si="527"/>
        <v>1174.1478234233689</v>
      </c>
      <c r="AH321" s="24">
        <f t="shared" si="527"/>
        <v>1136.1432032301477</v>
      </c>
      <c r="AI321" s="24">
        <f t="shared" si="528"/>
        <v>1070.9808642439746</v>
      </c>
      <c r="AJ321" s="24">
        <f t="shared" si="528"/>
        <v>1124.4377238942368</v>
      </c>
      <c r="AK321" s="24">
        <f>AK300*AK$218</f>
        <v>1252.2514149682995</v>
      </c>
      <c r="AN321"/>
    </row>
    <row r="322" spans="1:41" ht="13.5" customHeight="1">
      <c r="B322" s="1" t="s">
        <v>325</v>
      </c>
      <c r="C322" s="53">
        <f>C318/C310</f>
        <v>1.2977602647172253</v>
      </c>
      <c r="D322" s="53">
        <f t="shared" ref="D322:Y322" si="537">D318/D310</f>
        <v>1.3248801816366684</v>
      </c>
      <c r="E322" s="53">
        <f t="shared" si="537"/>
        <v>1.3911971446451814</v>
      </c>
      <c r="F322" s="53">
        <f t="shared" si="537"/>
        <v>1.7026519038847627</v>
      </c>
      <c r="G322" s="53">
        <f t="shared" si="537"/>
        <v>1.7866218710564741</v>
      </c>
      <c r="H322" s="53">
        <f>H318/H310</f>
        <v>1.7866218710564741</v>
      </c>
      <c r="I322" s="53">
        <f>I318/I309</f>
        <v>1.8952081783131856</v>
      </c>
      <c r="J322" s="53">
        <f>J318/J309</f>
        <v>1.8952081783131856</v>
      </c>
      <c r="K322" s="225"/>
      <c r="L322" s="225"/>
      <c r="N322" s="53"/>
      <c r="O322" s="53"/>
      <c r="P322" s="53"/>
      <c r="Q322" s="53">
        <f t="shared" si="537"/>
        <v>1.3910674776543486</v>
      </c>
      <c r="R322" s="53">
        <f t="shared" si="537"/>
        <v>1.2542347123340483</v>
      </c>
      <c r="S322" s="53">
        <f t="shared" si="537"/>
        <v>1.3585608264484559</v>
      </c>
      <c r="T322" s="53">
        <f t="shared" si="537"/>
        <v>1.8623908287985453</v>
      </c>
      <c r="U322" s="53">
        <f t="shared" si="537"/>
        <v>1.7017690770668166</v>
      </c>
      <c r="V322" s="53">
        <f t="shared" si="537"/>
        <v>1.8433154123939639</v>
      </c>
      <c r="W322" s="53">
        <f t="shared" si="537"/>
        <v>1.9292480766632649</v>
      </c>
      <c r="X322" s="53">
        <f t="shared" si="537"/>
        <v>1.7853303216486442</v>
      </c>
      <c r="Y322" s="53">
        <f t="shared" si="537"/>
        <v>1.7949830579862025</v>
      </c>
      <c r="Z322" s="53">
        <f>Z318/Z309</f>
        <v>1.8810053256923658</v>
      </c>
      <c r="AA322" s="53">
        <f>AA318/AA309</f>
        <v>2.0477923953817356</v>
      </c>
      <c r="AB322" s="53">
        <f>AB318/AB309</f>
        <v>1.9335301963478839</v>
      </c>
      <c r="AC322" s="53">
        <f>AC318/AC309</f>
        <v>1.8952081783131856</v>
      </c>
      <c r="AD322" s="225"/>
      <c r="AE322" s="225"/>
      <c r="AF322" s="225"/>
      <c r="AG322" s="225"/>
      <c r="AH322" s="225"/>
      <c r="AI322" s="225"/>
      <c r="AJ322" s="225"/>
      <c r="AK322" s="225"/>
      <c r="AN322"/>
    </row>
    <row r="323" spans="1:41" s="5" customFormat="1" ht="13.5" customHeight="1">
      <c r="B323" s="5" t="s">
        <v>326</v>
      </c>
      <c r="C323" s="52">
        <f>C320/C310</f>
        <v>1.1187361683996337</v>
      </c>
      <c r="D323" s="52">
        <f t="shared" ref="D323:Y323" si="538">D320/D310</f>
        <v>1.030128798887411</v>
      </c>
      <c r="E323" s="52">
        <f t="shared" si="538"/>
        <v>0.91424306249545773</v>
      </c>
      <c r="F323" s="52">
        <f t="shared" si="538"/>
        <v>1.4304884059736864</v>
      </c>
      <c r="G323" s="52">
        <f t="shared" si="538"/>
        <v>1.5010472047637033</v>
      </c>
      <c r="H323" s="52">
        <f>H320/H310</f>
        <v>1.5010472047637033</v>
      </c>
      <c r="I323" s="52">
        <f>I320/I309</f>
        <v>1.5605971522735147</v>
      </c>
      <c r="J323" s="52">
        <f>J320/J309</f>
        <v>1.5496145786911486</v>
      </c>
      <c r="K323" s="224"/>
      <c r="L323" s="224"/>
      <c r="N323" s="52"/>
      <c r="O323" s="52"/>
      <c r="P323" s="52"/>
      <c r="Q323" s="52">
        <f t="shared" si="538"/>
        <v>0.9141578501678882</v>
      </c>
      <c r="R323" s="52">
        <f t="shared" si="538"/>
        <v>0.9003027551388707</v>
      </c>
      <c r="S323" s="52">
        <f t="shared" si="538"/>
        <v>1.0425406760260076</v>
      </c>
      <c r="T323" s="52">
        <f t="shared" si="538"/>
        <v>1.5209146716278397</v>
      </c>
      <c r="U323" s="52">
        <f t="shared" si="538"/>
        <v>1.4297466962180554</v>
      </c>
      <c r="V323" s="52">
        <f t="shared" si="538"/>
        <v>1.4782383781356154</v>
      </c>
      <c r="W323" s="52">
        <f t="shared" si="538"/>
        <v>1.4934191987969669</v>
      </c>
      <c r="X323" s="52">
        <f t="shared" si="538"/>
        <v>1.4637352949884286</v>
      </c>
      <c r="Y323" s="52">
        <f t="shared" si="538"/>
        <v>1.508071934771041</v>
      </c>
      <c r="Z323" s="52">
        <f>Z320/Z309</f>
        <v>1.547589413529957</v>
      </c>
      <c r="AA323" s="52">
        <f>AA320/AA309</f>
        <v>1.6266444075417703</v>
      </c>
      <c r="AB323" s="52">
        <f>AB320/AB309</f>
        <v>1.5429880155139668</v>
      </c>
      <c r="AC323" s="52">
        <f>AC320/AC309</f>
        <v>1.5605971522735147</v>
      </c>
      <c r="AD323" s="224"/>
      <c r="AE323" s="224"/>
      <c r="AF323" s="225"/>
      <c r="AG323" s="224"/>
      <c r="AH323" s="224"/>
      <c r="AI323" s="224"/>
      <c r="AJ323" s="225"/>
      <c r="AK323" s="224"/>
      <c r="AN323"/>
    </row>
    <row r="324" spans="1:41" ht="13.5" customHeight="1">
      <c r="B324" s="1" t="s">
        <v>327</v>
      </c>
      <c r="C324" s="53">
        <f>C319/C311</f>
        <v>1.9181513725716461</v>
      </c>
      <c r="D324" s="53">
        <f t="shared" ref="D324:Y324" si="539">D319/D311</f>
        <v>1.8291658107859718</v>
      </c>
      <c r="E324" s="53">
        <f t="shared" si="539"/>
        <v>1.9044727085765338</v>
      </c>
      <c r="F324" s="53">
        <f t="shared" si="539"/>
        <v>2.2242004762834364</v>
      </c>
      <c r="G324" s="53">
        <f t="shared" si="539"/>
        <v>2.3744858767704966</v>
      </c>
      <c r="H324" s="53">
        <f>H319/H311</f>
        <v>2.3744858767704966</v>
      </c>
      <c r="I324" s="53">
        <f>I319/I310</f>
        <v>2.1599996719233987</v>
      </c>
      <c r="J324" s="53">
        <f>J319/J310</f>
        <v>2.1599996719233987</v>
      </c>
      <c r="K324" s="53">
        <f>K319/K310</f>
        <v>2.1328455213755597</v>
      </c>
      <c r="L324" s="53">
        <f>L319/L310</f>
        <v>2.0480036882259136</v>
      </c>
      <c r="N324" s="53"/>
      <c r="O324" s="53"/>
      <c r="P324" s="53"/>
      <c r="Q324" s="53">
        <f t="shared" si="539"/>
        <v>1.9042952015666934</v>
      </c>
      <c r="R324" s="53">
        <f t="shared" si="539"/>
        <v>1.825011095946194</v>
      </c>
      <c r="S324" s="53">
        <f t="shared" si="539"/>
        <v>1.9653098773864974</v>
      </c>
      <c r="T324" s="53">
        <f t="shared" si="539"/>
        <v>2.4219916924415705</v>
      </c>
      <c r="U324" s="53">
        <f t="shared" si="539"/>
        <v>2.2230472259775627</v>
      </c>
      <c r="V324" s="53">
        <f t="shared" si="539"/>
        <v>2.4102445860950126</v>
      </c>
      <c r="W324" s="53">
        <f t="shared" si="539"/>
        <v>2.4469801212590236</v>
      </c>
      <c r="X324" s="53">
        <f t="shared" si="539"/>
        <v>2.3801803296571014</v>
      </c>
      <c r="Y324" s="53">
        <f t="shared" si="539"/>
        <v>2.3855982003120966</v>
      </c>
      <c r="Z324" s="53">
        <f t="shared" ref="Z324:AE324" si="540">Z319/Z310</f>
        <v>2.2155422879184905</v>
      </c>
      <c r="AA324" s="53">
        <f t="shared" si="540"/>
        <v>2.3329014578192844</v>
      </c>
      <c r="AB324" s="53">
        <f t="shared" si="540"/>
        <v>2.1716329954611862</v>
      </c>
      <c r="AC324" s="53">
        <f t="shared" si="540"/>
        <v>2.1599996719233987</v>
      </c>
      <c r="AD324" s="53">
        <f t="shared" si="540"/>
        <v>2.0341047996479151</v>
      </c>
      <c r="AE324" s="53">
        <f t="shared" si="540"/>
        <v>2.1337291704829173</v>
      </c>
      <c r="AF324" s="53">
        <f t="shared" ref="AF324:AK324" si="541">AF319/AF310</f>
        <v>2.1002084645903594</v>
      </c>
      <c r="AG324" s="53">
        <f t="shared" si="541"/>
        <v>2.1111772900857253</v>
      </c>
      <c r="AH324" s="53">
        <f t="shared" si="541"/>
        <v>2.1989825214941101</v>
      </c>
      <c r="AI324" s="53">
        <f t="shared" si="541"/>
        <v>2.076887639060669</v>
      </c>
      <c r="AJ324" s="53">
        <f t="shared" si="541"/>
        <v>2.0280128102040327</v>
      </c>
      <c r="AK324" s="53">
        <f t="shared" si="541"/>
        <v>2.0413433462684503</v>
      </c>
      <c r="AN324"/>
    </row>
    <row r="325" spans="1:41" s="5" customFormat="1" ht="13.5" customHeight="1">
      <c r="B325" s="5" t="s">
        <v>328</v>
      </c>
      <c r="C325" s="52">
        <f>C321/C311</f>
        <v>1.759947194041428</v>
      </c>
      <c r="D325" s="52">
        <f t="shared" ref="D325:Y325" si="542">D321/D311</f>
        <v>1.5597178004321148</v>
      </c>
      <c r="E325" s="52">
        <f t="shared" si="542"/>
        <v>1.4669076331448079</v>
      </c>
      <c r="F325" s="52">
        <f t="shared" si="542"/>
        <v>1.9759165555443021</v>
      </c>
      <c r="G325" s="52">
        <f t="shared" si="542"/>
        <v>2.1167953016313525</v>
      </c>
      <c r="H325" s="52">
        <f>H321/H311</f>
        <v>2.1167953016313525</v>
      </c>
      <c r="I325" s="52">
        <f>I321/I310</f>
        <v>1.8504417383506191</v>
      </c>
      <c r="J325" s="52">
        <f>J321/J310</f>
        <v>1.8402814551593978</v>
      </c>
      <c r="K325" s="52">
        <f>K321/K310</f>
        <v>1.6873881566616464</v>
      </c>
      <c r="L325" s="52">
        <f>L321/L310</f>
        <v>1.7015544585499611</v>
      </c>
      <c r="N325" s="52"/>
      <c r="O325" s="52"/>
      <c r="P325" s="52"/>
      <c r="Q325" s="52">
        <f t="shared" si="542"/>
        <v>1.4667709095328081</v>
      </c>
      <c r="R325" s="52">
        <f t="shared" si="542"/>
        <v>1.5003254068318301</v>
      </c>
      <c r="S325" s="52">
        <f t="shared" si="542"/>
        <v>1.6756469646386685</v>
      </c>
      <c r="T325" s="52">
        <f t="shared" si="542"/>
        <v>2.1097051442438071</v>
      </c>
      <c r="U325" s="52">
        <f t="shared" si="542"/>
        <v>1.974892040714654</v>
      </c>
      <c r="V325" s="52">
        <f t="shared" si="542"/>
        <v>2.0784096685412092</v>
      </c>
      <c r="W325" s="52">
        <f t="shared" si="542"/>
        <v>2.0514123902856478</v>
      </c>
      <c r="X325" s="52">
        <f t="shared" si="542"/>
        <v>2.0887939458480438</v>
      </c>
      <c r="Y325" s="52">
        <f t="shared" si="542"/>
        <v>2.1267016626222457</v>
      </c>
      <c r="Z325" s="52">
        <f t="shared" ref="Z325:AE325" si="543">Z321/Z310</f>
        <v>1.887972342672352</v>
      </c>
      <c r="AA325" s="52">
        <f t="shared" si="543"/>
        <v>1.9267731632378402</v>
      </c>
      <c r="AB325" s="52">
        <f t="shared" si="543"/>
        <v>1.8022450502104372</v>
      </c>
      <c r="AC325" s="52">
        <f t="shared" si="543"/>
        <v>1.8504417383506191</v>
      </c>
      <c r="AD325" s="52">
        <f t="shared" si="543"/>
        <v>1.6663798910807202</v>
      </c>
      <c r="AE325" s="52">
        <f t="shared" si="543"/>
        <v>1.6837538165975727</v>
      </c>
      <c r="AF325" s="52">
        <f t="shared" ref="AF325:AK325" si="544">AF321/AF310</f>
        <v>1.5959878815227801</v>
      </c>
      <c r="AG325" s="52">
        <f t="shared" si="544"/>
        <v>1.6702454632561292</v>
      </c>
      <c r="AH325" s="52">
        <f t="shared" si="544"/>
        <v>1.613493223805532</v>
      </c>
      <c r="AI325" s="52">
        <f t="shared" si="544"/>
        <v>1.4955515921682407</v>
      </c>
      <c r="AJ325" s="52">
        <f t="shared" si="544"/>
        <v>1.5630507777873888</v>
      </c>
      <c r="AK325" s="52">
        <f t="shared" si="544"/>
        <v>1.6960208090656643</v>
      </c>
      <c r="AN325"/>
    </row>
    <row r="328" spans="1:41" ht="13.5" customHeight="1">
      <c r="A328" s="99"/>
      <c r="B328" s="49" t="s">
        <v>329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N328" s="49"/>
      <c r="O328" s="49"/>
      <c r="P328" s="49"/>
      <c r="Q328" s="99"/>
      <c r="R328" s="99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9"/>
      <c r="AD328" s="99"/>
      <c r="AE328" s="99"/>
      <c r="AF328" s="99"/>
      <c r="AG328" s="99"/>
      <c r="AH328" s="99"/>
      <c r="AI328" s="99"/>
      <c r="AJ328" s="99"/>
      <c r="AK328" s="99"/>
      <c r="AL328"/>
      <c r="AM328" s="241" t="s">
        <v>349</v>
      </c>
      <c r="AN328" s="241" t="s">
        <v>349</v>
      </c>
      <c r="AO328" s="241" t="str">
        <f>AN328</f>
        <v>Restated</v>
      </c>
    </row>
    <row r="329" spans="1:41" ht="13.5" customHeight="1">
      <c r="B329" s="49" t="s">
        <v>330</v>
      </c>
      <c r="C329" s="47">
        <f>+C2</f>
        <v>42004</v>
      </c>
      <c r="D329" s="47">
        <f>+D2</f>
        <v>42369</v>
      </c>
      <c r="E329" s="47">
        <f>+E2</f>
        <v>42735</v>
      </c>
      <c r="F329" s="47">
        <f>+F2</f>
        <v>43100</v>
      </c>
      <c r="G329" s="47">
        <f>G2</f>
        <v>43465</v>
      </c>
      <c r="H329" s="47">
        <f t="shared" ref="H329:X329" si="545">+H2</f>
        <v>43440</v>
      </c>
      <c r="I329" s="47">
        <f>+I2</f>
        <v>43806</v>
      </c>
      <c r="J329" s="47">
        <f>+J2</f>
        <v>43806</v>
      </c>
      <c r="K329" s="47">
        <f>+K2</f>
        <v>44172</v>
      </c>
      <c r="L329" s="47">
        <f>+L2</f>
        <v>44537</v>
      </c>
      <c r="N329" s="47">
        <f t="shared" si="545"/>
        <v>42437</v>
      </c>
      <c r="O329" s="47">
        <f t="shared" si="545"/>
        <v>42527</v>
      </c>
      <c r="P329" s="47">
        <f t="shared" si="545"/>
        <v>42622</v>
      </c>
      <c r="Q329" s="47">
        <f t="shared" si="545"/>
        <v>42714</v>
      </c>
      <c r="R329" s="47">
        <f t="shared" si="545"/>
        <v>42825</v>
      </c>
      <c r="S329" s="47">
        <f t="shared" si="545"/>
        <v>42916</v>
      </c>
      <c r="T329" s="47">
        <f t="shared" si="545"/>
        <v>43008</v>
      </c>
      <c r="U329" s="47">
        <f t="shared" si="545"/>
        <v>43099</v>
      </c>
      <c r="V329" s="47">
        <f t="shared" si="545"/>
        <v>43189</v>
      </c>
      <c r="W329" s="47">
        <f t="shared" si="545"/>
        <v>43281</v>
      </c>
      <c r="X329" s="47">
        <f t="shared" si="545"/>
        <v>43373</v>
      </c>
      <c r="Y329" s="47">
        <f>Y2</f>
        <v>43464</v>
      </c>
      <c r="Z329" s="47">
        <f>+Z2</f>
        <v>43554</v>
      </c>
      <c r="AA329" s="47">
        <f>+AA2</f>
        <v>43646</v>
      </c>
      <c r="AB329" s="47">
        <f>+AB2</f>
        <v>43738</v>
      </c>
      <c r="AC329" s="47">
        <f>AC2</f>
        <v>43829</v>
      </c>
      <c r="AD329" s="47">
        <f>+AD2</f>
        <v>43920</v>
      </c>
      <c r="AE329" s="47">
        <f>+AE2</f>
        <v>44012</v>
      </c>
      <c r="AF329" s="47">
        <f>+AF2</f>
        <v>44104</v>
      </c>
      <c r="AG329" s="253">
        <f>AG2</f>
        <v>44195</v>
      </c>
      <c r="AH329" s="47">
        <f>+AH2</f>
        <v>44285</v>
      </c>
      <c r="AI329" s="47">
        <f>+AI2</f>
        <v>44377</v>
      </c>
      <c r="AJ329" s="47">
        <f>+AJ2</f>
        <v>44469</v>
      </c>
      <c r="AK329" s="253">
        <f>AK2</f>
        <v>44560</v>
      </c>
      <c r="AL329"/>
      <c r="AM329" s="47">
        <v>43738</v>
      </c>
      <c r="AN329" s="47">
        <f>AN2</f>
        <v>43829</v>
      </c>
      <c r="AO329" s="47">
        <f>AD329</f>
        <v>43920</v>
      </c>
    </row>
    <row r="330" spans="1:41" ht="13.5" customHeight="1">
      <c r="B330" s="1" t="s">
        <v>331</v>
      </c>
      <c r="C330" s="4">
        <v>1288</v>
      </c>
      <c r="D330" s="4">
        <v>1341</v>
      </c>
      <c r="E330" s="4">
        <v>1374</v>
      </c>
      <c r="F330" s="4">
        <v>1367</v>
      </c>
      <c r="G330" s="4">
        <v>1397</v>
      </c>
      <c r="H330" s="4">
        <v>1397</v>
      </c>
      <c r="I330" s="4">
        <v>1441</v>
      </c>
      <c r="J330" s="4">
        <v>1441</v>
      </c>
      <c r="K330" s="4">
        <v>1507</v>
      </c>
      <c r="L330" s="4">
        <v>1522</v>
      </c>
      <c r="N330" s="4">
        <v>327</v>
      </c>
      <c r="O330" s="4">
        <v>335</v>
      </c>
      <c r="P330" s="4">
        <v>342</v>
      </c>
      <c r="Q330" s="4">
        <v>370</v>
      </c>
      <c r="R330" s="4">
        <v>334</v>
      </c>
      <c r="S330" s="4">
        <v>344</v>
      </c>
      <c r="T330" s="4">
        <v>342</v>
      </c>
      <c r="U330" s="174">
        <f>+F330-R330-S330-T330</f>
        <v>347</v>
      </c>
      <c r="V330" s="4">
        <v>337</v>
      </c>
      <c r="W330" s="4">
        <v>353</v>
      </c>
      <c r="X330" s="4">
        <v>354</v>
      </c>
      <c r="Y330" s="174">
        <f>+G330-V330-W330-X330</f>
        <v>353</v>
      </c>
      <c r="Z330" s="4">
        <v>343</v>
      </c>
      <c r="AA330" s="4">
        <v>365</v>
      </c>
      <c r="AB330" s="4">
        <v>371</v>
      </c>
      <c r="AC330" s="174">
        <f>+I330-Z330-AA330-AB330</f>
        <v>362</v>
      </c>
      <c r="AD330" s="4">
        <v>376</v>
      </c>
      <c r="AE330" s="4">
        <v>383</v>
      </c>
      <c r="AF330" s="4">
        <v>372</v>
      </c>
      <c r="AG330" s="174">
        <f>K330-AD330-AE330-AF330</f>
        <v>376</v>
      </c>
      <c r="AH330" s="4">
        <v>363</v>
      </c>
      <c r="AI330" s="4">
        <v>383</v>
      </c>
      <c r="AJ330" s="4">
        <v>388</v>
      </c>
      <c r="AK330" s="174">
        <f>L330-AH330-AI330-AJ330</f>
        <v>388</v>
      </c>
      <c r="AL330"/>
      <c r="AM330" s="4">
        <v>371</v>
      </c>
      <c r="AN330" s="174">
        <f>+J330-Z330-AA330-AB330</f>
        <v>362</v>
      </c>
      <c r="AO330" s="4">
        <v>376</v>
      </c>
    </row>
    <row r="331" spans="1:41" ht="13.5" customHeight="1">
      <c r="B331" s="1" t="s">
        <v>332</v>
      </c>
      <c r="C331" s="6">
        <f>SUM(C332:C334)</f>
        <v>1798</v>
      </c>
      <c r="D331" s="6">
        <f>SUM(D332:D334)</f>
        <v>1847</v>
      </c>
      <c r="E331" s="6">
        <f>SUM(E332:E334)</f>
        <v>1965</v>
      </c>
      <c r="F331" s="202">
        <v>2039</v>
      </c>
      <c r="G331" s="202">
        <v>2064</v>
      </c>
      <c r="H331" s="4">
        <v>2064</v>
      </c>
      <c r="I331" s="4">
        <v>2042</v>
      </c>
      <c r="J331" s="4">
        <v>2042</v>
      </c>
      <c r="K331" s="4">
        <v>2099</v>
      </c>
      <c r="L331" s="4">
        <v>2047</v>
      </c>
      <c r="N331" s="4">
        <v>466</v>
      </c>
      <c r="O331" s="4">
        <v>486</v>
      </c>
      <c r="P331" s="4">
        <v>491</v>
      </c>
      <c r="Q331" s="4">
        <v>522</v>
      </c>
      <c r="R331" s="4">
        <v>480</v>
      </c>
      <c r="S331" s="4">
        <v>506</v>
      </c>
      <c r="T331" s="4">
        <v>512</v>
      </c>
      <c r="U331" s="174">
        <f>+F331-R331-S331-T331</f>
        <v>541</v>
      </c>
      <c r="V331" s="4">
        <v>492</v>
      </c>
      <c r="W331" s="4">
        <v>521</v>
      </c>
      <c r="X331" s="4">
        <v>520</v>
      </c>
      <c r="Y331" s="174">
        <f>+G331-V331-W331-X331</f>
        <v>531</v>
      </c>
      <c r="Z331" s="4">
        <v>487</v>
      </c>
      <c r="AA331" s="4">
        <v>506</v>
      </c>
      <c r="AB331" s="4">
        <v>515</v>
      </c>
      <c r="AC331" s="174">
        <f>+I331-Z331-AA331-AB331</f>
        <v>534</v>
      </c>
      <c r="AD331" s="4">
        <v>503</v>
      </c>
      <c r="AE331" s="4">
        <v>530</v>
      </c>
      <c r="AF331" s="4">
        <v>513</v>
      </c>
      <c r="AG331" s="174">
        <f>K331-AD331-AE331-AF331</f>
        <v>553</v>
      </c>
      <c r="AH331" s="4">
        <v>497</v>
      </c>
      <c r="AI331" s="4">
        <v>517</v>
      </c>
      <c r="AJ331" s="4">
        <v>503</v>
      </c>
      <c r="AK331" s="174">
        <f>L331-AH331-AI331-AJ331</f>
        <v>530</v>
      </c>
      <c r="AL331"/>
      <c r="AM331" s="4">
        <v>515</v>
      </c>
      <c r="AN331" s="174">
        <f>+J331-Z331-AA331-AB331</f>
        <v>534</v>
      </c>
      <c r="AO331" s="4">
        <v>503</v>
      </c>
    </row>
    <row r="332" spans="1:41" ht="13.5" customHeight="1">
      <c r="B332" s="116" t="s">
        <v>333</v>
      </c>
      <c r="C332" s="4">
        <v>1486</v>
      </c>
      <c r="D332" s="4">
        <v>1568</v>
      </c>
      <c r="E332" s="4">
        <v>1647</v>
      </c>
      <c r="F332" s="48"/>
      <c r="G332" s="48"/>
      <c r="H332" s="4"/>
      <c r="I332" s="4"/>
      <c r="J332" s="4"/>
      <c r="K332" s="4"/>
      <c r="L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/>
      <c r="AM332" s="4"/>
      <c r="AN332" s="4"/>
      <c r="AO332" s="4"/>
    </row>
    <row r="333" spans="1:41" ht="13.5" customHeight="1">
      <c r="B333" s="116" t="s">
        <v>334</v>
      </c>
      <c r="C333" s="4">
        <v>244</v>
      </c>
      <c r="D333" s="4">
        <v>247</v>
      </c>
      <c r="E333" s="4">
        <v>299</v>
      </c>
      <c r="F333" s="48"/>
      <c r="G333" s="48"/>
      <c r="H333" s="4"/>
      <c r="I333" s="4"/>
      <c r="J333" s="4"/>
      <c r="K333" s="4"/>
      <c r="L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/>
      <c r="AM333" s="4"/>
      <c r="AN333" s="4"/>
      <c r="AO333" s="4"/>
    </row>
    <row r="334" spans="1:41" ht="13.5" customHeight="1">
      <c r="B334" s="116" t="s">
        <v>335</v>
      </c>
      <c r="C334" s="4">
        <v>68</v>
      </c>
      <c r="D334" s="4">
        <v>32</v>
      </c>
      <c r="E334" s="4">
        <v>19</v>
      </c>
      <c r="F334" s="48"/>
      <c r="G334" s="48"/>
      <c r="H334" s="4"/>
      <c r="I334" s="4"/>
      <c r="J334" s="4"/>
      <c r="K334" s="4"/>
      <c r="L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/>
      <c r="AM334" s="4"/>
      <c r="AN334" s="4"/>
      <c r="AO334" s="4"/>
    </row>
    <row r="335" spans="1:41" ht="13.5" customHeight="1">
      <c r="B335" s="1" t="s">
        <v>336</v>
      </c>
      <c r="C335" s="4">
        <v>365</v>
      </c>
      <c r="D335" s="4">
        <v>404</v>
      </c>
      <c r="E335" s="4">
        <v>370</v>
      </c>
      <c r="F335" s="4">
        <v>374</v>
      </c>
      <c r="G335" s="4">
        <v>340</v>
      </c>
      <c r="H335" s="4">
        <v>340</v>
      </c>
      <c r="I335" s="4">
        <v>395</v>
      </c>
      <c r="J335" s="4">
        <v>395</v>
      </c>
      <c r="K335" s="4">
        <v>404</v>
      </c>
      <c r="L335" s="4">
        <v>389</v>
      </c>
      <c r="N335" s="4">
        <v>89</v>
      </c>
      <c r="O335" s="4">
        <v>101</v>
      </c>
      <c r="P335" s="4">
        <v>92</v>
      </c>
      <c r="Q335" s="4">
        <v>88</v>
      </c>
      <c r="R335" s="4">
        <v>101</v>
      </c>
      <c r="S335" s="4">
        <v>104</v>
      </c>
      <c r="T335" s="4">
        <v>84</v>
      </c>
      <c r="U335" s="174">
        <f>+F335-R335-S335-T335</f>
        <v>85</v>
      </c>
      <c r="V335" s="4">
        <v>81</v>
      </c>
      <c r="W335" s="4">
        <v>86</v>
      </c>
      <c r="X335" s="4">
        <v>92</v>
      </c>
      <c r="Y335" s="174">
        <f>+G335-V335-W335-X335</f>
        <v>81</v>
      </c>
      <c r="Z335" s="4">
        <v>90</v>
      </c>
      <c r="AA335" s="4">
        <v>90</v>
      </c>
      <c r="AB335" s="4">
        <v>110</v>
      </c>
      <c r="AC335" s="174">
        <f>+I335-Z335-AA335-AB335</f>
        <v>105</v>
      </c>
      <c r="AD335" s="4">
        <v>105</v>
      </c>
      <c r="AE335" s="4">
        <v>98</v>
      </c>
      <c r="AF335" s="4">
        <v>108</v>
      </c>
      <c r="AG335" s="174">
        <f>K335-AD335-AE335-AF335</f>
        <v>93</v>
      </c>
      <c r="AH335" s="4">
        <v>87</v>
      </c>
      <c r="AI335" s="4">
        <v>97</v>
      </c>
      <c r="AJ335" s="4">
        <v>97</v>
      </c>
      <c r="AK335" s="174">
        <f>L335-AH335-AI335-AJ335</f>
        <v>108</v>
      </c>
      <c r="AL335"/>
      <c r="AM335" s="4">
        <v>110</v>
      </c>
      <c r="AN335" s="174">
        <f>+J335-Z335-AA335-AB335</f>
        <v>105</v>
      </c>
      <c r="AO335" s="4">
        <v>105</v>
      </c>
    </row>
    <row r="336" spans="1:41" ht="13.5" customHeight="1">
      <c r="B336" s="1" t="s">
        <v>337</v>
      </c>
      <c r="C336" s="4">
        <v>200</v>
      </c>
      <c r="D336" s="4">
        <v>199</v>
      </c>
      <c r="E336" s="4">
        <v>203</v>
      </c>
      <c r="F336" s="4">
        <v>195</v>
      </c>
      <c r="G336" s="4">
        <v>210</v>
      </c>
      <c r="H336" s="4">
        <v>210</v>
      </c>
      <c r="I336" s="4">
        <v>213</v>
      </c>
      <c r="J336" s="4">
        <v>213</v>
      </c>
      <c r="K336" s="4">
        <v>243</v>
      </c>
      <c r="L336" s="4">
        <v>237</v>
      </c>
      <c r="N336" s="4">
        <v>48</v>
      </c>
      <c r="O336" s="4">
        <v>47</v>
      </c>
      <c r="P336" s="4">
        <v>56</v>
      </c>
      <c r="Q336" s="4">
        <v>52</v>
      </c>
      <c r="R336" s="4">
        <v>47</v>
      </c>
      <c r="S336" s="4">
        <v>47</v>
      </c>
      <c r="T336" s="4">
        <v>46</v>
      </c>
      <c r="U336" s="174">
        <f>+F336-R336-S336-T336</f>
        <v>55</v>
      </c>
      <c r="V336" s="4">
        <v>48</v>
      </c>
      <c r="W336" s="4">
        <v>51</v>
      </c>
      <c r="X336" s="4">
        <v>55</v>
      </c>
      <c r="Y336" s="174">
        <f>+G336-V336-W336-X336</f>
        <v>56</v>
      </c>
      <c r="Z336" s="4">
        <v>53</v>
      </c>
      <c r="AA336" s="4">
        <v>52</v>
      </c>
      <c r="AB336" s="4">
        <v>54</v>
      </c>
      <c r="AC336" s="174">
        <f>+I336-Z336-AA336-AB336</f>
        <v>54</v>
      </c>
      <c r="AD336" s="4">
        <v>56</v>
      </c>
      <c r="AE336" s="4">
        <v>62</v>
      </c>
      <c r="AF336" s="4">
        <v>61</v>
      </c>
      <c r="AG336" s="174">
        <f>K336-AD336-AE336-AF336</f>
        <v>64</v>
      </c>
      <c r="AH336" s="4">
        <v>56</v>
      </c>
      <c r="AI336" s="4">
        <v>57</v>
      </c>
      <c r="AJ336" s="4">
        <v>62</v>
      </c>
      <c r="AK336" s="174">
        <f>L336-AH336-AI336-AJ336</f>
        <v>62</v>
      </c>
      <c r="AL336"/>
      <c r="AM336" s="4">
        <v>54</v>
      </c>
      <c r="AN336" s="174">
        <f>+J336-Z336-AA336-AB336</f>
        <v>54</v>
      </c>
      <c r="AO336" s="4">
        <v>56</v>
      </c>
    </row>
    <row r="337" spans="2:41" ht="13.5" customHeight="1">
      <c r="B337" s="1" t="s">
        <v>338</v>
      </c>
      <c r="C337" s="4"/>
      <c r="D337" s="4"/>
      <c r="E337" s="4"/>
      <c r="F337" s="4"/>
      <c r="G337" s="4"/>
      <c r="H337" s="4"/>
      <c r="I337" s="4"/>
      <c r="J337" s="4"/>
      <c r="K337" s="4">
        <v>83</v>
      </c>
      <c r="L337" s="4">
        <v>95</v>
      </c>
      <c r="N337" s="4"/>
      <c r="O337" s="4"/>
      <c r="P337" s="4"/>
      <c r="Q337" s="4"/>
      <c r="R337" s="4"/>
      <c r="S337" s="4"/>
      <c r="T337" s="4"/>
      <c r="U337" s="174"/>
      <c r="V337" s="4"/>
      <c r="W337" s="4"/>
      <c r="X337" s="4"/>
      <c r="Y337" s="174"/>
      <c r="Z337" s="4"/>
      <c r="AA337" s="4"/>
      <c r="AB337" s="4"/>
      <c r="AC337" s="174"/>
      <c r="AD337" s="4"/>
      <c r="AE337" s="4"/>
      <c r="AF337" s="4"/>
      <c r="AG337" s="174"/>
      <c r="AH337" s="4"/>
      <c r="AI337" s="4"/>
      <c r="AJ337" s="4"/>
      <c r="AK337" s="174">
        <f>L337-AH337-AI337-AJ337</f>
        <v>95</v>
      </c>
      <c r="AL337"/>
      <c r="AM337" s="4"/>
      <c r="AN337" s="174"/>
      <c r="AO337" s="4"/>
    </row>
    <row r="338" spans="2:41" ht="13.5" customHeight="1">
      <c r="B338" s="1" t="s">
        <v>339</v>
      </c>
      <c r="C338" s="4">
        <v>23</v>
      </c>
      <c r="D338" s="4">
        <v>39</v>
      </c>
      <c r="E338" s="4">
        <v>48</v>
      </c>
      <c r="F338" s="4">
        <v>34</v>
      </c>
      <c r="G338" s="4">
        <v>43</v>
      </c>
      <c r="H338" s="4">
        <v>43</v>
      </c>
      <c r="I338" s="4">
        <v>25</v>
      </c>
      <c r="J338" s="4">
        <v>25</v>
      </c>
      <c r="K338" s="4">
        <v>-104</v>
      </c>
      <c r="L338" s="4">
        <v>-85</v>
      </c>
      <c r="N338" s="4">
        <v>17</v>
      </c>
      <c r="O338" s="4">
        <v>12</v>
      </c>
      <c r="P338" s="4">
        <v>10</v>
      </c>
      <c r="Q338" s="4">
        <v>9</v>
      </c>
      <c r="R338" s="4">
        <v>7</v>
      </c>
      <c r="S338" s="4">
        <v>8</v>
      </c>
      <c r="T338" s="4">
        <v>10</v>
      </c>
      <c r="U338" s="174">
        <f>+F338-R338-S338-T338</f>
        <v>9</v>
      </c>
      <c r="V338" s="4">
        <v>14</v>
      </c>
      <c r="W338" s="4">
        <f>W339-SUM(W330:W336)</f>
        <v>18</v>
      </c>
      <c r="X338" s="4">
        <v>6</v>
      </c>
      <c r="Y338" s="174">
        <f>+G338-V338-W338-X338</f>
        <v>5</v>
      </c>
      <c r="Z338" s="4">
        <v>11</v>
      </c>
      <c r="AA338" s="4">
        <v>7</v>
      </c>
      <c r="AB338" s="4">
        <v>6</v>
      </c>
      <c r="AC338" s="174">
        <f>+I338-Z338-AA338-AB338</f>
        <v>1</v>
      </c>
      <c r="AD338" s="4">
        <v>1</v>
      </c>
      <c r="AE338" s="4">
        <v>-12</v>
      </c>
      <c r="AF338" s="4">
        <v>-2</v>
      </c>
      <c r="AG338" s="174">
        <f>K338-AD338-AE338-AF338</f>
        <v>-91</v>
      </c>
      <c r="AH338" s="4">
        <v>9</v>
      </c>
      <c r="AI338" s="4">
        <v>3</v>
      </c>
      <c r="AJ338" s="4">
        <v>4</v>
      </c>
      <c r="AK338" s="174">
        <f>L338-AH338-AI338-AJ338</f>
        <v>-101</v>
      </c>
      <c r="AL338"/>
      <c r="AM338" s="4">
        <v>6</v>
      </c>
      <c r="AN338" s="174">
        <f>+J338-Z338-AA338-AB338</f>
        <v>1</v>
      </c>
      <c r="AO338" s="4">
        <v>1</v>
      </c>
    </row>
    <row r="339" spans="2:41" ht="13.5" customHeight="1">
      <c r="B339" s="5" t="s">
        <v>340</v>
      </c>
      <c r="C339" s="8">
        <f t="shared" ref="C339:H339" si="546">+C330+C331+C335+C336+C338</f>
        <v>3674</v>
      </c>
      <c r="D339" s="8">
        <f t="shared" si="546"/>
        <v>3830</v>
      </c>
      <c r="E339" s="8">
        <f t="shared" si="546"/>
        <v>3960</v>
      </c>
      <c r="F339" s="8">
        <f t="shared" si="546"/>
        <v>4009</v>
      </c>
      <c r="G339" s="8">
        <f>+G330+G331+G335+G336+G338</f>
        <v>4054</v>
      </c>
      <c r="H339" s="8">
        <f t="shared" si="546"/>
        <v>4054</v>
      </c>
      <c r="I339" s="8">
        <f>+I330+I331+I335+I336+I338</f>
        <v>4116</v>
      </c>
      <c r="J339" s="8">
        <f>+J330+J331+J335+J336+J338</f>
        <v>4116</v>
      </c>
      <c r="K339" s="8">
        <f>+K330+K331+K335+K336+K338+K337</f>
        <v>4232</v>
      </c>
      <c r="L339" s="8">
        <f>+L330+L331+L335+L336+L338+L337</f>
        <v>4205</v>
      </c>
      <c r="N339" s="8">
        <f t="shared" ref="N339:U339" si="547">SUM(N330:N338)</f>
        <v>947</v>
      </c>
      <c r="O339" s="8">
        <f t="shared" si="547"/>
        <v>981</v>
      </c>
      <c r="P339" s="8">
        <f t="shared" si="547"/>
        <v>991</v>
      </c>
      <c r="Q339" s="8">
        <f t="shared" si="547"/>
        <v>1041</v>
      </c>
      <c r="R339" s="155">
        <v>970</v>
      </c>
      <c r="S339" s="8">
        <f t="shared" si="547"/>
        <v>1009</v>
      </c>
      <c r="T339" s="8">
        <f>SUM(T330:T338)</f>
        <v>994</v>
      </c>
      <c r="U339" s="8">
        <f t="shared" si="547"/>
        <v>1037</v>
      </c>
      <c r="V339" s="8">
        <v>971</v>
      </c>
      <c r="W339" s="155">
        <v>1029</v>
      </c>
      <c r="X339" s="8">
        <f t="shared" ref="X339:AC339" si="548">SUM(X330:X338)</f>
        <v>1027</v>
      </c>
      <c r="Y339" s="8">
        <f t="shared" si="548"/>
        <v>1026</v>
      </c>
      <c r="Z339" s="8">
        <f t="shared" si="548"/>
        <v>984</v>
      </c>
      <c r="AA339" s="8">
        <f t="shared" si="548"/>
        <v>1020</v>
      </c>
      <c r="AB339" s="8">
        <f t="shared" si="548"/>
        <v>1056</v>
      </c>
      <c r="AC339" s="8">
        <f t="shared" si="548"/>
        <v>1056</v>
      </c>
      <c r="AD339" s="8">
        <f t="shared" ref="AD339:AI339" si="549">SUM(AD330:AD338)</f>
        <v>1041</v>
      </c>
      <c r="AE339" s="8">
        <f t="shared" si="549"/>
        <v>1061</v>
      </c>
      <c r="AF339" s="8">
        <f t="shared" si="549"/>
        <v>1052</v>
      </c>
      <c r="AG339" s="8">
        <f t="shared" si="549"/>
        <v>995</v>
      </c>
      <c r="AH339" s="8">
        <f t="shared" si="549"/>
        <v>1012</v>
      </c>
      <c r="AI339" s="8">
        <f t="shared" si="549"/>
        <v>1057</v>
      </c>
      <c r="AJ339" s="8">
        <f>SUM(AJ330:AJ338)</f>
        <v>1054</v>
      </c>
      <c r="AK339" s="8">
        <f>SUM(AK330:AK338)</f>
        <v>1082</v>
      </c>
      <c r="AL339"/>
      <c r="AM339" s="8">
        <f>SUM(AM330:AM338)</f>
        <v>1056</v>
      </c>
      <c r="AN339" s="8">
        <f>SUM(AN330:AN338)</f>
        <v>1056</v>
      </c>
      <c r="AO339" s="8">
        <f>SUM(AO330:AO338)</f>
        <v>1041</v>
      </c>
    </row>
    <row r="340" spans="2:41" s="56" customFormat="1" ht="13.5" customHeight="1">
      <c r="B340" s="78" t="s">
        <v>232</v>
      </c>
      <c r="C340" s="64"/>
      <c r="D340" s="64">
        <f>(D339/C339)-1</f>
        <v>4.2460533478497542E-2</v>
      </c>
      <c r="E340" s="64">
        <f>(E339/D339)-1</f>
        <v>3.3942558746736351E-2</v>
      </c>
      <c r="F340" s="64">
        <f>(F339/E339)-1</f>
        <v>1.237373737373737E-2</v>
      </c>
      <c r="G340" s="64">
        <f>(G339/F339)-1</f>
        <v>1.122474432526821E-2</v>
      </c>
      <c r="H340" s="64">
        <f>(H339/F339)-1</f>
        <v>1.122474432526821E-2</v>
      </c>
      <c r="I340" s="64">
        <f>(I339/H339)-1</f>
        <v>1.5293537247163203E-2</v>
      </c>
      <c r="J340" s="64">
        <f>(J339/H339)-1</f>
        <v>1.5293537247163203E-2</v>
      </c>
      <c r="K340" s="64">
        <f>(K339/I339)-1</f>
        <v>2.818270165208947E-2</v>
      </c>
      <c r="L340" s="64">
        <f>(L339/J339)-1</f>
        <v>2.1622934888241074E-2</v>
      </c>
      <c r="N340" s="64"/>
      <c r="O340" s="64"/>
      <c r="P340" s="64"/>
      <c r="Q340" s="64"/>
      <c r="R340" s="64">
        <f t="shared" ref="R340:W340" si="550">R339/N339-1</f>
        <v>2.428722280887019E-2</v>
      </c>
      <c r="S340" s="64">
        <f t="shared" si="550"/>
        <v>2.854230377166167E-2</v>
      </c>
      <c r="T340" s="168">
        <f>T339/P339-1</f>
        <v>3.0272452068618172E-3</v>
      </c>
      <c r="U340" s="64">
        <f t="shared" si="550"/>
        <v>-3.842459173871271E-3</v>
      </c>
      <c r="V340" s="64">
        <f t="shared" si="550"/>
        <v>1.0309278350515427E-3</v>
      </c>
      <c r="W340" s="64">
        <f t="shared" si="550"/>
        <v>1.9821605550049526E-2</v>
      </c>
      <c r="X340" s="64">
        <f t="shared" ref="X340:AE340" si="551">X339/T339-1</f>
        <v>3.3199195171026208E-2</v>
      </c>
      <c r="Y340" s="64">
        <f t="shared" si="551"/>
        <v>-1.060752169720347E-2</v>
      </c>
      <c r="Z340" s="64">
        <f t="shared" si="551"/>
        <v>1.3388259526261548E-2</v>
      </c>
      <c r="AA340" s="64">
        <f t="shared" si="551"/>
        <v>-8.7463556851311575E-3</v>
      </c>
      <c r="AB340" s="64">
        <f t="shared" si="551"/>
        <v>2.8237585199610615E-2</v>
      </c>
      <c r="AC340" s="64">
        <f>AC339/Y339-1</f>
        <v>2.9239766081871288E-2</v>
      </c>
      <c r="AD340" s="64">
        <f t="shared" si="551"/>
        <v>5.7926829268292623E-2</v>
      </c>
      <c r="AE340" s="64">
        <f t="shared" si="551"/>
        <v>4.0196078431372628E-2</v>
      </c>
      <c r="AF340" s="64">
        <f>AF339/AM339-1</f>
        <v>-3.7878787878787845E-3</v>
      </c>
      <c r="AG340" s="64">
        <f>AG339/AN339-1</f>
        <v>-5.7765151515151492E-2</v>
      </c>
      <c r="AH340" s="64">
        <f>AH339/AO339-1</f>
        <v>-2.785782901056677E-2</v>
      </c>
      <c r="AI340" s="64">
        <f>AI339/AE339-1</f>
        <v>-3.7700282752121117E-3</v>
      </c>
      <c r="AJ340" s="64">
        <f>AJ339/AF339-1</f>
        <v>1.9011406844107182E-3</v>
      </c>
      <c r="AK340" s="64">
        <f>AK339/AG339-1</f>
        <v>8.7437185929648331E-2</v>
      </c>
      <c r="AL340"/>
      <c r="AM340" s="64">
        <f>AM339/X339-1</f>
        <v>2.8237585199610615E-2</v>
      </c>
      <c r="AN340" s="64">
        <f>AN339/Y339-1</f>
        <v>2.9239766081871288E-2</v>
      </c>
      <c r="AO340" s="64">
        <f>AO339/Z339-1</f>
        <v>5.7926829268292623E-2</v>
      </c>
    </row>
    <row r="341" spans="2:41" ht="13.5" customHeight="1"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N341" s="5"/>
      <c r="O341" s="5"/>
      <c r="P341" s="5"/>
      <c r="R341" s="5"/>
      <c r="S341" s="5"/>
      <c r="Y341" s="5"/>
      <c r="AC341" s="5"/>
      <c r="AG341" s="5"/>
      <c r="AK341" s="5"/>
      <c r="AL341"/>
      <c r="AN341" s="5"/>
    </row>
    <row r="342" spans="2:41" ht="13.5" customHeight="1">
      <c r="B342" s="49" t="s">
        <v>356</v>
      </c>
      <c r="C342" s="47">
        <f>+C2</f>
        <v>42004</v>
      </c>
      <c r="D342" s="47">
        <f>+D2</f>
        <v>42369</v>
      </c>
      <c r="E342" s="47">
        <f>+E2</f>
        <v>42735</v>
      </c>
      <c r="F342" s="47">
        <f>+F2</f>
        <v>43100</v>
      </c>
      <c r="G342" s="47">
        <f>G2</f>
        <v>43465</v>
      </c>
      <c r="H342" s="47">
        <f t="shared" ref="H342:X342" si="552">+H2</f>
        <v>43440</v>
      </c>
      <c r="I342" s="47">
        <f>+I2</f>
        <v>43806</v>
      </c>
      <c r="J342" s="47">
        <f>+J2</f>
        <v>43806</v>
      </c>
      <c r="K342" s="47">
        <f>+K2</f>
        <v>44172</v>
      </c>
      <c r="L342" s="47">
        <f>+L2</f>
        <v>44537</v>
      </c>
      <c r="N342" s="47">
        <f t="shared" si="552"/>
        <v>42437</v>
      </c>
      <c r="O342" s="47">
        <f t="shared" si="552"/>
        <v>42527</v>
      </c>
      <c r="P342" s="47">
        <f t="shared" si="552"/>
        <v>42622</v>
      </c>
      <c r="Q342" s="47">
        <f t="shared" si="552"/>
        <v>42714</v>
      </c>
      <c r="R342" s="47">
        <f t="shared" si="552"/>
        <v>42825</v>
      </c>
      <c r="S342" s="47">
        <f t="shared" si="552"/>
        <v>42916</v>
      </c>
      <c r="T342" s="47">
        <f t="shared" si="552"/>
        <v>43008</v>
      </c>
      <c r="U342" s="47">
        <f t="shared" si="552"/>
        <v>43099</v>
      </c>
      <c r="V342" s="47">
        <f t="shared" si="552"/>
        <v>43189</v>
      </c>
      <c r="W342" s="47">
        <f t="shared" si="552"/>
        <v>43281</v>
      </c>
      <c r="X342" s="47">
        <f t="shared" si="552"/>
        <v>43373</v>
      </c>
      <c r="Y342" s="47">
        <f>Y2</f>
        <v>43464</v>
      </c>
      <c r="Z342" s="47">
        <f>+Z2</f>
        <v>43554</v>
      </c>
      <c r="AA342" s="47">
        <f>+AA2</f>
        <v>43646</v>
      </c>
      <c r="AB342" s="47">
        <f>+AB2</f>
        <v>43738</v>
      </c>
      <c r="AC342" s="47">
        <f>AC2</f>
        <v>43829</v>
      </c>
      <c r="AD342" s="47">
        <f>+AD2</f>
        <v>43920</v>
      </c>
      <c r="AE342" s="47">
        <f>+AE2</f>
        <v>44012</v>
      </c>
      <c r="AF342" s="47">
        <f>+AF2</f>
        <v>44104</v>
      </c>
      <c r="AG342" s="253">
        <f>AG2</f>
        <v>44195</v>
      </c>
      <c r="AH342" s="47">
        <f>+AH2</f>
        <v>44285</v>
      </c>
      <c r="AI342" s="47">
        <f>+AI2</f>
        <v>44377</v>
      </c>
      <c r="AJ342" s="47">
        <f>+AJ2</f>
        <v>44469</v>
      </c>
      <c r="AK342" s="253">
        <f>AK2</f>
        <v>44560</v>
      </c>
      <c r="AL342"/>
      <c r="AM342" s="47">
        <f>AM329</f>
        <v>43738</v>
      </c>
      <c r="AN342" s="47">
        <f>AN2</f>
        <v>43829</v>
      </c>
      <c r="AO342" s="47">
        <f>AO329</f>
        <v>43920</v>
      </c>
    </row>
    <row r="343" spans="2:41" ht="13.5" customHeight="1">
      <c r="B343" s="1" t="s">
        <v>331</v>
      </c>
      <c r="C343" s="4">
        <v>25596</v>
      </c>
      <c r="D343" s="4">
        <v>41092</v>
      </c>
      <c r="E343" s="4">
        <v>39944</v>
      </c>
      <c r="F343" s="4">
        <v>40471</v>
      </c>
      <c r="G343" s="4">
        <v>41305</v>
      </c>
      <c r="H343" s="4">
        <v>39547</v>
      </c>
      <c r="I343" s="4">
        <v>41502</v>
      </c>
      <c r="J343" s="4">
        <v>43932</v>
      </c>
      <c r="K343" s="4">
        <v>50513</v>
      </c>
      <c r="L343" s="4">
        <v>53462</v>
      </c>
      <c r="N343" s="4">
        <v>9255</v>
      </c>
      <c r="O343" s="4">
        <v>8845</v>
      </c>
      <c r="P343" s="4">
        <v>9188</v>
      </c>
      <c r="Q343" s="4">
        <v>10479</v>
      </c>
      <c r="R343" s="4">
        <v>9162</v>
      </c>
      <c r="S343" s="4">
        <v>9269</v>
      </c>
      <c r="T343" s="4">
        <v>9400</v>
      </c>
      <c r="U343" s="174">
        <f>+F343-R343-S343-T343</f>
        <v>12640</v>
      </c>
      <c r="V343" s="4">
        <v>9936</v>
      </c>
      <c r="W343" s="4">
        <v>10555</v>
      </c>
      <c r="X343" s="4">
        <v>10070</v>
      </c>
      <c r="Y343" s="174">
        <f>+G343-V343-W343-X343</f>
        <v>10744</v>
      </c>
      <c r="Z343" s="4">
        <v>10259</v>
      </c>
      <c r="AA343" s="4">
        <v>10618</v>
      </c>
      <c r="AB343" s="4">
        <v>11111</v>
      </c>
      <c r="AC343" s="174">
        <f>+I343-Z343-AA343-AB343</f>
        <v>9514</v>
      </c>
      <c r="AD343" s="4">
        <v>14103</v>
      </c>
      <c r="AE343" s="4">
        <v>12531</v>
      </c>
      <c r="AF343" s="4">
        <v>13961</v>
      </c>
      <c r="AG343" s="174">
        <f>K343-AD343-AE343-AF343</f>
        <v>9918</v>
      </c>
      <c r="AH343" s="4">
        <v>12752</v>
      </c>
      <c r="AI343" s="4">
        <v>12449</v>
      </c>
      <c r="AJ343" s="4">
        <v>13389</v>
      </c>
      <c r="AK343" s="174">
        <f>L343-AH343-AI343-AJ343</f>
        <v>14872</v>
      </c>
      <c r="AL343"/>
      <c r="AM343" s="4">
        <v>12707</v>
      </c>
      <c r="AN343" s="174">
        <f>+J343-Z343-AA343-AB343</f>
        <v>11944</v>
      </c>
      <c r="AO343" s="4">
        <v>12359</v>
      </c>
    </row>
    <row r="344" spans="2:41" ht="13.5" customHeight="1">
      <c r="B344" s="1" t="s">
        <v>332</v>
      </c>
      <c r="C344" s="4">
        <v>15074</v>
      </c>
      <c r="D344" s="4">
        <v>15871</v>
      </c>
      <c r="E344" s="4">
        <v>17866</v>
      </c>
      <c r="F344" s="4">
        <v>19508</v>
      </c>
      <c r="G344" s="4">
        <v>20508</v>
      </c>
      <c r="H344" s="4">
        <v>20508</v>
      </c>
      <c r="I344" s="4">
        <v>21585</v>
      </c>
      <c r="J344" s="4">
        <v>21585</v>
      </c>
      <c r="K344" s="4">
        <v>23168</v>
      </c>
      <c r="L344" s="4">
        <v>24970</v>
      </c>
      <c r="N344" s="4">
        <v>4110</v>
      </c>
      <c r="O344" s="4">
        <v>4382</v>
      </c>
      <c r="P344" s="4">
        <v>4513</v>
      </c>
      <c r="Q344" s="4">
        <v>4861</v>
      </c>
      <c r="R344" s="4">
        <v>4699</v>
      </c>
      <c r="S344" s="4">
        <v>4828</v>
      </c>
      <c r="T344" s="4">
        <v>4864</v>
      </c>
      <c r="U344" s="174">
        <f>+F344-R344-S344-T344</f>
        <v>5117</v>
      </c>
      <c r="V344" s="4">
        <v>4796</v>
      </c>
      <c r="W344" s="4">
        <v>5125</v>
      </c>
      <c r="X344" s="4">
        <v>5204</v>
      </c>
      <c r="Y344" s="174">
        <f>+G344-V344-W344-X344</f>
        <v>5383</v>
      </c>
      <c r="Z344" s="4">
        <v>5110</v>
      </c>
      <c r="AA344" s="4">
        <v>5396</v>
      </c>
      <c r="AB344" s="4">
        <v>5427</v>
      </c>
      <c r="AC344" s="174">
        <f>+I344-Z344-AA344-AB344</f>
        <v>5652</v>
      </c>
      <c r="AD344" s="4">
        <v>5517</v>
      </c>
      <c r="AE344" s="4">
        <v>5923</v>
      </c>
      <c r="AF344" s="4">
        <v>5666</v>
      </c>
      <c r="AG344" s="174">
        <f>K344-AD344-AE344-AF344</f>
        <v>6062</v>
      </c>
      <c r="AH344" s="4">
        <v>5628</v>
      </c>
      <c r="AI344" s="4">
        <v>6050</v>
      </c>
      <c r="AJ344" s="4">
        <v>6379</v>
      </c>
      <c r="AK344" s="174">
        <f>L344-AH344-AI344-AJ344</f>
        <v>6913</v>
      </c>
      <c r="AL344"/>
      <c r="AM344" s="4">
        <v>5427</v>
      </c>
      <c r="AN344" s="174">
        <f>+J344-Z344-AA344-AB344</f>
        <v>5652</v>
      </c>
      <c r="AO344" s="4">
        <v>5517</v>
      </c>
    </row>
    <row r="345" spans="2:41" ht="13.5" customHeight="1">
      <c r="B345" s="1" t="s">
        <v>336</v>
      </c>
      <c r="C345" s="4">
        <v>3727</v>
      </c>
      <c r="D345" s="4">
        <v>5807</v>
      </c>
      <c r="E345" s="4">
        <v>5237</v>
      </c>
      <c r="F345" s="4">
        <v>5373</v>
      </c>
      <c r="G345" s="4">
        <v>5528</v>
      </c>
      <c r="H345" s="4">
        <v>5293</v>
      </c>
      <c r="I345" s="4">
        <v>5574</v>
      </c>
      <c r="J345" s="4">
        <v>5901</v>
      </c>
      <c r="K345" s="4">
        <v>5744</v>
      </c>
      <c r="L345" s="4">
        <v>6887</v>
      </c>
      <c r="N345" s="4">
        <v>1206</v>
      </c>
      <c r="O345" s="4">
        <v>1283</v>
      </c>
      <c r="P345" s="4">
        <v>1224</v>
      </c>
      <c r="Q345" s="4">
        <v>1225</v>
      </c>
      <c r="R345" s="4">
        <v>1221</v>
      </c>
      <c r="S345" s="4">
        <v>1274</v>
      </c>
      <c r="T345" s="4">
        <v>1235</v>
      </c>
      <c r="U345" s="174">
        <f>+F345-R345-S345-T345</f>
        <v>1643</v>
      </c>
      <c r="V345" s="4">
        <v>1373</v>
      </c>
      <c r="W345" s="4">
        <v>1442</v>
      </c>
      <c r="X345" s="4">
        <v>1340</v>
      </c>
      <c r="Y345" s="174">
        <f>+G345-V345-W345-X345</f>
        <v>1373</v>
      </c>
      <c r="Z345" s="4">
        <v>1332</v>
      </c>
      <c r="AA345" s="4">
        <v>1424</v>
      </c>
      <c r="AB345" s="4">
        <v>1532</v>
      </c>
      <c r="AC345" s="174">
        <f>+I345-Z345-AA345-AB345</f>
        <v>1286</v>
      </c>
      <c r="AD345" s="4">
        <v>1700</v>
      </c>
      <c r="AE345" s="4">
        <v>1240</v>
      </c>
      <c r="AF345" s="4">
        <v>1712</v>
      </c>
      <c r="AG345" s="174">
        <f>K345-AD345-AE345-AF345</f>
        <v>1092</v>
      </c>
      <c r="AH345" s="4">
        <v>1467</v>
      </c>
      <c r="AI345" s="4">
        <v>1685</v>
      </c>
      <c r="AJ345" s="4">
        <v>1804</v>
      </c>
      <c r="AK345" s="174">
        <f>L345-AH345-AI345-AJ345</f>
        <v>1931</v>
      </c>
      <c r="AL345"/>
      <c r="AM345" s="4">
        <v>1752</v>
      </c>
      <c r="AN345" s="174">
        <f>+J345-Z345-AA345-AB345</f>
        <v>1613</v>
      </c>
      <c r="AO345" s="4">
        <v>1490</v>
      </c>
    </row>
    <row r="346" spans="2:41" ht="13.5" customHeight="1">
      <c r="B346" s="1" t="s">
        <v>337</v>
      </c>
      <c r="C346" s="4">
        <v>3479</v>
      </c>
      <c r="D346" s="4">
        <v>4057</v>
      </c>
      <c r="E346" s="4">
        <v>4639</v>
      </c>
      <c r="F346" s="4">
        <v>4533</v>
      </c>
      <c r="G346" s="4">
        <v>4596</v>
      </c>
      <c r="H346" s="4">
        <v>4596</v>
      </c>
      <c r="I346" s="4">
        <v>4603</v>
      </c>
      <c r="J346" s="4">
        <v>4603</v>
      </c>
      <c r="K346" s="4">
        <v>5609</v>
      </c>
      <c r="L346" s="4">
        <v>5388</v>
      </c>
      <c r="N346" s="4">
        <v>1082</v>
      </c>
      <c r="O346" s="4">
        <v>1075</v>
      </c>
      <c r="P346" s="4">
        <v>1200</v>
      </c>
      <c r="Q346" s="4">
        <v>1282</v>
      </c>
      <c r="R346" s="4">
        <v>1157</v>
      </c>
      <c r="S346" s="4">
        <v>1073</v>
      </c>
      <c r="T346" s="4">
        <v>1021</v>
      </c>
      <c r="U346" s="174">
        <f>+F346-R346-S346-T346</f>
        <v>1282</v>
      </c>
      <c r="V346" s="4">
        <v>1045</v>
      </c>
      <c r="W346" s="4">
        <v>1164</v>
      </c>
      <c r="X346" s="4">
        <v>1127</v>
      </c>
      <c r="Y346" s="174">
        <f>+G346-V346-W346-X346</f>
        <v>1260</v>
      </c>
      <c r="Z346" s="4">
        <v>1133</v>
      </c>
      <c r="AA346" s="4">
        <v>1123</v>
      </c>
      <c r="AB346" s="4">
        <v>1189</v>
      </c>
      <c r="AC346" s="174">
        <f>+I346-Z346-AA346-AB346</f>
        <v>1158</v>
      </c>
      <c r="AD346" s="4">
        <v>1277</v>
      </c>
      <c r="AE346" s="4">
        <v>1493</v>
      </c>
      <c r="AF346" s="4">
        <v>1432</v>
      </c>
      <c r="AG346" s="174">
        <f>K346-AD346-AE346-AF346</f>
        <v>1407</v>
      </c>
      <c r="AH346" s="4">
        <v>1257</v>
      </c>
      <c r="AI346" s="4">
        <v>1213</v>
      </c>
      <c r="AJ346" s="4">
        <v>1373</v>
      </c>
      <c r="AK346" s="174">
        <f>L346-AH346-AI346-AJ346</f>
        <v>1545</v>
      </c>
      <c r="AL346"/>
      <c r="AM346" s="4">
        <v>1189</v>
      </c>
      <c r="AN346" s="174">
        <f>+J346-Z346-AA346-AB346</f>
        <v>1158</v>
      </c>
      <c r="AO346" s="4">
        <v>1277</v>
      </c>
    </row>
    <row r="347" spans="2:41" ht="13.5" customHeight="1">
      <c r="B347" s="1" t="s">
        <v>339</v>
      </c>
      <c r="C347" s="4">
        <v>2059</v>
      </c>
      <c r="D347" s="4">
        <v>-8549</v>
      </c>
      <c r="E347" s="4">
        <v>520</v>
      </c>
      <c r="F347" s="4">
        <v>696</v>
      </c>
      <c r="G347" s="4">
        <f>3260-1156</f>
        <v>2104</v>
      </c>
      <c r="H347" s="4">
        <f>3257+837</f>
        <v>4094</v>
      </c>
      <c r="I347" s="4">
        <f>3057+1067</f>
        <v>4124</v>
      </c>
      <c r="J347" s="4">
        <f>3057+-1690</f>
        <v>1367</v>
      </c>
      <c r="K347" s="4">
        <f>4053-1208+3222</f>
        <v>6067</v>
      </c>
      <c r="L347" s="4">
        <f>4945-782-620</f>
        <v>3543</v>
      </c>
      <c r="N347" s="4">
        <v>178</v>
      </c>
      <c r="O347" s="4">
        <v>763</v>
      </c>
      <c r="P347" s="4">
        <v>1084</v>
      </c>
      <c r="Q347" s="4">
        <v>972</v>
      </c>
      <c r="R347" s="4">
        <v>1438</v>
      </c>
      <c r="S347" s="4">
        <v>995</v>
      </c>
      <c r="T347" s="4">
        <v>614</v>
      </c>
      <c r="U347" s="174">
        <f>+F347-R347-S347-T347</f>
        <v>-2351</v>
      </c>
      <c r="V347" s="4">
        <f>851-468</f>
        <v>383</v>
      </c>
      <c r="W347" s="4">
        <v>656</v>
      </c>
      <c r="X347" s="4">
        <v>747</v>
      </c>
      <c r="Y347" s="174">
        <f>+G347-V347-W347-X347</f>
        <v>318</v>
      </c>
      <c r="Z347" s="4">
        <f>832-88</f>
        <v>744</v>
      </c>
      <c r="AA347" s="4">
        <f>782-30</f>
        <v>752</v>
      </c>
      <c r="AB347" s="4">
        <f>812-18</f>
        <v>794</v>
      </c>
      <c r="AC347" s="174">
        <f>+I347-Z347-AA347-AB347</f>
        <v>1834</v>
      </c>
      <c r="AD347" s="4">
        <f>712-1764</f>
        <v>-1052</v>
      </c>
      <c r="AE347" s="4">
        <f>624+2335</f>
        <v>2959</v>
      </c>
      <c r="AF347" s="4">
        <f>897-193</f>
        <v>704</v>
      </c>
      <c r="AG347" s="174">
        <f>K347-AD347-AE347-AF347</f>
        <v>3456</v>
      </c>
      <c r="AH347" s="4">
        <f>1092-16</f>
        <v>1076</v>
      </c>
      <c r="AI347" s="4">
        <f>984+70</f>
        <v>1054</v>
      </c>
      <c r="AJ347" s="4">
        <f>1078-121</f>
        <v>957</v>
      </c>
      <c r="AK347" s="174">
        <f>L347-AH347-AI347-AJ347</f>
        <v>456</v>
      </c>
      <c r="AL347"/>
      <c r="AM347" s="4">
        <f>812-1835</f>
        <v>-1023</v>
      </c>
      <c r="AN347" s="174">
        <f>+J347-Z347-AA347-AB347</f>
        <v>-923</v>
      </c>
      <c r="AO347" s="4">
        <f>712+190</f>
        <v>902</v>
      </c>
    </row>
    <row r="348" spans="2:41" ht="13.5" customHeight="1">
      <c r="B348" s="5" t="s">
        <v>340</v>
      </c>
      <c r="C348" s="8">
        <f t="shared" ref="C348:U348" si="553">SUM(C343:C347)</f>
        <v>49935</v>
      </c>
      <c r="D348" s="8">
        <f t="shared" si="553"/>
        <v>58278</v>
      </c>
      <c r="E348" s="8">
        <f t="shared" si="553"/>
        <v>68206</v>
      </c>
      <c r="F348" s="8">
        <f t="shared" si="553"/>
        <v>70581</v>
      </c>
      <c r="G348" s="8">
        <f>SUM(G343:G347)</f>
        <v>74041</v>
      </c>
      <c r="H348" s="8">
        <f t="shared" si="553"/>
        <v>74038</v>
      </c>
      <c r="I348" s="8">
        <f>SUM(I343:I347)</f>
        <v>77388</v>
      </c>
      <c r="J348" s="8">
        <f>SUM(J343:J347)</f>
        <v>77388</v>
      </c>
      <c r="K348" s="8">
        <f>SUM(K343:K347)</f>
        <v>91101</v>
      </c>
      <c r="L348" s="8">
        <f>SUM(L343:L347)</f>
        <v>94250</v>
      </c>
      <c r="N348" s="8">
        <f t="shared" si="553"/>
        <v>15831</v>
      </c>
      <c r="O348" s="8">
        <f t="shared" si="553"/>
        <v>16348</v>
      </c>
      <c r="P348" s="8">
        <f t="shared" si="553"/>
        <v>17209</v>
      </c>
      <c r="Q348" s="8">
        <f t="shared" si="553"/>
        <v>18819</v>
      </c>
      <c r="R348" s="8">
        <f t="shared" si="553"/>
        <v>17677</v>
      </c>
      <c r="S348" s="8">
        <f t="shared" si="553"/>
        <v>17439</v>
      </c>
      <c r="T348" s="8">
        <f>SUM(T343:T347)</f>
        <v>17134</v>
      </c>
      <c r="U348" s="8">
        <f t="shared" si="553"/>
        <v>18331</v>
      </c>
      <c r="V348" s="8">
        <f t="shared" ref="V348:AA348" si="554">SUM(V343:V347)</f>
        <v>17533</v>
      </c>
      <c r="W348" s="8">
        <f t="shared" si="554"/>
        <v>18942</v>
      </c>
      <c r="X348" s="8">
        <f t="shared" si="554"/>
        <v>18488</v>
      </c>
      <c r="Y348" s="8">
        <f t="shared" si="554"/>
        <v>19078</v>
      </c>
      <c r="Z348" s="8">
        <f t="shared" si="554"/>
        <v>18578</v>
      </c>
      <c r="AA348" s="8">
        <f t="shared" si="554"/>
        <v>19313</v>
      </c>
      <c r="AB348" s="8">
        <f t="shared" ref="AB348:AG348" si="555">SUM(AB343:AB347)</f>
        <v>20053</v>
      </c>
      <c r="AC348" s="8">
        <f t="shared" si="555"/>
        <v>19444</v>
      </c>
      <c r="AD348" s="8">
        <f t="shared" si="555"/>
        <v>21545</v>
      </c>
      <c r="AE348" s="8">
        <f t="shared" si="555"/>
        <v>24146</v>
      </c>
      <c r="AF348" s="8">
        <f t="shared" si="555"/>
        <v>23475</v>
      </c>
      <c r="AG348" s="8">
        <f t="shared" si="555"/>
        <v>21935</v>
      </c>
      <c r="AH348" s="8">
        <f>SUM(AH343:AH347)</f>
        <v>22180</v>
      </c>
      <c r="AI348" s="8">
        <f>SUM(AI343:AI347)</f>
        <v>22451</v>
      </c>
      <c r="AJ348" s="8">
        <f>SUM(AJ343:AJ347)</f>
        <v>23902</v>
      </c>
      <c r="AK348" s="8">
        <f>SUM(AK343:AK347)</f>
        <v>25717</v>
      </c>
      <c r="AL348"/>
      <c r="AM348" s="8">
        <f>SUM(AM343:AM347)</f>
        <v>20052</v>
      </c>
      <c r="AN348" s="8">
        <f>SUM(AN343:AN347)</f>
        <v>19444</v>
      </c>
      <c r="AO348" s="8">
        <f>SUM(AO343:AO347)</f>
        <v>21545</v>
      </c>
    </row>
    <row r="349" spans="2:41" s="56" customFormat="1" ht="13.5" customHeight="1">
      <c r="B349" s="78" t="s">
        <v>232</v>
      </c>
      <c r="C349" s="64"/>
      <c r="D349" s="64">
        <f>(D348/C348)-1</f>
        <v>0.16707720036046858</v>
      </c>
      <c r="E349" s="64">
        <f>(E348/D348)-1</f>
        <v>0.1703558804351557</v>
      </c>
      <c r="F349" s="64">
        <f>(F348/E348)-1</f>
        <v>3.4820983491188562E-2</v>
      </c>
      <c r="G349" s="64">
        <f>(G348/F348)-1</f>
        <v>4.9021691390034094E-2</v>
      </c>
      <c r="H349" s="64">
        <f>(H348/F348)-1</f>
        <v>4.897918703333759E-2</v>
      </c>
      <c r="I349" s="64">
        <f>(I348/H348)-1</f>
        <v>4.5247035306194006E-2</v>
      </c>
      <c r="J349" s="64">
        <f>(J348/I348)-1</f>
        <v>0</v>
      </c>
      <c r="K349" s="64">
        <f>(K348/I348)-1</f>
        <v>0.17719801519615452</v>
      </c>
      <c r="L349" s="64">
        <f>(L348/J348)-1</f>
        <v>0.21788907841008931</v>
      </c>
      <c r="N349" s="64"/>
      <c r="O349" s="64"/>
      <c r="P349" s="64"/>
      <c r="Q349" s="64"/>
      <c r="R349" s="64">
        <f t="shared" ref="R349:W349" si="556">R348/N348-1</f>
        <v>0.11660665782325808</v>
      </c>
      <c r="S349" s="64">
        <f t="shared" si="556"/>
        <v>6.6735992170296132E-2</v>
      </c>
      <c r="T349" s="168">
        <f>T348/P348-1</f>
        <v>-4.3581846708118377E-3</v>
      </c>
      <c r="U349" s="64">
        <f t="shared" si="556"/>
        <v>-2.593123970455391E-2</v>
      </c>
      <c r="V349" s="64">
        <f t="shared" si="556"/>
        <v>-8.1461786502234901E-3</v>
      </c>
      <c r="W349" s="64">
        <f t="shared" si="556"/>
        <v>8.6186134526062164E-2</v>
      </c>
      <c r="X349" s="64">
        <f t="shared" ref="X349:AE349" si="557">X348/T348-1</f>
        <v>7.9024162483950056E-2</v>
      </c>
      <c r="Y349" s="64">
        <f t="shared" si="557"/>
        <v>4.0750640990671494E-2</v>
      </c>
      <c r="Z349" s="64">
        <f t="shared" si="557"/>
        <v>5.9601893572121201E-2</v>
      </c>
      <c r="AA349" s="64">
        <f t="shared" si="557"/>
        <v>1.9586104951958561E-2</v>
      </c>
      <c r="AB349" s="64">
        <f t="shared" si="557"/>
        <v>8.4649502379922081E-2</v>
      </c>
      <c r="AC349" s="64">
        <f t="shared" si="557"/>
        <v>1.9184400880595476E-2</v>
      </c>
      <c r="AD349" s="64">
        <f t="shared" si="557"/>
        <v>0.1597050274518248</v>
      </c>
      <c r="AE349" s="64">
        <f t="shared" si="557"/>
        <v>0.25024594832496239</v>
      </c>
      <c r="AF349" s="64">
        <f>AF348/AM348-1</f>
        <v>0.17070616397366845</v>
      </c>
      <c r="AG349" s="64">
        <f>AG348/AN348-1</f>
        <v>0.12811149969142144</v>
      </c>
      <c r="AH349" s="64">
        <f>AH348/AO348-1</f>
        <v>2.9473195637038652E-2</v>
      </c>
      <c r="AI349" s="64">
        <f>AI348/AE348-1</f>
        <v>-7.019796239542786E-2</v>
      </c>
      <c r="AJ349" s="64">
        <f>AJ348/AF348-1</f>
        <v>1.8189563365282213E-2</v>
      </c>
      <c r="AK349" s="64">
        <f>AK348/AG348-1</f>
        <v>0.17241850923182134</v>
      </c>
      <c r="AL349"/>
      <c r="AM349" s="64">
        <f>AM348/X348-1</f>
        <v>8.4595413241021156E-2</v>
      </c>
      <c r="AN349" s="64">
        <f>AN348/Y348-1</f>
        <v>1.9184400880595476E-2</v>
      </c>
      <c r="AO349" s="64">
        <f>AO348/Z348-1</f>
        <v>0.1597050274518248</v>
      </c>
    </row>
    <row r="350" spans="2:41" s="117" customFormat="1" ht="13.5" customHeight="1">
      <c r="B350" s="118" t="s">
        <v>342</v>
      </c>
      <c r="C350" s="119">
        <f t="shared" ref="C350:AD350" si="558">+C348-C6</f>
        <v>-0.32800000000133878</v>
      </c>
      <c r="D350" s="119">
        <f t="shared" si="558"/>
        <v>-1.0040000000008149</v>
      </c>
      <c r="E350" s="119">
        <f t="shared" si="558"/>
        <v>-0.28399999999965075</v>
      </c>
      <c r="F350" s="119">
        <f t="shared" si="558"/>
        <v>0.48200000000360887</v>
      </c>
      <c r="G350" s="119">
        <f t="shared" si="558"/>
        <v>-8.8000000003376044E-2</v>
      </c>
      <c r="H350" s="119">
        <f t="shared" si="558"/>
        <v>0.41199999999662396</v>
      </c>
      <c r="I350" s="119">
        <f>+I348-I6</f>
        <v>0.34200000000419095</v>
      </c>
      <c r="J350" s="119">
        <f>+J348-J6</f>
        <v>0.34200000000419095</v>
      </c>
      <c r="K350" s="119">
        <f>+K348-K6</f>
        <v>-2.1309999999939464</v>
      </c>
      <c r="L350" s="119">
        <f>+L348-L6</f>
        <v>-0.3809999999939464</v>
      </c>
      <c r="N350" s="119">
        <f t="shared" si="558"/>
        <v>0.44499999999970896</v>
      </c>
      <c r="O350" s="119">
        <f t="shared" si="558"/>
        <v>-0.17599999999947613</v>
      </c>
      <c r="P350" s="119">
        <f t="shared" si="558"/>
        <v>-1.0000000002037268E-3</v>
      </c>
      <c r="Q350" s="119">
        <f t="shared" si="558"/>
        <v>0.44800000000032014</v>
      </c>
      <c r="R350" s="119">
        <f t="shared" si="558"/>
        <v>-0.45100000000093132</v>
      </c>
      <c r="S350" s="119">
        <f t="shared" si="558"/>
        <v>1.5580000000009022</v>
      </c>
      <c r="T350" s="119">
        <f t="shared" si="558"/>
        <v>-0.55299999999988358</v>
      </c>
      <c r="U350" s="119">
        <f t="shared" si="558"/>
        <v>-7.2000000000116415E-2</v>
      </c>
      <c r="V350" s="119">
        <f t="shared" si="558"/>
        <v>0.87199999999938882</v>
      </c>
      <c r="W350" s="119">
        <f t="shared" si="558"/>
        <v>0.21299999999973807</v>
      </c>
      <c r="X350" s="119">
        <f t="shared" si="558"/>
        <v>0.36200000000098953</v>
      </c>
      <c r="Y350" s="119">
        <f t="shared" si="558"/>
        <v>1.9650000000001455</v>
      </c>
      <c r="Z350" s="119">
        <f t="shared" si="558"/>
        <v>-0.74199999999837019</v>
      </c>
      <c r="AA350" s="119">
        <f t="shared" si="558"/>
        <v>-0.7819999999992433</v>
      </c>
      <c r="AB350" s="119">
        <f t="shared" si="558"/>
        <v>-0.3290000000015425</v>
      </c>
      <c r="AC350" s="119">
        <f t="shared" si="558"/>
        <v>2.194999999999709</v>
      </c>
      <c r="AD350" s="119">
        <f t="shared" si="558"/>
        <v>0.7069999999985157</v>
      </c>
      <c r="AE350" s="119">
        <f t="shared" ref="AE350:AJ350" si="559">+AE348-AE6</f>
        <v>0.43700000000171713</v>
      </c>
      <c r="AF350" s="119">
        <f t="shared" si="559"/>
        <v>1.7999999999992724</v>
      </c>
      <c r="AG350" s="119">
        <f t="shared" si="559"/>
        <v>-5.0750000000007276</v>
      </c>
      <c r="AH350" s="119">
        <f t="shared" si="559"/>
        <v>1.0679999999993015</v>
      </c>
      <c r="AI350" s="119">
        <f t="shared" si="559"/>
        <v>1.0149999999994179</v>
      </c>
      <c r="AJ350" s="119">
        <f t="shared" si="559"/>
        <v>-1.0529999999998836</v>
      </c>
      <c r="AK350" s="119">
        <f>+AK348-AK6</f>
        <v>-1.4109999999927823</v>
      </c>
      <c r="AL350"/>
      <c r="AM350" s="119"/>
      <c r="AN350" s="119"/>
      <c r="AO350" s="119"/>
    </row>
    <row r="351" spans="2:41" ht="13.5" customHeight="1"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N351" s="5"/>
      <c r="O351" s="5"/>
      <c r="P351" s="5"/>
      <c r="R351" s="5"/>
      <c r="S351" s="5"/>
      <c r="Y351" s="5"/>
      <c r="AC351" s="5"/>
      <c r="AG351" s="5"/>
      <c r="AK351" s="5"/>
      <c r="AL351"/>
      <c r="AN351" s="5"/>
    </row>
    <row r="352" spans="2:41" ht="13.5" customHeight="1">
      <c r="B352" s="49" t="s">
        <v>357</v>
      </c>
      <c r="C352" s="47">
        <f>+C342</f>
        <v>42004</v>
      </c>
      <c r="D352" s="47">
        <f t="shared" ref="D352:W352" si="560">+D342</f>
        <v>42369</v>
      </c>
      <c r="E352" s="47">
        <f t="shared" si="560"/>
        <v>42735</v>
      </c>
      <c r="F352" s="47">
        <f t="shared" si="560"/>
        <v>43100</v>
      </c>
      <c r="G352" s="47">
        <f>G2</f>
        <v>43465</v>
      </c>
      <c r="H352" s="47">
        <f t="shared" si="560"/>
        <v>43440</v>
      </c>
      <c r="I352" s="47">
        <f>+I342</f>
        <v>43806</v>
      </c>
      <c r="J352" s="47">
        <f>+J342</f>
        <v>43806</v>
      </c>
      <c r="K352" s="47">
        <f>+K342</f>
        <v>44172</v>
      </c>
      <c r="L352" s="47">
        <f>+L342</f>
        <v>44537</v>
      </c>
      <c r="N352" s="47">
        <f t="shared" si="560"/>
        <v>42437</v>
      </c>
      <c r="O352" s="47">
        <f t="shared" si="560"/>
        <v>42527</v>
      </c>
      <c r="P352" s="47">
        <f t="shared" si="560"/>
        <v>42622</v>
      </c>
      <c r="Q352" s="47">
        <f t="shared" si="560"/>
        <v>42714</v>
      </c>
      <c r="R352" s="47">
        <f t="shared" si="560"/>
        <v>42825</v>
      </c>
      <c r="S352" s="47">
        <f t="shared" si="560"/>
        <v>42916</v>
      </c>
      <c r="T352" s="47">
        <f t="shared" si="560"/>
        <v>43008</v>
      </c>
      <c r="U352" s="47">
        <f t="shared" si="560"/>
        <v>43099</v>
      </c>
      <c r="V352" s="47">
        <f t="shared" si="560"/>
        <v>43189</v>
      </c>
      <c r="W352" s="47">
        <f t="shared" si="560"/>
        <v>43281</v>
      </c>
      <c r="X352" s="47">
        <f>+X342</f>
        <v>43373</v>
      </c>
      <c r="Y352" s="47">
        <f>Y2</f>
        <v>43464</v>
      </c>
      <c r="Z352" s="47">
        <f>+Z342</f>
        <v>43554</v>
      </c>
      <c r="AA352" s="47">
        <f>+AA342</f>
        <v>43646</v>
      </c>
      <c r="AB352" s="47">
        <f>+AB342</f>
        <v>43738</v>
      </c>
      <c r="AC352" s="47">
        <f>AC2</f>
        <v>43829</v>
      </c>
      <c r="AD352" s="47">
        <f>+AD342</f>
        <v>43920</v>
      </c>
      <c r="AE352" s="47">
        <f>+AE342</f>
        <v>44012</v>
      </c>
      <c r="AF352" s="47">
        <f>+AF342</f>
        <v>44104</v>
      </c>
      <c r="AG352" s="253">
        <f>AG2</f>
        <v>44195</v>
      </c>
      <c r="AH352" s="47">
        <f>+AH342</f>
        <v>44285</v>
      </c>
      <c r="AI352" s="47">
        <f>+AI342</f>
        <v>44377</v>
      </c>
      <c r="AJ352" s="47">
        <f>+AJ342</f>
        <v>44469</v>
      </c>
      <c r="AK352" s="253">
        <f>AK2</f>
        <v>44560</v>
      </c>
      <c r="AL352"/>
      <c r="AM352" s="47">
        <f>+AM342</f>
        <v>43738</v>
      </c>
      <c r="AN352" s="47">
        <f>AN2</f>
        <v>43829</v>
      </c>
      <c r="AO352" s="47">
        <f>+AO342</f>
        <v>43920</v>
      </c>
    </row>
    <row r="353" spans="2:41" ht="13.5" customHeight="1">
      <c r="B353" s="1" t="s">
        <v>331</v>
      </c>
      <c r="C353" s="4">
        <v>14491</v>
      </c>
      <c r="D353" s="4">
        <v>17275</v>
      </c>
      <c r="E353" s="4">
        <v>17098</v>
      </c>
      <c r="F353" s="4">
        <v>17676</v>
      </c>
      <c r="G353" s="4">
        <v>17589</v>
      </c>
      <c r="H353" s="4">
        <v>16840</v>
      </c>
      <c r="I353" s="4">
        <v>17592</v>
      </c>
      <c r="J353" s="4">
        <v>17592</v>
      </c>
      <c r="K353" s="4">
        <v>21798</v>
      </c>
      <c r="L353" s="4">
        <v>22723</v>
      </c>
      <c r="N353" s="4">
        <v>3992</v>
      </c>
      <c r="O353" s="4">
        <v>3806</v>
      </c>
      <c r="P353" s="4">
        <v>3974</v>
      </c>
      <c r="Q353" s="4">
        <v>4387</v>
      </c>
      <c r="R353" s="4">
        <v>3908</v>
      </c>
      <c r="S353" s="4">
        <v>4090</v>
      </c>
      <c r="T353" s="4">
        <v>4079</v>
      </c>
      <c r="U353" s="211">
        <f>+F353-R353-S353-T353</f>
        <v>5599</v>
      </c>
      <c r="V353" s="142">
        <v>4225</v>
      </c>
      <c r="W353" s="142">
        <f>W343-6029</f>
        <v>4526</v>
      </c>
      <c r="X353" s="142">
        <f>X343-5860</f>
        <v>4210</v>
      </c>
      <c r="Y353" s="211">
        <f>+G353-V353-W353-X353</f>
        <v>4628</v>
      </c>
      <c r="Z353" s="142">
        <v>4301</v>
      </c>
      <c r="AA353" s="142">
        <v>4548</v>
      </c>
      <c r="AB353" s="142">
        <v>4694</v>
      </c>
      <c r="AC353" s="211">
        <f>+I353-Z353-AA353-AB353</f>
        <v>4049</v>
      </c>
      <c r="AD353" s="142">
        <v>6062</v>
      </c>
      <c r="AE353" s="142">
        <v>6418</v>
      </c>
      <c r="AF353" s="142">
        <v>6112</v>
      </c>
      <c r="AG353" s="174">
        <f>K353-AD353-AE353-AF353</f>
        <v>3206</v>
      </c>
      <c r="AH353" s="142">
        <v>5541</v>
      </c>
      <c r="AI353" s="142">
        <v>5310</v>
      </c>
      <c r="AJ353" s="142">
        <v>5637</v>
      </c>
      <c r="AK353" s="174">
        <f>L353-AH353-AI353-AJ353</f>
        <v>6235</v>
      </c>
      <c r="AL353"/>
      <c r="AM353" s="142">
        <v>5368</v>
      </c>
      <c r="AN353" s="174">
        <f>+J353-Z353-AA353-AB353</f>
        <v>4049</v>
      </c>
      <c r="AO353" s="142">
        <v>5312</v>
      </c>
    </row>
    <row r="354" spans="2:41" ht="13.5" customHeight="1">
      <c r="B354" s="1" t="s">
        <v>332</v>
      </c>
      <c r="C354" s="4">
        <v>4694</v>
      </c>
      <c r="D354" s="4">
        <v>4871</v>
      </c>
      <c r="E354" s="4">
        <v>4947</v>
      </c>
      <c r="F354" s="4">
        <v>5335</v>
      </c>
      <c r="G354" s="4">
        <v>5815</v>
      </c>
      <c r="H354" s="4">
        <v>5815</v>
      </c>
      <c r="I354" s="4">
        <v>6180</v>
      </c>
      <c r="J354" s="4">
        <v>6180</v>
      </c>
      <c r="K354" s="4">
        <v>6666</v>
      </c>
      <c r="L354" s="4">
        <v>5947</v>
      </c>
      <c r="N354" s="4">
        <v>1226</v>
      </c>
      <c r="O354" s="4">
        <v>1215</v>
      </c>
      <c r="P354" s="4">
        <v>1238</v>
      </c>
      <c r="Q354" s="4">
        <v>1268</v>
      </c>
      <c r="R354" s="4">
        <v>1213</v>
      </c>
      <c r="S354" s="4">
        <v>1337</v>
      </c>
      <c r="T354" s="4">
        <v>1341</v>
      </c>
      <c r="U354" s="174">
        <f>+F354-R354-S354-T354</f>
        <v>1444</v>
      </c>
      <c r="V354" s="4">
        <v>1305</v>
      </c>
      <c r="W354" s="4">
        <f>W344-3656</f>
        <v>1469</v>
      </c>
      <c r="X354" s="4">
        <f>X344-3769</f>
        <v>1435</v>
      </c>
      <c r="Y354" s="174">
        <f>+G354-V354-W354-X354</f>
        <v>1606</v>
      </c>
      <c r="Z354" s="4">
        <v>1466</v>
      </c>
      <c r="AA354" s="4">
        <v>1554</v>
      </c>
      <c r="AB354" s="4">
        <v>1596</v>
      </c>
      <c r="AC354" s="174">
        <f>+I354-Z354-AA354-AB354</f>
        <v>1564</v>
      </c>
      <c r="AD354" s="4">
        <v>1555</v>
      </c>
      <c r="AE354" s="4">
        <v>1708</v>
      </c>
      <c r="AF354" s="4">
        <v>1638</v>
      </c>
      <c r="AG354" s="174">
        <f>K354-AD354-AE354-AF354</f>
        <v>1765</v>
      </c>
      <c r="AH354" s="4">
        <v>1249</v>
      </c>
      <c r="AI354" s="4">
        <v>1418</v>
      </c>
      <c r="AJ354" s="4">
        <v>1640</v>
      </c>
      <c r="AK354" s="174">
        <f>L354-AH354-AI354-AJ354</f>
        <v>1640</v>
      </c>
      <c r="AL354"/>
      <c r="AM354" s="4">
        <v>1596</v>
      </c>
      <c r="AN354" s="174">
        <f>+J354-Z354-AA354-AB354</f>
        <v>1564</v>
      </c>
      <c r="AO354" s="4">
        <v>1555</v>
      </c>
    </row>
    <row r="355" spans="2:41" ht="13.5" customHeight="1">
      <c r="B355" s="1" t="s">
        <v>336</v>
      </c>
      <c r="C355" s="4"/>
      <c r="D355" s="4">
        <v>1427</v>
      </c>
      <c r="E355" s="4">
        <v>1223</v>
      </c>
      <c r="F355" s="4">
        <v>1332</v>
      </c>
      <c r="G355" s="4">
        <v>1300</v>
      </c>
      <c r="H355" s="4">
        <v>1245</v>
      </c>
      <c r="I355" s="4">
        <v>1342</v>
      </c>
      <c r="J355" s="4">
        <v>1342</v>
      </c>
      <c r="K355" s="4">
        <v>1407</v>
      </c>
      <c r="L355" s="4">
        <v>1556</v>
      </c>
      <c r="N355" s="4">
        <v>288</v>
      </c>
      <c r="O355" s="4">
        <v>298</v>
      </c>
      <c r="P355" s="4">
        <v>278</v>
      </c>
      <c r="Q355" s="4">
        <v>289</v>
      </c>
      <c r="R355" s="4">
        <v>288</v>
      </c>
      <c r="S355" s="4">
        <v>319</v>
      </c>
      <c r="T355" s="4">
        <v>303</v>
      </c>
      <c r="U355" s="174">
        <f>+F355-R355-S355-T355</f>
        <v>422</v>
      </c>
      <c r="V355" s="4">
        <v>309</v>
      </c>
      <c r="W355" s="4">
        <f>W345-1085</f>
        <v>357</v>
      </c>
      <c r="X355" s="4">
        <f>X345-1021</f>
        <v>319</v>
      </c>
      <c r="Y355" s="174">
        <f>+G355-V355-W355-X355</f>
        <v>315</v>
      </c>
      <c r="Z355" s="4">
        <v>311</v>
      </c>
      <c r="AA355" s="4">
        <v>347</v>
      </c>
      <c r="AB355" s="4">
        <v>375</v>
      </c>
      <c r="AC355" s="174">
        <f>+I355-Z355-AA355-AB355</f>
        <v>309</v>
      </c>
      <c r="AD355" s="4">
        <v>454</v>
      </c>
      <c r="AE355" s="4">
        <v>356</v>
      </c>
      <c r="AF355" s="4">
        <v>432</v>
      </c>
      <c r="AG355" s="174">
        <f>K355-AD355-AE355-AF355</f>
        <v>165</v>
      </c>
      <c r="AH355" s="4">
        <v>319</v>
      </c>
      <c r="AI355" s="4">
        <v>422</v>
      </c>
      <c r="AJ355" s="4">
        <v>405</v>
      </c>
      <c r="AK355" s="174">
        <f>L355-AH355-AI355-AJ355</f>
        <v>410</v>
      </c>
      <c r="AL355"/>
      <c r="AM355" s="4">
        <v>429</v>
      </c>
      <c r="AN355" s="174">
        <f>+J355-Z355-AA355-AB355</f>
        <v>309</v>
      </c>
      <c r="AO355" s="4">
        <v>398</v>
      </c>
    </row>
    <row r="356" spans="2:41" ht="13.5" customHeight="1">
      <c r="B356" s="1" t="s">
        <v>337</v>
      </c>
      <c r="C356" s="4">
        <v>1201</v>
      </c>
      <c r="D356" s="4">
        <v>1514</v>
      </c>
      <c r="E356" s="4">
        <v>1809</v>
      </c>
      <c r="F356" s="4">
        <v>1704</v>
      </c>
      <c r="G356" s="4">
        <v>1601</v>
      </c>
      <c r="H356" s="4">
        <v>1601</v>
      </c>
      <c r="I356" s="4">
        <v>1615</v>
      </c>
      <c r="J356" s="4">
        <v>1615</v>
      </c>
      <c r="K356" s="4">
        <v>1907</v>
      </c>
      <c r="L356" s="4">
        <v>1563</v>
      </c>
      <c r="N356" s="4">
        <v>405</v>
      </c>
      <c r="O356" s="4">
        <v>423</v>
      </c>
      <c r="P356" s="4">
        <v>471</v>
      </c>
      <c r="Q356" s="4">
        <v>509</v>
      </c>
      <c r="R356" s="4">
        <v>421</v>
      </c>
      <c r="S356" s="4">
        <v>407</v>
      </c>
      <c r="T356" s="4">
        <v>395</v>
      </c>
      <c r="U356" s="174">
        <f>+F356-R356-S356-T356</f>
        <v>481</v>
      </c>
      <c r="V356" s="4">
        <v>363</v>
      </c>
      <c r="W356" s="4">
        <f>W346-750</f>
        <v>414</v>
      </c>
      <c r="X356" s="4">
        <f>X346-729</f>
        <v>398</v>
      </c>
      <c r="Y356" s="174">
        <f>+G356-V356-W356-X356</f>
        <v>426</v>
      </c>
      <c r="Z356" s="4">
        <v>368</v>
      </c>
      <c r="AA356" s="4">
        <v>380</v>
      </c>
      <c r="AB356" s="4">
        <v>427</v>
      </c>
      <c r="AC356" s="174">
        <f>+I356-Z356-AA356-AB356</f>
        <v>440</v>
      </c>
      <c r="AD356" s="4">
        <v>437</v>
      </c>
      <c r="AE356" s="4">
        <v>510</v>
      </c>
      <c r="AF356" s="4">
        <v>502</v>
      </c>
      <c r="AG356" s="174">
        <f>K356-AD356-AE356-AF356</f>
        <v>458</v>
      </c>
      <c r="AH356" s="4">
        <v>396</v>
      </c>
      <c r="AI356" s="4">
        <v>345</v>
      </c>
      <c r="AJ356" s="4">
        <v>374</v>
      </c>
      <c r="AK356" s="174">
        <f>L356-AH356-AI356-AJ356</f>
        <v>448</v>
      </c>
      <c r="AL356"/>
      <c r="AM356" s="4">
        <v>427</v>
      </c>
      <c r="AN356" s="174">
        <f>+J356-Z356-AA356-AB356</f>
        <v>440</v>
      </c>
      <c r="AO356" s="4">
        <v>437</v>
      </c>
    </row>
    <row r="357" spans="2:41" ht="13.5" customHeight="1">
      <c r="B357" s="1" t="s">
        <v>339</v>
      </c>
      <c r="C357" s="4">
        <v>-2025</v>
      </c>
      <c r="D357" s="4">
        <v>-2745</v>
      </c>
      <c r="E357" s="4">
        <v>979</v>
      </c>
      <c r="F357" s="4">
        <v>730</v>
      </c>
      <c r="G357" s="4">
        <f>1907-518</f>
        <v>1389</v>
      </c>
      <c r="H357" s="4">
        <f>1904+286</f>
        <v>2190</v>
      </c>
      <c r="I357" s="4">
        <f>1585+401</f>
        <v>1986</v>
      </c>
      <c r="J357" s="4">
        <f>1585+401</f>
        <v>1986</v>
      </c>
      <c r="K357" s="4">
        <f>1238+512+1315</f>
        <v>3065</v>
      </c>
      <c r="L357" s="4">
        <f>1534+856-280</f>
        <v>2110</v>
      </c>
      <c r="N357" s="4">
        <v>208</v>
      </c>
      <c r="O357" s="4">
        <v>508</v>
      </c>
      <c r="P357" s="4">
        <v>675</v>
      </c>
      <c r="Q357" s="4">
        <v>597</v>
      </c>
      <c r="R357" s="4">
        <v>818</v>
      </c>
      <c r="S357" s="4">
        <v>579</v>
      </c>
      <c r="T357" s="4">
        <v>293</v>
      </c>
      <c r="U357" s="174">
        <f>+F357-R357-S357-T357</f>
        <v>-960</v>
      </c>
      <c r="V357" s="4">
        <f>513-204</f>
        <v>309</v>
      </c>
      <c r="W357" s="4">
        <f>498-102</f>
        <v>396</v>
      </c>
      <c r="X357" s="4">
        <v>629</v>
      </c>
      <c r="Y357" s="174">
        <f>+G357-V357-W357-X357</f>
        <v>55</v>
      </c>
      <c r="Z357" s="4">
        <f>397-44</f>
        <v>353</v>
      </c>
      <c r="AA357" s="4">
        <f>454-21</f>
        <v>433</v>
      </c>
      <c r="AB357" s="4">
        <f>370-15</f>
        <v>355</v>
      </c>
      <c r="AC357" s="174">
        <f>+I357-Z357-AA357-AB357</f>
        <v>845</v>
      </c>
      <c r="AD357" s="4">
        <f>339-727</f>
        <v>-388</v>
      </c>
      <c r="AE357" s="4">
        <f>489+50</f>
        <v>539</v>
      </c>
      <c r="AF357" s="4">
        <f>567-98</f>
        <v>469</v>
      </c>
      <c r="AG357" s="174">
        <f>K357-AD357-AE357-AF357</f>
        <v>2445</v>
      </c>
      <c r="AH357" s="4">
        <f>535-16</f>
        <v>519</v>
      </c>
      <c r="AI357" s="4">
        <f>565+19</f>
        <v>584</v>
      </c>
      <c r="AJ357" s="4">
        <f>608-54</f>
        <v>554</v>
      </c>
      <c r="AK357" s="174">
        <f>L357-AH357-AI357-AJ357</f>
        <v>453</v>
      </c>
      <c r="AL357"/>
      <c r="AM357" s="4">
        <f>370-744</f>
        <v>-374</v>
      </c>
      <c r="AN357" s="174">
        <f>+J357-Z357-AA357-AB357</f>
        <v>845</v>
      </c>
      <c r="AO357" s="4">
        <f>339+78</f>
        <v>417</v>
      </c>
    </row>
    <row r="358" spans="2:41" ht="13.5" customHeight="1">
      <c r="B358" s="5" t="s">
        <v>340</v>
      </c>
      <c r="C358" s="8">
        <f t="shared" ref="C358:T358" si="561">SUM(C353:C357)</f>
        <v>18361</v>
      </c>
      <c r="D358" s="8">
        <f t="shared" si="561"/>
        <v>22342</v>
      </c>
      <c r="E358" s="8">
        <f t="shared" si="561"/>
        <v>26056</v>
      </c>
      <c r="F358" s="8">
        <f t="shared" si="561"/>
        <v>26777</v>
      </c>
      <c r="G358" s="8">
        <f>SUM(G353:G357)</f>
        <v>27694</v>
      </c>
      <c r="H358" s="8">
        <f t="shared" si="561"/>
        <v>27691</v>
      </c>
      <c r="I358" s="8">
        <f>SUM(I353:I357)</f>
        <v>28715</v>
      </c>
      <c r="J358" s="8">
        <f>SUM(J353:J357)</f>
        <v>28715</v>
      </c>
      <c r="K358" s="8">
        <f>SUM(K353:K357)</f>
        <v>34843</v>
      </c>
      <c r="L358" s="8">
        <f>SUM(L353:L357)</f>
        <v>33899</v>
      </c>
      <c r="N358" s="8">
        <f t="shared" si="561"/>
        <v>6119</v>
      </c>
      <c r="O358" s="8">
        <f t="shared" si="561"/>
        <v>6250</v>
      </c>
      <c r="P358" s="8">
        <f t="shared" si="561"/>
        <v>6636</v>
      </c>
      <c r="Q358" s="8">
        <f>SUM(Q353:Q357)</f>
        <v>7050</v>
      </c>
      <c r="R358" s="155">
        <v>6646</v>
      </c>
      <c r="S358" s="8">
        <f t="shared" si="561"/>
        <v>6732</v>
      </c>
      <c r="T358" s="8">
        <f t="shared" si="561"/>
        <v>6411</v>
      </c>
      <c r="U358" s="8">
        <f t="shared" ref="U358:Z358" si="562">SUM(U353:U357)</f>
        <v>6986</v>
      </c>
      <c r="V358" s="8">
        <f t="shared" si="562"/>
        <v>6511</v>
      </c>
      <c r="W358" s="8">
        <f t="shared" si="562"/>
        <v>7162</v>
      </c>
      <c r="X358" s="8">
        <f t="shared" si="562"/>
        <v>6991</v>
      </c>
      <c r="Y358" s="8">
        <f t="shared" si="562"/>
        <v>7030</v>
      </c>
      <c r="Z358" s="8">
        <f t="shared" si="562"/>
        <v>6799</v>
      </c>
      <c r="AA358" s="8">
        <f t="shared" ref="AA358:AF358" si="563">SUM(AA353:AA357)</f>
        <v>7262</v>
      </c>
      <c r="AB358" s="8">
        <f t="shared" si="563"/>
        <v>7447</v>
      </c>
      <c r="AC358" s="8">
        <f t="shared" si="563"/>
        <v>7207</v>
      </c>
      <c r="AD358" s="8">
        <f t="shared" si="563"/>
        <v>8120</v>
      </c>
      <c r="AE358" s="8">
        <f t="shared" si="563"/>
        <v>9531</v>
      </c>
      <c r="AF358" s="8">
        <f t="shared" si="563"/>
        <v>9153</v>
      </c>
      <c r="AG358" s="8">
        <f>SUM(AG353:AG357)</f>
        <v>8039</v>
      </c>
      <c r="AH358" s="8">
        <f>SUM(AH353:AH357)</f>
        <v>8024</v>
      </c>
      <c r="AI358" s="8">
        <f>SUM(AI353:AI357)</f>
        <v>8079</v>
      </c>
      <c r="AJ358" s="8">
        <f>SUM(AJ353:AJ357)</f>
        <v>8610</v>
      </c>
      <c r="AK358" s="8">
        <f>SUM(AK353:AK357)</f>
        <v>9186</v>
      </c>
      <c r="AL358"/>
      <c r="AM358" s="8">
        <f>SUM(AM353:AM357)</f>
        <v>7446</v>
      </c>
      <c r="AN358" s="8">
        <f>SUM(AN353:AN357)</f>
        <v>7207</v>
      </c>
      <c r="AO358" s="8">
        <f>SUM(AO353:AO357)</f>
        <v>8119</v>
      </c>
    </row>
    <row r="359" spans="2:41" s="56" customFormat="1" ht="13.5" customHeight="1">
      <c r="B359" s="78" t="s">
        <v>232</v>
      </c>
      <c r="C359" s="64"/>
      <c r="D359" s="64">
        <f>(D358/C358)-1</f>
        <v>0.2168182560862697</v>
      </c>
      <c r="E359" s="64">
        <f>(E358/D358)-1</f>
        <v>0.16623399874675493</v>
      </c>
      <c r="F359" s="64">
        <f>(F358/E358)-1</f>
        <v>2.7671169788148653E-2</v>
      </c>
      <c r="G359" s="64">
        <f>(G358/F358)-1</f>
        <v>3.4245807969526032E-2</v>
      </c>
      <c r="H359" s="64">
        <f>(H358/F358)-1</f>
        <v>3.4133771520334699E-2</v>
      </c>
      <c r="I359" s="64">
        <f>(I358/H358)-1</f>
        <v>3.6979524033079247E-2</v>
      </c>
      <c r="J359" s="64">
        <f>(J358/H358)-1</f>
        <v>3.6979524033079247E-2</v>
      </c>
      <c r="K359" s="64">
        <f>(K358/I358)-1</f>
        <v>0.21340762667595325</v>
      </c>
      <c r="L359" s="64">
        <f>(L358/J358)-1</f>
        <v>0.18053282256660275</v>
      </c>
      <c r="N359" s="64"/>
      <c r="O359" s="64"/>
      <c r="P359" s="64"/>
      <c r="Q359" s="64"/>
      <c r="R359" s="64">
        <f t="shared" ref="R359:AE359" si="564">R358/N358-1</f>
        <v>8.6125183853570819E-2</v>
      </c>
      <c r="S359" s="64">
        <f t="shared" si="564"/>
        <v>7.7120000000000077E-2</v>
      </c>
      <c r="T359" s="168">
        <f>T358/P358-1</f>
        <v>-3.3905967450271302E-2</v>
      </c>
      <c r="U359" s="64">
        <f t="shared" si="564"/>
        <v>-9.0780141843971318E-3</v>
      </c>
      <c r="V359" s="64">
        <f t="shared" si="564"/>
        <v>-2.0312970207643666E-2</v>
      </c>
      <c r="W359" s="64">
        <f t="shared" si="564"/>
        <v>6.3874034462269691E-2</v>
      </c>
      <c r="X359" s="64">
        <f t="shared" si="564"/>
        <v>9.0469505537357664E-2</v>
      </c>
      <c r="Y359" s="64">
        <f t="shared" si="564"/>
        <v>6.2983109075294141E-3</v>
      </c>
      <c r="Z359" s="64">
        <f t="shared" si="564"/>
        <v>4.4232836737828185E-2</v>
      </c>
      <c r="AA359" s="64">
        <f t="shared" si="564"/>
        <v>1.3962580284836656E-2</v>
      </c>
      <c r="AB359" s="64">
        <f t="shared" si="564"/>
        <v>6.5226720068659816E-2</v>
      </c>
      <c r="AC359" s="64">
        <f t="shared" si="564"/>
        <v>2.5177809388335692E-2</v>
      </c>
      <c r="AD359" s="64">
        <f t="shared" si="564"/>
        <v>0.19429327842329758</v>
      </c>
      <c r="AE359" s="64">
        <f t="shared" si="564"/>
        <v>0.31244836133296605</v>
      </c>
      <c r="AF359" s="64">
        <f>AF358/AM358-1</f>
        <v>0.2292506043513296</v>
      </c>
      <c r="AG359" s="64">
        <f>AG358/AN358-1</f>
        <v>0.11544331899542115</v>
      </c>
      <c r="AH359" s="64">
        <f>AH358/AO358-1</f>
        <v>-1.1700948392659227E-2</v>
      </c>
      <c r="AI359" s="64" t="e">
        <f>AI358/#REF!-1</f>
        <v>#REF!</v>
      </c>
      <c r="AJ359" s="64" t="e">
        <f>AJ358/#REF!-1</f>
        <v>#REF!</v>
      </c>
      <c r="AK359" s="64">
        <f>AK358/AG358-1</f>
        <v>0.14267943774101255</v>
      </c>
      <c r="AL359"/>
      <c r="AM359" s="64">
        <f>AM358/X358-1</f>
        <v>6.5083679015877527E-2</v>
      </c>
      <c r="AN359" s="64">
        <f>AN358/Y358-1</f>
        <v>2.5177809388335692E-2</v>
      </c>
      <c r="AO359" s="64">
        <f>AO358/Z358-1</f>
        <v>0.19414619797028965</v>
      </c>
    </row>
    <row r="360" spans="2:41" s="117" customFormat="1" ht="13.5" customHeight="1">
      <c r="B360" s="118" t="s">
        <v>342</v>
      </c>
      <c r="C360" s="119">
        <f t="shared" ref="C360:AD360" si="565">+C358-C9</f>
        <v>0.42199999999866122</v>
      </c>
      <c r="D360" s="119">
        <f t="shared" si="565"/>
        <v>0.86299999999755528</v>
      </c>
      <c r="E360" s="119">
        <f t="shared" si="565"/>
        <v>0.31199999999807915</v>
      </c>
      <c r="F360" s="119">
        <f t="shared" si="565"/>
        <v>-0.52899999999499414</v>
      </c>
      <c r="G360" s="119">
        <f t="shared" si="565"/>
        <v>4.8999999999068677E-2</v>
      </c>
      <c r="H360" s="119">
        <f t="shared" si="565"/>
        <v>0.54899999999906868</v>
      </c>
      <c r="I360" s="119">
        <f>+I358-I9</f>
        <v>-0.65199999999458669</v>
      </c>
      <c r="J360" s="119">
        <f>+J358-J9</f>
        <v>-0.65199999999458669</v>
      </c>
      <c r="K360" s="119">
        <f>+K358-K9</f>
        <v>0.12700000000768341</v>
      </c>
      <c r="L360" s="119">
        <f>+L358-L9</f>
        <v>-1.2639999999955762</v>
      </c>
      <c r="N360" s="119">
        <f t="shared" si="565"/>
        <v>0.71899999999914144</v>
      </c>
      <c r="O360" s="119">
        <f t="shared" si="565"/>
        <v>-1.1080000000001746</v>
      </c>
      <c r="P360" s="119">
        <f t="shared" si="565"/>
        <v>-0.43100000000049477</v>
      </c>
      <c r="Q360" s="119">
        <f t="shared" si="565"/>
        <v>0.1319999999996071</v>
      </c>
      <c r="R360" s="119">
        <f t="shared" si="565"/>
        <v>-0.27500000000145519</v>
      </c>
      <c r="S360" s="119">
        <f t="shared" si="565"/>
        <v>-0.70599999999831198</v>
      </c>
      <c r="T360" s="119">
        <f t="shared" si="565"/>
        <v>-0.20900000000074215</v>
      </c>
      <c r="U360" s="119">
        <f t="shared" si="565"/>
        <v>-1.3389999999999418</v>
      </c>
      <c r="V360" s="119">
        <f t="shared" si="565"/>
        <v>0.13299999999981083</v>
      </c>
      <c r="W360" s="119">
        <f t="shared" si="565"/>
        <v>-1.168999999999869</v>
      </c>
      <c r="X360" s="119">
        <f t="shared" si="565"/>
        <v>0.40800000000126602</v>
      </c>
      <c r="Y360" s="119">
        <f t="shared" si="565"/>
        <v>4.1769999999978609</v>
      </c>
      <c r="Z360" s="119">
        <f t="shared" si="565"/>
        <v>5.9000000001105946E-2</v>
      </c>
      <c r="AA360" s="119">
        <f t="shared" si="565"/>
        <v>-0.89599999999882129</v>
      </c>
      <c r="AB360" s="119">
        <f t="shared" si="565"/>
        <v>0.49899999999797728</v>
      </c>
      <c r="AC360" s="119">
        <f t="shared" si="565"/>
        <v>-0.3139999999984866</v>
      </c>
      <c r="AD360" s="119">
        <f t="shared" si="565"/>
        <v>1.1019999999989523</v>
      </c>
      <c r="AE360" s="119">
        <f t="shared" ref="AE360:AJ360" si="566">+AE358-AE9</f>
        <v>0.20100000000093132</v>
      </c>
      <c r="AF360" s="119">
        <f t="shared" si="566"/>
        <v>0.57299999999850115</v>
      </c>
      <c r="AG360" s="119">
        <f t="shared" si="566"/>
        <v>-1.7489999999997963</v>
      </c>
      <c r="AH360" s="119">
        <f t="shared" si="566"/>
        <v>-1.4090000000014697</v>
      </c>
      <c r="AI360" s="119">
        <f t="shared" si="566"/>
        <v>-0.39600000000064028</v>
      </c>
      <c r="AJ360" s="119">
        <f t="shared" si="566"/>
        <v>0.26100000000042201</v>
      </c>
      <c r="AK360" s="119">
        <f>+AK358-AK9</f>
        <v>0.2800000000061118</v>
      </c>
      <c r="AL360"/>
      <c r="AM360" s="119"/>
      <c r="AN360" s="119"/>
      <c r="AO360" s="119"/>
    </row>
    <row r="361" spans="2:41" ht="13.5" customHeight="1"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N361" s="5"/>
      <c r="O361" s="5"/>
      <c r="P361" s="5"/>
      <c r="R361" s="5"/>
      <c r="S361" s="5"/>
      <c r="Y361" s="5"/>
      <c r="AC361" s="5"/>
      <c r="AG361" s="5"/>
      <c r="AK361" s="5"/>
      <c r="AL361"/>
      <c r="AN361" s="5"/>
    </row>
    <row r="362" spans="2:41" ht="13.5" customHeight="1">
      <c r="B362" s="49" t="s">
        <v>358</v>
      </c>
      <c r="C362" s="47">
        <f>+C352</f>
        <v>42004</v>
      </c>
      <c r="D362" s="47">
        <f t="shared" ref="D362:W362" si="567">+D352</f>
        <v>42369</v>
      </c>
      <c r="E362" s="47">
        <f t="shared" si="567"/>
        <v>42735</v>
      </c>
      <c r="F362" s="47">
        <f t="shared" si="567"/>
        <v>43100</v>
      </c>
      <c r="G362" s="47">
        <f>G2</f>
        <v>43465</v>
      </c>
      <c r="H362" s="47">
        <f t="shared" si="567"/>
        <v>43440</v>
      </c>
      <c r="I362" s="47">
        <f>+I352</f>
        <v>43806</v>
      </c>
      <c r="J362" s="47">
        <f>+J352</f>
        <v>43806</v>
      </c>
      <c r="K362" s="47">
        <f>+K352</f>
        <v>44172</v>
      </c>
      <c r="L362" s="47">
        <f>+L352</f>
        <v>44537</v>
      </c>
      <c r="N362" s="47">
        <f t="shared" si="567"/>
        <v>42437</v>
      </c>
      <c r="O362" s="47">
        <f t="shared" si="567"/>
        <v>42527</v>
      </c>
      <c r="P362" s="47">
        <f t="shared" si="567"/>
        <v>42622</v>
      </c>
      <c r="Q362" s="47">
        <f t="shared" si="567"/>
        <v>42714</v>
      </c>
      <c r="R362" s="47">
        <f t="shared" si="567"/>
        <v>42825</v>
      </c>
      <c r="S362" s="47">
        <f t="shared" si="567"/>
        <v>42916</v>
      </c>
      <c r="T362" s="47">
        <f t="shared" si="567"/>
        <v>43008</v>
      </c>
      <c r="U362" s="47">
        <f t="shared" si="567"/>
        <v>43099</v>
      </c>
      <c r="V362" s="47">
        <f t="shared" si="567"/>
        <v>43189</v>
      </c>
      <c r="W362" s="47">
        <f t="shared" si="567"/>
        <v>43281</v>
      </c>
      <c r="X362" s="47">
        <f>+X352</f>
        <v>43373</v>
      </c>
      <c r="Y362" s="47">
        <f>Y2</f>
        <v>43464</v>
      </c>
      <c r="Z362" s="47">
        <f>+Z352</f>
        <v>43554</v>
      </c>
      <c r="AA362" s="47">
        <f>+AA352</f>
        <v>43646</v>
      </c>
      <c r="AB362" s="47">
        <f>+AB352</f>
        <v>43738</v>
      </c>
      <c r="AC362" s="47">
        <f>AC2</f>
        <v>43829</v>
      </c>
      <c r="AD362" s="47">
        <f>+AD352</f>
        <v>43920</v>
      </c>
      <c r="AE362" s="47">
        <f>+AE352</f>
        <v>44012</v>
      </c>
      <c r="AF362" s="47">
        <f>+AF352</f>
        <v>44104</v>
      </c>
      <c r="AG362" s="253">
        <f>AG2</f>
        <v>44195</v>
      </c>
      <c r="AH362" s="47">
        <f>+AH352</f>
        <v>44285</v>
      </c>
      <c r="AI362" s="47">
        <f>+AI352</f>
        <v>44377</v>
      </c>
      <c r="AJ362" s="47">
        <f>+AJ352</f>
        <v>44469</v>
      </c>
      <c r="AK362" s="253">
        <f>AK2</f>
        <v>44560</v>
      </c>
      <c r="AL362"/>
      <c r="AM362" s="47">
        <f>+AM352</f>
        <v>43738</v>
      </c>
      <c r="AN362" s="47">
        <f>AN2</f>
        <v>43829</v>
      </c>
      <c r="AO362" s="47">
        <f>+AO352</f>
        <v>43920</v>
      </c>
    </row>
    <row r="363" spans="2:41" ht="13.5" customHeight="1">
      <c r="B363" s="1" t="s">
        <v>331</v>
      </c>
      <c r="C363" s="4">
        <v>2739</v>
      </c>
      <c r="D363" s="4">
        <v>4975</v>
      </c>
      <c r="E363" s="4">
        <v>5600</v>
      </c>
      <c r="F363" s="4">
        <v>5696</v>
      </c>
      <c r="G363" s="4">
        <v>5890</v>
      </c>
      <c r="H363" s="4">
        <v>5639</v>
      </c>
      <c r="I363" s="4">
        <v>5804</v>
      </c>
      <c r="J363" s="4">
        <v>6144</v>
      </c>
      <c r="K363" s="4">
        <v>7302</v>
      </c>
      <c r="L363" s="4">
        <v>7593</v>
      </c>
      <c r="N363" s="4">
        <v>1287</v>
      </c>
      <c r="O363" s="4">
        <v>1243</v>
      </c>
      <c r="P363" s="4">
        <v>1337</v>
      </c>
      <c r="Q363" s="4">
        <v>1423</v>
      </c>
      <c r="R363" s="4">
        <v>1217</v>
      </c>
      <c r="S363" s="4">
        <v>1357</v>
      </c>
      <c r="T363" s="4">
        <v>1334</v>
      </c>
      <c r="U363" s="174">
        <f>+F363-R363-S363-T363</f>
        <v>1788</v>
      </c>
      <c r="V363" s="4">
        <v>1412</v>
      </c>
      <c r="W363" s="4">
        <v>1569</v>
      </c>
      <c r="X363" s="4">
        <v>1392</v>
      </c>
      <c r="Y363" s="174">
        <f>+G363-V363-W363-X363</f>
        <v>1517</v>
      </c>
      <c r="Z363" s="4">
        <v>1299</v>
      </c>
      <c r="AA363" s="4">
        <v>1566</v>
      </c>
      <c r="AB363" s="4">
        <v>1561</v>
      </c>
      <c r="AC363" s="174">
        <f>+I363-Z363-AA363-AB363</f>
        <v>1378</v>
      </c>
      <c r="AD363" s="4">
        <v>2022</v>
      </c>
      <c r="AE363" s="4">
        <v>1846</v>
      </c>
      <c r="AF363" s="4">
        <v>1991</v>
      </c>
      <c r="AG363" s="174">
        <f>K363-AD363-AE363-AF363</f>
        <v>1443</v>
      </c>
      <c r="AH363" s="4">
        <v>1782</v>
      </c>
      <c r="AI363" s="4">
        <v>1701</v>
      </c>
      <c r="AJ363" s="4">
        <v>1812</v>
      </c>
      <c r="AK363" s="174">
        <f>L363-AH363-AI363-AJ363</f>
        <v>2298</v>
      </c>
      <c r="AL363"/>
      <c r="AM363" s="4">
        <v>1786</v>
      </c>
      <c r="AN363" s="174">
        <f>+J363-Z363-AA363-AB363</f>
        <v>1718</v>
      </c>
      <c r="AO363" s="4">
        <v>1772</v>
      </c>
    </row>
    <row r="364" spans="2:41" ht="13.5" customHeight="1">
      <c r="B364" s="1" t="s">
        <v>332</v>
      </c>
      <c r="C364" s="4">
        <v>2129</v>
      </c>
      <c r="D364" s="4">
        <v>2205</v>
      </c>
      <c r="E364" s="4">
        <v>2274</v>
      </c>
      <c r="F364" s="4">
        <v>2293</v>
      </c>
      <c r="G364" s="4">
        <v>2404</v>
      </c>
      <c r="H364" s="4">
        <v>2404</v>
      </c>
      <c r="I364" s="4">
        <v>2528</v>
      </c>
      <c r="J364" s="4">
        <v>2528</v>
      </c>
      <c r="K364" s="4">
        <v>2521</v>
      </c>
      <c r="L364" s="4">
        <v>2333</v>
      </c>
      <c r="N364" s="4">
        <v>530</v>
      </c>
      <c r="O364" s="4">
        <v>570</v>
      </c>
      <c r="P364" s="4">
        <v>642</v>
      </c>
      <c r="Q364" s="4">
        <v>532</v>
      </c>
      <c r="R364" s="4">
        <v>561</v>
      </c>
      <c r="S364" s="4">
        <v>602</v>
      </c>
      <c r="T364" s="4">
        <v>594</v>
      </c>
      <c r="U364" s="174">
        <f>+F364-R364-S364-T364</f>
        <v>536</v>
      </c>
      <c r="V364" s="4">
        <v>556</v>
      </c>
      <c r="W364" s="4">
        <v>592</v>
      </c>
      <c r="X364" s="4">
        <v>600</v>
      </c>
      <c r="Y364" s="174">
        <f>+G364-V364-W364-X364</f>
        <v>656</v>
      </c>
      <c r="Z364" s="4">
        <v>591</v>
      </c>
      <c r="AA364" s="4">
        <v>628</v>
      </c>
      <c r="AB364" s="4">
        <v>635</v>
      </c>
      <c r="AC364" s="174">
        <f>+I364-Z364-AA364-AB364</f>
        <v>674</v>
      </c>
      <c r="AD364" s="4">
        <v>664</v>
      </c>
      <c r="AE364" s="4">
        <v>689</v>
      </c>
      <c r="AF364" s="4">
        <v>646</v>
      </c>
      <c r="AG364" s="174">
        <f>K364-AD364-AE364-AF364</f>
        <v>522</v>
      </c>
      <c r="AH364" s="4">
        <v>331</v>
      </c>
      <c r="AI364" s="4">
        <v>625</v>
      </c>
      <c r="AJ364" s="4">
        <v>700</v>
      </c>
      <c r="AK364" s="174">
        <f>L364-AH364-AI364-AJ364</f>
        <v>677</v>
      </c>
      <c r="AL364"/>
      <c r="AM364" s="4">
        <v>635</v>
      </c>
      <c r="AN364" s="174">
        <f>+J364-Z364-AA364-AB364</f>
        <v>674</v>
      </c>
      <c r="AO364" s="4">
        <v>664</v>
      </c>
    </row>
    <row r="365" spans="2:41" ht="13.5" customHeight="1">
      <c r="B365" s="1" t="s">
        <v>336</v>
      </c>
      <c r="C365" s="4">
        <v>123</v>
      </c>
      <c r="D365" s="4">
        <v>181</v>
      </c>
      <c r="E365" s="4">
        <v>152</v>
      </c>
      <c r="F365" s="4">
        <v>194</v>
      </c>
      <c r="G365" s="4">
        <v>192</v>
      </c>
      <c r="H365" s="4">
        <v>184</v>
      </c>
      <c r="I365" s="4">
        <v>253</v>
      </c>
      <c r="J365" s="4">
        <v>268</v>
      </c>
      <c r="K365" s="4">
        <v>478</v>
      </c>
      <c r="L365" s="4">
        <v>573</v>
      </c>
      <c r="N365" s="4">
        <v>32</v>
      </c>
      <c r="O365" s="4">
        <v>62</v>
      </c>
      <c r="P365" s="4">
        <v>39</v>
      </c>
      <c r="Q365" s="4">
        <v>9</v>
      </c>
      <c r="R365" s="4">
        <v>-2</v>
      </c>
      <c r="S365" s="4">
        <v>67</v>
      </c>
      <c r="T365" s="4">
        <v>71</v>
      </c>
      <c r="U365" s="174">
        <f>+F365-R365-S365-T365</f>
        <v>58</v>
      </c>
      <c r="V365" s="4">
        <v>26</v>
      </c>
      <c r="W365" s="4">
        <v>78</v>
      </c>
      <c r="X365" s="4">
        <v>65</v>
      </c>
      <c r="Y365" s="174">
        <f>+G365-V365-W365-X365</f>
        <v>23</v>
      </c>
      <c r="Z365" s="4">
        <v>26</v>
      </c>
      <c r="AA365" s="4">
        <v>70</v>
      </c>
      <c r="AB365" s="4">
        <v>79</v>
      </c>
      <c r="AC365" s="174">
        <f>+I365-Z365-AA365-AB365</f>
        <v>78</v>
      </c>
      <c r="AD365" s="4">
        <v>63</v>
      </c>
      <c r="AE365" s="4">
        <v>8</v>
      </c>
      <c r="AF365" s="4">
        <v>227</v>
      </c>
      <c r="AG365" s="174">
        <f>K365-AD365-AE365-AF365</f>
        <v>180</v>
      </c>
      <c r="AH365" s="4">
        <v>213</v>
      </c>
      <c r="AI365" s="4">
        <v>199</v>
      </c>
      <c r="AJ365" s="4">
        <v>82</v>
      </c>
      <c r="AK365" s="174">
        <f>L365-AH365-AI365-AJ365</f>
        <v>79</v>
      </c>
      <c r="AL365"/>
      <c r="AM365" s="4">
        <v>90</v>
      </c>
      <c r="AN365" s="174">
        <f>+J365-Z365-AA365-AB365</f>
        <v>93</v>
      </c>
      <c r="AO365" s="4">
        <v>56</v>
      </c>
    </row>
    <row r="366" spans="2:41" ht="13.5" customHeight="1">
      <c r="B366" s="1" t="s">
        <v>337</v>
      </c>
      <c r="C366" s="4">
        <v>232</v>
      </c>
      <c r="D366" s="4">
        <v>369</v>
      </c>
      <c r="E366" s="4">
        <v>426</v>
      </c>
      <c r="F366" s="4">
        <v>320</v>
      </c>
      <c r="G366" s="4">
        <v>378</v>
      </c>
      <c r="H366" s="4">
        <v>378</v>
      </c>
      <c r="I366" s="4">
        <v>380</v>
      </c>
      <c r="J366" s="4">
        <v>380</v>
      </c>
      <c r="K366" s="4">
        <v>501</v>
      </c>
      <c r="L366" s="4">
        <v>312</v>
      </c>
      <c r="N366" s="4">
        <v>85</v>
      </c>
      <c r="O366" s="4">
        <v>99</v>
      </c>
      <c r="P366" s="4">
        <v>122</v>
      </c>
      <c r="Q366" s="4">
        <v>119</v>
      </c>
      <c r="R366" s="4">
        <v>60</v>
      </c>
      <c r="S366" s="4">
        <v>83</v>
      </c>
      <c r="T366" s="4">
        <v>77</v>
      </c>
      <c r="U366" s="174">
        <f>+F366-R366-S366-T366</f>
        <v>100</v>
      </c>
      <c r="V366" s="4">
        <v>78</v>
      </c>
      <c r="W366" s="4">
        <v>92</v>
      </c>
      <c r="X366" s="4">
        <v>100</v>
      </c>
      <c r="Y366" s="174">
        <f>+G366-V366-W366-X366</f>
        <v>108</v>
      </c>
      <c r="Z366" s="4">
        <v>92</v>
      </c>
      <c r="AA366" s="4">
        <v>79</v>
      </c>
      <c r="AB366" s="4">
        <v>89</v>
      </c>
      <c r="AC366" s="174">
        <f>+I366-Z366-AA366-AB366</f>
        <v>120</v>
      </c>
      <c r="AD366" s="4">
        <v>107</v>
      </c>
      <c r="AE366" s="4">
        <v>124</v>
      </c>
      <c r="AF366" s="4">
        <v>148</v>
      </c>
      <c r="AG366" s="174">
        <f>K366-AD366-AE366-AF366</f>
        <v>122</v>
      </c>
      <c r="AH366" s="4">
        <v>98</v>
      </c>
      <c r="AI366" s="4">
        <v>51</v>
      </c>
      <c r="AJ366" s="4">
        <v>64</v>
      </c>
      <c r="AK366" s="174">
        <f>L366-AH366-AI366-AJ366</f>
        <v>99</v>
      </c>
      <c r="AL366"/>
      <c r="AM366" s="4">
        <v>89</v>
      </c>
      <c r="AN366" s="174">
        <f>+J366-Z366-AA366-AB366</f>
        <v>120</v>
      </c>
      <c r="AO366" s="4">
        <v>107</v>
      </c>
    </row>
    <row r="367" spans="2:41" ht="13.5" customHeight="1">
      <c r="B367" s="1" t="s">
        <v>339</v>
      </c>
      <c r="C367" s="4">
        <v>800</v>
      </c>
      <c r="D367" s="4">
        <v>-363</v>
      </c>
      <c r="E367" s="4">
        <v>669</v>
      </c>
      <c r="F367" s="4">
        <v>816</v>
      </c>
      <c r="G367" s="4">
        <f>767-205</f>
        <v>562</v>
      </c>
      <c r="H367" s="4">
        <f>767+53</f>
        <v>820</v>
      </c>
      <c r="I367" s="4">
        <f>207+110</f>
        <v>317</v>
      </c>
      <c r="J367" s="4">
        <f>219-257</f>
        <v>-38</v>
      </c>
      <c r="K367" s="4">
        <f>-178+317+408</f>
        <v>547</v>
      </c>
      <c r="L367" s="4">
        <f>516+86-129</f>
        <v>473</v>
      </c>
      <c r="N367" s="4">
        <v>96</v>
      </c>
      <c r="O367" s="4">
        <v>217</v>
      </c>
      <c r="P367" s="4">
        <v>283</v>
      </c>
      <c r="Q367" s="4">
        <v>394</v>
      </c>
      <c r="R367" s="4">
        <v>344</v>
      </c>
      <c r="S367" s="4">
        <v>235</v>
      </c>
      <c r="T367" s="4">
        <v>236</v>
      </c>
      <c r="U367" s="174">
        <f>+F367-R367-S367-T367</f>
        <v>1</v>
      </c>
      <c r="V367" s="4">
        <f>152-77</f>
        <v>75</v>
      </c>
      <c r="W367" s="4">
        <f>233-44</f>
        <v>189</v>
      </c>
      <c r="X367" s="4">
        <f>284-4</f>
        <v>280</v>
      </c>
      <c r="Y367" s="174">
        <f>+G367-V367-W367-X367</f>
        <v>18</v>
      </c>
      <c r="Z367" s="4">
        <f>58-18</f>
        <v>40</v>
      </c>
      <c r="AA367" s="4">
        <f>32-12</f>
        <v>20</v>
      </c>
      <c r="AB367" s="4">
        <f>118-10</f>
        <v>108</v>
      </c>
      <c r="AC367" s="174">
        <f>+I367-Z367-AA367-AB367</f>
        <v>149</v>
      </c>
      <c r="AD367" s="4">
        <f>26-220</f>
        <v>-194</v>
      </c>
      <c r="AE367" s="4">
        <f>78+308</f>
        <v>386</v>
      </c>
      <c r="AF367" s="4">
        <f>14-28</f>
        <v>-14</v>
      </c>
      <c r="AG367" s="174">
        <f>K367-AD367-AE367-AF367</f>
        <v>369</v>
      </c>
      <c r="AH367" s="4">
        <f>169-17</f>
        <v>152</v>
      </c>
      <c r="AI367" s="4">
        <f>232-3</f>
        <v>229</v>
      </c>
      <c r="AJ367" s="4">
        <f>144-24</f>
        <v>120</v>
      </c>
      <c r="AK367" s="174">
        <f>L367-AH367-AI367-AJ367</f>
        <v>-28</v>
      </c>
      <c r="AL367"/>
      <c r="AM367" s="4">
        <f>118-245</f>
        <v>-127</v>
      </c>
      <c r="AN367" s="174">
        <f>+J367-Z367-AA367-AB367</f>
        <v>-206</v>
      </c>
      <c r="AO367" s="4">
        <f>28+35</f>
        <v>63</v>
      </c>
    </row>
    <row r="368" spans="2:41" ht="13.5" customHeight="1">
      <c r="B368" s="5" t="s">
        <v>340</v>
      </c>
      <c r="C368" s="8">
        <f t="shared" ref="C368:W368" si="568">SUM(C363:C367)</f>
        <v>6023</v>
      </c>
      <c r="D368" s="8">
        <f t="shared" si="568"/>
        <v>7367</v>
      </c>
      <c r="E368" s="8">
        <f t="shared" si="568"/>
        <v>9121</v>
      </c>
      <c r="F368" s="8">
        <f t="shared" si="568"/>
        <v>9319</v>
      </c>
      <c r="G368" s="8">
        <f>SUM(G363:G367)</f>
        <v>9426</v>
      </c>
      <c r="H368" s="8">
        <f t="shared" si="568"/>
        <v>9425</v>
      </c>
      <c r="I368" s="8">
        <f>SUM(I363:I367)</f>
        <v>9282</v>
      </c>
      <c r="J368" s="8">
        <f>SUM(J363:J367)</f>
        <v>9282</v>
      </c>
      <c r="K368" s="8">
        <f>SUM(K363:K367)</f>
        <v>11349</v>
      </c>
      <c r="L368" s="8">
        <f>SUM(L363:L367)</f>
        <v>11284</v>
      </c>
      <c r="N368" s="8">
        <f t="shared" si="568"/>
        <v>2030</v>
      </c>
      <c r="O368" s="8">
        <f t="shared" si="568"/>
        <v>2191</v>
      </c>
      <c r="P368" s="8">
        <f t="shared" si="568"/>
        <v>2423</v>
      </c>
      <c r="Q368" s="8">
        <f t="shared" si="568"/>
        <v>2477</v>
      </c>
      <c r="R368" s="8">
        <f t="shared" si="568"/>
        <v>2180</v>
      </c>
      <c r="S368" s="8">
        <f t="shared" si="568"/>
        <v>2344</v>
      </c>
      <c r="T368" s="8">
        <f t="shared" si="568"/>
        <v>2312</v>
      </c>
      <c r="U368" s="8">
        <f t="shared" si="568"/>
        <v>2483</v>
      </c>
      <c r="V368" s="8">
        <f t="shared" si="568"/>
        <v>2147</v>
      </c>
      <c r="W368" s="8">
        <f t="shared" si="568"/>
        <v>2520</v>
      </c>
      <c r="X368" s="8">
        <f t="shared" ref="X368:AC368" si="569">SUM(X363:X367)</f>
        <v>2437</v>
      </c>
      <c r="Y368" s="8">
        <f t="shared" si="569"/>
        <v>2322</v>
      </c>
      <c r="Z368" s="8">
        <f t="shared" si="569"/>
        <v>2048</v>
      </c>
      <c r="AA368" s="8">
        <f t="shared" si="569"/>
        <v>2363</v>
      </c>
      <c r="AB368" s="8">
        <f t="shared" si="569"/>
        <v>2472</v>
      </c>
      <c r="AC368" s="8">
        <f t="shared" si="569"/>
        <v>2399</v>
      </c>
      <c r="AD368" s="8">
        <f t="shared" ref="AD368:AI368" si="570">SUM(AD363:AD367)</f>
        <v>2662</v>
      </c>
      <c r="AE368" s="8">
        <f t="shared" si="570"/>
        <v>3053</v>
      </c>
      <c r="AF368" s="8">
        <f t="shared" si="570"/>
        <v>2998</v>
      </c>
      <c r="AG368" s="8">
        <f t="shared" si="570"/>
        <v>2636</v>
      </c>
      <c r="AH368" s="8">
        <f t="shared" si="570"/>
        <v>2576</v>
      </c>
      <c r="AI368" s="8">
        <f t="shared" si="570"/>
        <v>2805</v>
      </c>
      <c r="AJ368" s="8">
        <f>SUM(AJ363:AJ367)</f>
        <v>2778</v>
      </c>
      <c r="AK368" s="8">
        <f>SUM(AK363:AK367)</f>
        <v>3125</v>
      </c>
      <c r="AL368"/>
      <c r="AM368" s="8">
        <f>SUM(AM363:AM367)</f>
        <v>2473</v>
      </c>
      <c r="AN368" s="8">
        <f>SUM(AN363:AN367)</f>
        <v>2399</v>
      </c>
      <c r="AO368" s="8">
        <f>SUM(AO363:AO367)</f>
        <v>2662</v>
      </c>
    </row>
    <row r="369" spans="2:41" ht="13.5" customHeight="1">
      <c r="B369" s="78" t="s">
        <v>232</v>
      </c>
      <c r="C369" s="64"/>
      <c r="D369" s="64">
        <f>(D368/C368)-1</f>
        <v>0.22314461231944205</v>
      </c>
      <c r="E369" s="64">
        <f>(E368/D368)-1</f>
        <v>0.23808877426360797</v>
      </c>
      <c r="F369" s="64">
        <f>(F368/E368)-1</f>
        <v>2.1708146036618858E-2</v>
      </c>
      <c r="G369" s="64">
        <f>(G368/F368)-1</f>
        <v>1.1481918660800616E-2</v>
      </c>
      <c r="H369" s="64">
        <f>(H368/F368)-1</f>
        <v>1.1374611009765001E-2</v>
      </c>
      <c r="I369" s="64">
        <f>(I368/H368)-1</f>
        <v>-1.5172413793103412E-2</v>
      </c>
      <c r="J369" s="64">
        <f>(J368/H368)-1</f>
        <v>-1.5172413793103412E-2</v>
      </c>
      <c r="K369" s="64">
        <f>(K368/I368)-1</f>
        <v>0.2226890756302522</v>
      </c>
      <c r="L369" s="64">
        <f>(L368/J368)-1</f>
        <v>0.21568627450980382</v>
      </c>
      <c r="N369" s="64"/>
      <c r="O369" s="64"/>
      <c r="P369" s="64"/>
      <c r="Q369" s="64"/>
      <c r="R369" s="64">
        <f t="shared" ref="R369:AE369" si="571">R368/N368-1</f>
        <v>7.3891625615763568E-2</v>
      </c>
      <c r="S369" s="64">
        <f t="shared" si="571"/>
        <v>6.9831127339114563E-2</v>
      </c>
      <c r="T369" s="168">
        <f t="shared" si="571"/>
        <v>-4.5810978126289759E-2</v>
      </c>
      <c r="U369" s="64">
        <f t="shared" si="571"/>
        <v>2.4222850222042069E-3</v>
      </c>
      <c r="V369" s="64">
        <f t="shared" si="571"/>
        <v>-1.513761467889907E-2</v>
      </c>
      <c r="W369" s="64">
        <f t="shared" si="571"/>
        <v>7.5085324232081918E-2</v>
      </c>
      <c r="X369" s="64">
        <f t="shared" si="571"/>
        <v>5.4065743944636591E-2</v>
      </c>
      <c r="Y369" s="64">
        <f t="shared" si="571"/>
        <v>-6.4840918244059575E-2</v>
      </c>
      <c r="Z369" s="64">
        <f t="shared" si="571"/>
        <v>-4.6110852352119203E-2</v>
      </c>
      <c r="AA369" s="64">
        <f t="shared" si="571"/>
        <v>-6.2301587301587302E-2</v>
      </c>
      <c r="AB369" s="64">
        <f t="shared" si="571"/>
        <v>1.4361920393926919E-2</v>
      </c>
      <c r="AC369" s="64">
        <f t="shared" si="571"/>
        <v>3.3161068044788911E-2</v>
      </c>
      <c r="AD369" s="64">
        <f t="shared" si="571"/>
        <v>0.2998046875</v>
      </c>
      <c r="AE369" s="64">
        <f t="shared" si="571"/>
        <v>0.29200169276343635</v>
      </c>
      <c r="AF369" s="64">
        <f>AF368/AM368-1</f>
        <v>0.21229276182773948</v>
      </c>
      <c r="AG369" s="64">
        <f>AG368/AN368-1</f>
        <v>9.8791162984576797E-2</v>
      </c>
      <c r="AH369" s="64">
        <f>AH368/AO368-1</f>
        <v>-3.2306536438767797E-2</v>
      </c>
      <c r="AI369" s="64">
        <f>AI368/AE368-1</f>
        <v>-8.1231575499508657E-2</v>
      </c>
      <c r="AJ369" s="64">
        <f>AJ368/AF368-1</f>
        <v>-7.3382254836557692E-2</v>
      </c>
      <c r="AK369" s="64">
        <f>AK368/AG368-1</f>
        <v>0.18550834597875565</v>
      </c>
      <c r="AL369"/>
      <c r="AM369" s="64">
        <f>AM368/X368-1</f>
        <v>1.4772260976610552E-2</v>
      </c>
      <c r="AN369" s="64">
        <f>AN368/Y368-1</f>
        <v>3.3161068044788911E-2</v>
      </c>
      <c r="AO369" s="64">
        <f>AO368/Z368-1</f>
        <v>0.2998046875</v>
      </c>
    </row>
    <row r="370" spans="2:41" s="117" customFormat="1" ht="13.5" customHeight="1">
      <c r="B370" s="118" t="s">
        <v>342</v>
      </c>
      <c r="C370" s="119">
        <f t="shared" ref="C370:AD370" si="572">+C368-C13</f>
        <v>8.5999999998421117E-2</v>
      </c>
      <c r="D370" s="119">
        <f t="shared" si="572"/>
        <v>-0.9470000000028449</v>
      </c>
      <c r="E370" s="119">
        <f t="shared" si="572"/>
        <v>-0.70500000000174623</v>
      </c>
      <c r="F370" s="119">
        <f t="shared" si="572"/>
        <v>-0.24399999999513966</v>
      </c>
      <c r="G370" s="119">
        <f t="shared" si="572"/>
        <v>0.5180000000000291</v>
      </c>
      <c r="H370" s="119">
        <f t="shared" si="572"/>
        <v>-0.4819999999999709</v>
      </c>
      <c r="I370" s="119">
        <f>+I368-I13</f>
        <v>-4.9999999937426765E-3</v>
      </c>
      <c r="J370" s="119">
        <f>+J368-J13</f>
        <v>-4.9999999937426765E-3</v>
      </c>
      <c r="K370" s="119">
        <f>+K368-K13</f>
        <v>0.5950000000102591</v>
      </c>
      <c r="L370" s="119">
        <f>+L368-L13</f>
        <v>0.8650000000034197</v>
      </c>
      <c r="N370" s="119">
        <f t="shared" si="572"/>
        <v>-0.6920000000006894</v>
      </c>
      <c r="O370" s="119">
        <f t="shared" si="572"/>
        <v>0.36300000000028376</v>
      </c>
      <c r="P370" s="119">
        <f t="shared" si="572"/>
        <v>0.27199999999947977</v>
      </c>
      <c r="Q370" s="119">
        <f t="shared" si="572"/>
        <v>-0.64700000000038926</v>
      </c>
      <c r="R370" s="119">
        <f t="shared" si="572"/>
        <v>0.33399999999846841</v>
      </c>
      <c r="S370" s="119">
        <f t="shared" si="572"/>
        <v>0.46900000000141517</v>
      </c>
      <c r="T370" s="119">
        <f t="shared" si="572"/>
        <v>-0.31900000000041473</v>
      </c>
      <c r="U370" s="119">
        <f t="shared" si="572"/>
        <v>-0.72899999999935972</v>
      </c>
      <c r="V370" s="119">
        <f t="shared" si="572"/>
        <v>1.18100000000004</v>
      </c>
      <c r="W370" s="119">
        <f t="shared" si="572"/>
        <v>1.2170000000000982</v>
      </c>
      <c r="X370" s="119">
        <f t="shared" si="572"/>
        <v>1.2010000000013861</v>
      </c>
      <c r="Y370" s="119">
        <f t="shared" si="572"/>
        <v>-3.0810000000014952</v>
      </c>
      <c r="Z370" s="119">
        <f t="shared" si="572"/>
        <v>-0.9389999999993961</v>
      </c>
      <c r="AA370" s="119">
        <f t="shared" si="572"/>
        <v>0.54800000000068394</v>
      </c>
      <c r="AB370" s="119">
        <f t="shared" si="572"/>
        <v>-1.8290000000019973</v>
      </c>
      <c r="AC370" s="119">
        <f t="shared" si="572"/>
        <v>2.215000000006512</v>
      </c>
      <c r="AD370" s="119">
        <f t="shared" si="572"/>
        <v>0.29099999999834836</v>
      </c>
      <c r="AE370" s="119">
        <f t="shared" ref="AE370:AJ370" si="573">+AE368-AE13</f>
        <v>-0.1839999999997417</v>
      </c>
      <c r="AF370" s="119">
        <f t="shared" si="573"/>
        <v>0.23599999999851207</v>
      </c>
      <c r="AG370" s="119">
        <f t="shared" si="573"/>
        <v>0.25200000001223088</v>
      </c>
      <c r="AH370" s="119">
        <f t="shared" si="573"/>
        <v>-9.3000000001211447E-2</v>
      </c>
      <c r="AI370" s="119">
        <f t="shared" si="573"/>
        <v>0.15199999999913416</v>
      </c>
      <c r="AJ370" s="119">
        <f t="shared" si="573"/>
        <v>-0.46999999999934516</v>
      </c>
      <c r="AK370" s="119">
        <f>+AK368-AK13</f>
        <v>1.2760000000025684</v>
      </c>
      <c r="AL370"/>
      <c r="AM370" s="119"/>
      <c r="AN370" s="119"/>
      <c r="AO370" s="119"/>
    </row>
    <row r="371" spans="2:41" ht="13.5" customHeight="1"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/>
      <c r="AN371" s="5"/>
      <c r="AO371" s="5"/>
    </row>
    <row r="372" spans="2:41" ht="13.5" customHeight="1">
      <c r="B372" s="49" t="s">
        <v>359</v>
      </c>
      <c r="C372" s="47">
        <f>+C2</f>
        <v>42004</v>
      </c>
      <c r="D372" s="47">
        <f>+D2</f>
        <v>42369</v>
      </c>
      <c r="E372" s="47">
        <f>+E2</f>
        <v>42735</v>
      </c>
      <c r="F372" s="47">
        <f>+F2</f>
        <v>43100</v>
      </c>
      <c r="G372" s="47">
        <f>G2</f>
        <v>43465</v>
      </c>
      <c r="H372" s="47">
        <f t="shared" ref="H372:X372" si="574">+H2</f>
        <v>43440</v>
      </c>
      <c r="I372" s="47">
        <f>+I2</f>
        <v>43806</v>
      </c>
      <c r="J372" s="47">
        <f>+J2</f>
        <v>43806</v>
      </c>
      <c r="K372" s="47">
        <f>+K2</f>
        <v>44172</v>
      </c>
      <c r="L372" s="47">
        <f>+L2</f>
        <v>44537</v>
      </c>
      <c r="N372" s="47">
        <f t="shared" si="574"/>
        <v>42437</v>
      </c>
      <c r="O372" s="47">
        <f t="shared" si="574"/>
        <v>42527</v>
      </c>
      <c r="P372" s="47">
        <f t="shared" si="574"/>
        <v>42622</v>
      </c>
      <c r="Q372" s="47">
        <f t="shared" si="574"/>
        <v>42714</v>
      </c>
      <c r="R372" s="47">
        <f t="shared" si="574"/>
        <v>42825</v>
      </c>
      <c r="S372" s="47">
        <f t="shared" si="574"/>
        <v>42916</v>
      </c>
      <c r="T372" s="47">
        <f t="shared" si="574"/>
        <v>43008</v>
      </c>
      <c r="U372" s="47">
        <f t="shared" si="574"/>
        <v>43099</v>
      </c>
      <c r="V372" s="47">
        <f t="shared" si="574"/>
        <v>43189</v>
      </c>
      <c r="W372" s="47">
        <f t="shared" si="574"/>
        <v>43281</v>
      </c>
      <c r="X372" s="47">
        <f t="shared" si="574"/>
        <v>43373</v>
      </c>
      <c r="Y372" s="47">
        <f>Y2</f>
        <v>43464</v>
      </c>
      <c r="Z372" s="47">
        <f>+Z2</f>
        <v>43554</v>
      </c>
      <c r="AA372" s="47">
        <f>+AA2</f>
        <v>43646</v>
      </c>
      <c r="AB372" s="47">
        <f>+AB2</f>
        <v>43738</v>
      </c>
      <c r="AC372" s="47">
        <f>AC2</f>
        <v>43829</v>
      </c>
      <c r="AD372" s="47">
        <f>+AD2</f>
        <v>43920</v>
      </c>
      <c r="AE372" s="47">
        <f>+AE2</f>
        <v>44012</v>
      </c>
      <c r="AF372" s="47">
        <f>+AF2</f>
        <v>44104</v>
      </c>
      <c r="AG372" s="253">
        <f>AG2</f>
        <v>44195</v>
      </c>
      <c r="AH372" s="47">
        <f>+AH2</f>
        <v>44285</v>
      </c>
      <c r="AI372" s="47">
        <f>+AI2</f>
        <v>44377</v>
      </c>
      <c r="AJ372" s="47">
        <f>+AJ2</f>
        <v>44469</v>
      </c>
      <c r="AK372" s="253">
        <f>AK2</f>
        <v>44560</v>
      </c>
      <c r="AL372"/>
      <c r="AM372" s="47">
        <f>AM362</f>
        <v>43738</v>
      </c>
      <c r="AN372" s="47">
        <f>AN2</f>
        <v>43829</v>
      </c>
      <c r="AO372" s="47">
        <f>AO362</f>
        <v>43920</v>
      </c>
    </row>
    <row r="373" spans="2:41" ht="13.5" customHeight="1">
      <c r="B373" s="1" t="s">
        <v>331</v>
      </c>
      <c r="C373" s="4">
        <v>5035</v>
      </c>
      <c r="D373" s="4">
        <v>6430</v>
      </c>
      <c r="E373" s="4">
        <v>6818</v>
      </c>
      <c r="F373" s="4">
        <v>6941</v>
      </c>
      <c r="G373" s="4">
        <v>7329</v>
      </c>
      <c r="H373" s="4">
        <v>7025</v>
      </c>
      <c r="I373" s="4">
        <v>7746</v>
      </c>
      <c r="J373" s="4">
        <v>7746</v>
      </c>
      <c r="K373" s="4">
        <v>9623</v>
      </c>
      <c r="L373" s="4">
        <v>9948</v>
      </c>
      <c r="N373" s="4">
        <v>1572</v>
      </c>
      <c r="O373" s="4">
        <v>1510</v>
      </c>
      <c r="P373" s="4">
        <v>1602</v>
      </c>
      <c r="Q373" s="4">
        <v>1761</v>
      </c>
      <c r="R373" s="4">
        <v>1499</v>
      </c>
      <c r="S373" s="4">
        <v>1635</v>
      </c>
      <c r="T373" s="4">
        <v>1615</v>
      </c>
      <c r="U373" s="174">
        <f>+F373-R373-S373-T373</f>
        <v>2192</v>
      </c>
      <c r="V373" s="4">
        <v>1748</v>
      </c>
      <c r="W373" s="4">
        <v>1914</v>
      </c>
      <c r="X373" s="4">
        <v>1746</v>
      </c>
      <c r="Y373" s="174">
        <f>+G373-V373-W373-X373</f>
        <v>1921</v>
      </c>
      <c r="Z373" s="4">
        <v>1831</v>
      </c>
      <c r="AA373" s="4">
        <v>2027</v>
      </c>
      <c r="AB373" s="4">
        <v>2087</v>
      </c>
      <c r="AC373" s="174">
        <f>+I373-Z373-AA373-AB373</f>
        <v>1801</v>
      </c>
      <c r="AD373" s="4">
        <v>2632</v>
      </c>
      <c r="AE373" s="4">
        <v>2412</v>
      </c>
      <c r="AF373" s="4">
        <v>2635</v>
      </c>
      <c r="AG373" s="174">
        <f>K373-AD373-AE373-AF373</f>
        <v>1944</v>
      </c>
      <c r="AH373" s="4">
        <v>2354</v>
      </c>
      <c r="AI373" s="4">
        <v>2273</v>
      </c>
      <c r="AJ373" s="4">
        <v>2383</v>
      </c>
      <c r="AK373" s="174">
        <f>L373-AH373-AI373-AJ373</f>
        <v>2938</v>
      </c>
      <c r="AL373"/>
      <c r="AM373" s="4">
        <v>2386</v>
      </c>
      <c r="AN373" s="174">
        <f>+J373-Z373-AA373-AB373</f>
        <v>1801</v>
      </c>
      <c r="AO373" s="4">
        <v>2306</v>
      </c>
    </row>
    <row r="374" spans="2:41" ht="13.5" customHeight="1">
      <c r="B374" s="1" t="s">
        <v>332</v>
      </c>
      <c r="C374" s="4">
        <v>2828</v>
      </c>
      <c r="D374" s="4">
        <v>2942</v>
      </c>
      <c r="E374" s="4">
        <v>2964</v>
      </c>
      <c r="F374" s="4">
        <v>3084</v>
      </c>
      <c r="G374" s="4">
        <v>3297</v>
      </c>
      <c r="H374" s="4">
        <v>3297</v>
      </c>
      <c r="I374" s="4">
        <v>3531</v>
      </c>
      <c r="J374" s="4">
        <v>3531</v>
      </c>
      <c r="K374" s="4">
        <v>3639</v>
      </c>
      <c r="L374" s="4">
        <v>3493</v>
      </c>
      <c r="N374" s="4">
        <v>717</v>
      </c>
      <c r="O374" s="4">
        <v>759</v>
      </c>
      <c r="P374" s="4">
        <v>754</v>
      </c>
      <c r="Q374" s="4">
        <v>733</v>
      </c>
      <c r="R374" s="4">
        <v>755</v>
      </c>
      <c r="S374" s="4">
        <v>797</v>
      </c>
      <c r="T374" s="4">
        <v>790</v>
      </c>
      <c r="U374" s="174">
        <f>+F374-R374-S374-T374</f>
        <v>742</v>
      </c>
      <c r="V374" s="4">
        <v>782</v>
      </c>
      <c r="W374" s="4">
        <v>818</v>
      </c>
      <c r="X374" s="4">
        <v>831</v>
      </c>
      <c r="Y374" s="174">
        <f>+G374-V374-W374-X374</f>
        <v>866</v>
      </c>
      <c r="Z374" s="4">
        <v>828</v>
      </c>
      <c r="AA374" s="4">
        <v>872</v>
      </c>
      <c r="AB374" s="4">
        <v>882</v>
      </c>
      <c r="AC374" s="174">
        <f>+I374-Z374-AA374-AB374</f>
        <v>949</v>
      </c>
      <c r="AD374" s="4">
        <v>935</v>
      </c>
      <c r="AE374" s="4">
        <v>963</v>
      </c>
      <c r="AF374" s="4">
        <v>921</v>
      </c>
      <c r="AG374" s="174">
        <f>K374-AD374-AE374-AF374</f>
        <v>820</v>
      </c>
      <c r="AH374" s="4">
        <v>615</v>
      </c>
      <c r="AI374" s="4">
        <v>910</v>
      </c>
      <c r="AJ374" s="4">
        <v>996</v>
      </c>
      <c r="AK374" s="174">
        <f>L374-AH374-AI374-AJ374</f>
        <v>972</v>
      </c>
      <c r="AL374"/>
      <c r="AM374" s="4">
        <v>882</v>
      </c>
      <c r="AN374" s="174">
        <f>+J374-Z374-AA374-AB374</f>
        <v>949</v>
      </c>
      <c r="AO374" s="4">
        <v>935</v>
      </c>
    </row>
    <row r="375" spans="2:41" ht="13.5" customHeight="1">
      <c r="B375" s="1" t="s">
        <v>336</v>
      </c>
      <c r="C375" s="4"/>
      <c r="D375" s="4">
        <v>429</v>
      </c>
      <c r="E375" s="4">
        <v>361</v>
      </c>
      <c r="F375" s="4">
        <v>415</v>
      </c>
      <c r="G375" s="4">
        <v>451</v>
      </c>
      <c r="H375" s="4">
        <v>432</v>
      </c>
      <c r="I375" s="4">
        <v>498</v>
      </c>
      <c r="J375" s="4">
        <v>498</v>
      </c>
      <c r="K375" s="4">
        <v>724</v>
      </c>
      <c r="L375" s="4">
        <v>847</v>
      </c>
      <c r="N375" s="4">
        <v>79</v>
      </c>
      <c r="O375" s="4">
        <v>108</v>
      </c>
      <c r="P375" s="4">
        <v>90</v>
      </c>
      <c r="Q375" s="4">
        <v>62</v>
      </c>
      <c r="R375" s="4">
        <v>46</v>
      </c>
      <c r="S375" s="4">
        <v>116</v>
      </c>
      <c r="T375" s="4">
        <v>121</v>
      </c>
      <c r="U375" s="174">
        <f>+F375-R375-S375-T375</f>
        <v>132</v>
      </c>
      <c r="V375" s="4">
        <v>86</v>
      </c>
      <c r="W375" s="4">
        <v>142</v>
      </c>
      <c r="X375" s="4">
        <v>123</v>
      </c>
      <c r="Y375" s="174">
        <f>+G375-V375-W375-X375</f>
        <v>100</v>
      </c>
      <c r="Z375" s="4">
        <v>87</v>
      </c>
      <c r="AA375" s="4">
        <v>131</v>
      </c>
      <c r="AB375" s="4">
        <v>144</v>
      </c>
      <c r="AC375" s="174">
        <f>+I375-Z375-AA375-AB375</f>
        <v>136</v>
      </c>
      <c r="AD375" s="4">
        <v>138</v>
      </c>
      <c r="AE375" s="4">
        <v>61</v>
      </c>
      <c r="AF375" s="4">
        <v>295</v>
      </c>
      <c r="AG375" s="174">
        <f>K375-AD375-AE375-AF375</f>
        <v>230</v>
      </c>
      <c r="AH375" s="4">
        <v>277</v>
      </c>
      <c r="AI375" s="4">
        <v>266</v>
      </c>
      <c r="AJ375" s="4">
        <v>152</v>
      </c>
      <c r="AK375" s="174">
        <f>L375-AH375-AI375-AJ375</f>
        <v>152</v>
      </c>
      <c r="AL375"/>
      <c r="AM375" s="4">
        <v>164</v>
      </c>
      <c r="AN375" s="174">
        <f>+J375-Z375-AA375-AB375</f>
        <v>136</v>
      </c>
      <c r="AO375" s="4">
        <v>121</v>
      </c>
    </row>
    <row r="376" spans="2:41" ht="13.5" customHeight="1">
      <c r="B376" s="1" t="s">
        <v>337</v>
      </c>
      <c r="C376" s="4">
        <v>350</v>
      </c>
      <c r="D376" s="4">
        <v>460</v>
      </c>
      <c r="E376" s="4">
        <v>534</v>
      </c>
      <c r="F376" s="4">
        <v>446</v>
      </c>
      <c r="G376" s="4">
        <v>523</v>
      </c>
      <c r="H376" s="4">
        <v>523</v>
      </c>
      <c r="I376" s="4">
        <v>550</v>
      </c>
      <c r="J376" s="4">
        <v>550</v>
      </c>
      <c r="K376" s="4">
        <v>676</v>
      </c>
      <c r="L376" s="4">
        <v>459</v>
      </c>
      <c r="N376" s="4">
        <v>111</v>
      </c>
      <c r="O376" s="4">
        <v>125</v>
      </c>
      <c r="P376" s="4">
        <v>149</v>
      </c>
      <c r="Q376" s="4">
        <v>149</v>
      </c>
      <c r="R376" s="4">
        <v>92</v>
      </c>
      <c r="S376" s="4">
        <v>113</v>
      </c>
      <c r="T376" s="4">
        <v>107</v>
      </c>
      <c r="U376" s="174">
        <f>+F376-R376-S376-T376</f>
        <v>134</v>
      </c>
      <c r="V376" s="4">
        <v>112</v>
      </c>
      <c r="W376" s="4">
        <v>128</v>
      </c>
      <c r="X376" s="4">
        <v>135</v>
      </c>
      <c r="Y376" s="174">
        <f>+G376-V376-W376-X376</f>
        <v>148</v>
      </c>
      <c r="Z376" s="4">
        <v>134</v>
      </c>
      <c r="AA376" s="4">
        <v>122</v>
      </c>
      <c r="AB376" s="4">
        <v>133</v>
      </c>
      <c r="AC376" s="174">
        <f>+I376-Z376-AA376-AB376</f>
        <v>161</v>
      </c>
      <c r="AD376" s="4">
        <v>151</v>
      </c>
      <c r="AE376" s="4">
        <v>172</v>
      </c>
      <c r="AF376" s="4">
        <v>192</v>
      </c>
      <c r="AG376" s="174">
        <f>K376-AD376-AE376-AF376</f>
        <v>161</v>
      </c>
      <c r="AH376" s="4">
        <v>137</v>
      </c>
      <c r="AI376" s="4">
        <v>88</v>
      </c>
      <c r="AJ376" s="4">
        <v>99</v>
      </c>
      <c r="AK376" s="174">
        <f>L376-AH376-AI376-AJ376</f>
        <v>135</v>
      </c>
      <c r="AL376"/>
      <c r="AM376" s="4">
        <v>133</v>
      </c>
      <c r="AN376" s="174">
        <f>+J376-Z376-AA376-AB376</f>
        <v>161</v>
      </c>
      <c r="AO376" s="4">
        <v>151</v>
      </c>
    </row>
    <row r="377" spans="2:41" ht="13.5" customHeight="1">
      <c r="B377" s="1" t="s">
        <v>339</v>
      </c>
      <c r="C377" s="4">
        <v>-719</v>
      </c>
      <c r="D377" s="4">
        <v>-1121</v>
      </c>
      <c r="E377" s="4">
        <v>288</v>
      </c>
      <c r="F377" s="4">
        <v>458</v>
      </c>
      <c r="G377" s="4">
        <f>330-188</f>
        <v>142</v>
      </c>
      <c r="H377" s="4">
        <f>322+144</f>
        <v>466</v>
      </c>
      <c r="I377" s="4">
        <f>16+188</f>
        <v>204</v>
      </c>
      <c r="J377" s="4">
        <f>16+188</f>
        <v>204</v>
      </c>
      <c r="K377" s="4">
        <f>520-389+601</f>
        <v>732</v>
      </c>
      <c r="L377" s="4">
        <f>743-394-109</f>
        <v>240</v>
      </c>
      <c r="N377" s="4">
        <v>-3</v>
      </c>
      <c r="O377" s="4">
        <v>141</v>
      </c>
      <c r="P377" s="4">
        <v>212</v>
      </c>
      <c r="Q377" s="4">
        <v>335</v>
      </c>
      <c r="R377" s="4">
        <v>305</v>
      </c>
      <c r="S377" s="4">
        <v>175</v>
      </c>
      <c r="T377" s="4">
        <v>168</v>
      </c>
      <c r="U377" s="174">
        <f>+F377-R377-S377-T377</f>
        <v>-190</v>
      </c>
      <c r="V377" s="4">
        <f>42-78</f>
        <v>-36</v>
      </c>
      <c r="W377" s="4">
        <f>131-36</f>
        <v>95</v>
      </c>
      <c r="X377" s="4">
        <v>188</v>
      </c>
      <c r="Y377" s="174">
        <f>+G377-V377-W377-X377</f>
        <v>-105</v>
      </c>
      <c r="Z377" s="4">
        <f>6-14</f>
        <v>-8</v>
      </c>
      <c r="AA377" s="4">
        <f>31-5</f>
        <v>26</v>
      </c>
      <c r="AB377" s="4">
        <f>55-2</f>
        <v>53</v>
      </c>
      <c r="AC377" s="174">
        <f>+I377-Z377-AA377-AB377</f>
        <v>133</v>
      </c>
      <c r="AD377" s="4">
        <f>-62-288</f>
        <v>-350</v>
      </c>
      <c r="AE377" s="4">
        <f>-9+424</f>
        <v>415</v>
      </c>
      <c r="AF377" s="4">
        <f>-61-27</f>
        <v>-88</v>
      </c>
      <c r="AG377" s="174">
        <f>K377-AD377-AE377-AF377</f>
        <v>755</v>
      </c>
      <c r="AH377" s="4">
        <f>97-7</f>
        <v>90</v>
      </c>
      <c r="AI377" s="4">
        <f>167+12</f>
        <v>179</v>
      </c>
      <c r="AJ377" s="4">
        <f>81-17</f>
        <v>64</v>
      </c>
      <c r="AK377" s="174">
        <f>L377-AH377-AI377-AJ377</f>
        <v>-93</v>
      </c>
      <c r="AL377"/>
      <c r="AM377" s="4">
        <f>55-322</f>
        <v>-267</v>
      </c>
      <c r="AN377" s="174">
        <f>+J377-Z377-AA377-AB377</f>
        <v>133</v>
      </c>
      <c r="AO377" s="4">
        <f>-62+55</f>
        <v>-7</v>
      </c>
    </row>
    <row r="378" spans="2:41" ht="13.5" customHeight="1">
      <c r="B378" s="5" t="s">
        <v>340</v>
      </c>
      <c r="C378" s="8">
        <f t="shared" ref="C378:U378" si="575">SUM(C373:C377)</f>
        <v>7494</v>
      </c>
      <c r="D378" s="8">
        <f t="shared" si="575"/>
        <v>9140</v>
      </c>
      <c r="E378" s="8">
        <f t="shared" si="575"/>
        <v>10965</v>
      </c>
      <c r="F378" s="8">
        <f t="shared" si="575"/>
        <v>11344</v>
      </c>
      <c r="G378" s="8">
        <f>SUM(G373:G377)</f>
        <v>11742</v>
      </c>
      <c r="H378" s="8">
        <f t="shared" si="575"/>
        <v>11743</v>
      </c>
      <c r="I378" s="8">
        <f>SUM(I373:I377)</f>
        <v>12529</v>
      </c>
      <c r="J378" s="8">
        <f>SUM(J373:J377)</f>
        <v>12529</v>
      </c>
      <c r="K378" s="8">
        <f>SUM(K373:K377)</f>
        <v>15394</v>
      </c>
      <c r="L378" s="8">
        <f>SUM(L373:L377)</f>
        <v>14987</v>
      </c>
      <c r="N378" s="8">
        <f t="shared" si="575"/>
        <v>2476</v>
      </c>
      <c r="O378" s="8">
        <f t="shared" si="575"/>
        <v>2643</v>
      </c>
      <c r="P378" s="8">
        <f t="shared" si="575"/>
        <v>2807</v>
      </c>
      <c r="Q378" s="8">
        <f t="shared" si="575"/>
        <v>3040</v>
      </c>
      <c r="R378" s="8">
        <f t="shared" si="575"/>
        <v>2697</v>
      </c>
      <c r="S378" s="8">
        <f t="shared" si="575"/>
        <v>2836</v>
      </c>
      <c r="T378" s="8">
        <f>SUM(T373:T377)</f>
        <v>2801</v>
      </c>
      <c r="U378" s="8">
        <f t="shared" si="575"/>
        <v>3010</v>
      </c>
      <c r="V378" s="8">
        <f t="shared" ref="V378:AA378" si="576">SUM(V373:V377)</f>
        <v>2692</v>
      </c>
      <c r="W378" s="8">
        <f t="shared" si="576"/>
        <v>3097</v>
      </c>
      <c r="X378" s="8">
        <f t="shared" si="576"/>
        <v>3023</v>
      </c>
      <c r="Y378" s="8">
        <f t="shared" si="576"/>
        <v>2930</v>
      </c>
      <c r="Z378" s="8">
        <f t="shared" si="576"/>
        <v>2872</v>
      </c>
      <c r="AA378" s="8">
        <f t="shared" si="576"/>
        <v>3178</v>
      </c>
      <c r="AB378" s="8">
        <f t="shared" ref="AB378:AG378" si="577">SUM(AB373:AB377)</f>
        <v>3299</v>
      </c>
      <c r="AC378" s="8">
        <f t="shared" si="577"/>
        <v>3180</v>
      </c>
      <c r="AD378" s="8">
        <f t="shared" si="577"/>
        <v>3506</v>
      </c>
      <c r="AE378" s="8">
        <f t="shared" si="577"/>
        <v>4023</v>
      </c>
      <c r="AF378" s="8">
        <f t="shared" si="577"/>
        <v>3955</v>
      </c>
      <c r="AG378" s="8">
        <f t="shared" si="577"/>
        <v>3910</v>
      </c>
      <c r="AH378" s="8">
        <f>SUM(AH373:AH377)</f>
        <v>3473</v>
      </c>
      <c r="AI378" s="8">
        <f>SUM(AI373:AI377)</f>
        <v>3716</v>
      </c>
      <c r="AJ378" s="8">
        <f>SUM(AJ373:AJ377)</f>
        <v>3694</v>
      </c>
      <c r="AK378" s="8">
        <f>SUM(AK373:AK377)</f>
        <v>4104</v>
      </c>
      <c r="AL378"/>
      <c r="AM378" s="8">
        <f>SUM(AM373:AM377)</f>
        <v>3298</v>
      </c>
      <c r="AN378" s="8">
        <f>SUM(AN373:AN377)</f>
        <v>3180</v>
      </c>
      <c r="AO378" s="8">
        <f>SUM(AO373:AO377)</f>
        <v>3506</v>
      </c>
    </row>
    <row r="379" spans="2:41" ht="13.5" customHeight="1">
      <c r="B379" s="78" t="s">
        <v>232</v>
      </c>
      <c r="C379" s="64"/>
      <c r="D379" s="64">
        <f>(D378/C378)-1</f>
        <v>0.21964238057112362</v>
      </c>
      <c r="E379" s="64">
        <f>(E378/D378)-1</f>
        <v>0.19967177242888412</v>
      </c>
      <c r="F379" s="64">
        <f>(F378/E378)-1</f>
        <v>3.4564523483812115E-2</v>
      </c>
      <c r="G379" s="64">
        <f>(G378/F378)-1</f>
        <v>3.5084626234132665E-2</v>
      </c>
      <c r="H379" s="64">
        <f>(H378/F378)-1</f>
        <v>3.5172778561354034E-2</v>
      </c>
      <c r="I379" s="64">
        <f>(I378/H378)-1</f>
        <v>6.693349229328116E-2</v>
      </c>
      <c r="J379" s="64">
        <f>(J378/I378)-1</f>
        <v>0</v>
      </c>
      <c r="K379" s="64">
        <f>(K378/I378)-1</f>
        <v>0.2286694867906458</v>
      </c>
      <c r="L379" s="64">
        <f>(L378/J378)-1</f>
        <v>0.19618485114534279</v>
      </c>
      <c r="N379" s="64"/>
      <c r="O379" s="64"/>
      <c r="P379" s="64"/>
      <c r="Q379" s="64"/>
      <c r="R379" s="64">
        <f t="shared" ref="R379:W379" si="578">R378/N378-1</f>
        <v>8.9256865912762606E-2</v>
      </c>
      <c r="S379" s="64">
        <f t="shared" si="578"/>
        <v>7.302307983352252E-2</v>
      </c>
      <c r="T379" s="168">
        <f>T378/P378-1</f>
        <v>-2.1375133594584428E-3</v>
      </c>
      <c r="U379" s="64">
        <f t="shared" si="578"/>
        <v>-9.8684210526315264E-3</v>
      </c>
      <c r="V379" s="64">
        <f t="shared" si="578"/>
        <v>-1.8539117538005634E-3</v>
      </c>
      <c r="W379" s="64">
        <f t="shared" si="578"/>
        <v>9.203102961918197E-2</v>
      </c>
      <c r="X379" s="64">
        <f t="shared" ref="X379:AE379" si="579">X378/T378-1</f>
        <v>7.9257408068546864E-2</v>
      </c>
      <c r="Y379" s="64">
        <f t="shared" si="579"/>
        <v>-2.6578073089700949E-2</v>
      </c>
      <c r="Z379" s="64">
        <f t="shared" si="579"/>
        <v>6.6864784546805334E-2</v>
      </c>
      <c r="AA379" s="64">
        <f t="shared" si="579"/>
        <v>2.6154342912495965E-2</v>
      </c>
      <c r="AB379" s="64">
        <f t="shared" si="579"/>
        <v>9.1300033079722231E-2</v>
      </c>
      <c r="AC379" s="64">
        <f t="shared" si="579"/>
        <v>8.53242320819112E-2</v>
      </c>
      <c r="AD379" s="64">
        <f t="shared" si="579"/>
        <v>0.22075208913649025</v>
      </c>
      <c r="AE379" s="64">
        <f t="shared" si="579"/>
        <v>0.26589049716803026</v>
      </c>
      <c r="AF379" s="64">
        <f>AF378/AM378-1</f>
        <v>0.19921164342025466</v>
      </c>
      <c r="AG379" s="64">
        <f>AG378/AN378-1</f>
        <v>0.22955974842767302</v>
      </c>
      <c r="AH379" s="64">
        <f>AH378/AO378-1</f>
        <v>-9.4124358243011796E-3</v>
      </c>
      <c r="AI379" s="64">
        <f>AI378/AE378-1</f>
        <v>-7.6311210539398489E-2</v>
      </c>
      <c r="AJ379" s="64">
        <f>AJ378/AF378-1</f>
        <v>-6.5992414664981069E-2</v>
      </c>
      <c r="AK379" s="64">
        <f>AK378/AG378-1</f>
        <v>4.9616368286445001E-2</v>
      </c>
      <c r="AL379"/>
      <c r="AM379" s="64">
        <f>AM378/X378-1</f>
        <v>9.0969235858418873E-2</v>
      </c>
      <c r="AN379" s="64">
        <f>AN378/Y378-1</f>
        <v>8.53242320819112E-2</v>
      </c>
      <c r="AO379" s="64">
        <f>AO378/Z378-1</f>
        <v>0.22075208913649025</v>
      </c>
    </row>
    <row r="380" spans="2:41" s="117" customFormat="1" ht="13.5" customHeight="1">
      <c r="B380" s="118" t="s">
        <v>342</v>
      </c>
      <c r="C380" s="119">
        <f t="shared" ref="C380:AD380" si="580">+C378-C45</f>
        <v>1</v>
      </c>
      <c r="D380" s="119">
        <f t="shared" si="580"/>
        <v>1</v>
      </c>
      <c r="E380" s="119">
        <f t="shared" si="580"/>
        <v>1</v>
      </c>
      <c r="F380" s="119">
        <f t="shared" si="580"/>
        <v>0</v>
      </c>
      <c r="G380" s="119">
        <f t="shared" si="580"/>
        <v>1</v>
      </c>
      <c r="H380" s="119">
        <f t="shared" si="580"/>
        <v>2</v>
      </c>
      <c r="I380" s="119">
        <f>+I378-I45</f>
        <v>1</v>
      </c>
      <c r="J380" s="119">
        <f>+J378-J45</f>
        <v>1</v>
      </c>
      <c r="K380" s="119">
        <f>+K378-K45</f>
        <v>0</v>
      </c>
      <c r="L380" s="119">
        <f>+L378-L45</f>
        <v>0</v>
      </c>
      <c r="N380" s="119">
        <f t="shared" si="580"/>
        <v>1</v>
      </c>
      <c r="O380" s="119">
        <f t="shared" si="580"/>
        <v>1</v>
      </c>
      <c r="P380" s="119">
        <f t="shared" si="580"/>
        <v>1</v>
      </c>
      <c r="Q380" s="119">
        <f t="shared" si="580"/>
        <v>-1</v>
      </c>
      <c r="R380" s="119">
        <f t="shared" si="580"/>
        <v>0</v>
      </c>
      <c r="S380" s="119">
        <f t="shared" si="580"/>
        <v>1</v>
      </c>
      <c r="T380" s="119">
        <f t="shared" si="580"/>
        <v>-1</v>
      </c>
      <c r="U380" s="119">
        <f t="shared" si="580"/>
        <v>0</v>
      </c>
      <c r="V380" s="119">
        <f t="shared" si="580"/>
        <v>0</v>
      </c>
      <c r="W380" s="119">
        <f t="shared" si="580"/>
        <v>0</v>
      </c>
      <c r="X380" s="119">
        <f t="shared" si="580"/>
        <v>0</v>
      </c>
      <c r="Y380" s="119">
        <f t="shared" si="580"/>
        <v>1</v>
      </c>
      <c r="Z380" s="119">
        <f t="shared" si="580"/>
        <v>1</v>
      </c>
      <c r="AA380" s="119">
        <f t="shared" si="580"/>
        <v>0</v>
      </c>
      <c r="AB380" s="119">
        <f t="shared" si="580"/>
        <v>0</v>
      </c>
      <c r="AC380" s="119">
        <f t="shared" si="580"/>
        <v>0</v>
      </c>
      <c r="AD380" s="119">
        <f t="shared" si="580"/>
        <v>1</v>
      </c>
      <c r="AE380" s="119">
        <f t="shared" ref="AE380:AJ380" si="581">+AE378-AE45</f>
        <v>0</v>
      </c>
      <c r="AF380" s="119">
        <f t="shared" si="581"/>
        <v>1</v>
      </c>
      <c r="AG380" s="119">
        <f t="shared" si="581"/>
        <v>-2</v>
      </c>
      <c r="AH380" s="119">
        <f t="shared" si="581"/>
        <v>1</v>
      </c>
      <c r="AI380" s="119">
        <f t="shared" si="581"/>
        <v>0</v>
      </c>
      <c r="AJ380" s="119">
        <f t="shared" si="581"/>
        <v>0</v>
      </c>
      <c r="AK380" s="119">
        <f>+AK378-AK45</f>
        <v>-1</v>
      </c>
      <c r="AL380"/>
      <c r="AM380" s="119"/>
      <c r="AN380" s="119"/>
      <c r="AO380" s="119"/>
    </row>
    <row r="381" spans="2:41" ht="13.5" customHeight="1"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/>
      <c r="AM381" s="5"/>
      <c r="AN381" s="5"/>
      <c r="AO381" s="5"/>
    </row>
    <row r="382" spans="2:41" ht="13.5" customHeight="1">
      <c r="B382" s="49" t="s">
        <v>360</v>
      </c>
      <c r="C382" s="47">
        <f t="shared" ref="C382:AD382" si="582">+C2</f>
        <v>42004</v>
      </c>
      <c r="D382" s="47">
        <f t="shared" si="582"/>
        <v>42369</v>
      </c>
      <c r="E382" s="47">
        <f t="shared" si="582"/>
        <v>42735</v>
      </c>
      <c r="F382" s="47">
        <f t="shared" si="582"/>
        <v>43100</v>
      </c>
      <c r="G382" s="47">
        <f t="shared" si="582"/>
        <v>43465</v>
      </c>
      <c r="H382" s="47">
        <f t="shared" si="582"/>
        <v>43440</v>
      </c>
      <c r="I382" s="47">
        <f>+I2</f>
        <v>43806</v>
      </c>
      <c r="J382" s="47">
        <f>+J2</f>
        <v>43806</v>
      </c>
      <c r="K382" s="47">
        <f>+K2</f>
        <v>44172</v>
      </c>
      <c r="L382" s="47">
        <f>+L2</f>
        <v>44537</v>
      </c>
      <c r="N382" s="47">
        <f t="shared" si="582"/>
        <v>42437</v>
      </c>
      <c r="O382" s="47">
        <f t="shared" si="582"/>
        <v>42527</v>
      </c>
      <c r="P382" s="47">
        <f t="shared" si="582"/>
        <v>42622</v>
      </c>
      <c r="Q382" s="47">
        <f t="shared" si="582"/>
        <v>42714</v>
      </c>
      <c r="R382" s="47">
        <f t="shared" si="582"/>
        <v>42825</v>
      </c>
      <c r="S382" s="47">
        <f t="shared" si="582"/>
        <v>42916</v>
      </c>
      <c r="T382" s="47">
        <f t="shared" si="582"/>
        <v>43008</v>
      </c>
      <c r="U382" s="47">
        <f t="shared" si="582"/>
        <v>43099</v>
      </c>
      <c r="V382" s="47">
        <f t="shared" si="582"/>
        <v>43189</v>
      </c>
      <c r="W382" s="47">
        <f t="shared" si="582"/>
        <v>43281</v>
      </c>
      <c r="X382" s="47">
        <f t="shared" si="582"/>
        <v>43373</v>
      </c>
      <c r="Y382" s="47">
        <f t="shared" si="582"/>
        <v>43464</v>
      </c>
      <c r="Z382" s="47">
        <f t="shared" si="582"/>
        <v>43554</v>
      </c>
      <c r="AA382" s="47">
        <f t="shared" si="582"/>
        <v>43646</v>
      </c>
      <c r="AB382" s="47">
        <f t="shared" si="582"/>
        <v>43738</v>
      </c>
      <c r="AC382" s="47">
        <f t="shared" si="582"/>
        <v>43829</v>
      </c>
      <c r="AD382" s="47">
        <f t="shared" si="582"/>
        <v>43920</v>
      </c>
      <c r="AE382" s="47">
        <f t="shared" ref="AE382:AJ382" si="583">+AE2</f>
        <v>44012</v>
      </c>
      <c r="AF382" s="47">
        <f t="shared" si="583"/>
        <v>44104</v>
      </c>
      <c r="AG382" s="253">
        <f t="shared" si="583"/>
        <v>44195</v>
      </c>
      <c r="AH382" s="47">
        <f t="shared" si="583"/>
        <v>44285</v>
      </c>
      <c r="AI382" s="47">
        <f t="shared" si="583"/>
        <v>44377</v>
      </c>
      <c r="AJ382" s="47">
        <f t="shared" si="583"/>
        <v>44469</v>
      </c>
      <c r="AK382" s="253">
        <f>+AK2</f>
        <v>44560</v>
      </c>
      <c r="AL382"/>
      <c r="AM382" s="47">
        <f>AM372</f>
        <v>43738</v>
      </c>
      <c r="AN382" s="47">
        <f>+AN2</f>
        <v>43829</v>
      </c>
      <c r="AO382" s="47">
        <f>AO372</f>
        <v>43920</v>
      </c>
    </row>
    <row r="383" spans="2:41" ht="13.5" customHeight="1">
      <c r="B383" s="1" t="s">
        <v>361</v>
      </c>
      <c r="C383" s="4">
        <v>25557</v>
      </c>
      <c r="D383" s="4">
        <v>31664</v>
      </c>
      <c r="E383" s="4">
        <v>38141</v>
      </c>
      <c r="F383" s="4">
        <v>38552.156999999999</v>
      </c>
      <c r="G383" s="4">
        <v>40195</v>
      </c>
      <c r="H383" s="4">
        <f>G383</f>
        <v>40195</v>
      </c>
      <c r="I383" s="249"/>
      <c r="J383" s="249"/>
      <c r="K383" s="249"/>
      <c r="L383" s="249"/>
      <c r="N383" s="4"/>
      <c r="O383" s="4"/>
      <c r="P383" s="4"/>
      <c r="Q383" s="4"/>
      <c r="R383" s="233"/>
      <c r="S383" s="233"/>
      <c r="T383" s="233"/>
      <c r="U383" s="233"/>
      <c r="V383" s="233"/>
      <c r="W383" s="233"/>
      <c r="X383" s="233"/>
      <c r="Y383" s="233"/>
      <c r="Z383" s="233"/>
      <c r="AA383" s="233"/>
      <c r="AB383" s="233"/>
      <c r="AC383" s="233"/>
      <c r="AD383" s="233"/>
      <c r="AE383" s="233"/>
      <c r="AF383" s="233"/>
      <c r="AG383" s="233"/>
      <c r="AH383" s="233"/>
      <c r="AI383" s="233"/>
      <c r="AJ383" s="233"/>
      <c r="AK383" s="233"/>
      <c r="AL383"/>
      <c r="AM383" s="233"/>
      <c r="AN383" s="233"/>
      <c r="AO383" s="233"/>
    </row>
    <row r="384" spans="2:41" ht="13.5" customHeight="1">
      <c r="B384" s="1" t="s">
        <v>362</v>
      </c>
      <c r="C384" s="4">
        <v>15110</v>
      </c>
      <c r="D384" s="4">
        <v>15691</v>
      </c>
      <c r="E384" s="4">
        <v>17358</v>
      </c>
      <c r="F384" s="4">
        <v>19015.72</v>
      </c>
      <c r="G384" s="4">
        <v>20086</v>
      </c>
      <c r="H384" s="4">
        <f>G384</f>
        <v>20086</v>
      </c>
      <c r="I384" s="249"/>
      <c r="J384" s="249"/>
      <c r="K384" s="249"/>
      <c r="L384" s="249"/>
      <c r="N384" s="4"/>
      <c r="O384" s="4"/>
      <c r="P384" s="4"/>
      <c r="Q384" s="4"/>
      <c r="R384" s="233"/>
      <c r="S384" s="233"/>
      <c r="T384" s="233"/>
      <c r="U384" s="233"/>
      <c r="V384" s="233"/>
      <c r="W384" s="233"/>
      <c r="X384" s="233"/>
      <c r="Y384" s="233"/>
      <c r="Z384" s="233"/>
      <c r="AA384" s="233"/>
      <c r="AB384" s="233"/>
      <c r="AC384" s="233"/>
      <c r="AD384" s="233"/>
      <c r="AE384" s="233"/>
      <c r="AF384" s="233"/>
      <c r="AG384" s="233"/>
      <c r="AH384" s="233"/>
      <c r="AI384" s="233"/>
      <c r="AJ384" s="233"/>
      <c r="AK384" s="233"/>
      <c r="AL384"/>
      <c r="AM384" s="233"/>
      <c r="AN384" s="233"/>
      <c r="AO384" s="233"/>
    </row>
    <row r="385" spans="2:41" ht="13.5" customHeight="1">
      <c r="B385" s="1" t="s">
        <v>363</v>
      </c>
      <c r="C385" s="4">
        <v>3722</v>
      </c>
      <c r="D385" s="4">
        <v>4472</v>
      </c>
      <c r="E385" s="4">
        <v>4979</v>
      </c>
      <c r="F385" s="4">
        <v>5114.8440000000001</v>
      </c>
      <c r="G385" s="4">
        <v>5381</v>
      </c>
      <c r="H385" s="4">
        <f>G385</f>
        <v>5381</v>
      </c>
      <c r="I385" s="249"/>
      <c r="J385" s="249"/>
      <c r="K385" s="249"/>
      <c r="L385" s="249"/>
      <c r="N385" s="4"/>
      <c r="O385" s="4"/>
      <c r="P385" s="4"/>
      <c r="Q385" s="4"/>
      <c r="R385" s="233"/>
      <c r="S385" s="233"/>
      <c r="T385" s="233"/>
      <c r="U385" s="233"/>
      <c r="V385" s="233"/>
      <c r="W385" s="233"/>
      <c r="X385" s="233"/>
      <c r="Y385" s="233"/>
      <c r="Z385" s="233"/>
      <c r="AA385" s="233"/>
      <c r="AB385" s="233"/>
      <c r="AC385" s="233"/>
      <c r="AD385" s="233"/>
      <c r="AE385" s="233"/>
      <c r="AF385" s="233"/>
      <c r="AG385" s="233"/>
      <c r="AH385" s="233"/>
      <c r="AI385" s="233"/>
      <c r="AJ385" s="233"/>
      <c r="AK385" s="233"/>
      <c r="AL385"/>
      <c r="AM385" s="233"/>
      <c r="AN385" s="233"/>
      <c r="AO385" s="233"/>
    </row>
    <row r="386" spans="2:41" ht="13.5" customHeight="1">
      <c r="B386" s="1" t="s">
        <v>364</v>
      </c>
      <c r="C386" s="4">
        <v>3479</v>
      </c>
      <c r="D386" s="4">
        <v>4057</v>
      </c>
      <c r="E386" s="4">
        <v>4639</v>
      </c>
      <c r="F386" s="4">
        <v>4532.8779999999997</v>
      </c>
      <c r="G386" s="4">
        <v>4596</v>
      </c>
      <c r="H386" s="4">
        <f>G386</f>
        <v>4596</v>
      </c>
      <c r="I386" s="249"/>
      <c r="J386" s="249"/>
      <c r="K386" s="249"/>
      <c r="L386" s="249"/>
      <c r="N386" s="4"/>
      <c r="O386" s="4"/>
      <c r="P386" s="4"/>
      <c r="Q386" s="4"/>
      <c r="R386" s="233"/>
      <c r="S386" s="233"/>
      <c r="T386" s="233"/>
      <c r="U386" s="233"/>
      <c r="V386" s="233"/>
      <c r="W386" s="233"/>
      <c r="X386" s="233"/>
      <c r="Y386" s="233"/>
      <c r="Z386" s="233"/>
      <c r="AA386" s="233"/>
      <c r="AB386" s="233"/>
      <c r="AC386" s="233"/>
      <c r="AD386" s="233"/>
      <c r="AE386" s="233"/>
      <c r="AF386" s="233"/>
      <c r="AG386" s="233"/>
      <c r="AH386" s="233"/>
      <c r="AI386" s="233"/>
      <c r="AJ386" s="233"/>
      <c r="AK386" s="233"/>
      <c r="AL386"/>
      <c r="AM386" s="233"/>
      <c r="AN386" s="233"/>
      <c r="AO386" s="233"/>
    </row>
    <row r="387" spans="2:41" ht="13.5" customHeight="1">
      <c r="B387" s="1" t="s">
        <v>365</v>
      </c>
      <c r="C387" s="4">
        <v>2067</v>
      </c>
      <c r="D387" s="4">
        <v>2395</v>
      </c>
      <c r="E387" s="4">
        <v>3089</v>
      </c>
      <c r="F387" s="4">
        <v>3364.9189999999999</v>
      </c>
      <c r="G387" s="4">
        <v>3780</v>
      </c>
      <c r="H387" s="4">
        <f>G387</f>
        <v>3780</v>
      </c>
      <c r="I387" s="249"/>
      <c r="J387" s="249"/>
      <c r="K387" s="249"/>
      <c r="L387" s="249"/>
      <c r="N387" s="4"/>
      <c r="O387" s="4"/>
      <c r="P387" s="4"/>
      <c r="Q387" s="4"/>
      <c r="R387" s="233"/>
      <c r="S387" s="233"/>
      <c r="T387" s="233"/>
      <c r="U387" s="233"/>
      <c r="V387" s="233"/>
      <c r="W387" s="233"/>
      <c r="X387" s="233"/>
      <c r="Y387" s="233"/>
      <c r="Z387" s="233"/>
      <c r="AA387" s="233"/>
      <c r="AB387" s="233"/>
      <c r="AC387" s="233"/>
      <c r="AD387" s="233"/>
      <c r="AE387" s="233"/>
      <c r="AF387" s="233"/>
      <c r="AG387" s="233"/>
      <c r="AH387" s="233"/>
      <c r="AI387" s="233"/>
      <c r="AJ387" s="233"/>
      <c r="AK387" s="233"/>
      <c r="AL387"/>
      <c r="AM387" s="233"/>
      <c r="AN387" s="233"/>
      <c r="AO387" s="233"/>
    </row>
    <row r="388" spans="2:41" ht="13.5" customHeight="1">
      <c r="B388" s="5" t="s">
        <v>340</v>
      </c>
      <c r="C388" s="8">
        <f t="shared" ref="C388:H388" si="584">SUM(C383:C387)</f>
        <v>49935</v>
      </c>
      <c r="D388" s="8">
        <f t="shared" si="584"/>
        <v>58279</v>
      </c>
      <c r="E388" s="8">
        <f t="shared" si="584"/>
        <v>68206</v>
      </c>
      <c r="F388" s="8">
        <f t="shared" si="584"/>
        <v>70580.517999999996</v>
      </c>
      <c r="G388" s="8">
        <f>SUM(G383:G387)</f>
        <v>74038</v>
      </c>
      <c r="H388" s="8">
        <f t="shared" si="584"/>
        <v>74038</v>
      </c>
      <c r="I388" s="215"/>
      <c r="J388" s="215"/>
      <c r="K388" s="215"/>
      <c r="L388" s="215"/>
      <c r="N388" s="8"/>
      <c r="O388" s="8"/>
      <c r="P388" s="8"/>
      <c r="Q388" s="8"/>
      <c r="R388" s="234"/>
      <c r="S388" s="234"/>
      <c r="T388" s="234"/>
      <c r="U388" s="234"/>
      <c r="V388" s="234"/>
      <c r="W388" s="234"/>
      <c r="X388" s="234"/>
      <c r="Y388" s="234"/>
      <c r="Z388" s="234"/>
      <c r="AA388" s="234"/>
      <c r="AB388" s="234"/>
      <c r="AC388" s="234"/>
      <c r="AD388" s="234"/>
      <c r="AE388" s="234"/>
      <c r="AF388" s="234"/>
      <c r="AG388" s="234"/>
      <c r="AH388" s="234"/>
      <c r="AI388" s="234"/>
      <c r="AJ388" s="234"/>
      <c r="AK388" s="234"/>
      <c r="AL388"/>
      <c r="AM388" s="234"/>
      <c r="AN388" s="234"/>
      <c r="AO388" s="234"/>
    </row>
    <row r="389" spans="2:41" ht="13.5" customHeight="1">
      <c r="B389" s="78" t="s">
        <v>232</v>
      </c>
      <c r="C389" s="64"/>
      <c r="D389" s="64">
        <f>(D388/C388)-1</f>
        <v>0.16709722639431268</v>
      </c>
      <c r="E389" s="64">
        <f>(E388/D388)-1</f>
        <v>0.17033579848659031</v>
      </c>
      <c r="F389" s="64">
        <f>(F388/E388)-1</f>
        <v>3.4813916664222955E-2</v>
      </c>
      <c r="G389" s="64">
        <f>(G388/F388)-1</f>
        <v>4.8986350596066819E-2</v>
      </c>
      <c r="H389" s="64">
        <f>(H388/F388)-1</f>
        <v>4.8986350596066819E-2</v>
      </c>
      <c r="I389" s="250"/>
      <c r="J389" s="250"/>
      <c r="K389" s="250"/>
      <c r="L389" s="250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/>
      <c r="AM389" s="64"/>
      <c r="AN389" s="64"/>
      <c r="AO389" s="64"/>
    </row>
    <row r="390" spans="2:41" s="115" customFormat="1" ht="13.5" customHeight="1">
      <c r="B390" s="115" t="s">
        <v>342</v>
      </c>
      <c r="C390" s="126">
        <f>+C388-C6</f>
        <v>-0.32800000000133878</v>
      </c>
      <c r="D390" s="126">
        <f>+D388-D6</f>
        <v>-4.0000000008149073E-3</v>
      </c>
      <c r="E390" s="126">
        <f>+E388-E6</f>
        <v>-0.28399999999965075</v>
      </c>
      <c r="F390" s="126">
        <f>+F388-F6</f>
        <v>0</v>
      </c>
      <c r="G390" s="126">
        <f>+G388-G6</f>
        <v>-3.088000000003376</v>
      </c>
    </row>
    <row r="391" spans="2:41" ht="13.5" customHeight="1"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N391" s="5"/>
      <c r="O391" s="5"/>
      <c r="P391" s="5"/>
      <c r="R391" s="5"/>
      <c r="S391" s="5"/>
      <c r="Y391" s="5"/>
      <c r="AC391" s="5"/>
      <c r="AG391" s="5"/>
      <c r="AK391" s="5"/>
      <c r="AN391" s="5"/>
    </row>
    <row r="392" spans="2:41" ht="13.5" customHeight="1"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N392" s="5"/>
      <c r="O392" s="5"/>
      <c r="P392" s="5"/>
      <c r="R392" s="5"/>
      <c r="S392" s="5"/>
      <c r="Y392" s="5"/>
      <c r="AC392" s="5"/>
      <c r="AG392" s="5"/>
      <c r="AK392" s="5"/>
      <c r="AN392" s="5"/>
    </row>
    <row r="393" spans="2:41" ht="13.5" customHeight="1"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N393" s="5"/>
      <c r="O393" s="5"/>
      <c r="P393" s="5"/>
      <c r="R393" s="5"/>
      <c r="S393" s="5"/>
      <c r="Y393" s="5"/>
      <c r="AC393" s="5"/>
      <c r="AG393" s="5"/>
      <c r="AK393" s="5"/>
      <c r="AN393" s="5"/>
    </row>
    <row r="394" spans="2:41" ht="13.5" customHeight="1"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N394" s="5"/>
      <c r="O394" s="5"/>
      <c r="P394" s="5"/>
      <c r="R394" s="5"/>
      <c r="S394" s="5"/>
      <c r="Y394" s="5"/>
      <c r="AC394" s="5"/>
      <c r="AG394" s="5"/>
      <c r="AK394" s="5"/>
      <c r="AN394" s="5"/>
    </row>
    <row r="395" spans="2:41" ht="13.5" customHeight="1">
      <c r="C395" s="84"/>
      <c r="D395" s="84"/>
      <c r="E395" s="84"/>
      <c r="F395" s="84"/>
      <c r="G395" s="84"/>
      <c r="H395" s="81"/>
      <c r="I395" s="82"/>
      <c r="J395" s="82"/>
      <c r="K395" s="82"/>
      <c r="L395" s="82"/>
      <c r="N395" s="84"/>
      <c r="O395" s="81"/>
      <c r="P395" s="82"/>
      <c r="Q395" s="83"/>
      <c r="R395" s="84"/>
      <c r="S395" s="84"/>
      <c r="U395" s="83"/>
      <c r="V395" s="83"/>
      <c r="W395" s="83"/>
      <c r="X395" s="83"/>
      <c r="Y395" s="172"/>
      <c r="Z395" s="83"/>
      <c r="AA395" s="83"/>
      <c r="AB395" s="83"/>
      <c r="AC395" s="172"/>
      <c r="AD395" s="83"/>
      <c r="AE395" s="83"/>
      <c r="AF395" s="83"/>
      <c r="AG395" s="172"/>
      <c r="AH395" s="83"/>
      <c r="AI395" s="83"/>
      <c r="AJ395" s="83"/>
      <c r="AK395" s="172"/>
      <c r="AN395" s="172"/>
    </row>
    <row r="396" spans="2:41" ht="13.5" customHeight="1">
      <c r="C396" s="84"/>
      <c r="D396" s="84"/>
      <c r="E396" s="84"/>
      <c r="F396" s="84"/>
      <c r="G396" s="84"/>
      <c r="H396" s="81"/>
      <c r="I396" s="82"/>
      <c r="J396" s="82"/>
      <c r="K396" s="82"/>
      <c r="L396" s="82"/>
      <c r="N396" s="84"/>
      <c r="O396" s="81"/>
      <c r="P396" s="82"/>
      <c r="Q396" s="83"/>
      <c r="R396" s="84"/>
      <c r="S396" s="84"/>
      <c r="U396" s="83"/>
      <c r="V396" s="83"/>
      <c r="W396" s="83"/>
      <c r="X396" s="83"/>
      <c r="Y396" s="172"/>
      <c r="Z396" s="83"/>
      <c r="AA396" s="83"/>
      <c r="AB396" s="83"/>
      <c r="AC396" s="172"/>
      <c r="AD396" s="83"/>
      <c r="AE396" s="83"/>
      <c r="AF396" s="83"/>
      <c r="AG396" s="172"/>
      <c r="AH396" s="83"/>
      <c r="AI396" s="83"/>
      <c r="AJ396" s="83"/>
      <c r="AK396" s="172"/>
      <c r="AN396" s="172"/>
    </row>
  </sheetData>
  <pageMargins left="0.51181102362204722" right="0.47244094488188981" top="0.23622047244094491" bottom="0.43307086614173229" header="0.51181102362204722" footer="0.23622047244094491"/>
  <pageSetup paperSize="9" scale="83" fitToHeight="0" orientation="portrait" r:id="rId1"/>
  <headerFooter alignWithMargins="0">
    <oddFooter>&amp;L&amp;8U.S. Bank Loan Team&amp;C&amp;"Arial,Bold"&amp;8- Confidential -&amp;R&amp;8&amp;D &amp;T</oddFooter>
  </headerFooter>
  <rowBreaks count="1" manualBreakCount="1">
    <brk id="96" min="1" max="10" man="1"/>
  </rowBreak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EF5F77-78AD-4008-B7B6-1FBAE666FA1C}"/>
</file>

<file path=customXml/itemProps2.xml><?xml version="1.0" encoding="utf-8"?>
<ds:datastoreItem xmlns:ds="http://schemas.openxmlformats.org/officeDocument/2006/customXml" ds:itemID="{33B99AED-F417-4652-AB11-8AC5F8A8EB43}"/>
</file>

<file path=customXml/itemProps3.xml><?xml version="1.0" encoding="utf-8"?>
<ds:datastoreItem xmlns:ds="http://schemas.openxmlformats.org/officeDocument/2006/customXml" ds:itemID="{13229EB3-CF7E-4CBB-8EA3-67876846F0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2026-09-07T10:17:47Z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{E50CAD30-31ED-4563-8484-A696089A3B1E}</vt:lpwstr>
  </property>
  <property fmtid="{D5CDD505-2E9C-101B-9397-08002B2CF9AE}" pid="3" name="WorkbookGuid">
    <vt:lpwstr>5f40f37c-6d84-4588-acf2-191b0a003af2</vt:lpwstr>
  </property>
  <property fmtid="{D5CDD505-2E9C-101B-9397-08002B2CF9AE}" pid="4" name="MSIP_Label_8c63c790-1b4f-473b-b88f-a693ca173b52_Enabled">
    <vt:lpwstr>true</vt:lpwstr>
  </property>
  <property fmtid="{D5CDD505-2E9C-101B-9397-08002B2CF9AE}" pid="5" name="MSIP_Label_8c63c790-1b4f-473b-b88f-a693ca173b52_SetDate">
    <vt:lpwstr>2022-02-24T11:57:29Z</vt:lpwstr>
  </property>
  <property fmtid="{D5CDD505-2E9C-101B-9397-08002B2CF9AE}" pid="6" name="MSIP_Label_8c63c790-1b4f-473b-b88f-a693ca173b52_Method">
    <vt:lpwstr>Privileged</vt:lpwstr>
  </property>
  <property fmtid="{D5CDD505-2E9C-101B-9397-08002B2CF9AE}" pid="7" name="MSIP_Label_8c63c790-1b4f-473b-b88f-a693ca173b52_Name">
    <vt:lpwstr>Internal</vt:lpwstr>
  </property>
  <property fmtid="{D5CDD505-2E9C-101B-9397-08002B2CF9AE}" pid="8" name="MSIP_Label_8c63c790-1b4f-473b-b88f-a693ca173b52_SiteId">
    <vt:lpwstr>4d8b04bf-7a7c-48a0-b6e3-38da5008297e</vt:lpwstr>
  </property>
  <property fmtid="{D5CDD505-2E9C-101B-9397-08002B2CF9AE}" pid="9" name="MSIP_Label_8c63c790-1b4f-473b-b88f-a693ca173b52_ActionId">
    <vt:lpwstr>99478fd7-e377-4eda-af2b-b1d9ec697a94</vt:lpwstr>
  </property>
  <property fmtid="{D5CDD505-2E9C-101B-9397-08002B2CF9AE}" pid="10" name="MSIP_Label_8c63c790-1b4f-473b-b88f-a693ca173b52_ContentBits">
    <vt:lpwstr>0</vt:lpwstr>
  </property>
  <property fmtid="{D5CDD505-2E9C-101B-9397-08002B2CF9AE}" pid="11" name="ContentTypeId">
    <vt:lpwstr>0x0101003A00EECCAA3DB94895FACE15614ECBE0</vt:lpwstr>
  </property>
</Properties>
</file>